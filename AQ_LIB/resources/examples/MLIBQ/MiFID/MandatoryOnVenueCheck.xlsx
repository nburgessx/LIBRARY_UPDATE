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45" windowWidth="20115" windowHeight="7485" tabRatio="738" activeTab="1"/>
  </bookViews>
  <sheets>
    <sheet name="Instructions" sheetId="4" r:id="rId1"/>
    <sheet name="On-Venue Check" sheetId="1" r:id="rId2"/>
    <sheet name="Standard EUR3ML Swaps" sheetId="8" r:id="rId3"/>
    <sheet name="Standard EUR6ML Swaps" sheetId="9" r:id="rId4"/>
    <sheet name="Standard USD3ML Swaps" sheetId="6" r:id="rId5"/>
    <sheet name="Standard USD6ML Swaps" sheetId="7" r:id="rId6"/>
    <sheet name="IMM USD3ML Swaps" sheetId="11" r:id="rId7"/>
    <sheet name="IMM USD6ML Swaps" sheetId="10" r:id="rId8"/>
  </sheets>
  <definedNames>
    <definedName name="AsOf" localSheetId="6">'IMM USD3ML Swaps'!$B$3</definedName>
    <definedName name="AsOf" localSheetId="7">'IMM USD6ML Swaps'!$B$3</definedName>
    <definedName name="AsOf" localSheetId="2">'Standard EUR3ML Swaps'!$B$3</definedName>
    <definedName name="AsOf" localSheetId="3">'Standard EUR6ML Swaps'!$B$3</definedName>
    <definedName name="AsOf" localSheetId="4">'Standard USD3ML Swaps'!$B$3</definedName>
    <definedName name="AsOf" localSheetId="5">'Standard USD6ML Swaps'!$B$3</definedName>
    <definedName name="AsOf">'On-Venue Check'!$B$3</definedName>
    <definedName name="DateConventions" localSheetId="6">'IMM USD3ML Swaps'!$K$66:$M$68</definedName>
    <definedName name="DateConventions" localSheetId="7">'IMM USD6ML Swaps'!$K$66:$M$68</definedName>
    <definedName name="DateConventions" localSheetId="2">'Standard EUR3ML Swaps'!$K$66:$M$68</definedName>
    <definedName name="DateConventions" localSheetId="3">'Standard EUR6ML Swaps'!$K$66:$M$68</definedName>
    <definedName name="DateConventions" localSheetId="4">'Standard USD3ML Swaps'!$K$66:$M$68</definedName>
    <definedName name="DateConventions" localSheetId="5">'Standard USD6ML Swaps'!$K$66:$M$68</definedName>
    <definedName name="DateConventions">'On-Venue Check'!$K$66:$M$68</definedName>
    <definedName name="EUR3MLSPOT" localSheetId="6">'IMM USD3ML Swaps'!$B$83</definedName>
    <definedName name="EUR3MLSPOT" localSheetId="7">'IMM USD6ML Swaps'!$B$83</definedName>
    <definedName name="EUR3MLSPOT" localSheetId="2">'Standard EUR3ML Swaps'!$B$83</definedName>
    <definedName name="EUR3MLSPOT" localSheetId="3">'Standard EUR6ML Swaps'!$B$83</definedName>
    <definedName name="EUR3MLSPOT" localSheetId="4">'Standard USD3ML Swaps'!$B$83</definedName>
    <definedName name="EUR3MLSPOT" localSheetId="5">'Standard USD6ML Swaps'!$B$83</definedName>
    <definedName name="EUR3MLSPOT">'On-Venue Check'!$B$83</definedName>
    <definedName name="EUR3MLSPOT.Lower" localSheetId="6">'IMM USD3ML Swaps'!$E$83:$E$92</definedName>
    <definedName name="EUR3MLSPOT.Lower" localSheetId="7">'IMM USD6ML Swaps'!$E$83:$E$92</definedName>
    <definedName name="EUR3MLSPOT.Lower" localSheetId="2">'Standard EUR3ML Swaps'!$E$83:$E$92</definedName>
    <definedName name="EUR3MLSPOT.Lower" localSheetId="3">'Standard EUR6ML Swaps'!$E$83:$E$92</definedName>
    <definedName name="EUR3MLSPOT.Lower" localSheetId="4">'Standard USD3ML Swaps'!$E$83:$E$92</definedName>
    <definedName name="EUR3MLSPOT.Lower" localSheetId="5">'Standard USD6ML Swaps'!$E$83:$E$92</definedName>
    <definedName name="EUR3MLSPOT.Lower">'On-Venue Check'!$E$83:$E$92</definedName>
    <definedName name="EUR3MLSPOT.Upper" localSheetId="6">'IMM USD3ML Swaps'!$F$83:$F$92</definedName>
    <definedName name="EUR3MLSPOT.Upper" localSheetId="7">'IMM USD6ML Swaps'!$F$83:$F$92</definedName>
    <definedName name="EUR3MLSPOT.Upper" localSheetId="2">'Standard EUR3ML Swaps'!$F$83:$F$92</definedName>
    <definedName name="EUR3MLSPOT.Upper" localSheetId="3">'Standard EUR6ML Swaps'!$F$83:$F$92</definedName>
    <definedName name="EUR3MLSPOT.Upper" localSheetId="4">'Standard USD3ML Swaps'!$F$83:$F$92</definedName>
    <definedName name="EUR3MLSPOT.Upper" localSheetId="5">'Standard USD6ML Swaps'!$F$83:$F$92</definedName>
    <definedName name="EUR3MLSPOT.Upper">'On-Venue Check'!$F$83:$F$92</definedName>
    <definedName name="EUR6MLSPOT" localSheetId="6">'IMM USD3ML Swaps'!$B$66</definedName>
    <definedName name="EUR6MLSPOT" localSheetId="7">'IMM USD6ML Swaps'!$B$66</definedName>
    <definedName name="EUR6MLSPOT" localSheetId="2">'Standard EUR3ML Swaps'!$B$66</definedName>
    <definedName name="EUR6MLSPOT" localSheetId="3">'Standard EUR6ML Swaps'!$B$66</definedName>
    <definedName name="EUR6MLSPOT" localSheetId="4">'Standard USD3ML Swaps'!$B$66</definedName>
    <definedName name="EUR6MLSPOT" localSheetId="5">'Standard USD6ML Swaps'!$B$66</definedName>
    <definedName name="EUR6MLSPOT">'On-Venue Check'!$B$66</definedName>
    <definedName name="EUR6MLSPOT.Lower" localSheetId="6">'IMM USD3ML Swaps'!$E$66:$E$78</definedName>
    <definedName name="EUR6MLSPOT.Lower" localSheetId="7">'IMM USD6ML Swaps'!$E$66:$E$78</definedName>
    <definedName name="EUR6MLSPOT.Lower" localSheetId="2">'Standard EUR3ML Swaps'!$E$66:$E$78</definedName>
    <definedName name="EUR6MLSPOT.Lower" localSheetId="3">'Standard EUR6ML Swaps'!$E$66:$E$78</definedName>
    <definedName name="EUR6MLSPOT.Lower" localSheetId="4">'Standard USD3ML Swaps'!$E$66:$E$78</definedName>
    <definedName name="EUR6MLSPOT.Lower" localSheetId="5">'Standard USD6ML Swaps'!$E$66:$E$78</definedName>
    <definedName name="EUR6MLSPOT.Lower">'On-Venue Check'!$E$66:$E$78</definedName>
    <definedName name="EUR6MLSPOT.Upper" localSheetId="6">'IMM USD3ML Swaps'!$F$66:$F$78</definedName>
    <definedName name="EUR6MLSPOT.Upper" localSheetId="7">'IMM USD6ML Swaps'!$F$66:$F$78</definedName>
    <definedName name="EUR6MLSPOT.Upper" localSheetId="2">'Standard EUR3ML Swaps'!$F$66:$F$78</definedName>
    <definedName name="EUR6MLSPOT.Upper" localSheetId="3">'Standard EUR6ML Swaps'!$F$66:$F$78</definedName>
    <definedName name="EUR6MLSPOT.Upper" localSheetId="4">'Standard USD3ML Swaps'!$F$66:$F$78</definedName>
    <definedName name="EUR6MLSPOT.Upper" localSheetId="5">'Standard USD6ML Swaps'!$F$66:$F$78</definedName>
    <definedName name="EUR6MLSPOT.Upper">'On-Venue Check'!$F$66:$F$78</definedName>
    <definedName name="GBP3MLSPOT" localSheetId="6">'IMM USD3ML Swaps'!$B$109</definedName>
    <definedName name="GBP3MLSPOT" localSheetId="7">'IMM USD6ML Swaps'!$B$109</definedName>
    <definedName name="GBP3MLSPOT" localSheetId="2">'Standard EUR3ML Swaps'!$B$109</definedName>
    <definedName name="GBP3MLSPOT" localSheetId="3">'Standard EUR6ML Swaps'!$B$109</definedName>
    <definedName name="GBP3MLSPOT" localSheetId="4">'Standard USD3ML Swaps'!$B$109</definedName>
    <definedName name="GBP3MLSPOT" localSheetId="5">'Standard USD6ML Swaps'!$B$109</definedName>
    <definedName name="GBP3MLSPOT">'On-Venue Check'!$B$109</definedName>
    <definedName name="GBP3MLSPOT.Lower" localSheetId="6">'IMM USD3ML Swaps'!$E$109:$E$118</definedName>
    <definedName name="GBP3MLSPOT.Lower" localSheetId="7">'IMM USD6ML Swaps'!$E$109:$E$118</definedName>
    <definedName name="GBP3MLSPOT.Lower" localSheetId="2">'Standard EUR3ML Swaps'!$E$109:$E$118</definedName>
    <definedName name="GBP3MLSPOT.Lower" localSheetId="3">'Standard EUR6ML Swaps'!$E$109:$E$118</definedName>
    <definedName name="GBP3MLSPOT.Lower" localSheetId="4">'Standard USD3ML Swaps'!$E$109:$E$118</definedName>
    <definedName name="GBP3MLSPOT.Lower" localSheetId="5">'Standard USD6ML Swaps'!$E$109:$E$118</definedName>
    <definedName name="GBP3MLSPOT.Lower">'On-Venue Check'!$E$109:$E$118</definedName>
    <definedName name="GBP3MLSPOT.Upper" localSheetId="6">'IMM USD3ML Swaps'!$F$109:$F$118</definedName>
    <definedName name="GBP3MLSPOT.Upper" localSheetId="7">'IMM USD6ML Swaps'!$F$109:$F$118</definedName>
    <definedName name="GBP3MLSPOT.Upper" localSheetId="2">'Standard EUR3ML Swaps'!$F$109:$F$118</definedName>
    <definedName name="GBP3MLSPOT.Upper" localSheetId="3">'Standard EUR6ML Swaps'!$F$109:$F$118</definedName>
    <definedName name="GBP3MLSPOT.Upper" localSheetId="4">'Standard USD3ML Swaps'!$F$109:$F$118</definedName>
    <definedName name="GBP3MLSPOT.Upper" localSheetId="5">'Standard USD6ML Swaps'!$F$109:$F$118</definedName>
    <definedName name="GBP3MLSPOT.Upper">'On-Venue Check'!$F$109:$F$118</definedName>
    <definedName name="GBP6MLSPOT" localSheetId="6">'IMM USD3ML Swaps'!$B$109</definedName>
    <definedName name="GBP6MLSPOT" localSheetId="7">'IMM USD6ML Swaps'!$B$109</definedName>
    <definedName name="GBP6MLSPOT" localSheetId="2">'Standard EUR3ML Swaps'!$B$109</definedName>
    <definedName name="GBP6MLSPOT" localSheetId="3">'Standard EUR6ML Swaps'!$B$109</definedName>
    <definedName name="GBP6MLSPOT" localSheetId="4">'Standard USD3ML Swaps'!$B$109</definedName>
    <definedName name="GBP6MLSPOT" localSheetId="5">'Standard USD6ML Swaps'!$B$109</definedName>
    <definedName name="GBP6MLSPOT">'On-Venue Check'!$B$109</definedName>
    <definedName name="GBP6MLSPOT.Lower" localSheetId="6">'IMM USD3ML Swaps'!$E$109:$E$118</definedName>
    <definedName name="GBP6MLSPOT.Lower" localSheetId="7">'IMM USD6ML Swaps'!$E$109:$E$118</definedName>
    <definedName name="GBP6MLSPOT.Lower" localSheetId="2">'Standard EUR3ML Swaps'!$E$109:$E$118</definedName>
    <definedName name="GBP6MLSPOT.Lower" localSheetId="3">'Standard EUR6ML Swaps'!$E$109:$E$118</definedName>
    <definedName name="GBP6MLSPOT.Lower" localSheetId="4">'Standard USD3ML Swaps'!$E$109:$E$118</definedName>
    <definedName name="GBP6MLSPOT.Lower" localSheetId="5">'Standard USD6ML Swaps'!$E$109:$E$118</definedName>
    <definedName name="GBP6MLSPOT.Lower">'On-Venue Check'!$E$109:$E$118</definedName>
    <definedName name="GBP6MLSPOT.Upper" localSheetId="6">'IMM USD3ML Swaps'!$F$109:$F$118</definedName>
    <definedName name="GBP6MLSPOT.Upper" localSheetId="7">'IMM USD6ML Swaps'!$F$109:$F$118</definedName>
    <definedName name="GBP6MLSPOT.Upper" localSheetId="2">'Standard EUR3ML Swaps'!$F$109:$F$118</definedName>
    <definedName name="GBP6MLSPOT.Upper" localSheetId="3">'Standard EUR6ML Swaps'!$F$109:$F$118</definedName>
    <definedName name="GBP6MLSPOT.Upper" localSheetId="4">'Standard USD3ML Swaps'!$F$109:$F$118</definedName>
    <definedName name="GBP6MLSPOT.Upper" localSheetId="5">'Standard USD6ML Swaps'!$F$109:$F$118</definedName>
    <definedName name="GBP6MLSPOT.Upper">'On-Venue Check'!$F$109:$F$118</definedName>
    <definedName name="USD3ML.IMMIMM1" localSheetId="6">'IMM USD3ML Swaps'!$H$95</definedName>
    <definedName name="USD3ML.IMMIMM1" localSheetId="7">'IMM USD6ML Swaps'!$H$95</definedName>
    <definedName name="USD3ML.IMMIMM1" localSheetId="2">'Standard EUR3ML Swaps'!$H$95</definedName>
    <definedName name="USD3ML.IMMIMM1" localSheetId="3">'Standard EUR6ML Swaps'!$H$95</definedName>
    <definedName name="USD3ML.IMMIMM1" localSheetId="4">'Standard USD3ML Swaps'!$H$95</definedName>
    <definedName name="USD3ML.IMMIMM1" localSheetId="5">'Standard USD6ML Swaps'!$H$95</definedName>
    <definedName name="USD3ML.IMMIMM1">'On-Venue Check'!$H$95</definedName>
    <definedName name="USD3ML.IMMIMM1.LOWER" localSheetId="6">'IMM USD3ML Swaps'!$K$95:$K$105</definedName>
    <definedName name="USD3ML.IMMIMM1.LOWER" localSheetId="7">'IMM USD6ML Swaps'!$K$95:$K$105</definedName>
    <definedName name="USD3ML.IMMIMM1.LOWER" localSheetId="2">'Standard EUR3ML Swaps'!$K$95:$K$105</definedName>
    <definedName name="USD3ML.IMMIMM1.LOWER" localSheetId="3">'Standard EUR6ML Swaps'!$K$95:$K$105</definedName>
    <definedName name="USD3ML.IMMIMM1.LOWER" localSheetId="4">'Standard USD3ML Swaps'!$K$95:$K$105</definedName>
    <definedName name="USD3ML.IMMIMM1.LOWER" localSheetId="5">'Standard USD6ML Swaps'!$K$95:$K$105</definedName>
    <definedName name="USD3ML.IMMIMM1.LOWER">'On-Venue Check'!$K$95:$K$105</definedName>
    <definedName name="USD3ML.IMMIMM1.UPPER" localSheetId="6">'IMM USD3ML Swaps'!$L$95:$L$105</definedName>
    <definedName name="USD3ML.IMMIMM1.UPPER" localSheetId="7">'IMM USD6ML Swaps'!$L$95:$L$105</definedName>
    <definedName name="USD3ML.IMMIMM1.UPPER" localSheetId="2">'Standard EUR3ML Swaps'!$L$95:$L$105</definedName>
    <definedName name="USD3ML.IMMIMM1.UPPER" localSheetId="3">'Standard EUR6ML Swaps'!$L$95:$L$105</definedName>
    <definedName name="USD3ML.IMMIMM1.UPPER" localSheetId="4">'Standard USD3ML Swaps'!$L$95:$L$105</definedName>
    <definedName name="USD3ML.IMMIMM1.UPPER" localSheetId="5">'Standard USD6ML Swaps'!$L$95:$L$105</definedName>
    <definedName name="USD3ML.IMMIMM1.UPPER">'On-Venue Check'!$L$95:$L$105</definedName>
    <definedName name="USD3ML.IMMIMM2" localSheetId="6">'IMM USD3ML Swaps'!$H$109</definedName>
    <definedName name="USD3ML.IMMIMM2" localSheetId="7">'IMM USD6ML Swaps'!$H$109</definedName>
    <definedName name="USD3ML.IMMIMM2" localSheetId="2">'Standard EUR3ML Swaps'!$H$109</definedName>
    <definedName name="USD3ML.IMMIMM2" localSheetId="3">'Standard EUR6ML Swaps'!$H$109</definedName>
    <definedName name="USD3ML.IMMIMM2" localSheetId="4">'Standard USD3ML Swaps'!$H$109</definedName>
    <definedName name="USD3ML.IMMIMM2" localSheetId="5">'Standard USD6ML Swaps'!$H$109</definedName>
    <definedName name="USD3ML.IMMIMM2">'On-Venue Check'!$H$109</definedName>
    <definedName name="USD3ML.IMMIMM2.LOWER" localSheetId="6">'IMM USD3ML Swaps'!$K$109:$K$119</definedName>
    <definedName name="USD3ML.IMMIMM2.LOWER" localSheetId="7">'IMM USD6ML Swaps'!$K$109:$K$119</definedName>
    <definedName name="USD3ML.IMMIMM2.LOWER" localSheetId="2">'Standard EUR3ML Swaps'!$K$109:$K$119</definedName>
    <definedName name="USD3ML.IMMIMM2.LOWER" localSheetId="3">'Standard EUR6ML Swaps'!$K$109:$K$119</definedName>
    <definedName name="USD3ML.IMMIMM2.LOWER" localSheetId="4">'Standard USD3ML Swaps'!$K$109:$K$119</definedName>
    <definedName name="USD3ML.IMMIMM2.LOWER" localSheetId="5">'Standard USD6ML Swaps'!$K$109:$K$119</definedName>
    <definedName name="USD3ML.IMMIMM2.LOWER">'On-Venue Check'!$K$109:$K$119</definedName>
    <definedName name="USD3ML.IMMIMM2.UPPER" localSheetId="6">'IMM USD3ML Swaps'!$L$109:$L$119</definedName>
    <definedName name="USD3ML.IMMIMM2.UPPER" localSheetId="7">'IMM USD6ML Swaps'!$L$109:$L$119</definedName>
    <definedName name="USD3ML.IMMIMM2.UPPER" localSheetId="2">'Standard EUR3ML Swaps'!$L$109:$L$119</definedName>
    <definedName name="USD3ML.IMMIMM2.UPPER" localSheetId="3">'Standard EUR6ML Swaps'!$L$109:$L$119</definedName>
    <definedName name="USD3ML.IMMIMM2.UPPER" localSheetId="4">'Standard USD3ML Swaps'!$L$109:$L$119</definedName>
    <definedName name="USD3ML.IMMIMM2.UPPER" localSheetId="5">'Standard USD6ML Swaps'!$L$109:$L$119</definedName>
    <definedName name="USD3ML.IMMIMM2.UPPER">'On-Venue Check'!$L$109:$L$119</definedName>
    <definedName name="USD3MLSPOT" localSheetId="6">'IMM USD3ML Swaps'!$B$95</definedName>
    <definedName name="USD3MLSPOT" localSheetId="7">'IMM USD6ML Swaps'!$B$95</definedName>
    <definedName name="USD3MLSPOT" localSheetId="2">'Standard EUR3ML Swaps'!$B$95</definedName>
    <definedName name="USD3MLSPOT" localSheetId="3">'Standard EUR6ML Swaps'!$B$95</definedName>
    <definedName name="USD3MLSPOT" localSheetId="4">'Standard USD3ML Swaps'!$B$95</definedName>
    <definedName name="USD3MLSPOT" localSheetId="5">'Standard USD6ML Swaps'!$B$95</definedName>
    <definedName name="USD3MLSPOT">'On-Venue Check'!$B$95</definedName>
    <definedName name="USD3MLSPOT.Lower" localSheetId="6">'IMM USD3ML Swaps'!$E$95:$E$105</definedName>
    <definedName name="USD3MLSPOT.Lower" localSheetId="7">'IMM USD6ML Swaps'!$E$95:$E$105</definedName>
    <definedName name="USD3MLSPOT.Lower" localSheetId="2">'Standard EUR3ML Swaps'!$E$95:$E$105</definedName>
    <definedName name="USD3MLSPOT.Lower" localSheetId="3">'Standard EUR6ML Swaps'!$E$95:$E$105</definedName>
    <definedName name="USD3MLSPOT.Lower" localSheetId="4">'Standard USD3ML Swaps'!$E$95:$E$105</definedName>
    <definedName name="USD3MLSPOT.Lower" localSheetId="5">'Standard USD6ML Swaps'!$E$95:$E$105</definedName>
    <definedName name="USD3MLSPOT.Lower">'On-Venue Check'!$E$95:$E$105</definedName>
    <definedName name="USD3MLSPOT.Upper" localSheetId="6">'IMM USD3ML Swaps'!$F$95:$F$105</definedName>
    <definedName name="USD3MLSPOT.Upper" localSheetId="7">'IMM USD6ML Swaps'!$F$95:$F$105</definedName>
    <definedName name="USD3MLSPOT.Upper" localSheetId="2">'Standard EUR3ML Swaps'!$F$95:$F$105</definedName>
    <definedName name="USD3MLSPOT.Upper" localSheetId="3">'Standard EUR6ML Swaps'!$F$95:$F$105</definedName>
    <definedName name="USD3MLSPOT.Upper" localSheetId="4">'Standard USD3ML Swaps'!$F$95:$F$105</definedName>
    <definedName name="USD3MLSPOT.Upper" localSheetId="5">'Standard USD6ML Swaps'!$F$95:$F$105</definedName>
    <definedName name="USD3MLSPOT.Upper">'On-Venue Check'!$F$95:$F$105</definedName>
    <definedName name="USD6ML.IMMIMM1" localSheetId="6">'IMM USD3ML Swaps'!$H$95</definedName>
    <definedName name="USD6ML.IMMIMM1" localSheetId="7">'IMM USD6ML Swaps'!$H$95</definedName>
    <definedName name="USD6ML.IMMIMM1" localSheetId="2">'Standard EUR3ML Swaps'!$H$95</definedName>
    <definedName name="USD6ML.IMMIMM1" localSheetId="3">'Standard EUR6ML Swaps'!$H$95</definedName>
    <definedName name="USD6ML.IMMIMM1" localSheetId="4">'Standard USD3ML Swaps'!$H$95</definedName>
    <definedName name="USD6ML.IMMIMM1" localSheetId="5">'Standard USD6ML Swaps'!$H$95</definedName>
    <definedName name="USD6ML.IMMIMM1">'On-Venue Check'!$H$95</definedName>
    <definedName name="USD6ML.IMMIMM1.LOWER" localSheetId="6">'IMM USD3ML Swaps'!$K$95:$K$105</definedName>
    <definedName name="USD6ML.IMMIMM1.LOWER" localSheetId="7">'IMM USD6ML Swaps'!$K$95:$K$105</definedName>
    <definedName name="USD6ML.IMMIMM1.LOWER" localSheetId="2">'Standard EUR3ML Swaps'!$K$95:$K$105</definedName>
    <definedName name="USD6ML.IMMIMM1.LOWER" localSheetId="3">'Standard EUR6ML Swaps'!$K$95:$K$105</definedName>
    <definedName name="USD6ML.IMMIMM1.LOWER" localSheetId="4">'Standard USD3ML Swaps'!$K$95:$K$105</definedName>
    <definedName name="USD6ML.IMMIMM1.LOWER" localSheetId="5">'Standard USD6ML Swaps'!$K$95:$K$105</definedName>
    <definedName name="USD6ML.IMMIMM1.LOWER">'On-Venue Check'!$K$95:$K$105</definedName>
    <definedName name="USD6ML.IMMIMM1.UPPER" localSheetId="6">'IMM USD3ML Swaps'!$L$95:$L$105</definedName>
    <definedName name="USD6ML.IMMIMM1.UPPER" localSheetId="7">'IMM USD6ML Swaps'!$L$95:$L$105</definedName>
    <definedName name="USD6ML.IMMIMM1.UPPER" localSheetId="2">'Standard EUR3ML Swaps'!$L$95:$L$105</definedName>
    <definedName name="USD6ML.IMMIMM1.UPPER" localSheetId="3">'Standard EUR6ML Swaps'!$L$95:$L$105</definedName>
    <definedName name="USD6ML.IMMIMM1.UPPER" localSheetId="4">'Standard USD3ML Swaps'!$L$95:$L$105</definedName>
    <definedName name="USD6ML.IMMIMM1.UPPER" localSheetId="5">'Standard USD6ML Swaps'!$L$95:$L$105</definedName>
    <definedName name="USD6ML.IMMIMM1.UPPER">'On-Venue Check'!$L$95:$L$105</definedName>
    <definedName name="USD6ML.IMMIMM2" localSheetId="6">'IMM USD3ML Swaps'!$H$109</definedName>
    <definedName name="USD6ML.IMMIMM2" localSheetId="7">'IMM USD6ML Swaps'!$H$109</definedName>
    <definedName name="USD6ML.IMMIMM2" localSheetId="2">'Standard EUR3ML Swaps'!$H$109</definedName>
    <definedName name="USD6ML.IMMIMM2" localSheetId="3">'Standard EUR6ML Swaps'!$H$109</definedName>
    <definedName name="USD6ML.IMMIMM2" localSheetId="4">'Standard USD3ML Swaps'!$H$109</definedName>
    <definedName name="USD6ML.IMMIMM2" localSheetId="5">'Standard USD6ML Swaps'!$H$109</definedName>
    <definedName name="USD6ML.IMMIMM2">'On-Venue Check'!$H$109</definedName>
    <definedName name="USD6ML.IMMIMM2.LOWER" localSheetId="6">'IMM USD3ML Swaps'!$K$109:$K$119</definedName>
    <definedName name="USD6ML.IMMIMM2.LOWER" localSheetId="7">'IMM USD6ML Swaps'!$K$109:$K$119</definedName>
    <definedName name="USD6ML.IMMIMM2.LOWER" localSheetId="2">'Standard EUR3ML Swaps'!$K$109:$K$119</definedName>
    <definedName name="USD6ML.IMMIMM2.LOWER" localSheetId="3">'Standard EUR6ML Swaps'!$K$109:$K$119</definedName>
    <definedName name="USD6ML.IMMIMM2.LOWER" localSheetId="4">'Standard USD3ML Swaps'!$K$109:$K$119</definedName>
    <definedName name="USD6ML.IMMIMM2.LOWER" localSheetId="5">'Standard USD6ML Swaps'!$K$109:$K$119</definedName>
    <definedName name="USD6ML.IMMIMM2.LOWER">'On-Venue Check'!$K$109:$K$119</definedName>
    <definedName name="USD6ML.IMMIMM2.UPPER" localSheetId="6">'IMM USD3ML Swaps'!$L$109:$L$119</definedName>
    <definedName name="USD6ML.IMMIMM2.UPPER" localSheetId="7">'IMM USD6ML Swaps'!$L$109:$L$119</definedName>
    <definedName name="USD6ML.IMMIMM2.UPPER" localSheetId="2">'Standard EUR3ML Swaps'!$L$109:$L$119</definedName>
    <definedName name="USD6ML.IMMIMM2.UPPER" localSheetId="3">'Standard EUR6ML Swaps'!$L$109:$L$119</definedName>
    <definedName name="USD6ML.IMMIMM2.UPPER" localSheetId="4">'Standard USD3ML Swaps'!$L$109:$L$119</definedName>
    <definedName name="USD6ML.IMMIMM2.UPPER" localSheetId="5">'Standard USD6ML Swaps'!$L$109:$L$119</definedName>
    <definedName name="USD6ML.IMMIMM2.UPPER">'On-Venue Check'!$L$109:$L$119</definedName>
    <definedName name="USD6MLSPOT" localSheetId="6">'IMM USD3ML Swaps'!$B$95</definedName>
    <definedName name="USD6MLSPOT" localSheetId="7">'IMM USD6ML Swaps'!$B$95</definedName>
    <definedName name="USD6MLSPOT" localSheetId="2">'Standard EUR3ML Swaps'!$B$95</definedName>
    <definedName name="USD6MLSPOT" localSheetId="3">'Standard EUR6ML Swaps'!$B$95</definedName>
    <definedName name="USD6MLSPOT" localSheetId="4">'Standard USD3ML Swaps'!$B$95</definedName>
    <definedName name="USD6MLSPOT" localSheetId="5">'Standard USD6ML Swaps'!$B$95</definedName>
    <definedName name="USD6MLSPOT">'On-Venue Check'!$B$95</definedName>
    <definedName name="USD6MLSPOT.Lower" localSheetId="6">'IMM USD3ML Swaps'!$E$95:$E$105</definedName>
    <definedName name="USD6MLSPOT.Lower" localSheetId="7">'IMM USD6ML Swaps'!$E$95:$E$105</definedName>
    <definedName name="USD6MLSPOT.Lower" localSheetId="2">'Standard EUR3ML Swaps'!$E$95:$E$105</definedName>
    <definedName name="USD6MLSPOT.Lower" localSheetId="3">'Standard EUR6ML Swaps'!$E$95:$E$105</definedName>
    <definedName name="USD6MLSPOT.Lower" localSheetId="4">'Standard USD3ML Swaps'!$E$95:$E$105</definedName>
    <definedName name="USD6MLSPOT.Lower" localSheetId="5">'Standard USD6ML Swaps'!$E$95:$E$105</definedName>
    <definedName name="USD6MLSPOT.Lower">'On-Venue Check'!$E$95:$E$105</definedName>
    <definedName name="USD6MLSPOT.Upper" localSheetId="6">'IMM USD3ML Swaps'!$F$95:$F$105</definedName>
    <definedName name="USD6MLSPOT.Upper" localSheetId="7">'IMM USD6ML Swaps'!$F$95:$F$105</definedName>
    <definedName name="USD6MLSPOT.Upper" localSheetId="2">'Standard EUR3ML Swaps'!$F$95:$F$105</definedName>
    <definedName name="USD6MLSPOT.Upper" localSheetId="3">'Standard EUR6ML Swaps'!$F$95:$F$105</definedName>
    <definedName name="USD6MLSPOT.Upper" localSheetId="4">'Standard USD3ML Swaps'!$F$95:$F$105</definedName>
    <definedName name="USD6MLSPOT.Upper" localSheetId="5">'Standard USD6ML Swaps'!$F$95:$F$105</definedName>
    <definedName name="USD6MLSPOT.Upper">'On-Venue Check'!$F$95:$F$105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AC48" i="11" l="1"/>
  <c r="P48" i="11"/>
  <c r="S48" i="11" s="1"/>
  <c r="AC47" i="11"/>
  <c r="P47" i="11"/>
  <c r="T47" i="11" s="1"/>
  <c r="AC46" i="11"/>
  <c r="P46" i="11"/>
  <c r="S46" i="11" s="1"/>
  <c r="AC45" i="11"/>
  <c r="P45" i="11"/>
  <c r="U45" i="11" s="1"/>
  <c r="AC44" i="11"/>
  <c r="P44" i="11"/>
  <c r="AA44" i="11" s="1"/>
  <c r="AC43" i="11"/>
  <c r="P43" i="11"/>
  <c r="Y43" i="11" s="1"/>
  <c r="AC42" i="11"/>
  <c r="P42" i="11"/>
  <c r="Y42" i="11" s="1"/>
  <c r="AC41" i="11"/>
  <c r="P41" i="11"/>
  <c r="Z41" i="11" s="1"/>
  <c r="AC40" i="11"/>
  <c r="P40" i="11"/>
  <c r="T40" i="11" s="1"/>
  <c r="AC39" i="11"/>
  <c r="P39" i="11"/>
  <c r="Y39" i="11" s="1"/>
  <c r="AC38" i="11"/>
  <c r="P38" i="11"/>
  <c r="Y38" i="11" s="1"/>
  <c r="AC37" i="11"/>
  <c r="P37" i="11"/>
  <c r="T37" i="11" s="1"/>
  <c r="AC36" i="11"/>
  <c r="P36" i="11"/>
  <c r="AC35" i="11"/>
  <c r="P35" i="11"/>
  <c r="Y35" i="11" s="1"/>
  <c r="AC34" i="11"/>
  <c r="P34" i="11"/>
  <c r="Y34" i="11" s="1"/>
  <c r="AC33" i="11"/>
  <c r="P33" i="11"/>
  <c r="T33" i="11" s="1"/>
  <c r="AC32" i="11"/>
  <c r="P32" i="11"/>
  <c r="Z32" i="11" s="1"/>
  <c r="AC31" i="11"/>
  <c r="P31" i="11"/>
  <c r="Y31" i="11" s="1"/>
  <c r="AC30" i="11"/>
  <c r="P30" i="11"/>
  <c r="Y30" i="11" s="1"/>
  <c r="AC29" i="11"/>
  <c r="P29" i="11"/>
  <c r="S29" i="11" s="1"/>
  <c r="AC28" i="11"/>
  <c r="P28" i="11"/>
  <c r="AA28" i="11" s="1"/>
  <c r="AC27" i="11"/>
  <c r="P27" i="11"/>
  <c r="Y27" i="11" s="1"/>
  <c r="AC26" i="11"/>
  <c r="P26" i="11"/>
  <c r="Y26" i="11" s="1"/>
  <c r="AC25" i="11"/>
  <c r="P25" i="11"/>
  <c r="S25" i="11" s="1"/>
  <c r="AC24" i="11"/>
  <c r="P24" i="11"/>
  <c r="T24" i="11" s="1"/>
  <c r="AC23" i="11"/>
  <c r="P23" i="11"/>
  <c r="Y23" i="11" s="1"/>
  <c r="AC22" i="11"/>
  <c r="P22" i="11"/>
  <c r="Y22" i="11" s="1"/>
  <c r="AC21" i="11"/>
  <c r="P21" i="11"/>
  <c r="Z21" i="11" s="1"/>
  <c r="AC20" i="11"/>
  <c r="P20" i="11"/>
  <c r="AA20" i="11" s="1"/>
  <c r="AC19" i="11"/>
  <c r="P19" i="11"/>
  <c r="Y19" i="11" s="1"/>
  <c r="AC18" i="11"/>
  <c r="P18" i="11"/>
  <c r="Y18" i="11" s="1"/>
  <c r="AC17" i="11"/>
  <c r="P17" i="11"/>
  <c r="Y17" i="11" s="1"/>
  <c r="AC16" i="11"/>
  <c r="P16" i="11"/>
  <c r="Y16" i="11" s="1"/>
  <c r="AC15" i="11"/>
  <c r="P15" i="11"/>
  <c r="Y15" i="11" s="1"/>
  <c r="AC14" i="11"/>
  <c r="P14" i="11"/>
  <c r="Y14" i="11" s="1"/>
  <c r="AC13" i="11"/>
  <c r="P13" i="11"/>
  <c r="Y13" i="11" s="1"/>
  <c r="AC12" i="11"/>
  <c r="P12" i="11"/>
  <c r="Y12" i="11" s="1"/>
  <c r="AC11" i="11"/>
  <c r="P11" i="11"/>
  <c r="Y11" i="11" s="1"/>
  <c r="AC10" i="11"/>
  <c r="P10" i="11"/>
  <c r="Y10" i="11" s="1"/>
  <c r="AC9" i="11"/>
  <c r="P9" i="11"/>
  <c r="Y9" i="11" s="1"/>
  <c r="AC8" i="11"/>
  <c r="P8" i="11"/>
  <c r="Y8" i="11" s="1"/>
  <c r="AC7" i="11"/>
  <c r="P7" i="11"/>
  <c r="X7" i="11" s="1"/>
  <c r="B3" i="11"/>
  <c r="AC48" i="10"/>
  <c r="P48" i="10"/>
  <c r="X48" i="10" s="1"/>
  <c r="AC47" i="10"/>
  <c r="P47" i="10"/>
  <c r="X47" i="10" s="1"/>
  <c r="AC46" i="10"/>
  <c r="P46" i="10"/>
  <c r="X46" i="10" s="1"/>
  <c r="AC45" i="10"/>
  <c r="P45" i="10"/>
  <c r="X45" i="10" s="1"/>
  <c r="AC44" i="10"/>
  <c r="P44" i="10"/>
  <c r="X44" i="10" s="1"/>
  <c r="AC43" i="10"/>
  <c r="P43" i="10"/>
  <c r="X43" i="10" s="1"/>
  <c r="AC42" i="10"/>
  <c r="P42" i="10"/>
  <c r="X42" i="10" s="1"/>
  <c r="AC41" i="10"/>
  <c r="P41" i="10"/>
  <c r="X41" i="10" s="1"/>
  <c r="AC40" i="10"/>
  <c r="P40" i="10"/>
  <c r="X40" i="10" s="1"/>
  <c r="AC39" i="10"/>
  <c r="P39" i="10"/>
  <c r="X39" i="10" s="1"/>
  <c r="AC38" i="10"/>
  <c r="P38" i="10"/>
  <c r="X38" i="10" s="1"/>
  <c r="AC37" i="10"/>
  <c r="P37" i="10"/>
  <c r="X37" i="10" s="1"/>
  <c r="AC36" i="10"/>
  <c r="P36" i="10"/>
  <c r="U36" i="10" s="1"/>
  <c r="AC35" i="10"/>
  <c r="P35" i="10"/>
  <c r="Y35" i="10" s="1"/>
  <c r="AC34" i="10"/>
  <c r="P34" i="10"/>
  <c r="Y34" i="10" s="1"/>
  <c r="AC33" i="10"/>
  <c r="P33" i="10"/>
  <c r="Y33" i="10" s="1"/>
  <c r="AC32" i="10"/>
  <c r="P32" i="10"/>
  <c r="Y32" i="10" s="1"/>
  <c r="AC31" i="10"/>
  <c r="P31" i="10"/>
  <c r="Y31" i="10" s="1"/>
  <c r="AC30" i="10"/>
  <c r="P30" i="10"/>
  <c r="Y30" i="10" s="1"/>
  <c r="AC29" i="10"/>
  <c r="P29" i="10"/>
  <c r="Y29" i="10" s="1"/>
  <c r="AC28" i="10"/>
  <c r="P28" i="10"/>
  <c r="Y28" i="10" s="1"/>
  <c r="AC27" i="10"/>
  <c r="P27" i="10"/>
  <c r="Y27" i="10" s="1"/>
  <c r="AC26" i="10"/>
  <c r="P26" i="10"/>
  <c r="Y26" i="10" s="1"/>
  <c r="AC25" i="10"/>
  <c r="P25" i="10"/>
  <c r="Y25" i="10" s="1"/>
  <c r="AC24" i="10"/>
  <c r="P24" i="10"/>
  <c r="Y24" i="10" s="1"/>
  <c r="AC23" i="10"/>
  <c r="P23" i="10"/>
  <c r="Y23" i="10" s="1"/>
  <c r="AC22" i="10"/>
  <c r="P22" i="10"/>
  <c r="T22" i="10" s="1"/>
  <c r="AC21" i="10"/>
  <c r="P21" i="10"/>
  <c r="AA21" i="10" s="1"/>
  <c r="AC20" i="10"/>
  <c r="P20" i="10"/>
  <c r="Y20" i="10" s="1"/>
  <c r="AC19" i="10"/>
  <c r="P19" i="10"/>
  <c r="X19" i="10" s="1"/>
  <c r="AC18" i="10"/>
  <c r="P18" i="10"/>
  <c r="T18" i="10" s="1"/>
  <c r="AC17" i="10"/>
  <c r="P17" i="10"/>
  <c r="X17" i="10" s="1"/>
  <c r="AC16" i="10"/>
  <c r="P16" i="10"/>
  <c r="X16" i="10" s="1"/>
  <c r="AC15" i="10"/>
  <c r="P15" i="10"/>
  <c r="X15" i="10" s="1"/>
  <c r="AC14" i="10"/>
  <c r="P14" i="10"/>
  <c r="X14" i="10" s="1"/>
  <c r="AC13" i="10"/>
  <c r="P13" i="10"/>
  <c r="X13" i="10" s="1"/>
  <c r="AC12" i="10"/>
  <c r="P12" i="10"/>
  <c r="X12" i="10" s="1"/>
  <c r="AC11" i="10"/>
  <c r="P11" i="10"/>
  <c r="X11" i="10" s="1"/>
  <c r="AC10" i="10"/>
  <c r="P10" i="10"/>
  <c r="X10" i="10" s="1"/>
  <c r="AC9" i="10"/>
  <c r="P9" i="10"/>
  <c r="X9" i="10" s="1"/>
  <c r="AC8" i="10"/>
  <c r="P8" i="10"/>
  <c r="X8" i="10" s="1"/>
  <c r="AC7" i="10"/>
  <c r="P7" i="10"/>
  <c r="X7" i="10" s="1"/>
  <c r="B3" i="10"/>
  <c r="H14" i="10"/>
  <c r="H95" i="10"/>
  <c r="H7" i="10"/>
  <c r="H43" i="10"/>
  <c r="H9" i="11"/>
  <c r="J100" i="10"/>
  <c r="H47" i="10"/>
  <c r="H10" i="11"/>
  <c r="H29" i="10"/>
  <c r="H43" i="11"/>
  <c r="B109" i="11"/>
  <c r="H11" i="10"/>
  <c r="H37" i="11"/>
  <c r="B95" i="11"/>
  <c r="D113" i="11"/>
  <c r="H36" i="11"/>
  <c r="H21" i="10"/>
  <c r="H40" i="10"/>
  <c r="R40" i="10" s="1"/>
  <c r="J98" i="10"/>
  <c r="H23" i="10"/>
  <c r="H16" i="10"/>
  <c r="H46" i="11"/>
  <c r="H27" i="10"/>
  <c r="H15" i="11"/>
  <c r="H22" i="11"/>
  <c r="H95" i="11"/>
  <c r="H39" i="11"/>
  <c r="D110" i="11"/>
  <c r="H8" i="11"/>
  <c r="H22" i="10"/>
  <c r="J105" i="10"/>
  <c r="J103" i="10"/>
  <c r="R22" i="10"/>
  <c r="H24" i="10"/>
  <c r="H17" i="11"/>
  <c r="H38" i="10"/>
  <c r="H13" i="11"/>
  <c r="J97" i="10"/>
  <c r="H35" i="10"/>
  <c r="R21" i="10"/>
  <c r="J104" i="10"/>
  <c r="H14" i="11"/>
  <c r="R14" i="11" s="1"/>
  <c r="H39" i="10"/>
  <c r="J95" i="11"/>
  <c r="H30" i="11"/>
  <c r="H28" i="10"/>
  <c r="B66" i="11"/>
  <c r="D111" i="11"/>
  <c r="D66" i="11"/>
  <c r="D99" i="11"/>
  <c r="H10" i="10"/>
  <c r="R46" i="11"/>
  <c r="D71" i="11"/>
  <c r="H16" i="11"/>
  <c r="D96" i="11"/>
  <c r="H31" i="10"/>
  <c r="R31" i="10" s="1"/>
  <c r="H44" i="10"/>
  <c r="R44" i="10" s="1"/>
  <c r="H24" i="11"/>
  <c r="R24" i="11" s="1"/>
  <c r="J102" i="10"/>
  <c r="J99" i="10"/>
  <c r="J104" i="11"/>
  <c r="J103" i="11"/>
  <c r="D68" i="11"/>
  <c r="H31" i="11"/>
  <c r="H17" i="10"/>
  <c r="H44" i="11"/>
  <c r="D109" i="11"/>
  <c r="D101" i="11"/>
  <c r="H42" i="11"/>
  <c r="B83" i="10"/>
  <c r="H29" i="11"/>
  <c r="H33" i="11"/>
  <c r="H34" i="10"/>
  <c r="R34" i="10" s="1"/>
  <c r="H7" i="11"/>
  <c r="R7" i="11" s="1"/>
  <c r="H30" i="10"/>
  <c r="D87" i="10"/>
  <c r="R13" i="11"/>
  <c r="H28" i="11"/>
  <c r="H18" i="11"/>
  <c r="R27" i="10"/>
  <c r="H109" i="11"/>
  <c r="H33" i="10"/>
  <c r="H47" i="11"/>
  <c r="D116" i="11"/>
  <c r="H45" i="10"/>
  <c r="R11" i="10"/>
  <c r="J109" i="11"/>
  <c r="D118" i="11"/>
  <c r="D78" i="11"/>
  <c r="D105" i="11"/>
  <c r="H23" i="11"/>
  <c r="H27" i="11"/>
  <c r="H21" i="11"/>
  <c r="H12" i="11"/>
  <c r="R12" i="11" s="1"/>
  <c r="H13" i="10"/>
  <c r="J97" i="11"/>
  <c r="B95" i="10"/>
  <c r="D88" i="10"/>
  <c r="D117" i="11"/>
  <c r="H41" i="11"/>
  <c r="R10" i="11"/>
  <c r="D73" i="11"/>
  <c r="J101" i="11"/>
  <c r="D95" i="11"/>
  <c r="H19" i="10"/>
  <c r="R19" i="10" s="1"/>
  <c r="J95" i="10"/>
  <c r="J118" i="11"/>
  <c r="J112" i="11"/>
  <c r="J111" i="11"/>
  <c r="D104" i="10"/>
  <c r="D100" i="11"/>
  <c r="H36" i="10"/>
  <c r="R36" i="10" s="1"/>
  <c r="B66" i="10"/>
  <c r="H18" i="10"/>
  <c r="R18" i="10" s="1"/>
  <c r="H9" i="10"/>
  <c r="H40" i="11"/>
  <c r="H32" i="10"/>
  <c r="D67" i="10"/>
  <c r="B83" i="11"/>
  <c r="H32" i="11"/>
  <c r="H15" i="10"/>
  <c r="D88" i="11"/>
  <c r="H12" i="10"/>
  <c r="H48" i="11"/>
  <c r="R29" i="11"/>
  <c r="D90" i="10"/>
  <c r="H26" i="11"/>
  <c r="J96" i="10"/>
  <c r="D97" i="10"/>
  <c r="H41" i="10"/>
  <c r="H25" i="11"/>
  <c r="J101" i="10"/>
  <c r="D74" i="11"/>
  <c r="J98" i="11"/>
  <c r="J117" i="11"/>
  <c r="D100" i="10"/>
  <c r="D112" i="11"/>
  <c r="D67" i="11"/>
  <c r="D104" i="11"/>
  <c r="D97" i="11"/>
  <c r="D98" i="11"/>
  <c r="D72" i="10"/>
  <c r="H35" i="11"/>
  <c r="R35" i="11" s="1"/>
  <c r="H19" i="11"/>
  <c r="H26" i="10"/>
  <c r="D89" i="11"/>
  <c r="D91" i="10"/>
  <c r="D73" i="10"/>
  <c r="R43" i="10"/>
  <c r="D103" i="11"/>
  <c r="H109" i="10"/>
  <c r="H46" i="10"/>
  <c r="D85" i="10"/>
  <c r="H20" i="10"/>
  <c r="H34" i="11"/>
  <c r="J100" i="11"/>
  <c r="D70" i="11"/>
  <c r="D83" i="10"/>
  <c r="H11" i="11"/>
  <c r="R11" i="11" s="1"/>
  <c r="H48" i="10"/>
  <c r="H25" i="10"/>
  <c r="H37" i="10"/>
  <c r="H20" i="11"/>
  <c r="R20" i="11" s="1"/>
  <c r="J118" i="10"/>
  <c r="D96" i="10"/>
  <c r="D102" i="11"/>
  <c r="B109" i="10"/>
  <c r="D109" i="10"/>
  <c r="H45" i="11"/>
  <c r="H42" i="10"/>
  <c r="R42" i="10" s="1"/>
  <c r="H8" i="10"/>
  <c r="H38" i="11"/>
  <c r="J99" i="11"/>
  <c r="D115" i="11"/>
  <c r="J96" i="11"/>
  <c r="J102" i="11"/>
  <c r="J105" i="11"/>
  <c r="D75" i="11"/>
  <c r="D72" i="11"/>
  <c r="D76" i="11"/>
  <c r="D77" i="11"/>
  <c r="D69" i="11"/>
  <c r="D84" i="10"/>
  <c r="D89" i="10"/>
  <c r="D86" i="10"/>
  <c r="D92" i="10"/>
  <c r="J114" i="11"/>
  <c r="J116" i="11"/>
  <c r="J110" i="11"/>
  <c r="J113" i="11"/>
  <c r="J119" i="11"/>
  <c r="J115" i="11"/>
  <c r="D102" i="10"/>
  <c r="D95" i="10"/>
  <c r="D105" i="10"/>
  <c r="D101" i="10"/>
  <c r="D99" i="10"/>
  <c r="D103" i="10"/>
  <c r="D98" i="10"/>
  <c r="D75" i="10"/>
  <c r="D74" i="10"/>
  <c r="D68" i="10"/>
  <c r="D78" i="10"/>
  <c r="D69" i="10"/>
  <c r="D76" i="10"/>
  <c r="D71" i="10"/>
  <c r="D66" i="10"/>
  <c r="D77" i="10"/>
  <c r="D70" i="10"/>
  <c r="D86" i="11"/>
  <c r="D92" i="11"/>
  <c r="D83" i="11"/>
  <c r="D91" i="11"/>
  <c r="D87" i="11"/>
  <c r="D90" i="11"/>
  <c r="D84" i="11"/>
  <c r="D85" i="11"/>
  <c r="J113" i="10"/>
  <c r="J115" i="10"/>
  <c r="J119" i="10"/>
  <c r="J117" i="10"/>
  <c r="J116" i="10"/>
  <c r="J109" i="10"/>
  <c r="J114" i="10"/>
  <c r="J111" i="10"/>
  <c r="J112" i="10"/>
  <c r="J110" i="10"/>
  <c r="D111" i="10"/>
  <c r="D110" i="10"/>
  <c r="D114" i="10"/>
  <c r="D113" i="10"/>
  <c r="D115" i="10"/>
  <c r="D112" i="10"/>
  <c r="D117" i="10"/>
  <c r="D116" i="10"/>
  <c r="D118" i="10"/>
  <c r="F113" i="11"/>
  <c r="E113" i="11"/>
  <c r="E110" i="11"/>
  <c r="F110" i="11"/>
  <c r="L95" i="11"/>
  <c r="K95" i="11"/>
  <c r="E111" i="11"/>
  <c r="F111" i="11"/>
  <c r="E66" i="11"/>
  <c r="F66" i="11"/>
  <c r="E99" i="11"/>
  <c r="F99" i="11"/>
  <c r="F71" i="11"/>
  <c r="E71" i="11"/>
  <c r="E96" i="11"/>
  <c r="F96" i="11"/>
  <c r="K104" i="11"/>
  <c r="L104" i="11"/>
  <c r="K103" i="11"/>
  <c r="L103" i="11"/>
  <c r="E68" i="11"/>
  <c r="F68" i="11"/>
  <c r="E109" i="11"/>
  <c r="F109" i="11"/>
  <c r="E101" i="11"/>
  <c r="F101" i="11"/>
  <c r="E116" i="11"/>
  <c r="F116" i="11"/>
  <c r="L109" i="11"/>
  <c r="K109" i="11"/>
  <c r="E118" i="11"/>
  <c r="F118" i="11"/>
  <c r="E78" i="11"/>
  <c r="F78" i="11"/>
  <c r="E105" i="11"/>
  <c r="F105" i="11"/>
  <c r="K97" i="11"/>
  <c r="L97" i="11"/>
  <c r="F117" i="11"/>
  <c r="E117" i="11"/>
  <c r="E73" i="11"/>
  <c r="F73" i="11"/>
  <c r="K101" i="11"/>
  <c r="L101" i="11"/>
  <c r="E95" i="11"/>
  <c r="F95" i="11"/>
  <c r="L118" i="11"/>
  <c r="K118" i="11"/>
  <c r="L112" i="11"/>
  <c r="K112" i="11"/>
  <c r="K111" i="11"/>
  <c r="L111" i="11"/>
  <c r="E100" i="11"/>
  <c r="F100" i="11"/>
  <c r="E88" i="11"/>
  <c r="F88" i="11"/>
  <c r="E74" i="11"/>
  <c r="F74" i="11"/>
  <c r="L98" i="11"/>
  <c r="K98" i="11"/>
  <c r="L117" i="11"/>
  <c r="K117" i="11"/>
  <c r="E112" i="11"/>
  <c r="F112" i="11"/>
  <c r="E67" i="11"/>
  <c r="F67" i="11"/>
  <c r="E104" i="11"/>
  <c r="F104" i="11"/>
  <c r="F97" i="11"/>
  <c r="E97" i="11"/>
  <c r="E98" i="11"/>
  <c r="F98" i="11"/>
  <c r="E89" i="11"/>
  <c r="F89" i="11"/>
  <c r="E103" i="11"/>
  <c r="F103" i="11"/>
  <c r="K100" i="11"/>
  <c r="L100" i="11"/>
  <c r="E70" i="11"/>
  <c r="F70" i="11"/>
  <c r="F102" i="11"/>
  <c r="E102" i="11"/>
  <c r="L99" i="11"/>
  <c r="K99" i="11"/>
  <c r="E115" i="11"/>
  <c r="F115" i="11"/>
  <c r="K96" i="11"/>
  <c r="L96" i="11"/>
  <c r="K102" i="11"/>
  <c r="L102" i="11"/>
  <c r="K105" i="11"/>
  <c r="L105" i="11"/>
  <c r="F75" i="11"/>
  <c r="E75" i="11"/>
  <c r="F72" i="11"/>
  <c r="E72" i="11"/>
  <c r="E76" i="11"/>
  <c r="F76" i="11"/>
  <c r="E77" i="11"/>
  <c r="F77" i="11"/>
  <c r="E69" i="11"/>
  <c r="F69" i="11"/>
  <c r="L114" i="11"/>
  <c r="K114" i="11"/>
  <c r="K116" i="11"/>
  <c r="L116" i="11"/>
  <c r="L110" i="11"/>
  <c r="K110" i="11"/>
  <c r="L113" i="11"/>
  <c r="K113" i="11"/>
  <c r="K119" i="11"/>
  <c r="L119" i="11"/>
  <c r="L115" i="11"/>
  <c r="K115" i="11"/>
  <c r="E86" i="11"/>
  <c r="F86" i="11"/>
  <c r="E92" i="11"/>
  <c r="F92" i="11"/>
  <c r="E83" i="11"/>
  <c r="F83" i="11"/>
  <c r="F91" i="11"/>
  <c r="E91" i="11"/>
  <c r="E87" i="11"/>
  <c r="F87" i="11"/>
  <c r="E90" i="11"/>
  <c r="F90" i="11"/>
  <c r="F84" i="11"/>
  <c r="E84" i="11"/>
  <c r="E85" i="11"/>
  <c r="F85" i="11"/>
  <c r="K100" i="10"/>
  <c r="L100" i="10"/>
  <c r="K98" i="10"/>
  <c r="L98" i="10"/>
  <c r="L105" i="10"/>
  <c r="K105" i="10"/>
  <c r="K103" i="10"/>
  <c r="L103" i="10"/>
  <c r="K97" i="10"/>
  <c r="L97" i="10"/>
  <c r="L104" i="10"/>
  <c r="K104" i="10"/>
  <c r="K102" i="10"/>
  <c r="L102" i="10"/>
  <c r="K99" i="10"/>
  <c r="L99" i="10"/>
  <c r="E87" i="10"/>
  <c r="F87" i="10"/>
  <c r="E88" i="10"/>
  <c r="F88" i="10"/>
  <c r="K95" i="10"/>
  <c r="L95" i="10"/>
  <c r="E104" i="10"/>
  <c r="F104" i="10"/>
  <c r="F67" i="10"/>
  <c r="E67" i="10"/>
  <c r="F90" i="10"/>
  <c r="E90" i="10"/>
  <c r="L96" i="10"/>
  <c r="K96" i="10"/>
  <c r="F97" i="10"/>
  <c r="E97" i="10"/>
  <c r="K101" i="10"/>
  <c r="L101" i="10"/>
  <c r="E100" i="10"/>
  <c r="F100" i="10"/>
  <c r="E72" i="10"/>
  <c r="F72" i="10"/>
  <c r="F91" i="10"/>
  <c r="E91" i="10"/>
  <c r="E73" i="10"/>
  <c r="F73" i="10"/>
  <c r="E85" i="10"/>
  <c r="F85" i="10"/>
  <c r="F83" i="10"/>
  <c r="E83" i="10"/>
  <c r="L118" i="10"/>
  <c r="K118" i="10"/>
  <c r="E96" i="10"/>
  <c r="F96" i="10"/>
  <c r="E109" i="10"/>
  <c r="F109" i="10"/>
  <c r="E84" i="10"/>
  <c r="F84" i="10"/>
  <c r="E89" i="10"/>
  <c r="F89" i="10"/>
  <c r="E86" i="10"/>
  <c r="F86" i="10"/>
  <c r="E92" i="10"/>
  <c r="F92" i="10"/>
  <c r="E102" i="10"/>
  <c r="F102" i="10"/>
  <c r="E95" i="10"/>
  <c r="F95" i="10"/>
  <c r="E105" i="10"/>
  <c r="F105" i="10"/>
  <c r="F101" i="10"/>
  <c r="E101" i="10"/>
  <c r="E99" i="10"/>
  <c r="F99" i="10"/>
  <c r="E103" i="10"/>
  <c r="F103" i="10"/>
  <c r="F98" i="10"/>
  <c r="E98" i="10"/>
  <c r="F75" i="10"/>
  <c r="E75" i="10"/>
  <c r="E74" i="10"/>
  <c r="F74" i="10"/>
  <c r="E68" i="10"/>
  <c r="F68" i="10"/>
  <c r="F78" i="10"/>
  <c r="E78" i="10"/>
  <c r="E69" i="10"/>
  <c r="F69" i="10"/>
  <c r="E76" i="10"/>
  <c r="F76" i="10"/>
  <c r="E71" i="10"/>
  <c r="F71" i="10"/>
  <c r="E66" i="10"/>
  <c r="F66" i="10"/>
  <c r="E77" i="10"/>
  <c r="F77" i="10"/>
  <c r="F70" i="10"/>
  <c r="E70" i="10"/>
  <c r="L113" i="10"/>
  <c r="K113" i="10"/>
  <c r="L115" i="10"/>
  <c r="K115" i="10"/>
  <c r="K119" i="10"/>
  <c r="L119" i="10"/>
  <c r="L117" i="10"/>
  <c r="K117" i="10"/>
  <c r="L116" i="10"/>
  <c r="K116" i="10"/>
  <c r="L109" i="10"/>
  <c r="K109" i="10"/>
  <c r="L114" i="10"/>
  <c r="K114" i="10"/>
  <c r="K111" i="10"/>
  <c r="L111" i="10"/>
  <c r="K112" i="10"/>
  <c r="L112" i="10"/>
  <c r="L110" i="10"/>
  <c r="K110" i="10"/>
  <c r="F111" i="10"/>
  <c r="E111" i="10"/>
  <c r="E110" i="10"/>
  <c r="F110" i="10"/>
  <c r="E114" i="10"/>
  <c r="F114" i="10"/>
  <c r="E113" i="10"/>
  <c r="F113" i="10"/>
  <c r="E115" i="10"/>
  <c r="F115" i="10"/>
  <c r="E112" i="10"/>
  <c r="F112" i="10"/>
  <c r="E117" i="10"/>
  <c r="F117" i="10"/>
  <c r="F116" i="10"/>
  <c r="E116" i="10"/>
  <c r="E118" i="10"/>
  <c r="F118" i="10"/>
  <c r="Y8" i="10" l="1"/>
  <c r="Z17" i="10"/>
  <c r="U8" i="10"/>
  <c r="S17" i="10"/>
  <c r="T8" i="10"/>
  <c r="Y14" i="10"/>
  <c r="U17" i="10"/>
  <c r="T12" i="10"/>
  <c r="T13" i="10"/>
  <c r="Z44" i="10"/>
  <c r="X26" i="10"/>
  <c r="AA39" i="11"/>
  <c r="Y13" i="10"/>
  <c r="T7" i="10"/>
  <c r="Y7" i="10"/>
  <c r="AA45" i="10"/>
  <c r="AA36" i="10"/>
  <c r="T12" i="11"/>
  <c r="U23" i="11"/>
  <c r="Y11" i="10"/>
  <c r="AA16" i="11"/>
  <c r="X23" i="11"/>
  <c r="U12" i="10"/>
  <c r="T14" i="10"/>
  <c r="AA23" i="11"/>
  <c r="Z10" i="10"/>
  <c r="Y12" i="10"/>
  <c r="U14" i="10"/>
  <c r="Z13" i="11"/>
  <c r="Y9" i="10"/>
  <c r="T16" i="10"/>
  <c r="T21" i="10"/>
  <c r="Z30" i="10"/>
  <c r="S41" i="10"/>
  <c r="T11" i="10"/>
  <c r="Z14" i="10"/>
  <c r="U16" i="10"/>
  <c r="Z21" i="10"/>
  <c r="U41" i="10"/>
  <c r="S12" i="11"/>
  <c r="T9" i="10"/>
  <c r="Y16" i="10"/>
  <c r="AA41" i="10"/>
  <c r="T10" i="10"/>
  <c r="U10" i="10"/>
  <c r="T15" i="10"/>
  <c r="T26" i="10"/>
  <c r="Z12" i="11"/>
  <c r="Z43" i="10"/>
  <c r="U12" i="11"/>
  <c r="Y10" i="10"/>
  <c r="Y15" i="10"/>
  <c r="U26" i="10"/>
  <c r="X29" i="10"/>
  <c r="S23" i="11"/>
  <c r="AA29" i="11"/>
  <c r="U7" i="10"/>
  <c r="Z8" i="10"/>
  <c r="U11" i="10"/>
  <c r="Z12" i="10"/>
  <c r="U15" i="10"/>
  <c r="Z16" i="10"/>
  <c r="S20" i="10"/>
  <c r="U21" i="10"/>
  <c r="Z26" i="10"/>
  <c r="Z29" i="10"/>
  <c r="T32" i="10"/>
  <c r="AA37" i="10"/>
  <c r="T42" i="10"/>
  <c r="AA43" i="10"/>
  <c r="T19" i="11"/>
  <c r="AA31" i="11"/>
  <c r="X46" i="11"/>
  <c r="T20" i="10"/>
  <c r="U32" i="10"/>
  <c r="U42" i="10"/>
  <c r="AA46" i="11"/>
  <c r="Z7" i="10"/>
  <c r="Z11" i="10"/>
  <c r="Z15" i="10"/>
  <c r="U18" i="10"/>
  <c r="X20" i="10"/>
  <c r="X32" i="10"/>
  <c r="T41" i="10"/>
  <c r="Z42" i="10"/>
  <c r="AA13" i="11"/>
  <c r="X19" i="11"/>
  <c r="X18" i="10"/>
  <c r="Z20" i="10"/>
  <c r="Z32" i="10"/>
  <c r="AA42" i="10"/>
  <c r="U19" i="11"/>
  <c r="U9" i="10"/>
  <c r="U13" i="10"/>
  <c r="T17" i="10"/>
  <c r="AA20" i="10"/>
  <c r="Z36" i="10"/>
  <c r="Z41" i="10"/>
  <c r="AA44" i="10"/>
  <c r="Z9" i="10"/>
  <c r="Z13" i="10"/>
  <c r="Y17" i="10"/>
  <c r="U43" i="10"/>
  <c r="X35" i="10"/>
  <c r="S48" i="10"/>
  <c r="Y7" i="11"/>
  <c r="U15" i="11"/>
  <c r="U35" i="11"/>
  <c r="T39" i="10"/>
  <c r="U48" i="10"/>
  <c r="AA7" i="11"/>
  <c r="S26" i="11"/>
  <c r="AA27" i="11"/>
  <c r="X35" i="11"/>
  <c r="Z40" i="11"/>
  <c r="S43" i="11"/>
  <c r="AA7" i="10"/>
  <c r="AA8" i="10"/>
  <c r="AA9" i="10"/>
  <c r="AA10" i="10"/>
  <c r="AA11" i="10"/>
  <c r="AA12" i="10"/>
  <c r="AA13" i="10"/>
  <c r="AA14" i="10"/>
  <c r="AA15" i="10"/>
  <c r="AA16" i="10"/>
  <c r="AA17" i="10"/>
  <c r="Y19" i="10"/>
  <c r="U22" i="10"/>
  <c r="T24" i="10"/>
  <c r="X28" i="10"/>
  <c r="S30" i="10"/>
  <c r="Z31" i="10"/>
  <c r="U34" i="10"/>
  <c r="S37" i="10"/>
  <c r="T38" i="10"/>
  <c r="U39" i="10"/>
  <c r="Z40" i="10"/>
  <c r="S45" i="10"/>
  <c r="T46" i="10"/>
  <c r="U47" i="10"/>
  <c r="Z48" i="10"/>
  <c r="T14" i="11"/>
  <c r="AA15" i="11"/>
  <c r="T20" i="11"/>
  <c r="T26" i="11"/>
  <c r="AA35" i="11"/>
  <c r="AA40" i="11"/>
  <c r="U43" i="11"/>
  <c r="S40" i="10"/>
  <c r="Z44" i="11"/>
  <c r="S34" i="10"/>
  <c r="Z7" i="11"/>
  <c r="T47" i="10"/>
  <c r="Z15" i="11"/>
  <c r="X22" i="10"/>
  <c r="U24" i="10"/>
  <c r="X27" i="10"/>
  <c r="Z28" i="10"/>
  <c r="T30" i="10"/>
  <c r="X34" i="10"/>
  <c r="S36" i="10"/>
  <c r="T37" i="10"/>
  <c r="U38" i="10"/>
  <c r="Z39" i="10"/>
  <c r="AA40" i="10"/>
  <c r="S44" i="10"/>
  <c r="T45" i="10"/>
  <c r="U46" i="10"/>
  <c r="Z47" i="10"/>
  <c r="AA48" i="10"/>
  <c r="S13" i="11"/>
  <c r="U14" i="11"/>
  <c r="X20" i="11"/>
  <c r="Z24" i="11"/>
  <c r="U26" i="11"/>
  <c r="S31" i="11"/>
  <c r="S39" i="11"/>
  <c r="X43" i="11"/>
  <c r="S35" i="11"/>
  <c r="Z35" i="10"/>
  <c r="T48" i="10"/>
  <c r="AA21" i="11"/>
  <c r="X27" i="11"/>
  <c r="Z25" i="10"/>
  <c r="X31" i="10"/>
  <c r="T34" i="10"/>
  <c r="S46" i="10"/>
  <c r="S21" i="10"/>
  <c r="X24" i="10"/>
  <c r="S26" i="10"/>
  <c r="Z27" i="10"/>
  <c r="U30" i="10"/>
  <c r="X33" i="10"/>
  <c r="Z34" i="10"/>
  <c r="T36" i="10"/>
  <c r="U37" i="10"/>
  <c r="Z38" i="10"/>
  <c r="AA39" i="10"/>
  <c r="S43" i="10"/>
  <c r="T44" i="10"/>
  <c r="U45" i="10"/>
  <c r="Z46" i="10"/>
  <c r="AA47" i="10"/>
  <c r="AA8" i="11"/>
  <c r="T13" i="11"/>
  <c r="Z14" i="11"/>
  <c r="S19" i="11"/>
  <c r="Z20" i="11"/>
  <c r="AA24" i="11"/>
  <c r="X26" i="11"/>
  <c r="U31" i="11"/>
  <c r="U39" i="11"/>
  <c r="AA43" i="11"/>
  <c r="T46" i="11"/>
  <c r="S28" i="10"/>
  <c r="U27" i="11"/>
  <c r="X25" i="10"/>
  <c r="T28" i="10"/>
  <c r="S39" i="10"/>
  <c r="T40" i="10"/>
  <c r="S47" i="10"/>
  <c r="S24" i="10"/>
  <c r="U28" i="10"/>
  <c r="S38" i="10"/>
  <c r="U40" i="10"/>
  <c r="S7" i="10"/>
  <c r="S8" i="10"/>
  <c r="S9" i="10"/>
  <c r="S10" i="10"/>
  <c r="S11" i="10"/>
  <c r="S12" i="10"/>
  <c r="S13" i="10"/>
  <c r="S14" i="10"/>
  <c r="S15" i="10"/>
  <c r="S16" i="10"/>
  <c r="Z24" i="10"/>
  <c r="X30" i="10"/>
  <c r="S32" i="10"/>
  <c r="Z33" i="10"/>
  <c r="Z37" i="10"/>
  <c r="AA38" i="10"/>
  <c r="S42" i="10"/>
  <c r="T43" i="10"/>
  <c r="U44" i="10"/>
  <c r="Z45" i="10"/>
  <c r="AA46" i="10"/>
  <c r="U13" i="11"/>
  <c r="AA14" i="11"/>
  <c r="X31" i="11"/>
  <c r="X39" i="11"/>
  <c r="Q19" i="10"/>
  <c r="Q23" i="10"/>
  <c r="Q22" i="10"/>
  <c r="Q7" i="10"/>
  <c r="Q11" i="10"/>
  <c r="Q14" i="10"/>
  <c r="Q21" i="10"/>
  <c r="Q18" i="10"/>
  <c r="Q25" i="10"/>
  <c r="Q27" i="10"/>
  <c r="Q10" i="10"/>
  <c r="Q15" i="10"/>
  <c r="Q33" i="10"/>
  <c r="Q35" i="10"/>
  <c r="Q8" i="10"/>
  <c r="Q12" i="10"/>
  <c r="Q16" i="10"/>
  <c r="Q20" i="10"/>
  <c r="Q24" i="10"/>
  <c r="Q26" i="10"/>
  <c r="Q28" i="10"/>
  <c r="Q30" i="10"/>
  <c r="Q32" i="10"/>
  <c r="Q34" i="10"/>
  <c r="Q36" i="10"/>
  <c r="Q29" i="10"/>
  <c r="Q31" i="10"/>
  <c r="Q9" i="10"/>
  <c r="Q13" i="10"/>
  <c r="Q17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AA19" i="10"/>
  <c r="Z19" i="10"/>
  <c r="U19" i="10"/>
  <c r="T19" i="10"/>
  <c r="S19" i="10"/>
  <c r="U23" i="10"/>
  <c r="AA23" i="10"/>
  <c r="T23" i="10"/>
  <c r="Z23" i="10"/>
  <c r="S23" i="10"/>
  <c r="X23" i="10"/>
  <c r="AA27" i="10"/>
  <c r="AA29" i="10"/>
  <c r="AA31" i="10"/>
  <c r="AA33" i="10"/>
  <c r="AA35" i="10"/>
  <c r="Z18" i="10"/>
  <c r="U20" i="10"/>
  <c r="X21" i="10"/>
  <c r="Z22" i="10"/>
  <c r="AA25" i="10"/>
  <c r="AA18" i="10"/>
  <c r="Y21" i="10"/>
  <c r="AA22" i="10"/>
  <c r="S25" i="10"/>
  <c r="S27" i="10"/>
  <c r="S29" i="10"/>
  <c r="S31" i="10"/>
  <c r="S33" i="10"/>
  <c r="S35" i="10"/>
  <c r="S18" i="10"/>
  <c r="S22" i="10"/>
  <c r="T25" i="10"/>
  <c r="T27" i="10"/>
  <c r="T29" i="10"/>
  <c r="T31" i="10"/>
  <c r="T33" i="10"/>
  <c r="T35" i="10"/>
  <c r="Y18" i="10"/>
  <c r="Y22" i="10"/>
  <c r="AA24" i="10"/>
  <c r="U25" i="10"/>
  <c r="AA26" i="10"/>
  <c r="U27" i="10"/>
  <c r="AA28" i="10"/>
  <c r="U29" i="10"/>
  <c r="AA30" i="10"/>
  <c r="U31" i="10"/>
  <c r="AA32" i="10"/>
  <c r="U33" i="10"/>
  <c r="AA34" i="10"/>
  <c r="U35" i="10"/>
  <c r="X36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T10" i="11"/>
  <c r="Z8" i="11"/>
  <c r="AA9" i="11"/>
  <c r="Z16" i="11"/>
  <c r="AA17" i="11"/>
  <c r="X40" i="11"/>
  <c r="AA41" i="11"/>
  <c r="X44" i="11"/>
  <c r="U47" i="11"/>
  <c r="S10" i="11"/>
  <c r="S38" i="11"/>
  <c r="S42" i="11"/>
  <c r="U11" i="11"/>
  <c r="S17" i="11"/>
  <c r="T18" i="11"/>
  <c r="T34" i="11"/>
  <c r="T38" i="11"/>
  <c r="T42" i="11"/>
  <c r="T45" i="11"/>
  <c r="S8" i="11"/>
  <c r="T9" i="11"/>
  <c r="U10" i="11"/>
  <c r="Z11" i="11"/>
  <c r="AA12" i="11"/>
  <c r="S16" i="11"/>
  <c r="T17" i="11"/>
  <c r="U18" i="11"/>
  <c r="AA19" i="11"/>
  <c r="U22" i="11"/>
  <c r="Z25" i="11"/>
  <c r="U30" i="11"/>
  <c r="U34" i="11"/>
  <c r="U38" i="11"/>
  <c r="S41" i="11"/>
  <c r="U42" i="11"/>
  <c r="X48" i="11"/>
  <c r="S11" i="11"/>
  <c r="S22" i="11"/>
  <c r="S30" i="11"/>
  <c r="S34" i="11"/>
  <c r="S9" i="11"/>
  <c r="T22" i="11"/>
  <c r="T30" i="11"/>
  <c r="T48" i="11"/>
  <c r="S7" i="11"/>
  <c r="T8" i="11"/>
  <c r="U9" i="11"/>
  <c r="Z10" i="11"/>
  <c r="AA11" i="11"/>
  <c r="S15" i="11"/>
  <c r="T16" i="11"/>
  <c r="U17" i="11"/>
  <c r="X18" i="11"/>
  <c r="S21" i="11"/>
  <c r="X22" i="11"/>
  <c r="AA25" i="11"/>
  <c r="X30" i="11"/>
  <c r="X34" i="11"/>
  <c r="X38" i="11"/>
  <c r="T41" i="11"/>
  <c r="X42" i="11"/>
  <c r="S47" i="11"/>
  <c r="AA48" i="11"/>
  <c r="T11" i="11"/>
  <c r="S18" i="11"/>
  <c r="T7" i="11"/>
  <c r="U8" i="11"/>
  <c r="Z9" i="11"/>
  <c r="AA10" i="11"/>
  <c r="S14" i="11"/>
  <c r="T15" i="11"/>
  <c r="U16" i="11"/>
  <c r="Z17" i="11"/>
  <c r="S27" i="11"/>
  <c r="T44" i="11"/>
  <c r="Q9" i="11"/>
  <c r="Q12" i="11"/>
  <c r="Q20" i="11"/>
  <c r="Q30" i="11"/>
  <c r="Q39" i="11"/>
  <c r="Q15" i="11"/>
  <c r="Q26" i="11"/>
  <c r="Q35" i="11"/>
  <c r="Q32" i="11"/>
  <c r="Q38" i="11"/>
  <c r="Q17" i="11"/>
  <c r="Q24" i="11"/>
  <c r="Q34" i="11"/>
  <c r="Q10" i="11"/>
  <c r="Q18" i="11"/>
  <c r="Q31" i="11"/>
  <c r="Q44" i="11"/>
  <c r="Q27" i="11"/>
  <c r="Q40" i="11"/>
  <c r="Q46" i="11"/>
  <c r="Q11" i="11"/>
  <c r="Q42" i="11"/>
  <c r="Q14" i="11"/>
  <c r="Q28" i="11"/>
  <c r="Q43" i="11"/>
  <c r="Q22" i="11"/>
  <c r="Q13" i="11"/>
  <c r="Q16" i="11"/>
  <c r="Q19" i="11"/>
  <c r="Q23" i="11"/>
  <c r="Q36" i="11"/>
  <c r="Q48" i="11"/>
  <c r="Q21" i="11"/>
  <c r="Q25" i="11"/>
  <c r="Q29" i="11"/>
  <c r="Q33" i="11"/>
  <c r="Q37" i="11"/>
  <c r="Q41" i="11"/>
  <c r="Q45" i="11"/>
  <c r="Q47" i="11"/>
  <c r="Q7" i="11"/>
  <c r="Q8" i="11"/>
  <c r="Y36" i="11"/>
  <c r="U36" i="11"/>
  <c r="S36" i="11"/>
  <c r="Y28" i="11"/>
  <c r="U28" i="11"/>
  <c r="S28" i="11"/>
  <c r="T36" i="11"/>
  <c r="Y24" i="11"/>
  <c r="U24" i="11"/>
  <c r="S24" i="11"/>
  <c r="Y25" i="11"/>
  <c r="X25" i="11"/>
  <c r="U25" i="11"/>
  <c r="T32" i="11"/>
  <c r="S33" i="11"/>
  <c r="Y20" i="11"/>
  <c r="U20" i="11"/>
  <c r="S20" i="11"/>
  <c r="Y21" i="11"/>
  <c r="X21" i="11"/>
  <c r="U21" i="11"/>
  <c r="T28" i="11"/>
  <c r="X36" i="11"/>
  <c r="Y37" i="11"/>
  <c r="X37" i="11"/>
  <c r="U37" i="11"/>
  <c r="Y33" i="11"/>
  <c r="X33" i="11"/>
  <c r="U33" i="11"/>
  <c r="Y29" i="11"/>
  <c r="X29" i="11"/>
  <c r="U29" i="11"/>
  <c r="S37" i="11"/>
  <c r="T29" i="11"/>
  <c r="Z36" i="11"/>
  <c r="Z37" i="11"/>
  <c r="T25" i="11"/>
  <c r="X28" i="11"/>
  <c r="Z33" i="11"/>
  <c r="AA36" i="11"/>
  <c r="AA37" i="11"/>
  <c r="Y44" i="11"/>
  <c r="U44" i="11"/>
  <c r="S44" i="11"/>
  <c r="Z45" i="11"/>
  <c r="Y45" i="11"/>
  <c r="AA45" i="11"/>
  <c r="X45" i="11"/>
  <c r="Y32" i="11"/>
  <c r="U32" i="11"/>
  <c r="S32" i="11"/>
  <c r="X32" i="11"/>
  <c r="T21" i="11"/>
  <c r="X24" i="11"/>
  <c r="Z28" i="11"/>
  <c r="Z29" i="11"/>
  <c r="AA32" i="11"/>
  <c r="AA33" i="11"/>
  <c r="Y40" i="11"/>
  <c r="U40" i="11"/>
  <c r="S40" i="11"/>
  <c r="Y41" i="11"/>
  <c r="X41" i="11"/>
  <c r="U41" i="11"/>
  <c r="S45" i="11"/>
  <c r="Z47" i="11"/>
  <c r="Y47" i="11"/>
  <c r="AA47" i="11"/>
  <c r="X47" i="11"/>
  <c r="U7" i="11"/>
  <c r="Z19" i="11"/>
  <c r="Z23" i="11"/>
  <c r="Z27" i="11"/>
  <c r="Z31" i="11"/>
  <c r="Z35" i="11"/>
  <c r="Z39" i="11"/>
  <c r="Z43" i="11"/>
  <c r="Z46" i="11"/>
  <c r="Y46" i="11"/>
  <c r="Z48" i="11"/>
  <c r="Y48" i="11"/>
  <c r="X8" i="11"/>
  <c r="X9" i="11"/>
  <c r="X10" i="11"/>
  <c r="X11" i="11"/>
  <c r="X12" i="11"/>
  <c r="X13" i="11"/>
  <c r="X14" i="11"/>
  <c r="X15" i="11"/>
  <c r="X16" i="11"/>
  <c r="X17" i="11"/>
  <c r="Z18" i="11"/>
  <c r="Z22" i="11"/>
  <c r="Z26" i="11"/>
  <c r="Z30" i="11"/>
  <c r="Z34" i="11"/>
  <c r="Z38" i="11"/>
  <c r="Z42" i="11"/>
  <c r="AA18" i="11"/>
  <c r="AA22" i="11"/>
  <c r="T23" i="11"/>
  <c r="AA26" i="11"/>
  <c r="T27" i="11"/>
  <c r="AA30" i="11"/>
  <c r="T31" i="11"/>
  <c r="AA34" i="11"/>
  <c r="T35" i="11"/>
  <c r="AA38" i="11"/>
  <c r="T39" i="11"/>
  <c r="AA42" i="11"/>
  <c r="T43" i="11"/>
  <c r="U46" i="11"/>
  <c r="U48" i="11"/>
  <c r="AC48" i="9"/>
  <c r="Q48" i="9"/>
  <c r="P48" i="9"/>
  <c r="AC47" i="9"/>
  <c r="Q47" i="9"/>
  <c r="P47" i="9"/>
  <c r="AC46" i="9"/>
  <c r="Q46" i="9"/>
  <c r="P46" i="9"/>
  <c r="X46" i="9" s="1"/>
  <c r="AC45" i="9"/>
  <c r="Q45" i="9"/>
  <c r="P45" i="9"/>
  <c r="U45" i="9" s="1"/>
  <c r="AC44" i="9"/>
  <c r="Q44" i="9"/>
  <c r="P44" i="9"/>
  <c r="S44" i="9" s="1"/>
  <c r="AC43" i="9"/>
  <c r="Q43" i="9"/>
  <c r="P43" i="9"/>
  <c r="T43" i="9" s="1"/>
  <c r="AC42" i="9"/>
  <c r="Q42" i="9"/>
  <c r="P42" i="9"/>
  <c r="X42" i="9" s="1"/>
  <c r="AC41" i="9"/>
  <c r="Q41" i="9"/>
  <c r="P41" i="9"/>
  <c r="X41" i="9" s="1"/>
  <c r="AC40" i="9"/>
  <c r="Q40" i="9"/>
  <c r="P40" i="9"/>
  <c r="X40" i="9" s="1"/>
  <c r="AC39" i="9"/>
  <c r="Q39" i="9"/>
  <c r="P39" i="9"/>
  <c r="T39" i="9" s="1"/>
  <c r="AC38" i="9"/>
  <c r="Q38" i="9"/>
  <c r="P38" i="9"/>
  <c r="Z38" i="9" s="1"/>
  <c r="AC37" i="9"/>
  <c r="Q37" i="9"/>
  <c r="P37" i="9"/>
  <c r="AC36" i="9"/>
  <c r="Q36" i="9"/>
  <c r="P36" i="9"/>
  <c r="AC35" i="9"/>
  <c r="Q35" i="9"/>
  <c r="P35" i="9"/>
  <c r="Z35" i="9" s="1"/>
  <c r="AC34" i="9"/>
  <c r="Q34" i="9"/>
  <c r="P34" i="9"/>
  <c r="Z34" i="9" s="1"/>
  <c r="AC33" i="9"/>
  <c r="Q33" i="9"/>
  <c r="P33" i="9"/>
  <c r="AC32" i="9"/>
  <c r="Q32" i="9"/>
  <c r="P32" i="9"/>
  <c r="X32" i="9" s="1"/>
  <c r="AC31" i="9"/>
  <c r="Q31" i="9"/>
  <c r="P31" i="9"/>
  <c r="Z31" i="9" s="1"/>
  <c r="AC30" i="9"/>
  <c r="Q30" i="9"/>
  <c r="P30" i="9"/>
  <c r="AC29" i="9"/>
  <c r="Q29" i="9"/>
  <c r="P29" i="9"/>
  <c r="AC28" i="9"/>
  <c r="Q28" i="9"/>
  <c r="P28" i="9"/>
  <c r="AA28" i="9" s="1"/>
  <c r="AC27" i="9"/>
  <c r="Q27" i="9"/>
  <c r="P27" i="9"/>
  <c r="Z27" i="9" s="1"/>
  <c r="AC26" i="9"/>
  <c r="Q26" i="9"/>
  <c r="P26" i="9"/>
  <c r="Z26" i="9" s="1"/>
  <c r="AC25" i="9"/>
  <c r="Q25" i="9"/>
  <c r="P25" i="9"/>
  <c r="AC24" i="9"/>
  <c r="Q24" i="9"/>
  <c r="P24" i="9"/>
  <c r="S24" i="9" s="1"/>
  <c r="AC23" i="9"/>
  <c r="Q23" i="9"/>
  <c r="P23" i="9"/>
  <c r="Z23" i="9" s="1"/>
  <c r="AC22" i="9"/>
  <c r="Q22" i="9"/>
  <c r="P22" i="9"/>
  <c r="Z22" i="9" s="1"/>
  <c r="AC21" i="9"/>
  <c r="Q21" i="9"/>
  <c r="P21" i="9"/>
  <c r="X21" i="9" s="1"/>
  <c r="AC20" i="9"/>
  <c r="Q20" i="9"/>
  <c r="P20" i="9"/>
  <c r="Y20" i="9" s="1"/>
  <c r="AC19" i="9"/>
  <c r="Q19" i="9"/>
  <c r="P19" i="9"/>
  <c r="Z19" i="9" s="1"/>
  <c r="AC18" i="9"/>
  <c r="Q18" i="9"/>
  <c r="P18" i="9"/>
  <c r="AC17" i="9"/>
  <c r="Q17" i="9"/>
  <c r="P17" i="9"/>
  <c r="U17" i="9" s="1"/>
  <c r="AC16" i="9"/>
  <c r="Q16" i="9"/>
  <c r="P16" i="9"/>
  <c r="Y16" i="9" s="1"/>
  <c r="AC15" i="9"/>
  <c r="Q15" i="9"/>
  <c r="P15" i="9"/>
  <c r="T15" i="9" s="1"/>
  <c r="AC14" i="9"/>
  <c r="Q14" i="9"/>
  <c r="P14" i="9"/>
  <c r="X14" i="9" s="1"/>
  <c r="AC13" i="9"/>
  <c r="Q13" i="9"/>
  <c r="P13" i="9"/>
  <c r="T13" i="9" s="1"/>
  <c r="AC12" i="9"/>
  <c r="Q12" i="9"/>
  <c r="P12" i="9"/>
  <c r="S12" i="9" s="1"/>
  <c r="AC11" i="9"/>
  <c r="Q11" i="9"/>
  <c r="P11" i="9"/>
  <c r="T11" i="9" s="1"/>
  <c r="AC10" i="9"/>
  <c r="Q10" i="9"/>
  <c r="P10" i="9"/>
  <c r="AC9" i="9"/>
  <c r="Q9" i="9"/>
  <c r="P9" i="9"/>
  <c r="Y9" i="9" s="1"/>
  <c r="AC8" i="9"/>
  <c r="Q8" i="9"/>
  <c r="P8" i="9"/>
  <c r="Y8" i="9" s="1"/>
  <c r="AC7" i="9"/>
  <c r="Q7" i="9"/>
  <c r="P7" i="9"/>
  <c r="B3" i="9"/>
  <c r="AC48" i="8"/>
  <c r="Q48" i="8"/>
  <c r="P48" i="8"/>
  <c r="X48" i="8" s="1"/>
  <c r="AC47" i="8"/>
  <c r="Q47" i="8"/>
  <c r="P47" i="8"/>
  <c r="Z47" i="8" s="1"/>
  <c r="AC46" i="8"/>
  <c r="Q46" i="8"/>
  <c r="P46" i="8"/>
  <c r="AC45" i="8"/>
  <c r="Q45" i="8"/>
  <c r="P45" i="8"/>
  <c r="Y45" i="8" s="1"/>
  <c r="AC44" i="8"/>
  <c r="Q44" i="8"/>
  <c r="P44" i="8"/>
  <c r="U44" i="8" s="1"/>
  <c r="AC43" i="8"/>
  <c r="Q43" i="8"/>
  <c r="P43" i="8"/>
  <c r="AC42" i="8"/>
  <c r="Q42" i="8"/>
  <c r="P42" i="8"/>
  <c r="U42" i="8" s="1"/>
  <c r="AC41" i="8"/>
  <c r="Q41" i="8"/>
  <c r="P41" i="8"/>
  <c r="Y41" i="8" s="1"/>
  <c r="AC40" i="8"/>
  <c r="Q40" i="8"/>
  <c r="P40" i="8"/>
  <c r="U40" i="8" s="1"/>
  <c r="AC39" i="8"/>
  <c r="Q39" i="8"/>
  <c r="P39" i="8"/>
  <c r="Z39" i="8" s="1"/>
  <c r="AC38" i="8"/>
  <c r="Q38" i="8"/>
  <c r="P38" i="8"/>
  <c r="U38" i="8" s="1"/>
  <c r="AC37" i="8"/>
  <c r="Q37" i="8"/>
  <c r="P37" i="8"/>
  <c r="AC36" i="8"/>
  <c r="Q36" i="8"/>
  <c r="P36" i="8"/>
  <c r="U36" i="8" s="1"/>
  <c r="AC35" i="8"/>
  <c r="Q35" i="8"/>
  <c r="P35" i="8"/>
  <c r="Z35" i="8" s="1"/>
  <c r="AC34" i="8"/>
  <c r="Q34" i="8"/>
  <c r="P34" i="8"/>
  <c r="X34" i="8" s="1"/>
  <c r="AC33" i="8"/>
  <c r="Q33" i="8"/>
  <c r="P33" i="8"/>
  <c r="AC32" i="8"/>
  <c r="Q32" i="8"/>
  <c r="P32" i="8"/>
  <c r="U32" i="8" s="1"/>
  <c r="AC31" i="8"/>
  <c r="Q31" i="8"/>
  <c r="P31" i="8"/>
  <c r="T31" i="8" s="1"/>
  <c r="AC30" i="8"/>
  <c r="Q30" i="8"/>
  <c r="P30" i="8"/>
  <c r="Z30" i="8" s="1"/>
  <c r="AC29" i="8"/>
  <c r="Q29" i="8"/>
  <c r="P29" i="8"/>
  <c r="AA29" i="8" s="1"/>
  <c r="AC28" i="8"/>
  <c r="Q28" i="8"/>
  <c r="P28" i="8"/>
  <c r="AC27" i="8"/>
  <c r="Q27" i="8"/>
  <c r="P27" i="8"/>
  <c r="T27" i="8" s="1"/>
  <c r="AC26" i="8"/>
  <c r="Q26" i="8"/>
  <c r="P26" i="8"/>
  <c r="Z26" i="8" s="1"/>
  <c r="AC25" i="8"/>
  <c r="Q25" i="8"/>
  <c r="P25" i="8"/>
  <c r="X25" i="8" s="1"/>
  <c r="AC24" i="8"/>
  <c r="Q24" i="8"/>
  <c r="P24" i="8"/>
  <c r="S24" i="8" s="1"/>
  <c r="AC23" i="8"/>
  <c r="Q23" i="8"/>
  <c r="P23" i="8"/>
  <c r="Y23" i="8" s="1"/>
  <c r="AC22" i="8"/>
  <c r="Q22" i="8"/>
  <c r="P22" i="8"/>
  <c r="AC21" i="8"/>
  <c r="Q21" i="8"/>
  <c r="P21" i="8"/>
  <c r="Y21" i="8" s="1"/>
  <c r="AC20" i="8"/>
  <c r="Q20" i="8"/>
  <c r="P20" i="8"/>
  <c r="AC19" i="8"/>
  <c r="Q19" i="8"/>
  <c r="P19" i="8"/>
  <c r="Y19" i="8" s="1"/>
  <c r="AC18" i="8"/>
  <c r="Q18" i="8"/>
  <c r="P18" i="8"/>
  <c r="AC17" i="8"/>
  <c r="Q17" i="8"/>
  <c r="P17" i="8"/>
  <c r="Y17" i="8" s="1"/>
  <c r="AC16" i="8"/>
  <c r="Q16" i="8"/>
  <c r="P16" i="8"/>
  <c r="AC15" i="8"/>
  <c r="Q15" i="8"/>
  <c r="P15" i="8"/>
  <c r="T15" i="8" s="1"/>
  <c r="AC14" i="8"/>
  <c r="Q14" i="8"/>
  <c r="P14" i="8"/>
  <c r="Y14" i="8" s="1"/>
  <c r="AC13" i="8"/>
  <c r="Q13" i="8"/>
  <c r="P13" i="8"/>
  <c r="AA13" i="8" s="1"/>
  <c r="AC12" i="8"/>
  <c r="Q12" i="8"/>
  <c r="P12" i="8"/>
  <c r="X12" i="8" s="1"/>
  <c r="AC11" i="8"/>
  <c r="Q11" i="8"/>
  <c r="P11" i="8"/>
  <c r="AA11" i="8" s="1"/>
  <c r="AC10" i="8"/>
  <c r="Q10" i="8"/>
  <c r="P10" i="8"/>
  <c r="Y10" i="8" s="1"/>
  <c r="AC9" i="8"/>
  <c r="Q9" i="8"/>
  <c r="P9" i="8"/>
  <c r="AA9" i="8" s="1"/>
  <c r="AC8" i="8"/>
  <c r="Q8" i="8"/>
  <c r="P8" i="8"/>
  <c r="AC7" i="8"/>
  <c r="Q7" i="8"/>
  <c r="P7" i="8"/>
  <c r="AA7" i="8" s="1"/>
  <c r="B3" i="8"/>
  <c r="AC48" i="7"/>
  <c r="Q48" i="7"/>
  <c r="P48" i="7"/>
  <c r="Z48" i="7" s="1"/>
  <c r="AC47" i="7"/>
  <c r="Q47" i="7"/>
  <c r="P47" i="7"/>
  <c r="AC46" i="7"/>
  <c r="Q46" i="7"/>
  <c r="P46" i="7"/>
  <c r="AA46" i="7" s="1"/>
  <c r="AC45" i="7"/>
  <c r="Q45" i="7"/>
  <c r="P45" i="7"/>
  <c r="AA45" i="7" s="1"/>
  <c r="AC44" i="7"/>
  <c r="Q44" i="7"/>
  <c r="P44" i="7"/>
  <c r="Y44" i="7" s="1"/>
  <c r="AC43" i="7"/>
  <c r="Q43" i="7"/>
  <c r="P43" i="7"/>
  <c r="X43" i="7" s="1"/>
  <c r="AC42" i="7"/>
  <c r="Q42" i="7"/>
  <c r="P42" i="7"/>
  <c r="AA42" i="7" s="1"/>
  <c r="AC41" i="7"/>
  <c r="Q41" i="7"/>
  <c r="P41" i="7"/>
  <c r="Z41" i="7" s="1"/>
  <c r="AC40" i="7"/>
  <c r="Q40" i="7"/>
  <c r="P40" i="7"/>
  <c r="AC39" i="7"/>
  <c r="Q39" i="7"/>
  <c r="P39" i="7"/>
  <c r="AC38" i="7"/>
  <c r="Q38" i="7"/>
  <c r="P38" i="7"/>
  <c r="AA38" i="7" s="1"/>
  <c r="AC37" i="7"/>
  <c r="Q37" i="7"/>
  <c r="P37" i="7"/>
  <c r="Z37" i="7" s="1"/>
  <c r="AC36" i="7"/>
  <c r="Q36" i="7"/>
  <c r="P36" i="7"/>
  <c r="AC35" i="7"/>
  <c r="Q35" i="7"/>
  <c r="P35" i="7"/>
  <c r="T35" i="7" s="1"/>
  <c r="AC34" i="7"/>
  <c r="Q34" i="7"/>
  <c r="P34" i="7"/>
  <c r="AA34" i="7" s="1"/>
  <c r="AC33" i="7"/>
  <c r="Q33" i="7"/>
  <c r="P33" i="7"/>
  <c r="Z33" i="7" s="1"/>
  <c r="AC32" i="7"/>
  <c r="Q32" i="7"/>
  <c r="P32" i="7"/>
  <c r="Z32" i="7" s="1"/>
  <c r="AC31" i="7"/>
  <c r="Q31" i="7"/>
  <c r="P31" i="7"/>
  <c r="T31" i="7" s="1"/>
  <c r="AC30" i="7"/>
  <c r="Q30" i="7"/>
  <c r="P30" i="7"/>
  <c r="AA30" i="7" s="1"/>
  <c r="AC29" i="7"/>
  <c r="Q29" i="7"/>
  <c r="P29" i="7"/>
  <c r="AA29" i="7" s="1"/>
  <c r="AC28" i="7"/>
  <c r="Q28" i="7"/>
  <c r="P28" i="7"/>
  <c r="Z28" i="7" s="1"/>
  <c r="AC27" i="7"/>
  <c r="Q27" i="7"/>
  <c r="P27" i="7"/>
  <c r="T27" i="7" s="1"/>
  <c r="AC26" i="7"/>
  <c r="Q26" i="7"/>
  <c r="P26" i="7"/>
  <c r="AA26" i="7" s="1"/>
  <c r="AC25" i="7"/>
  <c r="Q25" i="7"/>
  <c r="P25" i="7"/>
  <c r="AC24" i="7"/>
  <c r="Q24" i="7"/>
  <c r="P24" i="7"/>
  <c r="Y24" i="7" s="1"/>
  <c r="AC23" i="7"/>
  <c r="Q23" i="7"/>
  <c r="P23" i="7"/>
  <c r="T23" i="7" s="1"/>
  <c r="AC22" i="7"/>
  <c r="Q22" i="7"/>
  <c r="P22" i="7"/>
  <c r="AC21" i="7"/>
  <c r="Q21" i="7"/>
  <c r="P21" i="7"/>
  <c r="AA21" i="7" s="1"/>
  <c r="AC20" i="7"/>
  <c r="Q20" i="7"/>
  <c r="P20" i="7"/>
  <c r="Y20" i="7" s="1"/>
  <c r="AC19" i="7"/>
  <c r="Q19" i="7"/>
  <c r="P19" i="7"/>
  <c r="T19" i="7" s="1"/>
  <c r="AC18" i="7"/>
  <c r="Q18" i="7"/>
  <c r="P18" i="7"/>
  <c r="AA18" i="7" s="1"/>
  <c r="AC17" i="7"/>
  <c r="Q17" i="7"/>
  <c r="P17" i="7"/>
  <c r="AC16" i="7"/>
  <c r="Q16" i="7"/>
  <c r="P16" i="7"/>
  <c r="Y16" i="7" s="1"/>
  <c r="AC15" i="7"/>
  <c r="Q15" i="7"/>
  <c r="P15" i="7"/>
  <c r="X15" i="7" s="1"/>
  <c r="AC14" i="7"/>
  <c r="Q14" i="7"/>
  <c r="P14" i="7"/>
  <c r="AC13" i="7"/>
  <c r="Q13" i="7"/>
  <c r="P13" i="7"/>
  <c r="T13" i="7" s="1"/>
  <c r="AC12" i="7"/>
  <c r="Q12" i="7"/>
  <c r="P12" i="7"/>
  <c r="AC11" i="7"/>
  <c r="Q11" i="7"/>
  <c r="P11" i="7"/>
  <c r="X11" i="7" s="1"/>
  <c r="AC10" i="7"/>
  <c r="Q10" i="7"/>
  <c r="P10" i="7"/>
  <c r="Z10" i="7" s="1"/>
  <c r="AC9" i="7"/>
  <c r="Q9" i="7"/>
  <c r="P9" i="7"/>
  <c r="AC8" i="7"/>
  <c r="Q8" i="7"/>
  <c r="P8" i="7"/>
  <c r="Z8" i="7" s="1"/>
  <c r="AC7" i="7"/>
  <c r="Q7" i="7"/>
  <c r="P7" i="7"/>
  <c r="Z7" i="7" s="1"/>
  <c r="B3" i="7"/>
  <c r="AC48" i="6"/>
  <c r="Q48" i="6"/>
  <c r="P48" i="6"/>
  <c r="X48" i="6" s="1"/>
  <c r="AC47" i="6"/>
  <c r="Q47" i="6"/>
  <c r="P47" i="6"/>
  <c r="X47" i="6" s="1"/>
  <c r="AC46" i="6"/>
  <c r="Q46" i="6"/>
  <c r="P46" i="6"/>
  <c r="X46" i="6" s="1"/>
  <c r="AC45" i="6"/>
  <c r="Q45" i="6"/>
  <c r="P45" i="6"/>
  <c r="AC44" i="6"/>
  <c r="Q44" i="6"/>
  <c r="P44" i="6"/>
  <c r="X44" i="6" s="1"/>
  <c r="AC43" i="6"/>
  <c r="Q43" i="6"/>
  <c r="P43" i="6"/>
  <c r="X43" i="6" s="1"/>
  <c r="AC42" i="6"/>
  <c r="Q42" i="6"/>
  <c r="P42" i="6"/>
  <c r="X42" i="6" s="1"/>
  <c r="AC41" i="6"/>
  <c r="Q41" i="6"/>
  <c r="P41" i="6"/>
  <c r="X41" i="6" s="1"/>
  <c r="AC40" i="6"/>
  <c r="Q40" i="6"/>
  <c r="P40" i="6"/>
  <c r="X40" i="6" s="1"/>
  <c r="AC39" i="6"/>
  <c r="Q39" i="6"/>
  <c r="P39" i="6"/>
  <c r="AC38" i="6"/>
  <c r="Q38" i="6"/>
  <c r="P38" i="6"/>
  <c r="X38" i="6" s="1"/>
  <c r="AC37" i="6"/>
  <c r="Q37" i="6"/>
  <c r="P37" i="6"/>
  <c r="X37" i="6" s="1"/>
  <c r="AC36" i="6"/>
  <c r="Q36" i="6"/>
  <c r="P36" i="6"/>
  <c r="X36" i="6" s="1"/>
  <c r="AC35" i="6"/>
  <c r="Q35" i="6"/>
  <c r="P35" i="6"/>
  <c r="AC34" i="6"/>
  <c r="Q34" i="6"/>
  <c r="P34" i="6"/>
  <c r="X34" i="6" s="1"/>
  <c r="AC33" i="6"/>
  <c r="Q33" i="6"/>
  <c r="P33" i="6"/>
  <c r="X33" i="6" s="1"/>
  <c r="AC32" i="6"/>
  <c r="Q32" i="6"/>
  <c r="P32" i="6"/>
  <c r="X32" i="6" s="1"/>
  <c r="AC31" i="6"/>
  <c r="Q31" i="6"/>
  <c r="P31" i="6"/>
  <c r="X31" i="6" s="1"/>
  <c r="AC30" i="6"/>
  <c r="Q30" i="6"/>
  <c r="P30" i="6"/>
  <c r="X30" i="6" s="1"/>
  <c r="AC29" i="6"/>
  <c r="Q29" i="6"/>
  <c r="P29" i="6"/>
  <c r="X29" i="6" s="1"/>
  <c r="AC28" i="6"/>
  <c r="Q28" i="6"/>
  <c r="P28" i="6"/>
  <c r="X28" i="6" s="1"/>
  <c r="AC27" i="6"/>
  <c r="Q27" i="6"/>
  <c r="P27" i="6"/>
  <c r="AC26" i="6"/>
  <c r="Q26" i="6"/>
  <c r="P26" i="6"/>
  <c r="X26" i="6" s="1"/>
  <c r="AC25" i="6"/>
  <c r="Q25" i="6"/>
  <c r="P25" i="6"/>
  <c r="X25" i="6" s="1"/>
  <c r="AC24" i="6"/>
  <c r="Q24" i="6"/>
  <c r="P24" i="6"/>
  <c r="X24" i="6" s="1"/>
  <c r="AC23" i="6"/>
  <c r="Q23" i="6"/>
  <c r="P23" i="6"/>
  <c r="X23" i="6" s="1"/>
  <c r="AC22" i="6"/>
  <c r="Q22" i="6"/>
  <c r="P22" i="6"/>
  <c r="AC21" i="6"/>
  <c r="Q21" i="6"/>
  <c r="P21" i="6"/>
  <c r="X21" i="6" s="1"/>
  <c r="AC20" i="6"/>
  <c r="Q20" i="6"/>
  <c r="P20" i="6"/>
  <c r="Z20" i="6" s="1"/>
  <c r="AC19" i="6"/>
  <c r="Q19" i="6"/>
  <c r="P19" i="6"/>
  <c r="AC18" i="6"/>
  <c r="Q18" i="6"/>
  <c r="P18" i="6"/>
  <c r="X18" i="6" s="1"/>
  <c r="AC17" i="6"/>
  <c r="Q17" i="6"/>
  <c r="P17" i="6"/>
  <c r="AC16" i="6"/>
  <c r="Q16" i="6"/>
  <c r="P16" i="6"/>
  <c r="AA16" i="6" s="1"/>
  <c r="AC15" i="6"/>
  <c r="Q15" i="6"/>
  <c r="P15" i="6"/>
  <c r="AC14" i="6"/>
  <c r="Q14" i="6"/>
  <c r="P14" i="6"/>
  <c r="AA14" i="6" s="1"/>
  <c r="AC13" i="6"/>
  <c r="Q13" i="6"/>
  <c r="P13" i="6"/>
  <c r="AA13" i="6" s="1"/>
  <c r="AC12" i="6"/>
  <c r="Q12" i="6"/>
  <c r="P12" i="6"/>
  <c r="AA12" i="6" s="1"/>
  <c r="AC11" i="6"/>
  <c r="Q11" i="6"/>
  <c r="P11" i="6"/>
  <c r="AA11" i="6" s="1"/>
  <c r="AC10" i="6"/>
  <c r="Q10" i="6"/>
  <c r="P10" i="6"/>
  <c r="AA10" i="6" s="1"/>
  <c r="AC9" i="6"/>
  <c r="Q9" i="6"/>
  <c r="P9" i="6"/>
  <c r="AA9" i="6" s="1"/>
  <c r="AC8" i="6"/>
  <c r="Q8" i="6"/>
  <c r="P8" i="6"/>
  <c r="AA8" i="6" s="1"/>
  <c r="AC7" i="6"/>
  <c r="Q7" i="6"/>
  <c r="P7" i="6"/>
  <c r="AA7" i="6" s="1"/>
  <c r="B3" i="6"/>
  <c r="R38" i="11"/>
  <c r="R9" i="10"/>
  <c r="R35" i="10"/>
  <c r="H36" i="7"/>
  <c r="H10" i="6"/>
  <c r="H18" i="8"/>
  <c r="R14" i="10"/>
  <c r="H40" i="7"/>
  <c r="H17" i="9"/>
  <c r="R33" i="10"/>
  <c r="H14" i="6"/>
  <c r="H14" i="9"/>
  <c r="B109" i="9"/>
  <c r="D118" i="9"/>
  <c r="H8" i="6"/>
  <c r="H36" i="9"/>
  <c r="R23" i="11"/>
  <c r="D111" i="9"/>
  <c r="H44" i="7"/>
  <c r="H20" i="6"/>
  <c r="H28" i="8"/>
  <c r="H35" i="7"/>
  <c r="R36" i="9"/>
  <c r="V17" i="10"/>
  <c r="H46" i="9"/>
  <c r="R28" i="11"/>
  <c r="V10" i="10"/>
  <c r="H11" i="6"/>
  <c r="H30" i="7"/>
  <c r="H45" i="7"/>
  <c r="R48" i="10"/>
  <c r="H17" i="6"/>
  <c r="B66" i="7"/>
  <c r="H17" i="8"/>
  <c r="H43" i="7"/>
  <c r="R17" i="11"/>
  <c r="B95" i="6"/>
  <c r="H19" i="6"/>
  <c r="D67" i="7"/>
  <c r="D73" i="7"/>
  <c r="D98" i="6"/>
  <c r="R47" i="11"/>
  <c r="H21" i="6"/>
  <c r="H29" i="6"/>
  <c r="H26" i="6"/>
  <c r="H31" i="7"/>
  <c r="R45" i="11"/>
  <c r="R28" i="10"/>
  <c r="W46" i="11"/>
  <c r="V43" i="10"/>
  <c r="H30" i="9"/>
  <c r="D78" i="7"/>
  <c r="H14" i="7"/>
  <c r="H109" i="6"/>
  <c r="W11" i="10"/>
  <c r="H24" i="8"/>
  <c r="R24" i="8" s="1"/>
  <c r="B83" i="6"/>
  <c r="H22" i="6"/>
  <c r="H44" i="8"/>
  <c r="H109" i="9"/>
  <c r="J112" i="9" s="1"/>
  <c r="J110" i="6"/>
  <c r="V32" i="10"/>
  <c r="R23" i="10"/>
  <c r="D76" i="7"/>
  <c r="H12" i="7"/>
  <c r="W12" i="11"/>
  <c r="D114" i="11"/>
  <c r="H46" i="6"/>
  <c r="R34" i="11"/>
  <c r="R21" i="11"/>
  <c r="R38" i="10"/>
  <c r="H27" i="7"/>
  <c r="H7" i="9"/>
  <c r="H23" i="8"/>
  <c r="W35" i="11"/>
  <c r="H45" i="6"/>
  <c r="H37" i="9"/>
  <c r="H31" i="6"/>
  <c r="H12" i="9"/>
  <c r="H28" i="7"/>
  <c r="H43" i="6"/>
  <c r="H20" i="8"/>
  <c r="D113" i="9"/>
  <c r="R36" i="11"/>
  <c r="H11" i="7"/>
  <c r="R11" i="7" s="1"/>
  <c r="H33" i="6"/>
  <c r="H46" i="8"/>
  <c r="H15" i="7"/>
  <c r="D87" i="6"/>
  <c r="H13" i="8"/>
  <c r="H15" i="8"/>
  <c r="H95" i="7"/>
  <c r="H47" i="7"/>
  <c r="D110" i="9"/>
  <c r="V41" i="11"/>
  <c r="V46" i="10"/>
  <c r="H45" i="9"/>
  <c r="H95" i="9"/>
  <c r="B109" i="8"/>
  <c r="D110" i="8" s="1"/>
  <c r="R30" i="11"/>
  <c r="H26" i="7"/>
  <c r="H20" i="7"/>
  <c r="R41" i="11"/>
  <c r="H11" i="9"/>
  <c r="J109" i="9"/>
  <c r="D68" i="7"/>
  <c r="J97" i="9"/>
  <c r="D112" i="8"/>
  <c r="D101" i="6"/>
  <c r="R37" i="11"/>
  <c r="H29" i="7"/>
  <c r="H22" i="7"/>
  <c r="H10" i="9"/>
  <c r="H16" i="7"/>
  <c r="H32" i="8"/>
  <c r="H23" i="7"/>
  <c r="J114" i="6"/>
  <c r="H26" i="9"/>
  <c r="V13" i="11"/>
  <c r="H40" i="8"/>
  <c r="V16" i="10"/>
  <c r="H24" i="7"/>
  <c r="J119" i="9"/>
  <c r="D75" i="7"/>
  <c r="R18" i="11"/>
  <c r="H9" i="9"/>
  <c r="R9" i="9" s="1"/>
  <c r="H42" i="8"/>
  <c r="H39" i="8"/>
  <c r="H15" i="9"/>
  <c r="H28" i="6"/>
  <c r="R40" i="11"/>
  <c r="J118" i="9"/>
  <c r="J116" i="9"/>
  <c r="H20" i="9"/>
  <c r="H34" i="6"/>
  <c r="D114" i="9"/>
  <c r="D77" i="7"/>
  <c r="R41" i="10"/>
  <c r="H32" i="6"/>
  <c r="H31" i="9"/>
  <c r="H21" i="9"/>
  <c r="R32" i="11"/>
  <c r="R20" i="10"/>
  <c r="R27" i="11"/>
  <c r="R22" i="11"/>
  <c r="H9" i="7"/>
  <c r="H34" i="9"/>
  <c r="H43" i="8"/>
  <c r="R43" i="8" s="1"/>
  <c r="V48" i="11"/>
  <c r="H23" i="6"/>
  <c r="H25" i="9"/>
  <c r="B109" i="6"/>
  <c r="H10" i="7"/>
  <c r="H48" i="6"/>
  <c r="H26" i="8"/>
  <c r="H109" i="8"/>
  <c r="R14" i="6"/>
  <c r="H18" i="7"/>
  <c r="H25" i="6"/>
  <c r="H38" i="8"/>
  <c r="R24" i="10"/>
  <c r="R31" i="9"/>
  <c r="H25" i="7"/>
  <c r="H22" i="9"/>
  <c r="R22" i="9" s="1"/>
  <c r="H7" i="8"/>
  <c r="H44" i="6"/>
  <c r="R31" i="11"/>
  <c r="H25" i="8"/>
  <c r="J113" i="8"/>
  <c r="H42" i="7"/>
  <c r="H30" i="6"/>
  <c r="V42" i="11"/>
  <c r="H32" i="9"/>
  <c r="J117" i="9"/>
  <c r="W11" i="11"/>
  <c r="H47" i="6"/>
  <c r="H11" i="8"/>
  <c r="H39" i="6"/>
  <c r="B83" i="7"/>
  <c r="V27" i="11"/>
  <c r="D116" i="9"/>
  <c r="D117" i="9"/>
  <c r="R7" i="10"/>
  <c r="D84" i="6"/>
  <c r="J113" i="9"/>
  <c r="D72" i="7"/>
  <c r="J96" i="9"/>
  <c r="D114" i="8"/>
  <c r="D88" i="7"/>
  <c r="D102" i="6"/>
  <c r="B109" i="7"/>
  <c r="H45" i="8"/>
  <c r="H27" i="8"/>
  <c r="H10" i="8"/>
  <c r="H39" i="9"/>
  <c r="V30" i="10"/>
  <c r="D111" i="6"/>
  <c r="H38" i="7"/>
  <c r="D112" i="9"/>
  <c r="J105" i="7"/>
  <c r="J115" i="8"/>
  <c r="J111" i="9"/>
  <c r="J103" i="9"/>
  <c r="D113" i="8"/>
  <c r="D105" i="6"/>
  <c r="H15" i="6"/>
  <c r="H18" i="6"/>
  <c r="H8" i="9"/>
  <c r="H8" i="7"/>
  <c r="H35" i="9"/>
  <c r="D117" i="7"/>
  <c r="J113" i="6"/>
  <c r="B83" i="9"/>
  <c r="H23" i="9"/>
  <c r="J105" i="9"/>
  <c r="D118" i="8"/>
  <c r="D117" i="8"/>
  <c r="D100" i="6"/>
  <c r="R15" i="11"/>
  <c r="H34" i="7"/>
  <c r="H12" i="6"/>
  <c r="R26" i="10"/>
  <c r="R45" i="10"/>
  <c r="R16" i="10"/>
  <c r="H32" i="7"/>
  <c r="H40" i="9"/>
  <c r="H48" i="8"/>
  <c r="H17" i="7"/>
  <c r="H40" i="6"/>
  <c r="H41" i="8"/>
  <c r="H37" i="7"/>
  <c r="H37" i="6"/>
  <c r="H14" i="8"/>
  <c r="R17" i="10"/>
  <c r="R42" i="11"/>
  <c r="H46" i="7"/>
  <c r="H29" i="9"/>
  <c r="H21" i="8"/>
  <c r="R13" i="10"/>
  <c r="R48" i="11"/>
  <c r="H39" i="7"/>
  <c r="H18" i="9"/>
  <c r="H34" i="8"/>
  <c r="H27" i="6"/>
  <c r="B95" i="8"/>
  <c r="B95" i="7"/>
  <c r="H13" i="7"/>
  <c r="R12" i="10"/>
  <c r="R7" i="8"/>
  <c r="R44" i="8"/>
  <c r="R47" i="10"/>
  <c r="J117" i="6"/>
  <c r="H19" i="9"/>
  <c r="H9" i="6"/>
  <c r="B95" i="9"/>
  <c r="B83" i="8"/>
  <c r="D116" i="6"/>
  <c r="D100" i="7"/>
  <c r="W14" i="11"/>
  <c r="H30" i="8"/>
  <c r="D105" i="9"/>
  <c r="H28" i="9"/>
  <c r="R33" i="11"/>
  <c r="H41" i="6"/>
  <c r="B66" i="9"/>
  <c r="D98" i="9"/>
  <c r="J102" i="9"/>
  <c r="R18" i="9"/>
  <c r="W24" i="11"/>
  <c r="D91" i="6"/>
  <c r="D99" i="8"/>
  <c r="J102" i="7"/>
  <c r="D99" i="9"/>
  <c r="J110" i="9"/>
  <c r="D71" i="7"/>
  <c r="J95" i="9"/>
  <c r="D115" i="8"/>
  <c r="D91" i="7"/>
  <c r="D77" i="9"/>
  <c r="D78" i="9"/>
  <c r="D97" i="6"/>
  <c r="R19" i="11"/>
  <c r="H13" i="9"/>
  <c r="R10" i="10"/>
  <c r="R32" i="10"/>
  <c r="R46" i="10"/>
  <c r="H48" i="9"/>
  <c r="R10" i="7"/>
  <c r="H8" i="8"/>
  <c r="J115" i="9"/>
  <c r="H35" i="6"/>
  <c r="J99" i="9"/>
  <c r="D68" i="9"/>
  <c r="R25" i="11"/>
  <c r="R32" i="7"/>
  <c r="H7" i="7"/>
  <c r="V22" i="11"/>
  <c r="H109" i="7"/>
  <c r="H43" i="9"/>
  <c r="R43" i="9" s="1"/>
  <c r="R29" i="10"/>
  <c r="H42" i="6"/>
  <c r="H95" i="6"/>
  <c r="H33" i="7"/>
  <c r="D90" i="9"/>
  <c r="J116" i="6"/>
  <c r="D89" i="8"/>
  <c r="H38" i="9"/>
  <c r="D85" i="6"/>
  <c r="J101" i="7"/>
  <c r="J101" i="6"/>
  <c r="J100" i="9"/>
  <c r="D96" i="6"/>
  <c r="R30" i="10"/>
  <c r="H9" i="8"/>
  <c r="R9" i="8" s="1"/>
  <c r="H31" i="8"/>
  <c r="H29" i="8"/>
  <c r="H27" i="9"/>
  <c r="R26" i="11"/>
  <c r="H36" i="8"/>
  <c r="H47" i="9"/>
  <c r="R39" i="11"/>
  <c r="H36" i="6"/>
  <c r="H95" i="8"/>
  <c r="V8" i="10"/>
  <c r="J96" i="7"/>
  <c r="V39" i="11"/>
  <c r="J116" i="8"/>
  <c r="D73" i="9"/>
  <c r="D115" i="9"/>
  <c r="D92" i="9"/>
  <c r="J96" i="6"/>
  <c r="J98" i="9"/>
  <c r="D99" i="6"/>
  <c r="R44" i="11"/>
  <c r="V12" i="11"/>
  <c r="V34" i="10"/>
  <c r="W36" i="10"/>
  <c r="V39" i="10"/>
  <c r="V47" i="10"/>
  <c r="W10" i="11"/>
  <c r="R37" i="10"/>
  <c r="R15" i="10"/>
  <c r="R7" i="7"/>
  <c r="H33" i="9"/>
  <c r="J114" i="8"/>
  <c r="J111" i="6"/>
  <c r="D88" i="8"/>
  <c r="V10" i="11"/>
  <c r="J102" i="8"/>
  <c r="V9" i="11"/>
  <c r="V41" i="10"/>
  <c r="J110" i="7"/>
  <c r="D83" i="9"/>
  <c r="J103" i="6"/>
  <c r="J104" i="9"/>
  <c r="D103" i="6"/>
  <c r="V37" i="10"/>
  <c r="J113" i="7"/>
  <c r="D90" i="6"/>
  <c r="D98" i="8"/>
  <c r="J99" i="7"/>
  <c r="D109" i="8"/>
  <c r="D104" i="6"/>
  <c r="H37" i="8"/>
  <c r="V44" i="10"/>
  <c r="J105" i="8"/>
  <c r="J118" i="7"/>
  <c r="D103" i="7"/>
  <c r="D69" i="7"/>
  <c r="R10" i="6"/>
  <c r="V18" i="11"/>
  <c r="D74" i="7"/>
  <c r="D104" i="7"/>
  <c r="R16" i="11"/>
  <c r="V15" i="10"/>
  <c r="D70" i="9"/>
  <c r="H38" i="6"/>
  <c r="D92" i="8"/>
  <c r="R7" i="9"/>
  <c r="V48" i="10"/>
  <c r="V38" i="10"/>
  <c r="V40" i="10"/>
  <c r="V21" i="11"/>
  <c r="V14" i="11"/>
  <c r="V43" i="11"/>
  <c r="W7" i="11"/>
  <c r="H21" i="7"/>
  <c r="H48" i="7"/>
  <c r="J119" i="7"/>
  <c r="H35" i="8"/>
  <c r="R8" i="11"/>
  <c r="W42" i="10"/>
  <c r="H22" i="8"/>
  <c r="D109" i="6"/>
  <c r="D118" i="6"/>
  <c r="R25" i="10"/>
  <c r="J114" i="7"/>
  <c r="W31" i="10"/>
  <c r="D97" i="9"/>
  <c r="R8" i="10"/>
  <c r="V16" i="11"/>
  <c r="D102" i="9"/>
  <c r="H41" i="7"/>
  <c r="B66" i="8"/>
  <c r="H12" i="8"/>
  <c r="D70" i="7"/>
  <c r="H44" i="9"/>
  <c r="R44" i="9" s="1"/>
  <c r="D83" i="6"/>
  <c r="W20" i="11"/>
  <c r="D75" i="9"/>
  <c r="V36" i="10"/>
  <c r="W22" i="10"/>
  <c r="V15" i="11"/>
  <c r="V38" i="11"/>
  <c r="V31" i="11"/>
  <c r="V23" i="11"/>
  <c r="V25" i="11"/>
  <c r="H13" i="6"/>
  <c r="H41" i="9"/>
  <c r="D110" i="6"/>
  <c r="H47" i="8"/>
  <c r="V12" i="10"/>
  <c r="H19" i="8"/>
  <c r="W34" i="10"/>
  <c r="J109" i="7"/>
  <c r="R9" i="11"/>
  <c r="D101" i="9"/>
  <c r="D105" i="8"/>
  <c r="J97" i="7"/>
  <c r="D67" i="8"/>
  <c r="D111" i="8"/>
  <c r="D95" i="6"/>
  <c r="J118" i="6"/>
  <c r="B66" i="6"/>
  <c r="H19" i="7"/>
  <c r="R39" i="10"/>
  <c r="H16" i="6"/>
  <c r="R16" i="6" s="1"/>
  <c r="D68" i="6"/>
  <c r="H7" i="6"/>
  <c r="R43" i="11"/>
  <c r="H16" i="9"/>
  <c r="W19" i="10"/>
  <c r="D71" i="6"/>
  <c r="W27" i="10"/>
  <c r="H24" i="9"/>
  <c r="H16" i="8"/>
  <c r="D83" i="8"/>
  <c r="V45" i="10"/>
  <c r="W18" i="10"/>
  <c r="V34" i="11"/>
  <c r="D109" i="9"/>
  <c r="D84" i="7"/>
  <c r="D118" i="7"/>
  <c r="V28" i="10"/>
  <c r="W21" i="10"/>
  <c r="D91" i="8"/>
  <c r="D101" i="7"/>
  <c r="D90" i="7"/>
  <c r="J111" i="8"/>
  <c r="D97" i="7"/>
  <c r="D88" i="6"/>
  <c r="H33" i="8"/>
  <c r="D87" i="8"/>
  <c r="H42" i="9"/>
  <c r="J100" i="7"/>
  <c r="H24" i="6"/>
  <c r="D66" i="7"/>
  <c r="J109" i="6"/>
  <c r="J119" i="6"/>
  <c r="D92" i="6"/>
  <c r="D89" i="6"/>
  <c r="J104" i="7"/>
  <c r="J103" i="7"/>
  <c r="J98" i="7"/>
  <c r="D113" i="6"/>
  <c r="D117" i="6"/>
  <c r="D115" i="6"/>
  <c r="J109" i="8"/>
  <c r="J118" i="8"/>
  <c r="J112" i="8"/>
  <c r="J110" i="8"/>
  <c r="J119" i="8"/>
  <c r="D86" i="7"/>
  <c r="D89" i="7"/>
  <c r="D87" i="7"/>
  <c r="D92" i="7"/>
  <c r="D83" i="7"/>
  <c r="D111" i="7"/>
  <c r="D116" i="7"/>
  <c r="D113" i="7"/>
  <c r="D110" i="7"/>
  <c r="D109" i="7"/>
  <c r="D115" i="7"/>
  <c r="D112" i="7"/>
  <c r="D114" i="7"/>
  <c r="D85" i="9"/>
  <c r="D89" i="9"/>
  <c r="D88" i="9"/>
  <c r="D87" i="9"/>
  <c r="D84" i="9"/>
  <c r="D91" i="9"/>
  <c r="D86" i="9"/>
  <c r="D100" i="8"/>
  <c r="D103" i="8"/>
  <c r="D104" i="8"/>
  <c r="D97" i="8"/>
  <c r="D96" i="8"/>
  <c r="D102" i="8"/>
  <c r="D101" i="8"/>
  <c r="D95" i="8"/>
  <c r="D99" i="7"/>
  <c r="D95" i="7"/>
  <c r="D105" i="7"/>
  <c r="D96" i="7"/>
  <c r="D98" i="7"/>
  <c r="D102" i="7"/>
  <c r="D96" i="9"/>
  <c r="D104" i="9"/>
  <c r="D95" i="9"/>
  <c r="D100" i="9"/>
  <c r="D103" i="9"/>
  <c r="D90" i="8"/>
  <c r="D86" i="8"/>
  <c r="D85" i="8"/>
  <c r="D84" i="8"/>
  <c r="D66" i="9"/>
  <c r="D76" i="9"/>
  <c r="D71" i="9"/>
  <c r="D67" i="9"/>
  <c r="D69" i="9"/>
  <c r="D72" i="9"/>
  <c r="D74" i="9"/>
  <c r="J116" i="7"/>
  <c r="J112" i="7"/>
  <c r="J115" i="7"/>
  <c r="J111" i="7"/>
  <c r="J117" i="7"/>
  <c r="J102" i="6"/>
  <c r="J95" i="6"/>
  <c r="J104" i="6"/>
  <c r="J99" i="6"/>
  <c r="J98" i="6"/>
  <c r="J105" i="6"/>
  <c r="J97" i="6"/>
  <c r="J100" i="6"/>
  <c r="J97" i="8"/>
  <c r="J95" i="8"/>
  <c r="J98" i="8"/>
  <c r="J96" i="8"/>
  <c r="J103" i="8"/>
  <c r="J100" i="8"/>
  <c r="J104" i="8"/>
  <c r="J99" i="8"/>
  <c r="J101" i="8"/>
  <c r="D71" i="8"/>
  <c r="D73" i="8"/>
  <c r="D74" i="8"/>
  <c r="D76" i="8"/>
  <c r="D68" i="8"/>
  <c r="D69" i="8"/>
  <c r="D72" i="8"/>
  <c r="D77" i="8"/>
  <c r="D78" i="8"/>
  <c r="D75" i="8"/>
  <c r="D70" i="8"/>
  <c r="D66" i="8"/>
  <c r="D76" i="6"/>
  <c r="D75" i="6"/>
  <c r="D70" i="6"/>
  <c r="D74" i="6"/>
  <c r="D77" i="6"/>
  <c r="D69" i="6"/>
  <c r="D78" i="6"/>
  <c r="D73" i="6"/>
  <c r="D66" i="6"/>
  <c r="D67" i="6"/>
  <c r="D72" i="6"/>
  <c r="E118" i="9"/>
  <c r="F118" i="9"/>
  <c r="E111" i="9"/>
  <c r="F111" i="9"/>
  <c r="L112" i="9"/>
  <c r="K112" i="9"/>
  <c r="E113" i="9"/>
  <c r="F113" i="9"/>
  <c r="E110" i="9"/>
  <c r="F110" i="9"/>
  <c r="L109" i="9"/>
  <c r="K109" i="9"/>
  <c r="K97" i="9"/>
  <c r="L97" i="9"/>
  <c r="L119" i="9"/>
  <c r="K119" i="9"/>
  <c r="L118" i="9"/>
  <c r="K118" i="9"/>
  <c r="L116" i="9"/>
  <c r="K116" i="9"/>
  <c r="E114" i="9"/>
  <c r="F114" i="9"/>
  <c r="L117" i="9"/>
  <c r="K117" i="9"/>
  <c r="E116" i="9"/>
  <c r="F116" i="9"/>
  <c r="E117" i="9"/>
  <c r="F117" i="9"/>
  <c r="L113" i="9"/>
  <c r="K113" i="9"/>
  <c r="K96" i="9"/>
  <c r="L96" i="9"/>
  <c r="E112" i="9"/>
  <c r="F112" i="9"/>
  <c r="K111" i="9"/>
  <c r="L111" i="9"/>
  <c r="K103" i="9"/>
  <c r="L103" i="9"/>
  <c r="L105" i="9"/>
  <c r="K105" i="9"/>
  <c r="F105" i="9"/>
  <c r="E105" i="9"/>
  <c r="E98" i="9"/>
  <c r="F98" i="9"/>
  <c r="K102" i="9"/>
  <c r="L102" i="9"/>
  <c r="E99" i="9"/>
  <c r="F99" i="9"/>
  <c r="L110" i="9"/>
  <c r="K110" i="9"/>
  <c r="K95" i="9"/>
  <c r="L95" i="9"/>
  <c r="E77" i="9"/>
  <c r="F77" i="9"/>
  <c r="E78" i="9"/>
  <c r="F78" i="9"/>
  <c r="L115" i="9"/>
  <c r="K115" i="9"/>
  <c r="K99" i="9"/>
  <c r="L99" i="9"/>
  <c r="E68" i="9"/>
  <c r="F68" i="9"/>
  <c r="E90" i="9"/>
  <c r="F90" i="9"/>
  <c r="K100" i="9"/>
  <c r="L100" i="9"/>
  <c r="E73" i="9"/>
  <c r="F73" i="9"/>
  <c r="E115" i="9"/>
  <c r="F115" i="9"/>
  <c r="E92" i="9"/>
  <c r="F92" i="9"/>
  <c r="K98" i="9"/>
  <c r="L98" i="9"/>
  <c r="E83" i="9"/>
  <c r="F83" i="9"/>
  <c r="K104" i="9"/>
  <c r="L104" i="9"/>
  <c r="E70" i="9"/>
  <c r="F70" i="9"/>
  <c r="E97" i="9"/>
  <c r="F97" i="9"/>
  <c r="F102" i="9"/>
  <c r="E102" i="9"/>
  <c r="E75" i="9"/>
  <c r="F75" i="9"/>
  <c r="E101" i="9"/>
  <c r="F101" i="9"/>
  <c r="E109" i="9"/>
  <c r="F109" i="9"/>
  <c r="E85" i="9"/>
  <c r="F85" i="9"/>
  <c r="E89" i="9"/>
  <c r="F89" i="9"/>
  <c r="E88" i="9"/>
  <c r="F88" i="9"/>
  <c r="E87" i="9"/>
  <c r="F87" i="9"/>
  <c r="E84" i="9"/>
  <c r="F84" i="9"/>
  <c r="F91" i="9"/>
  <c r="E91" i="9"/>
  <c r="E86" i="9"/>
  <c r="F86" i="9"/>
  <c r="E96" i="9"/>
  <c r="F96" i="9"/>
  <c r="E104" i="9"/>
  <c r="F104" i="9"/>
  <c r="E95" i="9"/>
  <c r="F95" i="9"/>
  <c r="E100" i="9"/>
  <c r="F100" i="9"/>
  <c r="E103" i="9"/>
  <c r="F103" i="9"/>
  <c r="E66" i="9"/>
  <c r="F66" i="9"/>
  <c r="E76" i="9"/>
  <c r="F76" i="9"/>
  <c r="E71" i="9"/>
  <c r="F71" i="9"/>
  <c r="E67" i="9"/>
  <c r="F67" i="9"/>
  <c r="E69" i="9"/>
  <c r="F69" i="9"/>
  <c r="E72" i="9"/>
  <c r="F72" i="9"/>
  <c r="E74" i="9"/>
  <c r="F74" i="9"/>
  <c r="E98" i="6"/>
  <c r="F98" i="6"/>
  <c r="L110" i="6"/>
  <c r="K110" i="6"/>
  <c r="E87" i="6"/>
  <c r="F87" i="6"/>
  <c r="E101" i="6"/>
  <c r="F101" i="6"/>
  <c r="L114" i="6"/>
  <c r="K114" i="6"/>
  <c r="E84" i="6"/>
  <c r="F84" i="6"/>
  <c r="E102" i="6"/>
  <c r="F102" i="6"/>
  <c r="E111" i="6"/>
  <c r="F111" i="6"/>
  <c r="E105" i="6"/>
  <c r="F105" i="6"/>
  <c r="L113" i="6"/>
  <c r="K113" i="6"/>
  <c r="E100" i="6"/>
  <c r="F100" i="6"/>
  <c r="L117" i="6"/>
  <c r="K117" i="6"/>
  <c r="E116" i="6"/>
  <c r="F116" i="6"/>
  <c r="F91" i="6"/>
  <c r="E91" i="6"/>
  <c r="E97" i="6"/>
  <c r="F97" i="6"/>
  <c r="L116" i="6"/>
  <c r="K116" i="6"/>
  <c r="F85" i="6"/>
  <c r="E85" i="6"/>
  <c r="K101" i="6"/>
  <c r="L101" i="6"/>
  <c r="E96" i="6"/>
  <c r="F96" i="6"/>
  <c r="K96" i="6"/>
  <c r="L96" i="6"/>
  <c r="F99" i="6"/>
  <c r="E99" i="6"/>
  <c r="K111" i="6"/>
  <c r="L111" i="6"/>
  <c r="K103" i="6"/>
  <c r="L103" i="6"/>
  <c r="E103" i="6"/>
  <c r="F103" i="6"/>
  <c r="E90" i="6"/>
  <c r="F90" i="6"/>
  <c r="E104" i="6"/>
  <c r="F104" i="6"/>
  <c r="E109" i="6"/>
  <c r="F109" i="6"/>
  <c r="E118" i="6"/>
  <c r="F118" i="6"/>
  <c r="E83" i="6"/>
  <c r="F83" i="6"/>
  <c r="F110" i="6"/>
  <c r="E110" i="6"/>
  <c r="F95" i="6"/>
  <c r="E95" i="6"/>
  <c r="L118" i="6"/>
  <c r="K118" i="6"/>
  <c r="F68" i="6"/>
  <c r="E68" i="6"/>
  <c r="F71" i="6"/>
  <c r="E71" i="6"/>
  <c r="E88" i="6"/>
  <c r="F88" i="6"/>
  <c r="L109" i="6"/>
  <c r="K109" i="6"/>
  <c r="L119" i="6"/>
  <c r="K119" i="6"/>
  <c r="F92" i="6"/>
  <c r="E92" i="6"/>
  <c r="E89" i="6"/>
  <c r="F89" i="6"/>
  <c r="F113" i="6"/>
  <c r="E113" i="6"/>
  <c r="E117" i="6"/>
  <c r="F117" i="6"/>
  <c r="E115" i="6"/>
  <c r="F115" i="6"/>
  <c r="L102" i="6"/>
  <c r="K102" i="6"/>
  <c r="L95" i="6"/>
  <c r="K95" i="6"/>
  <c r="K104" i="6"/>
  <c r="L104" i="6"/>
  <c r="K99" i="6"/>
  <c r="L99" i="6"/>
  <c r="K98" i="6"/>
  <c r="L98" i="6"/>
  <c r="K105" i="6"/>
  <c r="L105" i="6"/>
  <c r="L97" i="6"/>
  <c r="K97" i="6"/>
  <c r="K100" i="6"/>
  <c r="L100" i="6"/>
  <c r="E76" i="6"/>
  <c r="F76" i="6"/>
  <c r="E75" i="6"/>
  <c r="F75" i="6"/>
  <c r="E70" i="6"/>
  <c r="F70" i="6"/>
  <c r="E74" i="6"/>
  <c r="F74" i="6"/>
  <c r="F77" i="6"/>
  <c r="E77" i="6"/>
  <c r="F69" i="6"/>
  <c r="E69" i="6"/>
  <c r="E78" i="6"/>
  <c r="F78" i="6"/>
  <c r="E73" i="6"/>
  <c r="F73" i="6"/>
  <c r="E66" i="6"/>
  <c r="F66" i="6"/>
  <c r="E67" i="6"/>
  <c r="F67" i="6"/>
  <c r="E72" i="6"/>
  <c r="F72" i="6"/>
  <c r="E114" i="11"/>
  <c r="F114" i="11"/>
  <c r="F110" i="8"/>
  <c r="E110" i="8"/>
  <c r="E112" i="8"/>
  <c r="F112" i="8"/>
  <c r="K113" i="8"/>
  <c r="L113" i="8"/>
  <c r="E114" i="8"/>
  <c r="F114" i="8"/>
  <c r="L115" i="8"/>
  <c r="K115" i="8"/>
  <c r="E113" i="8"/>
  <c r="F113" i="8"/>
  <c r="E118" i="8"/>
  <c r="F118" i="8"/>
  <c r="E117" i="8"/>
  <c r="F117" i="8"/>
  <c r="E99" i="8"/>
  <c r="F99" i="8"/>
  <c r="E115" i="8"/>
  <c r="F115" i="8"/>
  <c r="E89" i="8"/>
  <c r="F89" i="8"/>
  <c r="K116" i="8"/>
  <c r="L116" i="8"/>
  <c r="L114" i="8"/>
  <c r="K114" i="8"/>
  <c r="E88" i="8"/>
  <c r="F88" i="8"/>
  <c r="K102" i="8"/>
  <c r="L102" i="8"/>
  <c r="E98" i="8"/>
  <c r="F98" i="8"/>
  <c r="E109" i="8"/>
  <c r="F109" i="8"/>
  <c r="K105" i="8"/>
  <c r="L105" i="8"/>
  <c r="E92" i="8"/>
  <c r="F92" i="8"/>
  <c r="E105" i="8"/>
  <c r="F105" i="8"/>
  <c r="E67" i="8"/>
  <c r="F67" i="8"/>
  <c r="F111" i="8"/>
  <c r="E111" i="8"/>
  <c r="E83" i="8"/>
  <c r="F83" i="8"/>
  <c r="E91" i="8"/>
  <c r="F91" i="8"/>
  <c r="L111" i="8"/>
  <c r="K111" i="8"/>
  <c r="E87" i="8"/>
  <c r="F87" i="8"/>
  <c r="K109" i="8"/>
  <c r="L109" i="8"/>
  <c r="L118" i="8"/>
  <c r="K118" i="8"/>
  <c r="L112" i="8"/>
  <c r="K112" i="8"/>
  <c r="L110" i="8"/>
  <c r="K110" i="8"/>
  <c r="L119" i="8"/>
  <c r="K119" i="8"/>
  <c r="E100" i="8"/>
  <c r="F100" i="8"/>
  <c r="E103" i="8"/>
  <c r="F103" i="8"/>
  <c r="F104" i="8"/>
  <c r="E104" i="8"/>
  <c r="E97" i="8"/>
  <c r="F97" i="8"/>
  <c r="F96" i="8"/>
  <c r="E96" i="8"/>
  <c r="E102" i="8"/>
  <c r="F102" i="8"/>
  <c r="E101" i="8"/>
  <c r="F101" i="8"/>
  <c r="F95" i="8"/>
  <c r="E95" i="8"/>
  <c r="F90" i="8"/>
  <c r="E90" i="8"/>
  <c r="F86" i="8"/>
  <c r="E86" i="8"/>
  <c r="E85" i="8"/>
  <c r="F85" i="8"/>
  <c r="E84" i="8"/>
  <c r="F84" i="8"/>
  <c r="K97" i="8"/>
  <c r="L97" i="8"/>
  <c r="L95" i="8"/>
  <c r="K95" i="8"/>
  <c r="K98" i="8"/>
  <c r="L98" i="8"/>
  <c r="K96" i="8"/>
  <c r="L96" i="8"/>
  <c r="K103" i="8"/>
  <c r="L103" i="8"/>
  <c r="K100" i="8"/>
  <c r="L100" i="8"/>
  <c r="K104" i="8"/>
  <c r="L104" i="8"/>
  <c r="L99" i="8"/>
  <c r="K99" i="8"/>
  <c r="K101" i="8"/>
  <c r="L101" i="8"/>
  <c r="E71" i="8"/>
  <c r="F71" i="8"/>
  <c r="F73" i="8"/>
  <c r="E73" i="8"/>
  <c r="F74" i="8"/>
  <c r="E74" i="8"/>
  <c r="E76" i="8"/>
  <c r="F76" i="8"/>
  <c r="E68" i="8"/>
  <c r="F68" i="8"/>
  <c r="E69" i="8"/>
  <c r="F69" i="8"/>
  <c r="E72" i="8"/>
  <c r="F72" i="8"/>
  <c r="E77" i="8"/>
  <c r="F77" i="8"/>
  <c r="E78" i="8"/>
  <c r="F78" i="8"/>
  <c r="E75" i="8"/>
  <c r="F75" i="8"/>
  <c r="E70" i="8"/>
  <c r="F70" i="8"/>
  <c r="F66" i="8"/>
  <c r="E66" i="8"/>
  <c r="E67" i="7"/>
  <c r="F67" i="7"/>
  <c r="F73" i="7"/>
  <c r="E73" i="7"/>
  <c r="E78" i="7"/>
  <c r="F78" i="7"/>
  <c r="E76" i="7"/>
  <c r="F76" i="7"/>
  <c r="E68" i="7"/>
  <c r="F68" i="7"/>
  <c r="E75" i="7"/>
  <c r="F75" i="7"/>
  <c r="E77" i="7"/>
  <c r="F77" i="7"/>
  <c r="E72" i="7"/>
  <c r="F72" i="7"/>
  <c r="E88" i="7"/>
  <c r="F88" i="7"/>
  <c r="K105" i="7"/>
  <c r="L105" i="7"/>
  <c r="E117" i="7"/>
  <c r="F117" i="7"/>
  <c r="E100" i="7"/>
  <c r="F100" i="7"/>
  <c r="L102" i="7"/>
  <c r="K102" i="7"/>
  <c r="E71" i="7"/>
  <c r="F71" i="7"/>
  <c r="E91" i="7"/>
  <c r="F91" i="7"/>
  <c r="L101" i="7"/>
  <c r="K101" i="7"/>
  <c r="K96" i="7"/>
  <c r="L96" i="7"/>
  <c r="L110" i="7"/>
  <c r="K110" i="7"/>
  <c r="L113" i="7"/>
  <c r="K113" i="7"/>
  <c r="L99" i="7"/>
  <c r="K99" i="7"/>
  <c r="L118" i="7"/>
  <c r="K118" i="7"/>
  <c r="F103" i="7"/>
  <c r="E103" i="7"/>
  <c r="E69" i="7"/>
  <c r="F69" i="7"/>
  <c r="F74" i="7"/>
  <c r="E74" i="7"/>
  <c r="E104" i="7"/>
  <c r="F104" i="7"/>
  <c r="L119" i="7"/>
  <c r="K119" i="7"/>
  <c r="L114" i="7"/>
  <c r="K114" i="7"/>
  <c r="F70" i="7"/>
  <c r="E70" i="7"/>
  <c r="L109" i="7"/>
  <c r="K109" i="7"/>
  <c r="K97" i="7"/>
  <c r="L97" i="7"/>
  <c r="F84" i="7"/>
  <c r="E84" i="7"/>
  <c r="E118" i="7"/>
  <c r="F118" i="7"/>
  <c r="E101" i="7"/>
  <c r="F101" i="7"/>
  <c r="F90" i="7"/>
  <c r="E90" i="7"/>
  <c r="E97" i="7"/>
  <c r="F97" i="7"/>
  <c r="K100" i="7"/>
  <c r="L100" i="7"/>
  <c r="F66" i="7"/>
  <c r="E66" i="7"/>
  <c r="K104" i="7"/>
  <c r="L104" i="7"/>
  <c r="K103" i="7"/>
  <c r="L103" i="7"/>
  <c r="K98" i="7"/>
  <c r="L98" i="7"/>
  <c r="E86" i="7"/>
  <c r="F86" i="7"/>
  <c r="E89" i="7"/>
  <c r="F89" i="7"/>
  <c r="E87" i="7"/>
  <c r="F87" i="7"/>
  <c r="E92" i="7"/>
  <c r="F92" i="7"/>
  <c r="E83" i="7"/>
  <c r="F83" i="7"/>
  <c r="E111" i="7"/>
  <c r="F111" i="7"/>
  <c r="E116" i="7"/>
  <c r="F116" i="7"/>
  <c r="E113" i="7"/>
  <c r="F113" i="7"/>
  <c r="E110" i="7"/>
  <c r="F110" i="7"/>
  <c r="E109" i="7"/>
  <c r="F109" i="7"/>
  <c r="F115" i="7"/>
  <c r="E115" i="7"/>
  <c r="E112" i="7"/>
  <c r="F112" i="7"/>
  <c r="E114" i="7"/>
  <c r="F114" i="7"/>
  <c r="E99" i="7"/>
  <c r="F99" i="7"/>
  <c r="E95" i="7"/>
  <c r="F95" i="7"/>
  <c r="E105" i="7"/>
  <c r="F105" i="7"/>
  <c r="E96" i="7"/>
  <c r="F96" i="7"/>
  <c r="F98" i="7"/>
  <c r="E98" i="7"/>
  <c r="E102" i="7"/>
  <c r="F102" i="7"/>
  <c r="L116" i="7"/>
  <c r="K116" i="7"/>
  <c r="L112" i="7"/>
  <c r="K112" i="7"/>
  <c r="L115" i="7"/>
  <c r="K115" i="7"/>
  <c r="L111" i="7"/>
  <c r="K111" i="7"/>
  <c r="L117" i="7"/>
  <c r="K117" i="7"/>
  <c r="S45" i="8" l="1"/>
  <c r="U29" i="8"/>
  <c r="AA10" i="8"/>
  <c r="U45" i="8"/>
  <c r="U32" i="9"/>
  <c r="Z24" i="7"/>
  <c r="X38" i="8"/>
  <c r="Z40" i="9"/>
  <c r="Y40" i="9"/>
  <c r="Y31" i="9"/>
  <c r="Y36" i="8"/>
  <c r="Z14" i="8"/>
  <c r="T9" i="9"/>
  <c r="X11" i="9"/>
  <c r="X24" i="7"/>
  <c r="Z32" i="8"/>
  <c r="U9" i="9"/>
  <c r="Y11" i="9"/>
  <c r="AA16" i="9"/>
  <c r="Y37" i="8"/>
  <c r="U37" i="8"/>
  <c r="T37" i="8"/>
  <c r="S37" i="8"/>
  <c r="Y33" i="8"/>
  <c r="AA33" i="8"/>
  <c r="T33" i="8"/>
  <c r="S33" i="8"/>
  <c r="U15" i="8"/>
  <c r="Z15" i="8"/>
  <c r="U28" i="8"/>
  <c r="T28" i="8"/>
  <c r="Y28" i="8"/>
  <c r="S28" i="8"/>
  <c r="AA17" i="7"/>
  <c r="Z17" i="7"/>
  <c r="AA45" i="8"/>
  <c r="T14" i="8"/>
  <c r="U30" i="8"/>
  <c r="S32" i="8"/>
  <c r="Y44" i="8"/>
  <c r="S20" i="9"/>
  <c r="X30" i="8"/>
  <c r="Y32" i="8"/>
  <c r="Z20" i="9"/>
  <c r="Y32" i="9"/>
  <c r="AA33" i="7"/>
  <c r="S13" i="8"/>
  <c r="U26" i="8"/>
  <c r="Y48" i="8"/>
  <c r="X13" i="8"/>
  <c r="U14" i="8"/>
  <c r="AA15" i="8"/>
  <c r="X26" i="8"/>
  <c r="X29" i="8"/>
  <c r="Z48" i="8"/>
  <c r="U43" i="6"/>
  <c r="Y7" i="8"/>
  <c r="Y13" i="8"/>
  <c r="T23" i="8"/>
  <c r="T25" i="8"/>
  <c r="AA48" i="8"/>
  <c r="Z43" i="6"/>
  <c r="Z7" i="8"/>
  <c r="Z13" i="8"/>
  <c r="X23" i="8"/>
  <c r="U25" i="8"/>
  <c r="S36" i="8"/>
  <c r="X12" i="9"/>
  <c r="T31" i="9"/>
  <c r="Z32" i="9"/>
  <c r="T36" i="8"/>
  <c r="S44" i="8"/>
  <c r="T45" i="8"/>
  <c r="Z12" i="9"/>
  <c r="X31" i="9"/>
  <c r="AA32" i="9"/>
  <c r="T44" i="8"/>
  <c r="S14" i="8"/>
  <c r="X15" i="8"/>
  <c r="T29" i="8"/>
  <c r="T32" i="8"/>
  <c r="U33" i="8"/>
  <c r="Z44" i="8"/>
  <c r="Z11" i="9"/>
  <c r="T20" i="9"/>
  <c r="Z34" i="6"/>
  <c r="S17" i="8"/>
  <c r="S41" i="8"/>
  <c r="S8" i="9"/>
  <c r="Z11" i="7"/>
  <c r="X35" i="8"/>
  <c r="T41" i="8"/>
  <c r="T8" i="9"/>
  <c r="Z23" i="6"/>
  <c r="Z38" i="6"/>
  <c r="T43" i="6"/>
  <c r="X17" i="7"/>
  <c r="Y28" i="7"/>
  <c r="U7" i="8"/>
  <c r="Z10" i="8"/>
  <c r="Z11" i="8"/>
  <c r="U21" i="8"/>
  <c r="U48" i="8"/>
  <c r="T12" i="9"/>
  <c r="Z16" i="9"/>
  <c r="U40" i="9"/>
  <c r="T11" i="7"/>
  <c r="T19" i="9"/>
  <c r="X19" i="9"/>
  <c r="T18" i="7"/>
  <c r="S10" i="8"/>
  <c r="T11" i="8"/>
  <c r="Y12" i="8"/>
  <c r="AA14" i="8"/>
  <c r="U17" i="8"/>
  <c r="T19" i="8"/>
  <c r="Z24" i="8"/>
  <c r="Z28" i="8"/>
  <c r="AA32" i="8"/>
  <c r="Y35" i="8"/>
  <c r="Z36" i="8"/>
  <c r="AA37" i="8"/>
  <c r="Y40" i="8"/>
  <c r="U41" i="8"/>
  <c r="AA44" i="8"/>
  <c r="Z8" i="9"/>
  <c r="Y19" i="9"/>
  <c r="AA20" i="9"/>
  <c r="T11" i="6"/>
  <c r="T29" i="6"/>
  <c r="S40" i="8"/>
  <c r="T46" i="6"/>
  <c r="T40" i="8"/>
  <c r="Z18" i="7"/>
  <c r="X37" i="7"/>
  <c r="Z44" i="7"/>
  <c r="T10" i="8"/>
  <c r="U11" i="8"/>
  <c r="AA17" i="8"/>
  <c r="X19" i="8"/>
  <c r="S21" i="8"/>
  <c r="AA24" i="8"/>
  <c r="AA28" i="8"/>
  <c r="AA36" i="8"/>
  <c r="X39" i="8"/>
  <c r="Z40" i="8"/>
  <c r="AA41" i="8"/>
  <c r="S48" i="8"/>
  <c r="AA8" i="9"/>
  <c r="S40" i="9"/>
  <c r="U41" i="9"/>
  <c r="Z38" i="7"/>
  <c r="T17" i="8"/>
  <c r="T7" i="6"/>
  <c r="T17" i="7"/>
  <c r="X28" i="7"/>
  <c r="T7" i="8"/>
  <c r="U10" i="8"/>
  <c r="Y11" i="8"/>
  <c r="T21" i="8"/>
  <c r="Y39" i="8"/>
  <c r="AA40" i="8"/>
  <c r="T48" i="8"/>
  <c r="T16" i="9"/>
  <c r="T40" i="9"/>
  <c r="AB34" i="10"/>
  <c r="B34" i="10" s="1"/>
  <c r="AB36" i="10"/>
  <c r="B36" i="10" s="1"/>
  <c r="AB10" i="11"/>
  <c r="B10" i="11" s="1"/>
  <c r="AB12" i="11"/>
  <c r="B12" i="11" s="1"/>
  <c r="AB14" i="11"/>
  <c r="B14" i="11" s="1"/>
  <c r="AA17" i="6"/>
  <c r="T17" i="6"/>
  <c r="U8" i="8"/>
  <c r="T8" i="8"/>
  <c r="AA8" i="8"/>
  <c r="S8" i="8"/>
  <c r="Z8" i="8"/>
  <c r="X8" i="8"/>
  <c r="Y8" i="8"/>
  <c r="U16" i="8"/>
  <c r="T16" i="8"/>
  <c r="S16" i="8"/>
  <c r="Z16" i="8"/>
  <c r="Y16" i="8"/>
  <c r="X16" i="8"/>
  <c r="AA16" i="8"/>
  <c r="AA46" i="8"/>
  <c r="S46" i="8"/>
  <c r="Z46" i="8"/>
  <c r="Y46" i="8"/>
  <c r="T46" i="8"/>
  <c r="U46" i="8"/>
  <c r="X46" i="8"/>
  <c r="U20" i="8"/>
  <c r="T20" i="8"/>
  <c r="S20" i="8"/>
  <c r="Z20" i="8"/>
  <c r="Y20" i="8"/>
  <c r="X20" i="8"/>
  <c r="AA20" i="8"/>
  <c r="X45" i="6"/>
  <c r="T45" i="6"/>
  <c r="U9" i="8"/>
  <c r="T9" i="8"/>
  <c r="Y9" i="8"/>
  <c r="X9" i="8"/>
  <c r="S9" i="8"/>
  <c r="Z9" i="8"/>
  <c r="AA18" i="8"/>
  <c r="S18" i="8"/>
  <c r="U18" i="8"/>
  <c r="T18" i="8"/>
  <c r="Z18" i="8"/>
  <c r="X18" i="8"/>
  <c r="Y18" i="8"/>
  <c r="X36" i="9"/>
  <c r="Z36" i="9"/>
  <c r="Y36" i="9"/>
  <c r="U36" i="9"/>
  <c r="AA36" i="9"/>
  <c r="T36" i="9"/>
  <c r="X22" i="6"/>
  <c r="Z22" i="6"/>
  <c r="T22" i="6"/>
  <c r="X27" i="6"/>
  <c r="Z27" i="6"/>
  <c r="U27" i="6"/>
  <c r="T27" i="6"/>
  <c r="AA22" i="8"/>
  <c r="S22" i="8"/>
  <c r="Y22" i="8"/>
  <c r="U22" i="8"/>
  <c r="T22" i="8"/>
  <c r="Z22" i="8"/>
  <c r="X22" i="8"/>
  <c r="U43" i="8"/>
  <c r="T43" i="8"/>
  <c r="AA43" i="8"/>
  <c r="S43" i="8"/>
  <c r="Z43" i="8"/>
  <c r="Y43" i="8"/>
  <c r="X43" i="8"/>
  <c r="S36" i="9"/>
  <c r="X29" i="9"/>
  <c r="U29" i="9"/>
  <c r="T29" i="9"/>
  <c r="Z12" i="7"/>
  <c r="X12" i="7"/>
  <c r="T12" i="7"/>
  <c r="X47" i="7"/>
  <c r="T47" i="7"/>
  <c r="X48" i="9"/>
  <c r="U48" i="9"/>
  <c r="T48" i="9"/>
  <c r="S48" i="9"/>
  <c r="Y48" i="9"/>
  <c r="AA48" i="9"/>
  <c r="Z48" i="9"/>
  <c r="T30" i="6"/>
  <c r="X35" i="6"/>
  <c r="T35" i="6"/>
  <c r="T37" i="6"/>
  <c r="U12" i="8"/>
  <c r="T12" i="8"/>
  <c r="AA12" i="8"/>
  <c r="S12" i="8"/>
  <c r="Z12" i="8"/>
  <c r="Z30" i="6"/>
  <c r="Z14" i="7"/>
  <c r="X14" i="7"/>
  <c r="U14" i="7"/>
  <c r="AA25" i="7"/>
  <c r="Z25" i="7"/>
  <c r="X25" i="7"/>
  <c r="T25" i="7"/>
  <c r="T37" i="7"/>
  <c r="AA37" i="7"/>
  <c r="U24" i="8"/>
  <c r="Y24" i="8"/>
  <c r="X24" i="8"/>
  <c r="T24" i="8"/>
  <c r="Z43" i="9"/>
  <c r="Y43" i="9"/>
  <c r="X43" i="9"/>
  <c r="AA15" i="6"/>
  <c r="Z15" i="6"/>
  <c r="X39" i="6"/>
  <c r="Z39" i="6"/>
  <c r="AA22" i="7"/>
  <c r="Z22" i="7"/>
  <c r="U22" i="7"/>
  <c r="T22" i="7"/>
  <c r="Z36" i="7"/>
  <c r="Y36" i="7"/>
  <c r="X36" i="7"/>
  <c r="U31" i="8"/>
  <c r="AA31" i="8"/>
  <c r="S31" i="8"/>
  <c r="Z31" i="8"/>
  <c r="Y31" i="8"/>
  <c r="X31" i="8"/>
  <c r="U13" i="8"/>
  <c r="T13" i="8"/>
  <c r="U47" i="8"/>
  <c r="T47" i="8"/>
  <c r="AA47" i="8"/>
  <c r="S47" i="8"/>
  <c r="Y47" i="8"/>
  <c r="X47" i="8"/>
  <c r="T10" i="9"/>
  <c r="Z10" i="9"/>
  <c r="Z30" i="9"/>
  <c r="X30" i="9"/>
  <c r="U27" i="8"/>
  <c r="AA27" i="8"/>
  <c r="S27" i="8"/>
  <c r="Z27" i="8"/>
  <c r="Y27" i="8"/>
  <c r="X27" i="8"/>
  <c r="AA42" i="8"/>
  <c r="S42" i="8"/>
  <c r="Z42" i="8"/>
  <c r="Y42" i="8"/>
  <c r="T42" i="8"/>
  <c r="X42" i="8"/>
  <c r="U7" i="9"/>
  <c r="X7" i="9"/>
  <c r="Z18" i="9"/>
  <c r="X18" i="9"/>
  <c r="X7" i="8"/>
  <c r="X11" i="8"/>
  <c r="Y15" i="8"/>
  <c r="Y25" i="8"/>
  <c r="Z25" i="8"/>
  <c r="AA25" i="8"/>
  <c r="U35" i="8"/>
  <c r="T35" i="8"/>
  <c r="AA35" i="8"/>
  <c r="S35" i="8"/>
  <c r="Y28" i="9"/>
  <c r="T28" i="9"/>
  <c r="S28" i="9"/>
  <c r="Z28" i="9"/>
  <c r="Z39" i="9"/>
  <c r="X39" i="9"/>
  <c r="X44" i="9"/>
  <c r="Z44" i="9"/>
  <c r="Y44" i="9"/>
  <c r="U44" i="9"/>
  <c r="AA44" i="9"/>
  <c r="X21" i="8"/>
  <c r="U23" i="8"/>
  <c r="AA23" i="8"/>
  <c r="S23" i="8"/>
  <c r="Z23" i="8"/>
  <c r="Y29" i="8"/>
  <c r="Z29" i="8"/>
  <c r="AA34" i="8"/>
  <c r="S34" i="8"/>
  <c r="Z34" i="8"/>
  <c r="Y34" i="8"/>
  <c r="T34" i="8"/>
  <c r="X37" i="9"/>
  <c r="U37" i="9"/>
  <c r="X10" i="8"/>
  <c r="X14" i="8"/>
  <c r="X17" i="8"/>
  <c r="Z21" i="8"/>
  <c r="U39" i="8"/>
  <c r="T39" i="8"/>
  <c r="AA39" i="8"/>
  <c r="S39" i="8"/>
  <c r="Y24" i="9"/>
  <c r="AA24" i="9"/>
  <c r="Z24" i="9"/>
  <c r="T24" i="9"/>
  <c r="U11" i="6"/>
  <c r="T38" i="6"/>
  <c r="Z46" i="6"/>
  <c r="S17" i="7"/>
  <c r="U18" i="7"/>
  <c r="S7" i="8"/>
  <c r="S11" i="8"/>
  <c r="S15" i="8"/>
  <c r="Z17" i="8"/>
  <c r="U19" i="8"/>
  <c r="AA19" i="8"/>
  <c r="S19" i="8"/>
  <c r="Z19" i="8"/>
  <c r="AA21" i="8"/>
  <c r="S25" i="8"/>
  <c r="AA26" i="8"/>
  <c r="S26" i="8"/>
  <c r="Y26" i="8"/>
  <c r="T26" i="8"/>
  <c r="S29" i="8"/>
  <c r="AA30" i="8"/>
  <c r="S30" i="8"/>
  <c r="Y30" i="8"/>
  <c r="T30" i="8"/>
  <c r="U34" i="8"/>
  <c r="AA38" i="8"/>
  <c r="S38" i="8"/>
  <c r="Z38" i="8"/>
  <c r="Y38" i="8"/>
  <c r="T38" i="8"/>
  <c r="T37" i="9"/>
  <c r="T44" i="9"/>
  <c r="X28" i="8"/>
  <c r="X32" i="8"/>
  <c r="Z33" i="8"/>
  <c r="X36" i="8"/>
  <c r="Z37" i="8"/>
  <c r="X40" i="8"/>
  <c r="Z41" i="8"/>
  <c r="X44" i="8"/>
  <c r="Z45" i="8"/>
  <c r="S9" i="9"/>
  <c r="S16" i="9"/>
  <c r="X17" i="9"/>
  <c r="U21" i="9"/>
  <c r="X23" i="9"/>
  <c r="T32" i="9"/>
  <c r="Z42" i="9"/>
  <c r="X33" i="8"/>
  <c r="X37" i="8"/>
  <c r="X41" i="8"/>
  <c r="X45" i="8"/>
  <c r="AA40" i="9"/>
  <c r="T21" i="9"/>
  <c r="T23" i="9"/>
  <c r="S32" i="9"/>
  <c r="X8" i="7"/>
  <c r="X10" i="7"/>
  <c r="Z13" i="7"/>
  <c r="Z16" i="7"/>
  <c r="X27" i="7"/>
  <c r="U30" i="7"/>
  <c r="X35" i="7"/>
  <c r="X45" i="7"/>
  <c r="Z46" i="7"/>
  <c r="X16" i="7"/>
  <c r="T8" i="7"/>
  <c r="Y8" i="7"/>
  <c r="T15" i="7"/>
  <c r="X23" i="7"/>
  <c r="T26" i="7"/>
  <c r="S29" i="7"/>
  <c r="Z30" i="7"/>
  <c r="T34" i="7"/>
  <c r="T42" i="7"/>
  <c r="Z45" i="7"/>
  <c r="X48" i="7"/>
  <c r="U46" i="7"/>
  <c r="U26" i="7"/>
  <c r="T29" i="7"/>
  <c r="U34" i="7"/>
  <c r="S37" i="7"/>
  <c r="T38" i="7"/>
  <c r="U42" i="7"/>
  <c r="Y48" i="7"/>
  <c r="T46" i="7"/>
  <c r="T30" i="7"/>
  <c r="X7" i="7"/>
  <c r="Z26" i="7"/>
  <c r="X29" i="7"/>
  <c r="Z34" i="7"/>
  <c r="U38" i="7"/>
  <c r="Z42" i="7"/>
  <c r="U47" i="9"/>
  <c r="AA47" i="9"/>
  <c r="S47" i="9"/>
  <c r="Y7" i="9"/>
  <c r="AA25" i="9"/>
  <c r="S25" i="9"/>
  <c r="Z25" i="9"/>
  <c r="Y25" i="9"/>
  <c r="U27" i="9"/>
  <c r="AA27" i="9"/>
  <c r="S27" i="9"/>
  <c r="AA33" i="9"/>
  <c r="S33" i="9"/>
  <c r="Z33" i="9"/>
  <c r="Y33" i="9"/>
  <c r="U35" i="9"/>
  <c r="AA35" i="9"/>
  <c r="S35" i="9"/>
  <c r="Z7" i="9"/>
  <c r="AA7" i="9"/>
  <c r="U8" i="9"/>
  <c r="X9" i="9"/>
  <c r="U13" i="9"/>
  <c r="AA17" i="9"/>
  <c r="S17" i="9"/>
  <c r="Z17" i="9"/>
  <c r="Y17" i="9"/>
  <c r="U18" i="9"/>
  <c r="T18" i="9"/>
  <c r="AA18" i="9"/>
  <c r="S18" i="9"/>
  <c r="Y18" i="9"/>
  <c r="U19" i="9"/>
  <c r="AA19" i="9"/>
  <c r="S19" i="9"/>
  <c r="X22" i="9"/>
  <c r="Y23" i="9"/>
  <c r="T25" i="9"/>
  <c r="T33" i="9"/>
  <c r="X38" i="9"/>
  <c r="Y39" i="9"/>
  <c r="AA41" i="9"/>
  <c r="S41" i="9"/>
  <c r="Z41" i="9"/>
  <c r="Y41" i="9"/>
  <c r="U42" i="9"/>
  <c r="T42" i="9"/>
  <c r="AA42" i="9"/>
  <c r="S42" i="9"/>
  <c r="Y42" i="9"/>
  <c r="U43" i="9"/>
  <c r="AA43" i="9"/>
  <c r="S43" i="9"/>
  <c r="T47" i="9"/>
  <c r="U15" i="9"/>
  <c r="AA15" i="9"/>
  <c r="S15" i="9"/>
  <c r="U26" i="9"/>
  <c r="T26" i="9"/>
  <c r="AA26" i="9"/>
  <c r="S26" i="9"/>
  <c r="Y26" i="9"/>
  <c r="S7" i="9"/>
  <c r="Z9" i="9"/>
  <c r="Y12" i="9"/>
  <c r="U12" i="9"/>
  <c r="AA12" i="9"/>
  <c r="X15" i="9"/>
  <c r="U25" i="9"/>
  <c r="T27" i="9"/>
  <c r="AA29" i="9"/>
  <c r="S29" i="9"/>
  <c r="Z29" i="9"/>
  <c r="Y29" i="9"/>
  <c r="U30" i="9"/>
  <c r="T30" i="9"/>
  <c r="AA30" i="9"/>
  <c r="S30" i="9"/>
  <c r="Y30" i="9"/>
  <c r="U31" i="9"/>
  <c r="AA31" i="9"/>
  <c r="S31" i="9"/>
  <c r="U33" i="9"/>
  <c r="T35" i="9"/>
  <c r="X47" i="9"/>
  <c r="AA13" i="9"/>
  <c r="S13" i="9"/>
  <c r="Z13" i="9"/>
  <c r="Y13" i="9"/>
  <c r="AA45" i="9"/>
  <c r="S45" i="9"/>
  <c r="Z45" i="9"/>
  <c r="Y45" i="9"/>
  <c r="T45" i="9"/>
  <c r="T7" i="9"/>
  <c r="X8" i="9"/>
  <c r="AA9" i="9"/>
  <c r="X13" i="9"/>
  <c r="Y15" i="9"/>
  <c r="T17" i="9"/>
  <c r="X27" i="9"/>
  <c r="X35" i="9"/>
  <c r="T41" i="9"/>
  <c r="X45" i="9"/>
  <c r="Y47" i="9"/>
  <c r="U10" i="9"/>
  <c r="AA10" i="9"/>
  <c r="S10" i="9"/>
  <c r="Y10" i="9"/>
  <c r="U14" i="9"/>
  <c r="T14" i="9"/>
  <c r="AA14" i="9"/>
  <c r="S14" i="9"/>
  <c r="Y14" i="9"/>
  <c r="U46" i="9"/>
  <c r="T46" i="9"/>
  <c r="AA46" i="9"/>
  <c r="S46" i="9"/>
  <c r="Y46" i="9"/>
  <c r="U34" i="9"/>
  <c r="T34" i="9"/>
  <c r="AA34" i="9"/>
  <c r="S34" i="9"/>
  <c r="Y34" i="9"/>
  <c r="U11" i="9"/>
  <c r="AA11" i="9"/>
  <c r="S11" i="9"/>
  <c r="X10" i="9"/>
  <c r="Z14" i="9"/>
  <c r="Z15" i="9"/>
  <c r="AA21" i="9"/>
  <c r="S21" i="9"/>
  <c r="Z21" i="9"/>
  <c r="Y21" i="9"/>
  <c r="U22" i="9"/>
  <c r="T22" i="9"/>
  <c r="AA22" i="9"/>
  <c r="S22" i="9"/>
  <c r="Y22" i="9"/>
  <c r="U23" i="9"/>
  <c r="AA23" i="9"/>
  <c r="S23" i="9"/>
  <c r="X25" i="9"/>
  <c r="X26" i="9"/>
  <c r="Y27" i="9"/>
  <c r="X33" i="9"/>
  <c r="X34" i="9"/>
  <c r="Y35" i="9"/>
  <c r="AA37" i="9"/>
  <c r="S37" i="9"/>
  <c r="Z37" i="9"/>
  <c r="Y37" i="9"/>
  <c r="U38" i="9"/>
  <c r="T38" i="9"/>
  <c r="AA38" i="9"/>
  <c r="S38" i="9"/>
  <c r="Y38" i="9"/>
  <c r="U39" i="9"/>
  <c r="AA39" i="9"/>
  <c r="S39" i="9"/>
  <c r="Z46" i="9"/>
  <c r="Z47" i="9"/>
  <c r="U16" i="9"/>
  <c r="U20" i="9"/>
  <c r="U24" i="9"/>
  <c r="U28" i="9"/>
  <c r="X16" i="9"/>
  <c r="X20" i="9"/>
  <c r="X24" i="9"/>
  <c r="X28" i="9"/>
  <c r="Y9" i="7"/>
  <c r="U9" i="7"/>
  <c r="U39" i="7"/>
  <c r="AA39" i="7"/>
  <c r="S39" i="7"/>
  <c r="Z39" i="7"/>
  <c r="Y39" i="7"/>
  <c r="Y21" i="7"/>
  <c r="U21" i="7"/>
  <c r="Y33" i="7"/>
  <c r="U33" i="7"/>
  <c r="S9" i="7"/>
  <c r="AA10" i="7"/>
  <c r="S10" i="7"/>
  <c r="Y10" i="7"/>
  <c r="S41" i="7"/>
  <c r="U43" i="7"/>
  <c r="AA43" i="7"/>
  <c r="S43" i="7"/>
  <c r="Z43" i="7"/>
  <c r="Y43" i="7"/>
  <c r="U44" i="7"/>
  <c r="T44" i="7"/>
  <c r="AA44" i="7"/>
  <c r="S44" i="7"/>
  <c r="Y45" i="7"/>
  <c r="U45" i="7"/>
  <c r="AA9" i="7"/>
  <c r="U40" i="7"/>
  <c r="T40" i="7"/>
  <c r="AA40" i="7"/>
  <c r="S40" i="7"/>
  <c r="AA13" i="7"/>
  <c r="U19" i="7"/>
  <c r="AA19" i="7"/>
  <c r="S19" i="7"/>
  <c r="Z19" i="7"/>
  <c r="Y19" i="7"/>
  <c r="T9" i="7"/>
  <c r="S21" i="7"/>
  <c r="Y25" i="7"/>
  <c r="U25" i="7"/>
  <c r="U11" i="7"/>
  <c r="AA11" i="7"/>
  <c r="S11" i="7"/>
  <c r="Y11" i="7"/>
  <c r="Y12" i="7"/>
  <c r="X20" i="7"/>
  <c r="T21" i="7"/>
  <c r="Z29" i="7"/>
  <c r="S33" i="7"/>
  <c r="U35" i="7"/>
  <c r="AA35" i="7"/>
  <c r="S35" i="7"/>
  <c r="Z35" i="7"/>
  <c r="Y35" i="7"/>
  <c r="U36" i="7"/>
  <c r="T36" i="7"/>
  <c r="AA36" i="7"/>
  <c r="S36" i="7"/>
  <c r="Y37" i="7"/>
  <c r="U37" i="7"/>
  <c r="X39" i="7"/>
  <c r="Y40" i="7"/>
  <c r="X41" i="7"/>
  <c r="T43" i="7"/>
  <c r="Y13" i="7"/>
  <c r="U13" i="7"/>
  <c r="U32" i="7"/>
  <c r="T32" i="7"/>
  <c r="AA32" i="7"/>
  <c r="S32" i="7"/>
  <c r="T39" i="7"/>
  <c r="AA14" i="7"/>
  <c r="S14" i="7"/>
  <c r="Y14" i="7"/>
  <c r="U24" i="7"/>
  <c r="T24" i="7"/>
  <c r="AA24" i="7"/>
  <c r="S24" i="7"/>
  <c r="X40" i="7"/>
  <c r="T41" i="7"/>
  <c r="U8" i="7"/>
  <c r="AA8" i="7"/>
  <c r="S8" i="7"/>
  <c r="X9" i="7"/>
  <c r="T10" i="7"/>
  <c r="U15" i="7"/>
  <c r="AA15" i="7"/>
  <c r="S15" i="7"/>
  <c r="Z15" i="7"/>
  <c r="Y15" i="7"/>
  <c r="U16" i="7"/>
  <c r="T16" i="7"/>
  <c r="AA16" i="7"/>
  <c r="S16" i="7"/>
  <c r="Y17" i="7"/>
  <c r="U17" i="7"/>
  <c r="X19" i="7"/>
  <c r="X21" i="7"/>
  <c r="X32" i="7"/>
  <c r="T33" i="7"/>
  <c r="Z40" i="7"/>
  <c r="S45" i="7"/>
  <c r="U47" i="7"/>
  <c r="AA47" i="7"/>
  <c r="S47" i="7"/>
  <c r="Z47" i="7"/>
  <c r="Y47" i="7"/>
  <c r="U48" i="7"/>
  <c r="T48" i="7"/>
  <c r="AA48" i="7"/>
  <c r="S48" i="7"/>
  <c r="Y41" i="7"/>
  <c r="U41" i="7"/>
  <c r="U20" i="7"/>
  <c r="T20" i="7"/>
  <c r="AA20" i="7"/>
  <c r="S20" i="7"/>
  <c r="U31" i="7"/>
  <c r="AA31" i="7"/>
  <c r="S31" i="7"/>
  <c r="Z31" i="7"/>
  <c r="Y31" i="7"/>
  <c r="U7" i="7"/>
  <c r="AA7" i="7"/>
  <c r="S7" i="7"/>
  <c r="Y7" i="7"/>
  <c r="S13" i="7"/>
  <c r="U23" i="7"/>
  <c r="AA23" i="7"/>
  <c r="S23" i="7"/>
  <c r="Z23" i="7"/>
  <c r="Y23" i="7"/>
  <c r="T7" i="7"/>
  <c r="Z9" i="7"/>
  <c r="U10" i="7"/>
  <c r="U12" i="7"/>
  <c r="AA12" i="7"/>
  <c r="S12" i="7"/>
  <c r="X13" i="7"/>
  <c r="T14" i="7"/>
  <c r="Z20" i="7"/>
  <c r="Z21" i="7"/>
  <c r="S25" i="7"/>
  <c r="U27" i="7"/>
  <c r="AA27" i="7"/>
  <c r="S27" i="7"/>
  <c r="Z27" i="7"/>
  <c r="Y27" i="7"/>
  <c r="U28" i="7"/>
  <c r="T28" i="7"/>
  <c r="AA28" i="7"/>
  <c r="S28" i="7"/>
  <c r="Y29" i="7"/>
  <c r="U29" i="7"/>
  <c r="X31" i="7"/>
  <c r="Y32" i="7"/>
  <c r="X33" i="7"/>
  <c r="AA41" i="7"/>
  <c r="X44" i="7"/>
  <c r="T45" i="7"/>
  <c r="X22" i="7"/>
  <c r="X26" i="7"/>
  <c r="X30" i="7"/>
  <c r="X34" i="7"/>
  <c r="X38" i="7"/>
  <c r="X42" i="7"/>
  <c r="X46" i="7"/>
  <c r="X18" i="7"/>
  <c r="Y18" i="7"/>
  <c r="Y22" i="7"/>
  <c r="Y26" i="7"/>
  <c r="Y30" i="7"/>
  <c r="Y34" i="7"/>
  <c r="Y38" i="7"/>
  <c r="Y42" i="7"/>
  <c r="Y46" i="7"/>
  <c r="S18" i="7"/>
  <c r="S22" i="7"/>
  <c r="S26" i="7"/>
  <c r="S30" i="7"/>
  <c r="S34" i="7"/>
  <c r="S38" i="7"/>
  <c r="S42" i="7"/>
  <c r="S46" i="7"/>
  <c r="T20" i="6"/>
  <c r="T31" i="6"/>
  <c r="T47" i="6"/>
  <c r="Z12" i="6"/>
  <c r="T26" i="6"/>
  <c r="U31" i="6"/>
  <c r="T33" i="6"/>
  <c r="T42" i="6"/>
  <c r="U47" i="6"/>
  <c r="Z31" i="6"/>
  <c r="Z42" i="6"/>
  <c r="U35" i="6"/>
  <c r="Z16" i="6"/>
  <c r="Z26" i="6"/>
  <c r="Z47" i="6"/>
  <c r="U7" i="6"/>
  <c r="T15" i="6"/>
  <c r="T23" i="6"/>
  <c r="Z35" i="6"/>
  <c r="T39" i="6"/>
  <c r="Z7" i="6"/>
  <c r="Z11" i="6"/>
  <c r="T13" i="6"/>
  <c r="U15" i="6"/>
  <c r="U23" i="6"/>
  <c r="T25" i="6"/>
  <c r="T34" i="6"/>
  <c r="U39" i="6"/>
  <c r="T41" i="6"/>
  <c r="U10" i="6"/>
  <c r="T9" i="6"/>
  <c r="U20" i="6"/>
  <c r="U29" i="6"/>
  <c r="U33" i="6"/>
  <c r="U45" i="6"/>
  <c r="Z8" i="6"/>
  <c r="U12" i="6"/>
  <c r="U16" i="6"/>
  <c r="Z24" i="6"/>
  <c r="Z28" i="6"/>
  <c r="Z32" i="6"/>
  <c r="Z36" i="6"/>
  <c r="Z40" i="6"/>
  <c r="Z44" i="6"/>
  <c r="T10" i="6"/>
  <c r="T14" i="6"/>
  <c r="T18" i="6"/>
  <c r="T21" i="6"/>
  <c r="U26" i="6"/>
  <c r="U30" i="6"/>
  <c r="U34" i="6"/>
  <c r="U38" i="6"/>
  <c r="U42" i="6"/>
  <c r="U46" i="6"/>
  <c r="U14" i="6"/>
  <c r="U21" i="6"/>
  <c r="Z10" i="6"/>
  <c r="Z14" i="6"/>
  <c r="Z18" i="6"/>
  <c r="U25" i="6"/>
  <c r="U37" i="6"/>
  <c r="U13" i="6"/>
  <c r="U17" i="6"/>
  <c r="X20" i="6"/>
  <c r="Z21" i="6"/>
  <c r="T24" i="6"/>
  <c r="Z25" i="6"/>
  <c r="T28" i="6"/>
  <c r="Z29" i="6"/>
  <c r="T32" i="6"/>
  <c r="Z33" i="6"/>
  <c r="T36" i="6"/>
  <c r="Z37" i="6"/>
  <c r="T40" i="6"/>
  <c r="Z41" i="6"/>
  <c r="T44" i="6"/>
  <c r="Z45" i="6"/>
  <c r="T48" i="6"/>
  <c r="U41" i="6"/>
  <c r="T8" i="6"/>
  <c r="U9" i="6"/>
  <c r="U8" i="6"/>
  <c r="Z9" i="6"/>
  <c r="T12" i="6"/>
  <c r="Z13" i="6"/>
  <c r="T16" i="6"/>
  <c r="Z17" i="6"/>
  <c r="U24" i="6"/>
  <c r="U28" i="6"/>
  <c r="U32" i="6"/>
  <c r="U36" i="6"/>
  <c r="U40" i="6"/>
  <c r="U44" i="6"/>
  <c r="U48" i="6"/>
  <c r="AA19" i="6"/>
  <c r="S19" i="6"/>
  <c r="U19" i="6"/>
  <c r="T19" i="6"/>
  <c r="X19" i="6"/>
  <c r="Y19" i="6"/>
  <c r="Z19" i="6"/>
  <c r="AA18" i="6"/>
  <c r="S18" i="6"/>
  <c r="Y18" i="6"/>
  <c r="AA22" i="6"/>
  <c r="S22" i="6"/>
  <c r="Y22" i="6"/>
  <c r="X13" i="6"/>
  <c r="X7" i="6"/>
  <c r="X8" i="6"/>
  <c r="X9" i="6"/>
  <c r="X10" i="6"/>
  <c r="X11" i="6"/>
  <c r="X12" i="6"/>
  <c r="X14" i="6"/>
  <c r="X15" i="6"/>
  <c r="X16" i="6"/>
  <c r="X17" i="6"/>
  <c r="Y7" i="6"/>
  <c r="Y8" i="6"/>
  <c r="Y9" i="6"/>
  <c r="Y10" i="6"/>
  <c r="Y11" i="6"/>
  <c r="Y12" i="6"/>
  <c r="Y13" i="6"/>
  <c r="Y14" i="6"/>
  <c r="Y15" i="6"/>
  <c r="Y16" i="6"/>
  <c r="Y17" i="6"/>
  <c r="AA21" i="6"/>
  <c r="S21" i="6"/>
  <c r="Y21" i="6"/>
  <c r="S7" i="6"/>
  <c r="S8" i="6"/>
  <c r="S9" i="6"/>
  <c r="S10" i="6"/>
  <c r="S11" i="6"/>
  <c r="S12" i="6"/>
  <c r="S13" i="6"/>
  <c r="S14" i="6"/>
  <c r="S15" i="6"/>
  <c r="S16" i="6"/>
  <c r="S17" i="6"/>
  <c r="U18" i="6"/>
  <c r="AA20" i="6"/>
  <c r="S20" i="6"/>
  <c r="Y20" i="6"/>
  <c r="U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Z48" i="6"/>
  <c r="S23" i="6"/>
  <c r="AA23" i="6"/>
  <c r="S24" i="6"/>
  <c r="AA24" i="6"/>
  <c r="S25" i="6"/>
  <c r="AA25" i="6"/>
  <c r="S26" i="6"/>
  <c r="AA26" i="6"/>
  <c r="S27" i="6"/>
  <c r="AA27" i="6"/>
  <c r="S28" i="6"/>
  <c r="AA28" i="6"/>
  <c r="S29" i="6"/>
  <c r="AA29" i="6"/>
  <c r="S30" i="6"/>
  <c r="AA30" i="6"/>
  <c r="S31" i="6"/>
  <c r="AA31" i="6"/>
  <c r="S32" i="6"/>
  <c r="AA32" i="6"/>
  <c r="S33" i="6"/>
  <c r="AA33" i="6"/>
  <c r="S34" i="6"/>
  <c r="AA34" i="6"/>
  <c r="S35" i="6"/>
  <c r="AA35" i="6"/>
  <c r="S36" i="6"/>
  <c r="AA36" i="6"/>
  <c r="S37" i="6"/>
  <c r="AA37" i="6"/>
  <c r="S38" i="6"/>
  <c r="AA38" i="6"/>
  <c r="S39" i="6"/>
  <c r="AA39" i="6"/>
  <c r="S40" i="6"/>
  <c r="AA40" i="6"/>
  <c r="S41" i="6"/>
  <c r="AA41" i="6"/>
  <c r="S42" i="6"/>
  <c r="AA42" i="6"/>
  <c r="S43" i="6"/>
  <c r="AA43" i="6"/>
  <c r="S44" i="6"/>
  <c r="AA44" i="6"/>
  <c r="S45" i="6"/>
  <c r="AA45" i="6"/>
  <c r="S46" i="6"/>
  <c r="AA46" i="6"/>
  <c r="S47" i="6"/>
  <c r="AA47" i="6"/>
  <c r="S48" i="6"/>
  <c r="AA48" i="6"/>
  <c r="AC9" i="1"/>
  <c r="AC8" i="1"/>
  <c r="AC7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R16" i="8"/>
  <c r="R8" i="8"/>
  <c r="R39" i="9"/>
  <c r="R39" i="8"/>
  <c r="W34" i="11"/>
  <c r="R19" i="8"/>
  <c r="W19" i="11"/>
  <c r="R11" i="8"/>
  <c r="R32" i="8"/>
  <c r="J112" i="6"/>
  <c r="V9" i="10"/>
  <c r="W7" i="8"/>
  <c r="R46" i="8"/>
  <c r="R31" i="8"/>
  <c r="V8" i="9"/>
  <c r="R42" i="8"/>
  <c r="R45" i="8"/>
  <c r="R40" i="7"/>
  <c r="V44" i="9"/>
  <c r="W18" i="11"/>
  <c r="R48" i="7"/>
  <c r="V32" i="9"/>
  <c r="R25" i="6"/>
  <c r="W10" i="10"/>
  <c r="W39" i="10"/>
  <c r="R47" i="6"/>
  <c r="R32" i="6"/>
  <c r="R31" i="6"/>
  <c r="R37" i="7"/>
  <c r="W43" i="10"/>
  <c r="W40" i="10"/>
  <c r="W9" i="11"/>
  <c r="R30" i="9"/>
  <c r="R20" i="9"/>
  <c r="W11" i="7"/>
  <c r="W28" i="11"/>
  <c r="W36" i="9"/>
  <c r="W44" i="9"/>
  <c r="W44" i="8"/>
  <c r="R41" i="6"/>
  <c r="W43" i="8"/>
  <c r="R12" i="8"/>
  <c r="R30" i="8"/>
  <c r="R42" i="7"/>
  <c r="W37" i="11"/>
  <c r="R45" i="7"/>
  <c r="W36" i="11"/>
  <c r="V35" i="10"/>
  <c r="V20" i="11"/>
  <c r="V11" i="10"/>
  <c r="R14" i="7"/>
  <c r="R13" i="7"/>
  <c r="R46" i="9"/>
  <c r="R44" i="6"/>
  <c r="W18" i="9"/>
  <c r="W47" i="10"/>
  <c r="R17" i="7"/>
  <c r="W22" i="11"/>
  <c r="R12" i="7"/>
  <c r="W30" i="11"/>
  <c r="R25" i="7"/>
  <c r="W47" i="11"/>
  <c r="R30" i="6"/>
  <c r="V24" i="11"/>
  <c r="V33" i="10"/>
  <c r="V30" i="11"/>
  <c r="R21" i="6"/>
  <c r="V7" i="10"/>
  <c r="R29" i="6"/>
  <c r="R15" i="8"/>
  <c r="W29" i="11"/>
  <c r="R31" i="7"/>
  <c r="R10" i="9"/>
  <c r="R22" i="7"/>
  <c r="W14" i="10"/>
  <c r="V8" i="11"/>
  <c r="R8" i="9"/>
  <c r="W33" i="10"/>
  <c r="R27" i="8"/>
  <c r="J101" i="9"/>
  <c r="R11" i="9"/>
  <c r="W16" i="11"/>
  <c r="V46" i="11"/>
  <c r="W14" i="6"/>
  <c r="R13" i="9"/>
  <c r="R21" i="7"/>
  <c r="V40" i="9"/>
  <c r="W8" i="10"/>
  <c r="R20" i="7"/>
  <c r="W25" i="10"/>
  <c r="V18" i="10"/>
  <c r="W25" i="11"/>
  <c r="V17" i="11"/>
  <c r="W45" i="11"/>
  <c r="W43" i="11"/>
  <c r="R29" i="8"/>
  <c r="V45" i="8"/>
  <c r="W13" i="10"/>
  <c r="R36" i="7"/>
  <c r="J115" i="6"/>
  <c r="R42" i="6"/>
  <c r="R45" i="6"/>
  <c r="R47" i="9"/>
  <c r="R32" i="9"/>
  <c r="R22" i="8"/>
  <c r="R46" i="7"/>
  <c r="J117" i="8"/>
  <c r="R15" i="7"/>
  <c r="R20" i="6"/>
  <c r="D112" i="6"/>
  <c r="W10" i="6"/>
  <c r="R14" i="9"/>
  <c r="W37" i="10"/>
  <c r="W15" i="11"/>
  <c r="R18" i="6"/>
  <c r="W22" i="9"/>
  <c r="W23" i="10"/>
  <c r="V20" i="10"/>
  <c r="R37" i="9"/>
  <c r="R28" i="8"/>
  <c r="W38" i="11"/>
  <c r="R8" i="7"/>
  <c r="R22" i="6"/>
  <c r="R26" i="7"/>
  <c r="R21" i="8"/>
  <c r="R40" i="9"/>
  <c r="W16" i="6"/>
  <c r="R24" i="7"/>
  <c r="R8" i="6"/>
  <c r="R34" i="7"/>
  <c r="R28" i="6"/>
  <c r="W42" i="11"/>
  <c r="R26" i="9"/>
  <c r="R9" i="7"/>
  <c r="W44" i="10"/>
  <c r="R13" i="8"/>
  <c r="W10" i="7"/>
  <c r="R11" i="6"/>
  <c r="R24" i="6"/>
  <c r="R12" i="6"/>
  <c r="R48" i="8"/>
  <c r="W7" i="9"/>
  <c r="V48" i="8"/>
  <c r="V33" i="8"/>
  <c r="R37" i="6"/>
  <c r="R27" i="9"/>
  <c r="R46" i="6"/>
  <c r="R24" i="9"/>
  <c r="V40" i="8"/>
  <c r="V14" i="10"/>
  <c r="W45" i="10"/>
  <c r="R16" i="7"/>
  <c r="R7" i="6"/>
  <c r="V29" i="11"/>
  <c r="W32" i="11"/>
  <c r="W8" i="11"/>
  <c r="R9" i="6"/>
  <c r="W26" i="10"/>
  <c r="W9" i="10"/>
  <c r="V32" i="11"/>
  <c r="W23" i="11"/>
  <c r="R48" i="6"/>
  <c r="R47" i="8"/>
  <c r="R18" i="7"/>
  <c r="R33" i="6"/>
  <c r="W9" i="9"/>
  <c r="V33" i="11"/>
  <c r="W32" i="7"/>
  <c r="V13" i="10"/>
  <c r="V47" i="11"/>
  <c r="R15" i="6"/>
  <c r="W7" i="10"/>
  <c r="R29" i="9"/>
  <c r="R35" i="6"/>
  <c r="W15" i="10"/>
  <c r="V32" i="8"/>
  <c r="W30" i="10"/>
  <c r="W20" i="10"/>
  <c r="W38" i="10"/>
  <c r="R41" i="7"/>
  <c r="V24" i="8"/>
  <c r="V19" i="11"/>
  <c r="W46" i="10"/>
  <c r="V25" i="10"/>
  <c r="V41" i="8"/>
  <c r="R23" i="7"/>
  <c r="W7" i="7"/>
  <c r="W12" i="10"/>
  <c r="R27" i="7"/>
  <c r="R47" i="7"/>
  <c r="R38" i="7"/>
  <c r="R33" i="7"/>
  <c r="W17" i="10"/>
  <c r="R34" i="8"/>
  <c r="V36" i="8"/>
  <c r="W24" i="10"/>
  <c r="V26" i="11"/>
  <c r="V19" i="10"/>
  <c r="R39" i="6"/>
  <c r="V7" i="11"/>
  <c r="V22" i="10"/>
  <c r="R13" i="6"/>
  <c r="W44" i="11"/>
  <c r="W16" i="10"/>
  <c r="D114" i="6"/>
  <c r="R20" i="8"/>
  <c r="W35" i="10"/>
  <c r="W40" i="11"/>
  <c r="V29" i="10"/>
  <c r="W33" i="11"/>
  <c r="R43" i="6"/>
  <c r="R17" i="8"/>
  <c r="R37" i="8"/>
  <c r="D86" i="6"/>
  <c r="V31" i="10"/>
  <c r="V24" i="9"/>
  <c r="V24" i="10"/>
  <c r="J95" i="7"/>
  <c r="R17" i="6"/>
  <c r="W31" i="11"/>
  <c r="V12" i="9"/>
  <c r="V44" i="8"/>
  <c r="R40" i="8"/>
  <c r="R10" i="8"/>
  <c r="W41" i="11"/>
  <c r="R33" i="8"/>
  <c r="W26" i="11"/>
  <c r="W27" i="11"/>
  <c r="R28" i="7"/>
  <c r="R27" i="6"/>
  <c r="R23" i="8"/>
  <c r="V23" i="10"/>
  <c r="R38" i="6"/>
  <c r="R28" i="9"/>
  <c r="V40" i="11"/>
  <c r="V36" i="11"/>
  <c r="R35" i="8"/>
  <c r="W17" i="11"/>
  <c r="R21" i="9"/>
  <c r="R18" i="8"/>
  <c r="V21" i="10"/>
  <c r="W48" i="10"/>
  <c r="R14" i="8"/>
  <c r="R26" i="6"/>
  <c r="R35" i="9"/>
  <c r="V42" i="10"/>
  <c r="W24" i="8"/>
  <c r="R19" i="6"/>
  <c r="R45" i="9"/>
  <c r="R36" i="8"/>
  <c r="R19" i="7"/>
  <c r="V45" i="11"/>
  <c r="V37" i="7"/>
  <c r="W9" i="8"/>
  <c r="V37" i="11"/>
  <c r="R16" i="9"/>
  <c r="R43" i="7"/>
  <c r="W41" i="10"/>
  <c r="W21" i="11"/>
  <c r="V27" i="10"/>
  <c r="R40" i="6"/>
  <c r="W13" i="11"/>
  <c r="R26" i="8"/>
  <c r="W29" i="10"/>
  <c r="V11" i="11"/>
  <c r="R34" i="9"/>
  <c r="V48" i="9"/>
  <c r="D85" i="7"/>
  <c r="R48" i="9"/>
  <c r="V28" i="9"/>
  <c r="W39" i="11"/>
  <c r="R34" i="6"/>
  <c r="R19" i="9"/>
  <c r="R36" i="6"/>
  <c r="J114" i="9"/>
  <c r="W31" i="9"/>
  <c r="R25" i="8"/>
  <c r="R42" i="9"/>
  <c r="R23" i="9"/>
  <c r="W28" i="10"/>
  <c r="V14" i="8"/>
  <c r="R41" i="9"/>
  <c r="V28" i="8"/>
  <c r="V13" i="8"/>
  <c r="V17" i="8"/>
  <c r="V29" i="7"/>
  <c r="R29" i="7"/>
  <c r="V9" i="9"/>
  <c r="R35" i="7"/>
  <c r="R33" i="9"/>
  <c r="R44" i="7"/>
  <c r="R38" i="8"/>
  <c r="R38" i="9"/>
  <c r="V26" i="10"/>
  <c r="D116" i="8"/>
  <c r="R23" i="6"/>
  <c r="R30" i="7"/>
  <c r="W48" i="11"/>
  <c r="V44" i="11"/>
  <c r="W32" i="10"/>
  <c r="R12" i="9"/>
  <c r="V20" i="9"/>
  <c r="V10" i="8"/>
  <c r="R17" i="9"/>
  <c r="V36" i="9"/>
  <c r="V16" i="9"/>
  <c r="R41" i="8"/>
  <c r="W43" i="9"/>
  <c r="V28" i="11"/>
  <c r="V35" i="11"/>
  <c r="R25" i="9"/>
  <c r="V17" i="7"/>
  <c r="R39" i="7"/>
  <c r="R15" i="9"/>
  <c r="V37" i="8"/>
  <c r="V21" i="8"/>
  <c r="K101" i="9"/>
  <c r="L101" i="9"/>
  <c r="K114" i="9"/>
  <c r="L114" i="9"/>
  <c r="L112" i="6"/>
  <c r="K112" i="6"/>
  <c r="K115" i="6"/>
  <c r="L115" i="6"/>
  <c r="F112" i="6"/>
  <c r="E112" i="6"/>
  <c r="F114" i="6"/>
  <c r="E114" i="6"/>
  <c r="E86" i="6"/>
  <c r="F86" i="6"/>
  <c r="K117" i="8"/>
  <c r="L117" i="8"/>
  <c r="E116" i="8"/>
  <c r="F116" i="8"/>
  <c r="K95" i="7"/>
  <c r="L95" i="7"/>
  <c r="E85" i="7"/>
  <c r="F85" i="7"/>
  <c r="AB21" i="11" l="1"/>
  <c r="B21" i="11" s="1"/>
  <c r="AB41" i="10"/>
  <c r="B41" i="10" s="1"/>
  <c r="AB42" i="10"/>
  <c r="B42" i="10" s="1"/>
  <c r="AB27" i="11"/>
  <c r="B27" i="11" s="1"/>
  <c r="AB16" i="10"/>
  <c r="B16" i="10" s="1"/>
  <c r="AB38" i="10"/>
  <c r="B38" i="10" s="1"/>
  <c r="AB30" i="10"/>
  <c r="B30" i="10" s="1"/>
  <c r="AB25" i="11"/>
  <c r="B25" i="11" s="1"/>
  <c r="AB34" i="11"/>
  <c r="B34" i="11" s="1"/>
  <c r="AB26" i="10"/>
  <c r="B26" i="10" s="1"/>
  <c r="AB29" i="11"/>
  <c r="B29" i="11" s="1"/>
  <c r="AB47" i="11"/>
  <c r="B47" i="11" s="1"/>
  <c r="AB9" i="10"/>
  <c r="B9" i="10" s="1"/>
  <c r="AB35" i="11"/>
  <c r="B35" i="11" s="1"/>
  <c r="AB17" i="10"/>
  <c r="B17" i="10" s="1"/>
  <c r="AB32" i="10"/>
  <c r="B32" i="10" s="1"/>
  <c r="AB48" i="11"/>
  <c r="B48" i="11" s="1"/>
  <c r="AB21" i="10"/>
  <c r="B21" i="10" s="1"/>
  <c r="AB23" i="11"/>
  <c r="B23" i="11" s="1"/>
  <c r="AB31" i="11"/>
  <c r="B31" i="11" s="1"/>
  <c r="AB8" i="10"/>
  <c r="B8" i="10" s="1"/>
  <c r="AB15" i="10"/>
  <c r="B15" i="10" s="1"/>
  <c r="AB39" i="11"/>
  <c r="B39" i="11" s="1"/>
  <c r="AB28" i="10"/>
  <c r="B28" i="10" s="1"/>
  <c r="AB47" i="10"/>
  <c r="B47" i="10" s="1"/>
  <c r="AB15" i="11"/>
  <c r="B15" i="11" s="1"/>
  <c r="AB46" i="10"/>
  <c r="B46" i="10" s="1"/>
  <c r="AB42" i="11"/>
  <c r="B42" i="11" s="1"/>
  <c r="AB7" i="10"/>
  <c r="B7" i="10" s="1"/>
  <c r="AB12" i="10"/>
  <c r="B12" i="10" s="1"/>
  <c r="AB9" i="11"/>
  <c r="B9" i="11" s="1"/>
  <c r="AB39" i="10"/>
  <c r="B39" i="10" s="1"/>
  <c r="AB48" i="10"/>
  <c r="B48" i="10" s="1"/>
  <c r="AB20" i="10"/>
  <c r="B20" i="10" s="1"/>
  <c r="AB40" i="10"/>
  <c r="B40" i="10" s="1"/>
  <c r="AB7" i="11"/>
  <c r="B7" i="11" s="1"/>
  <c r="AB18" i="11"/>
  <c r="B18" i="11" s="1"/>
  <c r="AB43" i="11"/>
  <c r="B43" i="11" s="1"/>
  <c r="AB43" i="10"/>
  <c r="B43" i="10" s="1"/>
  <c r="AB31" i="10"/>
  <c r="B31" i="10" s="1"/>
  <c r="AB22" i="10"/>
  <c r="B22" i="10" s="1"/>
  <c r="AB35" i="10"/>
  <c r="B35" i="10" s="1"/>
  <c r="AB37" i="10"/>
  <c r="B37" i="10" s="1"/>
  <c r="AB14" i="10"/>
  <c r="B14" i="10" s="1"/>
  <c r="AB25" i="10"/>
  <c r="B25" i="10" s="1"/>
  <c r="AB27" i="10"/>
  <c r="B27" i="10" s="1"/>
  <c r="AB10" i="10"/>
  <c r="B10" i="10" s="1"/>
  <c r="AB19" i="10"/>
  <c r="B19" i="10" s="1"/>
  <c r="AB18" i="10"/>
  <c r="B18" i="10" s="1"/>
  <c r="AB33" i="10"/>
  <c r="B33" i="10" s="1"/>
  <c r="AB11" i="10"/>
  <c r="B11" i="10" s="1"/>
  <c r="AB44" i="10"/>
  <c r="B44" i="10" s="1"/>
  <c r="AB13" i="10"/>
  <c r="B13" i="10" s="1"/>
  <c r="AB29" i="10"/>
  <c r="B29" i="10" s="1"/>
  <c r="AB45" i="10"/>
  <c r="B45" i="10" s="1"/>
  <c r="AB24" i="10"/>
  <c r="B24" i="10" s="1"/>
  <c r="AB23" i="10"/>
  <c r="B23" i="10" s="1"/>
  <c r="AB17" i="11"/>
  <c r="B17" i="11" s="1"/>
  <c r="AB38" i="11"/>
  <c r="B38" i="11" s="1"/>
  <c r="AB32" i="11"/>
  <c r="B32" i="11" s="1"/>
  <c r="AB28" i="11"/>
  <c r="B28" i="11" s="1"/>
  <c r="AB45" i="11"/>
  <c r="B45" i="11" s="1"/>
  <c r="AB30" i="11"/>
  <c r="B30" i="11" s="1"/>
  <c r="AB40" i="11"/>
  <c r="B40" i="11" s="1"/>
  <c r="AB22" i="11"/>
  <c r="B22" i="11" s="1"/>
  <c r="AB36" i="11"/>
  <c r="B36" i="11" s="1"/>
  <c r="AB33" i="11"/>
  <c r="B33" i="11" s="1"/>
  <c r="AB13" i="11"/>
  <c r="B13" i="11" s="1"/>
  <c r="AB8" i="11"/>
  <c r="B8" i="11" s="1"/>
  <c r="AB20" i="11"/>
  <c r="B20" i="11" s="1"/>
  <c r="AB44" i="11"/>
  <c r="B44" i="11" s="1"/>
  <c r="AB16" i="11"/>
  <c r="B16" i="11" s="1"/>
  <c r="AB24" i="11"/>
  <c r="B24" i="11" s="1"/>
  <c r="AB26" i="11"/>
  <c r="B26" i="11" s="1"/>
  <c r="AB46" i="11"/>
  <c r="B46" i="11" s="1"/>
  <c r="AB37" i="11"/>
  <c r="B37" i="11" s="1"/>
  <c r="AB19" i="11"/>
  <c r="B19" i="11" s="1"/>
  <c r="AB41" i="11"/>
  <c r="B41" i="11" s="1"/>
  <c r="AB11" i="11"/>
  <c r="B11" i="11" s="1"/>
  <c r="AB44" i="8"/>
  <c r="B44" i="8" s="1"/>
  <c r="AB24" i="8"/>
  <c r="B24" i="8" s="1"/>
  <c r="AB9" i="9"/>
  <c r="B9" i="9" s="1"/>
  <c r="AB44" i="9"/>
  <c r="B44" i="9" s="1"/>
  <c r="AB36" i="9"/>
  <c r="B36" i="9" s="1"/>
  <c r="Q9" i="1"/>
  <c r="Q11" i="1"/>
  <c r="Q12" i="1"/>
  <c r="Q13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W8" i="8"/>
  <c r="W20" i="7"/>
  <c r="V30" i="8"/>
  <c r="V46" i="6"/>
  <c r="W33" i="9"/>
  <c r="W31" i="6"/>
  <c r="V27" i="7"/>
  <c r="V14" i="6"/>
  <c r="V30" i="6"/>
  <c r="V8" i="6"/>
  <c r="W17" i="6"/>
  <c r="V10" i="7"/>
  <c r="V25" i="8"/>
  <c r="V35" i="7"/>
  <c r="V47" i="6"/>
  <c r="V25" i="7"/>
  <c r="V10" i="9"/>
  <c r="V31" i="8"/>
  <c r="V45" i="9"/>
  <c r="V28" i="6"/>
  <c r="V23" i="6"/>
  <c r="W30" i="9"/>
  <c r="V18" i="7"/>
  <c r="V37" i="6"/>
  <c r="V29" i="9"/>
  <c r="V21" i="7"/>
  <c r="V38" i="9"/>
  <c r="W19" i="9"/>
  <c r="W11" i="6"/>
  <c r="W43" i="6"/>
  <c r="W23" i="6"/>
  <c r="V42" i="9"/>
  <c r="W31" i="7"/>
  <c r="V19" i="6"/>
  <c r="W38" i="7"/>
  <c r="W32" i="8"/>
  <c r="W9" i="7"/>
  <c r="W29" i="7"/>
  <c r="V27" i="8"/>
  <c r="W42" i="8"/>
  <c r="V47" i="8"/>
  <c r="W7" i="6"/>
  <c r="W48" i="9"/>
  <c r="W22" i="6"/>
  <c r="V8" i="7"/>
  <c r="W17" i="9"/>
  <c r="V10" i="6"/>
  <c r="W22" i="7"/>
  <c r="V7" i="9"/>
  <c r="W13" i="6"/>
  <c r="V36" i="6"/>
  <c r="W15" i="9"/>
  <c r="W35" i="9"/>
  <c r="W11" i="8"/>
  <c r="W47" i="6"/>
  <c r="V47" i="7"/>
  <c r="V43" i="9"/>
  <c r="W48" i="8"/>
  <c r="V25" i="6"/>
  <c r="W13" i="8"/>
  <c r="W46" i="7"/>
  <c r="W16" i="8"/>
  <c r="W21" i="7"/>
  <c r="W8" i="9"/>
  <c r="V34" i="9"/>
  <c r="W33" i="6"/>
  <c r="V23" i="8"/>
  <c r="V23" i="9"/>
  <c r="W42" i="9"/>
  <c r="W34" i="8"/>
  <c r="V29" i="6"/>
  <c r="W45" i="8"/>
  <c r="W24" i="9"/>
  <c r="W41" i="9"/>
  <c r="V22" i="8"/>
  <c r="W11" i="9"/>
  <c r="W12" i="9"/>
  <c r="W21" i="9"/>
  <c r="V41" i="9"/>
  <c r="V30" i="7"/>
  <c r="V14" i="7"/>
  <c r="W30" i="6"/>
  <c r="W25" i="9"/>
  <c r="V13" i="7"/>
  <c r="V28" i="7"/>
  <c r="W24" i="7"/>
  <c r="W32" i="9"/>
  <c r="W39" i="7"/>
  <c r="V34" i="6"/>
  <c r="V38" i="6"/>
  <c r="V18" i="9"/>
  <c r="W45" i="6"/>
  <c r="W28" i="6"/>
  <c r="V16" i="6"/>
  <c r="W36" i="8"/>
  <c r="W22" i="8"/>
  <c r="W32" i="6"/>
  <c r="V45" i="6"/>
  <c r="V44" i="6"/>
  <c r="W37" i="6"/>
  <c r="W21" i="6"/>
  <c r="V12" i="7"/>
  <c r="V47" i="9"/>
  <c r="V7" i="8"/>
  <c r="W40" i="7"/>
  <c r="V29" i="8"/>
  <c r="V11" i="7"/>
  <c r="V15" i="8"/>
  <c r="W14" i="9"/>
  <c r="W19" i="6"/>
  <c r="W44" i="7"/>
  <c r="V11" i="6"/>
  <c r="V27" i="6"/>
  <c r="V9" i="8"/>
  <c r="W10" i="8"/>
  <c r="V31" i="6"/>
  <c r="V9" i="6"/>
  <c r="V22" i="6"/>
  <c r="W48" i="7"/>
  <c r="V19" i="7"/>
  <c r="W26" i="8"/>
  <c r="W23" i="7"/>
  <c r="W17" i="8"/>
  <c r="W28" i="7"/>
  <c r="W45" i="7"/>
  <c r="W19" i="8"/>
  <c r="W41" i="6"/>
  <c r="W45" i="9"/>
  <c r="V15" i="7"/>
  <c r="W35" i="7"/>
  <c r="W16" i="9"/>
  <c r="V31" i="9"/>
  <c r="V32" i="7"/>
  <c r="V33" i="7"/>
  <c r="W13" i="7"/>
  <c r="V41" i="7"/>
  <c r="V19" i="9"/>
  <c r="V33" i="6"/>
  <c r="V15" i="9"/>
  <c r="V43" i="8"/>
  <c r="W24" i="6"/>
  <c r="W9" i="6"/>
  <c r="V26" i="6"/>
  <c r="W12" i="7"/>
  <c r="V46" i="9"/>
  <c r="V20" i="7"/>
  <c r="V7" i="7"/>
  <c r="W27" i="6"/>
  <c r="V13" i="9"/>
  <c r="V44" i="7"/>
  <c r="W35" i="8"/>
  <c r="V48" i="6"/>
  <c r="V17" i="6"/>
  <c r="W25" i="6"/>
  <c r="W46" i="6"/>
  <c r="W42" i="6"/>
  <c r="V24" i="7"/>
  <c r="V14" i="9"/>
  <c r="W38" i="6"/>
  <c r="W20" i="6"/>
  <c r="W42" i="7"/>
  <c r="V42" i="8"/>
  <c r="W34" i="6"/>
  <c r="W47" i="9"/>
  <c r="W25" i="8"/>
  <c r="V39" i="9"/>
  <c r="W40" i="8"/>
  <c r="W33" i="7"/>
  <c r="V13" i="6"/>
  <c r="W37" i="7"/>
  <c r="W40" i="9"/>
  <c r="V12" i="8"/>
  <c r="V22" i="9"/>
  <c r="V7" i="6"/>
  <c r="V26" i="9"/>
  <c r="W33" i="8"/>
  <c r="W25" i="7"/>
  <c r="W46" i="9"/>
  <c r="V35" i="6"/>
  <c r="W37" i="9"/>
  <c r="V40" i="6"/>
  <c r="V35" i="9"/>
  <c r="V30" i="9"/>
  <c r="W41" i="8"/>
  <c r="W14" i="7"/>
  <c r="V8" i="8"/>
  <c r="V25" i="9"/>
  <c r="W21" i="8"/>
  <c r="W26" i="7"/>
  <c r="V11" i="9"/>
  <c r="W47" i="8"/>
  <c r="W41" i="7"/>
  <c r="W17" i="7"/>
  <c r="V16" i="7"/>
  <c r="V23" i="7"/>
  <c r="W34" i="7"/>
  <c r="W18" i="7"/>
  <c r="W23" i="8"/>
  <c r="V42" i="7"/>
  <c r="W20" i="9"/>
  <c r="V19" i="8"/>
  <c r="W27" i="7"/>
  <c r="W20" i="8"/>
  <c r="W15" i="7"/>
  <c r="W30" i="8"/>
  <c r="W39" i="8"/>
  <c r="W36" i="6"/>
  <c r="W12" i="6"/>
  <c r="W38" i="9"/>
  <c r="W13" i="9"/>
  <c r="W8" i="6"/>
  <c r="V38" i="8"/>
  <c r="V31" i="7"/>
  <c r="W14" i="8"/>
  <c r="V20" i="6"/>
  <c r="V35" i="8"/>
  <c r="V26" i="7"/>
  <c r="W16" i="7"/>
  <c r="W10" i="9"/>
  <c r="W46" i="8"/>
  <c r="W18" i="6"/>
  <c r="W26" i="6"/>
  <c r="W37" i="8"/>
  <c r="W40" i="6"/>
  <c r="V21" i="6"/>
  <c r="V34" i="8"/>
  <c r="V24" i="6"/>
  <c r="W43" i="7"/>
  <c r="V46" i="7"/>
  <c r="V46" i="8"/>
  <c r="W36" i="7"/>
  <c r="V26" i="8"/>
  <c r="W31" i="8"/>
  <c r="W26" i="9"/>
  <c r="W27" i="9"/>
  <c r="V20" i="8"/>
  <c r="W34" i="9"/>
  <c r="V42" i="6"/>
  <c r="W38" i="8"/>
  <c r="V39" i="6"/>
  <c r="W12" i="8"/>
  <c r="W39" i="9"/>
  <c r="V36" i="7"/>
  <c r="W47" i="7"/>
  <c r="W29" i="6"/>
  <c r="W29" i="8"/>
  <c r="V43" i="6"/>
  <c r="V43" i="7"/>
  <c r="V21" i="9"/>
  <c r="W19" i="7"/>
  <c r="V32" i="6"/>
  <c r="V17" i="9"/>
  <c r="W28" i="9"/>
  <c r="W29" i="9"/>
  <c r="W30" i="7"/>
  <c r="V12" i="6"/>
  <c r="W44" i="6"/>
  <c r="V15" i="6"/>
  <c r="W15" i="8"/>
  <c r="W15" i="6"/>
  <c r="W48" i="6"/>
  <c r="V40" i="7"/>
  <c r="V45" i="7"/>
  <c r="W35" i="6"/>
  <c r="W8" i="7"/>
  <c r="V34" i="7"/>
  <c r="V39" i="8"/>
  <c r="V37" i="9"/>
  <c r="V11" i="8"/>
  <c r="W39" i="6"/>
  <c r="W27" i="8"/>
  <c r="V18" i="8"/>
  <c r="V18" i="6"/>
  <c r="W28" i="8"/>
  <c r="V48" i="7"/>
  <c r="V39" i="7"/>
  <c r="V41" i="6"/>
  <c r="V33" i="9"/>
  <c r="W23" i="9"/>
  <c r="V9" i="7"/>
  <c r="V38" i="7"/>
  <c r="V27" i="9"/>
  <c r="V16" i="8"/>
  <c r="V22" i="7"/>
  <c r="W18" i="8"/>
  <c r="AB32" i="8" l="1"/>
  <c r="B32" i="8" s="1"/>
  <c r="AB12" i="9"/>
  <c r="B12" i="9" s="1"/>
  <c r="AB21" i="8"/>
  <c r="B21" i="8" s="1"/>
  <c r="AB33" i="8"/>
  <c r="B33" i="8" s="1"/>
  <c r="AB48" i="8"/>
  <c r="B48" i="8" s="1"/>
  <c r="AB24" i="9"/>
  <c r="B24" i="9" s="1"/>
  <c r="AB13" i="8"/>
  <c r="B13" i="8" s="1"/>
  <c r="AB40" i="8"/>
  <c r="B40" i="8" s="1"/>
  <c r="AB16" i="9"/>
  <c r="B16" i="9" s="1"/>
  <c r="AB20" i="9"/>
  <c r="B20" i="9" s="1"/>
  <c r="AB10" i="8"/>
  <c r="B10" i="8" s="1"/>
  <c r="AB28" i="9"/>
  <c r="B28" i="9" s="1"/>
  <c r="AB36" i="8"/>
  <c r="B36" i="8" s="1"/>
  <c r="AB14" i="8"/>
  <c r="B14" i="8" s="1"/>
  <c r="AB28" i="8"/>
  <c r="B28" i="8" s="1"/>
  <c r="AB41" i="8"/>
  <c r="B41" i="8" s="1"/>
  <c r="AB32" i="9"/>
  <c r="B32" i="9" s="1"/>
  <c r="AB37" i="8"/>
  <c r="B37" i="8" s="1"/>
  <c r="AB8" i="9"/>
  <c r="B8" i="9" s="1"/>
  <c r="AB17" i="7"/>
  <c r="B17" i="7" s="1"/>
  <c r="AB17" i="8"/>
  <c r="B17" i="8" s="1"/>
  <c r="AB45" i="8"/>
  <c r="B45" i="8" s="1"/>
  <c r="AB48" i="9"/>
  <c r="B48" i="9" s="1"/>
  <c r="AB40" i="9"/>
  <c r="B40" i="9" s="1"/>
  <c r="AB11" i="8"/>
  <c r="B11" i="8" s="1"/>
  <c r="AB7" i="8"/>
  <c r="B7" i="8" s="1"/>
  <c r="AB19" i="8"/>
  <c r="B19" i="8" s="1"/>
  <c r="AB47" i="8"/>
  <c r="B47" i="8" s="1"/>
  <c r="AB35" i="8"/>
  <c r="B35" i="8" s="1"/>
  <c r="AB30" i="8"/>
  <c r="B30" i="8" s="1"/>
  <c r="AB8" i="8"/>
  <c r="B8" i="8" s="1"/>
  <c r="AB26" i="8"/>
  <c r="B26" i="8" s="1"/>
  <c r="AB18" i="8"/>
  <c r="B18" i="8" s="1"/>
  <c r="AB12" i="8"/>
  <c r="B12" i="8" s="1"/>
  <c r="AB25" i="8"/>
  <c r="B25" i="8" s="1"/>
  <c r="AB39" i="8"/>
  <c r="B39" i="8" s="1"/>
  <c r="AB34" i="8"/>
  <c r="B34" i="8" s="1"/>
  <c r="AB22" i="8"/>
  <c r="B22" i="8" s="1"/>
  <c r="AB27" i="8"/>
  <c r="B27" i="8" s="1"/>
  <c r="AB31" i="8"/>
  <c r="B31" i="8" s="1"/>
  <c r="AB20" i="8"/>
  <c r="B20" i="8" s="1"/>
  <c r="AB29" i="7"/>
  <c r="B29" i="7" s="1"/>
  <c r="AB29" i="8"/>
  <c r="B29" i="8" s="1"/>
  <c r="AB16" i="8"/>
  <c r="B16" i="8" s="1"/>
  <c r="AB23" i="8"/>
  <c r="B23" i="8" s="1"/>
  <c r="AB38" i="8"/>
  <c r="B38" i="8" s="1"/>
  <c r="AB42" i="8"/>
  <c r="B42" i="8" s="1"/>
  <c r="AB15" i="8"/>
  <c r="B15" i="8" s="1"/>
  <c r="AB43" i="8"/>
  <c r="B43" i="8" s="1"/>
  <c r="AB9" i="8"/>
  <c r="B9" i="8" s="1"/>
  <c r="AB46" i="8"/>
  <c r="B46" i="8" s="1"/>
  <c r="AB37" i="7"/>
  <c r="B37" i="7" s="1"/>
  <c r="AB22" i="9"/>
  <c r="B22" i="9" s="1"/>
  <c r="AB7" i="9"/>
  <c r="B7" i="9" s="1"/>
  <c r="AB43" i="9"/>
  <c r="B43" i="9" s="1"/>
  <c r="AB18" i="9"/>
  <c r="B18" i="9" s="1"/>
  <c r="AB26" i="9"/>
  <c r="B26" i="9" s="1"/>
  <c r="AB25" i="9"/>
  <c r="B25" i="9" s="1"/>
  <c r="AB31" i="9"/>
  <c r="B31" i="9" s="1"/>
  <c r="AB45" i="9"/>
  <c r="B45" i="9" s="1"/>
  <c r="AB46" i="9"/>
  <c r="B46" i="9" s="1"/>
  <c r="AB34" i="9"/>
  <c r="B34" i="9" s="1"/>
  <c r="AB39" i="9"/>
  <c r="B39" i="9" s="1"/>
  <c r="AB14" i="9"/>
  <c r="B14" i="9" s="1"/>
  <c r="AB27" i="9"/>
  <c r="B27" i="9" s="1"/>
  <c r="AB30" i="9"/>
  <c r="B30" i="9" s="1"/>
  <c r="AB33" i="9"/>
  <c r="B33" i="9" s="1"/>
  <c r="AB41" i="9"/>
  <c r="B41" i="9" s="1"/>
  <c r="AB47" i="9"/>
  <c r="B47" i="9" s="1"/>
  <c r="AB29" i="9"/>
  <c r="B29" i="9" s="1"/>
  <c r="AB13" i="9"/>
  <c r="B13" i="9" s="1"/>
  <c r="AB10" i="9"/>
  <c r="B10" i="9" s="1"/>
  <c r="AB19" i="9"/>
  <c r="B19" i="9" s="1"/>
  <c r="AB21" i="9"/>
  <c r="B21" i="9" s="1"/>
  <c r="AB23" i="9"/>
  <c r="B23" i="9" s="1"/>
  <c r="AB35" i="9"/>
  <c r="B35" i="9" s="1"/>
  <c r="AB38" i="9"/>
  <c r="B38" i="9" s="1"/>
  <c r="AB11" i="9"/>
  <c r="B11" i="9" s="1"/>
  <c r="AB17" i="9"/>
  <c r="B17" i="9" s="1"/>
  <c r="AB42" i="9"/>
  <c r="B42" i="9" s="1"/>
  <c r="AB15" i="9"/>
  <c r="B15" i="9" s="1"/>
  <c r="AB37" i="9"/>
  <c r="B37" i="9" s="1"/>
  <c r="AB25" i="7"/>
  <c r="B25" i="7" s="1"/>
  <c r="AB19" i="7"/>
  <c r="B19" i="7" s="1"/>
  <c r="AB20" i="7"/>
  <c r="B20" i="7" s="1"/>
  <c r="AB34" i="7"/>
  <c r="B34" i="7" s="1"/>
  <c r="AB39" i="7"/>
  <c r="B39" i="7" s="1"/>
  <c r="AB14" i="7"/>
  <c r="B14" i="7" s="1"/>
  <c r="AB35" i="7"/>
  <c r="B35" i="7" s="1"/>
  <c r="AB23" i="7"/>
  <c r="B23" i="7" s="1"/>
  <c r="AB44" i="7"/>
  <c r="B44" i="7" s="1"/>
  <c r="AB38" i="7"/>
  <c r="B38" i="7" s="1"/>
  <c r="AB26" i="7"/>
  <c r="B26" i="7" s="1"/>
  <c r="AB32" i="7"/>
  <c r="B32" i="7" s="1"/>
  <c r="AB7" i="7"/>
  <c r="B7" i="7" s="1"/>
  <c r="AB28" i="7"/>
  <c r="B28" i="7" s="1"/>
  <c r="AB12" i="7"/>
  <c r="B12" i="7" s="1"/>
  <c r="AB15" i="7"/>
  <c r="B15" i="7" s="1"/>
  <c r="AB36" i="7"/>
  <c r="B36" i="7" s="1"/>
  <c r="AB41" i="7"/>
  <c r="B41" i="7" s="1"/>
  <c r="AB42" i="7"/>
  <c r="B42" i="7" s="1"/>
  <c r="AB40" i="7"/>
  <c r="B40" i="7" s="1"/>
  <c r="AB10" i="7"/>
  <c r="B10" i="7" s="1"/>
  <c r="AB8" i="7"/>
  <c r="B8" i="7" s="1"/>
  <c r="AB21" i="7"/>
  <c r="B21" i="7" s="1"/>
  <c r="AB31" i="7"/>
  <c r="B31" i="7" s="1"/>
  <c r="AB43" i="7"/>
  <c r="B43" i="7" s="1"/>
  <c r="AB13" i="7"/>
  <c r="B13" i="7" s="1"/>
  <c r="AB16" i="7"/>
  <c r="B16" i="7" s="1"/>
  <c r="AB27" i="7"/>
  <c r="B27" i="7" s="1"/>
  <c r="AB9" i="7"/>
  <c r="B9" i="7" s="1"/>
  <c r="AB22" i="7"/>
  <c r="B22" i="7" s="1"/>
  <c r="AB33" i="7"/>
  <c r="B33" i="7" s="1"/>
  <c r="AB45" i="7"/>
  <c r="B45" i="7" s="1"/>
  <c r="AB48" i="7"/>
  <c r="B48" i="7" s="1"/>
  <c r="AB24" i="7"/>
  <c r="B24" i="7" s="1"/>
  <c r="AB30" i="7"/>
  <c r="B30" i="7" s="1"/>
  <c r="AB46" i="7"/>
  <c r="B46" i="7" s="1"/>
  <c r="AB18" i="7"/>
  <c r="B18" i="7" s="1"/>
  <c r="AB47" i="7"/>
  <c r="B47" i="7" s="1"/>
  <c r="AB11" i="7"/>
  <c r="B11" i="7" s="1"/>
  <c r="AB25" i="6"/>
  <c r="B25" i="6" s="1"/>
  <c r="AB42" i="6"/>
  <c r="B42" i="6" s="1"/>
  <c r="AB20" i="6"/>
  <c r="B20" i="6" s="1"/>
  <c r="AB7" i="6"/>
  <c r="B7" i="6" s="1"/>
  <c r="AB24" i="6"/>
  <c r="B24" i="6" s="1"/>
  <c r="AB29" i="6"/>
  <c r="B29" i="6" s="1"/>
  <c r="AB31" i="6"/>
  <c r="B31" i="6" s="1"/>
  <c r="AB35" i="6"/>
  <c r="B35" i="6" s="1"/>
  <c r="AB8" i="6"/>
  <c r="B8" i="6" s="1"/>
  <c r="AB43" i="6"/>
  <c r="B43" i="6" s="1"/>
  <c r="AB41" i="6"/>
  <c r="B41" i="6" s="1"/>
  <c r="AB27" i="6"/>
  <c r="B27" i="6" s="1"/>
  <c r="AB40" i="6"/>
  <c r="B40" i="6" s="1"/>
  <c r="AB34" i="6"/>
  <c r="B34" i="6" s="1"/>
  <c r="AB39" i="6"/>
  <c r="B39" i="6" s="1"/>
  <c r="AB16" i="6"/>
  <c r="B16" i="6" s="1"/>
  <c r="AB11" i="6"/>
  <c r="B11" i="6" s="1"/>
  <c r="AB45" i="6"/>
  <c r="B45" i="6" s="1"/>
  <c r="AB22" i="6"/>
  <c r="B22" i="6" s="1"/>
  <c r="AB28" i="6"/>
  <c r="B28" i="6" s="1"/>
  <c r="AB44" i="6"/>
  <c r="B44" i="6" s="1"/>
  <c r="AB26" i="6"/>
  <c r="B26" i="6" s="1"/>
  <c r="AB21" i="6"/>
  <c r="B21" i="6" s="1"/>
  <c r="AB46" i="6"/>
  <c r="B46" i="6" s="1"/>
  <c r="AB33" i="6"/>
  <c r="B33" i="6" s="1"/>
  <c r="AB18" i="6"/>
  <c r="B18" i="6" s="1"/>
  <c r="AB10" i="6"/>
  <c r="B10" i="6" s="1"/>
  <c r="AB32" i="6"/>
  <c r="B32" i="6" s="1"/>
  <c r="AB38" i="6"/>
  <c r="B38" i="6" s="1"/>
  <c r="AB13" i="6"/>
  <c r="B13" i="6" s="1"/>
  <c r="AB14" i="6"/>
  <c r="B14" i="6" s="1"/>
  <c r="AB37" i="6"/>
  <c r="B37" i="6" s="1"/>
  <c r="AB30" i="6"/>
  <c r="B30" i="6" s="1"/>
  <c r="AB9" i="6"/>
  <c r="B9" i="6" s="1"/>
  <c r="AB23" i="6"/>
  <c r="B23" i="6" s="1"/>
  <c r="AB47" i="6"/>
  <c r="B47" i="6" s="1"/>
  <c r="AB36" i="6"/>
  <c r="B36" i="6" s="1"/>
  <c r="AB17" i="6"/>
  <c r="B17" i="6" s="1"/>
  <c r="AB15" i="6"/>
  <c r="B15" i="6" s="1"/>
  <c r="AB19" i="6"/>
  <c r="B19" i="6" s="1"/>
  <c r="AB12" i="6"/>
  <c r="B12" i="6" s="1"/>
  <c r="AB48" i="6"/>
  <c r="B48" i="6" s="1"/>
  <c r="P7" i="1"/>
  <c r="S7" i="1" s="1"/>
  <c r="Z7" i="1" l="1"/>
  <c r="T7" i="1"/>
  <c r="P48" i="1" l="1"/>
  <c r="S48" i="1" s="1"/>
  <c r="P47" i="1"/>
  <c r="S47" i="1" s="1"/>
  <c r="P46" i="1"/>
  <c r="S46" i="1" s="1"/>
  <c r="P45" i="1"/>
  <c r="S45" i="1" s="1"/>
  <c r="P44" i="1"/>
  <c r="S44" i="1" s="1"/>
  <c r="P43" i="1"/>
  <c r="S43" i="1" s="1"/>
  <c r="P42" i="1"/>
  <c r="S42" i="1" s="1"/>
  <c r="P41" i="1"/>
  <c r="S41" i="1" s="1"/>
  <c r="P40" i="1"/>
  <c r="S40" i="1" s="1"/>
  <c r="P39" i="1"/>
  <c r="S39" i="1" s="1"/>
  <c r="P38" i="1"/>
  <c r="S38" i="1" s="1"/>
  <c r="P37" i="1"/>
  <c r="S37" i="1" s="1"/>
  <c r="P36" i="1"/>
  <c r="S36" i="1" s="1"/>
  <c r="P35" i="1"/>
  <c r="S35" i="1" s="1"/>
  <c r="P34" i="1"/>
  <c r="S34" i="1" s="1"/>
  <c r="P33" i="1"/>
  <c r="S33" i="1" s="1"/>
  <c r="P32" i="1"/>
  <c r="S32" i="1" s="1"/>
  <c r="P31" i="1"/>
  <c r="S31" i="1" s="1"/>
  <c r="P30" i="1"/>
  <c r="S30" i="1" s="1"/>
  <c r="P29" i="1"/>
  <c r="S29" i="1" s="1"/>
  <c r="P28" i="1"/>
  <c r="S28" i="1" s="1"/>
  <c r="P27" i="1"/>
  <c r="S27" i="1" s="1"/>
  <c r="P26" i="1"/>
  <c r="S26" i="1" s="1"/>
  <c r="P25" i="1"/>
  <c r="S25" i="1" s="1"/>
  <c r="P24" i="1"/>
  <c r="S24" i="1" s="1"/>
  <c r="P23" i="1"/>
  <c r="S23" i="1" s="1"/>
  <c r="P22" i="1"/>
  <c r="S22" i="1" s="1"/>
  <c r="P21" i="1"/>
  <c r="S21" i="1" s="1"/>
  <c r="P20" i="1"/>
  <c r="S20" i="1" s="1"/>
  <c r="P19" i="1"/>
  <c r="S19" i="1" s="1"/>
  <c r="P18" i="1"/>
  <c r="S18" i="1" s="1"/>
  <c r="P17" i="1"/>
  <c r="S17" i="1" s="1"/>
  <c r="Z17" i="1" l="1"/>
  <c r="Z25" i="1"/>
  <c r="Z41" i="1"/>
  <c r="X26" i="1"/>
  <c r="X34" i="1"/>
  <c r="X42" i="1"/>
  <c r="U19" i="1"/>
  <c r="U27" i="1"/>
  <c r="U35" i="1"/>
  <c r="U43" i="1"/>
  <c r="Z33" i="1"/>
  <c r="X18" i="1"/>
  <c r="Z21" i="1"/>
  <c r="Z29" i="1"/>
  <c r="Z37" i="1"/>
  <c r="Z45" i="1"/>
  <c r="X22" i="1"/>
  <c r="X30" i="1"/>
  <c r="X38" i="1"/>
  <c r="X46" i="1"/>
  <c r="U23" i="1"/>
  <c r="U31" i="1"/>
  <c r="U39" i="1"/>
  <c r="U47" i="1"/>
  <c r="T32" i="1"/>
  <c r="AA33" i="1"/>
  <c r="T22" i="1"/>
  <c r="T38" i="1"/>
  <c r="Y34" i="1"/>
  <c r="T30" i="1"/>
  <c r="T46" i="1"/>
  <c r="Y26" i="1"/>
  <c r="Y38" i="1"/>
  <c r="T19" i="1"/>
  <c r="T23" i="1"/>
  <c r="T27" i="1"/>
  <c r="T35" i="1"/>
  <c r="T39" i="1"/>
  <c r="T43" i="1"/>
  <c r="T47" i="1"/>
  <c r="T18" i="1"/>
  <c r="T34" i="1"/>
  <c r="Y22" i="1"/>
  <c r="Y46" i="1"/>
  <c r="T26" i="1"/>
  <c r="T42" i="1"/>
  <c r="Y18" i="1"/>
  <c r="Y30" i="1"/>
  <c r="Y42" i="1"/>
  <c r="T20" i="1"/>
  <c r="T24" i="1"/>
  <c r="T28" i="1"/>
  <c r="T36" i="1"/>
  <c r="T40" i="1"/>
  <c r="T44" i="1"/>
  <c r="T48" i="1"/>
  <c r="AA37" i="1"/>
  <c r="AA41" i="1"/>
  <c r="Z18" i="1"/>
  <c r="X19" i="1"/>
  <c r="U20" i="1"/>
  <c r="Z22" i="1"/>
  <c r="X23" i="1"/>
  <c r="U24" i="1"/>
  <c r="Z26" i="1"/>
  <c r="X27" i="1"/>
  <c r="U28" i="1"/>
  <c r="Z30" i="1"/>
  <c r="X31" i="1"/>
  <c r="U32" i="1"/>
  <c r="Z34" i="1"/>
  <c r="X35" i="1"/>
  <c r="U36" i="1"/>
  <c r="Z38" i="1"/>
  <c r="X39" i="1"/>
  <c r="U40" i="1"/>
  <c r="Z42" i="1"/>
  <c r="X43" i="1"/>
  <c r="U44" i="1"/>
  <c r="Z46" i="1"/>
  <c r="X47" i="1"/>
  <c r="U48" i="1"/>
  <c r="AA25" i="1"/>
  <c r="AA29" i="1"/>
  <c r="AA45" i="1"/>
  <c r="T17" i="1"/>
  <c r="AA18" i="1"/>
  <c r="Y19" i="1"/>
  <c r="Y23" i="1"/>
  <c r="T25" i="1"/>
  <c r="AA26" i="1"/>
  <c r="Y27" i="1"/>
  <c r="Y31" i="1"/>
  <c r="T33" i="1"/>
  <c r="AA34" i="1"/>
  <c r="Y35" i="1"/>
  <c r="T37" i="1"/>
  <c r="AA38" i="1"/>
  <c r="Y39" i="1"/>
  <c r="T41" i="1"/>
  <c r="AA42" i="1"/>
  <c r="Y43" i="1"/>
  <c r="T45" i="1"/>
  <c r="AA46" i="1"/>
  <c r="Y47" i="1"/>
  <c r="T21" i="1"/>
  <c r="AA22" i="1"/>
  <c r="T29" i="1"/>
  <c r="AA30" i="1"/>
  <c r="U17" i="1"/>
  <c r="Z19" i="1"/>
  <c r="X20" i="1"/>
  <c r="U21" i="1"/>
  <c r="Z23" i="1"/>
  <c r="X24" i="1"/>
  <c r="U25" i="1"/>
  <c r="Z27" i="1"/>
  <c r="X28" i="1"/>
  <c r="U29" i="1"/>
  <c r="Z31" i="1"/>
  <c r="X32" i="1"/>
  <c r="U33" i="1"/>
  <c r="Z35" i="1"/>
  <c r="X36" i="1"/>
  <c r="U37" i="1"/>
  <c r="Z39" i="1"/>
  <c r="X40" i="1"/>
  <c r="U41" i="1"/>
  <c r="Z43" i="1"/>
  <c r="X44" i="1"/>
  <c r="U45" i="1"/>
  <c r="Z47" i="1"/>
  <c r="X48" i="1"/>
  <c r="AA23" i="1"/>
  <c r="AA27" i="1"/>
  <c r="Y28" i="1"/>
  <c r="AA31" i="1"/>
  <c r="Y32" i="1"/>
  <c r="AA35" i="1"/>
  <c r="Y36" i="1"/>
  <c r="AA39" i="1"/>
  <c r="Y40" i="1"/>
  <c r="AA43" i="1"/>
  <c r="Y44" i="1"/>
  <c r="AA47" i="1"/>
  <c r="Y48" i="1"/>
  <c r="AA19" i="1"/>
  <c r="Y20" i="1"/>
  <c r="Y24" i="1"/>
  <c r="X17" i="1"/>
  <c r="U18" i="1"/>
  <c r="Z20" i="1"/>
  <c r="X21" i="1"/>
  <c r="U22" i="1"/>
  <c r="Z24" i="1"/>
  <c r="X25" i="1"/>
  <c r="U26" i="1"/>
  <c r="Z28" i="1"/>
  <c r="X29" i="1"/>
  <c r="U30" i="1"/>
  <c r="Z32" i="1"/>
  <c r="X33" i="1"/>
  <c r="U34" i="1"/>
  <c r="Z36" i="1"/>
  <c r="X37" i="1"/>
  <c r="U38" i="1"/>
  <c r="Z40" i="1"/>
  <c r="X41" i="1"/>
  <c r="U42" i="1"/>
  <c r="Z44" i="1"/>
  <c r="X45" i="1"/>
  <c r="U46" i="1"/>
  <c r="Z48" i="1"/>
  <c r="AA17" i="1"/>
  <c r="Y17" i="1"/>
  <c r="AA28" i="1"/>
  <c r="Y29" i="1"/>
  <c r="Y33" i="1"/>
  <c r="AA36" i="1"/>
  <c r="Y37" i="1"/>
  <c r="AA40" i="1"/>
  <c r="Y41" i="1"/>
  <c r="AA44" i="1"/>
  <c r="Y45" i="1"/>
  <c r="AA48" i="1"/>
  <c r="AA21" i="1"/>
  <c r="AA20" i="1"/>
  <c r="Y21" i="1"/>
  <c r="AA24" i="1"/>
  <c r="Y25" i="1"/>
  <c r="T31" i="1"/>
  <c r="AA32" i="1"/>
  <c r="P16" i="1"/>
  <c r="S16" i="1" s="1"/>
  <c r="P15" i="1"/>
  <c r="S15" i="1" s="1"/>
  <c r="P14" i="1"/>
  <c r="S14" i="1" s="1"/>
  <c r="P13" i="1"/>
  <c r="S13" i="1" s="1"/>
  <c r="P12" i="1"/>
  <c r="S12" i="1" s="1"/>
  <c r="P11" i="1"/>
  <c r="S11" i="1" s="1"/>
  <c r="P10" i="1"/>
  <c r="P9" i="1"/>
  <c r="P8" i="1"/>
  <c r="S8" i="1" s="1"/>
  <c r="S10" i="1" l="1"/>
  <c r="S9" i="1"/>
  <c r="Z9" i="1"/>
  <c r="AA10" i="1"/>
  <c r="Y12" i="1"/>
  <c r="T13" i="1"/>
  <c r="T11" i="1"/>
  <c r="Z14" i="1"/>
  <c r="AA9" i="1"/>
  <c r="X10" i="1"/>
  <c r="Z13" i="1"/>
  <c r="X8" i="1"/>
  <c r="X11" i="1"/>
  <c r="X13" i="1"/>
  <c r="Y11" i="1"/>
  <c r="Z12" i="1"/>
  <c r="U10" i="1"/>
  <c r="X15" i="1"/>
  <c r="Z10" i="1"/>
  <c r="U12" i="1"/>
  <c r="X16" i="1"/>
  <c r="AA15" i="1"/>
  <c r="U9" i="1"/>
  <c r="U13" i="1"/>
  <c r="Y16" i="1"/>
  <c r="AA12" i="1"/>
  <c r="Y8" i="1"/>
  <c r="X7" i="1"/>
  <c r="Y13" i="1"/>
  <c r="AA11" i="1"/>
  <c r="Y10" i="1"/>
  <c r="AA14" i="1"/>
  <c r="U11" i="1"/>
  <c r="X9" i="1"/>
  <c r="Y7" i="1"/>
  <c r="Y9" i="1"/>
  <c r="Z11" i="1"/>
  <c r="AA13" i="1"/>
  <c r="U14" i="1"/>
  <c r="X12" i="1"/>
  <c r="Y14" i="1"/>
  <c r="Z16" i="1"/>
  <c r="Z8" i="1"/>
  <c r="T9" i="1"/>
  <c r="Y15" i="1"/>
  <c r="U7" i="1"/>
  <c r="U15" i="1"/>
  <c r="Z15" i="1"/>
  <c r="AA7" i="1"/>
  <c r="U8" i="1"/>
  <c r="U16" i="1"/>
  <c r="X14" i="1"/>
  <c r="AA16" i="1"/>
  <c r="AA8" i="1"/>
  <c r="T10" i="1"/>
  <c r="T12" i="1"/>
  <c r="T15" i="1"/>
  <c r="T14" i="1"/>
  <c r="T8" i="1"/>
  <c r="T16" i="1"/>
  <c r="B3" i="1"/>
  <c r="H13" i="1"/>
  <c r="H12" i="1"/>
  <c r="H11" i="1"/>
  <c r="H10" i="1"/>
  <c r="H9" i="1"/>
  <c r="H8" i="1"/>
  <c r="H7" i="1"/>
  <c r="H18" i="1"/>
  <c r="H17" i="1"/>
  <c r="H16" i="1"/>
  <c r="H15" i="1"/>
  <c r="H14" i="1"/>
  <c r="R9" i="1"/>
  <c r="H48" i="1"/>
  <c r="B66" i="1"/>
  <c r="H26" i="1"/>
  <c r="D75" i="1"/>
  <c r="H28" i="1"/>
  <c r="H47" i="1"/>
  <c r="H32" i="1"/>
  <c r="D78" i="1"/>
  <c r="H24" i="1"/>
  <c r="B109" i="1"/>
  <c r="D115" i="1" s="1"/>
  <c r="H21" i="1"/>
  <c r="B83" i="1"/>
  <c r="D87" i="1"/>
  <c r="D76" i="1"/>
  <c r="H37" i="1"/>
  <c r="D68" i="1"/>
  <c r="D85" i="1"/>
  <c r="D118" i="1"/>
  <c r="H27" i="1"/>
  <c r="H20" i="1"/>
  <c r="D114" i="1"/>
  <c r="D72" i="1"/>
  <c r="H45" i="1"/>
  <c r="H44" i="1"/>
  <c r="H25" i="1"/>
  <c r="D69" i="1"/>
  <c r="H109" i="1"/>
  <c r="J111" i="1"/>
  <c r="H95" i="1"/>
  <c r="J101" i="1"/>
  <c r="H46" i="1"/>
  <c r="D83" i="1"/>
  <c r="H19" i="1"/>
  <c r="H43" i="1"/>
  <c r="D88" i="1"/>
  <c r="D117" i="1"/>
  <c r="B95" i="1"/>
  <c r="D95" i="1"/>
  <c r="H38" i="1"/>
  <c r="H41" i="1"/>
  <c r="H29" i="1"/>
  <c r="H22" i="1"/>
  <c r="J115" i="1"/>
  <c r="H39" i="1"/>
  <c r="D73" i="1"/>
  <c r="D97" i="1"/>
  <c r="D113" i="1"/>
  <c r="H40" i="1"/>
  <c r="J113" i="1"/>
  <c r="H34" i="1"/>
  <c r="H31" i="1"/>
  <c r="H36" i="1"/>
  <c r="H42" i="1"/>
  <c r="H23" i="1"/>
  <c r="J112" i="1"/>
  <c r="J105" i="1"/>
  <c r="D112" i="1"/>
  <c r="J99" i="1"/>
  <c r="J100" i="1"/>
  <c r="D91" i="1"/>
  <c r="J97" i="1"/>
  <c r="H33" i="1"/>
  <c r="H35" i="1"/>
  <c r="J98" i="1"/>
  <c r="H30" i="1"/>
  <c r="D90" i="1"/>
  <c r="D77" i="1"/>
  <c r="D100" i="1"/>
  <c r="D67" i="1"/>
  <c r="D110" i="1"/>
  <c r="D92" i="1"/>
  <c r="D111" i="1"/>
  <c r="D103" i="1"/>
  <c r="J110" i="1"/>
  <c r="D116" i="1"/>
  <c r="D86" i="1"/>
  <c r="D84" i="1"/>
  <c r="D89" i="1"/>
  <c r="J114" i="1"/>
  <c r="J118" i="1"/>
  <c r="J119" i="1"/>
  <c r="J95" i="1"/>
  <c r="J102" i="1"/>
  <c r="J96" i="1"/>
  <c r="J104" i="1"/>
  <c r="D104" i="1"/>
  <c r="D96" i="1"/>
  <c r="D105" i="1"/>
  <c r="D99" i="1"/>
  <c r="D102" i="1"/>
  <c r="D98" i="1"/>
  <c r="F75" i="1"/>
  <c r="E75" i="1"/>
  <c r="F78" i="1"/>
  <c r="E78" i="1"/>
  <c r="E87" i="1"/>
  <c r="F87" i="1"/>
  <c r="F76" i="1"/>
  <c r="E76" i="1"/>
  <c r="F68" i="1"/>
  <c r="E68" i="1"/>
  <c r="F85" i="1"/>
  <c r="E85" i="1"/>
  <c r="E72" i="1"/>
  <c r="F72" i="1"/>
  <c r="F69" i="1"/>
  <c r="E69" i="1"/>
  <c r="E83" i="1"/>
  <c r="F83" i="1"/>
  <c r="F88" i="1"/>
  <c r="E88" i="1"/>
  <c r="E73" i="1"/>
  <c r="F73" i="1"/>
  <c r="E91" i="1"/>
  <c r="F91" i="1"/>
  <c r="F90" i="1"/>
  <c r="E90" i="1"/>
  <c r="F77" i="1"/>
  <c r="E77" i="1"/>
  <c r="F67" i="1"/>
  <c r="E67" i="1"/>
  <c r="F92" i="1"/>
  <c r="E92" i="1"/>
  <c r="F86" i="1"/>
  <c r="E86" i="1"/>
  <c r="F84" i="1"/>
  <c r="E84" i="1"/>
  <c r="F89" i="1"/>
  <c r="E89" i="1"/>
  <c r="F115" i="1"/>
  <c r="E115" i="1"/>
  <c r="F118" i="1"/>
  <c r="E118" i="1"/>
  <c r="F114" i="1"/>
  <c r="E114" i="1"/>
  <c r="L101" i="1"/>
  <c r="K101" i="1"/>
  <c r="F117" i="1"/>
  <c r="E117" i="1"/>
  <c r="F95" i="1"/>
  <c r="E95" i="1"/>
  <c r="F97" i="1"/>
  <c r="E97" i="1"/>
  <c r="F113" i="1"/>
  <c r="E113" i="1"/>
  <c r="L105" i="1"/>
  <c r="K105" i="1"/>
  <c r="F112" i="1"/>
  <c r="E112" i="1"/>
  <c r="L99" i="1"/>
  <c r="K99" i="1"/>
  <c r="L100" i="1"/>
  <c r="K100" i="1"/>
  <c r="L97" i="1"/>
  <c r="K97" i="1"/>
  <c r="L98" i="1"/>
  <c r="K98" i="1"/>
  <c r="F100" i="1"/>
  <c r="E100" i="1"/>
  <c r="F110" i="1"/>
  <c r="E110" i="1"/>
  <c r="F111" i="1"/>
  <c r="E111" i="1"/>
  <c r="F103" i="1"/>
  <c r="E103" i="1"/>
  <c r="F116" i="1"/>
  <c r="E116" i="1"/>
  <c r="L95" i="1"/>
  <c r="K95" i="1"/>
  <c r="L102" i="1"/>
  <c r="K102" i="1"/>
  <c r="L96" i="1"/>
  <c r="K96" i="1"/>
  <c r="L104" i="1"/>
  <c r="K104" i="1"/>
  <c r="F104" i="1"/>
  <c r="E104" i="1"/>
  <c r="F96" i="1"/>
  <c r="E96" i="1"/>
  <c r="F105" i="1"/>
  <c r="E105" i="1"/>
  <c r="F99" i="1"/>
  <c r="E99" i="1"/>
  <c r="F102" i="1"/>
  <c r="E102" i="1"/>
  <c r="F98" i="1"/>
  <c r="E98" i="1"/>
  <c r="L111" i="1"/>
  <c r="K111" i="1"/>
  <c r="L115" i="1"/>
  <c r="K115" i="1"/>
  <c r="L113" i="1"/>
  <c r="K113" i="1"/>
  <c r="L112" i="1"/>
  <c r="K112" i="1"/>
  <c r="L110" i="1"/>
  <c r="K110" i="1"/>
  <c r="L114" i="1"/>
  <c r="K114" i="1"/>
  <c r="L118" i="1"/>
  <c r="K118" i="1"/>
  <c r="L119" i="1"/>
  <c r="K119" i="1"/>
  <c r="Q15" i="1" l="1"/>
  <c r="Q14" i="1"/>
  <c r="Q10" i="1"/>
  <c r="Q8" i="1"/>
  <c r="Q7" i="1"/>
  <c r="D71" i="1"/>
  <c r="D66" i="1"/>
  <c r="V7" i="1"/>
  <c r="J116" i="1"/>
  <c r="R7" i="1"/>
  <c r="V9" i="1"/>
  <c r="D70" i="1"/>
  <c r="V10" i="1"/>
  <c r="D109" i="1"/>
  <c r="J103" i="1"/>
  <c r="J117" i="1"/>
  <c r="D101" i="1"/>
  <c r="D74" i="1"/>
  <c r="J109" i="1"/>
  <c r="V8" i="1"/>
  <c r="E71" i="1"/>
  <c r="F71" i="1"/>
  <c r="E66" i="1"/>
  <c r="F66" i="1"/>
  <c r="F70" i="1"/>
  <c r="E70" i="1"/>
  <c r="E74" i="1"/>
  <c r="F74" i="1"/>
  <c r="F109" i="1"/>
  <c r="E109" i="1"/>
  <c r="L103" i="1"/>
  <c r="K103" i="1"/>
  <c r="F101" i="1"/>
  <c r="E101" i="1"/>
  <c r="L116" i="1"/>
  <c r="K116" i="1"/>
  <c r="L117" i="1"/>
  <c r="K117" i="1"/>
  <c r="L109" i="1"/>
  <c r="K109" i="1"/>
  <c r="R11" i="1"/>
  <c r="V32" i="1"/>
  <c r="V36" i="1"/>
  <c r="V28" i="1"/>
  <c r="V47" i="1"/>
  <c r="R34" i="1"/>
  <c r="R35" i="1"/>
  <c r="R43" i="1"/>
  <c r="V17" i="1"/>
  <c r="V31" i="1"/>
  <c r="V26" i="1"/>
  <c r="R47" i="1"/>
  <c r="V12" i="1"/>
  <c r="V30" i="1"/>
  <c r="R29" i="1"/>
  <c r="R10" i="1"/>
  <c r="V38" i="1"/>
  <c r="V15" i="1"/>
  <c r="R17" i="1"/>
  <c r="R19" i="1"/>
  <c r="R20" i="1"/>
  <c r="V35" i="1"/>
  <c r="R39" i="1"/>
  <c r="R27" i="1"/>
  <c r="V18" i="1"/>
  <c r="R23" i="1"/>
  <c r="V40" i="1"/>
  <c r="R25" i="1"/>
  <c r="R41" i="1"/>
  <c r="R37" i="1"/>
  <c r="V22" i="1"/>
  <c r="R13" i="1"/>
  <c r="V29" i="1"/>
  <c r="R33" i="1"/>
  <c r="V25" i="1"/>
  <c r="R14" i="1"/>
  <c r="R28" i="1"/>
  <c r="R46" i="1"/>
  <c r="V44" i="1"/>
  <c r="W7" i="1"/>
  <c r="V20" i="1"/>
  <c r="V42" i="1"/>
  <c r="R16" i="1"/>
  <c r="V16" i="1"/>
  <c r="R42" i="1"/>
  <c r="R48" i="1"/>
  <c r="R44" i="1"/>
  <c r="R15" i="1"/>
  <c r="V46" i="1"/>
  <c r="R36" i="1"/>
  <c r="V19" i="1"/>
  <c r="R26" i="1"/>
  <c r="R22" i="1"/>
  <c r="V24" i="1"/>
  <c r="V21" i="1"/>
  <c r="W9" i="1"/>
  <c r="V39" i="1"/>
  <c r="V23" i="1"/>
  <c r="R40" i="1"/>
  <c r="V27" i="1"/>
  <c r="R30" i="1"/>
  <c r="V48" i="1"/>
  <c r="R18" i="1"/>
  <c r="V37" i="1"/>
  <c r="R31" i="1"/>
  <c r="R8" i="1"/>
  <c r="V41" i="1"/>
  <c r="R38" i="1"/>
  <c r="R32" i="1"/>
  <c r="R45" i="1"/>
  <c r="V13" i="1"/>
  <c r="R21" i="1"/>
  <c r="V14" i="1"/>
  <c r="V33" i="1"/>
  <c r="R12" i="1"/>
  <c r="R24" i="1"/>
  <c r="V43" i="1"/>
  <c r="V11" i="1"/>
  <c r="V34" i="1"/>
  <c r="V45" i="1"/>
  <c r="AB7" i="1" l="1"/>
  <c r="AB9" i="1"/>
  <c r="B9" i="1" s="1"/>
  <c r="W22" i="1"/>
  <c r="W23" i="1"/>
  <c r="W46" i="1"/>
  <c r="W31" i="1"/>
  <c r="W44" i="1"/>
  <c r="W33" i="1"/>
  <c r="W41" i="1"/>
  <c r="W17" i="1"/>
  <c r="W40" i="1"/>
  <c r="W10" i="1"/>
  <c r="W21" i="1"/>
  <c r="W25" i="1"/>
  <c r="W37" i="1"/>
  <c r="W43" i="1"/>
  <c r="W11" i="1"/>
  <c r="W38" i="1"/>
  <c r="W28" i="1"/>
  <c r="W15" i="1"/>
  <c r="W29" i="1"/>
  <c r="W47" i="1"/>
  <c r="W27" i="1"/>
  <c r="W12" i="1"/>
  <c r="W36" i="1"/>
  <c r="W19" i="1"/>
  <c r="W32" i="1"/>
  <c r="W14" i="1"/>
  <c r="W24" i="1"/>
  <c r="W30" i="1"/>
  <c r="W13" i="1"/>
  <c r="W20" i="1"/>
  <c r="W8" i="1"/>
  <c r="W45" i="1"/>
  <c r="W16" i="1"/>
  <c r="W18" i="1"/>
  <c r="W42" i="1"/>
  <c r="W48" i="1"/>
  <c r="W34" i="1"/>
  <c r="W35" i="1"/>
  <c r="W26" i="1"/>
  <c r="W39" i="1"/>
  <c r="B7" i="1" l="1"/>
  <c r="AB35" i="1" l="1"/>
  <c r="B35" i="1" s="1"/>
  <c r="AB33" i="1"/>
  <c r="B33" i="1" s="1"/>
  <c r="AB16" i="1"/>
  <c r="B16" i="1" s="1"/>
  <c r="AB12" i="1"/>
  <c r="B12" i="1" s="1"/>
  <c r="AB10" i="1"/>
  <c r="B10" i="1" s="1"/>
  <c r="AB30" i="1"/>
  <c r="B30" i="1" s="1"/>
  <c r="AB29" i="1"/>
  <c r="B29" i="1" s="1"/>
  <c r="AB37" i="1"/>
  <c r="B37" i="1" s="1"/>
  <c r="AB42" i="1"/>
  <c r="B42" i="1" s="1"/>
  <c r="AB11" i="1"/>
  <c r="B11" i="1" s="1"/>
  <c r="AB28" i="1"/>
  <c r="B28" i="1" s="1"/>
  <c r="AB34" i="1"/>
  <c r="B34" i="1" s="1"/>
  <c r="AB26" i="1"/>
  <c r="B26" i="1" s="1"/>
  <c r="AB18" i="1"/>
  <c r="B18" i="1" s="1"/>
  <c r="AB36" i="1"/>
  <c r="B36" i="1" s="1"/>
  <c r="AB27" i="1"/>
  <c r="B27" i="1" s="1"/>
  <c r="AB22" i="1"/>
  <c r="B22" i="1" s="1"/>
  <c r="AB19" i="1"/>
  <c r="B19" i="1" s="1"/>
  <c r="AB21" i="1"/>
  <c r="B21" i="1" s="1"/>
  <c r="AB31" i="1"/>
  <c r="B31" i="1" s="1"/>
  <c r="AB24" i="1"/>
  <c r="B24" i="1" s="1"/>
  <c r="AB8" i="1"/>
  <c r="B8" i="1" s="1"/>
  <c r="AB13" i="1"/>
  <c r="B13" i="1" s="1"/>
  <c r="AB17" i="1"/>
  <c r="B17" i="1" s="1"/>
  <c r="AB38" i="1"/>
  <c r="B38" i="1" s="1"/>
  <c r="AB45" i="1"/>
  <c r="B45" i="1" s="1"/>
  <c r="AB20" i="1"/>
  <c r="B20" i="1" s="1"/>
  <c r="AB47" i="1"/>
  <c r="B47" i="1" s="1"/>
  <c r="AB14" i="1"/>
  <c r="B14" i="1" s="1"/>
  <c r="AB43" i="1"/>
  <c r="B43" i="1" s="1"/>
  <c r="AB44" i="1"/>
  <c r="B44" i="1" s="1"/>
  <c r="AB15" i="1"/>
  <c r="B15" i="1" s="1"/>
  <c r="AB48" i="1"/>
  <c r="B48" i="1" s="1"/>
  <c r="AB40" i="1"/>
  <c r="B40" i="1" s="1"/>
  <c r="AB41" i="1"/>
  <c r="B41" i="1" s="1"/>
  <c r="AB32" i="1"/>
  <c r="B32" i="1" s="1"/>
  <c r="AB46" i="1"/>
  <c r="B46" i="1" s="1"/>
  <c r="AB25" i="1"/>
  <c r="B25" i="1" s="1"/>
  <c r="AB23" i="1"/>
  <c r="B23" i="1" s="1"/>
  <c r="AB39" i="1"/>
  <c r="B39" i="1" s="1"/>
</calcChain>
</file>

<file path=xl/sharedStrings.xml><?xml version="1.0" encoding="utf-8"?>
<sst xmlns="http://schemas.openxmlformats.org/spreadsheetml/2006/main" count="5128" uniqueCount="154">
  <si>
    <t>Contract</t>
  </si>
  <si>
    <t>Ccy</t>
  </si>
  <si>
    <t>Trade start type</t>
  </si>
  <si>
    <t>Optionality</t>
  </si>
  <si>
    <t>Tenor</t>
  </si>
  <si>
    <t>Notional type</t>
  </si>
  <si>
    <t>Fixed leg</t>
  </si>
  <si>
    <t>Floating leg</t>
  </si>
  <si>
    <t>Payment frequency</t>
  </si>
  <si>
    <t>Day count convention</t>
  </si>
  <si>
    <t>Reference index</t>
  </si>
  <si>
    <t>Reset frequency</t>
  </si>
  <si>
    <t>EUR EURIBOR 3m &amp; 6m</t>
  </si>
  <si>
    <t xml:space="preserve">EUR </t>
  </si>
  <si>
    <t xml:space="preserve">No </t>
  </si>
  <si>
    <t xml:space="preserve">2,3,4,5,6,7,8,9,10,12,15,20,30Y </t>
  </si>
  <si>
    <t xml:space="preserve">Constant Notional </t>
  </si>
  <si>
    <t xml:space="preserve">2,3,4,5,6,7,10,15,20,30Y </t>
  </si>
  <si>
    <t>USD LIBOR 3m</t>
  </si>
  <si>
    <t xml:space="preserve">USD </t>
  </si>
  <si>
    <t xml:space="preserve">2,3,4,5, 6,7,10,12,15,20,30Y </t>
  </si>
  <si>
    <t xml:space="preserve">IMM (next two IMM dates) </t>
  </si>
  <si>
    <t xml:space="preserve">2,3,4,5,6,7,10,12,15,20,30Y </t>
  </si>
  <si>
    <t>USD LIBOR 6m</t>
  </si>
  <si>
    <t>GBP LIBOR 3m &amp; 6m</t>
  </si>
  <si>
    <t xml:space="preserve">GBP 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</si>
  <si>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</si>
  <si>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</si>
  <si>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</si>
  <si>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</si>
  <si>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</si>
  <si>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</si>
  <si>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</si>
  <si>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</si>
  <si>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</si>
  <si>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</si>
  <si>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</si>
  <si>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</si>
  <si>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30Y</t>
  </si>
  <si>
    <t>EUR6ML Spot</t>
  </si>
  <si>
    <t>Tenors</t>
  </si>
  <si>
    <t>EURIBOR6M</t>
  </si>
  <si>
    <t>30/360</t>
  </si>
  <si>
    <t>Result</t>
  </si>
  <si>
    <t>AsOfDate</t>
  </si>
  <si>
    <t>LowerBound</t>
  </si>
  <si>
    <t>UpperBound</t>
  </si>
  <si>
    <t>ANNUAL</t>
  </si>
  <si>
    <t>ACT/360</t>
  </si>
  <si>
    <t xml:space="preserve">ANNUAL OR SEMI-ANNUAL </t>
  </si>
  <si>
    <t xml:space="preserve">QUARTERLY OR SEMI-ANNUAL </t>
  </si>
  <si>
    <t xml:space="preserve">SEMI-ANNUAL OR QUARTERLY </t>
  </si>
  <si>
    <t xml:space="preserve">QUARTERLY </t>
  </si>
  <si>
    <t>Check PayFreq</t>
  </si>
  <si>
    <t>Check Notional</t>
  </si>
  <si>
    <t>Check TradeStartType</t>
  </si>
  <si>
    <t>SEMI-ANNUAL</t>
  </si>
  <si>
    <t xml:space="preserve">ACT/360 </t>
  </si>
  <si>
    <t xml:space="preserve">ACT/365F </t>
  </si>
  <si>
    <t xml:space="preserve">30/360 OR ACT/360 </t>
  </si>
  <si>
    <t>EURIBOR Spot</t>
  </si>
  <si>
    <t>EUR6ML</t>
  </si>
  <si>
    <t>EUR3ML</t>
  </si>
  <si>
    <t>USD3ML</t>
  </si>
  <si>
    <t>USD6ML</t>
  </si>
  <si>
    <t>GBP6ML</t>
  </si>
  <si>
    <t>GBP3ML</t>
  </si>
  <si>
    <t>SPOT</t>
  </si>
  <si>
    <t xml:space="preserve">SPOT (T+2) </t>
  </si>
  <si>
    <t xml:space="preserve">SPOT (T+0) </t>
  </si>
  <si>
    <t>… Formulas</t>
  </si>
  <si>
    <t>… Conditions &amp; Lookup Tables</t>
  </si>
  <si>
    <t>EUR</t>
  </si>
  <si>
    <t>Currency</t>
  </si>
  <si>
    <t>BusDayAdj</t>
  </si>
  <si>
    <t>Calendar</t>
  </si>
  <si>
    <t>GBP</t>
  </si>
  <si>
    <t>USD</t>
  </si>
  <si>
    <t>MOD_FOLLOWING</t>
  </si>
  <si>
    <t>TGT</t>
  </si>
  <si>
    <t>LNB</t>
  </si>
  <si>
    <t>NYB</t>
  </si>
  <si>
    <t>Maturity Date</t>
  </si>
  <si>
    <t>Tenor Or
 Maturity Date</t>
  </si>
  <si>
    <t>RefereceIndex 
Location</t>
  </si>
  <si>
    <t>Check
Optionality</t>
  </si>
  <si>
    <t>Check
ResetDayCount</t>
  </si>
  <si>
    <t>Check
ResetFreq</t>
  </si>
  <si>
    <t>Check
DayCount</t>
  </si>
  <si>
    <t>StartDate</t>
  </si>
  <si>
    <t>Spot(T+2)</t>
  </si>
  <si>
    <t>Spot(T+0)</t>
  </si>
  <si>
    <t>IMM</t>
  </si>
  <si>
    <t>next 1st IMM Date USD</t>
  </si>
  <si>
    <t>next 2nd IMM Date USD</t>
  </si>
  <si>
    <t>Check StartDate</t>
  </si>
  <si>
    <t>Check 
Maturity Date</t>
  </si>
  <si>
    <t>USDLIBOR3M</t>
  </si>
  <si>
    <t>USD3ML.IMM</t>
  </si>
  <si>
    <t>USD6ML.IMM</t>
  </si>
  <si>
    <t>StartDateType</t>
  </si>
  <si>
    <t>QUARTERLY</t>
  </si>
  <si>
    <t>2D</t>
  </si>
  <si>
    <t>Contract Description</t>
  </si>
  <si>
    <t>Result /  
Trade On-Venue</t>
  </si>
  <si>
    <t>INSTRUCTIONS</t>
  </si>
  <si>
    <t>1.</t>
  </si>
  <si>
    <t>Refresh the workbook using Shift-F9.</t>
  </si>
  <si>
    <t>2.</t>
  </si>
  <si>
    <t>(a)</t>
  </si>
  <si>
    <t>(b)</t>
  </si>
  <si>
    <t>(c )</t>
  </si>
  <si>
    <t>(d)</t>
  </si>
  <si>
    <t>(e )</t>
  </si>
  <si>
    <t>(f )</t>
  </si>
  <si>
    <t>(g )</t>
  </si>
  <si>
    <t>(h )</t>
  </si>
  <si>
    <t>(I )</t>
  </si>
  <si>
    <t>(j )</t>
  </si>
  <si>
    <t>(k )</t>
  </si>
  <si>
    <t>(l )</t>
  </si>
  <si>
    <t>(m )</t>
  </si>
  <si>
    <t>(n)</t>
  </si>
  <si>
    <t>3.</t>
  </si>
  <si>
    <t>Grey and Orange fields contain formulas and should not be changed.</t>
  </si>
  <si>
    <t>4.</t>
  </si>
  <si>
    <t>Once completed refresh the workbook using Shift-F9.</t>
  </si>
  <si>
    <t>5.</t>
  </si>
  <si>
    <t>Column (a) will display TRUE if a trade needs to be cleared on venue and FALSE otherwise</t>
  </si>
  <si>
    <t>(a )</t>
  </si>
  <si>
    <t>(b )</t>
  </si>
  <si>
    <t>(d )</t>
  </si>
  <si>
    <t>(n )</t>
  </si>
  <si>
    <t>INPUT GUIDE</t>
  </si>
  <si>
    <r>
      <rPr>
        <b/>
        <sz val="11"/>
        <color theme="1"/>
        <rFont val="Calibri"/>
        <family val="2"/>
        <scheme val="minor"/>
      </rPr>
      <t xml:space="preserve">Trade Start Type: </t>
    </r>
    <r>
      <rPr>
        <sz val="11"/>
        <color rgb="FF0000FF"/>
        <rFont val="Calibri"/>
        <family val="2"/>
        <scheme val="minor"/>
      </rPr>
      <t>IMM</t>
    </r>
    <r>
      <rPr>
        <sz val="11"/>
        <color theme="1"/>
        <rFont val="Calibri"/>
        <family val="2"/>
        <scheme val="minor"/>
      </rPr>
      <t xml:space="preserve"> or </t>
    </r>
    <r>
      <rPr>
        <sz val="11"/>
        <color rgb="FF0000FF"/>
        <rFont val="Calibri"/>
        <family val="2"/>
        <scheme val="minor"/>
      </rPr>
      <t>SPOT</t>
    </r>
    <r>
      <rPr>
        <sz val="11"/>
        <color theme="1"/>
        <rFont val="Calibri"/>
        <family val="2"/>
        <scheme val="minor"/>
      </rPr>
      <t xml:space="preserve"> starting</t>
    </r>
  </si>
  <si>
    <r>
      <rPr>
        <b/>
        <sz val="11"/>
        <color theme="1"/>
        <rFont val="Calibri"/>
        <family val="2"/>
        <scheme val="minor"/>
      </rPr>
      <t>Currency:</t>
    </r>
    <r>
      <rPr>
        <sz val="11"/>
        <color theme="1"/>
        <rFont val="Calibri"/>
        <family val="2"/>
        <scheme val="minor"/>
      </rPr>
      <t xml:space="preserve"> Can be </t>
    </r>
    <r>
      <rPr>
        <sz val="11"/>
        <color rgb="FF0000FF"/>
        <rFont val="Calibri"/>
        <family val="2"/>
        <scheme val="minor"/>
      </rPr>
      <t>USD,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EUR</t>
    </r>
    <r>
      <rPr>
        <sz val="11"/>
        <color theme="1"/>
        <rFont val="Calibri"/>
        <family val="2"/>
        <scheme val="minor"/>
      </rPr>
      <t xml:space="preserve"> or </t>
    </r>
    <r>
      <rPr>
        <sz val="11"/>
        <color rgb="FF0000FF"/>
        <rFont val="Calibri"/>
        <family val="2"/>
        <scheme val="minor"/>
      </rPr>
      <t>GBP</t>
    </r>
  </si>
  <si>
    <r>
      <rPr>
        <b/>
        <sz val="11"/>
        <color theme="1"/>
        <rFont val="Calibri"/>
        <family val="2"/>
        <scheme val="minor"/>
      </rPr>
      <t>Contract Description:</t>
    </r>
    <r>
      <rPr>
        <sz val="11"/>
        <color theme="1"/>
        <rFont val="Calibri"/>
        <family val="2"/>
        <scheme val="minor"/>
      </rPr>
      <t xml:space="preserve"> Free form text</t>
    </r>
  </si>
  <si>
    <r>
      <rPr>
        <b/>
        <sz val="11"/>
        <color theme="1"/>
        <rFont val="Calibri"/>
        <family val="2"/>
        <scheme val="minor"/>
      </rPr>
      <t>Optionality:</t>
    </r>
    <r>
      <rPr>
        <sz val="11"/>
        <color theme="1"/>
        <rFont val="Calibri"/>
        <family val="2"/>
        <scheme val="minor"/>
      </rPr>
      <t xml:space="preserve"> Does the the swap have optionality? </t>
    </r>
    <r>
      <rPr>
        <sz val="11"/>
        <color rgb="FF0000FF"/>
        <rFont val="Calibri"/>
        <family val="2"/>
        <scheme val="minor"/>
      </rPr>
      <t>TRUE/FALSE</t>
    </r>
  </si>
  <si>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True indicates a trade must be cleared on-venue and False otherwise. (Do not amend this column)</t>
    </r>
  </si>
  <si>
    <r>
      <rPr>
        <b/>
        <sz val="11"/>
        <color theme="1"/>
        <rFont val="Calibri"/>
        <family val="2"/>
        <scheme val="minor"/>
      </rPr>
      <t>Start Date</t>
    </r>
    <r>
      <rPr>
        <sz val="11"/>
        <color theme="1"/>
        <rFont val="Calibri"/>
        <family val="2"/>
        <scheme val="minor"/>
      </rPr>
      <t>: This is the calculated Swap Start Date (Do not amend this column)</t>
    </r>
  </si>
  <si>
    <r>
      <rPr>
        <b/>
        <sz val="11"/>
        <color theme="1"/>
        <rFont val="Calibri"/>
        <family val="2"/>
        <scheme val="minor"/>
      </rPr>
      <t>Tenor or Maturity Date:</t>
    </r>
    <r>
      <rPr>
        <sz val="11"/>
        <color theme="1"/>
        <rFont val="Calibri"/>
        <family val="2"/>
        <scheme val="minor"/>
      </rPr>
      <t xml:space="preserve"> Enter the Swap Tenor or Maturity Date</t>
    </r>
  </si>
  <si>
    <r>
      <rPr>
        <b/>
        <sz val="11"/>
        <color theme="1"/>
        <rFont val="Calibri"/>
        <family val="2"/>
        <scheme val="minor"/>
      </rPr>
      <t>Notional Type:</t>
    </r>
    <r>
      <rPr>
        <sz val="11"/>
        <color theme="1"/>
        <rFont val="Calibri"/>
        <family val="2"/>
        <scheme val="minor"/>
      </rPr>
      <t xml:space="preserve"> Does the swap have a constant notional? </t>
    </r>
    <r>
      <rPr>
        <sz val="11"/>
        <color rgb="FF0000FF"/>
        <rFont val="Calibri"/>
        <family val="2"/>
        <scheme val="minor"/>
      </rPr>
      <t>TRUE/FALSE</t>
    </r>
  </si>
  <si>
    <t>Using the below guide populate all yellow fields only.</t>
  </si>
  <si>
    <r>
      <rPr>
        <b/>
        <sz val="11"/>
        <color theme="1"/>
        <rFont val="Calibri"/>
        <family val="2"/>
        <scheme val="minor"/>
      </rPr>
      <t>Fixed Leg - Payment Frequency</t>
    </r>
    <r>
      <rPr>
        <sz val="11"/>
        <color theme="1"/>
        <rFont val="Calibri"/>
        <family val="2"/>
        <scheme val="minor"/>
      </rPr>
      <t xml:space="preserve">: Select the </t>
    </r>
    <r>
      <rPr>
        <u/>
        <sz val="11"/>
        <color theme="1"/>
        <rFont val="Calibri"/>
        <family val="2"/>
        <scheme val="minor"/>
      </rPr>
      <t>fixed leg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payment frequency</t>
    </r>
    <r>
      <rPr>
        <sz val="11"/>
        <color theme="1"/>
        <rFont val="Calibri"/>
        <family val="2"/>
        <scheme val="minor"/>
      </rPr>
      <t xml:space="preserve"> from the dropdown</t>
    </r>
  </si>
  <si>
    <r>
      <rPr>
        <b/>
        <sz val="11"/>
        <color theme="1"/>
        <rFont val="Calibri"/>
        <family val="2"/>
        <scheme val="minor"/>
      </rPr>
      <t>Fixed Leg -  Day count convention:</t>
    </r>
    <r>
      <rPr>
        <sz val="11"/>
        <color theme="1"/>
        <rFont val="Calibri"/>
        <family val="2"/>
        <scheme val="minor"/>
      </rPr>
      <t xml:space="preserve"> Select the </t>
    </r>
    <r>
      <rPr>
        <u/>
        <sz val="11"/>
        <color theme="1"/>
        <rFont val="Calibri"/>
        <family val="2"/>
        <scheme val="minor"/>
      </rPr>
      <t>fixed leg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daycount convention</t>
    </r>
    <r>
      <rPr>
        <sz val="11"/>
        <color theme="1"/>
        <rFont val="Calibri"/>
        <family val="2"/>
        <scheme val="minor"/>
      </rPr>
      <t xml:space="preserve"> from the dropdown</t>
    </r>
  </si>
  <si>
    <r>
      <rPr>
        <b/>
        <sz val="11"/>
        <color theme="1"/>
        <rFont val="Calibri"/>
        <family val="2"/>
        <scheme val="minor"/>
      </rPr>
      <t>Float Leg -Daycount convention:</t>
    </r>
    <r>
      <rPr>
        <sz val="11"/>
        <color theme="1"/>
        <rFont val="Calibri"/>
        <family val="2"/>
        <scheme val="minor"/>
      </rPr>
      <t xml:space="preserve"> Select the </t>
    </r>
    <r>
      <rPr>
        <u/>
        <sz val="11"/>
        <color theme="1"/>
        <rFont val="Calibri"/>
        <family val="2"/>
        <scheme val="minor"/>
      </rPr>
      <t>float leg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daycount convention</t>
    </r>
    <r>
      <rPr>
        <sz val="11"/>
        <color theme="1"/>
        <rFont val="Calibri"/>
        <family val="2"/>
        <scheme val="minor"/>
      </rPr>
      <t xml:space="preserve"> from the dropdown</t>
    </r>
  </si>
  <si>
    <r>
      <rPr>
        <b/>
        <sz val="11"/>
        <color theme="1"/>
        <rFont val="Calibri"/>
        <family val="2"/>
        <scheme val="minor"/>
      </rPr>
      <t>Float Leg - Reset Frequency:</t>
    </r>
    <r>
      <rPr>
        <sz val="11"/>
        <color theme="1"/>
        <rFont val="Calibri"/>
        <family val="2"/>
        <scheme val="minor"/>
      </rPr>
      <t xml:space="preserve"> Select the </t>
    </r>
    <r>
      <rPr>
        <u/>
        <sz val="11"/>
        <color theme="1"/>
        <rFont val="Calibri"/>
        <family val="2"/>
        <scheme val="minor"/>
      </rPr>
      <t>float leg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Libor frequency</t>
    </r>
    <r>
      <rPr>
        <sz val="11"/>
        <color theme="1"/>
        <rFont val="Calibri"/>
        <family val="2"/>
        <scheme val="minor"/>
      </rPr>
      <t xml:space="preserve"> from the dropdown</t>
    </r>
  </si>
  <si>
    <r>
      <rPr>
        <b/>
        <sz val="11"/>
        <color theme="1"/>
        <rFont val="Calibri"/>
        <family val="2"/>
        <scheme val="minor"/>
      </rPr>
      <t xml:space="preserve">Float Leg - Reference Index: </t>
    </r>
    <r>
      <rPr>
        <sz val="11"/>
        <color theme="1"/>
        <rFont val="Calibri"/>
        <family val="2"/>
        <scheme val="minor"/>
      </rPr>
      <t xml:space="preserve">Select the </t>
    </r>
    <r>
      <rPr>
        <u/>
        <sz val="11"/>
        <color theme="1"/>
        <rFont val="Calibri"/>
        <family val="2"/>
        <scheme val="minor"/>
      </rPr>
      <t>float leg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Libor Index</t>
    </r>
    <r>
      <rPr>
        <sz val="11"/>
        <color theme="1"/>
        <rFont val="Calibri"/>
        <family val="2"/>
        <scheme val="minor"/>
      </rPr>
      <t xml:space="preserve"> from the dropdown</t>
    </r>
  </si>
  <si>
    <t>USDLIBOR6M</t>
  </si>
  <si>
    <t>EURIBOR3M</t>
  </si>
  <si>
    <t>SpotLag (Days) /
Nth IMM month</t>
  </si>
  <si>
    <r>
      <rPr>
        <b/>
        <sz val="11"/>
        <color theme="1"/>
        <rFont val="Calibri"/>
        <family val="2"/>
        <scheme val="minor"/>
      </rPr>
      <t>Spot Lag / Nth IMM Month</t>
    </r>
    <r>
      <rPr>
        <sz val="11"/>
        <color theme="1"/>
        <rFont val="Calibri"/>
        <family val="2"/>
        <scheme val="minor"/>
      </rPr>
      <t>:</t>
    </r>
    <r>
      <rPr>
        <sz val="11"/>
        <color rgb="FF0000FF"/>
        <rFont val="Calibri"/>
        <family val="2"/>
        <scheme val="minor"/>
      </rPr>
      <t xml:space="preserve"> </t>
    </r>
    <r>
      <rPr>
        <u/>
        <sz val="11"/>
        <color rgb="FF0000FF"/>
        <rFont val="Calibri"/>
        <family val="2"/>
        <scheme val="minor"/>
      </rPr>
      <t>If Spot Starting</t>
    </r>
    <r>
      <rPr>
        <sz val="11"/>
        <color theme="1"/>
        <rFont val="Calibri"/>
        <family val="2"/>
        <scheme val="minor"/>
      </rPr>
      <t xml:space="preserve"> enter the number of days spot lag as 0, 1, 2 or </t>
    </r>
    <r>
      <rPr>
        <u/>
        <sz val="11"/>
        <color rgb="FF0000FF"/>
        <rFont val="Calibri"/>
        <family val="2"/>
        <scheme val="minor"/>
      </rPr>
      <t>if IMM Starting</t>
    </r>
    <r>
      <rPr>
        <sz val="11"/>
        <color theme="1"/>
        <rFont val="Calibri"/>
        <family val="2"/>
        <scheme val="minor"/>
      </rPr>
      <t xml:space="preserve"> enter the nth IMM month as 0, 1, 2 for the Current, 1st or 2nd IMM contract start date</t>
    </r>
  </si>
  <si>
    <t>5Y5D</t>
  </si>
  <si>
    <t>5Y6D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</si>
</sst>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d\,\ d\-mmm\-yy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rgb="FF006600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0"/>
      <color rgb="FF006600"/>
      <name val="Arial"/>
      <family val="2"/>
    </font>
    <font>
      <sz val="12"/>
      <color rgb="FF0A0101"/>
      <name val="Arial"/>
      <family val="2"/>
    </font>
    <font>
      <sz val="11"/>
      <color rgb="FF0000FF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/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/>
      <right/>
      <top/>
      <bottom style="thin">
        <color theme="0" tint="-0.14990691854609822"/>
      </bottom>
      <diagonal/>
    </border>
    <border>
      <left style="thin">
        <color theme="0" tint="-0.14990691854609822"/>
      </left>
      <right/>
      <top style="thin">
        <color theme="0" tint="-0.14993743705557422"/>
      </top>
      <bottom/>
      <diagonal/>
    </border>
    <border>
      <left/>
      <right style="thin">
        <color theme="0" tint="-0.14990691854609822"/>
      </right>
      <top style="thin">
        <color theme="0" tint="-0.14993743705557422"/>
      </top>
      <bottom/>
      <diagonal/>
    </border>
    <border>
      <left/>
      <right style="thin">
        <color theme="0" tint="-0.149906918546098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0691854609822"/>
      </right>
      <top/>
      <bottom/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4.9989318521683403E-2"/>
      </bottom>
      <diagonal/>
    </border>
    <border>
      <left/>
      <right style="thin">
        <color theme="0" tint="-0.1498764000366222"/>
      </right>
      <top style="thin">
        <color theme="0" tint="-0.14990691854609822"/>
      </top>
      <bottom/>
      <diagonal/>
    </border>
    <border>
      <left/>
      <right style="thin">
        <color theme="0" tint="-0.1498764000366222"/>
      </right>
      <top/>
      <bottom/>
      <diagonal/>
    </border>
    <border>
      <left/>
      <right style="thin">
        <color theme="0" tint="-0.1498764000366222"/>
      </right>
      <top/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0691854609822"/>
      </left>
      <right/>
      <top/>
      <bottom style="thin">
        <color theme="0" tint="-0.14987640003662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/>
      <right/>
      <top/>
      <bottom style="thin">
        <color theme="0" tint="-0.14987640003662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/>
      <top/>
      <bottom style="thin">
        <color theme="0" tint="-0.14990691854609822"/>
      </bottom>
      <diagonal/>
    </border>
    <border>
      <left style="thin">
        <color theme="0" tint="-0.1498764000366222"/>
      </left>
      <right/>
      <top style="thin">
        <color theme="0" tint="-0.1498764000366222"/>
      </top>
      <bottom/>
      <diagonal/>
    </border>
    <border>
      <left/>
      <right/>
      <top style="thin">
        <color theme="0" tint="-0.1498764000366222"/>
      </top>
      <bottom/>
      <diagonal/>
    </border>
    <border>
      <left/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764000366222"/>
      </left>
      <right/>
      <top/>
      <bottom/>
      <diagonal/>
    </border>
    <border>
      <left style="thin">
        <color theme="0" tint="-0.1498764000366222"/>
      </left>
      <right/>
      <top/>
      <bottom style="thin">
        <color theme="0" tint="-0.1498764000366222"/>
      </bottom>
      <diagonal/>
    </border>
    <border>
      <left/>
      <right style="thin">
        <color theme="0" tint="-0.1498764000366222"/>
      </right>
      <top/>
      <bottom style="thin">
        <color theme="0" tint="-0.1498764000366222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5" fontId="0" fillId="0" borderId="0" xfId="0" applyNumberFormat="1"/>
    <xf numFmtId="15" fontId="0" fillId="2" borderId="0" xfId="0" applyNumberFormat="1" applyFill="1"/>
    <xf numFmtId="0" fontId="4" fillId="3" borderId="4" xfId="0" applyFont="1" applyFill="1" applyBorder="1" applyAlignment="1">
      <alignment horizontal="center" vertical="center" wrapText="1"/>
    </xf>
    <xf numFmtId="0" fontId="1" fillId="0" borderId="0" xfId="0" applyFont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0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3" fillId="5" borderId="0" xfId="0" applyFont="1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7" fillId="4" borderId="20" xfId="0" applyFont="1" applyFill="1" applyBorder="1" applyAlignment="1">
      <alignment horizontal="center" vertical="center"/>
    </xf>
    <xf numFmtId="0" fontId="8" fillId="0" borderId="0" xfId="0" applyFont="1"/>
    <xf numFmtId="0" fontId="1" fillId="0" borderId="0" xfId="0" applyFont="1" applyAlignment="1">
      <alignment horizontal="center" vertical="center"/>
    </xf>
    <xf numFmtId="15" fontId="7" fillId="4" borderId="7" xfId="0" applyNumberFormat="1" applyFont="1" applyFill="1" applyBorder="1" applyAlignment="1">
      <alignment horizontal="center" vertical="center"/>
    </xf>
    <xf numFmtId="164" fontId="3" fillId="5" borderId="18" xfId="0" applyNumberFormat="1" applyFont="1" applyFill="1" applyBorder="1" applyAlignment="1">
      <alignment horizontal="center" vertical="center" wrapText="1"/>
    </xf>
    <xf numFmtId="164" fontId="3" fillId="5" borderId="0" xfId="0" applyNumberFormat="1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/>
    </xf>
    <xf numFmtId="0" fontId="9" fillId="4" borderId="22" xfId="0" quotePrefix="1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/>
    </xf>
    <xf numFmtId="0" fontId="9" fillId="4" borderId="0" xfId="0" quotePrefix="1" applyFont="1" applyFill="1" applyBorder="1" applyAlignment="1">
      <alignment horizontal="center" vertical="center" wrapText="1"/>
    </xf>
    <xf numFmtId="15" fontId="7" fillId="4" borderId="0" xfId="0" applyNumberFormat="1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/>
    </xf>
    <xf numFmtId="0" fontId="9" fillId="4" borderId="26" xfId="0" quotePrefix="1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164" fontId="9" fillId="4" borderId="22" xfId="0" quotePrefix="1" applyNumberFormat="1" applyFont="1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0" fillId="0" borderId="0" xfId="0" applyFont="1"/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164" fontId="9" fillId="4" borderId="0" xfId="0" quotePrefix="1" applyNumberFormat="1" applyFont="1" applyFill="1" applyBorder="1" applyAlignment="1">
      <alignment horizontal="center" vertical="center" wrapText="1"/>
    </xf>
    <xf numFmtId="164" fontId="7" fillId="4" borderId="0" xfId="0" applyNumberFormat="1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164" fontId="7" fillId="4" borderId="26" xfId="0" applyNumberFormat="1" applyFont="1" applyFill="1" applyBorder="1" applyAlignment="1">
      <alignment horizontal="center"/>
    </xf>
    <xf numFmtId="164" fontId="3" fillId="5" borderId="26" xfId="0" applyNumberFormat="1" applyFont="1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quotePrefix="1" applyFont="1" applyAlignment="1">
      <alignment horizontal="center" vertical="center"/>
    </xf>
    <xf numFmtId="0" fontId="12" fillId="0" borderId="0" xfId="0" quotePrefix="1" applyFont="1" applyAlignment="1">
      <alignment horizontal="center" vertical="center"/>
    </xf>
    <xf numFmtId="0" fontId="12" fillId="0" borderId="0" xfId="0" applyFont="1"/>
    <xf numFmtId="0" fontId="2" fillId="0" borderId="1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5" borderId="37" xfId="0" applyFont="1" applyFill="1" applyBorder="1" applyAlignment="1">
      <alignment horizontal="center" vertical="center" wrapText="1"/>
    </xf>
    <xf numFmtId="164" fontId="3" fillId="6" borderId="18" xfId="0" applyNumberFormat="1" applyFont="1" applyFill="1" applyBorder="1" applyAlignment="1">
      <alignment horizontal="center" vertical="center" wrapText="1"/>
    </xf>
    <xf numFmtId="164" fontId="3" fillId="6" borderId="0" xfId="0" applyNumberFormat="1" applyFont="1" applyFill="1" applyBorder="1" applyAlignment="1">
      <alignment horizontal="center" vertical="center" wrapText="1"/>
    </xf>
    <xf numFmtId="164" fontId="3" fillId="6" borderId="19" xfId="0" applyNumberFormat="1" applyFont="1" applyFill="1" applyBorder="1" applyAlignment="1">
      <alignment horizontal="center" vertical="center" wrapText="1"/>
    </xf>
    <xf numFmtId="164" fontId="3" fillId="6" borderId="26" xfId="0" applyNumberFormat="1" applyFont="1" applyFill="1" applyBorder="1" applyAlignment="1">
      <alignment horizontal="center" vertical="center" wrapText="1"/>
    </xf>
    <xf numFmtId="0" fontId="7" fillId="4" borderId="39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164" fontId="3" fillId="6" borderId="22" xfId="0" applyNumberFormat="1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7" fillId="4" borderId="41" xfId="0" applyFont="1" applyFill="1" applyBorder="1" applyAlignment="1">
      <alignment horizontal="center" vertical="center"/>
    </xf>
    <xf numFmtId="0" fontId="7" fillId="4" borderId="42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 vertical="center" wrapText="1"/>
    </xf>
    <xf numFmtId="0" fontId="3" fillId="6" borderId="43" xfId="0" applyFont="1" applyFill="1" applyBorder="1" applyAlignment="1">
      <alignment horizontal="center" vertical="center" wrapText="1"/>
    </xf>
    <xf numFmtId="0" fontId="7" fillId="4" borderId="44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46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2" fillId="5" borderId="47" xfId="0" applyFont="1" applyFill="1" applyBorder="1" applyAlignment="1">
      <alignment horizontal="center" vertical="center" wrapText="1"/>
    </xf>
    <xf numFmtId="0" fontId="3" fillId="5" borderId="48" xfId="0" applyFont="1" applyFill="1" applyBorder="1" applyAlignment="1">
      <alignment horizontal="center" vertical="center" wrapText="1"/>
    </xf>
    <xf numFmtId="0" fontId="3" fillId="6" borderId="48" xfId="0" applyFont="1" applyFill="1" applyBorder="1" applyAlignment="1">
      <alignment horizontal="center" vertical="center" wrapText="1"/>
    </xf>
    <xf numFmtId="164" fontId="9" fillId="4" borderId="48" xfId="0" quotePrefix="1" applyNumberFormat="1" applyFont="1" applyFill="1" applyBorder="1" applyAlignment="1">
      <alignment horizontal="center" vertical="center" wrapText="1"/>
    </xf>
    <xf numFmtId="164" fontId="3" fillId="6" borderId="48" xfId="0" applyNumberFormat="1" applyFont="1" applyFill="1" applyBorder="1" applyAlignment="1">
      <alignment horizontal="center" vertical="center" wrapText="1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2" fillId="5" borderId="50" xfId="0" applyFont="1" applyFill="1" applyBorder="1" applyAlignment="1">
      <alignment horizontal="center" vertical="center" wrapText="1"/>
    </xf>
    <xf numFmtId="0" fontId="0" fillId="5" borderId="34" xfId="0" applyFill="1" applyBorder="1" applyAlignment="1">
      <alignment horizontal="center"/>
    </xf>
    <xf numFmtId="0" fontId="2" fillId="5" borderId="51" xfId="0" applyFont="1" applyFill="1" applyBorder="1" applyAlignment="1">
      <alignment horizontal="center" vertical="center" wrapText="1"/>
    </xf>
    <xf numFmtId="164" fontId="7" fillId="4" borderId="43" xfId="0" applyNumberFormat="1" applyFont="1" applyFill="1" applyBorder="1" applyAlignment="1">
      <alignment horizontal="center"/>
    </xf>
    <xf numFmtId="164" fontId="3" fillId="6" borderId="43" xfId="0" applyNumberFormat="1" applyFont="1" applyFill="1" applyBorder="1" applyAlignment="1">
      <alignment horizontal="center" vertical="center" wrapText="1"/>
    </xf>
    <xf numFmtId="0" fontId="0" fillId="5" borderId="43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99"/>
      <color rgb="FF0000FF"/>
      <color rgb="FFFF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2:O42"/>
  <sheetViews>
    <sheetView showGridLines="0" workbookViewId="0"/>
  </sheetViews>
  <sheetFormatPr defaultRowHeight="15" x14ac:dyDescent="0.25"/>
  <cols>
    <col min="2" max="2" width="14.28515625" bestFit="1" customWidth="1"/>
    <col min="3" max="9" width="15.7109375" customWidth="1"/>
    <col min="10" max="10" width="17.7109375" bestFit="1" customWidth="1"/>
    <col min="11" max="15" width="15.7109375" customWidth="1"/>
  </cols>
  <sheetData>
    <row r="2" spans="1:15" x14ac:dyDescent="0.25">
      <c r="B2" s="12" t="s">
        <v>105</v>
      </c>
    </row>
    <row r="3" spans="1:15" x14ac:dyDescent="0.25">
      <c r="B3" s="81" t="s">
        <v>106</v>
      </c>
      <c r="C3" s="82" t="s">
        <v>107</v>
      </c>
    </row>
    <row r="4" spans="1:15" x14ac:dyDescent="0.25">
      <c r="B4" s="81" t="s">
        <v>108</v>
      </c>
      <c r="C4" s="82" t="s">
        <v>142</v>
      </c>
    </row>
    <row r="5" spans="1:15" x14ac:dyDescent="0.25">
      <c r="B5" s="81" t="s">
        <v>123</v>
      </c>
      <c r="C5" s="82" t="s">
        <v>124</v>
      </c>
    </row>
    <row r="6" spans="1:15" x14ac:dyDescent="0.25">
      <c r="B6" s="81" t="s">
        <v>125</v>
      </c>
      <c r="C6" s="82" t="s">
        <v>126</v>
      </c>
    </row>
    <row r="7" spans="1:15" x14ac:dyDescent="0.25">
      <c r="B7" s="81" t="s">
        <v>127</v>
      </c>
      <c r="C7" s="82" t="s">
        <v>128</v>
      </c>
    </row>
    <row r="10" spans="1:15" x14ac:dyDescent="0.25">
      <c r="B10" s="30" t="s">
        <v>44</v>
      </c>
    </row>
    <row r="11" spans="1:15" x14ac:dyDescent="0.25">
      <c r="B11" s="31">
        <v>43087</v>
      </c>
      <c r="I11" s="9"/>
    </row>
    <row r="13" spans="1:15" x14ac:dyDescent="0.25">
      <c r="B13" s="79" t="s">
        <v>109</v>
      </c>
      <c r="C13" s="79" t="s">
        <v>110</v>
      </c>
      <c r="D13" s="80" t="s">
        <v>111</v>
      </c>
      <c r="E13" s="79" t="s">
        <v>112</v>
      </c>
      <c r="F13" s="79" t="s">
        <v>113</v>
      </c>
      <c r="G13" s="79" t="s">
        <v>114</v>
      </c>
      <c r="H13" s="79" t="s">
        <v>115</v>
      </c>
      <c r="I13" s="79" t="s">
        <v>116</v>
      </c>
      <c r="J13" s="79" t="s">
        <v>117</v>
      </c>
      <c r="K13" s="79" t="s">
        <v>118</v>
      </c>
      <c r="L13" s="79" t="s">
        <v>119</v>
      </c>
      <c r="M13" s="79" t="s">
        <v>120</v>
      </c>
      <c r="N13" s="79" t="s">
        <v>121</v>
      </c>
      <c r="O13" s="79" t="s">
        <v>122</v>
      </c>
    </row>
    <row r="14" spans="1:15" ht="15" customHeight="1" x14ac:dyDescent="0.25">
      <c r="B14" s="123" t="s">
        <v>104</v>
      </c>
      <c r="C14" s="121" t="s">
        <v>103</v>
      </c>
      <c r="D14" s="121" t="s">
        <v>1</v>
      </c>
      <c r="E14" s="121" t="s">
        <v>2</v>
      </c>
      <c r="F14" s="122" t="s">
        <v>150</v>
      </c>
      <c r="G14" s="121" t="s">
        <v>3</v>
      </c>
      <c r="H14" s="121" t="s">
        <v>89</v>
      </c>
      <c r="I14" s="121" t="s">
        <v>83</v>
      </c>
      <c r="J14" s="121" t="s">
        <v>5</v>
      </c>
      <c r="K14" s="127" t="s">
        <v>6</v>
      </c>
      <c r="L14" s="127"/>
      <c r="M14" s="127" t="s">
        <v>7</v>
      </c>
      <c r="N14" s="127"/>
      <c r="O14" s="127"/>
    </row>
    <row r="15" spans="1:15" ht="25.5" x14ac:dyDescent="0.25">
      <c r="B15" s="124"/>
      <c r="C15" s="122"/>
      <c r="D15" s="122"/>
      <c r="E15" s="122"/>
      <c r="F15" s="125"/>
      <c r="G15" s="122"/>
      <c r="H15" s="126"/>
      <c r="I15" s="122"/>
      <c r="J15" s="122"/>
      <c r="K15" s="56" t="s">
        <v>8</v>
      </c>
      <c r="L15" s="56" t="s">
        <v>9</v>
      </c>
      <c r="M15" s="56" t="s">
        <v>10</v>
      </c>
      <c r="N15" s="56" t="s">
        <v>11</v>
      </c>
      <c r="O15" s="56" t="s">
        <v>9</v>
      </c>
    </row>
    <row r="16" spans="1:15" x14ac:dyDescent="0.25">
      <c r="A16" s="29"/>
      <c r="B16" s="28" t="b">
        <v>1</v>
      </c>
      <c r="C16" s="59" t="s">
        <v>97</v>
      </c>
      <c r="D16" s="25" t="s">
        <v>77</v>
      </c>
      <c r="E16" s="61" t="s">
        <v>92</v>
      </c>
      <c r="F16" s="25">
        <v>1</v>
      </c>
      <c r="G16" s="25" t="s">
        <v>14</v>
      </c>
      <c r="H16" s="44">
        <v>43089</v>
      </c>
      <c r="I16" s="32" t="s">
        <v>29</v>
      </c>
      <c r="J16" s="26" t="s">
        <v>16</v>
      </c>
      <c r="K16" s="26" t="s">
        <v>47</v>
      </c>
      <c r="L16" s="26" t="s">
        <v>42</v>
      </c>
      <c r="M16" s="26" t="s">
        <v>98</v>
      </c>
      <c r="N16" s="26" t="s">
        <v>101</v>
      </c>
      <c r="O16" s="45" t="s">
        <v>48</v>
      </c>
    </row>
    <row r="17" spans="1:15" x14ac:dyDescent="0.25">
      <c r="A17" s="29"/>
      <c r="B17" s="49" t="b">
        <v>1</v>
      </c>
      <c r="C17" s="60" t="s">
        <v>97</v>
      </c>
      <c r="D17" s="22" t="s">
        <v>77</v>
      </c>
      <c r="E17" s="62" t="s">
        <v>92</v>
      </c>
      <c r="F17" s="22">
        <v>2</v>
      </c>
      <c r="G17" s="22" t="s">
        <v>14</v>
      </c>
      <c r="H17" s="57">
        <v>43180</v>
      </c>
      <c r="I17" s="33" t="s">
        <v>29</v>
      </c>
      <c r="J17" s="23" t="s">
        <v>16</v>
      </c>
      <c r="K17" s="23" t="s">
        <v>47</v>
      </c>
      <c r="L17" s="23" t="s">
        <v>42</v>
      </c>
      <c r="M17" s="23" t="s">
        <v>98</v>
      </c>
      <c r="N17" s="23" t="s">
        <v>101</v>
      </c>
      <c r="O17" s="46" t="s">
        <v>48</v>
      </c>
    </row>
    <row r="18" spans="1:15" x14ac:dyDescent="0.25">
      <c r="A18" s="29"/>
      <c r="B18" s="49" t="b">
        <v>0</v>
      </c>
      <c r="C18" s="60" t="s">
        <v>41</v>
      </c>
      <c r="D18" s="22" t="s">
        <v>77</v>
      </c>
      <c r="E18" s="62" t="s">
        <v>67</v>
      </c>
      <c r="F18" s="22" t="s">
        <v>102</v>
      </c>
      <c r="G18" s="22" t="s">
        <v>14</v>
      </c>
      <c r="H18" s="57">
        <v>43089</v>
      </c>
      <c r="I18" s="33">
        <v>43466</v>
      </c>
      <c r="J18" s="23" t="s">
        <v>16</v>
      </c>
      <c r="K18" s="23" t="s">
        <v>47</v>
      </c>
      <c r="L18" s="23" t="s">
        <v>42</v>
      </c>
      <c r="M18" s="23" t="s">
        <v>61</v>
      </c>
      <c r="N18" s="23" t="s">
        <v>56</v>
      </c>
      <c r="O18" s="46" t="s">
        <v>48</v>
      </c>
    </row>
    <row r="19" spans="1:15" x14ac:dyDescent="0.25">
      <c r="A19" s="29"/>
      <c r="B19" s="49" t="b">
        <v>1</v>
      </c>
      <c r="C19" s="60" t="s">
        <v>41</v>
      </c>
      <c r="D19" s="22" t="s">
        <v>77</v>
      </c>
      <c r="E19" s="62" t="s">
        <v>67</v>
      </c>
      <c r="F19" s="22" t="s">
        <v>102</v>
      </c>
      <c r="G19" s="22" t="s">
        <v>14</v>
      </c>
      <c r="H19" s="57">
        <v>43089</v>
      </c>
      <c r="I19" s="33" t="s">
        <v>29</v>
      </c>
      <c r="J19" s="23" t="s">
        <v>16</v>
      </c>
      <c r="K19" s="23" t="s">
        <v>47</v>
      </c>
      <c r="L19" s="23" t="s">
        <v>42</v>
      </c>
      <c r="M19" s="23" t="s">
        <v>61</v>
      </c>
      <c r="N19" s="23" t="s">
        <v>56</v>
      </c>
      <c r="O19" s="46" t="s">
        <v>48</v>
      </c>
    </row>
    <row r="20" spans="1:15" x14ac:dyDescent="0.25">
      <c r="A20" s="29"/>
      <c r="B20" s="49" t="b">
        <v>1</v>
      </c>
      <c r="C20" s="60" t="s">
        <v>41</v>
      </c>
      <c r="D20" s="22" t="s">
        <v>77</v>
      </c>
      <c r="E20" s="62" t="s">
        <v>67</v>
      </c>
      <c r="F20" s="22" t="s">
        <v>102</v>
      </c>
      <c r="G20" s="22" t="s">
        <v>14</v>
      </c>
      <c r="H20" s="57">
        <v>43089</v>
      </c>
      <c r="I20" s="33" t="s">
        <v>29</v>
      </c>
      <c r="J20" s="23" t="s">
        <v>16</v>
      </c>
      <c r="K20" s="23" t="s">
        <v>47</v>
      </c>
      <c r="L20" s="23" t="s">
        <v>42</v>
      </c>
      <c r="M20" s="23" t="s">
        <v>61</v>
      </c>
      <c r="N20" s="23" t="s">
        <v>56</v>
      </c>
      <c r="O20" s="46" t="s">
        <v>48</v>
      </c>
    </row>
    <row r="21" spans="1:15" x14ac:dyDescent="0.25">
      <c r="A21" s="29"/>
      <c r="B21" s="49" t="b">
        <v>1</v>
      </c>
      <c r="C21" s="60" t="s">
        <v>41</v>
      </c>
      <c r="D21" s="22" t="s">
        <v>77</v>
      </c>
      <c r="E21" s="62" t="s">
        <v>67</v>
      </c>
      <c r="F21" s="22" t="s">
        <v>102</v>
      </c>
      <c r="G21" s="22" t="s">
        <v>14</v>
      </c>
      <c r="H21" s="58">
        <v>43089</v>
      </c>
      <c r="I21" s="33" t="s">
        <v>29</v>
      </c>
      <c r="J21" s="23" t="s">
        <v>16</v>
      </c>
      <c r="K21" s="23" t="s">
        <v>47</v>
      </c>
      <c r="L21" s="23" t="s">
        <v>42</v>
      </c>
      <c r="M21" s="23" t="s">
        <v>61</v>
      </c>
      <c r="N21" s="23" t="s">
        <v>56</v>
      </c>
      <c r="O21" s="46" t="s">
        <v>48</v>
      </c>
    </row>
    <row r="22" spans="1:15" x14ac:dyDescent="0.25">
      <c r="A22" s="29"/>
      <c r="B22" s="49" t="b">
        <v>1</v>
      </c>
      <c r="C22" s="60" t="s">
        <v>41</v>
      </c>
      <c r="D22" s="22" t="s">
        <v>77</v>
      </c>
      <c r="E22" s="62" t="s">
        <v>67</v>
      </c>
      <c r="F22" s="22" t="s">
        <v>102</v>
      </c>
      <c r="G22" s="22" t="s">
        <v>14</v>
      </c>
      <c r="H22" s="58">
        <v>43089</v>
      </c>
      <c r="I22" s="33" t="s">
        <v>29</v>
      </c>
      <c r="J22" s="23" t="s">
        <v>16</v>
      </c>
      <c r="K22" s="23" t="s">
        <v>47</v>
      </c>
      <c r="L22" s="23" t="s">
        <v>42</v>
      </c>
      <c r="M22" s="23" t="s">
        <v>61</v>
      </c>
      <c r="N22" s="23" t="s">
        <v>56</v>
      </c>
      <c r="O22" s="46" t="s">
        <v>48</v>
      </c>
    </row>
    <row r="23" spans="1:15" x14ac:dyDescent="0.25">
      <c r="A23" s="29"/>
      <c r="B23" s="49" t="b">
        <v>1</v>
      </c>
      <c r="C23" s="60" t="s">
        <v>41</v>
      </c>
      <c r="D23" s="22" t="s">
        <v>77</v>
      </c>
      <c r="E23" s="62" t="s">
        <v>67</v>
      </c>
      <c r="F23" s="22" t="s">
        <v>102</v>
      </c>
      <c r="G23" s="22" t="s">
        <v>14</v>
      </c>
      <c r="H23" s="58">
        <v>43089</v>
      </c>
      <c r="I23" s="33" t="s">
        <v>29</v>
      </c>
      <c r="J23" s="23" t="s">
        <v>16</v>
      </c>
      <c r="K23" s="23" t="s">
        <v>47</v>
      </c>
      <c r="L23" s="23" t="s">
        <v>42</v>
      </c>
      <c r="M23" s="23" t="s">
        <v>61</v>
      </c>
      <c r="N23" s="23" t="s">
        <v>56</v>
      </c>
      <c r="O23" s="46" t="s">
        <v>48</v>
      </c>
    </row>
    <row r="24" spans="1:15" x14ac:dyDescent="0.25">
      <c r="A24" s="29"/>
      <c r="B24" s="49" t="b">
        <v>1</v>
      </c>
      <c r="C24" s="60" t="s">
        <v>41</v>
      </c>
      <c r="D24" s="22" t="s">
        <v>77</v>
      </c>
      <c r="E24" s="62" t="s">
        <v>67</v>
      </c>
      <c r="F24" s="22" t="s">
        <v>102</v>
      </c>
      <c r="G24" s="22" t="s">
        <v>14</v>
      </c>
      <c r="H24" s="58">
        <v>43089</v>
      </c>
      <c r="I24" s="33" t="s">
        <v>29</v>
      </c>
      <c r="J24" s="23" t="s">
        <v>16</v>
      </c>
      <c r="K24" s="23" t="s">
        <v>47</v>
      </c>
      <c r="L24" s="23" t="s">
        <v>42</v>
      </c>
      <c r="M24" s="23" t="s">
        <v>61</v>
      </c>
      <c r="N24" s="23" t="s">
        <v>56</v>
      </c>
      <c r="O24" s="46" t="s">
        <v>48</v>
      </c>
    </row>
    <row r="25" spans="1:15" x14ac:dyDescent="0.25">
      <c r="A25" s="29"/>
      <c r="B25" s="50" t="b">
        <v>1</v>
      </c>
      <c r="C25" s="72" t="s">
        <v>41</v>
      </c>
      <c r="D25" s="73" t="s">
        <v>77</v>
      </c>
      <c r="E25" s="74" t="s">
        <v>67</v>
      </c>
      <c r="F25" s="73" t="s">
        <v>102</v>
      </c>
      <c r="G25" s="73" t="s">
        <v>14</v>
      </c>
      <c r="H25" s="75">
        <v>43089</v>
      </c>
      <c r="I25" s="76" t="s">
        <v>29</v>
      </c>
      <c r="J25" s="77" t="s">
        <v>16</v>
      </c>
      <c r="K25" s="77" t="s">
        <v>47</v>
      </c>
      <c r="L25" s="77" t="s">
        <v>42</v>
      </c>
      <c r="M25" s="77" t="s">
        <v>61</v>
      </c>
      <c r="N25" s="77" t="s">
        <v>56</v>
      </c>
      <c r="O25" s="78" t="s">
        <v>48</v>
      </c>
    </row>
    <row r="28" spans="1:15" x14ac:dyDescent="0.25">
      <c r="B28" s="12" t="s">
        <v>133</v>
      </c>
    </row>
    <row r="29" spans="1:15" x14ac:dyDescent="0.25">
      <c r="B29" s="79" t="s">
        <v>129</v>
      </c>
      <c r="C29" t="s">
        <v>138</v>
      </c>
    </row>
    <row r="30" spans="1:15" x14ac:dyDescent="0.25">
      <c r="B30" s="79" t="s">
        <v>130</v>
      </c>
      <c r="C30" t="s">
        <v>136</v>
      </c>
    </row>
    <row r="31" spans="1:15" x14ac:dyDescent="0.25">
      <c r="B31" s="80" t="s">
        <v>111</v>
      </c>
      <c r="C31" t="s">
        <v>135</v>
      </c>
    </row>
    <row r="32" spans="1:15" x14ac:dyDescent="0.25">
      <c r="B32" s="79" t="s">
        <v>131</v>
      </c>
      <c r="C32" t="s">
        <v>134</v>
      </c>
    </row>
    <row r="33" spans="2:3" x14ac:dyDescent="0.25">
      <c r="B33" s="79" t="s">
        <v>113</v>
      </c>
      <c r="C33" t="s">
        <v>151</v>
      </c>
    </row>
    <row r="34" spans="2:3" x14ac:dyDescent="0.25">
      <c r="B34" s="79" t="s">
        <v>114</v>
      </c>
      <c r="C34" t="s">
        <v>137</v>
      </c>
    </row>
    <row r="35" spans="2:3" x14ac:dyDescent="0.25">
      <c r="B35" s="79" t="s">
        <v>115</v>
      </c>
      <c r="C35" t="s">
        <v>139</v>
      </c>
    </row>
    <row r="36" spans="2:3" x14ac:dyDescent="0.25">
      <c r="B36" s="79" t="s">
        <v>116</v>
      </c>
      <c r="C36" t="s">
        <v>140</v>
      </c>
    </row>
    <row r="37" spans="2:3" x14ac:dyDescent="0.25">
      <c r="B37" s="79" t="s">
        <v>117</v>
      </c>
      <c r="C37" t="s">
        <v>141</v>
      </c>
    </row>
    <row r="38" spans="2:3" x14ac:dyDescent="0.25">
      <c r="B38" s="79" t="s">
        <v>118</v>
      </c>
      <c r="C38" t="s">
        <v>143</v>
      </c>
    </row>
    <row r="39" spans="2:3" x14ac:dyDescent="0.25">
      <c r="B39" s="79" t="s">
        <v>119</v>
      </c>
      <c r="C39" t="s">
        <v>144</v>
      </c>
    </row>
    <row r="40" spans="2:3" x14ac:dyDescent="0.25">
      <c r="B40" s="79" t="s">
        <v>120</v>
      </c>
      <c r="C40" t="s">
        <v>147</v>
      </c>
    </row>
    <row r="41" spans="2:3" x14ac:dyDescent="0.25">
      <c r="B41" s="79" t="s">
        <v>121</v>
      </c>
      <c r="C41" t="s">
        <v>146</v>
      </c>
    </row>
    <row r="42" spans="2:3" x14ac:dyDescent="0.25">
      <c r="B42" s="79" t="s">
        <v>132</v>
      </c>
      <c r="C42" t="s">
        <v>145</v>
      </c>
    </row>
  </sheetData>
  <mergeCells count="11">
    <mergeCell ref="H14:H15"/>
    <mergeCell ref="I14:I15"/>
    <mergeCell ref="J14:J15"/>
    <mergeCell ref="K14:L14"/>
    <mergeCell ref="M14:O14"/>
    <mergeCell ref="G14:G15"/>
    <mergeCell ref="B14:B15"/>
    <mergeCell ref="C14:C15"/>
    <mergeCell ref="D14:D15"/>
    <mergeCell ref="E14:E15"/>
    <mergeCell ref="F14:F15"/>
  </mergeCells>
  <conditionalFormatting sqref="B16:B25">
    <cfRule type="cellIs" dxfId="7" priority="1" operator="equal">
      <formula>TRUE</formula>
    </cfRule>
  </conditionalFormatting>
  <dataValidations count="6">
    <dataValidation type="list" allowBlank="1" showInputMessage="1" showErrorMessage="1" sqref="D16">
      <formula1>"USD,EUR,GBP"</formula1>
    </dataValidation>
    <dataValidation type="list" allowBlank="1" showInputMessage="1" showErrorMessage="1" sqref="F16:F25">
      <formula1>"0D,2D,1,2"</formula1>
    </dataValidation>
    <dataValidation type="list" allowBlank="1" showInputMessage="1" showErrorMessage="1" sqref="M16:M25">
      <formula1>"EUR3ML,EUR6ML,GBP3ML,GBP6ML,USD3ML,USD3ML.IMM,USD6ML,USD6ML.IMM"</formula1>
    </dataValidation>
    <dataValidation type="list" allowBlank="1" showInputMessage="1" showErrorMessage="1" sqref="E16:E25">
      <formula1>"SPOT,IMM"</formula1>
    </dataValidation>
    <dataValidation type="list" allowBlank="1" showInputMessage="1" showErrorMessage="1" sqref="O16:O25 L16:L25">
      <formula1>"30/360,ACT/360,ACT/365F"</formula1>
    </dataValidation>
    <dataValidation type="list" allowBlank="1" showInputMessage="1" showErrorMessage="1" sqref="K16:K25 N16:N25">
      <formula1>"ANNUAL,SEMI-ANNUAL,QUARTERLY,MONTHLY"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C00000"/>
  </sheetPr>
  <dimension ref="A1:AD120"/>
  <sheetViews>
    <sheetView showGridLines="0" tabSelected="1" workbookViewId="0"/>
  </sheetViews>
  <sheetFormatPr defaultRowHeight="15" outlineLevelRow="1" outlineLevelCol="1" x14ac:dyDescent="0.25"/>
  <cols>
    <col min="2" max="2" width="15.7109375" customWidth="1"/>
    <col min="3" max="3" width="20.7109375" customWidth="1"/>
    <col min="4" max="4" width="12.7109375" customWidth="1"/>
    <col min="5" max="5" width="15.7109375" customWidth="1"/>
    <col min="6" max="6" width="14.7109375" customWidth="1"/>
    <col min="7" max="7" width="12.5703125" customWidth="1"/>
    <col min="8" max="9" width="20.7109375" customWidth="1"/>
    <col min="10" max="10" width="17.85546875" customWidth="1"/>
    <col min="11" max="13" width="15.7109375" customWidth="1"/>
    <col min="14" max="14" width="22.140625" bestFit="1" customWidth="1"/>
    <col min="15" max="15" width="15.7109375" customWidth="1"/>
    <col min="16" max="16" width="12.7109375" hidden="1" customWidth="1" outlineLevel="1"/>
    <col min="17" max="17" width="14.28515625" hidden="1" customWidth="1" outlineLevel="1"/>
    <col min="18" max="18" width="15.7109375" hidden="1" customWidth="1" outlineLevel="1"/>
    <col min="19" max="19" width="16.85546875" hidden="1" customWidth="1" outlineLevel="1"/>
    <col min="20" max="29" width="12.7109375" hidden="1" customWidth="1" outlineLevel="1"/>
    <col min="30" max="30" width="9.140625" collapsed="1"/>
  </cols>
  <sheetData>
    <row r="1" spans="1:30" x14ac:dyDescent="0.25">
      <c r="AD1" s="12" t="s">
        <v>70</v>
      </c>
    </row>
    <row r="2" spans="1:30" x14ac:dyDescent="0.25">
      <c r="B2" s="30" t="s">
        <v>44</v>
      </c>
    </row>
    <row r="3" spans="1:30" x14ac:dyDescent="0.25">
      <c r="B3" s="31">
        <f ca="1">TODAY()</f>
        <v>43089</v>
      </c>
      <c r="I3" s="9"/>
    </row>
    <row r="4" spans="1:30" ht="15.75" x14ac:dyDescent="0.25">
      <c r="S4" s="54"/>
    </row>
    <row r="5" spans="1:30" x14ac:dyDescent="0.25">
      <c r="B5" s="123" t="s">
        <v>104</v>
      </c>
      <c r="C5" s="121" t="s">
        <v>103</v>
      </c>
      <c r="D5" s="121" t="s">
        <v>1</v>
      </c>
      <c r="E5" s="121" t="s">
        <v>2</v>
      </c>
      <c r="F5" s="122" t="s">
        <v>150</v>
      </c>
      <c r="G5" s="121" t="s">
        <v>3</v>
      </c>
      <c r="H5" s="121" t="s">
        <v>89</v>
      </c>
      <c r="I5" s="121" t="s">
        <v>83</v>
      </c>
      <c r="J5" s="121" t="s">
        <v>5</v>
      </c>
      <c r="K5" s="127" t="s">
        <v>6</v>
      </c>
      <c r="L5" s="127"/>
      <c r="M5" s="127" t="s">
        <v>7</v>
      </c>
      <c r="N5" s="127"/>
      <c r="O5" s="127"/>
      <c r="P5" s="8"/>
      <c r="Q5" s="8"/>
      <c r="R5" s="48"/>
      <c r="S5" s="8"/>
      <c r="T5" s="8"/>
      <c r="U5" s="8"/>
      <c r="V5" s="8"/>
      <c r="W5" s="8"/>
      <c r="X5" s="8"/>
    </row>
    <row r="6" spans="1:30" ht="38.25" x14ac:dyDescent="0.25">
      <c r="B6" s="124"/>
      <c r="C6" s="122"/>
      <c r="D6" s="122"/>
      <c r="E6" s="122"/>
      <c r="F6" s="125"/>
      <c r="G6" s="122"/>
      <c r="H6" s="122"/>
      <c r="I6" s="122"/>
      <c r="J6" s="122"/>
      <c r="K6" s="24" t="s">
        <v>8</v>
      </c>
      <c r="L6" s="24" t="s">
        <v>9</v>
      </c>
      <c r="M6" s="24" t="s">
        <v>10</v>
      </c>
      <c r="N6" s="24" t="s">
        <v>11</v>
      </c>
      <c r="O6" s="24" t="s">
        <v>9</v>
      </c>
      <c r="P6" s="24" t="s">
        <v>84</v>
      </c>
      <c r="Q6" s="51" t="s">
        <v>100</v>
      </c>
      <c r="R6" s="24" t="s">
        <v>82</v>
      </c>
      <c r="S6" s="24" t="s">
        <v>55</v>
      </c>
      <c r="T6" s="24" t="s">
        <v>85</v>
      </c>
      <c r="U6" s="24" t="s">
        <v>54</v>
      </c>
      <c r="V6" s="51" t="s">
        <v>95</v>
      </c>
      <c r="W6" s="24" t="s">
        <v>96</v>
      </c>
      <c r="X6" s="24" t="s">
        <v>53</v>
      </c>
      <c r="Y6" s="24" t="s">
        <v>88</v>
      </c>
      <c r="Z6" s="24" t="s">
        <v>87</v>
      </c>
      <c r="AA6" s="24" t="s">
        <v>86</v>
      </c>
      <c r="AB6" s="24" t="s">
        <v>43</v>
      </c>
      <c r="AC6" s="55" t="s">
        <v>75</v>
      </c>
    </row>
    <row r="7" spans="1:30" x14ac:dyDescent="0.25">
      <c r="A7" s="29">
        <v>1</v>
      </c>
      <c r="B7" s="101" t="b">
        <f ca="1">AB7</f>
        <v>0</v>
      </c>
      <c r="C7" s="107" t="s">
        <v>97</v>
      </c>
      <c r="D7" s="108" t="s">
        <v>77</v>
      </c>
      <c r="E7" s="109" t="s">
        <v>92</v>
      </c>
      <c r="F7" s="108">
        <v>1</v>
      </c>
      <c r="G7" s="108" t="s">
        <v>14</v>
      </c>
      <c r="H7" s="110">
        <f ca="1">IF($E7="IMM",_xll.meDateNthIMMFromStartDate(AsOf, $F7,$AC7,"MOD_FOLLOWING"),_xll.meDateFromTenor(AsOf,$F7&amp;"D","MOD_FOLLOWING",$AC7))</f>
        <v>43180</v>
      </c>
      <c r="I7" s="111" t="s">
        <v>153</v>
      </c>
      <c r="J7" s="112" t="s">
        <v>16</v>
      </c>
      <c r="K7" s="112" t="s">
        <v>47</v>
      </c>
      <c r="L7" s="112" t="s">
        <v>48</v>
      </c>
      <c r="M7" s="112" t="s">
        <v>98</v>
      </c>
      <c r="N7" s="112" t="s">
        <v>101</v>
      </c>
      <c r="O7" s="113" t="s">
        <v>48</v>
      </c>
      <c r="P7" s="104">
        <f t="shared" ref="P7:P48" ca="1" si="0">MATCH(M7,$L$54:$L$61,0)</f>
        <v>4</v>
      </c>
      <c r="Q7" s="35" t="str">
        <f ca="1">IF(E7="SPOT",E7,E7&amp;IF(H7=USD3ML.IMMIMM1, 1,IF(H7=USD3ML.IMMIMM2,2,"NotInScope")))</f>
        <v>IMM1</v>
      </c>
      <c r="R7" s="44">
        <f ca="1">IF($I7="","",IF(ISNUMBER($I7),$I7,_xll.meDateFromTenor(H7,$I7,"MOD_FOLLOWING",VLOOKUP(LEFT($M7,3),DateConventions,3))))</f>
        <v>45014</v>
      </c>
      <c r="S7" s="35" t="b">
        <f ca="1">ISNUMBER(SEARCH($E7, INDEX($E$54:$E$61,$P7)))</f>
        <v>1</v>
      </c>
      <c r="T7" s="35" t="b">
        <f ca="1">ISNUMBER(SEARCH($G7, INDEX($G$54:$G$61,$P7)))</f>
        <v>1</v>
      </c>
      <c r="U7" s="35" t="b">
        <f t="shared" ref="U7:U48" ca="1" si="1">ISNUMBER(SEARCH($J7, INDEX($I$54:$I$61,$P7)))</f>
        <v>1</v>
      </c>
      <c r="V7" s="35" t="b">
        <f t="shared" ref="V7:V48" ca="1" si="2">IF(S7,$H7=INDIRECT(M7&amp;Q7),FALSE)</f>
        <v>1</v>
      </c>
      <c r="W7" s="39" t="b">
        <f t="shared" ref="W7:W48" ca="1" si="3">IF(ISNUMBER(MATCH($R7,INDIRECT(M7&amp;Q7&amp;".Lower"),1)), $R7&lt;=INDEX(INDIRECT(M7&amp;Q7&amp;".Upper"),MATCH($R7,INDIRECT(M7&amp;Q7&amp;".Lower"),1)), FALSE)</f>
        <v>0</v>
      </c>
      <c r="X7" s="35" t="b">
        <f t="shared" ref="X7:X48" ca="1" si="4">ISNUMBER(SEARCH($K7, INDEX($J$54:$J$61,$P7)))</f>
        <v>1</v>
      </c>
      <c r="Y7" s="36" t="b">
        <f t="shared" ref="Y7:Y48" ca="1" si="5">ISNUMBER(SEARCH($L7, INDEX($K$54:$K$61,$P7)))</f>
        <v>1</v>
      </c>
      <c r="Z7" s="36" t="b">
        <f ca="1">ISNUMBER(SEARCH($N7, INDEX($M$54:$M$61,$P7)))</f>
        <v>1</v>
      </c>
      <c r="AA7" s="36" t="b">
        <f t="shared" ref="AA7:AA48" ca="1" si="6">ISNUMBER(SEARCH($O7, INDEX($N$54:$N$61,$P7)))</f>
        <v>1</v>
      </c>
      <c r="AB7" s="66" t="b">
        <f t="shared" ref="AB7:AB48" ca="1" si="7">AND(S7:AA7)</f>
        <v>0</v>
      </c>
      <c r="AC7" s="63" t="str">
        <f ca="1">IF($D7="USD","NYB",IF($D7="EUR","TGT",IF($D7="GBP","LNB","")))</f>
        <v>NYB</v>
      </c>
    </row>
    <row r="8" spans="1:30" x14ac:dyDescent="0.25">
      <c r="A8" s="29">
        <v>2</v>
      </c>
      <c r="B8" s="102" t="b">
        <f t="shared" ref="B8:B48" ca="1" si="8">AB8</f>
        <v>1</v>
      </c>
      <c r="C8" s="114" t="s">
        <v>97</v>
      </c>
      <c r="D8" s="22" t="s">
        <v>77</v>
      </c>
      <c r="E8" s="62" t="s">
        <v>92</v>
      </c>
      <c r="F8" s="22">
        <v>2</v>
      </c>
      <c r="G8" s="22" t="s">
        <v>14</v>
      </c>
      <c r="H8" s="57">
        <f ca="1">IF($E8="IMM",_xll.meDateNthIMMFromStartDate(AsOf, $F8,$AC8,"MOD_FOLLOWING"),_xll.meDateFromTenor(AsOf,$F8&amp;"D","MOD_FOLLOWING",$AC8))</f>
        <v>43271</v>
      </c>
      <c r="I8" s="88" t="s">
        <v>152</v>
      </c>
      <c r="J8" s="23" t="s">
        <v>16</v>
      </c>
      <c r="K8" s="23" t="s">
        <v>47</v>
      </c>
      <c r="L8" s="23" t="s">
        <v>48</v>
      </c>
      <c r="M8" s="23" t="s">
        <v>98</v>
      </c>
      <c r="N8" s="23" t="s">
        <v>101</v>
      </c>
      <c r="O8" s="115" t="s">
        <v>48</v>
      </c>
      <c r="P8" s="105">
        <f t="shared" ca="1" si="0"/>
        <v>4</v>
      </c>
      <c r="Q8" s="38" t="str">
        <f ca="1">IF(E8="SPOT",E8,E8&amp;IF(H8=USD3ML.IMMIMM1, 1,IF(H8=USD3ML.IMMIMM2,2,"NotInScope")))</f>
        <v>IMM2</v>
      </c>
      <c r="R8" s="57">
        <f ca="1">IF($I8="","",IF(ISNUMBER($I8),$I8,_xll.meDateFromTenor(H8,$I8,"MOD_FOLLOWING",VLOOKUP(LEFT($M8,3),DateConventions,3))))</f>
        <v>45104</v>
      </c>
      <c r="S8" s="38" t="b">
        <f t="shared" ref="S8:S48" ca="1" si="9">ISNUMBER(SEARCH($E8, INDEX($E$54:$E$61,$P8)))</f>
        <v>1</v>
      </c>
      <c r="T8" s="38" t="b">
        <f ca="1">ISNUMBER(SEARCH($G8, INDEX($G$54:$G$61,$P8)))</f>
        <v>1</v>
      </c>
      <c r="U8" s="38" t="b">
        <f t="shared" ca="1" si="1"/>
        <v>1</v>
      </c>
      <c r="V8" s="38" t="b">
        <f t="shared" ca="1" si="2"/>
        <v>1</v>
      </c>
      <c r="W8" s="39" t="b">
        <f t="shared" ca="1" si="3"/>
        <v>1</v>
      </c>
      <c r="X8" s="38" t="b">
        <f t="shared" ca="1" si="4"/>
        <v>1</v>
      </c>
      <c r="Y8" s="40" t="b">
        <f t="shared" ca="1" si="5"/>
        <v>1</v>
      </c>
      <c r="Z8" s="40" t="b">
        <f t="shared" ref="Z8:Z48" ca="1" si="10">ISNUMBER(SEARCH($N8, INDEX($M$54:$M$61,$P8)))</f>
        <v>1</v>
      </c>
      <c r="AA8" s="40" t="b">
        <f t="shared" ca="1" si="6"/>
        <v>1</v>
      </c>
      <c r="AB8" s="67" t="b">
        <f t="shared" ca="1" si="7"/>
        <v>1</v>
      </c>
      <c r="AC8" s="64" t="str">
        <f ca="1">IF($D8="USD","NYB",IF($D8="EUR","TGT",IF($D8="GBP","LNB","")))</f>
        <v>NYB</v>
      </c>
    </row>
    <row r="9" spans="1:30" x14ac:dyDescent="0.25">
      <c r="A9" s="29">
        <v>3</v>
      </c>
      <c r="B9" s="102" t="b">
        <f t="shared" ca="1" si="8"/>
        <v>0</v>
      </c>
      <c r="C9" s="114" t="s">
        <v>41</v>
      </c>
      <c r="D9" s="22" t="s">
        <v>72</v>
      </c>
      <c r="E9" s="62" t="s">
        <v>67</v>
      </c>
      <c r="F9" s="22">
        <v>2</v>
      </c>
      <c r="G9" s="22" t="s">
        <v>14</v>
      </c>
      <c r="H9" s="57">
        <f ca="1">IF($E9="IMM",_xll.meDateNthIMMFromStartDate(AsOf, $F9,$AC9,"MOD_FOLLOWING"),_xll.meDateFromTenor(AsOf,$F9&amp;"D","MOD_FOLLOWING",$AC9))</f>
        <v>43091</v>
      </c>
      <c r="I9" s="88">
        <v>43466</v>
      </c>
      <c r="J9" s="23" t="s">
        <v>16</v>
      </c>
      <c r="K9" s="23" t="s">
        <v>47</v>
      </c>
      <c r="L9" s="23" t="s">
        <v>42</v>
      </c>
      <c r="M9" s="23" t="s">
        <v>61</v>
      </c>
      <c r="N9" s="23" t="s">
        <v>56</v>
      </c>
      <c r="O9" s="115" t="s">
        <v>48</v>
      </c>
      <c r="P9" s="105">
        <f t="shared" ca="1" si="0"/>
        <v>1</v>
      </c>
      <c r="Q9" s="38" t="str">
        <f ca="1">IF(E9="SPOT",E9,E9&amp;IF(H9=USD3ML.IMMIMM1, 1,IF(H9=USD3ML.IMMIMM2,2,"NotInScope")))</f>
        <v>SPOT</v>
      </c>
      <c r="R9" s="57">
        <f ca="1">IF($I9="","",IF(ISNUMBER($I9),$I9,_xll.meDateFromTenor(H9,$I9,"MOD_FOLLOWING",VLOOKUP(LEFT($M9,3),DateConventions,3))))</f>
        <v>43466</v>
      </c>
      <c r="S9" s="38" t="b">
        <f t="shared" ca="1" si="9"/>
        <v>1</v>
      </c>
      <c r="T9" s="38" t="b">
        <f ca="1">ISNUMBER(SEARCH($G9, INDEX($G$54:$G$61,$P9)))</f>
        <v>1</v>
      </c>
      <c r="U9" s="38" t="b">
        <f t="shared" ca="1" si="1"/>
        <v>1</v>
      </c>
      <c r="V9" s="38" t="b">
        <f t="shared" ca="1" si="2"/>
        <v>1</v>
      </c>
      <c r="W9" s="39" t="b">
        <f t="shared" ca="1" si="3"/>
        <v>0</v>
      </c>
      <c r="X9" s="38" t="b">
        <f t="shared" ca="1" si="4"/>
        <v>1</v>
      </c>
      <c r="Y9" s="40" t="b">
        <f t="shared" ca="1" si="5"/>
        <v>1</v>
      </c>
      <c r="Z9" s="40" t="b">
        <f ca="1">ISNUMBER(SEARCH($N9, INDEX($M$54:$M$61,$P9)))</f>
        <v>1</v>
      </c>
      <c r="AA9" s="40" t="b">
        <f t="shared" ca="1" si="6"/>
        <v>1</v>
      </c>
      <c r="AB9" s="67" t="b">
        <f t="shared" ca="1" si="7"/>
        <v>0</v>
      </c>
      <c r="AC9" s="64" t="str">
        <f ca="1">IF($D9="USD","NYB",IF($D9="EUR","TGT",IF($D9="GBP","LNB","")))</f>
        <v>TGT</v>
      </c>
    </row>
    <row r="10" spans="1:30" x14ac:dyDescent="0.25">
      <c r="A10" s="29">
        <v>4</v>
      </c>
      <c r="B10" s="102" t="b">
        <f t="shared" ca="1" si="8"/>
        <v>1</v>
      </c>
      <c r="C10" s="114" t="s">
        <v>41</v>
      </c>
      <c r="D10" s="22" t="s">
        <v>72</v>
      </c>
      <c r="E10" s="62" t="s">
        <v>67</v>
      </c>
      <c r="F10" s="22">
        <v>2</v>
      </c>
      <c r="G10" s="22" t="s">
        <v>14</v>
      </c>
      <c r="H10" s="57">
        <f ca="1">IF($E10="IMM",_xll.meDateNthIMMFromStartDate(AsOf, $F10,$AC10,"MOD_FOLLOWING"),_xll.meDateFromTenor(AsOf,$F10&amp;"D","MOD_FOLLOWING",$AC10))</f>
        <v>43091</v>
      </c>
      <c r="I10" s="88" t="s">
        <v>29</v>
      </c>
      <c r="J10" s="23" t="s">
        <v>16</v>
      </c>
      <c r="K10" s="23" t="s">
        <v>47</v>
      </c>
      <c r="L10" s="23" t="s">
        <v>42</v>
      </c>
      <c r="M10" s="23" t="s">
        <v>61</v>
      </c>
      <c r="N10" s="23" t="s">
        <v>56</v>
      </c>
      <c r="O10" s="115" t="s">
        <v>48</v>
      </c>
      <c r="P10" s="105">
        <f t="shared" ca="1" si="0"/>
        <v>1</v>
      </c>
      <c r="Q10" s="38" t="str">
        <f ca="1">IF(E10="SPOT",E10,E10&amp;IF(H10=USD3ML.IMMIMM1, 1,IF(H10=USD3ML.IMMIMM2,2,"999")))</f>
        <v>SPOT</v>
      </c>
      <c r="R10" s="57">
        <f ca="1">IF($I10="","",IF(ISNUMBER($I10),$I10,_xll.meDateFromTenor(H10,$I10,"MOD_FOLLOWING",VLOOKUP(LEFT($M10,3),DateConventions,3))))</f>
        <v>44917</v>
      </c>
      <c r="S10" s="38" t="b">
        <f ca="1">ISNUMBER(SEARCH($E10, INDEX($E$54:$E$61,$P10)))</f>
        <v>1</v>
      </c>
      <c r="T10" s="38" t="b">
        <f ca="1">ISNUMBER(SEARCH($G10, INDEX($G$54:$G$61,$P10)))</f>
        <v>1</v>
      </c>
      <c r="U10" s="38" t="b">
        <f t="shared" ca="1" si="1"/>
        <v>1</v>
      </c>
      <c r="V10" s="38" t="b">
        <f t="shared" ca="1" si="2"/>
        <v>1</v>
      </c>
      <c r="W10" s="39" t="b">
        <f t="shared" ca="1" si="3"/>
        <v>1</v>
      </c>
      <c r="X10" s="38" t="b">
        <f t="shared" ca="1" si="4"/>
        <v>1</v>
      </c>
      <c r="Y10" s="40" t="b">
        <f t="shared" ca="1" si="5"/>
        <v>1</v>
      </c>
      <c r="Z10" s="40" t="b">
        <f t="shared" ca="1" si="10"/>
        <v>1</v>
      </c>
      <c r="AA10" s="40" t="b">
        <f t="shared" ca="1" si="6"/>
        <v>1</v>
      </c>
      <c r="AB10" s="67" t="b">
        <f t="shared" ca="1" si="7"/>
        <v>1</v>
      </c>
      <c r="AC10" s="64" t="str">
        <f t="shared" ref="AC10:AC48" ca="1" si="11">IF($D10="USD","NYB",IF($D10="EUR","TGT",IF($D10="GBP","LNB","")))</f>
        <v>TGT</v>
      </c>
    </row>
    <row r="11" spans="1:30" x14ac:dyDescent="0.25">
      <c r="A11" s="29">
        <v>5</v>
      </c>
      <c r="B11" s="102" t="b">
        <f t="shared" ca="1" si="8"/>
        <v>0</v>
      </c>
      <c r="C11" s="114" t="s">
        <v>41</v>
      </c>
      <c r="D11" s="22" t="s">
        <v>72</v>
      </c>
      <c r="E11" s="62" t="s">
        <v>67</v>
      </c>
      <c r="F11" s="22">
        <v>2</v>
      </c>
      <c r="G11" s="22" t="s">
        <v>14</v>
      </c>
      <c r="H11" s="57">
        <f ca="1">IF($E11="IMM",_xll.meDateNthIMMFromStartDate(AsOf, $F11,$AC11,"MOD_FOLLOWING"),_xll.meDateFromTenor(AsOf,$F11&amp;"D","MOD_FOLLOWING",$AC11))</f>
        <v>43091</v>
      </c>
      <c r="I11" s="88">
        <v>43466</v>
      </c>
      <c r="J11" s="23" t="s">
        <v>16</v>
      </c>
      <c r="K11" s="23" t="s">
        <v>47</v>
      </c>
      <c r="L11" s="23" t="s">
        <v>42</v>
      </c>
      <c r="M11" s="23" t="s">
        <v>61</v>
      </c>
      <c r="N11" s="23" t="s">
        <v>56</v>
      </c>
      <c r="O11" s="115" t="s">
        <v>48</v>
      </c>
      <c r="P11" s="105">
        <f t="shared" ca="1" si="0"/>
        <v>1</v>
      </c>
      <c r="Q11" s="38" t="str">
        <f t="shared" ref="Q11:Q48" ca="1" si="12">IF(E11="SPOT",E11,E11&amp;IF(H11=USD3ML.IMMIMM1, 1,IF(H11=USD3ML.IMMIMM2,2,"NotInScope")))</f>
        <v>SPOT</v>
      </c>
      <c r="R11" s="57">
        <f ca="1">IF($I11="","",IF(ISNUMBER($I11),$I11,_xll.meDateFromTenor(H11,$I11,"MOD_FOLLOWING",VLOOKUP(LEFT($M11,3),DateConventions,3))))</f>
        <v>43466</v>
      </c>
      <c r="S11" s="38" t="b">
        <f t="shared" ca="1" si="9"/>
        <v>1</v>
      </c>
      <c r="T11" s="38" t="b">
        <f ca="1">ISNUMBER(SEARCH($G11, INDEX($G$54:$G$61,$P11)))</f>
        <v>1</v>
      </c>
      <c r="U11" s="38" t="b">
        <f t="shared" ca="1" si="1"/>
        <v>1</v>
      </c>
      <c r="V11" s="38" t="b">
        <f t="shared" ca="1" si="2"/>
        <v>1</v>
      </c>
      <c r="W11" s="39" t="b">
        <f t="shared" ca="1" si="3"/>
        <v>0</v>
      </c>
      <c r="X11" s="38" t="b">
        <f t="shared" ca="1" si="4"/>
        <v>1</v>
      </c>
      <c r="Y11" s="40" t="b">
        <f t="shared" ca="1" si="5"/>
        <v>1</v>
      </c>
      <c r="Z11" s="40" t="b">
        <f t="shared" ca="1" si="10"/>
        <v>1</v>
      </c>
      <c r="AA11" s="40" t="b">
        <f t="shared" ca="1" si="6"/>
        <v>1</v>
      </c>
      <c r="AB11" s="67" t="b">
        <f t="shared" ca="1" si="7"/>
        <v>0</v>
      </c>
      <c r="AC11" s="64" t="str">
        <f t="shared" ca="1" si="11"/>
        <v>TGT</v>
      </c>
    </row>
    <row r="12" spans="1:30" x14ac:dyDescent="0.25">
      <c r="A12" s="29">
        <v>6</v>
      </c>
      <c r="B12" s="102" t="b">
        <f t="shared" ca="1" si="8"/>
        <v>1</v>
      </c>
      <c r="C12" s="114" t="s">
        <v>41</v>
      </c>
      <c r="D12" s="22" t="s">
        <v>72</v>
      </c>
      <c r="E12" s="62" t="s">
        <v>67</v>
      </c>
      <c r="F12" s="22">
        <v>2</v>
      </c>
      <c r="G12" s="22" t="s">
        <v>14</v>
      </c>
      <c r="H12" s="58">
        <f ca="1">IF($E12="IMM",_xll.meDateNthIMMFromStartDate(AsOf, $F12,$AC12,"MOD_FOLLOWING"),_xll.meDateFromTenor(AsOf,$F12&amp;"D","MOD_FOLLOWING",$AC12))</f>
        <v>43091</v>
      </c>
      <c r="I12" s="88" t="s">
        <v>29</v>
      </c>
      <c r="J12" s="23" t="s">
        <v>16</v>
      </c>
      <c r="K12" s="23" t="s">
        <v>47</v>
      </c>
      <c r="L12" s="23" t="s">
        <v>42</v>
      </c>
      <c r="M12" s="23" t="s">
        <v>61</v>
      </c>
      <c r="N12" s="23" t="s">
        <v>56</v>
      </c>
      <c r="O12" s="115" t="s">
        <v>48</v>
      </c>
      <c r="P12" s="105">
        <f t="shared" ca="1" si="0"/>
        <v>1</v>
      </c>
      <c r="Q12" s="38" t="str">
        <f t="shared" ca="1" si="12"/>
        <v>SPOT</v>
      </c>
      <c r="R12" s="57">
        <f ca="1">IF($I12="","",IF(ISNUMBER($I12),$I12,_xll.meDateFromTenor(H12,$I12,"MOD_FOLLOWING",VLOOKUP(LEFT($M12,3),DateConventions,3))))</f>
        <v>44917</v>
      </c>
      <c r="S12" s="38" t="b">
        <f t="shared" ca="1" si="9"/>
        <v>1</v>
      </c>
      <c r="T12" s="38" t="b">
        <f ca="1">ISNUMBER(SEARCH($G12, INDEX($G$54:$G$61,$P12)))</f>
        <v>1</v>
      </c>
      <c r="U12" s="38" t="b">
        <f t="shared" ca="1" si="1"/>
        <v>1</v>
      </c>
      <c r="V12" s="38" t="b">
        <f t="shared" ca="1" si="2"/>
        <v>1</v>
      </c>
      <c r="W12" s="39" t="b">
        <f t="shared" ca="1" si="3"/>
        <v>1</v>
      </c>
      <c r="X12" s="38" t="b">
        <f t="shared" ca="1" si="4"/>
        <v>1</v>
      </c>
      <c r="Y12" s="40" t="b">
        <f t="shared" ca="1" si="5"/>
        <v>1</v>
      </c>
      <c r="Z12" s="40" t="b">
        <f t="shared" ca="1" si="10"/>
        <v>1</v>
      </c>
      <c r="AA12" s="40" t="b">
        <f t="shared" ca="1" si="6"/>
        <v>1</v>
      </c>
      <c r="AB12" s="67" t="b">
        <f t="shared" ca="1" si="7"/>
        <v>1</v>
      </c>
      <c r="AC12" s="64" t="str">
        <f t="shared" ca="1" si="11"/>
        <v>TGT</v>
      </c>
    </row>
    <row r="13" spans="1:30" x14ac:dyDescent="0.25">
      <c r="A13" s="29">
        <v>7</v>
      </c>
      <c r="B13" s="102" t="b">
        <f t="shared" ca="1" si="8"/>
        <v>1</v>
      </c>
      <c r="C13" s="114" t="s">
        <v>41</v>
      </c>
      <c r="D13" s="22" t="s">
        <v>72</v>
      </c>
      <c r="E13" s="62" t="s">
        <v>67</v>
      </c>
      <c r="F13" s="22">
        <v>2</v>
      </c>
      <c r="G13" s="22" t="s">
        <v>14</v>
      </c>
      <c r="H13" s="58">
        <f ca="1">IF($E13="IMM",_xll.meDateNthIMMFromStartDate(AsOf, $F13,$AC13,"MOD_FOLLOWING"),_xll.meDateFromTenor(AsOf,$F13&amp;"D","MOD_FOLLOWING",$AC13))</f>
        <v>43091</v>
      </c>
      <c r="I13" s="88" t="s">
        <v>29</v>
      </c>
      <c r="J13" s="23" t="s">
        <v>16</v>
      </c>
      <c r="K13" s="23" t="s">
        <v>47</v>
      </c>
      <c r="L13" s="23" t="s">
        <v>42</v>
      </c>
      <c r="M13" s="23" t="s">
        <v>61</v>
      </c>
      <c r="N13" s="23" t="s">
        <v>56</v>
      </c>
      <c r="O13" s="115" t="s">
        <v>48</v>
      </c>
      <c r="P13" s="105">
        <f t="shared" ca="1" si="0"/>
        <v>1</v>
      </c>
      <c r="Q13" s="38" t="str">
        <f t="shared" ca="1" si="12"/>
        <v>SPOT</v>
      </c>
      <c r="R13" s="57">
        <f ca="1">IF($I13="","",IF(ISNUMBER($I13),$I13,_xll.meDateFromTenor(H13,$I13,"MOD_FOLLOWING",VLOOKUP(LEFT($M13,3),DateConventions,3))))</f>
        <v>44917</v>
      </c>
      <c r="S13" s="38" t="b">
        <f t="shared" ca="1" si="9"/>
        <v>1</v>
      </c>
      <c r="T13" s="38" t="b">
        <f ca="1">ISNUMBER(SEARCH($G13, INDEX($G$54:$G$61,$P13)))</f>
        <v>1</v>
      </c>
      <c r="U13" s="38" t="b">
        <f t="shared" ca="1" si="1"/>
        <v>1</v>
      </c>
      <c r="V13" s="38" t="b">
        <f t="shared" ca="1" si="2"/>
        <v>1</v>
      </c>
      <c r="W13" s="39" t="b">
        <f t="shared" ca="1" si="3"/>
        <v>1</v>
      </c>
      <c r="X13" s="38" t="b">
        <f t="shared" ca="1" si="4"/>
        <v>1</v>
      </c>
      <c r="Y13" s="40" t="b">
        <f t="shared" ca="1" si="5"/>
        <v>1</v>
      </c>
      <c r="Z13" s="40" t="b">
        <f t="shared" ca="1" si="10"/>
        <v>1</v>
      </c>
      <c r="AA13" s="40" t="b">
        <f t="shared" ca="1" si="6"/>
        <v>1</v>
      </c>
      <c r="AB13" s="67" t="b">
        <f t="shared" ca="1" si="7"/>
        <v>1</v>
      </c>
      <c r="AC13" s="64" t="str">
        <f t="shared" ca="1" si="11"/>
        <v>TGT</v>
      </c>
    </row>
    <row r="14" spans="1:30" x14ac:dyDescent="0.25">
      <c r="A14" s="29">
        <v>8</v>
      </c>
      <c r="B14" s="102" t="b">
        <f t="shared" ca="1" si="8"/>
        <v>1</v>
      </c>
      <c r="C14" s="114" t="s">
        <v>41</v>
      </c>
      <c r="D14" s="22" t="s">
        <v>72</v>
      </c>
      <c r="E14" s="62" t="s">
        <v>67</v>
      </c>
      <c r="F14" s="22">
        <v>2</v>
      </c>
      <c r="G14" s="22" t="s">
        <v>14</v>
      </c>
      <c r="H14" s="58">
        <f ca="1">IF($E14="IMM",_xll.meDateNthIMMFromStartDate(AsOf, $F14,$AC14,"MOD_FOLLOWING"),_xll.meDateFromTenor(AsOf,$F14&amp;"D","MOD_FOLLOWING",$AC14))</f>
        <v>43091</v>
      </c>
      <c r="I14" s="88" t="s">
        <v>29</v>
      </c>
      <c r="J14" s="23" t="s">
        <v>16</v>
      </c>
      <c r="K14" s="23" t="s">
        <v>47</v>
      </c>
      <c r="L14" s="23" t="s">
        <v>42</v>
      </c>
      <c r="M14" s="23" t="s">
        <v>61</v>
      </c>
      <c r="N14" s="23" t="s">
        <v>56</v>
      </c>
      <c r="O14" s="115" t="s">
        <v>48</v>
      </c>
      <c r="P14" s="105">
        <f t="shared" ca="1" si="0"/>
        <v>1</v>
      </c>
      <c r="Q14" s="38" t="str">
        <f t="shared" ca="1" si="12"/>
        <v>SPOT</v>
      </c>
      <c r="R14" s="57">
        <f ca="1">IF($I14="","",IF(ISNUMBER($I14),$I14,_xll.meDateFromTenor(H14,$I14,"MOD_FOLLOWING",VLOOKUP(LEFT($M14,3),DateConventions,3))))</f>
        <v>44917</v>
      </c>
      <c r="S14" s="38" t="b">
        <f t="shared" ca="1" si="9"/>
        <v>1</v>
      </c>
      <c r="T14" s="38" t="b">
        <f ca="1">ISNUMBER(SEARCH($G14, INDEX($G$54:$G$61,$P14)))</f>
        <v>1</v>
      </c>
      <c r="U14" s="38" t="b">
        <f t="shared" ca="1" si="1"/>
        <v>1</v>
      </c>
      <c r="V14" s="38" t="b">
        <f t="shared" ca="1" si="2"/>
        <v>1</v>
      </c>
      <c r="W14" s="39" t="b">
        <f t="shared" ca="1" si="3"/>
        <v>1</v>
      </c>
      <c r="X14" s="38" t="b">
        <f t="shared" ca="1" si="4"/>
        <v>1</v>
      </c>
      <c r="Y14" s="40" t="b">
        <f t="shared" ca="1" si="5"/>
        <v>1</v>
      </c>
      <c r="Z14" s="40" t="b">
        <f t="shared" ca="1" si="10"/>
        <v>1</v>
      </c>
      <c r="AA14" s="40" t="b">
        <f t="shared" ca="1" si="6"/>
        <v>1</v>
      </c>
      <c r="AB14" s="67" t="b">
        <f t="shared" ca="1" si="7"/>
        <v>1</v>
      </c>
      <c r="AC14" s="64" t="str">
        <f t="shared" ca="1" si="11"/>
        <v>TGT</v>
      </c>
    </row>
    <row r="15" spans="1:30" x14ac:dyDescent="0.25">
      <c r="A15" s="29">
        <v>9</v>
      </c>
      <c r="B15" s="102" t="b">
        <f t="shared" ca="1" si="8"/>
        <v>1</v>
      </c>
      <c r="C15" s="114" t="s">
        <v>41</v>
      </c>
      <c r="D15" s="22" t="s">
        <v>72</v>
      </c>
      <c r="E15" s="62" t="s">
        <v>67</v>
      </c>
      <c r="F15" s="22">
        <v>2</v>
      </c>
      <c r="G15" s="22" t="s">
        <v>14</v>
      </c>
      <c r="H15" s="58">
        <f ca="1">IF($E15="IMM",_xll.meDateNthIMMFromStartDate(AsOf, $F15,$AC15,"MOD_FOLLOWING"),_xll.meDateFromTenor(AsOf,$F15&amp;"D","MOD_FOLLOWING",$AC15))</f>
        <v>43091</v>
      </c>
      <c r="I15" s="88" t="s">
        <v>29</v>
      </c>
      <c r="J15" s="23" t="s">
        <v>16</v>
      </c>
      <c r="K15" s="23" t="s">
        <v>47</v>
      </c>
      <c r="L15" s="23" t="s">
        <v>42</v>
      </c>
      <c r="M15" s="23" t="s">
        <v>61</v>
      </c>
      <c r="N15" s="23" t="s">
        <v>56</v>
      </c>
      <c r="O15" s="115" t="s">
        <v>48</v>
      </c>
      <c r="P15" s="105">
        <f t="shared" ca="1" si="0"/>
        <v>1</v>
      </c>
      <c r="Q15" s="38" t="str">
        <f t="shared" ca="1" si="12"/>
        <v>SPOT</v>
      </c>
      <c r="R15" s="57">
        <f ca="1">IF($I15="","",IF(ISNUMBER($I15),$I15,_xll.meDateFromTenor(H15,$I15,"MOD_FOLLOWING",VLOOKUP(LEFT($M15,3),DateConventions,3))))</f>
        <v>44917</v>
      </c>
      <c r="S15" s="38" t="b">
        <f t="shared" ca="1" si="9"/>
        <v>1</v>
      </c>
      <c r="T15" s="38" t="b">
        <f ca="1">ISNUMBER(SEARCH($G15, INDEX($G$54:$G$61,$P15)))</f>
        <v>1</v>
      </c>
      <c r="U15" s="38" t="b">
        <f t="shared" ca="1" si="1"/>
        <v>1</v>
      </c>
      <c r="V15" s="38" t="b">
        <f t="shared" ca="1" si="2"/>
        <v>1</v>
      </c>
      <c r="W15" s="39" t="b">
        <f t="shared" ca="1" si="3"/>
        <v>1</v>
      </c>
      <c r="X15" s="38" t="b">
        <f t="shared" ca="1" si="4"/>
        <v>1</v>
      </c>
      <c r="Y15" s="40" t="b">
        <f t="shared" ca="1" si="5"/>
        <v>1</v>
      </c>
      <c r="Z15" s="40" t="b">
        <f t="shared" ca="1" si="10"/>
        <v>1</v>
      </c>
      <c r="AA15" s="40" t="b">
        <f t="shared" ca="1" si="6"/>
        <v>1</v>
      </c>
      <c r="AB15" s="67" t="b">
        <f t="shared" ca="1" si="7"/>
        <v>1</v>
      </c>
      <c r="AC15" s="64" t="str">
        <f t="shared" ca="1" si="11"/>
        <v>TGT</v>
      </c>
    </row>
    <row r="16" spans="1:30" x14ac:dyDescent="0.25">
      <c r="A16" s="29">
        <v>10</v>
      </c>
      <c r="B16" s="102" t="b">
        <f t="shared" ca="1" si="8"/>
        <v>1</v>
      </c>
      <c r="C16" s="114" t="s">
        <v>41</v>
      </c>
      <c r="D16" s="22" t="s">
        <v>72</v>
      </c>
      <c r="E16" s="62" t="s">
        <v>67</v>
      </c>
      <c r="F16" s="22">
        <v>2</v>
      </c>
      <c r="G16" s="22" t="s">
        <v>14</v>
      </c>
      <c r="H16" s="58">
        <f ca="1">IF($E16="IMM",_xll.meDateNthIMMFromStartDate(AsOf, $F16,$AC16,"MOD_FOLLOWING"),_xll.meDateFromTenor(AsOf,$F16&amp;"D","MOD_FOLLOWING",$AC16))</f>
        <v>43091</v>
      </c>
      <c r="I16" s="88" t="s">
        <v>29</v>
      </c>
      <c r="J16" s="23" t="s">
        <v>16</v>
      </c>
      <c r="K16" s="23" t="s">
        <v>47</v>
      </c>
      <c r="L16" s="23" t="s">
        <v>42</v>
      </c>
      <c r="M16" s="23" t="s">
        <v>61</v>
      </c>
      <c r="N16" s="23" t="s">
        <v>56</v>
      </c>
      <c r="O16" s="115" t="s">
        <v>48</v>
      </c>
      <c r="P16" s="105">
        <f t="shared" ca="1" si="0"/>
        <v>1</v>
      </c>
      <c r="Q16" s="38" t="str">
        <f t="shared" ca="1" si="12"/>
        <v>SPOT</v>
      </c>
      <c r="R16" s="57">
        <f ca="1">IF($I16="","",IF(ISNUMBER($I16),$I16,_xll.meDateFromTenor(H16,$I16,"MOD_FOLLOWING",VLOOKUP(LEFT($M16,3),DateConventions,3))))</f>
        <v>44917</v>
      </c>
      <c r="S16" s="38" t="b">
        <f t="shared" ca="1" si="9"/>
        <v>1</v>
      </c>
      <c r="T16" s="38" t="b">
        <f ca="1">ISNUMBER(SEARCH($G16, INDEX($G$54:$G$61,$P16)))</f>
        <v>1</v>
      </c>
      <c r="U16" s="38" t="b">
        <f t="shared" ca="1" si="1"/>
        <v>1</v>
      </c>
      <c r="V16" s="38" t="b">
        <f t="shared" ca="1" si="2"/>
        <v>1</v>
      </c>
      <c r="W16" s="39" t="b">
        <f t="shared" ca="1" si="3"/>
        <v>1</v>
      </c>
      <c r="X16" s="38" t="b">
        <f t="shared" ca="1" si="4"/>
        <v>1</v>
      </c>
      <c r="Y16" s="40" t="b">
        <f t="shared" ca="1" si="5"/>
        <v>1</v>
      </c>
      <c r="Z16" s="40" t="b">
        <f t="shared" ca="1" si="10"/>
        <v>1</v>
      </c>
      <c r="AA16" s="40" t="b">
        <f t="shared" ca="1" si="6"/>
        <v>1</v>
      </c>
      <c r="AB16" s="67" t="b">
        <f t="shared" ca="1" si="7"/>
        <v>1</v>
      </c>
      <c r="AC16" s="64" t="str">
        <f t="shared" ca="1" si="11"/>
        <v>TGT</v>
      </c>
    </row>
    <row r="17" spans="1:29" x14ac:dyDescent="0.25">
      <c r="A17" s="29">
        <v>11</v>
      </c>
      <c r="B17" s="102" t="b">
        <f t="shared" ca="1" si="8"/>
        <v>1</v>
      </c>
      <c r="C17" s="114" t="s">
        <v>41</v>
      </c>
      <c r="D17" s="22" t="s">
        <v>72</v>
      </c>
      <c r="E17" s="62" t="s">
        <v>67</v>
      </c>
      <c r="F17" s="22">
        <v>2</v>
      </c>
      <c r="G17" s="22" t="s">
        <v>14</v>
      </c>
      <c r="H17" s="58">
        <f ca="1">IF($E17="IMM",_xll.meDateNthIMMFromStartDate(AsOf, $F17,$AC17,"MOD_FOLLOWING"),_xll.meDateFromTenor(AsOf,$F17&amp;"D","MOD_FOLLOWING",$AC17))</f>
        <v>43091</v>
      </c>
      <c r="I17" s="88" t="s">
        <v>29</v>
      </c>
      <c r="J17" s="23" t="s">
        <v>16</v>
      </c>
      <c r="K17" s="23" t="s">
        <v>47</v>
      </c>
      <c r="L17" s="23" t="s">
        <v>42</v>
      </c>
      <c r="M17" s="23" t="s">
        <v>61</v>
      </c>
      <c r="N17" s="23" t="s">
        <v>56</v>
      </c>
      <c r="O17" s="115" t="s">
        <v>48</v>
      </c>
      <c r="P17" s="105">
        <f t="shared" ca="1" si="0"/>
        <v>1</v>
      </c>
      <c r="Q17" s="38" t="str">
        <f t="shared" ca="1" si="12"/>
        <v>SPOT</v>
      </c>
      <c r="R17" s="57">
        <f ca="1">IF($I17="","",IF(ISNUMBER($I17),$I17,_xll.meDateFromTenor(H17,$I17,"MOD_FOLLOWING",VLOOKUP(LEFT($M17,3),DateConventions,3))))</f>
        <v>44917</v>
      </c>
      <c r="S17" s="38" t="b">
        <f t="shared" ca="1" si="9"/>
        <v>1</v>
      </c>
      <c r="T17" s="38" t="b">
        <f ca="1">ISNUMBER(SEARCH($G17, INDEX($G$54:$G$61,$P17)))</f>
        <v>1</v>
      </c>
      <c r="U17" s="38" t="b">
        <f t="shared" ca="1" si="1"/>
        <v>1</v>
      </c>
      <c r="V17" s="38" t="b">
        <f t="shared" ca="1" si="2"/>
        <v>1</v>
      </c>
      <c r="W17" s="39" t="b">
        <f t="shared" ca="1" si="3"/>
        <v>1</v>
      </c>
      <c r="X17" s="38" t="b">
        <f t="shared" ca="1" si="4"/>
        <v>1</v>
      </c>
      <c r="Y17" s="40" t="b">
        <f t="shared" ca="1" si="5"/>
        <v>1</v>
      </c>
      <c r="Z17" s="40" t="b">
        <f t="shared" ca="1" si="10"/>
        <v>1</v>
      </c>
      <c r="AA17" s="40" t="b">
        <f t="shared" ca="1" si="6"/>
        <v>1</v>
      </c>
      <c r="AB17" s="67" t="b">
        <f t="shared" ca="1" si="7"/>
        <v>1</v>
      </c>
      <c r="AC17" s="64" t="str">
        <f t="shared" ca="1" si="11"/>
        <v>TGT</v>
      </c>
    </row>
    <row r="18" spans="1:29" x14ac:dyDescent="0.25">
      <c r="A18" s="29">
        <v>12</v>
      </c>
      <c r="B18" s="102" t="b">
        <f t="shared" ca="1" si="8"/>
        <v>1</v>
      </c>
      <c r="C18" s="114" t="s">
        <v>41</v>
      </c>
      <c r="D18" s="22" t="s">
        <v>72</v>
      </c>
      <c r="E18" s="62" t="s">
        <v>67</v>
      </c>
      <c r="F18" s="22">
        <v>2</v>
      </c>
      <c r="G18" s="22" t="s">
        <v>14</v>
      </c>
      <c r="H18" s="58">
        <f ca="1">IF($E18="IMM",_xll.meDateNthIMMFromStartDate(AsOf, $F18,$AC18,"MOD_FOLLOWING"),_xll.meDateFromTenor(AsOf,$F18&amp;"D","MOD_FOLLOWING",$AC18))</f>
        <v>43091</v>
      </c>
      <c r="I18" s="88" t="s">
        <v>29</v>
      </c>
      <c r="J18" s="23" t="s">
        <v>16</v>
      </c>
      <c r="K18" s="23" t="s">
        <v>47</v>
      </c>
      <c r="L18" s="23" t="s">
        <v>42</v>
      </c>
      <c r="M18" s="23" t="s">
        <v>61</v>
      </c>
      <c r="N18" s="23" t="s">
        <v>56</v>
      </c>
      <c r="O18" s="115" t="s">
        <v>48</v>
      </c>
      <c r="P18" s="105">
        <f t="shared" ca="1" si="0"/>
        <v>1</v>
      </c>
      <c r="Q18" s="38" t="str">
        <f t="shared" ca="1" si="12"/>
        <v>SPOT</v>
      </c>
      <c r="R18" s="57">
        <f ca="1">IF($I18="","",IF(ISNUMBER($I18),$I18,_xll.meDateFromTenor(H18,$I18,"MOD_FOLLOWING",VLOOKUP(LEFT($M18,3),DateConventions,3))))</f>
        <v>44917</v>
      </c>
      <c r="S18" s="38" t="b">
        <f t="shared" ca="1" si="9"/>
        <v>1</v>
      </c>
      <c r="T18" s="38" t="b">
        <f ca="1">ISNUMBER(SEARCH($G18, INDEX($G$54:$G$61,$P18)))</f>
        <v>1</v>
      </c>
      <c r="U18" s="38" t="b">
        <f t="shared" ca="1" si="1"/>
        <v>1</v>
      </c>
      <c r="V18" s="38" t="b">
        <f t="shared" ca="1" si="2"/>
        <v>1</v>
      </c>
      <c r="W18" s="39" t="b">
        <f t="shared" ca="1" si="3"/>
        <v>1</v>
      </c>
      <c r="X18" s="38" t="b">
        <f t="shared" ca="1" si="4"/>
        <v>1</v>
      </c>
      <c r="Y18" s="40" t="b">
        <f t="shared" ca="1" si="5"/>
        <v>1</v>
      </c>
      <c r="Z18" s="40" t="b">
        <f t="shared" ca="1" si="10"/>
        <v>1</v>
      </c>
      <c r="AA18" s="40" t="b">
        <f t="shared" ca="1" si="6"/>
        <v>1</v>
      </c>
      <c r="AB18" s="67" t="b">
        <f t="shared" ca="1" si="7"/>
        <v>1</v>
      </c>
      <c r="AC18" s="64" t="str">
        <f t="shared" ca="1" si="11"/>
        <v>TGT</v>
      </c>
    </row>
    <row r="19" spans="1:29" x14ac:dyDescent="0.25">
      <c r="A19" s="29">
        <v>13</v>
      </c>
      <c r="B19" s="102" t="b">
        <f t="shared" ca="1" si="8"/>
        <v>1</v>
      </c>
      <c r="C19" s="114" t="s">
        <v>41</v>
      </c>
      <c r="D19" s="22" t="s">
        <v>72</v>
      </c>
      <c r="E19" s="62" t="s">
        <v>67</v>
      </c>
      <c r="F19" s="22">
        <v>2</v>
      </c>
      <c r="G19" s="22" t="s">
        <v>14</v>
      </c>
      <c r="H19" s="58">
        <f ca="1">IF($E19="IMM",_xll.meDateNthIMMFromStartDate(AsOf, $F19,$AC19,"MOD_FOLLOWING"),_xll.meDateFromTenor(AsOf,$F19&amp;"D","MOD_FOLLOWING",$AC19))</f>
        <v>43091</v>
      </c>
      <c r="I19" s="88" t="s">
        <v>29</v>
      </c>
      <c r="J19" s="23" t="s">
        <v>16</v>
      </c>
      <c r="K19" s="23" t="s">
        <v>47</v>
      </c>
      <c r="L19" s="23" t="s">
        <v>42</v>
      </c>
      <c r="M19" s="23" t="s">
        <v>61</v>
      </c>
      <c r="N19" s="23" t="s">
        <v>56</v>
      </c>
      <c r="O19" s="115" t="s">
        <v>48</v>
      </c>
      <c r="P19" s="105">
        <f t="shared" ca="1" si="0"/>
        <v>1</v>
      </c>
      <c r="Q19" s="38" t="str">
        <f t="shared" ca="1" si="12"/>
        <v>SPOT</v>
      </c>
      <c r="R19" s="57">
        <f ca="1">IF($I19="","",IF(ISNUMBER($I19),$I19,_xll.meDateFromTenor(H19,$I19,"MOD_FOLLOWING",VLOOKUP(LEFT($M19,3),DateConventions,3))))</f>
        <v>44917</v>
      </c>
      <c r="S19" s="38" t="b">
        <f t="shared" ca="1" si="9"/>
        <v>1</v>
      </c>
      <c r="T19" s="38" t="b">
        <f ca="1">ISNUMBER(SEARCH($G19, INDEX($G$54:$G$61,$P19)))</f>
        <v>1</v>
      </c>
      <c r="U19" s="38" t="b">
        <f t="shared" ca="1" si="1"/>
        <v>1</v>
      </c>
      <c r="V19" s="38" t="b">
        <f t="shared" ca="1" si="2"/>
        <v>1</v>
      </c>
      <c r="W19" s="39" t="b">
        <f t="shared" ca="1" si="3"/>
        <v>1</v>
      </c>
      <c r="X19" s="38" t="b">
        <f t="shared" ca="1" si="4"/>
        <v>1</v>
      </c>
      <c r="Y19" s="40" t="b">
        <f t="shared" ca="1" si="5"/>
        <v>1</v>
      </c>
      <c r="Z19" s="40" t="b">
        <f t="shared" ca="1" si="10"/>
        <v>1</v>
      </c>
      <c r="AA19" s="40" t="b">
        <f t="shared" ca="1" si="6"/>
        <v>1</v>
      </c>
      <c r="AB19" s="67" t="b">
        <f t="shared" ca="1" si="7"/>
        <v>1</v>
      </c>
      <c r="AC19" s="64" t="str">
        <f t="shared" ca="1" si="11"/>
        <v>TGT</v>
      </c>
    </row>
    <row r="20" spans="1:29" x14ac:dyDescent="0.25">
      <c r="A20" s="29">
        <v>14</v>
      </c>
      <c r="B20" s="102" t="b">
        <f t="shared" ca="1" si="8"/>
        <v>1</v>
      </c>
      <c r="C20" s="114" t="s">
        <v>41</v>
      </c>
      <c r="D20" s="22" t="s">
        <v>72</v>
      </c>
      <c r="E20" s="62" t="s">
        <v>67</v>
      </c>
      <c r="F20" s="22">
        <v>2</v>
      </c>
      <c r="G20" s="22" t="s">
        <v>14</v>
      </c>
      <c r="H20" s="58">
        <f ca="1">IF($E20="IMM",_xll.meDateNthIMMFromStartDate(AsOf, $F20,$AC20,"MOD_FOLLOWING"),_xll.meDateFromTenor(AsOf,$F20&amp;"D","MOD_FOLLOWING",$AC20))</f>
        <v>43091</v>
      </c>
      <c r="I20" s="88" t="s">
        <v>29</v>
      </c>
      <c r="J20" s="23" t="s">
        <v>16</v>
      </c>
      <c r="K20" s="23" t="s">
        <v>47</v>
      </c>
      <c r="L20" s="23" t="s">
        <v>42</v>
      </c>
      <c r="M20" s="23" t="s">
        <v>61</v>
      </c>
      <c r="N20" s="23" t="s">
        <v>56</v>
      </c>
      <c r="O20" s="115" t="s">
        <v>48</v>
      </c>
      <c r="P20" s="105">
        <f t="shared" ca="1" si="0"/>
        <v>1</v>
      </c>
      <c r="Q20" s="38" t="str">
        <f t="shared" ca="1" si="12"/>
        <v>SPOT</v>
      </c>
      <c r="R20" s="57">
        <f ca="1">IF($I20="","",IF(ISNUMBER($I20),$I20,_xll.meDateFromTenor(H20,$I20,"MOD_FOLLOWING",VLOOKUP(LEFT($M20,3),DateConventions,3))))</f>
        <v>44917</v>
      </c>
      <c r="S20" s="38" t="b">
        <f t="shared" ca="1" si="9"/>
        <v>1</v>
      </c>
      <c r="T20" s="38" t="b">
        <f ca="1">ISNUMBER(SEARCH($G20, INDEX($G$54:$G$61,$P20)))</f>
        <v>1</v>
      </c>
      <c r="U20" s="38" t="b">
        <f t="shared" ca="1" si="1"/>
        <v>1</v>
      </c>
      <c r="V20" s="38" t="b">
        <f t="shared" ca="1" si="2"/>
        <v>1</v>
      </c>
      <c r="W20" s="39" t="b">
        <f t="shared" ca="1" si="3"/>
        <v>1</v>
      </c>
      <c r="X20" s="38" t="b">
        <f t="shared" ca="1" si="4"/>
        <v>1</v>
      </c>
      <c r="Y20" s="40" t="b">
        <f t="shared" ca="1" si="5"/>
        <v>1</v>
      </c>
      <c r="Z20" s="40" t="b">
        <f t="shared" ca="1" si="10"/>
        <v>1</v>
      </c>
      <c r="AA20" s="40" t="b">
        <f t="shared" ca="1" si="6"/>
        <v>1</v>
      </c>
      <c r="AB20" s="67" t="b">
        <f t="shared" ca="1" si="7"/>
        <v>1</v>
      </c>
      <c r="AC20" s="64" t="str">
        <f t="shared" ca="1" si="11"/>
        <v>TGT</v>
      </c>
    </row>
    <row r="21" spans="1:29" x14ac:dyDescent="0.25">
      <c r="A21" s="29">
        <v>15</v>
      </c>
      <c r="B21" s="102" t="b">
        <f t="shared" ca="1" si="8"/>
        <v>1</v>
      </c>
      <c r="C21" s="114" t="s">
        <v>41</v>
      </c>
      <c r="D21" s="22" t="s">
        <v>72</v>
      </c>
      <c r="E21" s="62" t="s">
        <v>67</v>
      </c>
      <c r="F21" s="22">
        <v>2</v>
      </c>
      <c r="G21" s="22" t="s">
        <v>14</v>
      </c>
      <c r="H21" s="58">
        <f ca="1">IF($E21="IMM",_xll.meDateNthIMMFromStartDate(AsOf, $F21,$AC21,"MOD_FOLLOWING"),_xll.meDateFromTenor(AsOf,$F21&amp;"D","MOD_FOLLOWING",$AC21))</f>
        <v>43091</v>
      </c>
      <c r="I21" s="88" t="s">
        <v>29</v>
      </c>
      <c r="J21" s="23" t="s">
        <v>16</v>
      </c>
      <c r="K21" s="23" t="s">
        <v>47</v>
      </c>
      <c r="L21" s="23" t="s">
        <v>42</v>
      </c>
      <c r="M21" s="23" t="s">
        <v>61</v>
      </c>
      <c r="N21" s="23" t="s">
        <v>56</v>
      </c>
      <c r="O21" s="115" t="s">
        <v>48</v>
      </c>
      <c r="P21" s="105">
        <f t="shared" ca="1" si="0"/>
        <v>1</v>
      </c>
      <c r="Q21" s="38" t="str">
        <f t="shared" ca="1" si="12"/>
        <v>SPOT</v>
      </c>
      <c r="R21" s="57">
        <f ca="1">IF($I21="","",IF(ISNUMBER($I21),$I21,_xll.meDateFromTenor(H21,$I21,"MOD_FOLLOWING",VLOOKUP(LEFT($M21,3),DateConventions,3))))</f>
        <v>44917</v>
      </c>
      <c r="S21" s="38" t="b">
        <f t="shared" ca="1" si="9"/>
        <v>1</v>
      </c>
      <c r="T21" s="38" t="b">
        <f ca="1">ISNUMBER(SEARCH($G21, INDEX($G$54:$G$61,$P21)))</f>
        <v>1</v>
      </c>
      <c r="U21" s="38" t="b">
        <f t="shared" ca="1" si="1"/>
        <v>1</v>
      </c>
      <c r="V21" s="38" t="b">
        <f t="shared" ca="1" si="2"/>
        <v>1</v>
      </c>
      <c r="W21" s="39" t="b">
        <f t="shared" ca="1" si="3"/>
        <v>1</v>
      </c>
      <c r="X21" s="38" t="b">
        <f t="shared" ca="1" si="4"/>
        <v>1</v>
      </c>
      <c r="Y21" s="40" t="b">
        <f t="shared" ca="1" si="5"/>
        <v>1</v>
      </c>
      <c r="Z21" s="40" t="b">
        <f t="shared" ca="1" si="10"/>
        <v>1</v>
      </c>
      <c r="AA21" s="40" t="b">
        <f t="shared" ca="1" si="6"/>
        <v>1</v>
      </c>
      <c r="AB21" s="67" t="b">
        <f t="shared" ca="1" si="7"/>
        <v>1</v>
      </c>
      <c r="AC21" s="64" t="str">
        <f t="shared" ca="1" si="11"/>
        <v>TGT</v>
      </c>
    </row>
    <row r="22" spans="1:29" x14ac:dyDescent="0.25">
      <c r="A22" s="29">
        <v>16</v>
      </c>
      <c r="B22" s="102" t="b">
        <f t="shared" ca="1" si="8"/>
        <v>1</v>
      </c>
      <c r="C22" s="114" t="s">
        <v>41</v>
      </c>
      <c r="D22" s="22" t="s">
        <v>72</v>
      </c>
      <c r="E22" s="62" t="s">
        <v>67</v>
      </c>
      <c r="F22" s="22">
        <v>2</v>
      </c>
      <c r="G22" s="22" t="s">
        <v>14</v>
      </c>
      <c r="H22" s="58">
        <f ca="1">IF($E22="IMM",_xll.meDateNthIMMFromStartDate(AsOf, $F22,$AC22,"MOD_FOLLOWING"),_xll.meDateFromTenor(AsOf,$F22&amp;"D","MOD_FOLLOWING",$AC22))</f>
        <v>43091</v>
      </c>
      <c r="I22" s="88" t="s">
        <v>29</v>
      </c>
      <c r="J22" s="23" t="s">
        <v>16</v>
      </c>
      <c r="K22" s="23" t="s">
        <v>47</v>
      </c>
      <c r="L22" s="23" t="s">
        <v>42</v>
      </c>
      <c r="M22" s="23" t="s">
        <v>61</v>
      </c>
      <c r="N22" s="23" t="s">
        <v>56</v>
      </c>
      <c r="O22" s="115" t="s">
        <v>48</v>
      </c>
      <c r="P22" s="105">
        <f t="shared" ca="1" si="0"/>
        <v>1</v>
      </c>
      <c r="Q22" s="38" t="str">
        <f t="shared" ca="1" si="12"/>
        <v>SPOT</v>
      </c>
      <c r="R22" s="57">
        <f ca="1">IF($I22="","",IF(ISNUMBER($I22),$I22,_xll.meDateFromTenor(H22,$I22,"MOD_FOLLOWING",VLOOKUP(LEFT($M22,3),DateConventions,3))))</f>
        <v>44917</v>
      </c>
      <c r="S22" s="38" t="b">
        <f t="shared" ca="1" si="9"/>
        <v>1</v>
      </c>
      <c r="T22" s="38" t="b">
        <f ca="1">ISNUMBER(SEARCH($G22, INDEX($G$54:$G$61,$P22)))</f>
        <v>1</v>
      </c>
      <c r="U22" s="38" t="b">
        <f t="shared" ca="1" si="1"/>
        <v>1</v>
      </c>
      <c r="V22" s="38" t="b">
        <f t="shared" ca="1" si="2"/>
        <v>1</v>
      </c>
      <c r="W22" s="39" t="b">
        <f t="shared" ca="1" si="3"/>
        <v>1</v>
      </c>
      <c r="X22" s="38" t="b">
        <f t="shared" ca="1" si="4"/>
        <v>1</v>
      </c>
      <c r="Y22" s="40" t="b">
        <f t="shared" ca="1" si="5"/>
        <v>1</v>
      </c>
      <c r="Z22" s="40" t="b">
        <f t="shared" ca="1" si="10"/>
        <v>1</v>
      </c>
      <c r="AA22" s="40" t="b">
        <f t="shared" ca="1" si="6"/>
        <v>1</v>
      </c>
      <c r="AB22" s="67" t="b">
        <f t="shared" ca="1" si="7"/>
        <v>1</v>
      </c>
      <c r="AC22" s="64" t="str">
        <f t="shared" ca="1" si="11"/>
        <v>TGT</v>
      </c>
    </row>
    <row r="23" spans="1:29" x14ac:dyDescent="0.25">
      <c r="A23" s="29">
        <v>17</v>
      </c>
      <c r="B23" s="102" t="b">
        <f t="shared" ca="1" si="8"/>
        <v>1</v>
      </c>
      <c r="C23" s="114" t="s">
        <v>41</v>
      </c>
      <c r="D23" s="22" t="s">
        <v>72</v>
      </c>
      <c r="E23" s="62" t="s">
        <v>67</v>
      </c>
      <c r="F23" s="22">
        <v>2</v>
      </c>
      <c r="G23" s="22" t="s">
        <v>14</v>
      </c>
      <c r="H23" s="58">
        <f ca="1">IF($E23="IMM",_xll.meDateNthIMMFromStartDate(AsOf, $F23,$AC23,"MOD_FOLLOWING"),_xll.meDateFromTenor(AsOf,$F23&amp;"D","MOD_FOLLOWING",$AC23))</f>
        <v>43091</v>
      </c>
      <c r="I23" s="88" t="s">
        <v>29</v>
      </c>
      <c r="J23" s="23" t="s">
        <v>16</v>
      </c>
      <c r="K23" s="23" t="s">
        <v>47</v>
      </c>
      <c r="L23" s="23" t="s">
        <v>42</v>
      </c>
      <c r="M23" s="23" t="s">
        <v>61</v>
      </c>
      <c r="N23" s="23" t="s">
        <v>56</v>
      </c>
      <c r="O23" s="115" t="s">
        <v>48</v>
      </c>
      <c r="P23" s="105">
        <f t="shared" ca="1" si="0"/>
        <v>1</v>
      </c>
      <c r="Q23" s="38" t="str">
        <f t="shared" ca="1" si="12"/>
        <v>SPOT</v>
      </c>
      <c r="R23" s="57">
        <f ca="1">IF($I23="","",IF(ISNUMBER($I23),$I23,_xll.meDateFromTenor(H23,$I23,"MOD_FOLLOWING",VLOOKUP(LEFT($M23,3),DateConventions,3))))</f>
        <v>44917</v>
      </c>
      <c r="S23" s="38" t="b">
        <f t="shared" ca="1" si="9"/>
        <v>1</v>
      </c>
      <c r="T23" s="38" t="b">
        <f ca="1">ISNUMBER(SEARCH($G23, INDEX($G$54:$G$61,$P23)))</f>
        <v>1</v>
      </c>
      <c r="U23" s="38" t="b">
        <f t="shared" ca="1" si="1"/>
        <v>1</v>
      </c>
      <c r="V23" s="38" t="b">
        <f t="shared" ca="1" si="2"/>
        <v>1</v>
      </c>
      <c r="W23" s="39" t="b">
        <f t="shared" ca="1" si="3"/>
        <v>1</v>
      </c>
      <c r="X23" s="38" t="b">
        <f t="shared" ca="1" si="4"/>
        <v>1</v>
      </c>
      <c r="Y23" s="40" t="b">
        <f t="shared" ca="1" si="5"/>
        <v>1</v>
      </c>
      <c r="Z23" s="40" t="b">
        <f t="shared" ca="1" si="10"/>
        <v>1</v>
      </c>
      <c r="AA23" s="40" t="b">
        <f t="shared" ca="1" si="6"/>
        <v>1</v>
      </c>
      <c r="AB23" s="67" t="b">
        <f t="shared" ca="1" si="7"/>
        <v>1</v>
      </c>
      <c r="AC23" s="64" t="str">
        <f t="shared" ca="1" si="11"/>
        <v>TGT</v>
      </c>
    </row>
    <row r="24" spans="1:29" x14ac:dyDescent="0.25">
      <c r="A24" s="29">
        <v>18</v>
      </c>
      <c r="B24" s="102" t="b">
        <f t="shared" ca="1" si="8"/>
        <v>1</v>
      </c>
      <c r="C24" s="114" t="s">
        <v>41</v>
      </c>
      <c r="D24" s="22" t="s">
        <v>72</v>
      </c>
      <c r="E24" s="62" t="s">
        <v>67</v>
      </c>
      <c r="F24" s="22">
        <v>2</v>
      </c>
      <c r="G24" s="22" t="s">
        <v>14</v>
      </c>
      <c r="H24" s="58">
        <f ca="1">IF($E24="IMM",_xll.meDateNthIMMFromStartDate(AsOf, $F24,$AC24,"MOD_FOLLOWING"),_xll.meDateFromTenor(AsOf,$F24&amp;"D","MOD_FOLLOWING",$AC24))</f>
        <v>43091</v>
      </c>
      <c r="I24" s="88" t="s">
        <v>29</v>
      </c>
      <c r="J24" s="23" t="s">
        <v>16</v>
      </c>
      <c r="K24" s="23" t="s">
        <v>47</v>
      </c>
      <c r="L24" s="23" t="s">
        <v>42</v>
      </c>
      <c r="M24" s="23" t="s">
        <v>61</v>
      </c>
      <c r="N24" s="23" t="s">
        <v>56</v>
      </c>
      <c r="O24" s="115" t="s">
        <v>48</v>
      </c>
      <c r="P24" s="105">
        <f t="shared" ca="1" si="0"/>
        <v>1</v>
      </c>
      <c r="Q24" s="38" t="str">
        <f t="shared" ca="1" si="12"/>
        <v>SPOT</v>
      </c>
      <c r="R24" s="57">
        <f ca="1">IF($I24="","",IF(ISNUMBER($I24),$I24,_xll.meDateFromTenor(H24,$I24,"MOD_FOLLOWING",VLOOKUP(LEFT($M24,3),DateConventions,3))))</f>
        <v>44917</v>
      </c>
      <c r="S24" s="38" t="b">
        <f t="shared" ca="1" si="9"/>
        <v>1</v>
      </c>
      <c r="T24" s="38" t="b">
        <f ca="1">ISNUMBER(SEARCH($G24, INDEX($G$54:$G$61,$P24)))</f>
        <v>1</v>
      </c>
      <c r="U24" s="38" t="b">
        <f t="shared" ca="1" si="1"/>
        <v>1</v>
      </c>
      <c r="V24" s="38" t="b">
        <f t="shared" ca="1" si="2"/>
        <v>1</v>
      </c>
      <c r="W24" s="39" t="b">
        <f t="shared" ca="1" si="3"/>
        <v>1</v>
      </c>
      <c r="X24" s="38" t="b">
        <f t="shared" ca="1" si="4"/>
        <v>1</v>
      </c>
      <c r="Y24" s="40" t="b">
        <f t="shared" ca="1" si="5"/>
        <v>1</v>
      </c>
      <c r="Z24" s="40" t="b">
        <f t="shared" ca="1" si="10"/>
        <v>1</v>
      </c>
      <c r="AA24" s="40" t="b">
        <f t="shared" ca="1" si="6"/>
        <v>1</v>
      </c>
      <c r="AB24" s="67" t="b">
        <f t="shared" ca="1" si="7"/>
        <v>1</v>
      </c>
      <c r="AC24" s="64" t="str">
        <f t="shared" ca="1" si="11"/>
        <v>TGT</v>
      </c>
    </row>
    <row r="25" spans="1:29" x14ac:dyDescent="0.25">
      <c r="A25" s="29">
        <v>19</v>
      </c>
      <c r="B25" s="102" t="b">
        <f t="shared" ca="1" si="8"/>
        <v>1</v>
      </c>
      <c r="C25" s="114" t="s">
        <v>41</v>
      </c>
      <c r="D25" s="22" t="s">
        <v>72</v>
      </c>
      <c r="E25" s="62" t="s">
        <v>67</v>
      </c>
      <c r="F25" s="22">
        <v>2</v>
      </c>
      <c r="G25" s="22" t="s">
        <v>14</v>
      </c>
      <c r="H25" s="58">
        <f ca="1">IF($E25="IMM",_xll.meDateNthIMMFromStartDate(AsOf, $F25,$AC25,"MOD_FOLLOWING"),_xll.meDateFromTenor(AsOf,$F25&amp;"D","MOD_FOLLOWING",$AC25))</f>
        <v>43091</v>
      </c>
      <c r="I25" s="88" t="s">
        <v>29</v>
      </c>
      <c r="J25" s="23" t="s">
        <v>16</v>
      </c>
      <c r="K25" s="23" t="s">
        <v>47</v>
      </c>
      <c r="L25" s="23" t="s">
        <v>42</v>
      </c>
      <c r="M25" s="23" t="s">
        <v>61</v>
      </c>
      <c r="N25" s="23" t="s">
        <v>56</v>
      </c>
      <c r="O25" s="115" t="s">
        <v>48</v>
      </c>
      <c r="P25" s="105">
        <f t="shared" ca="1" si="0"/>
        <v>1</v>
      </c>
      <c r="Q25" s="38" t="str">
        <f t="shared" ca="1" si="12"/>
        <v>SPOT</v>
      </c>
      <c r="R25" s="57">
        <f ca="1">IF($I25="","",IF(ISNUMBER($I25),$I25,_xll.meDateFromTenor(H25,$I25,"MOD_FOLLOWING",VLOOKUP(LEFT($M25,3),DateConventions,3))))</f>
        <v>44917</v>
      </c>
      <c r="S25" s="38" t="b">
        <f t="shared" ca="1" si="9"/>
        <v>1</v>
      </c>
      <c r="T25" s="38" t="b">
        <f ca="1">ISNUMBER(SEARCH($G25, INDEX($G$54:$G$61,$P25)))</f>
        <v>1</v>
      </c>
      <c r="U25" s="38" t="b">
        <f t="shared" ca="1" si="1"/>
        <v>1</v>
      </c>
      <c r="V25" s="38" t="b">
        <f t="shared" ca="1" si="2"/>
        <v>1</v>
      </c>
      <c r="W25" s="39" t="b">
        <f t="shared" ca="1" si="3"/>
        <v>1</v>
      </c>
      <c r="X25" s="38" t="b">
        <f t="shared" ca="1" si="4"/>
        <v>1</v>
      </c>
      <c r="Y25" s="40" t="b">
        <f t="shared" ca="1" si="5"/>
        <v>1</v>
      </c>
      <c r="Z25" s="40" t="b">
        <f t="shared" ca="1" si="10"/>
        <v>1</v>
      </c>
      <c r="AA25" s="40" t="b">
        <f t="shared" ca="1" si="6"/>
        <v>1</v>
      </c>
      <c r="AB25" s="67" t="b">
        <f t="shared" ca="1" si="7"/>
        <v>1</v>
      </c>
      <c r="AC25" s="64" t="str">
        <f t="shared" ca="1" si="11"/>
        <v>TGT</v>
      </c>
    </row>
    <row r="26" spans="1:29" x14ac:dyDescent="0.25">
      <c r="A26" s="29">
        <v>20</v>
      </c>
      <c r="B26" s="102" t="b">
        <f t="shared" ca="1" si="8"/>
        <v>1</v>
      </c>
      <c r="C26" s="114" t="s">
        <v>41</v>
      </c>
      <c r="D26" s="22" t="s">
        <v>72</v>
      </c>
      <c r="E26" s="62" t="s">
        <v>67</v>
      </c>
      <c r="F26" s="22">
        <v>2</v>
      </c>
      <c r="G26" s="22" t="s">
        <v>14</v>
      </c>
      <c r="H26" s="58">
        <f ca="1">IF($E26="IMM",_xll.meDateNthIMMFromStartDate(AsOf, $F26,$AC26,"MOD_FOLLOWING"),_xll.meDateFromTenor(AsOf,$F26&amp;"D","MOD_FOLLOWING",$AC26))</f>
        <v>43091</v>
      </c>
      <c r="I26" s="88" t="s">
        <v>29</v>
      </c>
      <c r="J26" s="23" t="s">
        <v>16</v>
      </c>
      <c r="K26" s="23" t="s">
        <v>47</v>
      </c>
      <c r="L26" s="23" t="s">
        <v>42</v>
      </c>
      <c r="M26" s="23" t="s">
        <v>61</v>
      </c>
      <c r="N26" s="23" t="s">
        <v>56</v>
      </c>
      <c r="O26" s="115" t="s">
        <v>48</v>
      </c>
      <c r="P26" s="105">
        <f t="shared" ca="1" si="0"/>
        <v>1</v>
      </c>
      <c r="Q26" s="38" t="str">
        <f t="shared" ca="1" si="12"/>
        <v>SPOT</v>
      </c>
      <c r="R26" s="57">
        <f ca="1">IF($I26="","",IF(ISNUMBER($I26),$I26,_xll.meDateFromTenor(H26,$I26,"MOD_FOLLOWING",VLOOKUP(LEFT($M26,3),DateConventions,3))))</f>
        <v>44917</v>
      </c>
      <c r="S26" s="38" t="b">
        <f t="shared" ca="1" si="9"/>
        <v>1</v>
      </c>
      <c r="T26" s="38" t="b">
        <f ca="1">ISNUMBER(SEARCH($G26, INDEX($G$54:$G$61,$P26)))</f>
        <v>1</v>
      </c>
      <c r="U26" s="38" t="b">
        <f t="shared" ca="1" si="1"/>
        <v>1</v>
      </c>
      <c r="V26" s="38" t="b">
        <f t="shared" ca="1" si="2"/>
        <v>1</v>
      </c>
      <c r="W26" s="39" t="b">
        <f t="shared" ca="1" si="3"/>
        <v>1</v>
      </c>
      <c r="X26" s="38" t="b">
        <f t="shared" ca="1" si="4"/>
        <v>1</v>
      </c>
      <c r="Y26" s="40" t="b">
        <f t="shared" ca="1" si="5"/>
        <v>1</v>
      </c>
      <c r="Z26" s="40" t="b">
        <f t="shared" ca="1" si="10"/>
        <v>1</v>
      </c>
      <c r="AA26" s="40" t="b">
        <f t="shared" ca="1" si="6"/>
        <v>1</v>
      </c>
      <c r="AB26" s="67" t="b">
        <f t="shared" ca="1" si="7"/>
        <v>1</v>
      </c>
      <c r="AC26" s="64" t="str">
        <f t="shared" ca="1" si="11"/>
        <v>TGT</v>
      </c>
    </row>
    <row r="27" spans="1:29" x14ac:dyDescent="0.25">
      <c r="A27" s="29">
        <v>21</v>
      </c>
      <c r="B27" s="102" t="b">
        <f t="shared" ca="1" si="8"/>
        <v>1</v>
      </c>
      <c r="C27" s="114" t="s">
        <v>41</v>
      </c>
      <c r="D27" s="22" t="s">
        <v>72</v>
      </c>
      <c r="E27" s="62" t="s">
        <v>67</v>
      </c>
      <c r="F27" s="22">
        <v>2</v>
      </c>
      <c r="G27" s="22" t="s">
        <v>14</v>
      </c>
      <c r="H27" s="58">
        <f ca="1">IF($E27="IMM",_xll.meDateNthIMMFromStartDate(AsOf, $F27,$AC27,"MOD_FOLLOWING"),_xll.meDateFromTenor(AsOf,$F27&amp;"D","MOD_FOLLOWING",$AC27))</f>
        <v>43091</v>
      </c>
      <c r="I27" s="88" t="s">
        <v>29</v>
      </c>
      <c r="J27" s="23" t="s">
        <v>16</v>
      </c>
      <c r="K27" s="23" t="s">
        <v>47</v>
      </c>
      <c r="L27" s="23" t="s">
        <v>42</v>
      </c>
      <c r="M27" s="23" t="s">
        <v>61</v>
      </c>
      <c r="N27" s="23" t="s">
        <v>56</v>
      </c>
      <c r="O27" s="115" t="s">
        <v>48</v>
      </c>
      <c r="P27" s="105">
        <f t="shared" ca="1" si="0"/>
        <v>1</v>
      </c>
      <c r="Q27" s="38" t="str">
        <f t="shared" ca="1" si="12"/>
        <v>SPOT</v>
      </c>
      <c r="R27" s="57">
        <f ca="1">IF($I27="","",IF(ISNUMBER($I27),$I27,_xll.meDateFromTenor(H27,$I27,"MOD_FOLLOWING",VLOOKUP(LEFT($M27,3),DateConventions,3))))</f>
        <v>44917</v>
      </c>
      <c r="S27" s="38" t="b">
        <f t="shared" ca="1" si="9"/>
        <v>1</v>
      </c>
      <c r="T27" s="38" t="b">
        <f ca="1">ISNUMBER(SEARCH($G27, INDEX($G$54:$G$61,$P27)))</f>
        <v>1</v>
      </c>
      <c r="U27" s="38" t="b">
        <f t="shared" ca="1" si="1"/>
        <v>1</v>
      </c>
      <c r="V27" s="38" t="b">
        <f t="shared" ca="1" si="2"/>
        <v>1</v>
      </c>
      <c r="W27" s="39" t="b">
        <f t="shared" ca="1" si="3"/>
        <v>1</v>
      </c>
      <c r="X27" s="38" t="b">
        <f t="shared" ca="1" si="4"/>
        <v>1</v>
      </c>
      <c r="Y27" s="40" t="b">
        <f t="shared" ca="1" si="5"/>
        <v>1</v>
      </c>
      <c r="Z27" s="40" t="b">
        <f t="shared" ca="1" si="10"/>
        <v>1</v>
      </c>
      <c r="AA27" s="40" t="b">
        <f t="shared" ca="1" si="6"/>
        <v>1</v>
      </c>
      <c r="AB27" s="67" t="b">
        <f t="shared" ca="1" si="7"/>
        <v>1</v>
      </c>
      <c r="AC27" s="64" t="str">
        <f t="shared" ca="1" si="11"/>
        <v>TGT</v>
      </c>
    </row>
    <row r="28" spans="1:29" x14ac:dyDescent="0.25">
      <c r="A28" s="29">
        <v>22</v>
      </c>
      <c r="B28" s="102" t="b">
        <f t="shared" ca="1" si="8"/>
        <v>1</v>
      </c>
      <c r="C28" s="114" t="s">
        <v>41</v>
      </c>
      <c r="D28" s="22" t="s">
        <v>72</v>
      </c>
      <c r="E28" s="62" t="s">
        <v>67</v>
      </c>
      <c r="F28" s="22">
        <v>2</v>
      </c>
      <c r="G28" s="22" t="s">
        <v>14</v>
      </c>
      <c r="H28" s="58">
        <f ca="1">IF($E28="IMM",_xll.meDateNthIMMFromStartDate(AsOf, $F28,$AC28,"MOD_FOLLOWING"),_xll.meDateFromTenor(AsOf,$F28&amp;"D","MOD_FOLLOWING",$AC28))</f>
        <v>43091</v>
      </c>
      <c r="I28" s="88" t="s">
        <v>29</v>
      </c>
      <c r="J28" s="23" t="s">
        <v>16</v>
      </c>
      <c r="K28" s="23" t="s">
        <v>47</v>
      </c>
      <c r="L28" s="23" t="s">
        <v>42</v>
      </c>
      <c r="M28" s="23" t="s">
        <v>61</v>
      </c>
      <c r="N28" s="23" t="s">
        <v>56</v>
      </c>
      <c r="O28" s="115" t="s">
        <v>48</v>
      </c>
      <c r="P28" s="105">
        <f t="shared" ca="1" si="0"/>
        <v>1</v>
      </c>
      <c r="Q28" s="38" t="str">
        <f t="shared" ca="1" si="12"/>
        <v>SPOT</v>
      </c>
      <c r="R28" s="57">
        <f ca="1">IF($I28="","",IF(ISNUMBER($I28),$I28,_xll.meDateFromTenor(H28,$I28,"MOD_FOLLOWING",VLOOKUP(LEFT($M28,3),DateConventions,3))))</f>
        <v>44917</v>
      </c>
      <c r="S28" s="38" t="b">
        <f t="shared" ca="1" si="9"/>
        <v>1</v>
      </c>
      <c r="T28" s="38" t="b">
        <f ca="1">ISNUMBER(SEARCH($G28, INDEX($G$54:$G$61,$P28)))</f>
        <v>1</v>
      </c>
      <c r="U28" s="38" t="b">
        <f t="shared" ca="1" si="1"/>
        <v>1</v>
      </c>
      <c r="V28" s="38" t="b">
        <f t="shared" ca="1" si="2"/>
        <v>1</v>
      </c>
      <c r="W28" s="39" t="b">
        <f t="shared" ca="1" si="3"/>
        <v>1</v>
      </c>
      <c r="X28" s="38" t="b">
        <f t="shared" ca="1" si="4"/>
        <v>1</v>
      </c>
      <c r="Y28" s="40" t="b">
        <f t="shared" ca="1" si="5"/>
        <v>1</v>
      </c>
      <c r="Z28" s="40" t="b">
        <f t="shared" ca="1" si="10"/>
        <v>1</v>
      </c>
      <c r="AA28" s="40" t="b">
        <f t="shared" ca="1" si="6"/>
        <v>1</v>
      </c>
      <c r="AB28" s="67" t="b">
        <f t="shared" ca="1" si="7"/>
        <v>1</v>
      </c>
      <c r="AC28" s="64" t="str">
        <f t="shared" ca="1" si="11"/>
        <v>TGT</v>
      </c>
    </row>
    <row r="29" spans="1:29" x14ac:dyDescent="0.25">
      <c r="A29" s="29">
        <v>23</v>
      </c>
      <c r="B29" s="102" t="b">
        <f t="shared" ca="1" si="8"/>
        <v>1</v>
      </c>
      <c r="C29" s="114" t="s">
        <v>41</v>
      </c>
      <c r="D29" s="22" t="s">
        <v>72</v>
      </c>
      <c r="E29" s="62" t="s">
        <v>67</v>
      </c>
      <c r="F29" s="22">
        <v>2</v>
      </c>
      <c r="G29" s="22" t="s">
        <v>14</v>
      </c>
      <c r="H29" s="58">
        <f ca="1">IF($E29="IMM",_xll.meDateNthIMMFromStartDate(AsOf, $F29,$AC29,"MOD_FOLLOWING"),_xll.meDateFromTenor(AsOf,$F29&amp;"D","MOD_FOLLOWING",$AC29))</f>
        <v>43091</v>
      </c>
      <c r="I29" s="88" t="s">
        <v>29</v>
      </c>
      <c r="J29" s="23" t="s">
        <v>16</v>
      </c>
      <c r="K29" s="23" t="s">
        <v>47</v>
      </c>
      <c r="L29" s="23" t="s">
        <v>42</v>
      </c>
      <c r="M29" s="23" t="s">
        <v>61</v>
      </c>
      <c r="N29" s="23" t="s">
        <v>56</v>
      </c>
      <c r="O29" s="115" t="s">
        <v>48</v>
      </c>
      <c r="P29" s="105">
        <f t="shared" ca="1" si="0"/>
        <v>1</v>
      </c>
      <c r="Q29" s="38" t="str">
        <f t="shared" ca="1" si="12"/>
        <v>SPOT</v>
      </c>
      <c r="R29" s="57">
        <f ca="1">IF($I29="","",IF(ISNUMBER($I29),$I29,_xll.meDateFromTenor(H29,$I29,"MOD_FOLLOWING",VLOOKUP(LEFT($M29,3),DateConventions,3))))</f>
        <v>44917</v>
      </c>
      <c r="S29" s="38" t="b">
        <f t="shared" ca="1" si="9"/>
        <v>1</v>
      </c>
      <c r="T29" s="38" t="b">
        <f ca="1">ISNUMBER(SEARCH($G29, INDEX($G$54:$G$61,$P29)))</f>
        <v>1</v>
      </c>
      <c r="U29" s="38" t="b">
        <f t="shared" ca="1" si="1"/>
        <v>1</v>
      </c>
      <c r="V29" s="38" t="b">
        <f t="shared" ca="1" si="2"/>
        <v>1</v>
      </c>
      <c r="W29" s="39" t="b">
        <f t="shared" ca="1" si="3"/>
        <v>1</v>
      </c>
      <c r="X29" s="38" t="b">
        <f t="shared" ca="1" si="4"/>
        <v>1</v>
      </c>
      <c r="Y29" s="40" t="b">
        <f t="shared" ca="1" si="5"/>
        <v>1</v>
      </c>
      <c r="Z29" s="40" t="b">
        <f t="shared" ca="1" si="10"/>
        <v>1</v>
      </c>
      <c r="AA29" s="40" t="b">
        <f t="shared" ca="1" si="6"/>
        <v>1</v>
      </c>
      <c r="AB29" s="67" t="b">
        <f t="shared" ca="1" si="7"/>
        <v>1</v>
      </c>
      <c r="AC29" s="64" t="str">
        <f t="shared" ca="1" si="11"/>
        <v>TGT</v>
      </c>
    </row>
    <row r="30" spans="1:29" x14ac:dyDescent="0.25">
      <c r="A30" s="29">
        <v>24</v>
      </c>
      <c r="B30" s="102" t="b">
        <f t="shared" ca="1" si="8"/>
        <v>1</v>
      </c>
      <c r="C30" s="114" t="s">
        <v>41</v>
      </c>
      <c r="D30" s="22" t="s">
        <v>72</v>
      </c>
      <c r="E30" s="62" t="s">
        <v>67</v>
      </c>
      <c r="F30" s="22">
        <v>2</v>
      </c>
      <c r="G30" s="22" t="s">
        <v>14</v>
      </c>
      <c r="H30" s="58">
        <f ca="1">IF($E30="IMM",_xll.meDateNthIMMFromStartDate(AsOf, $F30,$AC30,"MOD_FOLLOWING"),_xll.meDateFromTenor(AsOf,$F30&amp;"D","MOD_FOLLOWING",$AC30))</f>
        <v>43091</v>
      </c>
      <c r="I30" s="88" t="s">
        <v>29</v>
      </c>
      <c r="J30" s="23" t="s">
        <v>16</v>
      </c>
      <c r="K30" s="23" t="s">
        <v>47</v>
      </c>
      <c r="L30" s="23" t="s">
        <v>42</v>
      </c>
      <c r="M30" s="23" t="s">
        <v>61</v>
      </c>
      <c r="N30" s="23" t="s">
        <v>56</v>
      </c>
      <c r="O30" s="115" t="s">
        <v>48</v>
      </c>
      <c r="P30" s="105">
        <f t="shared" ca="1" si="0"/>
        <v>1</v>
      </c>
      <c r="Q30" s="38" t="str">
        <f t="shared" ca="1" si="12"/>
        <v>SPOT</v>
      </c>
      <c r="R30" s="57">
        <f ca="1">IF($I30="","",IF(ISNUMBER($I30),$I30,_xll.meDateFromTenor(H30,$I30,"MOD_FOLLOWING",VLOOKUP(LEFT($M30,3),DateConventions,3))))</f>
        <v>44917</v>
      </c>
      <c r="S30" s="38" t="b">
        <f t="shared" ca="1" si="9"/>
        <v>1</v>
      </c>
      <c r="T30" s="38" t="b">
        <f ca="1">ISNUMBER(SEARCH($G30, INDEX($G$54:$G$61,$P30)))</f>
        <v>1</v>
      </c>
      <c r="U30" s="38" t="b">
        <f t="shared" ca="1" si="1"/>
        <v>1</v>
      </c>
      <c r="V30" s="38" t="b">
        <f t="shared" ca="1" si="2"/>
        <v>1</v>
      </c>
      <c r="W30" s="39" t="b">
        <f t="shared" ca="1" si="3"/>
        <v>1</v>
      </c>
      <c r="X30" s="38" t="b">
        <f t="shared" ca="1" si="4"/>
        <v>1</v>
      </c>
      <c r="Y30" s="40" t="b">
        <f t="shared" ca="1" si="5"/>
        <v>1</v>
      </c>
      <c r="Z30" s="40" t="b">
        <f t="shared" ca="1" si="10"/>
        <v>1</v>
      </c>
      <c r="AA30" s="40" t="b">
        <f t="shared" ca="1" si="6"/>
        <v>1</v>
      </c>
      <c r="AB30" s="67" t="b">
        <f t="shared" ca="1" si="7"/>
        <v>1</v>
      </c>
      <c r="AC30" s="64" t="str">
        <f t="shared" ca="1" si="11"/>
        <v>TGT</v>
      </c>
    </row>
    <row r="31" spans="1:29" x14ac:dyDescent="0.25">
      <c r="A31" s="29">
        <v>25</v>
      </c>
      <c r="B31" s="102" t="b">
        <f t="shared" ca="1" si="8"/>
        <v>1</v>
      </c>
      <c r="C31" s="114" t="s">
        <v>41</v>
      </c>
      <c r="D31" s="22" t="s">
        <v>72</v>
      </c>
      <c r="E31" s="62" t="s">
        <v>67</v>
      </c>
      <c r="F31" s="22">
        <v>2</v>
      </c>
      <c r="G31" s="22" t="s">
        <v>14</v>
      </c>
      <c r="H31" s="58">
        <f ca="1">IF($E31="IMM",_xll.meDateNthIMMFromStartDate(AsOf, $F31,$AC31,"MOD_FOLLOWING"),_xll.meDateFromTenor(AsOf,$F31&amp;"D","MOD_FOLLOWING",$AC31))</f>
        <v>43091</v>
      </c>
      <c r="I31" s="88" t="s">
        <v>29</v>
      </c>
      <c r="J31" s="23" t="s">
        <v>16</v>
      </c>
      <c r="K31" s="23" t="s">
        <v>47</v>
      </c>
      <c r="L31" s="23" t="s">
        <v>42</v>
      </c>
      <c r="M31" s="23" t="s">
        <v>61</v>
      </c>
      <c r="N31" s="23" t="s">
        <v>56</v>
      </c>
      <c r="O31" s="115" t="s">
        <v>48</v>
      </c>
      <c r="P31" s="105">
        <f t="shared" ca="1" si="0"/>
        <v>1</v>
      </c>
      <c r="Q31" s="38" t="str">
        <f t="shared" ca="1" si="12"/>
        <v>SPOT</v>
      </c>
      <c r="R31" s="57">
        <f ca="1">IF($I31="","",IF(ISNUMBER($I31),$I31,_xll.meDateFromTenor(H31,$I31,"MOD_FOLLOWING",VLOOKUP(LEFT($M31,3),DateConventions,3))))</f>
        <v>44917</v>
      </c>
      <c r="S31" s="38" t="b">
        <f t="shared" ca="1" si="9"/>
        <v>1</v>
      </c>
      <c r="T31" s="38" t="b">
        <f ca="1">ISNUMBER(SEARCH($G31, INDEX($G$54:$G$61,$P31)))</f>
        <v>1</v>
      </c>
      <c r="U31" s="38" t="b">
        <f t="shared" ca="1" si="1"/>
        <v>1</v>
      </c>
      <c r="V31" s="38" t="b">
        <f t="shared" ca="1" si="2"/>
        <v>1</v>
      </c>
      <c r="W31" s="39" t="b">
        <f t="shared" ca="1" si="3"/>
        <v>1</v>
      </c>
      <c r="X31" s="38" t="b">
        <f t="shared" ca="1" si="4"/>
        <v>1</v>
      </c>
      <c r="Y31" s="40" t="b">
        <f t="shared" ca="1" si="5"/>
        <v>1</v>
      </c>
      <c r="Z31" s="40" t="b">
        <f t="shared" ca="1" si="10"/>
        <v>1</v>
      </c>
      <c r="AA31" s="40" t="b">
        <f t="shared" ca="1" si="6"/>
        <v>1</v>
      </c>
      <c r="AB31" s="67" t="b">
        <f t="shared" ca="1" si="7"/>
        <v>1</v>
      </c>
      <c r="AC31" s="64" t="str">
        <f t="shared" ca="1" si="11"/>
        <v>TGT</v>
      </c>
    </row>
    <row r="32" spans="1:29" x14ac:dyDescent="0.25">
      <c r="A32" s="29">
        <v>26</v>
      </c>
      <c r="B32" s="102" t="b">
        <f t="shared" ca="1" si="8"/>
        <v>1</v>
      </c>
      <c r="C32" s="114" t="s">
        <v>41</v>
      </c>
      <c r="D32" s="22" t="s">
        <v>72</v>
      </c>
      <c r="E32" s="62" t="s">
        <v>67</v>
      </c>
      <c r="F32" s="22">
        <v>2</v>
      </c>
      <c r="G32" s="22" t="s">
        <v>14</v>
      </c>
      <c r="H32" s="58">
        <f ca="1">IF($E32="IMM",_xll.meDateNthIMMFromStartDate(AsOf, $F32,$AC32,"MOD_FOLLOWING"),_xll.meDateFromTenor(AsOf,$F32&amp;"D","MOD_FOLLOWING",$AC32))</f>
        <v>43091</v>
      </c>
      <c r="I32" s="88" t="s">
        <v>29</v>
      </c>
      <c r="J32" s="23" t="s">
        <v>16</v>
      </c>
      <c r="K32" s="23" t="s">
        <v>47</v>
      </c>
      <c r="L32" s="23" t="s">
        <v>42</v>
      </c>
      <c r="M32" s="23" t="s">
        <v>61</v>
      </c>
      <c r="N32" s="23" t="s">
        <v>56</v>
      </c>
      <c r="O32" s="115" t="s">
        <v>48</v>
      </c>
      <c r="P32" s="105">
        <f t="shared" ca="1" si="0"/>
        <v>1</v>
      </c>
      <c r="Q32" s="38" t="str">
        <f t="shared" ca="1" si="12"/>
        <v>SPOT</v>
      </c>
      <c r="R32" s="57">
        <f ca="1">IF($I32="","",IF(ISNUMBER($I32),$I32,_xll.meDateFromTenor(H32,$I32,"MOD_FOLLOWING",VLOOKUP(LEFT($M32,3),DateConventions,3))))</f>
        <v>44917</v>
      </c>
      <c r="S32" s="38" t="b">
        <f t="shared" ca="1" si="9"/>
        <v>1</v>
      </c>
      <c r="T32" s="38" t="b">
        <f ca="1">ISNUMBER(SEARCH($G32, INDEX($G$54:$G$61,$P32)))</f>
        <v>1</v>
      </c>
      <c r="U32" s="38" t="b">
        <f t="shared" ca="1" si="1"/>
        <v>1</v>
      </c>
      <c r="V32" s="38" t="b">
        <f t="shared" ca="1" si="2"/>
        <v>1</v>
      </c>
      <c r="W32" s="39" t="b">
        <f t="shared" ca="1" si="3"/>
        <v>1</v>
      </c>
      <c r="X32" s="38" t="b">
        <f t="shared" ca="1" si="4"/>
        <v>1</v>
      </c>
      <c r="Y32" s="40" t="b">
        <f t="shared" ca="1" si="5"/>
        <v>1</v>
      </c>
      <c r="Z32" s="40" t="b">
        <f t="shared" ca="1" si="10"/>
        <v>1</v>
      </c>
      <c r="AA32" s="40" t="b">
        <f t="shared" ca="1" si="6"/>
        <v>1</v>
      </c>
      <c r="AB32" s="67" t="b">
        <f t="shared" ca="1" si="7"/>
        <v>1</v>
      </c>
      <c r="AC32" s="64" t="str">
        <f t="shared" ca="1" si="11"/>
        <v>TGT</v>
      </c>
    </row>
    <row r="33" spans="1:29" x14ac:dyDescent="0.25">
      <c r="A33" s="29">
        <v>27</v>
      </c>
      <c r="B33" s="102" t="b">
        <f t="shared" ca="1" si="8"/>
        <v>1</v>
      </c>
      <c r="C33" s="114" t="s">
        <v>41</v>
      </c>
      <c r="D33" s="22" t="s">
        <v>72</v>
      </c>
      <c r="E33" s="62" t="s">
        <v>67</v>
      </c>
      <c r="F33" s="22">
        <v>2</v>
      </c>
      <c r="G33" s="22" t="s">
        <v>14</v>
      </c>
      <c r="H33" s="58">
        <f ca="1">IF($E33="IMM",_xll.meDateNthIMMFromStartDate(AsOf, $F33,$AC33,"MOD_FOLLOWING"),_xll.meDateFromTenor(AsOf,$F33&amp;"D","MOD_FOLLOWING",$AC33))</f>
        <v>43091</v>
      </c>
      <c r="I33" s="88" t="s">
        <v>29</v>
      </c>
      <c r="J33" s="23" t="s">
        <v>16</v>
      </c>
      <c r="K33" s="23" t="s">
        <v>47</v>
      </c>
      <c r="L33" s="23" t="s">
        <v>42</v>
      </c>
      <c r="M33" s="23" t="s">
        <v>61</v>
      </c>
      <c r="N33" s="23" t="s">
        <v>56</v>
      </c>
      <c r="O33" s="115" t="s">
        <v>48</v>
      </c>
      <c r="P33" s="105">
        <f t="shared" ca="1" si="0"/>
        <v>1</v>
      </c>
      <c r="Q33" s="38" t="str">
        <f t="shared" ca="1" si="12"/>
        <v>SPOT</v>
      </c>
      <c r="R33" s="57">
        <f ca="1">IF($I33="","",IF(ISNUMBER($I33),$I33,_xll.meDateFromTenor(H33,$I33,"MOD_FOLLOWING",VLOOKUP(LEFT($M33,3),DateConventions,3))))</f>
        <v>44917</v>
      </c>
      <c r="S33" s="38" t="b">
        <f t="shared" ca="1" si="9"/>
        <v>1</v>
      </c>
      <c r="T33" s="38" t="b">
        <f ca="1">ISNUMBER(SEARCH($G33, INDEX($G$54:$G$61,$P33)))</f>
        <v>1</v>
      </c>
      <c r="U33" s="38" t="b">
        <f t="shared" ca="1" si="1"/>
        <v>1</v>
      </c>
      <c r="V33" s="38" t="b">
        <f t="shared" ca="1" si="2"/>
        <v>1</v>
      </c>
      <c r="W33" s="39" t="b">
        <f t="shared" ca="1" si="3"/>
        <v>1</v>
      </c>
      <c r="X33" s="38" t="b">
        <f t="shared" ca="1" si="4"/>
        <v>1</v>
      </c>
      <c r="Y33" s="40" t="b">
        <f t="shared" ca="1" si="5"/>
        <v>1</v>
      </c>
      <c r="Z33" s="40" t="b">
        <f t="shared" ca="1" si="10"/>
        <v>1</v>
      </c>
      <c r="AA33" s="40" t="b">
        <f t="shared" ca="1" si="6"/>
        <v>1</v>
      </c>
      <c r="AB33" s="67" t="b">
        <f t="shared" ca="1" si="7"/>
        <v>1</v>
      </c>
      <c r="AC33" s="64" t="str">
        <f t="shared" ca="1" si="11"/>
        <v>TGT</v>
      </c>
    </row>
    <row r="34" spans="1:29" x14ac:dyDescent="0.25">
      <c r="A34" s="29">
        <v>28</v>
      </c>
      <c r="B34" s="102" t="b">
        <f t="shared" ca="1" si="8"/>
        <v>1</v>
      </c>
      <c r="C34" s="114" t="s">
        <v>41</v>
      </c>
      <c r="D34" s="22" t="s">
        <v>72</v>
      </c>
      <c r="E34" s="62" t="s">
        <v>67</v>
      </c>
      <c r="F34" s="22">
        <v>2</v>
      </c>
      <c r="G34" s="22" t="s">
        <v>14</v>
      </c>
      <c r="H34" s="58">
        <f ca="1">IF($E34="IMM",_xll.meDateNthIMMFromStartDate(AsOf, $F34,$AC34,"MOD_FOLLOWING"),_xll.meDateFromTenor(AsOf,$F34&amp;"D","MOD_FOLLOWING",$AC34))</f>
        <v>43091</v>
      </c>
      <c r="I34" s="88" t="s">
        <v>29</v>
      </c>
      <c r="J34" s="23" t="s">
        <v>16</v>
      </c>
      <c r="K34" s="23" t="s">
        <v>47</v>
      </c>
      <c r="L34" s="23" t="s">
        <v>42</v>
      </c>
      <c r="M34" s="23" t="s">
        <v>61</v>
      </c>
      <c r="N34" s="23" t="s">
        <v>56</v>
      </c>
      <c r="O34" s="115" t="s">
        <v>48</v>
      </c>
      <c r="P34" s="105">
        <f t="shared" ca="1" si="0"/>
        <v>1</v>
      </c>
      <c r="Q34" s="38" t="str">
        <f t="shared" ca="1" si="12"/>
        <v>SPOT</v>
      </c>
      <c r="R34" s="57">
        <f ca="1">IF($I34="","",IF(ISNUMBER($I34),$I34,_xll.meDateFromTenor(H34,$I34,"MOD_FOLLOWING",VLOOKUP(LEFT($M34,3),DateConventions,3))))</f>
        <v>44917</v>
      </c>
      <c r="S34" s="38" t="b">
        <f t="shared" ca="1" si="9"/>
        <v>1</v>
      </c>
      <c r="T34" s="38" t="b">
        <f ca="1">ISNUMBER(SEARCH($G34, INDEX($G$54:$G$61,$P34)))</f>
        <v>1</v>
      </c>
      <c r="U34" s="38" t="b">
        <f t="shared" ca="1" si="1"/>
        <v>1</v>
      </c>
      <c r="V34" s="38" t="b">
        <f t="shared" ca="1" si="2"/>
        <v>1</v>
      </c>
      <c r="W34" s="39" t="b">
        <f t="shared" ca="1" si="3"/>
        <v>1</v>
      </c>
      <c r="X34" s="38" t="b">
        <f t="shared" ca="1" si="4"/>
        <v>1</v>
      </c>
      <c r="Y34" s="40" t="b">
        <f t="shared" ca="1" si="5"/>
        <v>1</v>
      </c>
      <c r="Z34" s="40" t="b">
        <f t="shared" ca="1" si="10"/>
        <v>1</v>
      </c>
      <c r="AA34" s="40" t="b">
        <f t="shared" ca="1" si="6"/>
        <v>1</v>
      </c>
      <c r="AB34" s="67" t="b">
        <f t="shared" ca="1" si="7"/>
        <v>1</v>
      </c>
      <c r="AC34" s="64" t="str">
        <f t="shared" ca="1" si="11"/>
        <v>TGT</v>
      </c>
    </row>
    <row r="35" spans="1:29" x14ac:dyDescent="0.25">
      <c r="A35" s="29">
        <v>29</v>
      </c>
      <c r="B35" s="102" t="b">
        <f t="shared" ca="1" si="8"/>
        <v>1</v>
      </c>
      <c r="C35" s="114" t="s">
        <v>41</v>
      </c>
      <c r="D35" s="22" t="s">
        <v>72</v>
      </c>
      <c r="E35" s="62" t="s">
        <v>67</v>
      </c>
      <c r="F35" s="22">
        <v>2</v>
      </c>
      <c r="G35" s="22" t="s">
        <v>14</v>
      </c>
      <c r="H35" s="58">
        <f ca="1">IF($E35="IMM",_xll.meDateNthIMMFromStartDate(AsOf, $F35,$AC35,"MOD_FOLLOWING"),_xll.meDateFromTenor(AsOf,$F35&amp;"D","MOD_FOLLOWING",$AC35))</f>
        <v>43091</v>
      </c>
      <c r="I35" s="88" t="s">
        <v>29</v>
      </c>
      <c r="J35" s="23" t="s">
        <v>16</v>
      </c>
      <c r="K35" s="23" t="s">
        <v>47</v>
      </c>
      <c r="L35" s="23" t="s">
        <v>42</v>
      </c>
      <c r="M35" s="23" t="s">
        <v>61</v>
      </c>
      <c r="N35" s="23" t="s">
        <v>56</v>
      </c>
      <c r="O35" s="115" t="s">
        <v>48</v>
      </c>
      <c r="P35" s="105">
        <f t="shared" ca="1" si="0"/>
        <v>1</v>
      </c>
      <c r="Q35" s="38" t="str">
        <f t="shared" ca="1" si="12"/>
        <v>SPOT</v>
      </c>
      <c r="R35" s="57">
        <f ca="1">IF($I35="","",IF(ISNUMBER($I35),$I35,_xll.meDateFromTenor(H35,$I35,"MOD_FOLLOWING",VLOOKUP(LEFT($M35,3),DateConventions,3))))</f>
        <v>44917</v>
      </c>
      <c r="S35" s="38" t="b">
        <f t="shared" ca="1" si="9"/>
        <v>1</v>
      </c>
      <c r="T35" s="38" t="b">
        <f ca="1">ISNUMBER(SEARCH($G35, INDEX($G$54:$G$61,$P35)))</f>
        <v>1</v>
      </c>
      <c r="U35" s="38" t="b">
        <f t="shared" ca="1" si="1"/>
        <v>1</v>
      </c>
      <c r="V35" s="38" t="b">
        <f t="shared" ca="1" si="2"/>
        <v>1</v>
      </c>
      <c r="W35" s="39" t="b">
        <f t="shared" ca="1" si="3"/>
        <v>1</v>
      </c>
      <c r="X35" s="38" t="b">
        <f t="shared" ca="1" si="4"/>
        <v>1</v>
      </c>
      <c r="Y35" s="40" t="b">
        <f t="shared" ca="1" si="5"/>
        <v>1</v>
      </c>
      <c r="Z35" s="40" t="b">
        <f t="shared" ca="1" si="10"/>
        <v>1</v>
      </c>
      <c r="AA35" s="40" t="b">
        <f t="shared" ca="1" si="6"/>
        <v>1</v>
      </c>
      <c r="AB35" s="67" t="b">
        <f t="shared" ca="1" si="7"/>
        <v>1</v>
      </c>
      <c r="AC35" s="64" t="str">
        <f t="shared" ca="1" si="11"/>
        <v>TGT</v>
      </c>
    </row>
    <row r="36" spans="1:29" x14ac:dyDescent="0.25">
      <c r="A36" s="29">
        <v>30</v>
      </c>
      <c r="B36" s="102" t="b">
        <f t="shared" ca="1" si="8"/>
        <v>1</v>
      </c>
      <c r="C36" s="114" t="s">
        <v>41</v>
      </c>
      <c r="D36" s="22" t="s">
        <v>72</v>
      </c>
      <c r="E36" s="62" t="s">
        <v>67</v>
      </c>
      <c r="F36" s="22">
        <v>2</v>
      </c>
      <c r="G36" s="22" t="s">
        <v>14</v>
      </c>
      <c r="H36" s="58">
        <f ca="1">IF($E36="IMM",_xll.meDateNthIMMFromStartDate(AsOf, $F36,$AC36,"MOD_FOLLOWING"),_xll.meDateFromTenor(AsOf,$F36&amp;"D","MOD_FOLLOWING",$AC36))</f>
        <v>43091</v>
      </c>
      <c r="I36" s="88" t="s">
        <v>29</v>
      </c>
      <c r="J36" s="23" t="s">
        <v>16</v>
      </c>
      <c r="K36" s="23" t="s">
        <v>47</v>
      </c>
      <c r="L36" s="23" t="s">
        <v>42</v>
      </c>
      <c r="M36" s="23" t="s">
        <v>61</v>
      </c>
      <c r="N36" s="23" t="s">
        <v>56</v>
      </c>
      <c r="O36" s="115" t="s">
        <v>48</v>
      </c>
      <c r="P36" s="105">
        <f t="shared" ca="1" si="0"/>
        <v>1</v>
      </c>
      <c r="Q36" s="38" t="str">
        <f t="shared" ca="1" si="12"/>
        <v>SPOT</v>
      </c>
      <c r="R36" s="57">
        <f ca="1">IF($I36="","",IF(ISNUMBER($I36),$I36,_xll.meDateFromTenor(H36,$I36,"MOD_FOLLOWING",VLOOKUP(LEFT($M36,3),DateConventions,3))))</f>
        <v>44917</v>
      </c>
      <c r="S36" s="38" t="b">
        <f t="shared" ca="1" si="9"/>
        <v>1</v>
      </c>
      <c r="T36" s="38" t="b">
        <f ca="1">ISNUMBER(SEARCH($G36, INDEX($G$54:$G$61,$P36)))</f>
        <v>1</v>
      </c>
      <c r="U36" s="38" t="b">
        <f t="shared" ca="1" si="1"/>
        <v>1</v>
      </c>
      <c r="V36" s="38" t="b">
        <f t="shared" ca="1" si="2"/>
        <v>1</v>
      </c>
      <c r="W36" s="39" t="b">
        <f t="shared" ca="1" si="3"/>
        <v>1</v>
      </c>
      <c r="X36" s="38" t="b">
        <f t="shared" ca="1" si="4"/>
        <v>1</v>
      </c>
      <c r="Y36" s="40" t="b">
        <f t="shared" ca="1" si="5"/>
        <v>1</v>
      </c>
      <c r="Z36" s="40" t="b">
        <f t="shared" ca="1" si="10"/>
        <v>1</v>
      </c>
      <c r="AA36" s="40" t="b">
        <f t="shared" ca="1" si="6"/>
        <v>1</v>
      </c>
      <c r="AB36" s="67" t="b">
        <f t="shared" ca="1" si="7"/>
        <v>1</v>
      </c>
      <c r="AC36" s="64" t="str">
        <f t="shared" ca="1" si="11"/>
        <v>TGT</v>
      </c>
    </row>
    <row r="37" spans="1:29" x14ac:dyDescent="0.25">
      <c r="A37" s="29">
        <v>31</v>
      </c>
      <c r="B37" s="102" t="b">
        <f t="shared" ca="1" si="8"/>
        <v>1</v>
      </c>
      <c r="C37" s="114" t="s">
        <v>41</v>
      </c>
      <c r="D37" s="22" t="s">
        <v>72</v>
      </c>
      <c r="E37" s="62" t="s">
        <v>67</v>
      </c>
      <c r="F37" s="22">
        <v>2</v>
      </c>
      <c r="G37" s="22" t="s">
        <v>14</v>
      </c>
      <c r="H37" s="58">
        <f ca="1">IF($E37="IMM",_xll.meDateNthIMMFromStartDate(AsOf, $F37,$AC37,"MOD_FOLLOWING"),_xll.meDateFromTenor(AsOf,$F37&amp;"D","MOD_FOLLOWING",$AC37))</f>
        <v>43091</v>
      </c>
      <c r="I37" s="88" t="s">
        <v>29</v>
      </c>
      <c r="J37" s="23" t="s">
        <v>16</v>
      </c>
      <c r="K37" s="23" t="s">
        <v>47</v>
      </c>
      <c r="L37" s="23" t="s">
        <v>42</v>
      </c>
      <c r="M37" s="23" t="s">
        <v>61</v>
      </c>
      <c r="N37" s="23" t="s">
        <v>56</v>
      </c>
      <c r="O37" s="115" t="s">
        <v>48</v>
      </c>
      <c r="P37" s="105">
        <f t="shared" ca="1" si="0"/>
        <v>1</v>
      </c>
      <c r="Q37" s="38" t="str">
        <f t="shared" ca="1" si="12"/>
        <v>SPOT</v>
      </c>
      <c r="R37" s="57">
        <f ca="1">IF($I37="","",IF(ISNUMBER($I37),$I37,_xll.meDateFromTenor(H37,$I37,"MOD_FOLLOWING",VLOOKUP(LEFT($M37,3),DateConventions,3))))</f>
        <v>44917</v>
      </c>
      <c r="S37" s="38" t="b">
        <f t="shared" ca="1" si="9"/>
        <v>1</v>
      </c>
      <c r="T37" s="38" t="b">
        <f ca="1">ISNUMBER(SEARCH($G37, INDEX($G$54:$G$61,$P37)))</f>
        <v>1</v>
      </c>
      <c r="U37" s="38" t="b">
        <f t="shared" ca="1" si="1"/>
        <v>1</v>
      </c>
      <c r="V37" s="38" t="b">
        <f t="shared" ca="1" si="2"/>
        <v>1</v>
      </c>
      <c r="W37" s="39" t="b">
        <f t="shared" ca="1" si="3"/>
        <v>1</v>
      </c>
      <c r="X37" s="38" t="b">
        <f t="shared" ca="1" si="4"/>
        <v>1</v>
      </c>
      <c r="Y37" s="40" t="b">
        <f t="shared" ca="1" si="5"/>
        <v>1</v>
      </c>
      <c r="Z37" s="40" t="b">
        <f t="shared" ca="1" si="10"/>
        <v>1</v>
      </c>
      <c r="AA37" s="40" t="b">
        <f t="shared" ca="1" si="6"/>
        <v>1</v>
      </c>
      <c r="AB37" s="67" t="b">
        <f t="shared" ca="1" si="7"/>
        <v>1</v>
      </c>
      <c r="AC37" s="64" t="str">
        <f t="shared" ca="1" si="11"/>
        <v>TGT</v>
      </c>
    </row>
    <row r="38" spans="1:29" x14ac:dyDescent="0.25">
      <c r="A38" s="29">
        <v>32</v>
      </c>
      <c r="B38" s="102" t="b">
        <f t="shared" ca="1" si="8"/>
        <v>1</v>
      </c>
      <c r="C38" s="114" t="s">
        <v>41</v>
      </c>
      <c r="D38" s="22" t="s">
        <v>72</v>
      </c>
      <c r="E38" s="62" t="s">
        <v>67</v>
      </c>
      <c r="F38" s="22">
        <v>2</v>
      </c>
      <c r="G38" s="22" t="s">
        <v>14</v>
      </c>
      <c r="H38" s="58">
        <f ca="1">IF($E38="IMM",_xll.meDateNthIMMFromStartDate(AsOf, $F38,$AC38,"MOD_FOLLOWING"),_xll.meDateFromTenor(AsOf,$F38&amp;"D","MOD_FOLLOWING",$AC38))</f>
        <v>43091</v>
      </c>
      <c r="I38" s="88" t="s">
        <v>29</v>
      </c>
      <c r="J38" s="23" t="s">
        <v>16</v>
      </c>
      <c r="K38" s="23" t="s">
        <v>47</v>
      </c>
      <c r="L38" s="23" t="s">
        <v>42</v>
      </c>
      <c r="M38" s="23" t="s">
        <v>61</v>
      </c>
      <c r="N38" s="23" t="s">
        <v>56</v>
      </c>
      <c r="O38" s="115" t="s">
        <v>48</v>
      </c>
      <c r="P38" s="105">
        <f t="shared" ca="1" si="0"/>
        <v>1</v>
      </c>
      <c r="Q38" s="38" t="str">
        <f t="shared" ca="1" si="12"/>
        <v>SPOT</v>
      </c>
      <c r="R38" s="57">
        <f ca="1">IF($I38="","",IF(ISNUMBER($I38),$I38,_xll.meDateFromTenor(H38,$I38,"MOD_FOLLOWING",VLOOKUP(LEFT($M38,3),DateConventions,3))))</f>
        <v>44917</v>
      </c>
      <c r="S38" s="38" t="b">
        <f t="shared" ca="1" si="9"/>
        <v>1</v>
      </c>
      <c r="T38" s="38" t="b">
        <f ca="1">ISNUMBER(SEARCH($G38, INDEX($G$54:$G$61,$P38)))</f>
        <v>1</v>
      </c>
      <c r="U38" s="38" t="b">
        <f t="shared" ca="1" si="1"/>
        <v>1</v>
      </c>
      <c r="V38" s="38" t="b">
        <f t="shared" ca="1" si="2"/>
        <v>1</v>
      </c>
      <c r="W38" s="39" t="b">
        <f t="shared" ca="1" si="3"/>
        <v>1</v>
      </c>
      <c r="X38" s="38" t="b">
        <f t="shared" ca="1" si="4"/>
        <v>1</v>
      </c>
      <c r="Y38" s="40" t="b">
        <f t="shared" ca="1" si="5"/>
        <v>1</v>
      </c>
      <c r="Z38" s="40" t="b">
        <f t="shared" ca="1" si="10"/>
        <v>1</v>
      </c>
      <c r="AA38" s="40" t="b">
        <f t="shared" ca="1" si="6"/>
        <v>1</v>
      </c>
      <c r="AB38" s="67" t="b">
        <f t="shared" ca="1" si="7"/>
        <v>1</v>
      </c>
      <c r="AC38" s="64" t="str">
        <f t="shared" ca="1" si="11"/>
        <v>TGT</v>
      </c>
    </row>
    <row r="39" spans="1:29" x14ac:dyDescent="0.25">
      <c r="A39" s="29">
        <v>33</v>
      </c>
      <c r="B39" s="102" t="b">
        <f t="shared" ca="1" si="8"/>
        <v>1</v>
      </c>
      <c r="C39" s="114" t="s">
        <v>41</v>
      </c>
      <c r="D39" s="22" t="s">
        <v>72</v>
      </c>
      <c r="E39" s="62" t="s">
        <v>67</v>
      </c>
      <c r="F39" s="22">
        <v>2</v>
      </c>
      <c r="G39" s="22" t="s">
        <v>14</v>
      </c>
      <c r="H39" s="58">
        <f ca="1">IF($E39="IMM",_xll.meDateNthIMMFromStartDate(AsOf, $F39,$AC39,"MOD_FOLLOWING"),_xll.meDateFromTenor(AsOf,$F39&amp;"D","MOD_FOLLOWING",$AC39))</f>
        <v>43091</v>
      </c>
      <c r="I39" s="88" t="s">
        <v>29</v>
      </c>
      <c r="J39" s="23" t="s">
        <v>16</v>
      </c>
      <c r="K39" s="23" t="s">
        <v>47</v>
      </c>
      <c r="L39" s="23" t="s">
        <v>42</v>
      </c>
      <c r="M39" s="23" t="s">
        <v>61</v>
      </c>
      <c r="N39" s="23" t="s">
        <v>56</v>
      </c>
      <c r="O39" s="115" t="s">
        <v>48</v>
      </c>
      <c r="P39" s="105">
        <f t="shared" ca="1" si="0"/>
        <v>1</v>
      </c>
      <c r="Q39" s="38" t="str">
        <f t="shared" ca="1" si="12"/>
        <v>SPOT</v>
      </c>
      <c r="R39" s="57">
        <f ca="1">IF($I39="","",IF(ISNUMBER($I39),$I39,_xll.meDateFromTenor(H39,$I39,"MOD_FOLLOWING",VLOOKUP(LEFT($M39,3),DateConventions,3))))</f>
        <v>44917</v>
      </c>
      <c r="S39" s="38" t="b">
        <f t="shared" ca="1" si="9"/>
        <v>1</v>
      </c>
      <c r="T39" s="38" t="b">
        <f ca="1">ISNUMBER(SEARCH($G39, INDEX($G$54:$G$61,$P39)))</f>
        <v>1</v>
      </c>
      <c r="U39" s="38" t="b">
        <f t="shared" ca="1" si="1"/>
        <v>1</v>
      </c>
      <c r="V39" s="38" t="b">
        <f t="shared" ca="1" si="2"/>
        <v>1</v>
      </c>
      <c r="W39" s="39" t="b">
        <f t="shared" ca="1" si="3"/>
        <v>1</v>
      </c>
      <c r="X39" s="38" t="b">
        <f t="shared" ca="1" si="4"/>
        <v>1</v>
      </c>
      <c r="Y39" s="40" t="b">
        <f t="shared" ca="1" si="5"/>
        <v>1</v>
      </c>
      <c r="Z39" s="40" t="b">
        <f t="shared" ca="1" si="10"/>
        <v>1</v>
      </c>
      <c r="AA39" s="40" t="b">
        <f t="shared" ca="1" si="6"/>
        <v>1</v>
      </c>
      <c r="AB39" s="67" t="b">
        <f t="shared" ca="1" si="7"/>
        <v>1</v>
      </c>
      <c r="AC39" s="64" t="str">
        <f t="shared" ca="1" si="11"/>
        <v>TGT</v>
      </c>
    </row>
    <row r="40" spans="1:29" x14ac:dyDescent="0.25">
      <c r="A40" s="29">
        <v>34</v>
      </c>
      <c r="B40" s="102" t="b">
        <f t="shared" ca="1" si="8"/>
        <v>1</v>
      </c>
      <c r="C40" s="114" t="s">
        <v>41</v>
      </c>
      <c r="D40" s="22" t="s">
        <v>72</v>
      </c>
      <c r="E40" s="62" t="s">
        <v>67</v>
      </c>
      <c r="F40" s="22">
        <v>2</v>
      </c>
      <c r="G40" s="22" t="s">
        <v>14</v>
      </c>
      <c r="H40" s="58">
        <f ca="1">IF($E40="IMM",_xll.meDateNthIMMFromStartDate(AsOf, $F40,$AC40,"MOD_FOLLOWING"),_xll.meDateFromTenor(AsOf,$F40&amp;"D","MOD_FOLLOWING",$AC40))</f>
        <v>43091</v>
      </c>
      <c r="I40" s="88" t="s">
        <v>29</v>
      </c>
      <c r="J40" s="23" t="s">
        <v>16</v>
      </c>
      <c r="K40" s="23" t="s">
        <v>47</v>
      </c>
      <c r="L40" s="23" t="s">
        <v>42</v>
      </c>
      <c r="M40" s="23" t="s">
        <v>61</v>
      </c>
      <c r="N40" s="23" t="s">
        <v>56</v>
      </c>
      <c r="O40" s="115" t="s">
        <v>48</v>
      </c>
      <c r="P40" s="105">
        <f t="shared" ca="1" si="0"/>
        <v>1</v>
      </c>
      <c r="Q40" s="38" t="str">
        <f t="shared" ca="1" si="12"/>
        <v>SPOT</v>
      </c>
      <c r="R40" s="57">
        <f ca="1">IF($I40="","",IF(ISNUMBER($I40),$I40,_xll.meDateFromTenor(H40,$I40,"MOD_FOLLOWING",VLOOKUP(LEFT($M40,3),DateConventions,3))))</f>
        <v>44917</v>
      </c>
      <c r="S40" s="38" t="b">
        <f t="shared" ca="1" si="9"/>
        <v>1</v>
      </c>
      <c r="T40" s="38" t="b">
        <f ca="1">ISNUMBER(SEARCH($G40, INDEX($G$54:$G$61,$P40)))</f>
        <v>1</v>
      </c>
      <c r="U40" s="38" t="b">
        <f t="shared" ca="1" si="1"/>
        <v>1</v>
      </c>
      <c r="V40" s="38" t="b">
        <f t="shared" ca="1" si="2"/>
        <v>1</v>
      </c>
      <c r="W40" s="39" t="b">
        <f t="shared" ca="1" si="3"/>
        <v>1</v>
      </c>
      <c r="X40" s="38" t="b">
        <f t="shared" ca="1" si="4"/>
        <v>1</v>
      </c>
      <c r="Y40" s="40" t="b">
        <f t="shared" ca="1" si="5"/>
        <v>1</v>
      </c>
      <c r="Z40" s="40" t="b">
        <f t="shared" ca="1" si="10"/>
        <v>1</v>
      </c>
      <c r="AA40" s="40" t="b">
        <f t="shared" ca="1" si="6"/>
        <v>1</v>
      </c>
      <c r="AB40" s="67" t="b">
        <f t="shared" ca="1" si="7"/>
        <v>1</v>
      </c>
      <c r="AC40" s="64" t="str">
        <f t="shared" ca="1" si="11"/>
        <v>TGT</v>
      </c>
    </row>
    <row r="41" spans="1:29" x14ac:dyDescent="0.25">
      <c r="A41" s="29">
        <v>35</v>
      </c>
      <c r="B41" s="102" t="b">
        <f t="shared" ca="1" si="8"/>
        <v>1</v>
      </c>
      <c r="C41" s="114" t="s">
        <v>41</v>
      </c>
      <c r="D41" s="22" t="s">
        <v>72</v>
      </c>
      <c r="E41" s="62" t="s">
        <v>67</v>
      </c>
      <c r="F41" s="22">
        <v>2</v>
      </c>
      <c r="G41" s="22" t="s">
        <v>14</v>
      </c>
      <c r="H41" s="58">
        <f ca="1">IF($E41="IMM",_xll.meDateNthIMMFromStartDate(AsOf, $F41,$AC41,"MOD_FOLLOWING"),_xll.meDateFromTenor(AsOf,$F41&amp;"D","MOD_FOLLOWING",$AC41))</f>
        <v>43091</v>
      </c>
      <c r="I41" s="88" t="s">
        <v>29</v>
      </c>
      <c r="J41" s="23" t="s">
        <v>16</v>
      </c>
      <c r="K41" s="23" t="s">
        <v>47</v>
      </c>
      <c r="L41" s="23" t="s">
        <v>42</v>
      </c>
      <c r="M41" s="23" t="s">
        <v>61</v>
      </c>
      <c r="N41" s="23" t="s">
        <v>56</v>
      </c>
      <c r="O41" s="115" t="s">
        <v>48</v>
      </c>
      <c r="P41" s="105">
        <f t="shared" ca="1" si="0"/>
        <v>1</v>
      </c>
      <c r="Q41" s="38" t="str">
        <f t="shared" ca="1" si="12"/>
        <v>SPOT</v>
      </c>
      <c r="R41" s="57">
        <f ca="1">IF($I41="","",IF(ISNUMBER($I41),$I41,_xll.meDateFromTenor(H41,$I41,"MOD_FOLLOWING",VLOOKUP(LEFT($M41,3),DateConventions,3))))</f>
        <v>44917</v>
      </c>
      <c r="S41" s="38" t="b">
        <f t="shared" ca="1" si="9"/>
        <v>1</v>
      </c>
      <c r="T41" s="38" t="b">
        <f ca="1">ISNUMBER(SEARCH($G41, INDEX($G$54:$G$61,$P41)))</f>
        <v>1</v>
      </c>
      <c r="U41" s="38" t="b">
        <f t="shared" ca="1" si="1"/>
        <v>1</v>
      </c>
      <c r="V41" s="38" t="b">
        <f t="shared" ca="1" si="2"/>
        <v>1</v>
      </c>
      <c r="W41" s="39" t="b">
        <f t="shared" ca="1" si="3"/>
        <v>1</v>
      </c>
      <c r="X41" s="38" t="b">
        <f t="shared" ca="1" si="4"/>
        <v>1</v>
      </c>
      <c r="Y41" s="40" t="b">
        <f t="shared" ca="1" si="5"/>
        <v>1</v>
      </c>
      <c r="Z41" s="40" t="b">
        <f t="shared" ca="1" si="10"/>
        <v>1</v>
      </c>
      <c r="AA41" s="40" t="b">
        <f t="shared" ca="1" si="6"/>
        <v>1</v>
      </c>
      <c r="AB41" s="67" t="b">
        <f t="shared" ca="1" si="7"/>
        <v>1</v>
      </c>
      <c r="AC41" s="64" t="str">
        <f t="shared" ca="1" si="11"/>
        <v>TGT</v>
      </c>
    </row>
    <row r="42" spans="1:29" x14ac:dyDescent="0.25">
      <c r="A42" s="29">
        <v>36</v>
      </c>
      <c r="B42" s="102" t="b">
        <f t="shared" ca="1" si="8"/>
        <v>1</v>
      </c>
      <c r="C42" s="114" t="s">
        <v>41</v>
      </c>
      <c r="D42" s="22" t="s">
        <v>72</v>
      </c>
      <c r="E42" s="62" t="s">
        <v>67</v>
      </c>
      <c r="F42" s="22">
        <v>2</v>
      </c>
      <c r="G42" s="22" t="s">
        <v>14</v>
      </c>
      <c r="H42" s="58">
        <f ca="1">IF($E42="IMM",_xll.meDateNthIMMFromStartDate(AsOf, $F42,$AC42,"MOD_FOLLOWING"),_xll.meDateFromTenor(AsOf,$F42&amp;"D","MOD_FOLLOWING",$AC42))</f>
        <v>43091</v>
      </c>
      <c r="I42" s="88" t="s">
        <v>29</v>
      </c>
      <c r="J42" s="23" t="s">
        <v>16</v>
      </c>
      <c r="K42" s="23" t="s">
        <v>47</v>
      </c>
      <c r="L42" s="23" t="s">
        <v>42</v>
      </c>
      <c r="M42" s="23" t="s">
        <v>61</v>
      </c>
      <c r="N42" s="23" t="s">
        <v>56</v>
      </c>
      <c r="O42" s="115" t="s">
        <v>48</v>
      </c>
      <c r="P42" s="105">
        <f t="shared" ca="1" si="0"/>
        <v>1</v>
      </c>
      <c r="Q42" s="38" t="str">
        <f t="shared" ca="1" si="12"/>
        <v>SPOT</v>
      </c>
      <c r="R42" s="57">
        <f ca="1">IF($I42="","",IF(ISNUMBER($I42),$I42,_xll.meDateFromTenor(H42,$I42,"MOD_FOLLOWING",VLOOKUP(LEFT($M42,3),DateConventions,3))))</f>
        <v>44917</v>
      </c>
      <c r="S42" s="38" t="b">
        <f t="shared" ca="1" si="9"/>
        <v>1</v>
      </c>
      <c r="T42" s="38" t="b">
        <f ca="1">ISNUMBER(SEARCH($G42, INDEX($G$54:$G$61,$P42)))</f>
        <v>1</v>
      </c>
      <c r="U42" s="38" t="b">
        <f t="shared" ca="1" si="1"/>
        <v>1</v>
      </c>
      <c r="V42" s="38" t="b">
        <f t="shared" ca="1" si="2"/>
        <v>1</v>
      </c>
      <c r="W42" s="39" t="b">
        <f t="shared" ca="1" si="3"/>
        <v>1</v>
      </c>
      <c r="X42" s="38" t="b">
        <f t="shared" ca="1" si="4"/>
        <v>1</v>
      </c>
      <c r="Y42" s="40" t="b">
        <f t="shared" ca="1" si="5"/>
        <v>1</v>
      </c>
      <c r="Z42" s="40" t="b">
        <f t="shared" ca="1" si="10"/>
        <v>1</v>
      </c>
      <c r="AA42" s="40" t="b">
        <f t="shared" ca="1" si="6"/>
        <v>1</v>
      </c>
      <c r="AB42" s="67" t="b">
        <f t="shared" ca="1" si="7"/>
        <v>1</v>
      </c>
      <c r="AC42" s="64" t="str">
        <f t="shared" ca="1" si="11"/>
        <v>TGT</v>
      </c>
    </row>
    <row r="43" spans="1:29" x14ac:dyDescent="0.25">
      <c r="A43" s="29">
        <v>37</v>
      </c>
      <c r="B43" s="102" t="b">
        <f t="shared" ca="1" si="8"/>
        <v>1</v>
      </c>
      <c r="C43" s="114" t="s">
        <v>41</v>
      </c>
      <c r="D43" s="22" t="s">
        <v>72</v>
      </c>
      <c r="E43" s="62" t="s">
        <v>67</v>
      </c>
      <c r="F43" s="22">
        <v>2</v>
      </c>
      <c r="G43" s="22" t="s">
        <v>14</v>
      </c>
      <c r="H43" s="58">
        <f ca="1">IF($E43="IMM",_xll.meDateNthIMMFromStartDate(AsOf, $F43,$AC43,"MOD_FOLLOWING"),_xll.meDateFromTenor(AsOf,$F43&amp;"D","MOD_FOLLOWING",$AC43))</f>
        <v>43091</v>
      </c>
      <c r="I43" s="88" t="s">
        <v>29</v>
      </c>
      <c r="J43" s="23" t="s">
        <v>16</v>
      </c>
      <c r="K43" s="23" t="s">
        <v>47</v>
      </c>
      <c r="L43" s="23" t="s">
        <v>42</v>
      </c>
      <c r="M43" s="23" t="s">
        <v>61</v>
      </c>
      <c r="N43" s="23" t="s">
        <v>56</v>
      </c>
      <c r="O43" s="115" t="s">
        <v>48</v>
      </c>
      <c r="P43" s="105">
        <f t="shared" ca="1" si="0"/>
        <v>1</v>
      </c>
      <c r="Q43" s="38" t="str">
        <f t="shared" ca="1" si="12"/>
        <v>SPOT</v>
      </c>
      <c r="R43" s="57">
        <f ca="1">IF($I43="","",IF(ISNUMBER($I43),$I43,_xll.meDateFromTenor(H43,$I43,"MOD_FOLLOWING",VLOOKUP(LEFT($M43,3),DateConventions,3))))</f>
        <v>44917</v>
      </c>
      <c r="S43" s="38" t="b">
        <f t="shared" ca="1" si="9"/>
        <v>1</v>
      </c>
      <c r="T43" s="38" t="b">
        <f ca="1">ISNUMBER(SEARCH($G43, INDEX($G$54:$G$61,$P43)))</f>
        <v>1</v>
      </c>
      <c r="U43" s="38" t="b">
        <f t="shared" ca="1" si="1"/>
        <v>1</v>
      </c>
      <c r="V43" s="38" t="b">
        <f t="shared" ca="1" si="2"/>
        <v>1</v>
      </c>
      <c r="W43" s="39" t="b">
        <f t="shared" ca="1" si="3"/>
        <v>1</v>
      </c>
      <c r="X43" s="38" t="b">
        <f t="shared" ca="1" si="4"/>
        <v>1</v>
      </c>
      <c r="Y43" s="40" t="b">
        <f t="shared" ca="1" si="5"/>
        <v>1</v>
      </c>
      <c r="Z43" s="40" t="b">
        <f t="shared" ca="1" si="10"/>
        <v>1</v>
      </c>
      <c r="AA43" s="40" t="b">
        <f t="shared" ca="1" si="6"/>
        <v>1</v>
      </c>
      <c r="AB43" s="67" t="b">
        <f t="shared" ca="1" si="7"/>
        <v>1</v>
      </c>
      <c r="AC43" s="64" t="str">
        <f t="shared" ca="1" si="11"/>
        <v>TGT</v>
      </c>
    </row>
    <row r="44" spans="1:29" x14ac:dyDescent="0.25">
      <c r="A44" s="29">
        <v>38</v>
      </c>
      <c r="B44" s="102" t="b">
        <f t="shared" ca="1" si="8"/>
        <v>1</v>
      </c>
      <c r="C44" s="114" t="s">
        <v>41</v>
      </c>
      <c r="D44" s="22" t="s">
        <v>72</v>
      </c>
      <c r="E44" s="62" t="s">
        <v>67</v>
      </c>
      <c r="F44" s="22">
        <v>2</v>
      </c>
      <c r="G44" s="22" t="s">
        <v>14</v>
      </c>
      <c r="H44" s="58">
        <f ca="1">IF($E44="IMM",_xll.meDateNthIMMFromStartDate(AsOf, $F44,$AC44,"MOD_FOLLOWING"),_xll.meDateFromTenor(AsOf,$F44&amp;"D","MOD_FOLLOWING",$AC44))</f>
        <v>43091</v>
      </c>
      <c r="I44" s="88" t="s">
        <v>29</v>
      </c>
      <c r="J44" s="23" t="s">
        <v>16</v>
      </c>
      <c r="K44" s="23" t="s">
        <v>47</v>
      </c>
      <c r="L44" s="23" t="s">
        <v>42</v>
      </c>
      <c r="M44" s="23" t="s">
        <v>61</v>
      </c>
      <c r="N44" s="23" t="s">
        <v>56</v>
      </c>
      <c r="O44" s="115" t="s">
        <v>48</v>
      </c>
      <c r="P44" s="105">
        <f t="shared" ca="1" si="0"/>
        <v>1</v>
      </c>
      <c r="Q44" s="38" t="str">
        <f t="shared" ca="1" si="12"/>
        <v>SPOT</v>
      </c>
      <c r="R44" s="57">
        <f ca="1">IF($I44="","",IF(ISNUMBER($I44),$I44,_xll.meDateFromTenor(H44,$I44,"MOD_FOLLOWING",VLOOKUP(LEFT($M44,3),DateConventions,3))))</f>
        <v>44917</v>
      </c>
      <c r="S44" s="38" t="b">
        <f t="shared" ca="1" si="9"/>
        <v>1</v>
      </c>
      <c r="T44" s="38" t="b">
        <f ca="1">ISNUMBER(SEARCH($G44, INDEX($G$54:$G$61,$P44)))</f>
        <v>1</v>
      </c>
      <c r="U44" s="38" t="b">
        <f t="shared" ca="1" si="1"/>
        <v>1</v>
      </c>
      <c r="V44" s="38" t="b">
        <f t="shared" ca="1" si="2"/>
        <v>1</v>
      </c>
      <c r="W44" s="39" t="b">
        <f t="shared" ca="1" si="3"/>
        <v>1</v>
      </c>
      <c r="X44" s="38" t="b">
        <f t="shared" ca="1" si="4"/>
        <v>1</v>
      </c>
      <c r="Y44" s="40" t="b">
        <f t="shared" ca="1" si="5"/>
        <v>1</v>
      </c>
      <c r="Z44" s="40" t="b">
        <f t="shared" ca="1" si="10"/>
        <v>1</v>
      </c>
      <c r="AA44" s="40" t="b">
        <f t="shared" ca="1" si="6"/>
        <v>1</v>
      </c>
      <c r="AB44" s="67" t="b">
        <f t="shared" ca="1" si="7"/>
        <v>1</v>
      </c>
      <c r="AC44" s="64" t="str">
        <f t="shared" ca="1" si="11"/>
        <v>TGT</v>
      </c>
    </row>
    <row r="45" spans="1:29" x14ac:dyDescent="0.25">
      <c r="A45" s="29">
        <v>39</v>
      </c>
      <c r="B45" s="102" t="b">
        <f t="shared" ca="1" si="8"/>
        <v>1</v>
      </c>
      <c r="C45" s="114" t="s">
        <v>41</v>
      </c>
      <c r="D45" s="22" t="s">
        <v>72</v>
      </c>
      <c r="E45" s="62" t="s">
        <v>67</v>
      </c>
      <c r="F45" s="22">
        <v>2</v>
      </c>
      <c r="G45" s="22" t="s">
        <v>14</v>
      </c>
      <c r="H45" s="58">
        <f ca="1">IF($E45="IMM",_xll.meDateNthIMMFromStartDate(AsOf, $F45,$AC45,"MOD_FOLLOWING"),_xll.meDateFromTenor(AsOf,$F45&amp;"D","MOD_FOLLOWING",$AC45))</f>
        <v>43091</v>
      </c>
      <c r="I45" s="88" t="s">
        <v>29</v>
      </c>
      <c r="J45" s="23" t="s">
        <v>16</v>
      </c>
      <c r="K45" s="23" t="s">
        <v>47</v>
      </c>
      <c r="L45" s="23" t="s">
        <v>42</v>
      </c>
      <c r="M45" s="23" t="s">
        <v>61</v>
      </c>
      <c r="N45" s="23" t="s">
        <v>56</v>
      </c>
      <c r="O45" s="115" t="s">
        <v>48</v>
      </c>
      <c r="P45" s="105">
        <f t="shared" ca="1" si="0"/>
        <v>1</v>
      </c>
      <c r="Q45" s="38" t="str">
        <f t="shared" ca="1" si="12"/>
        <v>SPOT</v>
      </c>
      <c r="R45" s="57">
        <f ca="1">IF($I45="","",IF(ISNUMBER($I45),$I45,_xll.meDateFromTenor(H45,$I45,"MOD_FOLLOWING",VLOOKUP(LEFT($M45,3),DateConventions,3))))</f>
        <v>44917</v>
      </c>
      <c r="S45" s="38" t="b">
        <f t="shared" ca="1" si="9"/>
        <v>1</v>
      </c>
      <c r="T45" s="38" t="b">
        <f ca="1">ISNUMBER(SEARCH($G45, INDEX($G$54:$G$61,$P45)))</f>
        <v>1</v>
      </c>
      <c r="U45" s="38" t="b">
        <f t="shared" ca="1" si="1"/>
        <v>1</v>
      </c>
      <c r="V45" s="38" t="b">
        <f t="shared" ca="1" si="2"/>
        <v>1</v>
      </c>
      <c r="W45" s="39" t="b">
        <f t="shared" ca="1" si="3"/>
        <v>1</v>
      </c>
      <c r="X45" s="38" t="b">
        <f t="shared" ca="1" si="4"/>
        <v>1</v>
      </c>
      <c r="Y45" s="40" t="b">
        <f t="shared" ca="1" si="5"/>
        <v>1</v>
      </c>
      <c r="Z45" s="40" t="b">
        <f t="shared" ca="1" si="10"/>
        <v>1</v>
      </c>
      <c r="AA45" s="40" t="b">
        <f t="shared" ca="1" si="6"/>
        <v>1</v>
      </c>
      <c r="AB45" s="67" t="b">
        <f t="shared" ca="1" si="7"/>
        <v>1</v>
      </c>
      <c r="AC45" s="64" t="str">
        <f t="shared" ca="1" si="11"/>
        <v>TGT</v>
      </c>
    </row>
    <row r="46" spans="1:29" x14ac:dyDescent="0.25">
      <c r="A46" s="29">
        <v>40</v>
      </c>
      <c r="B46" s="102" t="b">
        <f t="shared" ca="1" si="8"/>
        <v>1</v>
      </c>
      <c r="C46" s="114" t="s">
        <v>41</v>
      </c>
      <c r="D46" s="22" t="s">
        <v>72</v>
      </c>
      <c r="E46" s="62" t="s">
        <v>67</v>
      </c>
      <c r="F46" s="22">
        <v>2</v>
      </c>
      <c r="G46" s="22" t="s">
        <v>14</v>
      </c>
      <c r="H46" s="58">
        <f ca="1">IF($E46="IMM",_xll.meDateNthIMMFromStartDate(AsOf, $F46,$AC46,"MOD_FOLLOWING"),_xll.meDateFromTenor(AsOf,$F46&amp;"D","MOD_FOLLOWING",$AC46))</f>
        <v>43091</v>
      </c>
      <c r="I46" s="88" t="s">
        <v>29</v>
      </c>
      <c r="J46" s="23" t="s">
        <v>16</v>
      </c>
      <c r="K46" s="23" t="s">
        <v>47</v>
      </c>
      <c r="L46" s="23" t="s">
        <v>42</v>
      </c>
      <c r="M46" s="23" t="s">
        <v>61</v>
      </c>
      <c r="N46" s="23" t="s">
        <v>56</v>
      </c>
      <c r="O46" s="115" t="s">
        <v>48</v>
      </c>
      <c r="P46" s="105">
        <f t="shared" ca="1" si="0"/>
        <v>1</v>
      </c>
      <c r="Q46" s="38" t="str">
        <f t="shared" ca="1" si="12"/>
        <v>SPOT</v>
      </c>
      <c r="R46" s="57">
        <f ca="1">IF($I46="","",IF(ISNUMBER($I46),$I46,_xll.meDateFromTenor(H46,$I46,"MOD_FOLLOWING",VLOOKUP(LEFT($M46,3),DateConventions,3))))</f>
        <v>44917</v>
      </c>
      <c r="S46" s="38" t="b">
        <f t="shared" ca="1" si="9"/>
        <v>1</v>
      </c>
      <c r="T46" s="38" t="b">
        <f ca="1">ISNUMBER(SEARCH($G46, INDEX($G$54:$G$61,$P46)))</f>
        <v>1</v>
      </c>
      <c r="U46" s="38" t="b">
        <f t="shared" ca="1" si="1"/>
        <v>1</v>
      </c>
      <c r="V46" s="38" t="b">
        <f t="shared" ca="1" si="2"/>
        <v>1</v>
      </c>
      <c r="W46" s="39" t="b">
        <f t="shared" ca="1" si="3"/>
        <v>1</v>
      </c>
      <c r="X46" s="38" t="b">
        <f t="shared" ca="1" si="4"/>
        <v>1</v>
      </c>
      <c r="Y46" s="40" t="b">
        <f t="shared" ca="1" si="5"/>
        <v>1</v>
      </c>
      <c r="Z46" s="40" t="b">
        <f t="shared" ca="1" si="10"/>
        <v>1</v>
      </c>
      <c r="AA46" s="40" t="b">
        <f t="shared" ca="1" si="6"/>
        <v>1</v>
      </c>
      <c r="AB46" s="67" t="b">
        <f t="shared" ca="1" si="7"/>
        <v>1</v>
      </c>
      <c r="AC46" s="64" t="str">
        <f t="shared" ca="1" si="11"/>
        <v>TGT</v>
      </c>
    </row>
    <row r="47" spans="1:29" x14ac:dyDescent="0.25">
      <c r="A47" s="29">
        <v>41</v>
      </c>
      <c r="B47" s="102" t="b">
        <f t="shared" ca="1" si="8"/>
        <v>1</v>
      </c>
      <c r="C47" s="114" t="s">
        <v>41</v>
      </c>
      <c r="D47" s="22" t="s">
        <v>72</v>
      </c>
      <c r="E47" s="62" t="s">
        <v>67</v>
      </c>
      <c r="F47" s="22">
        <v>2</v>
      </c>
      <c r="G47" s="22" t="s">
        <v>14</v>
      </c>
      <c r="H47" s="58">
        <f ca="1">IF($E47="IMM",_xll.meDateNthIMMFromStartDate(AsOf, $F47,$AC47,"MOD_FOLLOWING"),_xll.meDateFromTenor(AsOf,$F47&amp;"D","MOD_FOLLOWING",$AC47))</f>
        <v>43091</v>
      </c>
      <c r="I47" s="88" t="s">
        <v>29</v>
      </c>
      <c r="J47" s="23" t="s">
        <v>16</v>
      </c>
      <c r="K47" s="23" t="s">
        <v>47</v>
      </c>
      <c r="L47" s="23" t="s">
        <v>42</v>
      </c>
      <c r="M47" s="23" t="s">
        <v>61</v>
      </c>
      <c r="N47" s="23" t="s">
        <v>56</v>
      </c>
      <c r="O47" s="115" t="s">
        <v>48</v>
      </c>
      <c r="P47" s="105">
        <f t="shared" ca="1" si="0"/>
        <v>1</v>
      </c>
      <c r="Q47" s="38" t="str">
        <f t="shared" ca="1" si="12"/>
        <v>SPOT</v>
      </c>
      <c r="R47" s="57">
        <f ca="1">IF($I47="","",IF(ISNUMBER($I47),$I47,_xll.meDateFromTenor(H47,$I47,"MOD_FOLLOWING",VLOOKUP(LEFT($M47,3),DateConventions,3))))</f>
        <v>44917</v>
      </c>
      <c r="S47" s="38" t="b">
        <f t="shared" ca="1" si="9"/>
        <v>1</v>
      </c>
      <c r="T47" s="38" t="b">
        <f ca="1">ISNUMBER(SEARCH($G47, INDEX($G$54:$G$61,$P47)))</f>
        <v>1</v>
      </c>
      <c r="U47" s="38" t="b">
        <f t="shared" ca="1" si="1"/>
        <v>1</v>
      </c>
      <c r="V47" s="38" t="b">
        <f t="shared" ca="1" si="2"/>
        <v>1</v>
      </c>
      <c r="W47" s="39" t="b">
        <f t="shared" ca="1" si="3"/>
        <v>1</v>
      </c>
      <c r="X47" s="38" t="b">
        <f t="shared" ca="1" si="4"/>
        <v>1</v>
      </c>
      <c r="Y47" s="40" t="b">
        <f t="shared" ca="1" si="5"/>
        <v>1</v>
      </c>
      <c r="Z47" s="40" t="b">
        <f t="shared" ca="1" si="10"/>
        <v>1</v>
      </c>
      <c r="AA47" s="40" t="b">
        <f t="shared" ca="1" si="6"/>
        <v>1</v>
      </c>
      <c r="AB47" s="67" t="b">
        <f t="shared" ca="1" si="7"/>
        <v>1</v>
      </c>
      <c r="AC47" s="64" t="str">
        <f t="shared" ca="1" si="11"/>
        <v>TGT</v>
      </c>
    </row>
    <row r="48" spans="1:29" x14ac:dyDescent="0.25">
      <c r="A48" s="29">
        <v>42</v>
      </c>
      <c r="B48" s="103" t="b">
        <f t="shared" ca="1" si="8"/>
        <v>1</v>
      </c>
      <c r="C48" s="116" t="s">
        <v>41</v>
      </c>
      <c r="D48" s="99" t="s">
        <v>72</v>
      </c>
      <c r="E48" s="100" t="s">
        <v>67</v>
      </c>
      <c r="F48" s="99">
        <v>2</v>
      </c>
      <c r="G48" s="99" t="s">
        <v>14</v>
      </c>
      <c r="H48" s="117">
        <f ca="1">IF($E48="IMM",_xll.meDateNthIMMFromStartDate(AsOf, $F48,$AC48,"MOD_FOLLOWING"),_xll.meDateFromTenor(AsOf,$F48&amp;"D","MOD_FOLLOWING",$AC48))</f>
        <v>43091</v>
      </c>
      <c r="I48" s="118" t="s">
        <v>29</v>
      </c>
      <c r="J48" s="119" t="s">
        <v>16</v>
      </c>
      <c r="K48" s="119" t="s">
        <v>47</v>
      </c>
      <c r="L48" s="119" t="s">
        <v>42</v>
      </c>
      <c r="M48" s="119" t="s">
        <v>61</v>
      </c>
      <c r="N48" s="119" t="s">
        <v>56</v>
      </c>
      <c r="O48" s="120" t="s">
        <v>48</v>
      </c>
      <c r="P48" s="106">
        <f t="shared" ca="1" si="0"/>
        <v>1</v>
      </c>
      <c r="Q48" s="38" t="str">
        <f t="shared" ca="1" si="12"/>
        <v>SPOT</v>
      </c>
      <c r="R48" s="57">
        <f ca="1">IF($I48="","",IF(ISNUMBER($I48),$I48,_xll.meDateFromTenor(H48,$I48,"MOD_FOLLOWING",VLOOKUP(LEFT($M48,3),DateConventions,3))))</f>
        <v>44917</v>
      </c>
      <c r="S48" s="38" t="b">
        <f t="shared" ca="1" si="9"/>
        <v>1</v>
      </c>
      <c r="T48" s="42" t="b">
        <f ca="1">ISNUMBER(SEARCH($G48, INDEX($G$54:$G$61,$P48)))</f>
        <v>1</v>
      </c>
      <c r="U48" s="42" t="b">
        <f t="shared" ca="1" si="1"/>
        <v>1</v>
      </c>
      <c r="V48" s="38" t="b">
        <f t="shared" ca="1" si="2"/>
        <v>1</v>
      </c>
      <c r="W48" s="39" t="b">
        <f t="shared" ca="1" si="3"/>
        <v>1</v>
      </c>
      <c r="X48" s="42" t="b">
        <f t="shared" ca="1" si="4"/>
        <v>1</v>
      </c>
      <c r="Y48" s="43" t="b">
        <f t="shared" ca="1" si="5"/>
        <v>1</v>
      </c>
      <c r="Z48" s="43" t="b">
        <f t="shared" ca="1" si="10"/>
        <v>1</v>
      </c>
      <c r="AA48" s="43" t="b">
        <f t="shared" ca="1" si="6"/>
        <v>1</v>
      </c>
      <c r="AB48" s="68" t="b">
        <f t="shared" ca="1" si="7"/>
        <v>1</v>
      </c>
      <c r="AC48" s="65" t="str">
        <f t="shared" ca="1" si="11"/>
        <v>TGT</v>
      </c>
    </row>
    <row r="49" spans="3:26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3:26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3:26" ht="15.75" outlineLevel="1" thickBot="1" x14ac:dyDescent="0.3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3:26" ht="15.75" outlineLevel="1" thickBot="1" x14ac:dyDescent="0.3">
      <c r="C52" s="128" t="s">
        <v>0</v>
      </c>
      <c r="D52" s="128" t="s">
        <v>1</v>
      </c>
      <c r="E52" s="128" t="s">
        <v>2</v>
      </c>
      <c r="F52" s="52"/>
      <c r="G52" s="128" t="s">
        <v>3</v>
      </c>
      <c r="H52" s="128" t="s">
        <v>4</v>
      </c>
      <c r="I52" s="128" t="s">
        <v>5</v>
      </c>
      <c r="J52" s="130" t="s">
        <v>6</v>
      </c>
      <c r="K52" s="131"/>
      <c r="L52" s="130" t="s">
        <v>7</v>
      </c>
      <c r="M52" s="132"/>
      <c r="N52" s="131"/>
      <c r="Y52" s="5"/>
      <c r="Z52" s="5"/>
    </row>
    <row r="53" spans="3:26" ht="26.25" outlineLevel="1" thickBot="1" x14ac:dyDescent="0.3">
      <c r="C53" s="129"/>
      <c r="D53" s="129"/>
      <c r="E53" s="129"/>
      <c r="F53" s="53"/>
      <c r="G53" s="129"/>
      <c r="H53" s="129"/>
      <c r="I53" s="129"/>
      <c r="J53" s="1" t="s">
        <v>8</v>
      </c>
      <c r="K53" s="1" t="s">
        <v>9</v>
      </c>
      <c r="L53" s="1" t="s">
        <v>10</v>
      </c>
      <c r="M53" s="1" t="s">
        <v>11</v>
      </c>
      <c r="N53" s="1" t="s">
        <v>9</v>
      </c>
      <c r="Y53" s="9"/>
    </row>
    <row r="54" spans="3:26" ht="26.25" outlineLevel="1" thickBot="1" x14ac:dyDescent="0.3">
      <c r="C54" s="3" t="s">
        <v>12</v>
      </c>
      <c r="D54" s="4" t="s">
        <v>13</v>
      </c>
      <c r="E54" s="11" t="s">
        <v>68</v>
      </c>
      <c r="F54" s="11"/>
      <c r="G54" s="4" t="s">
        <v>14</v>
      </c>
      <c r="H54" s="4" t="s">
        <v>15</v>
      </c>
      <c r="I54" s="4" t="s">
        <v>16</v>
      </c>
      <c r="J54" s="4" t="s">
        <v>49</v>
      </c>
      <c r="K54" s="4" t="s">
        <v>59</v>
      </c>
      <c r="L54" s="11" t="s">
        <v>61</v>
      </c>
      <c r="M54" s="4" t="s">
        <v>51</v>
      </c>
      <c r="N54" s="4" t="s">
        <v>57</v>
      </c>
      <c r="Y54" s="9"/>
    </row>
    <row r="55" spans="3:26" ht="26.25" outlineLevel="1" thickBot="1" x14ac:dyDescent="0.3">
      <c r="C55" s="3" t="s">
        <v>12</v>
      </c>
      <c r="D55" s="4" t="s">
        <v>13</v>
      </c>
      <c r="E55" s="11" t="s">
        <v>68</v>
      </c>
      <c r="F55" s="11"/>
      <c r="G55" s="4" t="s">
        <v>14</v>
      </c>
      <c r="H55" s="4" t="s">
        <v>17</v>
      </c>
      <c r="I55" s="4" t="s">
        <v>16</v>
      </c>
      <c r="J55" s="4" t="s">
        <v>49</v>
      </c>
      <c r="K55" s="4" t="s">
        <v>59</v>
      </c>
      <c r="L55" s="11" t="s">
        <v>62</v>
      </c>
      <c r="M55" s="4" t="s">
        <v>52</v>
      </c>
      <c r="N55" s="4" t="s">
        <v>57</v>
      </c>
      <c r="Y55" s="9"/>
    </row>
    <row r="56" spans="3:26" ht="26.25" outlineLevel="1" thickBot="1" x14ac:dyDescent="0.3">
      <c r="C56" s="3" t="s">
        <v>18</v>
      </c>
      <c r="D56" s="4" t="s">
        <v>19</v>
      </c>
      <c r="E56" s="11" t="s">
        <v>68</v>
      </c>
      <c r="F56" s="11"/>
      <c r="G56" s="4" t="s">
        <v>14</v>
      </c>
      <c r="H56" s="4" t="s">
        <v>20</v>
      </c>
      <c r="I56" s="4" t="s">
        <v>16</v>
      </c>
      <c r="J56" s="4" t="s">
        <v>49</v>
      </c>
      <c r="K56" s="4" t="s">
        <v>59</v>
      </c>
      <c r="L56" s="11" t="s">
        <v>63</v>
      </c>
      <c r="M56" s="4" t="s">
        <v>52</v>
      </c>
      <c r="N56" s="4" t="s">
        <v>57</v>
      </c>
      <c r="Y56" s="9"/>
    </row>
    <row r="57" spans="3:26" ht="26.25" outlineLevel="1" thickBot="1" x14ac:dyDescent="0.3">
      <c r="C57" s="3" t="s">
        <v>18</v>
      </c>
      <c r="D57" s="4" t="s">
        <v>19</v>
      </c>
      <c r="E57" s="11" t="s">
        <v>21</v>
      </c>
      <c r="F57" s="11"/>
      <c r="G57" s="4" t="s">
        <v>14</v>
      </c>
      <c r="H57" s="4" t="s">
        <v>22</v>
      </c>
      <c r="I57" s="4" t="s">
        <v>16</v>
      </c>
      <c r="J57" s="4" t="s">
        <v>49</v>
      </c>
      <c r="K57" s="4" t="s">
        <v>59</v>
      </c>
      <c r="L57" s="11" t="s">
        <v>98</v>
      </c>
      <c r="M57" s="4" t="s">
        <v>52</v>
      </c>
      <c r="N57" s="4" t="s">
        <v>57</v>
      </c>
      <c r="Y57" s="9"/>
    </row>
    <row r="58" spans="3:26" ht="26.25" outlineLevel="1" thickBot="1" x14ac:dyDescent="0.3">
      <c r="C58" s="3" t="s">
        <v>23</v>
      </c>
      <c r="D58" s="4" t="s">
        <v>19</v>
      </c>
      <c r="E58" s="11" t="s">
        <v>68</v>
      </c>
      <c r="F58" s="11"/>
      <c r="G58" s="4" t="s">
        <v>14</v>
      </c>
      <c r="H58" s="4" t="s">
        <v>20</v>
      </c>
      <c r="I58" s="4" t="s">
        <v>16</v>
      </c>
      <c r="J58" s="4" t="s">
        <v>49</v>
      </c>
      <c r="K58" s="4" t="s">
        <v>59</v>
      </c>
      <c r="L58" s="11" t="s">
        <v>64</v>
      </c>
      <c r="M58" s="4" t="s">
        <v>50</v>
      </c>
      <c r="N58" s="4" t="s">
        <v>57</v>
      </c>
      <c r="Y58" s="9"/>
    </row>
    <row r="59" spans="3:26" ht="26.25" outlineLevel="1" thickBot="1" x14ac:dyDescent="0.3">
      <c r="C59" s="3" t="s">
        <v>23</v>
      </c>
      <c r="D59" s="4" t="s">
        <v>19</v>
      </c>
      <c r="E59" s="11" t="s">
        <v>21</v>
      </c>
      <c r="F59" s="11"/>
      <c r="G59" s="4" t="s">
        <v>14</v>
      </c>
      <c r="H59" s="4" t="s">
        <v>22</v>
      </c>
      <c r="I59" s="4" t="s">
        <v>16</v>
      </c>
      <c r="J59" s="4" t="s">
        <v>49</v>
      </c>
      <c r="K59" s="4" t="s">
        <v>59</v>
      </c>
      <c r="L59" s="11" t="s">
        <v>99</v>
      </c>
      <c r="M59" s="4" t="s">
        <v>50</v>
      </c>
      <c r="N59" s="4" t="s">
        <v>57</v>
      </c>
      <c r="Y59" s="9"/>
    </row>
    <row r="60" spans="3:26" ht="26.25" outlineLevel="1" thickBot="1" x14ac:dyDescent="0.3">
      <c r="C60" s="3" t="s">
        <v>24</v>
      </c>
      <c r="D60" s="4" t="s">
        <v>25</v>
      </c>
      <c r="E60" s="11" t="s">
        <v>69</v>
      </c>
      <c r="F60" s="11"/>
      <c r="G60" s="4" t="s">
        <v>14</v>
      </c>
      <c r="H60" s="4" t="s">
        <v>17</v>
      </c>
      <c r="I60" s="4" t="s">
        <v>16</v>
      </c>
      <c r="J60" s="4" t="s">
        <v>50</v>
      </c>
      <c r="K60" s="4" t="s">
        <v>58</v>
      </c>
      <c r="L60" s="11" t="s">
        <v>65</v>
      </c>
      <c r="M60" s="4" t="s">
        <v>51</v>
      </c>
      <c r="N60" s="4" t="s">
        <v>58</v>
      </c>
      <c r="Y60" s="9"/>
    </row>
    <row r="61" spans="3:26" ht="26.25" customHeight="1" outlineLevel="1" thickBot="1" x14ac:dyDescent="0.3">
      <c r="C61" s="3" t="s">
        <v>24</v>
      </c>
      <c r="D61" s="4" t="s">
        <v>25</v>
      </c>
      <c r="E61" s="11" t="s">
        <v>69</v>
      </c>
      <c r="F61" s="11"/>
      <c r="G61" s="4" t="s">
        <v>14</v>
      </c>
      <c r="H61" s="4" t="s">
        <v>17</v>
      </c>
      <c r="I61" s="4" t="s">
        <v>16</v>
      </c>
      <c r="J61" s="4" t="s">
        <v>50</v>
      </c>
      <c r="K61" s="4" t="s">
        <v>58</v>
      </c>
      <c r="L61" s="11" t="s">
        <v>66</v>
      </c>
      <c r="M61" s="4" t="s">
        <v>52</v>
      </c>
      <c r="N61" s="4" t="s">
        <v>58</v>
      </c>
      <c r="Y61" s="9"/>
    </row>
    <row r="62" spans="3:26" outlineLevel="1" x14ac:dyDescent="0.25">
      <c r="Y62" s="9"/>
    </row>
    <row r="63" spans="3:26" outlineLevel="1" x14ac:dyDescent="0.25">
      <c r="Y63" s="9"/>
    </row>
    <row r="64" spans="3:26" ht="15.75" outlineLevel="1" thickBot="1" x14ac:dyDescent="0.3">
      <c r="C64" s="11" t="s">
        <v>61</v>
      </c>
      <c r="F64" s="8"/>
      <c r="K64" s="5"/>
      <c r="Y64" s="9"/>
    </row>
    <row r="65" spans="2:25" ht="25.5" outlineLevel="1" x14ac:dyDescent="0.25">
      <c r="B65" s="5" t="s">
        <v>90</v>
      </c>
      <c r="C65" s="6" t="s">
        <v>40</v>
      </c>
      <c r="D65" s="6" t="s">
        <v>39</v>
      </c>
      <c r="E65" s="5" t="s">
        <v>45</v>
      </c>
      <c r="F65" s="5" t="s">
        <v>46</v>
      </c>
      <c r="H65" s="2"/>
      <c r="K65" t="s">
        <v>73</v>
      </c>
      <c r="L65" t="s">
        <v>74</v>
      </c>
      <c r="M65" t="s">
        <v>75</v>
      </c>
      <c r="Y65" s="9"/>
    </row>
    <row r="66" spans="2:25" outlineLevel="1" x14ac:dyDescent="0.25">
      <c r="B66" s="7">
        <f ca="1">_xll.meDateFromTenor(AsOf,"2D","MOD_FOLLOWING","TGT")</f>
        <v>43091</v>
      </c>
      <c r="C66" s="2" t="s">
        <v>26</v>
      </c>
      <c r="D66" s="7">
        <f ca="1">_xll.meDateFromTenor($B$66,C66,"MOD_FOLLOWING","TGT")</f>
        <v>43822</v>
      </c>
      <c r="E66" s="133">
        <f ca="1">_xll.meDateFromTenor($D66,"-5D","MOD_FOLLOWING","TGT")</f>
        <v>43815</v>
      </c>
      <c r="F66" s="133">
        <f ca="1">_xll.meDateFromTenor($D66,"5D","MOD_FOLLOWING","TGT")</f>
        <v>43832</v>
      </c>
      <c r="K66" s="13" t="s">
        <v>72</v>
      </c>
      <c r="L66" s="14" t="s">
        <v>78</v>
      </c>
      <c r="M66" s="15" t="s">
        <v>79</v>
      </c>
    </row>
    <row r="67" spans="2:25" outlineLevel="1" x14ac:dyDescent="0.25">
      <c r="C67" s="2" t="s">
        <v>27</v>
      </c>
      <c r="D67" s="7">
        <f ca="1">_xll.meDateFromTenor($B$66,C67,"MOD_FOLLOWING","TGT")</f>
        <v>44187</v>
      </c>
      <c r="E67" s="133">
        <f ca="1">_xll.meDateFromTenor($D67,"-5D","MOD_FOLLOWING","TGT")</f>
        <v>44180</v>
      </c>
      <c r="F67" s="133">
        <f ca="1">_xll.meDateFromTenor($D67,"5D","MOD_FOLLOWING","TGT")</f>
        <v>44195</v>
      </c>
      <c r="H67" s="7"/>
      <c r="K67" s="16" t="s">
        <v>76</v>
      </c>
      <c r="L67" s="17" t="s">
        <v>78</v>
      </c>
      <c r="M67" s="18" t="s">
        <v>80</v>
      </c>
    </row>
    <row r="68" spans="2:25" outlineLevel="1" x14ac:dyDescent="0.25">
      <c r="C68" s="2" t="s">
        <v>28</v>
      </c>
      <c r="D68" s="7">
        <f ca="1">_xll.meDateFromTenor($B$66,C68,"MOD_FOLLOWING","TGT")</f>
        <v>44552</v>
      </c>
      <c r="E68" s="133">
        <f ca="1">_xll.meDateFromTenor($D68,"-5D","MOD_FOLLOWING","TGT")</f>
        <v>44545</v>
      </c>
      <c r="F68" s="133">
        <f ca="1">_xll.meDateFromTenor($D68,"5D","MOD_FOLLOWING","TGT")</f>
        <v>44559</v>
      </c>
      <c r="H68" s="7"/>
      <c r="K68" s="19" t="s">
        <v>77</v>
      </c>
      <c r="L68" s="20" t="s">
        <v>78</v>
      </c>
      <c r="M68" s="21" t="s">
        <v>81</v>
      </c>
    </row>
    <row r="69" spans="2:25" outlineLevel="1" x14ac:dyDescent="0.25">
      <c r="C69" s="2" t="s">
        <v>29</v>
      </c>
      <c r="D69" s="7">
        <f ca="1">_xll.meDateFromTenor($B$66,C69,"MOD_FOLLOWING","TGT")</f>
        <v>44917</v>
      </c>
      <c r="E69" s="133">
        <f ca="1">_xll.meDateFromTenor($D69,"-5D","MOD_FOLLOWING","TGT")</f>
        <v>44910</v>
      </c>
      <c r="F69" s="133">
        <f ca="1">_xll.meDateFromTenor($D69,"5D","MOD_FOLLOWING","TGT")</f>
        <v>44925</v>
      </c>
      <c r="H69" s="7"/>
    </row>
    <row r="70" spans="2:25" outlineLevel="1" x14ac:dyDescent="0.25">
      <c r="C70" s="2" t="s">
        <v>30</v>
      </c>
      <c r="D70" s="7">
        <f ca="1">_xll.meDateFromTenor($B$66,C70,"MOD_FOLLOWING","TGT")</f>
        <v>45282</v>
      </c>
      <c r="E70" s="133">
        <f ca="1">_xll.meDateFromTenor($D70,"-5D","MOD_FOLLOWING","TGT")</f>
        <v>45275</v>
      </c>
      <c r="F70" s="133">
        <f ca="1">_xll.meDateFromTenor($D70,"5D","MOD_FOLLOWING","TGT")</f>
        <v>45294</v>
      </c>
      <c r="H70" s="7"/>
    </row>
    <row r="71" spans="2:25" outlineLevel="1" x14ac:dyDescent="0.25">
      <c r="C71" s="2" t="s">
        <v>31</v>
      </c>
      <c r="D71" s="7">
        <f ca="1">_xll.meDateFromTenor($B$66,C71,"MOD_FOLLOWING","TGT")</f>
        <v>45649</v>
      </c>
      <c r="E71" s="133">
        <f ca="1">_xll.meDateFromTenor($D71,"-5D","MOD_FOLLOWING","TGT")</f>
        <v>45642</v>
      </c>
      <c r="F71" s="133">
        <f ca="1">_xll.meDateFromTenor($D71,"5D","MOD_FOLLOWING","TGT")</f>
        <v>45659</v>
      </c>
      <c r="H71" s="7"/>
    </row>
    <row r="72" spans="2:25" outlineLevel="1" x14ac:dyDescent="0.25">
      <c r="C72" s="2" t="s">
        <v>32</v>
      </c>
      <c r="D72" s="7">
        <f ca="1">_xll.meDateFromTenor($B$66,C72,"MOD_FOLLOWING","TGT")</f>
        <v>46013</v>
      </c>
      <c r="E72" s="133">
        <f ca="1">_xll.meDateFromTenor($D72,"-5D","MOD_FOLLOWING","TGT")</f>
        <v>46006</v>
      </c>
      <c r="F72" s="133">
        <f ca="1">_xll.meDateFromTenor($D72,"5D","MOD_FOLLOWING","TGT")</f>
        <v>46022</v>
      </c>
      <c r="H72" s="7"/>
    </row>
    <row r="73" spans="2:25" outlineLevel="1" x14ac:dyDescent="0.25">
      <c r="C73" s="2" t="s">
        <v>33</v>
      </c>
      <c r="D73" s="7">
        <f ca="1">_xll.meDateFromTenor($B$66,C73,"MOD_FOLLOWING","TGT")</f>
        <v>46378</v>
      </c>
      <c r="E73" s="133">
        <f ca="1">_xll.meDateFromTenor($D73,"-5D","MOD_FOLLOWING","TGT")</f>
        <v>46371</v>
      </c>
      <c r="F73" s="133">
        <f ca="1">_xll.meDateFromTenor($D73,"5D","MOD_FOLLOWING","TGT")</f>
        <v>46386</v>
      </c>
      <c r="H73" s="7"/>
    </row>
    <row r="74" spans="2:25" outlineLevel="1" x14ac:dyDescent="0.25">
      <c r="C74" s="2" t="s">
        <v>34</v>
      </c>
      <c r="D74" s="7">
        <f ca="1">_xll.meDateFromTenor($B$66,C74,"MOD_FOLLOWING","TGT")</f>
        <v>46743</v>
      </c>
      <c r="E74" s="133">
        <f ca="1">_xll.meDateFromTenor($D74,"-5D","MOD_FOLLOWING","TGT")</f>
        <v>46736</v>
      </c>
      <c r="F74" s="133">
        <f ca="1">_xll.meDateFromTenor($D74,"5D","MOD_FOLLOWING","TGT")</f>
        <v>46750</v>
      </c>
      <c r="H74" s="7"/>
    </row>
    <row r="75" spans="2:25" outlineLevel="1" x14ac:dyDescent="0.25">
      <c r="C75" s="2" t="s">
        <v>35</v>
      </c>
      <c r="D75" s="7">
        <f ca="1">_xll.meDateFromTenor($B$66,C75,"MOD_FOLLOWING","TGT")</f>
        <v>47476</v>
      </c>
      <c r="E75" s="133">
        <f ca="1">_xll.meDateFromTenor($D75,"-5D","MOD_FOLLOWING","TGT")</f>
        <v>47469</v>
      </c>
      <c r="F75" s="133">
        <f ca="1">_xll.meDateFromTenor($D75,"5D","MOD_FOLLOWING","TGT")</f>
        <v>47486</v>
      </c>
      <c r="H75" s="7"/>
    </row>
    <row r="76" spans="2:25" outlineLevel="1" x14ac:dyDescent="0.25">
      <c r="C76" s="2" t="s">
        <v>36</v>
      </c>
      <c r="D76" s="7">
        <f ca="1">_xll.meDateFromTenor($B$66,C76,"MOD_FOLLOWING","TGT")</f>
        <v>48570</v>
      </c>
      <c r="E76" s="133">
        <f ca="1">_xll.meDateFromTenor($D76,"-5D","MOD_FOLLOWING","TGT")</f>
        <v>48563</v>
      </c>
      <c r="F76" s="133">
        <f ca="1">_xll.meDateFromTenor($D76,"5D","MOD_FOLLOWING","TGT")</f>
        <v>48577</v>
      </c>
      <c r="H76" s="7"/>
    </row>
    <row r="77" spans="2:25" outlineLevel="1" x14ac:dyDescent="0.25">
      <c r="C77" s="2" t="s">
        <v>37</v>
      </c>
      <c r="D77" s="7">
        <f ca="1">_xll.meDateFromTenor($B$66,C77,"MOD_FOLLOWING","TGT")</f>
        <v>50396</v>
      </c>
      <c r="E77" s="133">
        <f ca="1">_xll.meDateFromTenor($D77,"-5D","MOD_FOLLOWING","TGT")</f>
        <v>50389</v>
      </c>
      <c r="F77" s="133">
        <f ca="1">_xll.meDateFromTenor($D77,"5D","MOD_FOLLOWING","TGT")</f>
        <v>50404</v>
      </c>
      <c r="H77" s="7"/>
    </row>
    <row r="78" spans="2:25" outlineLevel="1" x14ac:dyDescent="0.25">
      <c r="C78" s="2" t="s">
        <v>38</v>
      </c>
      <c r="D78" s="7">
        <f ca="1">_xll.meDateFromTenor($B$66,C78,"MOD_FOLLOWING","TGT")</f>
        <v>54049</v>
      </c>
      <c r="E78" s="133">
        <f ca="1">_xll.meDateFromTenor($D78,"-5D","MOD_FOLLOWING","TGT")</f>
        <v>54042</v>
      </c>
      <c r="F78" s="133">
        <f ca="1">_xll.meDateFromTenor($D78,"5D","MOD_FOLLOWING","TGT")</f>
        <v>54059</v>
      </c>
      <c r="H78" s="7"/>
    </row>
    <row r="79" spans="2:25" outlineLevel="1" x14ac:dyDescent="0.25">
      <c r="E79" s="8"/>
      <c r="F79" s="8"/>
    </row>
    <row r="80" spans="2:25" outlineLevel="1" x14ac:dyDescent="0.25">
      <c r="E80" s="8"/>
      <c r="F80" s="8"/>
    </row>
    <row r="81" spans="2:26" ht="15.75" outlineLevel="1" thickBot="1" x14ac:dyDescent="0.3">
      <c r="C81" s="11" t="s">
        <v>62</v>
      </c>
      <c r="E81" s="8"/>
      <c r="F81" s="8"/>
    </row>
    <row r="82" spans="2:26" outlineLevel="1" x14ac:dyDescent="0.25">
      <c r="B82" s="5" t="s">
        <v>90</v>
      </c>
      <c r="C82" s="6" t="s">
        <v>40</v>
      </c>
      <c r="D82" t="s">
        <v>60</v>
      </c>
      <c r="E82" s="5" t="s">
        <v>45</v>
      </c>
      <c r="F82" s="5" t="s">
        <v>46</v>
      </c>
      <c r="H82" s="5"/>
    </row>
    <row r="83" spans="2:26" outlineLevel="1" x14ac:dyDescent="0.25">
      <c r="B83" s="7">
        <f ca="1">_xll.meDateFromTenor(AsOf,"2D","MOD_FOLLOWING","TGT")</f>
        <v>43091</v>
      </c>
      <c r="C83" s="2" t="s">
        <v>26</v>
      </c>
      <c r="D83" s="7">
        <f ca="1">_xll.meDateFromTenor($B$83,C83,"MOD_FOLLOWING","TGT")</f>
        <v>43822</v>
      </c>
      <c r="E83" s="133">
        <f ca="1">_xll.meDateFromTenor($D83,"-5D","MOD_FOLLOWING","TGT")</f>
        <v>43815</v>
      </c>
      <c r="F83" s="133">
        <f ca="1">_xll.meDateFromTenor($D83,"5D","MOD_FOLLOWING","TGT")</f>
        <v>43832</v>
      </c>
      <c r="H83" s="9"/>
    </row>
    <row r="84" spans="2:26" outlineLevel="1" x14ac:dyDescent="0.25">
      <c r="C84" s="2" t="s">
        <v>27</v>
      </c>
      <c r="D84" s="7">
        <f ca="1">_xll.meDateFromTenor($B$83,C84,"MOD_FOLLOWING","TGT")</f>
        <v>44187</v>
      </c>
      <c r="E84" s="133">
        <f ca="1">_xll.meDateFromTenor($D84,"-5D","MOD_FOLLOWING","TGT")</f>
        <v>44180</v>
      </c>
      <c r="F84" s="133">
        <f ca="1">_xll.meDateFromTenor($D84,"5D","MOD_FOLLOWING","TGT")</f>
        <v>44195</v>
      </c>
      <c r="H84" s="9"/>
    </row>
    <row r="85" spans="2:26" outlineLevel="1" x14ac:dyDescent="0.25">
      <c r="C85" s="2" t="s">
        <v>28</v>
      </c>
      <c r="D85" s="7">
        <f ca="1">_xll.meDateFromTenor($B$83,C85,"MOD_FOLLOWING","TGT")</f>
        <v>44552</v>
      </c>
      <c r="E85" s="133">
        <f ca="1">_xll.meDateFromTenor($D85,"-5D","MOD_FOLLOWING","TGT")</f>
        <v>44545</v>
      </c>
      <c r="F85" s="133">
        <f ca="1">_xll.meDateFromTenor($D85,"5D","MOD_FOLLOWING","TGT")</f>
        <v>44559</v>
      </c>
      <c r="H85" s="9"/>
    </row>
    <row r="86" spans="2:26" outlineLevel="1" x14ac:dyDescent="0.25">
      <c r="C86" s="2" t="s">
        <v>29</v>
      </c>
      <c r="D86" s="7">
        <f ca="1">_xll.meDateFromTenor($B$83,C86,"MOD_FOLLOWING","TGT")</f>
        <v>44917</v>
      </c>
      <c r="E86" s="133">
        <f ca="1">_xll.meDateFromTenor($D86,"-5D","MOD_FOLLOWING","TGT")</f>
        <v>44910</v>
      </c>
      <c r="F86" s="133">
        <f ca="1">_xll.meDateFromTenor($D86,"5D","MOD_FOLLOWING","TGT")</f>
        <v>44925</v>
      </c>
      <c r="H86" s="9"/>
    </row>
    <row r="87" spans="2:26" outlineLevel="1" x14ac:dyDescent="0.25">
      <c r="C87" s="2" t="s">
        <v>30</v>
      </c>
      <c r="D87" s="7">
        <f ca="1">_xll.meDateFromTenor($B$83,C87,"MOD_FOLLOWING","TGT")</f>
        <v>45282</v>
      </c>
      <c r="E87" s="133">
        <f ca="1">_xll.meDateFromTenor($D87,"-5D","MOD_FOLLOWING","TGT")</f>
        <v>45275</v>
      </c>
      <c r="F87" s="133">
        <f ca="1">_xll.meDateFromTenor($D87,"5D","MOD_FOLLOWING","TGT")</f>
        <v>45294</v>
      </c>
      <c r="H87" s="9"/>
    </row>
    <row r="88" spans="2:26" outlineLevel="1" x14ac:dyDescent="0.25">
      <c r="C88" s="2" t="s">
        <v>31</v>
      </c>
      <c r="D88" s="7">
        <f ca="1">_xll.meDateFromTenor($B$83,C88,"MOD_FOLLOWING","TGT")</f>
        <v>45649</v>
      </c>
      <c r="E88" s="133">
        <f ca="1">_xll.meDateFromTenor($D88,"-5D","MOD_FOLLOWING","TGT")</f>
        <v>45642</v>
      </c>
      <c r="F88" s="133">
        <f ca="1">_xll.meDateFromTenor($D88,"5D","MOD_FOLLOWING","TGT")</f>
        <v>45659</v>
      </c>
      <c r="H88" s="9"/>
    </row>
    <row r="89" spans="2:26" outlineLevel="1" x14ac:dyDescent="0.25">
      <c r="C89" s="2" t="s">
        <v>34</v>
      </c>
      <c r="D89" s="7">
        <f ca="1">_xll.meDateFromTenor($B$83,C89,"MOD_FOLLOWING","TGT")</f>
        <v>46743</v>
      </c>
      <c r="E89" s="133">
        <f ca="1">_xll.meDateFromTenor($D89,"-5D","MOD_FOLLOWING","TGT")</f>
        <v>46736</v>
      </c>
      <c r="F89" s="133">
        <f ca="1">_xll.meDateFromTenor($D89,"5D","MOD_FOLLOWING","TGT")</f>
        <v>46750</v>
      </c>
      <c r="H89" s="9"/>
    </row>
    <row r="90" spans="2:26" outlineLevel="1" x14ac:dyDescent="0.25">
      <c r="C90" s="2" t="s">
        <v>36</v>
      </c>
      <c r="D90" s="7">
        <f ca="1">_xll.meDateFromTenor($B$83,C90,"MOD_FOLLOWING","TGT")</f>
        <v>48570</v>
      </c>
      <c r="E90" s="133">
        <f ca="1">_xll.meDateFromTenor($D90,"-5D","MOD_FOLLOWING","TGT")</f>
        <v>48563</v>
      </c>
      <c r="F90" s="133">
        <f ca="1">_xll.meDateFromTenor($D90,"5D","MOD_FOLLOWING","TGT")</f>
        <v>48577</v>
      </c>
      <c r="H90" s="9"/>
    </row>
    <row r="91" spans="2:26" outlineLevel="1" x14ac:dyDescent="0.25">
      <c r="C91" s="2" t="s">
        <v>37</v>
      </c>
      <c r="D91" s="7">
        <f ca="1">_xll.meDateFromTenor($B$83,C91,"MOD_FOLLOWING","TGT")</f>
        <v>50396</v>
      </c>
      <c r="E91" s="133">
        <f ca="1">_xll.meDateFromTenor($D91,"-5D","MOD_FOLLOWING","TGT")</f>
        <v>50389</v>
      </c>
      <c r="F91" s="133">
        <f ca="1">_xll.meDateFromTenor($D91,"5D","MOD_FOLLOWING","TGT")</f>
        <v>50404</v>
      </c>
      <c r="H91" s="9"/>
    </row>
    <row r="92" spans="2:26" outlineLevel="1" x14ac:dyDescent="0.25">
      <c r="C92" s="2" t="s">
        <v>38</v>
      </c>
      <c r="D92" s="7">
        <f ca="1">_xll.meDateFromTenor($B$83,C92,"MOD_FOLLOWING","TGT")</f>
        <v>54049</v>
      </c>
      <c r="E92" s="133">
        <f ca="1">_xll.meDateFromTenor($D92,"-5D","MOD_FOLLOWING","TGT")</f>
        <v>54042</v>
      </c>
      <c r="F92" s="133">
        <f ca="1">_xll.meDateFromTenor($D92,"5D","MOD_FOLLOWING","TGT")</f>
        <v>54059</v>
      </c>
      <c r="H92" s="9"/>
    </row>
    <row r="93" spans="2:26" outlineLevel="1" x14ac:dyDescent="0.25">
      <c r="E93" s="8"/>
      <c r="F93" s="8"/>
    </row>
    <row r="94" spans="2:26" ht="15.75" outlineLevel="1" thickBot="1" x14ac:dyDescent="0.3">
      <c r="B94" s="5" t="s">
        <v>90</v>
      </c>
      <c r="C94" s="11" t="s">
        <v>63</v>
      </c>
      <c r="D94" s="11" t="s">
        <v>64</v>
      </c>
      <c r="E94" s="5" t="s">
        <v>45</v>
      </c>
      <c r="F94" s="5" t="s">
        <v>46</v>
      </c>
      <c r="H94" s="8" t="s">
        <v>93</v>
      </c>
      <c r="I94" s="11" t="s">
        <v>98</v>
      </c>
      <c r="J94" s="11" t="s">
        <v>99</v>
      </c>
      <c r="K94" s="5" t="s">
        <v>45</v>
      </c>
      <c r="L94" s="5" t="s">
        <v>46</v>
      </c>
      <c r="R94" s="8"/>
      <c r="Y94" s="5"/>
      <c r="Z94" s="5"/>
    </row>
    <row r="95" spans="2:26" outlineLevel="1" x14ac:dyDescent="0.25">
      <c r="B95" s="7">
        <f ca="1">_xll.meDateFromTenor(AsOf,"2D","MOD_FOLLOWING","NYB")</f>
        <v>43091</v>
      </c>
      <c r="C95" s="2" t="s">
        <v>26</v>
      </c>
      <c r="D95" s="7">
        <f ca="1">_xll.meDateFromTenor($B$95,C95,"MOD_FOLLOWING","NYB")</f>
        <v>43822</v>
      </c>
      <c r="E95" s="133">
        <f ca="1">_xll.meDateFromTenor($D95,"-5D","MOD_FOLLOWING","NYB")</f>
        <v>43815</v>
      </c>
      <c r="F95" s="133">
        <f ca="1">_xll.meDateFromTenor($D95,"5D","MOD_FOLLOWING","NYB")</f>
        <v>43830</v>
      </c>
      <c r="H95" s="9">
        <f ca="1">_xll.meDateNthIMMFromStartDate(AsOf, 1,"NYB","MOD_FOLLOWING")</f>
        <v>43180</v>
      </c>
      <c r="I95" s="2" t="s">
        <v>26</v>
      </c>
      <c r="J95" s="7">
        <f ca="1">_xll.meDateFromTenor($H$95,I95,"MOD_FOLLOWING","NYB")</f>
        <v>43913</v>
      </c>
      <c r="K95" s="133">
        <f ca="1">_xll.meDateFromTenor($J95,"-5D","MOD_FOLLOWING","NYB")</f>
        <v>43906</v>
      </c>
      <c r="L95" s="133">
        <f ca="1">_xll.meDateFromTenor($J95,"5D","MOD_FOLLOWING","NYB")</f>
        <v>43920</v>
      </c>
      <c r="R95" s="9"/>
      <c r="Y95" s="9"/>
      <c r="Z95" s="9"/>
    </row>
    <row r="96" spans="2:26" outlineLevel="1" x14ac:dyDescent="0.25">
      <c r="C96" s="2" t="s">
        <v>27</v>
      </c>
      <c r="D96" s="7">
        <f ca="1">_xll.meDateFromTenor($B$95,C96,"MOD_FOLLOWING","NYB")</f>
        <v>44187</v>
      </c>
      <c r="E96" s="133">
        <f ca="1">_xll.meDateFromTenor($D96,"-5D","MOD_FOLLOWING","NYB")</f>
        <v>44180</v>
      </c>
      <c r="F96" s="133">
        <f ca="1">_xll.meDateFromTenor($D96,"5D","MOD_FOLLOWING","NYB")</f>
        <v>44195</v>
      </c>
      <c r="H96" s="9"/>
      <c r="I96" s="2" t="s">
        <v>27</v>
      </c>
      <c r="J96" s="7">
        <f ca="1">_xll.meDateFromTenor($H$95,I96,"MOD_FOLLOWING","NYB")</f>
        <v>44277</v>
      </c>
      <c r="K96" s="133">
        <f ca="1">_xll.meDateFromTenor($J96,"-5D","MOD_FOLLOWING","NYB")</f>
        <v>44270</v>
      </c>
      <c r="L96" s="133">
        <f ca="1">_xll.meDateFromTenor($J96,"5D","MOD_FOLLOWING","NYB")</f>
        <v>44284</v>
      </c>
      <c r="R96" s="9"/>
      <c r="Y96" s="9"/>
      <c r="Z96" s="9"/>
    </row>
    <row r="97" spans="2:26" outlineLevel="1" x14ac:dyDescent="0.25">
      <c r="C97" s="2" t="s">
        <v>28</v>
      </c>
      <c r="D97" s="7">
        <f ca="1">_xll.meDateFromTenor($B$95,C97,"MOD_FOLLOWING","NYB")</f>
        <v>44552</v>
      </c>
      <c r="E97" s="133">
        <f ca="1">_xll.meDateFromTenor($D97,"-5D","MOD_FOLLOWING","NYB")</f>
        <v>44545</v>
      </c>
      <c r="F97" s="133">
        <f ca="1">_xll.meDateFromTenor($D97,"5D","MOD_FOLLOWING","NYB")</f>
        <v>44559</v>
      </c>
      <c r="H97" s="9"/>
      <c r="I97" s="2" t="s">
        <v>28</v>
      </c>
      <c r="J97" s="7">
        <f ca="1">_xll.meDateFromTenor($H$95,I97,"MOD_FOLLOWING","NYB")</f>
        <v>44641</v>
      </c>
      <c r="K97" s="133">
        <f ca="1">_xll.meDateFromTenor($J97,"-5D","MOD_FOLLOWING","NYB")</f>
        <v>44634</v>
      </c>
      <c r="L97" s="133">
        <f ca="1">_xll.meDateFromTenor($J97,"5D","MOD_FOLLOWING","NYB")</f>
        <v>44648</v>
      </c>
      <c r="R97" s="9"/>
      <c r="Y97" s="9"/>
      <c r="Z97" s="9"/>
    </row>
    <row r="98" spans="2:26" outlineLevel="1" x14ac:dyDescent="0.25">
      <c r="C98" s="2" t="s">
        <v>29</v>
      </c>
      <c r="D98" s="7">
        <f ca="1">_xll.meDateFromTenor($B$95,C98,"MOD_FOLLOWING","NYB")</f>
        <v>44917</v>
      </c>
      <c r="E98" s="133">
        <f ca="1">_xll.meDateFromTenor($D98,"-5D","MOD_FOLLOWING","NYB")</f>
        <v>44910</v>
      </c>
      <c r="F98" s="133">
        <f ca="1">_xll.meDateFromTenor($D98,"5D","MOD_FOLLOWING","NYB")</f>
        <v>44925</v>
      </c>
      <c r="H98" s="9"/>
      <c r="I98" s="2" t="s">
        <v>29</v>
      </c>
      <c r="J98" s="7">
        <f ca="1">_xll.meDateFromTenor($H$95,I98,"MOD_FOLLOWING","NYB")</f>
        <v>45006</v>
      </c>
      <c r="K98" s="133">
        <f ca="1">_xll.meDateFromTenor($J98,"-5D","MOD_FOLLOWING","NYB")</f>
        <v>44999</v>
      </c>
      <c r="L98" s="133">
        <f ca="1">_xll.meDateFromTenor($J98,"5D","MOD_FOLLOWING","NYB")</f>
        <v>45013</v>
      </c>
      <c r="R98" s="9"/>
      <c r="Y98" s="10"/>
      <c r="Z98" s="10"/>
    </row>
    <row r="99" spans="2:26" outlineLevel="1" x14ac:dyDescent="0.25">
      <c r="C99" s="2" t="s">
        <v>30</v>
      </c>
      <c r="D99" s="7">
        <f ca="1">_xll.meDateFromTenor($B$95,C99,"MOD_FOLLOWING","NYB")</f>
        <v>45282</v>
      </c>
      <c r="E99" s="133">
        <f ca="1">_xll.meDateFromTenor($D99,"-5D","MOD_FOLLOWING","NYB")</f>
        <v>45275</v>
      </c>
      <c r="F99" s="133">
        <f ca="1">_xll.meDateFromTenor($D99,"5D","MOD_FOLLOWING","NYB")</f>
        <v>45293</v>
      </c>
      <c r="H99" s="9"/>
      <c r="I99" s="2" t="s">
        <v>30</v>
      </c>
      <c r="J99" s="7">
        <f ca="1">_xll.meDateFromTenor($H$95,I99,"MOD_FOLLOWING","NYB")</f>
        <v>45372</v>
      </c>
      <c r="K99" s="133">
        <f ca="1">_xll.meDateFromTenor($J99,"-5D","MOD_FOLLOWING","NYB")</f>
        <v>45365</v>
      </c>
      <c r="L99" s="133">
        <f ca="1">_xll.meDateFromTenor($J99,"5D","MOD_FOLLOWING","NYB")</f>
        <v>45379</v>
      </c>
      <c r="R99" s="9"/>
      <c r="Y99" s="9"/>
      <c r="Z99" s="9"/>
    </row>
    <row r="100" spans="2:26" outlineLevel="1" x14ac:dyDescent="0.25">
      <c r="C100" s="2" t="s">
        <v>31</v>
      </c>
      <c r="D100" s="7">
        <f ca="1">_xll.meDateFromTenor($B$95,C100,"MOD_FOLLOWING","NYB")</f>
        <v>45649</v>
      </c>
      <c r="E100" s="133">
        <f ca="1">_xll.meDateFromTenor($D100,"-5D","MOD_FOLLOWING","NYB")</f>
        <v>45642</v>
      </c>
      <c r="F100" s="133">
        <f ca="1">_xll.meDateFromTenor($D100,"5D","MOD_FOLLOWING","NYB")</f>
        <v>45657</v>
      </c>
      <c r="H100" s="9"/>
      <c r="I100" s="2" t="s">
        <v>31</v>
      </c>
      <c r="J100" s="7">
        <f ca="1">_xll.meDateFromTenor($H$95,I100,"MOD_FOLLOWING","NYB")</f>
        <v>45737</v>
      </c>
      <c r="K100" s="133">
        <f ca="1">_xll.meDateFromTenor($J100,"-5D","MOD_FOLLOWING","NYB")</f>
        <v>45730</v>
      </c>
      <c r="L100" s="133">
        <f ca="1">_xll.meDateFromTenor($J100,"5D","MOD_FOLLOWING","NYB")</f>
        <v>45744</v>
      </c>
      <c r="R100" s="9"/>
      <c r="W100" s="2"/>
      <c r="X100" s="7"/>
      <c r="Y100" s="9"/>
      <c r="Z100" s="9"/>
    </row>
    <row r="101" spans="2:26" outlineLevel="1" x14ac:dyDescent="0.25">
      <c r="C101" s="2" t="s">
        <v>34</v>
      </c>
      <c r="D101" s="7">
        <f ca="1">_xll.meDateFromTenor($B$95,C101,"MOD_FOLLOWING","NYB")</f>
        <v>46743</v>
      </c>
      <c r="E101" s="133">
        <f ca="1">_xll.meDateFromTenor($D101,"-5D","MOD_FOLLOWING","NYB")</f>
        <v>46736</v>
      </c>
      <c r="F101" s="133">
        <f ca="1">_xll.meDateFromTenor($D101,"5D","MOD_FOLLOWING","NYB")</f>
        <v>46750</v>
      </c>
      <c r="H101" s="9"/>
      <c r="I101" s="2" t="s">
        <v>34</v>
      </c>
      <c r="J101" s="7">
        <f ca="1">_xll.meDateFromTenor($H$95,I101,"MOD_FOLLOWING","NYB")</f>
        <v>46833</v>
      </c>
      <c r="K101" s="133">
        <f ca="1">_xll.meDateFromTenor($J101,"-5D","MOD_FOLLOWING","NYB")</f>
        <v>46826</v>
      </c>
      <c r="L101" s="133">
        <f ca="1">_xll.meDateFromTenor($J101,"5D","MOD_FOLLOWING","NYB")</f>
        <v>46840</v>
      </c>
      <c r="R101" s="9"/>
      <c r="W101" s="2"/>
      <c r="X101" s="7"/>
      <c r="Y101" s="9"/>
      <c r="Z101" s="9"/>
    </row>
    <row r="102" spans="2:26" outlineLevel="1" x14ac:dyDescent="0.25">
      <c r="C102" s="2" t="s">
        <v>35</v>
      </c>
      <c r="D102" s="7">
        <f ca="1">_xll.meDateFromTenor($B$95,C102,"MOD_FOLLOWING","NYB")</f>
        <v>47476</v>
      </c>
      <c r="E102" s="133">
        <f ca="1">_xll.meDateFromTenor($D102,"-5D","MOD_FOLLOWING","NYB")</f>
        <v>47469</v>
      </c>
      <c r="F102" s="133">
        <f ca="1">_xll.meDateFromTenor($D102,"5D","MOD_FOLLOWING","NYB")</f>
        <v>47485</v>
      </c>
      <c r="H102" s="9"/>
      <c r="I102" s="2" t="s">
        <v>35</v>
      </c>
      <c r="J102" s="7">
        <f ca="1">_xll.meDateFromTenor($H$95,I102,"MOD_FOLLOWING","NYB")</f>
        <v>47563</v>
      </c>
      <c r="K102" s="133">
        <f ca="1">_xll.meDateFromTenor($J102,"-5D","MOD_FOLLOWING","NYB")</f>
        <v>47556</v>
      </c>
      <c r="L102" s="133">
        <f ca="1">_xll.meDateFromTenor($J102,"5D","MOD_FOLLOWING","NYB")</f>
        <v>47570</v>
      </c>
      <c r="R102" s="9"/>
      <c r="W102" s="2"/>
      <c r="X102" s="7"/>
      <c r="Y102" s="9"/>
      <c r="Z102" s="9"/>
    </row>
    <row r="103" spans="2:26" outlineLevel="1" x14ac:dyDescent="0.25">
      <c r="C103" s="2" t="s">
        <v>36</v>
      </c>
      <c r="D103" s="7">
        <f ca="1">_xll.meDateFromTenor($B$95,C103,"MOD_FOLLOWING","NYB")</f>
        <v>48570</v>
      </c>
      <c r="E103" s="133">
        <f ca="1">_xll.meDateFromTenor($D103,"-5D","MOD_FOLLOWING","NYB")</f>
        <v>48563</v>
      </c>
      <c r="F103" s="133">
        <f ca="1">_xll.meDateFromTenor($D103,"5D","MOD_FOLLOWING","NYB")</f>
        <v>48577</v>
      </c>
      <c r="H103" s="9"/>
      <c r="I103" s="2" t="s">
        <v>36</v>
      </c>
      <c r="J103" s="7">
        <f ca="1">_xll.meDateFromTenor($H$95,I103,"MOD_FOLLOWING","NYB")</f>
        <v>48659</v>
      </c>
      <c r="K103" s="133">
        <f ca="1">_xll.meDateFromTenor($J103,"-5D","MOD_FOLLOWING","NYB")</f>
        <v>48652</v>
      </c>
      <c r="L103" s="133">
        <f ca="1">_xll.meDateFromTenor($J103,"5D","MOD_FOLLOWING","NYB")</f>
        <v>48666</v>
      </c>
      <c r="R103" s="9"/>
      <c r="W103" s="2"/>
      <c r="X103" s="7"/>
      <c r="Y103" s="9"/>
      <c r="Z103" s="9"/>
    </row>
    <row r="104" spans="2:26" outlineLevel="1" x14ac:dyDescent="0.25">
      <c r="C104" s="2" t="s">
        <v>37</v>
      </c>
      <c r="D104" s="7">
        <f ca="1">_xll.meDateFromTenor($B$95,C104,"MOD_FOLLOWING","NYB")</f>
        <v>50396</v>
      </c>
      <c r="E104" s="133">
        <f ca="1">_xll.meDateFromTenor($D104,"-5D","MOD_FOLLOWING","NYB")</f>
        <v>50389</v>
      </c>
      <c r="F104" s="133">
        <f ca="1">_xll.meDateFromTenor($D104,"5D","MOD_FOLLOWING","NYB")</f>
        <v>50404</v>
      </c>
      <c r="H104" s="9"/>
      <c r="I104" s="2" t="s">
        <v>37</v>
      </c>
      <c r="J104" s="7">
        <f ca="1">_xll.meDateFromTenor($H$95,I104,"MOD_FOLLOWING","NYB")</f>
        <v>50486</v>
      </c>
      <c r="K104" s="133">
        <f ca="1">_xll.meDateFromTenor($J104,"-5D","MOD_FOLLOWING","NYB")</f>
        <v>50479</v>
      </c>
      <c r="L104" s="133">
        <f ca="1">_xll.meDateFromTenor($J104,"5D","MOD_FOLLOWING","NYB")</f>
        <v>50493</v>
      </c>
      <c r="R104" s="9"/>
      <c r="W104" s="2"/>
      <c r="X104" s="7"/>
      <c r="Y104" s="9"/>
      <c r="Z104" s="9"/>
    </row>
    <row r="105" spans="2:26" outlineLevel="1" x14ac:dyDescent="0.25">
      <c r="C105" s="2" t="s">
        <v>38</v>
      </c>
      <c r="D105" s="7">
        <f ca="1">_xll.meDateFromTenor($B$95,C105,"MOD_FOLLOWING","NYB")</f>
        <v>54049</v>
      </c>
      <c r="E105" s="133">
        <f ca="1">_xll.meDateFromTenor($D105,"-5D","MOD_FOLLOWING","NYB")</f>
        <v>54042</v>
      </c>
      <c r="F105" s="133">
        <f ca="1">_xll.meDateFromTenor($D105,"5D","MOD_FOLLOWING","NYB")</f>
        <v>54057</v>
      </c>
      <c r="H105" s="9"/>
      <c r="I105" s="2" t="s">
        <v>38</v>
      </c>
      <c r="J105" s="7">
        <f ca="1">_xll.meDateFromTenor($H$95,I105,"MOD_FOLLOWING","NYB")</f>
        <v>54140</v>
      </c>
      <c r="K105" s="133">
        <f ca="1">_xll.meDateFromTenor($J105,"-5D","MOD_FOLLOWING","NYB")</f>
        <v>54133</v>
      </c>
      <c r="L105" s="133">
        <f ca="1">_xll.meDateFromTenor($J105,"5D","MOD_FOLLOWING","NYB")</f>
        <v>54147</v>
      </c>
      <c r="R105" s="9"/>
      <c r="W105" s="2"/>
      <c r="X105" s="7"/>
      <c r="Y105" s="9"/>
      <c r="Z105" s="9"/>
    </row>
    <row r="106" spans="2:26" outlineLevel="1" x14ac:dyDescent="0.25">
      <c r="E106" s="8"/>
      <c r="F106" s="8"/>
    </row>
    <row r="107" spans="2:26" outlineLevel="1" x14ac:dyDescent="0.25">
      <c r="E107" s="8"/>
      <c r="F107" s="8"/>
    </row>
    <row r="108" spans="2:26" ht="15.75" outlineLevel="1" thickBot="1" x14ac:dyDescent="0.3">
      <c r="B108" s="5" t="s">
        <v>91</v>
      </c>
      <c r="C108" s="11" t="s">
        <v>65</v>
      </c>
      <c r="D108" s="11" t="s">
        <v>66</v>
      </c>
      <c r="E108" s="5" t="s">
        <v>45</v>
      </c>
      <c r="F108" s="5" t="s">
        <v>46</v>
      </c>
      <c r="H108" s="8" t="s">
        <v>94</v>
      </c>
      <c r="I108" s="11" t="s">
        <v>98</v>
      </c>
      <c r="J108" s="11" t="s">
        <v>99</v>
      </c>
      <c r="K108" s="5" t="s">
        <v>45</v>
      </c>
      <c r="L108" s="5" t="s">
        <v>46</v>
      </c>
    </row>
    <row r="109" spans="2:26" outlineLevel="1" x14ac:dyDescent="0.25">
      <c r="B109" s="7">
        <f ca="1">_xll.meDateFromTenor(AsOf,"0D","MOD_FOLLOWING","LNB")</f>
        <v>43089</v>
      </c>
      <c r="C109" s="2" t="s">
        <v>26</v>
      </c>
      <c r="D109" s="7">
        <f ca="1">_xll.meDateFromTenor($B$109,C109,"MOD_FOLLOWING","LNB")</f>
        <v>43819</v>
      </c>
      <c r="E109" s="133">
        <f ca="1">_xll.meDateFromTenor($D109,"-5D","MOD_FOLLOWING","LNB")</f>
        <v>43812</v>
      </c>
      <c r="F109" s="133">
        <f ca="1">_xll.meDateFromTenor($D109,"5D","MOD_FOLLOWING","LNB")</f>
        <v>43830</v>
      </c>
      <c r="H109" s="9">
        <f ca="1">_xll.meDateNthIMMFromStartDate(AsOf, 2,"NYB","MOD_FOLLOWING")</f>
        <v>43271</v>
      </c>
      <c r="I109" s="2" t="s">
        <v>26</v>
      </c>
      <c r="J109" s="7">
        <f ca="1">_xll.meDateFromTenor($H$109,I109,"MOD_FOLLOWING","NYB")</f>
        <v>44004</v>
      </c>
      <c r="K109" s="133">
        <f ca="1">_xll.meDateFromTenor($J109,"-5D","MOD_FOLLOWING","NYB")</f>
        <v>43997</v>
      </c>
      <c r="L109" s="133">
        <f ca="1">_xll.meDateFromTenor($J109,"5D","MOD_FOLLOWING","NYB")</f>
        <v>44011</v>
      </c>
    </row>
    <row r="110" spans="2:26" outlineLevel="1" x14ac:dyDescent="0.25">
      <c r="C110" s="2" t="s">
        <v>27</v>
      </c>
      <c r="D110" s="7">
        <f ca="1">_xll.meDateFromTenor($B$109,C110,"MOD_FOLLOWING","LNB")</f>
        <v>44186</v>
      </c>
      <c r="E110" s="133">
        <f ca="1">_xll.meDateFromTenor($D110,"-5D","MOD_FOLLOWING","LNB")</f>
        <v>44179</v>
      </c>
      <c r="F110" s="133">
        <f ca="1">_xll.meDateFromTenor($D110,"5D","MOD_FOLLOWING","LNB")</f>
        <v>44195</v>
      </c>
      <c r="H110" s="9"/>
      <c r="I110" s="2" t="s">
        <v>27</v>
      </c>
      <c r="J110" s="7">
        <f ca="1">_xll.meDateFromTenor($H$109,I110,"MOD_FOLLOWING","NYB")</f>
        <v>44368</v>
      </c>
      <c r="K110" s="133">
        <f ca="1">_xll.meDateFromTenor($J110,"-5D","MOD_FOLLOWING","NYB")</f>
        <v>44361</v>
      </c>
      <c r="L110" s="133">
        <f ca="1">_xll.meDateFromTenor($J110,"5D","MOD_FOLLOWING","NYB")</f>
        <v>44375</v>
      </c>
    </row>
    <row r="111" spans="2:26" outlineLevel="1" x14ac:dyDescent="0.25">
      <c r="C111" s="2" t="s">
        <v>28</v>
      </c>
      <c r="D111" s="7">
        <f ca="1">_xll.meDateFromTenor($B$109,C111,"MOD_FOLLOWING","LNB")</f>
        <v>44550</v>
      </c>
      <c r="E111" s="133">
        <f ca="1">_xll.meDateFromTenor($D111,"-5D","MOD_FOLLOWING","LNB")</f>
        <v>44543</v>
      </c>
      <c r="F111" s="133">
        <f ca="1">_xll.meDateFromTenor($D111,"5D","MOD_FOLLOWING","LNB")</f>
        <v>44559</v>
      </c>
      <c r="H111" s="9"/>
      <c r="I111" s="2" t="s">
        <v>28</v>
      </c>
      <c r="J111" s="7">
        <f ca="1">_xll.meDateFromTenor($H$109,I111,"MOD_FOLLOWING","NYB")</f>
        <v>44732</v>
      </c>
      <c r="K111" s="133">
        <f ca="1">_xll.meDateFromTenor($J111,"-5D","MOD_FOLLOWING","NYB")</f>
        <v>44725</v>
      </c>
      <c r="L111" s="133">
        <f ca="1">_xll.meDateFromTenor($J111,"5D","MOD_FOLLOWING","NYB")</f>
        <v>44739</v>
      </c>
    </row>
    <row r="112" spans="2:26" outlineLevel="1" x14ac:dyDescent="0.25">
      <c r="C112" s="2" t="s">
        <v>29</v>
      </c>
      <c r="D112" s="7">
        <f ca="1">_xll.meDateFromTenor($B$109,C112,"MOD_FOLLOWING","LNB")</f>
        <v>44915</v>
      </c>
      <c r="E112" s="133">
        <f ca="1">_xll.meDateFromTenor($D112,"-5D","MOD_FOLLOWING","LNB")</f>
        <v>44908</v>
      </c>
      <c r="F112" s="133">
        <f ca="1">_xll.meDateFromTenor($D112,"5D","MOD_FOLLOWING","LNB")</f>
        <v>44924</v>
      </c>
      <c r="H112" s="9"/>
      <c r="I112" s="2" t="s">
        <v>29</v>
      </c>
      <c r="J112" s="7">
        <f ca="1">_xll.meDateFromTenor($H$109,I112,"MOD_FOLLOWING","NYB")</f>
        <v>45097</v>
      </c>
      <c r="K112" s="133">
        <f ca="1">_xll.meDateFromTenor($J112,"-5D","MOD_FOLLOWING","NYB")</f>
        <v>45090</v>
      </c>
      <c r="L112" s="133">
        <f ca="1">_xll.meDateFromTenor($J112,"5D","MOD_FOLLOWING","NYB")</f>
        <v>45104</v>
      </c>
    </row>
    <row r="113" spans="1:12" outlineLevel="1" x14ac:dyDescent="0.25">
      <c r="C113" s="2" t="s">
        <v>30</v>
      </c>
      <c r="D113" s="7">
        <f ca="1">_xll.meDateFromTenor($B$109,C113,"MOD_FOLLOWING","LNB")</f>
        <v>45280</v>
      </c>
      <c r="E113" s="133">
        <f ca="1">_xll.meDateFromTenor($D113,"-5D","MOD_FOLLOWING","LNB")</f>
        <v>45273</v>
      </c>
      <c r="F113" s="133">
        <f ca="1">_xll.meDateFromTenor($D113,"5D","MOD_FOLLOWING","LNB")</f>
        <v>45289</v>
      </c>
      <c r="H113" s="9"/>
      <c r="I113" s="2" t="s">
        <v>30</v>
      </c>
      <c r="J113" s="7">
        <f ca="1">_xll.meDateFromTenor($H$109,I113,"MOD_FOLLOWING","NYB")</f>
        <v>45463</v>
      </c>
      <c r="K113" s="133">
        <f ca="1">_xll.meDateFromTenor($J113,"-5D","MOD_FOLLOWING","NYB")</f>
        <v>45456</v>
      </c>
      <c r="L113" s="133">
        <f ca="1">_xll.meDateFromTenor($J113,"5D","MOD_FOLLOWING","NYB")</f>
        <v>45470</v>
      </c>
    </row>
    <row r="114" spans="1:12" outlineLevel="1" x14ac:dyDescent="0.25">
      <c r="C114" s="2" t="s">
        <v>31</v>
      </c>
      <c r="D114" s="7">
        <f ca="1">_xll.meDateFromTenor($B$109,C114,"MOD_FOLLOWING","LNB")</f>
        <v>45646</v>
      </c>
      <c r="E114" s="133">
        <f ca="1">_xll.meDateFromTenor($D114,"-5D","MOD_FOLLOWING","LNB")</f>
        <v>45639</v>
      </c>
      <c r="F114" s="133">
        <f ca="1">_xll.meDateFromTenor($D114,"5D","MOD_FOLLOWING","LNB")</f>
        <v>45657</v>
      </c>
      <c r="H114" s="9"/>
      <c r="I114" s="2" t="s">
        <v>31</v>
      </c>
      <c r="J114" s="7">
        <f ca="1">_xll.meDateFromTenor($H$109,I114,"MOD_FOLLOWING","NYB")</f>
        <v>45828</v>
      </c>
      <c r="K114" s="133">
        <f ca="1">_xll.meDateFromTenor($J114,"-5D","MOD_FOLLOWING","NYB")</f>
        <v>45821</v>
      </c>
      <c r="L114" s="133">
        <f ca="1">_xll.meDateFromTenor($J114,"5D","MOD_FOLLOWING","NYB")</f>
        <v>45835</v>
      </c>
    </row>
    <row r="115" spans="1:12" outlineLevel="1" x14ac:dyDescent="0.25">
      <c r="C115" s="2" t="s">
        <v>34</v>
      </c>
      <c r="D115" s="7">
        <f ca="1">_xll.meDateFromTenor($B$109,C115,"MOD_FOLLOWING","LNB")</f>
        <v>46741</v>
      </c>
      <c r="E115" s="133">
        <f ca="1">_xll.meDateFromTenor($D115,"-5D","MOD_FOLLOWING","LNB")</f>
        <v>46734</v>
      </c>
      <c r="F115" s="133">
        <f ca="1">_xll.meDateFromTenor($D115,"5D","MOD_FOLLOWING","LNB")</f>
        <v>46750</v>
      </c>
      <c r="H115" s="9"/>
      <c r="I115" s="2" t="s">
        <v>34</v>
      </c>
      <c r="J115" s="7">
        <f ca="1">_xll.meDateFromTenor($H$109,I115,"MOD_FOLLOWING","NYB")</f>
        <v>46924</v>
      </c>
      <c r="K115" s="133">
        <f ca="1">_xll.meDateFromTenor($J115,"-5D","MOD_FOLLOWING","NYB")</f>
        <v>46917</v>
      </c>
      <c r="L115" s="133">
        <f ca="1">_xll.meDateFromTenor($J115,"5D","MOD_FOLLOWING","NYB")</f>
        <v>46931</v>
      </c>
    </row>
    <row r="116" spans="1:12" outlineLevel="1" x14ac:dyDescent="0.25">
      <c r="C116" s="2" t="s">
        <v>36</v>
      </c>
      <c r="D116" s="7">
        <f ca="1">_xll.meDateFromTenor($B$109,C116,"MOD_FOLLOWING","LNB")</f>
        <v>48568</v>
      </c>
      <c r="E116" s="133">
        <f ca="1">_xll.meDateFromTenor($D116,"-5D","MOD_FOLLOWING","LNB")</f>
        <v>48561</v>
      </c>
      <c r="F116" s="133">
        <f ca="1">_xll.meDateFromTenor($D116,"5D","MOD_FOLLOWING","LNB")</f>
        <v>48577</v>
      </c>
      <c r="H116" s="9"/>
      <c r="I116" s="2" t="s">
        <v>35</v>
      </c>
      <c r="J116" s="7">
        <f ca="1">_xll.meDateFromTenor($H$109,I116,"MOD_FOLLOWING","NYB")</f>
        <v>47654</v>
      </c>
      <c r="K116" s="133">
        <f ca="1">_xll.meDateFromTenor($J116,"-5D","MOD_FOLLOWING","NYB")</f>
        <v>47647</v>
      </c>
      <c r="L116" s="133">
        <f ca="1">_xll.meDateFromTenor($J116,"5D","MOD_FOLLOWING","NYB")</f>
        <v>47661</v>
      </c>
    </row>
    <row r="117" spans="1:12" outlineLevel="1" x14ac:dyDescent="0.25">
      <c r="C117" s="2" t="s">
        <v>37</v>
      </c>
      <c r="D117" s="7">
        <f ca="1">_xll.meDateFromTenor($B$109,C117,"MOD_FOLLOWING","LNB")</f>
        <v>50395</v>
      </c>
      <c r="E117" s="133">
        <f ca="1">_xll.meDateFromTenor($D117,"-5D","MOD_FOLLOWING","LNB")</f>
        <v>50388</v>
      </c>
      <c r="F117" s="133">
        <f ca="1">_xll.meDateFromTenor($D117,"5D","MOD_FOLLOWING","LNB")</f>
        <v>50404</v>
      </c>
      <c r="H117" s="9"/>
      <c r="I117" s="2" t="s">
        <v>36</v>
      </c>
      <c r="J117" s="7">
        <f ca="1">_xll.meDateFromTenor($H$109,I117,"MOD_FOLLOWING","NYB")</f>
        <v>48750</v>
      </c>
      <c r="K117" s="133">
        <f ca="1">_xll.meDateFromTenor($J117,"-5D","MOD_FOLLOWING","NYB")</f>
        <v>48743</v>
      </c>
      <c r="L117" s="133">
        <f ca="1">_xll.meDateFromTenor($J117,"5D","MOD_FOLLOWING","NYB")</f>
        <v>48757</v>
      </c>
    </row>
    <row r="118" spans="1:12" outlineLevel="1" x14ac:dyDescent="0.25">
      <c r="C118" s="2" t="s">
        <v>38</v>
      </c>
      <c r="D118" s="7">
        <f ca="1">_xll.meDateFromTenor($B$109,C118,"MOD_FOLLOWING","LNB")</f>
        <v>54046</v>
      </c>
      <c r="E118" s="133">
        <f ca="1">_xll.meDateFromTenor($D118,"-5D","MOD_FOLLOWING","LNB")</f>
        <v>54039</v>
      </c>
      <c r="F118" s="133">
        <f ca="1">_xll.meDateFromTenor($D118,"5D","MOD_FOLLOWING","LNB")</f>
        <v>54057</v>
      </c>
      <c r="H118" s="9"/>
      <c r="I118" s="2" t="s">
        <v>37</v>
      </c>
      <c r="J118" s="7">
        <f ca="1">_xll.meDateFromTenor($H$109,I118,"MOD_FOLLOWING","NYB")</f>
        <v>50577</v>
      </c>
      <c r="K118" s="133">
        <f ca="1">_xll.meDateFromTenor($J118,"-5D","MOD_FOLLOWING","NYB")</f>
        <v>50570</v>
      </c>
      <c r="L118" s="133">
        <f ca="1">_xll.meDateFromTenor($J118,"5D","MOD_FOLLOWING","NYB")</f>
        <v>50584</v>
      </c>
    </row>
    <row r="119" spans="1:12" outlineLevel="1" x14ac:dyDescent="0.25">
      <c r="H119" s="9"/>
      <c r="I119" s="2" t="s">
        <v>38</v>
      </c>
      <c r="J119" s="7">
        <f ca="1">_xll.meDateFromTenor($H$109,I119,"MOD_FOLLOWING","NYB")</f>
        <v>54231</v>
      </c>
      <c r="K119" s="133">
        <f ca="1">_xll.meDateFromTenor($J119,"-5D","MOD_FOLLOWING","NYB")</f>
        <v>54224</v>
      </c>
      <c r="L119" s="133">
        <f ca="1">_xll.meDateFromTenor($J119,"5D","MOD_FOLLOWING","NYB")</f>
        <v>54238</v>
      </c>
    </row>
    <row r="120" spans="1:12" x14ac:dyDescent="0.25">
      <c r="A120" s="12" t="s">
        <v>71</v>
      </c>
    </row>
  </sheetData>
  <mergeCells count="19">
    <mergeCell ref="L52:N52"/>
    <mergeCell ref="C5:C6"/>
    <mergeCell ref="D5:D6"/>
    <mergeCell ref="E5:E6"/>
    <mergeCell ref="G5:G6"/>
    <mergeCell ref="J5:J6"/>
    <mergeCell ref="K5:L5"/>
    <mergeCell ref="M5:O5"/>
    <mergeCell ref="C52:C53"/>
    <mergeCell ref="D52:D53"/>
    <mergeCell ref="E52:E53"/>
    <mergeCell ref="G52:G53"/>
    <mergeCell ref="H52:H53"/>
    <mergeCell ref="I5:I6"/>
    <mergeCell ref="F5:F6"/>
    <mergeCell ref="I52:I53"/>
    <mergeCell ref="H5:H6"/>
    <mergeCell ref="B5:B6"/>
    <mergeCell ref="J52:K52"/>
  </mergeCells>
  <conditionalFormatting sqref="B7:B48">
    <cfRule type="cellIs" dxfId="6" priority="1" operator="equal">
      <formula>TRUE</formula>
    </cfRule>
  </conditionalFormatting>
  <dataValidations count="6">
    <dataValidation type="list" allowBlank="1" showInputMessage="1" showErrorMessage="1" sqref="K7:K48 N7:N48">
      <formula1>"ANNUAL,SEMI-ANNUAL,QUARTERLY,MONTHLY"</formula1>
    </dataValidation>
    <dataValidation type="list" allowBlank="1" showInputMessage="1" showErrorMessage="1" sqref="O7:O48 L7:L48">
      <formula1>"30/360,ACT/360,ACT/365F"</formula1>
    </dataValidation>
    <dataValidation type="list" allowBlank="1" showInputMessage="1" showErrorMessage="1" sqref="E7:E48">
      <formula1>"SPOT,IMM"</formula1>
    </dataValidation>
    <dataValidation type="list" allowBlank="1" showInputMessage="1" showErrorMessage="1" sqref="M7:M48">
      <formula1>"EUR3ML,EUR6ML,GBP3ML,GBP6ML,USD3ML,USD3ML.IMM,USD6ML,USD6ML.IMM"</formula1>
    </dataValidation>
    <dataValidation type="list" allowBlank="1" showInputMessage="1" showErrorMessage="1" sqref="D7:D48">
      <formula1>"USD,EUR,GBP"</formula1>
    </dataValidation>
    <dataValidation type="list" allowBlank="1" showInputMessage="1" showErrorMessage="1" sqref="F7:F48">
      <formula1>"0,1,2"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AD120"/>
  <sheetViews>
    <sheetView showGridLines="0" workbookViewId="0"/>
  </sheetViews>
  <sheetFormatPr defaultRowHeight="15" outlineLevelRow="1" outlineLevelCol="1" x14ac:dyDescent="0.25"/>
  <cols>
    <col min="2" max="2" width="15.7109375" customWidth="1"/>
    <col min="3" max="3" width="20.7109375" customWidth="1"/>
    <col min="4" max="4" width="12.7109375" customWidth="1"/>
    <col min="5" max="5" width="15.7109375" customWidth="1"/>
    <col min="6" max="6" width="14.7109375" customWidth="1"/>
    <col min="7" max="7" width="12.5703125" customWidth="1"/>
    <col min="8" max="9" width="20.7109375" customWidth="1"/>
    <col min="10" max="10" width="17.85546875" customWidth="1"/>
    <col min="11" max="13" width="15.7109375" customWidth="1"/>
    <col min="14" max="14" width="22.140625" bestFit="1" customWidth="1"/>
    <col min="15" max="15" width="15.7109375" customWidth="1"/>
    <col min="16" max="16" width="12.7109375" customWidth="1" outlineLevel="1"/>
    <col min="17" max="17" width="14.28515625" customWidth="1" outlineLevel="1"/>
    <col min="18" max="18" width="15.7109375" customWidth="1" outlineLevel="1"/>
    <col min="19" max="19" width="16.85546875" customWidth="1" outlineLevel="1"/>
    <col min="20" max="29" width="12.7109375" customWidth="1" outlineLevel="1"/>
  </cols>
  <sheetData>
    <row r="1" spans="1:30" x14ac:dyDescent="0.25">
      <c r="AD1" s="12" t="s">
        <v>70</v>
      </c>
    </row>
    <row r="2" spans="1:30" x14ac:dyDescent="0.25">
      <c r="B2" s="30" t="s">
        <v>44</v>
      </c>
    </row>
    <row r="3" spans="1:30" x14ac:dyDescent="0.25">
      <c r="B3" s="31">
        <f ca="1">TODAY()</f>
        <v>43089</v>
      </c>
      <c r="I3" s="9"/>
    </row>
    <row r="4" spans="1:30" ht="15.75" x14ac:dyDescent="0.25">
      <c r="S4" s="54"/>
    </row>
    <row r="5" spans="1:30" ht="15" customHeight="1" x14ac:dyDescent="0.25">
      <c r="B5" s="123" t="s">
        <v>104</v>
      </c>
      <c r="C5" s="121" t="s">
        <v>103</v>
      </c>
      <c r="D5" s="121" t="s">
        <v>1</v>
      </c>
      <c r="E5" s="121" t="s">
        <v>2</v>
      </c>
      <c r="F5" s="122" t="s">
        <v>150</v>
      </c>
      <c r="G5" s="121" t="s">
        <v>3</v>
      </c>
      <c r="H5" s="121" t="s">
        <v>89</v>
      </c>
      <c r="I5" s="121" t="s">
        <v>83</v>
      </c>
      <c r="J5" s="121" t="s">
        <v>5</v>
      </c>
      <c r="K5" s="127" t="s">
        <v>6</v>
      </c>
      <c r="L5" s="127"/>
      <c r="M5" s="127" t="s">
        <v>7</v>
      </c>
      <c r="N5" s="127"/>
      <c r="O5" s="127"/>
      <c r="P5" s="8"/>
      <c r="Q5" s="8"/>
      <c r="R5" s="48"/>
      <c r="S5" s="8"/>
      <c r="T5" s="8"/>
      <c r="U5" s="8"/>
      <c r="V5" s="8"/>
      <c r="W5" s="8"/>
      <c r="X5" s="8"/>
    </row>
    <row r="6" spans="1:30" ht="38.25" x14ac:dyDescent="0.25">
      <c r="B6" s="124"/>
      <c r="C6" s="122"/>
      <c r="D6" s="122"/>
      <c r="E6" s="122"/>
      <c r="F6" s="125"/>
      <c r="G6" s="122"/>
      <c r="H6" s="126"/>
      <c r="I6" s="122"/>
      <c r="J6" s="122"/>
      <c r="K6" s="69" t="s">
        <v>8</v>
      </c>
      <c r="L6" s="69" t="s">
        <v>9</v>
      </c>
      <c r="M6" s="69" t="s">
        <v>10</v>
      </c>
      <c r="N6" s="69" t="s">
        <v>11</v>
      </c>
      <c r="O6" s="69" t="s">
        <v>9</v>
      </c>
      <c r="P6" s="69" t="s">
        <v>84</v>
      </c>
      <c r="Q6" s="69" t="s">
        <v>100</v>
      </c>
      <c r="R6" s="69" t="s">
        <v>82</v>
      </c>
      <c r="S6" s="69" t="s">
        <v>55</v>
      </c>
      <c r="T6" s="69" t="s">
        <v>85</v>
      </c>
      <c r="U6" s="69" t="s">
        <v>54</v>
      </c>
      <c r="V6" s="69" t="s">
        <v>95</v>
      </c>
      <c r="W6" s="69" t="s">
        <v>96</v>
      </c>
      <c r="X6" s="69" t="s">
        <v>53</v>
      </c>
      <c r="Y6" s="69" t="s">
        <v>88</v>
      </c>
      <c r="Z6" s="69" t="s">
        <v>87</v>
      </c>
      <c r="AA6" s="69" t="s">
        <v>86</v>
      </c>
      <c r="AB6" s="69" t="s">
        <v>43</v>
      </c>
      <c r="AC6" s="69" t="s">
        <v>75</v>
      </c>
    </row>
    <row r="7" spans="1:30" x14ac:dyDescent="0.25">
      <c r="A7" s="29">
        <v>1</v>
      </c>
      <c r="B7" s="28" t="b">
        <f ca="1">AB7</f>
        <v>0</v>
      </c>
      <c r="C7" s="59" t="s">
        <v>149</v>
      </c>
      <c r="D7" s="25" t="s">
        <v>72</v>
      </c>
      <c r="E7" s="61" t="s">
        <v>67</v>
      </c>
      <c r="F7" s="108">
        <v>2</v>
      </c>
      <c r="G7" s="108" t="s">
        <v>14</v>
      </c>
      <c r="H7" s="110">
        <f ca="1">IF($E7="IMM",_xll.meDateNthIMMFromStartDate(AsOf, $F7,$AC7,"MOD_FOLLOWING"),_xll.meDateFromTenor(AsOf,$F7&amp;"D","MOD_FOLLOWING",$AC7))</f>
        <v>43091</v>
      </c>
      <c r="I7" s="87" t="s">
        <v>153</v>
      </c>
      <c r="J7" s="26" t="s">
        <v>16</v>
      </c>
      <c r="K7" s="26" t="s">
        <v>47</v>
      </c>
      <c r="L7" s="26" t="s">
        <v>42</v>
      </c>
      <c r="M7" s="26" t="s">
        <v>62</v>
      </c>
      <c r="N7" s="26" t="s">
        <v>101</v>
      </c>
      <c r="O7" s="45" t="s">
        <v>48</v>
      </c>
      <c r="P7" s="34">
        <f t="shared" ref="P7:P48" ca="1" si="0">MATCH(M7,$L$54:$L$61,0)</f>
        <v>2</v>
      </c>
      <c r="Q7" s="35" t="str">
        <f ca="1">IF(E7="SPOT",E7,E7&amp;IF(H7=USD3ML.IMMIMM1, 1,IF(H7=USD3ML.IMMIMM2,2,"NotInScope")))</f>
        <v>SPOT</v>
      </c>
      <c r="R7" s="44">
        <f ca="1">IF($I7="","",IF(ISNUMBER($I7),$I7,_xll.meDateFromTenor(H7,$I7,"MOD_FOLLOWING",VLOOKUP(LEFT($M7,3),DateConventions,3))))</f>
        <v>44928</v>
      </c>
      <c r="S7" s="35" t="b">
        <f ca="1">ISNUMBER(SEARCH($E7, INDEX($E$54:$E$61,$P7)))</f>
        <v>1</v>
      </c>
      <c r="T7" s="35" t="b">
        <f t="shared" ref="T7:T48" ca="1" si="1">ISNUMBER(SEARCH($G7, INDEX($G$54:$G$61,$P7)))</f>
        <v>1</v>
      </c>
      <c r="U7" s="35" t="b">
        <f t="shared" ref="U7:U48" ca="1" si="2">ISNUMBER(SEARCH($J7, INDEX($I$54:$I$61,$P7)))</f>
        <v>1</v>
      </c>
      <c r="V7" s="35" t="b">
        <f t="shared" ref="V7:V48" ca="1" si="3">IF(S7,$H7=INDIRECT(M7&amp;Q7),FALSE)</f>
        <v>1</v>
      </c>
      <c r="W7" s="39" t="b">
        <f t="shared" ref="W7:W48" ca="1" si="4">IF(ISNUMBER(MATCH($R7,INDIRECT(M7&amp;Q7&amp;".Lower"),1)), $R7&lt;=INDEX(INDIRECT(M7&amp;Q7&amp;".Upper"),MATCH($R7,INDIRECT(M7&amp;Q7&amp;".Lower"),1)), FALSE)</f>
        <v>0</v>
      </c>
      <c r="X7" s="35" t="b">
        <f t="shared" ref="X7:X48" ca="1" si="5">ISNUMBER(SEARCH($K7, INDEX($J$54:$J$61,$P7)))</f>
        <v>1</v>
      </c>
      <c r="Y7" s="36" t="b">
        <f t="shared" ref="Y7:Y48" ca="1" si="6">ISNUMBER(SEARCH($L7, INDEX($K$54:$K$61,$P7)))</f>
        <v>1</v>
      </c>
      <c r="Z7" s="36" t="b">
        <f ca="1">ISNUMBER(SEARCH($N7, INDEX($M$54:$M$61,$P7)))</f>
        <v>1</v>
      </c>
      <c r="AA7" s="36" t="b">
        <f t="shared" ref="AA7:AA48" ca="1" si="7">ISNUMBER(SEARCH($O7, INDEX($N$54:$N$61,$P7)))</f>
        <v>1</v>
      </c>
      <c r="AB7" s="66" t="b">
        <f t="shared" ref="AB7:AB48" ca="1" si="8">AND(S7:AA7)</f>
        <v>0</v>
      </c>
      <c r="AC7" s="63" t="str">
        <f ca="1">IF($D7="USD","NYB",IF($D7="EUR","TGT",IF($D7="GBP","LNB","")))</f>
        <v>TGT</v>
      </c>
    </row>
    <row r="8" spans="1:30" x14ac:dyDescent="0.25">
      <c r="A8" s="29">
        <v>2</v>
      </c>
      <c r="B8" s="49" t="b">
        <f t="shared" ref="B8:B48" ca="1" si="9">AB8</f>
        <v>1</v>
      </c>
      <c r="C8" s="60" t="s">
        <v>149</v>
      </c>
      <c r="D8" s="22" t="s">
        <v>72</v>
      </c>
      <c r="E8" s="62" t="s">
        <v>67</v>
      </c>
      <c r="F8" s="22">
        <v>2</v>
      </c>
      <c r="G8" s="22" t="s">
        <v>14</v>
      </c>
      <c r="H8" s="57">
        <f ca="1">IF($E8="IMM",_xll.meDateNthIMMFromStartDate(AsOf, $F8,$AC8,"MOD_FOLLOWING"),_xll.meDateFromTenor(AsOf,$F8&amp;"D","MOD_FOLLOWING",$AC8))</f>
        <v>43091</v>
      </c>
      <c r="I8" s="88" t="s">
        <v>152</v>
      </c>
      <c r="J8" s="23" t="s">
        <v>16</v>
      </c>
      <c r="K8" s="23" t="s">
        <v>47</v>
      </c>
      <c r="L8" s="23" t="s">
        <v>42</v>
      </c>
      <c r="M8" s="23" t="s">
        <v>62</v>
      </c>
      <c r="N8" s="23" t="s">
        <v>101</v>
      </c>
      <c r="O8" s="46" t="s">
        <v>48</v>
      </c>
      <c r="P8" s="37">
        <f t="shared" ca="1" si="0"/>
        <v>2</v>
      </c>
      <c r="Q8" s="38" t="str">
        <f ca="1">IF(E8="SPOT",E8,E8&amp;IF(H8=USD3ML.IMMIMM1, 1,IF(H8=USD3ML.IMMIMM2,2,"NotInScope")))</f>
        <v>SPOT</v>
      </c>
      <c r="R8" s="57">
        <f ca="1">IF($I8="","",IF(ISNUMBER($I8),$I8,_xll.meDateFromTenor(H8,$I8,"MOD_FOLLOWING",VLOOKUP(LEFT($M8,3),DateConventions,3))))</f>
        <v>44925</v>
      </c>
      <c r="S8" s="38" t="b">
        <f t="shared" ref="S8:S48" ca="1" si="10">ISNUMBER(SEARCH($E8, INDEX($E$54:$E$61,$P8)))</f>
        <v>1</v>
      </c>
      <c r="T8" s="38" t="b">
        <f t="shared" ca="1" si="1"/>
        <v>1</v>
      </c>
      <c r="U8" s="38" t="b">
        <f t="shared" ca="1" si="2"/>
        <v>1</v>
      </c>
      <c r="V8" s="38" t="b">
        <f t="shared" ca="1" si="3"/>
        <v>1</v>
      </c>
      <c r="W8" s="39" t="b">
        <f t="shared" ca="1" si="4"/>
        <v>1</v>
      </c>
      <c r="X8" s="38" t="b">
        <f t="shared" ca="1" si="5"/>
        <v>1</v>
      </c>
      <c r="Y8" s="40" t="b">
        <f t="shared" ca="1" si="6"/>
        <v>1</v>
      </c>
      <c r="Z8" s="40" t="b">
        <f t="shared" ref="Z8:Z48" ca="1" si="11">ISNUMBER(SEARCH($N8, INDEX($M$54:$M$61,$P8)))</f>
        <v>1</v>
      </c>
      <c r="AA8" s="40" t="b">
        <f t="shared" ca="1" si="7"/>
        <v>1</v>
      </c>
      <c r="AB8" s="67" t="b">
        <f t="shared" ca="1" si="8"/>
        <v>1</v>
      </c>
      <c r="AC8" s="64" t="str">
        <f ca="1">IF($D8="USD","NYB",IF($D8="EUR","TGT",IF($D8="GBP","LNB","")))</f>
        <v>TGT</v>
      </c>
    </row>
    <row r="9" spans="1:30" x14ac:dyDescent="0.25">
      <c r="A9" s="29">
        <v>3</v>
      </c>
      <c r="B9" s="49" t="b">
        <f t="shared" ca="1" si="9"/>
        <v>1</v>
      </c>
      <c r="C9" s="60" t="s">
        <v>149</v>
      </c>
      <c r="D9" s="22" t="s">
        <v>72</v>
      </c>
      <c r="E9" s="62" t="s">
        <v>67</v>
      </c>
      <c r="F9" s="22">
        <v>2</v>
      </c>
      <c r="G9" s="22" t="s">
        <v>14</v>
      </c>
      <c r="H9" s="57">
        <f ca="1">IF($E9="IMM",_xll.meDateNthIMMFromStartDate(AsOf, $F9,$AC9,"MOD_FOLLOWING"),_xll.meDateFromTenor(AsOf,$F9&amp;"D","MOD_FOLLOWING",$AC9))</f>
        <v>43091</v>
      </c>
      <c r="I9" s="88" t="s">
        <v>29</v>
      </c>
      <c r="J9" s="23" t="s">
        <v>16</v>
      </c>
      <c r="K9" s="23" t="s">
        <v>47</v>
      </c>
      <c r="L9" s="23" t="s">
        <v>42</v>
      </c>
      <c r="M9" s="23" t="s">
        <v>62</v>
      </c>
      <c r="N9" s="23" t="s">
        <v>101</v>
      </c>
      <c r="O9" s="46" t="s">
        <v>48</v>
      </c>
      <c r="P9" s="37">
        <f t="shared" ca="1" si="0"/>
        <v>2</v>
      </c>
      <c r="Q9" s="38" t="str">
        <f ca="1">IF(E9="SPOT",E9,E9&amp;IF(H9=USD3ML.IMMIMM1, 1,IF(H9=USD3ML.IMMIMM2,2,"NotInScope")))</f>
        <v>SPOT</v>
      </c>
      <c r="R9" s="57">
        <f ca="1">IF($I9="","",IF(ISNUMBER($I9),$I9,_xll.meDateFromTenor(H9,$I9,"MOD_FOLLOWING",VLOOKUP(LEFT($M9,3),DateConventions,3))))</f>
        <v>44917</v>
      </c>
      <c r="S9" s="38" t="b">
        <f t="shared" ca="1" si="10"/>
        <v>1</v>
      </c>
      <c r="T9" s="38" t="b">
        <f t="shared" ca="1" si="1"/>
        <v>1</v>
      </c>
      <c r="U9" s="38" t="b">
        <f t="shared" ca="1" si="2"/>
        <v>1</v>
      </c>
      <c r="V9" s="38" t="b">
        <f t="shared" ca="1" si="3"/>
        <v>1</v>
      </c>
      <c r="W9" s="39" t="b">
        <f t="shared" ca="1" si="4"/>
        <v>1</v>
      </c>
      <c r="X9" s="38" t="b">
        <f t="shared" ca="1" si="5"/>
        <v>1</v>
      </c>
      <c r="Y9" s="40" t="b">
        <f t="shared" ca="1" si="6"/>
        <v>1</v>
      </c>
      <c r="Z9" s="40" t="b">
        <f ca="1">ISNUMBER(SEARCH($N9, INDEX($M$54:$M$61,$P9)))</f>
        <v>1</v>
      </c>
      <c r="AA9" s="40" t="b">
        <f t="shared" ca="1" si="7"/>
        <v>1</v>
      </c>
      <c r="AB9" s="67" t="b">
        <f t="shared" ca="1" si="8"/>
        <v>1</v>
      </c>
      <c r="AC9" s="64" t="str">
        <f ca="1">IF($D9="USD","NYB",IF($D9="EUR","TGT",IF($D9="GBP","LNB","")))</f>
        <v>TGT</v>
      </c>
    </row>
    <row r="10" spans="1:30" x14ac:dyDescent="0.25">
      <c r="A10" s="29">
        <v>4</v>
      </c>
      <c r="B10" s="49" t="b">
        <f t="shared" ca="1" si="9"/>
        <v>1</v>
      </c>
      <c r="C10" s="60" t="s">
        <v>149</v>
      </c>
      <c r="D10" s="22" t="s">
        <v>72</v>
      </c>
      <c r="E10" s="62" t="s">
        <v>67</v>
      </c>
      <c r="F10" s="22">
        <v>2</v>
      </c>
      <c r="G10" s="22" t="s">
        <v>14</v>
      </c>
      <c r="H10" s="57">
        <f ca="1">IF($E10="IMM",_xll.meDateNthIMMFromStartDate(AsOf, $F10,$AC10,"MOD_FOLLOWING"),_xll.meDateFromTenor(AsOf,$F10&amp;"D","MOD_FOLLOWING",$AC10))</f>
        <v>43091</v>
      </c>
      <c r="I10" s="88" t="s">
        <v>29</v>
      </c>
      <c r="J10" s="23" t="s">
        <v>16</v>
      </c>
      <c r="K10" s="23" t="s">
        <v>47</v>
      </c>
      <c r="L10" s="23" t="s">
        <v>42</v>
      </c>
      <c r="M10" s="23" t="s">
        <v>62</v>
      </c>
      <c r="N10" s="23" t="s">
        <v>101</v>
      </c>
      <c r="O10" s="46" t="s">
        <v>48</v>
      </c>
      <c r="P10" s="37">
        <f t="shared" ca="1" si="0"/>
        <v>2</v>
      </c>
      <c r="Q10" s="38" t="str">
        <f ca="1">IF(E10="SPOT",E10,E10&amp;IF(H10=USD3ML.IMMIMM1, 1,IF(H10=USD3ML.IMMIMM2,2,"999")))</f>
        <v>SPOT</v>
      </c>
      <c r="R10" s="57">
        <f ca="1">IF($I10="","",IF(ISNUMBER($I10),$I10,_xll.meDateFromTenor(H10,$I10,"MOD_FOLLOWING",VLOOKUP(LEFT($M10,3),DateConventions,3))))</f>
        <v>44917</v>
      </c>
      <c r="S10" s="38" t="b">
        <f ca="1">ISNUMBER(SEARCH($E10, INDEX($E$54:$E$61,$P10)))</f>
        <v>1</v>
      </c>
      <c r="T10" s="38" t="b">
        <f t="shared" ca="1" si="1"/>
        <v>1</v>
      </c>
      <c r="U10" s="38" t="b">
        <f t="shared" ca="1" si="2"/>
        <v>1</v>
      </c>
      <c r="V10" s="38" t="b">
        <f t="shared" ca="1" si="3"/>
        <v>1</v>
      </c>
      <c r="W10" s="39" t="b">
        <f t="shared" ca="1" si="4"/>
        <v>1</v>
      </c>
      <c r="X10" s="38" t="b">
        <f t="shared" ca="1" si="5"/>
        <v>1</v>
      </c>
      <c r="Y10" s="40" t="b">
        <f t="shared" ca="1" si="6"/>
        <v>1</v>
      </c>
      <c r="Z10" s="40" t="b">
        <f t="shared" ca="1" si="11"/>
        <v>1</v>
      </c>
      <c r="AA10" s="40" t="b">
        <f t="shared" ca="1" si="7"/>
        <v>1</v>
      </c>
      <c r="AB10" s="67" t="b">
        <f t="shared" ca="1" si="8"/>
        <v>1</v>
      </c>
      <c r="AC10" s="64" t="str">
        <f t="shared" ref="AC10:AC48" ca="1" si="12">IF($D10="USD","NYB",IF($D10="EUR","TGT",IF($D10="GBP","LNB","")))</f>
        <v>TGT</v>
      </c>
    </row>
    <row r="11" spans="1:30" x14ac:dyDescent="0.25">
      <c r="A11" s="29">
        <v>5</v>
      </c>
      <c r="B11" s="49" t="b">
        <f t="shared" ca="1" si="9"/>
        <v>1</v>
      </c>
      <c r="C11" s="60" t="s">
        <v>149</v>
      </c>
      <c r="D11" s="22" t="s">
        <v>72</v>
      </c>
      <c r="E11" s="62" t="s">
        <v>67</v>
      </c>
      <c r="F11" s="22">
        <v>2</v>
      </c>
      <c r="G11" s="22" t="s">
        <v>14</v>
      </c>
      <c r="H11" s="57">
        <f ca="1">IF($E11="IMM",_xll.meDateNthIMMFromStartDate(AsOf, $F11,$AC11,"MOD_FOLLOWING"),_xll.meDateFromTenor(AsOf,$F11&amp;"D","MOD_FOLLOWING",$AC11))</f>
        <v>43091</v>
      </c>
      <c r="I11" s="88" t="s">
        <v>29</v>
      </c>
      <c r="J11" s="23" t="s">
        <v>16</v>
      </c>
      <c r="K11" s="23" t="s">
        <v>47</v>
      </c>
      <c r="L11" s="23" t="s">
        <v>42</v>
      </c>
      <c r="M11" s="23" t="s">
        <v>62</v>
      </c>
      <c r="N11" s="23" t="s">
        <v>101</v>
      </c>
      <c r="O11" s="46" t="s">
        <v>48</v>
      </c>
      <c r="P11" s="37">
        <f t="shared" ca="1" si="0"/>
        <v>2</v>
      </c>
      <c r="Q11" s="38" t="str">
        <f t="shared" ref="Q11:Q48" ca="1" si="13">IF(E11="SPOT",E11,E11&amp;IF(H11=USD3ML.IMMIMM1, 1,IF(H11=USD3ML.IMMIMM2,2,"NotInScope")))</f>
        <v>SPOT</v>
      </c>
      <c r="R11" s="57">
        <f ca="1">IF($I11="","",IF(ISNUMBER($I11),$I11,_xll.meDateFromTenor(H11,$I11,"MOD_FOLLOWING",VLOOKUP(LEFT($M11,3),DateConventions,3))))</f>
        <v>44917</v>
      </c>
      <c r="S11" s="38" t="b">
        <f t="shared" ca="1" si="10"/>
        <v>1</v>
      </c>
      <c r="T11" s="38" t="b">
        <f t="shared" ca="1" si="1"/>
        <v>1</v>
      </c>
      <c r="U11" s="38" t="b">
        <f t="shared" ca="1" si="2"/>
        <v>1</v>
      </c>
      <c r="V11" s="38" t="b">
        <f t="shared" ca="1" si="3"/>
        <v>1</v>
      </c>
      <c r="W11" s="39" t="b">
        <f t="shared" ca="1" si="4"/>
        <v>1</v>
      </c>
      <c r="X11" s="38" t="b">
        <f t="shared" ca="1" si="5"/>
        <v>1</v>
      </c>
      <c r="Y11" s="40" t="b">
        <f t="shared" ca="1" si="6"/>
        <v>1</v>
      </c>
      <c r="Z11" s="40" t="b">
        <f t="shared" ca="1" si="11"/>
        <v>1</v>
      </c>
      <c r="AA11" s="40" t="b">
        <f t="shared" ca="1" si="7"/>
        <v>1</v>
      </c>
      <c r="AB11" s="67" t="b">
        <f t="shared" ca="1" si="8"/>
        <v>1</v>
      </c>
      <c r="AC11" s="64" t="str">
        <f t="shared" ca="1" si="12"/>
        <v>TGT</v>
      </c>
    </row>
    <row r="12" spans="1:30" x14ac:dyDescent="0.25">
      <c r="A12" s="29">
        <v>6</v>
      </c>
      <c r="B12" s="49" t="b">
        <f t="shared" ca="1" si="9"/>
        <v>1</v>
      </c>
      <c r="C12" s="60" t="s">
        <v>149</v>
      </c>
      <c r="D12" s="22" t="s">
        <v>72</v>
      </c>
      <c r="E12" s="62" t="s">
        <v>67</v>
      </c>
      <c r="F12" s="22">
        <v>2</v>
      </c>
      <c r="G12" s="22" t="s">
        <v>14</v>
      </c>
      <c r="H12" s="58">
        <f ca="1">IF($E12="IMM",_xll.meDateNthIMMFromStartDate(AsOf, $F12,$AC12,"MOD_FOLLOWING"),_xll.meDateFromTenor(AsOf,$F12&amp;"D","MOD_FOLLOWING",$AC12))</f>
        <v>43091</v>
      </c>
      <c r="I12" s="88" t="s">
        <v>29</v>
      </c>
      <c r="J12" s="23" t="s">
        <v>16</v>
      </c>
      <c r="K12" s="23" t="s">
        <v>47</v>
      </c>
      <c r="L12" s="23" t="s">
        <v>42</v>
      </c>
      <c r="M12" s="23" t="s">
        <v>62</v>
      </c>
      <c r="N12" s="23" t="s">
        <v>101</v>
      </c>
      <c r="O12" s="46" t="s">
        <v>48</v>
      </c>
      <c r="P12" s="37">
        <f t="shared" ca="1" si="0"/>
        <v>2</v>
      </c>
      <c r="Q12" s="38" t="str">
        <f t="shared" ca="1" si="13"/>
        <v>SPOT</v>
      </c>
      <c r="R12" s="57">
        <f ca="1">IF($I12="","",IF(ISNUMBER($I12),$I12,_xll.meDateFromTenor(H12,$I12,"MOD_FOLLOWING",VLOOKUP(LEFT($M12,3),DateConventions,3))))</f>
        <v>44917</v>
      </c>
      <c r="S12" s="38" t="b">
        <f t="shared" ca="1" si="10"/>
        <v>1</v>
      </c>
      <c r="T12" s="38" t="b">
        <f t="shared" ca="1" si="1"/>
        <v>1</v>
      </c>
      <c r="U12" s="38" t="b">
        <f t="shared" ca="1" si="2"/>
        <v>1</v>
      </c>
      <c r="V12" s="38" t="b">
        <f t="shared" ca="1" si="3"/>
        <v>1</v>
      </c>
      <c r="W12" s="39" t="b">
        <f t="shared" ca="1" si="4"/>
        <v>1</v>
      </c>
      <c r="X12" s="38" t="b">
        <f t="shared" ca="1" si="5"/>
        <v>1</v>
      </c>
      <c r="Y12" s="40" t="b">
        <f t="shared" ca="1" si="6"/>
        <v>1</v>
      </c>
      <c r="Z12" s="40" t="b">
        <f t="shared" ca="1" si="11"/>
        <v>1</v>
      </c>
      <c r="AA12" s="40" t="b">
        <f t="shared" ca="1" si="7"/>
        <v>1</v>
      </c>
      <c r="AB12" s="67" t="b">
        <f t="shared" ca="1" si="8"/>
        <v>1</v>
      </c>
      <c r="AC12" s="64" t="str">
        <f t="shared" ca="1" si="12"/>
        <v>TGT</v>
      </c>
    </row>
    <row r="13" spans="1:30" x14ac:dyDescent="0.25">
      <c r="A13" s="29">
        <v>7</v>
      </c>
      <c r="B13" s="49" t="b">
        <f t="shared" ca="1" si="9"/>
        <v>1</v>
      </c>
      <c r="C13" s="60" t="s">
        <v>149</v>
      </c>
      <c r="D13" s="22" t="s">
        <v>72</v>
      </c>
      <c r="E13" s="62" t="s">
        <v>67</v>
      </c>
      <c r="F13" s="22">
        <v>2</v>
      </c>
      <c r="G13" s="22" t="s">
        <v>14</v>
      </c>
      <c r="H13" s="58">
        <f ca="1">IF($E13="IMM",_xll.meDateNthIMMFromStartDate(AsOf, $F13,$AC13,"MOD_FOLLOWING"),_xll.meDateFromTenor(AsOf,$F13&amp;"D","MOD_FOLLOWING",$AC13))</f>
        <v>43091</v>
      </c>
      <c r="I13" s="88" t="s">
        <v>29</v>
      </c>
      <c r="J13" s="23" t="s">
        <v>16</v>
      </c>
      <c r="K13" s="23" t="s">
        <v>47</v>
      </c>
      <c r="L13" s="23" t="s">
        <v>42</v>
      </c>
      <c r="M13" s="23" t="s">
        <v>62</v>
      </c>
      <c r="N13" s="23" t="s">
        <v>101</v>
      </c>
      <c r="O13" s="46" t="s">
        <v>48</v>
      </c>
      <c r="P13" s="37">
        <f t="shared" ca="1" si="0"/>
        <v>2</v>
      </c>
      <c r="Q13" s="38" t="str">
        <f t="shared" ca="1" si="13"/>
        <v>SPOT</v>
      </c>
      <c r="R13" s="57">
        <f ca="1">IF($I13="","",IF(ISNUMBER($I13),$I13,_xll.meDateFromTenor(H13,$I13,"MOD_FOLLOWING",VLOOKUP(LEFT($M13,3),DateConventions,3))))</f>
        <v>44917</v>
      </c>
      <c r="S13" s="38" t="b">
        <f t="shared" ca="1" si="10"/>
        <v>1</v>
      </c>
      <c r="T13" s="38" t="b">
        <f t="shared" ca="1" si="1"/>
        <v>1</v>
      </c>
      <c r="U13" s="38" t="b">
        <f t="shared" ca="1" si="2"/>
        <v>1</v>
      </c>
      <c r="V13" s="38" t="b">
        <f t="shared" ca="1" si="3"/>
        <v>1</v>
      </c>
      <c r="W13" s="39" t="b">
        <f t="shared" ca="1" si="4"/>
        <v>1</v>
      </c>
      <c r="X13" s="38" t="b">
        <f t="shared" ca="1" si="5"/>
        <v>1</v>
      </c>
      <c r="Y13" s="40" t="b">
        <f t="shared" ca="1" si="6"/>
        <v>1</v>
      </c>
      <c r="Z13" s="40" t="b">
        <f t="shared" ca="1" si="11"/>
        <v>1</v>
      </c>
      <c r="AA13" s="40" t="b">
        <f t="shared" ca="1" si="7"/>
        <v>1</v>
      </c>
      <c r="AB13" s="67" t="b">
        <f t="shared" ca="1" si="8"/>
        <v>1</v>
      </c>
      <c r="AC13" s="64" t="str">
        <f t="shared" ca="1" si="12"/>
        <v>TGT</v>
      </c>
    </row>
    <row r="14" spans="1:30" x14ac:dyDescent="0.25">
      <c r="A14" s="29">
        <v>8</v>
      </c>
      <c r="B14" s="49" t="b">
        <f t="shared" ca="1" si="9"/>
        <v>1</v>
      </c>
      <c r="C14" s="60" t="s">
        <v>149</v>
      </c>
      <c r="D14" s="22" t="s">
        <v>72</v>
      </c>
      <c r="E14" s="62" t="s">
        <v>67</v>
      </c>
      <c r="F14" s="22">
        <v>2</v>
      </c>
      <c r="G14" s="22" t="s">
        <v>14</v>
      </c>
      <c r="H14" s="58">
        <f ca="1">IF($E14="IMM",_xll.meDateNthIMMFromStartDate(AsOf, $F14,$AC14,"MOD_FOLLOWING"),_xll.meDateFromTenor(AsOf,$F14&amp;"D","MOD_FOLLOWING",$AC14))</f>
        <v>43091</v>
      </c>
      <c r="I14" s="88" t="s">
        <v>29</v>
      </c>
      <c r="J14" s="23" t="s">
        <v>16</v>
      </c>
      <c r="K14" s="23" t="s">
        <v>47</v>
      </c>
      <c r="L14" s="23" t="s">
        <v>42</v>
      </c>
      <c r="M14" s="23" t="s">
        <v>62</v>
      </c>
      <c r="N14" s="23" t="s">
        <v>101</v>
      </c>
      <c r="O14" s="46" t="s">
        <v>48</v>
      </c>
      <c r="P14" s="37">
        <f t="shared" ca="1" si="0"/>
        <v>2</v>
      </c>
      <c r="Q14" s="38" t="str">
        <f t="shared" ca="1" si="13"/>
        <v>SPOT</v>
      </c>
      <c r="R14" s="57">
        <f ca="1">IF($I14="","",IF(ISNUMBER($I14),$I14,_xll.meDateFromTenor(H14,$I14,"MOD_FOLLOWING",VLOOKUP(LEFT($M14,3),DateConventions,3))))</f>
        <v>44917</v>
      </c>
      <c r="S14" s="38" t="b">
        <f t="shared" ca="1" si="10"/>
        <v>1</v>
      </c>
      <c r="T14" s="38" t="b">
        <f t="shared" ca="1" si="1"/>
        <v>1</v>
      </c>
      <c r="U14" s="38" t="b">
        <f t="shared" ca="1" si="2"/>
        <v>1</v>
      </c>
      <c r="V14" s="38" t="b">
        <f t="shared" ca="1" si="3"/>
        <v>1</v>
      </c>
      <c r="W14" s="39" t="b">
        <f t="shared" ca="1" si="4"/>
        <v>1</v>
      </c>
      <c r="X14" s="38" t="b">
        <f t="shared" ca="1" si="5"/>
        <v>1</v>
      </c>
      <c r="Y14" s="40" t="b">
        <f t="shared" ca="1" si="6"/>
        <v>1</v>
      </c>
      <c r="Z14" s="40" t="b">
        <f t="shared" ca="1" si="11"/>
        <v>1</v>
      </c>
      <c r="AA14" s="40" t="b">
        <f t="shared" ca="1" si="7"/>
        <v>1</v>
      </c>
      <c r="AB14" s="67" t="b">
        <f t="shared" ca="1" si="8"/>
        <v>1</v>
      </c>
      <c r="AC14" s="64" t="str">
        <f t="shared" ca="1" si="12"/>
        <v>TGT</v>
      </c>
    </row>
    <row r="15" spans="1:30" x14ac:dyDescent="0.25">
      <c r="A15" s="29">
        <v>9</v>
      </c>
      <c r="B15" s="49" t="b">
        <f t="shared" ca="1" si="9"/>
        <v>1</v>
      </c>
      <c r="C15" s="60" t="s">
        <v>149</v>
      </c>
      <c r="D15" s="22" t="s">
        <v>72</v>
      </c>
      <c r="E15" s="62" t="s">
        <v>67</v>
      </c>
      <c r="F15" s="22">
        <v>2</v>
      </c>
      <c r="G15" s="22" t="s">
        <v>14</v>
      </c>
      <c r="H15" s="58">
        <f ca="1">IF($E15="IMM",_xll.meDateNthIMMFromStartDate(AsOf, $F15,$AC15,"MOD_FOLLOWING"),_xll.meDateFromTenor(AsOf,$F15&amp;"D","MOD_FOLLOWING",$AC15))</f>
        <v>43091</v>
      </c>
      <c r="I15" s="88" t="s">
        <v>29</v>
      </c>
      <c r="J15" s="23" t="s">
        <v>16</v>
      </c>
      <c r="K15" s="23" t="s">
        <v>47</v>
      </c>
      <c r="L15" s="23" t="s">
        <v>42</v>
      </c>
      <c r="M15" s="23" t="s">
        <v>62</v>
      </c>
      <c r="N15" s="23" t="s">
        <v>101</v>
      </c>
      <c r="O15" s="46" t="s">
        <v>48</v>
      </c>
      <c r="P15" s="37">
        <f t="shared" ca="1" si="0"/>
        <v>2</v>
      </c>
      <c r="Q15" s="38" t="str">
        <f t="shared" ca="1" si="13"/>
        <v>SPOT</v>
      </c>
      <c r="R15" s="57">
        <f ca="1">IF($I15="","",IF(ISNUMBER($I15),$I15,_xll.meDateFromTenor(H15,$I15,"MOD_FOLLOWING",VLOOKUP(LEFT($M15,3),DateConventions,3))))</f>
        <v>44917</v>
      </c>
      <c r="S15" s="38" t="b">
        <f t="shared" ca="1" si="10"/>
        <v>1</v>
      </c>
      <c r="T15" s="38" t="b">
        <f t="shared" ca="1" si="1"/>
        <v>1</v>
      </c>
      <c r="U15" s="38" t="b">
        <f t="shared" ca="1" si="2"/>
        <v>1</v>
      </c>
      <c r="V15" s="38" t="b">
        <f t="shared" ca="1" si="3"/>
        <v>1</v>
      </c>
      <c r="W15" s="39" t="b">
        <f t="shared" ca="1" si="4"/>
        <v>1</v>
      </c>
      <c r="X15" s="38" t="b">
        <f t="shared" ca="1" si="5"/>
        <v>1</v>
      </c>
      <c r="Y15" s="40" t="b">
        <f t="shared" ca="1" si="6"/>
        <v>1</v>
      </c>
      <c r="Z15" s="40" t="b">
        <f t="shared" ca="1" si="11"/>
        <v>1</v>
      </c>
      <c r="AA15" s="40" t="b">
        <f t="shared" ca="1" si="7"/>
        <v>1</v>
      </c>
      <c r="AB15" s="67" t="b">
        <f t="shared" ca="1" si="8"/>
        <v>1</v>
      </c>
      <c r="AC15" s="64" t="str">
        <f t="shared" ca="1" si="12"/>
        <v>TGT</v>
      </c>
    </row>
    <row r="16" spans="1:30" x14ac:dyDescent="0.25">
      <c r="A16" s="29">
        <v>10</v>
      </c>
      <c r="B16" s="49" t="b">
        <f t="shared" ca="1" si="9"/>
        <v>1</v>
      </c>
      <c r="C16" s="60" t="s">
        <v>149</v>
      </c>
      <c r="D16" s="22" t="s">
        <v>72</v>
      </c>
      <c r="E16" s="62" t="s">
        <v>67</v>
      </c>
      <c r="F16" s="22">
        <v>2</v>
      </c>
      <c r="G16" s="22" t="s">
        <v>14</v>
      </c>
      <c r="H16" s="58">
        <f ca="1">IF($E16="IMM",_xll.meDateNthIMMFromStartDate(AsOf, $F16,$AC16,"MOD_FOLLOWING"),_xll.meDateFromTenor(AsOf,$F16&amp;"D","MOD_FOLLOWING",$AC16))</f>
        <v>43091</v>
      </c>
      <c r="I16" s="88" t="s">
        <v>29</v>
      </c>
      <c r="J16" s="23" t="s">
        <v>16</v>
      </c>
      <c r="K16" s="23" t="s">
        <v>47</v>
      </c>
      <c r="L16" s="23" t="s">
        <v>42</v>
      </c>
      <c r="M16" s="23" t="s">
        <v>62</v>
      </c>
      <c r="N16" s="23" t="s">
        <v>101</v>
      </c>
      <c r="O16" s="46" t="s">
        <v>48</v>
      </c>
      <c r="P16" s="37">
        <f t="shared" ca="1" si="0"/>
        <v>2</v>
      </c>
      <c r="Q16" s="38" t="str">
        <f t="shared" ca="1" si="13"/>
        <v>SPOT</v>
      </c>
      <c r="R16" s="57">
        <f ca="1">IF($I16="","",IF(ISNUMBER($I16),$I16,_xll.meDateFromTenor(H16,$I16,"MOD_FOLLOWING",VLOOKUP(LEFT($M16,3),DateConventions,3))))</f>
        <v>44917</v>
      </c>
      <c r="S16" s="38" t="b">
        <f t="shared" ca="1" si="10"/>
        <v>1</v>
      </c>
      <c r="T16" s="38" t="b">
        <f t="shared" ca="1" si="1"/>
        <v>1</v>
      </c>
      <c r="U16" s="38" t="b">
        <f t="shared" ca="1" si="2"/>
        <v>1</v>
      </c>
      <c r="V16" s="38" t="b">
        <f t="shared" ca="1" si="3"/>
        <v>1</v>
      </c>
      <c r="W16" s="39" t="b">
        <f t="shared" ca="1" si="4"/>
        <v>1</v>
      </c>
      <c r="X16" s="38" t="b">
        <f t="shared" ca="1" si="5"/>
        <v>1</v>
      </c>
      <c r="Y16" s="40" t="b">
        <f t="shared" ca="1" si="6"/>
        <v>1</v>
      </c>
      <c r="Z16" s="40" t="b">
        <f t="shared" ca="1" si="11"/>
        <v>1</v>
      </c>
      <c r="AA16" s="40" t="b">
        <f t="shared" ca="1" si="7"/>
        <v>1</v>
      </c>
      <c r="AB16" s="67" t="b">
        <f t="shared" ca="1" si="8"/>
        <v>1</v>
      </c>
      <c r="AC16" s="64" t="str">
        <f t="shared" ca="1" si="12"/>
        <v>TGT</v>
      </c>
    </row>
    <row r="17" spans="1:29" x14ac:dyDescent="0.25">
      <c r="A17" s="29">
        <v>11</v>
      </c>
      <c r="B17" s="49" t="b">
        <f t="shared" ca="1" si="9"/>
        <v>1</v>
      </c>
      <c r="C17" s="60" t="s">
        <v>149</v>
      </c>
      <c r="D17" s="22" t="s">
        <v>72</v>
      </c>
      <c r="E17" s="62" t="s">
        <v>67</v>
      </c>
      <c r="F17" s="22">
        <v>2</v>
      </c>
      <c r="G17" s="22" t="s">
        <v>14</v>
      </c>
      <c r="H17" s="58">
        <f ca="1">IF($E17="IMM",_xll.meDateNthIMMFromStartDate(AsOf, $F17,$AC17,"MOD_FOLLOWING"),_xll.meDateFromTenor(AsOf,$F17&amp;"D","MOD_FOLLOWING",$AC17))</f>
        <v>43091</v>
      </c>
      <c r="I17" s="88" t="s">
        <v>29</v>
      </c>
      <c r="J17" s="23" t="s">
        <v>16</v>
      </c>
      <c r="K17" s="23" t="s">
        <v>47</v>
      </c>
      <c r="L17" s="23" t="s">
        <v>42</v>
      </c>
      <c r="M17" s="23" t="s">
        <v>62</v>
      </c>
      <c r="N17" s="23" t="s">
        <v>101</v>
      </c>
      <c r="O17" s="46" t="s">
        <v>48</v>
      </c>
      <c r="P17" s="37">
        <f t="shared" ca="1" si="0"/>
        <v>2</v>
      </c>
      <c r="Q17" s="38" t="str">
        <f t="shared" ca="1" si="13"/>
        <v>SPOT</v>
      </c>
      <c r="R17" s="57">
        <f ca="1">IF($I17="","",IF(ISNUMBER($I17),$I17,_xll.meDateFromTenor(H17,$I17,"MOD_FOLLOWING",VLOOKUP(LEFT($M17,3),DateConventions,3))))</f>
        <v>44917</v>
      </c>
      <c r="S17" s="38" t="b">
        <f t="shared" ca="1" si="10"/>
        <v>1</v>
      </c>
      <c r="T17" s="38" t="b">
        <f t="shared" ca="1" si="1"/>
        <v>1</v>
      </c>
      <c r="U17" s="38" t="b">
        <f t="shared" ca="1" si="2"/>
        <v>1</v>
      </c>
      <c r="V17" s="38" t="b">
        <f t="shared" ca="1" si="3"/>
        <v>1</v>
      </c>
      <c r="W17" s="39" t="b">
        <f t="shared" ca="1" si="4"/>
        <v>1</v>
      </c>
      <c r="X17" s="38" t="b">
        <f t="shared" ca="1" si="5"/>
        <v>1</v>
      </c>
      <c r="Y17" s="40" t="b">
        <f t="shared" ca="1" si="6"/>
        <v>1</v>
      </c>
      <c r="Z17" s="40" t="b">
        <f t="shared" ca="1" si="11"/>
        <v>1</v>
      </c>
      <c r="AA17" s="40" t="b">
        <f t="shared" ca="1" si="7"/>
        <v>1</v>
      </c>
      <c r="AB17" s="67" t="b">
        <f t="shared" ca="1" si="8"/>
        <v>1</v>
      </c>
      <c r="AC17" s="64" t="str">
        <f t="shared" ca="1" si="12"/>
        <v>TGT</v>
      </c>
    </row>
    <row r="18" spans="1:29" x14ac:dyDescent="0.25">
      <c r="A18" s="29">
        <v>12</v>
      </c>
      <c r="B18" s="49" t="b">
        <f t="shared" ca="1" si="9"/>
        <v>1</v>
      </c>
      <c r="C18" s="60" t="s">
        <v>149</v>
      </c>
      <c r="D18" s="22" t="s">
        <v>72</v>
      </c>
      <c r="E18" s="62" t="s">
        <v>67</v>
      </c>
      <c r="F18" s="22">
        <v>2</v>
      </c>
      <c r="G18" s="22" t="s">
        <v>14</v>
      </c>
      <c r="H18" s="58">
        <f ca="1">IF($E18="IMM",_xll.meDateNthIMMFromStartDate(AsOf, $F18,$AC18,"MOD_FOLLOWING"),_xll.meDateFromTenor(AsOf,$F18&amp;"D","MOD_FOLLOWING",$AC18))</f>
        <v>43091</v>
      </c>
      <c r="I18" s="88" t="s">
        <v>29</v>
      </c>
      <c r="J18" s="23" t="s">
        <v>16</v>
      </c>
      <c r="K18" s="23" t="s">
        <v>47</v>
      </c>
      <c r="L18" s="23" t="s">
        <v>42</v>
      </c>
      <c r="M18" s="23" t="s">
        <v>62</v>
      </c>
      <c r="N18" s="23" t="s">
        <v>101</v>
      </c>
      <c r="O18" s="46" t="s">
        <v>48</v>
      </c>
      <c r="P18" s="37">
        <f t="shared" ca="1" si="0"/>
        <v>2</v>
      </c>
      <c r="Q18" s="38" t="str">
        <f t="shared" ca="1" si="13"/>
        <v>SPOT</v>
      </c>
      <c r="R18" s="57">
        <f ca="1">IF($I18="","",IF(ISNUMBER($I18),$I18,_xll.meDateFromTenor(H18,$I18,"MOD_FOLLOWING",VLOOKUP(LEFT($M18,3),DateConventions,3))))</f>
        <v>44917</v>
      </c>
      <c r="S18" s="38" t="b">
        <f t="shared" ca="1" si="10"/>
        <v>1</v>
      </c>
      <c r="T18" s="38" t="b">
        <f t="shared" ca="1" si="1"/>
        <v>1</v>
      </c>
      <c r="U18" s="38" t="b">
        <f t="shared" ca="1" si="2"/>
        <v>1</v>
      </c>
      <c r="V18" s="38" t="b">
        <f t="shared" ca="1" si="3"/>
        <v>1</v>
      </c>
      <c r="W18" s="39" t="b">
        <f t="shared" ca="1" si="4"/>
        <v>1</v>
      </c>
      <c r="X18" s="38" t="b">
        <f t="shared" ca="1" si="5"/>
        <v>1</v>
      </c>
      <c r="Y18" s="40" t="b">
        <f t="shared" ca="1" si="6"/>
        <v>1</v>
      </c>
      <c r="Z18" s="40" t="b">
        <f t="shared" ca="1" si="11"/>
        <v>1</v>
      </c>
      <c r="AA18" s="40" t="b">
        <f t="shared" ca="1" si="7"/>
        <v>1</v>
      </c>
      <c r="AB18" s="67" t="b">
        <f t="shared" ca="1" si="8"/>
        <v>1</v>
      </c>
      <c r="AC18" s="64" t="str">
        <f t="shared" ca="1" si="12"/>
        <v>TGT</v>
      </c>
    </row>
    <row r="19" spans="1:29" x14ac:dyDescent="0.25">
      <c r="A19" s="29">
        <v>13</v>
      </c>
      <c r="B19" s="49" t="b">
        <f t="shared" ca="1" si="9"/>
        <v>1</v>
      </c>
      <c r="C19" s="60" t="s">
        <v>149</v>
      </c>
      <c r="D19" s="22" t="s">
        <v>72</v>
      </c>
      <c r="E19" s="62" t="s">
        <v>67</v>
      </c>
      <c r="F19" s="22">
        <v>2</v>
      </c>
      <c r="G19" s="22" t="s">
        <v>14</v>
      </c>
      <c r="H19" s="58">
        <f ca="1">IF($E19="IMM",_xll.meDateNthIMMFromStartDate(AsOf, $F19,$AC19,"MOD_FOLLOWING"),_xll.meDateFromTenor(AsOf,$F19&amp;"D","MOD_FOLLOWING",$AC19))</f>
        <v>43091</v>
      </c>
      <c r="I19" s="88" t="s">
        <v>29</v>
      </c>
      <c r="J19" s="23" t="s">
        <v>16</v>
      </c>
      <c r="K19" s="23" t="s">
        <v>47</v>
      </c>
      <c r="L19" s="23" t="s">
        <v>42</v>
      </c>
      <c r="M19" s="23" t="s">
        <v>62</v>
      </c>
      <c r="N19" s="23" t="s">
        <v>101</v>
      </c>
      <c r="O19" s="46" t="s">
        <v>48</v>
      </c>
      <c r="P19" s="37">
        <f t="shared" ca="1" si="0"/>
        <v>2</v>
      </c>
      <c r="Q19" s="38" t="str">
        <f t="shared" ca="1" si="13"/>
        <v>SPOT</v>
      </c>
      <c r="R19" s="57">
        <f ca="1">IF($I19="","",IF(ISNUMBER($I19),$I19,_xll.meDateFromTenor(H19,$I19,"MOD_FOLLOWING",VLOOKUP(LEFT($M19,3),DateConventions,3))))</f>
        <v>44917</v>
      </c>
      <c r="S19" s="38" t="b">
        <f t="shared" ca="1" si="10"/>
        <v>1</v>
      </c>
      <c r="T19" s="38" t="b">
        <f t="shared" ca="1" si="1"/>
        <v>1</v>
      </c>
      <c r="U19" s="38" t="b">
        <f t="shared" ca="1" si="2"/>
        <v>1</v>
      </c>
      <c r="V19" s="38" t="b">
        <f t="shared" ca="1" si="3"/>
        <v>1</v>
      </c>
      <c r="W19" s="39" t="b">
        <f t="shared" ca="1" si="4"/>
        <v>1</v>
      </c>
      <c r="X19" s="38" t="b">
        <f t="shared" ca="1" si="5"/>
        <v>1</v>
      </c>
      <c r="Y19" s="40" t="b">
        <f t="shared" ca="1" si="6"/>
        <v>1</v>
      </c>
      <c r="Z19" s="40" t="b">
        <f t="shared" ca="1" si="11"/>
        <v>1</v>
      </c>
      <c r="AA19" s="40" t="b">
        <f t="shared" ca="1" si="7"/>
        <v>1</v>
      </c>
      <c r="AB19" s="67" t="b">
        <f t="shared" ca="1" si="8"/>
        <v>1</v>
      </c>
      <c r="AC19" s="64" t="str">
        <f t="shared" ca="1" si="12"/>
        <v>TGT</v>
      </c>
    </row>
    <row r="20" spans="1:29" x14ac:dyDescent="0.25">
      <c r="A20" s="29">
        <v>14</v>
      </c>
      <c r="B20" s="49" t="b">
        <f t="shared" ca="1" si="9"/>
        <v>1</v>
      </c>
      <c r="C20" s="60" t="s">
        <v>149</v>
      </c>
      <c r="D20" s="22" t="s">
        <v>72</v>
      </c>
      <c r="E20" s="62" t="s">
        <v>67</v>
      </c>
      <c r="F20" s="22">
        <v>2</v>
      </c>
      <c r="G20" s="22" t="s">
        <v>14</v>
      </c>
      <c r="H20" s="58">
        <f ca="1">IF($E20="IMM",_xll.meDateNthIMMFromStartDate(AsOf, $F20,$AC20,"MOD_FOLLOWING"),_xll.meDateFromTenor(AsOf,$F20&amp;"D","MOD_FOLLOWING",$AC20))</f>
        <v>43091</v>
      </c>
      <c r="I20" s="88" t="s">
        <v>29</v>
      </c>
      <c r="J20" s="23" t="s">
        <v>16</v>
      </c>
      <c r="K20" s="23" t="s">
        <v>47</v>
      </c>
      <c r="L20" s="23" t="s">
        <v>42</v>
      </c>
      <c r="M20" s="23" t="s">
        <v>62</v>
      </c>
      <c r="N20" s="23" t="s">
        <v>101</v>
      </c>
      <c r="O20" s="46" t="s">
        <v>48</v>
      </c>
      <c r="P20" s="37">
        <f t="shared" ca="1" si="0"/>
        <v>2</v>
      </c>
      <c r="Q20" s="38" t="str">
        <f t="shared" ca="1" si="13"/>
        <v>SPOT</v>
      </c>
      <c r="R20" s="57">
        <f ca="1">IF($I20="","",IF(ISNUMBER($I20),$I20,_xll.meDateFromTenor(H20,$I20,"MOD_FOLLOWING",VLOOKUP(LEFT($M20,3),DateConventions,3))))</f>
        <v>44917</v>
      </c>
      <c r="S20" s="38" t="b">
        <f t="shared" ca="1" si="10"/>
        <v>1</v>
      </c>
      <c r="T20" s="38" t="b">
        <f t="shared" ca="1" si="1"/>
        <v>1</v>
      </c>
      <c r="U20" s="38" t="b">
        <f t="shared" ca="1" si="2"/>
        <v>1</v>
      </c>
      <c r="V20" s="38" t="b">
        <f t="shared" ca="1" si="3"/>
        <v>1</v>
      </c>
      <c r="W20" s="39" t="b">
        <f t="shared" ca="1" si="4"/>
        <v>1</v>
      </c>
      <c r="X20" s="38" t="b">
        <f t="shared" ca="1" si="5"/>
        <v>1</v>
      </c>
      <c r="Y20" s="40" t="b">
        <f t="shared" ca="1" si="6"/>
        <v>1</v>
      </c>
      <c r="Z20" s="40" t="b">
        <f t="shared" ca="1" si="11"/>
        <v>1</v>
      </c>
      <c r="AA20" s="40" t="b">
        <f t="shared" ca="1" si="7"/>
        <v>1</v>
      </c>
      <c r="AB20" s="67" t="b">
        <f t="shared" ca="1" si="8"/>
        <v>1</v>
      </c>
      <c r="AC20" s="64" t="str">
        <f t="shared" ca="1" si="12"/>
        <v>TGT</v>
      </c>
    </row>
    <row r="21" spans="1:29" x14ac:dyDescent="0.25">
      <c r="A21" s="29">
        <v>15</v>
      </c>
      <c r="B21" s="49" t="b">
        <f t="shared" ca="1" si="9"/>
        <v>1</v>
      </c>
      <c r="C21" s="60" t="s">
        <v>149</v>
      </c>
      <c r="D21" s="22" t="s">
        <v>72</v>
      </c>
      <c r="E21" s="62" t="s">
        <v>67</v>
      </c>
      <c r="F21" s="22">
        <v>2</v>
      </c>
      <c r="G21" s="22" t="s">
        <v>14</v>
      </c>
      <c r="H21" s="58">
        <f ca="1">IF($E21="IMM",_xll.meDateNthIMMFromStartDate(AsOf, $F21,$AC21,"MOD_FOLLOWING"),_xll.meDateFromTenor(AsOf,$F21&amp;"D","MOD_FOLLOWING",$AC21))</f>
        <v>43091</v>
      </c>
      <c r="I21" s="88" t="s">
        <v>29</v>
      </c>
      <c r="J21" s="23" t="s">
        <v>16</v>
      </c>
      <c r="K21" s="23" t="s">
        <v>47</v>
      </c>
      <c r="L21" s="23" t="s">
        <v>42</v>
      </c>
      <c r="M21" s="23" t="s">
        <v>62</v>
      </c>
      <c r="N21" s="23" t="s">
        <v>101</v>
      </c>
      <c r="O21" s="46" t="s">
        <v>48</v>
      </c>
      <c r="P21" s="37">
        <f t="shared" ca="1" si="0"/>
        <v>2</v>
      </c>
      <c r="Q21" s="38" t="str">
        <f t="shared" ca="1" si="13"/>
        <v>SPOT</v>
      </c>
      <c r="R21" s="57">
        <f ca="1">IF($I21="","",IF(ISNUMBER($I21),$I21,_xll.meDateFromTenor(H21,$I21,"MOD_FOLLOWING",VLOOKUP(LEFT($M21,3),DateConventions,3))))</f>
        <v>44917</v>
      </c>
      <c r="S21" s="38" t="b">
        <f t="shared" ca="1" si="10"/>
        <v>1</v>
      </c>
      <c r="T21" s="38" t="b">
        <f t="shared" ca="1" si="1"/>
        <v>1</v>
      </c>
      <c r="U21" s="38" t="b">
        <f t="shared" ca="1" si="2"/>
        <v>1</v>
      </c>
      <c r="V21" s="38" t="b">
        <f t="shared" ca="1" si="3"/>
        <v>1</v>
      </c>
      <c r="W21" s="39" t="b">
        <f t="shared" ca="1" si="4"/>
        <v>1</v>
      </c>
      <c r="X21" s="38" t="b">
        <f t="shared" ca="1" si="5"/>
        <v>1</v>
      </c>
      <c r="Y21" s="40" t="b">
        <f t="shared" ca="1" si="6"/>
        <v>1</v>
      </c>
      <c r="Z21" s="40" t="b">
        <f t="shared" ca="1" si="11"/>
        <v>1</v>
      </c>
      <c r="AA21" s="40" t="b">
        <f t="shared" ca="1" si="7"/>
        <v>1</v>
      </c>
      <c r="AB21" s="67" t="b">
        <f t="shared" ca="1" si="8"/>
        <v>1</v>
      </c>
      <c r="AC21" s="64" t="str">
        <f t="shared" ca="1" si="12"/>
        <v>TGT</v>
      </c>
    </row>
    <row r="22" spans="1:29" x14ac:dyDescent="0.25">
      <c r="A22" s="29">
        <v>16</v>
      </c>
      <c r="B22" s="49" t="b">
        <f t="shared" ca="1" si="9"/>
        <v>1</v>
      </c>
      <c r="C22" s="60" t="s">
        <v>149</v>
      </c>
      <c r="D22" s="22" t="s">
        <v>72</v>
      </c>
      <c r="E22" s="62" t="s">
        <v>67</v>
      </c>
      <c r="F22" s="22">
        <v>2</v>
      </c>
      <c r="G22" s="22" t="s">
        <v>14</v>
      </c>
      <c r="H22" s="58">
        <f ca="1">IF($E22="IMM",_xll.meDateNthIMMFromStartDate(AsOf, $F22,$AC22,"MOD_FOLLOWING"),_xll.meDateFromTenor(AsOf,$F22&amp;"D","MOD_FOLLOWING",$AC22))</f>
        <v>43091</v>
      </c>
      <c r="I22" s="88" t="s">
        <v>29</v>
      </c>
      <c r="J22" s="23" t="s">
        <v>16</v>
      </c>
      <c r="K22" s="23" t="s">
        <v>47</v>
      </c>
      <c r="L22" s="23" t="s">
        <v>42</v>
      </c>
      <c r="M22" s="23" t="s">
        <v>62</v>
      </c>
      <c r="N22" s="23" t="s">
        <v>101</v>
      </c>
      <c r="O22" s="46" t="s">
        <v>48</v>
      </c>
      <c r="P22" s="37">
        <f t="shared" ca="1" si="0"/>
        <v>2</v>
      </c>
      <c r="Q22" s="38" t="str">
        <f t="shared" ca="1" si="13"/>
        <v>SPOT</v>
      </c>
      <c r="R22" s="57">
        <f ca="1">IF($I22="","",IF(ISNUMBER($I22),$I22,_xll.meDateFromTenor(H22,$I22,"MOD_FOLLOWING",VLOOKUP(LEFT($M22,3),DateConventions,3))))</f>
        <v>44917</v>
      </c>
      <c r="S22" s="38" t="b">
        <f t="shared" ca="1" si="10"/>
        <v>1</v>
      </c>
      <c r="T22" s="38" t="b">
        <f t="shared" ca="1" si="1"/>
        <v>1</v>
      </c>
      <c r="U22" s="38" t="b">
        <f t="shared" ca="1" si="2"/>
        <v>1</v>
      </c>
      <c r="V22" s="38" t="b">
        <f t="shared" ca="1" si="3"/>
        <v>1</v>
      </c>
      <c r="W22" s="39" t="b">
        <f t="shared" ca="1" si="4"/>
        <v>1</v>
      </c>
      <c r="X22" s="38" t="b">
        <f t="shared" ca="1" si="5"/>
        <v>1</v>
      </c>
      <c r="Y22" s="40" t="b">
        <f t="shared" ca="1" si="6"/>
        <v>1</v>
      </c>
      <c r="Z22" s="40" t="b">
        <f t="shared" ca="1" si="11"/>
        <v>1</v>
      </c>
      <c r="AA22" s="40" t="b">
        <f t="shared" ca="1" si="7"/>
        <v>1</v>
      </c>
      <c r="AB22" s="67" t="b">
        <f t="shared" ca="1" si="8"/>
        <v>1</v>
      </c>
      <c r="AC22" s="64" t="str">
        <f t="shared" ca="1" si="12"/>
        <v>TGT</v>
      </c>
    </row>
    <row r="23" spans="1:29" x14ac:dyDescent="0.25">
      <c r="A23" s="29">
        <v>17</v>
      </c>
      <c r="B23" s="49" t="b">
        <f t="shared" ca="1" si="9"/>
        <v>1</v>
      </c>
      <c r="C23" s="60" t="s">
        <v>149</v>
      </c>
      <c r="D23" s="22" t="s">
        <v>72</v>
      </c>
      <c r="E23" s="62" t="s">
        <v>67</v>
      </c>
      <c r="F23" s="22">
        <v>2</v>
      </c>
      <c r="G23" s="22" t="s">
        <v>14</v>
      </c>
      <c r="H23" s="58">
        <f ca="1">IF($E23="IMM",_xll.meDateNthIMMFromStartDate(AsOf, $F23,$AC23,"MOD_FOLLOWING"),_xll.meDateFromTenor(AsOf,$F23&amp;"D","MOD_FOLLOWING",$AC23))</f>
        <v>43091</v>
      </c>
      <c r="I23" s="88" t="s">
        <v>29</v>
      </c>
      <c r="J23" s="23" t="s">
        <v>16</v>
      </c>
      <c r="K23" s="23" t="s">
        <v>47</v>
      </c>
      <c r="L23" s="23" t="s">
        <v>42</v>
      </c>
      <c r="M23" s="23" t="s">
        <v>62</v>
      </c>
      <c r="N23" s="23" t="s">
        <v>101</v>
      </c>
      <c r="O23" s="46" t="s">
        <v>48</v>
      </c>
      <c r="P23" s="37">
        <f t="shared" ca="1" si="0"/>
        <v>2</v>
      </c>
      <c r="Q23" s="38" t="str">
        <f t="shared" ca="1" si="13"/>
        <v>SPOT</v>
      </c>
      <c r="R23" s="57">
        <f ca="1">IF($I23="","",IF(ISNUMBER($I23),$I23,_xll.meDateFromTenor(H23,$I23,"MOD_FOLLOWING",VLOOKUP(LEFT($M23,3),DateConventions,3))))</f>
        <v>44917</v>
      </c>
      <c r="S23" s="38" t="b">
        <f t="shared" ca="1" si="10"/>
        <v>1</v>
      </c>
      <c r="T23" s="38" t="b">
        <f t="shared" ca="1" si="1"/>
        <v>1</v>
      </c>
      <c r="U23" s="38" t="b">
        <f t="shared" ca="1" si="2"/>
        <v>1</v>
      </c>
      <c r="V23" s="38" t="b">
        <f t="shared" ca="1" si="3"/>
        <v>1</v>
      </c>
      <c r="W23" s="39" t="b">
        <f t="shared" ca="1" si="4"/>
        <v>1</v>
      </c>
      <c r="X23" s="38" t="b">
        <f t="shared" ca="1" si="5"/>
        <v>1</v>
      </c>
      <c r="Y23" s="40" t="b">
        <f t="shared" ca="1" si="6"/>
        <v>1</v>
      </c>
      <c r="Z23" s="40" t="b">
        <f t="shared" ca="1" si="11"/>
        <v>1</v>
      </c>
      <c r="AA23" s="40" t="b">
        <f t="shared" ca="1" si="7"/>
        <v>1</v>
      </c>
      <c r="AB23" s="67" t="b">
        <f t="shared" ca="1" si="8"/>
        <v>1</v>
      </c>
      <c r="AC23" s="64" t="str">
        <f t="shared" ca="1" si="12"/>
        <v>TGT</v>
      </c>
    </row>
    <row r="24" spans="1:29" x14ac:dyDescent="0.25">
      <c r="A24" s="29">
        <v>18</v>
      </c>
      <c r="B24" s="49" t="b">
        <f t="shared" ca="1" si="9"/>
        <v>1</v>
      </c>
      <c r="C24" s="60" t="s">
        <v>149</v>
      </c>
      <c r="D24" s="22" t="s">
        <v>72</v>
      </c>
      <c r="E24" s="62" t="s">
        <v>67</v>
      </c>
      <c r="F24" s="22">
        <v>2</v>
      </c>
      <c r="G24" s="22" t="s">
        <v>14</v>
      </c>
      <c r="H24" s="58">
        <f ca="1">IF($E24="IMM",_xll.meDateNthIMMFromStartDate(AsOf, $F24,$AC24,"MOD_FOLLOWING"),_xll.meDateFromTenor(AsOf,$F24&amp;"D","MOD_FOLLOWING",$AC24))</f>
        <v>43091</v>
      </c>
      <c r="I24" s="88" t="s">
        <v>29</v>
      </c>
      <c r="J24" s="23" t="s">
        <v>16</v>
      </c>
      <c r="K24" s="23" t="s">
        <v>47</v>
      </c>
      <c r="L24" s="23" t="s">
        <v>42</v>
      </c>
      <c r="M24" s="23" t="s">
        <v>62</v>
      </c>
      <c r="N24" s="23" t="s">
        <v>101</v>
      </c>
      <c r="O24" s="46" t="s">
        <v>48</v>
      </c>
      <c r="P24" s="37">
        <f t="shared" ca="1" si="0"/>
        <v>2</v>
      </c>
      <c r="Q24" s="38" t="str">
        <f t="shared" ca="1" si="13"/>
        <v>SPOT</v>
      </c>
      <c r="R24" s="57">
        <f ca="1">IF($I24="","",IF(ISNUMBER($I24),$I24,_xll.meDateFromTenor(H24,$I24,"MOD_FOLLOWING",VLOOKUP(LEFT($M24,3),DateConventions,3))))</f>
        <v>44917</v>
      </c>
      <c r="S24" s="38" t="b">
        <f t="shared" ca="1" si="10"/>
        <v>1</v>
      </c>
      <c r="T24" s="38" t="b">
        <f t="shared" ca="1" si="1"/>
        <v>1</v>
      </c>
      <c r="U24" s="38" t="b">
        <f t="shared" ca="1" si="2"/>
        <v>1</v>
      </c>
      <c r="V24" s="38" t="b">
        <f t="shared" ca="1" si="3"/>
        <v>1</v>
      </c>
      <c r="W24" s="39" t="b">
        <f t="shared" ca="1" si="4"/>
        <v>1</v>
      </c>
      <c r="X24" s="38" t="b">
        <f t="shared" ca="1" si="5"/>
        <v>1</v>
      </c>
      <c r="Y24" s="40" t="b">
        <f t="shared" ca="1" si="6"/>
        <v>1</v>
      </c>
      <c r="Z24" s="40" t="b">
        <f t="shared" ca="1" si="11"/>
        <v>1</v>
      </c>
      <c r="AA24" s="40" t="b">
        <f t="shared" ca="1" si="7"/>
        <v>1</v>
      </c>
      <c r="AB24" s="67" t="b">
        <f t="shared" ca="1" si="8"/>
        <v>1</v>
      </c>
      <c r="AC24" s="64" t="str">
        <f t="shared" ca="1" si="12"/>
        <v>TGT</v>
      </c>
    </row>
    <row r="25" spans="1:29" x14ac:dyDescent="0.25">
      <c r="A25" s="29">
        <v>19</v>
      </c>
      <c r="B25" s="49" t="b">
        <f t="shared" ca="1" si="9"/>
        <v>1</v>
      </c>
      <c r="C25" s="60" t="s">
        <v>149</v>
      </c>
      <c r="D25" s="22" t="s">
        <v>72</v>
      </c>
      <c r="E25" s="62" t="s">
        <v>67</v>
      </c>
      <c r="F25" s="22">
        <v>2</v>
      </c>
      <c r="G25" s="22" t="s">
        <v>14</v>
      </c>
      <c r="H25" s="58">
        <f ca="1">IF($E25="IMM",_xll.meDateNthIMMFromStartDate(AsOf, $F25,$AC25,"MOD_FOLLOWING"),_xll.meDateFromTenor(AsOf,$F25&amp;"D","MOD_FOLLOWING",$AC25))</f>
        <v>43091</v>
      </c>
      <c r="I25" s="88" t="s">
        <v>29</v>
      </c>
      <c r="J25" s="23" t="s">
        <v>16</v>
      </c>
      <c r="K25" s="23" t="s">
        <v>47</v>
      </c>
      <c r="L25" s="23" t="s">
        <v>42</v>
      </c>
      <c r="M25" s="23" t="s">
        <v>62</v>
      </c>
      <c r="N25" s="23" t="s">
        <v>101</v>
      </c>
      <c r="O25" s="46" t="s">
        <v>48</v>
      </c>
      <c r="P25" s="37">
        <f t="shared" ca="1" si="0"/>
        <v>2</v>
      </c>
      <c r="Q25" s="38" t="str">
        <f t="shared" ca="1" si="13"/>
        <v>SPOT</v>
      </c>
      <c r="R25" s="57">
        <f ca="1">IF($I25="","",IF(ISNUMBER($I25),$I25,_xll.meDateFromTenor(H25,$I25,"MOD_FOLLOWING",VLOOKUP(LEFT($M25,3),DateConventions,3))))</f>
        <v>44917</v>
      </c>
      <c r="S25" s="38" t="b">
        <f t="shared" ca="1" si="10"/>
        <v>1</v>
      </c>
      <c r="T25" s="38" t="b">
        <f t="shared" ca="1" si="1"/>
        <v>1</v>
      </c>
      <c r="U25" s="38" t="b">
        <f t="shared" ca="1" si="2"/>
        <v>1</v>
      </c>
      <c r="V25" s="38" t="b">
        <f t="shared" ca="1" si="3"/>
        <v>1</v>
      </c>
      <c r="W25" s="39" t="b">
        <f t="shared" ca="1" si="4"/>
        <v>1</v>
      </c>
      <c r="X25" s="38" t="b">
        <f t="shared" ca="1" si="5"/>
        <v>1</v>
      </c>
      <c r="Y25" s="40" t="b">
        <f t="shared" ca="1" si="6"/>
        <v>1</v>
      </c>
      <c r="Z25" s="40" t="b">
        <f t="shared" ca="1" si="11"/>
        <v>1</v>
      </c>
      <c r="AA25" s="40" t="b">
        <f t="shared" ca="1" si="7"/>
        <v>1</v>
      </c>
      <c r="AB25" s="67" t="b">
        <f t="shared" ca="1" si="8"/>
        <v>1</v>
      </c>
      <c r="AC25" s="64" t="str">
        <f t="shared" ca="1" si="12"/>
        <v>TGT</v>
      </c>
    </row>
    <row r="26" spans="1:29" x14ac:dyDescent="0.25">
      <c r="A26" s="29">
        <v>20</v>
      </c>
      <c r="B26" s="49" t="b">
        <f t="shared" ca="1" si="9"/>
        <v>1</v>
      </c>
      <c r="C26" s="60" t="s">
        <v>149</v>
      </c>
      <c r="D26" s="22" t="s">
        <v>72</v>
      </c>
      <c r="E26" s="62" t="s">
        <v>67</v>
      </c>
      <c r="F26" s="22">
        <v>2</v>
      </c>
      <c r="G26" s="22" t="s">
        <v>14</v>
      </c>
      <c r="H26" s="58">
        <f ca="1">IF($E26="IMM",_xll.meDateNthIMMFromStartDate(AsOf, $F26,$AC26,"MOD_FOLLOWING"),_xll.meDateFromTenor(AsOf,$F26&amp;"D","MOD_FOLLOWING",$AC26))</f>
        <v>43091</v>
      </c>
      <c r="I26" s="88" t="s">
        <v>29</v>
      </c>
      <c r="J26" s="23" t="s">
        <v>16</v>
      </c>
      <c r="K26" s="23" t="s">
        <v>47</v>
      </c>
      <c r="L26" s="23" t="s">
        <v>42</v>
      </c>
      <c r="M26" s="23" t="s">
        <v>62</v>
      </c>
      <c r="N26" s="23" t="s">
        <v>101</v>
      </c>
      <c r="O26" s="46" t="s">
        <v>48</v>
      </c>
      <c r="P26" s="37">
        <f t="shared" ca="1" si="0"/>
        <v>2</v>
      </c>
      <c r="Q26" s="38" t="str">
        <f t="shared" ca="1" si="13"/>
        <v>SPOT</v>
      </c>
      <c r="R26" s="57">
        <f ca="1">IF($I26="","",IF(ISNUMBER($I26),$I26,_xll.meDateFromTenor(H26,$I26,"MOD_FOLLOWING",VLOOKUP(LEFT($M26,3),DateConventions,3))))</f>
        <v>44917</v>
      </c>
      <c r="S26" s="38" t="b">
        <f t="shared" ca="1" si="10"/>
        <v>1</v>
      </c>
      <c r="T26" s="38" t="b">
        <f t="shared" ca="1" si="1"/>
        <v>1</v>
      </c>
      <c r="U26" s="38" t="b">
        <f t="shared" ca="1" si="2"/>
        <v>1</v>
      </c>
      <c r="V26" s="38" t="b">
        <f t="shared" ca="1" si="3"/>
        <v>1</v>
      </c>
      <c r="W26" s="39" t="b">
        <f t="shared" ca="1" si="4"/>
        <v>1</v>
      </c>
      <c r="X26" s="38" t="b">
        <f t="shared" ca="1" si="5"/>
        <v>1</v>
      </c>
      <c r="Y26" s="40" t="b">
        <f t="shared" ca="1" si="6"/>
        <v>1</v>
      </c>
      <c r="Z26" s="40" t="b">
        <f t="shared" ca="1" si="11"/>
        <v>1</v>
      </c>
      <c r="AA26" s="40" t="b">
        <f t="shared" ca="1" si="7"/>
        <v>1</v>
      </c>
      <c r="AB26" s="67" t="b">
        <f t="shared" ca="1" si="8"/>
        <v>1</v>
      </c>
      <c r="AC26" s="64" t="str">
        <f t="shared" ca="1" si="12"/>
        <v>TGT</v>
      </c>
    </row>
    <row r="27" spans="1:29" x14ac:dyDescent="0.25">
      <c r="A27" s="29">
        <v>21</v>
      </c>
      <c r="B27" s="49" t="b">
        <f t="shared" ca="1" si="9"/>
        <v>1</v>
      </c>
      <c r="C27" s="60" t="s">
        <v>149</v>
      </c>
      <c r="D27" s="22" t="s">
        <v>72</v>
      </c>
      <c r="E27" s="62" t="s">
        <v>67</v>
      </c>
      <c r="F27" s="22">
        <v>2</v>
      </c>
      <c r="G27" s="22" t="s">
        <v>14</v>
      </c>
      <c r="H27" s="58">
        <f ca="1">IF($E27="IMM",_xll.meDateNthIMMFromStartDate(AsOf, $F27,$AC27,"MOD_FOLLOWING"),_xll.meDateFromTenor(AsOf,$F27&amp;"D","MOD_FOLLOWING",$AC27))</f>
        <v>43091</v>
      </c>
      <c r="I27" s="88" t="s">
        <v>29</v>
      </c>
      <c r="J27" s="23" t="s">
        <v>16</v>
      </c>
      <c r="K27" s="23" t="s">
        <v>47</v>
      </c>
      <c r="L27" s="23" t="s">
        <v>42</v>
      </c>
      <c r="M27" s="23" t="s">
        <v>62</v>
      </c>
      <c r="N27" s="23" t="s">
        <v>101</v>
      </c>
      <c r="O27" s="46" t="s">
        <v>48</v>
      </c>
      <c r="P27" s="37">
        <f t="shared" ca="1" si="0"/>
        <v>2</v>
      </c>
      <c r="Q27" s="38" t="str">
        <f t="shared" ca="1" si="13"/>
        <v>SPOT</v>
      </c>
      <c r="R27" s="57">
        <f ca="1">IF($I27="","",IF(ISNUMBER($I27),$I27,_xll.meDateFromTenor(H27,$I27,"MOD_FOLLOWING",VLOOKUP(LEFT($M27,3),DateConventions,3))))</f>
        <v>44917</v>
      </c>
      <c r="S27" s="38" t="b">
        <f t="shared" ca="1" si="10"/>
        <v>1</v>
      </c>
      <c r="T27" s="38" t="b">
        <f t="shared" ca="1" si="1"/>
        <v>1</v>
      </c>
      <c r="U27" s="38" t="b">
        <f t="shared" ca="1" si="2"/>
        <v>1</v>
      </c>
      <c r="V27" s="38" t="b">
        <f t="shared" ca="1" si="3"/>
        <v>1</v>
      </c>
      <c r="W27" s="39" t="b">
        <f t="shared" ca="1" si="4"/>
        <v>1</v>
      </c>
      <c r="X27" s="38" t="b">
        <f t="shared" ca="1" si="5"/>
        <v>1</v>
      </c>
      <c r="Y27" s="40" t="b">
        <f t="shared" ca="1" si="6"/>
        <v>1</v>
      </c>
      <c r="Z27" s="40" t="b">
        <f t="shared" ca="1" si="11"/>
        <v>1</v>
      </c>
      <c r="AA27" s="40" t="b">
        <f t="shared" ca="1" si="7"/>
        <v>1</v>
      </c>
      <c r="AB27" s="67" t="b">
        <f t="shared" ca="1" si="8"/>
        <v>1</v>
      </c>
      <c r="AC27" s="64" t="str">
        <f t="shared" ca="1" si="12"/>
        <v>TGT</v>
      </c>
    </row>
    <row r="28" spans="1:29" x14ac:dyDescent="0.25">
      <c r="A28" s="29">
        <v>22</v>
      </c>
      <c r="B28" s="49" t="b">
        <f t="shared" ca="1" si="9"/>
        <v>1</v>
      </c>
      <c r="C28" s="60" t="s">
        <v>149</v>
      </c>
      <c r="D28" s="22" t="s">
        <v>72</v>
      </c>
      <c r="E28" s="62" t="s">
        <v>67</v>
      </c>
      <c r="F28" s="22">
        <v>2</v>
      </c>
      <c r="G28" s="22" t="s">
        <v>14</v>
      </c>
      <c r="H28" s="58">
        <f ca="1">IF($E28="IMM",_xll.meDateNthIMMFromStartDate(AsOf, $F28,$AC28,"MOD_FOLLOWING"),_xll.meDateFromTenor(AsOf,$F28&amp;"D","MOD_FOLLOWING",$AC28))</f>
        <v>43091</v>
      </c>
      <c r="I28" s="88" t="s">
        <v>29</v>
      </c>
      <c r="J28" s="23" t="s">
        <v>16</v>
      </c>
      <c r="K28" s="23" t="s">
        <v>47</v>
      </c>
      <c r="L28" s="23" t="s">
        <v>42</v>
      </c>
      <c r="M28" s="23" t="s">
        <v>62</v>
      </c>
      <c r="N28" s="23" t="s">
        <v>101</v>
      </c>
      <c r="O28" s="46" t="s">
        <v>48</v>
      </c>
      <c r="P28" s="37">
        <f t="shared" ca="1" si="0"/>
        <v>2</v>
      </c>
      <c r="Q28" s="38" t="str">
        <f t="shared" ca="1" si="13"/>
        <v>SPOT</v>
      </c>
      <c r="R28" s="57">
        <f ca="1">IF($I28="","",IF(ISNUMBER($I28),$I28,_xll.meDateFromTenor(H28,$I28,"MOD_FOLLOWING",VLOOKUP(LEFT($M28,3),DateConventions,3))))</f>
        <v>44917</v>
      </c>
      <c r="S28" s="38" t="b">
        <f t="shared" ca="1" si="10"/>
        <v>1</v>
      </c>
      <c r="T28" s="38" t="b">
        <f t="shared" ca="1" si="1"/>
        <v>1</v>
      </c>
      <c r="U28" s="38" t="b">
        <f t="shared" ca="1" si="2"/>
        <v>1</v>
      </c>
      <c r="V28" s="38" t="b">
        <f t="shared" ca="1" si="3"/>
        <v>1</v>
      </c>
      <c r="W28" s="39" t="b">
        <f t="shared" ca="1" si="4"/>
        <v>1</v>
      </c>
      <c r="X28" s="38" t="b">
        <f t="shared" ca="1" si="5"/>
        <v>1</v>
      </c>
      <c r="Y28" s="40" t="b">
        <f t="shared" ca="1" si="6"/>
        <v>1</v>
      </c>
      <c r="Z28" s="40" t="b">
        <f t="shared" ca="1" si="11"/>
        <v>1</v>
      </c>
      <c r="AA28" s="40" t="b">
        <f t="shared" ca="1" si="7"/>
        <v>1</v>
      </c>
      <c r="AB28" s="67" t="b">
        <f t="shared" ca="1" si="8"/>
        <v>1</v>
      </c>
      <c r="AC28" s="64" t="str">
        <f t="shared" ca="1" si="12"/>
        <v>TGT</v>
      </c>
    </row>
    <row r="29" spans="1:29" x14ac:dyDescent="0.25">
      <c r="A29" s="29">
        <v>23</v>
      </c>
      <c r="B29" s="49" t="b">
        <f t="shared" ca="1" si="9"/>
        <v>1</v>
      </c>
      <c r="C29" s="60" t="s">
        <v>149</v>
      </c>
      <c r="D29" s="22" t="s">
        <v>72</v>
      </c>
      <c r="E29" s="62" t="s">
        <v>67</v>
      </c>
      <c r="F29" s="22">
        <v>2</v>
      </c>
      <c r="G29" s="22" t="s">
        <v>14</v>
      </c>
      <c r="H29" s="58">
        <f ca="1">IF($E29="IMM",_xll.meDateNthIMMFromStartDate(AsOf, $F29,$AC29,"MOD_FOLLOWING"),_xll.meDateFromTenor(AsOf,$F29&amp;"D","MOD_FOLLOWING",$AC29))</f>
        <v>43091</v>
      </c>
      <c r="I29" s="88" t="s">
        <v>29</v>
      </c>
      <c r="J29" s="23" t="s">
        <v>16</v>
      </c>
      <c r="K29" s="23" t="s">
        <v>47</v>
      </c>
      <c r="L29" s="23" t="s">
        <v>42</v>
      </c>
      <c r="M29" s="23" t="s">
        <v>62</v>
      </c>
      <c r="N29" s="23" t="s">
        <v>101</v>
      </c>
      <c r="O29" s="46" t="s">
        <v>48</v>
      </c>
      <c r="P29" s="37">
        <f t="shared" ca="1" si="0"/>
        <v>2</v>
      </c>
      <c r="Q29" s="38" t="str">
        <f t="shared" ca="1" si="13"/>
        <v>SPOT</v>
      </c>
      <c r="R29" s="57">
        <f ca="1">IF($I29="","",IF(ISNUMBER($I29),$I29,_xll.meDateFromTenor(H29,$I29,"MOD_FOLLOWING",VLOOKUP(LEFT($M29,3),DateConventions,3))))</f>
        <v>44917</v>
      </c>
      <c r="S29" s="38" t="b">
        <f t="shared" ca="1" si="10"/>
        <v>1</v>
      </c>
      <c r="T29" s="38" t="b">
        <f t="shared" ca="1" si="1"/>
        <v>1</v>
      </c>
      <c r="U29" s="38" t="b">
        <f t="shared" ca="1" si="2"/>
        <v>1</v>
      </c>
      <c r="V29" s="38" t="b">
        <f t="shared" ca="1" si="3"/>
        <v>1</v>
      </c>
      <c r="W29" s="39" t="b">
        <f t="shared" ca="1" si="4"/>
        <v>1</v>
      </c>
      <c r="X29" s="38" t="b">
        <f t="shared" ca="1" si="5"/>
        <v>1</v>
      </c>
      <c r="Y29" s="40" t="b">
        <f t="shared" ca="1" si="6"/>
        <v>1</v>
      </c>
      <c r="Z29" s="40" t="b">
        <f t="shared" ca="1" si="11"/>
        <v>1</v>
      </c>
      <c r="AA29" s="40" t="b">
        <f t="shared" ca="1" si="7"/>
        <v>1</v>
      </c>
      <c r="AB29" s="67" t="b">
        <f t="shared" ca="1" si="8"/>
        <v>1</v>
      </c>
      <c r="AC29" s="64" t="str">
        <f t="shared" ca="1" si="12"/>
        <v>TGT</v>
      </c>
    </row>
    <row r="30" spans="1:29" x14ac:dyDescent="0.25">
      <c r="A30" s="29">
        <v>24</v>
      </c>
      <c r="B30" s="49" t="b">
        <f t="shared" ca="1" si="9"/>
        <v>1</v>
      </c>
      <c r="C30" s="60" t="s">
        <v>149</v>
      </c>
      <c r="D30" s="22" t="s">
        <v>72</v>
      </c>
      <c r="E30" s="62" t="s">
        <v>67</v>
      </c>
      <c r="F30" s="22">
        <v>2</v>
      </c>
      <c r="G30" s="22" t="s">
        <v>14</v>
      </c>
      <c r="H30" s="58">
        <f ca="1">IF($E30="IMM",_xll.meDateNthIMMFromStartDate(AsOf, $F30,$AC30,"MOD_FOLLOWING"),_xll.meDateFromTenor(AsOf,$F30&amp;"D","MOD_FOLLOWING",$AC30))</f>
        <v>43091</v>
      </c>
      <c r="I30" s="88" t="s">
        <v>29</v>
      </c>
      <c r="J30" s="23" t="s">
        <v>16</v>
      </c>
      <c r="K30" s="23" t="s">
        <v>47</v>
      </c>
      <c r="L30" s="23" t="s">
        <v>42</v>
      </c>
      <c r="M30" s="23" t="s">
        <v>62</v>
      </c>
      <c r="N30" s="23" t="s">
        <v>101</v>
      </c>
      <c r="O30" s="46" t="s">
        <v>48</v>
      </c>
      <c r="P30" s="37">
        <f t="shared" ca="1" si="0"/>
        <v>2</v>
      </c>
      <c r="Q30" s="38" t="str">
        <f t="shared" ca="1" si="13"/>
        <v>SPOT</v>
      </c>
      <c r="R30" s="57">
        <f ca="1">IF($I30="","",IF(ISNUMBER($I30),$I30,_xll.meDateFromTenor(H30,$I30,"MOD_FOLLOWING",VLOOKUP(LEFT($M30,3),DateConventions,3))))</f>
        <v>44917</v>
      </c>
      <c r="S30" s="38" t="b">
        <f t="shared" ca="1" si="10"/>
        <v>1</v>
      </c>
      <c r="T30" s="38" t="b">
        <f t="shared" ca="1" si="1"/>
        <v>1</v>
      </c>
      <c r="U30" s="38" t="b">
        <f t="shared" ca="1" si="2"/>
        <v>1</v>
      </c>
      <c r="V30" s="38" t="b">
        <f t="shared" ca="1" si="3"/>
        <v>1</v>
      </c>
      <c r="W30" s="39" t="b">
        <f t="shared" ca="1" si="4"/>
        <v>1</v>
      </c>
      <c r="X30" s="38" t="b">
        <f t="shared" ca="1" si="5"/>
        <v>1</v>
      </c>
      <c r="Y30" s="40" t="b">
        <f t="shared" ca="1" si="6"/>
        <v>1</v>
      </c>
      <c r="Z30" s="40" t="b">
        <f t="shared" ca="1" si="11"/>
        <v>1</v>
      </c>
      <c r="AA30" s="40" t="b">
        <f t="shared" ca="1" si="7"/>
        <v>1</v>
      </c>
      <c r="AB30" s="67" t="b">
        <f t="shared" ca="1" si="8"/>
        <v>1</v>
      </c>
      <c r="AC30" s="64" t="str">
        <f t="shared" ca="1" si="12"/>
        <v>TGT</v>
      </c>
    </row>
    <row r="31" spans="1:29" x14ac:dyDescent="0.25">
      <c r="A31" s="29">
        <v>25</v>
      </c>
      <c r="B31" s="49" t="b">
        <f t="shared" ca="1" si="9"/>
        <v>1</v>
      </c>
      <c r="C31" s="60" t="s">
        <v>149</v>
      </c>
      <c r="D31" s="22" t="s">
        <v>72</v>
      </c>
      <c r="E31" s="62" t="s">
        <v>67</v>
      </c>
      <c r="F31" s="22">
        <v>2</v>
      </c>
      <c r="G31" s="22" t="s">
        <v>14</v>
      </c>
      <c r="H31" s="58">
        <f ca="1">IF($E31="IMM",_xll.meDateNthIMMFromStartDate(AsOf, $F31,$AC31,"MOD_FOLLOWING"),_xll.meDateFromTenor(AsOf,$F31&amp;"D","MOD_FOLLOWING",$AC31))</f>
        <v>43091</v>
      </c>
      <c r="I31" s="88" t="s">
        <v>29</v>
      </c>
      <c r="J31" s="23" t="s">
        <v>16</v>
      </c>
      <c r="K31" s="23" t="s">
        <v>47</v>
      </c>
      <c r="L31" s="23" t="s">
        <v>42</v>
      </c>
      <c r="M31" s="23" t="s">
        <v>62</v>
      </c>
      <c r="N31" s="23" t="s">
        <v>101</v>
      </c>
      <c r="O31" s="46" t="s">
        <v>48</v>
      </c>
      <c r="P31" s="37">
        <f t="shared" ca="1" si="0"/>
        <v>2</v>
      </c>
      <c r="Q31" s="38" t="str">
        <f t="shared" ca="1" si="13"/>
        <v>SPOT</v>
      </c>
      <c r="R31" s="57">
        <f ca="1">IF($I31="","",IF(ISNUMBER($I31),$I31,_xll.meDateFromTenor(H31,$I31,"MOD_FOLLOWING",VLOOKUP(LEFT($M31,3),DateConventions,3))))</f>
        <v>44917</v>
      </c>
      <c r="S31" s="38" t="b">
        <f t="shared" ca="1" si="10"/>
        <v>1</v>
      </c>
      <c r="T31" s="38" t="b">
        <f t="shared" ca="1" si="1"/>
        <v>1</v>
      </c>
      <c r="U31" s="38" t="b">
        <f t="shared" ca="1" si="2"/>
        <v>1</v>
      </c>
      <c r="V31" s="38" t="b">
        <f t="shared" ca="1" si="3"/>
        <v>1</v>
      </c>
      <c r="W31" s="39" t="b">
        <f t="shared" ca="1" si="4"/>
        <v>1</v>
      </c>
      <c r="X31" s="38" t="b">
        <f t="shared" ca="1" si="5"/>
        <v>1</v>
      </c>
      <c r="Y31" s="40" t="b">
        <f t="shared" ca="1" si="6"/>
        <v>1</v>
      </c>
      <c r="Z31" s="40" t="b">
        <f t="shared" ca="1" si="11"/>
        <v>1</v>
      </c>
      <c r="AA31" s="40" t="b">
        <f t="shared" ca="1" si="7"/>
        <v>1</v>
      </c>
      <c r="AB31" s="67" t="b">
        <f t="shared" ca="1" si="8"/>
        <v>1</v>
      </c>
      <c r="AC31" s="64" t="str">
        <f t="shared" ca="1" si="12"/>
        <v>TGT</v>
      </c>
    </row>
    <row r="32" spans="1:29" x14ac:dyDescent="0.25">
      <c r="A32" s="29">
        <v>26</v>
      </c>
      <c r="B32" s="49" t="b">
        <f t="shared" ca="1" si="9"/>
        <v>1</v>
      </c>
      <c r="C32" s="60" t="s">
        <v>149</v>
      </c>
      <c r="D32" s="22" t="s">
        <v>72</v>
      </c>
      <c r="E32" s="62" t="s">
        <v>67</v>
      </c>
      <c r="F32" s="22">
        <v>2</v>
      </c>
      <c r="G32" s="22" t="s">
        <v>14</v>
      </c>
      <c r="H32" s="58">
        <f ca="1">IF($E32="IMM",_xll.meDateNthIMMFromStartDate(AsOf, $F32,$AC32,"MOD_FOLLOWING"),_xll.meDateFromTenor(AsOf,$F32&amp;"D","MOD_FOLLOWING",$AC32))</f>
        <v>43091</v>
      </c>
      <c r="I32" s="88" t="s">
        <v>29</v>
      </c>
      <c r="J32" s="23" t="s">
        <v>16</v>
      </c>
      <c r="K32" s="23" t="s">
        <v>47</v>
      </c>
      <c r="L32" s="23" t="s">
        <v>42</v>
      </c>
      <c r="M32" s="23" t="s">
        <v>62</v>
      </c>
      <c r="N32" s="23" t="s">
        <v>101</v>
      </c>
      <c r="O32" s="46" t="s">
        <v>48</v>
      </c>
      <c r="P32" s="37">
        <f t="shared" ca="1" si="0"/>
        <v>2</v>
      </c>
      <c r="Q32" s="38" t="str">
        <f t="shared" ca="1" si="13"/>
        <v>SPOT</v>
      </c>
      <c r="R32" s="57">
        <f ca="1">IF($I32="","",IF(ISNUMBER($I32),$I32,_xll.meDateFromTenor(H32,$I32,"MOD_FOLLOWING",VLOOKUP(LEFT($M32,3),DateConventions,3))))</f>
        <v>44917</v>
      </c>
      <c r="S32" s="38" t="b">
        <f t="shared" ca="1" si="10"/>
        <v>1</v>
      </c>
      <c r="T32" s="38" t="b">
        <f t="shared" ca="1" si="1"/>
        <v>1</v>
      </c>
      <c r="U32" s="38" t="b">
        <f t="shared" ca="1" si="2"/>
        <v>1</v>
      </c>
      <c r="V32" s="38" t="b">
        <f t="shared" ca="1" si="3"/>
        <v>1</v>
      </c>
      <c r="W32" s="39" t="b">
        <f t="shared" ca="1" si="4"/>
        <v>1</v>
      </c>
      <c r="X32" s="38" t="b">
        <f t="shared" ca="1" si="5"/>
        <v>1</v>
      </c>
      <c r="Y32" s="40" t="b">
        <f t="shared" ca="1" si="6"/>
        <v>1</v>
      </c>
      <c r="Z32" s="40" t="b">
        <f t="shared" ca="1" si="11"/>
        <v>1</v>
      </c>
      <c r="AA32" s="40" t="b">
        <f t="shared" ca="1" si="7"/>
        <v>1</v>
      </c>
      <c r="AB32" s="67" t="b">
        <f t="shared" ca="1" si="8"/>
        <v>1</v>
      </c>
      <c r="AC32" s="64" t="str">
        <f t="shared" ca="1" si="12"/>
        <v>TGT</v>
      </c>
    </row>
    <row r="33" spans="1:29" x14ac:dyDescent="0.25">
      <c r="A33" s="29">
        <v>27</v>
      </c>
      <c r="B33" s="49" t="b">
        <f t="shared" ca="1" si="9"/>
        <v>1</v>
      </c>
      <c r="C33" s="60" t="s">
        <v>149</v>
      </c>
      <c r="D33" s="22" t="s">
        <v>72</v>
      </c>
      <c r="E33" s="62" t="s">
        <v>67</v>
      </c>
      <c r="F33" s="22">
        <v>2</v>
      </c>
      <c r="G33" s="22" t="s">
        <v>14</v>
      </c>
      <c r="H33" s="58">
        <f ca="1">IF($E33="IMM",_xll.meDateNthIMMFromStartDate(AsOf, $F33,$AC33,"MOD_FOLLOWING"),_xll.meDateFromTenor(AsOf,$F33&amp;"D","MOD_FOLLOWING",$AC33))</f>
        <v>43091</v>
      </c>
      <c r="I33" s="88" t="s">
        <v>29</v>
      </c>
      <c r="J33" s="23" t="s">
        <v>16</v>
      </c>
      <c r="K33" s="23" t="s">
        <v>47</v>
      </c>
      <c r="L33" s="23" t="s">
        <v>42</v>
      </c>
      <c r="M33" s="23" t="s">
        <v>62</v>
      </c>
      <c r="N33" s="23" t="s">
        <v>101</v>
      </c>
      <c r="O33" s="46" t="s">
        <v>48</v>
      </c>
      <c r="P33" s="37">
        <f t="shared" ca="1" si="0"/>
        <v>2</v>
      </c>
      <c r="Q33" s="38" t="str">
        <f t="shared" ca="1" si="13"/>
        <v>SPOT</v>
      </c>
      <c r="R33" s="57">
        <f ca="1">IF($I33="","",IF(ISNUMBER($I33),$I33,_xll.meDateFromTenor(H33,$I33,"MOD_FOLLOWING",VLOOKUP(LEFT($M33,3),DateConventions,3))))</f>
        <v>44917</v>
      </c>
      <c r="S33" s="38" t="b">
        <f t="shared" ca="1" si="10"/>
        <v>1</v>
      </c>
      <c r="T33" s="38" t="b">
        <f t="shared" ca="1" si="1"/>
        <v>1</v>
      </c>
      <c r="U33" s="38" t="b">
        <f t="shared" ca="1" si="2"/>
        <v>1</v>
      </c>
      <c r="V33" s="38" t="b">
        <f t="shared" ca="1" si="3"/>
        <v>1</v>
      </c>
      <c r="W33" s="39" t="b">
        <f t="shared" ca="1" si="4"/>
        <v>1</v>
      </c>
      <c r="X33" s="38" t="b">
        <f t="shared" ca="1" si="5"/>
        <v>1</v>
      </c>
      <c r="Y33" s="40" t="b">
        <f t="shared" ca="1" si="6"/>
        <v>1</v>
      </c>
      <c r="Z33" s="40" t="b">
        <f t="shared" ca="1" si="11"/>
        <v>1</v>
      </c>
      <c r="AA33" s="40" t="b">
        <f t="shared" ca="1" si="7"/>
        <v>1</v>
      </c>
      <c r="AB33" s="67" t="b">
        <f t="shared" ca="1" si="8"/>
        <v>1</v>
      </c>
      <c r="AC33" s="64" t="str">
        <f t="shared" ca="1" si="12"/>
        <v>TGT</v>
      </c>
    </row>
    <row r="34" spans="1:29" x14ac:dyDescent="0.25">
      <c r="A34" s="29">
        <v>28</v>
      </c>
      <c r="B34" s="49" t="b">
        <f t="shared" ca="1" si="9"/>
        <v>1</v>
      </c>
      <c r="C34" s="60" t="s">
        <v>149</v>
      </c>
      <c r="D34" s="22" t="s">
        <v>72</v>
      </c>
      <c r="E34" s="62" t="s">
        <v>67</v>
      </c>
      <c r="F34" s="22">
        <v>2</v>
      </c>
      <c r="G34" s="22" t="s">
        <v>14</v>
      </c>
      <c r="H34" s="58">
        <f ca="1">IF($E34="IMM",_xll.meDateNthIMMFromStartDate(AsOf, $F34,$AC34,"MOD_FOLLOWING"),_xll.meDateFromTenor(AsOf,$F34&amp;"D","MOD_FOLLOWING",$AC34))</f>
        <v>43091</v>
      </c>
      <c r="I34" s="88" t="s">
        <v>29</v>
      </c>
      <c r="J34" s="23" t="s">
        <v>16</v>
      </c>
      <c r="K34" s="23" t="s">
        <v>47</v>
      </c>
      <c r="L34" s="23" t="s">
        <v>42</v>
      </c>
      <c r="M34" s="23" t="s">
        <v>62</v>
      </c>
      <c r="N34" s="23" t="s">
        <v>101</v>
      </c>
      <c r="O34" s="46" t="s">
        <v>48</v>
      </c>
      <c r="P34" s="37">
        <f t="shared" ca="1" si="0"/>
        <v>2</v>
      </c>
      <c r="Q34" s="38" t="str">
        <f t="shared" ca="1" si="13"/>
        <v>SPOT</v>
      </c>
      <c r="R34" s="57">
        <f ca="1">IF($I34="","",IF(ISNUMBER($I34),$I34,_xll.meDateFromTenor(H34,$I34,"MOD_FOLLOWING",VLOOKUP(LEFT($M34,3),DateConventions,3))))</f>
        <v>44917</v>
      </c>
      <c r="S34" s="38" t="b">
        <f t="shared" ca="1" si="10"/>
        <v>1</v>
      </c>
      <c r="T34" s="38" t="b">
        <f t="shared" ca="1" si="1"/>
        <v>1</v>
      </c>
      <c r="U34" s="38" t="b">
        <f t="shared" ca="1" si="2"/>
        <v>1</v>
      </c>
      <c r="V34" s="38" t="b">
        <f t="shared" ca="1" si="3"/>
        <v>1</v>
      </c>
      <c r="W34" s="39" t="b">
        <f t="shared" ca="1" si="4"/>
        <v>1</v>
      </c>
      <c r="X34" s="38" t="b">
        <f t="shared" ca="1" si="5"/>
        <v>1</v>
      </c>
      <c r="Y34" s="40" t="b">
        <f t="shared" ca="1" si="6"/>
        <v>1</v>
      </c>
      <c r="Z34" s="40" t="b">
        <f t="shared" ca="1" si="11"/>
        <v>1</v>
      </c>
      <c r="AA34" s="40" t="b">
        <f t="shared" ca="1" si="7"/>
        <v>1</v>
      </c>
      <c r="AB34" s="67" t="b">
        <f t="shared" ca="1" si="8"/>
        <v>1</v>
      </c>
      <c r="AC34" s="64" t="str">
        <f t="shared" ca="1" si="12"/>
        <v>TGT</v>
      </c>
    </row>
    <row r="35" spans="1:29" x14ac:dyDescent="0.25">
      <c r="A35" s="29">
        <v>29</v>
      </c>
      <c r="B35" s="49" t="b">
        <f t="shared" ca="1" si="9"/>
        <v>1</v>
      </c>
      <c r="C35" s="60" t="s">
        <v>149</v>
      </c>
      <c r="D35" s="22" t="s">
        <v>72</v>
      </c>
      <c r="E35" s="62" t="s">
        <v>67</v>
      </c>
      <c r="F35" s="22">
        <v>2</v>
      </c>
      <c r="G35" s="22" t="s">
        <v>14</v>
      </c>
      <c r="H35" s="58">
        <f ca="1">IF($E35="IMM",_xll.meDateNthIMMFromStartDate(AsOf, $F35,$AC35,"MOD_FOLLOWING"),_xll.meDateFromTenor(AsOf,$F35&amp;"D","MOD_FOLLOWING",$AC35))</f>
        <v>43091</v>
      </c>
      <c r="I35" s="88" t="s">
        <v>29</v>
      </c>
      <c r="J35" s="23" t="s">
        <v>16</v>
      </c>
      <c r="K35" s="23" t="s">
        <v>47</v>
      </c>
      <c r="L35" s="23" t="s">
        <v>42</v>
      </c>
      <c r="M35" s="23" t="s">
        <v>62</v>
      </c>
      <c r="N35" s="23" t="s">
        <v>101</v>
      </c>
      <c r="O35" s="46" t="s">
        <v>48</v>
      </c>
      <c r="P35" s="37">
        <f t="shared" ca="1" si="0"/>
        <v>2</v>
      </c>
      <c r="Q35" s="38" t="str">
        <f t="shared" ca="1" si="13"/>
        <v>SPOT</v>
      </c>
      <c r="R35" s="57">
        <f ca="1">IF($I35="","",IF(ISNUMBER($I35),$I35,_xll.meDateFromTenor(H35,$I35,"MOD_FOLLOWING",VLOOKUP(LEFT($M35,3),DateConventions,3))))</f>
        <v>44917</v>
      </c>
      <c r="S35" s="38" t="b">
        <f t="shared" ca="1" si="10"/>
        <v>1</v>
      </c>
      <c r="T35" s="38" t="b">
        <f t="shared" ca="1" si="1"/>
        <v>1</v>
      </c>
      <c r="U35" s="38" t="b">
        <f t="shared" ca="1" si="2"/>
        <v>1</v>
      </c>
      <c r="V35" s="38" t="b">
        <f t="shared" ca="1" si="3"/>
        <v>1</v>
      </c>
      <c r="W35" s="39" t="b">
        <f t="shared" ca="1" si="4"/>
        <v>1</v>
      </c>
      <c r="X35" s="38" t="b">
        <f t="shared" ca="1" si="5"/>
        <v>1</v>
      </c>
      <c r="Y35" s="40" t="b">
        <f t="shared" ca="1" si="6"/>
        <v>1</v>
      </c>
      <c r="Z35" s="40" t="b">
        <f t="shared" ca="1" si="11"/>
        <v>1</v>
      </c>
      <c r="AA35" s="40" t="b">
        <f t="shared" ca="1" si="7"/>
        <v>1</v>
      </c>
      <c r="AB35" s="67" t="b">
        <f t="shared" ca="1" si="8"/>
        <v>1</v>
      </c>
      <c r="AC35" s="64" t="str">
        <f t="shared" ca="1" si="12"/>
        <v>TGT</v>
      </c>
    </row>
    <row r="36" spans="1:29" x14ac:dyDescent="0.25">
      <c r="A36" s="29">
        <v>30</v>
      </c>
      <c r="B36" s="49" t="b">
        <f t="shared" ca="1" si="9"/>
        <v>1</v>
      </c>
      <c r="C36" s="60" t="s">
        <v>149</v>
      </c>
      <c r="D36" s="22" t="s">
        <v>72</v>
      </c>
      <c r="E36" s="62" t="s">
        <v>67</v>
      </c>
      <c r="F36" s="22">
        <v>2</v>
      </c>
      <c r="G36" s="22" t="s">
        <v>14</v>
      </c>
      <c r="H36" s="58">
        <f ca="1">IF($E36="IMM",_xll.meDateNthIMMFromStartDate(AsOf, $F36,$AC36,"MOD_FOLLOWING"),_xll.meDateFromTenor(AsOf,$F36&amp;"D","MOD_FOLLOWING",$AC36))</f>
        <v>43091</v>
      </c>
      <c r="I36" s="88" t="s">
        <v>29</v>
      </c>
      <c r="J36" s="23" t="s">
        <v>16</v>
      </c>
      <c r="K36" s="23" t="s">
        <v>47</v>
      </c>
      <c r="L36" s="23" t="s">
        <v>42</v>
      </c>
      <c r="M36" s="23" t="s">
        <v>62</v>
      </c>
      <c r="N36" s="23" t="s">
        <v>101</v>
      </c>
      <c r="O36" s="46" t="s">
        <v>48</v>
      </c>
      <c r="P36" s="37">
        <f t="shared" ca="1" si="0"/>
        <v>2</v>
      </c>
      <c r="Q36" s="38" t="str">
        <f t="shared" ca="1" si="13"/>
        <v>SPOT</v>
      </c>
      <c r="R36" s="57">
        <f ca="1">IF($I36="","",IF(ISNUMBER($I36),$I36,_xll.meDateFromTenor(H36,$I36,"MOD_FOLLOWING",VLOOKUP(LEFT($M36,3),DateConventions,3))))</f>
        <v>44917</v>
      </c>
      <c r="S36" s="38" t="b">
        <f t="shared" ca="1" si="10"/>
        <v>1</v>
      </c>
      <c r="T36" s="38" t="b">
        <f t="shared" ca="1" si="1"/>
        <v>1</v>
      </c>
      <c r="U36" s="38" t="b">
        <f t="shared" ca="1" si="2"/>
        <v>1</v>
      </c>
      <c r="V36" s="38" t="b">
        <f t="shared" ca="1" si="3"/>
        <v>1</v>
      </c>
      <c r="W36" s="39" t="b">
        <f t="shared" ca="1" si="4"/>
        <v>1</v>
      </c>
      <c r="X36" s="38" t="b">
        <f t="shared" ca="1" si="5"/>
        <v>1</v>
      </c>
      <c r="Y36" s="40" t="b">
        <f t="shared" ca="1" si="6"/>
        <v>1</v>
      </c>
      <c r="Z36" s="40" t="b">
        <f t="shared" ca="1" si="11"/>
        <v>1</v>
      </c>
      <c r="AA36" s="40" t="b">
        <f t="shared" ca="1" si="7"/>
        <v>1</v>
      </c>
      <c r="AB36" s="67" t="b">
        <f t="shared" ca="1" si="8"/>
        <v>1</v>
      </c>
      <c r="AC36" s="64" t="str">
        <f t="shared" ca="1" si="12"/>
        <v>TGT</v>
      </c>
    </row>
    <row r="37" spans="1:29" x14ac:dyDescent="0.25">
      <c r="A37" s="29">
        <v>31</v>
      </c>
      <c r="B37" s="49" t="b">
        <f t="shared" ca="1" si="9"/>
        <v>1</v>
      </c>
      <c r="C37" s="60" t="s">
        <v>149</v>
      </c>
      <c r="D37" s="22" t="s">
        <v>72</v>
      </c>
      <c r="E37" s="62" t="s">
        <v>67</v>
      </c>
      <c r="F37" s="22">
        <v>2</v>
      </c>
      <c r="G37" s="22" t="s">
        <v>14</v>
      </c>
      <c r="H37" s="58">
        <f ca="1">IF($E37="IMM",_xll.meDateNthIMMFromStartDate(AsOf, $F37,$AC37,"MOD_FOLLOWING"),_xll.meDateFromTenor(AsOf,$F37&amp;"D","MOD_FOLLOWING",$AC37))</f>
        <v>43091</v>
      </c>
      <c r="I37" s="88" t="s">
        <v>29</v>
      </c>
      <c r="J37" s="23" t="s">
        <v>16</v>
      </c>
      <c r="K37" s="23" t="s">
        <v>47</v>
      </c>
      <c r="L37" s="23" t="s">
        <v>42</v>
      </c>
      <c r="M37" s="23" t="s">
        <v>62</v>
      </c>
      <c r="N37" s="23" t="s">
        <v>101</v>
      </c>
      <c r="O37" s="46" t="s">
        <v>48</v>
      </c>
      <c r="P37" s="37">
        <f t="shared" ca="1" si="0"/>
        <v>2</v>
      </c>
      <c r="Q37" s="38" t="str">
        <f t="shared" ca="1" si="13"/>
        <v>SPOT</v>
      </c>
      <c r="R37" s="57">
        <f ca="1">IF($I37="","",IF(ISNUMBER($I37),$I37,_xll.meDateFromTenor(H37,$I37,"MOD_FOLLOWING",VLOOKUP(LEFT($M37,3),DateConventions,3))))</f>
        <v>44917</v>
      </c>
      <c r="S37" s="38" t="b">
        <f t="shared" ca="1" si="10"/>
        <v>1</v>
      </c>
      <c r="T37" s="38" t="b">
        <f t="shared" ca="1" si="1"/>
        <v>1</v>
      </c>
      <c r="U37" s="38" t="b">
        <f t="shared" ca="1" si="2"/>
        <v>1</v>
      </c>
      <c r="V37" s="38" t="b">
        <f t="shared" ca="1" si="3"/>
        <v>1</v>
      </c>
      <c r="W37" s="39" t="b">
        <f t="shared" ca="1" si="4"/>
        <v>1</v>
      </c>
      <c r="X37" s="38" t="b">
        <f t="shared" ca="1" si="5"/>
        <v>1</v>
      </c>
      <c r="Y37" s="40" t="b">
        <f t="shared" ca="1" si="6"/>
        <v>1</v>
      </c>
      <c r="Z37" s="40" t="b">
        <f t="shared" ca="1" si="11"/>
        <v>1</v>
      </c>
      <c r="AA37" s="40" t="b">
        <f t="shared" ca="1" si="7"/>
        <v>1</v>
      </c>
      <c r="AB37" s="67" t="b">
        <f t="shared" ca="1" si="8"/>
        <v>1</v>
      </c>
      <c r="AC37" s="64" t="str">
        <f t="shared" ca="1" si="12"/>
        <v>TGT</v>
      </c>
    </row>
    <row r="38" spans="1:29" x14ac:dyDescent="0.25">
      <c r="A38" s="29">
        <v>32</v>
      </c>
      <c r="B38" s="49" t="b">
        <f t="shared" ca="1" si="9"/>
        <v>1</v>
      </c>
      <c r="C38" s="60" t="s">
        <v>149</v>
      </c>
      <c r="D38" s="22" t="s">
        <v>72</v>
      </c>
      <c r="E38" s="62" t="s">
        <v>67</v>
      </c>
      <c r="F38" s="22">
        <v>2</v>
      </c>
      <c r="G38" s="22" t="s">
        <v>14</v>
      </c>
      <c r="H38" s="58">
        <f ca="1">IF($E38="IMM",_xll.meDateNthIMMFromStartDate(AsOf, $F38,$AC38,"MOD_FOLLOWING"),_xll.meDateFromTenor(AsOf,$F38&amp;"D","MOD_FOLLOWING",$AC38))</f>
        <v>43091</v>
      </c>
      <c r="I38" s="88" t="s">
        <v>29</v>
      </c>
      <c r="J38" s="23" t="s">
        <v>16</v>
      </c>
      <c r="K38" s="23" t="s">
        <v>47</v>
      </c>
      <c r="L38" s="23" t="s">
        <v>42</v>
      </c>
      <c r="M38" s="23" t="s">
        <v>62</v>
      </c>
      <c r="N38" s="23" t="s">
        <v>101</v>
      </c>
      <c r="O38" s="46" t="s">
        <v>48</v>
      </c>
      <c r="P38" s="37">
        <f t="shared" ca="1" si="0"/>
        <v>2</v>
      </c>
      <c r="Q38" s="38" t="str">
        <f t="shared" ca="1" si="13"/>
        <v>SPOT</v>
      </c>
      <c r="R38" s="57">
        <f ca="1">IF($I38="","",IF(ISNUMBER($I38),$I38,_xll.meDateFromTenor(H38,$I38,"MOD_FOLLOWING",VLOOKUP(LEFT($M38,3),DateConventions,3))))</f>
        <v>44917</v>
      </c>
      <c r="S38" s="38" t="b">
        <f t="shared" ca="1" si="10"/>
        <v>1</v>
      </c>
      <c r="T38" s="38" t="b">
        <f t="shared" ca="1" si="1"/>
        <v>1</v>
      </c>
      <c r="U38" s="38" t="b">
        <f t="shared" ca="1" si="2"/>
        <v>1</v>
      </c>
      <c r="V38" s="38" t="b">
        <f t="shared" ca="1" si="3"/>
        <v>1</v>
      </c>
      <c r="W38" s="39" t="b">
        <f t="shared" ca="1" si="4"/>
        <v>1</v>
      </c>
      <c r="X38" s="38" t="b">
        <f t="shared" ca="1" si="5"/>
        <v>1</v>
      </c>
      <c r="Y38" s="40" t="b">
        <f t="shared" ca="1" si="6"/>
        <v>1</v>
      </c>
      <c r="Z38" s="40" t="b">
        <f t="shared" ca="1" si="11"/>
        <v>1</v>
      </c>
      <c r="AA38" s="40" t="b">
        <f t="shared" ca="1" si="7"/>
        <v>1</v>
      </c>
      <c r="AB38" s="67" t="b">
        <f t="shared" ca="1" si="8"/>
        <v>1</v>
      </c>
      <c r="AC38" s="64" t="str">
        <f t="shared" ca="1" si="12"/>
        <v>TGT</v>
      </c>
    </row>
    <row r="39" spans="1:29" x14ac:dyDescent="0.25">
      <c r="A39" s="29">
        <v>33</v>
      </c>
      <c r="B39" s="49" t="b">
        <f t="shared" ca="1" si="9"/>
        <v>1</v>
      </c>
      <c r="C39" s="60" t="s">
        <v>149</v>
      </c>
      <c r="D39" s="22" t="s">
        <v>72</v>
      </c>
      <c r="E39" s="62" t="s">
        <v>67</v>
      </c>
      <c r="F39" s="22">
        <v>2</v>
      </c>
      <c r="G39" s="22" t="s">
        <v>14</v>
      </c>
      <c r="H39" s="58">
        <f ca="1">IF($E39="IMM",_xll.meDateNthIMMFromStartDate(AsOf, $F39,$AC39,"MOD_FOLLOWING"),_xll.meDateFromTenor(AsOf,$F39&amp;"D","MOD_FOLLOWING",$AC39))</f>
        <v>43091</v>
      </c>
      <c r="I39" s="88" t="s">
        <v>29</v>
      </c>
      <c r="J39" s="23" t="s">
        <v>16</v>
      </c>
      <c r="K39" s="23" t="s">
        <v>47</v>
      </c>
      <c r="L39" s="23" t="s">
        <v>42</v>
      </c>
      <c r="M39" s="23" t="s">
        <v>62</v>
      </c>
      <c r="N39" s="23" t="s">
        <v>101</v>
      </c>
      <c r="O39" s="46" t="s">
        <v>48</v>
      </c>
      <c r="P39" s="37">
        <f t="shared" ca="1" si="0"/>
        <v>2</v>
      </c>
      <c r="Q39" s="38" t="str">
        <f t="shared" ca="1" si="13"/>
        <v>SPOT</v>
      </c>
      <c r="R39" s="57">
        <f ca="1">IF($I39="","",IF(ISNUMBER($I39),$I39,_xll.meDateFromTenor(H39,$I39,"MOD_FOLLOWING",VLOOKUP(LEFT($M39,3),DateConventions,3))))</f>
        <v>44917</v>
      </c>
      <c r="S39" s="38" t="b">
        <f t="shared" ca="1" si="10"/>
        <v>1</v>
      </c>
      <c r="T39" s="38" t="b">
        <f t="shared" ca="1" si="1"/>
        <v>1</v>
      </c>
      <c r="U39" s="38" t="b">
        <f t="shared" ca="1" si="2"/>
        <v>1</v>
      </c>
      <c r="V39" s="38" t="b">
        <f t="shared" ca="1" si="3"/>
        <v>1</v>
      </c>
      <c r="W39" s="39" t="b">
        <f t="shared" ca="1" si="4"/>
        <v>1</v>
      </c>
      <c r="X39" s="38" t="b">
        <f t="shared" ca="1" si="5"/>
        <v>1</v>
      </c>
      <c r="Y39" s="40" t="b">
        <f t="shared" ca="1" si="6"/>
        <v>1</v>
      </c>
      <c r="Z39" s="40" t="b">
        <f t="shared" ca="1" si="11"/>
        <v>1</v>
      </c>
      <c r="AA39" s="40" t="b">
        <f t="shared" ca="1" si="7"/>
        <v>1</v>
      </c>
      <c r="AB39" s="67" t="b">
        <f t="shared" ca="1" si="8"/>
        <v>1</v>
      </c>
      <c r="AC39" s="64" t="str">
        <f t="shared" ca="1" si="12"/>
        <v>TGT</v>
      </c>
    </row>
    <row r="40" spans="1:29" x14ac:dyDescent="0.25">
      <c r="A40" s="29">
        <v>34</v>
      </c>
      <c r="B40" s="49" t="b">
        <f t="shared" ca="1" si="9"/>
        <v>1</v>
      </c>
      <c r="C40" s="60" t="s">
        <v>149</v>
      </c>
      <c r="D40" s="22" t="s">
        <v>72</v>
      </c>
      <c r="E40" s="62" t="s">
        <v>67</v>
      </c>
      <c r="F40" s="22">
        <v>2</v>
      </c>
      <c r="G40" s="22" t="s">
        <v>14</v>
      </c>
      <c r="H40" s="58">
        <f ca="1">IF($E40="IMM",_xll.meDateNthIMMFromStartDate(AsOf, $F40,$AC40,"MOD_FOLLOWING"),_xll.meDateFromTenor(AsOf,$F40&amp;"D","MOD_FOLLOWING",$AC40))</f>
        <v>43091</v>
      </c>
      <c r="I40" s="88" t="s">
        <v>29</v>
      </c>
      <c r="J40" s="23" t="s">
        <v>16</v>
      </c>
      <c r="K40" s="23" t="s">
        <v>47</v>
      </c>
      <c r="L40" s="23" t="s">
        <v>42</v>
      </c>
      <c r="M40" s="23" t="s">
        <v>62</v>
      </c>
      <c r="N40" s="23" t="s">
        <v>101</v>
      </c>
      <c r="O40" s="46" t="s">
        <v>48</v>
      </c>
      <c r="P40" s="37">
        <f t="shared" ca="1" si="0"/>
        <v>2</v>
      </c>
      <c r="Q40" s="38" t="str">
        <f t="shared" ca="1" si="13"/>
        <v>SPOT</v>
      </c>
      <c r="R40" s="57">
        <f ca="1">IF($I40="","",IF(ISNUMBER($I40),$I40,_xll.meDateFromTenor(H40,$I40,"MOD_FOLLOWING",VLOOKUP(LEFT($M40,3),DateConventions,3))))</f>
        <v>44917</v>
      </c>
      <c r="S40" s="38" t="b">
        <f t="shared" ca="1" si="10"/>
        <v>1</v>
      </c>
      <c r="T40" s="38" t="b">
        <f t="shared" ca="1" si="1"/>
        <v>1</v>
      </c>
      <c r="U40" s="38" t="b">
        <f t="shared" ca="1" si="2"/>
        <v>1</v>
      </c>
      <c r="V40" s="38" t="b">
        <f t="shared" ca="1" si="3"/>
        <v>1</v>
      </c>
      <c r="W40" s="39" t="b">
        <f t="shared" ca="1" si="4"/>
        <v>1</v>
      </c>
      <c r="X40" s="38" t="b">
        <f t="shared" ca="1" si="5"/>
        <v>1</v>
      </c>
      <c r="Y40" s="40" t="b">
        <f t="shared" ca="1" si="6"/>
        <v>1</v>
      </c>
      <c r="Z40" s="40" t="b">
        <f t="shared" ca="1" si="11"/>
        <v>1</v>
      </c>
      <c r="AA40" s="40" t="b">
        <f t="shared" ca="1" si="7"/>
        <v>1</v>
      </c>
      <c r="AB40" s="67" t="b">
        <f t="shared" ca="1" si="8"/>
        <v>1</v>
      </c>
      <c r="AC40" s="64" t="str">
        <f t="shared" ca="1" si="12"/>
        <v>TGT</v>
      </c>
    </row>
    <row r="41" spans="1:29" x14ac:dyDescent="0.25">
      <c r="A41" s="29">
        <v>35</v>
      </c>
      <c r="B41" s="49" t="b">
        <f t="shared" ca="1" si="9"/>
        <v>1</v>
      </c>
      <c r="C41" s="60" t="s">
        <v>149</v>
      </c>
      <c r="D41" s="22" t="s">
        <v>72</v>
      </c>
      <c r="E41" s="62" t="s">
        <v>67</v>
      </c>
      <c r="F41" s="22">
        <v>2</v>
      </c>
      <c r="G41" s="22" t="s">
        <v>14</v>
      </c>
      <c r="H41" s="58">
        <f ca="1">IF($E41="IMM",_xll.meDateNthIMMFromStartDate(AsOf, $F41,$AC41,"MOD_FOLLOWING"),_xll.meDateFromTenor(AsOf,$F41&amp;"D","MOD_FOLLOWING",$AC41))</f>
        <v>43091</v>
      </c>
      <c r="I41" s="88" t="s">
        <v>29</v>
      </c>
      <c r="J41" s="23" t="s">
        <v>16</v>
      </c>
      <c r="K41" s="23" t="s">
        <v>47</v>
      </c>
      <c r="L41" s="23" t="s">
        <v>42</v>
      </c>
      <c r="M41" s="23" t="s">
        <v>62</v>
      </c>
      <c r="N41" s="23" t="s">
        <v>101</v>
      </c>
      <c r="O41" s="46" t="s">
        <v>48</v>
      </c>
      <c r="P41" s="37">
        <f t="shared" ca="1" si="0"/>
        <v>2</v>
      </c>
      <c r="Q41" s="38" t="str">
        <f t="shared" ca="1" si="13"/>
        <v>SPOT</v>
      </c>
      <c r="R41" s="57">
        <f ca="1">IF($I41="","",IF(ISNUMBER($I41),$I41,_xll.meDateFromTenor(H41,$I41,"MOD_FOLLOWING",VLOOKUP(LEFT($M41,3),DateConventions,3))))</f>
        <v>44917</v>
      </c>
      <c r="S41" s="38" t="b">
        <f t="shared" ca="1" si="10"/>
        <v>1</v>
      </c>
      <c r="T41" s="38" t="b">
        <f t="shared" ca="1" si="1"/>
        <v>1</v>
      </c>
      <c r="U41" s="38" t="b">
        <f t="shared" ca="1" si="2"/>
        <v>1</v>
      </c>
      <c r="V41" s="38" t="b">
        <f t="shared" ca="1" si="3"/>
        <v>1</v>
      </c>
      <c r="W41" s="39" t="b">
        <f t="shared" ca="1" si="4"/>
        <v>1</v>
      </c>
      <c r="X41" s="38" t="b">
        <f t="shared" ca="1" si="5"/>
        <v>1</v>
      </c>
      <c r="Y41" s="40" t="b">
        <f t="shared" ca="1" si="6"/>
        <v>1</v>
      </c>
      <c r="Z41" s="40" t="b">
        <f t="shared" ca="1" si="11"/>
        <v>1</v>
      </c>
      <c r="AA41" s="40" t="b">
        <f t="shared" ca="1" si="7"/>
        <v>1</v>
      </c>
      <c r="AB41" s="67" t="b">
        <f t="shared" ca="1" si="8"/>
        <v>1</v>
      </c>
      <c r="AC41" s="64" t="str">
        <f t="shared" ca="1" si="12"/>
        <v>TGT</v>
      </c>
    </row>
    <row r="42" spans="1:29" x14ac:dyDescent="0.25">
      <c r="A42" s="29">
        <v>36</v>
      </c>
      <c r="B42" s="49" t="b">
        <f t="shared" ca="1" si="9"/>
        <v>1</v>
      </c>
      <c r="C42" s="60" t="s">
        <v>149</v>
      </c>
      <c r="D42" s="22" t="s">
        <v>72</v>
      </c>
      <c r="E42" s="62" t="s">
        <v>67</v>
      </c>
      <c r="F42" s="22">
        <v>2</v>
      </c>
      <c r="G42" s="22" t="s">
        <v>14</v>
      </c>
      <c r="H42" s="58">
        <f ca="1">IF($E42="IMM",_xll.meDateNthIMMFromStartDate(AsOf, $F42,$AC42,"MOD_FOLLOWING"),_xll.meDateFromTenor(AsOf,$F42&amp;"D","MOD_FOLLOWING",$AC42))</f>
        <v>43091</v>
      </c>
      <c r="I42" s="88" t="s">
        <v>29</v>
      </c>
      <c r="J42" s="23" t="s">
        <v>16</v>
      </c>
      <c r="K42" s="23" t="s">
        <v>47</v>
      </c>
      <c r="L42" s="23" t="s">
        <v>42</v>
      </c>
      <c r="M42" s="23" t="s">
        <v>62</v>
      </c>
      <c r="N42" s="23" t="s">
        <v>101</v>
      </c>
      <c r="O42" s="46" t="s">
        <v>48</v>
      </c>
      <c r="P42" s="37">
        <f t="shared" ca="1" si="0"/>
        <v>2</v>
      </c>
      <c r="Q42" s="38" t="str">
        <f t="shared" ca="1" si="13"/>
        <v>SPOT</v>
      </c>
      <c r="R42" s="57">
        <f ca="1">IF($I42="","",IF(ISNUMBER($I42),$I42,_xll.meDateFromTenor(H42,$I42,"MOD_FOLLOWING",VLOOKUP(LEFT($M42,3),DateConventions,3))))</f>
        <v>44917</v>
      </c>
      <c r="S42" s="38" t="b">
        <f t="shared" ca="1" si="10"/>
        <v>1</v>
      </c>
      <c r="T42" s="38" t="b">
        <f t="shared" ca="1" si="1"/>
        <v>1</v>
      </c>
      <c r="U42" s="38" t="b">
        <f t="shared" ca="1" si="2"/>
        <v>1</v>
      </c>
      <c r="V42" s="38" t="b">
        <f t="shared" ca="1" si="3"/>
        <v>1</v>
      </c>
      <c r="W42" s="39" t="b">
        <f t="shared" ca="1" si="4"/>
        <v>1</v>
      </c>
      <c r="X42" s="38" t="b">
        <f t="shared" ca="1" si="5"/>
        <v>1</v>
      </c>
      <c r="Y42" s="40" t="b">
        <f t="shared" ca="1" si="6"/>
        <v>1</v>
      </c>
      <c r="Z42" s="40" t="b">
        <f t="shared" ca="1" si="11"/>
        <v>1</v>
      </c>
      <c r="AA42" s="40" t="b">
        <f t="shared" ca="1" si="7"/>
        <v>1</v>
      </c>
      <c r="AB42" s="67" t="b">
        <f t="shared" ca="1" si="8"/>
        <v>1</v>
      </c>
      <c r="AC42" s="64" t="str">
        <f t="shared" ca="1" si="12"/>
        <v>TGT</v>
      </c>
    </row>
    <row r="43" spans="1:29" x14ac:dyDescent="0.25">
      <c r="A43" s="29">
        <v>37</v>
      </c>
      <c r="B43" s="49" t="b">
        <f t="shared" ca="1" si="9"/>
        <v>1</v>
      </c>
      <c r="C43" s="60" t="s">
        <v>149</v>
      </c>
      <c r="D43" s="22" t="s">
        <v>72</v>
      </c>
      <c r="E43" s="62" t="s">
        <v>67</v>
      </c>
      <c r="F43" s="22">
        <v>2</v>
      </c>
      <c r="G43" s="22" t="s">
        <v>14</v>
      </c>
      <c r="H43" s="58">
        <f ca="1">IF($E43="IMM",_xll.meDateNthIMMFromStartDate(AsOf, $F43,$AC43,"MOD_FOLLOWING"),_xll.meDateFromTenor(AsOf,$F43&amp;"D","MOD_FOLLOWING",$AC43))</f>
        <v>43091</v>
      </c>
      <c r="I43" s="88" t="s">
        <v>29</v>
      </c>
      <c r="J43" s="23" t="s">
        <v>16</v>
      </c>
      <c r="K43" s="23" t="s">
        <v>47</v>
      </c>
      <c r="L43" s="23" t="s">
        <v>42</v>
      </c>
      <c r="M43" s="23" t="s">
        <v>62</v>
      </c>
      <c r="N43" s="23" t="s">
        <v>101</v>
      </c>
      <c r="O43" s="46" t="s">
        <v>48</v>
      </c>
      <c r="P43" s="37">
        <f t="shared" ca="1" si="0"/>
        <v>2</v>
      </c>
      <c r="Q43" s="38" t="str">
        <f t="shared" ca="1" si="13"/>
        <v>SPOT</v>
      </c>
      <c r="R43" s="57">
        <f ca="1">IF($I43="","",IF(ISNUMBER($I43),$I43,_xll.meDateFromTenor(H43,$I43,"MOD_FOLLOWING",VLOOKUP(LEFT($M43,3),DateConventions,3))))</f>
        <v>44917</v>
      </c>
      <c r="S43" s="38" t="b">
        <f t="shared" ca="1" si="10"/>
        <v>1</v>
      </c>
      <c r="T43" s="38" t="b">
        <f t="shared" ca="1" si="1"/>
        <v>1</v>
      </c>
      <c r="U43" s="38" t="b">
        <f t="shared" ca="1" si="2"/>
        <v>1</v>
      </c>
      <c r="V43" s="38" t="b">
        <f t="shared" ca="1" si="3"/>
        <v>1</v>
      </c>
      <c r="W43" s="39" t="b">
        <f t="shared" ca="1" si="4"/>
        <v>1</v>
      </c>
      <c r="X43" s="38" t="b">
        <f t="shared" ca="1" si="5"/>
        <v>1</v>
      </c>
      <c r="Y43" s="40" t="b">
        <f t="shared" ca="1" si="6"/>
        <v>1</v>
      </c>
      <c r="Z43" s="40" t="b">
        <f t="shared" ca="1" si="11"/>
        <v>1</v>
      </c>
      <c r="AA43" s="40" t="b">
        <f t="shared" ca="1" si="7"/>
        <v>1</v>
      </c>
      <c r="AB43" s="67" t="b">
        <f t="shared" ca="1" si="8"/>
        <v>1</v>
      </c>
      <c r="AC43" s="64" t="str">
        <f t="shared" ca="1" si="12"/>
        <v>TGT</v>
      </c>
    </row>
    <row r="44" spans="1:29" x14ac:dyDescent="0.25">
      <c r="A44" s="29">
        <v>38</v>
      </c>
      <c r="B44" s="49" t="b">
        <f t="shared" ca="1" si="9"/>
        <v>1</v>
      </c>
      <c r="C44" s="60" t="s">
        <v>149</v>
      </c>
      <c r="D44" s="22" t="s">
        <v>72</v>
      </c>
      <c r="E44" s="62" t="s">
        <v>67</v>
      </c>
      <c r="F44" s="22">
        <v>2</v>
      </c>
      <c r="G44" s="22" t="s">
        <v>14</v>
      </c>
      <c r="H44" s="58">
        <f ca="1">IF($E44="IMM",_xll.meDateNthIMMFromStartDate(AsOf, $F44,$AC44,"MOD_FOLLOWING"),_xll.meDateFromTenor(AsOf,$F44&amp;"D","MOD_FOLLOWING",$AC44))</f>
        <v>43091</v>
      </c>
      <c r="I44" s="88" t="s">
        <v>29</v>
      </c>
      <c r="J44" s="23" t="s">
        <v>16</v>
      </c>
      <c r="K44" s="23" t="s">
        <v>47</v>
      </c>
      <c r="L44" s="23" t="s">
        <v>42</v>
      </c>
      <c r="M44" s="23" t="s">
        <v>62</v>
      </c>
      <c r="N44" s="23" t="s">
        <v>101</v>
      </c>
      <c r="O44" s="46" t="s">
        <v>48</v>
      </c>
      <c r="P44" s="37">
        <f t="shared" ca="1" si="0"/>
        <v>2</v>
      </c>
      <c r="Q44" s="38" t="str">
        <f t="shared" ca="1" si="13"/>
        <v>SPOT</v>
      </c>
      <c r="R44" s="57">
        <f ca="1">IF($I44="","",IF(ISNUMBER($I44),$I44,_xll.meDateFromTenor(H44,$I44,"MOD_FOLLOWING",VLOOKUP(LEFT($M44,3),DateConventions,3))))</f>
        <v>44917</v>
      </c>
      <c r="S44" s="38" t="b">
        <f t="shared" ca="1" si="10"/>
        <v>1</v>
      </c>
      <c r="T44" s="38" t="b">
        <f t="shared" ca="1" si="1"/>
        <v>1</v>
      </c>
      <c r="U44" s="38" t="b">
        <f t="shared" ca="1" si="2"/>
        <v>1</v>
      </c>
      <c r="V44" s="38" t="b">
        <f t="shared" ca="1" si="3"/>
        <v>1</v>
      </c>
      <c r="W44" s="39" t="b">
        <f t="shared" ca="1" si="4"/>
        <v>1</v>
      </c>
      <c r="X44" s="38" t="b">
        <f t="shared" ca="1" si="5"/>
        <v>1</v>
      </c>
      <c r="Y44" s="40" t="b">
        <f t="shared" ca="1" si="6"/>
        <v>1</v>
      </c>
      <c r="Z44" s="40" t="b">
        <f t="shared" ca="1" si="11"/>
        <v>1</v>
      </c>
      <c r="AA44" s="40" t="b">
        <f t="shared" ca="1" si="7"/>
        <v>1</v>
      </c>
      <c r="AB44" s="67" t="b">
        <f t="shared" ca="1" si="8"/>
        <v>1</v>
      </c>
      <c r="AC44" s="64" t="str">
        <f t="shared" ca="1" si="12"/>
        <v>TGT</v>
      </c>
    </row>
    <row r="45" spans="1:29" x14ac:dyDescent="0.25">
      <c r="A45" s="29">
        <v>39</v>
      </c>
      <c r="B45" s="49" t="b">
        <f t="shared" ca="1" si="9"/>
        <v>1</v>
      </c>
      <c r="C45" s="60" t="s">
        <v>149</v>
      </c>
      <c r="D45" s="22" t="s">
        <v>72</v>
      </c>
      <c r="E45" s="62" t="s">
        <v>67</v>
      </c>
      <c r="F45" s="22">
        <v>2</v>
      </c>
      <c r="G45" s="22" t="s">
        <v>14</v>
      </c>
      <c r="H45" s="58">
        <f ca="1">IF($E45="IMM",_xll.meDateNthIMMFromStartDate(AsOf, $F45,$AC45,"MOD_FOLLOWING"),_xll.meDateFromTenor(AsOf,$F45&amp;"D","MOD_FOLLOWING",$AC45))</f>
        <v>43091</v>
      </c>
      <c r="I45" s="88" t="s">
        <v>29</v>
      </c>
      <c r="J45" s="23" t="s">
        <v>16</v>
      </c>
      <c r="K45" s="23" t="s">
        <v>47</v>
      </c>
      <c r="L45" s="23" t="s">
        <v>42</v>
      </c>
      <c r="M45" s="23" t="s">
        <v>62</v>
      </c>
      <c r="N45" s="23" t="s">
        <v>101</v>
      </c>
      <c r="O45" s="46" t="s">
        <v>48</v>
      </c>
      <c r="P45" s="37">
        <f t="shared" ca="1" si="0"/>
        <v>2</v>
      </c>
      <c r="Q45" s="38" t="str">
        <f t="shared" ca="1" si="13"/>
        <v>SPOT</v>
      </c>
      <c r="R45" s="57">
        <f ca="1">IF($I45="","",IF(ISNUMBER($I45),$I45,_xll.meDateFromTenor(H45,$I45,"MOD_FOLLOWING",VLOOKUP(LEFT($M45,3),DateConventions,3))))</f>
        <v>44917</v>
      </c>
      <c r="S45" s="38" t="b">
        <f t="shared" ca="1" si="10"/>
        <v>1</v>
      </c>
      <c r="T45" s="38" t="b">
        <f t="shared" ca="1" si="1"/>
        <v>1</v>
      </c>
      <c r="U45" s="38" t="b">
        <f t="shared" ca="1" si="2"/>
        <v>1</v>
      </c>
      <c r="V45" s="38" t="b">
        <f t="shared" ca="1" si="3"/>
        <v>1</v>
      </c>
      <c r="W45" s="39" t="b">
        <f t="shared" ca="1" si="4"/>
        <v>1</v>
      </c>
      <c r="X45" s="38" t="b">
        <f t="shared" ca="1" si="5"/>
        <v>1</v>
      </c>
      <c r="Y45" s="40" t="b">
        <f t="shared" ca="1" si="6"/>
        <v>1</v>
      </c>
      <c r="Z45" s="40" t="b">
        <f t="shared" ca="1" si="11"/>
        <v>1</v>
      </c>
      <c r="AA45" s="40" t="b">
        <f t="shared" ca="1" si="7"/>
        <v>1</v>
      </c>
      <c r="AB45" s="67" t="b">
        <f t="shared" ca="1" si="8"/>
        <v>1</v>
      </c>
      <c r="AC45" s="64" t="str">
        <f t="shared" ca="1" si="12"/>
        <v>TGT</v>
      </c>
    </row>
    <row r="46" spans="1:29" x14ac:dyDescent="0.25">
      <c r="A46" s="29">
        <v>40</v>
      </c>
      <c r="B46" s="49" t="b">
        <f t="shared" ca="1" si="9"/>
        <v>1</v>
      </c>
      <c r="C46" s="60" t="s">
        <v>149</v>
      </c>
      <c r="D46" s="22" t="s">
        <v>72</v>
      </c>
      <c r="E46" s="62" t="s">
        <v>67</v>
      </c>
      <c r="F46" s="22">
        <v>2</v>
      </c>
      <c r="G46" s="22" t="s">
        <v>14</v>
      </c>
      <c r="H46" s="58">
        <f ca="1">IF($E46="IMM",_xll.meDateNthIMMFromStartDate(AsOf, $F46,$AC46,"MOD_FOLLOWING"),_xll.meDateFromTenor(AsOf,$F46&amp;"D","MOD_FOLLOWING",$AC46))</f>
        <v>43091</v>
      </c>
      <c r="I46" s="88" t="s">
        <v>29</v>
      </c>
      <c r="J46" s="23" t="s">
        <v>16</v>
      </c>
      <c r="K46" s="23" t="s">
        <v>47</v>
      </c>
      <c r="L46" s="23" t="s">
        <v>42</v>
      </c>
      <c r="M46" s="23" t="s">
        <v>62</v>
      </c>
      <c r="N46" s="23" t="s">
        <v>101</v>
      </c>
      <c r="O46" s="46" t="s">
        <v>48</v>
      </c>
      <c r="P46" s="37">
        <f t="shared" ca="1" si="0"/>
        <v>2</v>
      </c>
      <c r="Q46" s="38" t="str">
        <f t="shared" ca="1" si="13"/>
        <v>SPOT</v>
      </c>
      <c r="R46" s="57">
        <f ca="1">IF($I46="","",IF(ISNUMBER($I46),$I46,_xll.meDateFromTenor(H46,$I46,"MOD_FOLLOWING",VLOOKUP(LEFT($M46,3),DateConventions,3))))</f>
        <v>44917</v>
      </c>
      <c r="S46" s="38" t="b">
        <f t="shared" ca="1" si="10"/>
        <v>1</v>
      </c>
      <c r="T46" s="38" t="b">
        <f t="shared" ca="1" si="1"/>
        <v>1</v>
      </c>
      <c r="U46" s="38" t="b">
        <f t="shared" ca="1" si="2"/>
        <v>1</v>
      </c>
      <c r="V46" s="38" t="b">
        <f t="shared" ca="1" si="3"/>
        <v>1</v>
      </c>
      <c r="W46" s="39" t="b">
        <f t="shared" ca="1" si="4"/>
        <v>1</v>
      </c>
      <c r="X46" s="38" t="b">
        <f t="shared" ca="1" si="5"/>
        <v>1</v>
      </c>
      <c r="Y46" s="40" t="b">
        <f t="shared" ca="1" si="6"/>
        <v>1</v>
      </c>
      <c r="Z46" s="40" t="b">
        <f t="shared" ca="1" si="11"/>
        <v>1</v>
      </c>
      <c r="AA46" s="40" t="b">
        <f t="shared" ca="1" si="7"/>
        <v>1</v>
      </c>
      <c r="AB46" s="67" t="b">
        <f t="shared" ca="1" si="8"/>
        <v>1</v>
      </c>
      <c r="AC46" s="64" t="str">
        <f t="shared" ca="1" si="12"/>
        <v>TGT</v>
      </c>
    </row>
    <row r="47" spans="1:29" x14ac:dyDescent="0.25">
      <c r="A47" s="29">
        <v>41</v>
      </c>
      <c r="B47" s="49" t="b">
        <f t="shared" ca="1" si="9"/>
        <v>1</v>
      </c>
      <c r="C47" s="60" t="s">
        <v>149</v>
      </c>
      <c r="D47" s="22" t="s">
        <v>72</v>
      </c>
      <c r="E47" s="62" t="s">
        <v>67</v>
      </c>
      <c r="F47" s="22">
        <v>2</v>
      </c>
      <c r="G47" s="22" t="s">
        <v>14</v>
      </c>
      <c r="H47" s="58">
        <f ca="1">IF($E47="IMM",_xll.meDateNthIMMFromStartDate(AsOf, $F47,$AC47,"MOD_FOLLOWING"),_xll.meDateFromTenor(AsOf,$F47&amp;"D","MOD_FOLLOWING",$AC47))</f>
        <v>43091</v>
      </c>
      <c r="I47" s="88" t="s">
        <v>29</v>
      </c>
      <c r="J47" s="23" t="s">
        <v>16</v>
      </c>
      <c r="K47" s="23" t="s">
        <v>47</v>
      </c>
      <c r="L47" s="23" t="s">
        <v>42</v>
      </c>
      <c r="M47" s="23" t="s">
        <v>62</v>
      </c>
      <c r="N47" s="23" t="s">
        <v>101</v>
      </c>
      <c r="O47" s="46" t="s">
        <v>48</v>
      </c>
      <c r="P47" s="37">
        <f t="shared" ca="1" si="0"/>
        <v>2</v>
      </c>
      <c r="Q47" s="38" t="str">
        <f t="shared" ca="1" si="13"/>
        <v>SPOT</v>
      </c>
      <c r="R47" s="57">
        <f ca="1">IF($I47="","",IF(ISNUMBER($I47),$I47,_xll.meDateFromTenor(H47,$I47,"MOD_FOLLOWING",VLOOKUP(LEFT($M47,3),DateConventions,3))))</f>
        <v>44917</v>
      </c>
      <c r="S47" s="38" t="b">
        <f t="shared" ca="1" si="10"/>
        <v>1</v>
      </c>
      <c r="T47" s="38" t="b">
        <f t="shared" ca="1" si="1"/>
        <v>1</v>
      </c>
      <c r="U47" s="38" t="b">
        <f t="shared" ca="1" si="2"/>
        <v>1</v>
      </c>
      <c r="V47" s="38" t="b">
        <f t="shared" ca="1" si="3"/>
        <v>1</v>
      </c>
      <c r="W47" s="39" t="b">
        <f t="shared" ca="1" si="4"/>
        <v>1</v>
      </c>
      <c r="X47" s="38" t="b">
        <f t="shared" ca="1" si="5"/>
        <v>1</v>
      </c>
      <c r="Y47" s="40" t="b">
        <f t="shared" ca="1" si="6"/>
        <v>1</v>
      </c>
      <c r="Z47" s="40" t="b">
        <f t="shared" ca="1" si="11"/>
        <v>1</v>
      </c>
      <c r="AA47" s="40" t="b">
        <f t="shared" ca="1" si="7"/>
        <v>1</v>
      </c>
      <c r="AB47" s="67" t="b">
        <f t="shared" ca="1" si="8"/>
        <v>1</v>
      </c>
      <c r="AC47" s="64" t="str">
        <f t="shared" ca="1" si="12"/>
        <v>TGT</v>
      </c>
    </row>
    <row r="48" spans="1:29" x14ac:dyDescent="0.25">
      <c r="A48" s="29">
        <v>42</v>
      </c>
      <c r="B48" s="50" t="b">
        <f t="shared" ca="1" si="9"/>
        <v>1</v>
      </c>
      <c r="C48" s="86" t="s">
        <v>149</v>
      </c>
      <c r="D48" s="73" t="s">
        <v>72</v>
      </c>
      <c r="E48" s="62" t="s">
        <v>67</v>
      </c>
      <c r="F48" s="99">
        <v>2</v>
      </c>
      <c r="G48" s="99" t="s">
        <v>14</v>
      </c>
      <c r="H48" s="117">
        <f ca="1">IF($E48="IMM",_xll.meDateNthIMMFromStartDate(AsOf, $F48,$AC48,"MOD_FOLLOWING"),_xll.meDateFromTenor(AsOf,$F48&amp;"D","MOD_FOLLOWING",$AC48))</f>
        <v>43091</v>
      </c>
      <c r="I48" s="89" t="s">
        <v>29</v>
      </c>
      <c r="J48" s="27" t="s">
        <v>16</v>
      </c>
      <c r="K48" s="27" t="s">
        <v>47</v>
      </c>
      <c r="L48" s="27" t="s">
        <v>42</v>
      </c>
      <c r="M48" s="23" t="s">
        <v>62</v>
      </c>
      <c r="N48" s="23" t="s">
        <v>101</v>
      </c>
      <c r="O48" s="47" t="s">
        <v>48</v>
      </c>
      <c r="P48" s="41">
        <f t="shared" ca="1" si="0"/>
        <v>2</v>
      </c>
      <c r="Q48" s="38" t="str">
        <f t="shared" ca="1" si="13"/>
        <v>SPOT</v>
      </c>
      <c r="R48" s="57">
        <f ca="1">IF($I48="","",IF(ISNUMBER($I48),$I48,_xll.meDateFromTenor(H48,$I48,"MOD_FOLLOWING",VLOOKUP(LEFT($M48,3),DateConventions,3))))</f>
        <v>44917</v>
      </c>
      <c r="S48" s="38" t="b">
        <f t="shared" ca="1" si="10"/>
        <v>1</v>
      </c>
      <c r="T48" s="42" t="b">
        <f t="shared" ca="1" si="1"/>
        <v>1</v>
      </c>
      <c r="U48" s="42" t="b">
        <f t="shared" ca="1" si="2"/>
        <v>1</v>
      </c>
      <c r="V48" s="38" t="b">
        <f t="shared" ca="1" si="3"/>
        <v>1</v>
      </c>
      <c r="W48" s="39" t="b">
        <f t="shared" ca="1" si="4"/>
        <v>1</v>
      </c>
      <c r="X48" s="42" t="b">
        <f t="shared" ca="1" si="5"/>
        <v>1</v>
      </c>
      <c r="Y48" s="43" t="b">
        <f t="shared" ca="1" si="6"/>
        <v>1</v>
      </c>
      <c r="Z48" s="43" t="b">
        <f t="shared" ca="1" si="11"/>
        <v>1</v>
      </c>
      <c r="AA48" s="43" t="b">
        <f t="shared" ca="1" si="7"/>
        <v>1</v>
      </c>
      <c r="AB48" s="68" t="b">
        <f t="shared" ca="1" si="8"/>
        <v>1</v>
      </c>
      <c r="AC48" s="65" t="str">
        <f t="shared" ca="1" si="12"/>
        <v>TGT</v>
      </c>
    </row>
    <row r="49" spans="3:26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3:26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3:26" ht="15.75" outlineLevel="1" thickBot="1" x14ac:dyDescent="0.3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3:26" ht="15.75" outlineLevel="1" thickBot="1" x14ac:dyDescent="0.3">
      <c r="C52" s="128" t="s">
        <v>0</v>
      </c>
      <c r="D52" s="128" t="s">
        <v>1</v>
      </c>
      <c r="E52" s="128" t="s">
        <v>2</v>
      </c>
      <c r="F52" s="70"/>
      <c r="G52" s="128" t="s">
        <v>3</v>
      </c>
      <c r="H52" s="128" t="s">
        <v>4</v>
      </c>
      <c r="I52" s="128" t="s">
        <v>5</v>
      </c>
      <c r="J52" s="130" t="s">
        <v>6</v>
      </c>
      <c r="K52" s="131"/>
      <c r="L52" s="130" t="s">
        <v>7</v>
      </c>
      <c r="M52" s="132"/>
      <c r="N52" s="131"/>
      <c r="Y52" s="5"/>
      <c r="Z52" s="5"/>
    </row>
    <row r="53" spans="3:26" ht="26.25" outlineLevel="1" thickBot="1" x14ac:dyDescent="0.3">
      <c r="C53" s="129"/>
      <c r="D53" s="129"/>
      <c r="E53" s="129"/>
      <c r="F53" s="71"/>
      <c r="G53" s="129"/>
      <c r="H53" s="129"/>
      <c r="I53" s="129"/>
      <c r="J53" s="1" t="s">
        <v>8</v>
      </c>
      <c r="K53" s="1" t="s">
        <v>9</v>
      </c>
      <c r="L53" s="1" t="s">
        <v>10</v>
      </c>
      <c r="M53" s="1" t="s">
        <v>11</v>
      </c>
      <c r="N53" s="1" t="s">
        <v>9</v>
      </c>
      <c r="Y53" s="9"/>
    </row>
    <row r="54" spans="3:26" ht="26.25" outlineLevel="1" thickBot="1" x14ac:dyDescent="0.3">
      <c r="C54" s="71" t="s">
        <v>12</v>
      </c>
      <c r="D54" s="4" t="s">
        <v>13</v>
      </c>
      <c r="E54" s="11" t="s">
        <v>68</v>
      </c>
      <c r="F54" s="11"/>
      <c r="G54" s="4" t="s">
        <v>14</v>
      </c>
      <c r="H54" s="4" t="s">
        <v>15</v>
      </c>
      <c r="I54" s="4" t="s">
        <v>16</v>
      </c>
      <c r="J54" s="4" t="s">
        <v>49</v>
      </c>
      <c r="K54" s="4" t="s">
        <v>59</v>
      </c>
      <c r="L54" s="11" t="s">
        <v>61</v>
      </c>
      <c r="M54" s="4" t="s">
        <v>51</v>
      </c>
      <c r="N54" s="4" t="s">
        <v>57</v>
      </c>
      <c r="Y54" s="9"/>
    </row>
    <row r="55" spans="3:26" ht="26.25" outlineLevel="1" thickBot="1" x14ac:dyDescent="0.3">
      <c r="C55" s="71" t="s">
        <v>12</v>
      </c>
      <c r="D55" s="4" t="s">
        <v>13</v>
      </c>
      <c r="E55" s="11" t="s">
        <v>68</v>
      </c>
      <c r="F55" s="11"/>
      <c r="G55" s="4" t="s">
        <v>14</v>
      </c>
      <c r="H55" s="4" t="s">
        <v>17</v>
      </c>
      <c r="I55" s="4" t="s">
        <v>16</v>
      </c>
      <c r="J55" s="4" t="s">
        <v>49</v>
      </c>
      <c r="K55" s="4" t="s">
        <v>59</v>
      </c>
      <c r="L55" s="11" t="s">
        <v>62</v>
      </c>
      <c r="M55" s="4" t="s">
        <v>52</v>
      </c>
      <c r="N55" s="4" t="s">
        <v>57</v>
      </c>
      <c r="Y55" s="9"/>
    </row>
    <row r="56" spans="3:26" ht="26.25" outlineLevel="1" thickBot="1" x14ac:dyDescent="0.3">
      <c r="C56" s="71" t="s">
        <v>18</v>
      </c>
      <c r="D56" s="4" t="s">
        <v>19</v>
      </c>
      <c r="E56" s="11" t="s">
        <v>68</v>
      </c>
      <c r="F56" s="11"/>
      <c r="G56" s="4" t="s">
        <v>14</v>
      </c>
      <c r="H56" s="4" t="s">
        <v>20</v>
      </c>
      <c r="I56" s="4" t="s">
        <v>16</v>
      </c>
      <c r="J56" s="4" t="s">
        <v>49</v>
      </c>
      <c r="K56" s="4" t="s">
        <v>59</v>
      </c>
      <c r="L56" s="11" t="s">
        <v>63</v>
      </c>
      <c r="M56" s="4" t="s">
        <v>52</v>
      </c>
      <c r="N56" s="4" t="s">
        <v>57</v>
      </c>
      <c r="Y56" s="9"/>
    </row>
    <row r="57" spans="3:26" ht="26.25" outlineLevel="1" thickBot="1" x14ac:dyDescent="0.3">
      <c r="C57" s="71" t="s">
        <v>18</v>
      </c>
      <c r="D57" s="4" t="s">
        <v>19</v>
      </c>
      <c r="E57" s="11" t="s">
        <v>21</v>
      </c>
      <c r="F57" s="11"/>
      <c r="G57" s="4" t="s">
        <v>14</v>
      </c>
      <c r="H57" s="4" t="s">
        <v>22</v>
      </c>
      <c r="I57" s="4" t="s">
        <v>16</v>
      </c>
      <c r="J57" s="4" t="s">
        <v>49</v>
      </c>
      <c r="K57" s="4" t="s">
        <v>59</v>
      </c>
      <c r="L57" s="11" t="s">
        <v>98</v>
      </c>
      <c r="M57" s="4" t="s">
        <v>52</v>
      </c>
      <c r="N57" s="4" t="s">
        <v>57</v>
      </c>
      <c r="Y57" s="9"/>
    </row>
    <row r="58" spans="3:26" ht="26.25" outlineLevel="1" thickBot="1" x14ac:dyDescent="0.3">
      <c r="C58" s="71" t="s">
        <v>23</v>
      </c>
      <c r="D58" s="4" t="s">
        <v>19</v>
      </c>
      <c r="E58" s="11" t="s">
        <v>68</v>
      </c>
      <c r="F58" s="11"/>
      <c r="G58" s="4" t="s">
        <v>14</v>
      </c>
      <c r="H58" s="4" t="s">
        <v>20</v>
      </c>
      <c r="I58" s="4" t="s">
        <v>16</v>
      </c>
      <c r="J58" s="4" t="s">
        <v>49</v>
      </c>
      <c r="K58" s="4" t="s">
        <v>59</v>
      </c>
      <c r="L58" s="11" t="s">
        <v>64</v>
      </c>
      <c r="M58" s="4" t="s">
        <v>50</v>
      </c>
      <c r="N58" s="4" t="s">
        <v>57</v>
      </c>
      <c r="Y58" s="9"/>
    </row>
    <row r="59" spans="3:26" ht="26.25" outlineLevel="1" thickBot="1" x14ac:dyDescent="0.3">
      <c r="C59" s="71" t="s">
        <v>23</v>
      </c>
      <c r="D59" s="4" t="s">
        <v>19</v>
      </c>
      <c r="E59" s="11" t="s">
        <v>21</v>
      </c>
      <c r="F59" s="11"/>
      <c r="G59" s="4" t="s">
        <v>14</v>
      </c>
      <c r="H59" s="4" t="s">
        <v>22</v>
      </c>
      <c r="I59" s="4" t="s">
        <v>16</v>
      </c>
      <c r="J59" s="4" t="s">
        <v>49</v>
      </c>
      <c r="K59" s="4" t="s">
        <v>59</v>
      </c>
      <c r="L59" s="11" t="s">
        <v>99</v>
      </c>
      <c r="M59" s="4" t="s">
        <v>50</v>
      </c>
      <c r="N59" s="4" t="s">
        <v>57</v>
      </c>
      <c r="Y59" s="9"/>
    </row>
    <row r="60" spans="3:26" ht="26.25" outlineLevel="1" thickBot="1" x14ac:dyDescent="0.3">
      <c r="C60" s="71" t="s">
        <v>24</v>
      </c>
      <c r="D60" s="4" t="s">
        <v>25</v>
      </c>
      <c r="E60" s="11" t="s">
        <v>69</v>
      </c>
      <c r="F60" s="11"/>
      <c r="G60" s="4" t="s">
        <v>14</v>
      </c>
      <c r="H60" s="4" t="s">
        <v>17</v>
      </c>
      <c r="I60" s="4" t="s">
        <v>16</v>
      </c>
      <c r="J60" s="4" t="s">
        <v>50</v>
      </c>
      <c r="K60" s="4" t="s">
        <v>58</v>
      </c>
      <c r="L60" s="11" t="s">
        <v>65</v>
      </c>
      <c r="M60" s="4" t="s">
        <v>51</v>
      </c>
      <c r="N60" s="4" t="s">
        <v>58</v>
      </c>
      <c r="Y60" s="9"/>
    </row>
    <row r="61" spans="3:26" ht="26.25" customHeight="1" outlineLevel="1" thickBot="1" x14ac:dyDescent="0.3">
      <c r="C61" s="71" t="s">
        <v>24</v>
      </c>
      <c r="D61" s="4" t="s">
        <v>25</v>
      </c>
      <c r="E61" s="11" t="s">
        <v>69</v>
      </c>
      <c r="F61" s="11"/>
      <c r="G61" s="4" t="s">
        <v>14</v>
      </c>
      <c r="H61" s="4" t="s">
        <v>17</v>
      </c>
      <c r="I61" s="4" t="s">
        <v>16</v>
      </c>
      <c r="J61" s="4" t="s">
        <v>50</v>
      </c>
      <c r="K61" s="4" t="s">
        <v>58</v>
      </c>
      <c r="L61" s="11" t="s">
        <v>66</v>
      </c>
      <c r="M61" s="4" t="s">
        <v>52</v>
      </c>
      <c r="N61" s="4" t="s">
        <v>58</v>
      </c>
      <c r="Y61" s="9"/>
    </row>
    <row r="62" spans="3:26" outlineLevel="1" x14ac:dyDescent="0.25">
      <c r="Y62" s="9"/>
    </row>
    <row r="63" spans="3:26" outlineLevel="1" x14ac:dyDescent="0.25">
      <c r="Y63" s="9"/>
    </row>
    <row r="64" spans="3:26" ht="15.75" outlineLevel="1" thickBot="1" x14ac:dyDescent="0.3">
      <c r="C64" s="11" t="s">
        <v>61</v>
      </c>
      <c r="K64" s="5"/>
      <c r="Y64" s="9"/>
    </row>
    <row r="65" spans="2:25" ht="25.5" outlineLevel="1" x14ac:dyDescent="0.25">
      <c r="B65" s="5" t="s">
        <v>90</v>
      </c>
      <c r="C65" s="6" t="s">
        <v>40</v>
      </c>
      <c r="D65" s="6" t="s">
        <v>39</v>
      </c>
      <c r="E65" s="5" t="s">
        <v>45</v>
      </c>
      <c r="F65" s="5" t="s">
        <v>46</v>
      </c>
      <c r="H65" s="2"/>
      <c r="K65" t="s">
        <v>73</v>
      </c>
      <c r="L65" t="s">
        <v>74</v>
      </c>
      <c r="M65" t="s">
        <v>75</v>
      </c>
      <c r="Y65" s="9"/>
    </row>
    <row r="66" spans="2:25" outlineLevel="1" x14ac:dyDescent="0.25">
      <c r="B66" s="7">
        <f ca="1">_xll.meDateFromTenor(AsOf,"2D","MOD_FOLLOWING","TGT")</f>
        <v>43091</v>
      </c>
      <c r="C66" s="2" t="s">
        <v>26</v>
      </c>
      <c r="D66" s="7">
        <f ca="1">_xll.meDateFromTenor($B$66,C66,"MOD_FOLLOWING","TGT")</f>
        <v>43822</v>
      </c>
      <c r="E66" s="133">
        <f ca="1">_xll.meDateFromTenor($D66,"-5D","MOD_FOLLOWING","TGT")</f>
        <v>43815</v>
      </c>
      <c r="F66" s="133">
        <f ca="1">_xll.meDateFromTenor($D66,"5D","MOD_FOLLOWING","TGT")</f>
        <v>43832</v>
      </c>
      <c r="K66" s="13" t="s">
        <v>72</v>
      </c>
      <c r="L66" s="14" t="s">
        <v>78</v>
      </c>
      <c r="M66" s="15" t="s">
        <v>79</v>
      </c>
    </row>
    <row r="67" spans="2:25" outlineLevel="1" x14ac:dyDescent="0.25">
      <c r="C67" s="2" t="s">
        <v>27</v>
      </c>
      <c r="D67" s="7">
        <f ca="1">_xll.meDateFromTenor($B$66,C67,"MOD_FOLLOWING","TGT")</f>
        <v>44187</v>
      </c>
      <c r="E67" s="133">
        <f ca="1">_xll.meDateFromTenor($D67,"-5D","MOD_FOLLOWING","TGT")</f>
        <v>44180</v>
      </c>
      <c r="F67" s="133">
        <f ca="1">_xll.meDateFromTenor($D67,"5D","MOD_FOLLOWING","TGT")</f>
        <v>44195</v>
      </c>
      <c r="H67" s="7"/>
      <c r="K67" s="16" t="s">
        <v>76</v>
      </c>
      <c r="L67" s="17" t="s">
        <v>78</v>
      </c>
      <c r="M67" s="18" t="s">
        <v>80</v>
      </c>
    </row>
    <row r="68" spans="2:25" outlineLevel="1" x14ac:dyDescent="0.25">
      <c r="C68" s="2" t="s">
        <v>28</v>
      </c>
      <c r="D68" s="7">
        <f ca="1">_xll.meDateFromTenor($B$66,C68,"MOD_FOLLOWING","TGT")</f>
        <v>44552</v>
      </c>
      <c r="E68" s="133">
        <f ca="1">_xll.meDateFromTenor($D68,"-5D","MOD_FOLLOWING","TGT")</f>
        <v>44545</v>
      </c>
      <c r="F68" s="133">
        <f ca="1">_xll.meDateFromTenor($D68,"5D","MOD_FOLLOWING","TGT")</f>
        <v>44559</v>
      </c>
      <c r="H68" s="7"/>
      <c r="K68" s="19" t="s">
        <v>77</v>
      </c>
      <c r="L68" s="20" t="s">
        <v>78</v>
      </c>
      <c r="M68" s="21" t="s">
        <v>81</v>
      </c>
    </row>
    <row r="69" spans="2:25" outlineLevel="1" x14ac:dyDescent="0.25">
      <c r="C69" s="2" t="s">
        <v>29</v>
      </c>
      <c r="D69" s="7">
        <f ca="1">_xll.meDateFromTenor($B$66,C69,"MOD_FOLLOWING","TGT")</f>
        <v>44917</v>
      </c>
      <c r="E69" s="133">
        <f ca="1">_xll.meDateFromTenor($D69,"-5D","MOD_FOLLOWING","TGT")</f>
        <v>44910</v>
      </c>
      <c r="F69" s="133">
        <f ca="1">_xll.meDateFromTenor($D69,"5D","MOD_FOLLOWING","TGT")</f>
        <v>44925</v>
      </c>
      <c r="H69" s="7"/>
    </row>
    <row r="70" spans="2:25" outlineLevel="1" x14ac:dyDescent="0.25">
      <c r="C70" s="2" t="s">
        <v>30</v>
      </c>
      <c r="D70" s="7">
        <f ca="1">_xll.meDateFromTenor($B$66,C70,"MOD_FOLLOWING","TGT")</f>
        <v>45282</v>
      </c>
      <c r="E70" s="133">
        <f ca="1">_xll.meDateFromTenor($D70,"-5D","MOD_FOLLOWING","TGT")</f>
        <v>45275</v>
      </c>
      <c r="F70" s="133">
        <f ca="1">_xll.meDateFromTenor($D70,"5D","MOD_FOLLOWING","TGT")</f>
        <v>45294</v>
      </c>
      <c r="H70" s="7"/>
    </row>
    <row r="71" spans="2:25" outlineLevel="1" x14ac:dyDescent="0.25">
      <c r="C71" s="2" t="s">
        <v>31</v>
      </c>
      <c r="D71" s="7">
        <f ca="1">_xll.meDateFromTenor($B$66,C71,"MOD_FOLLOWING","TGT")</f>
        <v>45649</v>
      </c>
      <c r="E71" s="133">
        <f ca="1">_xll.meDateFromTenor($D71,"-5D","MOD_FOLLOWING","TGT")</f>
        <v>45642</v>
      </c>
      <c r="F71" s="133">
        <f ca="1">_xll.meDateFromTenor($D71,"5D","MOD_FOLLOWING","TGT")</f>
        <v>45659</v>
      </c>
      <c r="H71" s="7"/>
    </row>
    <row r="72" spans="2:25" outlineLevel="1" x14ac:dyDescent="0.25">
      <c r="C72" s="2" t="s">
        <v>32</v>
      </c>
      <c r="D72" s="7">
        <f ca="1">_xll.meDateFromTenor($B$66,C72,"MOD_FOLLOWING","TGT")</f>
        <v>46013</v>
      </c>
      <c r="E72" s="133">
        <f ca="1">_xll.meDateFromTenor($D72,"-5D","MOD_FOLLOWING","TGT")</f>
        <v>46006</v>
      </c>
      <c r="F72" s="133">
        <f ca="1">_xll.meDateFromTenor($D72,"5D","MOD_FOLLOWING","TGT")</f>
        <v>46022</v>
      </c>
      <c r="H72" s="7"/>
    </row>
    <row r="73" spans="2:25" outlineLevel="1" x14ac:dyDescent="0.25">
      <c r="C73" s="2" t="s">
        <v>33</v>
      </c>
      <c r="D73" s="7">
        <f ca="1">_xll.meDateFromTenor($B$66,C73,"MOD_FOLLOWING","TGT")</f>
        <v>46378</v>
      </c>
      <c r="E73" s="133">
        <f ca="1">_xll.meDateFromTenor($D73,"-5D","MOD_FOLLOWING","TGT")</f>
        <v>46371</v>
      </c>
      <c r="F73" s="133">
        <f ca="1">_xll.meDateFromTenor($D73,"5D","MOD_FOLLOWING","TGT")</f>
        <v>46386</v>
      </c>
      <c r="H73" s="7"/>
    </row>
    <row r="74" spans="2:25" outlineLevel="1" x14ac:dyDescent="0.25">
      <c r="C74" s="2" t="s">
        <v>34</v>
      </c>
      <c r="D74" s="7">
        <f ca="1">_xll.meDateFromTenor($B$66,C74,"MOD_FOLLOWING","TGT")</f>
        <v>46743</v>
      </c>
      <c r="E74" s="133">
        <f ca="1">_xll.meDateFromTenor($D74,"-5D","MOD_FOLLOWING","TGT")</f>
        <v>46736</v>
      </c>
      <c r="F74" s="133">
        <f ca="1">_xll.meDateFromTenor($D74,"5D","MOD_FOLLOWING","TGT")</f>
        <v>46750</v>
      </c>
      <c r="H74" s="7"/>
    </row>
    <row r="75" spans="2:25" outlineLevel="1" x14ac:dyDescent="0.25">
      <c r="C75" s="2" t="s">
        <v>35</v>
      </c>
      <c r="D75" s="7">
        <f ca="1">_xll.meDateFromTenor($B$66,C75,"MOD_FOLLOWING","TGT")</f>
        <v>47476</v>
      </c>
      <c r="E75" s="133">
        <f ca="1">_xll.meDateFromTenor($D75,"-5D","MOD_FOLLOWING","TGT")</f>
        <v>47469</v>
      </c>
      <c r="F75" s="133">
        <f ca="1">_xll.meDateFromTenor($D75,"5D","MOD_FOLLOWING","TGT")</f>
        <v>47486</v>
      </c>
      <c r="H75" s="7"/>
    </row>
    <row r="76" spans="2:25" outlineLevel="1" x14ac:dyDescent="0.25">
      <c r="C76" s="2" t="s">
        <v>36</v>
      </c>
      <c r="D76" s="7">
        <f ca="1">_xll.meDateFromTenor($B$66,C76,"MOD_FOLLOWING","TGT")</f>
        <v>48570</v>
      </c>
      <c r="E76" s="133">
        <f ca="1">_xll.meDateFromTenor($D76,"-5D","MOD_FOLLOWING","TGT")</f>
        <v>48563</v>
      </c>
      <c r="F76" s="133">
        <f ca="1">_xll.meDateFromTenor($D76,"5D","MOD_FOLLOWING","TGT")</f>
        <v>48577</v>
      </c>
      <c r="H76" s="7"/>
    </row>
    <row r="77" spans="2:25" outlineLevel="1" x14ac:dyDescent="0.25">
      <c r="C77" s="2" t="s">
        <v>37</v>
      </c>
      <c r="D77" s="7">
        <f ca="1">_xll.meDateFromTenor($B$66,C77,"MOD_FOLLOWING","TGT")</f>
        <v>50396</v>
      </c>
      <c r="E77" s="133">
        <f ca="1">_xll.meDateFromTenor($D77,"-5D","MOD_FOLLOWING","TGT")</f>
        <v>50389</v>
      </c>
      <c r="F77" s="133">
        <f ca="1">_xll.meDateFromTenor($D77,"5D","MOD_FOLLOWING","TGT")</f>
        <v>50404</v>
      </c>
      <c r="H77" s="7"/>
    </row>
    <row r="78" spans="2:25" outlineLevel="1" x14ac:dyDescent="0.25">
      <c r="C78" s="2" t="s">
        <v>38</v>
      </c>
      <c r="D78" s="7">
        <f ca="1">_xll.meDateFromTenor($B$66,C78,"MOD_FOLLOWING","TGT")</f>
        <v>54049</v>
      </c>
      <c r="E78" s="133">
        <f ca="1">_xll.meDateFromTenor($D78,"-5D","MOD_FOLLOWING","TGT")</f>
        <v>54042</v>
      </c>
      <c r="F78" s="133">
        <f ca="1">_xll.meDateFromTenor($D78,"5D","MOD_FOLLOWING","TGT")</f>
        <v>54059</v>
      </c>
      <c r="H78" s="7"/>
    </row>
    <row r="79" spans="2:25" outlineLevel="1" x14ac:dyDescent="0.25">
      <c r="E79" s="8"/>
      <c r="F79" s="8"/>
    </row>
    <row r="80" spans="2:25" outlineLevel="1" x14ac:dyDescent="0.25">
      <c r="E80" s="8"/>
      <c r="F80" s="8"/>
    </row>
    <row r="81" spans="2:26" ht="15.75" outlineLevel="1" thickBot="1" x14ac:dyDescent="0.3">
      <c r="C81" s="11" t="s">
        <v>62</v>
      </c>
      <c r="E81" s="8"/>
      <c r="F81" s="8"/>
    </row>
    <row r="82" spans="2:26" outlineLevel="1" x14ac:dyDescent="0.25">
      <c r="B82" s="5" t="s">
        <v>90</v>
      </c>
      <c r="C82" s="6" t="s">
        <v>40</v>
      </c>
      <c r="D82" t="s">
        <v>60</v>
      </c>
      <c r="E82" s="5" t="s">
        <v>45</v>
      </c>
      <c r="F82" s="5" t="s">
        <v>46</v>
      </c>
      <c r="H82" s="5"/>
    </row>
    <row r="83" spans="2:26" outlineLevel="1" x14ac:dyDescent="0.25">
      <c r="B83" s="7">
        <f ca="1">_xll.meDateFromTenor(AsOf,"2D","MOD_FOLLOWING","TGT")</f>
        <v>43091</v>
      </c>
      <c r="C83" s="2" t="s">
        <v>26</v>
      </c>
      <c r="D83" s="7">
        <f ca="1">_xll.meDateFromTenor($B$83,C83,"MOD_FOLLOWING","TGT")</f>
        <v>43822</v>
      </c>
      <c r="E83" s="133">
        <f ca="1">_xll.meDateFromTenor($D83,"-5D","MOD_FOLLOWING","TGT")</f>
        <v>43815</v>
      </c>
      <c r="F83" s="133">
        <f ca="1">_xll.meDateFromTenor($D83,"5D","MOD_FOLLOWING","TGT")</f>
        <v>43832</v>
      </c>
      <c r="H83" s="9"/>
    </row>
    <row r="84" spans="2:26" outlineLevel="1" x14ac:dyDescent="0.25">
      <c r="C84" s="2" t="s">
        <v>27</v>
      </c>
      <c r="D84" s="7">
        <f ca="1">_xll.meDateFromTenor($B$83,C84,"MOD_FOLLOWING","TGT")</f>
        <v>44187</v>
      </c>
      <c r="E84" s="133">
        <f ca="1">_xll.meDateFromTenor($D84,"-5D","MOD_FOLLOWING","TGT")</f>
        <v>44180</v>
      </c>
      <c r="F84" s="133">
        <f ca="1">_xll.meDateFromTenor($D84,"5D","MOD_FOLLOWING","TGT")</f>
        <v>44195</v>
      </c>
      <c r="H84" s="9"/>
    </row>
    <row r="85" spans="2:26" outlineLevel="1" x14ac:dyDescent="0.25">
      <c r="C85" s="2" t="s">
        <v>28</v>
      </c>
      <c r="D85" s="7">
        <f ca="1">_xll.meDateFromTenor($B$83,C85,"MOD_FOLLOWING","TGT")</f>
        <v>44552</v>
      </c>
      <c r="E85" s="133">
        <f ca="1">_xll.meDateFromTenor($D85,"-5D","MOD_FOLLOWING","TGT")</f>
        <v>44545</v>
      </c>
      <c r="F85" s="133">
        <f ca="1">_xll.meDateFromTenor($D85,"5D","MOD_FOLLOWING","TGT")</f>
        <v>44559</v>
      </c>
      <c r="H85" s="9"/>
    </row>
    <row r="86" spans="2:26" outlineLevel="1" x14ac:dyDescent="0.25">
      <c r="C86" s="2" t="s">
        <v>29</v>
      </c>
      <c r="D86" s="7">
        <f ca="1">_xll.meDateFromTenor($B$83,C86,"MOD_FOLLOWING","TGT")</f>
        <v>44917</v>
      </c>
      <c r="E86" s="133">
        <f ca="1">_xll.meDateFromTenor($D86,"-5D","MOD_FOLLOWING","TGT")</f>
        <v>44910</v>
      </c>
      <c r="F86" s="133">
        <f ca="1">_xll.meDateFromTenor($D86,"5D","MOD_FOLLOWING","TGT")</f>
        <v>44925</v>
      </c>
      <c r="H86" s="9"/>
    </row>
    <row r="87" spans="2:26" outlineLevel="1" x14ac:dyDescent="0.25">
      <c r="C87" s="2" t="s">
        <v>30</v>
      </c>
      <c r="D87" s="7">
        <f ca="1">_xll.meDateFromTenor($B$83,C87,"MOD_FOLLOWING","TGT")</f>
        <v>45282</v>
      </c>
      <c r="E87" s="133">
        <f ca="1">_xll.meDateFromTenor($D87,"-5D","MOD_FOLLOWING","TGT")</f>
        <v>45275</v>
      </c>
      <c r="F87" s="133">
        <f ca="1">_xll.meDateFromTenor($D87,"5D","MOD_FOLLOWING","TGT")</f>
        <v>45294</v>
      </c>
      <c r="H87" s="9"/>
    </row>
    <row r="88" spans="2:26" outlineLevel="1" x14ac:dyDescent="0.25">
      <c r="C88" s="2" t="s">
        <v>31</v>
      </c>
      <c r="D88" s="7">
        <f ca="1">_xll.meDateFromTenor($B$83,C88,"MOD_FOLLOWING","TGT")</f>
        <v>45649</v>
      </c>
      <c r="E88" s="133">
        <f ca="1">_xll.meDateFromTenor($D88,"-5D","MOD_FOLLOWING","TGT")</f>
        <v>45642</v>
      </c>
      <c r="F88" s="133">
        <f ca="1">_xll.meDateFromTenor($D88,"5D","MOD_FOLLOWING","TGT")</f>
        <v>45659</v>
      </c>
      <c r="H88" s="9"/>
    </row>
    <row r="89" spans="2:26" outlineLevel="1" x14ac:dyDescent="0.25">
      <c r="C89" s="2" t="s">
        <v>34</v>
      </c>
      <c r="D89" s="7">
        <f ca="1">_xll.meDateFromTenor($B$83,C89,"MOD_FOLLOWING","TGT")</f>
        <v>46743</v>
      </c>
      <c r="E89" s="133">
        <f ca="1">_xll.meDateFromTenor($D89,"-5D","MOD_FOLLOWING","TGT")</f>
        <v>46736</v>
      </c>
      <c r="F89" s="133">
        <f ca="1">_xll.meDateFromTenor($D89,"5D","MOD_FOLLOWING","TGT")</f>
        <v>46750</v>
      </c>
      <c r="H89" s="9"/>
    </row>
    <row r="90" spans="2:26" outlineLevel="1" x14ac:dyDescent="0.25">
      <c r="C90" s="2" t="s">
        <v>36</v>
      </c>
      <c r="D90" s="7">
        <f ca="1">_xll.meDateFromTenor($B$83,C90,"MOD_FOLLOWING","TGT")</f>
        <v>48570</v>
      </c>
      <c r="E90" s="133">
        <f ca="1">_xll.meDateFromTenor($D90,"-5D","MOD_FOLLOWING","TGT")</f>
        <v>48563</v>
      </c>
      <c r="F90" s="133">
        <f ca="1">_xll.meDateFromTenor($D90,"5D","MOD_FOLLOWING","TGT")</f>
        <v>48577</v>
      </c>
      <c r="H90" s="9"/>
    </row>
    <row r="91" spans="2:26" outlineLevel="1" x14ac:dyDescent="0.25">
      <c r="C91" s="2" t="s">
        <v>37</v>
      </c>
      <c r="D91" s="7">
        <f ca="1">_xll.meDateFromTenor($B$83,C91,"MOD_FOLLOWING","TGT")</f>
        <v>50396</v>
      </c>
      <c r="E91" s="133">
        <f ca="1">_xll.meDateFromTenor($D91,"-5D","MOD_FOLLOWING","TGT")</f>
        <v>50389</v>
      </c>
      <c r="F91" s="133">
        <f ca="1">_xll.meDateFromTenor($D91,"5D","MOD_FOLLOWING","TGT")</f>
        <v>50404</v>
      </c>
      <c r="H91" s="9"/>
    </row>
    <row r="92" spans="2:26" outlineLevel="1" x14ac:dyDescent="0.25">
      <c r="C92" s="2" t="s">
        <v>38</v>
      </c>
      <c r="D92" s="7">
        <f ca="1">_xll.meDateFromTenor($B$83,C92,"MOD_FOLLOWING","TGT")</f>
        <v>54049</v>
      </c>
      <c r="E92" s="133">
        <f ca="1">_xll.meDateFromTenor($D92,"-5D","MOD_FOLLOWING","TGT")</f>
        <v>54042</v>
      </c>
      <c r="F92" s="133">
        <f ca="1">_xll.meDateFromTenor($D92,"5D","MOD_FOLLOWING","TGT")</f>
        <v>54059</v>
      </c>
      <c r="H92" s="9"/>
    </row>
    <row r="93" spans="2:26" outlineLevel="1" x14ac:dyDescent="0.25">
      <c r="E93" s="8"/>
      <c r="F93" s="8"/>
    </row>
    <row r="94" spans="2:26" ht="15.75" outlineLevel="1" thickBot="1" x14ac:dyDescent="0.3">
      <c r="B94" s="5" t="s">
        <v>90</v>
      </c>
      <c r="C94" s="11" t="s">
        <v>63</v>
      </c>
      <c r="D94" s="11" t="s">
        <v>64</v>
      </c>
      <c r="E94" s="5" t="s">
        <v>45</v>
      </c>
      <c r="F94" s="5" t="s">
        <v>46</v>
      </c>
      <c r="H94" s="8" t="s">
        <v>93</v>
      </c>
      <c r="I94" s="11" t="s">
        <v>98</v>
      </c>
      <c r="J94" s="11" t="s">
        <v>99</v>
      </c>
      <c r="K94" s="5" t="s">
        <v>45</v>
      </c>
      <c r="L94" s="5" t="s">
        <v>46</v>
      </c>
      <c r="R94" s="8"/>
      <c r="Y94" s="5"/>
      <c r="Z94" s="5"/>
    </row>
    <row r="95" spans="2:26" outlineLevel="1" x14ac:dyDescent="0.25">
      <c r="B95" s="7">
        <f ca="1">_xll.meDateFromTenor(AsOf,"2D","MOD_FOLLOWING","NYB")</f>
        <v>43091</v>
      </c>
      <c r="C95" s="2" t="s">
        <v>26</v>
      </c>
      <c r="D95" s="7">
        <f ca="1">_xll.meDateFromTenor($B$95,C95,"MOD_FOLLOWING","NYB")</f>
        <v>43822</v>
      </c>
      <c r="E95" s="133">
        <f ca="1">_xll.meDateFromTenor($D95,"-5D","MOD_FOLLOWING","NYB")</f>
        <v>43815</v>
      </c>
      <c r="F95" s="133">
        <f ca="1">_xll.meDateFromTenor($D95,"5D","MOD_FOLLOWING","NYB")</f>
        <v>43830</v>
      </c>
      <c r="H95" s="9">
        <f ca="1">_xll.meDateNthIMMFromStartDate(AsOf, 1,"NYB","MOD_FOLLOWING")</f>
        <v>43180</v>
      </c>
      <c r="I95" s="2" t="s">
        <v>26</v>
      </c>
      <c r="J95" s="7">
        <f ca="1">_xll.meDateFromTenor($H$95,I95,"MOD_FOLLOWING","NYB")</f>
        <v>43913</v>
      </c>
      <c r="K95" s="133">
        <f ca="1">_xll.meDateFromTenor($J95,"-5D","MOD_FOLLOWING","NYB")</f>
        <v>43906</v>
      </c>
      <c r="L95" s="133">
        <f ca="1">_xll.meDateFromTenor($J95,"5D","MOD_FOLLOWING","NYB")</f>
        <v>43920</v>
      </c>
      <c r="R95" s="9"/>
      <c r="Y95" s="9"/>
      <c r="Z95" s="9"/>
    </row>
    <row r="96" spans="2:26" outlineLevel="1" x14ac:dyDescent="0.25">
      <c r="C96" s="2" t="s">
        <v>27</v>
      </c>
      <c r="D96" s="7">
        <f ca="1">_xll.meDateFromTenor($B$95,C96,"MOD_FOLLOWING","NYB")</f>
        <v>44187</v>
      </c>
      <c r="E96" s="133">
        <f ca="1">_xll.meDateFromTenor($D96,"-5D","MOD_FOLLOWING","NYB")</f>
        <v>44180</v>
      </c>
      <c r="F96" s="133">
        <f ca="1">_xll.meDateFromTenor($D96,"5D","MOD_FOLLOWING","NYB")</f>
        <v>44195</v>
      </c>
      <c r="H96" s="9"/>
      <c r="I96" s="2" t="s">
        <v>27</v>
      </c>
      <c r="J96" s="7">
        <f ca="1">_xll.meDateFromTenor($H$95,I96,"MOD_FOLLOWING","NYB")</f>
        <v>44277</v>
      </c>
      <c r="K96" s="133">
        <f ca="1">_xll.meDateFromTenor($J96,"-5D","MOD_FOLLOWING","NYB")</f>
        <v>44270</v>
      </c>
      <c r="L96" s="133">
        <f ca="1">_xll.meDateFromTenor($J96,"5D","MOD_FOLLOWING","NYB")</f>
        <v>44284</v>
      </c>
      <c r="R96" s="9"/>
      <c r="Y96" s="9"/>
      <c r="Z96" s="9"/>
    </row>
    <row r="97" spans="2:26" outlineLevel="1" x14ac:dyDescent="0.25">
      <c r="C97" s="2" t="s">
        <v>28</v>
      </c>
      <c r="D97" s="7">
        <f ca="1">_xll.meDateFromTenor($B$95,C97,"MOD_FOLLOWING","NYB")</f>
        <v>44552</v>
      </c>
      <c r="E97" s="133">
        <f ca="1">_xll.meDateFromTenor($D97,"-5D","MOD_FOLLOWING","NYB")</f>
        <v>44545</v>
      </c>
      <c r="F97" s="133">
        <f ca="1">_xll.meDateFromTenor($D97,"5D","MOD_FOLLOWING","NYB")</f>
        <v>44559</v>
      </c>
      <c r="H97" s="9"/>
      <c r="I97" s="2" t="s">
        <v>28</v>
      </c>
      <c r="J97" s="7">
        <f ca="1">_xll.meDateFromTenor($H$95,I97,"MOD_FOLLOWING","NYB")</f>
        <v>44641</v>
      </c>
      <c r="K97" s="133">
        <f ca="1">_xll.meDateFromTenor($J97,"-5D","MOD_FOLLOWING","NYB")</f>
        <v>44634</v>
      </c>
      <c r="L97" s="133">
        <f ca="1">_xll.meDateFromTenor($J97,"5D","MOD_FOLLOWING","NYB")</f>
        <v>44648</v>
      </c>
      <c r="R97" s="9"/>
      <c r="Y97" s="9"/>
      <c r="Z97" s="9"/>
    </row>
    <row r="98" spans="2:26" outlineLevel="1" x14ac:dyDescent="0.25">
      <c r="C98" s="2" t="s">
        <v>29</v>
      </c>
      <c r="D98" s="7">
        <f ca="1">_xll.meDateFromTenor($B$95,C98,"MOD_FOLLOWING","NYB")</f>
        <v>44917</v>
      </c>
      <c r="E98" s="133">
        <f ca="1">_xll.meDateFromTenor($D98,"-5D","MOD_FOLLOWING","NYB")</f>
        <v>44910</v>
      </c>
      <c r="F98" s="133">
        <f ca="1">_xll.meDateFromTenor($D98,"5D","MOD_FOLLOWING","NYB")</f>
        <v>44925</v>
      </c>
      <c r="H98" s="9"/>
      <c r="I98" s="2" t="s">
        <v>29</v>
      </c>
      <c r="J98" s="7">
        <f ca="1">_xll.meDateFromTenor($H$95,I98,"MOD_FOLLOWING","NYB")</f>
        <v>45006</v>
      </c>
      <c r="K98" s="133">
        <f ca="1">_xll.meDateFromTenor($J98,"-5D","MOD_FOLLOWING","NYB")</f>
        <v>44999</v>
      </c>
      <c r="L98" s="133">
        <f ca="1">_xll.meDateFromTenor($J98,"5D","MOD_FOLLOWING","NYB")</f>
        <v>45013</v>
      </c>
      <c r="R98" s="9"/>
      <c r="Y98" s="10"/>
      <c r="Z98" s="10"/>
    </row>
    <row r="99" spans="2:26" outlineLevel="1" x14ac:dyDescent="0.25">
      <c r="C99" s="2" t="s">
        <v>30</v>
      </c>
      <c r="D99" s="7">
        <f ca="1">_xll.meDateFromTenor($B$95,C99,"MOD_FOLLOWING","NYB")</f>
        <v>45282</v>
      </c>
      <c r="E99" s="133">
        <f ca="1">_xll.meDateFromTenor($D99,"-5D","MOD_FOLLOWING","NYB")</f>
        <v>45275</v>
      </c>
      <c r="F99" s="133">
        <f ca="1">_xll.meDateFromTenor($D99,"5D","MOD_FOLLOWING","NYB")</f>
        <v>45293</v>
      </c>
      <c r="H99" s="9"/>
      <c r="I99" s="2" t="s">
        <v>30</v>
      </c>
      <c r="J99" s="7">
        <f ca="1">_xll.meDateFromTenor($H$95,I99,"MOD_FOLLOWING","NYB")</f>
        <v>45372</v>
      </c>
      <c r="K99" s="133">
        <f ca="1">_xll.meDateFromTenor($J99,"-5D","MOD_FOLLOWING","NYB")</f>
        <v>45365</v>
      </c>
      <c r="L99" s="133">
        <f ca="1">_xll.meDateFromTenor($J99,"5D","MOD_FOLLOWING","NYB")</f>
        <v>45379</v>
      </c>
      <c r="R99" s="9"/>
      <c r="Y99" s="9"/>
      <c r="Z99" s="9"/>
    </row>
    <row r="100" spans="2:26" outlineLevel="1" x14ac:dyDescent="0.25">
      <c r="C100" s="2" t="s">
        <v>31</v>
      </c>
      <c r="D100" s="7">
        <f ca="1">_xll.meDateFromTenor($B$95,C100,"MOD_FOLLOWING","NYB")</f>
        <v>45649</v>
      </c>
      <c r="E100" s="133">
        <f ca="1">_xll.meDateFromTenor($D100,"-5D","MOD_FOLLOWING","NYB")</f>
        <v>45642</v>
      </c>
      <c r="F100" s="133">
        <f ca="1">_xll.meDateFromTenor($D100,"5D","MOD_FOLLOWING","NYB")</f>
        <v>45657</v>
      </c>
      <c r="H100" s="9"/>
      <c r="I100" s="2" t="s">
        <v>31</v>
      </c>
      <c r="J100" s="7">
        <f ca="1">_xll.meDateFromTenor($H$95,I100,"MOD_FOLLOWING","NYB")</f>
        <v>45737</v>
      </c>
      <c r="K100" s="133">
        <f ca="1">_xll.meDateFromTenor($J100,"-5D","MOD_FOLLOWING","NYB")</f>
        <v>45730</v>
      </c>
      <c r="L100" s="133">
        <f ca="1">_xll.meDateFromTenor($J100,"5D","MOD_FOLLOWING","NYB")</f>
        <v>45744</v>
      </c>
      <c r="R100" s="9"/>
      <c r="W100" s="2"/>
      <c r="X100" s="7"/>
      <c r="Y100" s="9"/>
      <c r="Z100" s="9"/>
    </row>
    <row r="101" spans="2:26" outlineLevel="1" x14ac:dyDescent="0.25">
      <c r="C101" s="2" t="s">
        <v>34</v>
      </c>
      <c r="D101" s="7">
        <f ca="1">_xll.meDateFromTenor($B$95,C101,"MOD_FOLLOWING","NYB")</f>
        <v>46743</v>
      </c>
      <c r="E101" s="133">
        <f ca="1">_xll.meDateFromTenor($D101,"-5D","MOD_FOLLOWING","NYB")</f>
        <v>46736</v>
      </c>
      <c r="F101" s="133">
        <f ca="1">_xll.meDateFromTenor($D101,"5D","MOD_FOLLOWING","NYB")</f>
        <v>46750</v>
      </c>
      <c r="H101" s="9"/>
      <c r="I101" s="2" t="s">
        <v>34</v>
      </c>
      <c r="J101" s="7">
        <f ca="1">_xll.meDateFromTenor($H$95,I101,"MOD_FOLLOWING","NYB")</f>
        <v>46833</v>
      </c>
      <c r="K101" s="133">
        <f ca="1">_xll.meDateFromTenor($J101,"-5D","MOD_FOLLOWING","NYB")</f>
        <v>46826</v>
      </c>
      <c r="L101" s="133">
        <f ca="1">_xll.meDateFromTenor($J101,"5D","MOD_FOLLOWING","NYB")</f>
        <v>46840</v>
      </c>
      <c r="R101" s="9"/>
      <c r="W101" s="2"/>
      <c r="X101" s="7"/>
      <c r="Y101" s="9"/>
      <c r="Z101" s="9"/>
    </row>
    <row r="102" spans="2:26" outlineLevel="1" x14ac:dyDescent="0.25">
      <c r="C102" s="2" t="s">
        <v>35</v>
      </c>
      <c r="D102" s="7">
        <f ca="1">_xll.meDateFromTenor($B$95,C102,"MOD_FOLLOWING","NYB")</f>
        <v>47476</v>
      </c>
      <c r="E102" s="133">
        <f ca="1">_xll.meDateFromTenor($D102,"-5D","MOD_FOLLOWING","NYB")</f>
        <v>47469</v>
      </c>
      <c r="F102" s="133">
        <f ca="1">_xll.meDateFromTenor($D102,"5D","MOD_FOLLOWING","NYB")</f>
        <v>47485</v>
      </c>
      <c r="H102" s="9"/>
      <c r="I102" s="2" t="s">
        <v>35</v>
      </c>
      <c r="J102" s="7">
        <f ca="1">_xll.meDateFromTenor($H$95,I102,"MOD_FOLLOWING","NYB")</f>
        <v>47563</v>
      </c>
      <c r="K102" s="133">
        <f ca="1">_xll.meDateFromTenor($J102,"-5D","MOD_FOLLOWING","NYB")</f>
        <v>47556</v>
      </c>
      <c r="L102" s="133">
        <f ca="1">_xll.meDateFromTenor($J102,"5D","MOD_FOLLOWING","NYB")</f>
        <v>47570</v>
      </c>
      <c r="R102" s="9"/>
      <c r="W102" s="2"/>
      <c r="X102" s="7"/>
      <c r="Y102" s="9"/>
      <c r="Z102" s="9"/>
    </row>
    <row r="103" spans="2:26" outlineLevel="1" x14ac:dyDescent="0.25">
      <c r="C103" s="2" t="s">
        <v>36</v>
      </c>
      <c r="D103" s="7">
        <f ca="1">_xll.meDateFromTenor($B$95,C103,"MOD_FOLLOWING","NYB")</f>
        <v>48570</v>
      </c>
      <c r="E103" s="133">
        <f ca="1">_xll.meDateFromTenor($D103,"-5D","MOD_FOLLOWING","NYB")</f>
        <v>48563</v>
      </c>
      <c r="F103" s="133">
        <f ca="1">_xll.meDateFromTenor($D103,"5D","MOD_FOLLOWING","NYB")</f>
        <v>48577</v>
      </c>
      <c r="H103" s="9"/>
      <c r="I103" s="2" t="s">
        <v>36</v>
      </c>
      <c r="J103" s="7">
        <f ca="1">_xll.meDateFromTenor($H$95,I103,"MOD_FOLLOWING","NYB")</f>
        <v>48659</v>
      </c>
      <c r="K103" s="133">
        <f ca="1">_xll.meDateFromTenor($J103,"-5D","MOD_FOLLOWING","NYB")</f>
        <v>48652</v>
      </c>
      <c r="L103" s="133">
        <f ca="1">_xll.meDateFromTenor($J103,"5D","MOD_FOLLOWING","NYB")</f>
        <v>48666</v>
      </c>
      <c r="R103" s="9"/>
      <c r="W103" s="2"/>
      <c r="X103" s="7"/>
      <c r="Y103" s="9"/>
      <c r="Z103" s="9"/>
    </row>
    <row r="104" spans="2:26" outlineLevel="1" x14ac:dyDescent="0.25">
      <c r="C104" s="2" t="s">
        <v>37</v>
      </c>
      <c r="D104" s="7">
        <f ca="1">_xll.meDateFromTenor($B$95,C104,"MOD_FOLLOWING","NYB")</f>
        <v>50396</v>
      </c>
      <c r="E104" s="133">
        <f ca="1">_xll.meDateFromTenor($D104,"-5D","MOD_FOLLOWING","NYB")</f>
        <v>50389</v>
      </c>
      <c r="F104" s="133">
        <f ca="1">_xll.meDateFromTenor($D104,"5D","MOD_FOLLOWING","NYB")</f>
        <v>50404</v>
      </c>
      <c r="H104" s="9"/>
      <c r="I104" s="2" t="s">
        <v>37</v>
      </c>
      <c r="J104" s="7">
        <f ca="1">_xll.meDateFromTenor($H$95,I104,"MOD_FOLLOWING","NYB")</f>
        <v>50486</v>
      </c>
      <c r="K104" s="133">
        <f ca="1">_xll.meDateFromTenor($J104,"-5D","MOD_FOLLOWING","NYB")</f>
        <v>50479</v>
      </c>
      <c r="L104" s="133">
        <f ca="1">_xll.meDateFromTenor($J104,"5D","MOD_FOLLOWING","NYB")</f>
        <v>50493</v>
      </c>
      <c r="R104" s="9"/>
      <c r="W104" s="2"/>
      <c r="X104" s="7"/>
      <c r="Y104" s="9"/>
      <c r="Z104" s="9"/>
    </row>
    <row r="105" spans="2:26" outlineLevel="1" x14ac:dyDescent="0.25">
      <c r="C105" s="2" t="s">
        <v>38</v>
      </c>
      <c r="D105" s="7">
        <f ca="1">_xll.meDateFromTenor($B$95,C105,"MOD_FOLLOWING","NYB")</f>
        <v>54049</v>
      </c>
      <c r="E105" s="133">
        <f ca="1">_xll.meDateFromTenor($D105,"-5D","MOD_FOLLOWING","NYB")</f>
        <v>54042</v>
      </c>
      <c r="F105" s="133">
        <f ca="1">_xll.meDateFromTenor($D105,"5D","MOD_FOLLOWING","NYB")</f>
        <v>54057</v>
      </c>
      <c r="H105" s="9"/>
      <c r="I105" s="2" t="s">
        <v>38</v>
      </c>
      <c r="J105" s="7">
        <f ca="1">_xll.meDateFromTenor($H$95,I105,"MOD_FOLLOWING","NYB")</f>
        <v>54140</v>
      </c>
      <c r="K105" s="133">
        <f ca="1">_xll.meDateFromTenor($J105,"-5D","MOD_FOLLOWING","NYB")</f>
        <v>54133</v>
      </c>
      <c r="L105" s="133">
        <f ca="1">_xll.meDateFromTenor($J105,"5D","MOD_FOLLOWING","NYB")</f>
        <v>54147</v>
      </c>
      <c r="R105" s="9"/>
      <c r="W105" s="2"/>
      <c r="X105" s="7"/>
      <c r="Y105" s="9"/>
      <c r="Z105" s="9"/>
    </row>
    <row r="106" spans="2:26" outlineLevel="1" x14ac:dyDescent="0.25">
      <c r="E106" s="8"/>
      <c r="F106" s="8"/>
    </row>
    <row r="107" spans="2:26" outlineLevel="1" x14ac:dyDescent="0.25">
      <c r="E107" s="8"/>
      <c r="F107" s="8"/>
    </row>
    <row r="108" spans="2:26" ht="15.75" outlineLevel="1" thickBot="1" x14ac:dyDescent="0.3">
      <c r="B108" s="5" t="s">
        <v>91</v>
      </c>
      <c r="C108" s="11" t="s">
        <v>65</v>
      </c>
      <c r="D108" s="11" t="s">
        <v>66</v>
      </c>
      <c r="E108" s="5" t="s">
        <v>45</v>
      </c>
      <c r="F108" s="5" t="s">
        <v>46</v>
      </c>
      <c r="H108" s="8" t="s">
        <v>94</v>
      </c>
      <c r="I108" s="11" t="s">
        <v>98</v>
      </c>
      <c r="J108" s="11" t="s">
        <v>99</v>
      </c>
      <c r="K108" s="5" t="s">
        <v>45</v>
      </c>
      <c r="L108" s="5" t="s">
        <v>46</v>
      </c>
    </row>
    <row r="109" spans="2:26" outlineLevel="1" x14ac:dyDescent="0.25">
      <c r="B109" s="7">
        <f ca="1">_xll.meDateFromTenor(AsOf,"0D","MOD_FOLLOWING","LNB")</f>
        <v>43089</v>
      </c>
      <c r="C109" s="2" t="s">
        <v>26</v>
      </c>
      <c r="D109" s="7">
        <f ca="1">_xll.meDateFromTenor($B$109,C109,"MOD_FOLLOWING","LNB")</f>
        <v>43819</v>
      </c>
      <c r="E109" s="133">
        <f ca="1">_xll.meDateFromTenor($D109,"-5D","MOD_FOLLOWING","LNB")</f>
        <v>43812</v>
      </c>
      <c r="F109" s="133">
        <f ca="1">_xll.meDateFromTenor($D109,"5D","MOD_FOLLOWING","LNB")</f>
        <v>43830</v>
      </c>
      <c r="H109" s="9">
        <f ca="1">_xll.meDateNthIMMFromStartDate(AsOf, 2,"NYB","MOD_FOLLOWING")</f>
        <v>43271</v>
      </c>
      <c r="I109" s="2" t="s">
        <v>26</v>
      </c>
      <c r="J109" s="7">
        <f ca="1">_xll.meDateFromTenor($H$109,I109,"MOD_FOLLOWING","NYB")</f>
        <v>44004</v>
      </c>
      <c r="K109" s="133">
        <f ca="1">_xll.meDateFromTenor($J109,"-5D","MOD_FOLLOWING","NYB")</f>
        <v>43997</v>
      </c>
      <c r="L109" s="133">
        <f ca="1">_xll.meDateFromTenor($J109,"5D","MOD_FOLLOWING","NYB")</f>
        <v>44011</v>
      </c>
    </row>
    <row r="110" spans="2:26" outlineLevel="1" x14ac:dyDescent="0.25">
      <c r="C110" s="2" t="s">
        <v>27</v>
      </c>
      <c r="D110" s="7">
        <f ca="1">_xll.meDateFromTenor($B$109,C110,"MOD_FOLLOWING","LNB")</f>
        <v>44186</v>
      </c>
      <c r="E110" s="133">
        <f ca="1">_xll.meDateFromTenor($D110,"-5D","MOD_FOLLOWING","LNB")</f>
        <v>44179</v>
      </c>
      <c r="F110" s="133">
        <f ca="1">_xll.meDateFromTenor($D110,"5D","MOD_FOLLOWING","LNB")</f>
        <v>44195</v>
      </c>
      <c r="H110" s="9"/>
      <c r="I110" s="2" t="s">
        <v>27</v>
      </c>
      <c r="J110" s="7">
        <f ca="1">_xll.meDateFromTenor($H$109,I110,"MOD_FOLLOWING","NYB")</f>
        <v>44368</v>
      </c>
      <c r="K110" s="133">
        <f ca="1">_xll.meDateFromTenor($J110,"-5D","MOD_FOLLOWING","NYB")</f>
        <v>44361</v>
      </c>
      <c r="L110" s="133">
        <f ca="1">_xll.meDateFromTenor($J110,"5D","MOD_FOLLOWING","NYB")</f>
        <v>44375</v>
      </c>
    </row>
    <row r="111" spans="2:26" outlineLevel="1" x14ac:dyDescent="0.25">
      <c r="C111" s="2" t="s">
        <v>28</v>
      </c>
      <c r="D111" s="7">
        <f ca="1">_xll.meDateFromTenor($B$109,C111,"MOD_FOLLOWING","LNB")</f>
        <v>44550</v>
      </c>
      <c r="E111" s="133">
        <f ca="1">_xll.meDateFromTenor($D111,"-5D","MOD_FOLLOWING","LNB")</f>
        <v>44543</v>
      </c>
      <c r="F111" s="133">
        <f ca="1">_xll.meDateFromTenor($D111,"5D","MOD_FOLLOWING","LNB")</f>
        <v>44559</v>
      </c>
      <c r="H111" s="9"/>
      <c r="I111" s="2" t="s">
        <v>28</v>
      </c>
      <c r="J111" s="7">
        <f ca="1">_xll.meDateFromTenor($H$109,I111,"MOD_FOLLOWING","NYB")</f>
        <v>44732</v>
      </c>
      <c r="K111" s="133">
        <f ca="1">_xll.meDateFromTenor($J111,"-5D","MOD_FOLLOWING","NYB")</f>
        <v>44725</v>
      </c>
      <c r="L111" s="133">
        <f ca="1">_xll.meDateFromTenor($J111,"5D","MOD_FOLLOWING","NYB")</f>
        <v>44739</v>
      </c>
    </row>
    <row r="112" spans="2:26" outlineLevel="1" x14ac:dyDescent="0.25">
      <c r="C112" s="2" t="s">
        <v>29</v>
      </c>
      <c r="D112" s="7">
        <f ca="1">_xll.meDateFromTenor($B$109,C112,"MOD_FOLLOWING","LNB")</f>
        <v>44915</v>
      </c>
      <c r="E112" s="133">
        <f ca="1">_xll.meDateFromTenor($D112,"-5D","MOD_FOLLOWING","LNB")</f>
        <v>44908</v>
      </c>
      <c r="F112" s="133">
        <f ca="1">_xll.meDateFromTenor($D112,"5D","MOD_FOLLOWING","LNB")</f>
        <v>44924</v>
      </c>
      <c r="H112" s="9"/>
      <c r="I112" s="2" t="s">
        <v>29</v>
      </c>
      <c r="J112" s="7">
        <f ca="1">_xll.meDateFromTenor($H$109,I112,"MOD_FOLLOWING","NYB")</f>
        <v>45097</v>
      </c>
      <c r="K112" s="133">
        <f ca="1">_xll.meDateFromTenor($J112,"-5D","MOD_FOLLOWING","NYB")</f>
        <v>45090</v>
      </c>
      <c r="L112" s="133">
        <f ca="1">_xll.meDateFromTenor($J112,"5D","MOD_FOLLOWING","NYB")</f>
        <v>45104</v>
      </c>
    </row>
    <row r="113" spans="1:12" outlineLevel="1" x14ac:dyDescent="0.25">
      <c r="C113" s="2" t="s">
        <v>30</v>
      </c>
      <c r="D113" s="7">
        <f ca="1">_xll.meDateFromTenor($B$109,C113,"MOD_FOLLOWING","LNB")</f>
        <v>45280</v>
      </c>
      <c r="E113" s="133">
        <f ca="1">_xll.meDateFromTenor($D113,"-5D","MOD_FOLLOWING","LNB")</f>
        <v>45273</v>
      </c>
      <c r="F113" s="133">
        <f ca="1">_xll.meDateFromTenor($D113,"5D","MOD_FOLLOWING","LNB")</f>
        <v>45289</v>
      </c>
      <c r="H113" s="9"/>
      <c r="I113" s="2" t="s">
        <v>30</v>
      </c>
      <c r="J113" s="7">
        <f ca="1">_xll.meDateFromTenor($H$109,I113,"MOD_FOLLOWING","NYB")</f>
        <v>45463</v>
      </c>
      <c r="K113" s="133">
        <f ca="1">_xll.meDateFromTenor($J113,"-5D","MOD_FOLLOWING","NYB")</f>
        <v>45456</v>
      </c>
      <c r="L113" s="133">
        <f ca="1">_xll.meDateFromTenor($J113,"5D","MOD_FOLLOWING","NYB")</f>
        <v>45470</v>
      </c>
    </row>
    <row r="114" spans="1:12" outlineLevel="1" x14ac:dyDescent="0.25">
      <c r="C114" s="2" t="s">
        <v>31</v>
      </c>
      <c r="D114" s="7">
        <f ca="1">_xll.meDateFromTenor($B$109,C114,"MOD_FOLLOWING","LNB")</f>
        <v>45646</v>
      </c>
      <c r="E114" s="133">
        <f ca="1">_xll.meDateFromTenor($D114,"-5D","MOD_FOLLOWING","LNB")</f>
        <v>45639</v>
      </c>
      <c r="F114" s="133">
        <f ca="1">_xll.meDateFromTenor($D114,"5D","MOD_FOLLOWING","LNB")</f>
        <v>45657</v>
      </c>
      <c r="H114" s="9"/>
      <c r="I114" s="2" t="s">
        <v>31</v>
      </c>
      <c r="J114" s="7">
        <f ca="1">_xll.meDateFromTenor($H$109,I114,"MOD_FOLLOWING","NYB")</f>
        <v>45828</v>
      </c>
      <c r="K114" s="133">
        <f ca="1">_xll.meDateFromTenor($J114,"-5D","MOD_FOLLOWING","NYB")</f>
        <v>45821</v>
      </c>
      <c r="L114" s="133">
        <f ca="1">_xll.meDateFromTenor($J114,"5D","MOD_FOLLOWING","NYB")</f>
        <v>45835</v>
      </c>
    </row>
    <row r="115" spans="1:12" outlineLevel="1" x14ac:dyDescent="0.25">
      <c r="C115" s="2" t="s">
        <v>34</v>
      </c>
      <c r="D115" s="7">
        <f ca="1">_xll.meDateFromTenor($B$109,C115,"MOD_FOLLOWING","LNB")</f>
        <v>46741</v>
      </c>
      <c r="E115" s="133">
        <f ca="1">_xll.meDateFromTenor($D115,"-5D","MOD_FOLLOWING","LNB")</f>
        <v>46734</v>
      </c>
      <c r="F115" s="133">
        <f ca="1">_xll.meDateFromTenor($D115,"5D","MOD_FOLLOWING","LNB")</f>
        <v>46750</v>
      </c>
      <c r="H115" s="9"/>
      <c r="I115" s="2" t="s">
        <v>34</v>
      </c>
      <c r="J115" s="7">
        <f ca="1">_xll.meDateFromTenor($H$109,I115,"MOD_FOLLOWING","NYB")</f>
        <v>46924</v>
      </c>
      <c r="K115" s="133">
        <f ca="1">_xll.meDateFromTenor($J115,"-5D","MOD_FOLLOWING","NYB")</f>
        <v>46917</v>
      </c>
      <c r="L115" s="133">
        <f ca="1">_xll.meDateFromTenor($J115,"5D","MOD_FOLLOWING","NYB")</f>
        <v>46931</v>
      </c>
    </row>
    <row r="116" spans="1:12" outlineLevel="1" x14ac:dyDescent="0.25">
      <c r="C116" s="2" t="s">
        <v>36</v>
      </c>
      <c r="D116" s="7">
        <f ca="1">_xll.meDateFromTenor($B$109,C116,"MOD_FOLLOWING","LNB")</f>
        <v>48568</v>
      </c>
      <c r="E116" s="133">
        <f ca="1">_xll.meDateFromTenor($D116,"-5D","MOD_FOLLOWING","LNB")</f>
        <v>48561</v>
      </c>
      <c r="F116" s="133">
        <f ca="1">_xll.meDateFromTenor($D116,"5D","MOD_FOLLOWING","LNB")</f>
        <v>48577</v>
      </c>
      <c r="H116" s="9"/>
      <c r="I116" s="2" t="s">
        <v>35</v>
      </c>
      <c r="J116" s="7">
        <f ca="1">_xll.meDateFromTenor($H$109,I116,"MOD_FOLLOWING","NYB")</f>
        <v>47654</v>
      </c>
      <c r="K116" s="133">
        <f ca="1">_xll.meDateFromTenor($J116,"-5D","MOD_FOLLOWING","NYB")</f>
        <v>47647</v>
      </c>
      <c r="L116" s="133">
        <f ca="1">_xll.meDateFromTenor($J116,"5D","MOD_FOLLOWING","NYB")</f>
        <v>47661</v>
      </c>
    </row>
    <row r="117" spans="1:12" outlineLevel="1" x14ac:dyDescent="0.25">
      <c r="C117" s="2" t="s">
        <v>37</v>
      </c>
      <c r="D117" s="7">
        <f ca="1">_xll.meDateFromTenor($B$109,C117,"MOD_FOLLOWING","LNB")</f>
        <v>50395</v>
      </c>
      <c r="E117" s="133">
        <f ca="1">_xll.meDateFromTenor($D117,"-5D","MOD_FOLLOWING","LNB")</f>
        <v>50388</v>
      </c>
      <c r="F117" s="133">
        <f ca="1">_xll.meDateFromTenor($D117,"5D","MOD_FOLLOWING","LNB")</f>
        <v>50404</v>
      </c>
      <c r="H117" s="9"/>
      <c r="I117" s="2" t="s">
        <v>36</v>
      </c>
      <c r="J117" s="7">
        <f ca="1">_xll.meDateFromTenor($H$109,I117,"MOD_FOLLOWING","NYB")</f>
        <v>48750</v>
      </c>
      <c r="K117" s="133">
        <f ca="1">_xll.meDateFromTenor($J117,"-5D","MOD_FOLLOWING","NYB")</f>
        <v>48743</v>
      </c>
      <c r="L117" s="133">
        <f ca="1">_xll.meDateFromTenor($J117,"5D","MOD_FOLLOWING","NYB")</f>
        <v>48757</v>
      </c>
    </row>
    <row r="118" spans="1:12" outlineLevel="1" x14ac:dyDescent="0.25">
      <c r="C118" s="2" t="s">
        <v>38</v>
      </c>
      <c r="D118" s="7">
        <f ca="1">_xll.meDateFromTenor($B$109,C118,"MOD_FOLLOWING","LNB")</f>
        <v>54046</v>
      </c>
      <c r="E118" s="133">
        <f ca="1">_xll.meDateFromTenor($D118,"-5D","MOD_FOLLOWING","LNB")</f>
        <v>54039</v>
      </c>
      <c r="F118" s="133">
        <f ca="1">_xll.meDateFromTenor($D118,"5D","MOD_FOLLOWING","LNB")</f>
        <v>54057</v>
      </c>
      <c r="H118" s="9"/>
      <c r="I118" s="2" t="s">
        <v>37</v>
      </c>
      <c r="J118" s="7">
        <f ca="1">_xll.meDateFromTenor($H$109,I118,"MOD_FOLLOWING","NYB")</f>
        <v>50577</v>
      </c>
      <c r="K118" s="133">
        <f ca="1">_xll.meDateFromTenor($J118,"-5D","MOD_FOLLOWING","NYB")</f>
        <v>50570</v>
      </c>
      <c r="L118" s="133">
        <f ca="1">_xll.meDateFromTenor($J118,"5D","MOD_FOLLOWING","NYB")</f>
        <v>50584</v>
      </c>
    </row>
    <row r="119" spans="1:12" outlineLevel="1" x14ac:dyDescent="0.25">
      <c r="H119" s="9"/>
      <c r="I119" s="2" t="s">
        <v>38</v>
      </c>
      <c r="J119" s="7">
        <f ca="1">_xll.meDateFromTenor($H$109,I119,"MOD_FOLLOWING","NYB")</f>
        <v>54231</v>
      </c>
      <c r="K119" s="133">
        <f ca="1">_xll.meDateFromTenor($J119,"-5D","MOD_FOLLOWING","NYB")</f>
        <v>54224</v>
      </c>
      <c r="L119" s="133">
        <f ca="1">_xll.meDateFromTenor($J119,"5D","MOD_FOLLOWING","NYB")</f>
        <v>54238</v>
      </c>
    </row>
    <row r="120" spans="1:12" x14ac:dyDescent="0.25">
      <c r="A120" s="12" t="s">
        <v>71</v>
      </c>
    </row>
  </sheetData>
  <mergeCells count="19">
    <mergeCell ref="G5:G6"/>
    <mergeCell ref="B5:B6"/>
    <mergeCell ref="C5:C6"/>
    <mergeCell ref="D5:D6"/>
    <mergeCell ref="E5:E6"/>
    <mergeCell ref="F5:F6"/>
    <mergeCell ref="C52:C53"/>
    <mergeCell ref="D52:D53"/>
    <mergeCell ref="E52:E53"/>
    <mergeCell ref="G52:G53"/>
    <mergeCell ref="H52:H53"/>
    <mergeCell ref="I52:I53"/>
    <mergeCell ref="J52:K52"/>
    <mergeCell ref="L52:N52"/>
    <mergeCell ref="H5:H6"/>
    <mergeCell ref="I5:I6"/>
    <mergeCell ref="J5:J6"/>
    <mergeCell ref="K5:L5"/>
    <mergeCell ref="M5:O5"/>
  </mergeCells>
  <conditionalFormatting sqref="B7:B48">
    <cfRule type="cellIs" dxfId="5" priority="1" operator="equal">
      <formula>TRUE</formula>
    </cfRule>
  </conditionalFormatting>
  <dataValidations count="6">
    <dataValidation type="list" allowBlank="1" showInputMessage="1" showErrorMessage="1" sqref="D7:D48">
      <formula1>"USD,EUR,GBP"</formula1>
    </dataValidation>
    <dataValidation type="list" allowBlank="1" showInputMessage="1" showErrorMessage="1" sqref="M7:M48">
      <formula1>"EUR3ML,EUR6ML,GBP3ML,GBP6ML,USD3ML,USD3ML.IMM,USD6ML,USD6ML.IMM"</formula1>
    </dataValidation>
    <dataValidation type="list" allowBlank="1" showInputMessage="1" showErrorMessage="1" sqref="E7:E48">
      <formula1>"SPOT,IMM"</formula1>
    </dataValidation>
    <dataValidation type="list" allowBlank="1" showInputMessage="1" showErrorMessage="1" sqref="O7:O48 L7:L48">
      <formula1>"30/360,ACT/360,ACT/365F"</formula1>
    </dataValidation>
    <dataValidation type="list" allowBlank="1" showInputMessage="1" showErrorMessage="1" sqref="K7:K48 N7:N48">
      <formula1>"ANNUAL,SEMI-ANNUAL,QUARTERLY,MONTHLY"</formula1>
    </dataValidation>
    <dataValidation type="list" allowBlank="1" showInputMessage="1" showErrorMessage="1" sqref="F7:F48">
      <formula1>"0,1,2"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AD120"/>
  <sheetViews>
    <sheetView showGridLines="0" workbookViewId="0"/>
  </sheetViews>
  <sheetFormatPr defaultRowHeight="15" outlineLevelRow="1" outlineLevelCol="1" x14ac:dyDescent="0.25"/>
  <cols>
    <col min="2" max="2" width="15.7109375" customWidth="1"/>
    <col min="3" max="3" width="20.7109375" customWidth="1"/>
    <col min="4" max="4" width="12.7109375" customWidth="1"/>
    <col min="5" max="5" width="15.7109375" customWidth="1"/>
    <col min="6" max="6" width="14.7109375" customWidth="1"/>
    <col min="7" max="7" width="12.5703125" customWidth="1"/>
    <col min="8" max="9" width="20.7109375" customWidth="1"/>
    <col min="10" max="10" width="17.85546875" customWidth="1"/>
    <col min="11" max="13" width="15.7109375" customWidth="1"/>
    <col min="14" max="14" width="22.140625" bestFit="1" customWidth="1"/>
    <col min="15" max="15" width="15.7109375" customWidth="1"/>
    <col min="16" max="16" width="12.7109375" hidden="1" customWidth="1" outlineLevel="1"/>
    <col min="17" max="17" width="14.28515625" hidden="1" customWidth="1" outlineLevel="1"/>
    <col min="18" max="18" width="15.7109375" hidden="1" customWidth="1" outlineLevel="1"/>
    <col min="19" max="19" width="16.85546875" hidden="1" customWidth="1" outlineLevel="1"/>
    <col min="20" max="29" width="12.7109375" hidden="1" customWidth="1" outlineLevel="1"/>
    <col min="30" max="30" width="9.140625" collapsed="1"/>
  </cols>
  <sheetData>
    <row r="1" spans="1:30" x14ac:dyDescent="0.25">
      <c r="AD1" s="12" t="s">
        <v>70</v>
      </c>
    </row>
    <row r="2" spans="1:30" x14ac:dyDescent="0.25">
      <c r="B2" s="30" t="s">
        <v>44</v>
      </c>
    </row>
    <row r="3" spans="1:30" x14ac:dyDescent="0.25">
      <c r="B3" s="31">
        <f ca="1">TODAY()</f>
        <v>43089</v>
      </c>
      <c r="I3" s="9"/>
    </row>
    <row r="4" spans="1:30" ht="15.75" x14ac:dyDescent="0.25">
      <c r="S4" s="54"/>
    </row>
    <row r="5" spans="1:30" ht="15" customHeight="1" x14ac:dyDescent="0.25">
      <c r="B5" s="123" t="s">
        <v>104</v>
      </c>
      <c r="C5" s="121" t="s">
        <v>103</v>
      </c>
      <c r="D5" s="121" t="s">
        <v>1</v>
      </c>
      <c r="E5" s="121" t="s">
        <v>2</v>
      </c>
      <c r="F5" s="122" t="s">
        <v>150</v>
      </c>
      <c r="G5" s="121" t="s">
        <v>3</v>
      </c>
      <c r="H5" s="121" t="s">
        <v>89</v>
      </c>
      <c r="I5" s="121" t="s">
        <v>83</v>
      </c>
      <c r="J5" s="121" t="s">
        <v>5</v>
      </c>
      <c r="K5" s="127" t="s">
        <v>6</v>
      </c>
      <c r="L5" s="127"/>
      <c r="M5" s="127" t="s">
        <v>7</v>
      </c>
      <c r="N5" s="127"/>
      <c r="O5" s="127"/>
      <c r="P5" s="8"/>
      <c r="Q5" s="8"/>
      <c r="R5" s="48"/>
      <c r="S5" s="8"/>
      <c r="T5" s="8"/>
      <c r="U5" s="8"/>
      <c r="V5" s="8"/>
      <c r="W5" s="8"/>
      <c r="X5" s="8"/>
    </row>
    <row r="6" spans="1:30" ht="38.25" x14ac:dyDescent="0.25">
      <c r="B6" s="124"/>
      <c r="C6" s="122"/>
      <c r="D6" s="122"/>
      <c r="E6" s="122"/>
      <c r="F6" s="125"/>
      <c r="G6" s="122"/>
      <c r="H6" s="126"/>
      <c r="I6" s="122"/>
      <c r="J6" s="122"/>
      <c r="K6" s="69" t="s">
        <v>8</v>
      </c>
      <c r="L6" s="69" t="s">
        <v>9</v>
      </c>
      <c r="M6" s="69" t="s">
        <v>10</v>
      </c>
      <c r="N6" s="69" t="s">
        <v>11</v>
      </c>
      <c r="O6" s="69" t="s">
        <v>9</v>
      </c>
      <c r="P6" s="69" t="s">
        <v>84</v>
      </c>
      <c r="Q6" s="69" t="s">
        <v>100</v>
      </c>
      <c r="R6" s="69" t="s">
        <v>82</v>
      </c>
      <c r="S6" s="69" t="s">
        <v>55</v>
      </c>
      <c r="T6" s="69" t="s">
        <v>85</v>
      </c>
      <c r="U6" s="69" t="s">
        <v>54</v>
      </c>
      <c r="V6" s="69" t="s">
        <v>95</v>
      </c>
      <c r="W6" s="69" t="s">
        <v>96</v>
      </c>
      <c r="X6" s="69" t="s">
        <v>53</v>
      </c>
      <c r="Y6" s="69" t="s">
        <v>88</v>
      </c>
      <c r="Z6" s="69" t="s">
        <v>87</v>
      </c>
      <c r="AA6" s="69" t="s">
        <v>86</v>
      </c>
      <c r="AB6" s="69" t="s">
        <v>43</v>
      </c>
      <c r="AC6" s="69" t="s">
        <v>75</v>
      </c>
    </row>
    <row r="7" spans="1:30" x14ac:dyDescent="0.25">
      <c r="A7" s="29">
        <v>1</v>
      </c>
      <c r="B7" s="28" t="b">
        <f ca="1">AB7</f>
        <v>0</v>
      </c>
      <c r="C7" s="59" t="s">
        <v>41</v>
      </c>
      <c r="D7" s="25" t="s">
        <v>72</v>
      </c>
      <c r="E7" s="61" t="s">
        <v>67</v>
      </c>
      <c r="F7" s="108">
        <v>2</v>
      </c>
      <c r="G7" s="108" t="s">
        <v>14</v>
      </c>
      <c r="H7" s="110">
        <f ca="1">IF($E7="IMM",_xll.meDateNthIMMFromStartDate(AsOf, $F7,$AC7,"MOD_FOLLOWING"),_xll.meDateFromTenor(AsOf,$F7&amp;"D","MOD_FOLLOWING",$AC7))</f>
        <v>43091</v>
      </c>
      <c r="I7" s="87" t="s">
        <v>153</v>
      </c>
      <c r="J7" s="26" t="s">
        <v>16</v>
      </c>
      <c r="K7" s="26" t="s">
        <v>47</v>
      </c>
      <c r="L7" s="26" t="s">
        <v>42</v>
      </c>
      <c r="M7" s="26" t="s">
        <v>61</v>
      </c>
      <c r="N7" s="26" t="s">
        <v>56</v>
      </c>
      <c r="O7" s="45" t="s">
        <v>48</v>
      </c>
      <c r="P7" s="34">
        <f t="shared" ref="P7:P48" ca="1" si="0">MATCH(M7,$L$54:$L$61,0)</f>
        <v>1</v>
      </c>
      <c r="Q7" s="35" t="str">
        <f ca="1">IF(E7="SPOT",E7,E7&amp;IF(H7=USD3ML.IMMIMM1, 1,IF(H7=USD3ML.IMMIMM2,2,"NotInScope")))</f>
        <v>SPOT</v>
      </c>
      <c r="R7" s="44">
        <f ca="1">IF($I7="","",IF(ISNUMBER($I7),$I7,_xll.meDateFromTenor(H7,$I7,"MOD_FOLLOWING",VLOOKUP(LEFT($M7,3),DateConventions,3))))</f>
        <v>44928</v>
      </c>
      <c r="S7" s="35" t="b">
        <f ca="1">ISNUMBER(SEARCH($E7, INDEX($E$54:$E$61,$P7)))</f>
        <v>1</v>
      </c>
      <c r="T7" s="35" t="b">
        <f t="shared" ref="T7:T48" ca="1" si="1">ISNUMBER(SEARCH($G7, INDEX($G$54:$G$61,$P7)))</f>
        <v>1</v>
      </c>
      <c r="U7" s="35" t="b">
        <f t="shared" ref="U7:U48" ca="1" si="2">ISNUMBER(SEARCH($J7, INDEX($I$54:$I$61,$P7)))</f>
        <v>1</v>
      </c>
      <c r="V7" s="35" t="b">
        <f t="shared" ref="V7:V48" ca="1" si="3">IF(S7,$H7=INDIRECT(M7&amp;Q7),FALSE)</f>
        <v>1</v>
      </c>
      <c r="W7" s="39" t="b">
        <f t="shared" ref="W7:W48" ca="1" si="4">IF(ISNUMBER(MATCH($R7,INDIRECT(M7&amp;Q7&amp;".Lower"),1)), $R7&lt;=INDEX(INDIRECT(M7&amp;Q7&amp;".Upper"),MATCH($R7,INDIRECT(M7&amp;Q7&amp;".Lower"),1)), FALSE)</f>
        <v>0</v>
      </c>
      <c r="X7" s="35" t="b">
        <f t="shared" ref="X7:X48" ca="1" si="5">ISNUMBER(SEARCH($K7, INDEX($J$54:$J$61,$P7)))</f>
        <v>1</v>
      </c>
      <c r="Y7" s="36" t="b">
        <f t="shared" ref="Y7:Y48" ca="1" si="6">ISNUMBER(SEARCH($L7, INDEX($K$54:$K$61,$P7)))</f>
        <v>1</v>
      </c>
      <c r="Z7" s="36" t="b">
        <f ca="1">ISNUMBER(SEARCH($N7, INDEX($M$54:$M$61,$P7)))</f>
        <v>1</v>
      </c>
      <c r="AA7" s="36" t="b">
        <f t="shared" ref="AA7:AA48" ca="1" si="7">ISNUMBER(SEARCH($O7, INDEX($N$54:$N$61,$P7)))</f>
        <v>1</v>
      </c>
      <c r="AB7" s="66" t="b">
        <f t="shared" ref="AB7:AB48" ca="1" si="8">AND(S7:AA7)</f>
        <v>0</v>
      </c>
      <c r="AC7" s="63" t="str">
        <f ca="1">IF($D7="USD","NYB",IF($D7="EUR","TGT",IF($D7="GBP","LNB","")))</f>
        <v>TGT</v>
      </c>
    </row>
    <row r="8" spans="1:30" x14ac:dyDescent="0.25">
      <c r="A8" s="29">
        <v>2</v>
      </c>
      <c r="B8" s="49" t="b">
        <f t="shared" ref="B8:B48" ca="1" si="9">AB8</f>
        <v>1</v>
      </c>
      <c r="C8" s="60" t="s">
        <v>41</v>
      </c>
      <c r="D8" s="22" t="s">
        <v>72</v>
      </c>
      <c r="E8" s="62" t="s">
        <v>67</v>
      </c>
      <c r="F8" s="22">
        <v>2</v>
      </c>
      <c r="G8" s="22" t="s">
        <v>14</v>
      </c>
      <c r="H8" s="57">
        <f ca="1">IF($E8="IMM",_xll.meDateNthIMMFromStartDate(AsOf, $F8,$AC8,"MOD_FOLLOWING"),_xll.meDateFromTenor(AsOf,$F8&amp;"D","MOD_FOLLOWING",$AC8))</f>
        <v>43091</v>
      </c>
      <c r="I8" s="88" t="s">
        <v>152</v>
      </c>
      <c r="J8" s="23" t="s">
        <v>16</v>
      </c>
      <c r="K8" s="23" t="s">
        <v>47</v>
      </c>
      <c r="L8" s="23" t="s">
        <v>42</v>
      </c>
      <c r="M8" s="23" t="s">
        <v>61</v>
      </c>
      <c r="N8" s="23" t="s">
        <v>56</v>
      </c>
      <c r="O8" s="46" t="s">
        <v>48</v>
      </c>
      <c r="P8" s="37">
        <f t="shared" ca="1" si="0"/>
        <v>1</v>
      </c>
      <c r="Q8" s="38" t="str">
        <f ca="1">IF(E8="SPOT",E8,E8&amp;IF(H8=USD3ML.IMMIMM1, 1,IF(H8=USD3ML.IMMIMM2,2,"NotInScope")))</f>
        <v>SPOT</v>
      </c>
      <c r="R8" s="57">
        <f ca="1">IF($I8="","",IF(ISNUMBER($I8),$I8,_xll.meDateFromTenor(H8,$I8,"MOD_FOLLOWING",VLOOKUP(LEFT($M8,3),DateConventions,3))))</f>
        <v>44925</v>
      </c>
      <c r="S8" s="38" t="b">
        <f t="shared" ref="S8:S48" ca="1" si="10">ISNUMBER(SEARCH($E8, INDEX($E$54:$E$61,$P8)))</f>
        <v>1</v>
      </c>
      <c r="T8" s="38" t="b">
        <f t="shared" ca="1" si="1"/>
        <v>1</v>
      </c>
      <c r="U8" s="38" t="b">
        <f t="shared" ca="1" si="2"/>
        <v>1</v>
      </c>
      <c r="V8" s="38" t="b">
        <f t="shared" ca="1" si="3"/>
        <v>1</v>
      </c>
      <c r="W8" s="39" t="b">
        <f t="shared" ca="1" si="4"/>
        <v>1</v>
      </c>
      <c r="X8" s="38" t="b">
        <f t="shared" ca="1" si="5"/>
        <v>1</v>
      </c>
      <c r="Y8" s="40" t="b">
        <f t="shared" ca="1" si="6"/>
        <v>1</v>
      </c>
      <c r="Z8" s="40" t="b">
        <f t="shared" ref="Z8:Z48" ca="1" si="11">ISNUMBER(SEARCH($N8, INDEX($M$54:$M$61,$P8)))</f>
        <v>1</v>
      </c>
      <c r="AA8" s="40" t="b">
        <f t="shared" ca="1" si="7"/>
        <v>1</v>
      </c>
      <c r="AB8" s="67" t="b">
        <f t="shared" ca="1" si="8"/>
        <v>1</v>
      </c>
      <c r="AC8" s="64" t="str">
        <f ca="1">IF($D8="USD","NYB",IF($D8="EUR","TGT",IF($D8="GBP","LNB","")))</f>
        <v>TGT</v>
      </c>
    </row>
    <row r="9" spans="1:30" x14ac:dyDescent="0.25">
      <c r="A9" s="29">
        <v>3</v>
      </c>
      <c r="B9" s="49" t="b">
        <f t="shared" ca="1" si="9"/>
        <v>1</v>
      </c>
      <c r="C9" s="60" t="s">
        <v>41</v>
      </c>
      <c r="D9" s="22" t="s">
        <v>72</v>
      </c>
      <c r="E9" s="62" t="s">
        <v>67</v>
      </c>
      <c r="F9" s="22">
        <v>2</v>
      </c>
      <c r="G9" s="22" t="s">
        <v>14</v>
      </c>
      <c r="H9" s="57">
        <f ca="1">IF($E9="IMM",_xll.meDateNthIMMFromStartDate(AsOf, $F9,$AC9,"MOD_FOLLOWING"),_xll.meDateFromTenor(AsOf,$F9&amp;"D","MOD_FOLLOWING",$AC9))</f>
        <v>43091</v>
      </c>
      <c r="I9" s="88" t="s">
        <v>29</v>
      </c>
      <c r="J9" s="23" t="s">
        <v>16</v>
      </c>
      <c r="K9" s="23" t="s">
        <v>47</v>
      </c>
      <c r="L9" s="23" t="s">
        <v>42</v>
      </c>
      <c r="M9" s="23" t="s">
        <v>61</v>
      </c>
      <c r="N9" s="23" t="s">
        <v>56</v>
      </c>
      <c r="O9" s="46" t="s">
        <v>48</v>
      </c>
      <c r="P9" s="37">
        <f t="shared" ca="1" si="0"/>
        <v>1</v>
      </c>
      <c r="Q9" s="38" t="str">
        <f ca="1">IF(E9="SPOT",E9,E9&amp;IF(H9=USD3ML.IMMIMM1, 1,IF(H9=USD3ML.IMMIMM2,2,"NotInScope")))</f>
        <v>SPOT</v>
      </c>
      <c r="R9" s="57">
        <f ca="1">IF($I9="","",IF(ISNUMBER($I9),$I9,_xll.meDateFromTenor(H9,$I9,"MOD_FOLLOWING",VLOOKUP(LEFT($M9,3),DateConventions,3))))</f>
        <v>44917</v>
      </c>
      <c r="S9" s="38" t="b">
        <f t="shared" ca="1" si="10"/>
        <v>1</v>
      </c>
      <c r="T9" s="38" t="b">
        <f t="shared" ca="1" si="1"/>
        <v>1</v>
      </c>
      <c r="U9" s="38" t="b">
        <f t="shared" ca="1" si="2"/>
        <v>1</v>
      </c>
      <c r="V9" s="38" t="b">
        <f t="shared" ca="1" si="3"/>
        <v>1</v>
      </c>
      <c r="W9" s="39" t="b">
        <f t="shared" ca="1" si="4"/>
        <v>1</v>
      </c>
      <c r="X9" s="38" t="b">
        <f t="shared" ca="1" si="5"/>
        <v>1</v>
      </c>
      <c r="Y9" s="40" t="b">
        <f t="shared" ca="1" si="6"/>
        <v>1</v>
      </c>
      <c r="Z9" s="40" t="b">
        <f ca="1">ISNUMBER(SEARCH($N9, INDEX($M$54:$M$61,$P9)))</f>
        <v>1</v>
      </c>
      <c r="AA9" s="40" t="b">
        <f t="shared" ca="1" si="7"/>
        <v>1</v>
      </c>
      <c r="AB9" s="67" t="b">
        <f t="shared" ca="1" si="8"/>
        <v>1</v>
      </c>
      <c r="AC9" s="64" t="str">
        <f ca="1">IF($D9="USD","NYB",IF($D9="EUR","TGT",IF($D9="GBP","LNB","")))</f>
        <v>TGT</v>
      </c>
    </row>
    <row r="10" spans="1:30" x14ac:dyDescent="0.25">
      <c r="A10" s="29">
        <v>4</v>
      </c>
      <c r="B10" s="49" t="b">
        <f t="shared" ca="1" si="9"/>
        <v>1</v>
      </c>
      <c r="C10" s="60" t="s">
        <v>41</v>
      </c>
      <c r="D10" s="22" t="s">
        <v>72</v>
      </c>
      <c r="E10" s="62" t="s">
        <v>67</v>
      </c>
      <c r="F10" s="22">
        <v>2</v>
      </c>
      <c r="G10" s="22" t="s">
        <v>14</v>
      </c>
      <c r="H10" s="57">
        <f ca="1">IF($E10="IMM",_xll.meDateNthIMMFromStartDate(AsOf, $F10,$AC10,"MOD_FOLLOWING"),_xll.meDateFromTenor(AsOf,$F10&amp;"D","MOD_FOLLOWING",$AC10))</f>
        <v>43091</v>
      </c>
      <c r="I10" s="88" t="s">
        <v>29</v>
      </c>
      <c r="J10" s="23" t="s">
        <v>16</v>
      </c>
      <c r="K10" s="23" t="s">
        <v>47</v>
      </c>
      <c r="L10" s="23" t="s">
        <v>42</v>
      </c>
      <c r="M10" s="23" t="s">
        <v>61</v>
      </c>
      <c r="N10" s="23" t="s">
        <v>56</v>
      </c>
      <c r="O10" s="46" t="s">
        <v>48</v>
      </c>
      <c r="P10" s="37">
        <f t="shared" ca="1" si="0"/>
        <v>1</v>
      </c>
      <c r="Q10" s="38" t="str">
        <f ca="1">IF(E10="SPOT",E10,E10&amp;IF(H10=USD3ML.IMMIMM1, 1,IF(H10=USD3ML.IMMIMM2,2,"999")))</f>
        <v>SPOT</v>
      </c>
      <c r="R10" s="57">
        <f ca="1">IF($I10="","",IF(ISNUMBER($I10),$I10,_xll.meDateFromTenor(H10,$I10,"MOD_FOLLOWING",VLOOKUP(LEFT($M10,3),DateConventions,3))))</f>
        <v>44917</v>
      </c>
      <c r="S10" s="38" t="b">
        <f ca="1">ISNUMBER(SEARCH($E10, INDEX($E$54:$E$61,$P10)))</f>
        <v>1</v>
      </c>
      <c r="T10" s="38" t="b">
        <f t="shared" ca="1" si="1"/>
        <v>1</v>
      </c>
      <c r="U10" s="38" t="b">
        <f t="shared" ca="1" si="2"/>
        <v>1</v>
      </c>
      <c r="V10" s="38" t="b">
        <f t="shared" ca="1" si="3"/>
        <v>1</v>
      </c>
      <c r="W10" s="39" t="b">
        <f t="shared" ca="1" si="4"/>
        <v>1</v>
      </c>
      <c r="X10" s="38" t="b">
        <f t="shared" ca="1" si="5"/>
        <v>1</v>
      </c>
      <c r="Y10" s="40" t="b">
        <f t="shared" ca="1" si="6"/>
        <v>1</v>
      </c>
      <c r="Z10" s="40" t="b">
        <f t="shared" ca="1" si="11"/>
        <v>1</v>
      </c>
      <c r="AA10" s="40" t="b">
        <f t="shared" ca="1" si="7"/>
        <v>1</v>
      </c>
      <c r="AB10" s="67" t="b">
        <f t="shared" ca="1" si="8"/>
        <v>1</v>
      </c>
      <c r="AC10" s="64" t="str">
        <f t="shared" ref="AC10:AC48" ca="1" si="12">IF($D10="USD","NYB",IF($D10="EUR","TGT",IF($D10="GBP","LNB","")))</f>
        <v>TGT</v>
      </c>
    </row>
    <row r="11" spans="1:30" x14ac:dyDescent="0.25">
      <c r="A11" s="29">
        <v>5</v>
      </c>
      <c r="B11" s="49" t="b">
        <f t="shared" ca="1" si="9"/>
        <v>1</v>
      </c>
      <c r="C11" s="60" t="s">
        <v>41</v>
      </c>
      <c r="D11" s="22" t="s">
        <v>72</v>
      </c>
      <c r="E11" s="62" t="s">
        <v>67</v>
      </c>
      <c r="F11" s="22">
        <v>2</v>
      </c>
      <c r="G11" s="22" t="s">
        <v>14</v>
      </c>
      <c r="H11" s="57">
        <f ca="1">IF($E11="IMM",_xll.meDateNthIMMFromStartDate(AsOf, $F11,$AC11,"MOD_FOLLOWING"),_xll.meDateFromTenor(AsOf,$F11&amp;"D","MOD_FOLLOWING",$AC11))</f>
        <v>43091</v>
      </c>
      <c r="I11" s="88" t="s">
        <v>29</v>
      </c>
      <c r="J11" s="23" t="s">
        <v>16</v>
      </c>
      <c r="K11" s="23" t="s">
        <v>47</v>
      </c>
      <c r="L11" s="23" t="s">
        <v>42</v>
      </c>
      <c r="M11" s="23" t="s">
        <v>61</v>
      </c>
      <c r="N11" s="23" t="s">
        <v>56</v>
      </c>
      <c r="O11" s="46" t="s">
        <v>48</v>
      </c>
      <c r="P11" s="37">
        <f t="shared" ca="1" si="0"/>
        <v>1</v>
      </c>
      <c r="Q11" s="38" t="str">
        <f t="shared" ref="Q11:Q48" ca="1" si="13">IF(E11="SPOT",E11,E11&amp;IF(H11=USD3ML.IMMIMM1, 1,IF(H11=USD3ML.IMMIMM2,2,"NotInScope")))</f>
        <v>SPOT</v>
      </c>
      <c r="R11" s="57">
        <f ca="1">IF($I11="","",IF(ISNUMBER($I11),$I11,_xll.meDateFromTenor(H11,$I11,"MOD_FOLLOWING",VLOOKUP(LEFT($M11,3),DateConventions,3))))</f>
        <v>44917</v>
      </c>
      <c r="S11" s="38" t="b">
        <f t="shared" ca="1" si="10"/>
        <v>1</v>
      </c>
      <c r="T11" s="38" t="b">
        <f t="shared" ca="1" si="1"/>
        <v>1</v>
      </c>
      <c r="U11" s="38" t="b">
        <f t="shared" ca="1" si="2"/>
        <v>1</v>
      </c>
      <c r="V11" s="38" t="b">
        <f t="shared" ca="1" si="3"/>
        <v>1</v>
      </c>
      <c r="W11" s="39" t="b">
        <f t="shared" ca="1" si="4"/>
        <v>1</v>
      </c>
      <c r="X11" s="38" t="b">
        <f t="shared" ca="1" si="5"/>
        <v>1</v>
      </c>
      <c r="Y11" s="40" t="b">
        <f t="shared" ca="1" si="6"/>
        <v>1</v>
      </c>
      <c r="Z11" s="40" t="b">
        <f t="shared" ca="1" si="11"/>
        <v>1</v>
      </c>
      <c r="AA11" s="40" t="b">
        <f t="shared" ca="1" si="7"/>
        <v>1</v>
      </c>
      <c r="AB11" s="67" t="b">
        <f t="shared" ca="1" si="8"/>
        <v>1</v>
      </c>
      <c r="AC11" s="64" t="str">
        <f t="shared" ca="1" si="12"/>
        <v>TGT</v>
      </c>
    </row>
    <row r="12" spans="1:30" x14ac:dyDescent="0.25">
      <c r="A12" s="29">
        <v>6</v>
      </c>
      <c r="B12" s="49" t="b">
        <f t="shared" ca="1" si="9"/>
        <v>1</v>
      </c>
      <c r="C12" s="60" t="s">
        <v>41</v>
      </c>
      <c r="D12" s="22" t="s">
        <v>72</v>
      </c>
      <c r="E12" s="62" t="s">
        <v>67</v>
      </c>
      <c r="F12" s="22">
        <v>2</v>
      </c>
      <c r="G12" s="22" t="s">
        <v>14</v>
      </c>
      <c r="H12" s="58">
        <f ca="1">IF($E12="IMM",_xll.meDateNthIMMFromStartDate(AsOf, $F12,$AC12,"MOD_FOLLOWING"),_xll.meDateFromTenor(AsOf,$F12&amp;"D","MOD_FOLLOWING",$AC12))</f>
        <v>43091</v>
      </c>
      <c r="I12" s="88" t="s">
        <v>29</v>
      </c>
      <c r="J12" s="23" t="s">
        <v>16</v>
      </c>
      <c r="K12" s="23" t="s">
        <v>47</v>
      </c>
      <c r="L12" s="23" t="s">
        <v>42</v>
      </c>
      <c r="M12" s="23" t="s">
        <v>61</v>
      </c>
      <c r="N12" s="23" t="s">
        <v>56</v>
      </c>
      <c r="O12" s="46" t="s">
        <v>48</v>
      </c>
      <c r="P12" s="37">
        <f t="shared" ca="1" si="0"/>
        <v>1</v>
      </c>
      <c r="Q12" s="38" t="str">
        <f t="shared" ca="1" si="13"/>
        <v>SPOT</v>
      </c>
      <c r="R12" s="57">
        <f ca="1">IF($I12="","",IF(ISNUMBER($I12),$I12,_xll.meDateFromTenor(H12,$I12,"MOD_FOLLOWING",VLOOKUP(LEFT($M12,3),DateConventions,3))))</f>
        <v>44917</v>
      </c>
      <c r="S12" s="38" t="b">
        <f t="shared" ca="1" si="10"/>
        <v>1</v>
      </c>
      <c r="T12" s="38" t="b">
        <f t="shared" ca="1" si="1"/>
        <v>1</v>
      </c>
      <c r="U12" s="38" t="b">
        <f t="shared" ca="1" si="2"/>
        <v>1</v>
      </c>
      <c r="V12" s="38" t="b">
        <f t="shared" ca="1" si="3"/>
        <v>1</v>
      </c>
      <c r="W12" s="39" t="b">
        <f t="shared" ca="1" si="4"/>
        <v>1</v>
      </c>
      <c r="X12" s="38" t="b">
        <f t="shared" ca="1" si="5"/>
        <v>1</v>
      </c>
      <c r="Y12" s="40" t="b">
        <f t="shared" ca="1" si="6"/>
        <v>1</v>
      </c>
      <c r="Z12" s="40" t="b">
        <f t="shared" ca="1" si="11"/>
        <v>1</v>
      </c>
      <c r="AA12" s="40" t="b">
        <f t="shared" ca="1" si="7"/>
        <v>1</v>
      </c>
      <c r="AB12" s="67" t="b">
        <f t="shared" ca="1" si="8"/>
        <v>1</v>
      </c>
      <c r="AC12" s="64" t="str">
        <f t="shared" ca="1" si="12"/>
        <v>TGT</v>
      </c>
    </row>
    <row r="13" spans="1:30" x14ac:dyDescent="0.25">
      <c r="A13" s="29">
        <v>7</v>
      </c>
      <c r="B13" s="49" t="b">
        <f t="shared" ca="1" si="9"/>
        <v>1</v>
      </c>
      <c r="C13" s="60" t="s">
        <v>41</v>
      </c>
      <c r="D13" s="22" t="s">
        <v>72</v>
      </c>
      <c r="E13" s="62" t="s">
        <v>67</v>
      </c>
      <c r="F13" s="22">
        <v>2</v>
      </c>
      <c r="G13" s="22" t="s">
        <v>14</v>
      </c>
      <c r="H13" s="58">
        <f ca="1">IF($E13="IMM",_xll.meDateNthIMMFromStartDate(AsOf, $F13,$AC13,"MOD_FOLLOWING"),_xll.meDateFromTenor(AsOf,$F13&amp;"D","MOD_FOLLOWING",$AC13))</f>
        <v>43091</v>
      </c>
      <c r="I13" s="88" t="s">
        <v>29</v>
      </c>
      <c r="J13" s="23" t="s">
        <v>16</v>
      </c>
      <c r="K13" s="23" t="s">
        <v>47</v>
      </c>
      <c r="L13" s="23" t="s">
        <v>42</v>
      </c>
      <c r="M13" s="23" t="s">
        <v>61</v>
      </c>
      <c r="N13" s="23" t="s">
        <v>56</v>
      </c>
      <c r="O13" s="46" t="s">
        <v>48</v>
      </c>
      <c r="P13" s="37">
        <f t="shared" ca="1" si="0"/>
        <v>1</v>
      </c>
      <c r="Q13" s="38" t="str">
        <f t="shared" ca="1" si="13"/>
        <v>SPOT</v>
      </c>
      <c r="R13" s="57">
        <f ca="1">IF($I13="","",IF(ISNUMBER($I13),$I13,_xll.meDateFromTenor(H13,$I13,"MOD_FOLLOWING",VLOOKUP(LEFT($M13,3),DateConventions,3))))</f>
        <v>44917</v>
      </c>
      <c r="S13" s="38" t="b">
        <f t="shared" ca="1" si="10"/>
        <v>1</v>
      </c>
      <c r="T13" s="38" t="b">
        <f t="shared" ca="1" si="1"/>
        <v>1</v>
      </c>
      <c r="U13" s="38" t="b">
        <f t="shared" ca="1" si="2"/>
        <v>1</v>
      </c>
      <c r="V13" s="38" t="b">
        <f t="shared" ca="1" si="3"/>
        <v>1</v>
      </c>
      <c r="W13" s="39" t="b">
        <f t="shared" ca="1" si="4"/>
        <v>1</v>
      </c>
      <c r="X13" s="38" t="b">
        <f t="shared" ca="1" si="5"/>
        <v>1</v>
      </c>
      <c r="Y13" s="40" t="b">
        <f t="shared" ca="1" si="6"/>
        <v>1</v>
      </c>
      <c r="Z13" s="40" t="b">
        <f t="shared" ca="1" si="11"/>
        <v>1</v>
      </c>
      <c r="AA13" s="40" t="b">
        <f t="shared" ca="1" si="7"/>
        <v>1</v>
      </c>
      <c r="AB13" s="67" t="b">
        <f t="shared" ca="1" si="8"/>
        <v>1</v>
      </c>
      <c r="AC13" s="64" t="str">
        <f t="shared" ca="1" si="12"/>
        <v>TGT</v>
      </c>
    </row>
    <row r="14" spans="1:30" x14ac:dyDescent="0.25">
      <c r="A14" s="29">
        <v>8</v>
      </c>
      <c r="B14" s="49" t="b">
        <f t="shared" ca="1" si="9"/>
        <v>1</v>
      </c>
      <c r="C14" s="60" t="s">
        <v>41</v>
      </c>
      <c r="D14" s="22" t="s">
        <v>72</v>
      </c>
      <c r="E14" s="62" t="s">
        <v>67</v>
      </c>
      <c r="F14" s="22">
        <v>2</v>
      </c>
      <c r="G14" s="22" t="s">
        <v>14</v>
      </c>
      <c r="H14" s="58">
        <f ca="1">IF($E14="IMM",_xll.meDateNthIMMFromStartDate(AsOf, $F14,$AC14,"MOD_FOLLOWING"),_xll.meDateFromTenor(AsOf,$F14&amp;"D","MOD_FOLLOWING",$AC14))</f>
        <v>43091</v>
      </c>
      <c r="I14" s="88" t="s">
        <v>29</v>
      </c>
      <c r="J14" s="23" t="s">
        <v>16</v>
      </c>
      <c r="K14" s="23" t="s">
        <v>47</v>
      </c>
      <c r="L14" s="23" t="s">
        <v>42</v>
      </c>
      <c r="M14" s="23" t="s">
        <v>61</v>
      </c>
      <c r="N14" s="23" t="s">
        <v>56</v>
      </c>
      <c r="O14" s="46" t="s">
        <v>48</v>
      </c>
      <c r="P14" s="37">
        <f t="shared" ca="1" si="0"/>
        <v>1</v>
      </c>
      <c r="Q14" s="38" t="str">
        <f t="shared" ca="1" si="13"/>
        <v>SPOT</v>
      </c>
      <c r="R14" s="57">
        <f ca="1">IF($I14="","",IF(ISNUMBER($I14),$I14,_xll.meDateFromTenor(H14,$I14,"MOD_FOLLOWING",VLOOKUP(LEFT($M14,3),DateConventions,3))))</f>
        <v>44917</v>
      </c>
      <c r="S14" s="38" t="b">
        <f t="shared" ca="1" si="10"/>
        <v>1</v>
      </c>
      <c r="T14" s="38" t="b">
        <f t="shared" ca="1" si="1"/>
        <v>1</v>
      </c>
      <c r="U14" s="38" t="b">
        <f t="shared" ca="1" si="2"/>
        <v>1</v>
      </c>
      <c r="V14" s="38" t="b">
        <f t="shared" ca="1" si="3"/>
        <v>1</v>
      </c>
      <c r="W14" s="39" t="b">
        <f t="shared" ca="1" si="4"/>
        <v>1</v>
      </c>
      <c r="X14" s="38" t="b">
        <f t="shared" ca="1" si="5"/>
        <v>1</v>
      </c>
      <c r="Y14" s="40" t="b">
        <f t="shared" ca="1" si="6"/>
        <v>1</v>
      </c>
      <c r="Z14" s="40" t="b">
        <f t="shared" ca="1" si="11"/>
        <v>1</v>
      </c>
      <c r="AA14" s="40" t="b">
        <f t="shared" ca="1" si="7"/>
        <v>1</v>
      </c>
      <c r="AB14" s="67" t="b">
        <f t="shared" ca="1" si="8"/>
        <v>1</v>
      </c>
      <c r="AC14" s="64" t="str">
        <f t="shared" ca="1" si="12"/>
        <v>TGT</v>
      </c>
    </row>
    <row r="15" spans="1:30" x14ac:dyDescent="0.25">
      <c r="A15" s="29">
        <v>9</v>
      </c>
      <c r="B15" s="49" t="b">
        <f t="shared" ca="1" si="9"/>
        <v>1</v>
      </c>
      <c r="C15" s="60" t="s">
        <v>41</v>
      </c>
      <c r="D15" s="22" t="s">
        <v>72</v>
      </c>
      <c r="E15" s="62" t="s">
        <v>67</v>
      </c>
      <c r="F15" s="22">
        <v>2</v>
      </c>
      <c r="G15" s="22" t="s">
        <v>14</v>
      </c>
      <c r="H15" s="58">
        <f ca="1">IF($E15="IMM",_xll.meDateNthIMMFromStartDate(AsOf, $F15,$AC15,"MOD_FOLLOWING"),_xll.meDateFromTenor(AsOf,$F15&amp;"D","MOD_FOLLOWING",$AC15))</f>
        <v>43091</v>
      </c>
      <c r="I15" s="88" t="s">
        <v>29</v>
      </c>
      <c r="J15" s="23" t="s">
        <v>16</v>
      </c>
      <c r="K15" s="23" t="s">
        <v>47</v>
      </c>
      <c r="L15" s="23" t="s">
        <v>42</v>
      </c>
      <c r="M15" s="23" t="s">
        <v>61</v>
      </c>
      <c r="N15" s="23" t="s">
        <v>56</v>
      </c>
      <c r="O15" s="46" t="s">
        <v>48</v>
      </c>
      <c r="P15" s="37">
        <f t="shared" ca="1" si="0"/>
        <v>1</v>
      </c>
      <c r="Q15" s="38" t="str">
        <f t="shared" ca="1" si="13"/>
        <v>SPOT</v>
      </c>
      <c r="R15" s="57">
        <f ca="1">IF($I15="","",IF(ISNUMBER($I15),$I15,_xll.meDateFromTenor(H15,$I15,"MOD_FOLLOWING",VLOOKUP(LEFT($M15,3),DateConventions,3))))</f>
        <v>44917</v>
      </c>
      <c r="S15" s="38" t="b">
        <f t="shared" ca="1" si="10"/>
        <v>1</v>
      </c>
      <c r="T15" s="38" t="b">
        <f t="shared" ca="1" si="1"/>
        <v>1</v>
      </c>
      <c r="U15" s="38" t="b">
        <f t="shared" ca="1" si="2"/>
        <v>1</v>
      </c>
      <c r="V15" s="38" t="b">
        <f t="shared" ca="1" si="3"/>
        <v>1</v>
      </c>
      <c r="W15" s="39" t="b">
        <f t="shared" ca="1" si="4"/>
        <v>1</v>
      </c>
      <c r="X15" s="38" t="b">
        <f t="shared" ca="1" si="5"/>
        <v>1</v>
      </c>
      <c r="Y15" s="40" t="b">
        <f t="shared" ca="1" si="6"/>
        <v>1</v>
      </c>
      <c r="Z15" s="40" t="b">
        <f t="shared" ca="1" si="11"/>
        <v>1</v>
      </c>
      <c r="AA15" s="40" t="b">
        <f t="shared" ca="1" si="7"/>
        <v>1</v>
      </c>
      <c r="AB15" s="67" t="b">
        <f t="shared" ca="1" si="8"/>
        <v>1</v>
      </c>
      <c r="AC15" s="64" t="str">
        <f t="shared" ca="1" si="12"/>
        <v>TGT</v>
      </c>
    </row>
    <row r="16" spans="1:30" x14ac:dyDescent="0.25">
      <c r="A16" s="29">
        <v>10</v>
      </c>
      <c r="B16" s="49" t="b">
        <f t="shared" ca="1" si="9"/>
        <v>1</v>
      </c>
      <c r="C16" s="60" t="s">
        <v>41</v>
      </c>
      <c r="D16" s="22" t="s">
        <v>72</v>
      </c>
      <c r="E16" s="62" t="s">
        <v>67</v>
      </c>
      <c r="F16" s="22">
        <v>2</v>
      </c>
      <c r="G16" s="22" t="s">
        <v>14</v>
      </c>
      <c r="H16" s="58">
        <f ca="1">IF($E16="IMM",_xll.meDateNthIMMFromStartDate(AsOf, $F16,$AC16,"MOD_FOLLOWING"),_xll.meDateFromTenor(AsOf,$F16&amp;"D","MOD_FOLLOWING",$AC16))</f>
        <v>43091</v>
      </c>
      <c r="I16" s="88" t="s">
        <v>29</v>
      </c>
      <c r="J16" s="23" t="s">
        <v>16</v>
      </c>
      <c r="K16" s="23" t="s">
        <v>47</v>
      </c>
      <c r="L16" s="23" t="s">
        <v>42</v>
      </c>
      <c r="M16" s="23" t="s">
        <v>61</v>
      </c>
      <c r="N16" s="23" t="s">
        <v>56</v>
      </c>
      <c r="O16" s="46" t="s">
        <v>48</v>
      </c>
      <c r="P16" s="37">
        <f t="shared" ca="1" si="0"/>
        <v>1</v>
      </c>
      <c r="Q16" s="38" t="str">
        <f t="shared" ca="1" si="13"/>
        <v>SPOT</v>
      </c>
      <c r="R16" s="57">
        <f ca="1">IF($I16="","",IF(ISNUMBER($I16),$I16,_xll.meDateFromTenor(H16,$I16,"MOD_FOLLOWING",VLOOKUP(LEFT($M16,3),DateConventions,3))))</f>
        <v>44917</v>
      </c>
      <c r="S16" s="38" t="b">
        <f t="shared" ca="1" si="10"/>
        <v>1</v>
      </c>
      <c r="T16" s="38" t="b">
        <f t="shared" ca="1" si="1"/>
        <v>1</v>
      </c>
      <c r="U16" s="38" t="b">
        <f t="shared" ca="1" si="2"/>
        <v>1</v>
      </c>
      <c r="V16" s="38" t="b">
        <f t="shared" ca="1" si="3"/>
        <v>1</v>
      </c>
      <c r="W16" s="39" t="b">
        <f t="shared" ca="1" si="4"/>
        <v>1</v>
      </c>
      <c r="X16" s="38" t="b">
        <f t="shared" ca="1" si="5"/>
        <v>1</v>
      </c>
      <c r="Y16" s="40" t="b">
        <f t="shared" ca="1" si="6"/>
        <v>1</v>
      </c>
      <c r="Z16" s="40" t="b">
        <f t="shared" ca="1" si="11"/>
        <v>1</v>
      </c>
      <c r="AA16" s="40" t="b">
        <f t="shared" ca="1" si="7"/>
        <v>1</v>
      </c>
      <c r="AB16" s="67" t="b">
        <f t="shared" ca="1" si="8"/>
        <v>1</v>
      </c>
      <c r="AC16" s="64" t="str">
        <f t="shared" ca="1" si="12"/>
        <v>TGT</v>
      </c>
    </row>
    <row r="17" spans="1:29" x14ac:dyDescent="0.25">
      <c r="A17" s="29">
        <v>11</v>
      </c>
      <c r="B17" s="49" t="b">
        <f t="shared" ca="1" si="9"/>
        <v>1</v>
      </c>
      <c r="C17" s="60" t="s">
        <v>41</v>
      </c>
      <c r="D17" s="22" t="s">
        <v>72</v>
      </c>
      <c r="E17" s="62" t="s">
        <v>67</v>
      </c>
      <c r="F17" s="22">
        <v>2</v>
      </c>
      <c r="G17" s="22" t="s">
        <v>14</v>
      </c>
      <c r="H17" s="58">
        <f ca="1">IF($E17="IMM",_xll.meDateNthIMMFromStartDate(AsOf, $F17,$AC17,"MOD_FOLLOWING"),_xll.meDateFromTenor(AsOf,$F17&amp;"D","MOD_FOLLOWING",$AC17))</f>
        <v>43091</v>
      </c>
      <c r="I17" s="88" t="s">
        <v>29</v>
      </c>
      <c r="J17" s="23" t="s">
        <v>16</v>
      </c>
      <c r="K17" s="23" t="s">
        <v>47</v>
      </c>
      <c r="L17" s="23" t="s">
        <v>42</v>
      </c>
      <c r="M17" s="23" t="s">
        <v>61</v>
      </c>
      <c r="N17" s="23" t="s">
        <v>56</v>
      </c>
      <c r="O17" s="46" t="s">
        <v>48</v>
      </c>
      <c r="P17" s="37">
        <f t="shared" ca="1" si="0"/>
        <v>1</v>
      </c>
      <c r="Q17" s="38" t="str">
        <f t="shared" ca="1" si="13"/>
        <v>SPOT</v>
      </c>
      <c r="R17" s="57">
        <f ca="1">IF($I17="","",IF(ISNUMBER($I17),$I17,_xll.meDateFromTenor(H17,$I17,"MOD_FOLLOWING",VLOOKUP(LEFT($M17,3),DateConventions,3))))</f>
        <v>44917</v>
      </c>
      <c r="S17" s="38" t="b">
        <f t="shared" ca="1" si="10"/>
        <v>1</v>
      </c>
      <c r="T17" s="38" t="b">
        <f t="shared" ca="1" si="1"/>
        <v>1</v>
      </c>
      <c r="U17" s="38" t="b">
        <f t="shared" ca="1" si="2"/>
        <v>1</v>
      </c>
      <c r="V17" s="38" t="b">
        <f t="shared" ca="1" si="3"/>
        <v>1</v>
      </c>
      <c r="W17" s="39" t="b">
        <f t="shared" ca="1" si="4"/>
        <v>1</v>
      </c>
      <c r="X17" s="38" t="b">
        <f t="shared" ca="1" si="5"/>
        <v>1</v>
      </c>
      <c r="Y17" s="40" t="b">
        <f t="shared" ca="1" si="6"/>
        <v>1</v>
      </c>
      <c r="Z17" s="40" t="b">
        <f t="shared" ca="1" si="11"/>
        <v>1</v>
      </c>
      <c r="AA17" s="40" t="b">
        <f t="shared" ca="1" si="7"/>
        <v>1</v>
      </c>
      <c r="AB17" s="67" t="b">
        <f t="shared" ca="1" si="8"/>
        <v>1</v>
      </c>
      <c r="AC17" s="64" t="str">
        <f t="shared" ca="1" si="12"/>
        <v>TGT</v>
      </c>
    </row>
    <row r="18" spans="1:29" x14ac:dyDescent="0.25">
      <c r="A18" s="29">
        <v>12</v>
      </c>
      <c r="B18" s="49" t="b">
        <f t="shared" ca="1" si="9"/>
        <v>1</v>
      </c>
      <c r="C18" s="60" t="s">
        <v>41</v>
      </c>
      <c r="D18" s="22" t="s">
        <v>72</v>
      </c>
      <c r="E18" s="62" t="s">
        <v>67</v>
      </c>
      <c r="F18" s="22">
        <v>2</v>
      </c>
      <c r="G18" s="22" t="s">
        <v>14</v>
      </c>
      <c r="H18" s="58">
        <f ca="1">IF($E18="IMM",_xll.meDateNthIMMFromStartDate(AsOf, $F18,$AC18,"MOD_FOLLOWING"),_xll.meDateFromTenor(AsOf,$F18&amp;"D","MOD_FOLLOWING",$AC18))</f>
        <v>43091</v>
      </c>
      <c r="I18" s="88" t="s">
        <v>29</v>
      </c>
      <c r="J18" s="23" t="s">
        <v>16</v>
      </c>
      <c r="K18" s="23" t="s">
        <v>47</v>
      </c>
      <c r="L18" s="23" t="s">
        <v>42</v>
      </c>
      <c r="M18" s="23" t="s">
        <v>61</v>
      </c>
      <c r="N18" s="23" t="s">
        <v>56</v>
      </c>
      <c r="O18" s="46" t="s">
        <v>48</v>
      </c>
      <c r="P18" s="37">
        <f t="shared" ca="1" si="0"/>
        <v>1</v>
      </c>
      <c r="Q18" s="38" t="str">
        <f t="shared" ca="1" si="13"/>
        <v>SPOT</v>
      </c>
      <c r="R18" s="57">
        <f ca="1">IF($I18="","",IF(ISNUMBER($I18),$I18,_xll.meDateFromTenor(H18,$I18,"MOD_FOLLOWING",VLOOKUP(LEFT($M18,3),DateConventions,3))))</f>
        <v>44917</v>
      </c>
      <c r="S18" s="38" t="b">
        <f t="shared" ca="1" si="10"/>
        <v>1</v>
      </c>
      <c r="T18" s="38" t="b">
        <f t="shared" ca="1" si="1"/>
        <v>1</v>
      </c>
      <c r="U18" s="38" t="b">
        <f t="shared" ca="1" si="2"/>
        <v>1</v>
      </c>
      <c r="V18" s="38" t="b">
        <f t="shared" ca="1" si="3"/>
        <v>1</v>
      </c>
      <c r="W18" s="39" t="b">
        <f t="shared" ca="1" si="4"/>
        <v>1</v>
      </c>
      <c r="X18" s="38" t="b">
        <f t="shared" ca="1" si="5"/>
        <v>1</v>
      </c>
      <c r="Y18" s="40" t="b">
        <f t="shared" ca="1" si="6"/>
        <v>1</v>
      </c>
      <c r="Z18" s="40" t="b">
        <f t="shared" ca="1" si="11"/>
        <v>1</v>
      </c>
      <c r="AA18" s="40" t="b">
        <f t="shared" ca="1" si="7"/>
        <v>1</v>
      </c>
      <c r="AB18" s="67" t="b">
        <f t="shared" ca="1" si="8"/>
        <v>1</v>
      </c>
      <c r="AC18" s="64" t="str">
        <f t="shared" ca="1" si="12"/>
        <v>TGT</v>
      </c>
    </row>
    <row r="19" spans="1:29" x14ac:dyDescent="0.25">
      <c r="A19" s="29">
        <v>13</v>
      </c>
      <c r="B19" s="49" t="b">
        <f t="shared" ca="1" si="9"/>
        <v>1</v>
      </c>
      <c r="C19" s="60" t="s">
        <v>41</v>
      </c>
      <c r="D19" s="22" t="s">
        <v>72</v>
      </c>
      <c r="E19" s="62" t="s">
        <v>67</v>
      </c>
      <c r="F19" s="22">
        <v>2</v>
      </c>
      <c r="G19" s="22" t="s">
        <v>14</v>
      </c>
      <c r="H19" s="58">
        <f ca="1">IF($E19="IMM",_xll.meDateNthIMMFromStartDate(AsOf, $F19,$AC19,"MOD_FOLLOWING"),_xll.meDateFromTenor(AsOf,$F19&amp;"D","MOD_FOLLOWING",$AC19))</f>
        <v>43091</v>
      </c>
      <c r="I19" s="88" t="s">
        <v>29</v>
      </c>
      <c r="J19" s="23" t="s">
        <v>16</v>
      </c>
      <c r="K19" s="23" t="s">
        <v>47</v>
      </c>
      <c r="L19" s="23" t="s">
        <v>42</v>
      </c>
      <c r="M19" s="23" t="s">
        <v>61</v>
      </c>
      <c r="N19" s="23" t="s">
        <v>56</v>
      </c>
      <c r="O19" s="46" t="s">
        <v>48</v>
      </c>
      <c r="P19" s="37">
        <f t="shared" ca="1" si="0"/>
        <v>1</v>
      </c>
      <c r="Q19" s="38" t="str">
        <f t="shared" ca="1" si="13"/>
        <v>SPOT</v>
      </c>
      <c r="R19" s="57">
        <f ca="1">IF($I19="","",IF(ISNUMBER($I19),$I19,_xll.meDateFromTenor(H19,$I19,"MOD_FOLLOWING",VLOOKUP(LEFT($M19,3),DateConventions,3))))</f>
        <v>44917</v>
      </c>
      <c r="S19" s="38" t="b">
        <f t="shared" ca="1" si="10"/>
        <v>1</v>
      </c>
      <c r="T19" s="38" t="b">
        <f t="shared" ca="1" si="1"/>
        <v>1</v>
      </c>
      <c r="U19" s="38" t="b">
        <f t="shared" ca="1" si="2"/>
        <v>1</v>
      </c>
      <c r="V19" s="38" t="b">
        <f t="shared" ca="1" si="3"/>
        <v>1</v>
      </c>
      <c r="W19" s="39" t="b">
        <f t="shared" ca="1" si="4"/>
        <v>1</v>
      </c>
      <c r="X19" s="38" t="b">
        <f t="shared" ca="1" si="5"/>
        <v>1</v>
      </c>
      <c r="Y19" s="40" t="b">
        <f t="shared" ca="1" si="6"/>
        <v>1</v>
      </c>
      <c r="Z19" s="40" t="b">
        <f t="shared" ca="1" si="11"/>
        <v>1</v>
      </c>
      <c r="AA19" s="40" t="b">
        <f t="shared" ca="1" si="7"/>
        <v>1</v>
      </c>
      <c r="AB19" s="67" t="b">
        <f t="shared" ca="1" si="8"/>
        <v>1</v>
      </c>
      <c r="AC19" s="64" t="str">
        <f t="shared" ca="1" si="12"/>
        <v>TGT</v>
      </c>
    </row>
    <row r="20" spans="1:29" x14ac:dyDescent="0.25">
      <c r="A20" s="29">
        <v>14</v>
      </c>
      <c r="B20" s="49" t="b">
        <f t="shared" ca="1" si="9"/>
        <v>1</v>
      </c>
      <c r="C20" s="60" t="s">
        <v>41</v>
      </c>
      <c r="D20" s="22" t="s">
        <v>72</v>
      </c>
      <c r="E20" s="62" t="s">
        <v>67</v>
      </c>
      <c r="F20" s="22">
        <v>2</v>
      </c>
      <c r="G20" s="22" t="s">
        <v>14</v>
      </c>
      <c r="H20" s="58">
        <f ca="1">IF($E20="IMM",_xll.meDateNthIMMFromStartDate(AsOf, $F20,$AC20,"MOD_FOLLOWING"),_xll.meDateFromTenor(AsOf,$F20&amp;"D","MOD_FOLLOWING",$AC20))</f>
        <v>43091</v>
      </c>
      <c r="I20" s="88" t="s">
        <v>29</v>
      </c>
      <c r="J20" s="23" t="s">
        <v>16</v>
      </c>
      <c r="K20" s="23" t="s">
        <v>47</v>
      </c>
      <c r="L20" s="23" t="s">
        <v>42</v>
      </c>
      <c r="M20" s="23" t="s">
        <v>61</v>
      </c>
      <c r="N20" s="23" t="s">
        <v>56</v>
      </c>
      <c r="O20" s="46" t="s">
        <v>48</v>
      </c>
      <c r="P20" s="37">
        <f t="shared" ca="1" si="0"/>
        <v>1</v>
      </c>
      <c r="Q20" s="38" t="str">
        <f t="shared" ca="1" si="13"/>
        <v>SPOT</v>
      </c>
      <c r="R20" s="57">
        <f ca="1">IF($I20="","",IF(ISNUMBER($I20),$I20,_xll.meDateFromTenor(H20,$I20,"MOD_FOLLOWING",VLOOKUP(LEFT($M20,3),DateConventions,3))))</f>
        <v>44917</v>
      </c>
      <c r="S20" s="38" t="b">
        <f t="shared" ca="1" si="10"/>
        <v>1</v>
      </c>
      <c r="T20" s="38" t="b">
        <f t="shared" ca="1" si="1"/>
        <v>1</v>
      </c>
      <c r="U20" s="38" t="b">
        <f t="shared" ca="1" si="2"/>
        <v>1</v>
      </c>
      <c r="V20" s="38" t="b">
        <f t="shared" ca="1" si="3"/>
        <v>1</v>
      </c>
      <c r="W20" s="39" t="b">
        <f t="shared" ca="1" si="4"/>
        <v>1</v>
      </c>
      <c r="X20" s="38" t="b">
        <f t="shared" ca="1" si="5"/>
        <v>1</v>
      </c>
      <c r="Y20" s="40" t="b">
        <f t="shared" ca="1" si="6"/>
        <v>1</v>
      </c>
      <c r="Z20" s="40" t="b">
        <f t="shared" ca="1" si="11"/>
        <v>1</v>
      </c>
      <c r="AA20" s="40" t="b">
        <f t="shared" ca="1" si="7"/>
        <v>1</v>
      </c>
      <c r="AB20" s="67" t="b">
        <f t="shared" ca="1" si="8"/>
        <v>1</v>
      </c>
      <c r="AC20" s="64" t="str">
        <f t="shared" ca="1" si="12"/>
        <v>TGT</v>
      </c>
    </row>
    <row r="21" spans="1:29" x14ac:dyDescent="0.25">
      <c r="A21" s="29">
        <v>15</v>
      </c>
      <c r="B21" s="49" t="b">
        <f t="shared" ca="1" si="9"/>
        <v>1</v>
      </c>
      <c r="C21" s="60" t="s">
        <v>41</v>
      </c>
      <c r="D21" s="22" t="s">
        <v>72</v>
      </c>
      <c r="E21" s="62" t="s">
        <v>67</v>
      </c>
      <c r="F21" s="22">
        <v>2</v>
      </c>
      <c r="G21" s="22" t="s">
        <v>14</v>
      </c>
      <c r="H21" s="58">
        <f ca="1">IF($E21="IMM",_xll.meDateNthIMMFromStartDate(AsOf, $F21,$AC21,"MOD_FOLLOWING"),_xll.meDateFromTenor(AsOf,$F21&amp;"D","MOD_FOLLOWING",$AC21))</f>
        <v>43091</v>
      </c>
      <c r="I21" s="88" t="s">
        <v>29</v>
      </c>
      <c r="J21" s="23" t="s">
        <v>16</v>
      </c>
      <c r="K21" s="23" t="s">
        <v>47</v>
      </c>
      <c r="L21" s="23" t="s">
        <v>42</v>
      </c>
      <c r="M21" s="23" t="s">
        <v>61</v>
      </c>
      <c r="N21" s="23" t="s">
        <v>56</v>
      </c>
      <c r="O21" s="46" t="s">
        <v>48</v>
      </c>
      <c r="P21" s="37">
        <f t="shared" ca="1" si="0"/>
        <v>1</v>
      </c>
      <c r="Q21" s="38" t="str">
        <f t="shared" ca="1" si="13"/>
        <v>SPOT</v>
      </c>
      <c r="R21" s="57">
        <f ca="1">IF($I21="","",IF(ISNUMBER($I21),$I21,_xll.meDateFromTenor(H21,$I21,"MOD_FOLLOWING",VLOOKUP(LEFT($M21,3),DateConventions,3))))</f>
        <v>44917</v>
      </c>
      <c r="S21" s="38" t="b">
        <f t="shared" ca="1" si="10"/>
        <v>1</v>
      </c>
      <c r="T21" s="38" t="b">
        <f t="shared" ca="1" si="1"/>
        <v>1</v>
      </c>
      <c r="U21" s="38" t="b">
        <f t="shared" ca="1" si="2"/>
        <v>1</v>
      </c>
      <c r="V21" s="38" t="b">
        <f t="shared" ca="1" si="3"/>
        <v>1</v>
      </c>
      <c r="W21" s="39" t="b">
        <f t="shared" ca="1" si="4"/>
        <v>1</v>
      </c>
      <c r="X21" s="38" t="b">
        <f t="shared" ca="1" si="5"/>
        <v>1</v>
      </c>
      <c r="Y21" s="40" t="b">
        <f t="shared" ca="1" si="6"/>
        <v>1</v>
      </c>
      <c r="Z21" s="40" t="b">
        <f t="shared" ca="1" si="11"/>
        <v>1</v>
      </c>
      <c r="AA21" s="40" t="b">
        <f t="shared" ca="1" si="7"/>
        <v>1</v>
      </c>
      <c r="AB21" s="67" t="b">
        <f t="shared" ca="1" si="8"/>
        <v>1</v>
      </c>
      <c r="AC21" s="64" t="str">
        <f t="shared" ca="1" si="12"/>
        <v>TGT</v>
      </c>
    </row>
    <row r="22" spans="1:29" x14ac:dyDescent="0.25">
      <c r="A22" s="29">
        <v>16</v>
      </c>
      <c r="B22" s="49" t="b">
        <f t="shared" ca="1" si="9"/>
        <v>1</v>
      </c>
      <c r="C22" s="60" t="s">
        <v>41</v>
      </c>
      <c r="D22" s="22" t="s">
        <v>72</v>
      </c>
      <c r="E22" s="62" t="s">
        <v>67</v>
      </c>
      <c r="F22" s="22">
        <v>2</v>
      </c>
      <c r="G22" s="22" t="s">
        <v>14</v>
      </c>
      <c r="H22" s="58">
        <f ca="1">IF($E22="IMM",_xll.meDateNthIMMFromStartDate(AsOf, $F22,$AC22,"MOD_FOLLOWING"),_xll.meDateFromTenor(AsOf,$F22&amp;"D","MOD_FOLLOWING",$AC22))</f>
        <v>43091</v>
      </c>
      <c r="I22" s="88" t="s">
        <v>29</v>
      </c>
      <c r="J22" s="23" t="s">
        <v>16</v>
      </c>
      <c r="K22" s="23" t="s">
        <v>47</v>
      </c>
      <c r="L22" s="23" t="s">
        <v>42</v>
      </c>
      <c r="M22" s="23" t="s">
        <v>61</v>
      </c>
      <c r="N22" s="23" t="s">
        <v>56</v>
      </c>
      <c r="O22" s="46" t="s">
        <v>48</v>
      </c>
      <c r="P22" s="37">
        <f t="shared" ca="1" si="0"/>
        <v>1</v>
      </c>
      <c r="Q22" s="38" t="str">
        <f t="shared" ca="1" si="13"/>
        <v>SPOT</v>
      </c>
      <c r="R22" s="57">
        <f ca="1">IF($I22="","",IF(ISNUMBER($I22),$I22,_xll.meDateFromTenor(H22,$I22,"MOD_FOLLOWING",VLOOKUP(LEFT($M22,3),DateConventions,3))))</f>
        <v>44917</v>
      </c>
      <c r="S22" s="38" t="b">
        <f t="shared" ca="1" si="10"/>
        <v>1</v>
      </c>
      <c r="T22" s="38" t="b">
        <f t="shared" ca="1" si="1"/>
        <v>1</v>
      </c>
      <c r="U22" s="38" t="b">
        <f t="shared" ca="1" si="2"/>
        <v>1</v>
      </c>
      <c r="V22" s="38" t="b">
        <f t="shared" ca="1" si="3"/>
        <v>1</v>
      </c>
      <c r="W22" s="39" t="b">
        <f t="shared" ca="1" si="4"/>
        <v>1</v>
      </c>
      <c r="X22" s="38" t="b">
        <f t="shared" ca="1" si="5"/>
        <v>1</v>
      </c>
      <c r="Y22" s="40" t="b">
        <f t="shared" ca="1" si="6"/>
        <v>1</v>
      </c>
      <c r="Z22" s="40" t="b">
        <f t="shared" ca="1" si="11"/>
        <v>1</v>
      </c>
      <c r="AA22" s="40" t="b">
        <f t="shared" ca="1" si="7"/>
        <v>1</v>
      </c>
      <c r="AB22" s="67" t="b">
        <f t="shared" ca="1" si="8"/>
        <v>1</v>
      </c>
      <c r="AC22" s="64" t="str">
        <f t="shared" ca="1" si="12"/>
        <v>TGT</v>
      </c>
    </row>
    <row r="23" spans="1:29" x14ac:dyDescent="0.25">
      <c r="A23" s="29">
        <v>17</v>
      </c>
      <c r="B23" s="49" t="b">
        <f t="shared" ca="1" si="9"/>
        <v>1</v>
      </c>
      <c r="C23" s="60" t="s">
        <v>41</v>
      </c>
      <c r="D23" s="22" t="s">
        <v>72</v>
      </c>
      <c r="E23" s="62" t="s">
        <v>67</v>
      </c>
      <c r="F23" s="22">
        <v>2</v>
      </c>
      <c r="G23" s="22" t="s">
        <v>14</v>
      </c>
      <c r="H23" s="58">
        <f ca="1">IF($E23="IMM",_xll.meDateNthIMMFromStartDate(AsOf, $F23,$AC23,"MOD_FOLLOWING"),_xll.meDateFromTenor(AsOf,$F23&amp;"D","MOD_FOLLOWING",$AC23))</f>
        <v>43091</v>
      </c>
      <c r="I23" s="88" t="s">
        <v>29</v>
      </c>
      <c r="J23" s="23" t="s">
        <v>16</v>
      </c>
      <c r="K23" s="23" t="s">
        <v>47</v>
      </c>
      <c r="L23" s="23" t="s">
        <v>42</v>
      </c>
      <c r="M23" s="23" t="s">
        <v>61</v>
      </c>
      <c r="N23" s="23" t="s">
        <v>56</v>
      </c>
      <c r="O23" s="46" t="s">
        <v>48</v>
      </c>
      <c r="P23" s="37">
        <f t="shared" ca="1" si="0"/>
        <v>1</v>
      </c>
      <c r="Q23" s="38" t="str">
        <f t="shared" ca="1" si="13"/>
        <v>SPOT</v>
      </c>
      <c r="R23" s="57">
        <f ca="1">IF($I23="","",IF(ISNUMBER($I23),$I23,_xll.meDateFromTenor(H23,$I23,"MOD_FOLLOWING",VLOOKUP(LEFT($M23,3),DateConventions,3))))</f>
        <v>44917</v>
      </c>
      <c r="S23" s="38" t="b">
        <f t="shared" ca="1" si="10"/>
        <v>1</v>
      </c>
      <c r="T23" s="38" t="b">
        <f t="shared" ca="1" si="1"/>
        <v>1</v>
      </c>
      <c r="U23" s="38" t="b">
        <f t="shared" ca="1" si="2"/>
        <v>1</v>
      </c>
      <c r="V23" s="38" t="b">
        <f t="shared" ca="1" si="3"/>
        <v>1</v>
      </c>
      <c r="W23" s="39" t="b">
        <f t="shared" ca="1" si="4"/>
        <v>1</v>
      </c>
      <c r="X23" s="38" t="b">
        <f t="shared" ca="1" si="5"/>
        <v>1</v>
      </c>
      <c r="Y23" s="40" t="b">
        <f t="shared" ca="1" si="6"/>
        <v>1</v>
      </c>
      <c r="Z23" s="40" t="b">
        <f t="shared" ca="1" si="11"/>
        <v>1</v>
      </c>
      <c r="AA23" s="40" t="b">
        <f t="shared" ca="1" si="7"/>
        <v>1</v>
      </c>
      <c r="AB23" s="67" t="b">
        <f t="shared" ca="1" si="8"/>
        <v>1</v>
      </c>
      <c r="AC23" s="64" t="str">
        <f t="shared" ca="1" si="12"/>
        <v>TGT</v>
      </c>
    </row>
    <row r="24" spans="1:29" x14ac:dyDescent="0.25">
      <c r="A24" s="29">
        <v>18</v>
      </c>
      <c r="B24" s="49" t="b">
        <f t="shared" ca="1" si="9"/>
        <v>1</v>
      </c>
      <c r="C24" s="60" t="s">
        <v>41</v>
      </c>
      <c r="D24" s="22" t="s">
        <v>72</v>
      </c>
      <c r="E24" s="62" t="s">
        <v>67</v>
      </c>
      <c r="F24" s="22">
        <v>2</v>
      </c>
      <c r="G24" s="22" t="s">
        <v>14</v>
      </c>
      <c r="H24" s="58">
        <f ca="1">IF($E24="IMM",_xll.meDateNthIMMFromStartDate(AsOf, $F24,$AC24,"MOD_FOLLOWING"),_xll.meDateFromTenor(AsOf,$F24&amp;"D","MOD_FOLLOWING",$AC24))</f>
        <v>43091</v>
      </c>
      <c r="I24" s="88" t="s">
        <v>29</v>
      </c>
      <c r="J24" s="23" t="s">
        <v>16</v>
      </c>
      <c r="K24" s="23" t="s">
        <v>47</v>
      </c>
      <c r="L24" s="23" t="s">
        <v>42</v>
      </c>
      <c r="M24" s="23" t="s">
        <v>61</v>
      </c>
      <c r="N24" s="23" t="s">
        <v>56</v>
      </c>
      <c r="O24" s="46" t="s">
        <v>48</v>
      </c>
      <c r="P24" s="37">
        <f t="shared" ca="1" si="0"/>
        <v>1</v>
      </c>
      <c r="Q24" s="38" t="str">
        <f t="shared" ca="1" si="13"/>
        <v>SPOT</v>
      </c>
      <c r="R24" s="57">
        <f ca="1">IF($I24="","",IF(ISNUMBER($I24),$I24,_xll.meDateFromTenor(H24,$I24,"MOD_FOLLOWING",VLOOKUP(LEFT($M24,3),DateConventions,3))))</f>
        <v>44917</v>
      </c>
      <c r="S24" s="38" t="b">
        <f t="shared" ca="1" si="10"/>
        <v>1</v>
      </c>
      <c r="T24" s="38" t="b">
        <f t="shared" ca="1" si="1"/>
        <v>1</v>
      </c>
      <c r="U24" s="38" t="b">
        <f t="shared" ca="1" si="2"/>
        <v>1</v>
      </c>
      <c r="V24" s="38" t="b">
        <f t="shared" ca="1" si="3"/>
        <v>1</v>
      </c>
      <c r="W24" s="39" t="b">
        <f t="shared" ca="1" si="4"/>
        <v>1</v>
      </c>
      <c r="X24" s="38" t="b">
        <f t="shared" ca="1" si="5"/>
        <v>1</v>
      </c>
      <c r="Y24" s="40" t="b">
        <f t="shared" ca="1" si="6"/>
        <v>1</v>
      </c>
      <c r="Z24" s="40" t="b">
        <f t="shared" ca="1" si="11"/>
        <v>1</v>
      </c>
      <c r="AA24" s="40" t="b">
        <f t="shared" ca="1" si="7"/>
        <v>1</v>
      </c>
      <c r="AB24" s="67" t="b">
        <f t="shared" ca="1" si="8"/>
        <v>1</v>
      </c>
      <c r="AC24" s="64" t="str">
        <f t="shared" ca="1" si="12"/>
        <v>TGT</v>
      </c>
    </row>
    <row r="25" spans="1:29" x14ac:dyDescent="0.25">
      <c r="A25" s="29">
        <v>19</v>
      </c>
      <c r="B25" s="49" t="b">
        <f t="shared" ca="1" si="9"/>
        <v>1</v>
      </c>
      <c r="C25" s="60" t="s">
        <v>41</v>
      </c>
      <c r="D25" s="22" t="s">
        <v>72</v>
      </c>
      <c r="E25" s="62" t="s">
        <v>67</v>
      </c>
      <c r="F25" s="22">
        <v>2</v>
      </c>
      <c r="G25" s="22" t="s">
        <v>14</v>
      </c>
      <c r="H25" s="58">
        <f ca="1">IF($E25="IMM",_xll.meDateNthIMMFromStartDate(AsOf, $F25,$AC25,"MOD_FOLLOWING"),_xll.meDateFromTenor(AsOf,$F25&amp;"D","MOD_FOLLOWING",$AC25))</f>
        <v>43091</v>
      </c>
      <c r="I25" s="88" t="s">
        <v>29</v>
      </c>
      <c r="J25" s="23" t="s">
        <v>16</v>
      </c>
      <c r="K25" s="23" t="s">
        <v>47</v>
      </c>
      <c r="L25" s="23" t="s">
        <v>42</v>
      </c>
      <c r="M25" s="23" t="s">
        <v>61</v>
      </c>
      <c r="N25" s="23" t="s">
        <v>56</v>
      </c>
      <c r="O25" s="46" t="s">
        <v>48</v>
      </c>
      <c r="P25" s="37">
        <f t="shared" ca="1" si="0"/>
        <v>1</v>
      </c>
      <c r="Q25" s="38" t="str">
        <f t="shared" ca="1" si="13"/>
        <v>SPOT</v>
      </c>
      <c r="R25" s="57">
        <f ca="1">IF($I25="","",IF(ISNUMBER($I25),$I25,_xll.meDateFromTenor(H25,$I25,"MOD_FOLLOWING",VLOOKUP(LEFT($M25,3),DateConventions,3))))</f>
        <v>44917</v>
      </c>
      <c r="S25" s="38" t="b">
        <f t="shared" ca="1" si="10"/>
        <v>1</v>
      </c>
      <c r="T25" s="38" t="b">
        <f t="shared" ca="1" si="1"/>
        <v>1</v>
      </c>
      <c r="U25" s="38" t="b">
        <f t="shared" ca="1" si="2"/>
        <v>1</v>
      </c>
      <c r="V25" s="38" t="b">
        <f t="shared" ca="1" si="3"/>
        <v>1</v>
      </c>
      <c r="W25" s="39" t="b">
        <f t="shared" ca="1" si="4"/>
        <v>1</v>
      </c>
      <c r="X25" s="38" t="b">
        <f t="shared" ca="1" si="5"/>
        <v>1</v>
      </c>
      <c r="Y25" s="40" t="b">
        <f t="shared" ca="1" si="6"/>
        <v>1</v>
      </c>
      <c r="Z25" s="40" t="b">
        <f t="shared" ca="1" si="11"/>
        <v>1</v>
      </c>
      <c r="AA25" s="40" t="b">
        <f t="shared" ca="1" si="7"/>
        <v>1</v>
      </c>
      <c r="AB25" s="67" t="b">
        <f t="shared" ca="1" si="8"/>
        <v>1</v>
      </c>
      <c r="AC25" s="64" t="str">
        <f t="shared" ca="1" si="12"/>
        <v>TGT</v>
      </c>
    </row>
    <row r="26" spans="1:29" x14ac:dyDescent="0.25">
      <c r="A26" s="29">
        <v>20</v>
      </c>
      <c r="B26" s="49" t="b">
        <f t="shared" ca="1" si="9"/>
        <v>1</v>
      </c>
      <c r="C26" s="60" t="s">
        <v>41</v>
      </c>
      <c r="D26" s="22" t="s">
        <v>72</v>
      </c>
      <c r="E26" s="62" t="s">
        <v>67</v>
      </c>
      <c r="F26" s="22">
        <v>2</v>
      </c>
      <c r="G26" s="22" t="s">
        <v>14</v>
      </c>
      <c r="H26" s="58">
        <f ca="1">IF($E26="IMM",_xll.meDateNthIMMFromStartDate(AsOf, $F26,$AC26,"MOD_FOLLOWING"),_xll.meDateFromTenor(AsOf,$F26&amp;"D","MOD_FOLLOWING",$AC26))</f>
        <v>43091</v>
      </c>
      <c r="I26" s="88" t="s">
        <v>29</v>
      </c>
      <c r="J26" s="23" t="s">
        <v>16</v>
      </c>
      <c r="K26" s="23" t="s">
        <v>47</v>
      </c>
      <c r="L26" s="23" t="s">
        <v>42</v>
      </c>
      <c r="M26" s="23" t="s">
        <v>61</v>
      </c>
      <c r="N26" s="23" t="s">
        <v>56</v>
      </c>
      <c r="O26" s="46" t="s">
        <v>48</v>
      </c>
      <c r="P26" s="37">
        <f t="shared" ca="1" si="0"/>
        <v>1</v>
      </c>
      <c r="Q26" s="38" t="str">
        <f t="shared" ca="1" si="13"/>
        <v>SPOT</v>
      </c>
      <c r="R26" s="57">
        <f ca="1">IF($I26="","",IF(ISNUMBER($I26),$I26,_xll.meDateFromTenor(H26,$I26,"MOD_FOLLOWING",VLOOKUP(LEFT($M26,3),DateConventions,3))))</f>
        <v>44917</v>
      </c>
      <c r="S26" s="38" t="b">
        <f t="shared" ca="1" si="10"/>
        <v>1</v>
      </c>
      <c r="T26" s="38" t="b">
        <f t="shared" ca="1" si="1"/>
        <v>1</v>
      </c>
      <c r="U26" s="38" t="b">
        <f t="shared" ca="1" si="2"/>
        <v>1</v>
      </c>
      <c r="V26" s="38" t="b">
        <f t="shared" ca="1" si="3"/>
        <v>1</v>
      </c>
      <c r="W26" s="39" t="b">
        <f t="shared" ca="1" si="4"/>
        <v>1</v>
      </c>
      <c r="X26" s="38" t="b">
        <f t="shared" ca="1" si="5"/>
        <v>1</v>
      </c>
      <c r="Y26" s="40" t="b">
        <f t="shared" ca="1" si="6"/>
        <v>1</v>
      </c>
      <c r="Z26" s="40" t="b">
        <f t="shared" ca="1" si="11"/>
        <v>1</v>
      </c>
      <c r="AA26" s="40" t="b">
        <f t="shared" ca="1" si="7"/>
        <v>1</v>
      </c>
      <c r="AB26" s="67" t="b">
        <f t="shared" ca="1" si="8"/>
        <v>1</v>
      </c>
      <c r="AC26" s="64" t="str">
        <f t="shared" ca="1" si="12"/>
        <v>TGT</v>
      </c>
    </row>
    <row r="27" spans="1:29" x14ac:dyDescent="0.25">
      <c r="A27" s="29">
        <v>21</v>
      </c>
      <c r="B27" s="49" t="b">
        <f t="shared" ca="1" si="9"/>
        <v>1</v>
      </c>
      <c r="C27" s="60" t="s">
        <v>41</v>
      </c>
      <c r="D27" s="22" t="s">
        <v>72</v>
      </c>
      <c r="E27" s="62" t="s">
        <v>67</v>
      </c>
      <c r="F27" s="22">
        <v>2</v>
      </c>
      <c r="G27" s="22" t="s">
        <v>14</v>
      </c>
      <c r="H27" s="58">
        <f ca="1">IF($E27="IMM",_xll.meDateNthIMMFromStartDate(AsOf, $F27,$AC27,"MOD_FOLLOWING"),_xll.meDateFromTenor(AsOf,$F27&amp;"D","MOD_FOLLOWING",$AC27))</f>
        <v>43091</v>
      </c>
      <c r="I27" s="88" t="s">
        <v>29</v>
      </c>
      <c r="J27" s="23" t="s">
        <v>16</v>
      </c>
      <c r="K27" s="23" t="s">
        <v>47</v>
      </c>
      <c r="L27" s="23" t="s">
        <v>42</v>
      </c>
      <c r="M27" s="23" t="s">
        <v>61</v>
      </c>
      <c r="N27" s="23" t="s">
        <v>56</v>
      </c>
      <c r="O27" s="46" t="s">
        <v>48</v>
      </c>
      <c r="P27" s="37">
        <f t="shared" ca="1" si="0"/>
        <v>1</v>
      </c>
      <c r="Q27" s="38" t="str">
        <f t="shared" ca="1" si="13"/>
        <v>SPOT</v>
      </c>
      <c r="R27" s="57">
        <f ca="1">IF($I27="","",IF(ISNUMBER($I27),$I27,_xll.meDateFromTenor(H27,$I27,"MOD_FOLLOWING",VLOOKUP(LEFT($M27,3),DateConventions,3))))</f>
        <v>44917</v>
      </c>
      <c r="S27" s="38" t="b">
        <f t="shared" ca="1" si="10"/>
        <v>1</v>
      </c>
      <c r="T27" s="38" t="b">
        <f t="shared" ca="1" si="1"/>
        <v>1</v>
      </c>
      <c r="U27" s="38" t="b">
        <f t="shared" ca="1" si="2"/>
        <v>1</v>
      </c>
      <c r="V27" s="38" t="b">
        <f t="shared" ca="1" si="3"/>
        <v>1</v>
      </c>
      <c r="W27" s="39" t="b">
        <f t="shared" ca="1" si="4"/>
        <v>1</v>
      </c>
      <c r="X27" s="38" t="b">
        <f t="shared" ca="1" si="5"/>
        <v>1</v>
      </c>
      <c r="Y27" s="40" t="b">
        <f t="shared" ca="1" si="6"/>
        <v>1</v>
      </c>
      <c r="Z27" s="40" t="b">
        <f t="shared" ca="1" si="11"/>
        <v>1</v>
      </c>
      <c r="AA27" s="40" t="b">
        <f t="shared" ca="1" si="7"/>
        <v>1</v>
      </c>
      <c r="AB27" s="67" t="b">
        <f t="shared" ca="1" si="8"/>
        <v>1</v>
      </c>
      <c r="AC27" s="64" t="str">
        <f t="shared" ca="1" si="12"/>
        <v>TGT</v>
      </c>
    </row>
    <row r="28" spans="1:29" x14ac:dyDescent="0.25">
      <c r="A28" s="29">
        <v>22</v>
      </c>
      <c r="B28" s="49" t="b">
        <f t="shared" ca="1" si="9"/>
        <v>1</v>
      </c>
      <c r="C28" s="60" t="s">
        <v>41</v>
      </c>
      <c r="D28" s="22" t="s">
        <v>72</v>
      </c>
      <c r="E28" s="62" t="s">
        <v>67</v>
      </c>
      <c r="F28" s="22">
        <v>2</v>
      </c>
      <c r="G28" s="22" t="s">
        <v>14</v>
      </c>
      <c r="H28" s="58">
        <f ca="1">IF($E28="IMM",_xll.meDateNthIMMFromStartDate(AsOf, $F28,$AC28,"MOD_FOLLOWING"),_xll.meDateFromTenor(AsOf,$F28&amp;"D","MOD_FOLLOWING",$AC28))</f>
        <v>43091</v>
      </c>
      <c r="I28" s="88" t="s">
        <v>29</v>
      </c>
      <c r="J28" s="23" t="s">
        <v>16</v>
      </c>
      <c r="K28" s="23" t="s">
        <v>47</v>
      </c>
      <c r="L28" s="23" t="s">
        <v>42</v>
      </c>
      <c r="M28" s="23" t="s">
        <v>61</v>
      </c>
      <c r="N28" s="23" t="s">
        <v>56</v>
      </c>
      <c r="O28" s="46" t="s">
        <v>48</v>
      </c>
      <c r="P28" s="37">
        <f t="shared" ca="1" si="0"/>
        <v>1</v>
      </c>
      <c r="Q28" s="38" t="str">
        <f t="shared" ca="1" si="13"/>
        <v>SPOT</v>
      </c>
      <c r="R28" s="57">
        <f ca="1">IF($I28="","",IF(ISNUMBER($I28),$I28,_xll.meDateFromTenor(H28,$I28,"MOD_FOLLOWING",VLOOKUP(LEFT($M28,3),DateConventions,3))))</f>
        <v>44917</v>
      </c>
      <c r="S28" s="38" t="b">
        <f t="shared" ca="1" si="10"/>
        <v>1</v>
      </c>
      <c r="T28" s="38" t="b">
        <f t="shared" ca="1" si="1"/>
        <v>1</v>
      </c>
      <c r="U28" s="38" t="b">
        <f t="shared" ca="1" si="2"/>
        <v>1</v>
      </c>
      <c r="V28" s="38" t="b">
        <f t="shared" ca="1" si="3"/>
        <v>1</v>
      </c>
      <c r="W28" s="39" t="b">
        <f t="shared" ca="1" si="4"/>
        <v>1</v>
      </c>
      <c r="X28" s="38" t="b">
        <f t="shared" ca="1" si="5"/>
        <v>1</v>
      </c>
      <c r="Y28" s="40" t="b">
        <f t="shared" ca="1" si="6"/>
        <v>1</v>
      </c>
      <c r="Z28" s="40" t="b">
        <f t="shared" ca="1" si="11"/>
        <v>1</v>
      </c>
      <c r="AA28" s="40" t="b">
        <f t="shared" ca="1" si="7"/>
        <v>1</v>
      </c>
      <c r="AB28" s="67" t="b">
        <f t="shared" ca="1" si="8"/>
        <v>1</v>
      </c>
      <c r="AC28" s="64" t="str">
        <f t="shared" ca="1" si="12"/>
        <v>TGT</v>
      </c>
    </row>
    <row r="29" spans="1:29" x14ac:dyDescent="0.25">
      <c r="A29" s="29">
        <v>23</v>
      </c>
      <c r="B29" s="49" t="b">
        <f t="shared" ca="1" si="9"/>
        <v>1</v>
      </c>
      <c r="C29" s="60" t="s">
        <v>41</v>
      </c>
      <c r="D29" s="22" t="s">
        <v>72</v>
      </c>
      <c r="E29" s="62" t="s">
        <v>67</v>
      </c>
      <c r="F29" s="22">
        <v>2</v>
      </c>
      <c r="G29" s="22" t="s">
        <v>14</v>
      </c>
      <c r="H29" s="58">
        <f ca="1">IF($E29="IMM",_xll.meDateNthIMMFromStartDate(AsOf, $F29,$AC29,"MOD_FOLLOWING"),_xll.meDateFromTenor(AsOf,$F29&amp;"D","MOD_FOLLOWING",$AC29))</f>
        <v>43091</v>
      </c>
      <c r="I29" s="88" t="s">
        <v>29</v>
      </c>
      <c r="J29" s="23" t="s">
        <v>16</v>
      </c>
      <c r="K29" s="23" t="s">
        <v>47</v>
      </c>
      <c r="L29" s="23" t="s">
        <v>42</v>
      </c>
      <c r="M29" s="23" t="s">
        <v>61</v>
      </c>
      <c r="N29" s="23" t="s">
        <v>56</v>
      </c>
      <c r="O29" s="46" t="s">
        <v>48</v>
      </c>
      <c r="P29" s="37">
        <f t="shared" ca="1" si="0"/>
        <v>1</v>
      </c>
      <c r="Q29" s="38" t="str">
        <f t="shared" ca="1" si="13"/>
        <v>SPOT</v>
      </c>
      <c r="R29" s="57">
        <f ca="1">IF($I29="","",IF(ISNUMBER($I29),$I29,_xll.meDateFromTenor(H29,$I29,"MOD_FOLLOWING",VLOOKUP(LEFT($M29,3),DateConventions,3))))</f>
        <v>44917</v>
      </c>
      <c r="S29" s="38" t="b">
        <f t="shared" ca="1" si="10"/>
        <v>1</v>
      </c>
      <c r="T29" s="38" t="b">
        <f t="shared" ca="1" si="1"/>
        <v>1</v>
      </c>
      <c r="U29" s="38" t="b">
        <f t="shared" ca="1" si="2"/>
        <v>1</v>
      </c>
      <c r="V29" s="38" t="b">
        <f t="shared" ca="1" si="3"/>
        <v>1</v>
      </c>
      <c r="W29" s="39" t="b">
        <f t="shared" ca="1" si="4"/>
        <v>1</v>
      </c>
      <c r="X29" s="38" t="b">
        <f t="shared" ca="1" si="5"/>
        <v>1</v>
      </c>
      <c r="Y29" s="40" t="b">
        <f t="shared" ca="1" si="6"/>
        <v>1</v>
      </c>
      <c r="Z29" s="40" t="b">
        <f t="shared" ca="1" si="11"/>
        <v>1</v>
      </c>
      <c r="AA29" s="40" t="b">
        <f t="shared" ca="1" si="7"/>
        <v>1</v>
      </c>
      <c r="AB29" s="67" t="b">
        <f t="shared" ca="1" si="8"/>
        <v>1</v>
      </c>
      <c r="AC29" s="64" t="str">
        <f t="shared" ca="1" si="12"/>
        <v>TGT</v>
      </c>
    </row>
    <row r="30" spans="1:29" x14ac:dyDescent="0.25">
      <c r="A30" s="29">
        <v>24</v>
      </c>
      <c r="B30" s="49" t="b">
        <f t="shared" ca="1" si="9"/>
        <v>1</v>
      </c>
      <c r="C30" s="60" t="s">
        <v>41</v>
      </c>
      <c r="D30" s="22" t="s">
        <v>72</v>
      </c>
      <c r="E30" s="62" t="s">
        <v>67</v>
      </c>
      <c r="F30" s="22">
        <v>2</v>
      </c>
      <c r="G30" s="22" t="s">
        <v>14</v>
      </c>
      <c r="H30" s="58">
        <f ca="1">IF($E30="IMM",_xll.meDateNthIMMFromStartDate(AsOf, $F30,$AC30,"MOD_FOLLOWING"),_xll.meDateFromTenor(AsOf,$F30&amp;"D","MOD_FOLLOWING",$AC30))</f>
        <v>43091</v>
      </c>
      <c r="I30" s="88" t="s">
        <v>29</v>
      </c>
      <c r="J30" s="23" t="s">
        <v>16</v>
      </c>
      <c r="K30" s="23" t="s">
        <v>47</v>
      </c>
      <c r="L30" s="23" t="s">
        <v>42</v>
      </c>
      <c r="M30" s="23" t="s">
        <v>61</v>
      </c>
      <c r="N30" s="23" t="s">
        <v>56</v>
      </c>
      <c r="O30" s="46" t="s">
        <v>48</v>
      </c>
      <c r="P30" s="37">
        <f t="shared" ca="1" si="0"/>
        <v>1</v>
      </c>
      <c r="Q30" s="38" t="str">
        <f t="shared" ca="1" si="13"/>
        <v>SPOT</v>
      </c>
      <c r="R30" s="57">
        <f ca="1">IF($I30="","",IF(ISNUMBER($I30),$I30,_xll.meDateFromTenor(H30,$I30,"MOD_FOLLOWING",VLOOKUP(LEFT($M30,3),DateConventions,3))))</f>
        <v>44917</v>
      </c>
      <c r="S30" s="38" t="b">
        <f t="shared" ca="1" si="10"/>
        <v>1</v>
      </c>
      <c r="T30" s="38" t="b">
        <f t="shared" ca="1" si="1"/>
        <v>1</v>
      </c>
      <c r="U30" s="38" t="b">
        <f t="shared" ca="1" si="2"/>
        <v>1</v>
      </c>
      <c r="V30" s="38" t="b">
        <f t="shared" ca="1" si="3"/>
        <v>1</v>
      </c>
      <c r="W30" s="39" t="b">
        <f t="shared" ca="1" si="4"/>
        <v>1</v>
      </c>
      <c r="X30" s="38" t="b">
        <f t="shared" ca="1" si="5"/>
        <v>1</v>
      </c>
      <c r="Y30" s="40" t="b">
        <f t="shared" ca="1" si="6"/>
        <v>1</v>
      </c>
      <c r="Z30" s="40" t="b">
        <f t="shared" ca="1" si="11"/>
        <v>1</v>
      </c>
      <c r="AA30" s="40" t="b">
        <f t="shared" ca="1" si="7"/>
        <v>1</v>
      </c>
      <c r="AB30" s="67" t="b">
        <f t="shared" ca="1" si="8"/>
        <v>1</v>
      </c>
      <c r="AC30" s="64" t="str">
        <f t="shared" ca="1" si="12"/>
        <v>TGT</v>
      </c>
    </row>
    <row r="31" spans="1:29" x14ac:dyDescent="0.25">
      <c r="A31" s="29">
        <v>25</v>
      </c>
      <c r="B31" s="49" t="b">
        <f t="shared" ca="1" si="9"/>
        <v>1</v>
      </c>
      <c r="C31" s="60" t="s">
        <v>41</v>
      </c>
      <c r="D31" s="22" t="s">
        <v>72</v>
      </c>
      <c r="E31" s="62" t="s">
        <v>67</v>
      </c>
      <c r="F31" s="22">
        <v>2</v>
      </c>
      <c r="G31" s="22" t="s">
        <v>14</v>
      </c>
      <c r="H31" s="58">
        <f ca="1">IF($E31="IMM",_xll.meDateNthIMMFromStartDate(AsOf, $F31,$AC31,"MOD_FOLLOWING"),_xll.meDateFromTenor(AsOf,$F31&amp;"D","MOD_FOLLOWING",$AC31))</f>
        <v>43091</v>
      </c>
      <c r="I31" s="88" t="s">
        <v>29</v>
      </c>
      <c r="J31" s="23" t="s">
        <v>16</v>
      </c>
      <c r="K31" s="23" t="s">
        <v>47</v>
      </c>
      <c r="L31" s="23" t="s">
        <v>42</v>
      </c>
      <c r="M31" s="23" t="s">
        <v>61</v>
      </c>
      <c r="N31" s="23" t="s">
        <v>56</v>
      </c>
      <c r="O31" s="46" t="s">
        <v>48</v>
      </c>
      <c r="P31" s="37">
        <f t="shared" ca="1" si="0"/>
        <v>1</v>
      </c>
      <c r="Q31" s="38" t="str">
        <f t="shared" ca="1" si="13"/>
        <v>SPOT</v>
      </c>
      <c r="R31" s="57">
        <f ca="1">IF($I31="","",IF(ISNUMBER($I31),$I31,_xll.meDateFromTenor(H31,$I31,"MOD_FOLLOWING",VLOOKUP(LEFT($M31,3),DateConventions,3))))</f>
        <v>44917</v>
      </c>
      <c r="S31" s="38" t="b">
        <f t="shared" ca="1" si="10"/>
        <v>1</v>
      </c>
      <c r="T31" s="38" t="b">
        <f t="shared" ca="1" si="1"/>
        <v>1</v>
      </c>
      <c r="U31" s="38" t="b">
        <f t="shared" ca="1" si="2"/>
        <v>1</v>
      </c>
      <c r="V31" s="38" t="b">
        <f t="shared" ca="1" si="3"/>
        <v>1</v>
      </c>
      <c r="W31" s="39" t="b">
        <f t="shared" ca="1" si="4"/>
        <v>1</v>
      </c>
      <c r="X31" s="38" t="b">
        <f t="shared" ca="1" si="5"/>
        <v>1</v>
      </c>
      <c r="Y31" s="40" t="b">
        <f t="shared" ca="1" si="6"/>
        <v>1</v>
      </c>
      <c r="Z31" s="40" t="b">
        <f t="shared" ca="1" si="11"/>
        <v>1</v>
      </c>
      <c r="AA31" s="40" t="b">
        <f t="shared" ca="1" si="7"/>
        <v>1</v>
      </c>
      <c r="AB31" s="67" t="b">
        <f t="shared" ca="1" si="8"/>
        <v>1</v>
      </c>
      <c r="AC31" s="64" t="str">
        <f t="shared" ca="1" si="12"/>
        <v>TGT</v>
      </c>
    </row>
    <row r="32" spans="1:29" x14ac:dyDescent="0.25">
      <c r="A32" s="29">
        <v>26</v>
      </c>
      <c r="B32" s="49" t="b">
        <f t="shared" ca="1" si="9"/>
        <v>1</v>
      </c>
      <c r="C32" s="60" t="s">
        <v>41</v>
      </c>
      <c r="D32" s="22" t="s">
        <v>72</v>
      </c>
      <c r="E32" s="62" t="s">
        <v>67</v>
      </c>
      <c r="F32" s="22">
        <v>2</v>
      </c>
      <c r="G32" s="22" t="s">
        <v>14</v>
      </c>
      <c r="H32" s="58">
        <f ca="1">IF($E32="IMM",_xll.meDateNthIMMFromStartDate(AsOf, $F32,$AC32,"MOD_FOLLOWING"),_xll.meDateFromTenor(AsOf,$F32&amp;"D","MOD_FOLLOWING",$AC32))</f>
        <v>43091</v>
      </c>
      <c r="I32" s="88" t="s">
        <v>29</v>
      </c>
      <c r="J32" s="23" t="s">
        <v>16</v>
      </c>
      <c r="K32" s="23" t="s">
        <v>47</v>
      </c>
      <c r="L32" s="23" t="s">
        <v>42</v>
      </c>
      <c r="M32" s="23" t="s">
        <v>61</v>
      </c>
      <c r="N32" s="23" t="s">
        <v>56</v>
      </c>
      <c r="O32" s="46" t="s">
        <v>48</v>
      </c>
      <c r="P32" s="37">
        <f t="shared" ca="1" si="0"/>
        <v>1</v>
      </c>
      <c r="Q32" s="38" t="str">
        <f t="shared" ca="1" si="13"/>
        <v>SPOT</v>
      </c>
      <c r="R32" s="57">
        <f ca="1">IF($I32="","",IF(ISNUMBER($I32),$I32,_xll.meDateFromTenor(H32,$I32,"MOD_FOLLOWING",VLOOKUP(LEFT($M32,3),DateConventions,3))))</f>
        <v>44917</v>
      </c>
      <c r="S32" s="38" t="b">
        <f t="shared" ca="1" si="10"/>
        <v>1</v>
      </c>
      <c r="T32" s="38" t="b">
        <f t="shared" ca="1" si="1"/>
        <v>1</v>
      </c>
      <c r="U32" s="38" t="b">
        <f t="shared" ca="1" si="2"/>
        <v>1</v>
      </c>
      <c r="V32" s="38" t="b">
        <f t="shared" ca="1" si="3"/>
        <v>1</v>
      </c>
      <c r="W32" s="39" t="b">
        <f t="shared" ca="1" si="4"/>
        <v>1</v>
      </c>
      <c r="X32" s="38" t="b">
        <f t="shared" ca="1" si="5"/>
        <v>1</v>
      </c>
      <c r="Y32" s="40" t="b">
        <f t="shared" ca="1" si="6"/>
        <v>1</v>
      </c>
      <c r="Z32" s="40" t="b">
        <f t="shared" ca="1" si="11"/>
        <v>1</v>
      </c>
      <c r="AA32" s="40" t="b">
        <f t="shared" ca="1" si="7"/>
        <v>1</v>
      </c>
      <c r="AB32" s="67" t="b">
        <f t="shared" ca="1" si="8"/>
        <v>1</v>
      </c>
      <c r="AC32" s="64" t="str">
        <f t="shared" ca="1" si="12"/>
        <v>TGT</v>
      </c>
    </row>
    <row r="33" spans="1:29" x14ac:dyDescent="0.25">
      <c r="A33" s="29">
        <v>27</v>
      </c>
      <c r="B33" s="49" t="b">
        <f t="shared" ca="1" si="9"/>
        <v>1</v>
      </c>
      <c r="C33" s="60" t="s">
        <v>41</v>
      </c>
      <c r="D33" s="22" t="s">
        <v>72</v>
      </c>
      <c r="E33" s="62" t="s">
        <v>67</v>
      </c>
      <c r="F33" s="22">
        <v>2</v>
      </c>
      <c r="G33" s="22" t="s">
        <v>14</v>
      </c>
      <c r="H33" s="58">
        <f ca="1">IF($E33="IMM",_xll.meDateNthIMMFromStartDate(AsOf, $F33,$AC33,"MOD_FOLLOWING"),_xll.meDateFromTenor(AsOf,$F33&amp;"D","MOD_FOLLOWING",$AC33))</f>
        <v>43091</v>
      </c>
      <c r="I33" s="88" t="s">
        <v>29</v>
      </c>
      <c r="J33" s="23" t="s">
        <v>16</v>
      </c>
      <c r="K33" s="23" t="s">
        <v>47</v>
      </c>
      <c r="L33" s="23" t="s">
        <v>42</v>
      </c>
      <c r="M33" s="23" t="s">
        <v>61</v>
      </c>
      <c r="N33" s="23" t="s">
        <v>56</v>
      </c>
      <c r="O33" s="46" t="s">
        <v>48</v>
      </c>
      <c r="P33" s="37">
        <f t="shared" ca="1" si="0"/>
        <v>1</v>
      </c>
      <c r="Q33" s="38" t="str">
        <f t="shared" ca="1" si="13"/>
        <v>SPOT</v>
      </c>
      <c r="R33" s="57">
        <f ca="1">IF($I33="","",IF(ISNUMBER($I33),$I33,_xll.meDateFromTenor(H33,$I33,"MOD_FOLLOWING",VLOOKUP(LEFT($M33,3),DateConventions,3))))</f>
        <v>44917</v>
      </c>
      <c r="S33" s="38" t="b">
        <f t="shared" ca="1" si="10"/>
        <v>1</v>
      </c>
      <c r="T33" s="38" t="b">
        <f t="shared" ca="1" si="1"/>
        <v>1</v>
      </c>
      <c r="U33" s="38" t="b">
        <f t="shared" ca="1" si="2"/>
        <v>1</v>
      </c>
      <c r="V33" s="38" t="b">
        <f t="shared" ca="1" si="3"/>
        <v>1</v>
      </c>
      <c r="W33" s="39" t="b">
        <f t="shared" ca="1" si="4"/>
        <v>1</v>
      </c>
      <c r="X33" s="38" t="b">
        <f t="shared" ca="1" si="5"/>
        <v>1</v>
      </c>
      <c r="Y33" s="40" t="b">
        <f t="shared" ca="1" si="6"/>
        <v>1</v>
      </c>
      <c r="Z33" s="40" t="b">
        <f t="shared" ca="1" si="11"/>
        <v>1</v>
      </c>
      <c r="AA33" s="40" t="b">
        <f t="shared" ca="1" si="7"/>
        <v>1</v>
      </c>
      <c r="AB33" s="67" t="b">
        <f t="shared" ca="1" si="8"/>
        <v>1</v>
      </c>
      <c r="AC33" s="64" t="str">
        <f t="shared" ca="1" si="12"/>
        <v>TGT</v>
      </c>
    </row>
    <row r="34" spans="1:29" x14ac:dyDescent="0.25">
      <c r="A34" s="29">
        <v>28</v>
      </c>
      <c r="B34" s="49" t="b">
        <f t="shared" ca="1" si="9"/>
        <v>1</v>
      </c>
      <c r="C34" s="60" t="s">
        <v>41</v>
      </c>
      <c r="D34" s="22" t="s">
        <v>72</v>
      </c>
      <c r="E34" s="62" t="s">
        <v>67</v>
      </c>
      <c r="F34" s="22">
        <v>2</v>
      </c>
      <c r="G34" s="22" t="s">
        <v>14</v>
      </c>
      <c r="H34" s="58">
        <f ca="1">IF($E34="IMM",_xll.meDateNthIMMFromStartDate(AsOf, $F34,$AC34,"MOD_FOLLOWING"),_xll.meDateFromTenor(AsOf,$F34&amp;"D","MOD_FOLLOWING",$AC34))</f>
        <v>43091</v>
      </c>
      <c r="I34" s="88" t="s">
        <v>29</v>
      </c>
      <c r="J34" s="23" t="s">
        <v>16</v>
      </c>
      <c r="K34" s="23" t="s">
        <v>47</v>
      </c>
      <c r="L34" s="23" t="s">
        <v>42</v>
      </c>
      <c r="M34" s="23" t="s">
        <v>61</v>
      </c>
      <c r="N34" s="23" t="s">
        <v>56</v>
      </c>
      <c r="O34" s="46" t="s">
        <v>48</v>
      </c>
      <c r="P34" s="37">
        <f t="shared" ca="1" si="0"/>
        <v>1</v>
      </c>
      <c r="Q34" s="38" t="str">
        <f t="shared" ca="1" si="13"/>
        <v>SPOT</v>
      </c>
      <c r="R34" s="57">
        <f ca="1">IF($I34="","",IF(ISNUMBER($I34),$I34,_xll.meDateFromTenor(H34,$I34,"MOD_FOLLOWING",VLOOKUP(LEFT($M34,3),DateConventions,3))))</f>
        <v>44917</v>
      </c>
      <c r="S34" s="38" t="b">
        <f t="shared" ca="1" si="10"/>
        <v>1</v>
      </c>
      <c r="T34" s="38" t="b">
        <f t="shared" ca="1" si="1"/>
        <v>1</v>
      </c>
      <c r="U34" s="38" t="b">
        <f t="shared" ca="1" si="2"/>
        <v>1</v>
      </c>
      <c r="V34" s="38" t="b">
        <f t="shared" ca="1" si="3"/>
        <v>1</v>
      </c>
      <c r="W34" s="39" t="b">
        <f t="shared" ca="1" si="4"/>
        <v>1</v>
      </c>
      <c r="X34" s="38" t="b">
        <f t="shared" ca="1" si="5"/>
        <v>1</v>
      </c>
      <c r="Y34" s="40" t="b">
        <f t="shared" ca="1" si="6"/>
        <v>1</v>
      </c>
      <c r="Z34" s="40" t="b">
        <f t="shared" ca="1" si="11"/>
        <v>1</v>
      </c>
      <c r="AA34" s="40" t="b">
        <f t="shared" ca="1" si="7"/>
        <v>1</v>
      </c>
      <c r="AB34" s="67" t="b">
        <f t="shared" ca="1" si="8"/>
        <v>1</v>
      </c>
      <c r="AC34" s="64" t="str">
        <f t="shared" ca="1" si="12"/>
        <v>TGT</v>
      </c>
    </row>
    <row r="35" spans="1:29" x14ac:dyDescent="0.25">
      <c r="A35" s="29">
        <v>29</v>
      </c>
      <c r="B35" s="49" t="b">
        <f t="shared" ca="1" si="9"/>
        <v>1</v>
      </c>
      <c r="C35" s="60" t="s">
        <v>41</v>
      </c>
      <c r="D35" s="22" t="s">
        <v>72</v>
      </c>
      <c r="E35" s="62" t="s">
        <v>67</v>
      </c>
      <c r="F35" s="22">
        <v>2</v>
      </c>
      <c r="G35" s="22" t="s">
        <v>14</v>
      </c>
      <c r="H35" s="58">
        <f ca="1">IF($E35="IMM",_xll.meDateNthIMMFromStartDate(AsOf, $F35,$AC35,"MOD_FOLLOWING"),_xll.meDateFromTenor(AsOf,$F35&amp;"D","MOD_FOLLOWING",$AC35))</f>
        <v>43091</v>
      </c>
      <c r="I35" s="88" t="s">
        <v>29</v>
      </c>
      <c r="J35" s="23" t="s">
        <v>16</v>
      </c>
      <c r="K35" s="23" t="s">
        <v>47</v>
      </c>
      <c r="L35" s="23" t="s">
        <v>42</v>
      </c>
      <c r="M35" s="23" t="s">
        <v>61</v>
      </c>
      <c r="N35" s="23" t="s">
        <v>56</v>
      </c>
      <c r="O35" s="46" t="s">
        <v>48</v>
      </c>
      <c r="P35" s="37">
        <f t="shared" ca="1" si="0"/>
        <v>1</v>
      </c>
      <c r="Q35" s="38" t="str">
        <f t="shared" ca="1" si="13"/>
        <v>SPOT</v>
      </c>
      <c r="R35" s="57">
        <f ca="1">IF($I35="","",IF(ISNUMBER($I35),$I35,_xll.meDateFromTenor(H35,$I35,"MOD_FOLLOWING",VLOOKUP(LEFT($M35,3),DateConventions,3))))</f>
        <v>44917</v>
      </c>
      <c r="S35" s="38" t="b">
        <f t="shared" ca="1" si="10"/>
        <v>1</v>
      </c>
      <c r="T35" s="38" t="b">
        <f t="shared" ca="1" si="1"/>
        <v>1</v>
      </c>
      <c r="U35" s="38" t="b">
        <f t="shared" ca="1" si="2"/>
        <v>1</v>
      </c>
      <c r="V35" s="38" t="b">
        <f t="shared" ca="1" si="3"/>
        <v>1</v>
      </c>
      <c r="W35" s="39" t="b">
        <f t="shared" ca="1" si="4"/>
        <v>1</v>
      </c>
      <c r="X35" s="38" t="b">
        <f t="shared" ca="1" si="5"/>
        <v>1</v>
      </c>
      <c r="Y35" s="40" t="b">
        <f t="shared" ca="1" si="6"/>
        <v>1</v>
      </c>
      <c r="Z35" s="40" t="b">
        <f t="shared" ca="1" si="11"/>
        <v>1</v>
      </c>
      <c r="AA35" s="40" t="b">
        <f t="shared" ca="1" si="7"/>
        <v>1</v>
      </c>
      <c r="AB35" s="67" t="b">
        <f t="shared" ca="1" si="8"/>
        <v>1</v>
      </c>
      <c r="AC35" s="64" t="str">
        <f t="shared" ca="1" si="12"/>
        <v>TGT</v>
      </c>
    </row>
    <row r="36" spans="1:29" x14ac:dyDescent="0.25">
      <c r="A36" s="29">
        <v>30</v>
      </c>
      <c r="B36" s="49" t="b">
        <f t="shared" ca="1" si="9"/>
        <v>1</v>
      </c>
      <c r="C36" s="60" t="s">
        <v>41</v>
      </c>
      <c r="D36" s="22" t="s">
        <v>72</v>
      </c>
      <c r="E36" s="62" t="s">
        <v>67</v>
      </c>
      <c r="F36" s="22">
        <v>2</v>
      </c>
      <c r="G36" s="22" t="s">
        <v>14</v>
      </c>
      <c r="H36" s="58">
        <f ca="1">IF($E36="IMM",_xll.meDateNthIMMFromStartDate(AsOf, $F36,$AC36,"MOD_FOLLOWING"),_xll.meDateFromTenor(AsOf,$F36&amp;"D","MOD_FOLLOWING",$AC36))</f>
        <v>43091</v>
      </c>
      <c r="I36" s="88" t="s">
        <v>29</v>
      </c>
      <c r="J36" s="23" t="s">
        <v>16</v>
      </c>
      <c r="K36" s="23" t="s">
        <v>47</v>
      </c>
      <c r="L36" s="23" t="s">
        <v>42</v>
      </c>
      <c r="M36" s="23" t="s">
        <v>61</v>
      </c>
      <c r="N36" s="23" t="s">
        <v>56</v>
      </c>
      <c r="O36" s="46" t="s">
        <v>48</v>
      </c>
      <c r="P36" s="37">
        <f t="shared" ca="1" si="0"/>
        <v>1</v>
      </c>
      <c r="Q36" s="38" t="str">
        <f t="shared" ca="1" si="13"/>
        <v>SPOT</v>
      </c>
      <c r="R36" s="57">
        <f ca="1">IF($I36="","",IF(ISNUMBER($I36),$I36,_xll.meDateFromTenor(H36,$I36,"MOD_FOLLOWING",VLOOKUP(LEFT($M36,3),DateConventions,3))))</f>
        <v>44917</v>
      </c>
      <c r="S36" s="38" t="b">
        <f t="shared" ca="1" si="10"/>
        <v>1</v>
      </c>
      <c r="T36" s="38" t="b">
        <f t="shared" ca="1" si="1"/>
        <v>1</v>
      </c>
      <c r="U36" s="38" t="b">
        <f t="shared" ca="1" si="2"/>
        <v>1</v>
      </c>
      <c r="V36" s="38" t="b">
        <f t="shared" ca="1" si="3"/>
        <v>1</v>
      </c>
      <c r="W36" s="39" t="b">
        <f t="shared" ca="1" si="4"/>
        <v>1</v>
      </c>
      <c r="X36" s="38" t="b">
        <f t="shared" ca="1" si="5"/>
        <v>1</v>
      </c>
      <c r="Y36" s="40" t="b">
        <f t="shared" ca="1" si="6"/>
        <v>1</v>
      </c>
      <c r="Z36" s="40" t="b">
        <f t="shared" ca="1" si="11"/>
        <v>1</v>
      </c>
      <c r="AA36" s="40" t="b">
        <f t="shared" ca="1" si="7"/>
        <v>1</v>
      </c>
      <c r="AB36" s="67" t="b">
        <f t="shared" ca="1" si="8"/>
        <v>1</v>
      </c>
      <c r="AC36" s="64" t="str">
        <f t="shared" ca="1" si="12"/>
        <v>TGT</v>
      </c>
    </row>
    <row r="37" spans="1:29" x14ac:dyDescent="0.25">
      <c r="A37" s="29">
        <v>31</v>
      </c>
      <c r="B37" s="49" t="b">
        <f t="shared" ca="1" si="9"/>
        <v>1</v>
      </c>
      <c r="C37" s="60" t="s">
        <v>41</v>
      </c>
      <c r="D37" s="22" t="s">
        <v>72</v>
      </c>
      <c r="E37" s="62" t="s">
        <v>67</v>
      </c>
      <c r="F37" s="22">
        <v>2</v>
      </c>
      <c r="G37" s="22" t="s">
        <v>14</v>
      </c>
      <c r="H37" s="58">
        <f ca="1">IF($E37="IMM",_xll.meDateNthIMMFromStartDate(AsOf, $F37,$AC37,"MOD_FOLLOWING"),_xll.meDateFromTenor(AsOf,$F37&amp;"D","MOD_FOLLOWING",$AC37))</f>
        <v>43091</v>
      </c>
      <c r="I37" s="88" t="s">
        <v>29</v>
      </c>
      <c r="J37" s="23" t="s">
        <v>16</v>
      </c>
      <c r="K37" s="23" t="s">
        <v>47</v>
      </c>
      <c r="L37" s="23" t="s">
        <v>42</v>
      </c>
      <c r="M37" s="23" t="s">
        <v>61</v>
      </c>
      <c r="N37" s="23" t="s">
        <v>56</v>
      </c>
      <c r="O37" s="46" t="s">
        <v>48</v>
      </c>
      <c r="P37" s="37">
        <f t="shared" ca="1" si="0"/>
        <v>1</v>
      </c>
      <c r="Q37" s="38" t="str">
        <f t="shared" ca="1" si="13"/>
        <v>SPOT</v>
      </c>
      <c r="R37" s="57">
        <f ca="1">IF($I37="","",IF(ISNUMBER($I37),$I37,_xll.meDateFromTenor(H37,$I37,"MOD_FOLLOWING",VLOOKUP(LEFT($M37,3),DateConventions,3))))</f>
        <v>44917</v>
      </c>
      <c r="S37" s="38" t="b">
        <f t="shared" ca="1" si="10"/>
        <v>1</v>
      </c>
      <c r="T37" s="38" t="b">
        <f t="shared" ca="1" si="1"/>
        <v>1</v>
      </c>
      <c r="U37" s="38" t="b">
        <f t="shared" ca="1" si="2"/>
        <v>1</v>
      </c>
      <c r="V37" s="38" t="b">
        <f t="shared" ca="1" si="3"/>
        <v>1</v>
      </c>
      <c r="W37" s="39" t="b">
        <f t="shared" ca="1" si="4"/>
        <v>1</v>
      </c>
      <c r="X37" s="38" t="b">
        <f t="shared" ca="1" si="5"/>
        <v>1</v>
      </c>
      <c r="Y37" s="40" t="b">
        <f t="shared" ca="1" si="6"/>
        <v>1</v>
      </c>
      <c r="Z37" s="40" t="b">
        <f t="shared" ca="1" si="11"/>
        <v>1</v>
      </c>
      <c r="AA37" s="40" t="b">
        <f t="shared" ca="1" si="7"/>
        <v>1</v>
      </c>
      <c r="AB37" s="67" t="b">
        <f t="shared" ca="1" si="8"/>
        <v>1</v>
      </c>
      <c r="AC37" s="64" t="str">
        <f t="shared" ca="1" si="12"/>
        <v>TGT</v>
      </c>
    </row>
    <row r="38" spans="1:29" x14ac:dyDescent="0.25">
      <c r="A38" s="29">
        <v>32</v>
      </c>
      <c r="B38" s="49" t="b">
        <f t="shared" ca="1" si="9"/>
        <v>1</v>
      </c>
      <c r="C38" s="60" t="s">
        <v>41</v>
      </c>
      <c r="D38" s="22" t="s">
        <v>72</v>
      </c>
      <c r="E38" s="62" t="s">
        <v>67</v>
      </c>
      <c r="F38" s="22">
        <v>2</v>
      </c>
      <c r="G38" s="22" t="s">
        <v>14</v>
      </c>
      <c r="H38" s="58">
        <f ca="1">IF($E38="IMM",_xll.meDateNthIMMFromStartDate(AsOf, $F38,$AC38,"MOD_FOLLOWING"),_xll.meDateFromTenor(AsOf,$F38&amp;"D","MOD_FOLLOWING",$AC38))</f>
        <v>43091</v>
      </c>
      <c r="I38" s="88" t="s">
        <v>29</v>
      </c>
      <c r="J38" s="23" t="s">
        <v>16</v>
      </c>
      <c r="K38" s="23" t="s">
        <v>47</v>
      </c>
      <c r="L38" s="23" t="s">
        <v>42</v>
      </c>
      <c r="M38" s="23" t="s">
        <v>61</v>
      </c>
      <c r="N38" s="23" t="s">
        <v>56</v>
      </c>
      <c r="O38" s="46" t="s">
        <v>48</v>
      </c>
      <c r="P38" s="37">
        <f t="shared" ca="1" si="0"/>
        <v>1</v>
      </c>
      <c r="Q38" s="38" t="str">
        <f t="shared" ca="1" si="13"/>
        <v>SPOT</v>
      </c>
      <c r="R38" s="57">
        <f ca="1">IF($I38="","",IF(ISNUMBER($I38),$I38,_xll.meDateFromTenor(H38,$I38,"MOD_FOLLOWING",VLOOKUP(LEFT($M38,3),DateConventions,3))))</f>
        <v>44917</v>
      </c>
      <c r="S38" s="38" t="b">
        <f t="shared" ca="1" si="10"/>
        <v>1</v>
      </c>
      <c r="T38" s="38" t="b">
        <f t="shared" ca="1" si="1"/>
        <v>1</v>
      </c>
      <c r="U38" s="38" t="b">
        <f t="shared" ca="1" si="2"/>
        <v>1</v>
      </c>
      <c r="V38" s="38" t="b">
        <f t="shared" ca="1" si="3"/>
        <v>1</v>
      </c>
      <c r="W38" s="39" t="b">
        <f t="shared" ca="1" si="4"/>
        <v>1</v>
      </c>
      <c r="X38" s="38" t="b">
        <f t="shared" ca="1" si="5"/>
        <v>1</v>
      </c>
      <c r="Y38" s="40" t="b">
        <f t="shared" ca="1" si="6"/>
        <v>1</v>
      </c>
      <c r="Z38" s="40" t="b">
        <f t="shared" ca="1" si="11"/>
        <v>1</v>
      </c>
      <c r="AA38" s="40" t="b">
        <f t="shared" ca="1" si="7"/>
        <v>1</v>
      </c>
      <c r="AB38" s="67" t="b">
        <f t="shared" ca="1" si="8"/>
        <v>1</v>
      </c>
      <c r="AC38" s="64" t="str">
        <f t="shared" ca="1" si="12"/>
        <v>TGT</v>
      </c>
    </row>
    <row r="39" spans="1:29" x14ac:dyDescent="0.25">
      <c r="A39" s="29">
        <v>33</v>
      </c>
      <c r="B39" s="49" t="b">
        <f t="shared" ca="1" si="9"/>
        <v>1</v>
      </c>
      <c r="C39" s="60" t="s">
        <v>41</v>
      </c>
      <c r="D39" s="22" t="s">
        <v>72</v>
      </c>
      <c r="E39" s="62" t="s">
        <v>67</v>
      </c>
      <c r="F39" s="22">
        <v>2</v>
      </c>
      <c r="G39" s="22" t="s">
        <v>14</v>
      </c>
      <c r="H39" s="58">
        <f ca="1">IF($E39="IMM",_xll.meDateNthIMMFromStartDate(AsOf, $F39,$AC39,"MOD_FOLLOWING"),_xll.meDateFromTenor(AsOf,$F39&amp;"D","MOD_FOLLOWING",$AC39))</f>
        <v>43091</v>
      </c>
      <c r="I39" s="88" t="s">
        <v>29</v>
      </c>
      <c r="J39" s="23" t="s">
        <v>16</v>
      </c>
      <c r="K39" s="23" t="s">
        <v>47</v>
      </c>
      <c r="L39" s="23" t="s">
        <v>42</v>
      </c>
      <c r="M39" s="23" t="s">
        <v>61</v>
      </c>
      <c r="N39" s="23" t="s">
        <v>56</v>
      </c>
      <c r="O39" s="46" t="s">
        <v>48</v>
      </c>
      <c r="P39" s="37">
        <f t="shared" ca="1" si="0"/>
        <v>1</v>
      </c>
      <c r="Q39" s="38" t="str">
        <f t="shared" ca="1" si="13"/>
        <v>SPOT</v>
      </c>
      <c r="R39" s="57">
        <f ca="1">IF($I39="","",IF(ISNUMBER($I39),$I39,_xll.meDateFromTenor(H39,$I39,"MOD_FOLLOWING",VLOOKUP(LEFT($M39,3),DateConventions,3))))</f>
        <v>44917</v>
      </c>
      <c r="S39" s="38" t="b">
        <f t="shared" ca="1" si="10"/>
        <v>1</v>
      </c>
      <c r="T39" s="38" t="b">
        <f t="shared" ca="1" si="1"/>
        <v>1</v>
      </c>
      <c r="U39" s="38" t="b">
        <f t="shared" ca="1" si="2"/>
        <v>1</v>
      </c>
      <c r="V39" s="38" t="b">
        <f t="shared" ca="1" si="3"/>
        <v>1</v>
      </c>
      <c r="W39" s="39" t="b">
        <f t="shared" ca="1" si="4"/>
        <v>1</v>
      </c>
      <c r="X39" s="38" t="b">
        <f t="shared" ca="1" si="5"/>
        <v>1</v>
      </c>
      <c r="Y39" s="40" t="b">
        <f t="shared" ca="1" si="6"/>
        <v>1</v>
      </c>
      <c r="Z39" s="40" t="b">
        <f t="shared" ca="1" si="11"/>
        <v>1</v>
      </c>
      <c r="AA39" s="40" t="b">
        <f t="shared" ca="1" si="7"/>
        <v>1</v>
      </c>
      <c r="AB39" s="67" t="b">
        <f t="shared" ca="1" si="8"/>
        <v>1</v>
      </c>
      <c r="AC39" s="64" t="str">
        <f t="shared" ca="1" si="12"/>
        <v>TGT</v>
      </c>
    </row>
    <row r="40" spans="1:29" x14ac:dyDescent="0.25">
      <c r="A40" s="29">
        <v>34</v>
      </c>
      <c r="B40" s="49" t="b">
        <f t="shared" ca="1" si="9"/>
        <v>1</v>
      </c>
      <c r="C40" s="60" t="s">
        <v>41</v>
      </c>
      <c r="D40" s="22" t="s">
        <v>72</v>
      </c>
      <c r="E40" s="62" t="s">
        <v>67</v>
      </c>
      <c r="F40" s="22">
        <v>2</v>
      </c>
      <c r="G40" s="22" t="s">
        <v>14</v>
      </c>
      <c r="H40" s="58">
        <f ca="1">IF($E40="IMM",_xll.meDateNthIMMFromStartDate(AsOf, $F40,$AC40,"MOD_FOLLOWING"),_xll.meDateFromTenor(AsOf,$F40&amp;"D","MOD_FOLLOWING",$AC40))</f>
        <v>43091</v>
      </c>
      <c r="I40" s="88" t="s">
        <v>29</v>
      </c>
      <c r="J40" s="23" t="s">
        <v>16</v>
      </c>
      <c r="K40" s="23" t="s">
        <v>47</v>
      </c>
      <c r="L40" s="23" t="s">
        <v>42</v>
      </c>
      <c r="M40" s="23" t="s">
        <v>61</v>
      </c>
      <c r="N40" s="23" t="s">
        <v>56</v>
      </c>
      <c r="O40" s="46" t="s">
        <v>48</v>
      </c>
      <c r="P40" s="37">
        <f t="shared" ca="1" si="0"/>
        <v>1</v>
      </c>
      <c r="Q40" s="38" t="str">
        <f t="shared" ca="1" si="13"/>
        <v>SPOT</v>
      </c>
      <c r="R40" s="57">
        <f ca="1">IF($I40="","",IF(ISNUMBER($I40),$I40,_xll.meDateFromTenor(H40,$I40,"MOD_FOLLOWING",VLOOKUP(LEFT($M40,3),DateConventions,3))))</f>
        <v>44917</v>
      </c>
      <c r="S40" s="38" t="b">
        <f t="shared" ca="1" si="10"/>
        <v>1</v>
      </c>
      <c r="T40" s="38" t="b">
        <f t="shared" ca="1" si="1"/>
        <v>1</v>
      </c>
      <c r="U40" s="38" t="b">
        <f t="shared" ca="1" si="2"/>
        <v>1</v>
      </c>
      <c r="V40" s="38" t="b">
        <f t="shared" ca="1" si="3"/>
        <v>1</v>
      </c>
      <c r="W40" s="39" t="b">
        <f t="shared" ca="1" si="4"/>
        <v>1</v>
      </c>
      <c r="X40" s="38" t="b">
        <f t="shared" ca="1" si="5"/>
        <v>1</v>
      </c>
      <c r="Y40" s="40" t="b">
        <f t="shared" ca="1" si="6"/>
        <v>1</v>
      </c>
      <c r="Z40" s="40" t="b">
        <f t="shared" ca="1" si="11"/>
        <v>1</v>
      </c>
      <c r="AA40" s="40" t="b">
        <f t="shared" ca="1" si="7"/>
        <v>1</v>
      </c>
      <c r="AB40" s="67" t="b">
        <f t="shared" ca="1" si="8"/>
        <v>1</v>
      </c>
      <c r="AC40" s="64" t="str">
        <f t="shared" ca="1" si="12"/>
        <v>TGT</v>
      </c>
    </row>
    <row r="41" spans="1:29" x14ac:dyDescent="0.25">
      <c r="A41" s="29">
        <v>35</v>
      </c>
      <c r="B41" s="49" t="b">
        <f t="shared" ca="1" si="9"/>
        <v>1</v>
      </c>
      <c r="C41" s="60" t="s">
        <v>41</v>
      </c>
      <c r="D41" s="22" t="s">
        <v>72</v>
      </c>
      <c r="E41" s="62" t="s">
        <v>67</v>
      </c>
      <c r="F41" s="22">
        <v>2</v>
      </c>
      <c r="G41" s="22" t="s">
        <v>14</v>
      </c>
      <c r="H41" s="58">
        <f ca="1">IF($E41="IMM",_xll.meDateNthIMMFromStartDate(AsOf, $F41,$AC41,"MOD_FOLLOWING"),_xll.meDateFromTenor(AsOf,$F41&amp;"D","MOD_FOLLOWING",$AC41))</f>
        <v>43091</v>
      </c>
      <c r="I41" s="88" t="s">
        <v>29</v>
      </c>
      <c r="J41" s="23" t="s">
        <v>16</v>
      </c>
      <c r="K41" s="23" t="s">
        <v>47</v>
      </c>
      <c r="L41" s="23" t="s">
        <v>42</v>
      </c>
      <c r="M41" s="23" t="s">
        <v>61</v>
      </c>
      <c r="N41" s="23" t="s">
        <v>56</v>
      </c>
      <c r="O41" s="46" t="s">
        <v>48</v>
      </c>
      <c r="P41" s="37">
        <f t="shared" ca="1" si="0"/>
        <v>1</v>
      </c>
      <c r="Q41" s="38" t="str">
        <f t="shared" ca="1" si="13"/>
        <v>SPOT</v>
      </c>
      <c r="R41" s="57">
        <f ca="1">IF($I41="","",IF(ISNUMBER($I41),$I41,_xll.meDateFromTenor(H41,$I41,"MOD_FOLLOWING",VLOOKUP(LEFT($M41,3),DateConventions,3))))</f>
        <v>44917</v>
      </c>
      <c r="S41" s="38" t="b">
        <f t="shared" ca="1" si="10"/>
        <v>1</v>
      </c>
      <c r="T41" s="38" t="b">
        <f t="shared" ca="1" si="1"/>
        <v>1</v>
      </c>
      <c r="U41" s="38" t="b">
        <f t="shared" ca="1" si="2"/>
        <v>1</v>
      </c>
      <c r="V41" s="38" t="b">
        <f t="shared" ca="1" si="3"/>
        <v>1</v>
      </c>
      <c r="W41" s="39" t="b">
        <f t="shared" ca="1" si="4"/>
        <v>1</v>
      </c>
      <c r="X41" s="38" t="b">
        <f t="shared" ca="1" si="5"/>
        <v>1</v>
      </c>
      <c r="Y41" s="40" t="b">
        <f t="shared" ca="1" si="6"/>
        <v>1</v>
      </c>
      <c r="Z41" s="40" t="b">
        <f t="shared" ca="1" si="11"/>
        <v>1</v>
      </c>
      <c r="AA41" s="40" t="b">
        <f t="shared" ca="1" si="7"/>
        <v>1</v>
      </c>
      <c r="AB41" s="67" t="b">
        <f t="shared" ca="1" si="8"/>
        <v>1</v>
      </c>
      <c r="AC41" s="64" t="str">
        <f t="shared" ca="1" si="12"/>
        <v>TGT</v>
      </c>
    </row>
    <row r="42" spans="1:29" x14ac:dyDescent="0.25">
      <c r="A42" s="29">
        <v>36</v>
      </c>
      <c r="B42" s="49" t="b">
        <f t="shared" ca="1" si="9"/>
        <v>1</v>
      </c>
      <c r="C42" s="60" t="s">
        <v>41</v>
      </c>
      <c r="D42" s="22" t="s">
        <v>72</v>
      </c>
      <c r="E42" s="62" t="s">
        <v>67</v>
      </c>
      <c r="F42" s="22">
        <v>2</v>
      </c>
      <c r="G42" s="22" t="s">
        <v>14</v>
      </c>
      <c r="H42" s="58">
        <f ca="1">IF($E42="IMM",_xll.meDateNthIMMFromStartDate(AsOf, $F42,$AC42,"MOD_FOLLOWING"),_xll.meDateFromTenor(AsOf,$F42&amp;"D","MOD_FOLLOWING",$AC42))</f>
        <v>43091</v>
      </c>
      <c r="I42" s="88" t="s">
        <v>29</v>
      </c>
      <c r="J42" s="23" t="s">
        <v>16</v>
      </c>
      <c r="K42" s="23" t="s">
        <v>47</v>
      </c>
      <c r="L42" s="23" t="s">
        <v>42</v>
      </c>
      <c r="M42" s="23" t="s">
        <v>61</v>
      </c>
      <c r="N42" s="23" t="s">
        <v>56</v>
      </c>
      <c r="O42" s="46" t="s">
        <v>48</v>
      </c>
      <c r="P42" s="37">
        <f t="shared" ca="1" si="0"/>
        <v>1</v>
      </c>
      <c r="Q42" s="38" t="str">
        <f t="shared" ca="1" si="13"/>
        <v>SPOT</v>
      </c>
      <c r="R42" s="57">
        <f ca="1">IF($I42="","",IF(ISNUMBER($I42),$I42,_xll.meDateFromTenor(H42,$I42,"MOD_FOLLOWING",VLOOKUP(LEFT($M42,3),DateConventions,3))))</f>
        <v>44917</v>
      </c>
      <c r="S42" s="38" t="b">
        <f t="shared" ca="1" si="10"/>
        <v>1</v>
      </c>
      <c r="T42" s="38" t="b">
        <f t="shared" ca="1" si="1"/>
        <v>1</v>
      </c>
      <c r="U42" s="38" t="b">
        <f t="shared" ca="1" si="2"/>
        <v>1</v>
      </c>
      <c r="V42" s="38" t="b">
        <f t="shared" ca="1" si="3"/>
        <v>1</v>
      </c>
      <c r="W42" s="39" t="b">
        <f t="shared" ca="1" si="4"/>
        <v>1</v>
      </c>
      <c r="X42" s="38" t="b">
        <f t="shared" ca="1" si="5"/>
        <v>1</v>
      </c>
      <c r="Y42" s="40" t="b">
        <f t="shared" ca="1" si="6"/>
        <v>1</v>
      </c>
      <c r="Z42" s="40" t="b">
        <f t="shared" ca="1" si="11"/>
        <v>1</v>
      </c>
      <c r="AA42" s="40" t="b">
        <f t="shared" ca="1" si="7"/>
        <v>1</v>
      </c>
      <c r="AB42" s="67" t="b">
        <f t="shared" ca="1" si="8"/>
        <v>1</v>
      </c>
      <c r="AC42" s="64" t="str">
        <f t="shared" ca="1" si="12"/>
        <v>TGT</v>
      </c>
    </row>
    <row r="43" spans="1:29" x14ac:dyDescent="0.25">
      <c r="A43" s="29">
        <v>37</v>
      </c>
      <c r="B43" s="49" t="b">
        <f t="shared" ca="1" si="9"/>
        <v>1</v>
      </c>
      <c r="C43" s="60" t="s">
        <v>41</v>
      </c>
      <c r="D43" s="22" t="s">
        <v>72</v>
      </c>
      <c r="E43" s="62" t="s">
        <v>67</v>
      </c>
      <c r="F43" s="22">
        <v>2</v>
      </c>
      <c r="G43" s="22" t="s">
        <v>14</v>
      </c>
      <c r="H43" s="58">
        <f ca="1">IF($E43="IMM",_xll.meDateNthIMMFromStartDate(AsOf, $F43,$AC43,"MOD_FOLLOWING"),_xll.meDateFromTenor(AsOf,$F43&amp;"D","MOD_FOLLOWING",$AC43))</f>
        <v>43091</v>
      </c>
      <c r="I43" s="88" t="s">
        <v>29</v>
      </c>
      <c r="J43" s="23" t="s">
        <v>16</v>
      </c>
      <c r="K43" s="23" t="s">
        <v>47</v>
      </c>
      <c r="L43" s="23" t="s">
        <v>42</v>
      </c>
      <c r="M43" s="23" t="s">
        <v>61</v>
      </c>
      <c r="N43" s="23" t="s">
        <v>56</v>
      </c>
      <c r="O43" s="46" t="s">
        <v>48</v>
      </c>
      <c r="P43" s="37">
        <f t="shared" ca="1" si="0"/>
        <v>1</v>
      </c>
      <c r="Q43" s="38" t="str">
        <f t="shared" ca="1" si="13"/>
        <v>SPOT</v>
      </c>
      <c r="R43" s="57">
        <f ca="1">IF($I43="","",IF(ISNUMBER($I43),$I43,_xll.meDateFromTenor(H43,$I43,"MOD_FOLLOWING",VLOOKUP(LEFT($M43,3),DateConventions,3))))</f>
        <v>44917</v>
      </c>
      <c r="S43" s="38" t="b">
        <f t="shared" ca="1" si="10"/>
        <v>1</v>
      </c>
      <c r="T43" s="38" t="b">
        <f t="shared" ca="1" si="1"/>
        <v>1</v>
      </c>
      <c r="U43" s="38" t="b">
        <f t="shared" ca="1" si="2"/>
        <v>1</v>
      </c>
      <c r="V43" s="38" t="b">
        <f t="shared" ca="1" si="3"/>
        <v>1</v>
      </c>
      <c r="W43" s="39" t="b">
        <f t="shared" ca="1" si="4"/>
        <v>1</v>
      </c>
      <c r="X43" s="38" t="b">
        <f t="shared" ca="1" si="5"/>
        <v>1</v>
      </c>
      <c r="Y43" s="40" t="b">
        <f t="shared" ca="1" si="6"/>
        <v>1</v>
      </c>
      <c r="Z43" s="40" t="b">
        <f t="shared" ca="1" si="11"/>
        <v>1</v>
      </c>
      <c r="AA43" s="40" t="b">
        <f t="shared" ca="1" si="7"/>
        <v>1</v>
      </c>
      <c r="AB43" s="67" t="b">
        <f t="shared" ca="1" si="8"/>
        <v>1</v>
      </c>
      <c r="AC43" s="64" t="str">
        <f t="shared" ca="1" si="12"/>
        <v>TGT</v>
      </c>
    </row>
    <row r="44" spans="1:29" x14ac:dyDescent="0.25">
      <c r="A44" s="29">
        <v>38</v>
      </c>
      <c r="B44" s="49" t="b">
        <f t="shared" ca="1" si="9"/>
        <v>1</v>
      </c>
      <c r="C44" s="60" t="s">
        <v>41</v>
      </c>
      <c r="D44" s="22" t="s">
        <v>72</v>
      </c>
      <c r="E44" s="62" t="s">
        <v>67</v>
      </c>
      <c r="F44" s="22">
        <v>2</v>
      </c>
      <c r="G44" s="22" t="s">
        <v>14</v>
      </c>
      <c r="H44" s="58">
        <f ca="1">IF($E44="IMM",_xll.meDateNthIMMFromStartDate(AsOf, $F44,$AC44,"MOD_FOLLOWING"),_xll.meDateFromTenor(AsOf,$F44&amp;"D","MOD_FOLLOWING",$AC44))</f>
        <v>43091</v>
      </c>
      <c r="I44" s="88" t="s">
        <v>29</v>
      </c>
      <c r="J44" s="23" t="s">
        <v>16</v>
      </c>
      <c r="K44" s="23" t="s">
        <v>47</v>
      </c>
      <c r="L44" s="23" t="s">
        <v>42</v>
      </c>
      <c r="M44" s="23" t="s">
        <v>61</v>
      </c>
      <c r="N44" s="23" t="s">
        <v>56</v>
      </c>
      <c r="O44" s="46" t="s">
        <v>48</v>
      </c>
      <c r="P44" s="37">
        <f t="shared" ca="1" si="0"/>
        <v>1</v>
      </c>
      <c r="Q44" s="38" t="str">
        <f t="shared" ca="1" si="13"/>
        <v>SPOT</v>
      </c>
      <c r="R44" s="57">
        <f ca="1">IF($I44="","",IF(ISNUMBER($I44),$I44,_xll.meDateFromTenor(H44,$I44,"MOD_FOLLOWING",VLOOKUP(LEFT($M44,3),DateConventions,3))))</f>
        <v>44917</v>
      </c>
      <c r="S44" s="38" t="b">
        <f t="shared" ca="1" si="10"/>
        <v>1</v>
      </c>
      <c r="T44" s="38" t="b">
        <f t="shared" ca="1" si="1"/>
        <v>1</v>
      </c>
      <c r="U44" s="38" t="b">
        <f t="shared" ca="1" si="2"/>
        <v>1</v>
      </c>
      <c r="V44" s="38" t="b">
        <f t="shared" ca="1" si="3"/>
        <v>1</v>
      </c>
      <c r="W44" s="39" t="b">
        <f t="shared" ca="1" si="4"/>
        <v>1</v>
      </c>
      <c r="X44" s="38" t="b">
        <f t="shared" ca="1" si="5"/>
        <v>1</v>
      </c>
      <c r="Y44" s="40" t="b">
        <f t="shared" ca="1" si="6"/>
        <v>1</v>
      </c>
      <c r="Z44" s="40" t="b">
        <f t="shared" ca="1" si="11"/>
        <v>1</v>
      </c>
      <c r="AA44" s="40" t="b">
        <f t="shared" ca="1" si="7"/>
        <v>1</v>
      </c>
      <c r="AB44" s="67" t="b">
        <f t="shared" ca="1" si="8"/>
        <v>1</v>
      </c>
      <c r="AC44" s="64" t="str">
        <f t="shared" ca="1" si="12"/>
        <v>TGT</v>
      </c>
    </row>
    <row r="45" spans="1:29" x14ac:dyDescent="0.25">
      <c r="A45" s="29">
        <v>39</v>
      </c>
      <c r="B45" s="49" t="b">
        <f t="shared" ca="1" si="9"/>
        <v>1</v>
      </c>
      <c r="C45" s="60" t="s">
        <v>41</v>
      </c>
      <c r="D45" s="22" t="s">
        <v>72</v>
      </c>
      <c r="E45" s="62" t="s">
        <v>67</v>
      </c>
      <c r="F45" s="22">
        <v>2</v>
      </c>
      <c r="G45" s="22" t="s">
        <v>14</v>
      </c>
      <c r="H45" s="58">
        <f ca="1">IF($E45="IMM",_xll.meDateNthIMMFromStartDate(AsOf, $F45,$AC45,"MOD_FOLLOWING"),_xll.meDateFromTenor(AsOf,$F45&amp;"D","MOD_FOLLOWING",$AC45))</f>
        <v>43091</v>
      </c>
      <c r="I45" s="88" t="s">
        <v>29</v>
      </c>
      <c r="J45" s="23" t="s">
        <v>16</v>
      </c>
      <c r="K45" s="23" t="s">
        <v>47</v>
      </c>
      <c r="L45" s="23" t="s">
        <v>42</v>
      </c>
      <c r="M45" s="23" t="s">
        <v>61</v>
      </c>
      <c r="N45" s="23" t="s">
        <v>56</v>
      </c>
      <c r="O45" s="46" t="s">
        <v>48</v>
      </c>
      <c r="P45" s="37">
        <f t="shared" ca="1" si="0"/>
        <v>1</v>
      </c>
      <c r="Q45" s="38" t="str">
        <f t="shared" ca="1" si="13"/>
        <v>SPOT</v>
      </c>
      <c r="R45" s="57">
        <f ca="1">IF($I45="","",IF(ISNUMBER($I45),$I45,_xll.meDateFromTenor(H45,$I45,"MOD_FOLLOWING",VLOOKUP(LEFT($M45,3),DateConventions,3))))</f>
        <v>44917</v>
      </c>
      <c r="S45" s="38" t="b">
        <f t="shared" ca="1" si="10"/>
        <v>1</v>
      </c>
      <c r="T45" s="38" t="b">
        <f t="shared" ca="1" si="1"/>
        <v>1</v>
      </c>
      <c r="U45" s="38" t="b">
        <f t="shared" ca="1" si="2"/>
        <v>1</v>
      </c>
      <c r="V45" s="38" t="b">
        <f t="shared" ca="1" si="3"/>
        <v>1</v>
      </c>
      <c r="W45" s="39" t="b">
        <f t="shared" ca="1" si="4"/>
        <v>1</v>
      </c>
      <c r="X45" s="38" t="b">
        <f t="shared" ca="1" si="5"/>
        <v>1</v>
      </c>
      <c r="Y45" s="40" t="b">
        <f t="shared" ca="1" si="6"/>
        <v>1</v>
      </c>
      <c r="Z45" s="40" t="b">
        <f t="shared" ca="1" si="11"/>
        <v>1</v>
      </c>
      <c r="AA45" s="40" t="b">
        <f t="shared" ca="1" si="7"/>
        <v>1</v>
      </c>
      <c r="AB45" s="67" t="b">
        <f t="shared" ca="1" si="8"/>
        <v>1</v>
      </c>
      <c r="AC45" s="64" t="str">
        <f t="shared" ca="1" si="12"/>
        <v>TGT</v>
      </c>
    </row>
    <row r="46" spans="1:29" x14ac:dyDescent="0.25">
      <c r="A46" s="29">
        <v>40</v>
      </c>
      <c r="B46" s="49" t="b">
        <f t="shared" ca="1" si="9"/>
        <v>1</v>
      </c>
      <c r="C46" s="60" t="s">
        <v>41</v>
      </c>
      <c r="D46" s="22" t="s">
        <v>72</v>
      </c>
      <c r="E46" s="62" t="s">
        <v>67</v>
      </c>
      <c r="F46" s="22">
        <v>2</v>
      </c>
      <c r="G46" s="22" t="s">
        <v>14</v>
      </c>
      <c r="H46" s="58">
        <f ca="1">IF($E46="IMM",_xll.meDateNthIMMFromStartDate(AsOf, $F46,$AC46,"MOD_FOLLOWING"),_xll.meDateFromTenor(AsOf,$F46&amp;"D","MOD_FOLLOWING",$AC46))</f>
        <v>43091</v>
      </c>
      <c r="I46" s="88" t="s">
        <v>29</v>
      </c>
      <c r="J46" s="23" t="s">
        <v>16</v>
      </c>
      <c r="K46" s="23" t="s">
        <v>47</v>
      </c>
      <c r="L46" s="23" t="s">
        <v>42</v>
      </c>
      <c r="M46" s="23" t="s">
        <v>61</v>
      </c>
      <c r="N46" s="23" t="s">
        <v>56</v>
      </c>
      <c r="O46" s="46" t="s">
        <v>48</v>
      </c>
      <c r="P46" s="37">
        <f t="shared" ca="1" si="0"/>
        <v>1</v>
      </c>
      <c r="Q46" s="38" t="str">
        <f t="shared" ca="1" si="13"/>
        <v>SPOT</v>
      </c>
      <c r="R46" s="57">
        <f ca="1">IF($I46="","",IF(ISNUMBER($I46),$I46,_xll.meDateFromTenor(H46,$I46,"MOD_FOLLOWING",VLOOKUP(LEFT($M46,3),DateConventions,3))))</f>
        <v>44917</v>
      </c>
      <c r="S46" s="38" t="b">
        <f t="shared" ca="1" si="10"/>
        <v>1</v>
      </c>
      <c r="T46" s="38" t="b">
        <f t="shared" ca="1" si="1"/>
        <v>1</v>
      </c>
      <c r="U46" s="38" t="b">
        <f t="shared" ca="1" si="2"/>
        <v>1</v>
      </c>
      <c r="V46" s="38" t="b">
        <f t="shared" ca="1" si="3"/>
        <v>1</v>
      </c>
      <c r="W46" s="39" t="b">
        <f t="shared" ca="1" si="4"/>
        <v>1</v>
      </c>
      <c r="X46" s="38" t="b">
        <f t="shared" ca="1" si="5"/>
        <v>1</v>
      </c>
      <c r="Y46" s="40" t="b">
        <f t="shared" ca="1" si="6"/>
        <v>1</v>
      </c>
      <c r="Z46" s="40" t="b">
        <f t="shared" ca="1" si="11"/>
        <v>1</v>
      </c>
      <c r="AA46" s="40" t="b">
        <f t="shared" ca="1" si="7"/>
        <v>1</v>
      </c>
      <c r="AB46" s="67" t="b">
        <f t="shared" ca="1" si="8"/>
        <v>1</v>
      </c>
      <c r="AC46" s="64" t="str">
        <f t="shared" ca="1" si="12"/>
        <v>TGT</v>
      </c>
    </row>
    <row r="47" spans="1:29" x14ac:dyDescent="0.25">
      <c r="A47" s="29">
        <v>41</v>
      </c>
      <c r="B47" s="49" t="b">
        <f t="shared" ca="1" si="9"/>
        <v>1</v>
      </c>
      <c r="C47" s="60" t="s">
        <v>41</v>
      </c>
      <c r="D47" s="22" t="s">
        <v>72</v>
      </c>
      <c r="E47" s="62" t="s">
        <v>67</v>
      </c>
      <c r="F47" s="22">
        <v>2</v>
      </c>
      <c r="G47" s="22" t="s">
        <v>14</v>
      </c>
      <c r="H47" s="58">
        <f ca="1">IF($E47="IMM",_xll.meDateNthIMMFromStartDate(AsOf, $F47,$AC47,"MOD_FOLLOWING"),_xll.meDateFromTenor(AsOf,$F47&amp;"D","MOD_FOLLOWING",$AC47))</f>
        <v>43091</v>
      </c>
      <c r="I47" s="88" t="s">
        <v>29</v>
      </c>
      <c r="J47" s="23" t="s">
        <v>16</v>
      </c>
      <c r="K47" s="23" t="s">
        <v>47</v>
      </c>
      <c r="L47" s="23" t="s">
        <v>42</v>
      </c>
      <c r="M47" s="23" t="s">
        <v>61</v>
      </c>
      <c r="N47" s="23" t="s">
        <v>56</v>
      </c>
      <c r="O47" s="46" t="s">
        <v>48</v>
      </c>
      <c r="P47" s="37">
        <f t="shared" ca="1" si="0"/>
        <v>1</v>
      </c>
      <c r="Q47" s="38" t="str">
        <f t="shared" ca="1" si="13"/>
        <v>SPOT</v>
      </c>
      <c r="R47" s="57">
        <f ca="1">IF($I47="","",IF(ISNUMBER($I47),$I47,_xll.meDateFromTenor(H47,$I47,"MOD_FOLLOWING",VLOOKUP(LEFT($M47,3),DateConventions,3))))</f>
        <v>44917</v>
      </c>
      <c r="S47" s="38" t="b">
        <f t="shared" ca="1" si="10"/>
        <v>1</v>
      </c>
      <c r="T47" s="38" t="b">
        <f t="shared" ca="1" si="1"/>
        <v>1</v>
      </c>
      <c r="U47" s="38" t="b">
        <f t="shared" ca="1" si="2"/>
        <v>1</v>
      </c>
      <c r="V47" s="38" t="b">
        <f t="shared" ca="1" si="3"/>
        <v>1</v>
      </c>
      <c r="W47" s="39" t="b">
        <f t="shared" ca="1" si="4"/>
        <v>1</v>
      </c>
      <c r="X47" s="38" t="b">
        <f t="shared" ca="1" si="5"/>
        <v>1</v>
      </c>
      <c r="Y47" s="40" t="b">
        <f t="shared" ca="1" si="6"/>
        <v>1</v>
      </c>
      <c r="Z47" s="40" t="b">
        <f t="shared" ca="1" si="11"/>
        <v>1</v>
      </c>
      <c r="AA47" s="40" t="b">
        <f t="shared" ca="1" si="7"/>
        <v>1</v>
      </c>
      <c r="AB47" s="67" t="b">
        <f t="shared" ca="1" si="8"/>
        <v>1</v>
      </c>
      <c r="AC47" s="64" t="str">
        <f t="shared" ca="1" si="12"/>
        <v>TGT</v>
      </c>
    </row>
    <row r="48" spans="1:29" x14ac:dyDescent="0.25">
      <c r="A48" s="29">
        <v>42</v>
      </c>
      <c r="B48" s="50" t="b">
        <f t="shared" ca="1" si="9"/>
        <v>1</v>
      </c>
      <c r="C48" s="86" t="s">
        <v>41</v>
      </c>
      <c r="D48" s="73" t="s">
        <v>72</v>
      </c>
      <c r="E48" s="62" t="s">
        <v>67</v>
      </c>
      <c r="F48" s="99">
        <v>2</v>
      </c>
      <c r="G48" s="99" t="s">
        <v>14</v>
      </c>
      <c r="H48" s="117">
        <f ca="1">IF($E48="IMM",_xll.meDateNthIMMFromStartDate(AsOf, $F48,$AC48,"MOD_FOLLOWING"),_xll.meDateFromTenor(AsOf,$F48&amp;"D","MOD_FOLLOWING",$AC48))</f>
        <v>43091</v>
      </c>
      <c r="I48" s="89" t="s">
        <v>29</v>
      </c>
      <c r="J48" s="27" t="s">
        <v>16</v>
      </c>
      <c r="K48" s="27" t="s">
        <v>47</v>
      </c>
      <c r="L48" s="27" t="s">
        <v>42</v>
      </c>
      <c r="M48" s="23" t="s">
        <v>61</v>
      </c>
      <c r="N48" s="23" t="s">
        <v>56</v>
      </c>
      <c r="O48" s="47" t="s">
        <v>48</v>
      </c>
      <c r="P48" s="41">
        <f t="shared" ca="1" si="0"/>
        <v>1</v>
      </c>
      <c r="Q48" s="38" t="str">
        <f t="shared" ca="1" si="13"/>
        <v>SPOT</v>
      </c>
      <c r="R48" s="57">
        <f ca="1">IF($I48="","",IF(ISNUMBER($I48),$I48,_xll.meDateFromTenor(H48,$I48,"MOD_FOLLOWING",VLOOKUP(LEFT($M48,3),DateConventions,3))))</f>
        <v>44917</v>
      </c>
      <c r="S48" s="38" t="b">
        <f t="shared" ca="1" si="10"/>
        <v>1</v>
      </c>
      <c r="T48" s="42" t="b">
        <f t="shared" ca="1" si="1"/>
        <v>1</v>
      </c>
      <c r="U48" s="42" t="b">
        <f t="shared" ca="1" si="2"/>
        <v>1</v>
      </c>
      <c r="V48" s="38" t="b">
        <f t="shared" ca="1" si="3"/>
        <v>1</v>
      </c>
      <c r="W48" s="39" t="b">
        <f t="shared" ca="1" si="4"/>
        <v>1</v>
      </c>
      <c r="X48" s="42" t="b">
        <f t="shared" ca="1" si="5"/>
        <v>1</v>
      </c>
      <c r="Y48" s="43" t="b">
        <f t="shared" ca="1" si="6"/>
        <v>1</v>
      </c>
      <c r="Z48" s="43" t="b">
        <f t="shared" ca="1" si="11"/>
        <v>1</v>
      </c>
      <c r="AA48" s="43" t="b">
        <f t="shared" ca="1" si="7"/>
        <v>1</v>
      </c>
      <c r="AB48" s="68" t="b">
        <f t="shared" ca="1" si="8"/>
        <v>1</v>
      </c>
      <c r="AC48" s="65" t="str">
        <f t="shared" ca="1" si="12"/>
        <v>TGT</v>
      </c>
    </row>
    <row r="49" spans="3:26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3:26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3:26" ht="15.75" outlineLevel="1" thickBot="1" x14ac:dyDescent="0.3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3:26" ht="15.75" outlineLevel="1" thickBot="1" x14ac:dyDescent="0.3">
      <c r="C52" s="128" t="s">
        <v>0</v>
      </c>
      <c r="D52" s="128" t="s">
        <v>1</v>
      </c>
      <c r="E52" s="128" t="s">
        <v>2</v>
      </c>
      <c r="F52" s="70"/>
      <c r="G52" s="128" t="s">
        <v>3</v>
      </c>
      <c r="H52" s="128" t="s">
        <v>4</v>
      </c>
      <c r="I52" s="128" t="s">
        <v>5</v>
      </c>
      <c r="J52" s="130" t="s">
        <v>6</v>
      </c>
      <c r="K52" s="131"/>
      <c r="L52" s="130" t="s">
        <v>7</v>
      </c>
      <c r="M52" s="132"/>
      <c r="N52" s="131"/>
      <c r="Y52" s="5"/>
      <c r="Z52" s="5"/>
    </row>
    <row r="53" spans="3:26" ht="26.25" outlineLevel="1" thickBot="1" x14ac:dyDescent="0.3">
      <c r="C53" s="129"/>
      <c r="D53" s="129"/>
      <c r="E53" s="129"/>
      <c r="F53" s="71"/>
      <c r="G53" s="129"/>
      <c r="H53" s="129"/>
      <c r="I53" s="129"/>
      <c r="J53" s="1" t="s">
        <v>8</v>
      </c>
      <c r="K53" s="1" t="s">
        <v>9</v>
      </c>
      <c r="L53" s="1" t="s">
        <v>10</v>
      </c>
      <c r="M53" s="1" t="s">
        <v>11</v>
      </c>
      <c r="N53" s="1" t="s">
        <v>9</v>
      </c>
      <c r="Y53" s="9"/>
    </row>
    <row r="54" spans="3:26" ht="26.25" outlineLevel="1" thickBot="1" x14ac:dyDescent="0.3">
      <c r="C54" s="71" t="s">
        <v>12</v>
      </c>
      <c r="D54" s="4" t="s">
        <v>13</v>
      </c>
      <c r="E54" s="11" t="s">
        <v>68</v>
      </c>
      <c r="F54" s="11"/>
      <c r="G54" s="4" t="s">
        <v>14</v>
      </c>
      <c r="H54" s="4" t="s">
        <v>15</v>
      </c>
      <c r="I54" s="4" t="s">
        <v>16</v>
      </c>
      <c r="J54" s="4" t="s">
        <v>49</v>
      </c>
      <c r="K54" s="4" t="s">
        <v>59</v>
      </c>
      <c r="L54" s="11" t="s">
        <v>61</v>
      </c>
      <c r="M54" s="4" t="s">
        <v>51</v>
      </c>
      <c r="N54" s="4" t="s">
        <v>57</v>
      </c>
      <c r="Y54" s="9"/>
    </row>
    <row r="55" spans="3:26" ht="26.25" outlineLevel="1" thickBot="1" x14ac:dyDescent="0.3">
      <c r="C55" s="71" t="s">
        <v>12</v>
      </c>
      <c r="D55" s="4" t="s">
        <v>13</v>
      </c>
      <c r="E55" s="11" t="s">
        <v>68</v>
      </c>
      <c r="F55" s="11"/>
      <c r="G55" s="4" t="s">
        <v>14</v>
      </c>
      <c r="H55" s="4" t="s">
        <v>17</v>
      </c>
      <c r="I55" s="4" t="s">
        <v>16</v>
      </c>
      <c r="J55" s="4" t="s">
        <v>49</v>
      </c>
      <c r="K55" s="4" t="s">
        <v>59</v>
      </c>
      <c r="L55" s="11" t="s">
        <v>62</v>
      </c>
      <c r="M55" s="4" t="s">
        <v>52</v>
      </c>
      <c r="N55" s="4" t="s">
        <v>57</v>
      </c>
      <c r="Y55" s="9"/>
    </row>
    <row r="56" spans="3:26" ht="26.25" outlineLevel="1" thickBot="1" x14ac:dyDescent="0.3">
      <c r="C56" s="71" t="s">
        <v>18</v>
      </c>
      <c r="D56" s="4" t="s">
        <v>19</v>
      </c>
      <c r="E56" s="11" t="s">
        <v>68</v>
      </c>
      <c r="F56" s="11"/>
      <c r="G56" s="4" t="s">
        <v>14</v>
      </c>
      <c r="H56" s="4" t="s">
        <v>20</v>
      </c>
      <c r="I56" s="4" t="s">
        <v>16</v>
      </c>
      <c r="J56" s="4" t="s">
        <v>49</v>
      </c>
      <c r="K56" s="4" t="s">
        <v>59</v>
      </c>
      <c r="L56" s="11" t="s">
        <v>63</v>
      </c>
      <c r="M56" s="4" t="s">
        <v>52</v>
      </c>
      <c r="N56" s="4" t="s">
        <v>57</v>
      </c>
      <c r="Y56" s="9"/>
    </row>
    <row r="57" spans="3:26" ht="26.25" outlineLevel="1" thickBot="1" x14ac:dyDescent="0.3">
      <c r="C57" s="71" t="s">
        <v>18</v>
      </c>
      <c r="D57" s="4" t="s">
        <v>19</v>
      </c>
      <c r="E57" s="11" t="s">
        <v>21</v>
      </c>
      <c r="F57" s="11"/>
      <c r="G57" s="4" t="s">
        <v>14</v>
      </c>
      <c r="H57" s="4" t="s">
        <v>22</v>
      </c>
      <c r="I57" s="4" t="s">
        <v>16</v>
      </c>
      <c r="J57" s="4" t="s">
        <v>49</v>
      </c>
      <c r="K57" s="4" t="s">
        <v>59</v>
      </c>
      <c r="L57" s="11" t="s">
        <v>98</v>
      </c>
      <c r="M57" s="4" t="s">
        <v>52</v>
      </c>
      <c r="N57" s="4" t="s">
        <v>57</v>
      </c>
      <c r="Y57" s="9"/>
    </row>
    <row r="58" spans="3:26" ht="26.25" outlineLevel="1" thickBot="1" x14ac:dyDescent="0.3">
      <c r="C58" s="71" t="s">
        <v>23</v>
      </c>
      <c r="D58" s="4" t="s">
        <v>19</v>
      </c>
      <c r="E58" s="11" t="s">
        <v>68</v>
      </c>
      <c r="F58" s="11"/>
      <c r="G58" s="4" t="s">
        <v>14</v>
      </c>
      <c r="H58" s="4" t="s">
        <v>20</v>
      </c>
      <c r="I58" s="4" t="s">
        <v>16</v>
      </c>
      <c r="J58" s="4" t="s">
        <v>49</v>
      </c>
      <c r="K58" s="4" t="s">
        <v>59</v>
      </c>
      <c r="L58" s="11" t="s">
        <v>64</v>
      </c>
      <c r="M58" s="4" t="s">
        <v>50</v>
      </c>
      <c r="N58" s="4" t="s">
        <v>57</v>
      </c>
      <c r="Y58" s="9"/>
    </row>
    <row r="59" spans="3:26" ht="26.25" outlineLevel="1" thickBot="1" x14ac:dyDescent="0.3">
      <c r="C59" s="71" t="s">
        <v>23</v>
      </c>
      <c r="D59" s="4" t="s">
        <v>19</v>
      </c>
      <c r="E59" s="11" t="s">
        <v>21</v>
      </c>
      <c r="F59" s="11"/>
      <c r="G59" s="4" t="s">
        <v>14</v>
      </c>
      <c r="H59" s="4" t="s">
        <v>22</v>
      </c>
      <c r="I59" s="4" t="s">
        <v>16</v>
      </c>
      <c r="J59" s="4" t="s">
        <v>49</v>
      </c>
      <c r="K59" s="4" t="s">
        <v>59</v>
      </c>
      <c r="L59" s="11" t="s">
        <v>99</v>
      </c>
      <c r="M59" s="4" t="s">
        <v>50</v>
      </c>
      <c r="N59" s="4" t="s">
        <v>57</v>
      </c>
      <c r="Y59" s="9"/>
    </row>
    <row r="60" spans="3:26" ht="26.25" outlineLevel="1" thickBot="1" x14ac:dyDescent="0.3">
      <c r="C60" s="71" t="s">
        <v>24</v>
      </c>
      <c r="D60" s="4" t="s">
        <v>25</v>
      </c>
      <c r="E60" s="11" t="s">
        <v>69</v>
      </c>
      <c r="F60" s="11"/>
      <c r="G60" s="4" t="s">
        <v>14</v>
      </c>
      <c r="H60" s="4" t="s">
        <v>17</v>
      </c>
      <c r="I60" s="4" t="s">
        <v>16</v>
      </c>
      <c r="J60" s="4" t="s">
        <v>50</v>
      </c>
      <c r="K60" s="4" t="s">
        <v>58</v>
      </c>
      <c r="L60" s="11" t="s">
        <v>65</v>
      </c>
      <c r="M60" s="4" t="s">
        <v>51</v>
      </c>
      <c r="N60" s="4" t="s">
        <v>58</v>
      </c>
      <c r="Y60" s="9"/>
    </row>
    <row r="61" spans="3:26" ht="26.25" customHeight="1" outlineLevel="1" thickBot="1" x14ac:dyDescent="0.3">
      <c r="C61" s="71" t="s">
        <v>24</v>
      </c>
      <c r="D61" s="4" t="s">
        <v>25</v>
      </c>
      <c r="E61" s="11" t="s">
        <v>69</v>
      </c>
      <c r="F61" s="11"/>
      <c r="G61" s="4" t="s">
        <v>14</v>
      </c>
      <c r="H61" s="4" t="s">
        <v>17</v>
      </c>
      <c r="I61" s="4" t="s">
        <v>16</v>
      </c>
      <c r="J61" s="4" t="s">
        <v>50</v>
      </c>
      <c r="K61" s="4" t="s">
        <v>58</v>
      </c>
      <c r="L61" s="11" t="s">
        <v>66</v>
      </c>
      <c r="M61" s="4" t="s">
        <v>52</v>
      </c>
      <c r="N61" s="4" t="s">
        <v>58</v>
      </c>
      <c r="Y61" s="9"/>
    </row>
    <row r="62" spans="3:26" outlineLevel="1" x14ac:dyDescent="0.25">
      <c r="Y62" s="9"/>
    </row>
    <row r="63" spans="3:26" outlineLevel="1" x14ac:dyDescent="0.25">
      <c r="Y63" s="9"/>
    </row>
    <row r="64" spans="3:26" ht="15.75" outlineLevel="1" thickBot="1" x14ac:dyDescent="0.3">
      <c r="C64" s="11" t="s">
        <v>61</v>
      </c>
      <c r="K64" s="5"/>
      <c r="Y64" s="9"/>
    </row>
    <row r="65" spans="2:25" ht="25.5" outlineLevel="1" x14ac:dyDescent="0.25">
      <c r="B65" s="5" t="s">
        <v>90</v>
      </c>
      <c r="C65" s="6" t="s">
        <v>40</v>
      </c>
      <c r="D65" s="6" t="s">
        <v>39</v>
      </c>
      <c r="E65" s="5" t="s">
        <v>45</v>
      </c>
      <c r="F65" s="5" t="s">
        <v>46</v>
      </c>
      <c r="H65" s="2"/>
      <c r="K65" t="s">
        <v>73</v>
      </c>
      <c r="L65" t="s">
        <v>74</v>
      </c>
      <c r="M65" t="s">
        <v>75</v>
      </c>
      <c r="Y65" s="9"/>
    </row>
    <row r="66" spans="2:25" outlineLevel="1" x14ac:dyDescent="0.25">
      <c r="B66" s="7">
        <f ca="1">_xll.meDateFromTenor(AsOf,"2D","MOD_FOLLOWING","TGT")</f>
        <v>43091</v>
      </c>
      <c r="C66" s="2" t="s">
        <v>26</v>
      </c>
      <c r="D66" s="7">
        <f ca="1">_xll.meDateFromTenor($B$66,C66,"MOD_FOLLOWING","TGT")</f>
        <v>43822</v>
      </c>
      <c r="E66" s="133">
        <f ca="1">_xll.meDateFromTenor($D66,"-5D","MOD_FOLLOWING","TGT")</f>
        <v>43815</v>
      </c>
      <c r="F66" s="133">
        <f ca="1">_xll.meDateFromTenor($D66,"5D","MOD_FOLLOWING","TGT")</f>
        <v>43832</v>
      </c>
      <c r="K66" s="13" t="s">
        <v>72</v>
      </c>
      <c r="L66" s="14" t="s">
        <v>78</v>
      </c>
      <c r="M66" s="15" t="s">
        <v>79</v>
      </c>
    </row>
    <row r="67" spans="2:25" outlineLevel="1" x14ac:dyDescent="0.25">
      <c r="C67" s="2" t="s">
        <v>27</v>
      </c>
      <c r="D67" s="7">
        <f ca="1">_xll.meDateFromTenor($B$66,C67,"MOD_FOLLOWING","TGT")</f>
        <v>44187</v>
      </c>
      <c r="E67" s="133">
        <f ca="1">_xll.meDateFromTenor($D67,"-5D","MOD_FOLLOWING","TGT")</f>
        <v>44180</v>
      </c>
      <c r="F67" s="133">
        <f ca="1">_xll.meDateFromTenor($D67,"5D","MOD_FOLLOWING","TGT")</f>
        <v>44195</v>
      </c>
      <c r="H67" s="7"/>
      <c r="K67" s="16" t="s">
        <v>76</v>
      </c>
      <c r="L67" s="17" t="s">
        <v>78</v>
      </c>
      <c r="M67" s="18" t="s">
        <v>80</v>
      </c>
    </row>
    <row r="68" spans="2:25" outlineLevel="1" x14ac:dyDescent="0.25">
      <c r="C68" s="2" t="s">
        <v>28</v>
      </c>
      <c r="D68" s="7">
        <f ca="1">_xll.meDateFromTenor($B$66,C68,"MOD_FOLLOWING","TGT")</f>
        <v>44552</v>
      </c>
      <c r="E68" s="133">
        <f ca="1">_xll.meDateFromTenor($D68,"-5D","MOD_FOLLOWING","TGT")</f>
        <v>44545</v>
      </c>
      <c r="F68" s="133">
        <f ca="1">_xll.meDateFromTenor($D68,"5D","MOD_FOLLOWING","TGT")</f>
        <v>44559</v>
      </c>
      <c r="H68" s="7"/>
      <c r="K68" s="19" t="s">
        <v>77</v>
      </c>
      <c r="L68" s="20" t="s">
        <v>78</v>
      </c>
      <c r="M68" s="21" t="s">
        <v>81</v>
      </c>
    </row>
    <row r="69" spans="2:25" outlineLevel="1" x14ac:dyDescent="0.25">
      <c r="C69" s="2" t="s">
        <v>29</v>
      </c>
      <c r="D69" s="7">
        <f ca="1">_xll.meDateFromTenor($B$66,C69,"MOD_FOLLOWING","TGT")</f>
        <v>44917</v>
      </c>
      <c r="E69" s="133">
        <f ca="1">_xll.meDateFromTenor($D69,"-5D","MOD_FOLLOWING","TGT")</f>
        <v>44910</v>
      </c>
      <c r="F69" s="133">
        <f ca="1">_xll.meDateFromTenor($D69,"5D","MOD_FOLLOWING","TGT")</f>
        <v>44925</v>
      </c>
      <c r="H69" s="7"/>
    </row>
    <row r="70" spans="2:25" outlineLevel="1" x14ac:dyDescent="0.25">
      <c r="C70" s="2" t="s">
        <v>30</v>
      </c>
      <c r="D70" s="7">
        <f ca="1">_xll.meDateFromTenor($B$66,C70,"MOD_FOLLOWING","TGT")</f>
        <v>45282</v>
      </c>
      <c r="E70" s="133">
        <f ca="1">_xll.meDateFromTenor($D70,"-5D","MOD_FOLLOWING","TGT")</f>
        <v>45275</v>
      </c>
      <c r="F70" s="133">
        <f ca="1">_xll.meDateFromTenor($D70,"5D","MOD_FOLLOWING","TGT")</f>
        <v>45294</v>
      </c>
      <c r="H70" s="7"/>
    </row>
    <row r="71" spans="2:25" outlineLevel="1" x14ac:dyDescent="0.25">
      <c r="C71" s="2" t="s">
        <v>31</v>
      </c>
      <c r="D71" s="7">
        <f ca="1">_xll.meDateFromTenor($B$66,C71,"MOD_FOLLOWING","TGT")</f>
        <v>45649</v>
      </c>
      <c r="E71" s="133">
        <f ca="1">_xll.meDateFromTenor($D71,"-5D","MOD_FOLLOWING","TGT")</f>
        <v>45642</v>
      </c>
      <c r="F71" s="133">
        <f ca="1">_xll.meDateFromTenor($D71,"5D","MOD_FOLLOWING","TGT")</f>
        <v>45659</v>
      </c>
      <c r="H71" s="7"/>
    </row>
    <row r="72" spans="2:25" outlineLevel="1" x14ac:dyDescent="0.25">
      <c r="C72" s="2" t="s">
        <v>32</v>
      </c>
      <c r="D72" s="7">
        <f ca="1">_xll.meDateFromTenor($B$66,C72,"MOD_FOLLOWING","TGT")</f>
        <v>46013</v>
      </c>
      <c r="E72" s="133">
        <f ca="1">_xll.meDateFromTenor($D72,"-5D","MOD_FOLLOWING","TGT")</f>
        <v>46006</v>
      </c>
      <c r="F72" s="133">
        <f ca="1">_xll.meDateFromTenor($D72,"5D","MOD_FOLLOWING","TGT")</f>
        <v>46022</v>
      </c>
      <c r="H72" s="7"/>
    </row>
    <row r="73" spans="2:25" outlineLevel="1" x14ac:dyDescent="0.25">
      <c r="C73" s="2" t="s">
        <v>33</v>
      </c>
      <c r="D73" s="7">
        <f ca="1">_xll.meDateFromTenor($B$66,C73,"MOD_FOLLOWING","TGT")</f>
        <v>46378</v>
      </c>
      <c r="E73" s="133">
        <f ca="1">_xll.meDateFromTenor($D73,"-5D","MOD_FOLLOWING","TGT")</f>
        <v>46371</v>
      </c>
      <c r="F73" s="133">
        <f ca="1">_xll.meDateFromTenor($D73,"5D","MOD_FOLLOWING","TGT")</f>
        <v>46386</v>
      </c>
      <c r="H73" s="7"/>
    </row>
    <row r="74" spans="2:25" outlineLevel="1" x14ac:dyDescent="0.25">
      <c r="C74" s="2" t="s">
        <v>34</v>
      </c>
      <c r="D74" s="7">
        <f ca="1">_xll.meDateFromTenor($B$66,C74,"MOD_FOLLOWING","TGT")</f>
        <v>46743</v>
      </c>
      <c r="E74" s="133">
        <f ca="1">_xll.meDateFromTenor($D74,"-5D","MOD_FOLLOWING","TGT")</f>
        <v>46736</v>
      </c>
      <c r="F74" s="133">
        <f ca="1">_xll.meDateFromTenor($D74,"5D","MOD_FOLLOWING","TGT")</f>
        <v>46750</v>
      </c>
      <c r="H74" s="7"/>
    </row>
    <row r="75" spans="2:25" outlineLevel="1" x14ac:dyDescent="0.25">
      <c r="C75" s="2" t="s">
        <v>35</v>
      </c>
      <c r="D75" s="7">
        <f ca="1">_xll.meDateFromTenor($B$66,C75,"MOD_FOLLOWING","TGT")</f>
        <v>47476</v>
      </c>
      <c r="E75" s="133">
        <f ca="1">_xll.meDateFromTenor($D75,"-5D","MOD_FOLLOWING","TGT")</f>
        <v>47469</v>
      </c>
      <c r="F75" s="133">
        <f ca="1">_xll.meDateFromTenor($D75,"5D","MOD_FOLLOWING","TGT")</f>
        <v>47486</v>
      </c>
      <c r="H75" s="7"/>
    </row>
    <row r="76" spans="2:25" outlineLevel="1" x14ac:dyDescent="0.25">
      <c r="C76" s="2" t="s">
        <v>36</v>
      </c>
      <c r="D76" s="7">
        <f ca="1">_xll.meDateFromTenor($B$66,C76,"MOD_FOLLOWING","TGT")</f>
        <v>48570</v>
      </c>
      <c r="E76" s="133">
        <f ca="1">_xll.meDateFromTenor($D76,"-5D","MOD_FOLLOWING","TGT")</f>
        <v>48563</v>
      </c>
      <c r="F76" s="133">
        <f ca="1">_xll.meDateFromTenor($D76,"5D","MOD_FOLLOWING","TGT")</f>
        <v>48577</v>
      </c>
      <c r="H76" s="7"/>
    </row>
    <row r="77" spans="2:25" outlineLevel="1" x14ac:dyDescent="0.25">
      <c r="C77" s="2" t="s">
        <v>37</v>
      </c>
      <c r="D77" s="7">
        <f ca="1">_xll.meDateFromTenor($B$66,C77,"MOD_FOLLOWING","TGT")</f>
        <v>50396</v>
      </c>
      <c r="E77" s="133">
        <f ca="1">_xll.meDateFromTenor($D77,"-5D","MOD_FOLLOWING","TGT")</f>
        <v>50389</v>
      </c>
      <c r="F77" s="133">
        <f ca="1">_xll.meDateFromTenor($D77,"5D","MOD_FOLLOWING","TGT")</f>
        <v>50404</v>
      </c>
      <c r="H77" s="7"/>
    </row>
    <row r="78" spans="2:25" outlineLevel="1" x14ac:dyDescent="0.25">
      <c r="C78" s="2" t="s">
        <v>38</v>
      </c>
      <c r="D78" s="7">
        <f ca="1">_xll.meDateFromTenor($B$66,C78,"MOD_FOLLOWING","TGT")</f>
        <v>54049</v>
      </c>
      <c r="E78" s="133">
        <f ca="1">_xll.meDateFromTenor($D78,"-5D","MOD_FOLLOWING","TGT")</f>
        <v>54042</v>
      </c>
      <c r="F78" s="133">
        <f ca="1">_xll.meDateFromTenor($D78,"5D","MOD_FOLLOWING","TGT")</f>
        <v>54059</v>
      </c>
      <c r="H78" s="7"/>
    </row>
    <row r="79" spans="2:25" outlineLevel="1" x14ac:dyDescent="0.25">
      <c r="E79" s="8"/>
      <c r="F79" s="8"/>
    </row>
    <row r="80" spans="2:25" outlineLevel="1" x14ac:dyDescent="0.25">
      <c r="E80" s="8"/>
      <c r="F80" s="8"/>
    </row>
    <row r="81" spans="2:26" ht="15.75" outlineLevel="1" thickBot="1" x14ac:dyDescent="0.3">
      <c r="C81" s="11" t="s">
        <v>62</v>
      </c>
      <c r="E81" s="8"/>
      <c r="F81" s="8"/>
    </row>
    <row r="82" spans="2:26" outlineLevel="1" x14ac:dyDescent="0.25">
      <c r="B82" s="5" t="s">
        <v>90</v>
      </c>
      <c r="C82" s="6" t="s">
        <v>40</v>
      </c>
      <c r="D82" t="s">
        <v>60</v>
      </c>
      <c r="E82" s="5" t="s">
        <v>45</v>
      </c>
      <c r="F82" s="5" t="s">
        <v>46</v>
      </c>
      <c r="H82" s="5"/>
    </row>
    <row r="83" spans="2:26" outlineLevel="1" x14ac:dyDescent="0.25">
      <c r="B83" s="7">
        <f ca="1">_xll.meDateFromTenor(AsOf,"2D","MOD_FOLLOWING","TGT")</f>
        <v>43091</v>
      </c>
      <c r="C83" s="2" t="s">
        <v>26</v>
      </c>
      <c r="D83" s="7">
        <f ca="1">_xll.meDateFromTenor($B$83,C83,"MOD_FOLLOWING","TGT")</f>
        <v>43822</v>
      </c>
      <c r="E83" s="133">
        <f ca="1">_xll.meDateFromTenor($D83,"-5D","MOD_FOLLOWING","TGT")</f>
        <v>43815</v>
      </c>
      <c r="F83" s="133">
        <f ca="1">_xll.meDateFromTenor($D83,"5D","MOD_FOLLOWING","TGT")</f>
        <v>43832</v>
      </c>
      <c r="H83" s="9"/>
    </row>
    <row r="84" spans="2:26" outlineLevel="1" x14ac:dyDescent="0.25">
      <c r="C84" s="2" t="s">
        <v>27</v>
      </c>
      <c r="D84" s="7">
        <f ca="1">_xll.meDateFromTenor($B$83,C84,"MOD_FOLLOWING","TGT")</f>
        <v>44187</v>
      </c>
      <c r="E84" s="133">
        <f ca="1">_xll.meDateFromTenor($D84,"-5D","MOD_FOLLOWING","TGT")</f>
        <v>44180</v>
      </c>
      <c r="F84" s="133">
        <f ca="1">_xll.meDateFromTenor($D84,"5D","MOD_FOLLOWING","TGT")</f>
        <v>44195</v>
      </c>
      <c r="H84" s="9"/>
    </row>
    <row r="85" spans="2:26" outlineLevel="1" x14ac:dyDescent="0.25">
      <c r="C85" s="2" t="s">
        <v>28</v>
      </c>
      <c r="D85" s="7">
        <f ca="1">_xll.meDateFromTenor($B$83,C85,"MOD_FOLLOWING","TGT")</f>
        <v>44552</v>
      </c>
      <c r="E85" s="133">
        <f ca="1">_xll.meDateFromTenor($D85,"-5D","MOD_FOLLOWING","TGT")</f>
        <v>44545</v>
      </c>
      <c r="F85" s="133">
        <f ca="1">_xll.meDateFromTenor($D85,"5D","MOD_FOLLOWING","TGT")</f>
        <v>44559</v>
      </c>
      <c r="H85" s="9"/>
    </row>
    <row r="86" spans="2:26" outlineLevel="1" x14ac:dyDescent="0.25">
      <c r="C86" s="2" t="s">
        <v>29</v>
      </c>
      <c r="D86" s="7">
        <f ca="1">_xll.meDateFromTenor($B$83,C86,"MOD_FOLLOWING","TGT")</f>
        <v>44917</v>
      </c>
      <c r="E86" s="133">
        <f ca="1">_xll.meDateFromTenor($D86,"-5D","MOD_FOLLOWING","TGT")</f>
        <v>44910</v>
      </c>
      <c r="F86" s="133">
        <f ca="1">_xll.meDateFromTenor($D86,"5D","MOD_FOLLOWING","TGT")</f>
        <v>44925</v>
      </c>
      <c r="H86" s="9"/>
    </row>
    <row r="87" spans="2:26" outlineLevel="1" x14ac:dyDescent="0.25">
      <c r="C87" s="2" t="s">
        <v>30</v>
      </c>
      <c r="D87" s="7">
        <f ca="1">_xll.meDateFromTenor($B$83,C87,"MOD_FOLLOWING","TGT")</f>
        <v>45282</v>
      </c>
      <c r="E87" s="133">
        <f ca="1">_xll.meDateFromTenor($D87,"-5D","MOD_FOLLOWING","TGT")</f>
        <v>45275</v>
      </c>
      <c r="F87" s="133">
        <f ca="1">_xll.meDateFromTenor($D87,"5D","MOD_FOLLOWING","TGT")</f>
        <v>45294</v>
      </c>
      <c r="H87" s="9"/>
    </row>
    <row r="88" spans="2:26" outlineLevel="1" x14ac:dyDescent="0.25">
      <c r="C88" s="2" t="s">
        <v>31</v>
      </c>
      <c r="D88" s="7">
        <f ca="1">_xll.meDateFromTenor($B$83,C88,"MOD_FOLLOWING","TGT")</f>
        <v>45649</v>
      </c>
      <c r="E88" s="133">
        <f ca="1">_xll.meDateFromTenor($D88,"-5D","MOD_FOLLOWING","TGT")</f>
        <v>45642</v>
      </c>
      <c r="F88" s="133">
        <f ca="1">_xll.meDateFromTenor($D88,"5D","MOD_FOLLOWING","TGT")</f>
        <v>45659</v>
      </c>
      <c r="H88" s="9"/>
    </row>
    <row r="89" spans="2:26" outlineLevel="1" x14ac:dyDescent="0.25">
      <c r="C89" s="2" t="s">
        <v>34</v>
      </c>
      <c r="D89" s="7">
        <f ca="1">_xll.meDateFromTenor($B$83,C89,"MOD_FOLLOWING","TGT")</f>
        <v>46743</v>
      </c>
      <c r="E89" s="133">
        <f ca="1">_xll.meDateFromTenor($D89,"-5D","MOD_FOLLOWING","TGT")</f>
        <v>46736</v>
      </c>
      <c r="F89" s="133">
        <f ca="1">_xll.meDateFromTenor($D89,"5D","MOD_FOLLOWING","TGT")</f>
        <v>46750</v>
      </c>
      <c r="H89" s="9"/>
    </row>
    <row r="90" spans="2:26" outlineLevel="1" x14ac:dyDescent="0.25">
      <c r="C90" s="2" t="s">
        <v>36</v>
      </c>
      <c r="D90" s="7">
        <f ca="1">_xll.meDateFromTenor($B$83,C90,"MOD_FOLLOWING","TGT")</f>
        <v>48570</v>
      </c>
      <c r="E90" s="133">
        <f ca="1">_xll.meDateFromTenor($D90,"-5D","MOD_FOLLOWING","TGT")</f>
        <v>48563</v>
      </c>
      <c r="F90" s="133">
        <f ca="1">_xll.meDateFromTenor($D90,"5D","MOD_FOLLOWING","TGT")</f>
        <v>48577</v>
      </c>
      <c r="H90" s="9"/>
    </row>
    <row r="91" spans="2:26" outlineLevel="1" x14ac:dyDescent="0.25">
      <c r="C91" s="2" t="s">
        <v>37</v>
      </c>
      <c r="D91" s="7">
        <f ca="1">_xll.meDateFromTenor($B$83,C91,"MOD_FOLLOWING","TGT")</f>
        <v>50396</v>
      </c>
      <c r="E91" s="133">
        <f ca="1">_xll.meDateFromTenor($D91,"-5D","MOD_FOLLOWING","TGT")</f>
        <v>50389</v>
      </c>
      <c r="F91" s="133">
        <f ca="1">_xll.meDateFromTenor($D91,"5D","MOD_FOLLOWING","TGT")</f>
        <v>50404</v>
      </c>
      <c r="H91" s="9"/>
    </row>
    <row r="92" spans="2:26" outlineLevel="1" x14ac:dyDescent="0.25">
      <c r="C92" s="2" t="s">
        <v>38</v>
      </c>
      <c r="D92" s="7">
        <f ca="1">_xll.meDateFromTenor($B$83,C92,"MOD_FOLLOWING","TGT")</f>
        <v>54049</v>
      </c>
      <c r="E92" s="133">
        <f ca="1">_xll.meDateFromTenor($D92,"-5D","MOD_FOLLOWING","TGT")</f>
        <v>54042</v>
      </c>
      <c r="F92" s="133">
        <f ca="1">_xll.meDateFromTenor($D92,"5D","MOD_FOLLOWING","TGT")</f>
        <v>54059</v>
      </c>
      <c r="H92" s="9"/>
    </row>
    <row r="93" spans="2:26" outlineLevel="1" x14ac:dyDescent="0.25">
      <c r="E93" s="8"/>
      <c r="F93" s="8"/>
    </row>
    <row r="94" spans="2:26" ht="15.75" outlineLevel="1" thickBot="1" x14ac:dyDescent="0.3">
      <c r="B94" s="5" t="s">
        <v>90</v>
      </c>
      <c r="C94" s="11" t="s">
        <v>63</v>
      </c>
      <c r="D94" s="11" t="s">
        <v>64</v>
      </c>
      <c r="E94" s="5" t="s">
        <v>45</v>
      </c>
      <c r="F94" s="5" t="s">
        <v>46</v>
      </c>
      <c r="H94" s="8" t="s">
        <v>93</v>
      </c>
      <c r="I94" s="11" t="s">
        <v>98</v>
      </c>
      <c r="J94" s="11" t="s">
        <v>99</v>
      </c>
      <c r="K94" s="5" t="s">
        <v>45</v>
      </c>
      <c r="L94" s="5" t="s">
        <v>46</v>
      </c>
      <c r="R94" s="8"/>
      <c r="Y94" s="5"/>
      <c r="Z94" s="5"/>
    </row>
    <row r="95" spans="2:26" outlineLevel="1" x14ac:dyDescent="0.25">
      <c r="B95" s="7">
        <f ca="1">_xll.meDateFromTenor(AsOf,"2D","MOD_FOLLOWING","NYB")</f>
        <v>43091</v>
      </c>
      <c r="C95" s="2" t="s">
        <v>26</v>
      </c>
      <c r="D95" s="7">
        <f ca="1">_xll.meDateFromTenor($B$95,C95,"MOD_FOLLOWING","NYB")</f>
        <v>43822</v>
      </c>
      <c r="E95" s="133">
        <f ca="1">_xll.meDateFromTenor($D95,"-5D","MOD_FOLLOWING","NYB")</f>
        <v>43815</v>
      </c>
      <c r="F95" s="133">
        <f ca="1">_xll.meDateFromTenor($D95,"5D","MOD_FOLLOWING","NYB")</f>
        <v>43830</v>
      </c>
      <c r="H95" s="9">
        <f ca="1">_xll.meDateNthIMMFromStartDate(AsOf, 1,"NYB","MOD_FOLLOWING")</f>
        <v>43180</v>
      </c>
      <c r="I95" s="2" t="s">
        <v>26</v>
      </c>
      <c r="J95" s="7">
        <f ca="1">_xll.meDateFromTenor($H$95,I95,"MOD_FOLLOWING","NYB")</f>
        <v>43913</v>
      </c>
      <c r="K95" s="133">
        <f ca="1">_xll.meDateFromTenor($J95,"-5D","MOD_FOLLOWING","NYB")</f>
        <v>43906</v>
      </c>
      <c r="L95" s="133">
        <f ca="1">_xll.meDateFromTenor($J95,"5D","MOD_FOLLOWING","NYB")</f>
        <v>43920</v>
      </c>
      <c r="R95" s="9"/>
      <c r="Y95" s="9"/>
      <c r="Z95" s="9"/>
    </row>
    <row r="96" spans="2:26" outlineLevel="1" x14ac:dyDescent="0.25">
      <c r="C96" s="2" t="s">
        <v>27</v>
      </c>
      <c r="D96" s="7">
        <f ca="1">_xll.meDateFromTenor($B$95,C96,"MOD_FOLLOWING","NYB")</f>
        <v>44187</v>
      </c>
      <c r="E96" s="133">
        <f ca="1">_xll.meDateFromTenor($D96,"-5D","MOD_FOLLOWING","NYB")</f>
        <v>44180</v>
      </c>
      <c r="F96" s="133">
        <f ca="1">_xll.meDateFromTenor($D96,"5D","MOD_FOLLOWING","NYB")</f>
        <v>44195</v>
      </c>
      <c r="H96" s="9"/>
      <c r="I96" s="2" t="s">
        <v>27</v>
      </c>
      <c r="J96" s="7">
        <f ca="1">_xll.meDateFromTenor($H$95,I96,"MOD_FOLLOWING","NYB")</f>
        <v>44277</v>
      </c>
      <c r="K96" s="133">
        <f ca="1">_xll.meDateFromTenor($J96,"-5D","MOD_FOLLOWING","NYB")</f>
        <v>44270</v>
      </c>
      <c r="L96" s="133">
        <f ca="1">_xll.meDateFromTenor($J96,"5D","MOD_FOLLOWING","NYB")</f>
        <v>44284</v>
      </c>
      <c r="R96" s="9"/>
      <c r="Y96" s="9"/>
      <c r="Z96" s="9"/>
    </row>
    <row r="97" spans="2:26" outlineLevel="1" x14ac:dyDescent="0.25">
      <c r="C97" s="2" t="s">
        <v>28</v>
      </c>
      <c r="D97" s="7">
        <f ca="1">_xll.meDateFromTenor($B$95,C97,"MOD_FOLLOWING","NYB")</f>
        <v>44552</v>
      </c>
      <c r="E97" s="133">
        <f ca="1">_xll.meDateFromTenor($D97,"-5D","MOD_FOLLOWING","NYB")</f>
        <v>44545</v>
      </c>
      <c r="F97" s="133">
        <f ca="1">_xll.meDateFromTenor($D97,"5D","MOD_FOLLOWING","NYB")</f>
        <v>44559</v>
      </c>
      <c r="H97" s="9"/>
      <c r="I97" s="2" t="s">
        <v>28</v>
      </c>
      <c r="J97" s="7">
        <f ca="1">_xll.meDateFromTenor($H$95,I97,"MOD_FOLLOWING","NYB")</f>
        <v>44641</v>
      </c>
      <c r="K97" s="133">
        <f ca="1">_xll.meDateFromTenor($J97,"-5D","MOD_FOLLOWING","NYB")</f>
        <v>44634</v>
      </c>
      <c r="L97" s="133">
        <f ca="1">_xll.meDateFromTenor($J97,"5D","MOD_FOLLOWING","NYB")</f>
        <v>44648</v>
      </c>
      <c r="R97" s="9"/>
      <c r="Y97" s="9"/>
      <c r="Z97" s="9"/>
    </row>
    <row r="98" spans="2:26" outlineLevel="1" x14ac:dyDescent="0.25">
      <c r="C98" s="2" t="s">
        <v>29</v>
      </c>
      <c r="D98" s="7">
        <f ca="1">_xll.meDateFromTenor($B$95,C98,"MOD_FOLLOWING","NYB")</f>
        <v>44917</v>
      </c>
      <c r="E98" s="133">
        <f ca="1">_xll.meDateFromTenor($D98,"-5D","MOD_FOLLOWING","NYB")</f>
        <v>44910</v>
      </c>
      <c r="F98" s="133">
        <f ca="1">_xll.meDateFromTenor($D98,"5D","MOD_FOLLOWING","NYB")</f>
        <v>44925</v>
      </c>
      <c r="H98" s="9"/>
      <c r="I98" s="2" t="s">
        <v>29</v>
      </c>
      <c r="J98" s="7">
        <f ca="1">_xll.meDateFromTenor($H$95,I98,"MOD_FOLLOWING","NYB")</f>
        <v>45006</v>
      </c>
      <c r="K98" s="133">
        <f ca="1">_xll.meDateFromTenor($J98,"-5D","MOD_FOLLOWING","NYB")</f>
        <v>44999</v>
      </c>
      <c r="L98" s="133">
        <f ca="1">_xll.meDateFromTenor($J98,"5D","MOD_FOLLOWING","NYB")</f>
        <v>45013</v>
      </c>
      <c r="R98" s="9"/>
      <c r="Y98" s="10"/>
      <c r="Z98" s="10"/>
    </row>
    <row r="99" spans="2:26" outlineLevel="1" x14ac:dyDescent="0.25">
      <c r="C99" s="2" t="s">
        <v>30</v>
      </c>
      <c r="D99" s="7">
        <f ca="1">_xll.meDateFromTenor($B$95,C99,"MOD_FOLLOWING","NYB")</f>
        <v>45282</v>
      </c>
      <c r="E99" s="133">
        <f ca="1">_xll.meDateFromTenor($D99,"-5D","MOD_FOLLOWING","NYB")</f>
        <v>45275</v>
      </c>
      <c r="F99" s="133">
        <f ca="1">_xll.meDateFromTenor($D99,"5D","MOD_FOLLOWING","NYB")</f>
        <v>45293</v>
      </c>
      <c r="H99" s="9"/>
      <c r="I99" s="2" t="s">
        <v>30</v>
      </c>
      <c r="J99" s="7">
        <f ca="1">_xll.meDateFromTenor($H$95,I99,"MOD_FOLLOWING","NYB")</f>
        <v>45372</v>
      </c>
      <c r="K99" s="133">
        <f ca="1">_xll.meDateFromTenor($J99,"-5D","MOD_FOLLOWING","NYB")</f>
        <v>45365</v>
      </c>
      <c r="L99" s="133">
        <f ca="1">_xll.meDateFromTenor($J99,"5D","MOD_FOLLOWING","NYB")</f>
        <v>45379</v>
      </c>
      <c r="R99" s="9"/>
      <c r="Y99" s="9"/>
      <c r="Z99" s="9"/>
    </row>
    <row r="100" spans="2:26" outlineLevel="1" x14ac:dyDescent="0.25">
      <c r="C100" s="2" t="s">
        <v>31</v>
      </c>
      <c r="D100" s="7">
        <f ca="1">_xll.meDateFromTenor($B$95,C100,"MOD_FOLLOWING","NYB")</f>
        <v>45649</v>
      </c>
      <c r="E100" s="133">
        <f ca="1">_xll.meDateFromTenor($D100,"-5D","MOD_FOLLOWING","NYB")</f>
        <v>45642</v>
      </c>
      <c r="F100" s="133">
        <f ca="1">_xll.meDateFromTenor($D100,"5D","MOD_FOLLOWING","NYB")</f>
        <v>45657</v>
      </c>
      <c r="H100" s="9"/>
      <c r="I100" s="2" t="s">
        <v>31</v>
      </c>
      <c r="J100" s="7">
        <f ca="1">_xll.meDateFromTenor($H$95,I100,"MOD_FOLLOWING","NYB")</f>
        <v>45737</v>
      </c>
      <c r="K100" s="133">
        <f ca="1">_xll.meDateFromTenor($J100,"-5D","MOD_FOLLOWING","NYB")</f>
        <v>45730</v>
      </c>
      <c r="L100" s="133">
        <f ca="1">_xll.meDateFromTenor($J100,"5D","MOD_FOLLOWING","NYB")</f>
        <v>45744</v>
      </c>
      <c r="R100" s="9"/>
      <c r="W100" s="2"/>
      <c r="X100" s="7"/>
      <c r="Y100" s="9"/>
      <c r="Z100" s="9"/>
    </row>
    <row r="101" spans="2:26" outlineLevel="1" x14ac:dyDescent="0.25">
      <c r="C101" s="2" t="s">
        <v>34</v>
      </c>
      <c r="D101" s="7">
        <f ca="1">_xll.meDateFromTenor($B$95,C101,"MOD_FOLLOWING","NYB")</f>
        <v>46743</v>
      </c>
      <c r="E101" s="133">
        <f ca="1">_xll.meDateFromTenor($D101,"-5D","MOD_FOLLOWING","NYB")</f>
        <v>46736</v>
      </c>
      <c r="F101" s="133">
        <f ca="1">_xll.meDateFromTenor($D101,"5D","MOD_FOLLOWING","NYB")</f>
        <v>46750</v>
      </c>
      <c r="H101" s="9"/>
      <c r="I101" s="2" t="s">
        <v>34</v>
      </c>
      <c r="J101" s="7">
        <f ca="1">_xll.meDateFromTenor($H$95,I101,"MOD_FOLLOWING","NYB")</f>
        <v>46833</v>
      </c>
      <c r="K101" s="133">
        <f ca="1">_xll.meDateFromTenor($J101,"-5D","MOD_FOLLOWING","NYB")</f>
        <v>46826</v>
      </c>
      <c r="L101" s="133">
        <f ca="1">_xll.meDateFromTenor($J101,"5D","MOD_FOLLOWING","NYB")</f>
        <v>46840</v>
      </c>
      <c r="R101" s="9"/>
      <c r="W101" s="2"/>
      <c r="X101" s="7"/>
      <c r="Y101" s="9"/>
      <c r="Z101" s="9"/>
    </row>
    <row r="102" spans="2:26" outlineLevel="1" x14ac:dyDescent="0.25">
      <c r="C102" s="2" t="s">
        <v>35</v>
      </c>
      <c r="D102" s="7">
        <f ca="1">_xll.meDateFromTenor($B$95,C102,"MOD_FOLLOWING","NYB")</f>
        <v>47476</v>
      </c>
      <c r="E102" s="133">
        <f ca="1">_xll.meDateFromTenor($D102,"-5D","MOD_FOLLOWING","NYB")</f>
        <v>47469</v>
      </c>
      <c r="F102" s="133">
        <f ca="1">_xll.meDateFromTenor($D102,"5D","MOD_FOLLOWING","NYB")</f>
        <v>47485</v>
      </c>
      <c r="H102" s="9"/>
      <c r="I102" s="2" t="s">
        <v>35</v>
      </c>
      <c r="J102" s="7">
        <f ca="1">_xll.meDateFromTenor($H$95,I102,"MOD_FOLLOWING","NYB")</f>
        <v>47563</v>
      </c>
      <c r="K102" s="133">
        <f ca="1">_xll.meDateFromTenor($J102,"-5D","MOD_FOLLOWING","NYB")</f>
        <v>47556</v>
      </c>
      <c r="L102" s="133">
        <f ca="1">_xll.meDateFromTenor($J102,"5D","MOD_FOLLOWING","NYB")</f>
        <v>47570</v>
      </c>
      <c r="R102" s="9"/>
      <c r="W102" s="2"/>
      <c r="X102" s="7"/>
      <c r="Y102" s="9"/>
      <c r="Z102" s="9"/>
    </row>
    <row r="103" spans="2:26" outlineLevel="1" x14ac:dyDescent="0.25">
      <c r="C103" s="2" t="s">
        <v>36</v>
      </c>
      <c r="D103" s="7">
        <f ca="1">_xll.meDateFromTenor($B$95,C103,"MOD_FOLLOWING","NYB")</f>
        <v>48570</v>
      </c>
      <c r="E103" s="133">
        <f ca="1">_xll.meDateFromTenor($D103,"-5D","MOD_FOLLOWING","NYB")</f>
        <v>48563</v>
      </c>
      <c r="F103" s="133">
        <f ca="1">_xll.meDateFromTenor($D103,"5D","MOD_FOLLOWING","NYB")</f>
        <v>48577</v>
      </c>
      <c r="H103" s="9"/>
      <c r="I103" s="2" t="s">
        <v>36</v>
      </c>
      <c r="J103" s="7">
        <f ca="1">_xll.meDateFromTenor($H$95,I103,"MOD_FOLLOWING","NYB")</f>
        <v>48659</v>
      </c>
      <c r="K103" s="133">
        <f ca="1">_xll.meDateFromTenor($J103,"-5D","MOD_FOLLOWING","NYB")</f>
        <v>48652</v>
      </c>
      <c r="L103" s="133">
        <f ca="1">_xll.meDateFromTenor($J103,"5D","MOD_FOLLOWING","NYB")</f>
        <v>48666</v>
      </c>
      <c r="R103" s="9"/>
      <c r="W103" s="2"/>
      <c r="X103" s="7"/>
      <c r="Y103" s="9"/>
      <c r="Z103" s="9"/>
    </row>
    <row r="104" spans="2:26" outlineLevel="1" x14ac:dyDescent="0.25">
      <c r="C104" s="2" t="s">
        <v>37</v>
      </c>
      <c r="D104" s="7">
        <f ca="1">_xll.meDateFromTenor($B$95,C104,"MOD_FOLLOWING","NYB")</f>
        <v>50396</v>
      </c>
      <c r="E104" s="133">
        <f ca="1">_xll.meDateFromTenor($D104,"-5D","MOD_FOLLOWING","NYB")</f>
        <v>50389</v>
      </c>
      <c r="F104" s="133">
        <f ca="1">_xll.meDateFromTenor($D104,"5D","MOD_FOLLOWING","NYB")</f>
        <v>50404</v>
      </c>
      <c r="H104" s="9"/>
      <c r="I104" s="2" t="s">
        <v>37</v>
      </c>
      <c r="J104" s="7">
        <f ca="1">_xll.meDateFromTenor($H$95,I104,"MOD_FOLLOWING","NYB")</f>
        <v>50486</v>
      </c>
      <c r="K104" s="133">
        <f ca="1">_xll.meDateFromTenor($J104,"-5D","MOD_FOLLOWING","NYB")</f>
        <v>50479</v>
      </c>
      <c r="L104" s="133">
        <f ca="1">_xll.meDateFromTenor($J104,"5D","MOD_FOLLOWING","NYB")</f>
        <v>50493</v>
      </c>
      <c r="R104" s="9"/>
      <c r="W104" s="2"/>
      <c r="X104" s="7"/>
      <c r="Y104" s="9"/>
      <c r="Z104" s="9"/>
    </row>
    <row r="105" spans="2:26" outlineLevel="1" x14ac:dyDescent="0.25">
      <c r="C105" s="2" t="s">
        <v>38</v>
      </c>
      <c r="D105" s="7">
        <f ca="1">_xll.meDateFromTenor($B$95,C105,"MOD_FOLLOWING","NYB")</f>
        <v>54049</v>
      </c>
      <c r="E105" s="133">
        <f ca="1">_xll.meDateFromTenor($D105,"-5D","MOD_FOLLOWING","NYB")</f>
        <v>54042</v>
      </c>
      <c r="F105" s="133">
        <f ca="1">_xll.meDateFromTenor($D105,"5D","MOD_FOLLOWING","NYB")</f>
        <v>54057</v>
      </c>
      <c r="H105" s="9"/>
      <c r="I105" s="2" t="s">
        <v>38</v>
      </c>
      <c r="J105" s="7">
        <f ca="1">_xll.meDateFromTenor($H$95,I105,"MOD_FOLLOWING","NYB")</f>
        <v>54140</v>
      </c>
      <c r="K105" s="133">
        <f ca="1">_xll.meDateFromTenor($J105,"-5D","MOD_FOLLOWING","NYB")</f>
        <v>54133</v>
      </c>
      <c r="L105" s="133">
        <f ca="1">_xll.meDateFromTenor($J105,"5D","MOD_FOLLOWING","NYB")</f>
        <v>54147</v>
      </c>
      <c r="R105" s="9"/>
      <c r="W105" s="2"/>
      <c r="X105" s="7"/>
      <c r="Y105" s="9"/>
      <c r="Z105" s="9"/>
    </row>
    <row r="106" spans="2:26" outlineLevel="1" x14ac:dyDescent="0.25">
      <c r="E106" s="8"/>
      <c r="F106" s="8"/>
    </row>
    <row r="107" spans="2:26" outlineLevel="1" x14ac:dyDescent="0.25">
      <c r="E107" s="8"/>
      <c r="F107" s="8"/>
    </row>
    <row r="108" spans="2:26" ht="15.75" outlineLevel="1" thickBot="1" x14ac:dyDescent="0.3">
      <c r="B108" s="5" t="s">
        <v>91</v>
      </c>
      <c r="C108" s="11" t="s">
        <v>65</v>
      </c>
      <c r="D108" s="11" t="s">
        <v>66</v>
      </c>
      <c r="E108" s="5" t="s">
        <v>45</v>
      </c>
      <c r="F108" s="5" t="s">
        <v>46</v>
      </c>
      <c r="H108" s="8" t="s">
        <v>94</v>
      </c>
      <c r="I108" s="11" t="s">
        <v>98</v>
      </c>
      <c r="J108" s="11" t="s">
        <v>99</v>
      </c>
      <c r="K108" s="5" t="s">
        <v>45</v>
      </c>
      <c r="L108" s="5" t="s">
        <v>46</v>
      </c>
    </row>
    <row r="109" spans="2:26" outlineLevel="1" x14ac:dyDescent="0.25">
      <c r="B109" s="7">
        <f ca="1">_xll.meDateFromTenor(AsOf,"0D","MOD_FOLLOWING","LNB")</f>
        <v>43089</v>
      </c>
      <c r="C109" s="2" t="s">
        <v>26</v>
      </c>
      <c r="D109" s="7">
        <f ca="1">_xll.meDateFromTenor($B$109,C109,"MOD_FOLLOWING","LNB")</f>
        <v>43819</v>
      </c>
      <c r="E109" s="133">
        <f ca="1">_xll.meDateFromTenor($D109,"-5D","MOD_FOLLOWING","LNB")</f>
        <v>43812</v>
      </c>
      <c r="F109" s="133">
        <f ca="1">_xll.meDateFromTenor($D109,"5D","MOD_FOLLOWING","LNB")</f>
        <v>43830</v>
      </c>
      <c r="H109" s="9">
        <f ca="1">_xll.meDateNthIMMFromStartDate(AsOf, 2,"NYB","MOD_FOLLOWING")</f>
        <v>43271</v>
      </c>
      <c r="I109" s="2" t="s">
        <v>26</v>
      </c>
      <c r="J109" s="7">
        <f ca="1">_xll.meDateFromTenor($H$109,I109,"MOD_FOLLOWING","NYB")</f>
        <v>44004</v>
      </c>
      <c r="K109" s="133">
        <f ca="1">_xll.meDateFromTenor($J109,"-5D","MOD_FOLLOWING","NYB")</f>
        <v>43997</v>
      </c>
      <c r="L109" s="133">
        <f ca="1">_xll.meDateFromTenor($J109,"5D","MOD_FOLLOWING","NYB")</f>
        <v>44011</v>
      </c>
    </row>
    <row r="110" spans="2:26" outlineLevel="1" x14ac:dyDescent="0.25">
      <c r="C110" s="2" t="s">
        <v>27</v>
      </c>
      <c r="D110" s="7">
        <f ca="1">_xll.meDateFromTenor($B$109,C110,"MOD_FOLLOWING","LNB")</f>
        <v>44186</v>
      </c>
      <c r="E110" s="133">
        <f ca="1">_xll.meDateFromTenor($D110,"-5D","MOD_FOLLOWING","LNB")</f>
        <v>44179</v>
      </c>
      <c r="F110" s="133">
        <f ca="1">_xll.meDateFromTenor($D110,"5D","MOD_FOLLOWING","LNB")</f>
        <v>44195</v>
      </c>
      <c r="H110" s="9"/>
      <c r="I110" s="2" t="s">
        <v>27</v>
      </c>
      <c r="J110" s="7">
        <f ca="1">_xll.meDateFromTenor($H$109,I110,"MOD_FOLLOWING","NYB")</f>
        <v>44368</v>
      </c>
      <c r="K110" s="133">
        <f ca="1">_xll.meDateFromTenor($J110,"-5D","MOD_FOLLOWING","NYB")</f>
        <v>44361</v>
      </c>
      <c r="L110" s="133">
        <f ca="1">_xll.meDateFromTenor($J110,"5D","MOD_FOLLOWING","NYB")</f>
        <v>44375</v>
      </c>
    </row>
    <row r="111" spans="2:26" outlineLevel="1" x14ac:dyDescent="0.25">
      <c r="C111" s="2" t="s">
        <v>28</v>
      </c>
      <c r="D111" s="7">
        <f ca="1">_xll.meDateFromTenor($B$109,C111,"MOD_FOLLOWING","LNB")</f>
        <v>44550</v>
      </c>
      <c r="E111" s="133">
        <f ca="1">_xll.meDateFromTenor($D111,"-5D","MOD_FOLLOWING","LNB")</f>
        <v>44543</v>
      </c>
      <c r="F111" s="133">
        <f ca="1">_xll.meDateFromTenor($D111,"5D","MOD_FOLLOWING","LNB")</f>
        <v>44559</v>
      </c>
      <c r="H111" s="9"/>
      <c r="I111" s="2" t="s">
        <v>28</v>
      </c>
      <c r="J111" s="7">
        <f ca="1">_xll.meDateFromTenor($H$109,I111,"MOD_FOLLOWING","NYB")</f>
        <v>44732</v>
      </c>
      <c r="K111" s="133">
        <f ca="1">_xll.meDateFromTenor($J111,"-5D","MOD_FOLLOWING","NYB")</f>
        <v>44725</v>
      </c>
      <c r="L111" s="133">
        <f ca="1">_xll.meDateFromTenor($J111,"5D","MOD_FOLLOWING","NYB")</f>
        <v>44739</v>
      </c>
    </row>
    <row r="112" spans="2:26" outlineLevel="1" x14ac:dyDescent="0.25">
      <c r="C112" s="2" t="s">
        <v>29</v>
      </c>
      <c r="D112" s="7">
        <f ca="1">_xll.meDateFromTenor($B$109,C112,"MOD_FOLLOWING","LNB")</f>
        <v>44915</v>
      </c>
      <c r="E112" s="133">
        <f ca="1">_xll.meDateFromTenor($D112,"-5D","MOD_FOLLOWING","LNB")</f>
        <v>44908</v>
      </c>
      <c r="F112" s="133">
        <f ca="1">_xll.meDateFromTenor($D112,"5D","MOD_FOLLOWING","LNB")</f>
        <v>44924</v>
      </c>
      <c r="H112" s="9"/>
      <c r="I112" s="2" t="s">
        <v>29</v>
      </c>
      <c r="J112" s="7">
        <f ca="1">_xll.meDateFromTenor($H$109,I112,"MOD_FOLLOWING","NYB")</f>
        <v>45097</v>
      </c>
      <c r="K112" s="133">
        <f ca="1">_xll.meDateFromTenor($J112,"-5D","MOD_FOLLOWING","NYB")</f>
        <v>45090</v>
      </c>
      <c r="L112" s="133">
        <f ca="1">_xll.meDateFromTenor($J112,"5D","MOD_FOLLOWING","NYB")</f>
        <v>45104</v>
      </c>
    </row>
    <row r="113" spans="1:12" outlineLevel="1" x14ac:dyDescent="0.25">
      <c r="C113" s="2" t="s">
        <v>30</v>
      </c>
      <c r="D113" s="7">
        <f ca="1">_xll.meDateFromTenor($B$109,C113,"MOD_FOLLOWING","LNB")</f>
        <v>45280</v>
      </c>
      <c r="E113" s="133">
        <f ca="1">_xll.meDateFromTenor($D113,"-5D","MOD_FOLLOWING","LNB")</f>
        <v>45273</v>
      </c>
      <c r="F113" s="133">
        <f ca="1">_xll.meDateFromTenor($D113,"5D","MOD_FOLLOWING","LNB")</f>
        <v>45289</v>
      </c>
      <c r="H113" s="9"/>
      <c r="I113" s="2" t="s">
        <v>30</v>
      </c>
      <c r="J113" s="7">
        <f ca="1">_xll.meDateFromTenor($H$109,I113,"MOD_FOLLOWING","NYB")</f>
        <v>45463</v>
      </c>
      <c r="K113" s="133">
        <f ca="1">_xll.meDateFromTenor($J113,"-5D","MOD_FOLLOWING","NYB")</f>
        <v>45456</v>
      </c>
      <c r="L113" s="133">
        <f ca="1">_xll.meDateFromTenor($J113,"5D","MOD_FOLLOWING","NYB")</f>
        <v>45470</v>
      </c>
    </row>
    <row r="114" spans="1:12" outlineLevel="1" x14ac:dyDescent="0.25">
      <c r="C114" s="2" t="s">
        <v>31</v>
      </c>
      <c r="D114" s="7">
        <f ca="1">_xll.meDateFromTenor($B$109,C114,"MOD_FOLLOWING","LNB")</f>
        <v>45646</v>
      </c>
      <c r="E114" s="133">
        <f ca="1">_xll.meDateFromTenor($D114,"-5D","MOD_FOLLOWING","LNB")</f>
        <v>45639</v>
      </c>
      <c r="F114" s="133">
        <f ca="1">_xll.meDateFromTenor($D114,"5D","MOD_FOLLOWING","LNB")</f>
        <v>45657</v>
      </c>
      <c r="H114" s="9"/>
      <c r="I114" s="2" t="s">
        <v>31</v>
      </c>
      <c r="J114" s="7">
        <f ca="1">_xll.meDateFromTenor($H$109,I114,"MOD_FOLLOWING","NYB")</f>
        <v>45828</v>
      </c>
      <c r="K114" s="133">
        <f ca="1">_xll.meDateFromTenor($J114,"-5D","MOD_FOLLOWING","NYB")</f>
        <v>45821</v>
      </c>
      <c r="L114" s="133">
        <f ca="1">_xll.meDateFromTenor($J114,"5D","MOD_FOLLOWING","NYB")</f>
        <v>45835</v>
      </c>
    </row>
    <row r="115" spans="1:12" outlineLevel="1" x14ac:dyDescent="0.25">
      <c r="C115" s="2" t="s">
        <v>34</v>
      </c>
      <c r="D115" s="7">
        <f ca="1">_xll.meDateFromTenor($B$109,C115,"MOD_FOLLOWING","LNB")</f>
        <v>46741</v>
      </c>
      <c r="E115" s="133">
        <f ca="1">_xll.meDateFromTenor($D115,"-5D","MOD_FOLLOWING","LNB")</f>
        <v>46734</v>
      </c>
      <c r="F115" s="133">
        <f ca="1">_xll.meDateFromTenor($D115,"5D","MOD_FOLLOWING","LNB")</f>
        <v>46750</v>
      </c>
      <c r="H115" s="9"/>
      <c r="I115" s="2" t="s">
        <v>34</v>
      </c>
      <c r="J115" s="7">
        <f ca="1">_xll.meDateFromTenor($H$109,I115,"MOD_FOLLOWING","NYB")</f>
        <v>46924</v>
      </c>
      <c r="K115" s="133">
        <f ca="1">_xll.meDateFromTenor($J115,"-5D","MOD_FOLLOWING","NYB")</f>
        <v>46917</v>
      </c>
      <c r="L115" s="133">
        <f ca="1">_xll.meDateFromTenor($J115,"5D","MOD_FOLLOWING","NYB")</f>
        <v>46931</v>
      </c>
    </row>
    <row r="116" spans="1:12" outlineLevel="1" x14ac:dyDescent="0.25">
      <c r="C116" s="2" t="s">
        <v>36</v>
      </c>
      <c r="D116" s="7">
        <f ca="1">_xll.meDateFromTenor($B$109,C116,"MOD_FOLLOWING","LNB")</f>
        <v>48568</v>
      </c>
      <c r="E116" s="133">
        <f ca="1">_xll.meDateFromTenor($D116,"-5D","MOD_FOLLOWING","LNB")</f>
        <v>48561</v>
      </c>
      <c r="F116" s="133">
        <f ca="1">_xll.meDateFromTenor($D116,"5D","MOD_FOLLOWING","LNB")</f>
        <v>48577</v>
      </c>
      <c r="H116" s="9"/>
      <c r="I116" s="2" t="s">
        <v>35</v>
      </c>
      <c r="J116" s="7">
        <f ca="1">_xll.meDateFromTenor($H$109,I116,"MOD_FOLLOWING","NYB")</f>
        <v>47654</v>
      </c>
      <c r="K116" s="133">
        <f ca="1">_xll.meDateFromTenor($J116,"-5D","MOD_FOLLOWING","NYB")</f>
        <v>47647</v>
      </c>
      <c r="L116" s="133">
        <f ca="1">_xll.meDateFromTenor($J116,"5D","MOD_FOLLOWING","NYB")</f>
        <v>47661</v>
      </c>
    </row>
    <row r="117" spans="1:12" outlineLevel="1" x14ac:dyDescent="0.25">
      <c r="C117" s="2" t="s">
        <v>37</v>
      </c>
      <c r="D117" s="7">
        <f ca="1">_xll.meDateFromTenor($B$109,C117,"MOD_FOLLOWING","LNB")</f>
        <v>50395</v>
      </c>
      <c r="E117" s="133">
        <f ca="1">_xll.meDateFromTenor($D117,"-5D","MOD_FOLLOWING","LNB")</f>
        <v>50388</v>
      </c>
      <c r="F117" s="133">
        <f ca="1">_xll.meDateFromTenor($D117,"5D","MOD_FOLLOWING","LNB")</f>
        <v>50404</v>
      </c>
      <c r="H117" s="9"/>
      <c r="I117" s="2" t="s">
        <v>36</v>
      </c>
      <c r="J117" s="7">
        <f ca="1">_xll.meDateFromTenor($H$109,I117,"MOD_FOLLOWING","NYB")</f>
        <v>48750</v>
      </c>
      <c r="K117" s="133">
        <f ca="1">_xll.meDateFromTenor($J117,"-5D","MOD_FOLLOWING","NYB")</f>
        <v>48743</v>
      </c>
      <c r="L117" s="133">
        <f ca="1">_xll.meDateFromTenor($J117,"5D","MOD_FOLLOWING","NYB")</f>
        <v>48757</v>
      </c>
    </row>
    <row r="118" spans="1:12" outlineLevel="1" x14ac:dyDescent="0.25">
      <c r="C118" s="2" t="s">
        <v>38</v>
      </c>
      <c r="D118" s="7">
        <f ca="1">_xll.meDateFromTenor($B$109,C118,"MOD_FOLLOWING","LNB")</f>
        <v>54046</v>
      </c>
      <c r="E118" s="133">
        <f ca="1">_xll.meDateFromTenor($D118,"-5D","MOD_FOLLOWING","LNB")</f>
        <v>54039</v>
      </c>
      <c r="F118" s="133">
        <f ca="1">_xll.meDateFromTenor($D118,"5D","MOD_FOLLOWING","LNB")</f>
        <v>54057</v>
      </c>
      <c r="H118" s="9"/>
      <c r="I118" s="2" t="s">
        <v>37</v>
      </c>
      <c r="J118" s="7">
        <f ca="1">_xll.meDateFromTenor($H$109,I118,"MOD_FOLLOWING","NYB")</f>
        <v>50577</v>
      </c>
      <c r="K118" s="133">
        <f ca="1">_xll.meDateFromTenor($J118,"-5D","MOD_FOLLOWING","NYB")</f>
        <v>50570</v>
      </c>
      <c r="L118" s="133">
        <f ca="1">_xll.meDateFromTenor($J118,"5D","MOD_FOLLOWING","NYB")</f>
        <v>50584</v>
      </c>
    </row>
    <row r="119" spans="1:12" outlineLevel="1" x14ac:dyDescent="0.25">
      <c r="H119" s="9"/>
      <c r="I119" s="2" t="s">
        <v>38</v>
      </c>
      <c r="J119" s="7">
        <f ca="1">_xll.meDateFromTenor($H$109,I119,"MOD_FOLLOWING","NYB")</f>
        <v>54231</v>
      </c>
      <c r="K119" s="133">
        <f ca="1">_xll.meDateFromTenor($J119,"-5D","MOD_FOLLOWING","NYB")</f>
        <v>54224</v>
      </c>
      <c r="L119" s="133">
        <f ca="1">_xll.meDateFromTenor($J119,"5D","MOD_FOLLOWING","NYB")</f>
        <v>54238</v>
      </c>
    </row>
    <row r="120" spans="1:12" x14ac:dyDescent="0.25">
      <c r="A120" s="12" t="s">
        <v>71</v>
      </c>
    </row>
  </sheetData>
  <mergeCells count="19">
    <mergeCell ref="G5:G6"/>
    <mergeCell ref="B5:B6"/>
    <mergeCell ref="C5:C6"/>
    <mergeCell ref="D5:D6"/>
    <mergeCell ref="E5:E6"/>
    <mergeCell ref="F5:F6"/>
    <mergeCell ref="C52:C53"/>
    <mergeCell ref="D52:D53"/>
    <mergeCell ref="E52:E53"/>
    <mergeCell ref="G52:G53"/>
    <mergeCell ref="H52:H53"/>
    <mergeCell ref="I52:I53"/>
    <mergeCell ref="J52:K52"/>
    <mergeCell ref="L52:N52"/>
    <mergeCell ref="H5:H6"/>
    <mergeCell ref="I5:I6"/>
    <mergeCell ref="J5:J6"/>
    <mergeCell ref="K5:L5"/>
    <mergeCell ref="M5:O5"/>
  </mergeCells>
  <conditionalFormatting sqref="B7:B48">
    <cfRule type="cellIs" dxfId="4" priority="1" operator="equal">
      <formula>TRUE</formula>
    </cfRule>
  </conditionalFormatting>
  <dataValidations count="6">
    <dataValidation type="list" allowBlank="1" showInputMessage="1" showErrorMessage="1" sqref="K7:K48 N7:N48">
      <formula1>"ANNUAL,SEMI-ANNUAL,QUARTERLY,MONTHLY"</formula1>
    </dataValidation>
    <dataValidation type="list" allowBlank="1" showInputMessage="1" showErrorMessage="1" sqref="O7:O48 L7:L48">
      <formula1>"30/360,ACT/360,ACT/365F"</formula1>
    </dataValidation>
    <dataValidation type="list" allowBlank="1" showInputMessage="1" showErrorMessage="1" sqref="E7:E48">
      <formula1>"SPOT,IMM"</formula1>
    </dataValidation>
    <dataValidation type="list" allowBlank="1" showInputMessage="1" showErrorMessage="1" sqref="M7:M48">
      <formula1>"EUR3ML,EUR6ML,GBP3ML,GBP6ML,USD3ML,USD3ML.IMM,USD6ML,USD6ML.IMM"</formula1>
    </dataValidation>
    <dataValidation type="list" allowBlank="1" showInputMessage="1" showErrorMessage="1" sqref="D7:D48">
      <formula1>"USD,EUR,GBP"</formula1>
    </dataValidation>
    <dataValidation type="list" allowBlank="1" showInputMessage="1" showErrorMessage="1" sqref="F7:F48">
      <formula1>"0,1,2"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D120"/>
  <sheetViews>
    <sheetView showGridLines="0" workbookViewId="0"/>
  </sheetViews>
  <sheetFormatPr defaultRowHeight="15" outlineLevelRow="1" outlineLevelCol="1" x14ac:dyDescent="0.25"/>
  <cols>
    <col min="2" max="2" width="15.7109375" customWidth="1"/>
    <col min="3" max="3" width="20.7109375" customWidth="1"/>
    <col min="4" max="4" width="12.7109375" customWidth="1"/>
    <col min="5" max="5" width="15.7109375" customWidth="1"/>
    <col min="6" max="6" width="14.7109375" customWidth="1"/>
    <col min="7" max="7" width="12.5703125" customWidth="1"/>
    <col min="8" max="9" width="20.7109375" customWidth="1"/>
    <col min="10" max="10" width="17.85546875" customWidth="1"/>
    <col min="11" max="13" width="15.7109375" customWidth="1"/>
    <col min="14" max="14" width="22.140625" bestFit="1" customWidth="1"/>
    <col min="15" max="15" width="15.7109375" customWidth="1"/>
    <col min="16" max="16" width="12.7109375" hidden="1" customWidth="1" outlineLevel="1"/>
    <col min="17" max="17" width="14.28515625" hidden="1" customWidth="1" outlineLevel="1"/>
    <col min="18" max="18" width="15.7109375" hidden="1" customWidth="1" outlineLevel="1"/>
    <col min="19" max="19" width="16.85546875" hidden="1" customWidth="1" outlineLevel="1"/>
    <col min="20" max="29" width="12.7109375" hidden="1" customWidth="1" outlineLevel="1"/>
    <col min="30" max="30" width="9.140625" collapsed="1"/>
  </cols>
  <sheetData>
    <row r="1" spans="1:30" x14ac:dyDescent="0.25">
      <c r="AD1" s="12" t="s">
        <v>70</v>
      </c>
    </row>
    <row r="2" spans="1:30" x14ac:dyDescent="0.25">
      <c r="B2" s="30" t="s">
        <v>44</v>
      </c>
    </row>
    <row r="3" spans="1:30" x14ac:dyDescent="0.25">
      <c r="B3" s="31">
        <f ca="1">TODAY()</f>
        <v>43089</v>
      </c>
      <c r="I3" s="9"/>
    </row>
    <row r="4" spans="1:30" ht="15.75" x14ac:dyDescent="0.25">
      <c r="S4" s="54"/>
    </row>
    <row r="5" spans="1:30" ht="15" customHeight="1" x14ac:dyDescent="0.25">
      <c r="B5" s="123" t="s">
        <v>104</v>
      </c>
      <c r="C5" s="121" t="s">
        <v>103</v>
      </c>
      <c r="D5" s="121" t="s">
        <v>1</v>
      </c>
      <c r="E5" s="121" t="s">
        <v>2</v>
      </c>
      <c r="F5" s="122" t="s">
        <v>150</v>
      </c>
      <c r="G5" s="121" t="s">
        <v>3</v>
      </c>
      <c r="H5" s="121" t="s">
        <v>89</v>
      </c>
      <c r="I5" s="121" t="s">
        <v>83</v>
      </c>
      <c r="J5" s="121" t="s">
        <v>5</v>
      </c>
      <c r="K5" s="127" t="s">
        <v>6</v>
      </c>
      <c r="L5" s="127"/>
      <c r="M5" s="127" t="s">
        <v>7</v>
      </c>
      <c r="N5" s="127"/>
      <c r="O5" s="127"/>
      <c r="P5" s="8"/>
      <c r="Q5" s="8"/>
      <c r="R5" s="48"/>
      <c r="S5" s="8"/>
      <c r="T5" s="8"/>
      <c r="U5" s="8"/>
      <c r="V5" s="8"/>
      <c r="W5" s="8"/>
      <c r="X5" s="8"/>
    </row>
    <row r="6" spans="1:30" ht="38.25" x14ac:dyDescent="0.25">
      <c r="B6" s="124"/>
      <c r="C6" s="122"/>
      <c r="D6" s="122"/>
      <c r="E6" s="122"/>
      <c r="F6" s="125"/>
      <c r="G6" s="122"/>
      <c r="H6" s="126"/>
      <c r="I6" s="122"/>
      <c r="J6" s="122"/>
      <c r="K6" s="69" t="s">
        <v>8</v>
      </c>
      <c r="L6" s="69" t="s">
        <v>9</v>
      </c>
      <c r="M6" s="69" t="s">
        <v>10</v>
      </c>
      <c r="N6" s="69" t="s">
        <v>11</v>
      </c>
      <c r="O6" s="69" t="s">
        <v>9</v>
      </c>
      <c r="P6" s="69" t="s">
        <v>84</v>
      </c>
      <c r="Q6" s="69" t="s">
        <v>100</v>
      </c>
      <c r="R6" s="69" t="s">
        <v>82</v>
      </c>
      <c r="S6" s="69" t="s">
        <v>55</v>
      </c>
      <c r="T6" s="69" t="s">
        <v>85</v>
      </c>
      <c r="U6" s="69" t="s">
        <v>54</v>
      </c>
      <c r="V6" s="69" t="s">
        <v>95</v>
      </c>
      <c r="W6" s="69" t="s">
        <v>96</v>
      </c>
      <c r="X6" s="69" t="s">
        <v>53</v>
      </c>
      <c r="Y6" s="69" t="s">
        <v>88</v>
      </c>
      <c r="Z6" s="69" t="s">
        <v>87</v>
      </c>
      <c r="AA6" s="69" t="s">
        <v>86</v>
      </c>
      <c r="AB6" s="69" t="s">
        <v>43</v>
      </c>
      <c r="AC6" s="69" t="s">
        <v>75</v>
      </c>
    </row>
    <row r="7" spans="1:30" x14ac:dyDescent="0.25">
      <c r="A7" s="29">
        <v>1</v>
      </c>
      <c r="B7" s="28" t="b">
        <f ca="1">AB7</f>
        <v>0</v>
      </c>
      <c r="C7" s="59" t="s">
        <v>97</v>
      </c>
      <c r="D7" s="25" t="s">
        <v>77</v>
      </c>
      <c r="E7" s="61" t="s">
        <v>67</v>
      </c>
      <c r="F7" s="108">
        <v>2</v>
      </c>
      <c r="G7" s="108" t="s">
        <v>14</v>
      </c>
      <c r="H7" s="110">
        <f ca="1">IF($E7="IMM",_xll.meDateNthIMMFromStartDate(AsOf, $F7,$AC7,"MOD_FOLLOWING"),_xll.meDateFromTenor(AsOf,$F7&amp;"D","MOD_FOLLOWING",$AC7))</f>
        <v>43091</v>
      </c>
      <c r="I7" s="87" t="s">
        <v>153</v>
      </c>
      <c r="J7" s="26" t="s">
        <v>16</v>
      </c>
      <c r="K7" s="26" t="s">
        <v>56</v>
      </c>
      <c r="L7" s="26" t="s">
        <v>42</v>
      </c>
      <c r="M7" s="26" t="s">
        <v>63</v>
      </c>
      <c r="N7" s="26" t="s">
        <v>101</v>
      </c>
      <c r="O7" s="45" t="s">
        <v>48</v>
      </c>
      <c r="P7" s="34">
        <f t="shared" ref="P7:P48" ca="1" si="0">MATCH(M7,$L$54:$L$61,0)</f>
        <v>3</v>
      </c>
      <c r="Q7" s="35" t="str">
        <f ca="1">IF(E7="SPOT",E7,E7&amp;IF(H7=USD3ML.IMMIMM1, 1,IF(H7=USD3ML.IMMIMM2,2,"NotInScope")))</f>
        <v>SPOT</v>
      </c>
      <c r="R7" s="44">
        <f ca="1">IF($I7="","",IF(ISNUMBER($I7),$I7,_xll.meDateFromTenor(H7,$I7,"MOD_FOLLOWING",VLOOKUP(LEFT($M7,3),DateConventions,3))))</f>
        <v>44929</v>
      </c>
      <c r="S7" s="35" t="b">
        <f ca="1">ISNUMBER(SEARCH($E7, INDEX($E$54:$E$61,$P7)))</f>
        <v>1</v>
      </c>
      <c r="T7" s="35" t="b">
        <f t="shared" ref="T7:T48" ca="1" si="1">ISNUMBER(SEARCH($G7, INDEX($G$54:$G$61,$P7)))</f>
        <v>1</v>
      </c>
      <c r="U7" s="35" t="b">
        <f t="shared" ref="U7:U48" ca="1" si="2">ISNUMBER(SEARCH($J7, INDEX($I$54:$I$61,$P7)))</f>
        <v>1</v>
      </c>
      <c r="V7" s="35" t="b">
        <f t="shared" ref="V7:V48" ca="1" si="3">IF(S7,$H7=INDIRECT(M7&amp;Q7),FALSE)</f>
        <v>1</v>
      </c>
      <c r="W7" s="39" t="b">
        <f t="shared" ref="W7:W48" ca="1" si="4">IF(ISNUMBER(MATCH($R7,INDIRECT(M7&amp;Q7&amp;".Lower"),1)), $R7&lt;=INDEX(INDIRECT(M7&amp;Q7&amp;".Upper"),MATCH($R7,INDIRECT(M7&amp;Q7&amp;".Lower"),1)), FALSE)</f>
        <v>0</v>
      </c>
      <c r="X7" s="35" t="b">
        <f t="shared" ref="X7:X48" ca="1" si="5">ISNUMBER(SEARCH($K7, INDEX($J$54:$J$61,$P7)))</f>
        <v>1</v>
      </c>
      <c r="Y7" s="36" t="b">
        <f t="shared" ref="Y7:Y48" ca="1" si="6">ISNUMBER(SEARCH($L7, INDEX($K$54:$K$61,$P7)))</f>
        <v>1</v>
      </c>
      <c r="Z7" s="36" t="b">
        <f ca="1">ISNUMBER(SEARCH($N7, INDEX($M$54:$M$61,$P7)))</f>
        <v>1</v>
      </c>
      <c r="AA7" s="36" t="b">
        <f t="shared" ref="AA7:AA48" ca="1" si="7">ISNUMBER(SEARCH($O7, INDEX($N$54:$N$61,$P7)))</f>
        <v>1</v>
      </c>
      <c r="AB7" s="66" t="b">
        <f t="shared" ref="AB7:AB48" ca="1" si="8">AND(S7:AA7)</f>
        <v>0</v>
      </c>
      <c r="AC7" s="63" t="str">
        <f ca="1">IF($D7="USD","NYB",IF($D7="EUR","TGT",IF($D7="GBP","LNB","")))</f>
        <v>NYB</v>
      </c>
    </row>
    <row r="8" spans="1:30" x14ac:dyDescent="0.25">
      <c r="A8" s="29">
        <v>2</v>
      </c>
      <c r="B8" s="49" t="b">
        <f t="shared" ref="B8:B48" ca="1" si="9">AB8</f>
        <v>1</v>
      </c>
      <c r="C8" s="60" t="s">
        <v>97</v>
      </c>
      <c r="D8" s="22" t="s">
        <v>77</v>
      </c>
      <c r="E8" s="62" t="s">
        <v>67</v>
      </c>
      <c r="F8" s="22">
        <v>2</v>
      </c>
      <c r="G8" s="22" t="s">
        <v>14</v>
      </c>
      <c r="H8" s="57">
        <f ca="1">IF($E8="IMM",_xll.meDateNthIMMFromStartDate(AsOf, $F8,$AC8,"MOD_FOLLOWING"),_xll.meDateFromTenor(AsOf,$F8&amp;"D","MOD_FOLLOWING",$AC8))</f>
        <v>43091</v>
      </c>
      <c r="I8" s="88" t="s">
        <v>152</v>
      </c>
      <c r="J8" s="23" t="s">
        <v>16</v>
      </c>
      <c r="K8" s="23" t="s">
        <v>56</v>
      </c>
      <c r="L8" s="23" t="s">
        <v>42</v>
      </c>
      <c r="M8" s="23" t="s">
        <v>63</v>
      </c>
      <c r="N8" s="23" t="s">
        <v>101</v>
      </c>
      <c r="O8" s="46" t="s">
        <v>48</v>
      </c>
      <c r="P8" s="37">
        <f t="shared" ca="1" si="0"/>
        <v>3</v>
      </c>
      <c r="Q8" s="38" t="str">
        <f ca="1">IF(E8="SPOT",E8,E8&amp;IF(H8=USD3ML.IMMIMM1, 1,IF(H8=USD3ML.IMMIMM2,2,"NotInScope")))</f>
        <v>SPOT</v>
      </c>
      <c r="R8" s="57">
        <f ca="1">IF($I8="","",IF(ISNUMBER($I8),$I8,_xll.meDateFromTenor(H8,$I8,"MOD_FOLLOWING",VLOOKUP(LEFT($M8,3),DateConventions,3))))</f>
        <v>44925</v>
      </c>
      <c r="S8" s="38" t="b">
        <f t="shared" ref="S8:S48" ca="1" si="10">ISNUMBER(SEARCH($E8, INDEX($E$54:$E$61,$P8)))</f>
        <v>1</v>
      </c>
      <c r="T8" s="38" t="b">
        <f t="shared" ca="1" si="1"/>
        <v>1</v>
      </c>
      <c r="U8" s="38" t="b">
        <f t="shared" ca="1" si="2"/>
        <v>1</v>
      </c>
      <c r="V8" s="38" t="b">
        <f t="shared" ca="1" si="3"/>
        <v>1</v>
      </c>
      <c r="W8" s="39" t="b">
        <f t="shared" ca="1" si="4"/>
        <v>1</v>
      </c>
      <c r="X8" s="38" t="b">
        <f t="shared" ca="1" si="5"/>
        <v>1</v>
      </c>
      <c r="Y8" s="40" t="b">
        <f t="shared" ca="1" si="6"/>
        <v>1</v>
      </c>
      <c r="Z8" s="40" t="b">
        <f t="shared" ref="Z8:Z48" ca="1" si="11">ISNUMBER(SEARCH($N8, INDEX($M$54:$M$61,$P8)))</f>
        <v>1</v>
      </c>
      <c r="AA8" s="40" t="b">
        <f t="shared" ca="1" si="7"/>
        <v>1</v>
      </c>
      <c r="AB8" s="67" t="b">
        <f t="shared" ca="1" si="8"/>
        <v>1</v>
      </c>
      <c r="AC8" s="64" t="str">
        <f ca="1">IF($D8="USD","NYB",IF($D8="EUR","TGT",IF($D8="GBP","LNB","")))</f>
        <v>NYB</v>
      </c>
    </row>
    <row r="9" spans="1:30" x14ac:dyDescent="0.25">
      <c r="A9" s="29">
        <v>3</v>
      </c>
      <c r="B9" s="49" t="b">
        <f t="shared" ca="1" si="9"/>
        <v>1</v>
      </c>
      <c r="C9" s="60" t="s">
        <v>97</v>
      </c>
      <c r="D9" s="22" t="s">
        <v>77</v>
      </c>
      <c r="E9" s="62" t="s">
        <v>67</v>
      </c>
      <c r="F9" s="22">
        <v>2</v>
      </c>
      <c r="G9" s="22" t="s">
        <v>14</v>
      </c>
      <c r="H9" s="57">
        <f ca="1">IF($E9="IMM",_xll.meDateNthIMMFromStartDate(AsOf, $F9,$AC9,"MOD_FOLLOWING"),_xll.meDateFromTenor(AsOf,$F9&amp;"D","MOD_FOLLOWING",$AC9))</f>
        <v>43091</v>
      </c>
      <c r="I9" s="88" t="s">
        <v>29</v>
      </c>
      <c r="J9" s="23" t="s">
        <v>16</v>
      </c>
      <c r="K9" s="23" t="s">
        <v>56</v>
      </c>
      <c r="L9" s="23" t="s">
        <v>42</v>
      </c>
      <c r="M9" s="23" t="s">
        <v>63</v>
      </c>
      <c r="N9" s="23" t="s">
        <v>101</v>
      </c>
      <c r="O9" s="46" t="s">
        <v>48</v>
      </c>
      <c r="P9" s="37">
        <f t="shared" ca="1" si="0"/>
        <v>3</v>
      </c>
      <c r="Q9" s="38" t="str">
        <f ca="1">IF(E9="SPOT",E9,E9&amp;IF(H9=USD3ML.IMMIMM1, 1,IF(H9=USD3ML.IMMIMM2,2,"NotInScope")))</f>
        <v>SPOT</v>
      </c>
      <c r="R9" s="57">
        <f ca="1">IF($I9="","",IF(ISNUMBER($I9),$I9,_xll.meDateFromTenor(H9,$I9,"MOD_FOLLOWING",VLOOKUP(LEFT($M9,3),DateConventions,3))))</f>
        <v>44917</v>
      </c>
      <c r="S9" s="38" t="b">
        <f t="shared" ca="1" si="10"/>
        <v>1</v>
      </c>
      <c r="T9" s="38" t="b">
        <f t="shared" ca="1" si="1"/>
        <v>1</v>
      </c>
      <c r="U9" s="38" t="b">
        <f t="shared" ca="1" si="2"/>
        <v>1</v>
      </c>
      <c r="V9" s="38" t="b">
        <f t="shared" ca="1" si="3"/>
        <v>1</v>
      </c>
      <c r="W9" s="39" t="b">
        <f t="shared" ca="1" si="4"/>
        <v>1</v>
      </c>
      <c r="X9" s="38" t="b">
        <f t="shared" ca="1" si="5"/>
        <v>1</v>
      </c>
      <c r="Y9" s="40" t="b">
        <f t="shared" ca="1" si="6"/>
        <v>1</v>
      </c>
      <c r="Z9" s="40" t="b">
        <f ca="1">ISNUMBER(SEARCH($N9, INDEX($M$54:$M$61,$P9)))</f>
        <v>1</v>
      </c>
      <c r="AA9" s="40" t="b">
        <f t="shared" ca="1" si="7"/>
        <v>1</v>
      </c>
      <c r="AB9" s="67" t="b">
        <f t="shared" ca="1" si="8"/>
        <v>1</v>
      </c>
      <c r="AC9" s="64" t="str">
        <f ca="1">IF($D9="USD","NYB",IF($D9="EUR","TGT",IF($D9="GBP","LNB","")))</f>
        <v>NYB</v>
      </c>
    </row>
    <row r="10" spans="1:30" x14ac:dyDescent="0.25">
      <c r="A10" s="29">
        <v>4</v>
      </c>
      <c r="B10" s="49" t="b">
        <f t="shared" ca="1" si="9"/>
        <v>1</v>
      </c>
      <c r="C10" s="60" t="s">
        <v>97</v>
      </c>
      <c r="D10" s="22" t="s">
        <v>77</v>
      </c>
      <c r="E10" s="62" t="s">
        <v>67</v>
      </c>
      <c r="F10" s="22">
        <v>2</v>
      </c>
      <c r="G10" s="22" t="s">
        <v>14</v>
      </c>
      <c r="H10" s="57">
        <f ca="1">IF($E10="IMM",_xll.meDateNthIMMFromStartDate(AsOf, $F10,$AC10,"MOD_FOLLOWING"),_xll.meDateFromTenor(AsOf,$F10&amp;"D","MOD_FOLLOWING",$AC10))</f>
        <v>43091</v>
      </c>
      <c r="I10" s="88" t="s">
        <v>29</v>
      </c>
      <c r="J10" s="23" t="s">
        <v>16</v>
      </c>
      <c r="K10" s="23" t="s">
        <v>56</v>
      </c>
      <c r="L10" s="23" t="s">
        <v>42</v>
      </c>
      <c r="M10" s="23" t="s">
        <v>63</v>
      </c>
      <c r="N10" s="23" t="s">
        <v>101</v>
      </c>
      <c r="O10" s="46" t="s">
        <v>48</v>
      </c>
      <c r="P10" s="37">
        <f t="shared" ca="1" si="0"/>
        <v>3</v>
      </c>
      <c r="Q10" s="38" t="str">
        <f ca="1">IF(E10="SPOT",E10,E10&amp;IF(H10=USD3ML.IMMIMM1, 1,IF(H10=USD3ML.IMMIMM2,2,"999")))</f>
        <v>SPOT</v>
      </c>
      <c r="R10" s="57">
        <f ca="1">IF($I10="","",IF(ISNUMBER($I10),$I10,_xll.meDateFromTenor(H10,$I10,"MOD_FOLLOWING",VLOOKUP(LEFT($M10,3),DateConventions,3))))</f>
        <v>44917</v>
      </c>
      <c r="S10" s="38" t="b">
        <f ca="1">ISNUMBER(SEARCH($E10, INDEX($E$54:$E$61,$P10)))</f>
        <v>1</v>
      </c>
      <c r="T10" s="38" t="b">
        <f t="shared" ca="1" si="1"/>
        <v>1</v>
      </c>
      <c r="U10" s="38" t="b">
        <f t="shared" ca="1" si="2"/>
        <v>1</v>
      </c>
      <c r="V10" s="38" t="b">
        <f t="shared" ca="1" si="3"/>
        <v>1</v>
      </c>
      <c r="W10" s="39" t="b">
        <f t="shared" ca="1" si="4"/>
        <v>1</v>
      </c>
      <c r="X10" s="38" t="b">
        <f t="shared" ca="1" si="5"/>
        <v>1</v>
      </c>
      <c r="Y10" s="40" t="b">
        <f t="shared" ca="1" si="6"/>
        <v>1</v>
      </c>
      <c r="Z10" s="40" t="b">
        <f t="shared" ca="1" si="11"/>
        <v>1</v>
      </c>
      <c r="AA10" s="40" t="b">
        <f t="shared" ca="1" si="7"/>
        <v>1</v>
      </c>
      <c r="AB10" s="67" t="b">
        <f t="shared" ca="1" si="8"/>
        <v>1</v>
      </c>
      <c r="AC10" s="64" t="str">
        <f t="shared" ref="AC10:AC48" ca="1" si="12">IF($D10="USD","NYB",IF($D10="EUR","TGT",IF($D10="GBP","LNB","")))</f>
        <v>NYB</v>
      </c>
    </row>
    <row r="11" spans="1:30" x14ac:dyDescent="0.25">
      <c r="A11" s="29">
        <v>5</v>
      </c>
      <c r="B11" s="49" t="b">
        <f t="shared" ca="1" si="9"/>
        <v>1</v>
      </c>
      <c r="C11" s="60" t="s">
        <v>97</v>
      </c>
      <c r="D11" s="22" t="s">
        <v>77</v>
      </c>
      <c r="E11" s="62" t="s">
        <v>67</v>
      </c>
      <c r="F11" s="22">
        <v>2</v>
      </c>
      <c r="G11" s="22" t="s">
        <v>14</v>
      </c>
      <c r="H11" s="57">
        <f ca="1">IF($E11="IMM",_xll.meDateNthIMMFromStartDate(AsOf, $F11,$AC11,"MOD_FOLLOWING"),_xll.meDateFromTenor(AsOf,$F11&amp;"D","MOD_FOLLOWING",$AC11))</f>
        <v>43091</v>
      </c>
      <c r="I11" s="88" t="s">
        <v>29</v>
      </c>
      <c r="J11" s="23" t="s">
        <v>16</v>
      </c>
      <c r="K11" s="23" t="s">
        <v>56</v>
      </c>
      <c r="L11" s="23" t="s">
        <v>42</v>
      </c>
      <c r="M11" s="23" t="s">
        <v>63</v>
      </c>
      <c r="N11" s="23" t="s">
        <v>101</v>
      </c>
      <c r="O11" s="46" t="s">
        <v>48</v>
      </c>
      <c r="P11" s="37">
        <f t="shared" ca="1" si="0"/>
        <v>3</v>
      </c>
      <c r="Q11" s="38" t="str">
        <f t="shared" ref="Q11:Q48" ca="1" si="13">IF(E11="SPOT",E11,E11&amp;IF(H11=USD3ML.IMMIMM1, 1,IF(H11=USD3ML.IMMIMM2,2,"NotInScope")))</f>
        <v>SPOT</v>
      </c>
      <c r="R11" s="57">
        <f ca="1">IF($I11="","",IF(ISNUMBER($I11),$I11,_xll.meDateFromTenor(H11,$I11,"MOD_FOLLOWING",VLOOKUP(LEFT($M11,3),DateConventions,3))))</f>
        <v>44917</v>
      </c>
      <c r="S11" s="38" t="b">
        <f t="shared" ca="1" si="10"/>
        <v>1</v>
      </c>
      <c r="T11" s="38" t="b">
        <f t="shared" ca="1" si="1"/>
        <v>1</v>
      </c>
      <c r="U11" s="38" t="b">
        <f t="shared" ca="1" si="2"/>
        <v>1</v>
      </c>
      <c r="V11" s="38" t="b">
        <f t="shared" ca="1" si="3"/>
        <v>1</v>
      </c>
      <c r="W11" s="39" t="b">
        <f t="shared" ca="1" si="4"/>
        <v>1</v>
      </c>
      <c r="X11" s="38" t="b">
        <f t="shared" ca="1" si="5"/>
        <v>1</v>
      </c>
      <c r="Y11" s="40" t="b">
        <f t="shared" ca="1" si="6"/>
        <v>1</v>
      </c>
      <c r="Z11" s="40" t="b">
        <f t="shared" ca="1" si="11"/>
        <v>1</v>
      </c>
      <c r="AA11" s="40" t="b">
        <f t="shared" ca="1" si="7"/>
        <v>1</v>
      </c>
      <c r="AB11" s="67" t="b">
        <f t="shared" ca="1" si="8"/>
        <v>1</v>
      </c>
      <c r="AC11" s="64" t="str">
        <f t="shared" ca="1" si="12"/>
        <v>NYB</v>
      </c>
    </row>
    <row r="12" spans="1:30" x14ac:dyDescent="0.25">
      <c r="A12" s="29">
        <v>6</v>
      </c>
      <c r="B12" s="49" t="b">
        <f t="shared" ca="1" si="9"/>
        <v>1</v>
      </c>
      <c r="C12" s="60" t="s">
        <v>97</v>
      </c>
      <c r="D12" s="22" t="s">
        <v>77</v>
      </c>
      <c r="E12" s="62" t="s">
        <v>67</v>
      </c>
      <c r="F12" s="22">
        <v>2</v>
      </c>
      <c r="G12" s="22" t="s">
        <v>14</v>
      </c>
      <c r="H12" s="58">
        <f ca="1">IF($E12="IMM",_xll.meDateNthIMMFromStartDate(AsOf, $F12,$AC12,"MOD_FOLLOWING"),_xll.meDateFromTenor(AsOf,$F12&amp;"D","MOD_FOLLOWING",$AC12))</f>
        <v>43091</v>
      </c>
      <c r="I12" s="88" t="s">
        <v>29</v>
      </c>
      <c r="J12" s="23" t="s">
        <v>16</v>
      </c>
      <c r="K12" s="23" t="s">
        <v>56</v>
      </c>
      <c r="L12" s="23" t="s">
        <v>42</v>
      </c>
      <c r="M12" s="23" t="s">
        <v>63</v>
      </c>
      <c r="N12" s="23" t="s">
        <v>101</v>
      </c>
      <c r="O12" s="46" t="s">
        <v>48</v>
      </c>
      <c r="P12" s="37">
        <f t="shared" ca="1" si="0"/>
        <v>3</v>
      </c>
      <c r="Q12" s="38" t="str">
        <f t="shared" ca="1" si="13"/>
        <v>SPOT</v>
      </c>
      <c r="R12" s="57">
        <f ca="1">IF($I12="","",IF(ISNUMBER($I12),$I12,_xll.meDateFromTenor(H12,$I12,"MOD_FOLLOWING",VLOOKUP(LEFT($M12,3),DateConventions,3))))</f>
        <v>44917</v>
      </c>
      <c r="S12" s="38" t="b">
        <f t="shared" ca="1" si="10"/>
        <v>1</v>
      </c>
      <c r="T12" s="38" t="b">
        <f t="shared" ca="1" si="1"/>
        <v>1</v>
      </c>
      <c r="U12" s="38" t="b">
        <f t="shared" ca="1" si="2"/>
        <v>1</v>
      </c>
      <c r="V12" s="38" t="b">
        <f t="shared" ca="1" si="3"/>
        <v>1</v>
      </c>
      <c r="W12" s="39" t="b">
        <f t="shared" ca="1" si="4"/>
        <v>1</v>
      </c>
      <c r="X12" s="38" t="b">
        <f t="shared" ca="1" si="5"/>
        <v>1</v>
      </c>
      <c r="Y12" s="40" t="b">
        <f t="shared" ca="1" si="6"/>
        <v>1</v>
      </c>
      <c r="Z12" s="40" t="b">
        <f t="shared" ca="1" si="11"/>
        <v>1</v>
      </c>
      <c r="AA12" s="40" t="b">
        <f t="shared" ca="1" si="7"/>
        <v>1</v>
      </c>
      <c r="AB12" s="67" t="b">
        <f t="shared" ca="1" si="8"/>
        <v>1</v>
      </c>
      <c r="AC12" s="64" t="str">
        <f t="shared" ca="1" si="12"/>
        <v>NYB</v>
      </c>
    </row>
    <row r="13" spans="1:30" x14ac:dyDescent="0.25">
      <c r="A13" s="29">
        <v>7</v>
      </c>
      <c r="B13" s="49" t="b">
        <f t="shared" ca="1" si="9"/>
        <v>1</v>
      </c>
      <c r="C13" s="60" t="s">
        <v>97</v>
      </c>
      <c r="D13" s="22" t="s">
        <v>77</v>
      </c>
      <c r="E13" s="62" t="s">
        <v>67</v>
      </c>
      <c r="F13" s="22">
        <v>2</v>
      </c>
      <c r="G13" s="22" t="s">
        <v>14</v>
      </c>
      <c r="H13" s="58">
        <f ca="1">IF($E13="IMM",_xll.meDateNthIMMFromStartDate(AsOf, $F13,$AC13,"MOD_FOLLOWING"),_xll.meDateFromTenor(AsOf,$F13&amp;"D","MOD_FOLLOWING",$AC13))</f>
        <v>43091</v>
      </c>
      <c r="I13" s="88" t="s">
        <v>29</v>
      </c>
      <c r="J13" s="23" t="s">
        <v>16</v>
      </c>
      <c r="K13" s="23" t="s">
        <v>56</v>
      </c>
      <c r="L13" s="23" t="s">
        <v>42</v>
      </c>
      <c r="M13" s="23" t="s">
        <v>63</v>
      </c>
      <c r="N13" s="23" t="s">
        <v>101</v>
      </c>
      <c r="O13" s="46" t="s">
        <v>48</v>
      </c>
      <c r="P13" s="37">
        <f t="shared" ca="1" si="0"/>
        <v>3</v>
      </c>
      <c r="Q13" s="38" t="str">
        <f t="shared" ca="1" si="13"/>
        <v>SPOT</v>
      </c>
      <c r="R13" s="57">
        <f ca="1">IF($I13="","",IF(ISNUMBER($I13),$I13,_xll.meDateFromTenor(H13,$I13,"MOD_FOLLOWING",VLOOKUP(LEFT($M13,3),DateConventions,3))))</f>
        <v>44917</v>
      </c>
      <c r="S13" s="38" t="b">
        <f t="shared" ca="1" si="10"/>
        <v>1</v>
      </c>
      <c r="T13" s="38" t="b">
        <f t="shared" ca="1" si="1"/>
        <v>1</v>
      </c>
      <c r="U13" s="38" t="b">
        <f t="shared" ca="1" si="2"/>
        <v>1</v>
      </c>
      <c r="V13" s="38" t="b">
        <f t="shared" ca="1" si="3"/>
        <v>1</v>
      </c>
      <c r="W13" s="39" t="b">
        <f t="shared" ca="1" si="4"/>
        <v>1</v>
      </c>
      <c r="X13" s="38" t="b">
        <f t="shared" ca="1" si="5"/>
        <v>1</v>
      </c>
      <c r="Y13" s="40" t="b">
        <f t="shared" ca="1" si="6"/>
        <v>1</v>
      </c>
      <c r="Z13" s="40" t="b">
        <f t="shared" ca="1" si="11"/>
        <v>1</v>
      </c>
      <c r="AA13" s="40" t="b">
        <f t="shared" ca="1" si="7"/>
        <v>1</v>
      </c>
      <c r="AB13" s="67" t="b">
        <f t="shared" ca="1" si="8"/>
        <v>1</v>
      </c>
      <c r="AC13" s="64" t="str">
        <f t="shared" ca="1" si="12"/>
        <v>NYB</v>
      </c>
    </row>
    <row r="14" spans="1:30" x14ac:dyDescent="0.25">
      <c r="A14" s="29">
        <v>8</v>
      </c>
      <c r="B14" s="49" t="b">
        <f t="shared" ca="1" si="9"/>
        <v>1</v>
      </c>
      <c r="C14" s="60" t="s">
        <v>97</v>
      </c>
      <c r="D14" s="22" t="s">
        <v>77</v>
      </c>
      <c r="E14" s="62" t="s">
        <v>67</v>
      </c>
      <c r="F14" s="22">
        <v>2</v>
      </c>
      <c r="G14" s="22" t="s">
        <v>14</v>
      </c>
      <c r="H14" s="58">
        <f ca="1">IF($E14="IMM",_xll.meDateNthIMMFromStartDate(AsOf, $F14,$AC14,"MOD_FOLLOWING"),_xll.meDateFromTenor(AsOf,$F14&amp;"D","MOD_FOLLOWING",$AC14))</f>
        <v>43091</v>
      </c>
      <c r="I14" s="88" t="s">
        <v>29</v>
      </c>
      <c r="J14" s="23" t="s">
        <v>16</v>
      </c>
      <c r="K14" s="23" t="s">
        <v>56</v>
      </c>
      <c r="L14" s="23" t="s">
        <v>42</v>
      </c>
      <c r="M14" s="23" t="s">
        <v>63</v>
      </c>
      <c r="N14" s="23" t="s">
        <v>101</v>
      </c>
      <c r="O14" s="46" t="s">
        <v>48</v>
      </c>
      <c r="P14" s="37">
        <f t="shared" ca="1" si="0"/>
        <v>3</v>
      </c>
      <c r="Q14" s="38" t="str">
        <f t="shared" ca="1" si="13"/>
        <v>SPOT</v>
      </c>
      <c r="R14" s="57">
        <f ca="1">IF($I14="","",IF(ISNUMBER($I14),$I14,_xll.meDateFromTenor(H14,$I14,"MOD_FOLLOWING",VLOOKUP(LEFT($M14,3),DateConventions,3))))</f>
        <v>44917</v>
      </c>
      <c r="S14" s="38" t="b">
        <f t="shared" ca="1" si="10"/>
        <v>1</v>
      </c>
      <c r="T14" s="38" t="b">
        <f t="shared" ca="1" si="1"/>
        <v>1</v>
      </c>
      <c r="U14" s="38" t="b">
        <f t="shared" ca="1" si="2"/>
        <v>1</v>
      </c>
      <c r="V14" s="38" t="b">
        <f t="shared" ca="1" si="3"/>
        <v>1</v>
      </c>
      <c r="W14" s="39" t="b">
        <f t="shared" ca="1" si="4"/>
        <v>1</v>
      </c>
      <c r="X14" s="38" t="b">
        <f t="shared" ca="1" si="5"/>
        <v>1</v>
      </c>
      <c r="Y14" s="40" t="b">
        <f t="shared" ca="1" si="6"/>
        <v>1</v>
      </c>
      <c r="Z14" s="40" t="b">
        <f t="shared" ca="1" si="11"/>
        <v>1</v>
      </c>
      <c r="AA14" s="40" t="b">
        <f t="shared" ca="1" si="7"/>
        <v>1</v>
      </c>
      <c r="AB14" s="67" t="b">
        <f t="shared" ca="1" si="8"/>
        <v>1</v>
      </c>
      <c r="AC14" s="64" t="str">
        <f t="shared" ca="1" si="12"/>
        <v>NYB</v>
      </c>
    </row>
    <row r="15" spans="1:30" x14ac:dyDescent="0.25">
      <c r="A15" s="29">
        <v>9</v>
      </c>
      <c r="B15" s="49" t="b">
        <f t="shared" ca="1" si="9"/>
        <v>1</v>
      </c>
      <c r="C15" s="60" t="s">
        <v>97</v>
      </c>
      <c r="D15" s="22" t="s">
        <v>77</v>
      </c>
      <c r="E15" s="62" t="s">
        <v>67</v>
      </c>
      <c r="F15" s="22">
        <v>2</v>
      </c>
      <c r="G15" s="22" t="s">
        <v>14</v>
      </c>
      <c r="H15" s="58">
        <f ca="1">IF($E15="IMM",_xll.meDateNthIMMFromStartDate(AsOf, $F15,$AC15,"MOD_FOLLOWING"),_xll.meDateFromTenor(AsOf,$F15&amp;"D","MOD_FOLLOWING",$AC15))</f>
        <v>43091</v>
      </c>
      <c r="I15" s="88" t="s">
        <v>29</v>
      </c>
      <c r="J15" s="23" t="s">
        <v>16</v>
      </c>
      <c r="K15" s="23" t="s">
        <v>56</v>
      </c>
      <c r="L15" s="23" t="s">
        <v>42</v>
      </c>
      <c r="M15" s="23" t="s">
        <v>63</v>
      </c>
      <c r="N15" s="23" t="s">
        <v>101</v>
      </c>
      <c r="O15" s="46" t="s">
        <v>48</v>
      </c>
      <c r="P15" s="37">
        <f t="shared" ca="1" si="0"/>
        <v>3</v>
      </c>
      <c r="Q15" s="38" t="str">
        <f t="shared" ca="1" si="13"/>
        <v>SPOT</v>
      </c>
      <c r="R15" s="57">
        <f ca="1">IF($I15="","",IF(ISNUMBER($I15),$I15,_xll.meDateFromTenor(H15,$I15,"MOD_FOLLOWING",VLOOKUP(LEFT($M15,3),DateConventions,3))))</f>
        <v>44917</v>
      </c>
      <c r="S15" s="38" t="b">
        <f t="shared" ca="1" si="10"/>
        <v>1</v>
      </c>
      <c r="T15" s="38" t="b">
        <f t="shared" ca="1" si="1"/>
        <v>1</v>
      </c>
      <c r="U15" s="38" t="b">
        <f t="shared" ca="1" si="2"/>
        <v>1</v>
      </c>
      <c r="V15" s="38" t="b">
        <f t="shared" ca="1" si="3"/>
        <v>1</v>
      </c>
      <c r="W15" s="39" t="b">
        <f t="shared" ca="1" si="4"/>
        <v>1</v>
      </c>
      <c r="X15" s="38" t="b">
        <f t="shared" ca="1" si="5"/>
        <v>1</v>
      </c>
      <c r="Y15" s="40" t="b">
        <f t="shared" ca="1" si="6"/>
        <v>1</v>
      </c>
      <c r="Z15" s="40" t="b">
        <f t="shared" ca="1" si="11"/>
        <v>1</v>
      </c>
      <c r="AA15" s="40" t="b">
        <f t="shared" ca="1" si="7"/>
        <v>1</v>
      </c>
      <c r="AB15" s="67" t="b">
        <f t="shared" ca="1" si="8"/>
        <v>1</v>
      </c>
      <c r="AC15" s="64" t="str">
        <f t="shared" ca="1" si="12"/>
        <v>NYB</v>
      </c>
    </row>
    <row r="16" spans="1:30" x14ac:dyDescent="0.25">
      <c r="A16" s="29">
        <v>10</v>
      </c>
      <c r="B16" s="49" t="b">
        <f t="shared" ca="1" si="9"/>
        <v>1</v>
      </c>
      <c r="C16" s="60" t="s">
        <v>97</v>
      </c>
      <c r="D16" s="22" t="s">
        <v>77</v>
      </c>
      <c r="E16" s="62" t="s">
        <v>67</v>
      </c>
      <c r="F16" s="22">
        <v>2</v>
      </c>
      <c r="G16" s="22" t="s">
        <v>14</v>
      </c>
      <c r="H16" s="58">
        <f ca="1">IF($E16="IMM",_xll.meDateNthIMMFromStartDate(AsOf, $F16,$AC16,"MOD_FOLLOWING"),_xll.meDateFromTenor(AsOf,$F16&amp;"D","MOD_FOLLOWING",$AC16))</f>
        <v>43091</v>
      </c>
      <c r="I16" s="88" t="s">
        <v>29</v>
      </c>
      <c r="J16" s="23" t="s">
        <v>16</v>
      </c>
      <c r="K16" s="23" t="s">
        <v>56</v>
      </c>
      <c r="L16" s="23" t="s">
        <v>42</v>
      </c>
      <c r="M16" s="23" t="s">
        <v>63</v>
      </c>
      <c r="N16" s="23" t="s">
        <v>101</v>
      </c>
      <c r="O16" s="46" t="s">
        <v>48</v>
      </c>
      <c r="P16" s="37">
        <f t="shared" ca="1" si="0"/>
        <v>3</v>
      </c>
      <c r="Q16" s="38" t="str">
        <f t="shared" ca="1" si="13"/>
        <v>SPOT</v>
      </c>
      <c r="R16" s="57">
        <f ca="1">IF($I16="","",IF(ISNUMBER($I16),$I16,_xll.meDateFromTenor(H16,$I16,"MOD_FOLLOWING",VLOOKUP(LEFT($M16,3),DateConventions,3))))</f>
        <v>44917</v>
      </c>
      <c r="S16" s="38" t="b">
        <f t="shared" ca="1" si="10"/>
        <v>1</v>
      </c>
      <c r="T16" s="38" t="b">
        <f t="shared" ca="1" si="1"/>
        <v>1</v>
      </c>
      <c r="U16" s="38" t="b">
        <f t="shared" ca="1" si="2"/>
        <v>1</v>
      </c>
      <c r="V16" s="38" t="b">
        <f t="shared" ca="1" si="3"/>
        <v>1</v>
      </c>
      <c r="W16" s="39" t="b">
        <f t="shared" ca="1" si="4"/>
        <v>1</v>
      </c>
      <c r="X16" s="38" t="b">
        <f t="shared" ca="1" si="5"/>
        <v>1</v>
      </c>
      <c r="Y16" s="40" t="b">
        <f t="shared" ca="1" si="6"/>
        <v>1</v>
      </c>
      <c r="Z16" s="40" t="b">
        <f t="shared" ca="1" si="11"/>
        <v>1</v>
      </c>
      <c r="AA16" s="40" t="b">
        <f t="shared" ca="1" si="7"/>
        <v>1</v>
      </c>
      <c r="AB16" s="67" t="b">
        <f t="shared" ca="1" si="8"/>
        <v>1</v>
      </c>
      <c r="AC16" s="64" t="str">
        <f t="shared" ca="1" si="12"/>
        <v>NYB</v>
      </c>
    </row>
    <row r="17" spans="1:29" x14ac:dyDescent="0.25">
      <c r="A17" s="29">
        <v>11</v>
      </c>
      <c r="B17" s="49" t="b">
        <f t="shared" ca="1" si="9"/>
        <v>1</v>
      </c>
      <c r="C17" s="60" t="s">
        <v>97</v>
      </c>
      <c r="D17" s="22" t="s">
        <v>77</v>
      </c>
      <c r="E17" s="62" t="s">
        <v>67</v>
      </c>
      <c r="F17" s="22">
        <v>2</v>
      </c>
      <c r="G17" s="22" t="s">
        <v>14</v>
      </c>
      <c r="H17" s="58">
        <f ca="1">IF($E17="IMM",_xll.meDateNthIMMFromStartDate(AsOf, $F17,$AC17,"MOD_FOLLOWING"),_xll.meDateFromTenor(AsOf,$F17&amp;"D","MOD_FOLLOWING",$AC17))</f>
        <v>43091</v>
      </c>
      <c r="I17" s="88" t="s">
        <v>29</v>
      </c>
      <c r="J17" s="23" t="s">
        <v>16</v>
      </c>
      <c r="K17" s="23" t="s">
        <v>56</v>
      </c>
      <c r="L17" s="23" t="s">
        <v>42</v>
      </c>
      <c r="M17" s="23" t="s">
        <v>63</v>
      </c>
      <c r="N17" s="23" t="s">
        <v>101</v>
      </c>
      <c r="O17" s="46" t="s">
        <v>48</v>
      </c>
      <c r="P17" s="37">
        <f t="shared" ca="1" si="0"/>
        <v>3</v>
      </c>
      <c r="Q17" s="38" t="str">
        <f t="shared" ca="1" si="13"/>
        <v>SPOT</v>
      </c>
      <c r="R17" s="57">
        <f ca="1">IF($I17="","",IF(ISNUMBER($I17),$I17,_xll.meDateFromTenor(H17,$I17,"MOD_FOLLOWING",VLOOKUP(LEFT($M17,3),DateConventions,3))))</f>
        <v>44917</v>
      </c>
      <c r="S17" s="38" t="b">
        <f t="shared" ca="1" si="10"/>
        <v>1</v>
      </c>
      <c r="T17" s="38" t="b">
        <f t="shared" ca="1" si="1"/>
        <v>1</v>
      </c>
      <c r="U17" s="38" t="b">
        <f t="shared" ca="1" si="2"/>
        <v>1</v>
      </c>
      <c r="V17" s="38" t="b">
        <f t="shared" ca="1" si="3"/>
        <v>1</v>
      </c>
      <c r="W17" s="39" t="b">
        <f t="shared" ca="1" si="4"/>
        <v>1</v>
      </c>
      <c r="X17" s="38" t="b">
        <f t="shared" ca="1" si="5"/>
        <v>1</v>
      </c>
      <c r="Y17" s="40" t="b">
        <f t="shared" ca="1" si="6"/>
        <v>1</v>
      </c>
      <c r="Z17" s="40" t="b">
        <f t="shared" ca="1" si="11"/>
        <v>1</v>
      </c>
      <c r="AA17" s="40" t="b">
        <f t="shared" ca="1" si="7"/>
        <v>1</v>
      </c>
      <c r="AB17" s="67" t="b">
        <f t="shared" ca="1" si="8"/>
        <v>1</v>
      </c>
      <c r="AC17" s="64" t="str">
        <f t="shared" ca="1" si="12"/>
        <v>NYB</v>
      </c>
    </row>
    <row r="18" spans="1:29" x14ac:dyDescent="0.25">
      <c r="A18" s="29">
        <v>12</v>
      </c>
      <c r="B18" s="49" t="b">
        <f t="shared" ca="1" si="9"/>
        <v>1</v>
      </c>
      <c r="C18" s="60" t="s">
        <v>97</v>
      </c>
      <c r="D18" s="22" t="s">
        <v>77</v>
      </c>
      <c r="E18" s="62" t="s">
        <v>67</v>
      </c>
      <c r="F18" s="22">
        <v>2</v>
      </c>
      <c r="G18" s="22" t="s">
        <v>14</v>
      </c>
      <c r="H18" s="58">
        <f ca="1">IF($E18="IMM",_xll.meDateNthIMMFromStartDate(AsOf, $F18,$AC18,"MOD_FOLLOWING"),_xll.meDateFromTenor(AsOf,$F18&amp;"D","MOD_FOLLOWING",$AC18))</f>
        <v>43091</v>
      </c>
      <c r="I18" s="88" t="s">
        <v>29</v>
      </c>
      <c r="J18" s="23" t="s">
        <v>16</v>
      </c>
      <c r="K18" s="23" t="s">
        <v>56</v>
      </c>
      <c r="L18" s="23" t="s">
        <v>42</v>
      </c>
      <c r="M18" s="23" t="s">
        <v>63</v>
      </c>
      <c r="N18" s="23" t="s">
        <v>101</v>
      </c>
      <c r="O18" s="46" t="s">
        <v>48</v>
      </c>
      <c r="P18" s="37">
        <f t="shared" ca="1" si="0"/>
        <v>3</v>
      </c>
      <c r="Q18" s="38" t="str">
        <f t="shared" ca="1" si="13"/>
        <v>SPOT</v>
      </c>
      <c r="R18" s="57">
        <f ca="1">IF($I18="","",IF(ISNUMBER($I18),$I18,_xll.meDateFromTenor(H18,$I18,"MOD_FOLLOWING",VLOOKUP(LEFT($M18,3),DateConventions,3))))</f>
        <v>44917</v>
      </c>
      <c r="S18" s="38" t="b">
        <f t="shared" ca="1" si="10"/>
        <v>1</v>
      </c>
      <c r="T18" s="38" t="b">
        <f t="shared" ca="1" si="1"/>
        <v>1</v>
      </c>
      <c r="U18" s="38" t="b">
        <f t="shared" ca="1" si="2"/>
        <v>1</v>
      </c>
      <c r="V18" s="38" t="b">
        <f t="shared" ca="1" si="3"/>
        <v>1</v>
      </c>
      <c r="W18" s="39" t="b">
        <f t="shared" ca="1" si="4"/>
        <v>1</v>
      </c>
      <c r="X18" s="38" t="b">
        <f t="shared" ca="1" si="5"/>
        <v>1</v>
      </c>
      <c r="Y18" s="40" t="b">
        <f t="shared" ca="1" si="6"/>
        <v>1</v>
      </c>
      <c r="Z18" s="40" t="b">
        <f t="shared" ca="1" si="11"/>
        <v>1</v>
      </c>
      <c r="AA18" s="40" t="b">
        <f t="shared" ca="1" si="7"/>
        <v>1</v>
      </c>
      <c r="AB18" s="67" t="b">
        <f t="shared" ca="1" si="8"/>
        <v>1</v>
      </c>
      <c r="AC18" s="64" t="str">
        <f t="shared" ca="1" si="12"/>
        <v>NYB</v>
      </c>
    </row>
    <row r="19" spans="1:29" x14ac:dyDescent="0.25">
      <c r="A19" s="29">
        <v>13</v>
      </c>
      <c r="B19" s="49" t="b">
        <f t="shared" ca="1" si="9"/>
        <v>1</v>
      </c>
      <c r="C19" s="60" t="s">
        <v>97</v>
      </c>
      <c r="D19" s="22" t="s">
        <v>77</v>
      </c>
      <c r="E19" s="62" t="s">
        <v>67</v>
      </c>
      <c r="F19" s="22">
        <v>2</v>
      </c>
      <c r="G19" s="22" t="s">
        <v>14</v>
      </c>
      <c r="H19" s="58">
        <f ca="1">IF($E19="IMM",_xll.meDateNthIMMFromStartDate(AsOf, $F19,$AC19,"MOD_FOLLOWING"),_xll.meDateFromTenor(AsOf,$F19&amp;"D","MOD_FOLLOWING",$AC19))</f>
        <v>43091</v>
      </c>
      <c r="I19" s="88" t="s">
        <v>29</v>
      </c>
      <c r="J19" s="23" t="s">
        <v>16</v>
      </c>
      <c r="K19" s="23" t="s">
        <v>56</v>
      </c>
      <c r="L19" s="23" t="s">
        <v>42</v>
      </c>
      <c r="M19" s="23" t="s">
        <v>63</v>
      </c>
      <c r="N19" s="23" t="s">
        <v>101</v>
      </c>
      <c r="O19" s="46" t="s">
        <v>48</v>
      </c>
      <c r="P19" s="37">
        <f t="shared" ca="1" si="0"/>
        <v>3</v>
      </c>
      <c r="Q19" s="38" t="str">
        <f t="shared" ca="1" si="13"/>
        <v>SPOT</v>
      </c>
      <c r="R19" s="57">
        <f ca="1">IF($I19="","",IF(ISNUMBER($I19),$I19,_xll.meDateFromTenor(H19,$I19,"MOD_FOLLOWING",VLOOKUP(LEFT($M19,3),DateConventions,3))))</f>
        <v>44917</v>
      </c>
      <c r="S19" s="38" t="b">
        <f t="shared" ca="1" si="10"/>
        <v>1</v>
      </c>
      <c r="T19" s="38" t="b">
        <f t="shared" ca="1" si="1"/>
        <v>1</v>
      </c>
      <c r="U19" s="38" t="b">
        <f t="shared" ca="1" si="2"/>
        <v>1</v>
      </c>
      <c r="V19" s="38" t="b">
        <f t="shared" ca="1" si="3"/>
        <v>1</v>
      </c>
      <c r="W19" s="39" t="b">
        <f t="shared" ca="1" si="4"/>
        <v>1</v>
      </c>
      <c r="X19" s="38" t="b">
        <f t="shared" ca="1" si="5"/>
        <v>1</v>
      </c>
      <c r="Y19" s="40" t="b">
        <f t="shared" ca="1" si="6"/>
        <v>1</v>
      </c>
      <c r="Z19" s="40" t="b">
        <f t="shared" ca="1" si="11"/>
        <v>1</v>
      </c>
      <c r="AA19" s="40" t="b">
        <f t="shared" ca="1" si="7"/>
        <v>1</v>
      </c>
      <c r="AB19" s="67" t="b">
        <f t="shared" ca="1" si="8"/>
        <v>1</v>
      </c>
      <c r="AC19" s="64" t="str">
        <f t="shared" ca="1" si="12"/>
        <v>NYB</v>
      </c>
    </row>
    <row r="20" spans="1:29" x14ac:dyDescent="0.25">
      <c r="A20" s="29">
        <v>14</v>
      </c>
      <c r="B20" s="49" t="b">
        <f t="shared" ca="1" si="9"/>
        <v>1</v>
      </c>
      <c r="C20" s="60" t="s">
        <v>97</v>
      </c>
      <c r="D20" s="22" t="s">
        <v>77</v>
      </c>
      <c r="E20" s="62" t="s">
        <v>67</v>
      </c>
      <c r="F20" s="22">
        <v>2</v>
      </c>
      <c r="G20" s="22" t="s">
        <v>14</v>
      </c>
      <c r="H20" s="58">
        <f ca="1">IF($E20="IMM",_xll.meDateNthIMMFromStartDate(AsOf, $F20,$AC20,"MOD_FOLLOWING"),_xll.meDateFromTenor(AsOf,$F20&amp;"D","MOD_FOLLOWING",$AC20))</f>
        <v>43091</v>
      </c>
      <c r="I20" s="88" t="s">
        <v>29</v>
      </c>
      <c r="J20" s="23" t="s">
        <v>16</v>
      </c>
      <c r="K20" s="23" t="s">
        <v>56</v>
      </c>
      <c r="L20" s="23" t="s">
        <v>42</v>
      </c>
      <c r="M20" s="23" t="s">
        <v>63</v>
      </c>
      <c r="N20" s="23" t="s">
        <v>101</v>
      </c>
      <c r="O20" s="46" t="s">
        <v>48</v>
      </c>
      <c r="P20" s="37">
        <f t="shared" ca="1" si="0"/>
        <v>3</v>
      </c>
      <c r="Q20" s="38" t="str">
        <f t="shared" ca="1" si="13"/>
        <v>SPOT</v>
      </c>
      <c r="R20" s="57">
        <f ca="1">IF($I20="","",IF(ISNUMBER($I20),$I20,_xll.meDateFromTenor(H20,$I20,"MOD_FOLLOWING",VLOOKUP(LEFT($M20,3),DateConventions,3))))</f>
        <v>44917</v>
      </c>
      <c r="S20" s="38" t="b">
        <f t="shared" ca="1" si="10"/>
        <v>1</v>
      </c>
      <c r="T20" s="38" t="b">
        <f t="shared" ca="1" si="1"/>
        <v>1</v>
      </c>
      <c r="U20" s="38" t="b">
        <f t="shared" ca="1" si="2"/>
        <v>1</v>
      </c>
      <c r="V20" s="38" t="b">
        <f t="shared" ca="1" si="3"/>
        <v>1</v>
      </c>
      <c r="W20" s="39" t="b">
        <f t="shared" ca="1" si="4"/>
        <v>1</v>
      </c>
      <c r="X20" s="38" t="b">
        <f t="shared" ca="1" si="5"/>
        <v>1</v>
      </c>
      <c r="Y20" s="40" t="b">
        <f t="shared" ca="1" si="6"/>
        <v>1</v>
      </c>
      <c r="Z20" s="40" t="b">
        <f t="shared" ca="1" si="11"/>
        <v>1</v>
      </c>
      <c r="AA20" s="40" t="b">
        <f t="shared" ca="1" si="7"/>
        <v>1</v>
      </c>
      <c r="AB20" s="67" t="b">
        <f t="shared" ca="1" si="8"/>
        <v>1</v>
      </c>
      <c r="AC20" s="64" t="str">
        <f t="shared" ca="1" si="12"/>
        <v>NYB</v>
      </c>
    </row>
    <row r="21" spans="1:29" x14ac:dyDescent="0.25">
      <c r="A21" s="29">
        <v>15</v>
      </c>
      <c r="B21" s="49" t="b">
        <f t="shared" ca="1" si="9"/>
        <v>1</v>
      </c>
      <c r="C21" s="60" t="s">
        <v>97</v>
      </c>
      <c r="D21" s="22" t="s">
        <v>77</v>
      </c>
      <c r="E21" s="62" t="s">
        <v>67</v>
      </c>
      <c r="F21" s="22">
        <v>2</v>
      </c>
      <c r="G21" s="22" t="s">
        <v>14</v>
      </c>
      <c r="H21" s="58">
        <f ca="1">IF($E21="IMM",_xll.meDateNthIMMFromStartDate(AsOf, $F21,$AC21,"MOD_FOLLOWING"),_xll.meDateFromTenor(AsOf,$F21&amp;"D","MOD_FOLLOWING",$AC21))</f>
        <v>43091</v>
      </c>
      <c r="I21" s="88" t="s">
        <v>29</v>
      </c>
      <c r="J21" s="23" t="s">
        <v>16</v>
      </c>
      <c r="K21" s="23" t="s">
        <v>56</v>
      </c>
      <c r="L21" s="23" t="s">
        <v>42</v>
      </c>
      <c r="M21" s="23" t="s">
        <v>63</v>
      </c>
      <c r="N21" s="23" t="s">
        <v>101</v>
      </c>
      <c r="O21" s="46" t="s">
        <v>48</v>
      </c>
      <c r="P21" s="37">
        <f t="shared" ca="1" si="0"/>
        <v>3</v>
      </c>
      <c r="Q21" s="38" t="str">
        <f t="shared" ca="1" si="13"/>
        <v>SPOT</v>
      </c>
      <c r="R21" s="57">
        <f ca="1">IF($I21="","",IF(ISNUMBER($I21),$I21,_xll.meDateFromTenor(H21,$I21,"MOD_FOLLOWING",VLOOKUP(LEFT($M21,3),DateConventions,3))))</f>
        <v>44917</v>
      </c>
      <c r="S21" s="38" t="b">
        <f t="shared" ca="1" si="10"/>
        <v>1</v>
      </c>
      <c r="T21" s="38" t="b">
        <f t="shared" ca="1" si="1"/>
        <v>1</v>
      </c>
      <c r="U21" s="38" t="b">
        <f t="shared" ca="1" si="2"/>
        <v>1</v>
      </c>
      <c r="V21" s="38" t="b">
        <f t="shared" ca="1" si="3"/>
        <v>1</v>
      </c>
      <c r="W21" s="39" t="b">
        <f t="shared" ca="1" si="4"/>
        <v>1</v>
      </c>
      <c r="X21" s="38" t="b">
        <f t="shared" ca="1" si="5"/>
        <v>1</v>
      </c>
      <c r="Y21" s="40" t="b">
        <f t="shared" ca="1" si="6"/>
        <v>1</v>
      </c>
      <c r="Z21" s="40" t="b">
        <f t="shared" ca="1" si="11"/>
        <v>1</v>
      </c>
      <c r="AA21" s="40" t="b">
        <f t="shared" ca="1" si="7"/>
        <v>1</v>
      </c>
      <c r="AB21" s="67" t="b">
        <f t="shared" ca="1" si="8"/>
        <v>1</v>
      </c>
      <c r="AC21" s="64" t="str">
        <f t="shared" ca="1" si="12"/>
        <v>NYB</v>
      </c>
    </row>
    <row r="22" spans="1:29" x14ac:dyDescent="0.25">
      <c r="A22" s="29">
        <v>16</v>
      </c>
      <c r="B22" s="49" t="b">
        <f t="shared" ca="1" si="9"/>
        <v>1</v>
      </c>
      <c r="C22" s="60" t="s">
        <v>97</v>
      </c>
      <c r="D22" s="22" t="s">
        <v>77</v>
      </c>
      <c r="E22" s="62" t="s">
        <v>67</v>
      </c>
      <c r="F22" s="22">
        <v>2</v>
      </c>
      <c r="G22" s="22" t="s">
        <v>14</v>
      </c>
      <c r="H22" s="58">
        <f ca="1">IF($E22="IMM",_xll.meDateNthIMMFromStartDate(AsOf, $F22,$AC22,"MOD_FOLLOWING"),_xll.meDateFromTenor(AsOf,$F22&amp;"D","MOD_FOLLOWING",$AC22))</f>
        <v>43091</v>
      </c>
      <c r="I22" s="88" t="s">
        <v>29</v>
      </c>
      <c r="J22" s="23" t="s">
        <v>16</v>
      </c>
      <c r="K22" s="23" t="s">
        <v>56</v>
      </c>
      <c r="L22" s="23" t="s">
        <v>42</v>
      </c>
      <c r="M22" s="23" t="s">
        <v>63</v>
      </c>
      <c r="N22" s="23" t="s">
        <v>101</v>
      </c>
      <c r="O22" s="46" t="s">
        <v>48</v>
      </c>
      <c r="P22" s="37">
        <f t="shared" ca="1" si="0"/>
        <v>3</v>
      </c>
      <c r="Q22" s="38" t="str">
        <f t="shared" ca="1" si="13"/>
        <v>SPOT</v>
      </c>
      <c r="R22" s="57">
        <f ca="1">IF($I22="","",IF(ISNUMBER($I22),$I22,_xll.meDateFromTenor(H22,$I22,"MOD_FOLLOWING",VLOOKUP(LEFT($M22,3),DateConventions,3))))</f>
        <v>44917</v>
      </c>
      <c r="S22" s="38" t="b">
        <f t="shared" ca="1" si="10"/>
        <v>1</v>
      </c>
      <c r="T22" s="38" t="b">
        <f t="shared" ca="1" si="1"/>
        <v>1</v>
      </c>
      <c r="U22" s="38" t="b">
        <f t="shared" ca="1" si="2"/>
        <v>1</v>
      </c>
      <c r="V22" s="38" t="b">
        <f t="shared" ca="1" si="3"/>
        <v>1</v>
      </c>
      <c r="W22" s="39" t="b">
        <f t="shared" ca="1" si="4"/>
        <v>1</v>
      </c>
      <c r="X22" s="38" t="b">
        <f t="shared" ca="1" si="5"/>
        <v>1</v>
      </c>
      <c r="Y22" s="40" t="b">
        <f t="shared" ca="1" si="6"/>
        <v>1</v>
      </c>
      <c r="Z22" s="40" t="b">
        <f t="shared" ca="1" si="11"/>
        <v>1</v>
      </c>
      <c r="AA22" s="40" t="b">
        <f t="shared" ca="1" si="7"/>
        <v>1</v>
      </c>
      <c r="AB22" s="67" t="b">
        <f t="shared" ca="1" si="8"/>
        <v>1</v>
      </c>
      <c r="AC22" s="64" t="str">
        <f t="shared" ca="1" si="12"/>
        <v>NYB</v>
      </c>
    </row>
    <row r="23" spans="1:29" x14ac:dyDescent="0.25">
      <c r="A23" s="29">
        <v>17</v>
      </c>
      <c r="B23" s="49" t="b">
        <f t="shared" ca="1" si="9"/>
        <v>1</v>
      </c>
      <c r="C23" s="60" t="s">
        <v>97</v>
      </c>
      <c r="D23" s="22" t="s">
        <v>77</v>
      </c>
      <c r="E23" s="62" t="s">
        <v>67</v>
      </c>
      <c r="F23" s="22">
        <v>2</v>
      </c>
      <c r="G23" s="22" t="s">
        <v>14</v>
      </c>
      <c r="H23" s="58">
        <f ca="1">IF($E23="IMM",_xll.meDateNthIMMFromStartDate(AsOf, $F23,$AC23,"MOD_FOLLOWING"),_xll.meDateFromTenor(AsOf,$F23&amp;"D","MOD_FOLLOWING",$AC23))</f>
        <v>43091</v>
      </c>
      <c r="I23" s="88" t="s">
        <v>29</v>
      </c>
      <c r="J23" s="23" t="s">
        <v>16</v>
      </c>
      <c r="K23" s="23" t="s">
        <v>56</v>
      </c>
      <c r="L23" s="23" t="s">
        <v>42</v>
      </c>
      <c r="M23" s="23" t="s">
        <v>63</v>
      </c>
      <c r="N23" s="23" t="s">
        <v>101</v>
      </c>
      <c r="O23" s="46" t="s">
        <v>48</v>
      </c>
      <c r="P23" s="37">
        <f t="shared" ca="1" si="0"/>
        <v>3</v>
      </c>
      <c r="Q23" s="38" t="str">
        <f t="shared" ca="1" si="13"/>
        <v>SPOT</v>
      </c>
      <c r="R23" s="57">
        <f ca="1">IF($I23="","",IF(ISNUMBER($I23),$I23,_xll.meDateFromTenor(H23,$I23,"MOD_FOLLOWING",VLOOKUP(LEFT($M23,3),DateConventions,3))))</f>
        <v>44917</v>
      </c>
      <c r="S23" s="38" t="b">
        <f t="shared" ca="1" si="10"/>
        <v>1</v>
      </c>
      <c r="T23" s="38" t="b">
        <f t="shared" ca="1" si="1"/>
        <v>1</v>
      </c>
      <c r="U23" s="38" t="b">
        <f t="shared" ca="1" si="2"/>
        <v>1</v>
      </c>
      <c r="V23" s="38" t="b">
        <f t="shared" ca="1" si="3"/>
        <v>1</v>
      </c>
      <c r="W23" s="39" t="b">
        <f t="shared" ca="1" si="4"/>
        <v>1</v>
      </c>
      <c r="X23" s="38" t="b">
        <f t="shared" ca="1" si="5"/>
        <v>1</v>
      </c>
      <c r="Y23" s="40" t="b">
        <f t="shared" ca="1" si="6"/>
        <v>1</v>
      </c>
      <c r="Z23" s="40" t="b">
        <f t="shared" ca="1" si="11"/>
        <v>1</v>
      </c>
      <c r="AA23" s="40" t="b">
        <f t="shared" ca="1" si="7"/>
        <v>1</v>
      </c>
      <c r="AB23" s="67" t="b">
        <f t="shared" ca="1" si="8"/>
        <v>1</v>
      </c>
      <c r="AC23" s="64" t="str">
        <f t="shared" ca="1" si="12"/>
        <v>NYB</v>
      </c>
    </row>
    <row r="24" spans="1:29" x14ac:dyDescent="0.25">
      <c r="A24" s="29">
        <v>18</v>
      </c>
      <c r="B24" s="49" t="b">
        <f t="shared" ca="1" si="9"/>
        <v>1</v>
      </c>
      <c r="C24" s="60" t="s">
        <v>97</v>
      </c>
      <c r="D24" s="22" t="s">
        <v>77</v>
      </c>
      <c r="E24" s="62" t="s">
        <v>67</v>
      </c>
      <c r="F24" s="22">
        <v>2</v>
      </c>
      <c r="G24" s="22" t="s">
        <v>14</v>
      </c>
      <c r="H24" s="58">
        <f ca="1">IF($E24="IMM",_xll.meDateNthIMMFromStartDate(AsOf, $F24,$AC24,"MOD_FOLLOWING"),_xll.meDateFromTenor(AsOf,$F24&amp;"D","MOD_FOLLOWING",$AC24))</f>
        <v>43091</v>
      </c>
      <c r="I24" s="88" t="s">
        <v>29</v>
      </c>
      <c r="J24" s="23" t="s">
        <v>16</v>
      </c>
      <c r="K24" s="23" t="s">
        <v>56</v>
      </c>
      <c r="L24" s="23" t="s">
        <v>42</v>
      </c>
      <c r="M24" s="23" t="s">
        <v>63</v>
      </c>
      <c r="N24" s="23" t="s">
        <v>101</v>
      </c>
      <c r="O24" s="46" t="s">
        <v>48</v>
      </c>
      <c r="P24" s="37">
        <f t="shared" ca="1" si="0"/>
        <v>3</v>
      </c>
      <c r="Q24" s="38" t="str">
        <f t="shared" ca="1" si="13"/>
        <v>SPOT</v>
      </c>
      <c r="R24" s="57">
        <f ca="1">IF($I24="","",IF(ISNUMBER($I24),$I24,_xll.meDateFromTenor(H24,$I24,"MOD_FOLLOWING",VLOOKUP(LEFT($M24,3),DateConventions,3))))</f>
        <v>44917</v>
      </c>
      <c r="S24" s="38" t="b">
        <f t="shared" ca="1" si="10"/>
        <v>1</v>
      </c>
      <c r="T24" s="38" t="b">
        <f t="shared" ca="1" si="1"/>
        <v>1</v>
      </c>
      <c r="U24" s="38" t="b">
        <f t="shared" ca="1" si="2"/>
        <v>1</v>
      </c>
      <c r="V24" s="38" t="b">
        <f t="shared" ca="1" si="3"/>
        <v>1</v>
      </c>
      <c r="W24" s="39" t="b">
        <f t="shared" ca="1" si="4"/>
        <v>1</v>
      </c>
      <c r="X24" s="38" t="b">
        <f t="shared" ca="1" si="5"/>
        <v>1</v>
      </c>
      <c r="Y24" s="40" t="b">
        <f t="shared" ca="1" si="6"/>
        <v>1</v>
      </c>
      <c r="Z24" s="40" t="b">
        <f t="shared" ca="1" si="11"/>
        <v>1</v>
      </c>
      <c r="AA24" s="40" t="b">
        <f t="shared" ca="1" si="7"/>
        <v>1</v>
      </c>
      <c r="AB24" s="67" t="b">
        <f t="shared" ca="1" si="8"/>
        <v>1</v>
      </c>
      <c r="AC24" s="64" t="str">
        <f t="shared" ca="1" si="12"/>
        <v>NYB</v>
      </c>
    </row>
    <row r="25" spans="1:29" x14ac:dyDescent="0.25">
      <c r="A25" s="29">
        <v>19</v>
      </c>
      <c r="B25" s="49" t="b">
        <f t="shared" ca="1" si="9"/>
        <v>1</v>
      </c>
      <c r="C25" s="60" t="s">
        <v>97</v>
      </c>
      <c r="D25" s="22" t="s">
        <v>77</v>
      </c>
      <c r="E25" s="62" t="s">
        <v>67</v>
      </c>
      <c r="F25" s="22">
        <v>2</v>
      </c>
      <c r="G25" s="22" t="s">
        <v>14</v>
      </c>
      <c r="H25" s="58">
        <f ca="1">IF($E25="IMM",_xll.meDateNthIMMFromStartDate(AsOf, $F25,$AC25,"MOD_FOLLOWING"),_xll.meDateFromTenor(AsOf,$F25&amp;"D","MOD_FOLLOWING",$AC25))</f>
        <v>43091</v>
      </c>
      <c r="I25" s="88" t="s">
        <v>29</v>
      </c>
      <c r="J25" s="23" t="s">
        <v>16</v>
      </c>
      <c r="K25" s="23" t="s">
        <v>56</v>
      </c>
      <c r="L25" s="23" t="s">
        <v>42</v>
      </c>
      <c r="M25" s="23" t="s">
        <v>63</v>
      </c>
      <c r="N25" s="23" t="s">
        <v>101</v>
      </c>
      <c r="O25" s="46" t="s">
        <v>48</v>
      </c>
      <c r="P25" s="37">
        <f t="shared" ca="1" si="0"/>
        <v>3</v>
      </c>
      <c r="Q25" s="38" t="str">
        <f t="shared" ca="1" si="13"/>
        <v>SPOT</v>
      </c>
      <c r="R25" s="57">
        <f ca="1">IF($I25="","",IF(ISNUMBER($I25),$I25,_xll.meDateFromTenor(H25,$I25,"MOD_FOLLOWING",VLOOKUP(LEFT($M25,3),DateConventions,3))))</f>
        <v>44917</v>
      </c>
      <c r="S25" s="38" t="b">
        <f t="shared" ca="1" si="10"/>
        <v>1</v>
      </c>
      <c r="T25" s="38" t="b">
        <f t="shared" ca="1" si="1"/>
        <v>1</v>
      </c>
      <c r="U25" s="38" t="b">
        <f t="shared" ca="1" si="2"/>
        <v>1</v>
      </c>
      <c r="V25" s="38" t="b">
        <f t="shared" ca="1" si="3"/>
        <v>1</v>
      </c>
      <c r="W25" s="39" t="b">
        <f t="shared" ca="1" si="4"/>
        <v>1</v>
      </c>
      <c r="X25" s="38" t="b">
        <f t="shared" ca="1" si="5"/>
        <v>1</v>
      </c>
      <c r="Y25" s="40" t="b">
        <f t="shared" ca="1" si="6"/>
        <v>1</v>
      </c>
      <c r="Z25" s="40" t="b">
        <f t="shared" ca="1" si="11"/>
        <v>1</v>
      </c>
      <c r="AA25" s="40" t="b">
        <f t="shared" ca="1" si="7"/>
        <v>1</v>
      </c>
      <c r="AB25" s="67" t="b">
        <f t="shared" ca="1" si="8"/>
        <v>1</v>
      </c>
      <c r="AC25" s="64" t="str">
        <f t="shared" ca="1" si="12"/>
        <v>NYB</v>
      </c>
    </row>
    <row r="26" spans="1:29" x14ac:dyDescent="0.25">
      <c r="A26" s="29">
        <v>20</v>
      </c>
      <c r="B26" s="49" t="b">
        <f t="shared" ca="1" si="9"/>
        <v>1</v>
      </c>
      <c r="C26" s="60" t="s">
        <v>97</v>
      </c>
      <c r="D26" s="22" t="s">
        <v>77</v>
      </c>
      <c r="E26" s="62" t="s">
        <v>67</v>
      </c>
      <c r="F26" s="22">
        <v>2</v>
      </c>
      <c r="G26" s="22" t="s">
        <v>14</v>
      </c>
      <c r="H26" s="58">
        <f ca="1">IF($E26="IMM",_xll.meDateNthIMMFromStartDate(AsOf, $F26,$AC26,"MOD_FOLLOWING"),_xll.meDateFromTenor(AsOf,$F26&amp;"D","MOD_FOLLOWING",$AC26))</f>
        <v>43091</v>
      </c>
      <c r="I26" s="88" t="s">
        <v>29</v>
      </c>
      <c r="J26" s="23" t="s">
        <v>16</v>
      </c>
      <c r="K26" s="23" t="s">
        <v>56</v>
      </c>
      <c r="L26" s="23" t="s">
        <v>42</v>
      </c>
      <c r="M26" s="23" t="s">
        <v>63</v>
      </c>
      <c r="N26" s="23" t="s">
        <v>101</v>
      </c>
      <c r="O26" s="46" t="s">
        <v>48</v>
      </c>
      <c r="P26" s="37">
        <f t="shared" ca="1" si="0"/>
        <v>3</v>
      </c>
      <c r="Q26" s="38" t="str">
        <f t="shared" ca="1" si="13"/>
        <v>SPOT</v>
      </c>
      <c r="R26" s="57">
        <f ca="1">IF($I26="","",IF(ISNUMBER($I26),$I26,_xll.meDateFromTenor(H26,$I26,"MOD_FOLLOWING",VLOOKUP(LEFT($M26,3),DateConventions,3))))</f>
        <v>44917</v>
      </c>
      <c r="S26" s="38" t="b">
        <f t="shared" ca="1" si="10"/>
        <v>1</v>
      </c>
      <c r="T26" s="38" t="b">
        <f t="shared" ca="1" si="1"/>
        <v>1</v>
      </c>
      <c r="U26" s="38" t="b">
        <f t="shared" ca="1" si="2"/>
        <v>1</v>
      </c>
      <c r="V26" s="38" t="b">
        <f t="shared" ca="1" si="3"/>
        <v>1</v>
      </c>
      <c r="W26" s="39" t="b">
        <f t="shared" ca="1" si="4"/>
        <v>1</v>
      </c>
      <c r="X26" s="38" t="b">
        <f t="shared" ca="1" si="5"/>
        <v>1</v>
      </c>
      <c r="Y26" s="40" t="b">
        <f t="shared" ca="1" si="6"/>
        <v>1</v>
      </c>
      <c r="Z26" s="40" t="b">
        <f t="shared" ca="1" si="11"/>
        <v>1</v>
      </c>
      <c r="AA26" s="40" t="b">
        <f t="shared" ca="1" si="7"/>
        <v>1</v>
      </c>
      <c r="AB26" s="67" t="b">
        <f t="shared" ca="1" si="8"/>
        <v>1</v>
      </c>
      <c r="AC26" s="64" t="str">
        <f t="shared" ca="1" si="12"/>
        <v>NYB</v>
      </c>
    </row>
    <row r="27" spans="1:29" x14ac:dyDescent="0.25">
      <c r="A27" s="29">
        <v>21</v>
      </c>
      <c r="B27" s="49" t="b">
        <f t="shared" ca="1" si="9"/>
        <v>1</v>
      </c>
      <c r="C27" s="60" t="s">
        <v>97</v>
      </c>
      <c r="D27" s="22" t="s">
        <v>77</v>
      </c>
      <c r="E27" s="62" t="s">
        <v>67</v>
      </c>
      <c r="F27" s="22">
        <v>2</v>
      </c>
      <c r="G27" s="22" t="s">
        <v>14</v>
      </c>
      <c r="H27" s="58">
        <f ca="1">IF($E27="IMM",_xll.meDateNthIMMFromStartDate(AsOf, $F27,$AC27,"MOD_FOLLOWING"),_xll.meDateFromTenor(AsOf,$F27&amp;"D","MOD_FOLLOWING",$AC27))</f>
        <v>43091</v>
      </c>
      <c r="I27" s="88" t="s">
        <v>29</v>
      </c>
      <c r="J27" s="23" t="s">
        <v>16</v>
      </c>
      <c r="K27" s="23" t="s">
        <v>56</v>
      </c>
      <c r="L27" s="23" t="s">
        <v>42</v>
      </c>
      <c r="M27" s="23" t="s">
        <v>63</v>
      </c>
      <c r="N27" s="23" t="s">
        <v>101</v>
      </c>
      <c r="O27" s="46" t="s">
        <v>48</v>
      </c>
      <c r="P27" s="37">
        <f t="shared" ca="1" si="0"/>
        <v>3</v>
      </c>
      <c r="Q27" s="38" t="str">
        <f t="shared" ca="1" si="13"/>
        <v>SPOT</v>
      </c>
      <c r="R27" s="57">
        <f ca="1">IF($I27="","",IF(ISNUMBER($I27),$I27,_xll.meDateFromTenor(H27,$I27,"MOD_FOLLOWING",VLOOKUP(LEFT($M27,3),DateConventions,3))))</f>
        <v>44917</v>
      </c>
      <c r="S27" s="38" t="b">
        <f t="shared" ca="1" si="10"/>
        <v>1</v>
      </c>
      <c r="T27" s="38" t="b">
        <f t="shared" ca="1" si="1"/>
        <v>1</v>
      </c>
      <c r="U27" s="38" t="b">
        <f t="shared" ca="1" si="2"/>
        <v>1</v>
      </c>
      <c r="V27" s="38" t="b">
        <f t="shared" ca="1" si="3"/>
        <v>1</v>
      </c>
      <c r="W27" s="39" t="b">
        <f t="shared" ca="1" si="4"/>
        <v>1</v>
      </c>
      <c r="X27" s="38" t="b">
        <f t="shared" ca="1" si="5"/>
        <v>1</v>
      </c>
      <c r="Y27" s="40" t="b">
        <f t="shared" ca="1" si="6"/>
        <v>1</v>
      </c>
      <c r="Z27" s="40" t="b">
        <f t="shared" ca="1" si="11"/>
        <v>1</v>
      </c>
      <c r="AA27" s="40" t="b">
        <f t="shared" ca="1" si="7"/>
        <v>1</v>
      </c>
      <c r="AB27" s="67" t="b">
        <f t="shared" ca="1" si="8"/>
        <v>1</v>
      </c>
      <c r="AC27" s="64" t="str">
        <f t="shared" ca="1" si="12"/>
        <v>NYB</v>
      </c>
    </row>
    <row r="28" spans="1:29" x14ac:dyDescent="0.25">
      <c r="A28" s="29">
        <v>22</v>
      </c>
      <c r="B28" s="49" t="b">
        <f t="shared" ca="1" si="9"/>
        <v>1</v>
      </c>
      <c r="C28" s="60" t="s">
        <v>97</v>
      </c>
      <c r="D28" s="22" t="s">
        <v>77</v>
      </c>
      <c r="E28" s="62" t="s">
        <v>67</v>
      </c>
      <c r="F28" s="22">
        <v>2</v>
      </c>
      <c r="G28" s="22" t="s">
        <v>14</v>
      </c>
      <c r="H28" s="58">
        <f ca="1">IF($E28="IMM",_xll.meDateNthIMMFromStartDate(AsOf, $F28,$AC28,"MOD_FOLLOWING"),_xll.meDateFromTenor(AsOf,$F28&amp;"D","MOD_FOLLOWING",$AC28))</f>
        <v>43091</v>
      </c>
      <c r="I28" s="88" t="s">
        <v>29</v>
      </c>
      <c r="J28" s="23" t="s">
        <v>16</v>
      </c>
      <c r="K28" s="23" t="s">
        <v>56</v>
      </c>
      <c r="L28" s="23" t="s">
        <v>42</v>
      </c>
      <c r="M28" s="23" t="s">
        <v>63</v>
      </c>
      <c r="N28" s="23" t="s">
        <v>101</v>
      </c>
      <c r="O28" s="46" t="s">
        <v>48</v>
      </c>
      <c r="P28" s="37">
        <f t="shared" ca="1" si="0"/>
        <v>3</v>
      </c>
      <c r="Q28" s="38" t="str">
        <f t="shared" ca="1" si="13"/>
        <v>SPOT</v>
      </c>
      <c r="R28" s="57">
        <f ca="1">IF($I28="","",IF(ISNUMBER($I28),$I28,_xll.meDateFromTenor(H28,$I28,"MOD_FOLLOWING",VLOOKUP(LEFT($M28,3),DateConventions,3))))</f>
        <v>44917</v>
      </c>
      <c r="S28" s="38" t="b">
        <f t="shared" ca="1" si="10"/>
        <v>1</v>
      </c>
      <c r="T28" s="38" t="b">
        <f t="shared" ca="1" si="1"/>
        <v>1</v>
      </c>
      <c r="U28" s="38" t="b">
        <f t="shared" ca="1" si="2"/>
        <v>1</v>
      </c>
      <c r="V28" s="38" t="b">
        <f t="shared" ca="1" si="3"/>
        <v>1</v>
      </c>
      <c r="W28" s="39" t="b">
        <f t="shared" ca="1" si="4"/>
        <v>1</v>
      </c>
      <c r="X28" s="38" t="b">
        <f t="shared" ca="1" si="5"/>
        <v>1</v>
      </c>
      <c r="Y28" s="40" t="b">
        <f t="shared" ca="1" si="6"/>
        <v>1</v>
      </c>
      <c r="Z28" s="40" t="b">
        <f t="shared" ca="1" si="11"/>
        <v>1</v>
      </c>
      <c r="AA28" s="40" t="b">
        <f t="shared" ca="1" si="7"/>
        <v>1</v>
      </c>
      <c r="AB28" s="67" t="b">
        <f t="shared" ca="1" si="8"/>
        <v>1</v>
      </c>
      <c r="AC28" s="64" t="str">
        <f t="shared" ca="1" si="12"/>
        <v>NYB</v>
      </c>
    </row>
    <row r="29" spans="1:29" x14ac:dyDescent="0.25">
      <c r="A29" s="29">
        <v>23</v>
      </c>
      <c r="B29" s="49" t="b">
        <f t="shared" ca="1" si="9"/>
        <v>1</v>
      </c>
      <c r="C29" s="60" t="s">
        <v>97</v>
      </c>
      <c r="D29" s="22" t="s">
        <v>77</v>
      </c>
      <c r="E29" s="62" t="s">
        <v>67</v>
      </c>
      <c r="F29" s="22">
        <v>2</v>
      </c>
      <c r="G29" s="22" t="s">
        <v>14</v>
      </c>
      <c r="H29" s="58">
        <f ca="1">IF($E29="IMM",_xll.meDateNthIMMFromStartDate(AsOf, $F29,$AC29,"MOD_FOLLOWING"),_xll.meDateFromTenor(AsOf,$F29&amp;"D","MOD_FOLLOWING",$AC29))</f>
        <v>43091</v>
      </c>
      <c r="I29" s="88" t="s">
        <v>29</v>
      </c>
      <c r="J29" s="23" t="s">
        <v>16</v>
      </c>
      <c r="K29" s="23" t="s">
        <v>56</v>
      </c>
      <c r="L29" s="23" t="s">
        <v>42</v>
      </c>
      <c r="M29" s="23" t="s">
        <v>63</v>
      </c>
      <c r="N29" s="23" t="s">
        <v>101</v>
      </c>
      <c r="O29" s="46" t="s">
        <v>48</v>
      </c>
      <c r="P29" s="37">
        <f t="shared" ca="1" si="0"/>
        <v>3</v>
      </c>
      <c r="Q29" s="38" t="str">
        <f t="shared" ca="1" si="13"/>
        <v>SPOT</v>
      </c>
      <c r="R29" s="57">
        <f ca="1">IF($I29="","",IF(ISNUMBER($I29),$I29,_xll.meDateFromTenor(H29,$I29,"MOD_FOLLOWING",VLOOKUP(LEFT($M29,3),DateConventions,3))))</f>
        <v>44917</v>
      </c>
      <c r="S29" s="38" t="b">
        <f t="shared" ca="1" si="10"/>
        <v>1</v>
      </c>
      <c r="T29" s="38" t="b">
        <f t="shared" ca="1" si="1"/>
        <v>1</v>
      </c>
      <c r="U29" s="38" t="b">
        <f t="shared" ca="1" si="2"/>
        <v>1</v>
      </c>
      <c r="V29" s="38" t="b">
        <f t="shared" ca="1" si="3"/>
        <v>1</v>
      </c>
      <c r="W29" s="39" t="b">
        <f t="shared" ca="1" si="4"/>
        <v>1</v>
      </c>
      <c r="X29" s="38" t="b">
        <f t="shared" ca="1" si="5"/>
        <v>1</v>
      </c>
      <c r="Y29" s="40" t="b">
        <f t="shared" ca="1" si="6"/>
        <v>1</v>
      </c>
      <c r="Z29" s="40" t="b">
        <f t="shared" ca="1" si="11"/>
        <v>1</v>
      </c>
      <c r="AA29" s="40" t="b">
        <f t="shared" ca="1" si="7"/>
        <v>1</v>
      </c>
      <c r="AB29" s="67" t="b">
        <f t="shared" ca="1" si="8"/>
        <v>1</v>
      </c>
      <c r="AC29" s="64" t="str">
        <f t="shared" ca="1" si="12"/>
        <v>NYB</v>
      </c>
    </row>
    <row r="30" spans="1:29" x14ac:dyDescent="0.25">
      <c r="A30" s="29">
        <v>24</v>
      </c>
      <c r="B30" s="49" t="b">
        <f t="shared" ca="1" si="9"/>
        <v>1</v>
      </c>
      <c r="C30" s="60" t="s">
        <v>97</v>
      </c>
      <c r="D30" s="22" t="s">
        <v>77</v>
      </c>
      <c r="E30" s="62" t="s">
        <v>67</v>
      </c>
      <c r="F30" s="22">
        <v>2</v>
      </c>
      <c r="G30" s="22" t="s">
        <v>14</v>
      </c>
      <c r="H30" s="58">
        <f ca="1">IF($E30="IMM",_xll.meDateNthIMMFromStartDate(AsOf, $F30,$AC30,"MOD_FOLLOWING"),_xll.meDateFromTenor(AsOf,$F30&amp;"D","MOD_FOLLOWING",$AC30))</f>
        <v>43091</v>
      </c>
      <c r="I30" s="88" t="s">
        <v>29</v>
      </c>
      <c r="J30" s="23" t="s">
        <v>16</v>
      </c>
      <c r="K30" s="23" t="s">
        <v>56</v>
      </c>
      <c r="L30" s="23" t="s">
        <v>42</v>
      </c>
      <c r="M30" s="23" t="s">
        <v>63</v>
      </c>
      <c r="N30" s="23" t="s">
        <v>101</v>
      </c>
      <c r="O30" s="46" t="s">
        <v>48</v>
      </c>
      <c r="P30" s="37">
        <f t="shared" ca="1" si="0"/>
        <v>3</v>
      </c>
      <c r="Q30" s="38" t="str">
        <f t="shared" ca="1" si="13"/>
        <v>SPOT</v>
      </c>
      <c r="R30" s="57">
        <f ca="1">IF($I30="","",IF(ISNUMBER($I30),$I30,_xll.meDateFromTenor(H30,$I30,"MOD_FOLLOWING",VLOOKUP(LEFT($M30,3),DateConventions,3))))</f>
        <v>44917</v>
      </c>
      <c r="S30" s="38" t="b">
        <f t="shared" ca="1" si="10"/>
        <v>1</v>
      </c>
      <c r="T30" s="38" t="b">
        <f t="shared" ca="1" si="1"/>
        <v>1</v>
      </c>
      <c r="U30" s="38" t="b">
        <f t="shared" ca="1" si="2"/>
        <v>1</v>
      </c>
      <c r="V30" s="38" t="b">
        <f t="shared" ca="1" si="3"/>
        <v>1</v>
      </c>
      <c r="W30" s="39" t="b">
        <f t="shared" ca="1" si="4"/>
        <v>1</v>
      </c>
      <c r="X30" s="38" t="b">
        <f t="shared" ca="1" si="5"/>
        <v>1</v>
      </c>
      <c r="Y30" s="40" t="b">
        <f t="shared" ca="1" si="6"/>
        <v>1</v>
      </c>
      <c r="Z30" s="40" t="b">
        <f t="shared" ca="1" si="11"/>
        <v>1</v>
      </c>
      <c r="AA30" s="40" t="b">
        <f t="shared" ca="1" si="7"/>
        <v>1</v>
      </c>
      <c r="AB30" s="67" t="b">
        <f t="shared" ca="1" si="8"/>
        <v>1</v>
      </c>
      <c r="AC30" s="64" t="str">
        <f t="shared" ca="1" si="12"/>
        <v>NYB</v>
      </c>
    </row>
    <row r="31" spans="1:29" x14ac:dyDescent="0.25">
      <c r="A31" s="29">
        <v>25</v>
      </c>
      <c r="B31" s="49" t="b">
        <f t="shared" ca="1" si="9"/>
        <v>1</v>
      </c>
      <c r="C31" s="60" t="s">
        <v>97</v>
      </c>
      <c r="D31" s="22" t="s">
        <v>77</v>
      </c>
      <c r="E31" s="62" t="s">
        <v>67</v>
      </c>
      <c r="F31" s="22">
        <v>2</v>
      </c>
      <c r="G31" s="22" t="s">
        <v>14</v>
      </c>
      <c r="H31" s="58">
        <f ca="1">IF($E31="IMM",_xll.meDateNthIMMFromStartDate(AsOf, $F31,$AC31,"MOD_FOLLOWING"),_xll.meDateFromTenor(AsOf,$F31&amp;"D","MOD_FOLLOWING",$AC31))</f>
        <v>43091</v>
      </c>
      <c r="I31" s="88" t="s">
        <v>29</v>
      </c>
      <c r="J31" s="23" t="s">
        <v>16</v>
      </c>
      <c r="K31" s="23" t="s">
        <v>56</v>
      </c>
      <c r="L31" s="23" t="s">
        <v>42</v>
      </c>
      <c r="M31" s="23" t="s">
        <v>63</v>
      </c>
      <c r="N31" s="23" t="s">
        <v>101</v>
      </c>
      <c r="O31" s="46" t="s">
        <v>48</v>
      </c>
      <c r="P31" s="37">
        <f t="shared" ca="1" si="0"/>
        <v>3</v>
      </c>
      <c r="Q31" s="38" t="str">
        <f t="shared" ca="1" si="13"/>
        <v>SPOT</v>
      </c>
      <c r="R31" s="57">
        <f ca="1">IF($I31="","",IF(ISNUMBER($I31),$I31,_xll.meDateFromTenor(H31,$I31,"MOD_FOLLOWING",VLOOKUP(LEFT($M31,3),DateConventions,3))))</f>
        <v>44917</v>
      </c>
      <c r="S31" s="38" t="b">
        <f t="shared" ca="1" si="10"/>
        <v>1</v>
      </c>
      <c r="T31" s="38" t="b">
        <f t="shared" ca="1" si="1"/>
        <v>1</v>
      </c>
      <c r="U31" s="38" t="b">
        <f t="shared" ca="1" si="2"/>
        <v>1</v>
      </c>
      <c r="V31" s="38" t="b">
        <f t="shared" ca="1" si="3"/>
        <v>1</v>
      </c>
      <c r="W31" s="39" t="b">
        <f t="shared" ca="1" si="4"/>
        <v>1</v>
      </c>
      <c r="X31" s="38" t="b">
        <f t="shared" ca="1" si="5"/>
        <v>1</v>
      </c>
      <c r="Y31" s="40" t="b">
        <f t="shared" ca="1" si="6"/>
        <v>1</v>
      </c>
      <c r="Z31" s="40" t="b">
        <f t="shared" ca="1" si="11"/>
        <v>1</v>
      </c>
      <c r="AA31" s="40" t="b">
        <f t="shared" ca="1" si="7"/>
        <v>1</v>
      </c>
      <c r="AB31" s="67" t="b">
        <f t="shared" ca="1" si="8"/>
        <v>1</v>
      </c>
      <c r="AC31" s="64" t="str">
        <f t="shared" ca="1" si="12"/>
        <v>NYB</v>
      </c>
    </row>
    <row r="32" spans="1:29" x14ac:dyDescent="0.25">
      <c r="A32" s="29">
        <v>26</v>
      </c>
      <c r="B32" s="49" t="b">
        <f t="shared" ca="1" si="9"/>
        <v>1</v>
      </c>
      <c r="C32" s="60" t="s">
        <v>97</v>
      </c>
      <c r="D32" s="22" t="s">
        <v>77</v>
      </c>
      <c r="E32" s="62" t="s">
        <v>67</v>
      </c>
      <c r="F32" s="22">
        <v>2</v>
      </c>
      <c r="G32" s="22" t="s">
        <v>14</v>
      </c>
      <c r="H32" s="58">
        <f ca="1">IF($E32="IMM",_xll.meDateNthIMMFromStartDate(AsOf, $F32,$AC32,"MOD_FOLLOWING"),_xll.meDateFromTenor(AsOf,$F32&amp;"D","MOD_FOLLOWING",$AC32))</f>
        <v>43091</v>
      </c>
      <c r="I32" s="88" t="s">
        <v>29</v>
      </c>
      <c r="J32" s="23" t="s">
        <v>16</v>
      </c>
      <c r="K32" s="23" t="s">
        <v>56</v>
      </c>
      <c r="L32" s="23" t="s">
        <v>42</v>
      </c>
      <c r="M32" s="23" t="s">
        <v>63</v>
      </c>
      <c r="N32" s="23" t="s">
        <v>101</v>
      </c>
      <c r="O32" s="46" t="s">
        <v>48</v>
      </c>
      <c r="P32" s="37">
        <f t="shared" ca="1" si="0"/>
        <v>3</v>
      </c>
      <c r="Q32" s="38" t="str">
        <f t="shared" ca="1" si="13"/>
        <v>SPOT</v>
      </c>
      <c r="R32" s="57">
        <f ca="1">IF($I32="","",IF(ISNUMBER($I32),$I32,_xll.meDateFromTenor(H32,$I32,"MOD_FOLLOWING",VLOOKUP(LEFT($M32,3),DateConventions,3))))</f>
        <v>44917</v>
      </c>
      <c r="S32" s="38" t="b">
        <f t="shared" ca="1" si="10"/>
        <v>1</v>
      </c>
      <c r="T32" s="38" t="b">
        <f t="shared" ca="1" si="1"/>
        <v>1</v>
      </c>
      <c r="U32" s="38" t="b">
        <f t="shared" ca="1" si="2"/>
        <v>1</v>
      </c>
      <c r="V32" s="38" t="b">
        <f t="shared" ca="1" si="3"/>
        <v>1</v>
      </c>
      <c r="W32" s="39" t="b">
        <f t="shared" ca="1" si="4"/>
        <v>1</v>
      </c>
      <c r="X32" s="38" t="b">
        <f t="shared" ca="1" si="5"/>
        <v>1</v>
      </c>
      <c r="Y32" s="40" t="b">
        <f t="shared" ca="1" si="6"/>
        <v>1</v>
      </c>
      <c r="Z32" s="40" t="b">
        <f t="shared" ca="1" si="11"/>
        <v>1</v>
      </c>
      <c r="AA32" s="40" t="b">
        <f t="shared" ca="1" si="7"/>
        <v>1</v>
      </c>
      <c r="AB32" s="67" t="b">
        <f t="shared" ca="1" si="8"/>
        <v>1</v>
      </c>
      <c r="AC32" s="64" t="str">
        <f t="shared" ca="1" si="12"/>
        <v>NYB</v>
      </c>
    </row>
    <row r="33" spans="1:29" x14ac:dyDescent="0.25">
      <c r="A33" s="29">
        <v>27</v>
      </c>
      <c r="B33" s="49" t="b">
        <f t="shared" ca="1" si="9"/>
        <v>1</v>
      </c>
      <c r="C33" s="60" t="s">
        <v>97</v>
      </c>
      <c r="D33" s="22" t="s">
        <v>77</v>
      </c>
      <c r="E33" s="62" t="s">
        <v>67</v>
      </c>
      <c r="F33" s="22">
        <v>2</v>
      </c>
      <c r="G33" s="22" t="s">
        <v>14</v>
      </c>
      <c r="H33" s="58">
        <f ca="1">IF($E33="IMM",_xll.meDateNthIMMFromStartDate(AsOf, $F33,$AC33,"MOD_FOLLOWING"),_xll.meDateFromTenor(AsOf,$F33&amp;"D","MOD_FOLLOWING",$AC33))</f>
        <v>43091</v>
      </c>
      <c r="I33" s="88" t="s">
        <v>29</v>
      </c>
      <c r="J33" s="23" t="s">
        <v>16</v>
      </c>
      <c r="K33" s="23" t="s">
        <v>56</v>
      </c>
      <c r="L33" s="23" t="s">
        <v>42</v>
      </c>
      <c r="M33" s="23" t="s">
        <v>63</v>
      </c>
      <c r="N33" s="23" t="s">
        <v>101</v>
      </c>
      <c r="O33" s="46" t="s">
        <v>48</v>
      </c>
      <c r="P33" s="37">
        <f t="shared" ca="1" si="0"/>
        <v>3</v>
      </c>
      <c r="Q33" s="38" t="str">
        <f t="shared" ca="1" si="13"/>
        <v>SPOT</v>
      </c>
      <c r="R33" s="57">
        <f ca="1">IF($I33="","",IF(ISNUMBER($I33),$I33,_xll.meDateFromTenor(H33,$I33,"MOD_FOLLOWING",VLOOKUP(LEFT($M33,3),DateConventions,3))))</f>
        <v>44917</v>
      </c>
      <c r="S33" s="38" t="b">
        <f t="shared" ca="1" si="10"/>
        <v>1</v>
      </c>
      <c r="T33" s="38" t="b">
        <f t="shared" ca="1" si="1"/>
        <v>1</v>
      </c>
      <c r="U33" s="38" t="b">
        <f t="shared" ca="1" si="2"/>
        <v>1</v>
      </c>
      <c r="V33" s="38" t="b">
        <f t="shared" ca="1" si="3"/>
        <v>1</v>
      </c>
      <c r="W33" s="39" t="b">
        <f t="shared" ca="1" si="4"/>
        <v>1</v>
      </c>
      <c r="X33" s="38" t="b">
        <f t="shared" ca="1" si="5"/>
        <v>1</v>
      </c>
      <c r="Y33" s="40" t="b">
        <f t="shared" ca="1" si="6"/>
        <v>1</v>
      </c>
      <c r="Z33" s="40" t="b">
        <f t="shared" ca="1" si="11"/>
        <v>1</v>
      </c>
      <c r="AA33" s="40" t="b">
        <f t="shared" ca="1" si="7"/>
        <v>1</v>
      </c>
      <c r="AB33" s="67" t="b">
        <f t="shared" ca="1" si="8"/>
        <v>1</v>
      </c>
      <c r="AC33" s="64" t="str">
        <f t="shared" ca="1" si="12"/>
        <v>NYB</v>
      </c>
    </row>
    <row r="34" spans="1:29" x14ac:dyDescent="0.25">
      <c r="A34" s="29">
        <v>28</v>
      </c>
      <c r="B34" s="49" t="b">
        <f t="shared" ca="1" si="9"/>
        <v>1</v>
      </c>
      <c r="C34" s="60" t="s">
        <v>97</v>
      </c>
      <c r="D34" s="22" t="s">
        <v>77</v>
      </c>
      <c r="E34" s="62" t="s">
        <v>67</v>
      </c>
      <c r="F34" s="22">
        <v>2</v>
      </c>
      <c r="G34" s="22" t="s">
        <v>14</v>
      </c>
      <c r="H34" s="58">
        <f ca="1">IF($E34="IMM",_xll.meDateNthIMMFromStartDate(AsOf, $F34,$AC34,"MOD_FOLLOWING"),_xll.meDateFromTenor(AsOf,$F34&amp;"D","MOD_FOLLOWING",$AC34))</f>
        <v>43091</v>
      </c>
      <c r="I34" s="88" t="s">
        <v>29</v>
      </c>
      <c r="J34" s="23" t="s">
        <v>16</v>
      </c>
      <c r="K34" s="23" t="s">
        <v>56</v>
      </c>
      <c r="L34" s="23" t="s">
        <v>42</v>
      </c>
      <c r="M34" s="23" t="s">
        <v>63</v>
      </c>
      <c r="N34" s="23" t="s">
        <v>101</v>
      </c>
      <c r="O34" s="46" t="s">
        <v>48</v>
      </c>
      <c r="P34" s="37">
        <f t="shared" ca="1" si="0"/>
        <v>3</v>
      </c>
      <c r="Q34" s="38" t="str">
        <f t="shared" ca="1" si="13"/>
        <v>SPOT</v>
      </c>
      <c r="R34" s="57">
        <f ca="1">IF($I34="","",IF(ISNUMBER($I34),$I34,_xll.meDateFromTenor(H34,$I34,"MOD_FOLLOWING",VLOOKUP(LEFT($M34,3),DateConventions,3))))</f>
        <v>44917</v>
      </c>
      <c r="S34" s="38" t="b">
        <f t="shared" ca="1" si="10"/>
        <v>1</v>
      </c>
      <c r="T34" s="38" t="b">
        <f t="shared" ca="1" si="1"/>
        <v>1</v>
      </c>
      <c r="U34" s="38" t="b">
        <f t="shared" ca="1" si="2"/>
        <v>1</v>
      </c>
      <c r="V34" s="38" t="b">
        <f t="shared" ca="1" si="3"/>
        <v>1</v>
      </c>
      <c r="W34" s="39" t="b">
        <f t="shared" ca="1" si="4"/>
        <v>1</v>
      </c>
      <c r="X34" s="38" t="b">
        <f t="shared" ca="1" si="5"/>
        <v>1</v>
      </c>
      <c r="Y34" s="40" t="b">
        <f t="shared" ca="1" si="6"/>
        <v>1</v>
      </c>
      <c r="Z34" s="40" t="b">
        <f t="shared" ca="1" si="11"/>
        <v>1</v>
      </c>
      <c r="AA34" s="40" t="b">
        <f t="shared" ca="1" si="7"/>
        <v>1</v>
      </c>
      <c r="AB34" s="67" t="b">
        <f t="shared" ca="1" si="8"/>
        <v>1</v>
      </c>
      <c r="AC34" s="64" t="str">
        <f t="shared" ca="1" si="12"/>
        <v>NYB</v>
      </c>
    </row>
    <row r="35" spans="1:29" x14ac:dyDescent="0.25">
      <c r="A35" s="29">
        <v>29</v>
      </c>
      <c r="B35" s="49" t="b">
        <f t="shared" ca="1" si="9"/>
        <v>1</v>
      </c>
      <c r="C35" s="60" t="s">
        <v>97</v>
      </c>
      <c r="D35" s="22" t="s">
        <v>77</v>
      </c>
      <c r="E35" s="62" t="s">
        <v>67</v>
      </c>
      <c r="F35" s="22">
        <v>2</v>
      </c>
      <c r="G35" s="22" t="s">
        <v>14</v>
      </c>
      <c r="H35" s="58">
        <f ca="1">IF($E35="IMM",_xll.meDateNthIMMFromStartDate(AsOf, $F35,$AC35,"MOD_FOLLOWING"),_xll.meDateFromTenor(AsOf,$F35&amp;"D","MOD_FOLLOWING",$AC35))</f>
        <v>43091</v>
      </c>
      <c r="I35" s="88" t="s">
        <v>29</v>
      </c>
      <c r="J35" s="23" t="s">
        <v>16</v>
      </c>
      <c r="K35" s="23" t="s">
        <v>56</v>
      </c>
      <c r="L35" s="23" t="s">
        <v>42</v>
      </c>
      <c r="M35" s="23" t="s">
        <v>63</v>
      </c>
      <c r="N35" s="23" t="s">
        <v>101</v>
      </c>
      <c r="O35" s="46" t="s">
        <v>48</v>
      </c>
      <c r="P35" s="37">
        <f t="shared" ca="1" si="0"/>
        <v>3</v>
      </c>
      <c r="Q35" s="38" t="str">
        <f t="shared" ca="1" si="13"/>
        <v>SPOT</v>
      </c>
      <c r="R35" s="57">
        <f ca="1">IF($I35="","",IF(ISNUMBER($I35),$I35,_xll.meDateFromTenor(H35,$I35,"MOD_FOLLOWING",VLOOKUP(LEFT($M35,3),DateConventions,3))))</f>
        <v>44917</v>
      </c>
      <c r="S35" s="38" t="b">
        <f t="shared" ca="1" si="10"/>
        <v>1</v>
      </c>
      <c r="T35" s="38" t="b">
        <f t="shared" ca="1" si="1"/>
        <v>1</v>
      </c>
      <c r="U35" s="38" t="b">
        <f t="shared" ca="1" si="2"/>
        <v>1</v>
      </c>
      <c r="V35" s="38" t="b">
        <f t="shared" ca="1" si="3"/>
        <v>1</v>
      </c>
      <c r="W35" s="39" t="b">
        <f t="shared" ca="1" si="4"/>
        <v>1</v>
      </c>
      <c r="X35" s="38" t="b">
        <f t="shared" ca="1" si="5"/>
        <v>1</v>
      </c>
      <c r="Y35" s="40" t="b">
        <f t="shared" ca="1" si="6"/>
        <v>1</v>
      </c>
      <c r="Z35" s="40" t="b">
        <f t="shared" ca="1" si="11"/>
        <v>1</v>
      </c>
      <c r="AA35" s="40" t="b">
        <f t="shared" ca="1" si="7"/>
        <v>1</v>
      </c>
      <c r="AB35" s="67" t="b">
        <f t="shared" ca="1" si="8"/>
        <v>1</v>
      </c>
      <c r="AC35" s="64" t="str">
        <f t="shared" ca="1" si="12"/>
        <v>NYB</v>
      </c>
    </row>
    <row r="36" spans="1:29" x14ac:dyDescent="0.25">
      <c r="A36" s="29">
        <v>30</v>
      </c>
      <c r="B36" s="49" t="b">
        <f t="shared" ca="1" si="9"/>
        <v>1</v>
      </c>
      <c r="C36" s="60" t="s">
        <v>97</v>
      </c>
      <c r="D36" s="22" t="s">
        <v>77</v>
      </c>
      <c r="E36" s="62" t="s">
        <v>67</v>
      </c>
      <c r="F36" s="22">
        <v>2</v>
      </c>
      <c r="G36" s="22" t="s">
        <v>14</v>
      </c>
      <c r="H36" s="58">
        <f ca="1">IF($E36="IMM",_xll.meDateNthIMMFromStartDate(AsOf, $F36,$AC36,"MOD_FOLLOWING"),_xll.meDateFromTenor(AsOf,$F36&amp;"D","MOD_FOLLOWING",$AC36))</f>
        <v>43091</v>
      </c>
      <c r="I36" s="88" t="s">
        <v>29</v>
      </c>
      <c r="J36" s="23" t="s">
        <v>16</v>
      </c>
      <c r="K36" s="23" t="s">
        <v>56</v>
      </c>
      <c r="L36" s="23" t="s">
        <v>42</v>
      </c>
      <c r="M36" s="23" t="s">
        <v>63</v>
      </c>
      <c r="N36" s="23" t="s">
        <v>101</v>
      </c>
      <c r="O36" s="46" t="s">
        <v>48</v>
      </c>
      <c r="P36" s="37">
        <f t="shared" ca="1" si="0"/>
        <v>3</v>
      </c>
      <c r="Q36" s="38" t="str">
        <f t="shared" ca="1" si="13"/>
        <v>SPOT</v>
      </c>
      <c r="R36" s="57">
        <f ca="1">IF($I36="","",IF(ISNUMBER($I36),$I36,_xll.meDateFromTenor(H36,$I36,"MOD_FOLLOWING",VLOOKUP(LEFT($M36,3),DateConventions,3))))</f>
        <v>44917</v>
      </c>
      <c r="S36" s="38" t="b">
        <f t="shared" ca="1" si="10"/>
        <v>1</v>
      </c>
      <c r="T36" s="38" t="b">
        <f t="shared" ca="1" si="1"/>
        <v>1</v>
      </c>
      <c r="U36" s="38" t="b">
        <f t="shared" ca="1" si="2"/>
        <v>1</v>
      </c>
      <c r="V36" s="38" t="b">
        <f t="shared" ca="1" si="3"/>
        <v>1</v>
      </c>
      <c r="W36" s="39" t="b">
        <f t="shared" ca="1" si="4"/>
        <v>1</v>
      </c>
      <c r="X36" s="38" t="b">
        <f t="shared" ca="1" si="5"/>
        <v>1</v>
      </c>
      <c r="Y36" s="40" t="b">
        <f t="shared" ca="1" si="6"/>
        <v>1</v>
      </c>
      <c r="Z36" s="40" t="b">
        <f t="shared" ca="1" si="11"/>
        <v>1</v>
      </c>
      <c r="AA36" s="40" t="b">
        <f t="shared" ca="1" si="7"/>
        <v>1</v>
      </c>
      <c r="AB36" s="67" t="b">
        <f t="shared" ca="1" si="8"/>
        <v>1</v>
      </c>
      <c r="AC36" s="64" t="str">
        <f t="shared" ca="1" si="12"/>
        <v>NYB</v>
      </c>
    </row>
    <row r="37" spans="1:29" x14ac:dyDescent="0.25">
      <c r="A37" s="29">
        <v>31</v>
      </c>
      <c r="B37" s="49" t="b">
        <f t="shared" ca="1" si="9"/>
        <v>1</v>
      </c>
      <c r="C37" s="60" t="s">
        <v>97</v>
      </c>
      <c r="D37" s="22" t="s">
        <v>77</v>
      </c>
      <c r="E37" s="62" t="s">
        <v>67</v>
      </c>
      <c r="F37" s="22">
        <v>2</v>
      </c>
      <c r="G37" s="22" t="s">
        <v>14</v>
      </c>
      <c r="H37" s="58">
        <f ca="1">IF($E37="IMM",_xll.meDateNthIMMFromStartDate(AsOf, $F37,$AC37,"MOD_FOLLOWING"),_xll.meDateFromTenor(AsOf,$F37&amp;"D","MOD_FOLLOWING",$AC37))</f>
        <v>43091</v>
      </c>
      <c r="I37" s="88" t="s">
        <v>29</v>
      </c>
      <c r="J37" s="23" t="s">
        <v>16</v>
      </c>
      <c r="K37" s="23" t="s">
        <v>56</v>
      </c>
      <c r="L37" s="23" t="s">
        <v>42</v>
      </c>
      <c r="M37" s="23" t="s">
        <v>63</v>
      </c>
      <c r="N37" s="23" t="s">
        <v>101</v>
      </c>
      <c r="O37" s="46" t="s">
        <v>48</v>
      </c>
      <c r="P37" s="37">
        <f t="shared" ca="1" si="0"/>
        <v>3</v>
      </c>
      <c r="Q37" s="38" t="str">
        <f t="shared" ca="1" si="13"/>
        <v>SPOT</v>
      </c>
      <c r="R37" s="57">
        <f ca="1">IF($I37="","",IF(ISNUMBER($I37),$I37,_xll.meDateFromTenor(H37,$I37,"MOD_FOLLOWING",VLOOKUP(LEFT($M37,3),DateConventions,3))))</f>
        <v>44917</v>
      </c>
      <c r="S37" s="38" t="b">
        <f t="shared" ca="1" si="10"/>
        <v>1</v>
      </c>
      <c r="T37" s="38" t="b">
        <f t="shared" ca="1" si="1"/>
        <v>1</v>
      </c>
      <c r="U37" s="38" t="b">
        <f t="shared" ca="1" si="2"/>
        <v>1</v>
      </c>
      <c r="V37" s="38" t="b">
        <f t="shared" ca="1" si="3"/>
        <v>1</v>
      </c>
      <c r="W37" s="39" t="b">
        <f t="shared" ca="1" si="4"/>
        <v>1</v>
      </c>
      <c r="X37" s="38" t="b">
        <f t="shared" ca="1" si="5"/>
        <v>1</v>
      </c>
      <c r="Y37" s="40" t="b">
        <f t="shared" ca="1" si="6"/>
        <v>1</v>
      </c>
      <c r="Z37" s="40" t="b">
        <f t="shared" ca="1" si="11"/>
        <v>1</v>
      </c>
      <c r="AA37" s="40" t="b">
        <f t="shared" ca="1" si="7"/>
        <v>1</v>
      </c>
      <c r="AB37" s="67" t="b">
        <f t="shared" ca="1" si="8"/>
        <v>1</v>
      </c>
      <c r="AC37" s="64" t="str">
        <f t="shared" ca="1" si="12"/>
        <v>NYB</v>
      </c>
    </row>
    <row r="38" spans="1:29" x14ac:dyDescent="0.25">
      <c r="A38" s="29">
        <v>32</v>
      </c>
      <c r="B38" s="49" t="b">
        <f t="shared" ca="1" si="9"/>
        <v>1</v>
      </c>
      <c r="C38" s="60" t="s">
        <v>97</v>
      </c>
      <c r="D38" s="22" t="s">
        <v>77</v>
      </c>
      <c r="E38" s="62" t="s">
        <v>67</v>
      </c>
      <c r="F38" s="22">
        <v>2</v>
      </c>
      <c r="G38" s="22" t="s">
        <v>14</v>
      </c>
      <c r="H38" s="58">
        <f ca="1">IF($E38="IMM",_xll.meDateNthIMMFromStartDate(AsOf, $F38,$AC38,"MOD_FOLLOWING"),_xll.meDateFromTenor(AsOf,$F38&amp;"D","MOD_FOLLOWING",$AC38))</f>
        <v>43091</v>
      </c>
      <c r="I38" s="88" t="s">
        <v>29</v>
      </c>
      <c r="J38" s="23" t="s">
        <v>16</v>
      </c>
      <c r="K38" s="23" t="s">
        <v>56</v>
      </c>
      <c r="L38" s="23" t="s">
        <v>42</v>
      </c>
      <c r="M38" s="23" t="s">
        <v>63</v>
      </c>
      <c r="N38" s="23" t="s">
        <v>101</v>
      </c>
      <c r="O38" s="46" t="s">
        <v>48</v>
      </c>
      <c r="P38" s="37">
        <f t="shared" ca="1" si="0"/>
        <v>3</v>
      </c>
      <c r="Q38" s="38" t="str">
        <f t="shared" ca="1" si="13"/>
        <v>SPOT</v>
      </c>
      <c r="R38" s="57">
        <f ca="1">IF($I38="","",IF(ISNUMBER($I38),$I38,_xll.meDateFromTenor(H38,$I38,"MOD_FOLLOWING",VLOOKUP(LEFT($M38,3),DateConventions,3))))</f>
        <v>44917</v>
      </c>
      <c r="S38" s="38" t="b">
        <f t="shared" ca="1" si="10"/>
        <v>1</v>
      </c>
      <c r="T38" s="38" t="b">
        <f t="shared" ca="1" si="1"/>
        <v>1</v>
      </c>
      <c r="U38" s="38" t="b">
        <f t="shared" ca="1" si="2"/>
        <v>1</v>
      </c>
      <c r="V38" s="38" t="b">
        <f t="shared" ca="1" si="3"/>
        <v>1</v>
      </c>
      <c r="W38" s="39" t="b">
        <f t="shared" ca="1" si="4"/>
        <v>1</v>
      </c>
      <c r="X38" s="38" t="b">
        <f t="shared" ca="1" si="5"/>
        <v>1</v>
      </c>
      <c r="Y38" s="40" t="b">
        <f t="shared" ca="1" si="6"/>
        <v>1</v>
      </c>
      <c r="Z38" s="40" t="b">
        <f t="shared" ca="1" si="11"/>
        <v>1</v>
      </c>
      <c r="AA38" s="40" t="b">
        <f t="shared" ca="1" si="7"/>
        <v>1</v>
      </c>
      <c r="AB38" s="67" t="b">
        <f t="shared" ca="1" si="8"/>
        <v>1</v>
      </c>
      <c r="AC38" s="64" t="str">
        <f t="shared" ca="1" si="12"/>
        <v>NYB</v>
      </c>
    </row>
    <row r="39" spans="1:29" x14ac:dyDescent="0.25">
      <c r="A39" s="29">
        <v>33</v>
      </c>
      <c r="B39" s="49" t="b">
        <f t="shared" ca="1" si="9"/>
        <v>1</v>
      </c>
      <c r="C39" s="60" t="s">
        <v>97</v>
      </c>
      <c r="D39" s="22" t="s">
        <v>77</v>
      </c>
      <c r="E39" s="62" t="s">
        <v>67</v>
      </c>
      <c r="F39" s="22">
        <v>2</v>
      </c>
      <c r="G39" s="22" t="s">
        <v>14</v>
      </c>
      <c r="H39" s="58">
        <f ca="1">IF($E39="IMM",_xll.meDateNthIMMFromStartDate(AsOf, $F39,$AC39,"MOD_FOLLOWING"),_xll.meDateFromTenor(AsOf,$F39&amp;"D","MOD_FOLLOWING",$AC39))</f>
        <v>43091</v>
      </c>
      <c r="I39" s="88" t="s">
        <v>29</v>
      </c>
      <c r="J39" s="23" t="s">
        <v>16</v>
      </c>
      <c r="K39" s="23" t="s">
        <v>56</v>
      </c>
      <c r="L39" s="23" t="s">
        <v>42</v>
      </c>
      <c r="M39" s="23" t="s">
        <v>63</v>
      </c>
      <c r="N39" s="23" t="s">
        <v>101</v>
      </c>
      <c r="O39" s="46" t="s">
        <v>48</v>
      </c>
      <c r="P39" s="37">
        <f t="shared" ca="1" si="0"/>
        <v>3</v>
      </c>
      <c r="Q39" s="38" t="str">
        <f t="shared" ca="1" si="13"/>
        <v>SPOT</v>
      </c>
      <c r="R39" s="57">
        <f ca="1">IF($I39="","",IF(ISNUMBER($I39),$I39,_xll.meDateFromTenor(H39,$I39,"MOD_FOLLOWING",VLOOKUP(LEFT($M39,3),DateConventions,3))))</f>
        <v>44917</v>
      </c>
      <c r="S39" s="38" t="b">
        <f t="shared" ca="1" si="10"/>
        <v>1</v>
      </c>
      <c r="T39" s="38" t="b">
        <f t="shared" ca="1" si="1"/>
        <v>1</v>
      </c>
      <c r="U39" s="38" t="b">
        <f t="shared" ca="1" si="2"/>
        <v>1</v>
      </c>
      <c r="V39" s="38" t="b">
        <f t="shared" ca="1" si="3"/>
        <v>1</v>
      </c>
      <c r="W39" s="39" t="b">
        <f t="shared" ca="1" si="4"/>
        <v>1</v>
      </c>
      <c r="X39" s="38" t="b">
        <f t="shared" ca="1" si="5"/>
        <v>1</v>
      </c>
      <c r="Y39" s="40" t="b">
        <f t="shared" ca="1" si="6"/>
        <v>1</v>
      </c>
      <c r="Z39" s="40" t="b">
        <f t="shared" ca="1" si="11"/>
        <v>1</v>
      </c>
      <c r="AA39" s="40" t="b">
        <f t="shared" ca="1" si="7"/>
        <v>1</v>
      </c>
      <c r="AB39" s="67" t="b">
        <f t="shared" ca="1" si="8"/>
        <v>1</v>
      </c>
      <c r="AC39" s="64" t="str">
        <f t="shared" ca="1" si="12"/>
        <v>NYB</v>
      </c>
    </row>
    <row r="40" spans="1:29" x14ac:dyDescent="0.25">
      <c r="A40" s="29">
        <v>34</v>
      </c>
      <c r="B40" s="49" t="b">
        <f t="shared" ca="1" si="9"/>
        <v>1</v>
      </c>
      <c r="C40" s="60" t="s">
        <v>97</v>
      </c>
      <c r="D40" s="22" t="s">
        <v>77</v>
      </c>
      <c r="E40" s="62" t="s">
        <v>67</v>
      </c>
      <c r="F40" s="22">
        <v>2</v>
      </c>
      <c r="G40" s="22" t="s">
        <v>14</v>
      </c>
      <c r="H40" s="58">
        <f ca="1">IF($E40="IMM",_xll.meDateNthIMMFromStartDate(AsOf, $F40,$AC40,"MOD_FOLLOWING"),_xll.meDateFromTenor(AsOf,$F40&amp;"D","MOD_FOLLOWING",$AC40))</f>
        <v>43091</v>
      </c>
      <c r="I40" s="88" t="s">
        <v>29</v>
      </c>
      <c r="J40" s="23" t="s">
        <v>16</v>
      </c>
      <c r="K40" s="23" t="s">
        <v>56</v>
      </c>
      <c r="L40" s="23" t="s">
        <v>42</v>
      </c>
      <c r="M40" s="23" t="s">
        <v>63</v>
      </c>
      <c r="N40" s="23" t="s">
        <v>101</v>
      </c>
      <c r="O40" s="46" t="s">
        <v>48</v>
      </c>
      <c r="P40" s="37">
        <f t="shared" ca="1" si="0"/>
        <v>3</v>
      </c>
      <c r="Q40" s="38" t="str">
        <f t="shared" ca="1" si="13"/>
        <v>SPOT</v>
      </c>
      <c r="R40" s="57">
        <f ca="1">IF($I40="","",IF(ISNUMBER($I40),$I40,_xll.meDateFromTenor(H40,$I40,"MOD_FOLLOWING",VLOOKUP(LEFT($M40,3),DateConventions,3))))</f>
        <v>44917</v>
      </c>
      <c r="S40" s="38" t="b">
        <f t="shared" ca="1" si="10"/>
        <v>1</v>
      </c>
      <c r="T40" s="38" t="b">
        <f t="shared" ca="1" si="1"/>
        <v>1</v>
      </c>
      <c r="U40" s="38" t="b">
        <f t="shared" ca="1" si="2"/>
        <v>1</v>
      </c>
      <c r="V40" s="38" t="b">
        <f t="shared" ca="1" si="3"/>
        <v>1</v>
      </c>
      <c r="W40" s="39" t="b">
        <f t="shared" ca="1" si="4"/>
        <v>1</v>
      </c>
      <c r="X40" s="38" t="b">
        <f t="shared" ca="1" si="5"/>
        <v>1</v>
      </c>
      <c r="Y40" s="40" t="b">
        <f t="shared" ca="1" si="6"/>
        <v>1</v>
      </c>
      <c r="Z40" s="40" t="b">
        <f t="shared" ca="1" si="11"/>
        <v>1</v>
      </c>
      <c r="AA40" s="40" t="b">
        <f t="shared" ca="1" si="7"/>
        <v>1</v>
      </c>
      <c r="AB40" s="67" t="b">
        <f t="shared" ca="1" si="8"/>
        <v>1</v>
      </c>
      <c r="AC40" s="64" t="str">
        <f t="shared" ca="1" si="12"/>
        <v>NYB</v>
      </c>
    </row>
    <row r="41" spans="1:29" x14ac:dyDescent="0.25">
      <c r="A41" s="29">
        <v>35</v>
      </c>
      <c r="B41" s="49" t="b">
        <f t="shared" ca="1" si="9"/>
        <v>1</v>
      </c>
      <c r="C41" s="60" t="s">
        <v>97</v>
      </c>
      <c r="D41" s="22" t="s">
        <v>77</v>
      </c>
      <c r="E41" s="62" t="s">
        <v>67</v>
      </c>
      <c r="F41" s="22">
        <v>2</v>
      </c>
      <c r="G41" s="22" t="s">
        <v>14</v>
      </c>
      <c r="H41" s="58">
        <f ca="1">IF($E41="IMM",_xll.meDateNthIMMFromStartDate(AsOf, $F41,$AC41,"MOD_FOLLOWING"),_xll.meDateFromTenor(AsOf,$F41&amp;"D","MOD_FOLLOWING",$AC41))</f>
        <v>43091</v>
      </c>
      <c r="I41" s="88" t="s">
        <v>29</v>
      </c>
      <c r="J41" s="23" t="s">
        <v>16</v>
      </c>
      <c r="K41" s="23" t="s">
        <v>56</v>
      </c>
      <c r="L41" s="23" t="s">
        <v>42</v>
      </c>
      <c r="M41" s="23" t="s">
        <v>63</v>
      </c>
      <c r="N41" s="23" t="s">
        <v>101</v>
      </c>
      <c r="O41" s="46" t="s">
        <v>48</v>
      </c>
      <c r="P41" s="37">
        <f t="shared" ca="1" si="0"/>
        <v>3</v>
      </c>
      <c r="Q41" s="38" t="str">
        <f t="shared" ca="1" si="13"/>
        <v>SPOT</v>
      </c>
      <c r="R41" s="57">
        <f ca="1">IF($I41="","",IF(ISNUMBER($I41),$I41,_xll.meDateFromTenor(H41,$I41,"MOD_FOLLOWING",VLOOKUP(LEFT($M41,3),DateConventions,3))))</f>
        <v>44917</v>
      </c>
      <c r="S41" s="38" t="b">
        <f t="shared" ca="1" si="10"/>
        <v>1</v>
      </c>
      <c r="T41" s="38" t="b">
        <f t="shared" ca="1" si="1"/>
        <v>1</v>
      </c>
      <c r="U41" s="38" t="b">
        <f t="shared" ca="1" si="2"/>
        <v>1</v>
      </c>
      <c r="V41" s="38" t="b">
        <f t="shared" ca="1" si="3"/>
        <v>1</v>
      </c>
      <c r="W41" s="39" t="b">
        <f t="shared" ca="1" si="4"/>
        <v>1</v>
      </c>
      <c r="X41" s="38" t="b">
        <f t="shared" ca="1" si="5"/>
        <v>1</v>
      </c>
      <c r="Y41" s="40" t="b">
        <f t="shared" ca="1" si="6"/>
        <v>1</v>
      </c>
      <c r="Z41" s="40" t="b">
        <f t="shared" ca="1" si="11"/>
        <v>1</v>
      </c>
      <c r="AA41" s="40" t="b">
        <f t="shared" ca="1" si="7"/>
        <v>1</v>
      </c>
      <c r="AB41" s="67" t="b">
        <f t="shared" ca="1" si="8"/>
        <v>1</v>
      </c>
      <c r="AC41" s="64" t="str">
        <f t="shared" ca="1" si="12"/>
        <v>NYB</v>
      </c>
    </row>
    <row r="42" spans="1:29" x14ac:dyDescent="0.25">
      <c r="A42" s="29">
        <v>36</v>
      </c>
      <c r="B42" s="49" t="b">
        <f t="shared" ca="1" si="9"/>
        <v>1</v>
      </c>
      <c r="C42" s="60" t="s">
        <v>97</v>
      </c>
      <c r="D42" s="22" t="s">
        <v>77</v>
      </c>
      <c r="E42" s="62" t="s">
        <v>67</v>
      </c>
      <c r="F42" s="22">
        <v>2</v>
      </c>
      <c r="G42" s="22" t="s">
        <v>14</v>
      </c>
      <c r="H42" s="58">
        <f ca="1">IF($E42="IMM",_xll.meDateNthIMMFromStartDate(AsOf, $F42,$AC42,"MOD_FOLLOWING"),_xll.meDateFromTenor(AsOf,$F42&amp;"D","MOD_FOLLOWING",$AC42))</f>
        <v>43091</v>
      </c>
      <c r="I42" s="88" t="s">
        <v>29</v>
      </c>
      <c r="J42" s="23" t="s">
        <v>16</v>
      </c>
      <c r="K42" s="23" t="s">
        <v>56</v>
      </c>
      <c r="L42" s="23" t="s">
        <v>42</v>
      </c>
      <c r="M42" s="23" t="s">
        <v>63</v>
      </c>
      <c r="N42" s="23" t="s">
        <v>101</v>
      </c>
      <c r="O42" s="46" t="s">
        <v>48</v>
      </c>
      <c r="P42" s="37">
        <f t="shared" ca="1" si="0"/>
        <v>3</v>
      </c>
      <c r="Q42" s="38" t="str">
        <f t="shared" ca="1" si="13"/>
        <v>SPOT</v>
      </c>
      <c r="R42" s="57">
        <f ca="1">IF($I42="","",IF(ISNUMBER($I42),$I42,_xll.meDateFromTenor(H42,$I42,"MOD_FOLLOWING",VLOOKUP(LEFT($M42,3),DateConventions,3))))</f>
        <v>44917</v>
      </c>
      <c r="S42" s="38" t="b">
        <f t="shared" ca="1" si="10"/>
        <v>1</v>
      </c>
      <c r="T42" s="38" t="b">
        <f t="shared" ca="1" si="1"/>
        <v>1</v>
      </c>
      <c r="U42" s="38" t="b">
        <f t="shared" ca="1" si="2"/>
        <v>1</v>
      </c>
      <c r="V42" s="38" t="b">
        <f t="shared" ca="1" si="3"/>
        <v>1</v>
      </c>
      <c r="W42" s="39" t="b">
        <f t="shared" ca="1" si="4"/>
        <v>1</v>
      </c>
      <c r="X42" s="38" t="b">
        <f t="shared" ca="1" si="5"/>
        <v>1</v>
      </c>
      <c r="Y42" s="40" t="b">
        <f t="shared" ca="1" si="6"/>
        <v>1</v>
      </c>
      <c r="Z42" s="40" t="b">
        <f t="shared" ca="1" si="11"/>
        <v>1</v>
      </c>
      <c r="AA42" s="40" t="b">
        <f t="shared" ca="1" si="7"/>
        <v>1</v>
      </c>
      <c r="AB42" s="67" t="b">
        <f t="shared" ca="1" si="8"/>
        <v>1</v>
      </c>
      <c r="AC42" s="64" t="str">
        <f t="shared" ca="1" si="12"/>
        <v>NYB</v>
      </c>
    </row>
    <row r="43" spans="1:29" x14ac:dyDescent="0.25">
      <c r="A43" s="29">
        <v>37</v>
      </c>
      <c r="B43" s="49" t="b">
        <f t="shared" ca="1" si="9"/>
        <v>1</v>
      </c>
      <c r="C43" s="60" t="s">
        <v>97</v>
      </c>
      <c r="D43" s="22" t="s">
        <v>77</v>
      </c>
      <c r="E43" s="62" t="s">
        <v>67</v>
      </c>
      <c r="F43" s="22">
        <v>2</v>
      </c>
      <c r="G43" s="22" t="s">
        <v>14</v>
      </c>
      <c r="H43" s="58">
        <f ca="1">IF($E43="IMM",_xll.meDateNthIMMFromStartDate(AsOf, $F43,$AC43,"MOD_FOLLOWING"),_xll.meDateFromTenor(AsOf,$F43&amp;"D","MOD_FOLLOWING",$AC43))</f>
        <v>43091</v>
      </c>
      <c r="I43" s="88" t="s">
        <v>29</v>
      </c>
      <c r="J43" s="23" t="s">
        <v>16</v>
      </c>
      <c r="K43" s="23" t="s">
        <v>56</v>
      </c>
      <c r="L43" s="23" t="s">
        <v>42</v>
      </c>
      <c r="M43" s="23" t="s">
        <v>63</v>
      </c>
      <c r="N43" s="23" t="s">
        <v>101</v>
      </c>
      <c r="O43" s="46" t="s">
        <v>48</v>
      </c>
      <c r="P43" s="37">
        <f t="shared" ca="1" si="0"/>
        <v>3</v>
      </c>
      <c r="Q43" s="38" t="str">
        <f t="shared" ca="1" si="13"/>
        <v>SPOT</v>
      </c>
      <c r="R43" s="57">
        <f ca="1">IF($I43="","",IF(ISNUMBER($I43),$I43,_xll.meDateFromTenor(H43,$I43,"MOD_FOLLOWING",VLOOKUP(LEFT($M43,3),DateConventions,3))))</f>
        <v>44917</v>
      </c>
      <c r="S43" s="38" t="b">
        <f t="shared" ca="1" si="10"/>
        <v>1</v>
      </c>
      <c r="T43" s="38" t="b">
        <f t="shared" ca="1" si="1"/>
        <v>1</v>
      </c>
      <c r="U43" s="38" t="b">
        <f t="shared" ca="1" si="2"/>
        <v>1</v>
      </c>
      <c r="V43" s="38" t="b">
        <f t="shared" ca="1" si="3"/>
        <v>1</v>
      </c>
      <c r="W43" s="39" t="b">
        <f t="shared" ca="1" si="4"/>
        <v>1</v>
      </c>
      <c r="X43" s="38" t="b">
        <f t="shared" ca="1" si="5"/>
        <v>1</v>
      </c>
      <c r="Y43" s="40" t="b">
        <f t="shared" ca="1" si="6"/>
        <v>1</v>
      </c>
      <c r="Z43" s="40" t="b">
        <f t="shared" ca="1" si="11"/>
        <v>1</v>
      </c>
      <c r="AA43" s="40" t="b">
        <f t="shared" ca="1" si="7"/>
        <v>1</v>
      </c>
      <c r="AB43" s="67" t="b">
        <f t="shared" ca="1" si="8"/>
        <v>1</v>
      </c>
      <c r="AC43" s="64" t="str">
        <f t="shared" ca="1" si="12"/>
        <v>NYB</v>
      </c>
    </row>
    <row r="44" spans="1:29" x14ac:dyDescent="0.25">
      <c r="A44" s="29">
        <v>38</v>
      </c>
      <c r="B44" s="49" t="b">
        <f t="shared" ca="1" si="9"/>
        <v>1</v>
      </c>
      <c r="C44" s="60" t="s">
        <v>97</v>
      </c>
      <c r="D44" s="22" t="s">
        <v>77</v>
      </c>
      <c r="E44" s="62" t="s">
        <v>67</v>
      </c>
      <c r="F44" s="22">
        <v>2</v>
      </c>
      <c r="G44" s="22" t="s">
        <v>14</v>
      </c>
      <c r="H44" s="58">
        <f ca="1">IF($E44="IMM",_xll.meDateNthIMMFromStartDate(AsOf, $F44,$AC44,"MOD_FOLLOWING"),_xll.meDateFromTenor(AsOf,$F44&amp;"D","MOD_FOLLOWING",$AC44))</f>
        <v>43091</v>
      </c>
      <c r="I44" s="88" t="s">
        <v>29</v>
      </c>
      <c r="J44" s="23" t="s">
        <v>16</v>
      </c>
      <c r="K44" s="23" t="s">
        <v>56</v>
      </c>
      <c r="L44" s="23" t="s">
        <v>42</v>
      </c>
      <c r="M44" s="23" t="s">
        <v>63</v>
      </c>
      <c r="N44" s="23" t="s">
        <v>101</v>
      </c>
      <c r="O44" s="46" t="s">
        <v>48</v>
      </c>
      <c r="P44" s="37">
        <f t="shared" ca="1" si="0"/>
        <v>3</v>
      </c>
      <c r="Q44" s="38" t="str">
        <f t="shared" ca="1" si="13"/>
        <v>SPOT</v>
      </c>
      <c r="R44" s="57">
        <f ca="1">IF($I44="","",IF(ISNUMBER($I44),$I44,_xll.meDateFromTenor(H44,$I44,"MOD_FOLLOWING",VLOOKUP(LEFT($M44,3),DateConventions,3))))</f>
        <v>44917</v>
      </c>
      <c r="S44" s="38" t="b">
        <f t="shared" ca="1" si="10"/>
        <v>1</v>
      </c>
      <c r="T44" s="38" t="b">
        <f t="shared" ca="1" si="1"/>
        <v>1</v>
      </c>
      <c r="U44" s="38" t="b">
        <f t="shared" ca="1" si="2"/>
        <v>1</v>
      </c>
      <c r="V44" s="38" t="b">
        <f t="shared" ca="1" si="3"/>
        <v>1</v>
      </c>
      <c r="W44" s="39" t="b">
        <f t="shared" ca="1" si="4"/>
        <v>1</v>
      </c>
      <c r="X44" s="38" t="b">
        <f t="shared" ca="1" si="5"/>
        <v>1</v>
      </c>
      <c r="Y44" s="40" t="b">
        <f t="shared" ca="1" si="6"/>
        <v>1</v>
      </c>
      <c r="Z44" s="40" t="b">
        <f t="shared" ca="1" si="11"/>
        <v>1</v>
      </c>
      <c r="AA44" s="40" t="b">
        <f t="shared" ca="1" si="7"/>
        <v>1</v>
      </c>
      <c r="AB44" s="67" t="b">
        <f t="shared" ca="1" si="8"/>
        <v>1</v>
      </c>
      <c r="AC44" s="64" t="str">
        <f t="shared" ca="1" si="12"/>
        <v>NYB</v>
      </c>
    </row>
    <row r="45" spans="1:29" x14ac:dyDescent="0.25">
      <c r="A45" s="29">
        <v>39</v>
      </c>
      <c r="B45" s="49" t="b">
        <f t="shared" ca="1" si="9"/>
        <v>1</v>
      </c>
      <c r="C45" s="60" t="s">
        <v>97</v>
      </c>
      <c r="D45" s="22" t="s">
        <v>77</v>
      </c>
      <c r="E45" s="62" t="s">
        <v>67</v>
      </c>
      <c r="F45" s="22">
        <v>2</v>
      </c>
      <c r="G45" s="22" t="s">
        <v>14</v>
      </c>
      <c r="H45" s="58">
        <f ca="1">IF($E45="IMM",_xll.meDateNthIMMFromStartDate(AsOf, $F45,$AC45,"MOD_FOLLOWING"),_xll.meDateFromTenor(AsOf,$F45&amp;"D","MOD_FOLLOWING",$AC45))</f>
        <v>43091</v>
      </c>
      <c r="I45" s="88" t="s">
        <v>29</v>
      </c>
      <c r="J45" s="23" t="s">
        <v>16</v>
      </c>
      <c r="K45" s="23" t="s">
        <v>56</v>
      </c>
      <c r="L45" s="23" t="s">
        <v>42</v>
      </c>
      <c r="M45" s="23" t="s">
        <v>63</v>
      </c>
      <c r="N45" s="23" t="s">
        <v>101</v>
      </c>
      <c r="O45" s="46" t="s">
        <v>48</v>
      </c>
      <c r="P45" s="37">
        <f t="shared" ca="1" si="0"/>
        <v>3</v>
      </c>
      <c r="Q45" s="38" t="str">
        <f t="shared" ca="1" si="13"/>
        <v>SPOT</v>
      </c>
      <c r="R45" s="57">
        <f ca="1">IF($I45="","",IF(ISNUMBER($I45),$I45,_xll.meDateFromTenor(H45,$I45,"MOD_FOLLOWING",VLOOKUP(LEFT($M45,3),DateConventions,3))))</f>
        <v>44917</v>
      </c>
      <c r="S45" s="38" t="b">
        <f t="shared" ca="1" si="10"/>
        <v>1</v>
      </c>
      <c r="T45" s="38" t="b">
        <f t="shared" ca="1" si="1"/>
        <v>1</v>
      </c>
      <c r="U45" s="38" t="b">
        <f t="shared" ca="1" si="2"/>
        <v>1</v>
      </c>
      <c r="V45" s="38" t="b">
        <f t="shared" ca="1" si="3"/>
        <v>1</v>
      </c>
      <c r="W45" s="39" t="b">
        <f t="shared" ca="1" si="4"/>
        <v>1</v>
      </c>
      <c r="X45" s="38" t="b">
        <f t="shared" ca="1" si="5"/>
        <v>1</v>
      </c>
      <c r="Y45" s="40" t="b">
        <f t="shared" ca="1" si="6"/>
        <v>1</v>
      </c>
      <c r="Z45" s="40" t="b">
        <f t="shared" ca="1" si="11"/>
        <v>1</v>
      </c>
      <c r="AA45" s="40" t="b">
        <f t="shared" ca="1" si="7"/>
        <v>1</v>
      </c>
      <c r="AB45" s="67" t="b">
        <f t="shared" ca="1" si="8"/>
        <v>1</v>
      </c>
      <c r="AC45" s="64" t="str">
        <f t="shared" ca="1" si="12"/>
        <v>NYB</v>
      </c>
    </row>
    <row r="46" spans="1:29" x14ac:dyDescent="0.25">
      <c r="A46" s="29">
        <v>40</v>
      </c>
      <c r="B46" s="49" t="b">
        <f t="shared" ca="1" si="9"/>
        <v>1</v>
      </c>
      <c r="C46" s="60" t="s">
        <v>97</v>
      </c>
      <c r="D46" s="22" t="s">
        <v>77</v>
      </c>
      <c r="E46" s="62" t="s">
        <v>67</v>
      </c>
      <c r="F46" s="22">
        <v>2</v>
      </c>
      <c r="G46" s="22" t="s">
        <v>14</v>
      </c>
      <c r="H46" s="58">
        <f ca="1">IF($E46="IMM",_xll.meDateNthIMMFromStartDate(AsOf, $F46,$AC46,"MOD_FOLLOWING"),_xll.meDateFromTenor(AsOf,$F46&amp;"D","MOD_FOLLOWING",$AC46))</f>
        <v>43091</v>
      </c>
      <c r="I46" s="88" t="s">
        <v>29</v>
      </c>
      <c r="J46" s="23" t="s">
        <v>16</v>
      </c>
      <c r="K46" s="23" t="s">
        <v>56</v>
      </c>
      <c r="L46" s="23" t="s">
        <v>42</v>
      </c>
      <c r="M46" s="23" t="s">
        <v>63</v>
      </c>
      <c r="N46" s="23" t="s">
        <v>101</v>
      </c>
      <c r="O46" s="46" t="s">
        <v>48</v>
      </c>
      <c r="P46" s="37">
        <f t="shared" ca="1" si="0"/>
        <v>3</v>
      </c>
      <c r="Q46" s="38" t="str">
        <f t="shared" ca="1" si="13"/>
        <v>SPOT</v>
      </c>
      <c r="R46" s="57">
        <f ca="1">IF($I46="","",IF(ISNUMBER($I46),$I46,_xll.meDateFromTenor(H46,$I46,"MOD_FOLLOWING",VLOOKUP(LEFT($M46,3),DateConventions,3))))</f>
        <v>44917</v>
      </c>
      <c r="S46" s="38" t="b">
        <f t="shared" ca="1" si="10"/>
        <v>1</v>
      </c>
      <c r="T46" s="38" t="b">
        <f t="shared" ca="1" si="1"/>
        <v>1</v>
      </c>
      <c r="U46" s="38" t="b">
        <f t="shared" ca="1" si="2"/>
        <v>1</v>
      </c>
      <c r="V46" s="38" t="b">
        <f t="shared" ca="1" si="3"/>
        <v>1</v>
      </c>
      <c r="W46" s="39" t="b">
        <f t="shared" ca="1" si="4"/>
        <v>1</v>
      </c>
      <c r="X46" s="38" t="b">
        <f t="shared" ca="1" si="5"/>
        <v>1</v>
      </c>
      <c r="Y46" s="40" t="b">
        <f t="shared" ca="1" si="6"/>
        <v>1</v>
      </c>
      <c r="Z46" s="40" t="b">
        <f t="shared" ca="1" si="11"/>
        <v>1</v>
      </c>
      <c r="AA46" s="40" t="b">
        <f t="shared" ca="1" si="7"/>
        <v>1</v>
      </c>
      <c r="AB46" s="67" t="b">
        <f t="shared" ca="1" si="8"/>
        <v>1</v>
      </c>
      <c r="AC46" s="64" t="str">
        <f t="shared" ca="1" si="12"/>
        <v>NYB</v>
      </c>
    </row>
    <row r="47" spans="1:29" x14ac:dyDescent="0.25">
      <c r="A47" s="29">
        <v>41</v>
      </c>
      <c r="B47" s="49" t="b">
        <f t="shared" ca="1" si="9"/>
        <v>1</v>
      </c>
      <c r="C47" s="60" t="s">
        <v>97</v>
      </c>
      <c r="D47" s="22" t="s">
        <v>77</v>
      </c>
      <c r="E47" s="62" t="s">
        <v>67</v>
      </c>
      <c r="F47" s="22">
        <v>2</v>
      </c>
      <c r="G47" s="22" t="s">
        <v>14</v>
      </c>
      <c r="H47" s="58">
        <f ca="1">IF($E47="IMM",_xll.meDateNthIMMFromStartDate(AsOf, $F47,$AC47,"MOD_FOLLOWING"),_xll.meDateFromTenor(AsOf,$F47&amp;"D","MOD_FOLLOWING",$AC47))</f>
        <v>43091</v>
      </c>
      <c r="I47" s="88" t="s">
        <v>29</v>
      </c>
      <c r="J47" s="23" t="s">
        <v>16</v>
      </c>
      <c r="K47" s="23" t="s">
        <v>56</v>
      </c>
      <c r="L47" s="23" t="s">
        <v>42</v>
      </c>
      <c r="M47" s="23" t="s">
        <v>63</v>
      </c>
      <c r="N47" s="23" t="s">
        <v>101</v>
      </c>
      <c r="O47" s="46" t="s">
        <v>48</v>
      </c>
      <c r="P47" s="37">
        <f t="shared" ca="1" si="0"/>
        <v>3</v>
      </c>
      <c r="Q47" s="38" t="str">
        <f t="shared" ca="1" si="13"/>
        <v>SPOT</v>
      </c>
      <c r="R47" s="57">
        <f ca="1">IF($I47="","",IF(ISNUMBER($I47),$I47,_xll.meDateFromTenor(H47,$I47,"MOD_FOLLOWING",VLOOKUP(LEFT($M47,3),DateConventions,3))))</f>
        <v>44917</v>
      </c>
      <c r="S47" s="38" t="b">
        <f t="shared" ca="1" si="10"/>
        <v>1</v>
      </c>
      <c r="T47" s="38" t="b">
        <f t="shared" ca="1" si="1"/>
        <v>1</v>
      </c>
      <c r="U47" s="38" t="b">
        <f t="shared" ca="1" si="2"/>
        <v>1</v>
      </c>
      <c r="V47" s="38" t="b">
        <f t="shared" ca="1" si="3"/>
        <v>1</v>
      </c>
      <c r="W47" s="39" t="b">
        <f t="shared" ca="1" si="4"/>
        <v>1</v>
      </c>
      <c r="X47" s="38" t="b">
        <f t="shared" ca="1" si="5"/>
        <v>1</v>
      </c>
      <c r="Y47" s="40" t="b">
        <f t="shared" ca="1" si="6"/>
        <v>1</v>
      </c>
      <c r="Z47" s="40" t="b">
        <f t="shared" ca="1" si="11"/>
        <v>1</v>
      </c>
      <c r="AA47" s="40" t="b">
        <f t="shared" ca="1" si="7"/>
        <v>1</v>
      </c>
      <c r="AB47" s="67" t="b">
        <f t="shared" ca="1" si="8"/>
        <v>1</v>
      </c>
      <c r="AC47" s="64" t="str">
        <f t="shared" ca="1" si="12"/>
        <v>NYB</v>
      </c>
    </row>
    <row r="48" spans="1:29" x14ac:dyDescent="0.25">
      <c r="A48" s="29">
        <v>42</v>
      </c>
      <c r="B48" s="50" t="b">
        <f t="shared" ca="1" si="9"/>
        <v>1</v>
      </c>
      <c r="C48" s="86" t="s">
        <v>97</v>
      </c>
      <c r="D48" s="73" t="s">
        <v>77</v>
      </c>
      <c r="E48" s="62" t="s">
        <v>67</v>
      </c>
      <c r="F48" s="99">
        <v>2</v>
      </c>
      <c r="G48" s="99" t="s">
        <v>14</v>
      </c>
      <c r="H48" s="117">
        <f ca="1">IF($E48="IMM",_xll.meDateNthIMMFromStartDate(AsOf, $F48,$AC48,"MOD_FOLLOWING"),_xll.meDateFromTenor(AsOf,$F48&amp;"D","MOD_FOLLOWING",$AC48))</f>
        <v>43091</v>
      </c>
      <c r="I48" s="89" t="s">
        <v>29</v>
      </c>
      <c r="J48" s="27" t="s">
        <v>16</v>
      </c>
      <c r="K48" s="27" t="s">
        <v>56</v>
      </c>
      <c r="L48" s="27" t="s">
        <v>42</v>
      </c>
      <c r="M48" s="23" t="s">
        <v>63</v>
      </c>
      <c r="N48" s="23" t="s">
        <v>101</v>
      </c>
      <c r="O48" s="47" t="s">
        <v>48</v>
      </c>
      <c r="P48" s="41">
        <f t="shared" ca="1" si="0"/>
        <v>3</v>
      </c>
      <c r="Q48" s="38" t="str">
        <f t="shared" ca="1" si="13"/>
        <v>SPOT</v>
      </c>
      <c r="R48" s="57">
        <f ca="1">IF($I48="","",IF(ISNUMBER($I48),$I48,_xll.meDateFromTenor(H48,$I48,"MOD_FOLLOWING",VLOOKUP(LEFT($M48,3),DateConventions,3))))</f>
        <v>44917</v>
      </c>
      <c r="S48" s="38" t="b">
        <f t="shared" ca="1" si="10"/>
        <v>1</v>
      </c>
      <c r="T48" s="42" t="b">
        <f t="shared" ca="1" si="1"/>
        <v>1</v>
      </c>
      <c r="U48" s="42" t="b">
        <f t="shared" ca="1" si="2"/>
        <v>1</v>
      </c>
      <c r="V48" s="38" t="b">
        <f t="shared" ca="1" si="3"/>
        <v>1</v>
      </c>
      <c r="W48" s="39" t="b">
        <f t="shared" ca="1" si="4"/>
        <v>1</v>
      </c>
      <c r="X48" s="42" t="b">
        <f t="shared" ca="1" si="5"/>
        <v>1</v>
      </c>
      <c r="Y48" s="43" t="b">
        <f t="shared" ca="1" si="6"/>
        <v>1</v>
      </c>
      <c r="Z48" s="43" t="b">
        <f t="shared" ca="1" si="11"/>
        <v>1</v>
      </c>
      <c r="AA48" s="43" t="b">
        <f t="shared" ca="1" si="7"/>
        <v>1</v>
      </c>
      <c r="AB48" s="68" t="b">
        <f t="shared" ca="1" si="8"/>
        <v>1</v>
      </c>
      <c r="AC48" s="65" t="str">
        <f t="shared" ca="1" si="12"/>
        <v>NYB</v>
      </c>
    </row>
    <row r="49" spans="3:26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3:26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3:26" ht="15.75" outlineLevel="1" thickBot="1" x14ac:dyDescent="0.3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3:26" ht="15.75" outlineLevel="1" thickBot="1" x14ac:dyDescent="0.3">
      <c r="C52" s="128" t="s">
        <v>0</v>
      </c>
      <c r="D52" s="128" t="s">
        <v>1</v>
      </c>
      <c r="E52" s="128" t="s">
        <v>2</v>
      </c>
      <c r="F52" s="70"/>
      <c r="G52" s="128" t="s">
        <v>3</v>
      </c>
      <c r="H52" s="128" t="s">
        <v>4</v>
      </c>
      <c r="I52" s="128" t="s">
        <v>5</v>
      </c>
      <c r="J52" s="130" t="s">
        <v>6</v>
      </c>
      <c r="K52" s="131"/>
      <c r="L52" s="130" t="s">
        <v>7</v>
      </c>
      <c r="M52" s="132"/>
      <c r="N52" s="131"/>
      <c r="Y52" s="5"/>
      <c r="Z52" s="5"/>
    </row>
    <row r="53" spans="3:26" ht="26.25" outlineLevel="1" thickBot="1" x14ac:dyDescent="0.3">
      <c r="C53" s="129"/>
      <c r="D53" s="129"/>
      <c r="E53" s="129"/>
      <c r="F53" s="71"/>
      <c r="G53" s="129"/>
      <c r="H53" s="129"/>
      <c r="I53" s="129"/>
      <c r="J53" s="1" t="s">
        <v>8</v>
      </c>
      <c r="K53" s="1" t="s">
        <v>9</v>
      </c>
      <c r="L53" s="1" t="s">
        <v>10</v>
      </c>
      <c r="M53" s="1" t="s">
        <v>11</v>
      </c>
      <c r="N53" s="1" t="s">
        <v>9</v>
      </c>
      <c r="Y53" s="9"/>
    </row>
    <row r="54" spans="3:26" ht="26.25" outlineLevel="1" thickBot="1" x14ac:dyDescent="0.3">
      <c r="C54" s="71" t="s">
        <v>12</v>
      </c>
      <c r="D54" s="4" t="s">
        <v>13</v>
      </c>
      <c r="E54" s="11" t="s">
        <v>68</v>
      </c>
      <c r="F54" s="11"/>
      <c r="G54" s="4" t="s">
        <v>14</v>
      </c>
      <c r="H54" s="4" t="s">
        <v>15</v>
      </c>
      <c r="I54" s="4" t="s">
        <v>16</v>
      </c>
      <c r="J54" s="4" t="s">
        <v>49</v>
      </c>
      <c r="K54" s="4" t="s">
        <v>59</v>
      </c>
      <c r="L54" s="11" t="s">
        <v>61</v>
      </c>
      <c r="M54" s="4" t="s">
        <v>51</v>
      </c>
      <c r="N54" s="4" t="s">
        <v>57</v>
      </c>
      <c r="Y54" s="9"/>
    </row>
    <row r="55" spans="3:26" ht="26.25" outlineLevel="1" thickBot="1" x14ac:dyDescent="0.3">
      <c r="C55" s="71" t="s">
        <v>12</v>
      </c>
      <c r="D55" s="4" t="s">
        <v>13</v>
      </c>
      <c r="E55" s="11" t="s">
        <v>68</v>
      </c>
      <c r="F55" s="11"/>
      <c r="G55" s="4" t="s">
        <v>14</v>
      </c>
      <c r="H55" s="4" t="s">
        <v>17</v>
      </c>
      <c r="I55" s="4" t="s">
        <v>16</v>
      </c>
      <c r="J55" s="4" t="s">
        <v>49</v>
      </c>
      <c r="K55" s="4" t="s">
        <v>59</v>
      </c>
      <c r="L55" s="11" t="s">
        <v>62</v>
      </c>
      <c r="M55" s="4" t="s">
        <v>52</v>
      </c>
      <c r="N55" s="4" t="s">
        <v>57</v>
      </c>
      <c r="Y55" s="9"/>
    </row>
    <row r="56" spans="3:26" ht="26.25" outlineLevel="1" thickBot="1" x14ac:dyDescent="0.3">
      <c r="C56" s="71" t="s">
        <v>18</v>
      </c>
      <c r="D56" s="4" t="s">
        <v>19</v>
      </c>
      <c r="E56" s="11" t="s">
        <v>68</v>
      </c>
      <c r="F56" s="11"/>
      <c r="G56" s="4" t="s">
        <v>14</v>
      </c>
      <c r="H56" s="4" t="s">
        <v>20</v>
      </c>
      <c r="I56" s="4" t="s">
        <v>16</v>
      </c>
      <c r="J56" s="4" t="s">
        <v>49</v>
      </c>
      <c r="K56" s="4" t="s">
        <v>59</v>
      </c>
      <c r="L56" s="11" t="s">
        <v>63</v>
      </c>
      <c r="M56" s="4" t="s">
        <v>52</v>
      </c>
      <c r="N56" s="4" t="s">
        <v>57</v>
      </c>
      <c r="Y56" s="9"/>
    </row>
    <row r="57" spans="3:26" ht="26.25" outlineLevel="1" thickBot="1" x14ac:dyDescent="0.3">
      <c r="C57" s="71" t="s">
        <v>18</v>
      </c>
      <c r="D57" s="4" t="s">
        <v>19</v>
      </c>
      <c r="E57" s="11" t="s">
        <v>21</v>
      </c>
      <c r="F57" s="11"/>
      <c r="G57" s="4" t="s">
        <v>14</v>
      </c>
      <c r="H57" s="4" t="s">
        <v>22</v>
      </c>
      <c r="I57" s="4" t="s">
        <v>16</v>
      </c>
      <c r="J57" s="4" t="s">
        <v>49</v>
      </c>
      <c r="K57" s="4" t="s">
        <v>59</v>
      </c>
      <c r="L57" s="11" t="s">
        <v>98</v>
      </c>
      <c r="M57" s="4" t="s">
        <v>52</v>
      </c>
      <c r="N57" s="4" t="s">
        <v>57</v>
      </c>
      <c r="Y57" s="9"/>
    </row>
    <row r="58" spans="3:26" ht="26.25" outlineLevel="1" thickBot="1" x14ac:dyDescent="0.3">
      <c r="C58" s="71" t="s">
        <v>23</v>
      </c>
      <c r="D58" s="4" t="s">
        <v>19</v>
      </c>
      <c r="E58" s="11" t="s">
        <v>68</v>
      </c>
      <c r="F58" s="11"/>
      <c r="G58" s="4" t="s">
        <v>14</v>
      </c>
      <c r="H58" s="4" t="s">
        <v>20</v>
      </c>
      <c r="I58" s="4" t="s">
        <v>16</v>
      </c>
      <c r="J58" s="4" t="s">
        <v>49</v>
      </c>
      <c r="K58" s="4" t="s">
        <v>59</v>
      </c>
      <c r="L58" s="11" t="s">
        <v>64</v>
      </c>
      <c r="M58" s="4" t="s">
        <v>50</v>
      </c>
      <c r="N58" s="4" t="s">
        <v>57</v>
      </c>
      <c r="Y58" s="9"/>
    </row>
    <row r="59" spans="3:26" ht="26.25" outlineLevel="1" thickBot="1" x14ac:dyDescent="0.3">
      <c r="C59" s="71" t="s">
        <v>23</v>
      </c>
      <c r="D59" s="4" t="s">
        <v>19</v>
      </c>
      <c r="E59" s="11" t="s">
        <v>21</v>
      </c>
      <c r="F59" s="11"/>
      <c r="G59" s="4" t="s">
        <v>14</v>
      </c>
      <c r="H59" s="4" t="s">
        <v>22</v>
      </c>
      <c r="I59" s="4" t="s">
        <v>16</v>
      </c>
      <c r="J59" s="4" t="s">
        <v>49</v>
      </c>
      <c r="K59" s="4" t="s">
        <v>59</v>
      </c>
      <c r="L59" s="11" t="s">
        <v>99</v>
      </c>
      <c r="M59" s="4" t="s">
        <v>50</v>
      </c>
      <c r="N59" s="4" t="s">
        <v>57</v>
      </c>
      <c r="Y59" s="9"/>
    </row>
    <row r="60" spans="3:26" ht="26.25" outlineLevel="1" thickBot="1" x14ac:dyDescent="0.3">
      <c r="C60" s="71" t="s">
        <v>24</v>
      </c>
      <c r="D60" s="4" t="s">
        <v>25</v>
      </c>
      <c r="E60" s="11" t="s">
        <v>69</v>
      </c>
      <c r="F60" s="11"/>
      <c r="G60" s="4" t="s">
        <v>14</v>
      </c>
      <c r="H60" s="4" t="s">
        <v>17</v>
      </c>
      <c r="I60" s="4" t="s">
        <v>16</v>
      </c>
      <c r="J60" s="4" t="s">
        <v>50</v>
      </c>
      <c r="K60" s="4" t="s">
        <v>58</v>
      </c>
      <c r="L60" s="11" t="s">
        <v>65</v>
      </c>
      <c r="M60" s="4" t="s">
        <v>51</v>
      </c>
      <c r="N60" s="4" t="s">
        <v>58</v>
      </c>
      <c r="Y60" s="9"/>
    </row>
    <row r="61" spans="3:26" ht="26.25" customHeight="1" outlineLevel="1" thickBot="1" x14ac:dyDescent="0.3">
      <c r="C61" s="71" t="s">
        <v>24</v>
      </c>
      <c r="D61" s="4" t="s">
        <v>25</v>
      </c>
      <c r="E61" s="11" t="s">
        <v>69</v>
      </c>
      <c r="F61" s="11"/>
      <c r="G61" s="4" t="s">
        <v>14</v>
      </c>
      <c r="H61" s="4" t="s">
        <v>17</v>
      </c>
      <c r="I61" s="4" t="s">
        <v>16</v>
      </c>
      <c r="J61" s="4" t="s">
        <v>50</v>
      </c>
      <c r="K61" s="4" t="s">
        <v>58</v>
      </c>
      <c r="L61" s="11" t="s">
        <v>66</v>
      </c>
      <c r="M61" s="4" t="s">
        <v>52</v>
      </c>
      <c r="N61" s="4" t="s">
        <v>58</v>
      </c>
      <c r="Y61" s="9"/>
    </row>
    <row r="62" spans="3:26" outlineLevel="1" x14ac:dyDescent="0.25">
      <c r="Y62" s="9"/>
    </row>
    <row r="63" spans="3:26" outlineLevel="1" x14ac:dyDescent="0.25">
      <c r="Y63" s="9"/>
    </row>
    <row r="64" spans="3:26" ht="15.75" outlineLevel="1" thickBot="1" x14ac:dyDescent="0.3">
      <c r="C64" s="11" t="s">
        <v>61</v>
      </c>
      <c r="K64" s="5"/>
      <c r="Y64" s="9"/>
    </row>
    <row r="65" spans="2:25" ht="25.5" outlineLevel="1" x14ac:dyDescent="0.25">
      <c r="B65" s="5" t="s">
        <v>90</v>
      </c>
      <c r="C65" s="6" t="s">
        <v>40</v>
      </c>
      <c r="D65" s="6" t="s">
        <v>39</v>
      </c>
      <c r="E65" s="5" t="s">
        <v>45</v>
      </c>
      <c r="F65" s="5" t="s">
        <v>46</v>
      </c>
      <c r="H65" s="2"/>
      <c r="K65" t="s">
        <v>73</v>
      </c>
      <c r="L65" t="s">
        <v>74</v>
      </c>
      <c r="M65" t="s">
        <v>75</v>
      </c>
      <c r="Y65" s="9"/>
    </row>
    <row r="66" spans="2:25" outlineLevel="1" x14ac:dyDescent="0.25">
      <c r="B66" s="7">
        <f ca="1">_xll.meDateFromTenor(AsOf,"2D","MOD_FOLLOWING","TGT")</f>
        <v>43091</v>
      </c>
      <c r="C66" s="2" t="s">
        <v>26</v>
      </c>
      <c r="D66" s="7">
        <f ca="1">_xll.meDateFromTenor($B$66,C66,"MOD_FOLLOWING","TGT")</f>
        <v>43822</v>
      </c>
      <c r="E66" s="133">
        <f ca="1">_xll.meDateFromTenor($D66,"-5D","MOD_FOLLOWING","TGT")</f>
        <v>43815</v>
      </c>
      <c r="F66" s="133">
        <f ca="1">_xll.meDateFromTenor($D66,"5D","MOD_FOLLOWING","TGT")</f>
        <v>43832</v>
      </c>
      <c r="K66" s="13" t="s">
        <v>72</v>
      </c>
      <c r="L66" s="14" t="s">
        <v>78</v>
      </c>
      <c r="M66" s="15" t="s">
        <v>79</v>
      </c>
    </row>
    <row r="67" spans="2:25" outlineLevel="1" x14ac:dyDescent="0.25">
      <c r="C67" s="2" t="s">
        <v>27</v>
      </c>
      <c r="D67" s="7">
        <f ca="1">_xll.meDateFromTenor($B$66,C67,"MOD_FOLLOWING","TGT")</f>
        <v>44187</v>
      </c>
      <c r="E67" s="133">
        <f ca="1">_xll.meDateFromTenor($D67,"-5D","MOD_FOLLOWING","TGT")</f>
        <v>44180</v>
      </c>
      <c r="F67" s="133">
        <f ca="1">_xll.meDateFromTenor($D67,"5D","MOD_FOLLOWING","TGT")</f>
        <v>44195</v>
      </c>
      <c r="H67" s="7"/>
      <c r="K67" s="16" t="s">
        <v>76</v>
      </c>
      <c r="L67" s="17" t="s">
        <v>78</v>
      </c>
      <c r="M67" s="18" t="s">
        <v>80</v>
      </c>
    </row>
    <row r="68" spans="2:25" outlineLevel="1" x14ac:dyDescent="0.25">
      <c r="C68" s="2" t="s">
        <v>28</v>
      </c>
      <c r="D68" s="7">
        <f ca="1">_xll.meDateFromTenor($B$66,C68,"MOD_FOLLOWING","TGT")</f>
        <v>44552</v>
      </c>
      <c r="E68" s="133">
        <f ca="1">_xll.meDateFromTenor($D68,"-5D","MOD_FOLLOWING","TGT")</f>
        <v>44545</v>
      </c>
      <c r="F68" s="133">
        <f ca="1">_xll.meDateFromTenor($D68,"5D","MOD_FOLLOWING","TGT")</f>
        <v>44559</v>
      </c>
      <c r="H68" s="7"/>
      <c r="K68" s="19" t="s">
        <v>77</v>
      </c>
      <c r="L68" s="20" t="s">
        <v>78</v>
      </c>
      <c r="M68" s="21" t="s">
        <v>81</v>
      </c>
    </row>
    <row r="69" spans="2:25" outlineLevel="1" x14ac:dyDescent="0.25">
      <c r="C69" s="2" t="s">
        <v>29</v>
      </c>
      <c r="D69" s="7">
        <f ca="1">_xll.meDateFromTenor($B$66,C69,"MOD_FOLLOWING","TGT")</f>
        <v>44917</v>
      </c>
      <c r="E69" s="133">
        <f ca="1">_xll.meDateFromTenor($D69,"-5D","MOD_FOLLOWING","TGT")</f>
        <v>44910</v>
      </c>
      <c r="F69" s="133">
        <f ca="1">_xll.meDateFromTenor($D69,"5D","MOD_FOLLOWING","TGT")</f>
        <v>44925</v>
      </c>
      <c r="H69" s="7"/>
    </row>
    <row r="70" spans="2:25" outlineLevel="1" x14ac:dyDescent="0.25">
      <c r="C70" s="2" t="s">
        <v>30</v>
      </c>
      <c r="D70" s="7">
        <f ca="1">_xll.meDateFromTenor($B$66,C70,"MOD_FOLLOWING","TGT")</f>
        <v>45282</v>
      </c>
      <c r="E70" s="133">
        <f ca="1">_xll.meDateFromTenor($D70,"-5D","MOD_FOLLOWING","TGT")</f>
        <v>45275</v>
      </c>
      <c r="F70" s="133">
        <f ca="1">_xll.meDateFromTenor($D70,"5D","MOD_FOLLOWING","TGT")</f>
        <v>45294</v>
      </c>
      <c r="H70" s="7"/>
    </row>
    <row r="71" spans="2:25" outlineLevel="1" x14ac:dyDescent="0.25">
      <c r="C71" s="2" t="s">
        <v>31</v>
      </c>
      <c r="D71" s="7">
        <f ca="1">_xll.meDateFromTenor($B$66,C71,"MOD_FOLLOWING","TGT")</f>
        <v>45649</v>
      </c>
      <c r="E71" s="133">
        <f ca="1">_xll.meDateFromTenor($D71,"-5D","MOD_FOLLOWING","TGT")</f>
        <v>45642</v>
      </c>
      <c r="F71" s="133">
        <f ca="1">_xll.meDateFromTenor($D71,"5D","MOD_FOLLOWING","TGT")</f>
        <v>45659</v>
      </c>
      <c r="H71" s="7"/>
    </row>
    <row r="72" spans="2:25" outlineLevel="1" x14ac:dyDescent="0.25">
      <c r="C72" s="2" t="s">
        <v>32</v>
      </c>
      <c r="D72" s="7">
        <f ca="1">_xll.meDateFromTenor($B$66,C72,"MOD_FOLLOWING","TGT")</f>
        <v>46013</v>
      </c>
      <c r="E72" s="133">
        <f ca="1">_xll.meDateFromTenor($D72,"-5D","MOD_FOLLOWING","TGT")</f>
        <v>46006</v>
      </c>
      <c r="F72" s="133">
        <f ca="1">_xll.meDateFromTenor($D72,"5D","MOD_FOLLOWING","TGT")</f>
        <v>46022</v>
      </c>
      <c r="H72" s="7"/>
    </row>
    <row r="73" spans="2:25" outlineLevel="1" x14ac:dyDescent="0.25">
      <c r="C73" s="2" t="s">
        <v>33</v>
      </c>
      <c r="D73" s="7">
        <f ca="1">_xll.meDateFromTenor($B$66,C73,"MOD_FOLLOWING","TGT")</f>
        <v>46378</v>
      </c>
      <c r="E73" s="133">
        <f ca="1">_xll.meDateFromTenor($D73,"-5D","MOD_FOLLOWING","TGT")</f>
        <v>46371</v>
      </c>
      <c r="F73" s="133">
        <f ca="1">_xll.meDateFromTenor($D73,"5D","MOD_FOLLOWING","TGT")</f>
        <v>46386</v>
      </c>
      <c r="H73" s="7"/>
    </row>
    <row r="74" spans="2:25" outlineLevel="1" x14ac:dyDescent="0.25">
      <c r="C74" s="2" t="s">
        <v>34</v>
      </c>
      <c r="D74" s="7">
        <f ca="1">_xll.meDateFromTenor($B$66,C74,"MOD_FOLLOWING","TGT")</f>
        <v>46743</v>
      </c>
      <c r="E74" s="133">
        <f ca="1">_xll.meDateFromTenor($D74,"-5D","MOD_FOLLOWING","TGT")</f>
        <v>46736</v>
      </c>
      <c r="F74" s="133">
        <f ca="1">_xll.meDateFromTenor($D74,"5D","MOD_FOLLOWING","TGT")</f>
        <v>46750</v>
      </c>
      <c r="H74" s="7"/>
    </row>
    <row r="75" spans="2:25" outlineLevel="1" x14ac:dyDescent="0.25">
      <c r="C75" s="2" t="s">
        <v>35</v>
      </c>
      <c r="D75" s="7">
        <f ca="1">_xll.meDateFromTenor($B$66,C75,"MOD_FOLLOWING","TGT")</f>
        <v>47476</v>
      </c>
      <c r="E75" s="133">
        <f ca="1">_xll.meDateFromTenor($D75,"-5D","MOD_FOLLOWING","TGT")</f>
        <v>47469</v>
      </c>
      <c r="F75" s="133">
        <f ca="1">_xll.meDateFromTenor($D75,"5D","MOD_FOLLOWING","TGT")</f>
        <v>47486</v>
      </c>
      <c r="H75" s="7"/>
    </row>
    <row r="76" spans="2:25" outlineLevel="1" x14ac:dyDescent="0.25">
      <c r="C76" s="2" t="s">
        <v>36</v>
      </c>
      <c r="D76" s="7">
        <f ca="1">_xll.meDateFromTenor($B$66,C76,"MOD_FOLLOWING","TGT")</f>
        <v>48570</v>
      </c>
      <c r="E76" s="133">
        <f ca="1">_xll.meDateFromTenor($D76,"-5D","MOD_FOLLOWING","TGT")</f>
        <v>48563</v>
      </c>
      <c r="F76" s="133">
        <f ca="1">_xll.meDateFromTenor($D76,"5D","MOD_FOLLOWING","TGT")</f>
        <v>48577</v>
      </c>
      <c r="H76" s="7"/>
    </row>
    <row r="77" spans="2:25" outlineLevel="1" x14ac:dyDescent="0.25">
      <c r="C77" s="2" t="s">
        <v>37</v>
      </c>
      <c r="D77" s="7">
        <f ca="1">_xll.meDateFromTenor($B$66,C77,"MOD_FOLLOWING","TGT")</f>
        <v>50396</v>
      </c>
      <c r="E77" s="133">
        <f ca="1">_xll.meDateFromTenor($D77,"-5D","MOD_FOLLOWING","TGT")</f>
        <v>50389</v>
      </c>
      <c r="F77" s="133">
        <f ca="1">_xll.meDateFromTenor($D77,"5D","MOD_FOLLOWING","TGT")</f>
        <v>50404</v>
      </c>
      <c r="H77" s="7"/>
    </row>
    <row r="78" spans="2:25" outlineLevel="1" x14ac:dyDescent="0.25">
      <c r="C78" s="2" t="s">
        <v>38</v>
      </c>
      <c r="D78" s="7">
        <f ca="1">_xll.meDateFromTenor($B$66,C78,"MOD_FOLLOWING","TGT")</f>
        <v>54049</v>
      </c>
      <c r="E78" s="133">
        <f ca="1">_xll.meDateFromTenor($D78,"-5D","MOD_FOLLOWING","TGT")</f>
        <v>54042</v>
      </c>
      <c r="F78" s="133">
        <f ca="1">_xll.meDateFromTenor($D78,"5D","MOD_FOLLOWING","TGT")</f>
        <v>54059</v>
      </c>
      <c r="H78" s="7"/>
    </row>
    <row r="79" spans="2:25" outlineLevel="1" x14ac:dyDescent="0.25">
      <c r="E79" s="8"/>
      <c r="F79" s="8"/>
    </row>
    <row r="80" spans="2:25" outlineLevel="1" x14ac:dyDescent="0.25">
      <c r="E80" s="8"/>
      <c r="F80" s="8"/>
    </row>
    <row r="81" spans="2:26" ht="15.75" outlineLevel="1" thickBot="1" x14ac:dyDescent="0.3">
      <c r="C81" s="11" t="s">
        <v>62</v>
      </c>
      <c r="E81" s="8"/>
      <c r="F81" s="8"/>
    </row>
    <row r="82" spans="2:26" outlineLevel="1" x14ac:dyDescent="0.25">
      <c r="B82" s="5" t="s">
        <v>90</v>
      </c>
      <c r="C82" s="6" t="s">
        <v>40</v>
      </c>
      <c r="D82" t="s">
        <v>60</v>
      </c>
      <c r="E82" s="5" t="s">
        <v>45</v>
      </c>
      <c r="F82" s="5" t="s">
        <v>46</v>
      </c>
      <c r="H82" s="5"/>
    </row>
    <row r="83" spans="2:26" outlineLevel="1" x14ac:dyDescent="0.25">
      <c r="B83" s="7">
        <f ca="1">_xll.meDateFromTenor(AsOf,"2D","MOD_FOLLOWING","TGT")</f>
        <v>43091</v>
      </c>
      <c r="C83" s="2" t="s">
        <v>26</v>
      </c>
      <c r="D83" s="7">
        <f ca="1">_xll.meDateFromTenor($B$83,C83,"MOD_FOLLOWING","TGT")</f>
        <v>43822</v>
      </c>
      <c r="E83" s="133">
        <f ca="1">_xll.meDateFromTenor($D83,"-5D","MOD_FOLLOWING","TGT")</f>
        <v>43815</v>
      </c>
      <c r="F83" s="133">
        <f ca="1">_xll.meDateFromTenor($D83,"5D","MOD_FOLLOWING","TGT")</f>
        <v>43832</v>
      </c>
      <c r="H83" s="9"/>
    </row>
    <row r="84" spans="2:26" outlineLevel="1" x14ac:dyDescent="0.25">
      <c r="C84" s="2" t="s">
        <v>27</v>
      </c>
      <c r="D84" s="7">
        <f ca="1">_xll.meDateFromTenor($B$83,C84,"MOD_FOLLOWING","TGT")</f>
        <v>44187</v>
      </c>
      <c r="E84" s="133">
        <f ca="1">_xll.meDateFromTenor($D84,"-5D","MOD_FOLLOWING","TGT")</f>
        <v>44180</v>
      </c>
      <c r="F84" s="133">
        <f ca="1">_xll.meDateFromTenor($D84,"5D","MOD_FOLLOWING","TGT")</f>
        <v>44195</v>
      </c>
      <c r="H84" s="9"/>
    </row>
    <row r="85" spans="2:26" outlineLevel="1" x14ac:dyDescent="0.25">
      <c r="C85" s="2" t="s">
        <v>28</v>
      </c>
      <c r="D85" s="7">
        <f ca="1">_xll.meDateFromTenor($B$83,C85,"MOD_FOLLOWING","TGT")</f>
        <v>44552</v>
      </c>
      <c r="E85" s="133">
        <f ca="1">_xll.meDateFromTenor($D85,"-5D","MOD_FOLLOWING","TGT")</f>
        <v>44545</v>
      </c>
      <c r="F85" s="133">
        <f ca="1">_xll.meDateFromTenor($D85,"5D","MOD_FOLLOWING","TGT")</f>
        <v>44559</v>
      </c>
      <c r="H85" s="9"/>
    </row>
    <row r="86" spans="2:26" outlineLevel="1" x14ac:dyDescent="0.25">
      <c r="C86" s="2" t="s">
        <v>29</v>
      </c>
      <c r="D86" s="7">
        <f ca="1">_xll.meDateFromTenor($B$83,C86,"MOD_FOLLOWING","TGT")</f>
        <v>44917</v>
      </c>
      <c r="E86" s="133">
        <f ca="1">_xll.meDateFromTenor($D86,"-5D","MOD_FOLLOWING","TGT")</f>
        <v>44910</v>
      </c>
      <c r="F86" s="133">
        <f ca="1">_xll.meDateFromTenor($D86,"5D","MOD_FOLLOWING","TGT")</f>
        <v>44925</v>
      </c>
      <c r="H86" s="9"/>
    </row>
    <row r="87" spans="2:26" outlineLevel="1" x14ac:dyDescent="0.25">
      <c r="C87" s="2" t="s">
        <v>30</v>
      </c>
      <c r="D87" s="7">
        <f ca="1">_xll.meDateFromTenor($B$83,C87,"MOD_FOLLOWING","TGT")</f>
        <v>45282</v>
      </c>
      <c r="E87" s="133">
        <f ca="1">_xll.meDateFromTenor($D87,"-5D","MOD_FOLLOWING","TGT")</f>
        <v>45275</v>
      </c>
      <c r="F87" s="133">
        <f ca="1">_xll.meDateFromTenor($D87,"5D","MOD_FOLLOWING","TGT")</f>
        <v>45294</v>
      </c>
      <c r="H87" s="9"/>
    </row>
    <row r="88" spans="2:26" outlineLevel="1" x14ac:dyDescent="0.25">
      <c r="C88" s="2" t="s">
        <v>31</v>
      </c>
      <c r="D88" s="7">
        <f ca="1">_xll.meDateFromTenor($B$83,C88,"MOD_FOLLOWING","TGT")</f>
        <v>45649</v>
      </c>
      <c r="E88" s="133">
        <f ca="1">_xll.meDateFromTenor($D88,"-5D","MOD_FOLLOWING","TGT")</f>
        <v>45642</v>
      </c>
      <c r="F88" s="133">
        <f ca="1">_xll.meDateFromTenor($D88,"5D","MOD_FOLLOWING","TGT")</f>
        <v>45659</v>
      </c>
      <c r="H88" s="9"/>
    </row>
    <row r="89" spans="2:26" outlineLevel="1" x14ac:dyDescent="0.25">
      <c r="C89" s="2" t="s">
        <v>34</v>
      </c>
      <c r="D89" s="7">
        <f ca="1">_xll.meDateFromTenor($B$83,C89,"MOD_FOLLOWING","TGT")</f>
        <v>46743</v>
      </c>
      <c r="E89" s="133">
        <f ca="1">_xll.meDateFromTenor($D89,"-5D","MOD_FOLLOWING","TGT")</f>
        <v>46736</v>
      </c>
      <c r="F89" s="133">
        <f ca="1">_xll.meDateFromTenor($D89,"5D","MOD_FOLLOWING","TGT")</f>
        <v>46750</v>
      </c>
      <c r="H89" s="9"/>
    </row>
    <row r="90" spans="2:26" outlineLevel="1" x14ac:dyDescent="0.25">
      <c r="C90" s="2" t="s">
        <v>36</v>
      </c>
      <c r="D90" s="7">
        <f ca="1">_xll.meDateFromTenor($B$83,C90,"MOD_FOLLOWING","TGT")</f>
        <v>48570</v>
      </c>
      <c r="E90" s="133">
        <f ca="1">_xll.meDateFromTenor($D90,"-5D","MOD_FOLLOWING","TGT")</f>
        <v>48563</v>
      </c>
      <c r="F90" s="133">
        <f ca="1">_xll.meDateFromTenor($D90,"5D","MOD_FOLLOWING","TGT")</f>
        <v>48577</v>
      </c>
      <c r="H90" s="9"/>
    </row>
    <row r="91" spans="2:26" outlineLevel="1" x14ac:dyDescent="0.25">
      <c r="C91" s="2" t="s">
        <v>37</v>
      </c>
      <c r="D91" s="7">
        <f ca="1">_xll.meDateFromTenor($B$83,C91,"MOD_FOLLOWING","TGT")</f>
        <v>50396</v>
      </c>
      <c r="E91" s="133">
        <f ca="1">_xll.meDateFromTenor($D91,"-5D","MOD_FOLLOWING","TGT")</f>
        <v>50389</v>
      </c>
      <c r="F91" s="133">
        <f ca="1">_xll.meDateFromTenor($D91,"5D","MOD_FOLLOWING","TGT")</f>
        <v>50404</v>
      </c>
      <c r="H91" s="9"/>
    </row>
    <row r="92" spans="2:26" outlineLevel="1" x14ac:dyDescent="0.25">
      <c r="C92" s="2" t="s">
        <v>38</v>
      </c>
      <c r="D92" s="7">
        <f ca="1">_xll.meDateFromTenor($B$83,C92,"MOD_FOLLOWING","TGT")</f>
        <v>54049</v>
      </c>
      <c r="E92" s="133">
        <f ca="1">_xll.meDateFromTenor($D92,"-5D","MOD_FOLLOWING","TGT")</f>
        <v>54042</v>
      </c>
      <c r="F92" s="133">
        <f ca="1">_xll.meDateFromTenor($D92,"5D","MOD_FOLLOWING","TGT")</f>
        <v>54059</v>
      </c>
      <c r="H92" s="9"/>
    </row>
    <row r="93" spans="2:26" outlineLevel="1" x14ac:dyDescent="0.25">
      <c r="E93" s="8"/>
      <c r="F93" s="8"/>
    </row>
    <row r="94" spans="2:26" ht="15.75" outlineLevel="1" thickBot="1" x14ac:dyDescent="0.3">
      <c r="B94" s="5" t="s">
        <v>90</v>
      </c>
      <c r="C94" s="11" t="s">
        <v>63</v>
      </c>
      <c r="D94" s="11" t="s">
        <v>64</v>
      </c>
      <c r="E94" s="5" t="s">
        <v>45</v>
      </c>
      <c r="F94" s="5" t="s">
        <v>46</v>
      </c>
      <c r="H94" s="8" t="s">
        <v>93</v>
      </c>
      <c r="I94" s="11" t="s">
        <v>98</v>
      </c>
      <c r="J94" s="11" t="s">
        <v>99</v>
      </c>
      <c r="K94" s="5" t="s">
        <v>45</v>
      </c>
      <c r="L94" s="5" t="s">
        <v>46</v>
      </c>
      <c r="R94" s="8"/>
      <c r="Y94" s="5"/>
      <c r="Z94" s="5"/>
    </row>
    <row r="95" spans="2:26" outlineLevel="1" x14ac:dyDescent="0.25">
      <c r="B95" s="7">
        <f ca="1">_xll.meDateFromTenor(AsOf,"2D","MOD_FOLLOWING","NYB")</f>
        <v>43091</v>
      </c>
      <c r="C95" s="2" t="s">
        <v>26</v>
      </c>
      <c r="D95" s="7">
        <f ca="1">_xll.meDateFromTenor($B$95,C95,"MOD_FOLLOWING","NYB")</f>
        <v>43822</v>
      </c>
      <c r="E95" s="133">
        <f ca="1">_xll.meDateFromTenor($D95,"-5D","MOD_FOLLOWING","NYB")</f>
        <v>43815</v>
      </c>
      <c r="F95" s="133">
        <f ca="1">_xll.meDateFromTenor($D95,"5D","MOD_FOLLOWING","NYB")</f>
        <v>43830</v>
      </c>
      <c r="H95" s="9">
        <f ca="1">_xll.meDateNthIMMFromStartDate(AsOf, 1,"NYB","MOD_FOLLOWING")</f>
        <v>43180</v>
      </c>
      <c r="I95" s="2" t="s">
        <v>26</v>
      </c>
      <c r="J95" s="7">
        <f ca="1">_xll.meDateFromTenor($H$95,I95,"MOD_FOLLOWING","NYB")</f>
        <v>43913</v>
      </c>
      <c r="K95" s="133">
        <f ca="1">_xll.meDateFromTenor($J95,"-5D","MOD_FOLLOWING","NYB")</f>
        <v>43906</v>
      </c>
      <c r="L95" s="133">
        <f ca="1">_xll.meDateFromTenor($J95,"5D","MOD_FOLLOWING","NYB")</f>
        <v>43920</v>
      </c>
      <c r="R95" s="9"/>
      <c r="Y95" s="9"/>
      <c r="Z95" s="9"/>
    </row>
    <row r="96" spans="2:26" outlineLevel="1" x14ac:dyDescent="0.25">
      <c r="C96" s="2" t="s">
        <v>27</v>
      </c>
      <c r="D96" s="7">
        <f ca="1">_xll.meDateFromTenor($B$95,C96,"MOD_FOLLOWING","NYB")</f>
        <v>44187</v>
      </c>
      <c r="E96" s="133">
        <f ca="1">_xll.meDateFromTenor($D96,"-5D","MOD_FOLLOWING","NYB")</f>
        <v>44180</v>
      </c>
      <c r="F96" s="133">
        <f ca="1">_xll.meDateFromTenor($D96,"5D","MOD_FOLLOWING","NYB")</f>
        <v>44195</v>
      </c>
      <c r="H96" s="9"/>
      <c r="I96" s="2" t="s">
        <v>27</v>
      </c>
      <c r="J96" s="7">
        <f ca="1">_xll.meDateFromTenor($H$95,I96,"MOD_FOLLOWING","NYB")</f>
        <v>44277</v>
      </c>
      <c r="K96" s="133">
        <f ca="1">_xll.meDateFromTenor($J96,"-5D","MOD_FOLLOWING","NYB")</f>
        <v>44270</v>
      </c>
      <c r="L96" s="133">
        <f ca="1">_xll.meDateFromTenor($J96,"5D","MOD_FOLLOWING","NYB")</f>
        <v>44284</v>
      </c>
      <c r="R96" s="9"/>
      <c r="Y96" s="9"/>
      <c r="Z96" s="9"/>
    </row>
    <row r="97" spans="2:26" outlineLevel="1" x14ac:dyDescent="0.25">
      <c r="C97" s="2" t="s">
        <v>28</v>
      </c>
      <c r="D97" s="7">
        <f ca="1">_xll.meDateFromTenor($B$95,C97,"MOD_FOLLOWING","NYB")</f>
        <v>44552</v>
      </c>
      <c r="E97" s="133">
        <f ca="1">_xll.meDateFromTenor($D97,"-5D","MOD_FOLLOWING","NYB")</f>
        <v>44545</v>
      </c>
      <c r="F97" s="133">
        <f ca="1">_xll.meDateFromTenor($D97,"5D","MOD_FOLLOWING","NYB")</f>
        <v>44559</v>
      </c>
      <c r="H97" s="9"/>
      <c r="I97" s="2" t="s">
        <v>28</v>
      </c>
      <c r="J97" s="7">
        <f ca="1">_xll.meDateFromTenor($H$95,I97,"MOD_FOLLOWING","NYB")</f>
        <v>44641</v>
      </c>
      <c r="K97" s="133">
        <f ca="1">_xll.meDateFromTenor($J97,"-5D","MOD_FOLLOWING","NYB")</f>
        <v>44634</v>
      </c>
      <c r="L97" s="133">
        <f ca="1">_xll.meDateFromTenor($J97,"5D","MOD_FOLLOWING","NYB")</f>
        <v>44648</v>
      </c>
      <c r="R97" s="9"/>
      <c r="Y97" s="9"/>
      <c r="Z97" s="9"/>
    </row>
    <row r="98" spans="2:26" outlineLevel="1" x14ac:dyDescent="0.25">
      <c r="C98" s="2" t="s">
        <v>29</v>
      </c>
      <c r="D98" s="7">
        <f ca="1">_xll.meDateFromTenor($B$95,C98,"MOD_FOLLOWING","NYB")</f>
        <v>44917</v>
      </c>
      <c r="E98" s="133">
        <f ca="1">_xll.meDateFromTenor($D98,"-5D","MOD_FOLLOWING","NYB")</f>
        <v>44910</v>
      </c>
      <c r="F98" s="133">
        <f ca="1">_xll.meDateFromTenor($D98,"5D","MOD_FOLLOWING","NYB")</f>
        <v>44925</v>
      </c>
      <c r="H98" s="9"/>
      <c r="I98" s="2" t="s">
        <v>29</v>
      </c>
      <c r="J98" s="7">
        <f ca="1">_xll.meDateFromTenor($H$95,I98,"MOD_FOLLOWING","NYB")</f>
        <v>45006</v>
      </c>
      <c r="K98" s="133">
        <f ca="1">_xll.meDateFromTenor($J98,"-5D","MOD_FOLLOWING","NYB")</f>
        <v>44999</v>
      </c>
      <c r="L98" s="133">
        <f ca="1">_xll.meDateFromTenor($J98,"5D","MOD_FOLLOWING","NYB")</f>
        <v>45013</v>
      </c>
      <c r="R98" s="9"/>
      <c r="Y98" s="10"/>
      <c r="Z98" s="10"/>
    </row>
    <row r="99" spans="2:26" outlineLevel="1" x14ac:dyDescent="0.25">
      <c r="C99" s="2" t="s">
        <v>30</v>
      </c>
      <c r="D99" s="7">
        <f ca="1">_xll.meDateFromTenor($B$95,C99,"MOD_FOLLOWING","NYB")</f>
        <v>45282</v>
      </c>
      <c r="E99" s="133">
        <f ca="1">_xll.meDateFromTenor($D99,"-5D","MOD_FOLLOWING","NYB")</f>
        <v>45275</v>
      </c>
      <c r="F99" s="133">
        <f ca="1">_xll.meDateFromTenor($D99,"5D","MOD_FOLLOWING","NYB")</f>
        <v>45293</v>
      </c>
      <c r="H99" s="9"/>
      <c r="I99" s="2" t="s">
        <v>30</v>
      </c>
      <c r="J99" s="7">
        <f ca="1">_xll.meDateFromTenor($H$95,I99,"MOD_FOLLOWING","NYB")</f>
        <v>45372</v>
      </c>
      <c r="K99" s="133">
        <f ca="1">_xll.meDateFromTenor($J99,"-5D","MOD_FOLLOWING","NYB")</f>
        <v>45365</v>
      </c>
      <c r="L99" s="133">
        <f ca="1">_xll.meDateFromTenor($J99,"5D","MOD_FOLLOWING","NYB")</f>
        <v>45379</v>
      </c>
      <c r="R99" s="9"/>
      <c r="Y99" s="9"/>
      <c r="Z99" s="9"/>
    </row>
    <row r="100" spans="2:26" outlineLevel="1" x14ac:dyDescent="0.25">
      <c r="C100" s="2" t="s">
        <v>31</v>
      </c>
      <c r="D100" s="7">
        <f ca="1">_xll.meDateFromTenor($B$95,C100,"MOD_FOLLOWING","NYB")</f>
        <v>45649</v>
      </c>
      <c r="E100" s="133">
        <f ca="1">_xll.meDateFromTenor($D100,"-5D","MOD_FOLLOWING","NYB")</f>
        <v>45642</v>
      </c>
      <c r="F100" s="133">
        <f ca="1">_xll.meDateFromTenor($D100,"5D","MOD_FOLLOWING","NYB")</f>
        <v>45657</v>
      </c>
      <c r="H100" s="9"/>
      <c r="I100" s="2" t="s">
        <v>31</v>
      </c>
      <c r="J100" s="7">
        <f ca="1">_xll.meDateFromTenor($H$95,I100,"MOD_FOLLOWING","NYB")</f>
        <v>45737</v>
      </c>
      <c r="K100" s="133">
        <f ca="1">_xll.meDateFromTenor($J100,"-5D","MOD_FOLLOWING","NYB")</f>
        <v>45730</v>
      </c>
      <c r="L100" s="133">
        <f ca="1">_xll.meDateFromTenor($J100,"5D","MOD_FOLLOWING","NYB")</f>
        <v>45744</v>
      </c>
      <c r="R100" s="9"/>
      <c r="W100" s="2"/>
      <c r="X100" s="7"/>
      <c r="Y100" s="9"/>
      <c r="Z100" s="9"/>
    </row>
    <row r="101" spans="2:26" outlineLevel="1" x14ac:dyDescent="0.25">
      <c r="C101" s="2" t="s">
        <v>34</v>
      </c>
      <c r="D101" s="7">
        <f ca="1">_xll.meDateFromTenor($B$95,C101,"MOD_FOLLOWING","NYB")</f>
        <v>46743</v>
      </c>
      <c r="E101" s="133">
        <f ca="1">_xll.meDateFromTenor($D101,"-5D","MOD_FOLLOWING","NYB")</f>
        <v>46736</v>
      </c>
      <c r="F101" s="133">
        <f ca="1">_xll.meDateFromTenor($D101,"5D","MOD_FOLLOWING","NYB")</f>
        <v>46750</v>
      </c>
      <c r="H101" s="9"/>
      <c r="I101" s="2" t="s">
        <v>34</v>
      </c>
      <c r="J101" s="7">
        <f ca="1">_xll.meDateFromTenor($H$95,I101,"MOD_FOLLOWING","NYB")</f>
        <v>46833</v>
      </c>
      <c r="K101" s="133">
        <f ca="1">_xll.meDateFromTenor($J101,"-5D","MOD_FOLLOWING","NYB")</f>
        <v>46826</v>
      </c>
      <c r="L101" s="133">
        <f ca="1">_xll.meDateFromTenor($J101,"5D","MOD_FOLLOWING","NYB")</f>
        <v>46840</v>
      </c>
      <c r="R101" s="9"/>
      <c r="W101" s="2"/>
      <c r="X101" s="7"/>
      <c r="Y101" s="9"/>
      <c r="Z101" s="9"/>
    </row>
    <row r="102" spans="2:26" outlineLevel="1" x14ac:dyDescent="0.25">
      <c r="C102" s="2" t="s">
        <v>35</v>
      </c>
      <c r="D102" s="7">
        <f ca="1">_xll.meDateFromTenor($B$95,C102,"MOD_FOLLOWING","NYB")</f>
        <v>47476</v>
      </c>
      <c r="E102" s="133">
        <f ca="1">_xll.meDateFromTenor($D102,"-5D","MOD_FOLLOWING","NYB")</f>
        <v>47469</v>
      </c>
      <c r="F102" s="133">
        <f ca="1">_xll.meDateFromTenor($D102,"5D","MOD_FOLLOWING","NYB")</f>
        <v>47485</v>
      </c>
      <c r="H102" s="9"/>
      <c r="I102" s="2" t="s">
        <v>35</v>
      </c>
      <c r="J102" s="7">
        <f ca="1">_xll.meDateFromTenor($H$95,I102,"MOD_FOLLOWING","NYB")</f>
        <v>47563</v>
      </c>
      <c r="K102" s="133">
        <f ca="1">_xll.meDateFromTenor($J102,"-5D","MOD_FOLLOWING","NYB")</f>
        <v>47556</v>
      </c>
      <c r="L102" s="133">
        <f ca="1">_xll.meDateFromTenor($J102,"5D","MOD_FOLLOWING","NYB")</f>
        <v>47570</v>
      </c>
      <c r="R102" s="9"/>
      <c r="W102" s="2"/>
      <c r="X102" s="7"/>
      <c r="Y102" s="9"/>
      <c r="Z102" s="9"/>
    </row>
    <row r="103" spans="2:26" outlineLevel="1" x14ac:dyDescent="0.25">
      <c r="C103" s="2" t="s">
        <v>36</v>
      </c>
      <c r="D103" s="7">
        <f ca="1">_xll.meDateFromTenor($B$95,C103,"MOD_FOLLOWING","NYB")</f>
        <v>48570</v>
      </c>
      <c r="E103" s="133">
        <f ca="1">_xll.meDateFromTenor($D103,"-5D","MOD_FOLLOWING","NYB")</f>
        <v>48563</v>
      </c>
      <c r="F103" s="133">
        <f ca="1">_xll.meDateFromTenor($D103,"5D","MOD_FOLLOWING","NYB")</f>
        <v>48577</v>
      </c>
      <c r="H103" s="9"/>
      <c r="I103" s="2" t="s">
        <v>36</v>
      </c>
      <c r="J103" s="7">
        <f ca="1">_xll.meDateFromTenor($H$95,I103,"MOD_FOLLOWING","NYB")</f>
        <v>48659</v>
      </c>
      <c r="K103" s="133">
        <f ca="1">_xll.meDateFromTenor($J103,"-5D","MOD_FOLLOWING","NYB")</f>
        <v>48652</v>
      </c>
      <c r="L103" s="133">
        <f ca="1">_xll.meDateFromTenor($J103,"5D","MOD_FOLLOWING","NYB")</f>
        <v>48666</v>
      </c>
      <c r="R103" s="9"/>
      <c r="W103" s="2"/>
      <c r="X103" s="7"/>
      <c r="Y103" s="9"/>
      <c r="Z103" s="9"/>
    </row>
    <row r="104" spans="2:26" outlineLevel="1" x14ac:dyDescent="0.25">
      <c r="C104" s="2" t="s">
        <v>37</v>
      </c>
      <c r="D104" s="7">
        <f ca="1">_xll.meDateFromTenor($B$95,C104,"MOD_FOLLOWING","NYB")</f>
        <v>50396</v>
      </c>
      <c r="E104" s="133">
        <f ca="1">_xll.meDateFromTenor($D104,"-5D","MOD_FOLLOWING","NYB")</f>
        <v>50389</v>
      </c>
      <c r="F104" s="133">
        <f ca="1">_xll.meDateFromTenor($D104,"5D","MOD_FOLLOWING","NYB")</f>
        <v>50404</v>
      </c>
      <c r="H104" s="9"/>
      <c r="I104" s="2" t="s">
        <v>37</v>
      </c>
      <c r="J104" s="7">
        <f ca="1">_xll.meDateFromTenor($H$95,I104,"MOD_FOLLOWING","NYB")</f>
        <v>50486</v>
      </c>
      <c r="K104" s="133">
        <f ca="1">_xll.meDateFromTenor($J104,"-5D","MOD_FOLLOWING","NYB")</f>
        <v>50479</v>
      </c>
      <c r="L104" s="133">
        <f ca="1">_xll.meDateFromTenor($J104,"5D","MOD_FOLLOWING","NYB")</f>
        <v>50493</v>
      </c>
      <c r="R104" s="9"/>
      <c r="W104" s="2"/>
      <c r="X104" s="7"/>
      <c r="Y104" s="9"/>
      <c r="Z104" s="9"/>
    </row>
    <row r="105" spans="2:26" outlineLevel="1" x14ac:dyDescent="0.25">
      <c r="C105" s="2" t="s">
        <v>38</v>
      </c>
      <c r="D105" s="7">
        <f ca="1">_xll.meDateFromTenor($B$95,C105,"MOD_FOLLOWING","NYB")</f>
        <v>54049</v>
      </c>
      <c r="E105" s="133">
        <f ca="1">_xll.meDateFromTenor($D105,"-5D","MOD_FOLLOWING","NYB")</f>
        <v>54042</v>
      </c>
      <c r="F105" s="133">
        <f ca="1">_xll.meDateFromTenor($D105,"5D","MOD_FOLLOWING","NYB")</f>
        <v>54057</v>
      </c>
      <c r="H105" s="9"/>
      <c r="I105" s="2" t="s">
        <v>38</v>
      </c>
      <c r="J105" s="7">
        <f ca="1">_xll.meDateFromTenor($H$95,I105,"MOD_FOLLOWING","NYB")</f>
        <v>54140</v>
      </c>
      <c r="K105" s="133">
        <f ca="1">_xll.meDateFromTenor($J105,"-5D","MOD_FOLLOWING","NYB")</f>
        <v>54133</v>
      </c>
      <c r="L105" s="133">
        <f ca="1">_xll.meDateFromTenor($J105,"5D","MOD_FOLLOWING","NYB")</f>
        <v>54147</v>
      </c>
      <c r="R105" s="9"/>
      <c r="W105" s="2"/>
      <c r="X105" s="7"/>
      <c r="Y105" s="9"/>
      <c r="Z105" s="9"/>
    </row>
    <row r="106" spans="2:26" outlineLevel="1" x14ac:dyDescent="0.25">
      <c r="E106" s="8"/>
      <c r="F106" s="8"/>
    </row>
    <row r="107" spans="2:26" outlineLevel="1" x14ac:dyDescent="0.25">
      <c r="E107" s="8"/>
      <c r="F107" s="8"/>
    </row>
    <row r="108" spans="2:26" ht="15.75" outlineLevel="1" thickBot="1" x14ac:dyDescent="0.3">
      <c r="B108" s="5" t="s">
        <v>91</v>
      </c>
      <c r="C108" s="11" t="s">
        <v>65</v>
      </c>
      <c r="D108" s="11" t="s">
        <v>66</v>
      </c>
      <c r="E108" s="5" t="s">
        <v>45</v>
      </c>
      <c r="F108" s="5" t="s">
        <v>46</v>
      </c>
      <c r="H108" s="8" t="s">
        <v>94</v>
      </c>
      <c r="I108" s="11" t="s">
        <v>98</v>
      </c>
      <c r="J108" s="11" t="s">
        <v>99</v>
      </c>
      <c r="K108" s="5" t="s">
        <v>45</v>
      </c>
      <c r="L108" s="5" t="s">
        <v>46</v>
      </c>
    </row>
    <row r="109" spans="2:26" outlineLevel="1" x14ac:dyDescent="0.25">
      <c r="B109" s="7">
        <f ca="1">_xll.meDateFromTenor(AsOf,"0D","MOD_FOLLOWING","LNB")</f>
        <v>43089</v>
      </c>
      <c r="C109" s="2" t="s">
        <v>26</v>
      </c>
      <c r="D109" s="7">
        <f ca="1">_xll.meDateFromTenor($B$109,C109,"MOD_FOLLOWING","LNB")</f>
        <v>43819</v>
      </c>
      <c r="E109" s="133">
        <f ca="1">_xll.meDateFromTenor($D109,"-5D","MOD_FOLLOWING","LNB")</f>
        <v>43812</v>
      </c>
      <c r="F109" s="133">
        <f ca="1">_xll.meDateFromTenor($D109,"5D","MOD_FOLLOWING","LNB")</f>
        <v>43830</v>
      </c>
      <c r="H109" s="9">
        <f ca="1">_xll.meDateNthIMMFromStartDate(AsOf, 2,"NYB","MOD_FOLLOWING")</f>
        <v>43271</v>
      </c>
      <c r="I109" s="2" t="s">
        <v>26</v>
      </c>
      <c r="J109" s="7">
        <f ca="1">_xll.meDateFromTenor($H$109,I109,"MOD_FOLLOWING","NYB")</f>
        <v>44004</v>
      </c>
      <c r="K109" s="133">
        <f ca="1">_xll.meDateFromTenor($J109,"-5D","MOD_FOLLOWING","NYB")</f>
        <v>43997</v>
      </c>
      <c r="L109" s="133">
        <f ca="1">_xll.meDateFromTenor($J109,"5D","MOD_FOLLOWING","NYB")</f>
        <v>44011</v>
      </c>
    </row>
    <row r="110" spans="2:26" outlineLevel="1" x14ac:dyDescent="0.25">
      <c r="C110" s="2" t="s">
        <v>27</v>
      </c>
      <c r="D110" s="7">
        <f ca="1">_xll.meDateFromTenor($B$109,C110,"MOD_FOLLOWING","LNB")</f>
        <v>44186</v>
      </c>
      <c r="E110" s="133">
        <f ca="1">_xll.meDateFromTenor($D110,"-5D","MOD_FOLLOWING","LNB")</f>
        <v>44179</v>
      </c>
      <c r="F110" s="133">
        <f ca="1">_xll.meDateFromTenor($D110,"5D","MOD_FOLLOWING","LNB")</f>
        <v>44195</v>
      </c>
      <c r="H110" s="9"/>
      <c r="I110" s="2" t="s">
        <v>27</v>
      </c>
      <c r="J110" s="7">
        <f ca="1">_xll.meDateFromTenor($H$109,I110,"MOD_FOLLOWING","NYB")</f>
        <v>44368</v>
      </c>
      <c r="K110" s="133">
        <f ca="1">_xll.meDateFromTenor($J110,"-5D","MOD_FOLLOWING","NYB")</f>
        <v>44361</v>
      </c>
      <c r="L110" s="133">
        <f ca="1">_xll.meDateFromTenor($J110,"5D","MOD_FOLLOWING","NYB")</f>
        <v>44375</v>
      </c>
    </row>
    <row r="111" spans="2:26" outlineLevel="1" x14ac:dyDescent="0.25">
      <c r="C111" s="2" t="s">
        <v>28</v>
      </c>
      <c r="D111" s="7">
        <f ca="1">_xll.meDateFromTenor($B$109,C111,"MOD_FOLLOWING","LNB")</f>
        <v>44550</v>
      </c>
      <c r="E111" s="133">
        <f ca="1">_xll.meDateFromTenor($D111,"-5D","MOD_FOLLOWING","LNB")</f>
        <v>44543</v>
      </c>
      <c r="F111" s="133">
        <f ca="1">_xll.meDateFromTenor($D111,"5D","MOD_FOLLOWING","LNB")</f>
        <v>44559</v>
      </c>
      <c r="H111" s="9"/>
      <c r="I111" s="2" t="s">
        <v>28</v>
      </c>
      <c r="J111" s="7">
        <f ca="1">_xll.meDateFromTenor($H$109,I111,"MOD_FOLLOWING","NYB")</f>
        <v>44732</v>
      </c>
      <c r="K111" s="133">
        <f ca="1">_xll.meDateFromTenor($J111,"-5D","MOD_FOLLOWING","NYB")</f>
        <v>44725</v>
      </c>
      <c r="L111" s="133">
        <f ca="1">_xll.meDateFromTenor($J111,"5D","MOD_FOLLOWING","NYB")</f>
        <v>44739</v>
      </c>
    </row>
    <row r="112" spans="2:26" outlineLevel="1" x14ac:dyDescent="0.25">
      <c r="C112" s="2" t="s">
        <v>29</v>
      </c>
      <c r="D112" s="7">
        <f ca="1">_xll.meDateFromTenor($B$109,C112,"MOD_FOLLOWING","LNB")</f>
        <v>44915</v>
      </c>
      <c r="E112" s="133">
        <f ca="1">_xll.meDateFromTenor($D112,"-5D","MOD_FOLLOWING","LNB")</f>
        <v>44908</v>
      </c>
      <c r="F112" s="133">
        <f ca="1">_xll.meDateFromTenor($D112,"5D","MOD_FOLLOWING","LNB")</f>
        <v>44924</v>
      </c>
      <c r="H112" s="9"/>
      <c r="I112" s="2" t="s">
        <v>29</v>
      </c>
      <c r="J112" s="7">
        <f ca="1">_xll.meDateFromTenor($H$109,I112,"MOD_FOLLOWING","NYB")</f>
        <v>45097</v>
      </c>
      <c r="K112" s="133">
        <f ca="1">_xll.meDateFromTenor($J112,"-5D","MOD_FOLLOWING","NYB")</f>
        <v>45090</v>
      </c>
      <c r="L112" s="133">
        <f ca="1">_xll.meDateFromTenor($J112,"5D","MOD_FOLLOWING","NYB")</f>
        <v>45104</v>
      </c>
    </row>
    <row r="113" spans="1:12" outlineLevel="1" x14ac:dyDescent="0.25">
      <c r="C113" s="2" t="s">
        <v>30</v>
      </c>
      <c r="D113" s="7">
        <f ca="1">_xll.meDateFromTenor($B$109,C113,"MOD_FOLLOWING","LNB")</f>
        <v>45280</v>
      </c>
      <c r="E113" s="133">
        <f ca="1">_xll.meDateFromTenor($D113,"-5D","MOD_FOLLOWING","LNB")</f>
        <v>45273</v>
      </c>
      <c r="F113" s="133">
        <f ca="1">_xll.meDateFromTenor($D113,"5D","MOD_FOLLOWING","LNB")</f>
        <v>45289</v>
      </c>
      <c r="H113" s="9"/>
      <c r="I113" s="2" t="s">
        <v>30</v>
      </c>
      <c r="J113" s="7">
        <f ca="1">_xll.meDateFromTenor($H$109,I113,"MOD_FOLLOWING","NYB")</f>
        <v>45463</v>
      </c>
      <c r="K113" s="133">
        <f ca="1">_xll.meDateFromTenor($J113,"-5D","MOD_FOLLOWING","NYB")</f>
        <v>45456</v>
      </c>
      <c r="L113" s="133">
        <f ca="1">_xll.meDateFromTenor($J113,"5D","MOD_FOLLOWING","NYB")</f>
        <v>45470</v>
      </c>
    </row>
    <row r="114" spans="1:12" outlineLevel="1" x14ac:dyDescent="0.25">
      <c r="C114" s="2" t="s">
        <v>31</v>
      </c>
      <c r="D114" s="7">
        <f ca="1">_xll.meDateFromTenor($B$109,C114,"MOD_FOLLOWING","LNB")</f>
        <v>45646</v>
      </c>
      <c r="E114" s="133">
        <f ca="1">_xll.meDateFromTenor($D114,"-5D","MOD_FOLLOWING","LNB")</f>
        <v>45639</v>
      </c>
      <c r="F114" s="133">
        <f ca="1">_xll.meDateFromTenor($D114,"5D","MOD_FOLLOWING","LNB")</f>
        <v>45657</v>
      </c>
      <c r="H114" s="9"/>
      <c r="I114" s="2" t="s">
        <v>31</v>
      </c>
      <c r="J114" s="7">
        <f ca="1">_xll.meDateFromTenor($H$109,I114,"MOD_FOLLOWING","NYB")</f>
        <v>45828</v>
      </c>
      <c r="K114" s="133">
        <f ca="1">_xll.meDateFromTenor($J114,"-5D","MOD_FOLLOWING","NYB")</f>
        <v>45821</v>
      </c>
      <c r="L114" s="133">
        <f ca="1">_xll.meDateFromTenor($J114,"5D","MOD_FOLLOWING","NYB")</f>
        <v>45835</v>
      </c>
    </row>
    <row r="115" spans="1:12" outlineLevel="1" x14ac:dyDescent="0.25">
      <c r="C115" s="2" t="s">
        <v>34</v>
      </c>
      <c r="D115" s="7">
        <f ca="1">_xll.meDateFromTenor($B$109,C115,"MOD_FOLLOWING","LNB")</f>
        <v>46741</v>
      </c>
      <c r="E115" s="133">
        <f ca="1">_xll.meDateFromTenor($D115,"-5D","MOD_FOLLOWING","LNB")</f>
        <v>46734</v>
      </c>
      <c r="F115" s="133">
        <f ca="1">_xll.meDateFromTenor($D115,"5D","MOD_FOLLOWING","LNB")</f>
        <v>46750</v>
      </c>
      <c r="H115" s="9"/>
      <c r="I115" s="2" t="s">
        <v>34</v>
      </c>
      <c r="J115" s="7">
        <f ca="1">_xll.meDateFromTenor($H$109,I115,"MOD_FOLLOWING","NYB")</f>
        <v>46924</v>
      </c>
      <c r="K115" s="133">
        <f ca="1">_xll.meDateFromTenor($J115,"-5D","MOD_FOLLOWING","NYB")</f>
        <v>46917</v>
      </c>
      <c r="L115" s="133">
        <f ca="1">_xll.meDateFromTenor($J115,"5D","MOD_FOLLOWING","NYB")</f>
        <v>46931</v>
      </c>
    </row>
    <row r="116" spans="1:12" outlineLevel="1" x14ac:dyDescent="0.25">
      <c r="C116" s="2" t="s">
        <v>36</v>
      </c>
      <c r="D116" s="7">
        <f ca="1">_xll.meDateFromTenor($B$109,C116,"MOD_FOLLOWING","LNB")</f>
        <v>48568</v>
      </c>
      <c r="E116" s="133">
        <f ca="1">_xll.meDateFromTenor($D116,"-5D","MOD_FOLLOWING","LNB")</f>
        <v>48561</v>
      </c>
      <c r="F116" s="133">
        <f ca="1">_xll.meDateFromTenor($D116,"5D","MOD_FOLLOWING","LNB")</f>
        <v>48577</v>
      </c>
      <c r="H116" s="9"/>
      <c r="I116" s="2" t="s">
        <v>35</v>
      </c>
      <c r="J116" s="7">
        <f ca="1">_xll.meDateFromTenor($H$109,I116,"MOD_FOLLOWING","NYB")</f>
        <v>47654</v>
      </c>
      <c r="K116" s="133">
        <f ca="1">_xll.meDateFromTenor($J116,"-5D","MOD_FOLLOWING","NYB")</f>
        <v>47647</v>
      </c>
      <c r="L116" s="133">
        <f ca="1">_xll.meDateFromTenor($J116,"5D","MOD_FOLLOWING","NYB")</f>
        <v>47661</v>
      </c>
    </row>
    <row r="117" spans="1:12" outlineLevel="1" x14ac:dyDescent="0.25">
      <c r="C117" s="2" t="s">
        <v>37</v>
      </c>
      <c r="D117" s="7">
        <f ca="1">_xll.meDateFromTenor($B$109,C117,"MOD_FOLLOWING","LNB")</f>
        <v>50395</v>
      </c>
      <c r="E117" s="133">
        <f ca="1">_xll.meDateFromTenor($D117,"-5D","MOD_FOLLOWING","LNB")</f>
        <v>50388</v>
      </c>
      <c r="F117" s="133">
        <f ca="1">_xll.meDateFromTenor($D117,"5D","MOD_FOLLOWING","LNB")</f>
        <v>50404</v>
      </c>
      <c r="H117" s="9"/>
      <c r="I117" s="2" t="s">
        <v>36</v>
      </c>
      <c r="J117" s="7">
        <f ca="1">_xll.meDateFromTenor($H$109,I117,"MOD_FOLLOWING","NYB")</f>
        <v>48750</v>
      </c>
      <c r="K117" s="133">
        <f ca="1">_xll.meDateFromTenor($J117,"-5D","MOD_FOLLOWING","NYB")</f>
        <v>48743</v>
      </c>
      <c r="L117" s="133">
        <f ca="1">_xll.meDateFromTenor($J117,"5D","MOD_FOLLOWING","NYB")</f>
        <v>48757</v>
      </c>
    </row>
    <row r="118" spans="1:12" outlineLevel="1" x14ac:dyDescent="0.25">
      <c r="C118" s="2" t="s">
        <v>38</v>
      </c>
      <c r="D118" s="7">
        <f ca="1">_xll.meDateFromTenor($B$109,C118,"MOD_FOLLOWING","LNB")</f>
        <v>54046</v>
      </c>
      <c r="E118" s="133">
        <f ca="1">_xll.meDateFromTenor($D118,"-5D","MOD_FOLLOWING","LNB")</f>
        <v>54039</v>
      </c>
      <c r="F118" s="133">
        <f ca="1">_xll.meDateFromTenor($D118,"5D","MOD_FOLLOWING","LNB")</f>
        <v>54057</v>
      </c>
      <c r="H118" s="9"/>
      <c r="I118" s="2" t="s">
        <v>37</v>
      </c>
      <c r="J118" s="7">
        <f ca="1">_xll.meDateFromTenor($H$109,I118,"MOD_FOLLOWING","NYB")</f>
        <v>50577</v>
      </c>
      <c r="K118" s="133">
        <f ca="1">_xll.meDateFromTenor($J118,"-5D","MOD_FOLLOWING","NYB")</f>
        <v>50570</v>
      </c>
      <c r="L118" s="133">
        <f ca="1">_xll.meDateFromTenor($J118,"5D","MOD_FOLLOWING","NYB")</f>
        <v>50584</v>
      </c>
    </row>
    <row r="119" spans="1:12" outlineLevel="1" x14ac:dyDescent="0.25">
      <c r="H119" s="9"/>
      <c r="I119" s="2" t="s">
        <v>38</v>
      </c>
      <c r="J119" s="7">
        <f ca="1">_xll.meDateFromTenor($H$109,I119,"MOD_FOLLOWING","NYB")</f>
        <v>54231</v>
      </c>
      <c r="K119" s="133">
        <f ca="1">_xll.meDateFromTenor($J119,"-5D","MOD_FOLLOWING","NYB")</f>
        <v>54224</v>
      </c>
      <c r="L119" s="133">
        <f ca="1">_xll.meDateFromTenor($J119,"5D","MOD_FOLLOWING","NYB")</f>
        <v>54238</v>
      </c>
    </row>
    <row r="120" spans="1:12" x14ac:dyDescent="0.25">
      <c r="A120" s="12" t="s">
        <v>71</v>
      </c>
    </row>
  </sheetData>
  <mergeCells count="19">
    <mergeCell ref="G5:G6"/>
    <mergeCell ref="B5:B6"/>
    <mergeCell ref="C5:C6"/>
    <mergeCell ref="D5:D6"/>
    <mergeCell ref="E5:E6"/>
    <mergeCell ref="F5:F6"/>
    <mergeCell ref="C52:C53"/>
    <mergeCell ref="D52:D53"/>
    <mergeCell ref="E52:E53"/>
    <mergeCell ref="G52:G53"/>
    <mergeCell ref="H52:H53"/>
    <mergeCell ref="I52:I53"/>
    <mergeCell ref="J52:K52"/>
    <mergeCell ref="L52:N52"/>
    <mergeCell ref="H5:H6"/>
    <mergeCell ref="I5:I6"/>
    <mergeCell ref="J5:J6"/>
    <mergeCell ref="K5:L5"/>
    <mergeCell ref="M5:O5"/>
  </mergeCells>
  <conditionalFormatting sqref="B7:B48">
    <cfRule type="cellIs" dxfId="3" priority="1" operator="equal">
      <formula>TRUE</formula>
    </cfRule>
  </conditionalFormatting>
  <dataValidations count="6">
    <dataValidation type="list" allowBlank="1" showInputMessage="1" showErrorMessage="1" sqref="D7:D48">
      <formula1>"USD,EUR,GBP"</formula1>
    </dataValidation>
    <dataValidation type="list" allowBlank="1" showInputMessage="1" showErrorMessage="1" sqref="M7:M48">
      <formula1>"EUR3ML,EUR6ML,GBP3ML,GBP6ML,USD3ML,USD3ML.IMM,USD6ML,USD6ML.IMM"</formula1>
    </dataValidation>
    <dataValidation type="list" allowBlank="1" showInputMessage="1" showErrorMessage="1" sqref="E7:E48">
      <formula1>"SPOT,IMM"</formula1>
    </dataValidation>
    <dataValidation type="list" allowBlank="1" showInputMessage="1" showErrorMessage="1" sqref="O7:O48 L7:L48">
      <formula1>"30/360,ACT/360,ACT/365F"</formula1>
    </dataValidation>
    <dataValidation type="list" allowBlank="1" showInputMessage="1" showErrorMessage="1" sqref="K7:K48 N7:N48">
      <formula1>"ANNUAL,SEMI-ANNUAL,QUARTERLY,MONTHLY"</formula1>
    </dataValidation>
    <dataValidation type="list" allowBlank="1" showInputMessage="1" showErrorMessage="1" sqref="F7:F48">
      <formula1>"0,1,2"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D120"/>
  <sheetViews>
    <sheetView showGridLines="0" workbookViewId="0"/>
  </sheetViews>
  <sheetFormatPr defaultRowHeight="15" outlineLevelRow="1" outlineLevelCol="1" x14ac:dyDescent="0.25"/>
  <cols>
    <col min="2" max="2" width="15.7109375" customWidth="1"/>
    <col min="3" max="3" width="20.7109375" customWidth="1"/>
    <col min="4" max="4" width="12.7109375" customWidth="1"/>
    <col min="5" max="5" width="15.7109375" customWidth="1"/>
    <col min="6" max="6" width="14.7109375" customWidth="1"/>
    <col min="7" max="7" width="12.5703125" customWidth="1"/>
    <col min="8" max="9" width="20.7109375" customWidth="1"/>
    <col min="10" max="10" width="17.85546875" customWidth="1"/>
    <col min="11" max="13" width="15.7109375" customWidth="1"/>
    <col min="14" max="14" width="22.140625" bestFit="1" customWidth="1"/>
    <col min="15" max="15" width="15.7109375" customWidth="1"/>
    <col min="16" max="16" width="12.7109375" hidden="1" customWidth="1" outlineLevel="1"/>
    <col min="17" max="17" width="14.28515625" hidden="1" customWidth="1" outlineLevel="1"/>
    <col min="18" max="18" width="15.7109375" hidden="1" customWidth="1" outlineLevel="1"/>
    <col min="19" max="19" width="16.85546875" hidden="1" customWidth="1" outlineLevel="1"/>
    <col min="20" max="29" width="12.7109375" hidden="1" customWidth="1" outlineLevel="1"/>
    <col min="30" max="30" width="9.140625" collapsed="1"/>
  </cols>
  <sheetData>
    <row r="1" spans="1:30" x14ac:dyDescent="0.25">
      <c r="AD1" s="12" t="s">
        <v>70</v>
      </c>
    </row>
    <row r="2" spans="1:30" x14ac:dyDescent="0.25">
      <c r="B2" s="30" t="s">
        <v>44</v>
      </c>
    </row>
    <row r="3" spans="1:30" x14ac:dyDescent="0.25">
      <c r="B3" s="31">
        <f ca="1">TODAY()</f>
        <v>43089</v>
      </c>
      <c r="I3" s="9"/>
    </row>
    <row r="4" spans="1:30" ht="15.75" x14ac:dyDescent="0.25">
      <c r="S4" s="54"/>
    </row>
    <row r="5" spans="1:30" ht="15" customHeight="1" x14ac:dyDescent="0.25">
      <c r="B5" s="123" t="s">
        <v>104</v>
      </c>
      <c r="C5" s="121" t="s">
        <v>103</v>
      </c>
      <c r="D5" s="121" t="s">
        <v>1</v>
      </c>
      <c r="E5" s="121" t="s">
        <v>2</v>
      </c>
      <c r="F5" s="122" t="s">
        <v>150</v>
      </c>
      <c r="G5" s="121" t="s">
        <v>3</v>
      </c>
      <c r="H5" s="121" t="s">
        <v>89</v>
      </c>
      <c r="I5" s="121" t="s">
        <v>83</v>
      </c>
      <c r="J5" s="121" t="s">
        <v>5</v>
      </c>
      <c r="K5" s="127" t="s">
        <v>6</v>
      </c>
      <c r="L5" s="127"/>
      <c r="M5" s="127" t="s">
        <v>7</v>
      </c>
      <c r="N5" s="127"/>
      <c r="O5" s="127"/>
      <c r="P5" s="8"/>
      <c r="Q5" s="8"/>
      <c r="R5" s="48"/>
      <c r="S5" s="8"/>
      <c r="T5" s="8"/>
      <c r="U5" s="8"/>
      <c r="V5" s="8"/>
      <c r="W5" s="8"/>
      <c r="X5" s="8"/>
    </row>
    <row r="6" spans="1:30" ht="38.25" x14ac:dyDescent="0.25">
      <c r="B6" s="124"/>
      <c r="C6" s="122"/>
      <c r="D6" s="122"/>
      <c r="E6" s="122"/>
      <c r="F6" s="125"/>
      <c r="G6" s="122"/>
      <c r="H6" s="126"/>
      <c r="I6" s="122"/>
      <c r="J6" s="122"/>
      <c r="K6" s="69" t="s">
        <v>8</v>
      </c>
      <c r="L6" s="69" t="s">
        <v>9</v>
      </c>
      <c r="M6" s="69" t="s">
        <v>10</v>
      </c>
      <c r="N6" s="69" t="s">
        <v>11</v>
      </c>
      <c r="O6" s="69" t="s">
        <v>9</v>
      </c>
      <c r="P6" s="69" t="s">
        <v>84</v>
      </c>
      <c r="Q6" s="69" t="s">
        <v>100</v>
      </c>
      <c r="R6" s="69" t="s">
        <v>82</v>
      </c>
      <c r="S6" s="69" t="s">
        <v>55</v>
      </c>
      <c r="T6" s="69" t="s">
        <v>85</v>
      </c>
      <c r="U6" s="69" t="s">
        <v>54</v>
      </c>
      <c r="V6" s="69" t="s">
        <v>95</v>
      </c>
      <c r="W6" s="69" t="s">
        <v>96</v>
      </c>
      <c r="X6" s="69" t="s">
        <v>53</v>
      </c>
      <c r="Y6" s="69" t="s">
        <v>88</v>
      </c>
      <c r="Z6" s="69" t="s">
        <v>87</v>
      </c>
      <c r="AA6" s="69" t="s">
        <v>86</v>
      </c>
      <c r="AB6" s="69" t="s">
        <v>43</v>
      </c>
      <c r="AC6" s="69" t="s">
        <v>75</v>
      </c>
    </row>
    <row r="7" spans="1:30" x14ac:dyDescent="0.25">
      <c r="A7" s="29">
        <v>1</v>
      </c>
      <c r="B7" s="28" t="b">
        <f ca="1">AB7</f>
        <v>0</v>
      </c>
      <c r="C7" s="59" t="s">
        <v>148</v>
      </c>
      <c r="D7" s="25" t="s">
        <v>77</v>
      </c>
      <c r="E7" s="61" t="s">
        <v>67</v>
      </c>
      <c r="F7" s="108">
        <v>2</v>
      </c>
      <c r="G7" s="108" t="s">
        <v>14</v>
      </c>
      <c r="H7" s="110">
        <f ca="1">IF($E7="IMM",_xll.meDateNthIMMFromStartDate(AsOf, $F7,$AC7,"MOD_FOLLOWING"),_xll.meDateFromTenor(AsOf,$F7&amp;"D","MOD_FOLLOWING",$AC7))</f>
        <v>43091</v>
      </c>
      <c r="I7" s="87" t="s">
        <v>153</v>
      </c>
      <c r="J7" s="26" t="s">
        <v>16</v>
      </c>
      <c r="K7" s="26" t="s">
        <v>56</v>
      </c>
      <c r="L7" s="26" t="s">
        <v>42</v>
      </c>
      <c r="M7" s="26" t="s">
        <v>64</v>
      </c>
      <c r="N7" s="26" t="s">
        <v>56</v>
      </c>
      <c r="O7" s="45" t="s">
        <v>48</v>
      </c>
      <c r="P7" s="34">
        <f t="shared" ref="P7:P48" ca="1" si="0">MATCH(M7,$L$54:$L$61,0)</f>
        <v>5</v>
      </c>
      <c r="Q7" s="35" t="str">
        <f ca="1">IF(E7="SPOT",E7,E7&amp;IF(H7=USD3ML.IMMIMM1, 1,IF(H7=USD3ML.IMMIMM2,2,"NotInScope")))</f>
        <v>SPOT</v>
      </c>
      <c r="R7" s="44">
        <f ca="1">IF($I7="","",IF(ISNUMBER($I7),$I7,_xll.meDateFromTenor(H7,$I7,"MOD_FOLLOWING",VLOOKUP(LEFT($M7,3),DateConventions,3))))</f>
        <v>44929</v>
      </c>
      <c r="S7" s="35" t="b">
        <f ca="1">ISNUMBER(SEARCH($E7, INDEX($E$54:$E$61,$P7)))</f>
        <v>1</v>
      </c>
      <c r="T7" s="35" t="b">
        <f t="shared" ref="T7:T48" ca="1" si="1">ISNUMBER(SEARCH($G7, INDEX($G$54:$G$61,$P7)))</f>
        <v>1</v>
      </c>
      <c r="U7" s="35" t="b">
        <f t="shared" ref="U7:U48" ca="1" si="2">ISNUMBER(SEARCH($J7, INDEX($I$54:$I$61,$P7)))</f>
        <v>1</v>
      </c>
      <c r="V7" s="35" t="b">
        <f t="shared" ref="V7:V48" ca="1" si="3">IF(S7,$H7=INDIRECT(M7&amp;Q7),FALSE)</f>
        <v>1</v>
      </c>
      <c r="W7" s="39" t="b">
        <f t="shared" ref="W7:W48" ca="1" si="4">IF(ISNUMBER(MATCH($R7,INDIRECT(M7&amp;Q7&amp;".Lower"),1)), $R7&lt;=INDEX(INDIRECT(M7&amp;Q7&amp;".Upper"),MATCH($R7,INDIRECT(M7&amp;Q7&amp;".Lower"),1)), FALSE)</f>
        <v>0</v>
      </c>
      <c r="X7" s="35" t="b">
        <f t="shared" ref="X7:X48" ca="1" si="5">ISNUMBER(SEARCH($K7, INDEX($J$54:$J$61,$P7)))</f>
        <v>1</v>
      </c>
      <c r="Y7" s="36" t="b">
        <f t="shared" ref="Y7:Y48" ca="1" si="6">ISNUMBER(SEARCH($L7, INDEX($K$54:$K$61,$P7)))</f>
        <v>1</v>
      </c>
      <c r="Z7" s="36" t="b">
        <f ca="1">ISNUMBER(SEARCH($N7, INDEX($M$54:$M$61,$P7)))</f>
        <v>1</v>
      </c>
      <c r="AA7" s="36" t="b">
        <f t="shared" ref="AA7:AA48" ca="1" si="7">ISNUMBER(SEARCH($O7, INDEX($N$54:$N$61,$P7)))</f>
        <v>1</v>
      </c>
      <c r="AB7" s="66" t="b">
        <f t="shared" ref="AB7:AB48" ca="1" si="8">AND(S7:AA7)</f>
        <v>0</v>
      </c>
      <c r="AC7" s="63" t="str">
        <f ca="1">IF($D7="USD","NYB",IF($D7="EUR","TGT",IF($D7="GBP","LNB","")))</f>
        <v>NYB</v>
      </c>
    </row>
    <row r="8" spans="1:30" x14ac:dyDescent="0.25">
      <c r="A8" s="29">
        <v>2</v>
      </c>
      <c r="B8" s="49" t="b">
        <f t="shared" ref="B8:B48" ca="1" si="9">AB8</f>
        <v>1</v>
      </c>
      <c r="C8" s="60" t="s">
        <v>148</v>
      </c>
      <c r="D8" s="22" t="s">
        <v>77</v>
      </c>
      <c r="E8" s="62" t="s">
        <v>67</v>
      </c>
      <c r="F8" s="22">
        <v>2</v>
      </c>
      <c r="G8" s="22" t="s">
        <v>14</v>
      </c>
      <c r="H8" s="57">
        <f ca="1">IF($E8="IMM",_xll.meDateNthIMMFromStartDate(AsOf, $F8,$AC8,"MOD_FOLLOWING"),_xll.meDateFromTenor(AsOf,$F8&amp;"D","MOD_FOLLOWING",$AC8))</f>
        <v>43091</v>
      </c>
      <c r="I8" s="88" t="s">
        <v>152</v>
      </c>
      <c r="J8" s="23" t="s">
        <v>16</v>
      </c>
      <c r="K8" s="23" t="s">
        <v>56</v>
      </c>
      <c r="L8" s="23" t="s">
        <v>42</v>
      </c>
      <c r="M8" s="23" t="s">
        <v>64</v>
      </c>
      <c r="N8" s="23" t="s">
        <v>56</v>
      </c>
      <c r="O8" s="46" t="s">
        <v>48</v>
      </c>
      <c r="P8" s="37">
        <f t="shared" ca="1" si="0"/>
        <v>5</v>
      </c>
      <c r="Q8" s="38" t="str">
        <f ca="1">IF(E8="SPOT",E8,E8&amp;IF(H8=USD3ML.IMMIMM1, 1,IF(H8=USD3ML.IMMIMM2,2,"NotInScope")))</f>
        <v>SPOT</v>
      </c>
      <c r="R8" s="57">
        <f ca="1">IF($I8="","",IF(ISNUMBER($I8),$I8,_xll.meDateFromTenor(H8,$I8,"MOD_FOLLOWING",VLOOKUP(LEFT($M8,3),DateConventions,3))))</f>
        <v>44925</v>
      </c>
      <c r="S8" s="38" t="b">
        <f t="shared" ref="S8:S48" ca="1" si="10">ISNUMBER(SEARCH($E8, INDEX($E$54:$E$61,$P8)))</f>
        <v>1</v>
      </c>
      <c r="T8" s="38" t="b">
        <f t="shared" ca="1" si="1"/>
        <v>1</v>
      </c>
      <c r="U8" s="38" t="b">
        <f t="shared" ca="1" si="2"/>
        <v>1</v>
      </c>
      <c r="V8" s="38" t="b">
        <f t="shared" ca="1" si="3"/>
        <v>1</v>
      </c>
      <c r="W8" s="39" t="b">
        <f t="shared" ca="1" si="4"/>
        <v>1</v>
      </c>
      <c r="X8" s="38" t="b">
        <f t="shared" ca="1" si="5"/>
        <v>1</v>
      </c>
      <c r="Y8" s="40" t="b">
        <f t="shared" ca="1" si="6"/>
        <v>1</v>
      </c>
      <c r="Z8" s="40" t="b">
        <f t="shared" ref="Z8:Z48" ca="1" si="11">ISNUMBER(SEARCH($N8, INDEX($M$54:$M$61,$P8)))</f>
        <v>1</v>
      </c>
      <c r="AA8" s="40" t="b">
        <f t="shared" ca="1" si="7"/>
        <v>1</v>
      </c>
      <c r="AB8" s="67" t="b">
        <f t="shared" ca="1" si="8"/>
        <v>1</v>
      </c>
      <c r="AC8" s="64" t="str">
        <f ca="1">IF($D8="USD","NYB",IF($D8="EUR","TGT",IF($D8="GBP","LNB","")))</f>
        <v>NYB</v>
      </c>
    </row>
    <row r="9" spans="1:30" x14ac:dyDescent="0.25">
      <c r="A9" s="29">
        <v>3</v>
      </c>
      <c r="B9" s="49" t="b">
        <f t="shared" ca="1" si="9"/>
        <v>1</v>
      </c>
      <c r="C9" s="60" t="s">
        <v>148</v>
      </c>
      <c r="D9" s="22" t="s">
        <v>77</v>
      </c>
      <c r="E9" s="62" t="s">
        <v>67</v>
      </c>
      <c r="F9" s="22">
        <v>2</v>
      </c>
      <c r="G9" s="22" t="s">
        <v>14</v>
      </c>
      <c r="H9" s="57">
        <f ca="1">IF($E9="IMM",_xll.meDateNthIMMFromStartDate(AsOf, $F9,$AC9,"MOD_FOLLOWING"),_xll.meDateFromTenor(AsOf,$F9&amp;"D","MOD_FOLLOWING",$AC9))</f>
        <v>43091</v>
      </c>
      <c r="I9" s="88" t="s">
        <v>29</v>
      </c>
      <c r="J9" s="23" t="s">
        <v>16</v>
      </c>
      <c r="K9" s="23" t="s">
        <v>56</v>
      </c>
      <c r="L9" s="23" t="s">
        <v>42</v>
      </c>
      <c r="M9" s="23" t="s">
        <v>64</v>
      </c>
      <c r="N9" s="23" t="s">
        <v>56</v>
      </c>
      <c r="O9" s="46" t="s">
        <v>48</v>
      </c>
      <c r="P9" s="37">
        <f t="shared" ca="1" si="0"/>
        <v>5</v>
      </c>
      <c r="Q9" s="38" t="str">
        <f ca="1">IF(E9="SPOT",E9,E9&amp;IF(H9=USD3ML.IMMIMM1, 1,IF(H9=USD3ML.IMMIMM2,2,"NotInScope")))</f>
        <v>SPOT</v>
      </c>
      <c r="R9" s="57">
        <f ca="1">IF($I9="","",IF(ISNUMBER($I9),$I9,_xll.meDateFromTenor(H9,$I9,"MOD_FOLLOWING",VLOOKUP(LEFT($M9,3),DateConventions,3))))</f>
        <v>44917</v>
      </c>
      <c r="S9" s="38" t="b">
        <f t="shared" ca="1" si="10"/>
        <v>1</v>
      </c>
      <c r="T9" s="38" t="b">
        <f t="shared" ca="1" si="1"/>
        <v>1</v>
      </c>
      <c r="U9" s="38" t="b">
        <f t="shared" ca="1" si="2"/>
        <v>1</v>
      </c>
      <c r="V9" s="38" t="b">
        <f t="shared" ca="1" si="3"/>
        <v>1</v>
      </c>
      <c r="W9" s="39" t="b">
        <f t="shared" ca="1" si="4"/>
        <v>1</v>
      </c>
      <c r="X9" s="38" t="b">
        <f t="shared" ca="1" si="5"/>
        <v>1</v>
      </c>
      <c r="Y9" s="40" t="b">
        <f t="shared" ca="1" si="6"/>
        <v>1</v>
      </c>
      <c r="Z9" s="40" t="b">
        <f ca="1">ISNUMBER(SEARCH($N9, INDEX($M$54:$M$61,$P9)))</f>
        <v>1</v>
      </c>
      <c r="AA9" s="40" t="b">
        <f t="shared" ca="1" si="7"/>
        <v>1</v>
      </c>
      <c r="AB9" s="67" t="b">
        <f t="shared" ca="1" si="8"/>
        <v>1</v>
      </c>
      <c r="AC9" s="64" t="str">
        <f ca="1">IF($D9="USD","NYB",IF($D9="EUR","TGT",IF($D9="GBP","LNB","")))</f>
        <v>NYB</v>
      </c>
    </row>
    <row r="10" spans="1:30" x14ac:dyDescent="0.25">
      <c r="A10" s="29">
        <v>4</v>
      </c>
      <c r="B10" s="49" t="b">
        <f t="shared" ca="1" si="9"/>
        <v>1</v>
      </c>
      <c r="C10" s="60" t="s">
        <v>148</v>
      </c>
      <c r="D10" s="22" t="s">
        <v>77</v>
      </c>
      <c r="E10" s="62" t="s">
        <v>67</v>
      </c>
      <c r="F10" s="22">
        <v>2</v>
      </c>
      <c r="G10" s="22" t="s">
        <v>14</v>
      </c>
      <c r="H10" s="57">
        <f ca="1">IF($E10="IMM",_xll.meDateNthIMMFromStartDate(AsOf, $F10,$AC10,"MOD_FOLLOWING"),_xll.meDateFromTenor(AsOf,$F10&amp;"D","MOD_FOLLOWING",$AC10))</f>
        <v>43091</v>
      </c>
      <c r="I10" s="88" t="s">
        <v>29</v>
      </c>
      <c r="J10" s="23" t="s">
        <v>16</v>
      </c>
      <c r="K10" s="23" t="s">
        <v>56</v>
      </c>
      <c r="L10" s="23" t="s">
        <v>42</v>
      </c>
      <c r="M10" s="23" t="s">
        <v>64</v>
      </c>
      <c r="N10" s="23" t="s">
        <v>56</v>
      </c>
      <c r="O10" s="46" t="s">
        <v>48</v>
      </c>
      <c r="P10" s="37">
        <f t="shared" ca="1" si="0"/>
        <v>5</v>
      </c>
      <c r="Q10" s="38" t="str">
        <f ca="1">IF(E10="SPOT",E10,E10&amp;IF(H10=USD3ML.IMMIMM1, 1,IF(H10=USD3ML.IMMIMM2,2,"999")))</f>
        <v>SPOT</v>
      </c>
      <c r="R10" s="57">
        <f ca="1">IF($I10="","",IF(ISNUMBER($I10),$I10,_xll.meDateFromTenor(H10,$I10,"MOD_FOLLOWING",VLOOKUP(LEFT($M10,3),DateConventions,3))))</f>
        <v>44917</v>
      </c>
      <c r="S10" s="38" t="b">
        <f ca="1">ISNUMBER(SEARCH($E10, INDEX($E$54:$E$61,$P10)))</f>
        <v>1</v>
      </c>
      <c r="T10" s="38" t="b">
        <f t="shared" ca="1" si="1"/>
        <v>1</v>
      </c>
      <c r="U10" s="38" t="b">
        <f t="shared" ca="1" si="2"/>
        <v>1</v>
      </c>
      <c r="V10" s="38" t="b">
        <f t="shared" ca="1" si="3"/>
        <v>1</v>
      </c>
      <c r="W10" s="39" t="b">
        <f t="shared" ca="1" si="4"/>
        <v>1</v>
      </c>
      <c r="X10" s="38" t="b">
        <f t="shared" ca="1" si="5"/>
        <v>1</v>
      </c>
      <c r="Y10" s="40" t="b">
        <f t="shared" ca="1" si="6"/>
        <v>1</v>
      </c>
      <c r="Z10" s="40" t="b">
        <f t="shared" ca="1" si="11"/>
        <v>1</v>
      </c>
      <c r="AA10" s="40" t="b">
        <f t="shared" ca="1" si="7"/>
        <v>1</v>
      </c>
      <c r="AB10" s="67" t="b">
        <f t="shared" ca="1" si="8"/>
        <v>1</v>
      </c>
      <c r="AC10" s="64" t="str">
        <f t="shared" ref="AC10:AC48" ca="1" si="12">IF($D10="USD","NYB",IF($D10="EUR","TGT",IF($D10="GBP","LNB","")))</f>
        <v>NYB</v>
      </c>
    </row>
    <row r="11" spans="1:30" x14ac:dyDescent="0.25">
      <c r="A11" s="29">
        <v>5</v>
      </c>
      <c r="B11" s="49" t="b">
        <f t="shared" ca="1" si="9"/>
        <v>1</v>
      </c>
      <c r="C11" s="60" t="s">
        <v>148</v>
      </c>
      <c r="D11" s="22" t="s">
        <v>77</v>
      </c>
      <c r="E11" s="62" t="s">
        <v>67</v>
      </c>
      <c r="F11" s="22">
        <v>2</v>
      </c>
      <c r="G11" s="22" t="s">
        <v>14</v>
      </c>
      <c r="H11" s="57">
        <f ca="1">IF($E11="IMM",_xll.meDateNthIMMFromStartDate(AsOf, $F11,$AC11,"MOD_FOLLOWING"),_xll.meDateFromTenor(AsOf,$F11&amp;"D","MOD_FOLLOWING",$AC11))</f>
        <v>43091</v>
      </c>
      <c r="I11" s="88" t="s">
        <v>29</v>
      </c>
      <c r="J11" s="23" t="s">
        <v>16</v>
      </c>
      <c r="K11" s="23" t="s">
        <v>56</v>
      </c>
      <c r="L11" s="23" t="s">
        <v>42</v>
      </c>
      <c r="M11" s="23" t="s">
        <v>64</v>
      </c>
      <c r="N11" s="23" t="s">
        <v>56</v>
      </c>
      <c r="O11" s="46" t="s">
        <v>48</v>
      </c>
      <c r="P11" s="37">
        <f t="shared" ca="1" si="0"/>
        <v>5</v>
      </c>
      <c r="Q11" s="38" t="str">
        <f t="shared" ref="Q11:Q48" ca="1" si="13">IF(E11="SPOT",E11,E11&amp;IF(H11=USD3ML.IMMIMM1, 1,IF(H11=USD3ML.IMMIMM2,2,"NotInScope")))</f>
        <v>SPOT</v>
      </c>
      <c r="R11" s="57">
        <f ca="1">IF($I11="","",IF(ISNUMBER($I11),$I11,_xll.meDateFromTenor(H11,$I11,"MOD_FOLLOWING",VLOOKUP(LEFT($M11,3),DateConventions,3))))</f>
        <v>44917</v>
      </c>
      <c r="S11" s="38" t="b">
        <f t="shared" ca="1" si="10"/>
        <v>1</v>
      </c>
      <c r="T11" s="38" t="b">
        <f t="shared" ca="1" si="1"/>
        <v>1</v>
      </c>
      <c r="U11" s="38" t="b">
        <f t="shared" ca="1" si="2"/>
        <v>1</v>
      </c>
      <c r="V11" s="38" t="b">
        <f t="shared" ca="1" si="3"/>
        <v>1</v>
      </c>
      <c r="W11" s="39" t="b">
        <f t="shared" ca="1" si="4"/>
        <v>1</v>
      </c>
      <c r="X11" s="38" t="b">
        <f t="shared" ca="1" si="5"/>
        <v>1</v>
      </c>
      <c r="Y11" s="40" t="b">
        <f t="shared" ca="1" si="6"/>
        <v>1</v>
      </c>
      <c r="Z11" s="40" t="b">
        <f t="shared" ca="1" si="11"/>
        <v>1</v>
      </c>
      <c r="AA11" s="40" t="b">
        <f t="shared" ca="1" si="7"/>
        <v>1</v>
      </c>
      <c r="AB11" s="67" t="b">
        <f t="shared" ca="1" si="8"/>
        <v>1</v>
      </c>
      <c r="AC11" s="64" t="str">
        <f t="shared" ca="1" si="12"/>
        <v>NYB</v>
      </c>
    </row>
    <row r="12" spans="1:30" x14ac:dyDescent="0.25">
      <c r="A12" s="29">
        <v>6</v>
      </c>
      <c r="B12" s="49" t="b">
        <f t="shared" ca="1" si="9"/>
        <v>1</v>
      </c>
      <c r="C12" s="60" t="s">
        <v>148</v>
      </c>
      <c r="D12" s="22" t="s">
        <v>77</v>
      </c>
      <c r="E12" s="62" t="s">
        <v>67</v>
      </c>
      <c r="F12" s="22">
        <v>2</v>
      </c>
      <c r="G12" s="22" t="s">
        <v>14</v>
      </c>
      <c r="H12" s="58">
        <f ca="1">IF($E12="IMM",_xll.meDateNthIMMFromStartDate(AsOf, $F12,$AC12,"MOD_FOLLOWING"),_xll.meDateFromTenor(AsOf,$F12&amp;"D","MOD_FOLLOWING",$AC12))</f>
        <v>43091</v>
      </c>
      <c r="I12" s="88" t="s">
        <v>29</v>
      </c>
      <c r="J12" s="23" t="s">
        <v>16</v>
      </c>
      <c r="K12" s="23" t="s">
        <v>56</v>
      </c>
      <c r="L12" s="23" t="s">
        <v>42</v>
      </c>
      <c r="M12" s="23" t="s">
        <v>64</v>
      </c>
      <c r="N12" s="23" t="s">
        <v>56</v>
      </c>
      <c r="O12" s="46" t="s">
        <v>48</v>
      </c>
      <c r="P12" s="37">
        <f t="shared" ca="1" si="0"/>
        <v>5</v>
      </c>
      <c r="Q12" s="38" t="str">
        <f t="shared" ca="1" si="13"/>
        <v>SPOT</v>
      </c>
      <c r="R12" s="57">
        <f ca="1">IF($I12="","",IF(ISNUMBER($I12),$I12,_xll.meDateFromTenor(H12,$I12,"MOD_FOLLOWING",VLOOKUP(LEFT($M12,3),DateConventions,3))))</f>
        <v>44917</v>
      </c>
      <c r="S12" s="38" t="b">
        <f t="shared" ca="1" si="10"/>
        <v>1</v>
      </c>
      <c r="T12" s="38" t="b">
        <f t="shared" ca="1" si="1"/>
        <v>1</v>
      </c>
      <c r="U12" s="38" t="b">
        <f t="shared" ca="1" si="2"/>
        <v>1</v>
      </c>
      <c r="V12" s="38" t="b">
        <f t="shared" ca="1" si="3"/>
        <v>1</v>
      </c>
      <c r="W12" s="39" t="b">
        <f t="shared" ca="1" si="4"/>
        <v>1</v>
      </c>
      <c r="X12" s="38" t="b">
        <f t="shared" ca="1" si="5"/>
        <v>1</v>
      </c>
      <c r="Y12" s="40" t="b">
        <f t="shared" ca="1" si="6"/>
        <v>1</v>
      </c>
      <c r="Z12" s="40" t="b">
        <f t="shared" ca="1" si="11"/>
        <v>1</v>
      </c>
      <c r="AA12" s="40" t="b">
        <f t="shared" ca="1" si="7"/>
        <v>1</v>
      </c>
      <c r="AB12" s="67" t="b">
        <f t="shared" ca="1" si="8"/>
        <v>1</v>
      </c>
      <c r="AC12" s="64" t="str">
        <f t="shared" ca="1" si="12"/>
        <v>NYB</v>
      </c>
    </row>
    <row r="13" spans="1:30" x14ac:dyDescent="0.25">
      <c r="A13" s="29">
        <v>7</v>
      </c>
      <c r="B13" s="49" t="b">
        <f t="shared" ca="1" si="9"/>
        <v>1</v>
      </c>
      <c r="C13" s="60" t="s">
        <v>148</v>
      </c>
      <c r="D13" s="22" t="s">
        <v>77</v>
      </c>
      <c r="E13" s="62" t="s">
        <v>67</v>
      </c>
      <c r="F13" s="22">
        <v>2</v>
      </c>
      <c r="G13" s="22" t="s">
        <v>14</v>
      </c>
      <c r="H13" s="58">
        <f ca="1">IF($E13="IMM",_xll.meDateNthIMMFromStartDate(AsOf, $F13,$AC13,"MOD_FOLLOWING"),_xll.meDateFromTenor(AsOf,$F13&amp;"D","MOD_FOLLOWING",$AC13))</f>
        <v>43091</v>
      </c>
      <c r="I13" s="88" t="s">
        <v>29</v>
      </c>
      <c r="J13" s="23" t="s">
        <v>16</v>
      </c>
      <c r="K13" s="23" t="s">
        <v>56</v>
      </c>
      <c r="L13" s="23" t="s">
        <v>42</v>
      </c>
      <c r="M13" s="23" t="s">
        <v>64</v>
      </c>
      <c r="N13" s="23" t="s">
        <v>56</v>
      </c>
      <c r="O13" s="46" t="s">
        <v>48</v>
      </c>
      <c r="P13" s="37">
        <f t="shared" ca="1" si="0"/>
        <v>5</v>
      </c>
      <c r="Q13" s="38" t="str">
        <f t="shared" ca="1" si="13"/>
        <v>SPOT</v>
      </c>
      <c r="R13" s="57">
        <f ca="1">IF($I13="","",IF(ISNUMBER($I13),$I13,_xll.meDateFromTenor(H13,$I13,"MOD_FOLLOWING",VLOOKUP(LEFT($M13,3),DateConventions,3))))</f>
        <v>44917</v>
      </c>
      <c r="S13" s="38" t="b">
        <f t="shared" ca="1" si="10"/>
        <v>1</v>
      </c>
      <c r="T13" s="38" t="b">
        <f t="shared" ca="1" si="1"/>
        <v>1</v>
      </c>
      <c r="U13" s="38" t="b">
        <f t="shared" ca="1" si="2"/>
        <v>1</v>
      </c>
      <c r="V13" s="38" t="b">
        <f t="shared" ca="1" si="3"/>
        <v>1</v>
      </c>
      <c r="W13" s="39" t="b">
        <f t="shared" ca="1" si="4"/>
        <v>1</v>
      </c>
      <c r="X13" s="38" t="b">
        <f t="shared" ca="1" si="5"/>
        <v>1</v>
      </c>
      <c r="Y13" s="40" t="b">
        <f t="shared" ca="1" si="6"/>
        <v>1</v>
      </c>
      <c r="Z13" s="40" t="b">
        <f t="shared" ca="1" si="11"/>
        <v>1</v>
      </c>
      <c r="AA13" s="40" t="b">
        <f t="shared" ca="1" si="7"/>
        <v>1</v>
      </c>
      <c r="AB13" s="67" t="b">
        <f t="shared" ca="1" si="8"/>
        <v>1</v>
      </c>
      <c r="AC13" s="64" t="str">
        <f t="shared" ca="1" si="12"/>
        <v>NYB</v>
      </c>
    </row>
    <row r="14" spans="1:30" x14ac:dyDescent="0.25">
      <c r="A14" s="29">
        <v>8</v>
      </c>
      <c r="B14" s="49" t="b">
        <f t="shared" ca="1" si="9"/>
        <v>1</v>
      </c>
      <c r="C14" s="60" t="s">
        <v>148</v>
      </c>
      <c r="D14" s="22" t="s">
        <v>77</v>
      </c>
      <c r="E14" s="62" t="s">
        <v>67</v>
      </c>
      <c r="F14" s="22">
        <v>2</v>
      </c>
      <c r="G14" s="22" t="s">
        <v>14</v>
      </c>
      <c r="H14" s="58">
        <f ca="1">IF($E14="IMM",_xll.meDateNthIMMFromStartDate(AsOf, $F14,$AC14,"MOD_FOLLOWING"),_xll.meDateFromTenor(AsOf,$F14&amp;"D","MOD_FOLLOWING",$AC14))</f>
        <v>43091</v>
      </c>
      <c r="I14" s="88" t="s">
        <v>29</v>
      </c>
      <c r="J14" s="23" t="s">
        <v>16</v>
      </c>
      <c r="K14" s="23" t="s">
        <v>56</v>
      </c>
      <c r="L14" s="23" t="s">
        <v>42</v>
      </c>
      <c r="M14" s="23" t="s">
        <v>64</v>
      </c>
      <c r="N14" s="23" t="s">
        <v>56</v>
      </c>
      <c r="O14" s="46" t="s">
        <v>48</v>
      </c>
      <c r="P14" s="37">
        <f t="shared" ca="1" si="0"/>
        <v>5</v>
      </c>
      <c r="Q14" s="38" t="str">
        <f t="shared" ca="1" si="13"/>
        <v>SPOT</v>
      </c>
      <c r="R14" s="57">
        <f ca="1">IF($I14="","",IF(ISNUMBER($I14),$I14,_xll.meDateFromTenor(H14,$I14,"MOD_FOLLOWING",VLOOKUP(LEFT($M14,3),DateConventions,3))))</f>
        <v>44917</v>
      </c>
      <c r="S14" s="38" t="b">
        <f t="shared" ca="1" si="10"/>
        <v>1</v>
      </c>
      <c r="T14" s="38" t="b">
        <f t="shared" ca="1" si="1"/>
        <v>1</v>
      </c>
      <c r="U14" s="38" t="b">
        <f t="shared" ca="1" si="2"/>
        <v>1</v>
      </c>
      <c r="V14" s="38" t="b">
        <f t="shared" ca="1" si="3"/>
        <v>1</v>
      </c>
      <c r="W14" s="39" t="b">
        <f t="shared" ca="1" si="4"/>
        <v>1</v>
      </c>
      <c r="X14" s="38" t="b">
        <f t="shared" ca="1" si="5"/>
        <v>1</v>
      </c>
      <c r="Y14" s="40" t="b">
        <f t="shared" ca="1" si="6"/>
        <v>1</v>
      </c>
      <c r="Z14" s="40" t="b">
        <f t="shared" ca="1" si="11"/>
        <v>1</v>
      </c>
      <c r="AA14" s="40" t="b">
        <f t="shared" ca="1" si="7"/>
        <v>1</v>
      </c>
      <c r="AB14" s="67" t="b">
        <f t="shared" ca="1" si="8"/>
        <v>1</v>
      </c>
      <c r="AC14" s="64" t="str">
        <f t="shared" ca="1" si="12"/>
        <v>NYB</v>
      </c>
    </row>
    <row r="15" spans="1:30" x14ac:dyDescent="0.25">
      <c r="A15" s="29">
        <v>9</v>
      </c>
      <c r="B15" s="49" t="b">
        <f t="shared" ca="1" si="9"/>
        <v>1</v>
      </c>
      <c r="C15" s="60" t="s">
        <v>148</v>
      </c>
      <c r="D15" s="22" t="s">
        <v>77</v>
      </c>
      <c r="E15" s="62" t="s">
        <v>67</v>
      </c>
      <c r="F15" s="22">
        <v>2</v>
      </c>
      <c r="G15" s="22" t="s">
        <v>14</v>
      </c>
      <c r="H15" s="58">
        <f ca="1">IF($E15="IMM",_xll.meDateNthIMMFromStartDate(AsOf, $F15,$AC15,"MOD_FOLLOWING"),_xll.meDateFromTenor(AsOf,$F15&amp;"D","MOD_FOLLOWING",$AC15))</f>
        <v>43091</v>
      </c>
      <c r="I15" s="88" t="s">
        <v>29</v>
      </c>
      <c r="J15" s="23" t="s">
        <v>16</v>
      </c>
      <c r="K15" s="23" t="s">
        <v>56</v>
      </c>
      <c r="L15" s="23" t="s">
        <v>42</v>
      </c>
      <c r="M15" s="23" t="s">
        <v>64</v>
      </c>
      <c r="N15" s="23" t="s">
        <v>56</v>
      </c>
      <c r="O15" s="46" t="s">
        <v>48</v>
      </c>
      <c r="P15" s="37">
        <f t="shared" ca="1" si="0"/>
        <v>5</v>
      </c>
      <c r="Q15" s="38" t="str">
        <f t="shared" ca="1" si="13"/>
        <v>SPOT</v>
      </c>
      <c r="R15" s="57">
        <f ca="1">IF($I15="","",IF(ISNUMBER($I15),$I15,_xll.meDateFromTenor(H15,$I15,"MOD_FOLLOWING",VLOOKUP(LEFT($M15,3),DateConventions,3))))</f>
        <v>44917</v>
      </c>
      <c r="S15" s="38" t="b">
        <f t="shared" ca="1" si="10"/>
        <v>1</v>
      </c>
      <c r="T15" s="38" t="b">
        <f t="shared" ca="1" si="1"/>
        <v>1</v>
      </c>
      <c r="U15" s="38" t="b">
        <f t="shared" ca="1" si="2"/>
        <v>1</v>
      </c>
      <c r="V15" s="38" t="b">
        <f t="shared" ca="1" si="3"/>
        <v>1</v>
      </c>
      <c r="W15" s="39" t="b">
        <f t="shared" ca="1" si="4"/>
        <v>1</v>
      </c>
      <c r="X15" s="38" t="b">
        <f t="shared" ca="1" si="5"/>
        <v>1</v>
      </c>
      <c r="Y15" s="40" t="b">
        <f t="shared" ca="1" si="6"/>
        <v>1</v>
      </c>
      <c r="Z15" s="40" t="b">
        <f t="shared" ca="1" si="11"/>
        <v>1</v>
      </c>
      <c r="AA15" s="40" t="b">
        <f t="shared" ca="1" si="7"/>
        <v>1</v>
      </c>
      <c r="AB15" s="67" t="b">
        <f t="shared" ca="1" si="8"/>
        <v>1</v>
      </c>
      <c r="AC15" s="64" t="str">
        <f t="shared" ca="1" si="12"/>
        <v>NYB</v>
      </c>
    </row>
    <row r="16" spans="1:30" x14ac:dyDescent="0.25">
      <c r="A16" s="29">
        <v>10</v>
      </c>
      <c r="B16" s="49" t="b">
        <f t="shared" ca="1" si="9"/>
        <v>1</v>
      </c>
      <c r="C16" s="60" t="s">
        <v>148</v>
      </c>
      <c r="D16" s="22" t="s">
        <v>77</v>
      </c>
      <c r="E16" s="62" t="s">
        <v>67</v>
      </c>
      <c r="F16" s="22">
        <v>2</v>
      </c>
      <c r="G16" s="22" t="s">
        <v>14</v>
      </c>
      <c r="H16" s="58">
        <f ca="1">IF($E16="IMM",_xll.meDateNthIMMFromStartDate(AsOf, $F16,$AC16,"MOD_FOLLOWING"),_xll.meDateFromTenor(AsOf,$F16&amp;"D","MOD_FOLLOWING",$AC16))</f>
        <v>43091</v>
      </c>
      <c r="I16" s="88" t="s">
        <v>29</v>
      </c>
      <c r="J16" s="23" t="s">
        <v>16</v>
      </c>
      <c r="K16" s="23" t="s">
        <v>56</v>
      </c>
      <c r="L16" s="23" t="s">
        <v>42</v>
      </c>
      <c r="M16" s="23" t="s">
        <v>64</v>
      </c>
      <c r="N16" s="23" t="s">
        <v>56</v>
      </c>
      <c r="O16" s="46" t="s">
        <v>48</v>
      </c>
      <c r="P16" s="37">
        <f t="shared" ca="1" si="0"/>
        <v>5</v>
      </c>
      <c r="Q16" s="38" t="str">
        <f t="shared" ca="1" si="13"/>
        <v>SPOT</v>
      </c>
      <c r="R16" s="57">
        <f ca="1">IF($I16="","",IF(ISNUMBER($I16),$I16,_xll.meDateFromTenor(H16,$I16,"MOD_FOLLOWING",VLOOKUP(LEFT($M16,3),DateConventions,3))))</f>
        <v>44917</v>
      </c>
      <c r="S16" s="38" t="b">
        <f t="shared" ca="1" si="10"/>
        <v>1</v>
      </c>
      <c r="T16" s="38" t="b">
        <f t="shared" ca="1" si="1"/>
        <v>1</v>
      </c>
      <c r="U16" s="38" t="b">
        <f t="shared" ca="1" si="2"/>
        <v>1</v>
      </c>
      <c r="V16" s="38" t="b">
        <f t="shared" ca="1" si="3"/>
        <v>1</v>
      </c>
      <c r="W16" s="39" t="b">
        <f t="shared" ca="1" si="4"/>
        <v>1</v>
      </c>
      <c r="X16" s="38" t="b">
        <f t="shared" ca="1" si="5"/>
        <v>1</v>
      </c>
      <c r="Y16" s="40" t="b">
        <f t="shared" ca="1" si="6"/>
        <v>1</v>
      </c>
      <c r="Z16" s="40" t="b">
        <f t="shared" ca="1" si="11"/>
        <v>1</v>
      </c>
      <c r="AA16" s="40" t="b">
        <f t="shared" ca="1" si="7"/>
        <v>1</v>
      </c>
      <c r="AB16" s="67" t="b">
        <f t="shared" ca="1" si="8"/>
        <v>1</v>
      </c>
      <c r="AC16" s="64" t="str">
        <f t="shared" ca="1" si="12"/>
        <v>NYB</v>
      </c>
    </row>
    <row r="17" spans="1:29" x14ac:dyDescent="0.25">
      <c r="A17" s="29">
        <v>11</v>
      </c>
      <c r="B17" s="49" t="b">
        <f t="shared" ca="1" si="9"/>
        <v>1</v>
      </c>
      <c r="C17" s="60" t="s">
        <v>148</v>
      </c>
      <c r="D17" s="22" t="s">
        <v>77</v>
      </c>
      <c r="E17" s="62" t="s">
        <v>67</v>
      </c>
      <c r="F17" s="22">
        <v>2</v>
      </c>
      <c r="G17" s="22" t="s">
        <v>14</v>
      </c>
      <c r="H17" s="58">
        <f ca="1">IF($E17="IMM",_xll.meDateNthIMMFromStartDate(AsOf, $F17,$AC17,"MOD_FOLLOWING"),_xll.meDateFromTenor(AsOf,$F17&amp;"D","MOD_FOLLOWING",$AC17))</f>
        <v>43091</v>
      </c>
      <c r="I17" s="88" t="s">
        <v>29</v>
      </c>
      <c r="J17" s="23" t="s">
        <v>16</v>
      </c>
      <c r="K17" s="23" t="s">
        <v>56</v>
      </c>
      <c r="L17" s="23" t="s">
        <v>42</v>
      </c>
      <c r="M17" s="23" t="s">
        <v>64</v>
      </c>
      <c r="N17" s="23" t="s">
        <v>56</v>
      </c>
      <c r="O17" s="46" t="s">
        <v>48</v>
      </c>
      <c r="P17" s="37">
        <f t="shared" ca="1" si="0"/>
        <v>5</v>
      </c>
      <c r="Q17" s="38" t="str">
        <f t="shared" ca="1" si="13"/>
        <v>SPOT</v>
      </c>
      <c r="R17" s="57">
        <f ca="1">IF($I17="","",IF(ISNUMBER($I17),$I17,_xll.meDateFromTenor(H17,$I17,"MOD_FOLLOWING",VLOOKUP(LEFT($M17,3),DateConventions,3))))</f>
        <v>44917</v>
      </c>
      <c r="S17" s="38" t="b">
        <f t="shared" ca="1" si="10"/>
        <v>1</v>
      </c>
      <c r="T17" s="38" t="b">
        <f t="shared" ca="1" si="1"/>
        <v>1</v>
      </c>
      <c r="U17" s="38" t="b">
        <f t="shared" ca="1" si="2"/>
        <v>1</v>
      </c>
      <c r="V17" s="38" t="b">
        <f t="shared" ca="1" si="3"/>
        <v>1</v>
      </c>
      <c r="W17" s="39" t="b">
        <f t="shared" ca="1" si="4"/>
        <v>1</v>
      </c>
      <c r="X17" s="38" t="b">
        <f t="shared" ca="1" si="5"/>
        <v>1</v>
      </c>
      <c r="Y17" s="40" t="b">
        <f t="shared" ca="1" si="6"/>
        <v>1</v>
      </c>
      <c r="Z17" s="40" t="b">
        <f t="shared" ca="1" si="11"/>
        <v>1</v>
      </c>
      <c r="AA17" s="40" t="b">
        <f t="shared" ca="1" si="7"/>
        <v>1</v>
      </c>
      <c r="AB17" s="67" t="b">
        <f t="shared" ca="1" si="8"/>
        <v>1</v>
      </c>
      <c r="AC17" s="64" t="str">
        <f t="shared" ca="1" si="12"/>
        <v>NYB</v>
      </c>
    </row>
    <row r="18" spans="1:29" x14ac:dyDescent="0.25">
      <c r="A18" s="29">
        <v>12</v>
      </c>
      <c r="B18" s="49" t="b">
        <f t="shared" ca="1" si="9"/>
        <v>1</v>
      </c>
      <c r="C18" s="60" t="s">
        <v>148</v>
      </c>
      <c r="D18" s="22" t="s">
        <v>77</v>
      </c>
      <c r="E18" s="62" t="s">
        <v>67</v>
      </c>
      <c r="F18" s="22">
        <v>2</v>
      </c>
      <c r="G18" s="22" t="s">
        <v>14</v>
      </c>
      <c r="H18" s="58">
        <f ca="1">IF($E18="IMM",_xll.meDateNthIMMFromStartDate(AsOf, $F18,$AC18,"MOD_FOLLOWING"),_xll.meDateFromTenor(AsOf,$F18&amp;"D","MOD_FOLLOWING",$AC18))</f>
        <v>43091</v>
      </c>
      <c r="I18" s="88" t="s">
        <v>29</v>
      </c>
      <c r="J18" s="23" t="s">
        <v>16</v>
      </c>
      <c r="K18" s="23" t="s">
        <v>56</v>
      </c>
      <c r="L18" s="23" t="s">
        <v>42</v>
      </c>
      <c r="M18" s="23" t="s">
        <v>64</v>
      </c>
      <c r="N18" s="23" t="s">
        <v>56</v>
      </c>
      <c r="O18" s="46" t="s">
        <v>48</v>
      </c>
      <c r="P18" s="37">
        <f t="shared" ca="1" si="0"/>
        <v>5</v>
      </c>
      <c r="Q18" s="38" t="str">
        <f t="shared" ca="1" si="13"/>
        <v>SPOT</v>
      </c>
      <c r="R18" s="57">
        <f ca="1">IF($I18="","",IF(ISNUMBER($I18),$I18,_xll.meDateFromTenor(H18,$I18,"MOD_FOLLOWING",VLOOKUP(LEFT($M18,3),DateConventions,3))))</f>
        <v>44917</v>
      </c>
      <c r="S18" s="38" t="b">
        <f t="shared" ca="1" si="10"/>
        <v>1</v>
      </c>
      <c r="T18" s="38" t="b">
        <f t="shared" ca="1" si="1"/>
        <v>1</v>
      </c>
      <c r="U18" s="38" t="b">
        <f t="shared" ca="1" si="2"/>
        <v>1</v>
      </c>
      <c r="V18" s="38" t="b">
        <f t="shared" ca="1" si="3"/>
        <v>1</v>
      </c>
      <c r="W18" s="39" t="b">
        <f t="shared" ca="1" si="4"/>
        <v>1</v>
      </c>
      <c r="X18" s="38" t="b">
        <f t="shared" ca="1" si="5"/>
        <v>1</v>
      </c>
      <c r="Y18" s="40" t="b">
        <f t="shared" ca="1" si="6"/>
        <v>1</v>
      </c>
      <c r="Z18" s="40" t="b">
        <f t="shared" ca="1" si="11"/>
        <v>1</v>
      </c>
      <c r="AA18" s="40" t="b">
        <f t="shared" ca="1" si="7"/>
        <v>1</v>
      </c>
      <c r="AB18" s="67" t="b">
        <f t="shared" ca="1" si="8"/>
        <v>1</v>
      </c>
      <c r="AC18" s="64" t="str">
        <f t="shared" ca="1" si="12"/>
        <v>NYB</v>
      </c>
    </row>
    <row r="19" spans="1:29" x14ac:dyDescent="0.25">
      <c r="A19" s="29">
        <v>13</v>
      </c>
      <c r="B19" s="49" t="b">
        <f t="shared" ca="1" si="9"/>
        <v>1</v>
      </c>
      <c r="C19" s="60" t="s">
        <v>148</v>
      </c>
      <c r="D19" s="22" t="s">
        <v>77</v>
      </c>
      <c r="E19" s="62" t="s">
        <v>67</v>
      </c>
      <c r="F19" s="22">
        <v>2</v>
      </c>
      <c r="G19" s="22" t="s">
        <v>14</v>
      </c>
      <c r="H19" s="58">
        <f ca="1">IF($E19="IMM",_xll.meDateNthIMMFromStartDate(AsOf, $F19,$AC19,"MOD_FOLLOWING"),_xll.meDateFromTenor(AsOf,$F19&amp;"D","MOD_FOLLOWING",$AC19))</f>
        <v>43091</v>
      </c>
      <c r="I19" s="88" t="s">
        <v>29</v>
      </c>
      <c r="J19" s="23" t="s">
        <v>16</v>
      </c>
      <c r="K19" s="23" t="s">
        <v>56</v>
      </c>
      <c r="L19" s="23" t="s">
        <v>42</v>
      </c>
      <c r="M19" s="23" t="s">
        <v>64</v>
      </c>
      <c r="N19" s="23" t="s">
        <v>56</v>
      </c>
      <c r="O19" s="46" t="s">
        <v>48</v>
      </c>
      <c r="P19" s="37">
        <f t="shared" ca="1" si="0"/>
        <v>5</v>
      </c>
      <c r="Q19" s="38" t="str">
        <f t="shared" ca="1" si="13"/>
        <v>SPOT</v>
      </c>
      <c r="R19" s="57">
        <f ca="1">IF($I19="","",IF(ISNUMBER($I19),$I19,_xll.meDateFromTenor(H19,$I19,"MOD_FOLLOWING",VLOOKUP(LEFT($M19,3),DateConventions,3))))</f>
        <v>44917</v>
      </c>
      <c r="S19" s="38" t="b">
        <f t="shared" ca="1" si="10"/>
        <v>1</v>
      </c>
      <c r="T19" s="38" t="b">
        <f t="shared" ca="1" si="1"/>
        <v>1</v>
      </c>
      <c r="U19" s="38" t="b">
        <f t="shared" ca="1" si="2"/>
        <v>1</v>
      </c>
      <c r="V19" s="38" t="b">
        <f t="shared" ca="1" si="3"/>
        <v>1</v>
      </c>
      <c r="W19" s="39" t="b">
        <f t="shared" ca="1" si="4"/>
        <v>1</v>
      </c>
      <c r="X19" s="38" t="b">
        <f t="shared" ca="1" si="5"/>
        <v>1</v>
      </c>
      <c r="Y19" s="40" t="b">
        <f t="shared" ca="1" si="6"/>
        <v>1</v>
      </c>
      <c r="Z19" s="40" t="b">
        <f t="shared" ca="1" si="11"/>
        <v>1</v>
      </c>
      <c r="AA19" s="40" t="b">
        <f t="shared" ca="1" si="7"/>
        <v>1</v>
      </c>
      <c r="AB19" s="67" t="b">
        <f t="shared" ca="1" si="8"/>
        <v>1</v>
      </c>
      <c r="AC19" s="64" t="str">
        <f t="shared" ca="1" si="12"/>
        <v>NYB</v>
      </c>
    </row>
    <row r="20" spans="1:29" x14ac:dyDescent="0.25">
      <c r="A20" s="29">
        <v>14</v>
      </c>
      <c r="B20" s="49" t="b">
        <f t="shared" ca="1" si="9"/>
        <v>1</v>
      </c>
      <c r="C20" s="60" t="s">
        <v>148</v>
      </c>
      <c r="D20" s="22" t="s">
        <v>77</v>
      </c>
      <c r="E20" s="62" t="s">
        <v>67</v>
      </c>
      <c r="F20" s="22">
        <v>2</v>
      </c>
      <c r="G20" s="22" t="s">
        <v>14</v>
      </c>
      <c r="H20" s="58">
        <f ca="1">IF($E20="IMM",_xll.meDateNthIMMFromStartDate(AsOf, $F20,$AC20,"MOD_FOLLOWING"),_xll.meDateFromTenor(AsOf,$F20&amp;"D","MOD_FOLLOWING",$AC20))</f>
        <v>43091</v>
      </c>
      <c r="I20" s="88" t="s">
        <v>29</v>
      </c>
      <c r="J20" s="23" t="s">
        <v>16</v>
      </c>
      <c r="K20" s="23" t="s">
        <v>56</v>
      </c>
      <c r="L20" s="23" t="s">
        <v>42</v>
      </c>
      <c r="M20" s="23" t="s">
        <v>64</v>
      </c>
      <c r="N20" s="23" t="s">
        <v>56</v>
      </c>
      <c r="O20" s="46" t="s">
        <v>48</v>
      </c>
      <c r="P20" s="37">
        <f t="shared" ca="1" si="0"/>
        <v>5</v>
      </c>
      <c r="Q20" s="38" t="str">
        <f t="shared" ca="1" si="13"/>
        <v>SPOT</v>
      </c>
      <c r="R20" s="57">
        <f ca="1">IF($I20="","",IF(ISNUMBER($I20),$I20,_xll.meDateFromTenor(H20,$I20,"MOD_FOLLOWING",VLOOKUP(LEFT($M20,3),DateConventions,3))))</f>
        <v>44917</v>
      </c>
      <c r="S20" s="38" t="b">
        <f t="shared" ca="1" si="10"/>
        <v>1</v>
      </c>
      <c r="T20" s="38" t="b">
        <f t="shared" ca="1" si="1"/>
        <v>1</v>
      </c>
      <c r="U20" s="38" t="b">
        <f t="shared" ca="1" si="2"/>
        <v>1</v>
      </c>
      <c r="V20" s="38" t="b">
        <f t="shared" ca="1" si="3"/>
        <v>1</v>
      </c>
      <c r="W20" s="39" t="b">
        <f t="shared" ca="1" si="4"/>
        <v>1</v>
      </c>
      <c r="X20" s="38" t="b">
        <f t="shared" ca="1" si="5"/>
        <v>1</v>
      </c>
      <c r="Y20" s="40" t="b">
        <f t="shared" ca="1" si="6"/>
        <v>1</v>
      </c>
      <c r="Z20" s="40" t="b">
        <f t="shared" ca="1" si="11"/>
        <v>1</v>
      </c>
      <c r="AA20" s="40" t="b">
        <f t="shared" ca="1" si="7"/>
        <v>1</v>
      </c>
      <c r="AB20" s="67" t="b">
        <f t="shared" ca="1" si="8"/>
        <v>1</v>
      </c>
      <c r="AC20" s="64" t="str">
        <f t="shared" ca="1" si="12"/>
        <v>NYB</v>
      </c>
    </row>
    <row r="21" spans="1:29" x14ac:dyDescent="0.25">
      <c r="A21" s="29">
        <v>15</v>
      </c>
      <c r="B21" s="49" t="b">
        <f t="shared" ca="1" si="9"/>
        <v>1</v>
      </c>
      <c r="C21" s="60" t="s">
        <v>148</v>
      </c>
      <c r="D21" s="22" t="s">
        <v>77</v>
      </c>
      <c r="E21" s="62" t="s">
        <v>67</v>
      </c>
      <c r="F21" s="22">
        <v>2</v>
      </c>
      <c r="G21" s="22" t="s">
        <v>14</v>
      </c>
      <c r="H21" s="58">
        <f ca="1">IF($E21="IMM",_xll.meDateNthIMMFromStartDate(AsOf, $F21,$AC21,"MOD_FOLLOWING"),_xll.meDateFromTenor(AsOf,$F21&amp;"D","MOD_FOLLOWING",$AC21))</f>
        <v>43091</v>
      </c>
      <c r="I21" s="88" t="s">
        <v>29</v>
      </c>
      <c r="J21" s="23" t="s">
        <v>16</v>
      </c>
      <c r="K21" s="23" t="s">
        <v>56</v>
      </c>
      <c r="L21" s="23" t="s">
        <v>42</v>
      </c>
      <c r="M21" s="23" t="s">
        <v>64</v>
      </c>
      <c r="N21" s="23" t="s">
        <v>56</v>
      </c>
      <c r="O21" s="46" t="s">
        <v>48</v>
      </c>
      <c r="P21" s="37">
        <f t="shared" ca="1" si="0"/>
        <v>5</v>
      </c>
      <c r="Q21" s="38" t="str">
        <f t="shared" ca="1" si="13"/>
        <v>SPOT</v>
      </c>
      <c r="R21" s="57">
        <f ca="1">IF($I21="","",IF(ISNUMBER($I21),$I21,_xll.meDateFromTenor(H21,$I21,"MOD_FOLLOWING",VLOOKUP(LEFT($M21,3),DateConventions,3))))</f>
        <v>44917</v>
      </c>
      <c r="S21" s="38" t="b">
        <f t="shared" ca="1" si="10"/>
        <v>1</v>
      </c>
      <c r="T21" s="38" t="b">
        <f t="shared" ca="1" si="1"/>
        <v>1</v>
      </c>
      <c r="U21" s="38" t="b">
        <f t="shared" ca="1" si="2"/>
        <v>1</v>
      </c>
      <c r="V21" s="38" t="b">
        <f t="shared" ca="1" si="3"/>
        <v>1</v>
      </c>
      <c r="W21" s="39" t="b">
        <f t="shared" ca="1" si="4"/>
        <v>1</v>
      </c>
      <c r="X21" s="38" t="b">
        <f t="shared" ca="1" si="5"/>
        <v>1</v>
      </c>
      <c r="Y21" s="40" t="b">
        <f t="shared" ca="1" si="6"/>
        <v>1</v>
      </c>
      <c r="Z21" s="40" t="b">
        <f t="shared" ca="1" si="11"/>
        <v>1</v>
      </c>
      <c r="AA21" s="40" t="b">
        <f t="shared" ca="1" si="7"/>
        <v>1</v>
      </c>
      <c r="AB21" s="67" t="b">
        <f t="shared" ca="1" si="8"/>
        <v>1</v>
      </c>
      <c r="AC21" s="64" t="str">
        <f t="shared" ca="1" si="12"/>
        <v>NYB</v>
      </c>
    </row>
    <row r="22" spans="1:29" x14ac:dyDescent="0.25">
      <c r="A22" s="29">
        <v>16</v>
      </c>
      <c r="B22" s="49" t="b">
        <f t="shared" ca="1" si="9"/>
        <v>1</v>
      </c>
      <c r="C22" s="60" t="s">
        <v>148</v>
      </c>
      <c r="D22" s="22" t="s">
        <v>77</v>
      </c>
      <c r="E22" s="62" t="s">
        <v>67</v>
      </c>
      <c r="F22" s="22">
        <v>2</v>
      </c>
      <c r="G22" s="22" t="s">
        <v>14</v>
      </c>
      <c r="H22" s="58">
        <f ca="1">IF($E22="IMM",_xll.meDateNthIMMFromStartDate(AsOf, $F22,$AC22,"MOD_FOLLOWING"),_xll.meDateFromTenor(AsOf,$F22&amp;"D","MOD_FOLLOWING",$AC22))</f>
        <v>43091</v>
      </c>
      <c r="I22" s="88" t="s">
        <v>29</v>
      </c>
      <c r="J22" s="23" t="s">
        <v>16</v>
      </c>
      <c r="K22" s="23" t="s">
        <v>56</v>
      </c>
      <c r="L22" s="23" t="s">
        <v>42</v>
      </c>
      <c r="M22" s="23" t="s">
        <v>64</v>
      </c>
      <c r="N22" s="23" t="s">
        <v>56</v>
      </c>
      <c r="O22" s="46" t="s">
        <v>48</v>
      </c>
      <c r="P22" s="37">
        <f t="shared" ca="1" si="0"/>
        <v>5</v>
      </c>
      <c r="Q22" s="38" t="str">
        <f t="shared" ca="1" si="13"/>
        <v>SPOT</v>
      </c>
      <c r="R22" s="57">
        <f ca="1">IF($I22="","",IF(ISNUMBER($I22),$I22,_xll.meDateFromTenor(H22,$I22,"MOD_FOLLOWING",VLOOKUP(LEFT($M22,3),DateConventions,3))))</f>
        <v>44917</v>
      </c>
      <c r="S22" s="38" t="b">
        <f t="shared" ca="1" si="10"/>
        <v>1</v>
      </c>
      <c r="T22" s="38" t="b">
        <f t="shared" ca="1" si="1"/>
        <v>1</v>
      </c>
      <c r="U22" s="38" t="b">
        <f t="shared" ca="1" si="2"/>
        <v>1</v>
      </c>
      <c r="V22" s="38" t="b">
        <f t="shared" ca="1" si="3"/>
        <v>1</v>
      </c>
      <c r="W22" s="39" t="b">
        <f t="shared" ca="1" si="4"/>
        <v>1</v>
      </c>
      <c r="X22" s="38" t="b">
        <f t="shared" ca="1" si="5"/>
        <v>1</v>
      </c>
      <c r="Y22" s="40" t="b">
        <f t="shared" ca="1" si="6"/>
        <v>1</v>
      </c>
      <c r="Z22" s="40" t="b">
        <f t="shared" ca="1" si="11"/>
        <v>1</v>
      </c>
      <c r="AA22" s="40" t="b">
        <f t="shared" ca="1" si="7"/>
        <v>1</v>
      </c>
      <c r="AB22" s="67" t="b">
        <f t="shared" ca="1" si="8"/>
        <v>1</v>
      </c>
      <c r="AC22" s="64" t="str">
        <f t="shared" ca="1" si="12"/>
        <v>NYB</v>
      </c>
    </row>
    <row r="23" spans="1:29" x14ac:dyDescent="0.25">
      <c r="A23" s="29">
        <v>17</v>
      </c>
      <c r="B23" s="49" t="b">
        <f t="shared" ca="1" si="9"/>
        <v>1</v>
      </c>
      <c r="C23" s="60" t="s">
        <v>148</v>
      </c>
      <c r="D23" s="22" t="s">
        <v>77</v>
      </c>
      <c r="E23" s="62" t="s">
        <v>67</v>
      </c>
      <c r="F23" s="22">
        <v>2</v>
      </c>
      <c r="G23" s="22" t="s">
        <v>14</v>
      </c>
      <c r="H23" s="58">
        <f ca="1">IF($E23="IMM",_xll.meDateNthIMMFromStartDate(AsOf, $F23,$AC23,"MOD_FOLLOWING"),_xll.meDateFromTenor(AsOf,$F23&amp;"D","MOD_FOLLOWING",$AC23))</f>
        <v>43091</v>
      </c>
      <c r="I23" s="88" t="s">
        <v>29</v>
      </c>
      <c r="J23" s="23" t="s">
        <v>16</v>
      </c>
      <c r="K23" s="23" t="s">
        <v>56</v>
      </c>
      <c r="L23" s="23" t="s">
        <v>42</v>
      </c>
      <c r="M23" s="23" t="s">
        <v>64</v>
      </c>
      <c r="N23" s="23" t="s">
        <v>56</v>
      </c>
      <c r="O23" s="46" t="s">
        <v>48</v>
      </c>
      <c r="P23" s="37">
        <f t="shared" ca="1" si="0"/>
        <v>5</v>
      </c>
      <c r="Q23" s="38" t="str">
        <f t="shared" ca="1" si="13"/>
        <v>SPOT</v>
      </c>
      <c r="R23" s="57">
        <f ca="1">IF($I23="","",IF(ISNUMBER($I23),$I23,_xll.meDateFromTenor(H23,$I23,"MOD_FOLLOWING",VLOOKUP(LEFT($M23,3),DateConventions,3))))</f>
        <v>44917</v>
      </c>
      <c r="S23" s="38" t="b">
        <f t="shared" ca="1" si="10"/>
        <v>1</v>
      </c>
      <c r="T23" s="38" t="b">
        <f t="shared" ca="1" si="1"/>
        <v>1</v>
      </c>
      <c r="U23" s="38" t="b">
        <f t="shared" ca="1" si="2"/>
        <v>1</v>
      </c>
      <c r="V23" s="38" t="b">
        <f t="shared" ca="1" si="3"/>
        <v>1</v>
      </c>
      <c r="W23" s="39" t="b">
        <f t="shared" ca="1" si="4"/>
        <v>1</v>
      </c>
      <c r="X23" s="38" t="b">
        <f t="shared" ca="1" si="5"/>
        <v>1</v>
      </c>
      <c r="Y23" s="40" t="b">
        <f t="shared" ca="1" si="6"/>
        <v>1</v>
      </c>
      <c r="Z23" s="40" t="b">
        <f t="shared" ca="1" si="11"/>
        <v>1</v>
      </c>
      <c r="AA23" s="40" t="b">
        <f t="shared" ca="1" si="7"/>
        <v>1</v>
      </c>
      <c r="AB23" s="67" t="b">
        <f t="shared" ca="1" si="8"/>
        <v>1</v>
      </c>
      <c r="AC23" s="64" t="str">
        <f t="shared" ca="1" si="12"/>
        <v>NYB</v>
      </c>
    </row>
    <row r="24" spans="1:29" x14ac:dyDescent="0.25">
      <c r="A24" s="29">
        <v>18</v>
      </c>
      <c r="B24" s="49" t="b">
        <f t="shared" ca="1" si="9"/>
        <v>1</v>
      </c>
      <c r="C24" s="60" t="s">
        <v>148</v>
      </c>
      <c r="D24" s="22" t="s">
        <v>77</v>
      </c>
      <c r="E24" s="62" t="s">
        <v>67</v>
      </c>
      <c r="F24" s="22">
        <v>2</v>
      </c>
      <c r="G24" s="22" t="s">
        <v>14</v>
      </c>
      <c r="H24" s="58">
        <f ca="1">IF($E24="IMM",_xll.meDateNthIMMFromStartDate(AsOf, $F24,$AC24,"MOD_FOLLOWING"),_xll.meDateFromTenor(AsOf,$F24&amp;"D","MOD_FOLLOWING",$AC24))</f>
        <v>43091</v>
      </c>
      <c r="I24" s="88" t="s">
        <v>29</v>
      </c>
      <c r="J24" s="23" t="s">
        <v>16</v>
      </c>
      <c r="K24" s="23" t="s">
        <v>56</v>
      </c>
      <c r="L24" s="23" t="s">
        <v>42</v>
      </c>
      <c r="M24" s="23" t="s">
        <v>64</v>
      </c>
      <c r="N24" s="23" t="s">
        <v>56</v>
      </c>
      <c r="O24" s="46" t="s">
        <v>48</v>
      </c>
      <c r="P24" s="37">
        <f t="shared" ca="1" si="0"/>
        <v>5</v>
      </c>
      <c r="Q24" s="38" t="str">
        <f t="shared" ca="1" si="13"/>
        <v>SPOT</v>
      </c>
      <c r="R24" s="57">
        <f ca="1">IF($I24="","",IF(ISNUMBER($I24),$I24,_xll.meDateFromTenor(H24,$I24,"MOD_FOLLOWING",VLOOKUP(LEFT($M24,3),DateConventions,3))))</f>
        <v>44917</v>
      </c>
      <c r="S24" s="38" t="b">
        <f t="shared" ca="1" si="10"/>
        <v>1</v>
      </c>
      <c r="T24" s="38" t="b">
        <f t="shared" ca="1" si="1"/>
        <v>1</v>
      </c>
      <c r="U24" s="38" t="b">
        <f t="shared" ca="1" si="2"/>
        <v>1</v>
      </c>
      <c r="V24" s="38" t="b">
        <f t="shared" ca="1" si="3"/>
        <v>1</v>
      </c>
      <c r="W24" s="39" t="b">
        <f t="shared" ca="1" si="4"/>
        <v>1</v>
      </c>
      <c r="X24" s="38" t="b">
        <f t="shared" ca="1" si="5"/>
        <v>1</v>
      </c>
      <c r="Y24" s="40" t="b">
        <f t="shared" ca="1" si="6"/>
        <v>1</v>
      </c>
      <c r="Z24" s="40" t="b">
        <f t="shared" ca="1" si="11"/>
        <v>1</v>
      </c>
      <c r="AA24" s="40" t="b">
        <f t="shared" ca="1" si="7"/>
        <v>1</v>
      </c>
      <c r="AB24" s="67" t="b">
        <f t="shared" ca="1" si="8"/>
        <v>1</v>
      </c>
      <c r="AC24" s="64" t="str">
        <f t="shared" ca="1" si="12"/>
        <v>NYB</v>
      </c>
    </row>
    <row r="25" spans="1:29" x14ac:dyDescent="0.25">
      <c r="A25" s="29">
        <v>19</v>
      </c>
      <c r="B25" s="49" t="b">
        <f t="shared" ca="1" si="9"/>
        <v>1</v>
      </c>
      <c r="C25" s="60" t="s">
        <v>148</v>
      </c>
      <c r="D25" s="22" t="s">
        <v>77</v>
      </c>
      <c r="E25" s="62" t="s">
        <v>67</v>
      </c>
      <c r="F25" s="22">
        <v>2</v>
      </c>
      <c r="G25" s="22" t="s">
        <v>14</v>
      </c>
      <c r="H25" s="58">
        <f ca="1">IF($E25="IMM",_xll.meDateNthIMMFromStartDate(AsOf, $F25,$AC25,"MOD_FOLLOWING"),_xll.meDateFromTenor(AsOf,$F25&amp;"D","MOD_FOLLOWING",$AC25))</f>
        <v>43091</v>
      </c>
      <c r="I25" s="88" t="s">
        <v>29</v>
      </c>
      <c r="J25" s="23" t="s">
        <v>16</v>
      </c>
      <c r="K25" s="23" t="s">
        <v>56</v>
      </c>
      <c r="L25" s="23" t="s">
        <v>42</v>
      </c>
      <c r="M25" s="23" t="s">
        <v>64</v>
      </c>
      <c r="N25" s="23" t="s">
        <v>56</v>
      </c>
      <c r="O25" s="46" t="s">
        <v>48</v>
      </c>
      <c r="P25" s="37">
        <f t="shared" ca="1" si="0"/>
        <v>5</v>
      </c>
      <c r="Q25" s="38" t="str">
        <f t="shared" ca="1" si="13"/>
        <v>SPOT</v>
      </c>
      <c r="R25" s="57">
        <f ca="1">IF($I25="","",IF(ISNUMBER($I25),$I25,_xll.meDateFromTenor(H25,$I25,"MOD_FOLLOWING",VLOOKUP(LEFT($M25,3),DateConventions,3))))</f>
        <v>44917</v>
      </c>
      <c r="S25" s="38" t="b">
        <f t="shared" ca="1" si="10"/>
        <v>1</v>
      </c>
      <c r="T25" s="38" t="b">
        <f t="shared" ca="1" si="1"/>
        <v>1</v>
      </c>
      <c r="U25" s="38" t="b">
        <f t="shared" ca="1" si="2"/>
        <v>1</v>
      </c>
      <c r="V25" s="38" t="b">
        <f t="shared" ca="1" si="3"/>
        <v>1</v>
      </c>
      <c r="W25" s="39" t="b">
        <f t="shared" ca="1" si="4"/>
        <v>1</v>
      </c>
      <c r="X25" s="38" t="b">
        <f t="shared" ca="1" si="5"/>
        <v>1</v>
      </c>
      <c r="Y25" s="40" t="b">
        <f t="shared" ca="1" si="6"/>
        <v>1</v>
      </c>
      <c r="Z25" s="40" t="b">
        <f t="shared" ca="1" si="11"/>
        <v>1</v>
      </c>
      <c r="AA25" s="40" t="b">
        <f t="shared" ca="1" si="7"/>
        <v>1</v>
      </c>
      <c r="AB25" s="67" t="b">
        <f t="shared" ca="1" si="8"/>
        <v>1</v>
      </c>
      <c r="AC25" s="64" t="str">
        <f t="shared" ca="1" si="12"/>
        <v>NYB</v>
      </c>
    </row>
    <row r="26" spans="1:29" x14ac:dyDescent="0.25">
      <c r="A26" s="29">
        <v>20</v>
      </c>
      <c r="B26" s="49" t="b">
        <f t="shared" ca="1" si="9"/>
        <v>1</v>
      </c>
      <c r="C26" s="60" t="s">
        <v>148</v>
      </c>
      <c r="D26" s="22" t="s">
        <v>77</v>
      </c>
      <c r="E26" s="62" t="s">
        <v>67</v>
      </c>
      <c r="F26" s="22">
        <v>2</v>
      </c>
      <c r="G26" s="22" t="s">
        <v>14</v>
      </c>
      <c r="H26" s="58">
        <f ca="1">IF($E26="IMM",_xll.meDateNthIMMFromStartDate(AsOf, $F26,$AC26,"MOD_FOLLOWING"),_xll.meDateFromTenor(AsOf,$F26&amp;"D","MOD_FOLLOWING",$AC26))</f>
        <v>43091</v>
      </c>
      <c r="I26" s="88" t="s">
        <v>29</v>
      </c>
      <c r="J26" s="23" t="s">
        <v>16</v>
      </c>
      <c r="K26" s="23" t="s">
        <v>56</v>
      </c>
      <c r="L26" s="23" t="s">
        <v>42</v>
      </c>
      <c r="M26" s="23" t="s">
        <v>64</v>
      </c>
      <c r="N26" s="23" t="s">
        <v>56</v>
      </c>
      <c r="O26" s="46" t="s">
        <v>48</v>
      </c>
      <c r="P26" s="37">
        <f t="shared" ca="1" si="0"/>
        <v>5</v>
      </c>
      <c r="Q26" s="38" t="str">
        <f t="shared" ca="1" si="13"/>
        <v>SPOT</v>
      </c>
      <c r="R26" s="57">
        <f ca="1">IF($I26="","",IF(ISNUMBER($I26),$I26,_xll.meDateFromTenor(H26,$I26,"MOD_FOLLOWING",VLOOKUP(LEFT($M26,3),DateConventions,3))))</f>
        <v>44917</v>
      </c>
      <c r="S26" s="38" t="b">
        <f t="shared" ca="1" si="10"/>
        <v>1</v>
      </c>
      <c r="T26" s="38" t="b">
        <f t="shared" ca="1" si="1"/>
        <v>1</v>
      </c>
      <c r="U26" s="38" t="b">
        <f t="shared" ca="1" si="2"/>
        <v>1</v>
      </c>
      <c r="V26" s="38" t="b">
        <f t="shared" ca="1" si="3"/>
        <v>1</v>
      </c>
      <c r="W26" s="39" t="b">
        <f t="shared" ca="1" si="4"/>
        <v>1</v>
      </c>
      <c r="X26" s="38" t="b">
        <f t="shared" ca="1" si="5"/>
        <v>1</v>
      </c>
      <c r="Y26" s="40" t="b">
        <f t="shared" ca="1" si="6"/>
        <v>1</v>
      </c>
      <c r="Z26" s="40" t="b">
        <f t="shared" ca="1" si="11"/>
        <v>1</v>
      </c>
      <c r="AA26" s="40" t="b">
        <f t="shared" ca="1" si="7"/>
        <v>1</v>
      </c>
      <c r="AB26" s="67" t="b">
        <f t="shared" ca="1" si="8"/>
        <v>1</v>
      </c>
      <c r="AC26" s="64" t="str">
        <f t="shared" ca="1" si="12"/>
        <v>NYB</v>
      </c>
    </row>
    <row r="27" spans="1:29" x14ac:dyDescent="0.25">
      <c r="A27" s="29">
        <v>21</v>
      </c>
      <c r="B27" s="49" t="b">
        <f t="shared" ca="1" si="9"/>
        <v>1</v>
      </c>
      <c r="C27" s="60" t="s">
        <v>148</v>
      </c>
      <c r="D27" s="22" t="s">
        <v>77</v>
      </c>
      <c r="E27" s="62" t="s">
        <v>67</v>
      </c>
      <c r="F27" s="22">
        <v>2</v>
      </c>
      <c r="G27" s="22" t="s">
        <v>14</v>
      </c>
      <c r="H27" s="58">
        <f ca="1">IF($E27="IMM",_xll.meDateNthIMMFromStartDate(AsOf, $F27,$AC27,"MOD_FOLLOWING"),_xll.meDateFromTenor(AsOf,$F27&amp;"D","MOD_FOLLOWING",$AC27))</f>
        <v>43091</v>
      </c>
      <c r="I27" s="88" t="s">
        <v>29</v>
      </c>
      <c r="J27" s="23" t="s">
        <v>16</v>
      </c>
      <c r="K27" s="23" t="s">
        <v>56</v>
      </c>
      <c r="L27" s="23" t="s">
        <v>42</v>
      </c>
      <c r="M27" s="23" t="s">
        <v>64</v>
      </c>
      <c r="N27" s="23" t="s">
        <v>56</v>
      </c>
      <c r="O27" s="46" t="s">
        <v>48</v>
      </c>
      <c r="P27" s="37">
        <f t="shared" ca="1" si="0"/>
        <v>5</v>
      </c>
      <c r="Q27" s="38" t="str">
        <f t="shared" ca="1" si="13"/>
        <v>SPOT</v>
      </c>
      <c r="R27" s="57">
        <f ca="1">IF($I27="","",IF(ISNUMBER($I27),$I27,_xll.meDateFromTenor(H27,$I27,"MOD_FOLLOWING",VLOOKUP(LEFT($M27,3),DateConventions,3))))</f>
        <v>44917</v>
      </c>
      <c r="S27" s="38" t="b">
        <f t="shared" ca="1" si="10"/>
        <v>1</v>
      </c>
      <c r="T27" s="38" t="b">
        <f t="shared" ca="1" si="1"/>
        <v>1</v>
      </c>
      <c r="U27" s="38" t="b">
        <f t="shared" ca="1" si="2"/>
        <v>1</v>
      </c>
      <c r="V27" s="38" t="b">
        <f t="shared" ca="1" si="3"/>
        <v>1</v>
      </c>
      <c r="W27" s="39" t="b">
        <f t="shared" ca="1" si="4"/>
        <v>1</v>
      </c>
      <c r="X27" s="38" t="b">
        <f t="shared" ca="1" si="5"/>
        <v>1</v>
      </c>
      <c r="Y27" s="40" t="b">
        <f t="shared" ca="1" si="6"/>
        <v>1</v>
      </c>
      <c r="Z27" s="40" t="b">
        <f t="shared" ca="1" si="11"/>
        <v>1</v>
      </c>
      <c r="AA27" s="40" t="b">
        <f t="shared" ca="1" si="7"/>
        <v>1</v>
      </c>
      <c r="AB27" s="67" t="b">
        <f t="shared" ca="1" si="8"/>
        <v>1</v>
      </c>
      <c r="AC27" s="64" t="str">
        <f t="shared" ca="1" si="12"/>
        <v>NYB</v>
      </c>
    </row>
    <row r="28" spans="1:29" x14ac:dyDescent="0.25">
      <c r="A28" s="29">
        <v>22</v>
      </c>
      <c r="B28" s="49" t="b">
        <f t="shared" ca="1" si="9"/>
        <v>1</v>
      </c>
      <c r="C28" s="60" t="s">
        <v>148</v>
      </c>
      <c r="D28" s="22" t="s">
        <v>77</v>
      </c>
      <c r="E28" s="62" t="s">
        <v>67</v>
      </c>
      <c r="F28" s="22">
        <v>2</v>
      </c>
      <c r="G28" s="22" t="s">
        <v>14</v>
      </c>
      <c r="H28" s="58">
        <f ca="1">IF($E28="IMM",_xll.meDateNthIMMFromStartDate(AsOf, $F28,$AC28,"MOD_FOLLOWING"),_xll.meDateFromTenor(AsOf,$F28&amp;"D","MOD_FOLLOWING",$AC28))</f>
        <v>43091</v>
      </c>
      <c r="I28" s="88" t="s">
        <v>29</v>
      </c>
      <c r="J28" s="23" t="s">
        <v>16</v>
      </c>
      <c r="K28" s="23" t="s">
        <v>56</v>
      </c>
      <c r="L28" s="23" t="s">
        <v>42</v>
      </c>
      <c r="M28" s="23" t="s">
        <v>64</v>
      </c>
      <c r="N28" s="23" t="s">
        <v>56</v>
      </c>
      <c r="O28" s="46" t="s">
        <v>48</v>
      </c>
      <c r="P28" s="37">
        <f t="shared" ca="1" si="0"/>
        <v>5</v>
      </c>
      <c r="Q28" s="38" t="str">
        <f t="shared" ca="1" si="13"/>
        <v>SPOT</v>
      </c>
      <c r="R28" s="57">
        <f ca="1">IF($I28="","",IF(ISNUMBER($I28),$I28,_xll.meDateFromTenor(H28,$I28,"MOD_FOLLOWING",VLOOKUP(LEFT($M28,3),DateConventions,3))))</f>
        <v>44917</v>
      </c>
      <c r="S28" s="38" t="b">
        <f t="shared" ca="1" si="10"/>
        <v>1</v>
      </c>
      <c r="T28" s="38" t="b">
        <f t="shared" ca="1" si="1"/>
        <v>1</v>
      </c>
      <c r="U28" s="38" t="b">
        <f t="shared" ca="1" si="2"/>
        <v>1</v>
      </c>
      <c r="V28" s="38" t="b">
        <f t="shared" ca="1" si="3"/>
        <v>1</v>
      </c>
      <c r="W28" s="39" t="b">
        <f t="shared" ca="1" si="4"/>
        <v>1</v>
      </c>
      <c r="X28" s="38" t="b">
        <f t="shared" ca="1" si="5"/>
        <v>1</v>
      </c>
      <c r="Y28" s="40" t="b">
        <f t="shared" ca="1" si="6"/>
        <v>1</v>
      </c>
      <c r="Z28" s="40" t="b">
        <f t="shared" ca="1" si="11"/>
        <v>1</v>
      </c>
      <c r="AA28" s="40" t="b">
        <f t="shared" ca="1" si="7"/>
        <v>1</v>
      </c>
      <c r="AB28" s="67" t="b">
        <f t="shared" ca="1" si="8"/>
        <v>1</v>
      </c>
      <c r="AC28" s="64" t="str">
        <f t="shared" ca="1" si="12"/>
        <v>NYB</v>
      </c>
    </row>
    <row r="29" spans="1:29" x14ac:dyDescent="0.25">
      <c r="A29" s="29">
        <v>23</v>
      </c>
      <c r="B29" s="49" t="b">
        <f t="shared" ca="1" si="9"/>
        <v>1</v>
      </c>
      <c r="C29" s="60" t="s">
        <v>148</v>
      </c>
      <c r="D29" s="22" t="s">
        <v>77</v>
      </c>
      <c r="E29" s="62" t="s">
        <v>67</v>
      </c>
      <c r="F29" s="22">
        <v>2</v>
      </c>
      <c r="G29" s="22" t="s">
        <v>14</v>
      </c>
      <c r="H29" s="58">
        <f ca="1">IF($E29="IMM",_xll.meDateNthIMMFromStartDate(AsOf, $F29,$AC29,"MOD_FOLLOWING"),_xll.meDateFromTenor(AsOf,$F29&amp;"D","MOD_FOLLOWING",$AC29))</f>
        <v>43091</v>
      </c>
      <c r="I29" s="88" t="s">
        <v>29</v>
      </c>
      <c r="J29" s="23" t="s">
        <v>16</v>
      </c>
      <c r="K29" s="23" t="s">
        <v>56</v>
      </c>
      <c r="L29" s="23" t="s">
        <v>42</v>
      </c>
      <c r="M29" s="23" t="s">
        <v>64</v>
      </c>
      <c r="N29" s="23" t="s">
        <v>56</v>
      </c>
      <c r="O29" s="46" t="s">
        <v>48</v>
      </c>
      <c r="P29" s="37">
        <f t="shared" ca="1" si="0"/>
        <v>5</v>
      </c>
      <c r="Q29" s="38" t="str">
        <f t="shared" ca="1" si="13"/>
        <v>SPOT</v>
      </c>
      <c r="R29" s="57">
        <f ca="1">IF($I29="","",IF(ISNUMBER($I29),$I29,_xll.meDateFromTenor(H29,$I29,"MOD_FOLLOWING",VLOOKUP(LEFT($M29,3),DateConventions,3))))</f>
        <v>44917</v>
      </c>
      <c r="S29" s="38" t="b">
        <f t="shared" ca="1" si="10"/>
        <v>1</v>
      </c>
      <c r="T29" s="38" t="b">
        <f t="shared" ca="1" si="1"/>
        <v>1</v>
      </c>
      <c r="U29" s="38" t="b">
        <f t="shared" ca="1" si="2"/>
        <v>1</v>
      </c>
      <c r="V29" s="38" t="b">
        <f t="shared" ca="1" si="3"/>
        <v>1</v>
      </c>
      <c r="W29" s="39" t="b">
        <f t="shared" ca="1" si="4"/>
        <v>1</v>
      </c>
      <c r="X29" s="38" t="b">
        <f t="shared" ca="1" si="5"/>
        <v>1</v>
      </c>
      <c r="Y29" s="40" t="b">
        <f t="shared" ca="1" si="6"/>
        <v>1</v>
      </c>
      <c r="Z29" s="40" t="b">
        <f t="shared" ca="1" si="11"/>
        <v>1</v>
      </c>
      <c r="AA29" s="40" t="b">
        <f t="shared" ca="1" si="7"/>
        <v>1</v>
      </c>
      <c r="AB29" s="67" t="b">
        <f t="shared" ca="1" si="8"/>
        <v>1</v>
      </c>
      <c r="AC29" s="64" t="str">
        <f t="shared" ca="1" si="12"/>
        <v>NYB</v>
      </c>
    </row>
    <row r="30" spans="1:29" x14ac:dyDescent="0.25">
      <c r="A30" s="29">
        <v>24</v>
      </c>
      <c r="B30" s="49" t="b">
        <f t="shared" ca="1" si="9"/>
        <v>1</v>
      </c>
      <c r="C30" s="60" t="s">
        <v>148</v>
      </c>
      <c r="D30" s="22" t="s">
        <v>77</v>
      </c>
      <c r="E30" s="62" t="s">
        <v>67</v>
      </c>
      <c r="F30" s="22">
        <v>2</v>
      </c>
      <c r="G30" s="22" t="s">
        <v>14</v>
      </c>
      <c r="H30" s="58">
        <f ca="1">IF($E30="IMM",_xll.meDateNthIMMFromStartDate(AsOf, $F30,$AC30,"MOD_FOLLOWING"),_xll.meDateFromTenor(AsOf,$F30&amp;"D","MOD_FOLLOWING",$AC30))</f>
        <v>43091</v>
      </c>
      <c r="I30" s="88" t="s">
        <v>29</v>
      </c>
      <c r="J30" s="23" t="s">
        <v>16</v>
      </c>
      <c r="K30" s="23" t="s">
        <v>56</v>
      </c>
      <c r="L30" s="23" t="s">
        <v>42</v>
      </c>
      <c r="M30" s="23" t="s">
        <v>64</v>
      </c>
      <c r="N30" s="23" t="s">
        <v>56</v>
      </c>
      <c r="O30" s="46" t="s">
        <v>48</v>
      </c>
      <c r="P30" s="37">
        <f t="shared" ca="1" si="0"/>
        <v>5</v>
      </c>
      <c r="Q30" s="38" t="str">
        <f t="shared" ca="1" si="13"/>
        <v>SPOT</v>
      </c>
      <c r="R30" s="57">
        <f ca="1">IF($I30="","",IF(ISNUMBER($I30),$I30,_xll.meDateFromTenor(H30,$I30,"MOD_FOLLOWING",VLOOKUP(LEFT($M30,3),DateConventions,3))))</f>
        <v>44917</v>
      </c>
      <c r="S30" s="38" t="b">
        <f t="shared" ca="1" si="10"/>
        <v>1</v>
      </c>
      <c r="T30" s="38" t="b">
        <f t="shared" ca="1" si="1"/>
        <v>1</v>
      </c>
      <c r="U30" s="38" t="b">
        <f t="shared" ca="1" si="2"/>
        <v>1</v>
      </c>
      <c r="V30" s="38" t="b">
        <f t="shared" ca="1" si="3"/>
        <v>1</v>
      </c>
      <c r="W30" s="39" t="b">
        <f t="shared" ca="1" si="4"/>
        <v>1</v>
      </c>
      <c r="X30" s="38" t="b">
        <f t="shared" ca="1" si="5"/>
        <v>1</v>
      </c>
      <c r="Y30" s="40" t="b">
        <f t="shared" ca="1" si="6"/>
        <v>1</v>
      </c>
      <c r="Z30" s="40" t="b">
        <f t="shared" ca="1" si="11"/>
        <v>1</v>
      </c>
      <c r="AA30" s="40" t="b">
        <f t="shared" ca="1" si="7"/>
        <v>1</v>
      </c>
      <c r="AB30" s="67" t="b">
        <f t="shared" ca="1" si="8"/>
        <v>1</v>
      </c>
      <c r="AC30" s="64" t="str">
        <f t="shared" ca="1" si="12"/>
        <v>NYB</v>
      </c>
    </row>
    <row r="31" spans="1:29" x14ac:dyDescent="0.25">
      <c r="A31" s="29">
        <v>25</v>
      </c>
      <c r="B31" s="49" t="b">
        <f t="shared" ca="1" si="9"/>
        <v>1</v>
      </c>
      <c r="C31" s="60" t="s">
        <v>148</v>
      </c>
      <c r="D31" s="22" t="s">
        <v>77</v>
      </c>
      <c r="E31" s="62" t="s">
        <v>67</v>
      </c>
      <c r="F31" s="22">
        <v>2</v>
      </c>
      <c r="G31" s="22" t="s">
        <v>14</v>
      </c>
      <c r="H31" s="58">
        <f ca="1">IF($E31="IMM",_xll.meDateNthIMMFromStartDate(AsOf, $F31,$AC31,"MOD_FOLLOWING"),_xll.meDateFromTenor(AsOf,$F31&amp;"D","MOD_FOLLOWING",$AC31))</f>
        <v>43091</v>
      </c>
      <c r="I31" s="88" t="s">
        <v>29</v>
      </c>
      <c r="J31" s="23" t="s">
        <v>16</v>
      </c>
      <c r="K31" s="23" t="s">
        <v>56</v>
      </c>
      <c r="L31" s="23" t="s">
        <v>42</v>
      </c>
      <c r="M31" s="23" t="s">
        <v>64</v>
      </c>
      <c r="N31" s="23" t="s">
        <v>56</v>
      </c>
      <c r="O31" s="46" t="s">
        <v>48</v>
      </c>
      <c r="P31" s="37">
        <f t="shared" ca="1" si="0"/>
        <v>5</v>
      </c>
      <c r="Q31" s="38" t="str">
        <f t="shared" ca="1" si="13"/>
        <v>SPOT</v>
      </c>
      <c r="R31" s="57">
        <f ca="1">IF($I31="","",IF(ISNUMBER($I31),$I31,_xll.meDateFromTenor(H31,$I31,"MOD_FOLLOWING",VLOOKUP(LEFT($M31,3),DateConventions,3))))</f>
        <v>44917</v>
      </c>
      <c r="S31" s="38" t="b">
        <f t="shared" ca="1" si="10"/>
        <v>1</v>
      </c>
      <c r="T31" s="38" t="b">
        <f t="shared" ca="1" si="1"/>
        <v>1</v>
      </c>
      <c r="U31" s="38" t="b">
        <f t="shared" ca="1" si="2"/>
        <v>1</v>
      </c>
      <c r="V31" s="38" t="b">
        <f t="shared" ca="1" si="3"/>
        <v>1</v>
      </c>
      <c r="W31" s="39" t="b">
        <f t="shared" ca="1" si="4"/>
        <v>1</v>
      </c>
      <c r="X31" s="38" t="b">
        <f t="shared" ca="1" si="5"/>
        <v>1</v>
      </c>
      <c r="Y31" s="40" t="b">
        <f t="shared" ca="1" si="6"/>
        <v>1</v>
      </c>
      <c r="Z31" s="40" t="b">
        <f t="shared" ca="1" si="11"/>
        <v>1</v>
      </c>
      <c r="AA31" s="40" t="b">
        <f t="shared" ca="1" si="7"/>
        <v>1</v>
      </c>
      <c r="AB31" s="67" t="b">
        <f t="shared" ca="1" si="8"/>
        <v>1</v>
      </c>
      <c r="AC31" s="64" t="str">
        <f t="shared" ca="1" si="12"/>
        <v>NYB</v>
      </c>
    </row>
    <row r="32" spans="1:29" x14ac:dyDescent="0.25">
      <c r="A32" s="29">
        <v>26</v>
      </c>
      <c r="B32" s="49" t="b">
        <f t="shared" ca="1" si="9"/>
        <v>1</v>
      </c>
      <c r="C32" s="60" t="s">
        <v>148</v>
      </c>
      <c r="D32" s="22" t="s">
        <v>77</v>
      </c>
      <c r="E32" s="62" t="s">
        <v>67</v>
      </c>
      <c r="F32" s="22">
        <v>2</v>
      </c>
      <c r="G32" s="22" t="s">
        <v>14</v>
      </c>
      <c r="H32" s="58">
        <f ca="1">IF($E32="IMM",_xll.meDateNthIMMFromStartDate(AsOf, $F32,$AC32,"MOD_FOLLOWING"),_xll.meDateFromTenor(AsOf,$F32&amp;"D","MOD_FOLLOWING",$AC32))</f>
        <v>43091</v>
      </c>
      <c r="I32" s="88" t="s">
        <v>29</v>
      </c>
      <c r="J32" s="23" t="s">
        <v>16</v>
      </c>
      <c r="K32" s="23" t="s">
        <v>56</v>
      </c>
      <c r="L32" s="23" t="s">
        <v>42</v>
      </c>
      <c r="M32" s="23" t="s">
        <v>64</v>
      </c>
      <c r="N32" s="23" t="s">
        <v>56</v>
      </c>
      <c r="O32" s="46" t="s">
        <v>48</v>
      </c>
      <c r="P32" s="37">
        <f t="shared" ca="1" si="0"/>
        <v>5</v>
      </c>
      <c r="Q32" s="38" t="str">
        <f t="shared" ca="1" si="13"/>
        <v>SPOT</v>
      </c>
      <c r="R32" s="57">
        <f ca="1">IF($I32="","",IF(ISNUMBER($I32),$I32,_xll.meDateFromTenor(H32,$I32,"MOD_FOLLOWING",VLOOKUP(LEFT($M32,3),DateConventions,3))))</f>
        <v>44917</v>
      </c>
      <c r="S32" s="38" t="b">
        <f t="shared" ca="1" si="10"/>
        <v>1</v>
      </c>
      <c r="T32" s="38" t="b">
        <f t="shared" ca="1" si="1"/>
        <v>1</v>
      </c>
      <c r="U32" s="38" t="b">
        <f t="shared" ca="1" si="2"/>
        <v>1</v>
      </c>
      <c r="V32" s="38" t="b">
        <f t="shared" ca="1" si="3"/>
        <v>1</v>
      </c>
      <c r="W32" s="39" t="b">
        <f t="shared" ca="1" si="4"/>
        <v>1</v>
      </c>
      <c r="X32" s="38" t="b">
        <f t="shared" ca="1" si="5"/>
        <v>1</v>
      </c>
      <c r="Y32" s="40" t="b">
        <f t="shared" ca="1" si="6"/>
        <v>1</v>
      </c>
      <c r="Z32" s="40" t="b">
        <f t="shared" ca="1" si="11"/>
        <v>1</v>
      </c>
      <c r="AA32" s="40" t="b">
        <f t="shared" ca="1" si="7"/>
        <v>1</v>
      </c>
      <c r="AB32" s="67" t="b">
        <f t="shared" ca="1" si="8"/>
        <v>1</v>
      </c>
      <c r="AC32" s="64" t="str">
        <f t="shared" ca="1" si="12"/>
        <v>NYB</v>
      </c>
    </row>
    <row r="33" spans="1:29" x14ac:dyDescent="0.25">
      <c r="A33" s="29">
        <v>27</v>
      </c>
      <c r="B33" s="49" t="b">
        <f t="shared" ca="1" si="9"/>
        <v>1</v>
      </c>
      <c r="C33" s="60" t="s">
        <v>148</v>
      </c>
      <c r="D33" s="22" t="s">
        <v>77</v>
      </c>
      <c r="E33" s="62" t="s">
        <v>67</v>
      </c>
      <c r="F33" s="22">
        <v>2</v>
      </c>
      <c r="G33" s="22" t="s">
        <v>14</v>
      </c>
      <c r="H33" s="58">
        <f ca="1">IF($E33="IMM",_xll.meDateNthIMMFromStartDate(AsOf, $F33,$AC33,"MOD_FOLLOWING"),_xll.meDateFromTenor(AsOf,$F33&amp;"D","MOD_FOLLOWING",$AC33))</f>
        <v>43091</v>
      </c>
      <c r="I33" s="88" t="s">
        <v>29</v>
      </c>
      <c r="J33" s="23" t="s">
        <v>16</v>
      </c>
      <c r="K33" s="23" t="s">
        <v>56</v>
      </c>
      <c r="L33" s="23" t="s">
        <v>42</v>
      </c>
      <c r="M33" s="23" t="s">
        <v>64</v>
      </c>
      <c r="N33" s="23" t="s">
        <v>56</v>
      </c>
      <c r="O33" s="46" t="s">
        <v>48</v>
      </c>
      <c r="P33" s="37">
        <f t="shared" ca="1" si="0"/>
        <v>5</v>
      </c>
      <c r="Q33" s="38" t="str">
        <f t="shared" ca="1" si="13"/>
        <v>SPOT</v>
      </c>
      <c r="R33" s="57">
        <f ca="1">IF($I33="","",IF(ISNUMBER($I33),$I33,_xll.meDateFromTenor(H33,$I33,"MOD_FOLLOWING",VLOOKUP(LEFT($M33,3),DateConventions,3))))</f>
        <v>44917</v>
      </c>
      <c r="S33" s="38" t="b">
        <f t="shared" ca="1" si="10"/>
        <v>1</v>
      </c>
      <c r="T33" s="38" t="b">
        <f t="shared" ca="1" si="1"/>
        <v>1</v>
      </c>
      <c r="U33" s="38" t="b">
        <f t="shared" ca="1" si="2"/>
        <v>1</v>
      </c>
      <c r="V33" s="38" t="b">
        <f t="shared" ca="1" si="3"/>
        <v>1</v>
      </c>
      <c r="W33" s="39" t="b">
        <f t="shared" ca="1" si="4"/>
        <v>1</v>
      </c>
      <c r="X33" s="38" t="b">
        <f t="shared" ca="1" si="5"/>
        <v>1</v>
      </c>
      <c r="Y33" s="40" t="b">
        <f t="shared" ca="1" si="6"/>
        <v>1</v>
      </c>
      <c r="Z33" s="40" t="b">
        <f t="shared" ca="1" si="11"/>
        <v>1</v>
      </c>
      <c r="AA33" s="40" t="b">
        <f t="shared" ca="1" si="7"/>
        <v>1</v>
      </c>
      <c r="AB33" s="67" t="b">
        <f t="shared" ca="1" si="8"/>
        <v>1</v>
      </c>
      <c r="AC33" s="64" t="str">
        <f t="shared" ca="1" si="12"/>
        <v>NYB</v>
      </c>
    </row>
    <row r="34" spans="1:29" x14ac:dyDescent="0.25">
      <c r="A34" s="29">
        <v>28</v>
      </c>
      <c r="B34" s="49" t="b">
        <f t="shared" ca="1" si="9"/>
        <v>1</v>
      </c>
      <c r="C34" s="60" t="s">
        <v>148</v>
      </c>
      <c r="D34" s="22" t="s">
        <v>77</v>
      </c>
      <c r="E34" s="62" t="s">
        <v>67</v>
      </c>
      <c r="F34" s="22">
        <v>2</v>
      </c>
      <c r="G34" s="22" t="s">
        <v>14</v>
      </c>
      <c r="H34" s="58">
        <f ca="1">IF($E34="IMM",_xll.meDateNthIMMFromStartDate(AsOf, $F34,$AC34,"MOD_FOLLOWING"),_xll.meDateFromTenor(AsOf,$F34&amp;"D","MOD_FOLLOWING",$AC34))</f>
        <v>43091</v>
      </c>
      <c r="I34" s="88" t="s">
        <v>29</v>
      </c>
      <c r="J34" s="23" t="s">
        <v>16</v>
      </c>
      <c r="K34" s="23" t="s">
        <v>56</v>
      </c>
      <c r="L34" s="23" t="s">
        <v>42</v>
      </c>
      <c r="M34" s="23" t="s">
        <v>64</v>
      </c>
      <c r="N34" s="23" t="s">
        <v>56</v>
      </c>
      <c r="O34" s="46" t="s">
        <v>48</v>
      </c>
      <c r="P34" s="37">
        <f t="shared" ca="1" si="0"/>
        <v>5</v>
      </c>
      <c r="Q34" s="38" t="str">
        <f t="shared" ca="1" si="13"/>
        <v>SPOT</v>
      </c>
      <c r="R34" s="57">
        <f ca="1">IF($I34="","",IF(ISNUMBER($I34),$I34,_xll.meDateFromTenor(H34,$I34,"MOD_FOLLOWING",VLOOKUP(LEFT($M34,3),DateConventions,3))))</f>
        <v>44917</v>
      </c>
      <c r="S34" s="38" t="b">
        <f t="shared" ca="1" si="10"/>
        <v>1</v>
      </c>
      <c r="T34" s="38" t="b">
        <f t="shared" ca="1" si="1"/>
        <v>1</v>
      </c>
      <c r="U34" s="38" t="b">
        <f t="shared" ca="1" si="2"/>
        <v>1</v>
      </c>
      <c r="V34" s="38" t="b">
        <f t="shared" ca="1" si="3"/>
        <v>1</v>
      </c>
      <c r="W34" s="39" t="b">
        <f t="shared" ca="1" si="4"/>
        <v>1</v>
      </c>
      <c r="X34" s="38" t="b">
        <f t="shared" ca="1" si="5"/>
        <v>1</v>
      </c>
      <c r="Y34" s="40" t="b">
        <f t="shared" ca="1" si="6"/>
        <v>1</v>
      </c>
      <c r="Z34" s="40" t="b">
        <f t="shared" ca="1" si="11"/>
        <v>1</v>
      </c>
      <c r="AA34" s="40" t="b">
        <f t="shared" ca="1" si="7"/>
        <v>1</v>
      </c>
      <c r="AB34" s="67" t="b">
        <f t="shared" ca="1" si="8"/>
        <v>1</v>
      </c>
      <c r="AC34" s="64" t="str">
        <f t="shared" ca="1" si="12"/>
        <v>NYB</v>
      </c>
    </row>
    <row r="35" spans="1:29" x14ac:dyDescent="0.25">
      <c r="A35" s="29">
        <v>29</v>
      </c>
      <c r="B35" s="49" t="b">
        <f t="shared" ca="1" si="9"/>
        <v>1</v>
      </c>
      <c r="C35" s="60" t="s">
        <v>148</v>
      </c>
      <c r="D35" s="22" t="s">
        <v>77</v>
      </c>
      <c r="E35" s="62" t="s">
        <v>67</v>
      </c>
      <c r="F35" s="22">
        <v>2</v>
      </c>
      <c r="G35" s="22" t="s">
        <v>14</v>
      </c>
      <c r="H35" s="58">
        <f ca="1">IF($E35="IMM",_xll.meDateNthIMMFromStartDate(AsOf, $F35,$AC35,"MOD_FOLLOWING"),_xll.meDateFromTenor(AsOf,$F35&amp;"D","MOD_FOLLOWING",$AC35))</f>
        <v>43091</v>
      </c>
      <c r="I35" s="88" t="s">
        <v>29</v>
      </c>
      <c r="J35" s="23" t="s">
        <v>16</v>
      </c>
      <c r="K35" s="23" t="s">
        <v>56</v>
      </c>
      <c r="L35" s="23" t="s">
        <v>42</v>
      </c>
      <c r="M35" s="23" t="s">
        <v>64</v>
      </c>
      <c r="N35" s="23" t="s">
        <v>56</v>
      </c>
      <c r="O35" s="46" t="s">
        <v>48</v>
      </c>
      <c r="P35" s="37">
        <f t="shared" ca="1" si="0"/>
        <v>5</v>
      </c>
      <c r="Q35" s="38" t="str">
        <f t="shared" ca="1" si="13"/>
        <v>SPOT</v>
      </c>
      <c r="R35" s="57">
        <f ca="1">IF($I35="","",IF(ISNUMBER($I35),$I35,_xll.meDateFromTenor(H35,$I35,"MOD_FOLLOWING",VLOOKUP(LEFT($M35,3),DateConventions,3))))</f>
        <v>44917</v>
      </c>
      <c r="S35" s="38" t="b">
        <f t="shared" ca="1" si="10"/>
        <v>1</v>
      </c>
      <c r="T35" s="38" t="b">
        <f t="shared" ca="1" si="1"/>
        <v>1</v>
      </c>
      <c r="U35" s="38" t="b">
        <f t="shared" ca="1" si="2"/>
        <v>1</v>
      </c>
      <c r="V35" s="38" t="b">
        <f t="shared" ca="1" si="3"/>
        <v>1</v>
      </c>
      <c r="W35" s="39" t="b">
        <f t="shared" ca="1" si="4"/>
        <v>1</v>
      </c>
      <c r="X35" s="38" t="b">
        <f t="shared" ca="1" si="5"/>
        <v>1</v>
      </c>
      <c r="Y35" s="40" t="b">
        <f t="shared" ca="1" si="6"/>
        <v>1</v>
      </c>
      <c r="Z35" s="40" t="b">
        <f t="shared" ca="1" si="11"/>
        <v>1</v>
      </c>
      <c r="AA35" s="40" t="b">
        <f t="shared" ca="1" si="7"/>
        <v>1</v>
      </c>
      <c r="AB35" s="67" t="b">
        <f t="shared" ca="1" si="8"/>
        <v>1</v>
      </c>
      <c r="AC35" s="64" t="str">
        <f t="shared" ca="1" si="12"/>
        <v>NYB</v>
      </c>
    </row>
    <row r="36" spans="1:29" x14ac:dyDescent="0.25">
      <c r="A36" s="29">
        <v>30</v>
      </c>
      <c r="B36" s="49" t="b">
        <f t="shared" ca="1" si="9"/>
        <v>1</v>
      </c>
      <c r="C36" s="60" t="s">
        <v>148</v>
      </c>
      <c r="D36" s="22" t="s">
        <v>77</v>
      </c>
      <c r="E36" s="62" t="s">
        <v>67</v>
      </c>
      <c r="F36" s="22">
        <v>2</v>
      </c>
      <c r="G36" s="22" t="s">
        <v>14</v>
      </c>
      <c r="H36" s="58">
        <f ca="1">IF($E36="IMM",_xll.meDateNthIMMFromStartDate(AsOf, $F36,$AC36,"MOD_FOLLOWING"),_xll.meDateFromTenor(AsOf,$F36&amp;"D","MOD_FOLLOWING",$AC36))</f>
        <v>43091</v>
      </c>
      <c r="I36" s="88" t="s">
        <v>29</v>
      </c>
      <c r="J36" s="23" t="s">
        <v>16</v>
      </c>
      <c r="K36" s="23" t="s">
        <v>56</v>
      </c>
      <c r="L36" s="23" t="s">
        <v>42</v>
      </c>
      <c r="M36" s="23" t="s">
        <v>64</v>
      </c>
      <c r="N36" s="23" t="s">
        <v>56</v>
      </c>
      <c r="O36" s="46" t="s">
        <v>48</v>
      </c>
      <c r="P36" s="37">
        <f t="shared" ca="1" si="0"/>
        <v>5</v>
      </c>
      <c r="Q36" s="38" t="str">
        <f t="shared" ca="1" si="13"/>
        <v>SPOT</v>
      </c>
      <c r="R36" s="57">
        <f ca="1">IF($I36="","",IF(ISNUMBER($I36),$I36,_xll.meDateFromTenor(H36,$I36,"MOD_FOLLOWING",VLOOKUP(LEFT($M36,3),DateConventions,3))))</f>
        <v>44917</v>
      </c>
      <c r="S36" s="38" t="b">
        <f t="shared" ca="1" si="10"/>
        <v>1</v>
      </c>
      <c r="T36" s="38" t="b">
        <f t="shared" ca="1" si="1"/>
        <v>1</v>
      </c>
      <c r="U36" s="38" t="b">
        <f t="shared" ca="1" si="2"/>
        <v>1</v>
      </c>
      <c r="V36" s="38" t="b">
        <f t="shared" ca="1" si="3"/>
        <v>1</v>
      </c>
      <c r="W36" s="39" t="b">
        <f t="shared" ca="1" si="4"/>
        <v>1</v>
      </c>
      <c r="X36" s="38" t="b">
        <f t="shared" ca="1" si="5"/>
        <v>1</v>
      </c>
      <c r="Y36" s="40" t="b">
        <f t="shared" ca="1" si="6"/>
        <v>1</v>
      </c>
      <c r="Z36" s="40" t="b">
        <f t="shared" ca="1" si="11"/>
        <v>1</v>
      </c>
      <c r="AA36" s="40" t="b">
        <f t="shared" ca="1" si="7"/>
        <v>1</v>
      </c>
      <c r="AB36" s="67" t="b">
        <f t="shared" ca="1" si="8"/>
        <v>1</v>
      </c>
      <c r="AC36" s="64" t="str">
        <f t="shared" ca="1" si="12"/>
        <v>NYB</v>
      </c>
    </row>
    <row r="37" spans="1:29" x14ac:dyDescent="0.25">
      <c r="A37" s="29">
        <v>31</v>
      </c>
      <c r="B37" s="49" t="b">
        <f t="shared" ca="1" si="9"/>
        <v>1</v>
      </c>
      <c r="C37" s="60" t="s">
        <v>148</v>
      </c>
      <c r="D37" s="22" t="s">
        <v>77</v>
      </c>
      <c r="E37" s="62" t="s">
        <v>67</v>
      </c>
      <c r="F37" s="22">
        <v>2</v>
      </c>
      <c r="G37" s="22" t="s">
        <v>14</v>
      </c>
      <c r="H37" s="58">
        <f ca="1">IF($E37="IMM",_xll.meDateNthIMMFromStartDate(AsOf, $F37,$AC37,"MOD_FOLLOWING"),_xll.meDateFromTenor(AsOf,$F37&amp;"D","MOD_FOLLOWING",$AC37))</f>
        <v>43091</v>
      </c>
      <c r="I37" s="88" t="s">
        <v>29</v>
      </c>
      <c r="J37" s="23" t="s">
        <v>16</v>
      </c>
      <c r="K37" s="23" t="s">
        <v>56</v>
      </c>
      <c r="L37" s="23" t="s">
        <v>42</v>
      </c>
      <c r="M37" s="23" t="s">
        <v>64</v>
      </c>
      <c r="N37" s="23" t="s">
        <v>56</v>
      </c>
      <c r="O37" s="46" t="s">
        <v>48</v>
      </c>
      <c r="P37" s="37">
        <f t="shared" ca="1" si="0"/>
        <v>5</v>
      </c>
      <c r="Q37" s="38" t="str">
        <f t="shared" ca="1" si="13"/>
        <v>SPOT</v>
      </c>
      <c r="R37" s="57">
        <f ca="1">IF($I37="","",IF(ISNUMBER($I37),$I37,_xll.meDateFromTenor(H37,$I37,"MOD_FOLLOWING",VLOOKUP(LEFT($M37,3),DateConventions,3))))</f>
        <v>44917</v>
      </c>
      <c r="S37" s="38" t="b">
        <f t="shared" ca="1" si="10"/>
        <v>1</v>
      </c>
      <c r="T37" s="38" t="b">
        <f t="shared" ca="1" si="1"/>
        <v>1</v>
      </c>
      <c r="U37" s="38" t="b">
        <f t="shared" ca="1" si="2"/>
        <v>1</v>
      </c>
      <c r="V37" s="38" t="b">
        <f t="shared" ca="1" si="3"/>
        <v>1</v>
      </c>
      <c r="W37" s="39" t="b">
        <f t="shared" ca="1" si="4"/>
        <v>1</v>
      </c>
      <c r="X37" s="38" t="b">
        <f t="shared" ca="1" si="5"/>
        <v>1</v>
      </c>
      <c r="Y37" s="40" t="b">
        <f t="shared" ca="1" si="6"/>
        <v>1</v>
      </c>
      <c r="Z37" s="40" t="b">
        <f t="shared" ca="1" si="11"/>
        <v>1</v>
      </c>
      <c r="AA37" s="40" t="b">
        <f t="shared" ca="1" si="7"/>
        <v>1</v>
      </c>
      <c r="AB37" s="67" t="b">
        <f t="shared" ca="1" si="8"/>
        <v>1</v>
      </c>
      <c r="AC37" s="64" t="str">
        <f t="shared" ca="1" si="12"/>
        <v>NYB</v>
      </c>
    </row>
    <row r="38" spans="1:29" x14ac:dyDescent="0.25">
      <c r="A38" s="29">
        <v>32</v>
      </c>
      <c r="B38" s="49" t="b">
        <f t="shared" ca="1" si="9"/>
        <v>1</v>
      </c>
      <c r="C38" s="60" t="s">
        <v>148</v>
      </c>
      <c r="D38" s="22" t="s">
        <v>77</v>
      </c>
      <c r="E38" s="62" t="s">
        <v>67</v>
      </c>
      <c r="F38" s="22">
        <v>2</v>
      </c>
      <c r="G38" s="22" t="s">
        <v>14</v>
      </c>
      <c r="H38" s="58">
        <f ca="1">IF($E38="IMM",_xll.meDateNthIMMFromStartDate(AsOf, $F38,$AC38,"MOD_FOLLOWING"),_xll.meDateFromTenor(AsOf,$F38&amp;"D","MOD_FOLLOWING",$AC38))</f>
        <v>43091</v>
      </c>
      <c r="I38" s="88" t="s">
        <v>29</v>
      </c>
      <c r="J38" s="23" t="s">
        <v>16</v>
      </c>
      <c r="K38" s="23" t="s">
        <v>56</v>
      </c>
      <c r="L38" s="23" t="s">
        <v>42</v>
      </c>
      <c r="M38" s="23" t="s">
        <v>64</v>
      </c>
      <c r="N38" s="23" t="s">
        <v>56</v>
      </c>
      <c r="O38" s="46" t="s">
        <v>48</v>
      </c>
      <c r="P38" s="37">
        <f t="shared" ca="1" si="0"/>
        <v>5</v>
      </c>
      <c r="Q38" s="38" t="str">
        <f t="shared" ca="1" si="13"/>
        <v>SPOT</v>
      </c>
      <c r="R38" s="57">
        <f ca="1">IF($I38="","",IF(ISNUMBER($I38),$I38,_xll.meDateFromTenor(H38,$I38,"MOD_FOLLOWING",VLOOKUP(LEFT($M38,3),DateConventions,3))))</f>
        <v>44917</v>
      </c>
      <c r="S38" s="38" t="b">
        <f t="shared" ca="1" si="10"/>
        <v>1</v>
      </c>
      <c r="T38" s="38" t="b">
        <f t="shared" ca="1" si="1"/>
        <v>1</v>
      </c>
      <c r="U38" s="38" t="b">
        <f t="shared" ca="1" si="2"/>
        <v>1</v>
      </c>
      <c r="V38" s="38" t="b">
        <f t="shared" ca="1" si="3"/>
        <v>1</v>
      </c>
      <c r="W38" s="39" t="b">
        <f t="shared" ca="1" si="4"/>
        <v>1</v>
      </c>
      <c r="X38" s="38" t="b">
        <f t="shared" ca="1" si="5"/>
        <v>1</v>
      </c>
      <c r="Y38" s="40" t="b">
        <f t="shared" ca="1" si="6"/>
        <v>1</v>
      </c>
      <c r="Z38" s="40" t="b">
        <f t="shared" ca="1" si="11"/>
        <v>1</v>
      </c>
      <c r="AA38" s="40" t="b">
        <f t="shared" ca="1" si="7"/>
        <v>1</v>
      </c>
      <c r="AB38" s="67" t="b">
        <f t="shared" ca="1" si="8"/>
        <v>1</v>
      </c>
      <c r="AC38" s="64" t="str">
        <f t="shared" ca="1" si="12"/>
        <v>NYB</v>
      </c>
    </row>
    <row r="39" spans="1:29" x14ac:dyDescent="0.25">
      <c r="A39" s="29">
        <v>33</v>
      </c>
      <c r="B39" s="49" t="b">
        <f t="shared" ca="1" si="9"/>
        <v>1</v>
      </c>
      <c r="C39" s="60" t="s">
        <v>148</v>
      </c>
      <c r="D39" s="22" t="s">
        <v>77</v>
      </c>
      <c r="E39" s="62" t="s">
        <v>67</v>
      </c>
      <c r="F39" s="22">
        <v>2</v>
      </c>
      <c r="G39" s="22" t="s">
        <v>14</v>
      </c>
      <c r="H39" s="58">
        <f ca="1">IF($E39="IMM",_xll.meDateNthIMMFromStartDate(AsOf, $F39,$AC39,"MOD_FOLLOWING"),_xll.meDateFromTenor(AsOf,$F39&amp;"D","MOD_FOLLOWING",$AC39))</f>
        <v>43091</v>
      </c>
      <c r="I39" s="88" t="s">
        <v>29</v>
      </c>
      <c r="J39" s="23" t="s">
        <v>16</v>
      </c>
      <c r="K39" s="23" t="s">
        <v>56</v>
      </c>
      <c r="L39" s="23" t="s">
        <v>42</v>
      </c>
      <c r="M39" s="23" t="s">
        <v>64</v>
      </c>
      <c r="N39" s="23" t="s">
        <v>56</v>
      </c>
      <c r="O39" s="46" t="s">
        <v>48</v>
      </c>
      <c r="P39" s="37">
        <f t="shared" ca="1" si="0"/>
        <v>5</v>
      </c>
      <c r="Q39" s="38" t="str">
        <f t="shared" ca="1" si="13"/>
        <v>SPOT</v>
      </c>
      <c r="R39" s="57">
        <f ca="1">IF($I39="","",IF(ISNUMBER($I39),$I39,_xll.meDateFromTenor(H39,$I39,"MOD_FOLLOWING",VLOOKUP(LEFT($M39,3),DateConventions,3))))</f>
        <v>44917</v>
      </c>
      <c r="S39" s="38" t="b">
        <f t="shared" ca="1" si="10"/>
        <v>1</v>
      </c>
      <c r="T39" s="38" t="b">
        <f t="shared" ca="1" si="1"/>
        <v>1</v>
      </c>
      <c r="U39" s="38" t="b">
        <f t="shared" ca="1" si="2"/>
        <v>1</v>
      </c>
      <c r="V39" s="38" t="b">
        <f t="shared" ca="1" si="3"/>
        <v>1</v>
      </c>
      <c r="W39" s="39" t="b">
        <f t="shared" ca="1" si="4"/>
        <v>1</v>
      </c>
      <c r="X39" s="38" t="b">
        <f t="shared" ca="1" si="5"/>
        <v>1</v>
      </c>
      <c r="Y39" s="40" t="b">
        <f t="shared" ca="1" si="6"/>
        <v>1</v>
      </c>
      <c r="Z39" s="40" t="b">
        <f t="shared" ca="1" si="11"/>
        <v>1</v>
      </c>
      <c r="AA39" s="40" t="b">
        <f t="shared" ca="1" si="7"/>
        <v>1</v>
      </c>
      <c r="AB39" s="67" t="b">
        <f t="shared" ca="1" si="8"/>
        <v>1</v>
      </c>
      <c r="AC39" s="64" t="str">
        <f t="shared" ca="1" si="12"/>
        <v>NYB</v>
      </c>
    </row>
    <row r="40" spans="1:29" x14ac:dyDescent="0.25">
      <c r="A40" s="29">
        <v>34</v>
      </c>
      <c r="B40" s="49" t="b">
        <f t="shared" ca="1" si="9"/>
        <v>1</v>
      </c>
      <c r="C40" s="60" t="s">
        <v>148</v>
      </c>
      <c r="D40" s="22" t="s">
        <v>77</v>
      </c>
      <c r="E40" s="62" t="s">
        <v>67</v>
      </c>
      <c r="F40" s="22">
        <v>2</v>
      </c>
      <c r="G40" s="22" t="s">
        <v>14</v>
      </c>
      <c r="H40" s="58">
        <f ca="1">IF($E40="IMM",_xll.meDateNthIMMFromStartDate(AsOf, $F40,$AC40,"MOD_FOLLOWING"),_xll.meDateFromTenor(AsOf,$F40&amp;"D","MOD_FOLLOWING",$AC40))</f>
        <v>43091</v>
      </c>
      <c r="I40" s="88" t="s">
        <v>29</v>
      </c>
      <c r="J40" s="23" t="s">
        <v>16</v>
      </c>
      <c r="K40" s="23" t="s">
        <v>56</v>
      </c>
      <c r="L40" s="23" t="s">
        <v>42</v>
      </c>
      <c r="M40" s="23" t="s">
        <v>64</v>
      </c>
      <c r="N40" s="23" t="s">
        <v>56</v>
      </c>
      <c r="O40" s="46" t="s">
        <v>48</v>
      </c>
      <c r="P40" s="37">
        <f t="shared" ca="1" si="0"/>
        <v>5</v>
      </c>
      <c r="Q40" s="38" t="str">
        <f t="shared" ca="1" si="13"/>
        <v>SPOT</v>
      </c>
      <c r="R40" s="57">
        <f ca="1">IF($I40="","",IF(ISNUMBER($I40),$I40,_xll.meDateFromTenor(H40,$I40,"MOD_FOLLOWING",VLOOKUP(LEFT($M40,3),DateConventions,3))))</f>
        <v>44917</v>
      </c>
      <c r="S40" s="38" t="b">
        <f t="shared" ca="1" si="10"/>
        <v>1</v>
      </c>
      <c r="T40" s="38" t="b">
        <f t="shared" ca="1" si="1"/>
        <v>1</v>
      </c>
      <c r="U40" s="38" t="b">
        <f t="shared" ca="1" si="2"/>
        <v>1</v>
      </c>
      <c r="V40" s="38" t="b">
        <f t="shared" ca="1" si="3"/>
        <v>1</v>
      </c>
      <c r="W40" s="39" t="b">
        <f t="shared" ca="1" si="4"/>
        <v>1</v>
      </c>
      <c r="X40" s="38" t="b">
        <f t="shared" ca="1" si="5"/>
        <v>1</v>
      </c>
      <c r="Y40" s="40" t="b">
        <f t="shared" ca="1" si="6"/>
        <v>1</v>
      </c>
      <c r="Z40" s="40" t="b">
        <f t="shared" ca="1" si="11"/>
        <v>1</v>
      </c>
      <c r="AA40" s="40" t="b">
        <f t="shared" ca="1" si="7"/>
        <v>1</v>
      </c>
      <c r="AB40" s="67" t="b">
        <f t="shared" ca="1" si="8"/>
        <v>1</v>
      </c>
      <c r="AC40" s="64" t="str">
        <f t="shared" ca="1" si="12"/>
        <v>NYB</v>
      </c>
    </row>
    <row r="41" spans="1:29" x14ac:dyDescent="0.25">
      <c r="A41" s="29">
        <v>35</v>
      </c>
      <c r="B41" s="49" t="b">
        <f t="shared" ca="1" si="9"/>
        <v>1</v>
      </c>
      <c r="C41" s="60" t="s">
        <v>148</v>
      </c>
      <c r="D41" s="22" t="s">
        <v>77</v>
      </c>
      <c r="E41" s="62" t="s">
        <v>67</v>
      </c>
      <c r="F41" s="22">
        <v>2</v>
      </c>
      <c r="G41" s="22" t="s">
        <v>14</v>
      </c>
      <c r="H41" s="58">
        <f ca="1">IF($E41="IMM",_xll.meDateNthIMMFromStartDate(AsOf, $F41,$AC41,"MOD_FOLLOWING"),_xll.meDateFromTenor(AsOf,$F41&amp;"D","MOD_FOLLOWING",$AC41))</f>
        <v>43091</v>
      </c>
      <c r="I41" s="88" t="s">
        <v>29</v>
      </c>
      <c r="J41" s="23" t="s">
        <v>16</v>
      </c>
      <c r="K41" s="23" t="s">
        <v>56</v>
      </c>
      <c r="L41" s="23" t="s">
        <v>42</v>
      </c>
      <c r="M41" s="23" t="s">
        <v>64</v>
      </c>
      <c r="N41" s="23" t="s">
        <v>56</v>
      </c>
      <c r="O41" s="46" t="s">
        <v>48</v>
      </c>
      <c r="P41" s="37">
        <f t="shared" ca="1" si="0"/>
        <v>5</v>
      </c>
      <c r="Q41" s="38" t="str">
        <f t="shared" ca="1" si="13"/>
        <v>SPOT</v>
      </c>
      <c r="R41" s="57">
        <f ca="1">IF($I41="","",IF(ISNUMBER($I41),$I41,_xll.meDateFromTenor(H41,$I41,"MOD_FOLLOWING",VLOOKUP(LEFT($M41,3),DateConventions,3))))</f>
        <v>44917</v>
      </c>
      <c r="S41" s="38" t="b">
        <f t="shared" ca="1" si="10"/>
        <v>1</v>
      </c>
      <c r="T41" s="38" t="b">
        <f t="shared" ca="1" si="1"/>
        <v>1</v>
      </c>
      <c r="U41" s="38" t="b">
        <f t="shared" ca="1" si="2"/>
        <v>1</v>
      </c>
      <c r="V41" s="38" t="b">
        <f t="shared" ca="1" si="3"/>
        <v>1</v>
      </c>
      <c r="W41" s="39" t="b">
        <f t="shared" ca="1" si="4"/>
        <v>1</v>
      </c>
      <c r="X41" s="38" t="b">
        <f t="shared" ca="1" si="5"/>
        <v>1</v>
      </c>
      <c r="Y41" s="40" t="b">
        <f t="shared" ca="1" si="6"/>
        <v>1</v>
      </c>
      <c r="Z41" s="40" t="b">
        <f t="shared" ca="1" si="11"/>
        <v>1</v>
      </c>
      <c r="AA41" s="40" t="b">
        <f t="shared" ca="1" si="7"/>
        <v>1</v>
      </c>
      <c r="AB41" s="67" t="b">
        <f t="shared" ca="1" si="8"/>
        <v>1</v>
      </c>
      <c r="AC41" s="64" t="str">
        <f t="shared" ca="1" si="12"/>
        <v>NYB</v>
      </c>
    </row>
    <row r="42" spans="1:29" x14ac:dyDescent="0.25">
      <c r="A42" s="29">
        <v>36</v>
      </c>
      <c r="B42" s="49" t="b">
        <f t="shared" ca="1" si="9"/>
        <v>1</v>
      </c>
      <c r="C42" s="60" t="s">
        <v>148</v>
      </c>
      <c r="D42" s="22" t="s">
        <v>77</v>
      </c>
      <c r="E42" s="62" t="s">
        <v>67</v>
      </c>
      <c r="F42" s="22">
        <v>2</v>
      </c>
      <c r="G42" s="22" t="s">
        <v>14</v>
      </c>
      <c r="H42" s="58">
        <f ca="1">IF($E42="IMM",_xll.meDateNthIMMFromStartDate(AsOf, $F42,$AC42,"MOD_FOLLOWING"),_xll.meDateFromTenor(AsOf,$F42&amp;"D","MOD_FOLLOWING",$AC42))</f>
        <v>43091</v>
      </c>
      <c r="I42" s="88" t="s">
        <v>29</v>
      </c>
      <c r="J42" s="23" t="s">
        <v>16</v>
      </c>
      <c r="K42" s="23" t="s">
        <v>56</v>
      </c>
      <c r="L42" s="23" t="s">
        <v>42</v>
      </c>
      <c r="M42" s="23" t="s">
        <v>64</v>
      </c>
      <c r="N42" s="23" t="s">
        <v>56</v>
      </c>
      <c r="O42" s="46" t="s">
        <v>48</v>
      </c>
      <c r="P42" s="37">
        <f t="shared" ca="1" si="0"/>
        <v>5</v>
      </c>
      <c r="Q42" s="38" t="str">
        <f t="shared" ca="1" si="13"/>
        <v>SPOT</v>
      </c>
      <c r="R42" s="57">
        <f ca="1">IF($I42="","",IF(ISNUMBER($I42),$I42,_xll.meDateFromTenor(H42,$I42,"MOD_FOLLOWING",VLOOKUP(LEFT($M42,3),DateConventions,3))))</f>
        <v>44917</v>
      </c>
      <c r="S42" s="38" t="b">
        <f t="shared" ca="1" si="10"/>
        <v>1</v>
      </c>
      <c r="T42" s="38" t="b">
        <f t="shared" ca="1" si="1"/>
        <v>1</v>
      </c>
      <c r="U42" s="38" t="b">
        <f t="shared" ca="1" si="2"/>
        <v>1</v>
      </c>
      <c r="V42" s="38" t="b">
        <f t="shared" ca="1" si="3"/>
        <v>1</v>
      </c>
      <c r="W42" s="39" t="b">
        <f t="shared" ca="1" si="4"/>
        <v>1</v>
      </c>
      <c r="X42" s="38" t="b">
        <f t="shared" ca="1" si="5"/>
        <v>1</v>
      </c>
      <c r="Y42" s="40" t="b">
        <f t="shared" ca="1" si="6"/>
        <v>1</v>
      </c>
      <c r="Z42" s="40" t="b">
        <f t="shared" ca="1" si="11"/>
        <v>1</v>
      </c>
      <c r="AA42" s="40" t="b">
        <f t="shared" ca="1" si="7"/>
        <v>1</v>
      </c>
      <c r="AB42" s="67" t="b">
        <f t="shared" ca="1" si="8"/>
        <v>1</v>
      </c>
      <c r="AC42" s="64" t="str">
        <f t="shared" ca="1" si="12"/>
        <v>NYB</v>
      </c>
    </row>
    <row r="43" spans="1:29" x14ac:dyDescent="0.25">
      <c r="A43" s="29">
        <v>37</v>
      </c>
      <c r="B43" s="49" t="b">
        <f t="shared" ca="1" si="9"/>
        <v>1</v>
      </c>
      <c r="C43" s="60" t="s">
        <v>148</v>
      </c>
      <c r="D43" s="22" t="s">
        <v>77</v>
      </c>
      <c r="E43" s="62" t="s">
        <v>67</v>
      </c>
      <c r="F43" s="22">
        <v>2</v>
      </c>
      <c r="G43" s="22" t="s">
        <v>14</v>
      </c>
      <c r="H43" s="58">
        <f ca="1">IF($E43="IMM",_xll.meDateNthIMMFromStartDate(AsOf, $F43,$AC43,"MOD_FOLLOWING"),_xll.meDateFromTenor(AsOf,$F43&amp;"D","MOD_FOLLOWING",$AC43))</f>
        <v>43091</v>
      </c>
      <c r="I43" s="88" t="s">
        <v>29</v>
      </c>
      <c r="J43" s="23" t="s">
        <v>16</v>
      </c>
      <c r="K43" s="23" t="s">
        <v>56</v>
      </c>
      <c r="L43" s="23" t="s">
        <v>42</v>
      </c>
      <c r="M43" s="23" t="s">
        <v>64</v>
      </c>
      <c r="N43" s="23" t="s">
        <v>56</v>
      </c>
      <c r="O43" s="46" t="s">
        <v>48</v>
      </c>
      <c r="P43" s="37">
        <f t="shared" ca="1" si="0"/>
        <v>5</v>
      </c>
      <c r="Q43" s="38" t="str">
        <f t="shared" ca="1" si="13"/>
        <v>SPOT</v>
      </c>
      <c r="R43" s="57">
        <f ca="1">IF($I43="","",IF(ISNUMBER($I43),$I43,_xll.meDateFromTenor(H43,$I43,"MOD_FOLLOWING",VLOOKUP(LEFT($M43,3),DateConventions,3))))</f>
        <v>44917</v>
      </c>
      <c r="S43" s="38" t="b">
        <f t="shared" ca="1" si="10"/>
        <v>1</v>
      </c>
      <c r="T43" s="38" t="b">
        <f t="shared" ca="1" si="1"/>
        <v>1</v>
      </c>
      <c r="U43" s="38" t="b">
        <f t="shared" ca="1" si="2"/>
        <v>1</v>
      </c>
      <c r="V43" s="38" t="b">
        <f t="shared" ca="1" si="3"/>
        <v>1</v>
      </c>
      <c r="W43" s="39" t="b">
        <f t="shared" ca="1" si="4"/>
        <v>1</v>
      </c>
      <c r="X43" s="38" t="b">
        <f t="shared" ca="1" si="5"/>
        <v>1</v>
      </c>
      <c r="Y43" s="40" t="b">
        <f t="shared" ca="1" si="6"/>
        <v>1</v>
      </c>
      <c r="Z43" s="40" t="b">
        <f t="shared" ca="1" si="11"/>
        <v>1</v>
      </c>
      <c r="AA43" s="40" t="b">
        <f t="shared" ca="1" si="7"/>
        <v>1</v>
      </c>
      <c r="AB43" s="67" t="b">
        <f t="shared" ca="1" si="8"/>
        <v>1</v>
      </c>
      <c r="AC43" s="64" t="str">
        <f t="shared" ca="1" si="12"/>
        <v>NYB</v>
      </c>
    </row>
    <row r="44" spans="1:29" x14ac:dyDescent="0.25">
      <c r="A44" s="29">
        <v>38</v>
      </c>
      <c r="B44" s="49" t="b">
        <f t="shared" ca="1" si="9"/>
        <v>1</v>
      </c>
      <c r="C44" s="60" t="s">
        <v>148</v>
      </c>
      <c r="D44" s="22" t="s">
        <v>77</v>
      </c>
      <c r="E44" s="62" t="s">
        <v>67</v>
      </c>
      <c r="F44" s="22">
        <v>2</v>
      </c>
      <c r="G44" s="22" t="s">
        <v>14</v>
      </c>
      <c r="H44" s="58">
        <f ca="1">IF($E44="IMM",_xll.meDateNthIMMFromStartDate(AsOf, $F44,$AC44,"MOD_FOLLOWING"),_xll.meDateFromTenor(AsOf,$F44&amp;"D","MOD_FOLLOWING",$AC44))</f>
        <v>43091</v>
      </c>
      <c r="I44" s="88" t="s">
        <v>29</v>
      </c>
      <c r="J44" s="23" t="s">
        <v>16</v>
      </c>
      <c r="K44" s="23" t="s">
        <v>56</v>
      </c>
      <c r="L44" s="23" t="s">
        <v>42</v>
      </c>
      <c r="M44" s="23" t="s">
        <v>64</v>
      </c>
      <c r="N44" s="23" t="s">
        <v>56</v>
      </c>
      <c r="O44" s="46" t="s">
        <v>48</v>
      </c>
      <c r="P44" s="37">
        <f t="shared" ca="1" si="0"/>
        <v>5</v>
      </c>
      <c r="Q44" s="38" t="str">
        <f t="shared" ca="1" si="13"/>
        <v>SPOT</v>
      </c>
      <c r="R44" s="57">
        <f ca="1">IF($I44="","",IF(ISNUMBER($I44),$I44,_xll.meDateFromTenor(H44,$I44,"MOD_FOLLOWING",VLOOKUP(LEFT($M44,3),DateConventions,3))))</f>
        <v>44917</v>
      </c>
      <c r="S44" s="38" t="b">
        <f t="shared" ca="1" si="10"/>
        <v>1</v>
      </c>
      <c r="T44" s="38" t="b">
        <f t="shared" ca="1" si="1"/>
        <v>1</v>
      </c>
      <c r="U44" s="38" t="b">
        <f t="shared" ca="1" si="2"/>
        <v>1</v>
      </c>
      <c r="V44" s="38" t="b">
        <f t="shared" ca="1" si="3"/>
        <v>1</v>
      </c>
      <c r="W44" s="39" t="b">
        <f t="shared" ca="1" si="4"/>
        <v>1</v>
      </c>
      <c r="X44" s="38" t="b">
        <f t="shared" ca="1" si="5"/>
        <v>1</v>
      </c>
      <c r="Y44" s="40" t="b">
        <f t="shared" ca="1" si="6"/>
        <v>1</v>
      </c>
      <c r="Z44" s="40" t="b">
        <f t="shared" ca="1" si="11"/>
        <v>1</v>
      </c>
      <c r="AA44" s="40" t="b">
        <f t="shared" ca="1" si="7"/>
        <v>1</v>
      </c>
      <c r="AB44" s="67" t="b">
        <f t="shared" ca="1" si="8"/>
        <v>1</v>
      </c>
      <c r="AC44" s="64" t="str">
        <f t="shared" ca="1" si="12"/>
        <v>NYB</v>
      </c>
    </row>
    <row r="45" spans="1:29" x14ac:dyDescent="0.25">
      <c r="A45" s="29">
        <v>39</v>
      </c>
      <c r="B45" s="49" t="b">
        <f t="shared" ca="1" si="9"/>
        <v>1</v>
      </c>
      <c r="C45" s="60" t="s">
        <v>148</v>
      </c>
      <c r="D45" s="22" t="s">
        <v>77</v>
      </c>
      <c r="E45" s="62" t="s">
        <v>67</v>
      </c>
      <c r="F45" s="22">
        <v>2</v>
      </c>
      <c r="G45" s="22" t="s">
        <v>14</v>
      </c>
      <c r="H45" s="58">
        <f ca="1">IF($E45="IMM",_xll.meDateNthIMMFromStartDate(AsOf, $F45,$AC45,"MOD_FOLLOWING"),_xll.meDateFromTenor(AsOf,$F45&amp;"D","MOD_FOLLOWING",$AC45))</f>
        <v>43091</v>
      </c>
      <c r="I45" s="88" t="s">
        <v>29</v>
      </c>
      <c r="J45" s="23" t="s">
        <v>16</v>
      </c>
      <c r="K45" s="23" t="s">
        <v>56</v>
      </c>
      <c r="L45" s="23" t="s">
        <v>42</v>
      </c>
      <c r="M45" s="23" t="s">
        <v>64</v>
      </c>
      <c r="N45" s="23" t="s">
        <v>56</v>
      </c>
      <c r="O45" s="46" t="s">
        <v>48</v>
      </c>
      <c r="P45" s="37">
        <f t="shared" ca="1" si="0"/>
        <v>5</v>
      </c>
      <c r="Q45" s="38" t="str">
        <f t="shared" ca="1" si="13"/>
        <v>SPOT</v>
      </c>
      <c r="R45" s="57">
        <f ca="1">IF($I45="","",IF(ISNUMBER($I45),$I45,_xll.meDateFromTenor(H45,$I45,"MOD_FOLLOWING",VLOOKUP(LEFT($M45,3),DateConventions,3))))</f>
        <v>44917</v>
      </c>
      <c r="S45" s="38" t="b">
        <f t="shared" ca="1" si="10"/>
        <v>1</v>
      </c>
      <c r="T45" s="38" t="b">
        <f t="shared" ca="1" si="1"/>
        <v>1</v>
      </c>
      <c r="U45" s="38" t="b">
        <f t="shared" ca="1" si="2"/>
        <v>1</v>
      </c>
      <c r="V45" s="38" t="b">
        <f t="shared" ca="1" si="3"/>
        <v>1</v>
      </c>
      <c r="W45" s="39" t="b">
        <f t="shared" ca="1" si="4"/>
        <v>1</v>
      </c>
      <c r="X45" s="38" t="b">
        <f t="shared" ca="1" si="5"/>
        <v>1</v>
      </c>
      <c r="Y45" s="40" t="b">
        <f t="shared" ca="1" si="6"/>
        <v>1</v>
      </c>
      <c r="Z45" s="40" t="b">
        <f t="shared" ca="1" si="11"/>
        <v>1</v>
      </c>
      <c r="AA45" s="40" t="b">
        <f t="shared" ca="1" si="7"/>
        <v>1</v>
      </c>
      <c r="AB45" s="67" t="b">
        <f t="shared" ca="1" si="8"/>
        <v>1</v>
      </c>
      <c r="AC45" s="64" t="str">
        <f t="shared" ca="1" si="12"/>
        <v>NYB</v>
      </c>
    </row>
    <row r="46" spans="1:29" x14ac:dyDescent="0.25">
      <c r="A46" s="29">
        <v>40</v>
      </c>
      <c r="B46" s="49" t="b">
        <f t="shared" ca="1" si="9"/>
        <v>1</v>
      </c>
      <c r="C46" s="60" t="s">
        <v>148</v>
      </c>
      <c r="D46" s="22" t="s">
        <v>77</v>
      </c>
      <c r="E46" s="62" t="s">
        <v>67</v>
      </c>
      <c r="F46" s="22">
        <v>2</v>
      </c>
      <c r="G46" s="22" t="s">
        <v>14</v>
      </c>
      <c r="H46" s="58">
        <f ca="1">IF($E46="IMM",_xll.meDateNthIMMFromStartDate(AsOf, $F46,$AC46,"MOD_FOLLOWING"),_xll.meDateFromTenor(AsOf,$F46&amp;"D","MOD_FOLLOWING",$AC46))</f>
        <v>43091</v>
      </c>
      <c r="I46" s="88" t="s">
        <v>29</v>
      </c>
      <c r="J46" s="23" t="s">
        <v>16</v>
      </c>
      <c r="K46" s="23" t="s">
        <v>56</v>
      </c>
      <c r="L46" s="23" t="s">
        <v>42</v>
      </c>
      <c r="M46" s="23" t="s">
        <v>64</v>
      </c>
      <c r="N46" s="23" t="s">
        <v>56</v>
      </c>
      <c r="O46" s="46" t="s">
        <v>48</v>
      </c>
      <c r="P46" s="37">
        <f t="shared" ca="1" si="0"/>
        <v>5</v>
      </c>
      <c r="Q46" s="38" t="str">
        <f t="shared" ca="1" si="13"/>
        <v>SPOT</v>
      </c>
      <c r="R46" s="57">
        <f ca="1">IF($I46="","",IF(ISNUMBER($I46),$I46,_xll.meDateFromTenor(H46,$I46,"MOD_FOLLOWING",VLOOKUP(LEFT($M46,3),DateConventions,3))))</f>
        <v>44917</v>
      </c>
      <c r="S46" s="38" t="b">
        <f t="shared" ca="1" si="10"/>
        <v>1</v>
      </c>
      <c r="T46" s="38" t="b">
        <f t="shared" ca="1" si="1"/>
        <v>1</v>
      </c>
      <c r="U46" s="38" t="b">
        <f t="shared" ca="1" si="2"/>
        <v>1</v>
      </c>
      <c r="V46" s="38" t="b">
        <f t="shared" ca="1" si="3"/>
        <v>1</v>
      </c>
      <c r="W46" s="39" t="b">
        <f t="shared" ca="1" si="4"/>
        <v>1</v>
      </c>
      <c r="X46" s="38" t="b">
        <f t="shared" ca="1" si="5"/>
        <v>1</v>
      </c>
      <c r="Y46" s="40" t="b">
        <f t="shared" ca="1" si="6"/>
        <v>1</v>
      </c>
      <c r="Z46" s="40" t="b">
        <f t="shared" ca="1" si="11"/>
        <v>1</v>
      </c>
      <c r="AA46" s="40" t="b">
        <f t="shared" ca="1" si="7"/>
        <v>1</v>
      </c>
      <c r="AB46" s="67" t="b">
        <f t="shared" ca="1" si="8"/>
        <v>1</v>
      </c>
      <c r="AC46" s="64" t="str">
        <f t="shared" ca="1" si="12"/>
        <v>NYB</v>
      </c>
    </row>
    <row r="47" spans="1:29" x14ac:dyDescent="0.25">
      <c r="A47" s="29">
        <v>41</v>
      </c>
      <c r="B47" s="49" t="b">
        <f t="shared" ca="1" si="9"/>
        <v>1</v>
      </c>
      <c r="C47" s="60" t="s">
        <v>148</v>
      </c>
      <c r="D47" s="22" t="s">
        <v>77</v>
      </c>
      <c r="E47" s="62" t="s">
        <v>67</v>
      </c>
      <c r="F47" s="22">
        <v>2</v>
      </c>
      <c r="G47" s="22" t="s">
        <v>14</v>
      </c>
      <c r="H47" s="58">
        <f ca="1">IF($E47="IMM",_xll.meDateNthIMMFromStartDate(AsOf, $F47,$AC47,"MOD_FOLLOWING"),_xll.meDateFromTenor(AsOf,$F47&amp;"D","MOD_FOLLOWING",$AC47))</f>
        <v>43091</v>
      </c>
      <c r="I47" s="88" t="s">
        <v>29</v>
      </c>
      <c r="J47" s="23" t="s">
        <v>16</v>
      </c>
      <c r="K47" s="23" t="s">
        <v>56</v>
      </c>
      <c r="L47" s="23" t="s">
        <v>42</v>
      </c>
      <c r="M47" s="23" t="s">
        <v>64</v>
      </c>
      <c r="N47" s="23" t="s">
        <v>56</v>
      </c>
      <c r="O47" s="46" t="s">
        <v>48</v>
      </c>
      <c r="P47" s="37">
        <f t="shared" ca="1" si="0"/>
        <v>5</v>
      </c>
      <c r="Q47" s="38" t="str">
        <f t="shared" ca="1" si="13"/>
        <v>SPOT</v>
      </c>
      <c r="R47" s="57">
        <f ca="1">IF($I47="","",IF(ISNUMBER($I47),$I47,_xll.meDateFromTenor(H47,$I47,"MOD_FOLLOWING",VLOOKUP(LEFT($M47,3),DateConventions,3))))</f>
        <v>44917</v>
      </c>
      <c r="S47" s="38" t="b">
        <f t="shared" ca="1" si="10"/>
        <v>1</v>
      </c>
      <c r="T47" s="38" t="b">
        <f t="shared" ca="1" si="1"/>
        <v>1</v>
      </c>
      <c r="U47" s="38" t="b">
        <f t="shared" ca="1" si="2"/>
        <v>1</v>
      </c>
      <c r="V47" s="38" t="b">
        <f t="shared" ca="1" si="3"/>
        <v>1</v>
      </c>
      <c r="W47" s="39" t="b">
        <f t="shared" ca="1" si="4"/>
        <v>1</v>
      </c>
      <c r="X47" s="38" t="b">
        <f t="shared" ca="1" si="5"/>
        <v>1</v>
      </c>
      <c r="Y47" s="40" t="b">
        <f t="shared" ca="1" si="6"/>
        <v>1</v>
      </c>
      <c r="Z47" s="40" t="b">
        <f t="shared" ca="1" si="11"/>
        <v>1</v>
      </c>
      <c r="AA47" s="40" t="b">
        <f t="shared" ca="1" si="7"/>
        <v>1</v>
      </c>
      <c r="AB47" s="67" t="b">
        <f t="shared" ca="1" si="8"/>
        <v>1</v>
      </c>
      <c r="AC47" s="64" t="str">
        <f t="shared" ca="1" si="12"/>
        <v>NYB</v>
      </c>
    </row>
    <row r="48" spans="1:29" x14ac:dyDescent="0.25">
      <c r="A48" s="29">
        <v>42</v>
      </c>
      <c r="B48" s="50" t="b">
        <f t="shared" ca="1" si="9"/>
        <v>1</v>
      </c>
      <c r="C48" s="86" t="s">
        <v>148</v>
      </c>
      <c r="D48" s="73" t="s">
        <v>77</v>
      </c>
      <c r="E48" s="62" t="s">
        <v>67</v>
      </c>
      <c r="F48" s="99">
        <v>2</v>
      </c>
      <c r="G48" s="99" t="s">
        <v>14</v>
      </c>
      <c r="H48" s="117">
        <f ca="1">IF($E48="IMM",_xll.meDateNthIMMFromStartDate(AsOf, $F48,$AC48,"MOD_FOLLOWING"),_xll.meDateFromTenor(AsOf,$F48&amp;"D","MOD_FOLLOWING",$AC48))</f>
        <v>43091</v>
      </c>
      <c r="I48" s="89" t="s">
        <v>29</v>
      </c>
      <c r="J48" s="27" t="s">
        <v>16</v>
      </c>
      <c r="K48" s="27" t="s">
        <v>56</v>
      </c>
      <c r="L48" s="27" t="s">
        <v>42</v>
      </c>
      <c r="M48" s="23" t="s">
        <v>64</v>
      </c>
      <c r="N48" s="23" t="s">
        <v>56</v>
      </c>
      <c r="O48" s="47" t="s">
        <v>48</v>
      </c>
      <c r="P48" s="41">
        <f t="shared" ca="1" si="0"/>
        <v>5</v>
      </c>
      <c r="Q48" s="38" t="str">
        <f t="shared" ca="1" si="13"/>
        <v>SPOT</v>
      </c>
      <c r="R48" s="57">
        <f ca="1">IF($I48="","",IF(ISNUMBER($I48),$I48,_xll.meDateFromTenor(H48,$I48,"MOD_FOLLOWING",VLOOKUP(LEFT($M48,3),DateConventions,3))))</f>
        <v>44917</v>
      </c>
      <c r="S48" s="38" t="b">
        <f t="shared" ca="1" si="10"/>
        <v>1</v>
      </c>
      <c r="T48" s="42" t="b">
        <f t="shared" ca="1" si="1"/>
        <v>1</v>
      </c>
      <c r="U48" s="42" t="b">
        <f t="shared" ca="1" si="2"/>
        <v>1</v>
      </c>
      <c r="V48" s="38" t="b">
        <f t="shared" ca="1" si="3"/>
        <v>1</v>
      </c>
      <c r="W48" s="39" t="b">
        <f t="shared" ca="1" si="4"/>
        <v>1</v>
      </c>
      <c r="X48" s="42" t="b">
        <f t="shared" ca="1" si="5"/>
        <v>1</v>
      </c>
      <c r="Y48" s="43" t="b">
        <f t="shared" ca="1" si="6"/>
        <v>1</v>
      </c>
      <c r="Z48" s="43" t="b">
        <f t="shared" ca="1" si="11"/>
        <v>1</v>
      </c>
      <c r="AA48" s="43" t="b">
        <f t="shared" ca="1" si="7"/>
        <v>1</v>
      </c>
      <c r="AB48" s="68" t="b">
        <f t="shared" ca="1" si="8"/>
        <v>1</v>
      </c>
      <c r="AC48" s="65" t="str">
        <f t="shared" ca="1" si="12"/>
        <v>NYB</v>
      </c>
    </row>
    <row r="49" spans="3:26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3:26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3:26" ht="15.75" outlineLevel="1" thickBot="1" x14ac:dyDescent="0.3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3:26" ht="15.75" outlineLevel="1" thickBot="1" x14ac:dyDescent="0.3">
      <c r="C52" s="128" t="s">
        <v>0</v>
      </c>
      <c r="D52" s="128" t="s">
        <v>1</v>
      </c>
      <c r="E52" s="128" t="s">
        <v>2</v>
      </c>
      <c r="F52" s="70"/>
      <c r="G52" s="128" t="s">
        <v>3</v>
      </c>
      <c r="H52" s="128" t="s">
        <v>4</v>
      </c>
      <c r="I52" s="128" t="s">
        <v>5</v>
      </c>
      <c r="J52" s="130" t="s">
        <v>6</v>
      </c>
      <c r="K52" s="131"/>
      <c r="L52" s="130" t="s">
        <v>7</v>
      </c>
      <c r="M52" s="132"/>
      <c r="N52" s="131"/>
      <c r="Y52" s="5"/>
      <c r="Z52" s="5"/>
    </row>
    <row r="53" spans="3:26" ht="26.25" outlineLevel="1" thickBot="1" x14ac:dyDescent="0.3">
      <c r="C53" s="129"/>
      <c r="D53" s="129"/>
      <c r="E53" s="129"/>
      <c r="F53" s="71"/>
      <c r="G53" s="129"/>
      <c r="H53" s="129"/>
      <c r="I53" s="129"/>
      <c r="J53" s="1" t="s">
        <v>8</v>
      </c>
      <c r="K53" s="1" t="s">
        <v>9</v>
      </c>
      <c r="L53" s="1" t="s">
        <v>10</v>
      </c>
      <c r="M53" s="1" t="s">
        <v>11</v>
      </c>
      <c r="N53" s="1" t="s">
        <v>9</v>
      </c>
      <c r="Y53" s="9"/>
    </row>
    <row r="54" spans="3:26" ht="26.25" outlineLevel="1" thickBot="1" x14ac:dyDescent="0.3">
      <c r="C54" s="71" t="s">
        <v>12</v>
      </c>
      <c r="D54" s="4" t="s">
        <v>13</v>
      </c>
      <c r="E54" s="11" t="s">
        <v>68</v>
      </c>
      <c r="F54" s="11"/>
      <c r="G54" s="4" t="s">
        <v>14</v>
      </c>
      <c r="H54" s="4" t="s">
        <v>15</v>
      </c>
      <c r="I54" s="4" t="s">
        <v>16</v>
      </c>
      <c r="J54" s="4" t="s">
        <v>49</v>
      </c>
      <c r="K54" s="4" t="s">
        <v>59</v>
      </c>
      <c r="L54" s="11" t="s">
        <v>61</v>
      </c>
      <c r="M54" s="4" t="s">
        <v>51</v>
      </c>
      <c r="N54" s="4" t="s">
        <v>57</v>
      </c>
      <c r="Y54" s="9"/>
    </row>
    <row r="55" spans="3:26" ht="26.25" outlineLevel="1" thickBot="1" x14ac:dyDescent="0.3">
      <c r="C55" s="71" t="s">
        <v>12</v>
      </c>
      <c r="D55" s="4" t="s">
        <v>13</v>
      </c>
      <c r="E55" s="11" t="s">
        <v>68</v>
      </c>
      <c r="F55" s="11"/>
      <c r="G55" s="4" t="s">
        <v>14</v>
      </c>
      <c r="H55" s="4" t="s">
        <v>17</v>
      </c>
      <c r="I55" s="4" t="s">
        <v>16</v>
      </c>
      <c r="J55" s="4" t="s">
        <v>49</v>
      </c>
      <c r="K55" s="4" t="s">
        <v>59</v>
      </c>
      <c r="L55" s="11" t="s">
        <v>62</v>
      </c>
      <c r="M55" s="4" t="s">
        <v>52</v>
      </c>
      <c r="N55" s="4" t="s">
        <v>57</v>
      </c>
      <c r="Y55" s="9"/>
    </row>
    <row r="56" spans="3:26" ht="26.25" outlineLevel="1" thickBot="1" x14ac:dyDescent="0.3">
      <c r="C56" s="71" t="s">
        <v>18</v>
      </c>
      <c r="D56" s="4" t="s">
        <v>19</v>
      </c>
      <c r="E56" s="11" t="s">
        <v>68</v>
      </c>
      <c r="F56" s="11"/>
      <c r="G56" s="4" t="s">
        <v>14</v>
      </c>
      <c r="H56" s="4" t="s">
        <v>20</v>
      </c>
      <c r="I56" s="4" t="s">
        <v>16</v>
      </c>
      <c r="J56" s="4" t="s">
        <v>49</v>
      </c>
      <c r="K56" s="4" t="s">
        <v>59</v>
      </c>
      <c r="L56" s="11" t="s">
        <v>63</v>
      </c>
      <c r="M56" s="4" t="s">
        <v>52</v>
      </c>
      <c r="N56" s="4" t="s">
        <v>57</v>
      </c>
      <c r="Y56" s="9"/>
    </row>
    <row r="57" spans="3:26" ht="26.25" outlineLevel="1" thickBot="1" x14ac:dyDescent="0.3">
      <c r="C57" s="71" t="s">
        <v>18</v>
      </c>
      <c r="D57" s="4" t="s">
        <v>19</v>
      </c>
      <c r="E57" s="11" t="s">
        <v>21</v>
      </c>
      <c r="F57" s="11"/>
      <c r="G57" s="4" t="s">
        <v>14</v>
      </c>
      <c r="H57" s="4" t="s">
        <v>22</v>
      </c>
      <c r="I57" s="4" t="s">
        <v>16</v>
      </c>
      <c r="J57" s="4" t="s">
        <v>49</v>
      </c>
      <c r="K57" s="4" t="s">
        <v>59</v>
      </c>
      <c r="L57" s="11" t="s">
        <v>98</v>
      </c>
      <c r="M57" s="4" t="s">
        <v>52</v>
      </c>
      <c r="N57" s="4" t="s">
        <v>57</v>
      </c>
      <c r="Y57" s="9"/>
    </row>
    <row r="58" spans="3:26" ht="26.25" outlineLevel="1" thickBot="1" x14ac:dyDescent="0.3">
      <c r="C58" s="71" t="s">
        <v>23</v>
      </c>
      <c r="D58" s="4" t="s">
        <v>19</v>
      </c>
      <c r="E58" s="11" t="s">
        <v>68</v>
      </c>
      <c r="F58" s="11"/>
      <c r="G58" s="4" t="s">
        <v>14</v>
      </c>
      <c r="H58" s="4" t="s">
        <v>20</v>
      </c>
      <c r="I58" s="4" t="s">
        <v>16</v>
      </c>
      <c r="J58" s="4" t="s">
        <v>49</v>
      </c>
      <c r="K58" s="4" t="s">
        <v>59</v>
      </c>
      <c r="L58" s="11" t="s">
        <v>64</v>
      </c>
      <c r="M58" s="4" t="s">
        <v>50</v>
      </c>
      <c r="N58" s="4" t="s">
        <v>57</v>
      </c>
      <c r="Y58" s="9"/>
    </row>
    <row r="59" spans="3:26" ht="26.25" outlineLevel="1" thickBot="1" x14ac:dyDescent="0.3">
      <c r="C59" s="71" t="s">
        <v>23</v>
      </c>
      <c r="D59" s="4" t="s">
        <v>19</v>
      </c>
      <c r="E59" s="11" t="s">
        <v>21</v>
      </c>
      <c r="F59" s="11"/>
      <c r="G59" s="4" t="s">
        <v>14</v>
      </c>
      <c r="H59" s="4" t="s">
        <v>22</v>
      </c>
      <c r="I59" s="4" t="s">
        <v>16</v>
      </c>
      <c r="J59" s="4" t="s">
        <v>49</v>
      </c>
      <c r="K59" s="4" t="s">
        <v>59</v>
      </c>
      <c r="L59" s="11" t="s">
        <v>99</v>
      </c>
      <c r="M59" s="4" t="s">
        <v>50</v>
      </c>
      <c r="N59" s="4" t="s">
        <v>57</v>
      </c>
      <c r="Y59" s="9"/>
    </row>
    <row r="60" spans="3:26" ht="26.25" outlineLevel="1" thickBot="1" x14ac:dyDescent="0.3">
      <c r="C60" s="71" t="s">
        <v>24</v>
      </c>
      <c r="D60" s="4" t="s">
        <v>25</v>
      </c>
      <c r="E60" s="11" t="s">
        <v>69</v>
      </c>
      <c r="F60" s="11"/>
      <c r="G60" s="4" t="s">
        <v>14</v>
      </c>
      <c r="H60" s="4" t="s">
        <v>17</v>
      </c>
      <c r="I60" s="4" t="s">
        <v>16</v>
      </c>
      <c r="J60" s="4" t="s">
        <v>50</v>
      </c>
      <c r="K60" s="4" t="s">
        <v>58</v>
      </c>
      <c r="L60" s="11" t="s">
        <v>65</v>
      </c>
      <c r="M60" s="4" t="s">
        <v>51</v>
      </c>
      <c r="N60" s="4" t="s">
        <v>58</v>
      </c>
      <c r="Y60" s="9"/>
    </row>
    <row r="61" spans="3:26" ht="26.25" customHeight="1" outlineLevel="1" thickBot="1" x14ac:dyDescent="0.3">
      <c r="C61" s="71" t="s">
        <v>24</v>
      </c>
      <c r="D61" s="4" t="s">
        <v>25</v>
      </c>
      <c r="E61" s="11" t="s">
        <v>69</v>
      </c>
      <c r="F61" s="11"/>
      <c r="G61" s="4" t="s">
        <v>14</v>
      </c>
      <c r="H61" s="4" t="s">
        <v>17</v>
      </c>
      <c r="I61" s="4" t="s">
        <v>16</v>
      </c>
      <c r="J61" s="4" t="s">
        <v>50</v>
      </c>
      <c r="K61" s="4" t="s">
        <v>58</v>
      </c>
      <c r="L61" s="11" t="s">
        <v>66</v>
      </c>
      <c r="M61" s="4" t="s">
        <v>52</v>
      </c>
      <c r="N61" s="4" t="s">
        <v>58</v>
      </c>
      <c r="Y61" s="9"/>
    </row>
    <row r="62" spans="3:26" outlineLevel="1" x14ac:dyDescent="0.25">
      <c r="Y62" s="9"/>
    </row>
    <row r="63" spans="3:26" outlineLevel="1" x14ac:dyDescent="0.25">
      <c r="Y63" s="9"/>
    </row>
    <row r="64" spans="3:26" ht="15.75" outlineLevel="1" thickBot="1" x14ac:dyDescent="0.3">
      <c r="C64" s="11" t="s">
        <v>61</v>
      </c>
      <c r="K64" s="5"/>
      <c r="Y64" s="9"/>
    </row>
    <row r="65" spans="2:25" ht="25.5" outlineLevel="1" x14ac:dyDescent="0.25">
      <c r="B65" s="5" t="s">
        <v>90</v>
      </c>
      <c r="C65" s="6" t="s">
        <v>40</v>
      </c>
      <c r="D65" s="6" t="s">
        <v>39</v>
      </c>
      <c r="E65" s="5" t="s">
        <v>45</v>
      </c>
      <c r="F65" s="5" t="s">
        <v>46</v>
      </c>
      <c r="H65" s="2"/>
      <c r="K65" t="s">
        <v>73</v>
      </c>
      <c r="L65" t="s">
        <v>74</v>
      </c>
      <c r="M65" t="s">
        <v>75</v>
      </c>
      <c r="Y65" s="9"/>
    </row>
    <row r="66" spans="2:25" outlineLevel="1" x14ac:dyDescent="0.25">
      <c r="B66" s="7">
        <f ca="1">_xll.meDateFromTenor(AsOf,"2D","MOD_FOLLOWING","TGT")</f>
        <v>43091</v>
      </c>
      <c r="C66" s="2" t="s">
        <v>26</v>
      </c>
      <c r="D66" s="7">
        <f ca="1">_xll.meDateFromTenor($B$66,C66,"MOD_FOLLOWING","TGT")</f>
        <v>43822</v>
      </c>
      <c r="E66" s="133">
        <f ca="1">_xll.meDateFromTenor($D66,"-5D","MOD_FOLLOWING","TGT")</f>
        <v>43815</v>
      </c>
      <c r="F66" s="133">
        <f ca="1">_xll.meDateFromTenor($D66,"5D","MOD_FOLLOWING","TGT")</f>
        <v>43832</v>
      </c>
      <c r="K66" s="13" t="s">
        <v>72</v>
      </c>
      <c r="L66" s="14" t="s">
        <v>78</v>
      </c>
      <c r="M66" s="15" t="s">
        <v>79</v>
      </c>
    </row>
    <row r="67" spans="2:25" outlineLevel="1" x14ac:dyDescent="0.25">
      <c r="C67" s="2" t="s">
        <v>27</v>
      </c>
      <c r="D67" s="7">
        <f ca="1">_xll.meDateFromTenor($B$66,C67,"MOD_FOLLOWING","TGT")</f>
        <v>44187</v>
      </c>
      <c r="E67" s="133">
        <f ca="1">_xll.meDateFromTenor($D67,"-5D","MOD_FOLLOWING","TGT")</f>
        <v>44180</v>
      </c>
      <c r="F67" s="133">
        <f ca="1">_xll.meDateFromTenor($D67,"5D","MOD_FOLLOWING","TGT")</f>
        <v>44195</v>
      </c>
      <c r="H67" s="7"/>
      <c r="K67" s="16" t="s">
        <v>76</v>
      </c>
      <c r="L67" s="17" t="s">
        <v>78</v>
      </c>
      <c r="M67" s="18" t="s">
        <v>80</v>
      </c>
    </row>
    <row r="68" spans="2:25" outlineLevel="1" x14ac:dyDescent="0.25">
      <c r="C68" s="2" t="s">
        <v>28</v>
      </c>
      <c r="D68" s="7">
        <f ca="1">_xll.meDateFromTenor($B$66,C68,"MOD_FOLLOWING","TGT")</f>
        <v>44552</v>
      </c>
      <c r="E68" s="133">
        <f ca="1">_xll.meDateFromTenor($D68,"-5D","MOD_FOLLOWING","TGT")</f>
        <v>44545</v>
      </c>
      <c r="F68" s="133">
        <f ca="1">_xll.meDateFromTenor($D68,"5D","MOD_FOLLOWING","TGT")</f>
        <v>44559</v>
      </c>
      <c r="H68" s="7"/>
      <c r="K68" s="19" t="s">
        <v>77</v>
      </c>
      <c r="L68" s="20" t="s">
        <v>78</v>
      </c>
      <c r="M68" s="21" t="s">
        <v>81</v>
      </c>
    </row>
    <row r="69" spans="2:25" outlineLevel="1" x14ac:dyDescent="0.25">
      <c r="C69" s="2" t="s">
        <v>29</v>
      </c>
      <c r="D69" s="7">
        <f ca="1">_xll.meDateFromTenor($B$66,C69,"MOD_FOLLOWING","TGT")</f>
        <v>44917</v>
      </c>
      <c r="E69" s="133">
        <f ca="1">_xll.meDateFromTenor($D69,"-5D","MOD_FOLLOWING","TGT")</f>
        <v>44910</v>
      </c>
      <c r="F69" s="133">
        <f ca="1">_xll.meDateFromTenor($D69,"5D","MOD_FOLLOWING","TGT")</f>
        <v>44925</v>
      </c>
      <c r="H69" s="7"/>
    </row>
    <row r="70" spans="2:25" outlineLevel="1" x14ac:dyDescent="0.25">
      <c r="C70" s="2" t="s">
        <v>30</v>
      </c>
      <c r="D70" s="7">
        <f ca="1">_xll.meDateFromTenor($B$66,C70,"MOD_FOLLOWING","TGT")</f>
        <v>45282</v>
      </c>
      <c r="E70" s="133">
        <f ca="1">_xll.meDateFromTenor($D70,"-5D","MOD_FOLLOWING","TGT")</f>
        <v>45275</v>
      </c>
      <c r="F70" s="133">
        <f ca="1">_xll.meDateFromTenor($D70,"5D","MOD_FOLLOWING","TGT")</f>
        <v>45294</v>
      </c>
      <c r="H70" s="7"/>
    </row>
    <row r="71" spans="2:25" outlineLevel="1" x14ac:dyDescent="0.25">
      <c r="C71" s="2" t="s">
        <v>31</v>
      </c>
      <c r="D71" s="7">
        <f ca="1">_xll.meDateFromTenor($B$66,C71,"MOD_FOLLOWING","TGT")</f>
        <v>45649</v>
      </c>
      <c r="E71" s="133">
        <f ca="1">_xll.meDateFromTenor($D71,"-5D","MOD_FOLLOWING","TGT")</f>
        <v>45642</v>
      </c>
      <c r="F71" s="133">
        <f ca="1">_xll.meDateFromTenor($D71,"5D","MOD_FOLLOWING","TGT")</f>
        <v>45659</v>
      </c>
      <c r="H71" s="7"/>
    </row>
    <row r="72" spans="2:25" outlineLevel="1" x14ac:dyDescent="0.25">
      <c r="C72" s="2" t="s">
        <v>32</v>
      </c>
      <c r="D72" s="7">
        <f ca="1">_xll.meDateFromTenor($B$66,C72,"MOD_FOLLOWING","TGT")</f>
        <v>46013</v>
      </c>
      <c r="E72" s="133">
        <f ca="1">_xll.meDateFromTenor($D72,"-5D","MOD_FOLLOWING","TGT")</f>
        <v>46006</v>
      </c>
      <c r="F72" s="133">
        <f ca="1">_xll.meDateFromTenor($D72,"5D","MOD_FOLLOWING","TGT")</f>
        <v>46022</v>
      </c>
      <c r="H72" s="7"/>
    </row>
    <row r="73" spans="2:25" outlineLevel="1" x14ac:dyDescent="0.25">
      <c r="C73" s="2" t="s">
        <v>33</v>
      </c>
      <c r="D73" s="7">
        <f ca="1">_xll.meDateFromTenor($B$66,C73,"MOD_FOLLOWING","TGT")</f>
        <v>46378</v>
      </c>
      <c r="E73" s="133">
        <f ca="1">_xll.meDateFromTenor($D73,"-5D","MOD_FOLLOWING","TGT")</f>
        <v>46371</v>
      </c>
      <c r="F73" s="133">
        <f ca="1">_xll.meDateFromTenor($D73,"5D","MOD_FOLLOWING","TGT")</f>
        <v>46386</v>
      </c>
      <c r="H73" s="7"/>
    </row>
    <row r="74" spans="2:25" outlineLevel="1" x14ac:dyDescent="0.25">
      <c r="C74" s="2" t="s">
        <v>34</v>
      </c>
      <c r="D74" s="7">
        <f ca="1">_xll.meDateFromTenor($B$66,C74,"MOD_FOLLOWING","TGT")</f>
        <v>46743</v>
      </c>
      <c r="E74" s="133">
        <f ca="1">_xll.meDateFromTenor($D74,"-5D","MOD_FOLLOWING","TGT")</f>
        <v>46736</v>
      </c>
      <c r="F74" s="133">
        <f ca="1">_xll.meDateFromTenor($D74,"5D","MOD_FOLLOWING","TGT")</f>
        <v>46750</v>
      </c>
      <c r="H74" s="7"/>
    </row>
    <row r="75" spans="2:25" outlineLevel="1" x14ac:dyDescent="0.25">
      <c r="C75" s="2" t="s">
        <v>35</v>
      </c>
      <c r="D75" s="7">
        <f ca="1">_xll.meDateFromTenor($B$66,C75,"MOD_FOLLOWING","TGT")</f>
        <v>47476</v>
      </c>
      <c r="E75" s="133">
        <f ca="1">_xll.meDateFromTenor($D75,"-5D","MOD_FOLLOWING","TGT")</f>
        <v>47469</v>
      </c>
      <c r="F75" s="133">
        <f ca="1">_xll.meDateFromTenor($D75,"5D","MOD_FOLLOWING","TGT")</f>
        <v>47486</v>
      </c>
      <c r="H75" s="7"/>
    </row>
    <row r="76" spans="2:25" outlineLevel="1" x14ac:dyDescent="0.25">
      <c r="C76" s="2" t="s">
        <v>36</v>
      </c>
      <c r="D76" s="7">
        <f ca="1">_xll.meDateFromTenor($B$66,C76,"MOD_FOLLOWING","TGT")</f>
        <v>48570</v>
      </c>
      <c r="E76" s="133">
        <f ca="1">_xll.meDateFromTenor($D76,"-5D","MOD_FOLLOWING","TGT")</f>
        <v>48563</v>
      </c>
      <c r="F76" s="133">
        <f ca="1">_xll.meDateFromTenor($D76,"5D","MOD_FOLLOWING","TGT")</f>
        <v>48577</v>
      </c>
      <c r="H76" s="7"/>
    </row>
    <row r="77" spans="2:25" outlineLevel="1" x14ac:dyDescent="0.25">
      <c r="C77" s="2" t="s">
        <v>37</v>
      </c>
      <c r="D77" s="7">
        <f ca="1">_xll.meDateFromTenor($B$66,C77,"MOD_FOLLOWING","TGT")</f>
        <v>50396</v>
      </c>
      <c r="E77" s="133">
        <f ca="1">_xll.meDateFromTenor($D77,"-5D","MOD_FOLLOWING","TGT")</f>
        <v>50389</v>
      </c>
      <c r="F77" s="133">
        <f ca="1">_xll.meDateFromTenor($D77,"5D","MOD_FOLLOWING","TGT")</f>
        <v>50404</v>
      </c>
      <c r="H77" s="7"/>
    </row>
    <row r="78" spans="2:25" outlineLevel="1" x14ac:dyDescent="0.25">
      <c r="C78" s="2" t="s">
        <v>38</v>
      </c>
      <c r="D78" s="7">
        <f ca="1">_xll.meDateFromTenor($B$66,C78,"MOD_FOLLOWING","TGT")</f>
        <v>54049</v>
      </c>
      <c r="E78" s="133">
        <f ca="1">_xll.meDateFromTenor($D78,"-5D","MOD_FOLLOWING","TGT")</f>
        <v>54042</v>
      </c>
      <c r="F78" s="133">
        <f ca="1">_xll.meDateFromTenor($D78,"5D","MOD_FOLLOWING","TGT")</f>
        <v>54059</v>
      </c>
      <c r="H78" s="7"/>
    </row>
    <row r="79" spans="2:25" outlineLevel="1" x14ac:dyDescent="0.25">
      <c r="E79" s="8"/>
      <c r="F79" s="8"/>
    </row>
    <row r="80" spans="2:25" outlineLevel="1" x14ac:dyDescent="0.25">
      <c r="E80" s="8"/>
      <c r="F80" s="8"/>
    </row>
    <row r="81" spans="2:26" ht="15.75" outlineLevel="1" thickBot="1" x14ac:dyDescent="0.3">
      <c r="C81" s="11" t="s">
        <v>62</v>
      </c>
      <c r="E81" s="8"/>
      <c r="F81" s="8"/>
    </row>
    <row r="82" spans="2:26" outlineLevel="1" x14ac:dyDescent="0.25">
      <c r="B82" s="5" t="s">
        <v>90</v>
      </c>
      <c r="C82" s="6" t="s">
        <v>40</v>
      </c>
      <c r="D82" t="s">
        <v>60</v>
      </c>
      <c r="E82" s="5" t="s">
        <v>45</v>
      </c>
      <c r="F82" s="5" t="s">
        <v>46</v>
      </c>
      <c r="H82" s="5"/>
    </row>
    <row r="83" spans="2:26" outlineLevel="1" x14ac:dyDescent="0.25">
      <c r="B83" s="7">
        <f ca="1">_xll.meDateFromTenor(AsOf,"2D","MOD_FOLLOWING","TGT")</f>
        <v>43091</v>
      </c>
      <c r="C83" s="2" t="s">
        <v>26</v>
      </c>
      <c r="D83" s="7">
        <f ca="1">_xll.meDateFromTenor($B$83,C83,"MOD_FOLLOWING","TGT")</f>
        <v>43822</v>
      </c>
      <c r="E83" s="133">
        <f ca="1">_xll.meDateFromTenor($D83,"-5D","MOD_FOLLOWING","TGT")</f>
        <v>43815</v>
      </c>
      <c r="F83" s="133">
        <f ca="1">_xll.meDateFromTenor($D83,"5D","MOD_FOLLOWING","TGT")</f>
        <v>43832</v>
      </c>
      <c r="H83" s="9"/>
    </row>
    <row r="84" spans="2:26" outlineLevel="1" x14ac:dyDescent="0.25">
      <c r="C84" s="2" t="s">
        <v>27</v>
      </c>
      <c r="D84" s="7">
        <f ca="1">_xll.meDateFromTenor($B$83,C84,"MOD_FOLLOWING","TGT")</f>
        <v>44187</v>
      </c>
      <c r="E84" s="133">
        <f ca="1">_xll.meDateFromTenor($D84,"-5D","MOD_FOLLOWING","TGT")</f>
        <v>44180</v>
      </c>
      <c r="F84" s="133">
        <f ca="1">_xll.meDateFromTenor($D84,"5D","MOD_FOLLOWING","TGT")</f>
        <v>44195</v>
      </c>
      <c r="H84" s="9"/>
    </row>
    <row r="85" spans="2:26" outlineLevel="1" x14ac:dyDescent="0.25">
      <c r="C85" s="2" t="s">
        <v>28</v>
      </c>
      <c r="D85" s="7">
        <f ca="1">_xll.meDateFromTenor($B$83,C85,"MOD_FOLLOWING","TGT")</f>
        <v>44552</v>
      </c>
      <c r="E85" s="133">
        <f ca="1">_xll.meDateFromTenor($D85,"-5D","MOD_FOLLOWING","TGT")</f>
        <v>44545</v>
      </c>
      <c r="F85" s="133">
        <f ca="1">_xll.meDateFromTenor($D85,"5D","MOD_FOLLOWING","TGT")</f>
        <v>44559</v>
      </c>
      <c r="H85" s="9"/>
    </row>
    <row r="86" spans="2:26" outlineLevel="1" x14ac:dyDescent="0.25">
      <c r="C86" s="2" t="s">
        <v>29</v>
      </c>
      <c r="D86" s="7">
        <f ca="1">_xll.meDateFromTenor($B$83,C86,"MOD_FOLLOWING","TGT")</f>
        <v>44917</v>
      </c>
      <c r="E86" s="133">
        <f ca="1">_xll.meDateFromTenor($D86,"-5D","MOD_FOLLOWING","TGT")</f>
        <v>44910</v>
      </c>
      <c r="F86" s="133">
        <f ca="1">_xll.meDateFromTenor($D86,"5D","MOD_FOLLOWING","TGT")</f>
        <v>44925</v>
      </c>
      <c r="H86" s="9"/>
    </row>
    <row r="87" spans="2:26" outlineLevel="1" x14ac:dyDescent="0.25">
      <c r="C87" s="2" t="s">
        <v>30</v>
      </c>
      <c r="D87" s="7">
        <f ca="1">_xll.meDateFromTenor($B$83,C87,"MOD_FOLLOWING","TGT")</f>
        <v>45282</v>
      </c>
      <c r="E87" s="133">
        <f ca="1">_xll.meDateFromTenor($D87,"-5D","MOD_FOLLOWING","TGT")</f>
        <v>45275</v>
      </c>
      <c r="F87" s="133">
        <f ca="1">_xll.meDateFromTenor($D87,"5D","MOD_FOLLOWING","TGT")</f>
        <v>45294</v>
      </c>
      <c r="H87" s="9"/>
    </row>
    <row r="88" spans="2:26" outlineLevel="1" x14ac:dyDescent="0.25">
      <c r="C88" s="2" t="s">
        <v>31</v>
      </c>
      <c r="D88" s="7">
        <f ca="1">_xll.meDateFromTenor($B$83,C88,"MOD_FOLLOWING","TGT")</f>
        <v>45649</v>
      </c>
      <c r="E88" s="133">
        <f ca="1">_xll.meDateFromTenor($D88,"-5D","MOD_FOLLOWING","TGT")</f>
        <v>45642</v>
      </c>
      <c r="F88" s="133">
        <f ca="1">_xll.meDateFromTenor($D88,"5D","MOD_FOLLOWING","TGT")</f>
        <v>45659</v>
      </c>
      <c r="H88" s="9"/>
    </row>
    <row r="89" spans="2:26" outlineLevel="1" x14ac:dyDescent="0.25">
      <c r="C89" s="2" t="s">
        <v>34</v>
      </c>
      <c r="D89" s="7">
        <f ca="1">_xll.meDateFromTenor($B$83,C89,"MOD_FOLLOWING","TGT")</f>
        <v>46743</v>
      </c>
      <c r="E89" s="133">
        <f ca="1">_xll.meDateFromTenor($D89,"-5D","MOD_FOLLOWING","TGT")</f>
        <v>46736</v>
      </c>
      <c r="F89" s="133">
        <f ca="1">_xll.meDateFromTenor($D89,"5D","MOD_FOLLOWING","TGT")</f>
        <v>46750</v>
      </c>
      <c r="H89" s="9"/>
    </row>
    <row r="90" spans="2:26" outlineLevel="1" x14ac:dyDescent="0.25">
      <c r="C90" s="2" t="s">
        <v>36</v>
      </c>
      <c r="D90" s="7">
        <f ca="1">_xll.meDateFromTenor($B$83,C90,"MOD_FOLLOWING","TGT")</f>
        <v>48570</v>
      </c>
      <c r="E90" s="133">
        <f ca="1">_xll.meDateFromTenor($D90,"-5D","MOD_FOLLOWING","TGT")</f>
        <v>48563</v>
      </c>
      <c r="F90" s="133">
        <f ca="1">_xll.meDateFromTenor($D90,"5D","MOD_FOLLOWING","TGT")</f>
        <v>48577</v>
      </c>
      <c r="H90" s="9"/>
    </row>
    <row r="91" spans="2:26" outlineLevel="1" x14ac:dyDescent="0.25">
      <c r="C91" s="2" t="s">
        <v>37</v>
      </c>
      <c r="D91" s="7">
        <f ca="1">_xll.meDateFromTenor($B$83,C91,"MOD_FOLLOWING","TGT")</f>
        <v>50396</v>
      </c>
      <c r="E91" s="133">
        <f ca="1">_xll.meDateFromTenor($D91,"-5D","MOD_FOLLOWING","TGT")</f>
        <v>50389</v>
      </c>
      <c r="F91" s="133">
        <f ca="1">_xll.meDateFromTenor($D91,"5D","MOD_FOLLOWING","TGT")</f>
        <v>50404</v>
      </c>
      <c r="H91" s="9"/>
    </row>
    <row r="92" spans="2:26" outlineLevel="1" x14ac:dyDescent="0.25">
      <c r="C92" s="2" t="s">
        <v>38</v>
      </c>
      <c r="D92" s="7">
        <f ca="1">_xll.meDateFromTenor($B$83,C92,"MOD_FOLLOWING","TGT")</f>
        <v>54049</v>
      </c>
      <c r="E92" s="133">
        <f ca="1">_xll.meDateFromTenor($D92,"-5D","MOD_FOLLOWING","TGT")</f>
        <v>54042</v>
      </c>
      <c r="F92" s="133">
        <f ca="1">_xll.meDateFromTenor($D92,"5D","MOD_FOLLOWING","TGT")</f>
        <v>54059</v>
      </c>
      <c r="H92" s="9"/>
    </row>
    <row r="93" spans="2:26" outlineLevel="1" x14ac:dyDescent="0.25">
      <c r="E93" s="8"/>
      <c r="F93" s="8"/>
    </row>
    <row r="94" spans="2:26" ht="15.75" outlineLevel="1" thickBot="1" x14ac:dyDescent="0.3">
      <c r="B94" s="5" t="s">
        <v>90</v>
      </c>
      <c r="C94" s="11" t="s">
        <v>63</v>
      </c>
      <c r="D94" s="11" t="s">
        <v>64</v>
      </c>
      <c r="E94" s="5" t="s">
        <v>45</v>
      </c>
      <c r="F94" s="5" t="s">
        <v>46</v>
      </c>
      <c r="H94" s="8" t="s">
        <v>93</v>
      </c>
      <c r="I94" s="11" t="s">
        <v>98</v>
      </c>
      <c r="J94" s="11" t="s">
        <v>99</v>
      </c>
      <c r="K94" s="5" t="s">
        <v>45</v>
      </c>
      <c r="L94" s="5" t="s">
        <v>46</v>
      </c>
      <c r="R94" s="8"/>
      <c r="Y94" s="5"/>
      <c r="Z94" s="5"/>
    </row>
    <row r="95" spans="2:26" outlineLevel="1" x14ac:dyDescent="0.25">
      <c r="B95" s="7">
        <f ca="1">_xll.meDateFromTenor(AsOf,"2D","MOD_FOLLOWING","NYB")</f>
        <v>43091</v>
      </c>
      <c r="C95" s="2" t="s">
        <v>26</v>
      </c>
      <c r="D95" s="7">
        <f ca="1">_xll.meDateFromTenor($B$95,C95,"MOD_FOLLOWING","NYB")</f>
        <v>43822</v>
      </c>
      <c r="E95" s="133">
        <f ca="1">_xll.meDateFromTenor($D95,"-5D","MOD_FOLLOWING","NYB")</f>
        <v>43815</v>
      </c>
      <c r="F95" s="133">
        <f ca="1">_xll.meDateFromTenor($D95,"5D","MOD_FOLLOWING","NYB")</f>
        <v>43830</v>
      </c>
      <c r="H95" s="9">
        <f ca="1">_xll.meDateNthIMMFromStartDate(AsOf, 1,"NYB","MOD_FOLLOWING")</f>
        <v>43180</v>
      </c>
      <c r="I95" s="2" t="s">
        <v>26</v>
      </c>
      <c r="J95" s="7">
        <f ca="1">_xll.meDateFromTenor($H$95,I95,"MOD_FOLLOWING","NYB")</f>
        <v>43913</v>
      </c>
      <c r="K95" s="133">
        <f ca="1">_xll.meDateFromTenor($J95,"-5D","MOD_FOLLOWING","NYB")</f>
        <v>43906</v>
      </c>
      <c r="L95" s="133">
        <f ca="1">_xll.meDateFromTenor($J95,"5D","MOD_FOLLOWING","NYB")</f>
        <v>43920</v>
      </c>
      <c r="R95" s="9"/>
      <c r="Y95" s="9"/>
      <c r="Z95" s="9"/>
    </row>
    <row r="96" spans="2:26" outlineLevel="1" x14ac:dyDescent="0.25">
      <c r="C96" s="2" t="s">
        <v>27</v>
      </c>
      <c r="D96" s="7">
        <f ca="1">_xll.meDateFromTenor($B$95,C96,"MOD_FOLLOWING","NYB")</f>
        <v>44187</v>
      </c>
      <c r="E96" s="133">
        <f ca="1">_xll.meDateFromTenor($D96,"-5D","MOD_FOLLOWING","NYB")</f>
        <v>44180</v>
      </c>
      <c r="F96" s="133">
        <f ca="1">_xll.meDateFromTenor($D96,"5D","MOD_FOLLOWING","NYB")</f>
        <v>44195</v>
      </c>
      <c r="H96" s="9"/>
      <c r="I96" s="2" t="s">
        <v>27</v>
      </c>
      <c r="J96" s="7">
        <f ca="1">_xll.meDateFromTenor($H$95,I96,"MOD_FOLLOWING","NYB")</f>
        <v>44277</v>
      </c>
      <c r="K96" s="133">
        <f ca="1">_xll.meDateFromTenor($J96,"-5D","MOD_FOLLOWING","NYB")</f>
        <v>44270</v>
      </c>
      <c r="L96" s="133">
        <f ca="1">_xll.meDateFromTenor($J96,"5D","MOD_FOLLOWING","NYB")</f>
        <v>44284</v>
      </c>
      <c r="R96" s="9"/>
      <c r="Y96" s="9"/>
      <c r="Z96" s="9"/>
    </row>
    <row r="97" spans="2:26" outlineLevel="1" x14ac:dyDescent="0.25">
      <c r="C97" s="2" t="s">
        <v>28</v>
      </c>
      <c r="D97" s="7">
        <f ca="1">_xll.meDateFromTenor($B$95,C97,"MOD_FOLLOWING","NYB")</f>
        <v>44552</v>
      </c>
      <c r="E97" s="133">
        <f ca="1">_xll.meDateFromTenor($D97,"-5D","MOD_FOLLOWING","NYB")</f>
        <v>44545</v>
      </c>
      <c r="F97" s="133">
        <f ca="1">_xll.meDateFromTenor($D97,"5D","MOD_FOLLOWING","NYB")</f>
        <v>44559</v>
      </c>
      <c r="H97" s="9"/>
      <c r="I97" s="2" t="s">
        <v>28</v>
      </c>
      <c r="J97" s="7">
        <f ca="1">_xll.meDateFromTenor($H$95,I97,"MOD_FOLLOWING","NYB")</f>
        <v>44641</v>
      </c>
      <c r="K97" s="133">
        <f ca="1">_xll.meDateFromTenor($J97,"-5D","MOD_FOLLOWING","NYB")</f>
        <v>44634</v>
      </c>
      <c r="L97" s="133">
        <f ca="1">_xll.meDateFromTenor($J97,"5D","MOD_FOLLOWING","NYB")</f>
        <v>44648</v>
      </c>
      <c r="R97" s="9"/>
      <c r="Y97" s="9"/>
      <c r="Z97" s="9"/>
    </row>
    <row r="98" spans="2:26" outlineLevel="1" x14ac:dyDescent="0.25">
      <c r="C98" s="2" t="s">
        <v>29</v>
      </c>
      <c r="D98" s="7">
        <f ca="1">_xll.meDateFromTenor($B$95,C98,"MOD_FOLLOWING","NYB")</f>
        <v>44917</v>
      </c>
      <c r="E98" s="133">
        <f ca="1">_xll.meDateFromTenor($D98,"-5D","MOD_FOLLOWING","NYB")</f>
        <v>44910</v>
      </c>
      <c r="F98" s="133">
        <f ca="1">_xll.meDateFromTenor($D98,"5D","MOD_FOLLOWING","NYB")</f>
        <v>44925</v>
      </c>
      <c r="H98" s="9"/>
      <c r="I98" s="2" t="s">
        <v>29</v>
      </c>
      <c r="J98" s="7">
        <f ca="1">_xll.meDateFromTenor($H$95,I98,"MOD_FOLLOWING","NYB")</f>
        <v>45006</v>
      </c>
      <c r="K98" s="133">
        <f ca="1">_xll.meDateFromTenor($J98,"-5D","MOD_FOLLOWING","NYB")</f>
        <v>44999</v>
      </c>
      <c r="L98" s="133">
        <f ca="1">_xll.meDateFromTenor($J98,"5D","MOD_FOLLOWING","NYB")</f>
        <v>45013</v>
      </c>
      <c r="R98" s="9"/>
      <c r="Y98" s="10"/>
      <c r="Z98" s="10"/>
    </row>
    <row r="99" spans="2:26" outlineLevel="1" x14ac:dyDescent="0.25">
      <c r="C99" s="2" t="s">
        <v>30</v>
      </c>
      <c r="D99" s="7">
        <f ca="1">_xll.meDateFromTenor($B$95,C99,"MOD_FOLLOWING","NYB")</f>
        <v>45282</v>
      </c>
      <c r="E99" s="133">
        <f ca="1">_xll.meDateFromTenor($D99,"-5D","MOD_FOLLOWING","NYB")</f>
        <v>45275</v>
      </c>
      <c r="F99" s="133">
        <f ca="1">_xll.meDateFromTenor($D99,"5D","MOD_FOLLOWING","NYB")</f>
        <v>45293</v>
      </c>
      <c r="H99" s="9"/>
      <c r="I99" s="2" t="s">
        <v>30</v>
      </c>
      <c r="J99" s="7">
        <f ca="1">_xll.meDateFromTenor($H$95,I99,"MOD_FOLLOWING","NYB")</f>
        <v>45372</v>
      </c>
      <c r="K99" s="133">
        <f ca="1">_xll.meDateFromTenor($J99,"-5D","MOD_FOLLOWING","NYB")</f>
        <v>45365</v>
      </c>
      <c r="L99" s="133">
        <f ca="1">_xll.meDateFromTenor($J99,"5D","MOD_FOLLOWING","NYB")</f>
        <v>45379</v>
      </c>
      <c r="R99" s="9"/>
      <c r="Y99" s="9"/>
      <c r="Z99" s="9"/>
    </row>
    <row r="100" spans="2:26" outlineLevel="1" x14ac:dyDescent="0.25">
      <c r="C100" s="2" t="s">
        <v>31</v>
      </c>
      <c r="D100" s="7">
        <f ca="1">_xll.meDateFromTenor($B$95,C100,"MOD_FOLLOWING","NYB")</f>
        <v>45649</v>
      </c>
      <c r="E100" s="133">
        <f ca="1">_xll.meDateFromTenor($D100,"-5D","MOD_FOLLOWING","NYB")</f>
        <v>45642</v>
      </c>
      <c r="F100" s="133">
        <f ca="1">_xll.meDateFromTenor($D100,"5D","MOD_FOLLOWING","NYB")</f>
        <v>45657</v>
      </c>
      <c r="H100" s="9"/>
      <c r="I100" s="2" t="s">
        <v>31</v>
      </c>
      <c r="J100" s="7">
        <f ca="1">_xll.meDateFromTenor($H$95,I100,"MOD_FOLLOWING","NYB")</f>
        <v>45737</v>
      </c>
      <c r="K100" s="133">
        <f ca="1">_xll.meDateFromTenor($J100,"-5D","MOD_FOLLOWING","NYB")</f>
        <v>45730</v>
      </c>
      <c r="L100" s="133">
        <f ca="1">_xll.meDateFromTenor($J100,"5D","MOD_FOLLOWING","NYB")</f>
        <v>45744</v>
      </c>
      <c r="R100" s="9"/>
      <c r="W100" s="2"/>
      <c r="X100" s="7"/>
      <c r="Y100" s="9"/>
      <c r="Z100" s="9"/>
    </row>
    <row r="101" spans="2:26" outlineLevel="1" x14ac:dyDescent="0.25">
      <c r="C101" s="2" t="s">
        <v>34</v>
      </c>
      <c r="D101" s="7">
        <f ca="1">_xll.meDateFromTenor($B$95,C101,"MOD_FOLLOWING","NYB")</f>
        <v>46743</v>
      </c>
      <c r="E101" s="133">
        <f ca="1">_xll.meDateFromTenor($D101,"-5D","MOD_FOLLOWING","NYB")</f>
        <v>46736</v>
      </c>
      <c r="F101" s="133">
        <f ca="1">_xll.meDateFromTenor($D101,"5D","MOD_FOLLOWING","NYB")</f>
        <v>46750</v>
      </c>
      <c r="H101" s="9"/>
      <c r="I101" s="2" t="s">
        <v>34</v>
      </c>
      <c r="J101" s="7">
        <f ca="1">_xll.meDateFromTenor($H$95,I101,"MOD_FOLLOWING","NYB")</f>
        <v>46833</v>
      </c>
      <c r="K101" s="133">
        <f ca="1">_xll.meDateFromTenor($J101,"-5D","MOD_FOLLOWING","NYB")</f>
        <v>46826</v>
      </c>
      <c r="L101" s="133">
        <f ca="1">_xll.meDateFromTenor($J101,"5D","MOD_FOLLOWING","NYB")</f>
        <v>46840</v>
      </c>
      <c r="R101" s="9"/>
      <c r="W101" s="2"/>
      <c r="X101" s="7"/>
      <c r="Y101" s="9"/>
      <c r="Z101" s="9"/>
    </row>
    <row r="102" spans="2:26" outlineLevel="1" x14ac:dyDescent="0.25">
      <c r="C102" s="2" t="s">
        <v>35</v>
      </c>
      <c r="D102" s="7">
        <f ca="1">_xll.meDateFromTenor($B$95,C102,"MOD_FOLLOWING","NYB")</f>
        <v>47476</v>
      </c>
      <c r="E102" s="133">
        <f ca="1">_xll.meDateFromTenor($D102,"-5D","MOD_FOLLOWING","NYB")</f>
        <v>47469</v>
      </c>
      <c r="F102" s="133">
        <f ca="1">_xll.meDateFromTenor($D102,"5D","MOD_FOLLOWING","NYB")</f>
        <v>47485</v>
      </c>
      <c r="H102" s="9"/>
      <c r="I102" s="2" t="s">
        <v>35</v>
      </c>
      <c r="J102" s="7">
        <f ca="1">_xll.meDateFromTenor($H$95,I102,"MOD_FOLLOWING","NYB")</f>
        <v>47563</v>
      </c>
      <c r="K102" s="133">
        <f ca="1">_xll.meDateFromTenor($J102,"-5D","MOD_FOLLOWING","NYB")</f>
        <v>47556</v>
      </c>
      <c r="L102" s="133">
        <f ca="1">_xll.meDateFromTenor($J102,"5D","MOD_FOLLOWING","NYB")</f>
        <v>47570</v>
      </c>
      <c r="R102" s="9"/>
      <c r="W102" s="2"/>
      <c r="X102" s="7"/>
      <c r="Y102" s="9"/>
      <c r="Z102" s="9"/>
    </row>
    <row r="103" spans="2:26" outlineLevel="1" x14ac:dyDescent="0.25">
      <c r="C103" s="2" t="s">
        <v>36</v>
      </c>
      <c r="D103" s="7">
        <f ca="1">_xll.meDateFromTenor($B$95,C103,"MOD_FOLLOWING","NYB")</f>
        <v>48570</v>
      </c>
      <c r="E103" s="133">
        <f ca="1">_xll.meDateFromTenor($D103,"-5D","MOD_FOLLOWING","NYB")</f>
        <v>48563</v>
      </c>
      <c r="F103" s="133">
        <f ca="1">_xll.meDateFromTenor($D103,"5D","MOD_FOLLOWING","NYB")</f>
        <v>48577</v>
      </c>
      <c r="H103" s="9"/>
      <c r="I103" s="2" t="s">
        <v>36</v>
      </c>
      <c r="J103" s="7">
        <f ca="1">_xll.meDateFromTenor($H$95,I103,"MOD_FOLLOWING","NYB")</f>
        <v>48659</v>
      </c>
      <c r="K103" s="133">
        <f ca="1">_xll.meDateFromTenor($J103,"-5D","MOD_FOLLOWING","NYB")</f>
        <v>48652</v>
      </c>
      <c r="L103" s="133">
        <f ca="1">_xll.meDateFromTenor($J103,"5D","MOD_FOLLOWING","NYB")</f>
        <v>48666</v>
      </c>
      <c r="R103" s="9"/>
      <c r="W103" s="2"/>
      <c r="X103" s="7"/>
      <c r="Y103" s="9"/>
      <c r="Z103" s="9"/>
    </row>
    <row r="104" spans="2:26" outlineLevel="1" x14ac:dyDescent="0.25">
      <c r="C104" s="2" t="s">
        <v>37</v>
      </c>
      <c r="D104" s="7">
        <f ca="1">_xll.meDateFromTenor($B$95,C104,"MOD_FOLLOWING","NYB")</f>
        <v>50396</v>
      </c>
      <c r="E104" s="133">
        <f ca="1">_xll.meDateFromTenor($D104,"-5D","MOD_FOLLOWING","NYB")</f>
        <v>50389</v>
      </c>
      <c r="F104" s="133">
        <f ca="1">_xll.meDateFromTenor($D104,"5D","MOD_FOLLOWING","NYB")</f>
        <v>50404</v>
      </c>
      <c r="H104" s="9"/>
      <c r="I104" s="2" t="s">
        <v>37</v>
      </c>
      <c r="J104" s="7">
        <f ca="1">_xll.meDateFromTenor($H$95,I104,"MOD_FOLLOWING","NYB")</f>
        <v>50486</v>
      </c>
      <c r="K104" s="133">
        <f ca="1">_xll.meDateFromTenor($J104,"-5D","MOD_FOLLOWING","NYB")</f>
        <v>50479</v>
      </c>
      <c r="L104" s="133">
        <f ca="1">_xll.meDateFromTenor($J104,"5D","MOD_FOLLOWING","NYB")</f>
        <v>50493</v>
      </c>
      <c r="R104" s="9"/>
      <c r="W104" s="2"/>
      <c r="X104" s="7"/>
      <c r="Y104" s="9"/>
      <c r="Z104" s="9"/>
    </row>
    <row r="105" spans="2:26" outlineLevel="1" x14ac:dyDescent="0.25">
      <c r="C105" s="2" t="s">
        <v>38</v>
      </c>
      <c r="D105" s="7">
        <f ca="1">_xll.meDateFromTenor($B$95,C105,"MOD_FOLLOWING","NYB")</f>
        <v>54049</v>
      </c>
      <c r="E105" s="133">
        <f ca="1">_xll.meDateFromTenor($D105,"-5D","MOD_FOLLOWING","NYB")</f>
        <v>54042</v>
      </c>
      <c r="F105" s="133">
        <f ca="1">_xll.meDateFromTenor($D105,"5D","MOD_FOLLOWING","NYB")</f>
        <v>54057</v>
      </c>
      <c r="H105" s="9"/>
      <c r="I105" s="2" t="s">
        <v>38</v>
      </c>
      <c r="J105" s="7">
        <f ca="1">_xll.meDateFromTenor($H$95,I105,"MOD_FOLLOWING","NYB")</f>
        <v>54140</v>
      </c>
      <c r="K105" s="133">
        <f ca="1">_xll.meDateFromTenor($J105,"-5D","MOD_FOLLOWING","NYB")</f>
        <v>54133</v>
      </c>
      <c r="L105" s="133">
        <f ca="1">_xll.meDateFromTenor($J105,"5D","MOD_FOLLOWING","NYB")</f>
        <v>54147</v>
      </c>
      <c r="R105" s="9"/>
      <c r="W105" s="2"/>
      <c r="X105" s="7"/>
      <c r="Y105" s="9"/>
      <c r="Z105" s="9"/>
    </row>
    <row r="106" spans="2:26" outlineLevel="1" x14ac:dyDescent="0.25">
      <c r="E106" s="8"/>
      <c r="F106" s="8"/>
    </row>
    <row r="107" spans="2:26" outlineLevel="1" x14ac:dyDescent="0.25">
      <c r="E107" s="8"/>
      <c r="F107" s="8"/>
    </row>
    <row r="108" spans="2:26" ht="15.75" outlineLevel="1" thickBot="1" x14ac:dyDescent="0.3">
      <c r="B108" s="5" t="s">
        <v>91</v>
      </c>
      <c r="C108" s="11" t="s">
        <v>65</v>
      </c>
      <c r="D108" s="11" t="s">
        <v>66</v>
      </c>
      <c r="E108" s="5" t="s">
        <v>45</v>
      </c>
      <c r="F108" s="5" t="s">
        <v>46</v>
      </c>
      <c r="H108" s="8" t="s">
        <v>94</v>
      </c>
      <c r="I108" s="11" t="s">
        <v>98</v>
      </c>
      <c r="J108" s="11" t="s">
        <v>99</v>
      </c>
      <c r="K108" s="5" t="s">
        <v>45</v>
      </c>
      <c r="L108" s="5" t="s">
        <v>46</v>
      </c>
    </row>
    <row r="109" spans="2:26" outlineLevel="1" x14ac:dyDescent="0.25">
      <c r="B109" s="7">
        <f ca="1">_xll.meDateFromTenor(AsOf,"0D","MOD_FOLLOWING","LNB")</f>
        <v>43089</v>
      </c>
      <c r="C109" s="2" t="s">
        <v>26</v>
      </c>
      <c r="D109" s="7">
        <f ca="1">_xll.meDateFromTenor($B$109,C109,"MOD_FOLLOWING","LNB")</f>
        <v>43819</v>
      </c>
      <c r="E109" s="133">
        <f ca="1">_xll.meDateFromTenor($D109,"-5D","MOD_FOLLOWING","LNB")</f>
        <v>43812</v>
      </c>
      <c r="F109" s="133">
        <f ca="1">_xll.meDateFromTenor($D109,"5D","MOD_FOLLOWING","LNB")</f>
        <v>43830</v>
      </c>
      <c r="H109" s="9">
        <f ca="1">_xll.meDateNthIMMFromStartDate(AsOf, 2,"NYB","MOD_FOLLOWING")</f>
        <v>43271</v>
      </c>
      <c r="I109" s="2" t="s">
        <v>26</v>
      </c>
      <c r="J109" s="7">
        <f ca="1">_xll.meDateFromTenor($H$109,I109,"MOD_FOLLOWING","NYB")</f>
        <v>44004</v>
      </c>
      <c r="K109" s="133">
        <f ca="1">_xll.meDateFromTenor($J109,"-5D","MOD_FOLLOWING","NYB")</f>
        <v>43997</v>
      </c>
      <c r="L109" s="133">
        <f ca="1">_xll.meDateFromTenor($J109,"5D","MOD_FOLLOWING","NYB")</f>
        <v>44011</v>
      </c>
    </row>
    <row r="110" spans="2:26" outlineLevel="1" x14ac:dyDescent="0.25">
      <c r="C110" s="2" t="s">
        <v>27</v>
      </c>
      <c r="D110" s="7">
        <f ca="1">_xll.meDateFromTenor($B$109,C110,"MOD_FOLLOWING","LNB")</f>
        <v>44186</v>
      </c>
      <c r="E110" s="133">
        <f ca="1">_xll.meDateFromTenor($D110,"-5D","MOD_FOLLOWING","LNB")</f>
        <v>44179</v>
      </c>
      <c r="F110" s="133">
        <f ca="1">_xll.meDateFromTenor($D110,"5D","MOD_FOLLOWING","LNB")</f>
        <v>44195</v>
      </c>
      <c r="H110" s="9"/>
      <c r="I110" s="2" t="s">
        <v>27</v>
      </c>
      <c r="J110" s="7">
        <f ca="1">_xll.meDateFromTenor($H$109,I110,"MOD_FOLLOWING","NYB")</f>
        <v>44368</v>
      </c>
      <c r="K110" s="133">
        <f ca="1">_xll.meDateFromTenor($J110,"-5D","MOD_FOLLOWING","NYB")</f>
        <v>44361</v>
      </c>
      <c r="L110" s="133">
        <f ca="1">_xll.meDateFromTenor($J110,"5D","MOD_FOLLOWING","NYB")</f>
        <v>44375</v>
      </c>
    </row>
    <row r="111" spans="2:26" outlineLevel="1" x14ac:dyDescent="0.25">
      <c r="C111" s="2" t="s">
        <v>28</v>
      </c>
      <c r="D111" s="7">
        <f ca="1">_xll.meDateFromTenor($B$109,C111,"MOD_FOLLOWING","LNB")</f>
        <v>44550</v>
      </c>
      <c r="E111" s="133">
        <f ca="1">_xll.meDateFromTenor($D111,"-5D","MOD_FOLLOWING","LNB")</f>
        <v>44543</v>
      </c>
      <c r="F111" s="133">
        <f ca="1">_xll.meDateFromTenor($D111,"5D","MOD_FOLLOWING","LNB")</f>
        <v>44559</v>
      </c>
      <c r="H111" s="9"/>
      <c r="I111" s="2" t="s">
        <v>28</v>
      </c>
      <c r="J111" s="7">
        <f ca="1">_xll.meDateFromTenor($H$109,I111,"MOD_FOLLOWING","NYB")</f>
        <v>44732</v>
      </c>
      <c r="K111" s="133">
        <f ca="1">_xll.meDateFromTenor($J111,"-5D","MOD_FOLLOWING","NYB")</f>
        <v>44725</v>
      </c>
      <c r="L111" s="133">
        <f ca="1">_xll.meDateFromTenor($J111,"5D","MOD_FOLLOWING","NYB")</f>
        <v>44739</v>
      </c>
    </row>
    <row r="112" spans="2:26" outlineLevel="1" x14ac:dyDescent="0.25">
      <c r="C112" s="2" t="s">
        <v>29</v>
      </c>
      <c r="D112" s="7">
        <f ca="1">_xll.meDateFromTenor($B$109,C112,"MOD_FOLLOWING","LNB")</f>
        <v>44915</v>
      </c>
      <c r="E112" s="133">
        <f ca="1">_xll.meDateFromTenor($D112,"-5D","MOD_FOLLOWING","LNB")</f>
        <v>44908</v>
      </c>
      <c r="F112" s="133">
        <f ca="1">_xll.meDateFromTenor($D112,"5D","MOD_FOLLOWING","LNB")</f>
        <v>44924</v>
      </c>
      <c r="H112" s="9"/>
      <c r="I112" s="2" t="s">
        <v>29</v>
      </c>
      <c r="J112" s="7">
        <f ca="1">_xll.meDateFromTenor($H$109,I112,"MOD_FOLLOWING","NYB")</f>
        <v>45097</v>
      </c>
      <c r="K112" s="133">
        <f ca="1">_xll.meDateFromTenor($J112,"-5D","MOD_FOLLOWING","NYB")</f>
        <v>45090</v>
      </c>
      <c r="L112" s="133">
        <f ca="1">_xll.meDateFromTenor($J112,"5D","MOD_FOLLOWING","NYB")</f>
        <v>45104</v>
      </c>
    </row>
    <row r="113" spans="1:12" outlineLevel="1" x14ac:dyDescent="0.25">
      <c r="C113" s="2" t="s">
        <v>30</v>
      </c>
      <c r="D113" s="7">
        <f ca="1">_xll.meDateFromTenor($B$109,C113,"MOD_FOLLOWING","LNB")</f>
        <v>45280</v>
      </c>
      <c r="E113" s="133">
        <f ca="1">_xll.meDateFromTenor($D113,"-5D","MOD_FOLLOWING","LNB")</f>
        <v>45273</v>
      </c>
      <c r="F113" s="133">
        <f ca="1">_xll.meDateFromTenor($D113,"5D","MOD_FOLLOWING","LNB")</f>
        <v>45289</v>
      </c>
      <c r="H113" s="9"/>
      <c r="I113" s="2" t="s">
        <v>30</v>
      </c>
      <c r="J113" s="7">
        <f ca="1">_xll.meDateFromTenor($H$109,I113,"MOD_FOLLOWING","NYB")</f>
        <v>45463</v>
      </c>
      <c r="K113" s="133">
        <f ca="1">_xll.meDateFromTenor($J113,"-5D","MOD_FOLLOWING","NYB")</f>
        <v>45456</v>
      </c>
      <c r="L113" s="133">
        <f ca="1">_xll.meDateFromTenor($J113,"5D","MOD_FOLLOWING","NYB")</f>
        <v>45470</v>
      </c>
    </row>
    <row r="114" spans="1:12" outlineLevel="1" x14ac:dyDescent="0.25">
      <c r="C114" s="2" t="s">
        <v>31</v>
      </c>
      <c r="D114" s="7">
        <f ca="1">_xll.meDateFromTenor($B$109,C114,"MOD_FOLLOWING","LNB")</f>
        <v>45646</v>
      </c>
      <c r="E114" s="133">
        <f ca="1">_xll.meDateFromTenor($D114,"-5D","MOD_FOLLOWING","LNB")</f>
        <v>45639</v>
      </c>
      <c r="F114" s="133">
        <f ca="1">_xll.meDateFromTenor($D114,"5D","MOD_FOLLOWING","LNB")</f>
        <v>45657</v>
      </c>
      <c r="H114" s="9"/>
      <c r="I114" s="2" t="s">
        <v>31</v>
      </c>
      <c r="J114" s="7">
        <f ca="1">_xll.meDateFromTenor($H$109,I114,"MOD_FOLLOWING","NYB")</f>
        <v>45828</v>
      </c>
      <c r="K114" s="133">
        <f ca="1">_xll.meDateFromTenor($J114,"-5D","MOD_FOLLOWING","NYB")</f>
        <v>45821</v>
      </c>
      <c r="L114" s="133">
        <f ca="1">_xll.meDateFromTenor($J114,"5D","MOD_FOLLOWING","NYB")</f>
        <v>45835</v>
      </c>
    </row>
    <row r="115" spans="1:12" outlineLevel="1" x14ac:dyDescent="0.25">
      <c r="C115" s="2" t="s">
        <v>34</v>
      </c>
      <c r="D115" s="7">
        <f ca="1">_xll.meDateFromTenor($B$109,C115,"MOD_FOLLOWING","LNB")</f>
        <v>46741</v>
      </c>
      <c r="E115" s="133">
        <f ca="1">_xll.meDateFromTenor($D115,"-5D","MOD_FOLLOWING","LNB")</f>
        <v>46734</v>
      </c>
      <c r="F115" s="133">
        <f ca="1">_xll.meDateFromTenor($D115,"5D","MOD_FOLLOWING","LNB")</f>
        <v>46750</v>
      </c>
      <c r="H115" s="9"/>
      <c r="I115" s="2" t="s">
        <v>34</v>
      </c>
      <c r="J115" s="7">
        <f ca="1">_xll.meDateFromTenor($H$109,I115,"MOD_FOLLOWING","NYB")</f>
        <v>46924</v>
      </c>
      <c r="K115" s="133">
        <f ca="1">_xll.meDateFromTenor($J115,"-5D","MOD_FOLLOWING","NYB")</f>
        <v>46917</v>
      </c>
      <c r="L115" s="133">
        <f ca="1">_xll.meDateFromTenor($J115,"5D","MOD_FOLLOWING","NYB")</f>
        <v>46931</v>
      </c>
    </row>
    <row r="116" spans="1:12" outlineLevel="1" x14ac:dyDescent="0.25">
      <c r="C116" s="2" t="s">
        <v>36</v>
      </c>
      <c r="D116" s="7">
        <f ca="1">_xll.meDateFromTenor($B$109,C116,"MOD_FOLLOWING","LNB")</f>
        <v>48568</v>
      </c>
      <c r="E116" s="133">
        <f ca="1">_xll.meDateFromTenor($D116,"-5D","MOD_FOLLOWING","LNB")</f>
        <v>48561</v>
      </c>
      <c r="F116" s="133">
        <f ca="1">_xll.meDateFromTenor($D116,"5D","MOD_FOLLOWING","LNB")</f>
        <v>48577</v>
      </c>
      <c r="H116" s="9"/>
      <c r="I116" s="2" t="s">
        <v>35</v>
      </c>
      <c r="J116" s="7">
        <f ca="1">_xll.meDateFromTenor($H$109,I116,"MOD_FOLLOWING","NYB")</f>
        <v>47654</v>
      </c>
      <c r="K116" s="133">
        <f ca="1">_xll.meDateFromTenor($J116,"-5D","MOD_FOLLOWING","NYB")</f>
        <v>47647</v>
      </c>
      <c r="L116" s="133">
        <f ca="1">_xll.meDateFromTenor($J116,"5D","MOD_FOLLOWING","NYB")</f>
        <v>47661</v>
      </c>
    </row>
    <row r="117" spans="1:12" outlineLevel="1" x14ac:dyDescent="0.25">
      <c r="C117" s="2" t="s">
        <v>37</v>
      </c>
      <c r="D117" s="7">
        <f ca="1">_xll.meDateFromTenor($B$109,C117,"MOD_FOLLOWING","LNB")</f>
        <v>50395</v>
      </c>
      <c r="E117" s="133">
        <f ca="1">_xll.meDateFromTenor($D117,"-5D","MOD_FOLLOWING","LNB")</f>
        <v>50388</v>
      </c>
      <c r="F117" s="133">
        <f ca="1">_xll.meDateFromTenor($D117,"5D","MOD_FOLLOWING","LNB")</f>
        <v>50404</v>
      </c>
      <c r="H117" s="9"/>
      <c r="I117" s="2" t="s">
        <v>36</v>
      </c>
      <c r="J117" s="7">
        <f ca="1">_xll.meDateFromTenor($H$109,I117,"MOD_FOLLOWING","NYB")</f>
        <v>48750</v>
      </c>
      <c r="K117" s="133">
        <f ca="1">_xll.meDateFromTenor($J117,"-5D","MOD_FOLLOWING","NYB")</f>
        <v>48743</v>
      </c>
      <c r="L117" s="133">
        <f ca="1">_xll.meDateFromTenor($J117,"5D","MOD_FOLLOWING","NYB")</f>
        <v>48757</v>
      </c>
    </row>
    <row r="118" spans="1:12" outlineLevel="1" x14ac:dyDescent="0.25">
      <c r="C118" s="2" t="s">
        <v>38</v>
      </c>
      <c r="D118" s="7">
        <f ca="1">_xll.meDateFromTenor($B$109,C118,"MOD_FOLLOWING","LNB")</f>
        <v>54046</v>
      </c>
      <c r="E118" s="133">
        <f ca="1">_xll.meDateFromTenor($D118,"-5D","MOD_FOLLOWING","LNB")</f>
        <v>54039</v>
      </c>
      <c r="F118" s="133">
        <f ca="1">_xll.meDateFromTenor($D118,"5D","MOD_FOLLOWING","LNB")</f>
        <v>54057</v>
      </c>
      <c r="H118" s="9"/>
      <c r="I118" s="2" t="s">
        <v>37</v>
      </c>
      <c r="J118" s="7">
        <f ca="1">_xll.meDateFromTenor($H$109,I118,"MOD_FOLLOWING","NYB")</f>
        <v>50577</v>
      </c>
      <c r="K118" s="133">
        <f ca="1">_xll.meDateFromTenor($J118,"-5D","MOD_FOLLOWING","NYB")</f>
        <v>50570</v>
      </c>
      <c r="L118" s="133">
        <f ca="1">_xll.meDateFromTenor($J118,"5D","MOD_FOLLOWING","NYB")</f>
        <v>50584</v>
      </c>
    </row>
    <row r="119" spans="1:12" outlineLevel="1" x14ac:dyDescent="0.25">
      <c r="H119" s="9"/>
      <c r="I119" s="2" t="s">
        <v>38</v>
      </c>
      <c r="J119" s="7">
        <f ca="1">_xll.meDateFromTenor($H$109,I119,"MOD_FOLLOWING","NYB")</f>
        <v>54231</v>
      </c>
      <c r="K119" s="133">
        <f ca="1">_xll.meDateFromTenor($J119,"-5D","MOD_FOLLOWING","NYB")</f>
        <v>54224</v>
      </c>
      <c r="L119" s="133">
        <f ca="1">_xll.meDateFromTenor($J119,"5D","MOD_FOLLOWING","NYB")</f>
        <v>54238</v>
      </c>
    </row>
    <row r="120" spans="1:12" x14ac:dyDescent="0.25">
      <c r="A120" s="12" t="s">
        <v>71</v>
      </c>
    </row>
  </sheetData>
  <mergeCells count="19">
    <mergeCell ref="G5:G6"/>
    <mergeCell ref="B5:B6"/>
    <mergeCell ref="C5:C6"/>
    <mergeCell ref="D5:D6"/>
    <mergeCell ref="E5:E6"/>
    <mergeCell ref="F5:F6"/>
    <mergeCell ref="C52:C53"/>
    <mergeCell ref="D52:D53"/>
    <mergeCell ref="E52:E53"/>
    <mergeCell ref="G52:G53"/>
    <mergeCell ref="H52:H53"/>
    <mergeCell ref="I52:I53"/>
    <mergeCell ref="J52:K52"/>
    <mergeCell ref="L52:N52"/>
    <mergeCell ref="H5:H6"/>
    <mergeCell ref="I5:I6"/>
    <mergeCell ref="J5:J6"/>
    <mergeCell ref="K5:L5"/>
    <mergeCell ref="M5:O5"/>
  </mergeCells>
  <conditionalFormatting sqref="B7:B48">
    <cfRule type="cellIs" dxfId="2" priority="1" operator="equal">
      <formula>TRUE</formula>
    </cfRule>
  </conditionalFormatting>
  <dataValidations count="6">
    <dataValidation type="list" allowBlank="1" showInputMessage="1" showErrorMessage="1" sqref="K7:K48 N7:N48">
      <formula1>"ANNUAL,SEMI-ANNUAL,QUARTERLY,MONTHLY"</formula1>
    </dataValidation>
    <dataValidation type="list" allowBlank="1" showInputMessage="1" showErrorMessage="1" sqref="O7:O48 L7:L48">
      <formula1>"30/360,ACT/360,ACT/365F"</formula1>
    </dataValidation>
    <dataValidation type="list" allowBlank="1" showInputMessage="1" showErrorMessage="1" sqref="E7:E48">
      <formula1>"SPOT,IMM"</formula1>
    </dataValidation>
    <dataValidation type="list" allowBlank="1" showInputMessage="1" showErrorMessage="1" sqref="M7:M48">
      <formula1>"EUR3ML,EUR6ML,GBP3ML,GBP6ML,USD3ML,USD3ML.IMM,USD6ML,USD6ML.IMM"</formula1>
    </dataValidation>
    <dataValidation type="list" allowBlank="1" showInputMessage="1" showErrorMessage="1" sqref="D7:D48">
      <formula1>"USD,EUR,GBP"</formula1>
    </dataValidation>
    <dataValidation type="list" allowBlank="1" showInputMessage="1" showErrorMessage="1" sqref="F7:F48">
      <formula1>"0,1,2"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D120"/>
  <sheetViews>
    <sheetView showGridLines="0" workbookViewId="0"/>
  </sheetViews>
  <sheetFormatPr defaultRowHeight="15" outlineLevelRow="1" outlineLevelCol="1" x14ac:dyDescent="0.25"/>
  <cols>
    <col min="2" max="2" width="15.7109375" customWidth="1"/>
    <col min="3" max="3" width="20.7109375" customWidth="1"/>
    <col min="4" max="4" width="12.7109375" customWidth="1"/>
    <col min="5" max="5" width="15.7109375" customWidth="1"/>
    <col min="6" max="6" width="14.7109375" customWidth="1"/>
    <col min="7" max="7" width="12.5703125" customWidth="1"/>
    <col min="8" max="9" width="20.7109375" customWidth="1"/>
    <col min="10" max="10" width="17.85546875" customWidth="1"/>
    <col min="11" max="13" width="15.7109375" customWidth="1"/>
    <col min="14" max="14" width="22.140625" bestFit="1" customWidth="1"/>
    <col min="15" max="15" width="15.7109375" customWidth="1"/>
    <col min="16" max="16" width="12.7109375" hidden="1" customWidth="1" outlineLevel="1"/>
    <col min="17" max="17" width="14.28515625" hidden="1" customWidth="1" outlineLevel="1"/>
    <col min="18" max="18" width="15.7109375" hidden="1" customWidth="1" outlineLevel="1"/>
    <col min="19" max="19" width="16.85546875" hidden="1" customWidth="1" outlineLevel="1"/>
    <col min="20" max="29" width="12.7109375" hidden="1" customWidth="1" outlineLevel="1"/>
    <col min="30" max="30" width="9.140625" collapsed="1"/>
  </cols>
  <sheetData>
    <row r="1" spans="1:30" x14ac:dyDescent="0.25">
      <c r="AD1" s="12" t="s">
        <v>70</v>
      </c>
    </row>
    <row r="2" spans="1:30" x14ac:dyDescent="0.25">
      <c r="B2" s="30" t="s">
        <v>44</v>
      </c>
    </row>
    <row r="3" spans="1:30" x14ac:dyDescent="0.25">
      <c r="B3" s="31">
        <f ca="1">TODAY()</f>
        <v>43089</v>
      </c>
      <c r="I3" s="9"/>
    </row>
    <row r="4" spans="1:30" ht="15.75" x14ac:dyDescent="0.25">
      <c r="S4" s="54"/>
    </row>
    <row r="5" spans="1:30" ht="15" customHeight="1" x14ac:dyDescent="0.25">
      <c r="B5" s="123" t="s">
        <v>104</v>
      </c>
      <c r="C5" s="121" t="s">
        <v>103</v>
      </c>
      <c r="D5" s="121" t="s">
        <v>1</v>
      </c>
      <c r="E5" s="121" t="s">
        <v>2</v>
      </c>
      <c r="F5" s="122" t="s">
        <v>150</v>
      </c>
      <c r="G5" s="121" t="s">
        <v>3</v>
      </c>
      <c r="H5" s="121" t="s">
        <v>89</v>
      </c>
      <c r="I5" s="121" t="s">
        <v>83</v>
      </c>
      <c r="J5" s="121" t="s">
        <v>5</v>
      </c>
      <c r="K5" s="127" t="s">
        <v>6</v>
      </c>
      <c r="L5" s="127"/>
      <c r="M5" s="127" t="s">
        <v>7</v>
      </c>
      <c r="N5" s="127"/>
      <c r="O5" s="127"/>
      <c r="P5" s="8"/>
      <c r="Q5" s="8"/>
      <c r="R5" s="48"/>
      <c r="S5" s="8"/>
      <c r="T5" s="8"/>
      <c r="U5" s="8"/>
      <c r="V5" s="8"/>
      <c r="W5" s="8"/>
      <c r="X5" s="8"/>
    </row>
    <row r="6" spans="1:30" ht="38.25" x14ac:dyDescent="0.25">
      <c r="B6" s="124"/>
      <c r="C6" s="122"/>
      <c r="D6" s="122"/>
      <c r="E6" s="122"/>
      <c r="F6" s="125"/>
      <c r="G6" s="122"/>
      <c r="H6" s="126"/>
      <c r="I6" s="122"/>
      <c r="J6" s="122"/>
      <c r="K6" s="83" t="s">
        <v>8</v>
      </c>
      <c r="L6" s="83" t="s">
        <v>9</v>
      </c>
      <c r="M6" s="83" t="s">
        <v>10</v>
      </c>
      <c r="N6" s="83" t="s">
        <v>11</v>
      </c>
      <c r="O6" s="83" t="s">
        <v>9</v>
      </c>
      <c r="P6" s="83" t="s">
        <v>84</v>
      </c>
      <c r="Q6" s="83" t="s">
        <v>100</v>
      </c>
      <c r="R6" s="83" t="s">
        <v>82</v>
      </c>
      <c r="S6" s="83" t="s">
        <v>55</v>
      </c>
      <c r="T6" s="83" t="s">
        <v>85</v>
      </c>
      <c r="U6" s="83" t="s">
        <v>54</v>
      </c>
      <c r="V6" s="83" t="s">
        <v>95</v>
      </c>
      <c r="W6" s="83" t="s">
        <v>96</v>
      </c>
      <c r="X6" s="83" t="s">
        <v>53</v>
      </c>
      <c r="Y6" s="83" t="s">
        <v>88</v>
      </c>
      <c r="Z6" s="83" t="s">
        <v>87</v>
      </c>
      <c r="AA6" s="83" t="s">
        <v>86</v>
      </c>
      <c r="AB6" s="83" t="s">
        <v>43</v>
      </c>
      <c r="AC6" s="83" t="s">
        <v>75</v>
      </c>
    </row>
    <row r="7" spans="1:30" x14ac:dyDescent="0.25">
      <c r="A7" s="29">
        <v>1</v>
      </c>
      <c r="B7" s="28" t="b">
        <f ca="1">AB7</f>
        <v>0</v>
      </c>
      <c r="C7" s="59" t="s">
        <v>97</v>
      </c>
      <c r="D7" s="25" t="s">
        <v>77</v>
      </c>
      <c r="E7" s="61" t="s">
        <v>92</v>
      </c>
      <c r="F7" s="108">
        <v>1</v>
      </c>
      <c r="G7" s="108" t="s">
        <v>14</v>
      </c>
      <c r="H7" s="110">
        <f ca="1">IF($E7="IMM",_xll.meDateNthIMMFromStartDate(AsOf, $F7,$AC7,"MOD_FOLLOWING"),_xll.meDateFromTenor(AsOf,$F7&amp;"D","MOD_FOLLOWING",$AC7))</f>
        <v>43180</v>
      </c>
      <c r="I7" s="87" t="s">
        <v>153</v>
      </c>
      <c r="J7" s="26" t="s">
        <v>16</v>
      </c>
      <c r="K7" s="95" t="s">
        <v>47</v>
      </c>
      <c r="L7" s="95" t="s">
        <v>42</v>
      </c>
      <c r="M7" s="26" t="s">
        <v>98</v>
      </c>
      <c r="N7" s="26" t="s">
        <v>101</v>
      </c>
      <c r="O7" s="45" t="s">
        <v>48</v>
      </c>
      <c r="P7" s="34">
        <f t="shared" ref="P7:P48" ca="1" si="0">MATCH(M7,$L$54:$L$61,0)</f>
        <v>4</v>
      </c>
      <c r="Q7" s="35" t="str">
        <f ca="1">IF(E7="SPOT",E7,E7&amp;IF(H7=USD3ML.IMMIMM1, 1,IF(H7=USD3ML.IMMIMM2,2,"NotInScope")))</f>
        <v>IMM1</v>
      </c>
      <c r="R7" s="44">
        <f ca="1">IF($I7="","",IF(ISNUMBER($I7),$I7,_xll.meDateFromTenor(H7,$I7,"MOD_FOLLOWING",VLOOKUP(LEFT($M7,3),DateConventions,3))))</f>
        <v>45014</v>
      </c>
      <c r="S7" s="35" t="b">
        <f ca="1">ISNUMBER(SEARCH($E7, INDEX($E$54:$E$61,$P7)))</f>
        <v>1</v>
      </c>
      <c r="T7" s="35" t="b">
        <f t="shared" ref="T7:T48" ca="1" si="1">ISNUMBER(SEARCH($G7, INDEX($G$54:$G$61,$P7)))</f>
        <v>1</v>
      </c>
      <c r="U7" s="35" t="b">
        <f t="shared" ref="U7:U48" ca="1" si="2">ISNUMBER(SEARCH($J7, INDEX($I$54:$I$61,$P7)))</f>
        <v>1</v>
      </c>
      <c r="V7" s="35" t="b">
        <f t="shared" ref="V7:V48" ca="1" si="3">IF(S7,$H7=INDIRECT(M7&amp;Q7),FALSE)</f>
        <v>1</v>
      </c>
      <c r="W7" s="39" t="b">
        <f t="shared" ref="W7:W48" ca="1" si="4">IF(ISNUMBER(MATCH($R7,INDIRECT(M7&amp;Q7&amp;".Lower"),1)), $R7&lt;=INDEX(INDIRECT(M7&amp;Q7&amp;".Upper"),MATCH($R7,INDIRECT(M7&amp;Q7&amp;".Lower"),1)), FALSE)</f>
        <v>0</v>
      </c>
      <c r="X7" s="35" t="b">
        <f t="shared" ref="X7:X48" ca="1" si="5">ISNUMBER(SEARCH($K7, INDEX($J$54:$J$61,$P7)))</f>
        <v>1</v>
      </c>
      <c r="Y7" s="36" t="b">
        <f t="shared" ref="Y7:Y48" ca="1" si="6">ISNUMBER(SEARCH($L7, INDEX($K$54:$K$61,$P7)))</f>
        <v>1</v>
      </c>
      <c r="Z7" s="36" t="b">
        <f ca="1">ISNUMBER(SEARCH($N7, INDEX($M$54:$M$61,$P7)))</f>
        <v>1</v>
      </c>
      <c r="AA7" s="36" t="b">
        <f t="shared" ref="AA7:AA48" ca="1" si="7">ISNUMBER(SEARCH($O7, INDEX($N$54:$N$61,$P7)))</f>
        <v>1</v>
      </c>
      <c r="AB7" s="66" t="b">
        <f t="shared" ref="AB7:AB48" ca="1" si="8">AND(S7:AA7)</f>
        <v>0</v>
      </c>
      <c r="AC7" s="63" t="str">
        <f ca="1">IF($D7="USD","NYB",IF($D7="EUR","TGT",IF($D7="GBP","LNB","")))</f>
        <v>NYB</v>
      </c>
    </row>
    <row r="8" spans="1:30" x14ac:dyDescent="0.25">
      <c r="A8" s="29">
        <v>2</v>
      </c>
      <c r="B8" s="49" t="b">
        <f t="shared" ref="B8:B48" ca="1" si="9">AB8</f>
        <v>1</v>
      </c>
      <c r="C8" s="60" t="s">
        <v>97</v>
      </c>
      <c r="D8" s="22" t="s">
        <v>77</v>
      </c>
      <c r="E8" s="62" t="s">
        <v>92</v>
      </c>
      <c r="F8" s="22">
        <v>1</v>
      </c>
      <c r="G8" s="22" t="s">
        <v>14</v>
      </c>
      <c r="H8" s="57">
        <f ca="1">IF($E8="IMM",_xll.meDateNthIMMFromStartDate(AsOf, $F8,$AC8,"MOD_FOLLOWING"),_xll.meDateFromTenor(AsOf,$F8&amp;"D","MOD_FOLLOWING",$AC8))</f>
        <v>43180</v>
      </c>
      <c r="I8" s="88" t="s">
        <v>152</v>
      </c>
      <c r="J8" s="23" t="s">
        <v>16</v>
      </c>
      <c r="K8" s="23" t="s">
        <v>47</v>
      </c>
      <c r="L8" s="23" t="s">
        <v>42</v>
      </c>
      <c r="M8" s="23" t="s">
        <v>98</v>
      </c>
      <c r="N8" s="23" t="s">
        <v>101</v>
      </c>
      <c r="O8" s="46" t="s">
        <v>48</v>
      </c>
      <c r="P8" s="37">
        <f t="shared" ca="1" si="0"/>
        <v>4</v>
      </c>
      <c r="Q8" s="38" t="str">
        <f ca="1">IF(E8="SPOT",E8,E8&amp;IF(H8=USD3ML.IMMIMM1, 1,IF(H8=USD3ML.IMMIMM2,2,"NotInScope")))</f>
        <v>IMM1</v>
      </c>
      <c r="R8" s="57">
        <f ca="1">IF($I8="","",IF(ISNUMBER($I8),$I8,_xll.meDateFromTenor(H8,$I8,"MOD_FOLLOWING",VLOOKUP(LEFT($M8,3),DateConventions,3))))</f>
        <v>45013</v>
      </c>
      <c r="S8" s="38" t="b">
        <f t="shared" ref="S8:S48" ca="1" si="10">ISNUMBER(SEARCH($E8, INDEX($E$54:$E$61,$P8)))</f>
        <v>1</v>
      </c>
      <c r="T8" s="38" t="b">
        <f t="shared" ca="1" si="1"/>
        <v>1</v>
      </c>
      <c r="U8" s="38" t="b">
        <f t="shared" ca="1" si="2"/>
        <v>1</v>
      </c>
      <c r="V8" s="38" t="b">
        <f t="shared" ca="1" si="3"/>
        <v>1</v>
      </c>
      <c r="W8" s="39" t="b">
        <f t="shared" ca="1" si="4"/>
        <v>1</v>
      </c>
      <c r="X8" s="38" t="b">
        <f t="shared" ca="1" si="5"/>
        <v>1</v>
      </c>
      <c r="Y8" s="40" t="b">
        <f t="shared" ca="1" si="6"/>
        <v>1</v>
      </c>
      <c r="Z8" s="40" t="b">
        <f t="shared" ref="Z8:Z48" ca="1" si="11">ISNUMBER(SEARCH($N8, INDEX($M$54:$M$61,$P8)))</f>
        <v>1</v>
      </c>
      <c r="AA8" s="40" t="b">
        <f t="shared" ca="1" si="7"/>
        <v>1</v>
      </c>
      <c r="AB8" s="67" t="b">
        <f t="shared" ca="1" si="8"/>
        <v>1</v>
      </c>
      <c r="AC8" s="64" t="str">
        <f ca="1">IF($D8="USD","NYB",IF($D8="EUR","TGT",IF($D8="GBP","LNB","")))</f>
        <v>NYB</v>
      </c>
    </row>
    <row r="9" spans="1:30" x14ac:dyDescent="0.25">
      <c r="A9" s="29">
        <v>3</v>
      </c>
      <c r="B9" s="49" t="b">
        <f t="shared" ca="1" si="9"/>
        <v>1</v>
      </c>
      <c r="C9" s="60" t="s">
        <v>97</v>
      </c>
      <c r="D9" s="22" t="s">
        <v>77</v>
      </c>
      <c r="E9" s="62" t="s">
        <v>92</v>
      </c>
      <c r="F9" s="22">
        <v>1</v>
      </c>
      <c r="G9" s="22" t="s">
        <v>14</v>
      </c>
      <c r="H9" s="57">
        <f ca="1">IF($E9="IMM",_xll.meDateNthIMMFromStartDate(AsOf, $F9,$AC9,"MOD_FOLLOWING"),_xll.meDateFromTenor(AsOf,$F9&amp;"D","MOD_FOLLOWING",$AC9))</f>
        <v>43180</v>
      </c>
      <c r="I9" s="88" t="s">
        <v>29</v>
      </c>
      <c r="J9" s="23" t="s">
        <v>16</v>
      </c>
      <c r="K9" s="23" t="s">
        <v>47</v>
      </c>
      <c r="L9" s="23" t="s">
        <v>42</v>
      </c>
      <c r="M9" s="23" t="s">
        <v>98</v>
      </c>
      <c r="N9" s="23" t="s">
        <v>101</v>
      </c>
      <c r="O9" s="46" t="s">
        <v>48</v>
      </c>
      <c r="P9" s="37">
        <f t="shared" ca="1" si="0"/>
        <v>4</v>
      </c>
      <c r="Q9" s="38" t="str">
        <f ca="1">IF(E9="SPOT",E9,E9&amp;IF(H9=USD3ML.IMMIMM1, 1,IF(H9=USD3ML.IMMIMM2,2,"NotInScope")))</f>
        <v>IMM1</v>
      </c>
      <c r="R9" s="57">
        <f ca="1">IF($I9="","",IF(ISNUMBER($I9),$I9,_xll.meDateFromTenor(H9,$I9,"MOD_FOLLOWING",VLOOKUP(LEFT($M9,3),DateConventions,3))))</f>
        <v>45006</v>
      </c>
      <c r="S9" s="38" t="b">
        <f t="shared" ca="1" si="10"/>
        <v>1</v>
      </c>
      <c r="T9" s="38" t="b">
        <f t="shared" ca="1" si="1"/>
        <v>1</v>
      </c>
      <c r="U9" s="38" t="b">
        <f t="shared" ca="1" si="2"/>
        <v>1</v>
      </c>
      <c r="V9" s="38" t="b">
        <f t="shared" ca="1" si="3"/>
        <v>1</v>
      </c>
      <c r="W9" s="39" t="b">
        <f t="shared" ca="1" si="4"/>
        <v>1</v>
      </c>
      <c r="X9" s="38" t="b">
        <f t="shared" ca="1" si="5"/>
        <v>1</v>
      </c>
      <c r="Y9" s="40" t="b">
        <f t="shared" ca="1" si="6"/>
        <v>1</v>
      </c>
      <c r="Z9" s="40" t="b">
        <f ca="1">ISNUMBER(SEARCH($N9, INDEX($M$54:$M$61,$P9)))</f>
        <v>1</v>
      </c>
      <c r="AA9" s="40" t="b">
        <f t="shared" ca="1" si="7"/>
        <v>1</v>
      </c>
      <c r="AB9" s="67" t="b">
        <f t="shared" ca="1" si="8"/>
        <v>1</v>
      </c>
      <c r="AC9" s="64" t="str">
        <f ca="1">IF($D9="USD","NYB",IF($D9="EUR","TGT",IF($D9="GBP","LNB","")))</f>
        <v>NYB</v>
      </c>
    </row>
    <row r="10" spans="1:30" x14ac:dyDescent="0.25">
      <c r="A10" s="29">
        <v>4</v>
      </c>
      <c r="B10" s="49" t="b">
        <f t="shared" ca="1" si="9"/>
        <v>1</v>
      </c>
      <c r="C10" s="60" t="s">
        <v>97</v>
      </c>
      <c r="D10" s="22" t="s">
        <v>77</v>
      </c>
      <c r="E10" s="62" t="s">
        <v>92</v>
      </c>
      <c r="F10" s="22">
        <v>1</v>
      </c>
      <c r="G10" s="22" t="s">
        <v>14</v>
      </c>
      <c r="H10" s="57">
        <f ca="1">IF($E10="IMM",_xll.meDateNthIMMFromStartDate(AsOf, $F10,$AC10,"MOD_FOLLOWING"),_xll.meDateFromTenor(AsOf,$F10&amp;"D","MOD_FOLLOWING",$AC10))</f>
        <v>43180</v>
      </c>
      <c r="I10" s="88" t="s">
        <v>29</v>
      </c>
      <c r="J10" s="23" t="s">
        <v>16</v>
      </c>
      <c r="K10" s="23" t="s">
        <v>47</v>
      </c>
      <c r="L10" s="23" t="s">
        <v>42</v>
      </c>
      <c r="M10" s="23" t="s">
        <v>98</v>
      </c>
      <c r="N10" s="23" t="s">
        <v>101</v>
      </c>
      <c r="O10" s="46" t="s">
        <v>48</v>
      </c>
      <c r="P10" s="37">
        <f t="shared" ca="1" si="0"/>
        <v>4</v>
      </c>
      <c r="Q10" s="38" t="str">
        <f ca="1">IF(E10="SPOT",E10,E10&amp;IF(H10=USD3ML.IMMIMM1, 1,IF(H10=USD3ML.IMMIMM2,2,"999")))</f>
        <v>IMM1</v>
      </c>
      <c r="R10" s="57">
        <f ca="1">IF($I10="","",IF(ISNUMBER($I10),$I10,_xll.meDateFromTenor(H10,$I10,"MOD_FOLLOWING",VLOOKUP(LEFT($M10,3),DateConventions,3))))</f>
        <v>45006</v>
      </c>
      <c r="S10" s="38" t="b">
        <f ca="1">ISNUMBER(SEARCH($E10, INDEX($E$54:$E$61,$P10)))</f>
        <v>1</v>
      </c>
      <c r="T10" s="38" t="b">
        <f t="shared" ca="1" si="1"/>
        <v>1</v>
      </c>
      <c r="U10" s="38" t="b">
        <f t="shared" ca="1" si="2"/>
        <v>1</v>
      </c>
      <c r="V10" s="38" t="b">
        <f t="shared" ca="1" si="3"/>
        <v>1</v>
      </c>
      <c r="W10" s="39" t="b">
        <f t="shared" ca="1" si="4"/>
        <v>1</v>
      </c>
      <c r="X10" s="38" t="b">
        <f t="shared" ca="1" si="5"/>
        <v>1</v>
      </c>
      <c r="Y10" s="40" t="b">
        <f t="shared" ca="1" si="6"/>
        <v>1</v>
      </c>
      <c r="Z10" s="40" t="b">
        <f t="shared" ca="1" si="11"/>
        <v>1</v>
      </c>
      <c r="AA10" s="40" t="b">
        <f t="shared" ca="1" si="7"/>
        <v>1</v>
      </c>
      <c r="AB10" s="67" t="b">
        <f t="shared" ca="1" si="8"/>
        <v>1</v>
      </c>
      <c r="AC10" s="64" t="str">
        <f t="shared" ref="AC10:AC48" ca="1" si="12">IF($D10="USD","NYB",IF($D10="EUR","TGT",IF($D10="GBP","LNB","")))</f>
        <v>NYB</v>
      </c>
    </row>
    <row r="11" spans="1:30" x14ac:dyDescent="0.25">
      <c r="A11" s="29">
        <v>5</v>
      </c>
      <c r="B11" s="49" t="b">
        <f t="shared" ca="1" si="9"/>
        <v>1</v>
      </c>
      <c r="C11" s="60" t="s">
        <v>97</v>
      </c>
      <c r="D11" s="22" t="s">
        <v>77</v>
      </c>
      <c r="E11" s="62" t="s">
        <v>92</v>
      </c>
      <c r="F11" s="22">
        <v>1</v>
      </c>
      <c r="G11" s="22" t="s">
        <v>14</v>
      </c>
      <c r="H11" s="57">
        <f ca="1">IF($E11="IMM",_xll.meDateNthIMMFromStartDate(AsOf, $F11,$AC11,"MOD_FOLLOWING"),_xll.meDateFromTenor(AsOf,$F11&amp;"D","MOD_FOLLOWING",$AC11))</f>
        <v>43180</v>
      </c>
      <c r="I11" s="88" t="s">
        <v>29</v>
      </c>
      <c r="J11" s="23" t="s">
        <v>16</v>
      </c>
      <c r="K11" s="23" t="s">
        <v>47</v>
      </c>
      <c r="L11" s="23" t="s">
        <v>42</v>
      </c>
      <c r="M11" s="23" t="s">
        <v>98</v>
      </c>
      <c r="N11" s="23" t="s">
        <v>101</v>
      </c>
      <c r="O11" s="46" t="s">
        <v>48</v>
      </c>
      <c r="P11" s="37">
        <f t="shared" ca="1" si="0"/>
        <v>4</v>
      </c>
      <c r="Q11" s="38" t="str">
        <f t="shared" ref="Q11:Q48" ca="1" si="13">IF(E11="SPOT",E11,E11&amp;IF(H11=USD3ML.IMMIMM1, 1,IF(H11=USD3ML.IMMIMM2,2,"NotInScope")))</f>
        <v>IMM1</v>
      </c>
      <c r="R11" s="57">
        <f ca="1">IF($I11="","",IF(ISNUMBER($I11),$I11,_xll.meDateFromTenor(H11,$I11,"MOD_FOLLOWING",VLOOKUP(LEFT($M11,3),DateConventions,3))))</f>
        <v>45006</v>
      </c>
      <c r="S11" s="38" t="b">
        <f t="shared" ca="1" si="10"/>
        <v>1</v>
      </c>
      <c r="T11" s="38" t="b">
        <f t="shared" ca="1" si="1"/>
        <v>1</v>
      </c>
      <c r="U11" s="38" t="b">
        <f t="shared" ca="1" si="2"/>
        <v>1</v>
      </c>
      <c r="V11" s="38" t="b">
        <f t="shared" ca="1" si="3"/>
        <v>1</v>
      </c>
      <c r="W11" s="39" t="b">
        <f t="shared" ca="1" si="4"/>
        <v>1</v>
      </c>
      <c r="X11" s="38" t="b">
        <f t="shared" ca="1" si="5"/>
        <v>1</v>
      </c>
      <c r="Y11" s="40" t="b">
        <f t="shared" ca="1" si="6"/>
        <v>1</v>
      </c>
      <c r="Z11" s="40" t="b">
        <f t="shared" ca="1" si="11"/>
        <v>1</v>
      </c>
      <c r="AA11" s="40" t="b">
        <f t="shared" ca="1" si="7"/>
        <v>1</v>
      </c>
      <c r="AB11" s="67" t="b">
        <f t="shared" ca="1" si="8"/>
        <v>1</v>
      </c>
      <c r="AC11" s="64" t="str">
        <f t="shared" ca="1" si="12"/>
        <v>NYB</v>
      </c>
    </row>
    <row r="12" spans="1:30" x14ac:dyDescent="0.25">
      <c r="A12" s="29">
        <v>6</v>
      </c>
      <c r="B12" s="49" t="b">
        <f t="shared" ca="1" si="9"/>
        <v>1</v>
      </c>
      <c r="C12" s="60" t="s">
        <v>97</v>
      </c>
      <c r="D12" s="22" t="s">
        <v>77</v>
      </c>
      <c r="E12" s="62" t="s">
        <v>92</v>
      </c>
      <c r="F12" s="22">
        <v>1</v>
      </c>
      <c r="G12" s="22" t="s">
        <v>14</v>
      </c>
      <c r="H12" s="58">
        <f ca="1">IF($E12="IMM",_xll.meDateNthIMMFromStartDate(AsOf, $F12,$AC12,"MOD_FOLLOWING"),_xll.meDateFromTenor(AsOf,$F12&amp;"D","MOD_FOLLOWING",$AC12))</f>
        <v>43180</v>
      </c>
      <c r="I12" s="88" t="s">
        <v>29</v>
      </c>
      <c r="J12" s="23" t="s">
        <v>16</v>
      </c>
      <c r="K12" s="23" t="s">
        <v>47</v>
      </c>
      <c r="L12" s="23" t="s">
        <v>42</v>
      </c>
      <c r="M12" s="23" t="s">
        <v>98</v>
      </c>
      <c r="N12" s="23" t="s">
        <v>101</v>
      </c>
      <c r="O12" s="46" t="s">
        <v>48</v>
      </c>
      <c r="P12" s="37">
        <f t="shared" ca="1" si="0"/>
        <v>4</v>
      </c>
      <c r="Q12" s="38" t="str">
        <f t="shared" ca="1" si="13"/>
        <v>IMM1</v>
      </c>
      <c r="R12" s="57">
        <f ca="1">IF($I12="","",IF(ISNUMBER($I12),$I12,_xll.meDateFromTenor(H12,$I12,"MOD_FOLLOWING",VLOOKUP(LEFT($M12,3),DateConventions,3))))</f>
        <v>45006</v>
      </c>
      <c r="S12" s="38" t="b">
        <f t="shared" ca="1" si="10"/>
        <v>1</v>
      </c>
      <c r="T12" s="38" t="b">
        <f t="shared" ca="1" si="1"/>
        <v>1</v>
      </c>
      <c r="U12" s="38" t="b">
        <f t="shared" ca="1" si="2"/>
        <v>1</v>
      </c>
      <c r="V12" s="38" t="b">
        <f t="shared" ca="1" si="3"/>
        <v>1</v>
      </c>
      <c r="W12" s="39" t="b">
        <f t="shared" ca="1" si="4"/>
        <v>1</v>
      </c>
      <c r="X12" s="38" t="b">
        <f t="shared" ca="1" si="5"/>
        <v>1</v>
      </c>
      <c r="Y12" s="40" t="b">
        <f t="shared" ca="1" si="6"/>
        <v>1</v>
      </c>
      <c r="Z12" s="40" t="b">
        <f t="shared" ca="1" si="11"/>
        <v>1</v>
      </c>
      <c r="AA12" s="40" t="b">
        <f t="shared" ca="1" si="7"/>
        <v>1</v>
      </c>
      <c r="AB12" s="67" t="b">
        <f t="shared" ca="1" si="8"/>
        <v>1</v>
      </c>
      <c r="AC12" s="64" t="str">
        <f t="shared" ca="1" si="12"/>
        <v>NYB</v>
      </c>
    </row>
    <row r="13" spans="1:30" x14ac:dyDescent="0.25">
      <c r="A13" s="29">
        <v>7</v>
      </c>
      <c r="B13" s="49" t="b">
        <f t="shared" ca="1" si="9"/>
        <v>1</v>
      </c>
      <c r="C13" s="60" t="s">
        <v>97</v>
      </c>
      <c r="D13" s="22" t="s">
        <v>77</v>
      </c>
      <c r="E13" s="62" t="s">
        <v>92</v>
      </c>
      <c r="F13" s="22">
        <v>1</v>
      </c>
      <c r="G13" s="22" t="s">
        <v>14</v>
      </c>
      <c r="H13" s="58">
        <f ca="1">IF($E13="IMM",_xll.meDateNthIMMFromStartDate(AsOf, $F13,$AC13,"MOD_FOLLOWING"),_xll.meDateFromTenor(AsOf,$F13&amp;"D","MOD_FOLLOWING",$AC13))</f>
        <v>43180</v>
      </c>
      <c r="I13" s="88" t="s">
        <v>29</v>
      </c>
      <c r="J13" s="23" t="s">
        <v>16</v>
      </c>
      <c r="K13" s="23" t="s">
        <v>47</v>
      </c>
      <c r="L13" s="23" t="s">
        <v>42</v>
      </c>
      <c r="M13" s="23" t="s">
        <v>98</v>
      </c>
      <c r="N13" s="23" t="s">
        <v>101</v>
      </c>
      <c r="O13" s="46" t="s">
        <v>48</v>
      </c>
      <c r="P13" s="37">
        <f t="shared" ca="1" si="0"/>
        <v>4</v>
      </c>
      <c r="Q13" s="38" t="str">
        <f t="shared" ca="1" si="13"/>
        <v>IMM1</v>
      </c>
      <c r="R13" s="57">
        <f ca="1">IF($I13="","",IF(ISNUMBER($I13),$I13,_xll.meDateFromTenor(H13,$I13,"MOD_FOLLOWING",VLOOKUP(LEFT($M13,3),DateConventions,3))))</f>
        <v>45006</v>
      </c>
      <c r="S13" s="38" t="b">
        <f t="shared" ca="1" si="10"/>
        <v>1</v>
      </c>
      <c r="T13" s="38" t="b">
        <f t="shared" ca="1" si="1"/>
        <v>1</v>
      </c>
      <c r="U13" s="38" t="b">
        <f t="shared" ca="1" si="2"/>
        <v>1</v>
      </c>
      <c r="V13" s="38" t="b">
        <f t="shared" ca="1" si="3"/>
        <v>1</v>
      </c>
      <c r="W13" s="39" t="b">
        <f t="shared" ca="1" si="4"/>
        <v>1</v>
      </c>
      <c r="X13" s="38" t="b">
        <f t="shared" ca="1" si="5"/>
        <v>1</v>
      </c>
      <c r="Y13" s="40" t="b">
        <f t="shared" ca="1" si="6"/>
        <v>1</v>
      </c>
      <c r="Z13" s="40" t="b">
        <f t="shared" ca="1" si="11"/>
        <v>1</v>
      </c>
      <c r="AA13" s="40" t="b">
        <f t="shared" ca="1" si="7"/>
        <v>1</v>
      </c>
      <c r="AB13" s="67" t="b">
        <f t="shared" ca="1" si="8"/>
        <v>1</v>
      </c>
      <c r="AC13" s="64" t="str">
        <f t="shared" ca="1" si="12"/>
        <v>NYB</v>
      </c>
    </row>
    <row r="14" spans="1:30" x14ac:dyDescent="0.25">
      <c r="A14" s="29">
        <v>8</v>
      </c>
      <c r="B14" s="49" t="b">
        <f t="shared" ca="1" si="9"/>
        <v>1</v>
      </c>
      <c r="C14" s="60" t="s">
        <v>97</v>
      </c>
      <c r="D14" s="22" t="s">
        <v>77</v>
      </c>
      <c r="E14" s="62" t="s">
        <v>92</v>
      </c>
      <c r="F14" s="22">
        <v>1</v>
      </c>
      <c r="G14" s="22" t="s">
        <v>14</v>
      </c>
      <c r="H14" s="58">
        <f ca="1">IF($E14="IMM",_xll.meDateNthIMMFromStartDate(AsOf, $F14,$AC14,"MOD_FOLLOWING"),_xll.meDateFromTenor(AsOf,$F14&amp;"D","MOD_FOLLOWING",$AC14))</f>
        <v>43180</v>
      </c>
      <c r="I14" s="88" t="s">
        <v>29</v>
      </c>
      <c r="J14" s="23" t="s">
        <v>16</v>
      </c>
      <c r="K14" s="23" t="s">
        <v>47</v>
      </c>
      <c r="L14" s="23" t="s">
        <v>42</v>
      </c>
      <c r="M14" s="23" t="s">
        <v>98</v>
      </c>
      <c r="N14" s="23" t="s">
        <v>101</v>
      </c>
      <c r="O14" s="46" t="s">
        <v>48</v>
      </c>
      <c r="P14" s="37">
        <f t="shared" ca="1" si="0"/>
        <v>4</v>
      </c>
      <c r="Q14" s="38" t="str">
        <f t="shared" ca="1" si="13"/>
        <v>IMM1</v>
      </c>
      <c r="R14" s="57">
        <f ca="1">IF($I14="","",IF(ISNUMBER($I14),$I14,_xll.meDateFromTenor(H14,$I14,"MOD_FOLLOWING",VLOOKUP(LEFT($M14,3),DateConventions,3))))</f>
        <v>45006</v>
      </c>
      <c r="S14" s="38" t="b">
        <f t="shared" ca="1" si="10"/>
        <v>1</v>
      </c>
      <c r="T14" s="38" t="b">
        <f t="shared" ca="1" si="1"/>
        <v>1</v>
      </c>
      <c r="U14" s="38" t="b">
        <f t="shared" ca="1" si="2"/>
        <v>1</v>
      </c>
      <c r="V14" s="38" t="b">
        <f t="shared" ca="1" si="3"/>
        <v>1</v>
      </c>
      <c r="W14" s="39" t="b">
        <f t="shared" ca="1" si="4"/>
        <v>1</v>
      </c>
      <c r="X14" s="38" t="b">
        <f t="shared" ca="1" si="5"/>
        <v>1</v>
      </c>
      <c r="Y14" s="40" t="b">
        <f t="shared" ca="1" si="6"/>
        <v>1</v>
      </c>
      <c r="Z14" s="40" t="b">
        <f t="shared" ca="1" si="11"/>
        <v>1</v>
      </c>
      <c r="AA14" s="40" t="b">
        <f t="shared" ca="1" si="7"/>
        <v>1</v>
      </c>
      <c r="AB14" s="67" t="b">
        <f t="shared" ca="1" si="8"/>
        <v>1</v>
      </c>
      <c r="AC14" s="64" t="str">
        <f t="shared" ca="1" si="12"/>
        <v>NYB</v>
      </c>
    </row>
    <row r="15" spans="1:30" x14ac:dyDescent="0.25">
      <c r="A15" s="29">
        <v>9</v>
      </c>
      <c r="B15" s="49" t="b">
        <f t="shared" ca="1" si="9"/>
        <v>1</v>
      </c>
      <c r="C15" s="60" t="s">
        <v>97</v>
      </c>
      <c r="D15" s="22" t="s">
        <v>77</v>
      </c>
      <c r="E15" s="62" t="s">
        <v>92</v>
      </c>
      <c r="F15" s="22">
        <v>1</v>
      </c>
      <c r="G15" s="22" t="s">
        <v>14</v>
      </c>
      <c r="H15" s="58">
        <f ca="1">IF($E15="IMM",_xll.meDateNthIMMFromStartDate(AsOf, $F15,$AC15,"MOD_FOLLOWING"),_xll.meDateFromTenor(AsOf,$F15&amp;"D","MOD_FOLLOWING",$AC15))</f>
        <v>43180</v>
      </c>
      <c r="I15" s="88" t="s">
        <v>29</v>
      </c>
      <c r="J15" s="23" t="s">
        <v>16</v>
      </c>
      <c r="K15" s="23" t="s">
        <v>47</v>
      </c>
      <c r="L15" s="23" t="s">
        <v>42</v>
      </c>
      <c r="M15" s="23" t="s">
        <v>98</v>
      </c>
      <c r="N15" s="23" t="s">
        <v>101</v>
      </c>
      <c r="O15" s="46" t="s">
        <v>48</v>
      </c>
      <c r="P15" s="37">
        <f t="shared" ca="1" si="0"/>
        <v>4</v>
      </c>
      <c r="Q15" s="38" t="str">
        <f t="shared" ca="1" si="13"/>
        <v>IMM1</v>
      </c>
      <c r="R15" s="57">
        <f ca="1">IF($I15="","",IF(ISNUMBER($I15),$I15,_xll.meDateFromTenor(H15,$I15,"MOD_FOLLOWING",VLOOKUP(LEFT($M15,3),DateConventions,3))))</f>
        <v>45006</v>
      </c>
      <c r="S15" s="38" t="b">
        <f t="shared" ca="1" si="10"/>
        <v>1</v>
      </c>
      <c r="T15" s="38" t="b">
        <f t="shared" ca="1" si="1"/>
        <v>1</v>
      </c>
      <c r="U15" s="38" t="b">
        <f t="shared" ca="1" si="2"/>
        <v>1</v>
      </c>
      <c r="V15" s="38" t="b">
        <f t="shared" ca="1" si="3"/>
        <v>1</v>
      </c>
      <c r="W15" s="39" t="b">
        <f t="shared" ca="1" si="4"/>
        <v>1</v>
      </c>
      <c r="X15" s="38" t="b">
        <f t="shared" ca="1" si="5"/>
        <v>1</v>
      </c>
      <c r="Y15" s="40" t="b">
        <f t="shared" ca="1" si="6"/>
        <v>1</v>
      </c>
      <c r="Z15" s="40" t="b">
        <f t="shared" ca="1" si="11"/>
        <v>1</v>
      </c>
      <c r="AA15" s="40" t="b">
        <f t="shared" ca="1" si="7"/>
        <v>1</v>
      </c>
      <c r="AB15" s="67" t="b">
        <f t="shared" ca="1" si="8"/>
        <v>1</v>
      </c>
      <c r="AC15" s="64" t="str">
        <f t="shared" ca="1" si="12"/>
        <v>NYB</v>
      </c>
    </row>
    <row r="16" spans="1:30" x14ac:dyDescent="0.25">
      <c r="A16" s="29">
        <v>10</v>
      </c>
      <c r="B16" s="49" t="b">
        <f t="shared" ca="1" si="9"/>
        <v>1</v>
      </c>
      <c r="C16" s="60" t="s">
        <v>97</v>
      </c>
      <c r="D16" s="22" t="s">
        <v>77</v>
      </c>
      <c r="E16" s="62" t="s">
        <v>92</v>
      </c>
      <c r="F16" s="22">
        <v>1</v>
      </c>
      <c r="G16" s="22" t="s">
        <v>14</v>
      </c>
      <c r="H16" s="58">
        <f ca="1">IF($E16="IMM",_xll.meDateNthIMMFromStartDate(AsOf, $F16,$AC16,"MOD_FOLLOWING"),_xll.meDateFromTenor(AsOf,$F16&amp;"D","MOD_FOLLOWING",$AC16))</f>
        <v>43180</v>
      </c>
      <c r="I16" s="88" t="s">
        <v>29</v>
      </c>
      <c r="J16" s="23" t="s">
        <v>16</v>
      </c>
      <c r="K16" s="23" t="s">
        <v>47</v>
      </c>
      <c r="L16" s="23" t="s">
        <v>42</v>
      </c>
      <c r="M16" s="23" t="s">
        <v>98</v>
      </c>
      <c r="N16" s="23" t="s">
        <v>101</v>
      </c>
      <c r="O16" s="46" t="s">
        <v>48</v>
      </c>
      <c r="P16" s="37">
        <f t="shared" ca="1" si="0"/>
        <v>4</v>
      </c>
      <c r="Q16" s="38" t="str">
        <f t="shared" ca="1" si="13"/>
        <v>IMM1</v>
      </c>
      <c r="R16" s="57">
        <f ca="1">IF($I16="","",IF(ISNUMBER($I16),$I16,_xll.meDateFromTenor(H16,$I16,"MOD_FOLLOWING",VLOOKUP(LEFT($M16,3),DateConventions,3))))</f>
        <v>45006</v>
      </c>
      <c r="S16" s="38" t="b">
        <f t="shared" ca="1" si="10"/>
        <v>1</v>
      </c>
      <c r="T16" s="38" t="b">
        <f t="shared" ca="1" si="1"/>
        <v>1</v>
      </c>
      <c r="U16" s="38" t="b">
        <f t="shared" ca="1" si="2"/>
        <v>1</v>
      </c>
      <c r="V16" s="38" t="b">
        <f t="shared" ca="1" si="3"/>
        <v>1</v>
      </c>
      <c r="W16" s="39" t="b">
        <f t="shared" ca="1" si="4"/>
        <v>1</v>
      </c>
      <c r="X16" s="38" t="b">
        <f t="shared" ca="1" si="5"/>
        <v>1</v>
      </c>
      <c r="Y16" s="40" t="b">
        <f t="shared" ca="1" si="6"/>
        <v>1</v>
      </c>
      <c r="Z16" s="40" t="b">
        <f t="shared" ca="1" si="11"/>
        <v>1</v>
      </c>
      <c r="AA16" s="40" t="b">
        <f t="shared" ca="1" si="7"/>
        <v>1</v>
      </c>
      <c r="AB16" s="67" t="b">
        <f t="shared" ca="1" si="8"/>
        <v>1</v>
      </c>
      <c r="AC16" s="64" t="str">
        <f t="shared" ca="1" si="12"/>
        <v>NYB</v>
      </c>
    </row>
    <row r="17" spans="1:29" x14ac:dyDescent="0.25">
      <c r="A17" s="29">
        <v>11</v>
      </c>
      <c r="B17" s="49" t="b">
        <f t="shared" ca="1" si="9"/>
        <v>1</v>
      </c>
      <c r="C17" s="60" t="s">
        <v>97</v>
      </c>
      <c r="D17" s="22" t="s">
        <v>77</v>
      </c>
      <c r="E17" s="62" t="s">
        <v>92</v>
      </c>
      <c r="F17" s="22">
        <v>1</v>
      </c>
      <c r="G17" s="22" t="s">
        <v>14</v>
      </c>
      <c r="H17" s="58">
        <f ca="1">IF($E17="IMM",_xll.meDateNthIMMFromStartDate(AsOf, $F17,$AC17,"MOD_FOLLOWING"),_xll.meDateFromTenor(AsOf,$F17&amp;"D","MOD_FOLLOWING",$AC17))</f>
        <v>43180</v>
      </c>
      <c r="I17" s="88" t="s">
        <v>29</v>
      </c>
      <c r="J17" s="23" t="s">
        <v>16</v>
      </c>
      <c r="K17" s="23" t="s">
        <v>47</v>
      </c>
      <c r="L17" s="23" t="s">
        <v>42</v>
      </c>
      <c r="M17" s="23" t="s">
        <v>98</v>
      </c>
      <c r="N17" s="23" t="s">
        <v>101</v>
      </c>
      <c r="O17" s="46" t="s">
        <v>48</v>
      </c>
      <c r="P17" s="37">
        <f t="shared" ca="1" si="0"/>
        <v>4</v>
      </c>
      <c r="Q17" s="38" t="str">
        <f t="shared" ca="1" si="13"/>
        <v>IMM1</v>
      </c>
      <c r="R17" s="57">
        <f ca="1">IF($I17="","",IF(ISNUMBER($I17),$I17,_xll.meDateFromTenor(H17,$I17,"MOD_FOLLOWING",VLOOKUP(LEFT($M17,3),DateConventions,3))))</f>
        <v>45006</v>
      </c>
      <c r="S17" s="38" t="b">
        <f t="shared" ca="1" si="10"/>
        <v>1</v>
      </c>
      <c r="T17" s="38" t="b">
        <f t="shared" ca="1" si="1"/>
        <v>1</v>
      </c>
      <c r="U17" s="38" t="b">
        <f t="shared" ca="1" si="2"/>
        <v>1</v>
      </c>
      <c r="V17" s="38" t="b">
        <f t="shared" ca="1" si="3"/>
        <v>1</v>
      </c>
      <c r="W17" s="39" t="b">
        <f t="shared" ca="1" si="4"/>
        <v>1</v>
      </c>
      <c r="X17" s="38" t="b">
        <f t="shared" ca="1" si="5"/>
        <v>1</v>
      </c>
      <c r="Y17" s="40" t="b">
        <f t="shared" ca="1" si="6"/>
        <v>1</v>
      </c>
      <c r="Z17" s="40" t="b">
        <f t="shared" ca="1" si="11"/>
        <v>1</v>
      </c>
      <c r="AA17" s="40" t="b">
        <f t="shared" ca="1" si="7"/>
        <v>1</v>
      </c>
      <c r="AB17" s="67" t="b">
        <f t="shared" ca="1" si="8"/>
        <v>1</v>
      </c>
      <c r="AC17" s="64" t="str">
        <f t="shared" ca="1" si="12"/>
        <v>NYB</v>
      </c>
    </row>
    <row r="18" spans="1:29" x14ac:dyDescent="0.25">
      <c r="A18" s="29">
        <v>12</v>
      </c>
      <c r="B18" s="49" t="b">
        <f t="shared" ca="1" si="9"/>
        <v>1</v>
      </c>
      <c r="C18" s="60" t="s">
        <v>97</v>
      </c>
      <c r="D18" s="22" t="s">
        <v>77</v>
      </c>
      <c r="E18" s="62" t="s">
        <v>92</v>
      </c>
      <c r="F18" s="22">
        <v>1</v>
      </c>
      <c r="G18" s="22" t="s">
        <v>14</v>
      </c>
      <c r="H18" s="58">
        <f ca="1">IF($E18="IMM",_xll.meDateNthIMMFromStartDate(AsOf, $F18,$AC18,"MOD_FOLLOWING"),_xll.meDateFromTenor(AsOf,$F18&amp;"D","MOD_FOLLOWING",$AC18))</f>
        <v>43180</v>
      </c>
      <c r="I18" s="88" t="s">
        <v>29</v>
      </c>
      <c r="J18" s="23" t="s">
        <v>16</v>
      </c>
      <c r="K18" s="23" t="s">
        <v>47</v>
      </c>
      <c r="L18" s="23" t="s">
        <v>42</v>
      </c>
      <c r="M18" s="23" t="s">
        <v>98</v>
      </c>
      <c r="N18" s="23" t="s">
        <v>101</v>
      </c>
      <c r="O18" s="46" t="s">
        <v>48</v>
      </c>
      <c r="P18" s="37">
        <f t="shared" ca="1" si="0"/>
        <v>4</v>
      </c>
      <c r="Q18" s="38" t="str">
        <f t="shared" ca="1" si="13"/>
        <v>IMM1</v>
      </c>
      <c r="R18" s="57">
        <f ca="1">IF($I18="","",IF(ISNUMBER($I18),$I18,_xll.meDateFromTenor(H18,$I18,"MOD_FOLLOWING",VLOOKUP(LEFT($M18,3),DateConventions,3))))</f>
        <v>45006</v>
      </c>
      <c r="S18" s="38" t="b">
        <f t="shared" ca="1" si="10"/>
        <v>1</v>
      </c>
      <c r="T18" s="38" t="b">
        <f t="shared" ca="1" si="1"/>
        <v>1</v>
      </c>
      <c r="U18" s="38" t="b">
        <f t="shared" ca="1" si="2"/>
        <v>1</v>
      </c>
      <c r="V18" s="38" t="b">
        <f t="shared" ca="1" si="3"/>
        <v>1</v>
      </c>
      <c r="W18" s="39" t="b">
        <f t="shared" ca="1" si="4"/>
        <v>1</v>
      </c>
      <c r="X18" s="38" t="b">
        <f t="shared" ca="1" si="5"/>
        <v>1</v>
      </c>
      <c r="Y18" s="40" t="b">
        <f t="shared" ca="1" si="6"/>
        <v>1</v>
      </c>
      <c r="Z18" s="40" t="b">
        <f t="shared" ca="1" si="11"/>
        <v>1</v>
      </c>
      <c r="AA18" s="40" t="b">
        <f t="shared" ca="1" si="7"/>
        <v>1</v>
      </c>
      <c r="AB18" s="67" t="b">
        <f t="shared" ca="1" si="8"/>
        <v>1</v>
      </c>
      <c r="AC18" s="64" t="str">
        <f t="shared" ca="1" si="12"/>
        <v>NYB</v>
      </c>
    </row>
    <row r="19" spans="1:29" x14ac:dyDescent="0.25">
      <c r="A19" s="29">
        <v>13</v>
      </c>
      <c r="B19" s="49" t="b">
        <f t="shared" ca="1" si="9"/>
        <v>1</v>
      </c>
      <c r="C19" s="60" t="s">
        <v>97</v>
      </c>
      <c r="D19" s="22" t="s">
        <v>77</v>
      </c>
      <c r="E19" s="62" t="s">
        <v>92</v>
      </c>
      <c r="F19" s="22">
        <v>1</v>
      </c>
      <c r="G19" s="22" t="s">
        <v>14</v>
      </c>
      <c r="H19" s="58">
        <f ca="1">IF($E19="IMM",_xll.meDateNthIMMFromStartDate(AsOf, $F19,$AC19,"MOD_FOLLOWING"),_xll.meDateFromTenor(AsOf,$F19&amp;"D","MOD_FOLLOWING",$AC19))</f>
        <v>43180</v>
      </c>
      <c r="I19" s="88" t="s">
        <v>29</v>
      </c>
      <c r="J19" s="23" t="s">
        <v>16</v>
      </c>
      <c r="K19" s="23" t="s">
        <v>47</v>
      </c>
      <c r="L19" s="23" t="s">
        <v>42</v>
      </c>
      <c r="M19" s="23" t="s">
        <v>98</v>
      </c>
      <c r="N19" s="23" t="s">
        <v>101</v>
      </c>
      <c r="O19" s="46" t="s">
        <v>48</v>
      </c>
      <c r="P19" s="37">
        <f t="shared" ca="1" si="0"/>
        <v>4</v>
      </c>
      <c r="Q19" s="38" t="str">
        <f t="shared" ca="1" si="13"/>
        <v>IMM1</v>
      </c>
      <c r="R19" s="57">
        <f ca="1">IF($I19="","",IF(ISNUMBER($I19),$I19,_xll.meDateFromTenor(H19,$I19,"MOD_FOLLOWING",VLOOKUP(LEFT($M19,3),DateConventions,3))))</f>
        <v>45006</v>
      </c>
      <c r="S19" s="38" t="b">
        <f t="shared" ca="1" si="10"/>
        <v>1</v>
      </c>
      <c r="T19" s="38" t="b">
        <f t="shared" ca="1" si="1"/>
        <v>1</v>
      </c>
      <c r="U19" s="38" t="b">
        <f t="shared" ca="1" si="2"/>
        <v>1</v>
      </c>
      <c r="V19" s="38" t="b">
        <f t="shared" ca="1" si="3"/>
        <v>1</v>
      </c>
      <c r="W19" s="39" t="b">
        <f t="shared" ca="1" si="4"/>
        <v>1</v>
      </c>
      <c r="X19" s="38" t="b">
        <f t="shared" ca="1" si="5"/>
        <v>1</v>
      </c>
      <c r="Y19" s="40" t="b">
        <f t="shared" ca="1" si="6"/>
        <v>1</v>
      </c>
      <c r="Z19" s="40" t="b">
        <f t="shared" ca="1" si="11"/>
        <v>1</v>
      </c>
      <c r="AA19" s="40" t="b">
        <f t="shared" ca="1" si="7"/>
        <v>1</v>
      </c>
      <c r="AB19" s="67" t="b">
        <f t="shared" ca="1" si="8"/>
        <v>1</v>
      </c>
      <c r="AC19" s="64" t="str">
        <f t="shared" ca="1" si="12"/>
        <v>NYB</v>
      </c>
    </row>
    <row r="20" spans="1:29" x14ac:dyDescent="0.25">
      <c r="A20" s="29">
        <v>14</v>
      </c>
      <c r="B20" s="49" t="b">
        <f t="shared" ca="1" si="9"/>
        <v>1</v>
      </c>
      <c r="C20" s="60" t="s">
        <v>97</v>
      </c>
      <c r="D20" s="22" t="s">
        <v>77</v>
      </c>
      <c r="E20" s="62" t="s">
        <v>92</v>
      </c>
      <c r="F20" s="22">
        <v>1</v>
      </c>
      <c r="G20" s="22" t="s">
        <v>14</v>
      </c>
      <c r="H20" s="58">
        <f ca="1">IF($E20="IMM",_xll.meDateNthIMMFromStartDate(AsOf, $F20,$AC20,"MOD_FOLLOWING"),_xll.meDateFromTenor(AsOf,$F20&amp;"D","MOD_FOLLOWING",$AC20))</f>
        <v>43180</v>
      </c>
      <c r="I20" s="88" t="s">
        <v>29</v>
      </c>
      <c r="J20" s="23" t="s">
        <v>16</v>
      </c>
      <c r="K20" s="23" t="s">
        <v>47</v>
      </c>
      <c r="L20" s="23" t="s">
        <v>42</v>
      </c>
      <c r="M20" s="23" t="s">
        <v>98</v>
      </c>
      <c r="N20" s="23" t="s">
        <v>101</v>
      </c>
      <c r="O20" s="46" t="s">
        <v>48</v>
      </c>
      <c r="P20" s="37">
        <f t="shared" ca="1" si="0"/>
        <v>4</v>
      </c>
      <c r="Q20" s="38" t="str">
        <f t="shared" ca="1" si="13"/>
        <v>IMM1</v>
      </c>
      <c r="R20" s="57">
        <f ca="1">IF($I20="","",IF(ISNUMBER($I20),$I20,_xll.meDateFromTenor(H20,$I20,"MOD_FOLLOWING",VLOOKUP(LEFT($M20,3),DateConventions,3))))</f>
        <v>45006</v>
      </c>
      <c r="S20" s="38" t="b">
        <f t="shared" ca="1" si="10"/>
        <v>1</v>
      </c>
      <c r="T20" s="38" t="b">
        <f t="shared" ca="1" si="1"/>
        <v>1</v>
      </c>
      <c r="U20" s="38" t="b">
        <f t="shared" ca="1" si="2"/>
        <v>1</v>
      </c>
      <c r="V20" s="38" t="b">
        <f t="shared" ca="1" si="3"/>
        <v>1</v>
      </c>
      <c r="W20" s="39" t="b">
        <f t="shared" ca="1" si="4"/>
        <v>1</v>
      </c>
      <c r="X20" s="38" t="b">
        <f t="shared" ca="1" si="5"/>
        <v>1</v>
      </c>
      <c r="Y20" s="40" t="b">
        <f t="shared" ca="1" si="6"/>
        <v>1</v>
      </c>
      <c r="Z20" s="40" t="b">
        <f t="shared" ca="1" si="11"/>
        <v>1</v>
      </c>
      <c r="AA20" s="40" t="b">
        <f t="shared" ca="1" si="7"/>
        <v>1</v>
      </c>
      <c r="AB20" s="67" t="b">
        <f t="shared" ca="1" si="8"/>
        <v>1</v>
      </c>
      <c r="AC20" s="64" t="str">
        <f t="shared" ca="1" si="12"/>
        <v>NYB</v>
      </c>
    </row>
    <row r="21" spans="1:29" x14ac:dyDescent="0.25">
      <c r="A21" s="29">
        <v>15</v>
      </c>
      <c r="B21" s="49" t="b">
        <f t="shared" ca="1" si="9"/>
        <v>1</v>
      </c>
      <c r="C21" s="60" t="s">
        <v>97</v>
      </c>
      <c r="D21" s="22" t="s">
        <v>77</v>
      </c>
      <c r="E21" s="62" t="s">
        <v>92</v>
      </c>
      <c r="F21" s="22">
        <v>1</v>
      </c>
      <c r="G21" s="22" t="s">
        <v>14</v>
      </c>
      <c r="H21" s="58">
        <f ca="1">IF($E21="IMM",_xll.meDateNthIMMFromStartDate(AsOf, $F21,$AC21,"MOD_FOLLOWING"),_xll.meDateFromTenor(AsOf,$F21&amp;"D","MOD_FOLLOWING",$AC21))</f>
        <v>43180</v>
      </c>
      <c r="I21" s="88" t="s">
        <v>29</v>
      </c>
      <c r="J21" s="23" t="s">
        <v>16</v>
      </c>
      <c r="K21" s="23" t="s">
        <v>47</v>
      </c>
      <c r="L21" s="23" t="s">
        <v>42</v>
      </c>
      <c r="M21" s="23" t="s">
        <v>98</v>
      </c>
      <c r="N21" s="23" t="s">
        <v>101</v>
      </c>
      <c r="O21" s="46" t="s">
        <v>48</v>
      </c>
      <c r="P21" s="37">
        <f t="shared" ca="1" si="0"/>
        <v>4</v>
      </c>
      <c r="Q21" s="38" t="str">
        <f t="shared" ca="1" si="13"/>
        <v>IMM1</v>
      </c>
      <c r="R21" s="57">
        <f ca="1">IF($I21="","",IF(ISNUMBER($I21),$I21,_xll.meDateFromTenor(H21,$I21,"MOD_FOLLOWING",VLOOKUP(LEFT($M21,3),DateConventions,3))))</f>
        <v>45006</v>
      </c>
      <c r="S21" s="38" t="b">
        <f t="shared" ca="1" si="10"/>
        <v>1</v>
      </c>
      <c r="T21" s="38" t="b">
        <f t="shared" ca="1" si="1"/>
        <v>1</v>
      </c>
      <c r="U21" s="38" t="b">
        <f t="shared" ca="1" si="2"/>
        <v>1</v>
      </c>
      <c r="V21" s="38" t="b">
        <f t="shared" ca="1" si="3"/>
        <v>1</v>
      </c>
      <c r="W21" s="39" t="b">
        <f t="shared" ca="1" si="4"/>
        <v>1</v>
      </c>
      <c r="X21" s="38" t="b">
        <f t="shared" ca="1" si="5"/>
        <v>1</v>
      </c>
      <c r="Y21" s="40" t="b">
        <f t="shared" ca="1" si="6"/>
        <v>1</v>
      </c>
      <c r="Z21" s="40" t="b">
        <f t="shared" ca="1" si="11"/>
        <v>1</v>
      </c>
      <c r="AA21" s="40" t="b">
        <f t="shared" ca="1" si="7"/>
        <v>1</v>
      </c>
      <c r="AB21" s="67" t="b">
        <f t="shared" ca="1" si="8"/>
        <v>1</v>
      </c>
      <c r="AC21" s="64" t="str">
        <f t="shared" ca="1" si="12"/>
        <v>NYB</v>
      </c>
    </row>
    <row r="22" spans="1:29" x14ac:dyDescent="0.25">
      <c r="A22" s="29">
        <v>16</v>
      </c>
      <c r="B22" s="49" t="b">
        <f t="shared" ca="1" si="9"/>
        <v>1</v>
      </c>
      <c r="C22" s="60" t="s">
        <v>97</v>
      </c>
      <c r="D22" s="22" t="s">
        <v>77</v>
      </c>
      <c r="E22" s="62" t="s">
        <v>92</v>
      </c>
      <c r="F22" s="22">
        <v>1</v>
      </c>
      <c r="G22" s="22" t="s">
        <v>14</v>
      </c>
      <c r="H22" s="58">
        <f ca="1">IF($E22="IMM",_xll.meDateNthIMMFromStartDate(AsOf, $F22,$AC22,"MOD_FOLLOWING"),_xll.meDateFromTenor(AsOf,$F22&amp;"D","MOD_FOLLOWING",$AC22))</f>
        <v>43180</v>
      </c>
      <c r="I22" s="88" t="s">
        <v>29</v>
      </c>
      <c r="J22" s="23" t="s">
        <v>16</v>
      </c>
      <c r="K22" s="23" t="s">
        <v>47</v>
      </c>
      <c r="L22" s="23" t="s">
        <v>42</v>
      </c>
      <c r="M22" s="23" t="s">
        <v>98</v>
      </c>
      <c r="N22" s="23" t="s">
        <v>101</v>
      </c>
      <c r="O22" s="46" t="s">
        <v>48</v>
      </c>
      <c r="P22" s="37">
        <f t="shared" ca="1" si="0"/>
        <v>4</v>
      </c>
      <c r="Q22" s="38" t="str">
        <f t="shared" ca="1" si="13"/>
        <v>IMM1</v>
      </c>
      <c r="R22" s="57">
        <f ca="1">IF($I22="","",IF(ISNUMBER($I22),$I22,_xll.meDateFromTenor(H22,$I22,"MOD_FOLLOWING",VLOOKUP(LEFT($M22,3),DateConventions,3))))</f>
        <v>45006</v>
      </c>
      <c r="S22" s="38" t="b">
        <f t="shared" ca="1" si="10"/>
        <v>1</v>
      </c>
      <c r="T22" s="38" t="b">
        <f t="shared" ca="1" si="1"/>
        <v>1</v>
      </c>
      <c r="U22" s="38" t="b">
        <f t="shared" ca="1" si="2"/>
        <v>1</v>
      </c>
      <c r="V22" s="38" t="b">
        <f t="shared" ca="1" si="3"/>
        <v>1</v>
      </c>
      <c r="W22" s="39" t="b">
        <f t="shared" ca="1" si="4"/>
        <v>1</v>
      </c>
      <c r="X22" s="38" t="b">
        <f t="shared" ca="1" si="5"/>
        <v>1</v>
      </c>
      <c r="Y22" s="40" t="b">
        <f t="shared" ca="1" si="6"/>
        <v>1</v>
      </c>
      <c r="Z22" s="40" t="b">
        <f t="shared" ca="1" si="11"/>
        <v>1</v>
      </c>
      <c r="AA22" s="40" t="b">
        <f t="shared" ca="1" si="7"/>
        <v>1</v>
      </c>
      <c r="AB22" s="67" t="b">
        <f t="shared" ca="1" si="8"/>
        <v>1</v>
      </c>
      <c r="AC22" s="64" t="str">
        <f t="shared" ca="1" si="12"/>
        <v>NYB</v>
      </c>
    </row>
    <row r="23" spans="1:29" x14ac:dyDescent="0.25">
      <c r="A23" s="29">
        <v>17</v>
      </c>
      <c r="B23" s="49" t="b">
        <f t="shared" ca="1" si="9"/>
        <v>1</v>
      </c>
      <c r="C23" s="60" t="s">
        <v>97</v>
      </c>
      <c r="D23" s="22" t="s">
        <v>77</v>
      </c>
      <c r="E23" s="62" t="s">
        <v>92</v>
      </c>
      <c r="F23" s="22">
        <v>1</v>
      </c>
      <c r="G23" s="22" t="s">
        <v>14</v>
      </c>
      <c r="H23" s="58">
        <f ca="1">IF($E23="IMM",_xll.meDateNthIMMFromStartDate(AsOf, $F23,$AC23,"MOD_FOLLOWING"),_xll.meDateFromTenor(AsOf,$F23&amp;"D","MOD_FOLLOWING",$AC23))</f>
        <v>43180</v>
      </c>
      <c r="I23" s="88" t="s">
        <v>29</v>
      </c>
      <c r="J23" s="23" t="s">
        <v>16</v>
      </c>
      <c r="K23" s="23" t="s">
        <v>47</v>
      </c>
      <c r="L23" s="23" t="s">
        <v>42</v>
      </c>
      <c r="M23" s="23" t="s">
        <v>98</v>
      </c>
      <c r="N23" s="23" t="s">
        <v>101</v>
      </c>
      <c r="O23" s="46" t="s">
        <v>48</v>
      </c>
      <c r="P23" s="37">
        <f t="shared" ca="1" si="0"/>
        <v>4</v>
      </c>
      <c r="Q23" s="38" t="str">
        <f t="shared" ca="1" si="13"/>
        <v>IMM1</v>
      </c>
      <c r="R23" s="57">
        <f ca="1">IF($I23="","",IF(ISNUMBER($I23),$I23,_xll.meDateFromTenor(H23,$I23,"MOD_FOLLOWING",VLOOKUP(LEFT($M23,3),DateConventions,3))))</f>
        <v>45006</v>
      </c>
      <c r="S23" s="38" t="b">
        <f t="shared" ca="1" si="10"/>
        <v>1</v>
      </c>
      <c r="T23" s="38" t="b">
        <f t="shared" ca="1" si="1"/>
        <v>1</v>
      </c>
      <c r="U23" s="38" t="b">
        <f t="shared" ca="1" si="2"/>
        <v>1</v>
      </c>
      <c r="V23" s="38" t="b">
        <f t="shared" ca="1" si="3"/>
        <v>1</v>
      </c>
      <c r="W23" s="39" t="b">
        <f t="shared" ca="1" si="4"/>
        <v>1</v>
      </c>
      <c r="X23" s="38" t="b">
        <f t="shared" ca="1" si="5"/>
        <v>1</v>
      </c>
      <c r="Y23" s="40" t="b">
        <f t="shared" ca="1" si="6"/>
        <v>1</v>
      </c>
      <c r="Z23" s="40" t="b">
        <f t="shared" ca="1" si="11"/>
        <v>1</v>
      </c>
      <c r="AA23" s="40" t="b">
        <f t="shared" ca="1" si="7"/>
        <v>1</v>
      </c>
      <c r="AB23" s="67" t="b">
        <f t="shared" ca="1" si="8"/>
        <v>1</v>
      </c>
      <c r="AC23" s="64" t="str">
        <f t="shared" ca="1" si="12"/>
        <v>NYB</v>
      </c>
    </row>
    <row r="24" spans="1:29" x14ac:dyDescent="0.25">
      <c r="A24" s="29">
        <v>18</v>
      </c>
      <c r="B24" s="49" t="b">
        <f t="shared" ca="1" si="9"/>
        <v>1</v>
      </c>
      <c r="C24" s="60" t="s">
        <v>97</v>
      </c>
      <c r="D24" s="22" t="s">
        <v>77</v>
      </c>
      <c r="E24" s="62" t="s">
        <v>92</v>
      </c>
      <c r="F24" s="22">
        <v>1</v>
      </c>
      <c r="G24" s="22" t="s">
        <v>14</v>
      </c>
      <c r="H24" s="58">
        <f ca="1">IF($E24="IMM",_xll.meDateNthIMMFromStartDate(AsOf, $F24,$AC24,"MOD_FOLLOWING"),_xll.meDateFromTenor(AsOf,$F24&amp;"D","MOD_FOLLOWING",$AC24))</f>
        <v>43180</v>
      </c>
      <c r="I24" s="88" t="s">
        <v>29</v>
      </c>
      <c r="J24" s="23" t="s">
        <v>16</v>
      </c>
      <c r="K24" s="23" t="s">
        <v>47</v>
      </c>
      <c r="L24" s="23" t="s">
        <v>42</v>
      </c>
      <c r="M24" s="23" t="s">
        <v>98</v>
      </c>
      <c r="N24" s="23" t="s">
        <v>101</v>
      </c>
      <c r="O24" s="46" t="s">
        <v>48</v>
      </c>
      <c r="P24" s="37">
        <f t="shared" ca="1" si="0"/>
        <v>4</v>
      </c>
      <c r="Q24" s="38" t="str">
        <f t="shared" ca="1" si="13"/>
        <v>IMM1</v>
      </c>
      <c r="R24" s="57">
        <f ca="1">IF($I24="","",IF(ISNUMBER($I24),$I24,_xll.meDateFromTenor(H24,$I24,"MOD_FOLLOWING",VLOOKUP(LEFT($M24,3),DateConventions,3))))</f>
        <v>45006</v>
      </c>
      <c r="S24" s="38" t="b">
        <f t="shared" ca="1" si="10"/>
        <v>1</v>
      </c>
      <c r="T24" s="38" t="b">
        <f t="shared" ca="1" si="1"/>
        <v>1</v>
      </c>
      <c r="U24" s="38" t="b">
        <f t="shared" ca="1" si="2"/>
        <v>1</v>
      </c>
      <c r="V24" s="38" t="b">
        <f t="shared" ca="1" si="3"/>
        <v>1</v>
      </c>
      <c r="W24" s="39" t="b">
        <f t="shared" ca="1" si="4"/>
        <v>1</v>
      </c>
      <c r="X24" s="38" t="b">
        <f t="shared" ca="1" si="5"/>
        <v>1</v>
      </c>
      <c r="Y24" s="40" t="b">
        <f t="shared" ca="1" si="6"/>
        <v>1</v>
      </c>
      <c r="Z24" s="40" t="b">
        <f t="shared" ca="1" si="11"/>
        <v>1</v>
      </c>
      <c r="AA24" s="40" t="b">
        <f t="shared" ca="1" si="7"/>
        <v>1</v>
      </c>
      <c r="AB24" s="67" t="b">
        <f t="shared" ca="1" si="8"/>
        <v>1</v>
      </c>
      <c r="AC24" s="64" t="str">
        <f t="shared" ca="1" si="12"/>
        <v>NYB</v>
      </c>
    </row>
    <row r="25" spans="1:29" x14ac:dyDescent="0.25">
      <c r="A25" s="29">
        <v>19</v>
      </c>
      <c r="B25" s="49" t="b">
        <f t="shared" ca="1" si="9"/>
        <v>1</v>
      </c>
      <c r="C25" s="60" t="s">
        <v>97</v>
      </c>
      <c r="D25" s="22" t="s">
        <v>77</v>
      </c>
      <c r="E25" s="62" t="s">
        <v>92</v>
      </c>
      <c r="F25" s="22">
        <v>1</v>
      </c>
      <c r="G25" s="22" t="s">
        <v>14</v>
      </c>
      <c r="H25" s="58">
        <f ca="1">IF($E25="IMM",_xll.meDateNthIMMFromStartDate(AsOf, $F25,$AC25,"MOD_FOLLOWING"),_xll.meDateFromTenor(AsOf,$F25&amp;"D","MOD_FOLLOWING",$AC25))</f>
        <v>43180</v>
      </c>
      <c r="I25" s="88" t="s">
        <v>29</v>
      </c>
      <c r="J25" s="23" t="s">
        <v>16</v>
      </c>
      <c r="K25" s="23" t="s">
        <v>47</v>
      </c>
      <c r="L25" s="23" t="s">
        <v>42</v>
      </c>
      <c r="M25" s="23" t="s">
        <v>98</v>
      </c>
      <c r="N25" s="23" t="s">
        <v>101</v>
      </c>
      <c r="O25" s="46" t="s">
        <v>48</v>
      </c>
      <c r="P25" s="37">
        <f t="shared" ca="1" si="0"/>
        <v>4</v>
      </c>
      <c r="Q25" s="38" t="str">
        <f t="shared" ca="1" si="13"/>
        <v>IMM1</v>
      </c>
      <c r="R25" s="57">
        <f ca="1">IF($I25="","",IF(ISNUMBER($I25),$I25,_xll.meDateFromTenor(H25,$I25,"MOD_FOLLOWING",VLOOKUP(LEFT($M25,3),DateConventions,3))))</f>
        <v>45006</v>
      </c>
      <c r="S25" s="38" t="b">
        <f t="shared" ca="1" si="10"/>
        <v>1</v>
      </c>
      <c r="T25" s="38" t="b">
        <f t="shared" ca="1" si="1"/>
        <v>1</v>
      </c>
      <c r="U25" s="38" t="b">
        <f t="shared" ca="1" si="2"/>
        <v>1</v>
      </c>
      <c r="V25" s="38" t="b">
        <f t="shared" ca="1" si="3"/>
        <v>1</v>
      </c>
      <c r="W25" s="39" t="b">
        <f t="shared" ca="1" si="4"/>
        <v>1</v>
      </c>
      <c r="X25" s="38" t="b">
        <f t="shared" ca="1" si="5"/>
        <v>1</v>
      </c>
      <c r="Y25" s="40" t="b">
        <f t="shared" ca="1" si="6"/>
        <v>1</v>
      </c>
      <c r="Z25" s="40" t="b">
        <f t="shared" ca="1" si="11"/>
        <v>1</v>
      </c>
      <c r="AA25" s="40" t="b">
        <f t="shared" ca="1" si="7"/>
        <v>1</v>
      </c>
      <c r="AB25" s="67" t="b">
        <f t="shared" ca="1" si="8"/>
        <v>1</v>
      </c>
      <c r="AC25" s="64" t="str">
        <f t="shared" ca="1" si="12"/>
        <v>NYB</v>
      </c>
    </row>
    <row r="26" spans="1:29" x14ac:dyDescent="0.25">
      <c r="A26" s="29">
        <v>20</v>
      </c>
      <c r="B26" s="49" t="b">
        <f t="shared" ca="1" si="9"/>
        <v>1</v>
      </c>
      <c r="C26" s="60" t="s">
        <v>97</v>
      </c>
      <c r="D26" s="22" t="s">
        <v>77</v>
      </c>
      <c r="E26" s="62" t="s">
        <v>92</v>
      </c>
      <c r="F26" s="22">
        <v>1</v>
      </c>
      <c r="G26" s="22" t="s">
        <v>14</v>
      </c>
      <c r="H26" s="58">
        <f ca="1">IF($E26="IMM",_xll.meDateNthIMMFromStartDate(AsOf, $F26,$AC26,"MOD_FOLLOWING"),_xll.meDateFromTenor(AsOf,$F26&amp;"D","MOD_FOLLOWING",$AC26))</f>
        <v>43180</v>
      </c>
      <c r="I26" s="88" t="s">
        <v>29</v>
      </c>
      <c r="J26" s="23" t="s">
        <v>16</v>
      </c>
      <c r="K26" s="23" t="s">
        <v>47</v>
      </c>
      <c r="L26" s="23" t="s">
        <v>42</v>
      </c>
      <c r="M26" s="23" t="s">
        <v>98</v>
      </c>
      <c r="N26" s="23" t="s">
        <v>101</v>
      </c>
      <c r="O26" s="46" t="s">
        <v>48</v>
      </c>
      <c r="P26" s="37">
        <f t="shared" ca="1" si="0"/>
        <v>4</v>
      </c>
      <c r="Q26" s="38" t="str">
        <f t="shared" ca="1" si="13"/>
        <v>IMM1</v>
      </c>
      <c r="R26" s="57">
        <f ca="1">IF($I26="","",IF(ISNUMBER($I26),$I26,_xll.meDateFromTenor(H26,$I26,"MOD_FOLLOWING",VLOOKUP(LEFT($M26,3),DateConventions,3))))</f>
        <v>45006</v>
      </c>
      <c r="S26" s="38" t="b">
        <f t="shared" ca="1" si="10"/>
        <v>1</v>
      </c>
      <c r="T26" s="38" t="b">
        <f t="shared" ca="1" si="1"/>
        <v>1</v>
      </c>
      <c r="U26" s="38" t="b">
        <f t="shared" ca="1" si="2"/>
        <v>1</v>
      </c>
      <c r="V26" s="38" t="b">
        <f t="shared" ca="1" si="3"/>
        <v>1</v>
      </c>
      <c r="W26" s="39" t="b">
        <f t="shared" ca="1" si="4"/>
        <v>1</v>
      </c>
      <c r="X26" s="38" t="b">
        <f t="shared" ca="1" si="5"/>
        <v>1</v>
      </c>
      <c r="Y26" s="40" t="b">
        <f t="shared" ca="1" si="6"/>
        <v>1</v>
      </c>
      <c r="Z26" s="40" t="b">
        <f t="shared" ca="1" si="11"/>
        <v>1</v>
      </c>
      <c r="AA26" s="40" t="b">
        <f t="shared" ca="1" si="7"/>
        <v>1</v>
      </c>
      <c r="AB26" s="67" t="b">
        <f t="shared" ca="1" si="8"/>
        <v>1</v>
      </c>
      <c r="AC26" s="64" t="str">
        <f t="shared" ca="1" si="12"/>
        <v>NYB</v>
      </c>
    </row>
    <row r="27" spans="1:29" x14ac:dyDescent="0.25">
      <c r="A27" s="29">
        <v>21</v>
      </c>
      <c r="B27" s="49" t="b">
        <f t="shared" ca="1" si="9"/>
        <v>1</v>
      </c>
      <c r="C27" s="60" t="s">
        <v>97</v>
      </c>
      <c r="D27" s="22" t="s">
        <v>77</v>
      </c>
      <c r="E27" s="62" t="s">
        <v>92</v>
      </c>
      <c r="F27" s="22">
        <v>1</v>
      </c>
      <c r="G27" s="22" t="s">
        <v>14</v>
      </c>
      <c r="H27" s="58">
        <f ca="1">IF($E27="IMM",_xll.meDateNthIMMFromStartDate(AsOf, $F27,$AC27,"MOD_FOLLOWING"),_xll.meDateFromTenor(AsOf,$F27&amp;"D","MOD_FOLLOWING",$AC27))</f>
        <v>43180</v>
      </c>
      <c r="I27" s="88" t="s">
        <v>29</v>
      </c>
      <c r="J27" s="23" t="s">
        <v>16</v>
      </c>
      <c r="K27" s="23" t="s">
        <v>47</v>
      </c>
      <c r="L27" s="23" t="s">
        <v>42</v>
      </c>
      <c r="M27" s="23" t="s">
        <v>98</v>
      </c>
      <c r="N27" s="23" t="s">
        <v>101</v>
      </c>
      <c r="O27" s="46" t="s">
        <v>48</v>
      </c>
      <c r="P27" s="37">
        <f t="shared" ca="1" si="0"/>
        <v>4</v>
      </c>
      <c r="Q27" s="38" t="str">
        <f t="shared" ca="1" si="13"/>
        <v>IMM1</v>
      </c>
      <c r="R27" s="57">
        <f ca="1">IF($I27="","",IF(ISNUMBER($I27),$I27,_xll.meDateFromTenor(H27,$I27,"MOD_FOLLOWING",VLOOKUP(LEFT($M27,3),DateConventions,3))))</f>
        <v>45006</v>
      </c>
      <c r="S27" s="38" t="b">
        <f t="shared" ca="1" si="10"/>
        <v>1</v>
      </c>
      <c r="T27" s="38" t="b">
        <f t="shared" ca="1" si="1"/>
        <v>1</v>
      </c>
      <c r="U27" s="38" t="b">
        <f t="shared" ca="1" si="2"/>
        <v>1</v>
      </c>
      <c r="V27" s="38" t="b">
        <f t="shared" ca="1" si="3"/>
        <v>1</v>
      </c>
      <c r="W27" s="39" t="b">
        <f t="shared" ca="1" si="4"/>
        <v>1</v>
      </c>
      <c r="X27" s="38" t="b">
        <f t="shared" ca="1" si="5"/>
        <v>1</v>
      </c>
      <c r="Y27" s="40" t="b">
        <f t="shared" ca="1" si="6"/>
        <v>1</v>
      </c>
      <c r="Z27" s="40" t="b">
        <f t="shared" ca="1" si="11"/>
        <v>1</v>
      </c>
      <c r="AA27" s="40" t="b">
        <f t="shared" ca="1" si="7"/>
        <v>1</v>
      </c>
      <c r="AB27" s="67" t="b">
        <f t="shared" ca="1" si="8"/>
        <v>1</v>
      </c>
      <c r="AC27" s="64" t="str">
        <f t="shared" ca="1" si="12"/>
        <v>NYB</v>
      </c>
    </row>
    <row r="28" spans="1:29" x14ac:dyDescent="0.25">
      <c r="A28" s="29">
        <v>22</v>
      </c>
      <c r="B28" s="49" t="b">
        <f t="shared" ca="1" si="9"/>
        <v>1</v>
      </c>
      <c r="C28" s="60" t="s">
        <v>97</v>
      </c>
      <c r="D28" s="22" t="s">
        <v>77</v>
      </c>
      <c r="E28" s="62" t="s">
        <v>92</v>
      </c>
      <c r="F28" s="22">
        <v>1</v>
      </c>
      <c r="G28" s="22" t="s">
        <v>14</v>
      </c>
      <c r="H28" s="58">
        <f ca="1">IF($E28="IMM",_xll.meDateNthIMMFromStartDate(AsOf, $F28,$AC28,"MOD_FOLLOWING"),_xll.meDateFromTenor(AsOf,$F28&amp;"D","MOD_FOLLOWING",$AC28))</f>
        <v>43180</v>
      </c>
      <c r="I28" s="88" t="s">
        <v>29</v>
      </c>
      <c r="J28" s="23" t="s">
        <v>16</v>
      </c>
      <c r="K28" s="23" t="s">
        <v>47</v>
      </c>
      <c r="L28" s="23" t="s">
        <v>42</v>
      </c>
      <c r="M28" s="23" t="s">
        <v>98</v>
      </c>
      <c r="N28" s="23" t="s">
        <v>101</v>
      </c>
      <c r="O28" s="46" t="s">
        <v>48</v>
      </c>
      <c r="P28" s="37">
        <f t="shared" ca="1" si="0"/>
        <v>4</v>
      </c>
      <c r="Q28" s="38" t="str">
        <f t="shared" ca="1" si="13"/>
        <v>IMM1</v>
      </c>
      <c r="R28" s="57">
        <f ca="1">IF($I28="","",IF(ISNUMBER($I28),$I28,_xll.meDateFromTenor(H28,$I28,"MOD_FOLLOWING",VLOOKUP(LEFT($M28,3),DateConventions,3))))</f>
        <v>45006</v>
      </c>
      <c r="S28" s="38" t="b">
        <f t="shared" ca="1" si="10"/>
        <v>1</v>
      </c>
      <c r="T28" s="38" t="b">
        <f t="shared" ca="1" si="1"/>
        <v>1</v>
      </c>
      <c r="U28" s="38" t="b">
        <f t="shared" ca="1" si="2"/>
        <v>1</v>
      </c>
      <c r="V28" s="38" t="b">
        <f t="shared" ca="1" si="3"/>
        <v>1</v>
      </c>
      <c r="W28" s="39" t="b">
        <f t="shared" ca="1" si="4"/>
        <v>1</v>
      </c>
      <c r="X28" s="38" t="b">
        <f t="shared" ca="1" si="5"/>
        <v>1</v>
      </c>
      <c r="Y28" s="40" t="b">
        <f t="shared" ca="1" si="6"/>
        <v>1</v>
      </c>
      <c r="Z28" s="40" t="b">
        <f t="shared" ca="1" si="11"/>
        <v>1</v>
      </c>
      <c r="AA28" s="40" t="b">
        <f t="shared" ca="1" si="7"/>
        <v>1</v>
      </c>
      <c r="AB28" s="67" t="b">
        <f t="shared" ca="1" si="8"/>
        <v>1</v>
      </c>
      <c r="AC28" s="64" t="str">
        <f t="shared" ca="1" si="12"/>
        <v>NYB</v>
      </c>
    </row>
    <row r="29" spans="1:29" x14ac:dyDescent="0.25">
      <c r="A29" s="29">
        <v>23</v>
      </c>
      <c r="B29" s="49" t="b">
        <f t="shared" ca="1" si="9"/>
        <v>1</v>
      </c>
      <c r="C29" s="60" t="s">
        <v>97</v>
      </c>
      <c r="D29" s="22" t="s">
        <v>77</v>
      </c>
      <c r="E29" s="62" t="s">
        <v>92</v>
      </c>
      <c r="F29" s="22">
        <v>1</v>
      </c>
      <c r="G29" s="22" t="s">
        <v>14</v>
      </c>
      <c r="H29" s="58">
        <f ca="1">IF($E29="IMM",_xll.meDateNthIMMFromStartDate(AsOf, $F29,$AC29,"MOD_FOLLOWING"),_xll.meDateFromTenor(AsOf,$F29&amp;"D","MOD_FOLLOWING",$AC29))</f>
        <v>43180</v>
      </c>
      <c r="I29" s="88" t="s">
        <v>29</v>
      </c>
      <c r="J29" s="23" t="s">
        <v>16</v>
      </c>
      <c r="K29" s="23" t="s">
        <v>47</v>
      </c>
      <c r="L29" s="23" t="s">
        <v>42</v>
      </c>
      <c r="M29" s="23" t="s">
        <v>98</v>
      </c>
      <c r="N29" s="23" t="s">
        <v>101</v>
      </c>
      <c r="O29" s="46" t="s">
        <v>48</v>
      </c>
      <c r="P29" s="37">
        <f t="shared" ca="1" si="0"/>
        <v>4</v>
      </c>
      <c r="Q29" s="38" t="str">
        <f t="shared" ca="1" si="13"/>
        <v>IMM1</v>
      </c>
      <c r="R29" s="57">
        <f ca="1">IF($I29="","",IF(ISNUMBER($I29),$I29,_xll.meDateFromTenor(H29,$I29,"MOD_FOLLOWING",VLOOKUP(LEFT($M29,3),DateConventions,3))))</f>
        <v>45006</v>
      </c>
      <c r="S29" s="38" t="b">
        <f t="shared" ca="1" si="10"/>
        <v>1</v>
      </c>
      <c r="T29" s="38" t="b">
        <f t="shared" ca="1" si="1"/>
        <v>1</v>
      </c>
      <c r="U29" s="38" t="b">
        <f t="shared" ca="1" si="2"/>
        <v>1</v>
      </c>
      <c r="V29" s="38" t="b">
        <f t="shared" ca="1" si="3"/>
        <v>1</v>
      </c>
      <c r="W29" s="39" t="b">
        <f t="shared" ca="1" si="4"/>
        <v>1</v>
      </c>
      <c r="X29" s="38" t="b">
        <f t="shared" ca="1" si="5"/>
        <v>1</v>
      </c>
      <c r="Y29" s="40" t="b">
        <f t="shared" ca="1" si="6"/>
        <v>1</v>
      </c>
      <c r="Z29" s="40" t="b">
        <f t="shared" ca="1" si="11"/>
        <v>1</v>
      </c>
      <c r="AA29" s="40" t="b">
        <f t="shared" ca="1" si="7"/>
        <v>1</v>
      </c>
      <c r="AB29" s="67" t="b">
        <f t="shared" ca="1" si="8"/>
        <v>1</v>
      </c>
      <c r="AC29" s="64" t="str">
        <f t="shared" ca="1" si="12"/>
        <v>NYB</v>
      </c>
    </row>
    <row r="30" spans="1:29" x14ac:dyDescent="0.25">
      <c r="A30" s="29">
        <v>24</v>
      </c>
      <c r="B30" s="49" t="b">
        <f t="shared" ca="1" si="9"/>
        <v>1</v>
      </c>
      <c r="C30" s="60" t="s">
        <v>97</v>
      </c>
      <c r="D30" s="22" t="s">
        <v>77</v>
      </c>
      <c r="E30" s="62" t="s">
        <v>92</v>
      </c>
      <c r="F30" s="22">
        <v>1</v>
      </c>
      <c r="G30" s="22" t="s">
        <v>14</v>
      </c>
      <c r="H30" s="58">
        <f ca="1">IF($E30="IMM",_xll.meDateNthIMMFromStartDate(AsOf, $F30,$AC30,"MOD_FOLLOWING"),_xll.meDateFromTenor(AsOf,$F30&amp;"D","MOD_FOLLOWING",$AC30))</f>
        <v>43180</v>
      </c>
      <c r="I30" s="88" t="s">
        <v>29</v>
      </c>
      <c r="J30" s="23" t="s">
        <v>16</v>
      </c>
      <c r="K30" s="23" t="s">
        <v>47</v>
      </c>
      <c r="L30" s="23" t="s">
        <v>42</v>
      </c>
      <c r="M30" s="23" t="s">
        <v>98</v>
      </c>
      <c r="N30" s="23" t="s">
        <v>101</v>
      </c>
      <c r="O30" s="46" t="s">
        <v>48</v>
      </c>
      <c r="P30" s="37">
        <f t="shared" ca="1" si="0"/>
        <v>4</v>
      </c>
      <c r="Q30" s="38" t="str">
        <f t="shared" ca="1" si="13"/>
        <v>IMM1</v>
      </c>
      <c r="R30" s="57">
        <f ca="1">IF($I30="","",IF(ISNUMBER($I30),$I30,_xll.meDateFromTenor(H30,$I30,"MOD_FOLLOWING",VLOOKUP(LEFT($M30,3),DateConventions,3))))</f>
        <v>45006</v>
      </c>
      <c r="S30" s="38" t="b">
        <f t="shared" ca="1" si="10"/>
        <v>1</v>
      </c>
      <c r="T30" s="38" t="b">
        <f t="shared" ca="1" si="1"/>
        <v>1</v>
      </c>
      <c r="U30" s="38" t="b">
        <f t="shared" ca="1" si="2"/>
        <v>1</v>
      </c>
      <c r="V30" s="38" t="b">
        <f t="shared" ca="1" si="3"/>
        <v>1</v>
      </c>
      <c r="W30" s="39" t="b">
        <f t="shared" ca="1" si="4"/>
        <v>1</v>
      </c>
      <c r="X30" s="38" t="b">
        <f t="shared" ca="1" si="5"/>
        <v>1</v>
      </c>
      <c r="Y30" s="40" t="b">
        <f t="shared" ca="1" si="6"/>
        <v>1</v>
      </c>
      <c r="Z30" s="40" t="b">
        <f t="shared" ca="1" si="11"/>
        <v>1</v>
      </c>
      <c r="AA30" s="40" t="b">
        <f t="shared" ca="1" si="7"/>
        <v>1</v>
      </c>
      <c r="AB30" s="67" t="b">
        <f t="shared" ca="1" si="8"/>
        <v>1</v>
      </c>
      <c r="AC30" s="64" t="str">
        <f t="shared" ca="1" si="12"/>
        <v>NYB</v>
      </c>
    </row>
    <row r="31" spans="1:29" x14ac:dyDescent="0.25">
      <c r="A31" s="29">
        <v>25</v>
      </c>
      <c r="B31" s="49" t="b">
        <f t="shared" ca="1" si="9"/>
        <v>1</v>
      </c>
      <c r="C31" s="60" t="s">
        <v>97</v>
      </c>
      <c r="D31" s="22" t="s">
        <v>77</v>
      </c>
      <c r="E31" s="62" t="s">
        <v>92</v>
      </c>
      <c r="F31" s="22">
        <v>1</v>
      </c>
      <c r="G31" s="22" t="s">
        <v>14</v>
      </c>
      <c r="H31" s="58">
        <f ca="1">IF($E31="IMM",_xll.meDateNthIMMFromStartDate(AsOf, $F31,$AC31,"MOD_FOLLOWING"),_xll.meDateFromTenor(AsOf,$F31&amp;"D","MOD_FOLLOWING",$AC31))</f>
        <v>43180</v>
      </c>
      <c r="I31" s="88" t="s">
        <v>29</v>
      </c>
      <c r="J31" s="23" t="s">
        <v>16</v>
      </c>
      <c r="K31" s="23" t="s">
        <v>47</v>
      </c>
      <c r="L31" s="23" t="s">
        <v>42</v>
      </c>
      <c r="M31" s="23" t="s">
        <v>98</v>
      </c>
      <c r="N31" s="23" t="s">
        <v>101</v>
      </c>
      <c r="O31" s="46" t="s">
        <v>48</v>
      </c>
      <c r="P31" s="37">
        <f t="shared" ca="1" si="0"/>
        <v>4</v>
      </c>
      <c r="Q31" s="38" t="str">
        <f t="shared" ca="1" si="13"/>
        <v>IMM1</v>
      </c>
      <c r="R31" s="57">
        <f ca="1">IF($I31="","",IF(ISNUMBER($I31),$I31,_xll.meDateFromTenor(H31,$I31,"MOD_FOLLOWING",VLOOKUP(LEFT($M31,3),DateConventions,3))))</f>
        <v>45006</v>
      </c>
      <c r="S31" s="38" t="b">
        <f t="shared" ca="1" si="10"/>
        <v>1</v>
      </c>
      <c r="T31" s="38" t="b">
        <f t="shared" ca="1" si="1"/>
        <v>1</v>
      </c>
      <c r="U31" s="38" t="b">
        <f t="shared" ca="1" si="2"/>
        <v>1</v>
      </c>
      <c r="V31" s="38" t="b">
        <f t="shared" ca="1" si="3"/>
        <v>1</v>
      </c>
      <c r="W31" s="39" t="b">
        <f t="shared" ca="1" si="4"/>
        <v>1</v>
      </c>
      <c r="X31" s="38" t="b">
        <f t="shared" ca="1" si="5"/>
        <v>1</v>
      </c>
      <c r="Y31" s="40" t="b">
        <f t="shared" ca="1" si="6"/>
        <v>1</v>
      </c>
      <c r="Z31" s="40" t="b">
        <f t="shared" ca="1" si="11"/>
        <v>1</v>
      </c>
      <c r="AA31" s="40" t="b">
        <f t="shared" ca="1" si="7"/>
        <v>1</v>
      </c>
      <c r="AB31" s="67" t="b">
        <f t="shared" ca="1" si="8"/>
        <v>1</v>
      </c>
      <c r="AC31" s="64" t="str">
        <f t="shared" ca="1" si="12"/>
        <v>NYB</v>
      </c>
    </row>
    <row r="32" spans="1:29" x14ac:dyDescent="0.25">
      <c r="A32" s="29">
        <v>26</v>
      </c>
      <c r="B32" s="49" t="b">
        <f t="shared" ca="1" si="9"/>
        <v>1</v>
      </c>
      <c r="C32" s="60" t="s">
        <v>97</v>
      </c>
      <c r="D32" s="22" t="s">
        <v>77</v>
      </c>
      <c r="E32" s="62" t="s">
        <v>92</v>
      </c>
      <c r="F32" s="22">
        <v>1</v>
      </c>
      <c r="G32" s="22" t="s">
        <v>14</v>
      </c>
      <c r="H32" s="58">
        <f ca="1">IF($E32="IMM",_xll.meDateNthIMMFromStartDate(AsOf, $F32,$AC32,"MOD_FOLLOWING"),_xll.meDateFromTenor(AsOf,$F32&amp;"D","MOD_FOLLOWING",$AC32))</f>
        <v>43180</v>
      </c>
      <c r="I32" s="88" t="s">
        <v>29</v>
      </c>
      <c r="J32" s="23" t="s">
        <v>16</v>
      </c>
      <c r="K32" s="23" t="s">
        <v>47</v>
      </c>
      <c r="L32" s="23" t="s">
        <v>42</v>
      </c>
      <c r="M32" s="23" t="s">
        <v>98</v>
      </c>
      <c r="N32" s="23" t="s">
        <v>101</v>
      </c>
      <c r="O32" s="46" t="s">
        <v>48</v>
      </c>
      <c r="P32" s="37">
        <f t="shared" ca="1" si="0"/>
        <v>4</v>
      </c>
      <c r="Q32" s="38" t="str">
        <f t="shared" ca="1" si="13"/>
        <v>IMM1</v>
      </c>
      <c r="R32" s="57">
        <f ca="1">IF($I32="","",IF(ISNUMBER($I32),$I32,_xll.meDateFromTenor(H32,$I32,"MOD_FOLLOWING",VLOOKUP(LEFT($M32,3),DateConventions,3))))</f>
        <v>45006</v>
      </c>
      <c r="S32" s="38" t="b">
        <f t="shared" ca="1" si="10"/>
        <v>1</v>
      </c>
      <c r="T32" s="38" t="b">
        <f t="shared" ca="1" si="1"/>
        <v>1</v>
      </c>
      <c r="U32" s="38" t="b">
        <f t="shared" ca="1" si="2"/>
        <v>1</v>
      </c>
      <c r="V32" s="38" t="b">
        <f t="shared" ca="1" si="3"/>
        <v>1</v>
      </c>
      <c r="W32" s="39" t="b">
        <f t="shared" ca="1" si="4"/>
        <v>1</v>
      </c>
      <c r="X32" s="38" t="b">
        <f t="shared" ca="1" si="5"/>
        <v>1</v>
      </c>
      <c r="Y32" s="40" t="b">
        <f t="shared" ca="1" si="6"/>
        <v>1</v>
      </c>
      <c r="Z32" s="40" t="b">
        <f t="shared" ca="1" si="11"/>
        <v>1</v>
      </c>
      <c r="AA32" s="40" t="b">
        <f t="shared" ca="1" si="7"/>
        <v>1</v>
      </c>
      <c r="AB32" s="67" t="b">
        <f t="shared" ca="1" si="8"/>
        <v>1</v>
      </c>
      <c r="AC32" s="64" t="str">
        <f t="shared" ca="1" si="12"/>
        <v>NYB</v>
      </c>
    </row>
    <row r="33" spans="1:29" x14ac:dyDescent="0.25">
      <c r="A33" s="29">
        <v>27</v>
      </c>
      <c r="B33" s="49" t="b">
        <f t="shared" ca="1" si="9"/>
        <v>1</v>
      </c>
      <c r="C33" s="60" t="s">
        <v>97</v>
      </c>
      <c r="D33" s="22" t="s">
        <v>77</v>
      </c>
      <c r="E33" s="62" t="s">
        <v>92</v>
      </c>
      <c r="F33" s="22">
        <v>1</v>
      </c>
      <c r="G33" s="22" t="s">
        <v>14</v>
      </c>
      <c r="H33" s="58">
        <f ca="1">IF($E33="IMM",_xll.meDateNthIMMFromStartDate(AsOf, $F33,$AC33,"MOD_FOLLOWING"),_xll.meDateFromTenor(AsOf,$F33&amp;"D","MOD_FOLLOWING",$AC33))</f>
        <v>43180</v>
      </c>
      <c r="I33" s="88" t="s">
        <v>29</v>
      </c>
      <c r="J33" s="23" t="s">
        <v>16</v>
      </c>
      <c r="K33" s="23" t="s">
        <v>47</v>
      </c>
      <c r="L33" s="23" t="s">
        <v>42</v>
      </c>
      <c r="M33" s="23" t="s">
        <v>98</v>
      </c>
      <c r="N33" s="23" t="s">
        <v>101</v>
      </c>
      <c r="O33" s="46" t="s">
        <v>48</v>
      </c>
      <c r="P33" s="37">
        <f t="shared" ca="1" si="0"/>
        <v>4</v>
      </c>
      <c r="Q33" s="38" t="str">
        <f t="shared" ca="1" si="13"/>
        <v>IMM1</v>
      </c>
      <c r="R33" s="57">
        <f ca="1">IF($I33="","",IF(ISNUMBER($I33),$I33,_xll.meDateFromTenor(H33,$I33,"MOD_FOLLOWING",VLOOKUP(LEFT($M33,3),DateConventions,3))))</f>
        <v>45006</v>
      </c>
      <c r="S33" s="38" t="b">
        <f t="shared" ca="1" si="10"/>
        <v>1</v>
      </c>
      <c r="T33" s="38" t="b">
        <f t="shared" ca="1" si="1"/>
        <v>1</v>
      </c>
      <c r="U33" s="38" t="b">
        <f t="shared" ca="1" si="2"/>
        <v>1</v>
      </c>
      <c r="V33" s="38" t="b">
        <f t="shared" ca="1" si="3"/>
        <v>1</v>
      </c>
      <c r="W33" s="39" t="b">
        <f t="shared" ca="1" si="4"/>
        <v>1</v>
      </c>
      <c r="X33" s="38" t="b">
        <f t="shared" ca="1" si="5"/>
        <v>1</v>
      </c>
      <c r="Y33" s="40" t="b">
        <f t="shared" ca="1" si="6"/>
        <v>1</v>
      </c>
      <c r="Z33" s="40" t="b">
        <f t="shared" ca="1" si="11"/>
        <v>1</v>
      </c>
      <c r="AA33" s="40" t="b">
        <f t="shared" ca="1" si="7"/>
        <v>1</v>
      </c>
      <c r="AB33" s="67" t="b">
        <f t="shared" ca="1" si="8"/>
        <v>1</v>
      </c>
      <c r="AC33" s="64" t="str">
        <f t="shared" ca="1" si="12"/>
        <v>NYB</v>
      </c>
    </row>
    <row r="34" spans="1:29" x14ac:dyDescent="0.25">
      <c r="A34" s="29">
        <v>28</v>
      </c>
      <c r="B34" s="49" t="b">
        <f t="shared" ca="1" si="9"/>
        <v>1</v>
      </c>
      <c r="C34" s="60" t="s">
        <v>97</v>
      </c>
      <c r="D34" s="22" t="s">
        <v>77</v>
      </c>
      <c r="E34" s="62" t="s">
        <v>92</v>
      </c>
      <c r="F34" s="22">
        <v>1</v>
      </c>
      <c r="G34" s="22" t="s">
        <v>14</v>
      </c>
      <c r="H34" s="58">
        <f ca="1">IF($E34="IMM",_xll.meDateNthIMMFromStartDate(AsOf, $F34,$AC34,"MOD_FOLLOWING"),_xll.meDateFromTenor(AsOf,$F34&amp;"D","MOD_FOLLOWING",$AC34))</f>
        <v>43180</v>
      </c>
      <c r="I34" s="88" t="s">
        <v>29</v>
      </c>
      <c r="J34" s="23" t="s">
        <v>16</v>
      </c>
      <c r="K34" s="23" t="s">
        <v>47</v>
      </c>
      <c r="L34" s="23" t="s">
        <v>42</v>
      </c>
      <c r="M34" s="23" t="s">
        <v>98</v>
      </c>
      <c r="N34" s="23" t="s">
        <v>101</v>
      </c>
      <c r="O34" s="46" t="s">
        <v>48</v>
      </c>
      <c r="P34" s="37">
        <f t="shared" ca="1" si="0"/>
        <v>4</v>
      </c>
      <c r="Q34" s="38" t="str">
        <f t="shared" ca="1" si="13"/>
        <v>IMM1</v>
      </c>
      <c r="R34" s="57">
        <f ca="1">IF($I34="","",IF(ISNUMBER($I34),$I34,_xll.meDateFromTenor(H34,$I34,"MOD_FOLLOWING",VLOOKUP(LEFT($M34,3),DateConventions,3))))</f>
        <v>45006</v>
      </c>
      <c r="S34" s="38" t="b">
        <f t="shared" ca="1" si="10"/>
        <v>1</v>
      </c>
      <c r="T34" s="38" t="b">
        <f t="shared" ca="1" si="1"/>
        <v>1</v>
      </c>
      <c r="U34" s="38" t="b">
        <f t="shared" ca="1" si="2"/>
        <v>1</v>
      </c>
      <c r="V34" s="38" t="b">
        <f t="shared" ca="1" si="3"/>
        <v>1</v>
      </c>
      <c r="W34" s="39" t="b">
        <f t="shared" ca="1" si="4"/>
        <v>1</v>
      </c>
      <c r="X34" s="38" t="b">
        <f t="shared" ca="1" si="5"/>
        <v>1</v>
      </c>
      <c r="Y34" s="40" t="b">
        <f t="shared" ca="1" si="6"/>
        <v>1</v>
      </c>
      <c r="Z34" s="40" t="b">
        <f t="shared" ca="1" si="11"/>
        <v>1</v>
      </c>
      <c r="AA34" s="40" t="b">
        <f t="shared" ca="1" si="7"/>
        <v>1</v>
      </c>
      <c r="AB34" s="67" t="b">
        <f t="shared" ca="1" si="8"/>
        <v>1</v>
      </c>
      <c r="AC34" s="64" t="str">
        <f t="shared" ca="1" si="12"/>
        <v>NYB</v>
      </c>
    </row>
    <row r="35" spans="1:29" x14ac:dyDescent="0.25">
      <c r="A35" s="29">
        <v>29</v>
      </c>
      <c r="B35" s="49" t="b">
        <f t="shared" ca="1" si="9"/>
        <v>1</v>
      </c>
      <c r="C35" s="60" t="s">
        <v>97</v>
      </c>
      <c r="D35" s="22" t="s">
        <v>77</v>
      </c>
      <c r="E35" s="62" t="s">
        <v>92</v>
      </c>
      <c r="F35" s="22">
        <v>1</v>
      </c>
      <c r="G35" s="22" t="s">
        <v>14</v>
      </c>
      <c r="H35" s="58">
        <f ca="1">IF($E35="IMM",_xll.meDateNthIMMFromStartDate(AsOf, $F35,$AC35,"MOD_FOLLOWING"),_xll.meDateFromTenor(AsOf,$F35&amp;"D","MOD_FOLLOWING",$AC35))</f>
        <v>43180</v>
      </c>
      <c r="I35" s="88" t="s">
        <v>29</v>
      </c>
      <c r="J35" s="23" t="s">
        <v>16</v>
      </c>
      <c r="K35" s="23" t="s">
        <v>47</v>
      </c>
      <c r="L35" s="23" t="s">
        <v>42</v>
      </c>
      <c r="M35" s="23" t="s">
        <v>98</v>
      </c>
      <c r="N35" s="23" t="s">
        <v>101</v>
      </c>
      <c r="O35" s="46" t="s">
        <v>48</v>
      </c>
      <c r="P35" s="37">
        <f t="shared" ca="1" si="0"/>
        <v>4</v>
      </c>
      <c r="Q35" s="38" t="str">
        <f t="shared" ca="1" si="13"/>
        <v>IMM1</v>
      </c>
      <c r="R35" s="57">
        <f ca="1">IF($I35="","",IF(ISNUMBER($I35),$I35,_xll.meDateFromTenor(H35,$I35,"MOD_FOLLOWING",VLOOKUP(LEFT($M35,3),DateConventions,3))))</f>
        <v>45006</v>
      </c>
      <c r="S35" s="38" t="b">
        <f t="shared" ca="1" si="10"/>
        <v>1</v>
      </c>
      <c r="T35" s="38" t="b">
        <f t="shared" ca="1" si="1"/>
        <v>1</v>
      </c>
      <c r="U35" s="38" t="b">
        <f t="shared" ca="1" si="2"/>
        <v>1</v>
      </c>
      <c r="V35" s="38" t="b">
        <f t="shared" ca="1" si="3"/>
        <v>1</v>
      </c>
      <c r="W35" s="39" t="b">
        <f t="shared" ca="1" si="4"/>
        <v>1</v>
      </c>
      <c r="X35" s="38" t="b">
        <f t="shared" ca="1" si="5"/>
        <v>1</v>
      </c>
      <c r="Y35" s="40" t="b">
        <f t="shared" ca="1" si="6"/>
        <v>1</v>
      </c>
      <c r="Z35" s="40" t="b">
        <f t="shared" ca="1" si="11"/>
        <v>1</v>
      </c>
      <c r="AA35" s="40" t="b">
        <f t="shared" ca="1" si="7"/>
        <v>1</v>
      </c>
      <c r="AB35" s="67" t="b">
        <f t="shared" ca="1" si="8"/>
        <v>1</v>
      </c>
      <c r="AC35" s="64" t="str">
        <f t="shared" ca="1" si="12"/>
        <v>NYB</v>
      </c>
    </row>
    <row r="36" spans="1:29" x14ac:dyDescent="0.25">
      <c r="A36" s="29">
        <v>30</v>
      </c>
      <c r="B36" s="49" t="b">
        <f t="shared" ca="1" si="9"/>
        <v>1</v>
      </c>
      <c r="C36" s="60" t="s">
        <v>97</v>
      </c>
      <c r="D36" s="22" t="s">
        <v>77</v>
      </c>
      <c r="E36" s="62" t="s">
        <v>92</v>
      </c>
      <c r="F36" s="22">
        <v>1</v>
      </c>
      <c r="G36" s="22" t="s">
        <v>14</v>
      </c>
      <c r="H36" s="58">
        <f ca="1">IF($E36="IMM",_xll.meDateNthIMMFromStartDate(AsOf, $F36,$AC36,"MOD_FOLLOWING"),_xll.meDateFromTenor(AsOf,$F36&amp;"D","MOD_FOLLOWING",$AC36))</f>
        <v>43180</v>
      </c>
      <c r="I36" s="88" t="s">
        <v>29</v>
      </c>
      <c r="J36" s="23" t="s">
        <v>16</v>
      </c>
      <c r="K36" s="23" t="s">
        <v>47</v>
      </c>
      <c r="L36" s="23" t="s">
        <v>42</v>
      </c>
      <c r="M36" s="23" t="s">
        <v>98</v>
      </c>
      <c r="N36" s="23" t="s">
        <v>101</v>
      </c>
      <c r="O36" s="46" t="s">
        <v>48</v>
      </c>
      <c r="P36" s="37">
        <f t="shared" ca="1" si="0"/>
        <v>4</v>
      </c>
      <c r="Q36" s="38" t="str">
        <f t="shared" ca="1" si="13"/>
        <v>IMM1</v>
      </c>
      <c r="R36" s="57">
        <f ca="1">IF($I36="","",IF(ISNUMBER($I36),$I36,_xll.meDateFromTenor(H36,$I36,"MOD_FOLLOWING",VLOOKUP(LEFT($M36,3),DateConventions,3))))</f>
        <v>45006</v>
      </c>
      <c r="S36" s="38" t="b">
        <f t="shared" ca="1" si="10"/>
        <v>1</v>
      </c>
      <c r="T36" s="38" t="b">
        <f t="shared" ca="1" si="1"/>
        <v>1</v>
      </c>
      <c r="U36" s="38" t="b">
        <f t="shared" ca="1" si="2"/>
        <v>1</v>
      </c>
      <c r="V36" s="38" t="b">
        <f t="shared" ca="1" si="3"/>
        <v>1</v>
      </c>
      <c r="W36" s="39" t="b">
        <f t="shared" ca="1" si="4"/>
        <v>1</v>
      </c>
      <c r="X36" s="38" t="b">
        <f t="shared" ca="1" si="5"/>
        <v>1</v>
      </c>
      <c r="Y36" s="40" t="b">
        <f t="shared" ca="1" si="6"/>
        <v>1</v>
      </c>
      <c r="Z36" s="40" t="b">
        <f t="shared" ca="1" si="11"/>
        <v>1</v>
      </c>
      <c r="AA36" s="40" t="b">
        <f t="shared" ca="1" si="7"/>
        <v>1</v>
      </c>
      <c r="AB36" s="67" t="b">
        <f t="shared" ca="1" si="8"/>
        <v>1</v>
      </c>
      <c r="AC36" s="64" t="str">
        <f t="shared" ca="1" si="12"/>
        <v>NYB</v>
      </c>
    </row>
    <row r="37" spans="1:29" x14ac:dyDescent="0.25">
      <c r="A37" s="29">
        <v>31</v>
      </c>
      <c r="B37" s="49" t="b">
        <f t="shared" ca="1" si="9"/>
        <v>1</v>
      </c>
      <c r="C37" s="60" t="s">
        <v>97</v>
      </c>
      <c r="D37" s="22" t="s">
        <v>77</v>
      </c>
      <c r="E37" s="62" t="s">
        <v>92</v>
      </c>
      <c r="F37" s="22">
        <v>1</v>
      </c>
      <c r="G37" s="22" t="s">
        <v>14</v>
      </c>
      <c r="H37" s="58">
        <f ca="1">IF($E37="IMM",_xll.meDateNthIMMFromStartDate(AsOf, $F37,$AC37,"MOD_FOLLOWING"),_xll.meDateFromTenor(AsOf,$F37&amp;"D","MOD_FOLLOWING",$AC37))</f>
        <v>43180</v>
      </c>
      <c r="I37" s="88" t="s">
        <v>29</v>
      </c>
      <c r="J37" s="23" t="s">
        <v>16</v>
      </c>
      <c r="K37" s="23" t="s">
        <v>47</v>
      </c>
      <c r="L37" s="23" t="s">
        <v>42</v>
      </c>
      <c r="M37" s="23" t="s">
        <v>98</v>
      </c>
      <c r="N37" s="23" t="s">
        <v>101</v>
      </c>
      <c r="O37" s="46" t="s">
        <v>48</v>
      </c>
      <c r="P37" s="37">
        <f t="shared" ca="1" si="0"/>
        <v>4</v>
      </c>
      <c r="Q37" s="38" t="str">
        <f t="shared" ca="1" si="13"/>
        <v>IMM1</v>
      </c>
      <c r="R37" s="57">
        <f ca="1">IF($I37="","",IF(ISNUMBER($I37),$I37,_xll.meDateFromTenor(H37,$I37,"MOD_FOLLOWING",VLOOKUP(LEFT($M37,3),DateConventions,3))))</f>
        <v>45006</v>
      </c>
      <c r="S37" s="38" t="b">
        <f t="shared" ca="1" si="10"/>
        <v>1</v>
      </c>
      <c r="T37" s="38" t="b">
        <f t="shared" ca="1" si="1"/>
        <v>1</v>
      </c>
      <c r="U37" s="38" t="b">
        <f t="shared" ca="1" si="2"/>
        <v>1</v>
      </c>
      <c r="V37" s="38" t="b">
        <f t="shared" ca="1" si="3"/>
        <v>1</v>
      </c>
      <c r="W37" s="39" t="b">
        <f t="shared" ca="1" si="4"/>
        <v>1</v>
      </c>
      <c r="X37" s="38" t="b">
        <f t="shared" ca="1" si="5"/>
        <v>1</v>
      </c>
      <c r="Y37" s="40" t="b">
        <f t="shared" ca="1" si="6"/>
        <v>1</v>
      </c>
      <c r="Z37" s="40" t="b">
        <f t="shared" ca="1" si="11"/>
        <v>1</v>
      </c>
      <c r="AA37" s="40" t="b">
        <f t="shared" ca="1" si="7"/>
        <v>1</v>
      </c>
      <c r="AB37" s="67" t="b">
        <f t="shared" ca="1" si="8"/>
        <v>1</v>
      </c>
      <c r="AC37" s="64" t="str">
        <f t="shared" ca="1" si="12"/>
        <v>NYB</v>
      </c>
    </row>
    <row r="38" spans="1:29" x14ac:dyDescent="0.25">
      <c r="A38" s="29">
        <v>32</v>
      </c>
      <c r="B38" s="49" t="b">
        <f t="shared" ca="1" si="9"/>
        <v>1</v>
      </c>
      <c r="C38" s="60" t="s">
        <v>97</v>
      </c>
      <c r="D38" s="22" t="s">
        <v>77</v>
      </c>
      <c r="E38" s="62" t="s">
        <v>92</v>
      </c>
      <c r="F38" s="22">
        <v>1</v>
      </c>
      <c r="G38" s="22" t="s">
        <v>14</v>
      </c>
      <c r="H38" s="58">
        <f ca="1">IF($E38="IMM",_xll.meDateNthIMMFromStartDate(AsOf, $F38,$AC38,"MOD_FOLLOWING"),_xll.meDateFromTenor(AsOf,$F38&amp;"D","MOD_FOLLOWING",$AC38))</f>
        <v>43180</v>
      </c>
      <c r="I38" s="88" t="s">
        <v>29</v>
      </c>
      <c r="J38" s="23" t="s">
        <v>16</v>
      </c>
      <c r="K38" s="23" t="s">
        <v>47</v>
      </c>
      <c r="L38" s="23" t="s">
        <v>42</v>
      </c>
      <c r="M38" s="23" t="s">
        <v>98</v>
      </c>
      <c r="N38" s="23" t="s">
        <v>101</v>
      </c>
      <c r="O38" s="46" t="s">
        <v>48</v>
      </c>
      <c r="P38" s="37">
        <f t="shared" ca="1" si="0"/>
        <v>4</v>
      </c>
      <c r="Q38" s="38" t="str">
        <f t="shared" ca="1" si="13"/>
        <v>IMM1</v>
      </c>
      <c r="R38" s="57">
        <f ca="1">IF($I38="","",IF(ISNUMBER($I38),$I38,_xll.meDateFromTenor(H38,$I38,"MOD_FOLLOWING",VLOOKUP(LEFT($M38,3),DateConventions,3))))</f>
        <v>45006</v>
      </c>
      <c r="S38" s="38" t="b">
        <f t="shared" ca="1" si="10"/>
        <v>1</v>
      </c>
      <c r="T38" s="38" t="b">
        <f t="shared" ca="1" si="1"/>
        <v>1</v>
      </c>
      <c r="U38" s="38" t="b">
        <f t="shared" ca="1" si="2"/>
        <v>1</v>
      </c>
      <c r="V38" s="38" t="b">
        <f t="shared" ca="1" si="3"/>
        <v>1</v>
      </c>
      <c r="W38" s="39" t="b">
        <f t="shared" ca="1" si="4"/>
        <v>1</v>
      </c>
      <c r="X38" s="38" t="b">
        <f t="shared" ca="1" si="5"/>
        <v>1</v>
      </c>
      <c r="Y38" s="40" t="b">
        <f t="shared" ca="1" si="6"/>
        <v>1</v>
      </c>
      <c r="Z38" s="40" t="b">
        <f t="shared" ca="1" si="11"/>
        <v>1</v>
      </c>
      <c r="AA38" s="40" t="b">
        <f t="shared" ca="1" si="7"/>
        <v>1</v>
      </c>
      <c r="AB38" s="67" t="b">
        <f t="shared" ca="1" si="8"/>
        <v>1</v>
      </c>
      <c r="AC38" s="64" t="str">
        <f t="shared" ca="1" si="12"/>
        <v>NYB</v>
      </c>
    </row>
    <row r="39" spans="1:29" x14ac:dyDescent="0.25">
      <c r="A39" s="29">
        <v>33</v>
      </c>
      <c r="B39" s="49" t="b">
        <f t="shared" ca="1" si="9"/>
        <v>1</v>
      </c>
      <c r="C39" s="60" t="s">
        <v>97</v>
      </c>
      <c r="D39" s="22" t="s">
        <v>77</v>
      </c>
      <c r="E39" s="62" t="s">
        <v>92</v>
      </c>
      <c r="F39" s="22">
        <v>1</v>
      </c>
      <c r="G39" s="22" t="s">
        <v>14</v>
      </c>
      <c r="H39" s="58">
        <f ca="1">IF($E39="IMM",_xll.meDateNthIMMFromStartDate(AsOf, $F39,$AC39,"MOD_FOLLOWING"),_xll.meDateFromTenor(AsOf,$F39&amp;"D","MOD_FOLLOWING",$AC39))</f>
        <v>43180</v>
      </c>
      <c r="I39" s="88" t="s">
        <v>29</v>
      </c>
      <c r="J39" s="23" t="s">
        <v>16</v>
      </c>
      <c r="K39" s="23" t="s">
        <v>47</v>
      </c>
      <c r="L39" s="23" t="s">
        <v>42</v>
      </c>
      <c r="M39" s="23" t="s">
        <v>98</v>
      </c>
      <c r="N39" s="23" t="s">
        <v>101</v>
      </c>
      <c r="O39" s="46" t="s">
        <v>48</v>
      </c>
      <c r="P39" s="37">
        <f t="shared" ca="1" si="0"/>
        <v>4</v>
      </c>
      <c r="Q39" s="38" t="str">
        <f t="shared" ca="1" si="13"/>
        <v>IMM1</v>
      </c>
      <c r="R39" s="57">
        <f ca="1">IF($I39="","",IF(ISNUMBER($I39),$I39,_xll.meDateFromTenor(H39,$I39,"MOD_FOLLOWING",VLOOKUP(LEFT($M39,3),DateConventions,3))))</f>
        <v>45006</v>
      </c>
      <c r="S39" s="38" t="b">
        <f t="shared" ca="1" si="10"/>
        <v>1</v>
      </c>
      <c r="T39" s="38" t="b">
        <f t="shared" ca="1" si="1"/>
        <v>1</v>
      </c>
      <c r="U39" s="38" t="b">
        <f t="shared" ca="1" si="2"/>
        <v>1</v>
      </c>
      <c r="V39" s="38" t="b">
        <f t="shared" ca="1" si="3"/>
        <v>1</v>
      </c>
      <c r="W39" s="39" t="b">
        <f t="shared" ca="1" si="4"/>
        <v>1</v>
      </c>
      <c r="X39" s="38" t="b">
        <f t="shared" ca="1" si="5"/>
        <v>1</v>
      </c>
      <c r="Y39" s="40" t="b">
        <f t="shared" ca="1" si="6"/>
        <v>1</v>
      </c>
      <c r="Z39" s="40" t="b">
        <f t="shared" ca="1" si="11"/>
        <v>1</v>
      </c>
      <c r="AA39" s="40" t="b">
        <f t="shared" ca="1" si="7"/>
        <v>1</v>
      </c>
      <c r="AB39" s="67" t="b">
        <f t="shared" ca="1" si="8"/>
        <v>1</v>
      </c>
      <c r="AC39" s="64" t="str">
        <f t="shared" ca="1" si="12"/>
        <v>NYB</v>
      </c>
    </row>
    <row r="40" spans="1:29" x14ac:dyDescent="0.25">
      <c r="A40" s="29">
        <v>34</v>
      </c>
      <c r="B40" s="49" t="b">
        <f t="shared" ca="1" si="9"/>
        <v>1</v>
      </c>
      <c r="C40" s="60" t="s">
        <v>97</v>
      </c>
      <c r="D40" s="22" t="s">
        <v>77</v>
      </c>
      <c r="E40" s="62" t="s">
        <v>92</v>
      </c>
      <c r="F40" s="22">
        <v>1</v>
      </c>
      <c r="G40" s="22" t="s">
        <v>14</v>
      </c>
      <c r="H40" s="58">
        <f ca="1">IF($E40="IMM",_xll.meDateNthIMMFromStartDate(AsOf, $F40,$AC40,"MOD_FOLLOWING"),_xll.meDateFromTenor(AsOf,$F40&amp;"D","MOD_FOLLOWING",$AC40))</f>
        <v>43180</v>
      </c>
      <c r="I40" s="88" t="s">
        <v>29</v>
      </c>
      <c r="J40" s="23" t="s">
        <v>16</v>
      </c>
      <c r="K40" s="23" t="s">
        <v>47</v>
      </c>
      <c r="L40" s="23" t="s">
        <v>42</v>
      </c>
      <c r="M40" s="23" t="s">
        <v>98</v>
      </c>
      <c r="N40" s="23" t="s">
        <v>101</v>
      </c>
      <c r="O40" s="46" t="s">
        <v>48</v>
      </c>
      <c r="P40" s="37">
        <f t="shared" ca="1" si="0"/>
        <v>4</v>
      </c>
      <c r="Q40" s="38" t="str">
        <f t="shared" ca="1" si="13"/>
        <v>IMM1</v>
      </c>
      <c r="R40" s="57">
        <f ca="1">IF($I40="","",IF(ISNUMBER($I40),$I40,_xll.meDateFromTenor(H40,$I40,"MOD_FOLLOWING",VLOOKUP(LEFT($M40,3),DateConventions,3))))</f>
        <v>45006</v>
      </c>
      <c r="S40" s="38" t="b">
        <f t="shared" ca="1" si="10"/>
        <v>1</v>
      </c>
      <c r="T40" s="38" t="b">
        <f t="shared" ca="1" si="1"/>
        <v>1</v>
      </c>
      <c r="U40" s="38" t="b">
        <f t="shared" ca="1" si="2"/>
        <v>1</v>
      </c>
      <c r="V40" s="38" t="b">
        <f t="shared" ca="1" si="3"/>
        <v>1</v>
      </c>
      <c r="W40" s="39" t="b">
        <f t="shared" ca="1" si="4"/>
        <v>1</v>
      </c>
      <c r="X40" s="38" t="b">
        <f t="shared" ca="1" si="5"/>
        <v>1</v>
      </c>
      <c r="Y40" s="40" t="b">
        <f t="shared" ca="1" si="6"/>
        <v>1</v>
      </c>
      <c r="Z40" s="40" t="b">
        <f t="shared" ca="1" si="11"/>
        <v>1</v>
      </c>
      <c r="AA40" s="40" t="b">
        <f t="shared" ca="1" si="7"/>
        <v>1</v>
      </c>
      <c r="AB40" s="67" t="b">
        <f t="shared" ca="1" si="8"/>
        <v>1</v>
      </c>
      <c r="AC40" s="64" t="str">
        <f t="shared" ca="1" si="12"/>
        <v>NYB</v>
      </c>
    </row>
    <row r="41" spans="1:29" x14ac:dyDescent="0.25">
      <c r="A41" s="29">
        <v>35</v>
      </c>
      <c r="B41" s="49" t="b">
        <f t="shared" ca="1" si="9"/>
        <v>1</v>
      </c>
      <c r="C41" s="60" t="s">
        <v>97</v>
      </c>
      <c r="D41" s="22" t="s">
        <v>77</v>
      </c>
      <c r="E41" s="62" t="s">
        <v>92</v>
      </c>
      <c r="F41" s="22">
        <v>1</v>
      </c>
      <c r="G41" s="22" t="s">
        <v>14</v>
      </c>
      <c r="H41" s="58">
        <f ca="1">IF($E41="IMM",_xll.meDateNthIMMFromStartDate(AsOf, $F41,$AC41,"MOD_FOLLOWING"),_xll.meDateFromTenor(AsOf,$F41&amp;"D","MOD_FOLLOWING",$AC41))</f>
        <v>43180</v>
      </c>
      <c r="I41" s="88" t="s">
        <v>29</v>
      </c>
      <c r="J41" s="23" t="s">
        <v>16</v>
      </c>
      <c r="K41" s="23" t="s">
        <v>47</v>
      </c>
      <c r="L41" s="23" t="s">
        <v>42</v>
      </c>
      <c r="M41" s="23" t="s">
        <v>98</v>
      </c>
      <c r="N41" s="23" t="s">
        <v>101</v>
      </c>
      <c r="O41" s="46" t="s">
        <v>48</v>
      </c>
      <c r="P41" s="37">
        <f t="shared" ca="1" si="0"/>
        <v>4</v>
      </c>
      <c r="Q41" s="38" t="str">
        <f t="shared" ca="1" si="13"/>
        <v>IMM1</v>
      </c>
      <c r="R41" s="57">
        <f ca="1">IF($I41="","",IF(ISNUMBER($I41),$I41,_xll.meDateFromTenor(H41,$I41,"MOD_FOLLOWING",VLOOKUP(LEFT($M41,3),DateConventions,3))))</f>
        <v>45006</v>
      </c>
      <c r="S41" s="38" t="b">
        <f t="shared" ca="1" si="10"/>
        <v>1</v>
      </c>
      <c r="T41" s="38" t="b">
        <f t="shared" ca="1" si="1"/>
        <v>1</v>
      </c>
      <c r="U41" s="38" t="b">
        <f t="shared" ca="1" si="2"/>
        <v>1</v>
      </c>
      <c r="V41" s="38" t="b">
        <f t="shared" ca="1" si="3"/>
        <v>1</v>
      </c>
      <c r="W41" s="39" t="b">
        <f t="shared" ca="1" si="4"/>
        <v>1</v>
      </c>
      <c r="X41" s="38" t="b">
        <f t="shared" ca="1" si="5"/>
        <v>1</v>
      </c>
      <c r="Y41" s="40" t="b">
        <f t="shared" ca="1" si="6"/>
        <v>1</v>
      </c>
      <c r="Z41" s="40" t="b">
        <f t="shared" ca="1" si="11"/>
        <v>1</v>
      </c>
      <c r="AA41" s="40" t="b">
        <f t="shared" ca="1" si="7"/>
        <v>1</v>
      </c>
      <c r="AB41" s="67" t="b">
        <f t="shared" ca="1" si="8"/>
        <v>1</v>
      </c>
      <c r="AC41" s="64" t="str">
        <f t="shared" ca="1" si="12"/>
        <v>NYB</v>
      </c>
    </row>
    <row r="42" spans="1:29" x14ac:dyDescent="0.25">
      <c r="A42" s="29">
        <v>36</v>
      </c>
      <c r="B42" s="49" t="b">
        <f t="shared" ca="1" si="9"/>
        <v>1</v>
      </c>
      <c r="C42" s="60" t="s">
        <v>97</v>
      </c>
      <c r="D42" s="22" t="s">
        <v>77</v>
      </c>
      <c r="E42" s="62" t="s">
        <v>92</v>
      </c>
      <c r="F42" s="22">
        <v>1</v>
      </c>
      <c r="G42" s="22" t="s">
        <v>14</v>
      </c>
      <c r="H42" s="58">
        <f ca="1">IF($E42="IMM",_xll.meDateNthIMMFromStartDate(AsOf, $F42,$AC42,"MOD_FOLLOWING"),_xll.meDateFromTenor(AsOf,$F42&amp;"D","MOD_FOLLOWING",$AC42))</f>
        <v>43180</v>
      </c>
      <c r="I42" s="88" t="s">
        <v>29</v>
      </c>
      <c r="J42" s="23" t="s">
        <v>16</v>
      </c>
      <c r="K42" s="23" t="s">
        <v>47</v>
      </c>
      <c r="L42" s="23" t="s">
        <v>42</v>
      </c>
      <c r="M42" s="23" t="s">
        <v>98</v>
      </c>
      <c r="N42" s="23" t="s">
        <v>101</v>
      </c>
      <c r="O42" s="46" t="s">
        <v>48</v>
      </c>
      <c r="P42" s="37">
        <f t="shared" ca="1" si="0"/>
        <v>4</v>
      </c>
      <c r="Q42" s="38" t="str">
        <f t="shared" ca="1" si="13"/>
        <v>IMM1</v>
      </c>
      <c r="R42" s="57">
        <f ca="1">IF($I42="","",IF(ISNUMBER($I42),$I42,_xll.meDateFromTenor(H42,$I42,"MOD_FOLLOWING",VLOOKUP(LEFT($M42,3),DateConventions,3))))</f>
        <v>45006</v>
      </c>
      <c r="S42" s="38" t="b">
        <f t="shared" ca="1" si="10"/>
        <v>1</v>
      </c>
      <c r="T42" s="38" t="b">
        <f t="shared" ca="1" si="1"/>
        <v>1</v>
      </c>
      <c r="U42" s="38" t="b">
        <f t="shared" ca="1" si="2"/>
        <v>1</v>
      </c>
      <c r="V42" s="38" t="b">
        <f t="shared" ca="1" si="3"/>
        <v>1</v>
      </c>
      <c r="W42" s="39" t="b">
        <f t="shared" ca="1" si="4"/>
        <v>1</v>
      </c>
      <c r="X42" s="38" t="b">
        <f t="shared" ca="1" si="5"/>
        <v>1</v>
      </c>
      <c r="Y42" s="40" t="b">
        <f t="shared" ca="1" si="6"/>
        <v>1</v>
      </c>
      <c r="Z42" s="40" t="b">
        <f t="shared" ca="1" si="11"/>
        <v>1</v>
      </c>
      <c r="AA42" s="40" t="b">
        <f t="shared" ca="1" si="7"/>
        <v>1</v>
      </c>
      <c r="AB42" s="67" t="b">
        <f t="shared" ca="1" si="8"/>
        <v>1</v>
      </c>
      <c r="AC42" s="64" t="str">
        <f t="shared" ca="1" si="12"/>
        <v>NYB</v>
      </c>
    </row>
    <row r="43" spans="1:29" x14ac:dyDescent="0.25">
      <c r="A43" s="29">
        <v>37</v>
      </c>
      <c r="B43" s="49" t="b">
        <f t="shared" ca="1" si="9"/>
        <v>1</v>
      </c>
      <c r="C43" s="60" t="s">
        <v>97</v>
      </c>
      <c r="D43" s="22" t="s">
        <v>77</v>
      </c>
      <c r="E43" s="62" t="s">
        <v>92</v>
      </c>
      <c r="F43" s="22">
        <v>1</v>
      </c>
      <c r="G43" s="22" t="s">
        <v>14</v>
      </c>
      <c r="H43" s="58">
        <f ca="1">IF($E43="IMM",_xll.meDateNthIMMFromStartDate(AsOf, $F43,$AC43,"MOD_FOLLOWING"),_xll.meDateFromTenor(AsOf,$F43&amp;"D","MOD_FOLLOWING",$AC43))</f>
        <v>43180</v>
      </c>
      <c r="I43" s="88" t="s">
        <v>29</v>
      </c>
      <c r="J43" s="23" t="s">
        <v>16</v>
      </c>
      <c r="K43" s="23" t="s">
        <v>47</v>
      </c>
      <c r="L43" s="23" t="s">
        <v>42</v>
      </c>
      <c r="M43" s="23" t="s">
        <v>98</v>
      </c>
      <c r="N43" s="23" t="s">
        <v>101</v>
      </c>
      <c r="O43" s="46" t="s">
        <v>48</v>
      </c>
      <c r="P43" s="37">
        <f t="shared" ca="1" si="0"/>
        <v>4</v>
      </c>
      <c r="Q43" s="38" t="str">
        <f t="shared" ca="1" si="13"/>
        <v>IMM1</v>
      </c>
      <c r="R43" s="57">
        <f ca="1">IF($I43="","",IF(ISNUMBER($I43),$I43,_xll.meDateFromTenor(H43,$I43,"MOD_FOLLOWING",VLOOKUP(LEFT($M43,3),DateConventions,3))))</f>
        <v>45006</v>
      </c>
      <c r="S43" s="38" t="b">
        <f t="shared" ca="1" si="10"/>
        <v>1</v>
      </c>
      <c r="T43" s="38" t="b">
        <f t="shared" ca="1" si="1"/>
        <v>1</v>
      </c>
      <c r="U43" s="38" t="b">
        <f t="shared" ca="1" si="2"/>
        <v>1</v>
      </c>
      <c r="V43" s="38" t="b">
        <f t="shared" ca="1" si="3"/>
        <v>1</v>
      </c>
      <c r="W43" s="39" t="b">
        <f t="shared" ca="1" si="4"/>
        <v>1</v>
      </c>
      <c r="X43" s="38" t="b">
        <f t="shared" ca="1" si="5"/>
        <v>1</v>
      </c>
      <c r="Y43" s="40" t="b">
        <f t="shared" ca="1" si="6"/>
        <v>1</v>
      </c>
      <c r="Z43" s="40" t="b">
        <f t="shared" ca="1" si="11"/>
        <v>1</v>
      </c>
      <c r="AA43" s="40" t="b">
        <f t="shared" ca="1" si="7"/>
        <v>1</v>
      </c>
      <c r="AB43" s="67" t="b">
        <f t="shared" ca="1" si="8"/>
        <v>1</v>
      </c>
      <c r="AC43" s="64" t="str">
        <f t="shared" ca="1" si="12"/>
        <v>NYB</v>
      </c>
    </row>
    <row r="44" spans="1:29" x14ac:dyDescent="0.25">
      <c r="A44" s="29">
        <v>38</v>
      </c>
      <c r="B44" s="49" t="b">
        <f t="shared" ca="1" si="9"/>
        <v>1</v>
      </c>
      <c r="C44" s="60" t="s">
        <v>97</v>
      </c>
      <c r="D44" s="22" t="s">
        <v>77</v>
      </c>
      <c r="E44" s="62" t="s">
        <v>92</v>
      </c>
      <c r="F44" s="22">
        <v>1</v>
      </c>
      <c r="G44" s="22" t="s">
        <v>14</v>
      </c>
      <c r="H44" s="58">
        <f ca="1">IF($E44="IMM",_xll.meDateNthIMMFromStartDate(AsOf, $F44,$AC44,"MOD_FOLLOWING"),_xll.meDateFromTenor(AsOf,$F44&amp;"D","MOD_FOLLOWING",$AC44))</f>
        <v>43180</v>
      </c>
      <c r="I44" s="88" t="s">
        <v>29</v>
      </c>
      <c r="J44" s="23" t="s">
        <v>16</v>
      </c>
      <c r="K44" s="23" t="s">
        <v>47</v>
      </c>
      <c r="L44" s="23" t="s">
        <v>42</v>
      </c>
      <c r="M44" s="23" t="s">
        <v>98</v>
      </c>
      <c r="N44" s="23" t="s">
        <v>101</v>
      </c>
      <c r="O44" s="46" t="s">
        <v>48</v>
      </c>
      <c r="P44" s="37">
        <f t="shared" ca="1" si="0"/>
        <v>4</v>
      </c>
      <c r="Q44" s="38" t="str">
        <f t="shared" ca="1" si="13"/>
        <v>IMM1</v>
      </c>
      <c r="R44" s="57">
        <f ca="1">IF($I44="","",IF(ISNUMBER($I44),$I44,_xll.meDateFromTenor(H44,$I44,"MOD_FOLLOWING",VLOOKUP(LEFT($M44,3),DateConventions,3))))</f>
        <v>45006</v>
      </c>
      <c r="S44" s="38" t="b">
        <f t="shared" ca="1" si="10"/>
        <v>1</v>
      </c>
      <c r="T44" s="38" t="b">
        <f t="shared" ca="1" si="1"/>
        <v>1</v>
      </c>
      <c r="U44" s="38" t="b">
        <f t="shared" ca="1" si="2"/>
        <v>1</v>
      </c>
      <c r="V44" s="38" t="b">
        <f t="shared" ca="1" si="3"/>
        <v>1</v>
      </c>
      <c r="W44" s="39" t="b">
        <f t="shared" ca="1" si="4"/>
        <v>1</v>
      </c>
      <c r="X44" s="38" t="b">
        <f t="shared" ca="1" si="5"/>
        <v>1</v>
      </c>
      <c r="Y44" s="40" t="b">
        <f t="shared" ca="1" si="6"/>
        <v>1</v>
      </c>
      <c r="Z44" s="40" t="b">
        <f t="shared" ca="1" si="11"/>
        <v>1</v>
      </c>
      <c r="AA44" s="40" t="b">
        <f t="shared" ca="1" si="7"/>
        <v>1</v>
      </c>
      <c r="AB44" s="67" t="b">
        <f t="shared" ca="1" si="8"/>
        <v>1</v>
      </c>
      <c r="AC44" s="64" t="str">
        <f t="shared" ca="1" si="12"/>
        <v>NYB</v>
      </c>
    </row>
    <row r="45" spans="1:29" x14ac:dyDescent="0.25">
      <c r="A45" s="29">
        <v>39</v>
      </c>
      <c r="B45" s="49" t="b">
        <f t="shared" ca="1" si="9"/>
        <v>1</v>
      </c>
      <c r="C45" s="60" t="s">
        <v>97</v>
      </c>
      <c r="D45" s="22" t="s">
        <v>77</v>
      </c>
      <c r="E45" s="62" t="s">
        <v>92</v>
      </c>
      <c r="F45" s="22">
        <v>1</v>
      </c>
      <c r="G45" s="22" t="s">
        <v>14</v>
      </c>
      <c r="H45" s="58">
        <f ca="1">IF($E45="IMM",_xll.meDateNthIMMFromStartDate(AsOf, $F45,$AC45,"MOD_FOLLOWING"),_xll.meDateFromTenor(AsOf,$F45&amp;"D","MOD_FOLLOWING",$AC45))</f>
        <v>43180</v>
      </c>
      <c r="I45" s="88" t="s">
        <v>29</v>
      </c>
      <c r="J45" s="23" t="s">
        <v>16</v>
      </c>
      <c r="K45" s="23" t="s">
        <v>47</v>
      </c>
      <c r="L45" s="23" t="s">
        <v>42</v>
      </c>
      <c r="M45" s="23" t="s">
        <v>98</v>
      </c>
      <c r="N45" s="23" t="s">
        <v>101</v>
      </c>
      <c r="O45" s="46" t="s">
        <v>48</v>
      </c>
      <c r="P45" s="37">
        <f t="shared" ca="1" si="0"/>
        <v>4</v>
      </c>
      <c r="Q45" s="38" t="str">
        <f t="shared" ca="1" si="13"/>
        <v>IMM1</v>
      </c>
      <c r="R45" s="57">
        <f ca="1">IF($I45="","",IF(ISNUMBER($I45),$I45,_xll.meDateFromTenor(H45,$I45,"MOD_FOLLOWING",VLOOKUP(LEFT($M45,3),DateConventions,3))))</f>
        <v>45006</v>
      </c>
      <c r="S45" s="38" t="b">
        <f t="shared" ca="1" si="10"/>
        <v>1</v>
      </c>
      <c r="T45" s="38" t="b">
        <f t="shared" ca="1" si="1"/>
        <v>1</v>
      </c>
      <c r="U45" s="38" t="b">
        <f t="shared" ca="1" si="2"/>
        <v>1</v>
      </c>
      <c r="V45" s="38" t="b">
        <f t="shared" ca="1" si="3"/>
        <v>1</v>
      </c>
      <c r="W45" s="39" t="b">
        <f t="shared" ca="1" si="4"/>
        <v>1</v>
      </c>
      <c r="X45" s="38" t="b">
        <f t="shared" ca="1" si="5"/>
        <v>1</v>
      </c>
      <c r="Y45" s="40" t="b">
        <f t="shared" ca="1" si="6"/>
        <v>1</v>
      </c>
      <c r="Z45" s="40" t="b">
        <f t="shared" ca="1" si="11"/>
        <v>1</v>
      </c>
      <c r="AA45" s="40" t="b">
        <f t="shared" ca="1" si="7"/>
        <v>1</v>
      </c>
      <c r="AB45" s="67" t="b">
        <f t="shared" ca="1" si="8"/>
        <v>1</v>
      </c>
      <c r="AC45" s="64" t="str">
        <f t="shared" ca="1" si="12"/>
        <v>NYB</v>
      </c>
    </row>
    <row r="46" spans="1:29" x14ac:dyDescent="0.25">
      <c r="A46" s="29">
        <v>40</v>
      </c>
      <c r="B46" s="49" t="b">
        <f t="shared" ca="1" si="9"/>
        <v>1</v>
      </c>
      <c r="C46" s="60" t="s">
        <v>97</v>
      </c>
      <c r="D46" s="22" t="s">
        <v>77</v>
      </c>
      <c r="E46" s="62" t="s">
        <v>92</v>
      </c>
      <c r="F46" s="22">
        <v>1</v>
      </c>
      <c r="G46" s="22" t="s">
        <v>14</v>
      </c>
      <c r="H46" s="58">
        <f ca="1">IF($E46="IMM",_xll.meDateNthIMMFromStartDate(AsOf, $F46,$AC46,"MOD_FOLLOWING"),_xll.meDateFromTenor(AsOf,$F46&amp;"D","MOD_FOLLOWING",$AC46))</f>
        <v>43180</v>
      </c>
      <c r="I46" s="88" t="s">
        <v>29</v>
      </c>
      <c r="J46" s="23" t="s">
        <v>16</v>
      </c>
      <c r="K46" s="23" t="s">
        <v>47</v>
      </c>
      <c r="L46" s="23" t="s">
        <v>42</v>
      </c>
      <c r="M46" s="23" t="s">
        <v>98</v>
      </c>
      <c r="N46" s="23" t="s">
        <v>101</v>
      </c>
      <c r="O46" s="46" t="s">
        <v>48</v>
      </c>
      <c r="P46" s="37">
        <f t="shared" ca="1" si="0"/>
        <v>4</v>
      </c>
      <c r="Q46" s="38" t="str">
        <f t="shared" ca="1" si="13"/>
        <v>IMM1</v>
      </c>
      <c r="R46" s="57">
        <f ca="1">IF($I46="","",IF(ISNUMBER($I46),$I46,_xll.meDateFromTenor(H46,$I46,"MOD_FOLLOWING",VLOOKUP(LEFT($M46,3),DateConventions,3))))</f>
        <v>45006</v>
      </c>
      <c r="S46" s="38" t="b">
        <f t="shared" ca="1" si="10"/>
        <v>1</v>
      </c>
      <c r="T46" s="38" t="b">
        <f t="shared" ca="1" si="1"/>
        <v>1</v>
      </c>
      <c r="U46" s="38" t="b">
        <f t="shared" ca="1" si="2"/>
        <v>1</v>
      </c>
      <c r="V46" s="38" t="b">
        <f t="shared" ca="1" si="3"/>
        <v>1</v>
      </c>
      <c r="W46" s="39" t="b">
        <f t="shared" ca="1" si="4"/>
        <v>1</v>
      </c>
      <c r="X46" s="38" t="b">
        <f t="shared" ca="1" si="5"/>
        <v>1</v>
      </c>
      <c r="Y46" s="40" t="b">
        <f t="shared" ca="1" si="6"/>
        <v>1</v>
      </c>
      <c r="Z46" s="40" t="b">
        <f t="shared" ca="1" si="11"/>
        <v>1</v>
      </c>
      <c r="AA46" s="40" t="b">
        <f t="shared" ca="1" si="7"/>
        <v>1</v>
      </c>
      <c r="AB46" s="67" t="b">
        <f t="shared" ca="1" si="8"/>
        <v>1</v>
      </c>
      <c r="AC46" s="64" t="str">
        <f t="shared" ca="1" si="12"/>
        <v>NYB</v>
      </c>
    </row>
    <row r="47" spans="1:29" x14ac:dyDescent="0.25">
      <c r="A47" s="29">
        <v>41</v>
      </c>
      <c r="B47" s="49" t="b">
        <f t="shared" ca="1" si="9"/>
        <v>1</v>
      </c>
      <c r="C47" s="60" t="s">
        <v>97</v>
      </c>
      <c r="D47" s="22" t="s">
        <v>77</v>
      </c>
      <c r="E47" s="62" t="s">
        <v>92</v>
      </c>
      <c r="F47" s="22">
        <v>1</v>
      </c>
      <c r="G47" s="22" t="s">
        <v>14</v>
      </c>
      <c r="H47" s="58">
        <f ca="1">IF($E47="IMM",_xll.meDateNthIMMFromStartDate(AsOf, $F47,$AC47,"MOD_FOLLOWING"),_xll.meDateFromTenor(AsOf,$F47&amp;"D","MOD_FOLLOWING",$AC47))</f>
        <v>43180</v>
      </c>
      <c r="I47" s="88" t="s">
        <v>29</v>
      </c>
      <c r="J47" s="23" t="s">
        <v>16</v>
      </c>
      <c r="K47" s="23" t="s">
        <v>47</v>
      </c>
      <c r="L47" s="23" t="s">
        <v>42</v>
      </c>
      <c r="M47" s="23" t="s">
        <v>98</v>
      </c>
      <c r="N47" s="23" t="s">
        <v>101</v>
      </c>
      <c r="O47" s="46" t="s">
        <v>48</v>
      </c>
      <c r="P47" s="37">
        <f t="shared" ca="1" si="0"/>
        <v>4</v>
      </c>
      <c r="Q47" s="38" t="str">
        <f t="shared" ca="1" si="13"/>
        <v>IMM1</v>
      </c>
      <c r="R47" s="57">
        <f ca="1">IF($I47="","",IF(ISNUMBER($I47),$I47,_xll.meDateFromTenor(H47,$I47,"MOD_FOLLOWING",VLOOKUP(LEFT($M47,3),DateConventions,3))))</f>
        <v>45006</v>
      </c>
      <c r="S47" s="38" t="b">
        <f t="shared" ca="1" si="10"/>
        <v>1</v>
      </c>
      <c r="T47" s="38" t="b">
        <f t="shared" ca="1" si="1"/>
        <v>1</v>
      </c>
      <c r="U47" s="38" t="b">
        <f t="shared" ca="1" si="2"/>
        <v>1</v>
      </c>
      <c r="V47" s="38" t="b">
        <f t="shared" ca="1" si="3"/>
        <v>1</v>
      </c>
      <c r="W47" s="39" t="b">
        <f t="shared" ca="1" si="4"/>
        <v>1</v>
      </c>
      <c r="X47" s="38" t="b">
        <f t="shared" ca="1" si="5"/>
        <v>1</v>
      </c>
      <c r="Y47" s="40" t="b">
        <f t="shared" ca="1" si="6"/>
        <v>1</v>
      </c>
      <c r="Z47" s="40" t="b">
        <f t="shared" ca="1" si="11"/>
        <v>1</v>
      </c>
      <c r="AA47" s="40" t="b">
        <f t="shared" ca="1" si="7"/>
        <v>1</v>
      </c>
      <c r="AB47" s="67" t="b">
        <f t="shared" ca="1" si="8"/>
        <v>1</v>
      </c>
      <c r="AC47" s="64" t="str">
        <f t="shared" ca="1" si="12"/>
        <v>NYB</v>
      </c>
    </row>
    <row r="48" spans="1:29" x14ac:dyDescent="0.25">
      <c r="A48" s="29">
        <v>42</v>
      </c>
      <c r="B48" s="50" t="b">
        <f t="shared" ca="1" si="9"/>
        <v>1</v>
      </c>
      <c r="C48" s="72" t="s">
        <v>97</v>
      </c>
      <c r="D48" s="73" t="s">
        <v>77</v>
      </c>
      <c r="E48" s="74" t="s">
        <v>92</v>
      </c>
      <c r="F48" s="99">
        <v>1</v>
      </c>
      <c r="G48" s="99" t="s">
        <v>14</v>
      </c>
      <c r="H48" s="117">
        <f ca="1">IF($E48="IMM",_xll.meDateNthIMMFromStartDate(AsOf, $F48,$AC48,"MOD_FOLLOWING"),_xll.meDateFromTenor(AsOf,$F48&amp;"D","MOD_FOLLOWING",$AC48))</f>
        <v>43180</v>
      </c>
      <c r="I48" s="90" t="s">
        <v>29</v>
      </c>
      <c r="J48" s="77" t="s">
        <v>16</v>
      </c>
      <c r="K48" s="77" t="s">
        <v>47</v>
      </c>
      <c r="L48" s="77" t="s">
        <v>42</v>
      </c>
      <c r="M48" s="77" t="s">
        <v>98</v>
      </c>
      <c r="N48" s="77" t="s">
        <v>101</v>
      </c>
      <c r="O48" s="78" t="s">
        <v>48</v>
      </c>
      <c r="P48" s="41">
        <f t="shared" ca="1" si="0"/>
        <v>4</v>
      </c>
      <c r="Q48" s="38" t="str">
        <f t="shared" ca="1" si="13"/>
        <v>IMM1</v>
      </c>
      <c r="R48" s="57">
        <f ca="1">IF($I48="","",IF(ISNUMBER($I48),$I48,_xll.meDateFromTenor(H48,$I48,"MOD_FOLLOWING",VLOOKUP(LEFT($M48,3),DateConventions,3))))</f>
        <v>45006</v>
      </c>
      <c r="S48" s="38" t="b">
        <f t="shared" ca="1" si="10"/>
        <v>1</v>
      </c>
      <c r="T48" s="42" t="b">
        <f t="shared" ca="1" si="1"/>
        <v>1</v>
      </c>
      <c r="U48" s="42" t="b">
        <f t="shared" ca="1" si="2"/>
        <v>1</v>
      </c>
      <c r="V48" s="38" t="b">
        <f t="shared" ca="1" si="3"/>
        <v>1</v>
      </c>
      <c r="W48" s="39" t="b">
        <f t="shared" ca="1" si="4"/>
        <v>1</v>
      </c>
      <c r="X48" s="42" t="b">
        <f t="shared" ca="1" si="5"/>
        <v>1</v>
      </c>
      <c r="Y48" s="43" t="b">
        <f t="shared" ca="1" si="6"/>
        <v>1</v>
      </c>
      <c r="Z48" s="43" t="b">
        <f t="shared" ca="1" si="11"/>
        <v>1</v>
      </c>
      <c r="AA48" s="43" t="b">
        <f t="shared" ca="1" si="7"/>
        <v>1</v>
      </c>
      <c r="AB48" s="68" t="b">
        <f t="shared" ca="1" si="8"/>
        <v>1</v>
      </c>
      <c r="AC48" s="65" t="str">
        <f t="shared" ca="1" si="12"/>
        <v>NYB</v>
      </c>
    </row>
    <row r="49" spans="3:26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3:26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3:26" ht="15.75" outlineLevel="1" thickBot="1" x14ac:dyDescent="0.3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3:26" ht="15.75" outlineLevel="1" thickBot="1" x14ac:dyDescent="0.3">
      <c r="C52" s="128" t="s">
        <v>0</v>
      </c>
      <c r="D52" s="128" t="s">
        <v>1</v>
      </c>
      <c r="E52" s="128" t="s">
        <v>2</v>
      </c>
      <c r="F52" s="84"/>
      <c r="G52" s="128" t="s">
        <v>3</v>
      </c>
      <c r="H52" s="128" t="s">
        <v>4</v>
      </c>
      <c r="I52" s="128" t="s">
        <v>5</v>
      </c>
      <c r="J52" s="130" t="s">
        <v>6</v>
      </c>
      <c r="K52" s="131"/>
      <c r="L52" s="130" t="s">
        <v>7</v>
      </c>
      <c r="M52" s="132"/>
      <c r="N52" s="131"/>
      <c r="Y52" s="5"/>
      <c r="Z52" s="5"/>
    </row>
    <row r="53" spans="3:26" ht="26.25" outlineLevel="1" thickBot="1" x14ac:dyDescent="0.3">
      <c r="C53" s="129"/>
      <c r="D53" s="129"/>
      <c r="E53" s="129"/>
      <c r="F53" s="85"/>
      <c r="G53" s="129"/>
      <c r="H53" s="129"/>
      <c r="I53" s="129"/>
      <c r="J53" s="1" t="s">
        <v>8</v>
      </c>
      <c r="K53" s="1" t="s">
        <v>9</v>
      </c>
      <c r="L53" s="1" t="s">
        <v>10</v>
      </c>
      <c r="M53" s="1" t="s">
        <v>11</v>
      </c>
      <c r="N53" s="1" t="s">
        <v>9</v>
      </c>
      <c r="Y53" s="9"/>
    </row>
    <row r="54" spans="3:26" ht="26.25" outlineLevel="1" thickBot="1" x14ac:dyDescent="0.3">
      <c r="C54" s="85" t="s">
        <v>12</v>
      </c>
      <c r="D54" s="4" t="s">
        <v>13</v>
      </c>
      <c r="E54" s="11" t="s">
        <v>68</v>
      </c>
      <c r="F54" s="11"/>
      <c r="G54" s="4" t="s">
        <v>14</v>
      </c>
      <c r="H54" s="4" t="s">
        <v>15</v>
      </c>
      <c r="I54" s="4" t="s">
        <v>16</v>
      </c>
      <c r="J54" s="4" t="s">
        <v>49</v>
      </c>
      <c r="K54" s="4" t="s">
        <v>59</v>
      </c>
      <c r="L54" s="11" t="s">
        <v>61</v>
      </c>
      <c r="M54" s="4" t="s">
        <v>51</v>
      </c>
      <c r="N54" s="4" t="s">
        <v>57</v>
      </c>
      <c r="Y54" s="9"/>
    </row>
    <row r="55" spans="3:26" ht="26.25" outlineLevel="1" thickBot="1" x14ac:dyDescent="0.3">
      <c r="C55" s="85" t="s">
        <v>12</v>
      </c>
      <c r="D55" s="4" t="s">
        <v>13</v>
      </c>
      <c r="E55" s="11" t="s">
        <v>68</v>
      </c>
      <c r="F55" s="11"/>
      <c r="G55" s="4" t="s">
        <v>14</v>
      </c>
      <c r="H55" s="4" t="s">
        <v>17</v>
      </c>
      <c r="I55" s="4" t="s">
        <v>16</v>
      </c>
      <c r="J55" s="4" t="s">
        <v>49</v>
      </c>
      <c r="K55" s="4" t="s">
        <v>59</v>
      </c>
      <c r="L55" s="11" t="s">
        <v>62</v>
      </c>
      <c r="M55" s="4" t="s">
        <v>52</v>
      </c>
      <c r="N55" s="4" t="s">
        <v>57</v>
      </c>
      <c r="Y55" s="9"/>
    </row>
    <row r="56" spans="3:26" ht="26.25" outlineLevel="1" thickBot="1" x14ac:dyDescent="0.3">
      <c r="C56" s="85" t="s">
        <v>18</v>
      </c>
      <c r="D56" s="4" t="s">
        <v>19</v>
      </c>
      <c r="E56" s="11" t="s">
        <v>68</v>
      </c>
      <c r="F56" s="11"/>
      <c r="G56" s="4" t="s">
        <v>14</v>
      </c>
      <c r="H56" s="4" t="s">
        <v>20</v>
      </c>
      <c r="I56" s="4" t="s">
        <v>16</v>
      </c>
      <c r="J56" s="4" t="s">
        <v>49</v>
      </c>
      <c r="K56" s="4" t="s">
        <v>59</v>
      </c>
      <c r="L56" s="11" t="s">
        <v>63</v>
      </c>
      <c r="M56" s="4" t="s">
        <v>52</v>
      </c>
      <c r="N56" s="4" t="s">
        <v>57</v>
      </c>
      <c r="Y56" s="9"/>
    </row>
    <row r="57" spans="3:26" ht="26.25" outlineLevel="1" thickBot="1" x14ac:dyDescent="0.3">
      <c r="C57" s="85" t="s">
        <v>18</v>
      </c>
      <c r="D57" s="4" t="s">
        <v>19</v>
      </c>
      <c r="E57" s="11" t="s">
        <v>21</v>
      </c>
      <c r="F57" s="11"/>
      <c r="G57" s="4" t="s">
        <v>14</v>
      </c>
      <c r="H57" s="4" t="s">
        <v>22</v>
      </c>
      <c r="I57" s="4" t="s">
        <v>16</v>
      </c>
      <c r="J57" s="4" t="s">
        <v>49</v>
      </c>
      <c r="K57" s="4" t="s">
        <v>59</v>
      </c>
      <c r="L57" s="11" t="s">
        <v>98</v>
      </c>
      <c r="M57" s="4" t="s">
        <v>52</v>
      </c>
      <c r="N57" s="4" t="s">
        <v>57</v>
      </c>
      <c r="Y57" s="9"/>
    </row>
    <row r="58" spans="3:26" ht="26.25" outlineLevel="1" thickBot="1" x14ac:dyDescent="0.3">
      <c r="C58" s="85" t="s">
        <v>23</v>
      </c>
      <c r="D58" s="4" t="s">
        <v>19</v>
      </c>
      <c r="E58" s="11" t="s">
        <v>68</v>
      </c>
      <c r="F58" s="11"/>
      <c r="G58" s="4" t="s">
        <v>14</v>
      </c>
      <c r="H58" s="4" t="s">
        <v>20</v>
      </c>
      <c r="I58" s="4" t="s">
        <v>16</v>
      </c>
      <c r="J58" s="4" t="s">
        <v>49</v>
      </c>
      <c r="K58" s="4" t="s">
        <v>59</v>
      </c>
      <c r="L58" s="11" t="s">
        <v>64</v>
      </c>
      <c r="M58" s="4" t="s">
        <v>50</v>
      </c>
      <c r="N58" s="4" t="s">
        <v>57</v>
      </c>
      <c r="Y58" s="9"/>
    </row>
    <row r="59" spans="3:26" ht="26.25" outlineLevel="1" thickBot="1" x14ac:dyDescent="0.3">
      <c r="C59" s="85" t="s">
        <v>23</v>
      </c>
      <c r="D59" s="4" t="s">
        <v>19</v>
      </c>
      <c r="E59" s="11" t="s">
        <v>21</v>
      </c>
      <c r="F59" s="11"/>
      <c r="G59" s="4" t="s">
        <v>14</v>
      </c>
      <c r="H59" s="4" t="s">
        <v>22</v>
      </c>
      <c r="I59" s="4" t="s">
        <v>16</v>
      </c>
      <c r="J59" s="4" t="s">
        <v>49</v>
      </c>
      <c r="K59" s="4" t="s">
        <v>59</v>
      </c>
      <c r="L59" s="11" t="s">
        <v>99</v>
      </c>
      <c r="M59" s="4" t="s">
        <v>50</v>
      </c>
      <c r="N59" s="4" t="s">
        <v>57</v>
      </c>
      <c r="Y59" s="9"/>
    </row>
    <row r="60" spans="3:26" ht="26.25" outlineLevel="1" thickBot="1" x14ac:dyDescent="0.3">
      <c r="C60" s="85" t="s">
        <v>24</v>
      </c>
      <c r="D60" s="4" t="s">
        <v>25</v>
      </c>
      <c r="E60" s="11" t="s">
        <v>69</v>
      </c>
      <c r="F60" s="11"/>
      <c r="G60" s="4" t="s">
        <v>14</v>
      </c>
      <c r="H60" s="4" t="s">
        <v>17</v>
      </c>
      <c r="I60" s="4" t="s">
        <v>16</v>
      </c>
      <c r="J60" s="4" t="s">
        <v>50</v>
      </c>
      <c r="K60" s="4" t="s">
        <v>58</v>
      </c>
      <c r="L60" s="11" t="s">
        <v>65</v>
      </c>
      <c r="M60" s="4" t="s">
        <v>51</v>
      </c>
      <c r="N60" s="4" t="s">
        <v>58</v>
      </c>
      <c r="Y60" s="9"/>
    </row>
    <row r="61" spans="3:26" ht="26.25" customHeight="1" outlineLevel="1" thickBot="1" x14ac:dyDescent="0.3">
      <c r="C61" s="85" t="s">
        <v>24</v>
      </c>
      <c r="D61" s="4" t="s">
        <v>25</v>
      </c>
      <c r="E61" s="11" t="s">
        <v>69</v>
      </c>
      <c r="F61" s="11"/>
      <c r="G61" s="4" t="s">
        <v>14</v>
      </c>
      <c r="H61" s="4" t="s">
        <v>17</v>
      </c>
      <c r="I61" s="4" t="s">
        <v>16</v>
      </c>
      <c r="J61" s="4" t="s">
        <v>50</v>
      </c>
      <c r="K61" s="4" t="s">
        <v>58</v>
      </c>
      <c r="L61" s="11" t="s">
        <v>66</v>
      </c>
      <c r="M61" s="4" t="s">
        <v>52</v>
      </c>
      <c r="N61" s="4" t="s">
        <v>58</v>
      </c>
      <c r="Y61" s="9"/>
    </row>
    <row r="62" spans="3:26" outlineLevel="1" x14ac:dyDescent="0.25">
      <c r="Y62" s="9"/>
    </row>
    <row r="63" spans="3:26" outlineLevel="1" x14ac:dyDescent="0.25">
      <c r="Y63" s="9"/>
    </row>
    <row r="64" spans="3:26" ht="15.75" outlineLevel="1" thickBot="1" x14ac:dyDescent="0.3">
      <c r="C64" s="11" t="s">
        <v>61</v>
      </c>
      <c r="K64" s="5"/>
      <c r="Y64" s="9"/>
    </row>
    <row r="65" spans="2:25" ht="25.5" outlineLevel="1" x14ac:dyDescent="0.25">
      <c r="B65" s="5" t="s">
        <v>90</v>
      </c>
      <c r="C65" s="6" t="s">
        <v>40</v>
      </c>
      <c r="D65" s="6" t="s">
        <v>39</v>
      </c>
      <c r="E65" s="5" t="s">
        <v>45</v>
      </c>
      <c r="F65" s="5" t="s">
        <v>46</v>
      </c>
      <c r="H65" s="2"/>
      <c r="K65" t="s">
        <v>73</v>
      </c>
      <c r="L65" t="s">
        <v>74</v>
      </c>
      <c r="M65" t="s">
        <v>75</v>
      </c>
      <c r="Y65" s="9"/>
    </row>
    <row r="66" spans="2:25" outlineLevel="1" x14ac:dyDescent="0.25">
      <c r="B66" s="7">
        <f ca="1">_xll.meDateFromTenor(AsOf,"2D","MOD_FOLLOWING","TGT")</f>
        <v>43091</v>
      </c>
      <c r="C66" s="2" t="s">
        <v>26</v>
      </c>
      <c r="D66" s="7">
        <f ca="1">_xll.meDateFromTenor($B$66,C66,"MOD_FOLLOWING","TGT")</f>
        <v>43822</v>
      </c>
      <c r="E66" s="133">
        <f ca="1">_xll.meDateFromTenor($D66,"-5D","MOD_FOLLOWING","TGT")</f>
        <v>43815</v>
      </c>
      <c r="F66" s="133">
        <f ca="1">_xll.meDateFromTenor($D66,"5D","MOD_FOLLOWING","TGT")</f>
        <v>43832</v>
      </c>
      <c r="K66" s="13" t="s">
        <v>72</v>
      </c>
      <c r="L66" s="14" t="s">
        <v>78</v>
      </c>
      <c r="M66" s="15" t="s">
        <v>79</v>
      </c>
    </row>
    <row r="67" spans="2:25" outlineLevel="1" x14ac:dyDescent="0.25">
      <c r="C67" s="2" t="s">
        <v>27</v>
      </c>
      <c r="D67" s="7">
        <f ca="1">_xll.meDateFromTenor($B$66,C67,"MOD_FOLLOWING","TGT")</f>
        <v>44187</v>
      </c>
      <c r="E67" s="133">
        <f ca="1">_xll.meDateFromTenor($D67,"-5D","MOD_FOLLOWING","TGT")</f>
        <v>44180</v>
      </c>
      <c r="F67" s="133">
        <f ca="1">_xll.meDateFromTenor($D67,"5D","MOD_FOLLOWING","TGT")</f>
        <v>44195</v>
      </c>
      <c r="H67" s="7"/>
      <c r="K67" s="16" t="s">
        <v>76</v>
      </c>
      <c r="L67" s="17" t="s">
        <v>78</v>
      </c>
      <c r="M67" s="18" t="s">
        <v>80</v>
      </c>
    </row>
    <row r="68" spans="2:25" outlineLevel="1" x14ac:dyDescent="0.25">
      <c r="C68" s="2" t="s">
        <v>28</v>
      </c>
      <c r="D68" s="7">
        <f ca="1">_xll.meDateFromTenor($B$66,C68,"MOD_FOLLOWING","TGT")</f>
        <v>44552</v>
      </c>
      <c r="E68" s="133">
        <f ca="1">_xll.meDateFromTenor($D68,"-5D","MOD_FOLLOWING","TGT")</f>
        <v>44545</v>
      </c>
      <c r="F68" s="133">
        <f ca="1">_xll.meDateFromTenor($D68,"5D","MOD_FOLLOWING","TGT")</f>
        <v>44559</v>
      </c>
      <c r="H68" s="7"/>
      <c r="K68" s="19" t="s">
        <v>77</v>
      </c>
      <c r="L68" s="20" t="s">
        <v>78</v>
      </c>
      <c r="M68" s="21" t="s">
        <v>81</v>
      </c>
    </row>
    <row r="69" spans="2:25" outlineLevel="1" x14ac:dyDescent="0.25">
      <c r="C69" s="2" t="s">
        <v>29</v>
      </c>
      <c r="D69" s="7">
        <f ca="1">_xll.meDateFromTenor($B$66,C69,"MOD_FOLLOWING","TGT")</f>
        <v>44917</v>
      </c>
      <c r="E69" s="133">
        <f ca="1">_xll.meDateFromTenor($D69,"-5D","MOD_FOLLOWING","TGT")</f>
        <v>44910</v>
      </c>
      <c r="F69" s="133">
        <f ca="1">_xll.meDateFromTenor($D69,"5D","MOD_FOLLOWING","TGT")</f>
        <v>44925</v>
      </c>
      <c r="H69" s="7"/>
    </row>
    <row r="70" spans="2:25" outlineLevel="1" x14ac:dyDescent="0.25">
      <c r="C70" s="2" t="s">
        <v>30</v>
      </c>
      <c r="D70" s="7">
        <f ca="1">_xll.meDateFromTenor($B$66,C70,"MOD_FOLLOWING","TGT")</f>
        <v>45282</v>
      </c>
      <c r="E70" s="133">
        <f ca="1">_xll.meDateFromTenor($D70,"-5D","MOD_FOLLOWING","TGT")</f>
        <v>45275</v>
      </c>
      <c r="F70" s="133">
        <f ca="1">_xll.meDateFromTenor($D70,"5D","MOD_FOLLOWING","TGT")</f>
        <v>45294</v>
      </c>
      <c r="H70" s="7"/>
    </row>
    <row r="71" spans="2:25" outlineLevel="1" x14ac:dyDescent="0.25">
      <c r="C71" s="2" t="s">
        <v>31</v>
      </c>
      <c r="D71" s="7">
        <f ca="1">_xll.meDateFromTenor($B$66,C71,"MOD_FOLLOWING","TGT")</f>
        <v>45649</v>
      </c>
      <c r="E71" s="133">
        <f ca="1">_xll.meDateFromTenor($D71,"-5D","MOD_FOLLOWING","TGT")</f>
        <v>45642</v>
      </c>
      <c r="F71" s="133">
        <f ca="1">_xll.meDateFromTenor($D71,"5D","MOD_FOLLOWING","TGT")</f>
        <v>45659</v>
      </c>
      <c r="H71" s="7"/>
    </row>
    <row r="72" spans="2:25" outlineLevel="1" x14ac:dyDescent="0.25">
      <c r="C72" s="2" t="s">
        <v>32</v>
      </c>
      <c r="D72" s="7">
        <f ca="1">_xll.meDateFromTenor($B$66,C72,"MOD_FOLLOWING","TGT")</f>
        <v>46013</v>
      </c>
      <c r="E72" s="133">
        <f ca="1">_xll.meDateFromTenor($D72,"-5D","MOD_FOLLOWING","TGT")</f>
        <v>46006</v>
      </c>
      <c r="F72" s="133">
        <f ca="1">_xll.meDateFromTenor($D72,"5D","MOD_FOLLOWING","TGT")</f>
        <v>46022</v>
      </c>
      <c r="H72" s="7"/>
    </row>
    <row r="73" spans="2:25" outlineLevel="1" x14ac:dyDescent="0.25">
      <c r="C73" s="2" t="s">
        <v>33</v>
      </c>
      <c r="D73" s="7">
        <f ca="1">_xll.meDateFromTenor($B$66,C73,"MOD_FOLLOWING","TGT")</f>
        <v>46378</v>
      </c>
      <c r="E73" s="133">
        <f ca="1">_xll.meDateFromTenor($D73,"-5D","MOD_FOLLOWING","TGT")</f>
        <v>46371</v>
      </c>
      <c r="F73" s="133">
        <f ca="1">_xll.meDateFromTenor($D73,"5D","MOD_FOLLOWING","TGT")</f>
        <v>46386</v>
      </c>
      <c r="H73" s="7"/>
    </row>
    <row r="74" spans="2:25" outlineLevel="1" x14ac:dyDescent="0.25">
      <c r="C74" s="2" t="s">
        <v>34</v>
      </c>
      <c r="D74" s="7">
        <f ca="1">_xll.meDateFromTenor($B$66,C74,"MOD_FOLLOWING","TGT")</f>
        <v>46743</v>
      </c>
      <c r="E74" s="133">
        <f ca="1">_xll.meDateFromTenor($D74,"-5D","MOD_FOLLOWING","TGT")</f>
        <v>46736</v>
      </c>
      <c r="F74" s="133">
        <f ca="1">_xll.meDateFromTenor($D74,"5D","MOD_FOLLOWING","TGT")</f>
        <v>46750</v>
      </c>
      <c r="H74" s="7"/>
    </row>
    <row r="75" spans="2:25" outlineLevel="1" x14ac:dyDescent="0.25">
      <c r="C75" s="2" t="s">
        <v>35</v>
      </c>
      <c r="D75" s="7">
        <f ca="1">_xll.meDateFromTenor($B$66,C75,"MOD_FOLLOWING","TGT")</f>
        <v>47476</v>
      </c>
      <c r="E75" s="133">
        <f ca="1">_xll.meDateFromTenor($D75,"-5D","MOD_FOLLOWING","TGT")</f>
        <v>47469</v>
      </c>
      <c r="F75" s="133">
        <f ca="1">_xll.meDateFromTenor($D75,"5D","MOD_FOLLOWING","TGT")</f>
        <v>47486</v>
      </c>
      <c r="H75" s="7"/>
    </row>
    <row r="76" spans="2:25" outlineLevel="1" x14ac:dyDescent="0.25">
      <c r="C76" s="2" t="s">
        <v>36</v>
      </c>
      <c r="D76" s="7">
        <f ca="1">_xll.meDateFromTenor($B$66,C76,"MOD_FOLLOWING","TGT")</f>
        <v>48570</v>
      </c>
      <c r="E76" s="133">
        <f ca="1">_xll.meDateFromTenor($D76,"-5D","MOD_FOLLOWING","TGT")</f>
        <v>48563</v>
      </c>
      <c r="F76" s="133">
        <f ca="1">_xll.meDateFromTenor($D76,"5D","MOD_FOLLOWING","TGT")</f>
        <v>48577</v>
      </c>
      <c r="H76" s="7"/>
    </row>
    <row r="77" spans="2:25" outlineLevel="1" x14ac:dyDescent="0.25">
      <c r="C77" s="2" t="s">
        <v>37</v>
      </c>
      <c r="D77" s="7">
        <f ca="1">_xll.meDateFromTenor($B$66,C77,"MOD_FOLLOWING","TGT")</f>
        <v>50396</v>
      </c>
      <c r="E77" s="133">
        <f ca="1">_xll.meDateFromTenor($D77,"-5D","MOD_FOLLOWING","TGT")</f>
        <v>50389</v>
      </c>
      <c r="F77" s="133">
        <f ca="1">_xll.meDateFromTenor($D77,"5D","MOD_FOLLOWING","TGT")</f>
        <v>50404</v>
      </c>
      <c r="H77" s="7"/>
    </row>
    <row r="78" spans="2:25" outlineLevel="1" x14ac:dyDescent="0.25">
      <c r="C78" s="2" t="s">
        <v>38</v>
      </c>
      <c r="D78" s="7">
        <f ca="1">_xll.meDateFromTenor($B$66,C78,"MOD_FOLLOWING","TGT")</f>
        <v>54049</v>
      </c>
      <c r="E78" s="133">
        <f ca="1">_xll.meDateFromTenor($D78,"-5D","MOD_FOLLOWING","TGT")</f>
        <v>54042</v>
      </c>
      <c r="F78" s="133">
        <f ca="1">_xll.meDateFromTenor($D78,"5D","MOD_FOLLOWING","TGT")</f>
        <v>54059</v>
      </c>
      <c r="H78" s="7"/>
    </row>
    <row r="79" spans="2:25" outlineLevel="1" x14ac:dyDescent="0.25">
      <c r="E79" s="8"/>
      <c r="F79" s="8"/>
    </row>
    <row r="80" spans="2:25" outlineLevel="1" x14ac:dyDescent="0.25">
      <c r="E80" s="8"/>
      <c r="F80" s="8"/>
    </row>
    <row r="81" spans="2:26" ht="15.75" outlineLevel="1" thickBot="1" x14ac:dyDescent="0.3">
      <c r="C81" s="11" t="s">
        <v>62</v>
      </c>
      <c r="E81" s="8"/>
      <c r="F81" s="8"/>
    </row>
    <row r="82" spans="2:26" outlineLevel="1" x14ac:dyDescent="0.25">
      <c r="B82" s="5" t="s">
        <v>90</v>
      </c>
      <c r="C82" s="6" t="s">
        <v>40</v>
      </c>
      <c r="D82" t="s">
        <v>60</v>
      </c>
      <c r="E82" s="5" t="s">
        <v>45</v>
      </c>
      <c r="F82" s="5" t="s">
        <v>46</v>
      </c>
      <c r="H82" s="5"/>
    </row>
    <row r="83" spans="2:26" outlineLevel="1" x14ac:dyDescent="0.25">
      <c r="B83" s="7">
        <f ca="1">_xll.meDateFromTenor(AsOf,"2D","MOD_FOLLOWING","TGT")</f>
        <v>43091</v>
      </c>
      <c r="C83" s="2" t="s">
        <v>26</v>
      </c>
      <c r="D83" s="7">
        <f ca="1">_xll.meDateFromTenor($B$83,C83,"MOD_FOLLOWING","TGT")</f>
        <v>43822</v>
      </c>
      <c r="E83" s="133">
        <f ca="1">_xll.meDateFromTenor($D83,"-5D","MOD_FOLLOWING","TGT")</f>
        <v>43815</v>
      </c>
      <c r="F83" s="133">
        <f ca="1">_xll.meDateFromTenor($D83,"5D","MOD_FOLLOWING","TGT")</f>
        <v>43832</v>
      </c>
      <c r="H83" s="9"/>
    </row>
    <row r="84" spans="2:26" outlineLevel="1" x14ac:dyDescent="0.25">
      <c r="C84" s="2" t="s">
        <v>27</v>
      </c>
      <c r="D84" s="7">
        <f ca="1">_xll.meDateFromTenor($B$83,C84,"MOD_FOLLOWING","TGT")</f>
        <v>44187</v>
      </c>
      <c r="E84" s="133">
        <f ca="1">_xll.meDateFromTenor($D84,"-5D","MOD_FOLLOWING","TGT")</f>
        <v>44180</v>
      </c>
      <c r="F84" s="133">
        <f ca="1">_xll.meDateFromTenor($D84,"5D","MOD_FOLLOWING","TGT")</f>
        <v>44195</v>
      </c>
      <c r="H84" s="9"/>
    </row>
    <row r="85" spans="2:26" outlineLevel="1" x14ac:dyDescent="0.25">
      <c r="C85" s="2" t="s">
        <v>28</v>
      </c>
      <c r="D85" s="7">
        <f ca="1">_xll.meDateFromTenor($B$83,C85,"MOD_FOLLOWING","TGT")</f>
        <v>44552</v>
      </c>
      <c r="E85" s="133">
        <f ca="1">_xll.meDateFromTenor($D85,"-5D","MOD_FOLLOWING","TGT")</f>
        <v>44545</v>
      </c>
      <c r="F85" s="133">
        <f ca="1">_xll.meDateFromTenor($D85,"5D","MOD_FOLLOWING","TGT")</f>
        <v>44559</v>
      </c>
      <c r="H85" s="9"/>
    </row>
    <row r="86" spans="2:26" outlineLevel="1" x14ac:dyDescent="0.25">
      <c r="C86" s="2" t="s">
        <v>29</v>
      </c>
      <c r="D86" s="7">
        <f ca="1">_xll.meDateFromTenor($B$83,C86,"MOD_FOLLOWING","TGT")</f>
        <v>44917</v>
      </c>
      <c r="E86" s="133">
        <f ca="1">_xll.meDateFromTenor($D86,"-5D","MOD_FOLLOWING","TGT")</f>
        <v>44910</v>
      </c>
      <c r="F86" s="133">
        <f ca="1">_xll.meDateFromTenor($D86,"5D","MOD_FOLLOWING","TGT")</f>
        <v>44925</v>
      </c>
      <c r="H86" s="9"/>
    </row>
    <row r="87" spans="2:26" outlineLevel="1" x14ac:dyDescent="0.25">
      <c r="C87" s="2" t="s">
        <v>30</v>
      </c>
      <c r="D87" s="7">
        <f ca="1">_xll.meDateFromTenor($B$83,C87,"MOD_FOLLOWING","TGT")</f>
        <v>45282</v>
      </c>
      <c r="E87" s="133">
        <f ca="1">_xll.meDateFromTenor($D87,"-5D","MOD_FOLLOWING","TGT")</f>
        <v>45275</v>
      </c>
      <c r="F87" s="133">
        <f ca="1">_xll.meDateFromTenor($D87,"5D","MOD_FOLLOWING","TGT")</f>
        <v>45294</v>
      </c>
      <c r="H87" s="9"/>
    </row>
    <row r="88" spans="2:26" outlineLevel="1" x14ac:dyDescent="0.25">
      <c r="C88" s="2" t="s">
        <v>31</v>
      </c>
      <c r="D88" s="7">
        <f ca="1">_xll.meDateFromTenor($B$83,C88,"MOD_FOLLOWING","TGT")</f>
        <v>45649</v>
      </c>
      <c r="E88" s="133">
        <f ca="1">_xll.meDateFromTenor($D88,"-5D","MOD_FOLLOWING","TGT")</f>
        <v>45642</v>
      </c>
      <c r="F88" s="133">
        <f ca="1">_xll.meDateFromTenor($D88,"5D","MOD_FOLLOWING","TGT")</f>
        <v>45659</v>
      </c>
      <c r="H88" s="9"/>
    </row>
    <row r="89" spans="2:26" outlineLevel="1" x14ac:dyDescent="0.25">
      <c r="C89" s="2" t="s">
        <v>34</v>
      </c>
      <c r="D89" s="7">
        <f ca="1">_xll.meDateFromTenor($B$83,C89,"MOD_FOLLOWING","TGT")</f>
        <v>46743</v>
      </c>
      <c r="E89" s="133">
        <f ca="1">_xll.meDateFromTenor($D89,"-5D","MOD_FOLLOWING","TGT")</f>
        <v>46736</v>
      </c>
      <c r="F89" s="133">
        <f ca="1">_xll.meDateFromTenor($D89,"5D","MOD_FOLLOWING","TGT")</f>
        <v>46750</v>
      </c>
      <c r="H89" s="9"/>
    </row>
    <row r="90" spans="2:26" outlineLevel="1" x14ac:dyDescent="0.25">
      <c r="C90" s="2" t="s">
        <v>36</v>
      </c>
      <c r="D90" s="7">
        <f ca="1">_xll.meDateFromTenor($B$83,C90,"MOD_FOLLOWING","TGT")</f>
        <v>48570</v>
      </c>
      <c r="E90" s="133">
        <f ca="1">_xll.meDateFromTenor($D90,"-5D","MOD_FOLLOWING","TGT")</f>
        <v>48563</v>
      </c>
      <c r="F90" s="133">
        <f ca="1">_xll.meDateFromTenor($D90,"5D","MOD_FOLLOWING","TGT")</f>
        <v>48577</v>
      </c>
      <c r="H90" s="9"/>
    </row>
    <row r="91" spans="2:26" outlineLevel="1" x14ac:dyDescent="0.25">
      <c r="C91" s="2" t="s">
        <v>37</v>
      </c>
      <c r="D91" s="7">
        <f ca="1">_xll.meDateFromTenor($B$83,C91,"MOD_FOLLOWING","TGT")</f>
        <v>50396</v>
      </c>
      <c r="E91" s="133">
        <f ca="1">_xll.meDateFromTenor($D91,"-5D","MOD_FOLLOWING","TGT")</f>
        <v>50389</v>
      </c>
      <c r="F91" s="133">
        <f ca="1">_xll.meDateFromTenor($D91,"5D","MOD_FOLLOWING","TGT")</f>
        <v>50404</v>
      </c>
      <c r="H91" s="9"/>
    </row>
    <row r="92" spans="2:26" outlineLevel="1" x14ac:dyDescent="0.25">
      <c r="C92" s="2" t="s">
        <v>38</v>
      </c>
      <c r="D92" s="7">
        <f ca="1">_xll.meDateFromTenor($B$83,C92,"MOD_FOLLOWING","TGT")</f>
        <v>54049</v>
      </c>
      <c r="E92" s="133">
        <f ca="1">_xll.meDateFromTenor($D92,"-5D","MOD_FOLLOWING","TGT")</f>
        <v>54042</v>
      </c>
      <c r="F92" s="133">
        <f ca="1">_xll.meDateFromTenor($D92,"5D","MOD_FOLLOWING","TGT")</f>
        <v>54059</v>
      </c>
      <c r="H92" s="9"/>
    </row>
    <row r="93" spans="2:26" outlineLevel="1" x14ac:dyDescent="0.25">
      <c r="E93" s="8"/>
      <c r="F93" s="8"/>
    </row>
    <row r="94" spans="2:26" ht="15.75" outlineLevel="1" thickBot="1" x14ac:dyDescent="0.3">
      <c r="B94" s="5" t="s">
        <v>90</v>
      </c>
      <c r="C94" s="11" t="s">
        <v>63</v>
      </c>
      <c r="D94" s="11" t="s">
        <v>64</v>
      </c>
      <c r="E94" s="5" t="s">
        <v>45</v>
      </c>
      <c r="F94" s="5" t="s">
        <v>46</v>
      </c>
      <c r="H94" s="8" t="s">
        <v>93</v>
      </c>
      <c r="I94" s="11" t="s">
        <v>98</v>
      </c>
      <c r="J94" s="11" t="s">
        <v>99</v>
      </c>
      <c r="K94" s="5" t="s">
        <v>45</v>
      </c>
      <c r="L94" s="5" t="s">
        <v>46</v>
      </c>
      <c r="R94" s="8"/>
      <c r="Y94" s="5"/>
      <c r="Z94" s="5"/>
    </row>
    <row r="95" spans="2:26" outlineLevel="1" x14ac:dyDescent="0.25">
      <c r="B95" s="7">
        <f ca="1">_xll.meDateFromTenor(AsOf,"2D","MOD_FOLLOWING","NYB")</f>
        <v>43091</v>
      </c>
      <c r="C95" s="2" t="s">
        <v>26</v>
      </c>
      <c r="D95" s="7">
        <f ca="1">_xll.meDateFromTenor($B$95,C95,"MOD_FOLLOWING","NYB")</f>
        <v>43822</v>
      </c>
      <c r="E95" s="133">
        <f ca="1">_xll.meDateFromTenor($D95,"-5D","MOD_FOLLOWING","NYB")</f>
        <v>43815</v>
      </c>
      <c r="F95" s="133">
        <f ca="1">_xll.meDateFromTenor($D95,"5D","MOD_FOLLOWING","NYB")</f>
        <v>43830</v>
      </c>
      <c r="H95" s="9">
        <f ca="1">_xll.meDateNthIMMFromStartDate(AsOf, 1,"NYB","MOD_FOLLOWING")</f>
        <v>43180</v>
      </c>
      <c r="I95" s="2" t="s">
        <v>26</v>
      </c>
      <c r="J95" s="7">
        <f ca="1">_xll.meDateFromTenor($H$95,I95,"MOD_FOLLOWING","NYB")</f>
        <v>43913</v>
      </c>
      <c r="K95" s="133">
        <f ca="1">_xll.meDateFromTenor($J95,"-5D","MOD_FOLLOWING","NYB")</f>
        <v>43906</v>
      </c>
      <c r="L95" s="133">
        <f ca="1">_xll.meDateFromTenor($J95,"5D","MOD_FOLLOWING","NYB")</f>
        <v>43920</v>
      </c>
      <c r="R95" s="9"/>
      <c r="Y95" s="9"/>
      <c r="Z95" s="9"/>
    </row>
    <row r="96" spans="2:26" outlineLevel="1" x14ac:dyDescent="0.25">
      <c r="C96" s="2" t="s">
        <v>27</v>
      </c>
      <c r="D96" s="7">
        <f ca="1">_xll.meDateFromTenor($B$95,C96,"MOD_FOLLOWING","NYB")</f>
        <v>44187</v>
      </c>
      <c r="E96" s="133">
        <f ca="1">_xll.meDateFromTenor($D96,"-5D","MOD_FOLLOWING","NYB")</f>
        <v>44180</v>
      </c>
      <c r="F96" s="133">
        <f ca="1">_xll.meDateFromTenor($D96,"5D","MOD_FOLLOWING","NYB")</f>
        <v>44195</v>
      </c>
      <c r="H96" s="9"/>
      <c r="I96" s="2" t="s">
        <v>27</v>
      </c>
      <c r="J96" s="7">
        <f ca="1">_xll.meDateFromTenor($H$95,I96,"MOD_FOLLOWING","NYB")</f>
        <v>44277</v>
      </c>
      <c r="K96" s="133">
        <f ca="1">_xll.meDateFromTenor($J96,"-5D","MOD_FOLLOWING","NYB")</f>
        <v>44270</v>
      </c>
      <c r="L96" s="133">
        <f ca="1">_xll.meDateFromTenor($J96,"5D","MOD_FOLLOWING","NYB")</f>
        <v>44284</v>
      </c>
      <c r="R96" s="9"/>
      <c r="Y96" s="9"/>
      <c r="Z96" s="9"/>
    </row>
    <row r="97" spans="2:26" outlineLevel="1" x14ac:dyDescent="0.25">
      <c r="C97" s="2" t="s">
        <v>28</v>
      </c>
      <c r="D97" s="7">
        <f ca="1">_xll.meDateFromTenor($B$95,C97,"MOD_FOLLOWING","NYB")</f>
        <v>44552</v>
      </c>
      <c r="E97" s="133">
        <f ca="1">_xll.meDateFromTenor($D97,"-5D","MOD_FOLLOWING","NYB")</f>
        <v>44545</v>
      </c>
      <c r="F97" s="133">
        <f ca="1">_xll.meDateFromTenor($D97,"5D","MOD_FOLLOWING","NYB")</f>
        <v>44559</v>
      </c>
      <c r="H97" s="9"/>
      <c r="I97" s="2" t="s">
        <v>28</v>
      </c>
      <c r="J97" s="7">
        <f ca="1">_xll.meDateFromTenor($H$95,I97,"MOD_FOLLOWING","NYB")</f>
        <v>44641</v>
      </c>
      <c r="K97" s="133">
        <f ca="1">_xll.meDateFromTenor($J97,"-5D","MOD_FOLLOWING","NYB")</f>
        <v>44634</v>
      </c>
      <c r="L97" s="133">
        <f ca="1">_xll.meDateFromTenor($J97,"5D","MOD_FOLLOWING","NYB")</f>
        <v>44648</v>
      </c>
      <c r="R97" s="9"/>
      <c r="Y97" s="9"/>
      <c r="Z97" s="9"/>
    </row>
    <row r="98" spans="2:26" outlineLevel="1" x14ac:dyDescent="0.25">
      <c r="C98" s="2" t="s">
        <v>29</v>
      </c>
      <c r="D98" s="7">
        <f ca="1">_xll.meDateFromTenor($B$95,C98,"MOD_FOLLOWING","NYB")</f>
        <v>44917</v>
      </c>
      <c r="E98" s="133">
        <f ca="1">_xll.meDateFromTenor($D98,"-5D","MOD_FOLLOWING","NYB")</f>
        <v>44910</v>
      </c>
      <c r="F98" s="133">
        <f ca="1">_xll.meDateFromTenor($D98,"5D","MOD_FOLLOWING","NYB")</f>
        <v>44925</v>
      </c>
      <c r="H98" s="9"/>
      <c r="I98" s="2" t="s">
        <v>29</v>
      </c>
      <c r="J98" s="7">
        <f ca="1">_xll.meDateFromTenor($H$95,I98,"MOD_FOLLOWING","NYB")</f>
        <v>45006</v>
      </c>
      <c r="K98" s="133">
        <f ca="1">_xll.meDateFromTenor($J98,"-5D","MOD_FOLLOWING","NYB")</f>
        <v>44999</v>
      </c>
      <c r="L98" s="133">
        <f ca="1">_xll.meDateFromTenor($J98,"5D","MOD_FOLLOWING","NYB")</f>
        <v>45013</v>
      </c>
      <c r="R98" s="9"/>
      <c r="Y98" s="10"/>
      <c r="Z98" s="10"/>
    </row>
    <row r="99" spans="2:26" outlineLevel="1" x14ac:dyDescent="0.25">
      <c r="C99" s="2" t="s">
        <v>30</v>
      </c>
      <c r="D99" s="7">
        <f ca="1">_xll.meDateFromTenor($B$95,C99,"MOD_FOLLOWING","NYB")</f>
        <v>45282</v>
      </c>
      <c r="E99" s="133">
        <f ca="1">_xll.meDateFromTenor($D99,"-5D","MOD_FOLLOWING","NYB")</f>
        <v>45275</v>
      </c>
      <c r="F99" s="133">
        <f ca="1">_xll.meDateFromTenor($D99,"5D","MOD_FOLLOWING","NYB")</f>
        <v>45293</v>
      </c>
      <c r="H99" s="9"/>
      <c r="I99" s="2" t="s">
        <v>30</v>
      </c>
      <c r="J99" s="7">
        <f ca="1">_xll.meDateFromTenor($H$95,I99,"MOD_FOLLOWING","NYB")</f>
        <v>45372</v>
      </c>
      <c r="K99" s="133">
        <f ca="1">_xll.meDateFromTenor($J99,"-5D","MOD_FOLLOWING","NYB")</f>
        <v>45365</v>
      </c>
      <c r="L99" s="133">
        <f ca="1">_xll.meDateFromTenor($J99,"5D","MOD_FOLLOWING","NYB")</f>
        <v>45379</v>
      </c>
      <c r="R99" s="9"/>
      <c r="Y99" s="9"/>
      <c r="Z99" s="9"/>
    </row>
    <row r="100" spans="2:26" outlineLevel="1" x14ac:dyDescent="0.25">
      <c r="C100" s="2" t="s">
        <v>31</v>
      </c>
      <c r="D100" s="7">
        <f ca="1">_xll.meDateFromTenor($B$95,C100,"MOD_FOLLOWING","NYB")</f>
        <v>45649</v>
      </c>
      <c r="E100" s="133">
        <f ca="1">_xll.meDateFromTenor($D100,"-5D","MOD_FOLLOWING","NYB")</f>
        <v>45642</v>
      </c>
      <c r="F100" s="133">
        <f ca="1">_xll.meDateFromTenor($D100,"5D","MOD_FOLLOWING","NYB")</f>
        <v>45657</v>
      </c>
      <c r="H100" s="9"/>
      <c r="I100" s="2" t="s">
        <v>31</v>
      </c>
      <c r="J100" s="7">
        <f ca="1">_xll.meDateFromTenor($H$95,I100,"MOD_FOLLOWING","NYB")</f>
        <v>45737</v>
      </c>
      <c r="K100" s="133">
        <f ca="1">_xll.meDateFromTenor($J100,"-5D","MOD_FOLLOWING","NYB")</f>
        <v>45730</v>
      </c>
      <c r="L100" s="133">
        <f ca="1">_xll.meDateFromTenor($J100,"5D","MOD_FOLLOWING","NYB")</f>
        <v>45744</v>
      </c>
      <c r="R100" s="9"/>
      <c r="W100" s="2"/>
      <c r="X100" s="7"/>
      <c r="Y100" s="9"/>
      <c r="Z100" s="9"/>
    </row>
    <row r="101" spans="2:26" outlineLevel="1" x14ac:dyDescent="0.25">
      <c r="C101" s="2" t="s">
        <v>34</v>
      </c>
      <c r="D101" s="7">
        <f ca="1">_xll.meDateFromTenor($B$95,C101,"MOD_FOLLOWING","NYB")</f>
        <v>46743</v>
      </c>
      <c r="E101" s="133">
        <f ca="1">_xll.meDateFromTenor($D101,"-5D","MOD_FOLLOWING","NYB")</f>
        <v>46736</v>
      </c>
      <c r="F101" s="133">
        <f ca="1">_xll.meDateFromTenor($D101,"5D","MOD_FOLLOWING","NYB")</f>
        <v>46750</v>
      </c>
      <c r="H101" s="9"/>
      <c r="I101" s="2" t="s">
        <v>34</v>
      </c>
      <c r="J101" s="7">
        <f ca="1">_xll.meDateFromTenor($H$95,I101,"MOD_FOLLOWING","NYB")</f>
        <v>46833</v>
      </c>
      <c r="K101" s="133">
        <f ca="1">_xll.meDateFromTenor($J101,"-5D","MOD_FOLLOWING","NYB")</f>
        <v>46826</v>
      </c>
      <c r="L101" s="133">
        <f ca="1">_xll.meDateFromTenor($J101,"5D","MOD_FOLLOWING","NYB")</f>
        <v>46840</v>
      </c>
      <c r="R101" s="9"/>
      <c r="W101" s="2"/>
      <c r="X101" s="7"/>
      <c r="Y101" s="9"/>
      <c r="Z101" s="9"/>
    </row>
    <row r="102" spans="2:26" outlineLevel="1" x14ac:dyDescent="0.25">
      <c r="C102" s="2" t="s">
        <v>35</v>
      </c>
      <c r="D102" s="7">
        <f ca="1">_xll.meDateFromTenor($B$95,C102,"MOD_FOLLOWING","NYB")</f>
        <v>47476</v>
      </c>
      <c r="E102" s="133">
        <f ca="1">_xll.meDateFromTenor($D102,"-5D","MOD_FOLLOWING","NYB")</f>
        <v>47469</v>
      </c>
      <c r="F102" s="133">
        <f ca="1">_xll.meDateFromTenor($D102,"5D","MOD_FOLLOWING","NYB")</f>
        <v>47485</v>
      </c>
      <c r="H102" s="9"/>
      <c r="I102" s="2" t="s">
        <v>35</v>
      </c>
      <c r="J102" s="7">
        <f ca="1">_xll.meDateFromTenor($H$95,I102,"MOD_FOLLOWING","NYB")</f>
        <v>47563</v>
      </c>
      <c r="K102" s="133">
        <f ca="1">_xll.meDateFromTenor($J102,"-5D","MOD_FOLLOWING","NYB")</f>
        <v>47556</v>
      </c>
      <c r="L102" s="133">
        <f ca="1">_xll.meDateFromTenor($J102,"5D","MOD_FOLLOWING","NYB")</f>
        <v>47570</v>
      </c>
      <c r="R102" s="9"/>
      <c r="W102" s="2"/>
      <c r="X102" s="7"/>
      <c r="Y102" s="9"/>
      <c r="Z102" s="9"/>
    </row>
    <row r="103" spans="2:26" outlineLevel="1" x14ac:dyDescent="0.25">
      <c r="C103" s="2" t="s">
        <v>36</v>
      </c>
      <c r="D103" s="7">
        <f ca="1">_xll.meDateFromTenor($B$95,C103,"MOD_FOLLOWING","NYB")</f>
        <v>48570</v>
      </c>
      <c r="E103" s="133">
        <f ca="1">_xll.meDateFromTenor($D103,"-5D","MOD_FOLLOWING","NYB")</f>
        <v>48563</v>
      </c>
      <c r="F103" s="133">
        <f ca="1">_xll.meDateFromTenor($D103,"5D","MOD_FOLLOWING","NYB")</f>
        <v>48577</v>
      </c>
      <c r="H103" s="9"/>
      <c r="I103" s="2" t="s">
        <v>36</v>
      </c>
      <c r="J103" s="7">
        <f ca="1">_xll.meDateFromTenor($H$95,I103,"MOD_FOLLOWING","NYB")</f>
        <v>48659</v>
      </c>
      <c r="K103" s="133">
        <f ca="1">_xll.meDateFromTenor($J103,"-5D","MOD_FOLLOWING","NYB")</f>
        <v>48652</v>
      </c>
      <c r="L103" s="133">
        <f ca="1">_xll.meDateFromTenor($J103,"5D","MOD_FOLLOWING","NYB")</f>
        <v>48666</v>
      </c>
      <c r="R103" s="9"/>
      <c r="W103" s="2"/>
      <c r="X103" s="7"/>
      <c r="Y103" s="9"/>
      <c r="Z103" s="9"/>
    </row>
    <row r="104" spans="2:26" outlineLevel="1" x14ac:dyDescent="0.25">
      <c r="C104" s="2" t="s">
        <v>37</v>
      </c>
      <c r="D104" s="7">
        <f ca="1">_xll.meDateFromTenor($B$95,C104,"MOD_FOLLOWING","NYB")</f>
        <v>50396</v>
      </c>
      <c r="E104" s="133">
        <f ca="1">_xll.meDateFromTenor($D104,"-5D","MOD_FOLLOWING","NYB")</f>
        <v>50389</v>
      </c>
      <c r="F104" s="133">
        <f ca="1">_xll.meDateFromTenor($D104,"5D","MOD_FOLLOWING","NYB")</f>
        <v>50404</v>
      </c>
      <c r="H104" s="9"/>
      <c r="I104" s="2" t="s">
        <v>37</v>
      </c>
      <c r="J104" s="7">
        <f ca="1">_xll.meDateFromTenor($H$95,I104,"MOD_FOLLOWING","NYB")</f>
        <v>50486</v>
      </c>
      <c r="K104" s="133">
        <f ca="1">_xll.meDateFromTenor($J104,"-5D","MOD_FOLLOWING","NYB")</f>
        <v>50479</v>
      </c>
      <c r="L104" s="133">
        <f ca="1">_xll.meDateFromTenor($J104,"5D","MOD_FOLLOWING","NYB")</f>
        <v>50493</v>
      </c>
      <c r="R104" s="9"/>
      <c r="W104" s="2"/>
      <c r="X104" s="7"/>
      <c r="Y104" s="9"/>
      <c r="Z104" s="9"/>
    </row>
    <row r="105" spans="2:26" outlineLevel="1" x14ac:dyDescent="0.25">
      <c r="C105" s="2" t="s">
        <v>38</v>
      </c>
      <c r="D105" s="7">
        <f ca="1">_xll.meDateFromTenor($B$95,C105,"MOD_FOLLOWING","NYB")</f>
        <v>54049</v>
      </c>
      <c r="E105" s="133">
        <f ca="1">_xll.meDateFromTenor($D105,"-5D","MOD_FOLLOWING","NYB")</f>
        <v>54042</v>
      </c>
      <c r="F105" s="133">
        <f ca="1">_xll.meDateFromTenor($D105,"5D","MOD_FOLLOWING","NYB")</f>
        <v>54057</v>
      </c>
      <c r="H105" s="9"/>
      <c r="I105" s="2" t="s">
        <v>38</v>
      </c>
      <c r="J105" s="7">
        <f ca="1">_xll.meDateFromTenor($H$95,I105,"MOD_FOLLOWING","NYB")</f>
        <v>54140</v>
      </c>
      <c r="K105" s="133">
        <f ca="1">_xll.meDateFromTenor($J105,"-5D","MOD_FOLLOWING","NYB")</f>
        <v>54133</v>
      </c>
      <c r="L105" s="133">
        <f ca="1">_xll.meDateFromTenor($J105,"5D","MOD_FOLLOWING","NYB")</f>
        <v>54147</v>
      </c>
      <c r="R105" s="9"/>
      <c r="W105" s="2"/>
      <c r="X105" s="7"/>
      <c r="Y105" s="9"/>
      <c r="Z105" s="9"/>
    </row>
    <row r="106" spans="2:26" outlineLevel="1" x14ac:dyDescent="0.25">
      <c r="E106" s="8"/>
      <c r="F106" s="8"/>
    </row>
    <row r="107" spans="2:26" outlineLevel="1" x14ac:dyDescent="0.25">
      <c r="E107" s="8"/>
      <c r="F107" s="8"/>
    </row>
    <row r="108" spans="2:26" ht="15.75" outlineLevel="1" thickBot="1" x14ac:dyDescent="0.3">
      <c r="B108" s="5" t="s">
        <v>91</v>
      </c>
      <c r="C108" s="11" t="s">
        <v>65</v>
      </c>
      <c r="D108" s="11" t="s">
        <v>66</v>
      </c>
      <c r="E108" s="5" t="s">
        <v>45</v>
      </c>
      <c r="F108" s="5" t="s">
        <v>46</v>
      </c>
      <c r="H108" s="8" t="s">
        <v>94</v>
      </c>
      <c r="I108" s="11" t="s">
        <v>98</v>
      </c>
      <c r="J108" s="11" t="s">
        <v>99</v>
      </c>
      <c r="K108" s="5" t="s">
        <v>45</v>
      </c>
      <c r="L108" s="5" t="s">
        <v>46</v>
      </c>
    </row>
    <row r="109" spans="2:26" outlineLevel="1" x14ac:dyDescent="0.25">
      <c r="B109" s="7">
        <f ca="1">_xll.meDateFromTenor(AsOf,"0D","MOD_FOLLOWING","LNB")</f>
        <v>43089</v>
      </c>
      <c r="C109" s="2" t="s">
        <v>26</v>
      </c>
      <c r="D109" s="7">
        <f ca="1">_xll.meDateFromTenor($B$109,C109,"MOD_FOLLOWING","LNB")</f>
        <v>43819</v>
      </c>
      <c r="E109" s="133">
        <f ca="1">_xll.meDateFromTenor($D109,"-5D","MOD_FOLLOWING","LNB")</f>
        <v>43812</v>
      </c>
      <c r="F109" s="133">
        <f ca="1">_xll.meDateFromTenor($D109,"5D","MOD_FOLLOWING","LNB")</f>
        <v>43830</v>
      </c>
      <c r="H109" s="9">
        <f ca="1">_xll.meDateNthIMMFromStartDate(AsOf, 2,"NYB","MOD_FOLLOWING")</f>
        <v>43271</v>
      </c>
      <c r="I109" s="2" t="s">
        <v>26</v>
      </c>
      <c r="J109" s="7">
        <f ca="1">_xll.meDateFromTenor($H$109,I109,"MOD_FOLLOWING","NYB")</f>
        <v>44004</v>
      </c>
      <c r="K109" s="133">
        <f ca="1">_xll.meDateFromTenor($J109,"-5D","MOD_FOLLOWING","NYB")</f>
        <v>43997</v>
      </c>
      <c r="L109" s="133">
        <f ca="1">_xll.meDateFromTenor($J109,"5D","MOD_FOLLOWING","NYB")</f>
        <v>44011</v>
      </c>
    </row>
    <row r="110" spans="2:26" outlineLevel="1" x14ac:dyDescent="0.25">
      <c r="C110" s="2" t="s">
        <v>27</v>
      </c>
      <c r="D110" s="7">
        <f ca="1">_xll.meDateFromTenor($B$109,C110,"MOD_FOLLOWING","LNB")</f>
        <v>44186</v>
      </c>
      <c r="E110" s="133">
        <f ca="1">_xll.meDateFromTenor($D110,"-5D","MOD_FOLLOWING","LNB")</f>
        <v>44179</v>
      </c>
      <c r="F110" s="133">
        <f ca="1">_xll.meDateFromTenor($D110,"5D","MOD_FOLLOWING","LNB")</f>
        <v>44195</v>
      </c>
      <c r="H110" s="9"/>
      <c r="I110" s="2" t="s">
        <v>27</v>
      </c>
      <c r="J110" s="7">
        <f ca="1">_xll.meDateFromTenor($H$109,I110,"MOD_FOLLOWING","NYB")</f>
        <v>44368</v>
      </c>
      <c r="K110" s="133">
        <f ca="1">_xll.meDateFromTenor($J110,"-5D","MOD_FOLLOWING","NYB")</f>
        <v>44361</v>
      </c>
      <c r="L110" s="133">
        <f ca="1">_xll.meDateFromTenor($J110,"5D","MOD_FOLLOWING","NYB")</f>
        <v>44375</v>
      </c>
    </row>
    <row r="111" spans="2:26" outlineLevel="1" x14ac:dyDescent="0.25">
      <c r="C111" s="2" t="s">
        <v>28</v>
      </c>
      <c r="D111" s="7">
        <f ca="1">_xll.meDateFromTenor($B$109,C111,"MOD_FOLLOWING","LNB")</f>
        <v>44550</v>
      </c>
      <c r="E111" s="133">
        <f ca="1">_xll.meDateFromTenor($D111,"-5D","MOD_FOLLOWING","LNB")</f>
        <v>44543</v>
      </c>
      <c r="F111" s="133">
        <f ca="1">_xll.meDateFromTenor($D111,"5D","MOD_FOLLOWING","LNB")</f>
        <v>44559</v>
      </c>
      <c r="H111" s="9"/>
      <c r="I111" s="2" t="s">
        <v>28</v>
      </c>
      <c r="J111" s="7">
        <f ca="1">_xll.meDateFromTenor($H$109,I111,"MOD_FOLLOWING","NYB")</f>
        <v>44732</v>
      </c>
      <c r="K111" s="133">
        <f ca="1">_xll.meDateFromTenor($J111,"-5D","MOD_FOLLOWING","NYB")</f>
        <v>44725</v>
      </c>
      <c r="L111" s="133">
        <f ca="1">_xll.meDateFromTenor($J111,"5D","MOD_FOLLOWING","NYB")</f>
        <v>44739</v>
      </c>
    </row>
    <row r="112" spans="2:26" outlineLevel="1" x14ac:dyDescent="0.25">
      <c r="C112" s="2" t="s">
        <v>29</v>
      </c>
      <c r="D112" s="7">
        <f ca="1">_xll.meDateFromTenor($B$109,C112,"MOD_FOLLOWING","LNB")</f>
        <v>44915</v>
      </c>
      <c r="E112" s="133">
        <f ca="1">_xll.meDateFromTenor($D112,"-5D","MOD_FOLLOWING","LNB")</f>
        <v>44908</v>
      </c>
      <c r="F112" s="133">
        <f ca="1">_xll.meDateFromTenor($D112,"5D","MOD_FOLLOWING","LNB")</f>
        <v>44924</v>
      </c>
      <c r="H112" s="9"/>
      <c r="I112" s="2" t="s">
        <v>29</v>
      </c>
      <c r="J112" s="7">
        <f ca="1">_xll.meDateFromTenor($H$109,I112,"MOD_FOLLOWING","NYB")</f>
        <v>45097</v>
      </c>
      <c r="K112" s="133">
        <f ca="1">_xll.meDateFromTenor($J112,"-5D","MOD_FOLLOWING","NYB")</f>
        <v>45090</v>
      </c>
      <c r="L112" s="133">
        <f ca="1">_xll.meDateFromTenor($J112,"5D","MOD_FOLLOWING","NYB")</f>
        <v>45104</v>
      </c>
    </row>
    <row r="113" spans="1:12" outlineLevel="1" x14ac:dyDescent="0.25">
      <c r="C113" s="2" t="s">
        <v>30</v>
      </c>
      <c r="D113" s="7">
        <f ca="1">_xll.meDateFromTenor($B$109,C113,"MOD_FOLLOWING","LNB")</f>
        <v>45280</v>
      </c>
      <c r="E113" s="133">
        <f ca="1">_xll.meDateFromTenor($D113,"-5D","MOD_FOLLOWING","LNB")</f>
        <v>45273</v>
      </c>
      <c r="F113" s="133">
        <f ca="1">_xll.meDateFromTenor($D113,"5D","MOD_FOLLOWING","LNB")</f>
        <v>45289</v>
      </c>
      <c r="H113" s="9"/>
      <c r="I113" s="2" t="s">
        <v>30</v>
      </c>
      <c r="J113" s="7">
        <f ca="1">_xll.meDateFromTenor($H$109,I113,"MOD_FOLLOWING","NYB")</f>
        <v>45463</v>
      </c>
      <c r="K113" s="133">
        <f ca="1">_xll.meDateFromTenor($J113,"-5D","MOD_FOLLOWING","NYB")</f>
        <v>45456</v>
      </c>
      <c r="L113" s="133">
        <f ca="1">_xll.meDateFromTenor($J113,"5D","MOD_FOLLOWING","NYB")</f>
        <v>45470</v>
      </c>
    </row>
    <row r="114" spans="1:12" outlineLevel="1" x14ac:dyDescent="0.25">
      <c r="C114" s="2" t="s">
        <v>31</v>
      </c>
      <c r="D114" s="7">
        <f ca="1">_xll.meDateFromTenor($B$109,C114,"MOD_FOLLOWING","LNB")</f>
        <v>45646</v>
      </c>
      <c r="E114" s="133">
        <f ca="1">_xll.meDateFromTenor($D114,"-5D","MOD_FOLLOWING","LNB")</f>
        <v>45639</v>
      </c>
      <c r="F114" s="133">
        <f ca="1">_xll.meDateFromTenor($D114,"5D","MOD_FOLLOWING","LNB")</f>
        <v>45657</v>
      </c>
      <c r="H114" s="9"/>
      <c r="I114" s="2" t="s">
        <v>31</v>
      </c>
      <c r="J114" s="7">
        <f ca="1">_xll.meDateFromTenor($H$109,I114,"MOD_FOLLOWING","NYB")</f>
        <v>45828</v>
      </c>
      <c r="K114" s="133">
        <f ca="1">_xll.meDateFromTenor($J114,"-5D","MOD_FOLLOWING","NYB")</f>
        <v>45821</v>
      </c>
      <c r="L114" s="133">
        <f ca="1">_xll.meDateFromTenor($J114,"5D","MOD_FOLLOWING","NYB")</f>
        <v>45835</v>
      </c>
    </row>
    <row r="115" spans="1:12" outlineLevel="1" x14ac:dyDescent="0.25">
      <c r="C115" s="2" t="s">
        <v>34</v>
      </c>
      <c r="D115" s="7">
        <f ca="1">_xll.meDateFromTenor($B$109,C115,"MOD_FOLLOWING","LNB")</f>
        <v>46741</v>
      </c>
      <c r="E115" s="133">
        <f ca="1">_xll.meDateFromTenor($D115,"-5D","MOD_FOLLOWING","LNB")</f>
        <v>46734</v>
      </c>
      <c r="F115" s="133">
        <f ca="1">_xll.meDateFromTenor($D115,"5D","MOD_FOLLOWING","LNB")</f>
        <v>46750</v>
      </c>
      <c r="H115" s="9"/>
      <c r="I115" s="2" t="s">
        <v>34</v>
      </c>
      <c r="J115" s="7">
        <f ca="1">_xll.meDateFromTenor($H$109,I115,"MOD_FOLLOWING","NYB")</f>
        <v>46924</v>
      </c>
      <c r="K115" s="133">
        <f ca="1">_xll.meDateFromTenor($J115,"-5D","MOD_FOLLOWING","NYB")</f>
        <v>46917</v>
      </c>
      <c r="L115" s="133">
        <f ca="1">_xll.meDateFromTenor($J115,"5D","MOD_FOLLOWING","NYB")</f>
        <v>46931</v>
      </c>
    </row>
    <row r="116" spans="1:12" outlineLevel="1" x14ac:dyDescent="0.25">
      <c r="C116" s="2" t="s">
        <v>36</v>
      </c>
      <c r="D116" s="7">
        <f ca="1">_xll.meDateFromTenor($B$109,C116,"MOD_FOLLOWING","LNB")</f>
        <v>48568</v>
      </c>
      <c r="E116" s="133">
        <f ca="1">_xll.meDateFromTenor($D116,"-5D","MOD_FOLLOWING","LNB")</f>
        <v>48561</v>
      </c>
      <c r="F116" s="133">
        <f ca="1">_xll.meDateFromTenor($D116,"5D","MOD_FOLLOWING","LNB")</f>
        <v>48577</v>
      </c>
      <c r="H116" s="9"/>
      <c r="I116" s="2" t="s">
        <v>35</v>
      </c>
      <c r="J116" s="7">
        <f ca="1">_xll.meDateFromTenor($H$109,I116,"MOD_FOLLOWING","NYB")</f>
        <v>47654</v>
      </c>
      <c r="K116" s="133">
        <f ca="1">_xll.meDateFromTenor($J116,"-5D","MOD_FOLLOWING","NYB")</f>
        <v>47647</v>
      </c>
      <c r="L116" s="133">
        <f ca="1">_xll.meDateFromTenor($J116,"5D","MOD_FOLLOWING","NYB")</f>
        <v>47661</v>
      </c>
    </row>
    <row r="117" spans="1:12" outlineLevel="1" x14ac:dyDescent="0.25">
      <c r="C117" s="2" t="s">
        <v>37</v>
      </c>
      <c r="D117" s="7">
        <f ca="1">_xll.meDateFromTenor($B$109,C117,"MOD_FOLLOWING","LNB")</f>
        <v>50395</v>
      </c>
      <c r="E117" s="133">
        <f ca="1">_xll.meDateFromTenor($D117,"-5D","MOD_FOLLOWING","LNB")</f>
        <v>50388</v>
      </c>
      <c r="F117" s="133">
        <f ca="1">_xll.meDateFromTenor($D117,"5D","MOD_FOLLOWING","LNB")</f>
        <v>50404</v>
      </c>
      <c r="H117" s="9"/>
      <c r="I117" s="2" t="s">
        <v>36</v>
      </c>
      <c r="J117" s="7">
        <f ca="1">_xll.meDateFromTenor($H$109,I117,"MOD_FOLLOWING","NYB")</f>
        <v>48750</v>
      </c>
      <c r="K117" s="133">
        <f ca="1">_xll.meDateFromTenor($J117,"-5D","MOD_FOLLOWING","NYB")</f>
        <v>48743</v>
      </c>
      <c r="L117" s="133">
        <f ca="1">_xll.meDateFromTenor($J117,"5D","MOD_FOLLOWING","NYB")</f>
        <v>48757</v>
      </c>
    </row>
    <row r="118" spans="1:12" outlineLevel="1" x14ac:dyDescent="0.25">
      <c r="C118" s="2" t="s">
        <v>38</v>
      </c>
      <c r="D118" s="7">
        <f ca="1">_xll.meDateFromTenor($B$109,C118,"MOD_FOLLOWING","LNB")</f>
        <v>54046</v>
      </c>
      <c r="E118" s="133">
        <f ca="1">_xll.meDateFromTenor($D118,"-5D","MOD_FOLLOWING","LNB")</f>
        <v>54039</v>
      </c>
      <c r="F118" s="133">
        <f ca="1">_xll.meDateFromTenor($D118,"5D","MOD_FOLLOWING","LNB")</f>
        <v>54057</v>
      </c>
      <c r="H118" s="9"/>
      <c r="I118" s="2" t="s">
        <v>37</v>
      </c>
      <c r="J118" s="7">
        <f ca="1">_xll.meDateFromTenor($H$109,I118,"MOD_FOLLOWING","NYB")</f>
        <v>50577</v>
      </c>
      <c r="K118" s="133">
        <f ca="1">_xll.meDateFromTenor($J118,"-5D","MOD_FOLLOWING","NYB")</f>
        <v>50570</v>
      </c>
      <c r="L118" s="133">
        <f ca="1">_xll.meDateFromTenor($J118,"5D","MOD_FOLLOWING","NYB")</f>
        <v>50584</v>
      </c>
    </row>
    <row r="119" spans="1:12" outlineLevel="1" x14ac:dyDescent="0.25">
      <c r="H119" s="9"/>
      <c r="I119" s="2" t="s">
        <v>38</v>
      </c>
      <c r="J119" s="7">
        <f ca="1">_xll.meDateFromTenor($H$109,I119,"MOD_FOLLOWING","NYB")</f>
        <v>54231</v>
      </c>
      <c r="K119" s="133">
        <f ca="1">_xll.meDateFromTenor($J119,"-5D","MOD_FOLLOWING","NYB")</f>
        <v>54224</v>
      </c>
      <c r="L119" s="133">
        <f ca="1">_xll.meDateFromTenor($J119,"5D","MOD_FOLLOWING","NYB")</f>
        <v>54238</v>
      </c>
    </row>
    <row r="120" spans="1:12" x14ac:dyDescent="0.25">
      <c r="A120" s="12" t="s">
        <v>71</v>
      </c>
    </row>
  </sheetData>
  <mergeCells count="19">
    <mergeCell ref="I52:I53"/>
    <mergeCell ref="J52:K52"/>
    <mergeCell ref="L52:N52"/>
    <mergeCell ref="H5:H6"/>
    <mergeCell ref="I5:I6"/>
    <mergeCell ref="J5:J6"/>
    <mergeCell ref="K5:L5"/>
    <mergeCell ref="M5:O5"/>
    <mergeCell ref="C52:C53"/>
    <mergeCell ref="D52:D53"/>
    <mergeCell ref="E52:E53"/>
    <mergeCell ref="G52:G53"/>
    <mergeCell ref="H52:H53"/>
    <mergeCell ref="G5:G6"/>
    <mergeCell ref="B5:B6"/>
    <mergeCell ref="C5:C6"/>
    <mergeCell ref="D5:D6"/>
    <mergeCell ref="E5:E6"/>
    <mergeCell ref="F5:F6"/>
  </mergeCells>
  <conditionalFormatting sqref="B7:B48">
    <cfRule type="cellIs" dxfId="1" priority="1" operator="equal">
      <formula>TRUE</formula>
    </cfRule>
  </conditionalFormatting>
  <dataValidations count="6">
    <dataValidation type="list" allowBlank="1" showInputMessage="1" showErrorMessage="1" sqref="N7:N48 K7:K48">
      <formula1>"ANNUAL,SEMI-ANNUAL,QUARTERLY,MONTHLY"</formula1>
    </dataValidation>
    <dataValidation type="list" allowBlank="1" showInputMessage="1" showErrorMessage="1" sqref="O7:O48 L7:L48">
      <formula1>"30/360,ACT/360,ACT/365F"</formula1>
    </dataValidation>
    <dataValidation type="list" allowBlank="1" showInputMessage="1" showErrorMessage="1" sqref="E7:E48">
      <formula1>"SPOT,IMM"</formula1>
    </dataValidation>
    <dataValidation type="list" allowBlank="1" showInputMessage="1" showErrorMessage="1" sqref="M7:M48">
      <formula1>"EUR3ML,EUR6ML,GBP3ML,GBP6ML,USD3ML,USD3ML.IMM,USD6ML,USD6ML.IMM"</formula1>
    </dataValidation>
    <dataValidation type="list" allowBlank="1" showInputMessage="1" showErrorMessage="1" sqref="D7:D48">
      <formula1>"USD,EUR,GBP"</formula1>
    </dataValidation>
    <dataValidation type="list" allowBlank="1" showInputMessage="1" showErrorMessage="1" sqref="F7:F48">
      <formula1>"0,1,2"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D120"/>
  <sheetViews>
    <sheetView showGridLines="0" workbookViewId="0"/>
  </sheetViews>
  <sheetFormatPr defaultRowHeight="15" outlineLevelRow="1" outlineLevelCol="1" x14ac:dyDescent="0.25"/>
  <cols>
    <col min="2" max="2" width="15.7109375" customWidth="1"/>
    <col min="3" max="3" width="20.7109375" customWidth="1"/>
    <col min="4" max="4" width="12.7109375" customWidth="1"/>
    <col min="5" max="5" width="15.7109375" customWidth="1"/>
    <col min="6" max="6" width="14.7109375" customWidth="1"/>
    <col min="7" max="7" width="12.5703125" customWidth="1"/>
    <col min="8" max="9" width="20.7109375" customWidth="1"/>
    <col min="10" max="10" width="17.85546875" customWidth="1"/>
    <col min="11" max="13" width="15.7109375" customWidth="1"/>
    <col min="14" max="14" width="22.140625" bestFit="1" customWidth="1"/>
    <col min="15" max="15" width="15.7109375" customWidth="1"/>
    <col min="16" max="16" width="12.7109375" hidden="1" customWidth="1" outlineLevel="1"/>
    <col min="17" max="17" width="14.28515625" hidden="1" customWidth="1" outlineLevel="1"/>
    <col min="18" max="18" width="15.7109375" hidden="1" customWidth="1" outlineLevel="1"/>
    <col min="19" max="19" width="16.85546875" hidden="1" customWidth="1" outlineLevel="1"/>
    <col min="20" max="29" width="12.7109375" hidden="1" customWidth="1" outlineLevel="1"/>
    <col min="30" max="30" width="9.140625" collapsed="1"/>
  </cols>
  <sheetData>
    <row r="1" spans="1:30" x14ac:dyDescent="0.25">
      <c r="AD1" s="12" t="s">
        <v>70</v>
      </c>
    </row>
    <row r="2" spans="1:30" x14ac:dyDescent="0.25">
      <c r="B2" s="30" t="s">
        <v>44</v>
      </c>
    </row>
    <row r="3" spans="1:30" x14ac:dyDescent="0.25">
      <c r="B3" s="31">
        <f ca="1">TODAY()</f>
        <v>43089</v>
      </c>
      <c r="I3" s="9"/>
    </row>
    <row r="4" spans="1:30" ht="15.75" x14ac:dyDescent="0.25">
      <c r="S4" s="54"/>
    </row>
    <row r="5" spans="1:30" ht="15" customHeight="1" x14ac:dyDescent="0.25">
      <c r="B5" s="123" t="s">
        <v>104</v>
      </c>
      <c r="C5" s="121" t="s">
        <v>103</v>
      </c>
      <c r="D5" s="121" t="s">
        <v>1</v>
      </c>
      <c r="E5" s="121" t="s">
        <v>2</v>
      </c>
      <c r="F5" s="122" t="s">
        <v>150</v>
      </c>
      <c r="G5" s="121" t="s">
        <v>3</v>
      </c>
      <c r="H5" s="121" t="s">
        <v>89</v>
      </c>
      <c r="I5" s="121" t="s">
        <v>83</v>
      </c>
      <c r="J5" s="121" t="s">
        <v>5</v>
      </c>
      <c r="K5" s="127" t="s">
        <v>6</v>
      </c>
      <c r="L5" s="127"/>
      <c r="M5" s="127" t="s">
        <v>7</v>
      </c>
      <c r="N5" s="127"/>
      <c r="O5" s="127"/>
      <c r="P5" s="8"/>
      <c r="Q5" s="8"/>
      <c r="R5" s="48"/>
      <c r="S5" s="8"/>
      <c r="T5" s="8"/>
      <c r="U5" s="8"/>
      <c r="V5" s="8"/>
      <c r="W5" s="8"/>
      <c r="X5" s="8"/>
    </row>
    <row r="6" spans="1:30" ht="38.25" x14ac:dyDescent="0.25">
      <c r="B6" s="124"/>
      <c r="C6" s="122"/>
      <c r="D6" s="122"/>
      <c r="E6" s="122"/>
      <c r="F6" s="125"/>
      <c r="G6" s="122"/>
      <c r="H6" s="122"/>
      <c r="I6" s="122"/>
      <c r="J6" s="122"/>
      <c r="K6" s="83" t="s">
        <v>8</v>
      </c>
      <c r="L6" s="83" t="s">
        <v>9</v>
      </c>
      <c r="M6" s="83" t="s">
        <v>10</v>
      </c>
      <c r="N6" s="83" t="s">
        <v>11</v>
      </c>
      <c r="O6" s="83" t="s">
        <v>9</v>
      </c>
      <c r="P6" s="83" t="s">
        <v>84</v>
      </c>
      <c r="Q6" s="83" t="s">
        <v>100</v>
      </c>
      <c r="R6" s="83" t="s">
        <v>82</v>
      </c>
      <c r="S6" s="83" t="s">
        <v>55</v>
      </c>
      <c r="T6" s="83" t="s">
        <v>85</v>
      </c>
      <c r="U6" s="83" t="s">
        <v>54</v>
      </c>
      <c r="V6" s="83" t="s">
        <v>95</v>
      </c>
      <c r="W6" s="83" t="s">
        <v>96</v>
      </c>
      <c r="X6" s="83" t="s">
        <v>53</v>
      </c>
      <c r="Y6" s="83" t="s">
        <v>88</v>
      </c>
      <c r="Z6" s="83" t="s">
        <v>87</v>
      </c>
      <c r="AA6" s="83" t="s">
        <v>86</v>
      </c>
      <c r="AB6" s="83" t="s">
        <v>43</v>
      </c>
      <c r="AC6" s="83" t="s">
        <v>75</v>
      </c>
    </row>
    <row r="7" spans="1:30" x14ac:dyDescent="0.25">
      <c r="A7" s="29">
        <v>1</v>
      </c>
      <c r="B7" s="91" t="b">
        <f ca="1">AB7</f>
        <v>0</v>
      </c>
      <c r="C7" s="92" t="s">
        <v>148</v>
      </c>
      <c r="D7" s="25" t="s">
        <v>77</v>
      </c>
      <c r="E7" s="93" t="s">
        <v>92</v>
      </c>
      <c r="F7" s="108">
        <v>1</v>
      </c>
      <c r="G7" s="108" t="s">
        <v>14</v>
      </c>
      <c r="H7" s="110">
        <f ca="1">IF($E7="IMM",_xll.meDateNthIMMFromStartDate(AsOf, $F7,$AC7,"MOD_FOLLOWING"),_xll.meDateFromTenor(AsOf,$F7&amp;"D","MOD_FOLLOWING",$AC7))</f>
        <v>43180</v>
      </c>
      <c r="I7" s="94" t="s">
        <v>153</v>
      </c>
      <c r="J7" s="95" t="s">
        <v>16</v>
      </c>
      <c r="K7" s="95" t="s">
        <v>47</v>
      </c>
      <c r="L7" s="95" t="s">
        <v>42</v>
      </c>
      <c r="M7" s="95" t="s">
        <v>99</v>
      </c>
      <c r="N7" s="95" t="s">
        <v>56</v>
      </c>
      <c r="O7" s="96" t="s">
        <v>48</v>
      </c>
      <c r="P7" s="34">
        <f t="shared" ref="P7:P48" ca="1" si="0">MATCH(M7,$L$54:$L$61,0)</f>
        <v>6</v>
      </c>
      <c r="Q7" s="35" t="str">
        <f ca="1">IF(E7="SPOT",E7,E7&amp;IF(H7=USD3ML.IMMIMM1, 1,IF(H7=USD3ML.IMMIMM2,2,"NotInScope")))</f>
        <v>IMM1</v>
      </c>
      <c r="R7" s="44">
        <f ca="1">IF($I7="","",IF(ISNUMBER($I7),$I7,_xll.meDateFromTenor(H7,$I7,"MOD_FOLLOWING",VLOOKUP(LEFT($M7,3),DateConventions,3))))</f>
        <v>45014</v>
      </c>
      <c r="S7" s="35" t="b">
        <f ca="1">ISNUMBER(SEARCH($E7, INDEX($E$54:$E$61,$P7)))</f>
        <v>1</v>
      </c>
      <c r="T7" s="35" t="b">
        <f t="shared" ref="T7:T48" ca="1" si="1">ISNUMBER(SEARCH($G7, INDEX($G$54:$G$61,$P7)))</f>
        <v>1</v>
      </c>
      <c r="U7" s="35" t="b">
        <f t="shared" ref="U7:U48" ca="1" si="2">ISNUMBER(SEARCH($J7, INDEX($I$54:$I$61,$P7)))</f>
        <v>1</v>
      </c>
      <c r="V7" s="35" t="b">
        <f t="shared" ref="V7:V48" ca="1" si="3">IF(S7,$H7=INDIRECT(M7&amp;Q7),FALSE)</f>
        <v>1</v>
      </c>
      <c r="W7" s="39" t="b">
        <f t="shared" ref="W7:W48" ca="1" si="4">IF(ISNUMBER(MATCH($R7,INDIRECT(M7&amp;Q7&amp;".Lower"),1)), $R7&lt;=INDEX(INDIRECT(M7&amp;Q7&amp;".Upper"),MATCH($R7,INDIRECT(M7&amp;Q7&amp;".Lower"),1)), FALSE)</f>
        <v>0</v>
      </c>
      <c r="X7" s="35" t="b">
        <f t="shared" ref="X7:X48" ca="1" si="5">ISNUMBER(SEARCH($K7, INDEX($J$54:$J$61,$P7)))</f>
        <v>1</v>
      </c>
      <c r="Y7" s="36" t="b">
        <f t="shared" ref="Y7:Y48" ca="1" si="6">ISNUMBER(SEARCH($L7, INDEX($K$54:$K$61,$P7)))</f>
        <v>1</v>
      </c>
      <c r="Z7" s="36" t="b">
        <f ca="1">ISNUMBER(SEARCH($N7, INDEX($M$54:$M$61,$P7)))</f>
        <v>1</v>
      </c>
      <c r="AA7" s="36" t="b">
        <f t="shared" ref="AA7:AA48" ca="1" si="7">ISNUMBER(SEARCH($O7, INDEX($N$54:$N$61,$P7)))</f>
        <v>1</v>
      </c>
      <c r="AB7" s="66" t="b">
        <f t="shared" ref="AB7:AB48" ca="1" si="8">AND(S7:AA7)</f>
        <v>0</v>
      </c>
      <c r="AC7" s="63" t="str">
        <f ca="1">IF($D7="USD","NYB",IF($D7="EUR","TGT",IF($D7="GBP","LNB","")))</f>
        <v>NYB</v>
      </c>
    </row>
    <row r="8" spans="1:30" x14ac:dyDescent="0.25">
      <c r="A8" s="29">
        <v>2</v>
      </c>
      <c r="B8" s="97" t="b">
        <f t="shared" ref="B8:B48" ca="1" si="9">AB8</f>
        <v>1</v>
      </c>
      <c r="C8" s="60" t="s">
        <v>148</v>
      </c>
      <c r="D8" s="22" t="s">
        <v>77</v>
      </c>
      <c r="E8" s="62" t="s">
        <v>92</v>
      </c>
      <c r="F8" s="22">
        <v>1</v>
      </c>
      <c r="G8" s="22" t="s">
        <v>14</v>
      </c>
      <c r="H8" s="57">
        <f ca="1">IF($E8="IMM",_xll.meDateNthIMMFromStartDate(AsOf, $F8,$AC8,"MOD_FOLLOWING"),_xll.meDateFromTenor(AsOf,$F8&amp;"D","MOD_FOLLOWING",$AC8))</f>
        <v>43180</v>
      </c>
      <c r="I8" s="88" t="s">
        <v>152</v>
      </c>
      <c r="J8" s="23" t="s">
        <v>16</v>
      </c>
      <c r="K8" s="23" t="s">
        <v>47</v>
      </c>
      <c r="L8" s="23" t="s">
        <v>42</v>
      </c>
      <c r="M8" s="23" t="s">
        <v>99</v>
      </c>
      <c r="N8" s="23" t="s">
        <v>56</v>
      </c>
      <c r="O8" s="46" t="s">
        <v>48</v>
      </c>
      <c r="P8" s="37">
        <f t="shared" ca="1" si="0"/>
        <v>6</v>
      </c>
      <c r="Q8" s="38" t="str">
        <f ca="1">IF(E8="SPOT",E8,E8&amp;IF(H8=USD3ML.IMMIMM1, 1,IF(H8=USD3ML.IMMIMM2,2,"NotInScope")))</f>
        <v>IMM1</v>
      </c>
      <c r="R8" s="57">
        <f ca="1">IF($I8="","",IF(ISNUMBER($I8),$I8,_xll.meDateFromTenor(H8,$I8,"MOD_FOLLOWING",VLOOKUP(LEFT($M8,3),DateConventions,3))))</f>
        <v>45013</v>
      </c>
      <c r="S8" s="38" t="b">
        <f t="shared" ref="S8:S48" ca="1" si="10">ISNUMBER(SEARCH($E8, INDEX($E$54:$E$61,$P8)))</f>
        <v>1</v>
      </c>
      <c r="T8" s="38" t="b">
        <f t="shared" ca="1" si="1"/>
        <v>1</v>
      </c>
      <c r="U8" s="38" t="b">
        <f t="shared" ca="1" si="2"/>
        <v>1</v>
      </c>
      <c r="V8" s="38" t="b">
        <f t="shared" ca="1" si="3"/>
        <v>1</v>
      </c>
      <c r="W8" s="39" t="b">
        <f t="shared" ca="1" si="4"/>
        <v>1</v>
      </c>
      <c r="X8" s="38" t="b">
        <f t="shared" ca="1" si="5"/>
        <v>1</v>
      </c>
      <c r="Y8" s="40" t="b">
        <f t="shared" ca="1" si="6"/>
        <v>1</v>
      </c>
      <c r="Z8" s="40" t="b">
        <f t="shared" ref="Z8:Z48" ca="1" si="11">ISNUMBER(SEARCH($N8, INDEX($M$54:$M$61,$P8)))</f>
        <v>1</v>
      </c>
      <c r="AA8" s="40" t="b">
        <f t="shared" ca="1" si="7"/>
        <v>1</v>
      </c>
      <c r="AB8" s="67" t="b">
        <f t="shared" ca="1" si="8"/>
        <v>1</v>
      </c>
      <c r="AC8" s="64" t="str">
        <f ca="1">IF($D8="USD","NYB",IF($D8="EUR","TGT",IF($D8="GBP","LNB","")))</f>
        <v>NYB</v>
      </c>
    </row>
    <row r="9" spans="1:30" x14ac:dyDescent="0.25">
      <c r="A9" s="29">
        <v>3</v>
      </c>
      <c r="B9" s="97" t="b">
        <f t="shared" ca="1" si="9"/>
        <v>1</v>
      </c>
      <c r="C9" s="60" t="s">
        <v>148</v>
      </c>
      <c r="D9" s="22" t="s">
        <v>77</v>
      </c>
      <c r="E9" s="62" t="s">
        <v>92</v>
      </c>
      <c r="F9" s="22">
        <v>1</v>
      </c>
      <c r="G9" s="22" t="s">
        <v>14</v>
      </c>
      <c r="H9" s="57">
        <f ca="1">IF($E9="IMM",_xll.meDateNthIMMFromStartDate(AsOf, $F9,$AC9,"MOD_FOLLOWING"),_xll.meDateFromTenor(AsOf,$F9&amp;"D","MOD_FOLLOWING",$AC9))</f>
        <v>43180</v>
      </c>
      <c r="I9" s="88" t="s">
        <v>29</v>
      </c>
      <c r="J9" s="23" t="s">
        <v>16</v>
      </c>
      <c r="K9" s="23" t="s">
        <v>47</v>
      </c>
      <c r="L9" s="23" t="s">
        <v>42</v>
      </c>
      <c r="M9" s="23" t="s">
        <v>99</v>
      </c>
      <c r="N9" s="23" t="s">
        <v>56</v>
      </c>
      <c r="O9" s="46" t="s">
        <v>48</v>
      </c>
      <c r="P9" s="37">
        <f t="shared" ca="1" si="0"/>
        <v>6</v>
      </c>
      <c r="Q9" s="38" t="str">
        <f ca="1">IF(E9="SPOT",E9,E9&amp;IF(H9=USD3ML.IMMIMM1, 1,IF(H9=USD3ML.IMMIMM2,2,"NotInScope")))</f>
        <v>IMM1</v>
      </c>
      <c r="R9" s="57">
        <f ca="1">IF($I9="","",IF(ISNUMBER($I9),$I9,_xll.meDateFromTenor(H9,$I9,"MOD_FOLLOWING",VLOOKUP(LEFT($M9,3),DateConventions,3))))</f>
        <v>45006</v>
      </c>
      <c r="S9" s="38" t="b">
        <f t="shared" ca="1" si="10"/>
        <v>1</v>
      </c>
      <c r="T9" s="38" t="b">
        <f t="shared" ca="1" si="1"/>
        <v>1</v>
      </c>
      <c r="U9" s="38" t="b">
        <f t="shared" ca="1" si="2"/>
        <v>1</v>
      </c>
      <c r="V9" s="38" t="b">
        <f t="shared" ca="1" si="3"/>
        <v>1</v>
      </c>
      <c r="W9" s="39" t="b">
        <f t="shared" ca="1" si="4"/>
        <v>1</v>
      </c>
      <c r="X9" s="38" t="b">
        <f t="shared" ca="1" si="5"/>
        <v>1</v>
      </c>
      <c r="Y9" s="40" t="b">
        <f t="shared" ca="1" si="6"/>
        <v>1</v>
      </c>
      <c r="Z9" s="40" t="b">
        <f ca="1">ISNUMBER(SEARCH($N9, INDEX($M$54:$M$61,$P9)))</f>
        <v>1</v>
      </c>
      <c r="AA9" s="40" t="b">
        <f t="shared" ca="1" si="7"/>
        <v>1</v>
      </c>
      <c r="AB9" s="67" t="b">
        <f t="shared" ca="1" si="8"/>
        <v>1</v>
      </c>
      <c r="AC9" s="64" t="str">
        <f ca="1">IF($D9="USD","NYB",IF($D9="EUR","TGT",IF($D9="GBP","LNB","")))</f>
        <v>NYB</v>
      </c>
    </row>
    <row r="10" spans="1:30" x14ac:dyDescent="0.25">
      <c r="A10" s="29">
        <v>4</v>
      </c>
      <c r="B10" s="97" t="b">
        <f t="shared" ca="1" si="9"/>
        <v>1</v>
      </c>
      <c r="C10" s="60" t="s">
        <v>148</v>
      </c>
      <c r="D10" s="22" t="s">
        <v>77</v>
      </c>
      <c r="E10" s="62" t="s">
        <v>92</v>
      </c>
      <c r="F10" s="22">
        <v>1</v>
      </c>
      <c r="G10" s="22" t="s">
        <v>14</v>
      </c>
      <c r="H10" s="57">
        <f ca="1">IF($E10="IMM",_xll.meDateNthIMMFromStartDate(AsOf, $F10,$AC10,"MOD_FOLLOWING"),_xll.meDateFromTenor(AsOf,$F10&amp;"D","MOD_FOLLOWING",$AC10))</f>
        <v>43180</v>
      </c>
      <c r="I10" s="88" t="s">
        <v>29</v>
      </c>
      <c r="J10" s="23" t="s">
        <v>16</v>
      </c>
      <c r="K10" s="23" t="s">
        <v>47</v>
      </c>
      <c r="L10" s="23" t="s">
        <v>42</v>
      </c>
      <c r="M10" s="23" t="s">
        <v>99</v>
      </c>
      <c r="N10" s="23" t="s">
        <v>56</v>
      </c>
      <c r="O10" s="46" t="s">
        <v>48</v>
      </c>
      <c r="P10" s="37">
        <f t="shared" ca="1" si="0"/>
        <v>6</v>
      </c>
      <c r="Q10" s="38" t="str">
        <f ca="1">IF(E10="SPOT",E10,E10&amp;IF(H10=USD3ML.IMMIMM1, 1,IF(H10=USD3ML.IMMIMM2,2,"999")))</f>
        <v>IMM1</v>
      </c>
      <c r="R10" s="57">
        <f ca="1">IF($I10="","",IF(ISNUMBER($I10),$I10,_xll.meDateFromTenor(H10,$I10,"MOD_FOLLOWING",VLOOKUP(LEFT($M10,3),DateConventions,3))))</f>
        <v>45006</v>
      </c>
      <c r="S10" s="38" t="b">
        <f ca="1">ISNUMBER(SEARCH($E10, INDEX($E$54:$E$61,$P10)))</f>
        <v>1</v>
      </c>
      <c r="T10" s="38" t="b">
        <f t="shared" ca="1" si="1"/>
        <v>1</v>
      </c>
      <c r="U10" s="38" t="b">
        <f t="shared" ca="1" si="2"/>
        <v>1</v>
      </c>
      <c r="V10" s="38" t="b">
        <f t="shared" ca="1" si="3"/>
        <v>1</v>
      </c>
      <c r="W10" s="39" t="b">
        <f t="shared" ca="1" si="4"/>
        <v>1</v>
      </c>
      <c r="X10" s="38" t="b">
        <f t="shared" ca="1" si="5"/>
        <v>1</v>
      </c>
      <c r="Y10" s="40" t="b">
        <f t="shared" ca="1" si="6"/>
        <v>1</v>
      </c>
      <c r="Z10" s="40" t="b">
        <f t="shared" ca="1" si="11"/>
        <v>1</v>
      </c>
      <c r="AA10" s="40" t="b">
        <f t="shared" ca="1" si="7"/>
        <v>1</v>
      </c>
      <c r="AB10" s="67" t="b">
        <f t="shared" ca="1" si="8"/>
        <v>1</v>
      </c>
      <c r="AC10" s="64" t="str">
        <f t="shared" ref="AC10:AC48" ca="1" si="12">IF($D10="USD","NYB",IF($D10="EUR","TGT",IF($D10="GBP","LNB","")))</f>
        <v>NYB</v>
      </c>
    </row>
    <row r="11" spans="1:30" x14ac:dyDescent="0.25">
      <c r="A11" s="29">
        <v>5</v>
      </c>
      <c r="B11" s="97" t="b">
        <f t="shared" ca="1" si="9"/>
        <v>1</v>
      </c>
      <c r="C11" s="60" t="s">
        <v>148</v>
      </c>
      <c r="D11" s="22" t="s">
        <v>77</v>
      </c>
      <c r="E11" s="62" t="s">
        <v>92</v>
      </c>
      <c r="F11" s="22">
        <v>1</v>
      </c>
      <c r="G11" s="22" t="s">
        <v>14</v>
      </c>
      <c r="H11" s="57">
        <f ca="1">IF($E11="IMM",_xll.meDateNthIMMFromStartDate(AsOf, $F11,$AC11,"MOD_FOLLOWING"),_xll.meDateFromTenor(AsOf,$F11&amp;"D","MOD_FOLLOWING",$AC11))</f>
        <v>43180</v>
      </c>
      <c r="I11" s="88" t="s">
        <v>29</v>
      </c>
      <c r="J11" s="23" t="s">
        <v>16</v>
      </c>
      <c r="K11" s="23" t="s">
        <v>47</v>
      </c>
      <c r="L11" s="23" t="s">
        <v>42</v>
      </c>
      <c r="M11" s="23" t="s">
        <v>99</v>
      </c>
      <c r="N11" s="23" t="s">
        <v>56</v>
      </c>
      <c r="O11" s="46" t="s">
        <v>48</v>
      </c>
      <c r="P11" s="37">
        <f t="shared" ca="1" si="0"/>
        <v>6</v>
      </c>
      <c r="Q11" s="38" t="str">
        <f t="shared" ref="Q11:Q48" ca="1" si="13">IF(E11="SPOT",E11,E11&amp;IF(H11=USD3ML.IMMIMM1, 1,IF(H11=USD3ML.IMMIMM2,2,"NotInScope")))</f>
        <v>IMM1</v>
      </c>
      <c r="R11" s="57">
        <f ca="1">IF($I11="","",IF(ISNUMBER($I11),$I11,_xll.meDateFromTenor(H11,$I11,"MOD_FOLLOWING",VLOOKUP(LEFT($M11,3),DateConventions,3))))</f>
        <v>45006</v>
      </c>
      <c r="S11" s="38" t="b">
        <f t="shared" ca="1" si="10"/>
        <v>1</v>
      </c>
      <c r="T11" s="38" t="b">
        <f t="shared" ca="1" si="1"/>
        <v>1</v>
      </c>
      <c r="U11" s="38" t="b">
        <f t="shared" ca="1" si="2"/>
        <v>1</v>
      </c>
      <c r="V11" s="38" t="b">
        <f t="shared" ca="1" si="3"/>
        <v>1</v>
      </c>
      <c r="W11" s="39" t="b">
        <f t="shared" ca="1" si="4"/>
        <v>1</v>
      </c>
      <c r="X11" s="38" t="b">
        <f t="shared" ca="1" si="5"/>
        <v>1</v>
      </c>
      <c r="Y11" s="40" t="b">
        <f t="shared" ca="1" si="6"/>
        <v>1</v>
      </c>
      <c r="Z11" s="40" t="b">
        <f t="shared" ca="1" si="11"/>
        <v>1</v>
      </c>
      <c r="AA11" s="40" t="b">
        <f t="shared" ca="1" si="7"/>
        <v>1</v>
      </c>
      <c r="AB11" s="67" t="b">
        <f t="shared" ca="1" si="8"/>
        <v>1</v>
      </c>
      <c r="AC11" s="64" t="str">
        <f t="shared" ca="1" si="12"/>
        <v>NYB</v>
      </c>
    </row>
    <row r="12" spans="1:30" x14ac:dyDescent="0.25">
      <c r="A12" s="29">
        <v>6</v>
      </c>
      <c r="B12" s="97" t="b">
        <f t="shared" ca="1" si="9"/>
        <v>1</v>
      </c>
      <c r="C12" s="60" t="s">
        <v>148</v>
      </c>
      <c r="D12" s="22" t="s">
        <v>77</v>
      </c>
      <c r="E12" s="62" t="s">
        <v>92</v>
      </c>
      <c r="F12" s="22">
        <v>1</v>
      </c>
      <c r="G12" s="22" t="s">
        <v>14</v>
      </c>
      <c r="H12" s="58">
        <f ca="1">IF($E12="IMM",_xll.meDateNthIMMFromStartDate(AsOf, $F12,$AC12,"MOD_FOLLOWING"),_xll.meDateFromTenor(AsOf,$F12&amp;"D","MOD_FOLLOWING",$AC12))</f>
        <v>43180</v>
      </c>
      <c r="I12" s="88" t="s">
        <v>29</v>
      </c>
      <c r="J12" s="23" t="s">
        <v>16</v>
      </c>
      <c r="K12" s="23" t="s">
        <v>47</v>
      </c>
      <c r="L12" s="23" t="s">
        <v>42</v>
      </c>
      <c r="M12" s="23" t="s">
        <v>99</v>
      </c>
      <c r="N12" s="23" t="s">
        <v>56</v>
      </c>
      <c r="O12" s="46" t="s">
        <v>48</v>
      </c>
      <c r="P12" s="37">
        <f t="shared" ca="1" si="0"/>
        <v>6</v>
      </c>
      <c r="Q12" s="38" t="str">
        <f t="shared" ca="1" si="13"/>
        <v>IMM1</v>
      </c>
      <c r="R12" s="57">
        <f ca="1">IF($I12="","",IF(ISNUMBER($I12),$I12,_xll.meDateFromTenor(H12,$I12,"MOD_FOLLOWING",VLOOKUP(LEFT($M12,3),DateConventions,3))))</f>
        <v>45006</v>
      </c>
      <c r="S12" s="38" t="b">
        <f t="shared" ca="1" si="10"/>
        <v>1</v>
      </c>
      <c r="T12" s="38" t="b">
        <f t="shared" ca="1" si="1"/>
        <v>1</v>
      </c>
      <c r="U12" s="38" t="b">
        <f t="shared" ca="1" si="2"/>
        <v>1</v>
      </c>
      <c r="V12" s="38" t="b">
        <f t="shared" ca="1" si="3"/>
        <v>1</v>
      </c>
      <c r="W12" s="39" t="b">
        <f t="shared" ca="1" si="4"/>
        <v>1</v>
      </c>
      <c r="X12" s="38" t="b">
        <f t="shared" ca="1" si="5"/>
        <v>1</v>
      </c>
      <c r="Y12" s="40" t="b">
        <f t="shared" ca="1" si="6"/>
        <v>1</v>
      </c>
      <c r="Z12" s="40" t="b">
        <f t="shared" ca="1" si="11"/>
        <v>1</v>
      </c>
      <c r="AA12" s="40" t="b">
        <f t="shared" ca="1" si="7"/>
        <v>1</v>
      </c>
      <c r="AB12" s="67" t="b">
        <f t="shared" ca="1" si="8"/>
        <v>1</v>
      </c>
      <c r="AC12" s="64" t="str">
        <f t="shared" ca="1" si="12"/>
        <v>NYB</v>
      </c>
    </row>
    <row r="13" spans="1:30" x14ac:dyDescent="0.25">
      <c r="A13" s="29">
        <v>7</v>
      </c>
      <c r="B13" s="97" t="b">
        <f t="shared" ca="1" si="9"/>
        <v>1</v>
      </c>
      <c r="C13" s="60" t="s">
        <v>148</v>
      </c>
      <c r="D13" s="22" t="s">
        <v>77</v>
      </c>
      <c r="E13" s="62" t="s">
        <v>92</v>
      </c>
      <c r="F13" s="22">
        <v>1</v>
      </c>
      <c r="G13" s="22" t="s">
        <v>14</v>
      </c>
      <c r="H13" s="58">
        <f ca="1">IF($E13="IMM",_xll.meDateNthIMMFromStartDate(AsOf, $F13,$AC13,"MOD_FOLLOWING"),_xll.meDateFromTenor(AsOf,$F13&amp;"D","MOD_FOLLOWING",$AC13))</f>
        <v>43180</v>
      </c>
      <c r="I13" s="88" t="s">
        <v>29</v>
      </c>
      <c r="J13" s="23" t="s">
        <v>16</v>
      </c>
      <c r="K13" s="23" t="s">
        <v>47</v>
      </c>
      <c r="L13" s="23" t="s">
        <v>42</v>
      </c>
      <c r="M13" s="23" t="s">
        <v>99</v>
      </c>
      <c r="N13" s="23" t="s">
        <v>56</v>
      </c>
      <c r="O13" s="46" t="s">
        <v>48</v>
      </c>
      <c r="P13" s="37">
        <f t="shared" ca="1" si="0"/>
        <v>6</v>
      </c>
      <c r="Q13" s="38" t="str">
        <f t="shared" ca="1" si="13"/>
        <v>IMM1</v>
      </c>
      <c r="R13" s="57">
        <f ca="1">IF($I13="","",IF(ISNUMBER($I13),$I13,_xll.meDateFromTenor(H13,$I13,"MOD_FOLLOWING",VLOOKUP(LEFT($M13,3),DateConventions,3))))</f>
        <v>45006</v>
      </c>
      <c r="S13" s="38" t="b">
        <f t="shared" ca="1" si="10"/>
        <v>1</v>
      </c>
      <c r="T13" s="38" t="b">
        <f t="shared" ca="1" si="1"/>
        <v>1</v>
      </c>
      <c r="U13" s="38" t="b">
        <f t="shared" ca="1" si="2"/>
        <v>1</v>
      </c>
      <c r="V13" s="38" t="b">
        <f t="shared" ca="1" si="3"/>
        <v>1</v>
      </c>
      <c r="W13" s="39" t="b">
        <f t="shared" ca="1" si="4"/>
        <v>1</v>
      </c>
      <c r="X13" s="38" t="b">
        <f t="shared" ca="1" si="5"/>
        <v>1</v>
      </c>
      <c r="Y13" s="40" t="b">
        <f t="shared" ca="1" si="6"/>
        <v>1</v>
      </c>
      <c r="Z13" s="40" t="b">
        <f t="shared" ca="1" si="11"/>
        <v>1</v>
      </c>
      <c r="AA13" s="40" t="b">
        <f t="shared" ca="1" si="7"/>
        <v>1</v>
      </c>
      <c r="AB13" s="67" t="b">
        <f t="shared" ca="1" si="8"/>
        <v>1</v>
      </c>
      <c r="AC13" s="64" t="str">
        <f t="shared" ca="1" si="12"/>
        <v>NYB</v>
      </c>
    </row>
    <row r="14" spans="1:30" x14ac:dyDescent="0.25">
      <c r="A14" s="29">
        <v>8</v>
      </c>
      <c r="B14" s="97" t="b">
        <f t="shared" ca="1" si="9"/>
        <v>1</v>
      </c>
      <c r="C14" s="60" t="s">
        <v>148</v>
      </c>
      <c r="D14" s="22" t="s">
        <v>77</v>
      </c>
      <c r="E14" s="62" t="s">
        <v>92</v>
      </c>
      <c r="F14" s="22">
        <v>1</v>
      </c>
      <c r="G14" s="22" t="s">
        <v>14</v>
      </c>
      <c r="H14" s="58">
        <f ca="1">IF($E14="IMM",_xll.meDateNthIMMFromStartDate(AsOf, $F14,$AC14,"MOD_FOLLOWING"),_xll.meDateFromTenor(AsOf,$F14&amp;"D","MOD_FOLLOWING",$AC14))</f>
        <v>43180</v>
      </c>
      <c r="I14" s="88" t="s">
        <v>29</v>
      </c>
      <c r="J14" s="23" t="s">
        <v>16</v>
      </c>
      <c r="K14" s="23" t="s">
        <v>47</v>
      </c>
      <c r="L14" s="23" t="s">
        <v>42</v>
      </c>
      <c r="M14" s="23" t="s">
        <v>99</v>
      </c>
      <c r="N14" s="23" t="s">
        <v>56</v>
      </c>
      <c r="O14" s="46" t="s">
        <v>48</v>
      </c>
      <c r="P14" s="37">
        <f t="shared" ca="1" si="0"/>
        <v>6</v>
      </c>
      <c r="Q14" s="38" t="str">
        <f t="shared" ca="1" si="13"/>
        <v>IMM1</v>
      </c>
      <c r="R14" s="57">
        <f ca="1">IF($I14="","",IF(ISNUMBER($I14),$I14,_xll.meDateFromTenor(H14,$I14,"MOD_FOLLOWING",VLOOKUP(LEFT($M14,3),DateConventions,3))))</f>
        <v>45006</v>
      </c>
      <c r="S14" s="38" t="b">
        <f t="shared" ca="1" si="10"/>
        <v>1</v>
      </c>
      <c r="T14" s="38" t="b">
        <f t="shared" ca="1" si="1"/>
        <v>1</v>
      </c>
      <c r="U14" s="38" t="b">
        <f t="shared" ca="1" si="2"/>
        <v>1</v>
      </c>
      <c r="V14" s="38" t="b">
        <f t="shared" ca="1" si="3"/>
        <v>1</v>
      </c>
      <c r="W14" s="39" t="b">
        <f t="shared" ca="1" si="4"/>
        <v>1</v>
      </c>
      <c r="X14" s="38" t="b">
        <f t="shared" ca="1" si="5"/>
        <v>1</v>
      </c>
      <c r="Y14" s="40" t="b">
        <f t="shared" ca="1" si="6"/>
        <v>1</v>
      </c>
      <c r="Z14" s="40" t="b">
        <f t="shared" ca="1" si="11"/>
        <v>1</v>
      </c>
      <c r="AA14" s="40" t="b">
        <f t="shared" ca="1" si="7"/>
        <v>1</v>
      </c>
      <c r="AB14" s="67" t="b">
        <f t="shared" ca="1" si="8"/>
        <v>1</v>
      </c>
      <c r="AC14" s="64" t="str">
        <f t="shared" ca="1" si="12"/>
        <v>NYB</v>
      </c>
    </row>
    <row r="15" spans="1:30" x14ac:dyDescent="0.25">
      <c r="A15" s="29">
        <v>9</v>
      </c>
      <c r="B15" s="97" t="b">
        <f t="shared" ca="1" si="9"/>
        <v>1</v>
      </c>
      <c r="C15" s="60" t="s">
        <v>148</v>
      </c>
      <c r="D15" s="22" t="s">
        <v>77</v>
      </c>
      <c r="E15" s="62" t="s">
        <v>92</v>
      </c>
      <c r="F15" s="22">
        <v>1</v>
      </c>
      <c r="G15" s="22" t="s">
        <v>14</v>
      </c>
      <c r="H15" s="58">
        <f ca="1">IF($E15="IMM",_xll.meDateNthIMMFromStartDate(AsOf, $F15,$AC15,"MOD_FOLLOWING"),_xll.meDateFromTenor(AsOf,$F15&amp;"D","MOD_FOLLOWING",$AC15))</f>
        <v>43180</v>
      </c>
      <c r="I15" s="88" t="s">
        <v>29</v>
      </c>
      <c r="J15" s="23" t="s">
        <v>16</v>
      </c>
      <c r="K15" s="23" t="s">
        <v>47</v>
      </c>
      <c r="L15" s="23" t="s">
        <v>42</v>
      </c>
      <c r="M15" s="23" t="s">
        <v>99</v>
      </c>
      <c r="N15" s="23" t="s">
        <v>56</v>
      </c>
      <c r="O15" s="46" t="s">
        <v>48</v>
      </c>
      <c r="P15" s="37">
        <f t="shared" ca="1" si="0"/>
        <v>6</v>
      </c>
      <c r="Q15" s="38" t="str">
        <f t="shared" ca="1" si="13"/>
        <v>IMM1</v>
      </c>
      <c r="R15" s="57">
        <f ca="1">IF($I15="","",IF(ISNUMBER($I15),$I15,_xll.meDateFromTenor(H15,$I15,"MOD_FOLLOWING",VLOOKUP(LEFT($M15,3),DateConventions,3))))</f>
        <v>45006</v>
      </c>
      <c r="S15" s="38" t="b">
        <f t="shared" ca="1" si="10"/>
        <v>1</v>
      </c>
      <c r="T15" s="38" t="b">
        <f t="shared" ca="1" si="1"/>
        <v>1</v>
      </c>
      <c r="U15" s="38" t="b">
        <f t="shared" ca="1" si="2"/>
        <v>1</v>
      </c>
      <c r="V15" s="38" t="b">
        <f t="shared" ca="1" si="3"/>
        <v>1</v>
      </c>
      <c r="W15" s="39" t="b">
        <f t="shared" ca="1" si="4"/>
        <v>1</v>
      </c>
      <c r="X15" s="38" t="b">
        <f t="shared" ca="1" si="5"/>
        <v>1</v>
      </c>
      <c r="Y15" s="40" t="b">
        <f t="shared" ca="1" si="6"/>
        <v>1</v>
      </c>
      <c r="Z15" s="40" t="b">
        <f t="shared" ca="1" si="11"/>
        <v>1</v>
      </c>
      <c r="AA15" s="40" t="b">
        <f t="shared" ca="1" si="7"/>
        <v>1</v>
      </c>
      <c r="AB15" s="67" t="b">
        <f t="shared" ca="1" si="8"/>
        <v>1</v>
      </c>
      <c r="AC15" s="64" t="str">
        <f t="shared" ca="1" si="12"/>
        <v>NYB</v>
      </c>
    </row>
    <row r="16" spans="1:30" x14ac:dyDescent="0.25">
      <c r="A16" s="29">
        <v>10</v>
      </c>
      <c r="B16" s="97" t="b">
        <f t="shared" ca="1" si="9"/>
        <v>1</v>
      </c>
      <c r="C16" s="60" t="s">
        <v>148</v>
      </c>
      <c r="D16" s="22" t="s">
        <v>77</v>
      </c>
      <c r="E16" s="62" t="s">
        <v>92</v>
      </c>
      <c r="F16" s="22">
        <v>1</v>
      </c>
      <c r="G16" s="22" t="s">
        <v>14</v>
      </c>
      <c r="H16" s="58">
        <f ca="1">IF($E16="IMM",_xll.meDateNthIMMFromStartDate(AsOf, $F16,$AC16,"MOD_FOLLOWING"),_xll.meDateFromTenor(AsOf,$F16&amp;"D","MOD_FOLLOWING",$AC16))</f>
        <v>43180</v>
      </c>
      <c r="I16" s="88" t="s">
        <v>29</v>
      </c>
      <c r="J16" s="23" t="s">
        <v>16</v>
      </c>
      <c r="K16" s="23" t="s">
        <v>47</v>
      </c>
      <c r="L16" s="23" t="s">
        <v>42</v>
      </c>
      <c r="M16" s="23" t="s">
        <v>99</v>
      </c>
      <c r="N16" s="23" t="s">
        <v>56</v>
      </c>
      <c r="O16" s="46" t="s">
        <v>48</v>
      </c>
      <c r="P16" s="37">
        <f t="shared" ca="1" si="0"/>
        <v>6</v>
      </c>
      <c r="Q16" s="38" t="str">
        <f t="shared" ca="1" si="13"/>
        <v>IMM1</v>
      </c>
      <c r="R16" s="57">
        <f ca="1">IF($I16="","",IF(ISNUMBER($I16),$I16,_xll.meDateFromTenor(H16,$I16,"MOD_FOLLOWING",VLOOKUP(LEFT($M16,3),DateConventions,3))))</f>
        <v>45006</v>
      </c>
      <c r="S16" s="38" t="b">
        <f t="shared" ca="1" si="10"/>
        <v>1</v>
      </c>
      <c r="T16" s="38" t="b">
        <f t="shared" ca="1" si="1"/>
        <v>1</v>
      </c>
      <c r="U16" s="38" t="b">
        <f t="shared" ca="1" si="2"/>
        <v>1</v>
      </c>
      <c r="V16" s="38" t="b">
        <f t="shared" ca="1" si="3"/>
        <v>1</v>
      </c>
      <c r="W16" s="39" t="b">
        <f t="shared" ca="1" si="4"/>
        <v>1</v>
      </c>
      <c r="X16" s="38" t="b">
        <f t="shared" ca="1" si="5"/>
        <v>1</v>
      </c>
      <c r="Y16" s="40" t="b">
        <f t="shared" ca="1" si="6"/>
        <v>1</v>
      </c>
      <c r="Z16" s="40" t="b">
        <f t="shared" ca="1" si="11"/>
        <v>1</v>
      </c>
      <c r="AA16" s="40" t="b">
        <f t="shared" ca="1" si="7"/>
        <v>1</v>
      </c>
      <c r="AB16" s="67" t="b">
        <f t="shared" ca="1" si="8"/>
        <v>1</v>
      </c>
      <c r="AC16" s="64" t="str">
        <f t="shared" ca="1" si="12"/>
        <v>NYB</v>
      </c>
    </row>
    <row r="17" spans="1:29" x14ac:dyDescent="0.25">
      <c r="A17" s="29">
        <v>11</v>
      </c>
      <c r="B17" s="97" t="b">
        <f t="shared" ca="1" si="9"/>
        <v>1</v>
      </c>
      <c r="C17" s="60" t="s">
        <v>148</v>
      </c>
      <c r="D17" s="22" t="s">
        <v>77</v>
      </c>
      <c r="E17" s="62" t="s">
        <v>92</v>
      </c>
      <c r="F17" s="22">
        <v>1</v>
      </c>
      <c r="G17" s="22" t="s">
        <v>14</v>
      </c>
      <c r="H17" s="58">
        <f ca="1">IF($E17="IMM",_xll.meDateNthIMMFromStartDate(AsOf, $F17,$AC17,"MOD_FOLLOWING"),_xll.meDateFromTenor(AsOf,$F17&amp;"D","MOD_FOLLOWING",$AC17))</f>
        <v>43180</v>
      </c>
      <c r="I17" s="88" t="s">
        <v>29</v>
      </c>
      <c r="J17" s="23" t="s">
        <v>16</v>
      </c>
      <c r="K17" s="23" t="s">
        <v>47</v>
      </c>
      <c r="L17" s="23" t="s">
        <v>42</v>
      </c>
      <c r="M17" s="23" t="s">
        <v>99</v>
      </c>
      <c r="N17" s="23" t="s">
        <v>56</v>
      </c>
      <c r="O17" s="46" t="s">
        <v>48</v>
      </c>
      <c r="P17" s="37">
        <f t="shared" ca="1" si="0"/>
        <v>6</v>
      </c>
      <c r="Q17" s="38" t="str">
        <f t="shared" ca="1" si="13"/>
        <v>IMM1</v>
      </c>
      <c r="R17" s="57">
        <f ca="1">IF($I17="","",IF(ISNUMBER($I17),$I17,_xll.meDateFromTenor(H17,$I17,"MOD_FOLLOWING",VLOOKUP(LEFT($M17,3),DateConventions,3))))</f>
        <v>45006</v>
      </c>
      <c r="S17" s="38" t="b">
        <f t="shared" ca="1" si="10"/>
        <v>1</v>
      </c>
      <c r="T17" s="38" t="b">
        <f t="shared" ca="1" si="1"/>
        <v>1</v>
      </c>
      <c r="U17" s="38" t="b">
        <f t="shared" ca="1" si="2"/>
        <v>1</v>
      </c>
      <c r="V17" s="38" t="b">
        <f t="shared" ca="1" si="3"/>
        <v>1</v>
      </c>
      <c r="W17" s="39" t="b">
        <f t="shared" ca="1" si="4"/>
        <v>1</v>
      </c>
      <c r="X17" s="38" t="b">
        <f t="shared" ca="1" si="5"/>
        <v>1</v>
      </c>
      <c r="Y17" s="40" t="b">
        <f t="shared" ca="1" si="6"/>
        <v>1</v>
      </c>
      <c r="Z17" s="40" t="b">
        <f t="shared" ca="1" si="11"/>
        <v>1</v>
      </c>
      <c r="AA17" s="40" t="b">
        <f t="shared" ca="1" si="7"/>
        <v>1</v>
      </c>
      <c r="AB17" s="67" t="b">
        <f t="shared" ca="1" si="8"/>
        <v>1</v>
      </c>
      <c r="AC17" s="64" t="str">
        <f t="shared" ca="1" si="12"/>
        <v>NYB</v>
      </c>
    </row>
    <row r="18" spans="1:29" x14ac:dyDescent="0.25">
      <c r="A18" s="29">
        <v>12</v>
      </c>
      <c r="B18" s="97" t="b">
        <f t="shared" ca="1" si="9"/>
        <v>1</v>
      </c>
      <c r="C18" s="60" t="s">
        <v>148</v>
      </c>
      <c r="D18" s="22" t="s">
        <v>77</v>
      </c>
      <c r="E18" s="62" t="s">
        <v>92</v>
      </c>
      <c r="F18" s="22">
        <v>1</v>
      </c>
      <c r="G18" s="22" t="s">
        <v>14</v>
      </c>
      <c r="H18" s="58">
        <f ca="1">IF($E18="IMM",_xll.meDateNthIMMFromStartDate(AsOf, $F18,$AC18,"MOD_FOLLOWING"),_xll.meDateFromTenor(AsOf,$F18&amp;"D","MOD_FOLLOWING",$AC18))</f>
        <v>43180</v>
      </c>
      <c r="I18" s="88" t="s">
        <v>29</v>
      </c>
      <c r="J18" s="23" t="s">
        <v>16</v>
      </c>
      <c r="K18" s="23" t="s">
        <v>47</v>
      </c>
      <c r="L18" s="23" t="s">
        <v>42</v>
      </c>
      <c r="M18" s="23" t="s">
        <v>99</v>
      </c>
      <c r="N18" s="23" t="s">
        <v>56</v>
      </c>
      <c r="O18" s="46" t="s">
        <v>48</v>
      </c>
      <c r="P18" s="37">
        <f t="shared" ca="1" si="0"/>
        <v>6</v>
      </c>
      <c r="Q18" s="38" t="str">
        <f t="shared" ca="1" si="13"/>
        <v>IMM1</v>
      </c>
      <c r="R18" s="57">
        <f ca="1">IF($I18="","",IF(ISNUMBER($I18),$I18,_xll.meDateFromTenor(H18,$I18,"MOD_FOLLOWING",VLOOKUP(LEFT($M18,3),DateConventions,3))))</f>
        <v>45006</v>
      </c>
      <c r="S18" s="38" t="b">
        <f t="shared" ca="1" si="10"/>
        <v>1</v>
      </c>
      <c r="T18" s="38" t="b">
        <f t="shared" ca="1" si="1"/>
        <v>1</v>
      </c>
      <c r="U18" s="38" t="b">
        <f t="shared" ca="1" si="2"/>
        <v>1</v>
      </c>
      <c r="V18" s="38" t="b">
        <f t="shared" ca="1" si="3"/>
        <v>1</v>
      </c>
      <c r="W18" s="39" t="b">
        <f t="shared" ca="1" si="4"/>
        <v>1</v>
      </c>
      <c r="X18" s="38" t="b">
        <f t="shared" ca="1" si="5"/>
        <v>1</v>
      </c>
      <c r="Y18" s="40" t="b">
        <f t="shared" ca="1" si="6"/>
        <v>1</v>
      </c>
      <c r="Z18" s="40" t="b">
        <f t="shared" ca="1" si="11"/>
        <v>1</v>
      </c>
      <c r="AA18" s="40" t="b">
        <f t="shared" ca="1" si="7"/>
        <v>1</v>
      </c>
      <c r="AB18" s="67" t="b">
        <f t="shared" ca="1" si="8"/>
        <v>1</v>
      </c>
      <c r="AC18" s="64" t="str">
        <f t="shared" ca="1" si="12"/>
        <v>NYB</v>
      </c>
    </row>
    <row r="19" spans="1:29" x14ac:dyDescent="0.25">
      <c r="A19" s="29">
        <v>13</v>
      </c>
      <c r="B19" s="97" t="b">
        <f t="shared" ca="1" si="9"/>
        <v>1</v>
      </c>
      <c r="C19" s="60" t="s">
        <v>148</v>
      </c>
      <c r="D19" s="22" t="s">
        <v>77</v>
      </c>
      <c r="E19" s="62" t="s">
        <v>92</v>
      </c>
      <c r="F19" s="22">
        <v>1</v>
      </c>
      <c r="G19" s="22" t="s">
        <v>14</v>
      </c>
      <c r="H19" s="58">
        <f ca="1">IF($E19="IMM",_xll.meDateNthIMMFromStartDate(AsOf, $F19,$AC19,"MOD_FOLLOWING"),_xll.meDateFromTenor(AsOf,$F19&amp;"D","MOD_FOLLOWING",$AC19))</f>
        <v>43180</v>
      </c>
      <c r="I19" s="88" t="s">
        <v>29</v>
      </c>
      <c r="J19" s="23" t="s">
        <v>16</v>
      </c>
      <c r="K19" s="23" t="s">
        <v>47</v>
      </c>
      <c r="L19" s="23" t="s">
        <v>42</v>
      </c>
      <c r="M19" s="23" t="s">
        <v>99</v>
      </c>
      <c r="N19" s="23" t="s">
        <v>56</v>
      </c>
      <c r="O19" s="46" t="s">
        <v>48</v>
      </c>
      <c r="P19" s="37">
        <f t="shared" ca="1" si="0"/>
        <v>6</v>
      </c>
      <c r="Q19" s="38" t="str">
        <f t="shared" ca="1" si="13"/>
        <v>IMM1</v>
      </c>
      <c r="R19" s="57">
        <f ca="1">IF($I19="","",IF(ISNUMBER($I19),$I19,_xll.meDateFromTenor(H19,$I19,"MOD_FOLLOWING",VLOOKUP(LEFT($M19,3),DateConventions,3))))</f>
        <v>45006</v>
      </c>
      <c r="S19" s="38" t="b">
        <f t="shared" ca="1" si="10"/>
        <v>1</v>
      </c>
      <c r="T19" s="38" t="b">
        <f t="shared" ca="1" si="1"/>
        <v>1</v>
      </c>
      <c r="U19" s="38" t="b">
        <f t="shared" ca="1" si="2"/>
        <v>1</v>
      </c>
      <c r="V19" s="38" t="b">
        <f t="shared" ca="1" si="3"/>
        <v>1</v>
      </c>
      <c r="W19" s="39" t="b">
        <f t="shared" ca="1" si="4"/>
        <v>1</v>
      </c>
      <c r="X19" s="38" t="b">
        <f t="shared" ca="1" si="5"/>
        <v>1</v>
      </c>
      <c r="Y19" s="40" t="b">
        <f t="shared" ca="1" si="6"/>
        <v>1</v>
      </c>
      <c r="Z19" s="40" t="b">
        <f t="shared" ca="1" si="11"/>
        <v>1</v>
      </c>
      <c r="AA19" s="40" t="b">
        <f t="shared" ca="1" si="7"/>
        <v>1</v>
      </c>
      <c r="AB19" s="67" t="b">
        <f t="shared" ca="1" si="8"/>
        <v>1</v>
      </c>
      <c r="AC19" s="64" t="str">
        <f t="shared" ca="1" si="12"/>
        <v>NYB</v>
      </c>
    </row>
    <row r="20" spans="1:29" x14ac:dyDescent="0.25">
      <c r="A20" s="29">
        <v>14</v>
      </c>
      <c r="B20" s="97" t="b">
        <f t="shared" ca="1" si="9"/>
        <v>1</v>
      </c>
      <c r="C20" s="60" t="s">
        <v>148</v>
      </c>
      <c r="D20" s="22" t="s">
        <v>77</v>
      </c>
      <c r="E20" s="62" t="s">
        <v>92</v>
      </c>
      <c r="F20" s="22">
        <v>1</v>
      </c>
      <c r="G20" s="22" t="s">
        <v>14</v>
      </c>
      <c r="H20" s="58">
        <f ca="1">IF($E20="IMM",_xll.meDateNthIMMFromStartDate(AsOf, $F20,$AC20,"MOD_FOLLOWING"),_xll.meDateFromTenor(AsOf,$F20&amp;"D","MOD_FOLLOWING",$AC20))</f>
        <v>43180</v>
      </c>
      <c r="I20" s="88" t="s">
        <v>29</v>
      </c>
      <c r="J20" s="23" t="s">
        <v>16</v>
      </c>
      <c r="K20" s="23" t="s">
        <v>47</v>
      </c>
      <c r="L20" s="23" t="s">
        <v>42</v>
      </c>
      <c r="M20" s="23" t="s">
        <v>99</v>
      </c>
      <c r="N20" s="23" t="s">
        <v>56</v>
      </c>
      <c r="O20" s="46" t="s">
        <v>48</v>
      </c>
      <c r="P20" s="37">
        <f t="shared" ca="1" si="0"/>
        <v>6</v>
      </c>
      <c r="Q20" s="38" t="str">
        <f t="shared" ca="1" si="13"/>
        <v>IMM1</v>
      </c>
      <c r="R20" s="57">
        <f ca="1">IF($I20="","",IF(ISNUMBER($I20),$I20,_xll.meDateFromTenor(H20,$I20,"MOD_FOLLOWING",VLOOKUP(LEFT($M20,3),DateConventions,3))))</f>
        <v>45006</v>
      </c>
      <c r="S20" s="38" t="b">
        <f t="shared" ca="1" si="10"/>
        <v>1</v>
      </c>
      <c r="T20" s="38" t="b">
        <f t="shared" ca="1" si="1"/>
        <v>1</v>
      </c>
      <c r="U20" s="38" t="b">
        <f t="shared" ca="1" si="2"/>
        <v>1</v>
      </c>
      <c r="V20" s="38" t="b">
        <f t="shared" ca="1" si="3"/>
        <v>1</v>
      </c>
      <c r="W20" s="39" t="b">
        <f t="shared" ca="1" si="4"/>
        <v>1</v>
      </c>
      <c r="X20" s="38" t="b">
        <f t="shared" ca="1" si="5"/>
        <v>1</v>
      </c>
      <c r="Y20" s="40" t="b">
        <f t="shared" ca="1" si="6"/>
        <v>1</v>
      </c>
      <c r="Z20" s="40" t="b">
        <f t="shared" ca="1" si="11"/>
        <v>1</v>
      </c>
      <c r="AA20" s="40" t="b">
        <f t="shared" ca="1" si="7"/>
        <v>1</v>
      </c>
      <c r="AB20" s="67" t="b">
        <f t="shared" ca="1" si="8"/>
        <v>1</v>
      </c>
      <c r="AC20" s="64" t="str">
        <f t="shared" ca="1" si="12"/>
        <v>NYB</v>
      </c>
    </row>
    <row r="21" spans="1:29" x14ac:dyDescent="0.25">
      <c r="A21" s="29">
        <v>15</v>
      </c>
      <c r="B21" s="97" t="b">
        <f t="shared" ca="1" si="9"/>
        <v>1</v>
      </c>
      <c r="C21" s="60" t="s">
        <v>148</v>
      </c>
      <c r="D21" s="22" t="s">
        <v>77</v>
      </c>
      <c r="E21" s="62" t="s">
        <v>92</v>
      </c>
      <c r="F21" s="22">
        <v>1</v>
      </c>
      <c r="G21" s="22" t="s">
        <v>14</v>
      </c>
      <c r="H21" s="58">
        <f ca="1">IF($E21="IMM",_xll.meDateNthIMMFromStartDate(AsOf, $F21,$AC21,"MOD_FOLLOWING"),_xll.meDateFromTenor(AsOf,$F21&amp;"D","MOD_FOLLOWING",$AC21))</f>
        <v>43180</v>
      </c>
      <c r="I21" s="88" t="s">
        <v>29</v>
      </c>
      <c r="J21" s="23" t="s">
        <v>16</v>
      </c>
      <c r="K21" s="23" t="s">
        <v>47</v>
      </c>
      <c r="L21" s="23" t="s">
        <v>42</v>
      </c>
      <c r="M21" s="23" t="s">
        <v>99</v>
      </c>
      <c r="N21" s="23" t="s">
        <v>56</v>
      </c>
      <c r="O21" s="46" t="s">
        <v>48</v>
      </c>
      <c r="P21" s="37">
        <f t="shared" ca="1" si="0"/>
        <v>6</v>
      </c>
      <c r="Q21" s="38" t="str">
        <f t="shared" ca="1" si="13"/>
        <v>IMM1</v>
      </c>
      <c r="R21" s="57">
        <f ca="1">IF($I21="","",IF(ISNUMBER($I21),$I21,_xll.meDateFromTenor(H21,$I21,"MOD_FOLLOWING",VLOOKUP(LEFT($M21,3),DateConventions,3))))</f>
        <v>45006</v>
      </c>
      <c r="S21" s="38" t="b">
        <f t="shared" ca="1" si="10"/>
        <v>1</v>
      </c>
      <c r="T21" s="38" t="b">
        <f t="shared" ca="1" si="1"/>
        <v>1</v>
      </c>
      <c r="U21" s="38" t="b">
        <f t="shared" ca="1" si="2"/>
        <v>1</v>
      </c>
      <c r="V21" s="38" t="b">
        <f t="shared" ca="1" si="3"/>
        <v>1</v>
      </c>
      <c r="W21" s="39" t="b">
        <f t="shared" ca="1" si="4"/>
        <v>1</v>
      </c>
      <c r="X21" s="38" t="b">
        <f t="shared" ca="1" si="5"/>
        <v>1</v>
      </c>
      <c r="Y21" s="40" t="b">
        <f t="shared" ca="1" si="6"/>
        <v>1</v>
      </c>
      <c r="Z21" s="40" t="b">
        <f t="shared" ca="1" si="11"/>
        <v>1</v>
      </c>
      <c r="AA21" s="40" t="b">
        <f t="shared" ca="1" si="7"/>
        <v>1</v>
      </c>
      <c r="AB21" s="67" t="b">
        <f t="shared" ca="1" si="8"/>
        <v>1</v>
      </c>
      <c r="AC21" s="64" t="str">
        <f t="shared" ca="1" si="12"/>
        <v>NYB</v>
      </c>
    </row>
    <row r="22" spans="1:29" x14ac:dyDescent="0.25">
      <c r="A22" s="29">
        <v>16</v>
      </c>
      <c r="B22" s="97" t="b">
        <f t="shared" ca="1" si="9"/>
        <v>1</v>
      </c>
      <c r="C22" s="60" t="s">
        <v>148</v>
      </c>
      <c r="D22" s="22" t="s">
        <v>77</v>
      </c>
      <c r="E22" s="62" t="s">
        <v>92</v>
      </c>
      <c r="F22" s="22">
        <v>1</v>
      </c>
      <c r="G22" s="22" t="s">
        <v>14</v>
      </c>
      <c r="H22" s="58">
        <f ca="1">IF($E22="IMM",_xll.meDateNthIMMFromStartDate(AsOf, $F22,$AC22,"MOD_FOLLOWING"),_xll.meDateFromTenor(AsOf,$F22&amp;"D","MOD_FOLLOWING",$AC22))</f>
        <v>43180</v>
      </c>
      <c r="I22" s="88" t="s">
        <v>29</v>
      </c>
      <c r="J22" s="23" t="s">
        <v>16</v>
      </c>
      <c r="K22" s="23" t="s">
        <v>47</v>
      </c>
      <c r="L22" s="23" t="s">
        <v>42</v>
      </c>
      <c r="M22" s="23" t="s">
        <v>99</v>
      </c>
      <c r="N22" s="23" t="s">
        <v>56</v>
      </c>
      <c r="O22" s="46" t="s">
        <v>48</v>
      </c>
      <c r="P22" s="37">
        <f t="shared" ca="1" si="0"/>
        <v>6</v>
      </c>
      <c r="Q22" s="38" t="str">
        <f t="shared" ca="1" si="13"/>
        <v>IMM1</v>
      </c>
      <c r="R22" s="57">
        <f ca="1">IF($I22="","",IF(ISNUMBER($I22),$I22,_xll.meDateFromTenor(H22,$I22,"MOD_FOLLOWING",VLOOKUP(LEFT($M22,3),DateConventions,3))))</f>
        <v>45006</v>
      </c>
      <c r="S22" s="38" t="b">
        <f t="shared" ca="1" si="10"/>
        <v>1</v>
      </c>
      <c r="T22" s="38" t="b">
        <f t="shared" ca="1" si="1"/>
        <v>1</v>
      </c>
      <c r="U22" s="38" t="b">
        <f t="shared" ca="1" si="2"/>
        <v>1</v>
      </c>
      <c r="V22" s="38" t="b">
        <f t="shared" ca="1" si="3"/>
        <v>1</v>
      </c>
      <c r="W22" s="39" t="b">
        <f t="shared" ca="1" si="4"/>
        <v>1</v>
      </c>
      <c r="X22" s="38" t="b">
        <f t="shared" ca="1" si="5"/>
        <v>1</v>
      </c>
      <c r="Y22" s="40" t="b">
        <f t="shared" ca="1" si="6"/>
        <v>1</v>
      </c>
      <c r="Z22" s="40" t="b">
        <f t="shared" ca="1" si="11"/>
        <v>1</v>
      </c>
      <c r="AA22" s="40" t="b">
        <f t="shared" ca="1" si="7"/>
        <v>1</v>
      </c>
      <c r="AB22" s="67" t="b">
        <f t="shared" ca="1" si="8"/>
        <v>1</v>
      </c>
      <c r="AC22" s="64" t="str">
        <f t="shared" ca="1" si="12"/>
        <v>NYB</v>
      </c>
    </row>
    <row r="23" spans="1:29" x14ac:dyDescent="0.25">
      <c r="A23" s="29">
        <v>17</v>
      </c>
      <c r="B23" s="97" t="b">
        <f t="shared" ca="1" si="9"/>
        <v>1</v>
      </c>
      <c r="C23" s="60" t="s">
        <v>148</v>
      </c>
      <c r="D23" s="22" t="s">
        <v>77</v>
      </c>
      <c r="E23" s="62" t="s">
        <v>92</v>
      </c>
      <c r="F23" s="22">
        <v>1</v>
      </c>
      <c r="G23" s="22" t="s">
        <v>14</v>
      </c>
      <c r="H23" s="58">
        <f ca="1">IF($E23="IMM",_xll.meDateNthIMMFromStartDate(AsOf, $F23,$AC23,"MOD_FOLLOWING"),_xll.meDateFromTenor(AsOf,$F23&amp;"D","MOD_FOLLOWING",$AC23))</f>
        <v>43180</v>
      </c>
      <c r="I23" s="88" t="s">
        <v>29</v>
      </c>
      <c r="J23" s="23" t="s">
        <v>16</v>
      </c>
      <c r="K23" s="23" t="s">
        <v>47</v>
      </c>
      <c r="L23" s="23" t="s">
        <v>42</v>
      </c>
      <c r="M23" s="23" t="s">
        <v>99</v>
      </c>
      <c r="N23" s="23" t="s">
        <v>56</v>
      </c>
      <c r="O23" s="46" t="s">
        <v>48</v>
      </c>
      <c r="P23" s="37">
        <f t="shared" ca="1" si="0"/>
        <v>6</v>
      </c>
      <c r="Q23" s="38" t="str">
        <f t="shared" ca="1" si="13"/>
        <v>IMM1</v>
      </c>
      <c r="R23" s="57">
        <f ca="1">IF($I23="","",IF(ISNUMBER($I23),$I23,_xll.meDateFromTenor(H23,$I23,"MOD_FOLLOWING",VLOOKUP(LEFT($M23,3),DateConventions,3))))</f>
        <v>45006</v>
      </c>
      <c r="S23" s="38" t="b">
        <f t="shared" ca="1" si="10"/>
        <v>1</v>
      </c>
      <c r="T23" s="38" t="b">
        <f t="shared" ca="1" si="1"/>
        <v>1</v>
      </c>
      <c r="U23" s="38" t="b">
        <f t="shared" ca="1" si="2"/>
        <v>1</v>
      </c>
      <c r="V23" s="38" t="b">
        <f t="shared" ca="1" si="3"/>
        <v>1</v>
      </c>
      <c r="W23" s="39" t="b">
        <f t="shared" ca="1" si="4"/>
        <v>1</v>
      </c>
      <c r="X23" s="38" t="b">
        <f t="shared" ca="1" si="5"/>
        <v>1</v>
      </c>
      <c r="Y23" s="40" t="b">
        <f t="shared" ca="1" si="6"/>
        <v>1</v>
      </c>
      <c r="Z23" s="40" t="b">
        <f t="shared" ca="1" si="11"/>
        <v>1</v>
      </c>
      <c r="AA23" s="40" t="b">
        <f t="shared" ca="1" si="7"/>
        <v>1</v>
      </c>
      <c r="AB23" s="67" t="b">
        <f t="shared" ca="1" si="8"/>
        <v>1</v>
      </c>
      <c r="AC23" s="64" t="str">
        <f t="shared" ca="1" si="12"/>
        <v>NYB</v>
      </c>
    </row>
    <row r="24" spans="1:29" x14ac:dyDescent="0.25">
      <c r="A24" s="29">
        <v>18</v>
      </c>
      <c r="B24" s="97" t="b">
        <f t="shared" ca="1" si="9"/>
        <v>1</v>
      </c>
      <c r="C24" s="60" t="s">
        <v>148</v>
      </c>
      <c r="D24" s="22" t="s">
        <v>77</v>
      </c>
      <c r="E24" s="62" t="s">
        <v>92</v>
      </c>
      <c r="F24" s="22">
        <v>1</v>
      </c>
      <c r="G24" s="22" t="s">
        <v>14</v>
      </c>
      <c r="H24" s="58">
        <f ca="1">IF($E24="IMM",_xll.meDateNthIMMFromStartDate(AsOf, $F24,$AC24,"MOD_FOLLOWING"),_xll.meDateFromTenor(AsOf,$F24&amp;"D","MOD_FOLLOWING",$AC24))</f>
        <v>43180</v>
      </c>
      <c r="I24" s="88" t="s">
        <v>29</v>
      </c>
      <c r="J24" s="23" t="s">
        <v>16</v>
      </c>
      <c r="K24" s="23" t="s">
        <v>47</v>
      </c>
      <c r="L24" s="23" t="s">
        <v>42</v>
      </c>
      <c r="M24" s="23" t="s">
        <v>99</v>
      </c>
      <c r="N24" s="23" t="s">
        <v>56</v>
      </c>
      <c r="O24" s="46" t="s">
        <v>48</v>
      </c>
      <c r="P24" s="37">
        <f t="shared" ca="1" si="0"/>
        <v>6</v>
      </c>
      <c r="Q24" s="38" t="str">
        <f t="shared" ca="1" si="13"/>
        <v>IMM1</v>
      </c>
      <c r="R24" s="57">
        <f ca="1">IF($I24="","",IF(ISNUMBER($I24),$I24,_xll.meDateFromTenor(H24,$I24,"MOD_FOLLOWING",VLOOKUP(LEFT($M24,3),DateConventions,3))))</f>
        <v>45006</v>
      </c>
      <c r="S24" s="38" t="b">
        <f t="shared" ca="1" si="10"/>
        <v>1</v>
      </c>
      <c r="T24" s="38" t="b">
        <f t="shared" ca="1" si="1"/>
        <v>1</v>
      </c>
      <c r="U24" s="38" t="b">
        <f t="shared" ca="1" si="2"/>
        <v>1</v>
      </c>
      <c r="V24" s="38" t="b">
        <f t="shared" ca="1" si="3"/>
        <v>1</v>
      </c>
      <c r="W24" s="39" t="b">
        <f t="shared" ca="1" si="4"/>
        <v>1</v>
      </c>
      <c r="X24" s="38" t="b">
        <f t="shared" ca="1" si="5"/>
        <v>1</v>
      </c>
      <c r="Y24" s="40" t="b">
        <f t="shared" ca="1" si="6"/>
        <v>1</v>
      </c>
      <c r="Z24" s="40" t="b">
        <f t="shared" ca="1" si="11"/>
        <v>1</v>
      </c>
      <c r="AA24" s="40" t="b">
        <f t="shared" ca="1" si="7"/>
        <v>1</v>
      </c>
      <c r="AB24" s="67" t="b">
        <f t="shared" ca="1" si="8"/>
        <v>1</v>
      </c>
      <c r="AC24" s="64" t="str">
        <f t="shared" ca="1" si="12"/>
        <v>NYB</v>
      </c>
    </row>
    <row r="25" spans="1:29" x14ac:dyDescent="0.25">
      <c r="A25" s="29">
        <v>19</v>
      </c>
      <c r="B25" s="97" t="b">
        <f t="shared" ca="1" si="9"/>
        <v>1</v>
      </c>
      <c r="C25" s="60" t="s">
        <v>148</v>
      </c>
      <c r="D25" s="22" t="s">
        <v>77</v>
      </c>
      <c r="E25" s="62" t="s">
        <v>92</v>
      </c>
      <c r="F25" s="22">
        <v>1</v>
      </c>
      <c r="G25" s="22" t="s">
        <v>14</v>
      </c>
      <c r="H25" s="58">
        <f ca="1">IF($E25="IMM",_xll.meDateNthIMMFromStartDate(AsOf, $F25,$AC25,"MOD_FOLLOWING"),_xll.meDateFromTenor(AsOf,$F25&amp;"D","MOD_FOLLOWING",$AC25))</f>
        <v>43180</v>
      </c>
      <c r="I25" s="88" t="s">
        <v>29</v>
      </c>
      <c r="J25" s="23" t="s">
        <v>16</v>
      </c>
      <c r="K25" s="23" t="s">
        <v>47</v>
      </c>
      <c r="L25" s="23" t="s">
        <v>42</v>
      </c>
      <c r="M25" s="23" t="s">
        <v>99</v>
      </c>
      <c r="N25" s="23" t="s">
        <v>56</v>
      </c>
      <c r="O25" s="46" t="s">
        <v>48</v>
      </c>
      <c r="P25" s="37">
        <f t="shared" ca="1" si="0"/>
        <v>6</v>
      </c>
      <c r="Q25" s="38" t="str">
        <f t="shared" ca="1" si="13"/>
        <v>IMM1</v>
      </c>
      <c r="R25" s="57">
        <f ca="1">IF($I25="","",IF(ISNUMBER($I25),$I25,_xll.meDateFromTenor(H25,$I25,"MOD_FOLLOWING",VLOOKUP(LEFT($M25,3),DateConventions,3))))</f>
        <v>45006</v>
      </c>
      <c r="S25" s="38" t="b">
        <f t="shared" ca="1" si="10"/>
        <v>1</v>
      </c>
      <c r="T25" s="38" t="b">
        <f t="shared" ca="1" si="1"/>
        <v>1</v>
      </c>
      <c r="U25" s="38" t="b">
        <f t="shared" ca="1" si="2"/>
        <v>1</v>
      </c>
      <c r="V25" s="38" t="b">
        <f t="shared" ca="1" si="3"/>
        <v>1</v>
      </c>
      <c r="W25" s="39" t="b">
        <f t="shared" ca="1" si="4"/>
        <v>1</v>
      </c>
      <c r="X25" s="38" t="b">
        <f t="shared" ca="1" si="5"/>
        <v>1</v>
      </c>
      <c r="Y25" s="40" t="b">
        <f t="shared" ca="1" si="6"/>
        <v>1</v>
      </c>
      <c r="Z25" s="40" t="b">
        <f t="shared" ca="1" si="11"/>
        <v>1</v>
      </c>
      <c r="AA25" s="40" t="b">
        <f t="shared" ca="1" si="7"/>
        <v>1</v>
      </c>
      <c r="AB25" s="67" t="b">
        <f t="shared" ca="1" si="8"/>
        <v>1</v>
      </c>
      <c r="AC25" s="64" t="str">
        <f t="shared" ca="1" si="12"/>
        <v>NYB</v>
      </c>
    </row>
    <row r="26" spans="1:29" x14ac:dyDescent="0.25">
      <c r="A26" s="29">
        <v>20</v>
      </c>
      <c r="B26" s="97" t="b">
        <f t="shared" ca="1" si="9"/>
        <v>1</v>
      </c>
      <c r="C26" s="60" t="s">
        <v>148</v>
      </c>
      <c r="D26" s="22" t="s">
        <v>77</v>
      </c>
      <c r="E26" s="62" t="s">
        <v>92</v>
      </c>
      <c r="F26" s="22">
        <v>1</v>
      </c>
      <c r="G26" s="22" t="s">
        <v>14</v>
      </c>
      <c r="H26" s="58">
        <f ca="1">IF($E26="IMM",_xll.meDateNthIMMFromStartDate(AsOf, $F26,$AC26,"MOD_FOLLOWING"),_xll.meDateFromTenor(AsOf,$F26&amp;"D","MOD_FOLLOWING",$AC26))</f>
        <v>43180</v>
      </c>
      <c r="I26" s="88" t="s">
        <v>29</v>
      </c>
      <c r="J26" s="23" t="s">
        <v>16</v>
      </c>
      <c r="K26" s="23" t="s">
        <v>47</v>
      </c>
      <c r="L26" s="23" t="s">
        <v>42</v>
      </c>
      <c r="M26" s="23" t="s">
        <v>99</v>
      </c>
      <c r="N26" s="23" t="s">
        <v>56</v>
      </c>
      <c r="O26" s="46" t="s">
        <v>48</v>
      </c>
      <c r="P26" s="37">
        <f t="shared" ca="1" si="0"/>
        <v>6</v>
      </c>
      <c r="Q26" s="38" t="str">
        <f t="shared" ca="1" si="13"/>
        <v>IMM1</v>
      </c>
      <c r="R26" s="57">
        <f ca="1">IF($I26="","",IF(ISNUMBER($I26),$I26,_xll.meDateFromTenor(H26,$I26,"MOD_FOLLOWING",VLOOKUP(LEFT($M26,3),DateConventions,3))))</f>
        <v>45006</v>
      </c>
      <c r="S26" s="38" t="b">
        <f t="shared" ca="1" si="10"/>
        <v>1</v>
      </c>
      <c r="T26" s="38" t="b">
        <f t="shared" ca="1" si="1"/>
        <v>1</v>
      </c>
      <c r="U26" s="38" t="b">
        <f t="shared" ca="1" si="2"/>
        <v>1</v>
      </c>
      <c r="V26" s="38" t="b">
        <f t="shared" ca="1" si="3"/>
        <v>1</v>
      </c>
      <c r="W26" s="39" t="b">
        <f t="shared" ca="1" si="4"/>
        <v>1</v>
      </c>
      <c r="X26" s="38" t="b">
        <f t="shared" ca="1" si="5"/>
        <v>1</v>
      </c>
      <c r="Y26" s="40" t="b">
        <f t="shared" ca="1" si="6"/>
        <v>1</v>
      </c>
      <c r="Z26" s="40" t="b">
        <f t="shared" ca="1" si="11"/>
        <v>1</v>
      </c>
      <c r="AA26" s="40" t="b">
        <f t="shared" ca="1" si="7"/>
        <v>1</v>
      </c>
      <c r="AB26" s="67" t="b">
        <f t="shared" ca="1" si="8"/>
        <v>1</v>
      </c>
      <c r="AC26" s="64" t="str">
        <f t="shared" ca="1" si="12"/>
        <v>NYB</v>
      </c>
    </row>
    <row r="27" spans="1:29" x14ac:dyDescent="0.25">
      <c r="A27" s="29">
        <v>21</v>
      </c>
      <c r="B27" s="97" t="b">
        <f t="shared" ca="1" si="9"/>
        <v>1</v>
      </c>
      <c r="C27" s="60" t="s">
        <v>148</v>
      </c>
      <c r="D27" s="22" t="s">
        <v>77</v>
      </c>
      <c r="E27" s="62" t="s">
        <v>92</v>
      </c>
      <c r="F27" s="22">
        <v>1</v>
      </c>
      <c r="G27" s="22" t="s">
        <v>14</v>
      </c>
      <c r="H27" s="58">
        <f ca="1">IF($E27="IMM",_xll.meDateNthIMMFromStartDate(AsOf, $F27,$AC27,"MOD_FOLLOWING"),_xll.meDateFromTenor(AsOf,$F27&amp;"D","MOD_FOLLOWING",$AC27))</f>
        <v>43180</v>
      </c>
      <c r="I27" s="88" t="s">
        <v>29</v>
      </c>
      <c r="J27" s="23" t="s">
        <v>16</v>
      </c>
      <c r="K27" s="23" t="s">
        <v>47</v>
      </c>
      <c r="L27" s="23" t="s">
        <v>42</v>
      </c>
      <c r="M27" s="23" t="s">
        <v>99</v>
      </c>
      <c r="N27" s="23" t="s">
        <v>56</v>
      </c>
      <c r="O27" s="46" t="s">
        <v>48</v>
      </c>
      <c r="P27" s="37">
        <f t="shared" ca="1" si="0"/>
        <v>6</v>
      </c>
      <c r="Q27" s="38" t="str">
        <f t="shared" ca="1" si="13"/>
        <v>IMM1</v>
      </c>
      <c r="R27" s="57">
        <f ca="1">IF($I27="","",IF(ISNUMBER($I27),$I27,_xll.meDateFromTenor(H27,$I27,"MOD_FOLLOWING",VLOOKUP(LEFT($M27,3),DateConventions,3))))</f>
        <v>45006</v>
      </c>
      <c r="S27" s="38" t="b">
        <f t="shared" ca="1" si="10"/>
        <v>1</v>
      </c>
      <c r="T27" s="38" t="b">
        <f t="shared" ca="1" si="1"/>
        <v>1</v>
      </c>
      <c r="U27" s="38" t="b">
        <f t="shared" ca="1" si="2"/>
        <v>1</v>
      </c>
      <c r="V27" s="38" t="b">
        <f t="shared" ca="1" si="3"/>
        <v>1</v>
      </c>
      <c r="W27" s="39" t="b">
        <f t="shared" ca="1" si="4"/>
        <v>1</v>
      </c>
      <c r="X27" s="38" t="b">
        <f t="shared" ca="1" si="5"/>
        <v>1</v>
      </c>
      <c r="Y27" s="40" t="b">
        <f t="shared" ca="1" si="6"/>
        <v>1</v>
      </c>
      <c r="Z27" s="40" t="b">
        <f t="shared" ca="1" si="11"/>
        <v>1</v>
      </c>
      <c r="AA27" s="40" t="b">
        <f t="shared" ca="1" si="7"/>
        <v>1</v>
      </c>
      <c r="AB27" s="67" t="b">
        <f t="shared" ca="1" si="8"/>
        <v>1</v>
      </c>
      <c r="AC27" s="64" t="str">
        <f t="shared" ca="1" si="12"/>
        <v>NYB</v>
      </c>
    </row>
    <row r="28" spans="1:29" x14ac:dyDescent="0.25">
      <c r="A28" s="29">
        <v>22</v>
      </c>
      <c r="B28" s="97" t="b">
        <f t="shared" ca="1" si="9"/>
        <v>1</v>
      </c>
      <c r="C28" s="60" t="s">
        <v>148</v>
      </c>
      <c r="D28" s="22" t="s">
        <v>77</v>
      </c>
      <c r="E28" s="62" t="s">
        <v>92</v>
      </c>
      <c r="F28" s="22">
        <v>1</v>
      </c>
      <c r="G28" s="22" t="s">
        <v>14</v>
      </c>
      <c r="H28" s="58">
        <f ca="1">IF($E28="IMM",_xll.meDateNthIMMFromStartDate(AsOf, $F28,$AC28,"MOD_FOLLOWING"),_xll.meDateFromTenor(AsOf,$F28&amp;"D","MOD_FOLLOWING",$AC28))</f>
        <v>43180</v>
      </c>
      <c r="I28" s="88" t="s">
        <v>29</v>
      </c>
      <c r="J28" s="23" t="s">
        <v>16</v>
      </c>
      <c r="K28" s="23" t="s">
        <v>47</v>
      </c>
      <c r="L28" s="23" t="s">
        <v>42</v>
      </c>
      <c r="M28" s="23" t="s">
        <v>99</v>
      </c>
      <c r="N28" s="23" t="s">
        <v>56</v>
      </c>
      <c r="O28" s="46" t="s">
        <v>48</v>
      </c>
      <c r="P28" s="37">
        <f t="shared" ca="1" si="0"/>
        <v>6</v>
      </c>
      <c r="Q28" s="38" t="str">
        <f t="shared" ca="1" si="13"/>
        <v>IMM1</v>
      </c>
      <c r="R28" s="57">
        <f ca="1">IF($I28="","",IF(ISNUMBER($I28),$I28,_xll.meDateFromTenor(H28,$I28,"MOD_FOLLOWING",VLOOKUP(LEFT($M28,3),DateConventions,3))))</f>
        <v>45006</v>
      </c>
      <c r="S28" s="38" t="b">
        <f t="shared" ca="1" si="10"/>
        <v>1</v>
      </c>
      <c r="T28" s="38" t="b">
        <f t="shared" ca="1" si="1"/>
        <v>1</v>
      </c>
      <c r="U28" s="38" t="b">
        <f t="shared" ca="1" si="2"/>
        <v>1</v>
      </c>
      <c r="V28" s="38" t="b">
        <f t="shared" ca="1" si="3"/>
        <v>1</v>
      </c>
      <c r="W28" s="39" t="b">
        <f t="shared" ca="1" si="4"/>
        <v>1</v>
      </c>
      <c r="X28" s="38" t="b">
        <f t="shared" ca="1" si="5"/>
        <v>1</v>
      </c>
      <c r="Y28" s="40" t="b">
        <f t="shared" ca="1" si="6"/>
        <v>1</v>
      </c>
      <c r="Z28" s="40" t="b">
        <f t="shared" ca="1" si="11"/>
        <v>1</v>
      </c>
      <c r="AA28" s="40" t="b">
        <f t="shared" ca="1" si="7"/>
        <v>1</v>
      </c>
      <c r="AB28" s="67" t="b">
        <f t="shared" ca="1" si="8"/>
        <v>1</v>
      </c>
      <c r="AC28" s="64" t="str">
        <f t="shared" ca="1" si="12"/>
        <v>NYB</v>
      </c>
    </row>
    <row r="29" spans="1:29" x14ac:dyDescent="0.25">
      <c r="A29" s="29">
        <v>23</v>
      </c>
      <c r="B29" s="97" t="b">
        <f t="shared" ca="1" si="9"/>
        <v>1</v>
      </c>
      <c r="C29" s="60" t="s">
        <v>148</v>
      </c>
      <c r="D29" s="22" t="s">
        <v>77</v>
      </c>
      <c r="E29" s="62" t="s">
        <v>92</v>
      </c>
      <c r="F29" s="22">
        <v>1</v>
      </c>
      <c r="G29" s="22" t="s">
        <v>14</v>
      </c>
      <c r="H29" s="58">
        <f ca="1">IF($E29="IMM",_xll.meDateNthIMMFromStartDate(AsOf, $F29,$AC29,"MOD_FOLLOWING"),_xll.meDateFromTenor(AsOf,$F29&amp;"D","MOD_FOLLOWING",$AC29))</f>
        <v>43180</v>
      </c>
      <c r="I29" s="88" t="s">
        <v>29</v>
      </c>
      <c r="J29" s="23" t="s">
        <v>16</v>
      </c>
      <c r="K29" s="23" t="s">
        <v>47</v>
      </c>
      <c r="L29" s="23" t="s">
        <v>42</v>
      </c>
      <c r="M29" s="23" t="s">
        <v>99</v>
      </c>
      <c r="N29" s="23" t="s">
        <v>56</v>
      </c>
      <c r="O29" s="46" t="s">
        <v>48</v>
      </c>
      <c r="P29" s="37">
        <f t="shared" ca="1" si="0"/>
        <v>6</v>
      </c>
      <c r="Q29" s="38" t="str">
        <f t="shared" ca="1" si="13"/>
        <v>IMM1</v>
      </c>
      <c r="R29" s="57">
        <f ca="1">IF($I29="","",IF(ISNUMBER($I29),$I29,_xll.meDateFromTenor(H29,$I29,"MOD_FOLLOWING",VLOOKUP(LEFT($M29,3),DateConventions,3))))</f>
        <v>45006</v>
      </c>
      <c r="S29" s="38" t="b">
        <f t="shared" ca="1" si="10"/>
        <v>1</v>
      </c>
      <c r="T29" s="38" t="b">
        <f t="shared" ca="1" si="1"/>
        <v>1</v>
      </c>
      <c r="U29" s="38" t="b">
        <f t="shared" ca="1" si="2"/>
        <v>1</v>
      </c>
      <c r="V29" s="38" t="b">
        <f t="shared" ca="1" si="3"/>
        <v>1</v>
      </c>
      <c r="W29" s="39" t="b">
        <f t="shared" ca="1" si="4"/>
        <v>1</v>
      </c>
      <c r="X29" s="38" t="b">
        <f t="shared" ca="1" si="5"/>
        <v>1</v>
      </c>
      <c r="Y29" s="40" t="b">
        <f t="shared" ca="1" si="6"/>
        <v>1</v>
      </c>
      <c r="Z29" s="40" t="b">
        <f t="shared" ca="1" si="11"/>
        <v>1</v>
      </c>
      <c r="AA29" s="40" t="b">
        <f t="shared" ca="1" si="7"/>
        <v>1</v>
      </c>
      <c r="AB29" s="67" t="b">
        <f t="shared" ca="1" si="8"/>
        <v>1</v>
      </c>
      <c r="AC29" s="64" t="str">
        <f t="shared" ca="1" si="12"/>
        <v>NYB</v>
      </c>
    </row>
    <row r="30" spans="1:29" x14ac:dyDescent="0.25">
      <c r="A30" s="29">
        <v>24</v>
      </c>
      <c r="B30" s="97" t="b">
        <f t="shared" ca="1" si="9"/>
        <v>1</v>
      </c>
      <c r="C30" s="60" t="s">
        <v>148</v>
      </c>
      <c r="D30" s="22" t="s">
        <v>77</v>
      </c>
      <c r="E30" s="62" t="s">
        <v>92</v>
      </c>
      <c r="F30" s="22">
        <v>1</v>
      </c>
      <c r="G30" s="22" t="s">
        <v>14</v>
      </c>
      <c r="H30" s="58">
        <f ca="1">IF($E30="IMM",_xll.meDateNthIMMFromStartDate(AsOf, $F30,$AC30,"MOD_FOLLOWING"),_xll.meDateFromTenor(AsOf,$F30&amp;"D","MOD_FOLLOWING",$AC30))</f>
        <v>43180</v>
      </c>
      <c r="I30" s="88" t="s">
        <v>29</v>
      </c>
      <c r="J30" s="23" t="s">
        <v>16</v>
      </c>
      <c r="K30" s="23" t="s">
        <v>47</v>
      </c>
      <c r="L30" s="23" t="s">
        <v>42</v>
      </c>
      <c r="M30" s="23" t="s">
        <v>99</v>
      </c>
      <c r="N30" s="23" t="s">
        <v>56</v>
      </c>
      <c r="O30" s="46" t="s">
        <v>48</v>
      </c>
      <c r="P30" s="37">
        <f t="shared" ca="1" si="0"/>
        <v>6</v>
      </c>
      <c r="Q30" s="38" t="str">
        <f t="shared" ca="1" si="13"/>
        <v>IMM1</v>
      </c>
      <c r="R30" s="57">
        <f ca="1">IF($I30="","",IF(ISNUMBER($I30),$I30,_xll.meDateFromTenor(H30,$I30,"MOD_FOLLOWING",VLOOKUP(LEFT($M30,3),DateConventions,3))))</f>
        <v>45006</v>
      </c>
      <c r="S30" s="38" t="b">
        <f t="shared" ca="1" si="10"/>
        <v>1</v>
      </c>
      <c r="T30" s="38" t="b">
        <f t="shared" ca="1" si="1"/>
        <v>1</v>
      </c>
      <c r="U30" s="38" t="b">
        <f t="shared" ca="1" si="2"/>
        <v>1</v>
      </c>
      <c r="V30" s="38" t="b">
        <f t="shared" ca="1" si="3"/>
        <v>1</v>
      </c>
      <c r="W30" s="39" t="b">
        <f t="shared" ca="1" si="4"/>
        <v>1</v>
      </c>
      <c r="X30" s="38" t="b">
        <f t="shared" ca="1" si="5"/>
        <v>1</v>
      </c>
      <c r="Y30" s="40" t="b">
        <f t="shared" ca="1" si="6"/>
        <v>1</v>
      </c>
      <c r="Z30" s="40" t="b">
        <f t="shared" ca="1" si="11"/>
        <v>1</v>
      </c>
      <c r="AA30" s="40" t="b">
        <f t="shared" ca="1" si="7"/>
        <v>1</v>
      </c>
      <c r="AB30" s="67" t="b">
        <f t="shared" ca="1" si="8"/>
        <v>1</v>
      </c>
      <c r="AC30" s="64" t="str">
        <f t="shared" ca="1" si="12"/>
        <v>NYB</v>
      </c>
    </row>
    <row r="31" spans="1:29" x14ac:dyDescent="0.25">
      <c r="A31" s="29">
        <v>25</v>
      </c>
      <c r="B31" s="97" t="b">
        <f t="shared" ca="1" si="9"/>
        <v>1</v>
      </c>
      <c r="C31" s="60" t="s">
        <v>148</v>
      </c>
      <c r="D31" s="22" t="s">
        <v>77</v>
      </c>
      <c r="E31" s="62" t="s">
        <v>92</v>
      </c>
      <c r="F31" s="22">
        <v>1</v>
      </c>
      <c r="G31" s="22" t="s">
        <v>14</v>
      </c>
      <c r="H31" s="58">
        <f ca="1">IF($E31="IMM",_xll.meDateNthIMMFromStartDate(AsOf, $F31,$AC31,"MOD_FOLLOWING"),_xll.meDateFromTenor(AsOf,$F31&amp;"D","MOD_FOLLOWING",$AC31))</f>
        <v>43180</v>
      </c>
      <c r="I31" s="88" t="s">
        <v>29</v>
      </c>
      <c r="J31" s="23" t="s">
        <v>16</v>
      </c>
      <c r="K31" s="23" t="s">
        <v>47</v>
      </c>
      <c r="L31" s="23" t="s">
        <v>42</v>
      </c>
      <c r="M31" s="23" t="s">
        <v>99</v>
      </c>
      <c r="N31" s="23" t="s">
        <v>56</v>
      </c>
      <c r="O31" s="46" t="s">
        <v>48</v>
      </c>
      <c r="P31" s="37">
        <f t="shared" ca="1" si="0"/>
        <v>6</v>
      </c>
      <c r="Q31" s="38" t="str">
        <f t="shared" ca="1" si="13"/>
        <v>IMM1</v>
      </c>
      <c r="R31" s="57">
        <f ca="1">IF($I31="","",IF(ISNUMBER($I31),$I31,_xll.meDateFromTenor(H31,$I31,"MOD_FOLLOWING",VLOOKUP(LEFT($M31,3),DateConventions,3))))</f>
        <v>45006</v>
      </c>
      <c r="S31" s="38" t="b">
        <f t="shared" ca="1" si="10"/>
        <v>1</v>
      </c>
      <c r="T31" s="38" t="b">
        <f t="shared" ca="1" si="1"/>
        <v>1</v>
      </c>
      <c r="U31" s="38" t="b">
        <f t="shared" ca="1" si="2"/>
        <v>1</v>
      </c>
      <c r="V31" s="38" t="b">
        <f t="shared" ca="1" si="3"/>
        <v>1</v>
      </c>
      <c r="W31" s="39" t="b">
        <f t="shared" ca="1" si="4"/>
        <v>1</v>
      </c>
      <c r="X31" s="38" t="b">
        <f t="shared" ca="1" si="5"/>
        <v>1</v>
      </c>
      <c r="Y31" s="40" t="b">
        <f t="shared" ca="1" si="6"/>
        <v>1</v>
      </c>
      <c r="Z31" s="40" t="b">
        <f t="shared" ca="1" si="11"/>
        <v>1</v>
      </c>
      <c r="AA31" s="40" t="b">
        <f t="shared" ca="1" si="7"/>
        <v>1</v>
      </c>
      <c r="AB31" s="67" t="b">
        <f t="shared" ca="1" si="8"/>
        <v>1</v>
      </c>
      <c r="AC31" s="64" t="str">
        <f t="shared" ca="1" si="12"/>
        <v>NYB</v>
      </c>
    </row>
    <row r="32" spans="1:29" x14ac:dyDescent="0.25">
      <c r="A32" s="29">
        <v>26</v>
      </c>
      <c r="B32" s="97" t="b">
        <f t="shared" ca="1" si="9"/>
        <v>1</v>
      </c>
      <c r="C32" s="60" t="s">
        <v>148</v>
      </c>
      <c r="D32" s="22" t="s">
        <v>77</v>
      </c>
      <c r="E32" s="62" t="s">
        <v>92</v>
      </c>
      <c r="F32" s="22">
        <v>1</v>
      </c>
      <c r="G32" s="22" t="s">
        <v>14</v>
      </c>
      <c r="H32" s="58">
        <f ca="1">IF($E32="IMM",_xll.meDateNthIMMFromStartDate(AsOf, $F32,$AC32,"MOD_FOLLOWING"),_xll.meDateFromTenor(AsOf,$F32&amp;"D","MOD_FOLLOWING",$AC32))</f>
        <v>43180</v>
      </c>
      <c r="I32" s="88" t="s">
        <v>29</v>
      </c>
      <c r="J32" s="23" t="s">
        <v>16</v>
      </c>
      <c r="K32" s="23" t="s">
        <v>47</v>
      </c>
      <c r="L32" s="23" t="s">
        <v>42</v>
      </c>
      <c r="M32" s="23" t="s">
        <v>99</v>
      </c>
      <c r="N32" s="23" t="s">
        <v>56</v>
      </c>
      <c r="O32" s="46" t="s">
        <v>48</v>
      </c>
      <c r="P32" s="37">
        <f t="shared" ca="1" si="0"/>
        <v>6</v>
      </c>
      <c r="Q32" s="38" t="str">
        <f t="shared" ca="1" si="13"/>
        <v>IMM1</v>
      </c>
      <c r="R32" s="57">
        <f ca="1">IF($I32="","",IF(ISNUMBER($I32),$I32,_xll.meDateFromTenor(H32,$I32,"MOD_FOLLOWING",VLOOKUP(LEFT($M32,3),DateConventions,3))))</f>
        <v>45006</v>
      </c>
      <c r="S32" s="38" t="b">
        <f t="shared" ca="1" si="10"/>
        <v>1</v>
      </c>
      <c r="T32" s="38" t="b">
        <f t="shared" ca="1" si="1"/>
        <v>1</v>
      </c>
      <c r="U32" s="38" t="b">
        <f t="shared" ca="1" si="2"/>
        <v>1</v>
      </c>
      <c r="V32" s="38" t="b">
        <f t="shared" ca="1" si="3"/>
        <v>1</v>
      </c>
      <c r="W32" s="39" t="b">
        <f t="shared" ca="1" si="4"/>
        <v>1</v>
      </c>
      <c r="X32" s="38" t="b">
        <f t="shared" ca="1" si="5"/>
        <v>1</v>
      </c>
      <c r="Y32" s="40" t="b">
        <f t="shared" ca="1" si="6"/>
        <v>1</v>
      </c>
      <c r="Z32" s="40" t="b">
        <f t="shared" ca="1" si="11"/>
        <v>1</v>
      </c>
      <c r="AA32" s="40" t="b">
        <f t="shared" ca="1" si="7"/>
        <v>1</v>
      </c>
      <c r="AB32" s="67" t="b">
        <f t="shared" ca="1" si="8"/>
        <v>1</v>
      </c>
      <c r="AC32" s="64" t="str">
        <f t="shared" ca="1" si="12"/>
        <v>NYB</v>
      </c>
    </row>
    <row r="33" spans="1:29" x14ac:dyDescent="0.25">
      <c r="A33" s="29">
        <v>27</v>
      </c>
      <c r="B33" s="97" t="b">
        <f t="shared" ca="1" si="9"/>
        <v>1</v>
      </c>
      <c r="C33" s="60" t="s">
        <v>148</v>
      </c>
      <c r="D33" s="22" t="s">
        <v>77</v>
      </c>
      <c r="E33" s="62" t="s">
        <v>92</v>
      </c>
      <c r="F33" s="22">
        <v>1</v>
      </c>
      <c r="G33" s="22" t="s">
        <v>14</v>
      </c>
      <c r="H33" s="58">
        <f ca="1">IF($E33="IMM",_xll.meDateNthIMMFromStartDate(AsOf, $F33,$AC33,"MOD_FOLLOWING"),_xll.meDateFromTenor(AsOf,$F33&amp;"D","MOD_FOLLOWING",$AC33))</f>
        <v>43180</v>
      </c>
      <c r="I33" s="88" t="s">
        <v>29</v>
      </c>
      <c r="J33" s="23" t="s">
        <v>16</v>
      </c>
      <c r="K33" s="23" t="s">
        <v>47</v>
      </c>
      <c r="L33" s="23" t="s">
        <v>42</v>
      </c>
      <c r="M33" s="23" t="s">
        <v>99</v>
      </c>
      <c r="N33" s="23" t="s">
        <v>56</v>
      </c>
      <c r="O33" s="46" t="s">
        <v>48</v>
      </c>
      <c r="P33" s="37">
        <f t="shared" ca="1" si="0"/>
        <v>6</v>
      </c>
      <c r="Q33" s="38" t="str">
        <f t="shared" ca="1" si="13"/>
        <v>IMM1</v>
      </c>
      <c r="R33" s="57">
        <f ca="1">IF($I33="","",IF(ISNUMBER($I33),$I33,_xll.meDateFromTenor(H33,$I33,"MOD_FOLLOWING",VLOOKUP(LEFT($M33,3),DateConventions,3))))</f>
        <v>45006</v>
      </c>
      <c r="S33" s="38" t="b">
        <f t="shared" ca="1" si="10"/>
        <v>1</v>
      </c>
      <c r="T33" s="38" t="b">
        <f t="shared" ca="1" si="1"/>
        <v>1</v>
      </c>
      <c r="U33" s="38" t="b">
        <f t="shared" ca="1" si="2"/>
        <v>1</v>
      </c>
      <c r="V33" s="38" t="b">
        <f t="shared" ca="1" si="3"/>
        <v>1</v>
      </c>
      <c r="W33" s="39" t="b">
        <f t="shared" ca="1" si="4"/>
        <v>1</v>
      </c>
      <c r="X33" s="38" t="b">
        <f t="shared" ca="1" si="5"/>
        <v>1</v>
      </c>
      <c r="Y33" s="40" t="b">
        <f t="shared" ca="1" si="6"/>
        <v>1</v>
      </c>
      <c r="Z33" s="40" t="b">
        <f t="shared" ca="1" si="11"/>
        <v>1</v>
      </c>
      <c r="AA33" s="40" t="b">
        <f t="shared" ca="1" si="7"/>
        <v>1</v>
      </c>
      <c r="AB33" s="67" t="b">
        <f t="shared" ca="1" si="8"/>
        <v>1</v>
      </c>
      <c r="AC33" s="64" t="str">
        <f t="shared" ca="1" si="12"/>
        <v>NYB</v>
      </c>
    </row>
    <row r="34" spans="1:29" x14ac:dyDescent="0.25">
      <c r="A34" s="29">
        <v>28</v>
      </c>
      <c r="B34" s="97" t="b">
        <f t="shared" ca="1" si="9"/>
        <v>1</v>
      </c>
      <c r="C34" s="60" t="s">
        <v>148</v>
      </c>
      <c r="D34" s="22" t="s">
        <v>77</v>
      </c>
      <c r="E34" s="62" t="s">
        <v>92</v>
      </c>
      <c r="F34" s="22">
        <v>1</v>
      </c>
      <c r="G34" s="22" t="s">
        <v>14</v>
      </c>
      <c r="H34" s="58">
        <f ca="1">IF($E34="IMM",_xll.meDateNthIMMFromStartDate(AsOf, $F34,$AC34,"MOD_FOLLOWING"),_xll.meDateFromTenor(AsOf,$F34&amp;"D","MOD_FOLLOWING",$AC34))</f>
        <v>43180</v>
      </c>
      <c r="I34" s="88" t="s">
        <v>29</v>
      </c>
      <c r="J34" s="23" t="s">
        <v>16</v>
      </c>
      <c r="K34" s="23" t="s">
        <v>47</v>
      </c>
      <c r="L34" s="23" t="s">
        <v>42</v>
      </c>
      <c r="M34" s="23" t="s">
        <v>99</v>
      </c>
      <c r="N34" s="23" t="s">
        <v>56</v>
      </c>
      <c r="O34" s="46" t="s">
        <v>48</v>
      </c>
      <c r="P34" s="37">
        <f t="shared" ca="1" si="0"/>
        <v>6</v>
      </c>
      <c r="Q34" s="38" t="str">
        <f t="shared" ca="1" si="13"/>
        <v>IMM1</v>
      </c>
      <c r="R34" s="57">
        <f ca="1">IF($I34="","",IF(ISNUMBER($I34),$I34,_xll.meDateFromTenor(H34,$I34,"MOD_FOLLOWING",VLOOKUP(LEFT($M34,3),DateConventions,3))))</f>
        <v>45006</v>
      </c>
      <c r="S34" s="38" t="b">
        <f t="shared" ca="1" si="10"/>
        <v>1</v>
      </c>
      <c r="T34" s="38" t="b">
        <f t="shared" ca="1" si="1"/>
        <v>1</v>
      </c>
      <c r="U34" s="38" t="b">
        <f t="shared" ca="1" si="2"/>
        <v>1</v>
      </c>
      <c r="V34" s="38" t="b">
        <f t="shared" ca="1" si="3"/>
        <v>1</v>
      </c>
      <c r="W34" s="39" t="b">
        <f t="shared" ca="1" si="4"/>
        <v>1</v>
      </c>
      <c r="X34" s="38" t="b">
        <f t="shared" ca="1" si="5"/>
        <v>1</v>
      </c>
      <c r="Y34" s="40" t="b">
        <f t="shared" ca="1" si="6"/>
        <v>1</v>
      </c>
      <c r="Z34" s="40" t="b">
        <f t="shared" ca="1" si="11"/>
        <v>1</v>
      </c>
      <c r="AA34" s="40" t="b">
        <f t="shared" ca="1" si="7"/>
        <v>1</v>
      </c>
      <c r="AB34" s="67" t="b">
        <f t="shared" ca="1" si="8"/>
        <v>1</v>
      </c>
      <c r="AC34" s="64" t="str">
        <f t="shared" ca="1" si="12"/>
        <v>NYB</v>
      </c>
    </row>
    <row r="35" spans="1:29" x14ac:dyDescent="0.25">
      <c r="A35" s="29">
        <v>29</v>
      </c>
      <c r="B35" s="97" t="b">
        <f t="shared" ca="1" si="9"/>
        <v>1</v>
      </c>
      <c r="C35" s="60" t="s">
        <v>148</v>
      </c>
      <c r="D35" s="22" t="s">
        <v>77</v>
      </c>
      <c r="E35" s="62" t="s">
        <v>92</v>
      </c>
      <c r="F35" s="22">
        <v>1</v>
      </c>
      <c r="G35" s="22" t="s">
        <v>14</v>
      </c>
      <c r="H35" s="58">
        <f ca="1">IF($E35="IMM",_xll.meDateNthIMMFromStartDate(AsOf, $F35,$AC35,"MOD_FOLLOWING"),_xll.meDateFromTenor(AsOf,$F35&amp;"D","MOD_FOLLOWING",$AC35))</f>
        <v>43180</v>
      </c>
      <c r="I35" s="88" t="s">
        <v>29</v>
      </c>
      <c r="J35" s="23" t="s">
        <v>16</v>
      </c>
      <c r="K35" s="23" t="s">
        <v>47</v>
      </c>
      <c r="L35" s="23" t="s">
        <v>42</v>
      </c>
      <c r="M35" s="23" t="s">
        <v>99</v>
      </c>
      <c r="N35" s="23" t="s">
        <v>56</v>
      </c>
      <c r="O35" s="46" t="s">
        <v>48</v>
      </c>
      <c r="P35" s="37">
        <f t="shared" ca="1" si="0"/>
        <v>6</v>
      </c>
      <c r="Q35" s="38" t="str">
        <f t="shared" ca="1" si="13"/>
        <v>IMM1</v>
      </c>
      <c r="R35" s="57">
        <f ca="1">IF($I35="","",IF(ISNUMBER($I35),$I35,_xll.meDateFromTenor(H35,$I35,"MOD_FOLLOWING",VLOOKUP(LEFT($M35,3),DateConventions,3))))</f>
        <v>45006</v>
      </c>
      <c r="S35" s="38" t="b">
        <f t="shared" ca="1" si="10"/>
        <v>1</v>
      </c>
      <c r="T35" s="38" t="b">
        <f t="shared" ca="1" si="1"/>
        <v>1</v>
      </c>
      <c r="U35" s="38" t="b">
        <f t="shared" ca="1" si="2"/>
        <v>1</v>
      </c>
      <c r="V35" s="38" t="b">
        <f t="shared" ca="1" si="3"/>
        <v>1</v>
      </c>
      <c r="W35" s="39" t="b">
        <f t="shared" ca="1" si="4"/>
        <v>1</v>
      </c>
      <c r="X35" s="38" t="b">
        <f t="shared" ca="1" si="5"/>
        <v>1</v>
      </c>
      <c r="Y35" s="40" t="b">
        <f t="shared" ca="1" si="6"/>
        <v>1</v>
      </c>
      <c r="Z35" s="40" t="b">
        <f t="shared" ca="1" si="11"/>
        <v>1</v>
      </c>
      <c r="AA35" s="40" t="b">
        <f t="shared" ca="1" si="7"/>
        <v>1</v>
      </c>
      <c r="AB35" s="67" t="b">
        <f t="shared" ca="1" si="8"/>
        <v>1</v>
      </c>
      <c r="AC35" s="64" t="str">
        <f t="shared" ca="1" si="12"/>
        <v>NYB</v>
      </c>
    </row>
    <row r="36" spans="1:29" x14ac:dyDescent="0.25">
      <c r="A36" s="29">
        <v>30</v>
      </c>
      <c r="B36" s="97" t="b">
        <f t="shared" ca="1" si="9"/>
        <v>1</v>
      </c>
      <c r="C36" s="60" t="s">
        <v>148</v>
      </c>
      <c r="D36" s="22" t="s">
        <v>77</v>
      </c>
      <c r="E36" s="62" t="s">
        <v>92</v>
      </c>
      <c r="F36" s="22">
        <v>1</v>
      </c>
      <c r="G36" s="22" t="s">
        <v>14</v>
      </c>
      <c r="H36" s="58">
        <f ca="1">IF($E36="IMM",_xll.meDateNthIMMFromStartDate(AsOf, $F36,$AC36,"MOD_FOLLOWING"),_xll.meDateFromTenor(AsOf,$F36&amp;"D","MOD_FOLLOWING",$AC36))</f>
        <v>43180</v>
      </c>
      <c r="I36" s="88" t="s">
        <v>29</v>
      </c>
      <c r="J36" s="23" t="s">
        <v>16</v>
      </c>
      <c r="K36" s="23" t="s">
        <v>47</v>
      </c>
      <c r="L36" s="23" t="s">
        <v>42</v>
      </c>
      <c r="M36" s="23" t="s">
        <v>99</v>
      </c>
      <c r="N36" s="23" t="s">
        <v>56</v>
      </c>
      <c r="O36" s="46" t="s">
        <v>48</v>
      </c>
      <c r="P36" s="37">
        <f t="shared" ca="1" si="0"/>
        <v>6</v>
      </c>
      <c r="Q36" s="38" t="str">
        <f t="shared" ca="1" si="13"/>
        <v>IMM1</v>
      </c>
      <c r="R36" s="57">
        <f ca="1">IF($I36="","",IF(ISNUMBER($I36),$I36,_xll.meDateFromTenor(H36,$I36,"MOD_FOLLOWING",VLOOKUP(LEFT($M36,3),DateConventions,3))))</f>
        <v>45006</v>
      </c>
      <c r="S36" s="38" t="b">
        <f t="shared" ca="1" si="10"/>
        <v>1</v>
      </c>
      <c r="T36" s="38" t="b">
        <f t="shared" ca="1" si="1"/>
        <v>1</v>
      </c>
      <c r="U36" s="38" t="b">
        <f t="shared" ca="1" si="2"/>
        <v>1</v>
      </c>
      <c r="V36" s="38" t="b">
        <f t="shared" ca="1" si="3"/>
        <v>1</v>
      </c>
      <c r="W36" s="39" t="b">
        <f t="shared" ca="1" si="4"/>
        <v>1</v>
      </c>
      <c r="X36" s="38" t="b">
        <f t="shared" ca="1" si="5"/>
        <v>1</v>
      </c>
      <c r="Y36" s="40" t="b">
        <f t="shared" ca="1" si="6"/>
        <v>1</v>
      </c>
      <c r="Z36" s="40" t="b">
        <f t="shared" ca="1" si="11"/>
        <v>1</v>
      </c>
      <c r="AA36" s="40" t="b">
        <f t="shared" ca="1" si="7"/>
        <v>1</v>
      </c>
      <c r="AB36" s="67" t="b">
        <f t="shared" ca="1" si="8"/>
        <v>1</v>
      </c>
      <c r="AC36" s="64" t="str">
        <f t="shared" ca="1" si="12"/>
        <v>NYB</v>
      </c>
    </row>
    <row r="37" spans="1:29" x14ac:dyDescent="0.25">
      <c r="A37" s="29">
        <v>31</v>
      </c>
      <c r="B37" s="97" t="b">
        <f t="shared" ca="1" si="9"/>
        <v>1</v>
      </c>
      <c r="C37" s="60" t="s">
        <v>148</v>
      </c>
      <c r="D37" s="22" t="s">
        <v>77</v>
      </c>
      <c r="E37" s="62" t="s">
        <v>92</v>
      </c>
      <c r="F37" s="22">
        <v>1</v>
      </c>
      <c r="G37" s="22" t="s">
        <v>14</v>
      </c>
      <c r="H37" s="58">
        <f ca="1">IF($E37="IMM",_xll.meDateNthIMMFromStartDate(AsOf, $F37,$AC37,"MOD_FOLLOWING"),_xll.meDateFromTenor(AsOf,$F37&amp;"D","MOD_FOLLOWING",$AC37))</f>
        <v>43180</v>
      </c>
      <c r="I37" s="88" t="s">
        <v>29</v>
      </c>
      <c r="J37" s="23" t="s">
        <v>16</v>
      </c>
      <c r="K37" s="23" t="s">
        <v>47</v>
      </c>
      <c r="L37" s="23" t="s">
        <v>42</v>
      </c>
      <c r="M37" s="23" t="s">
        <v>99</v>
      </c>
      <c r="N37" s="23" t="s">
        <v>56</v>
      </c>
      <c r="O37" s="46" t="s">
        <v>48</v>
      </c>
      <c r="P37" s="37">
        <f t="shared" ca="1" si="0"/>
        <v>6</v>
      </c>
      <c r="Q37" s="38" t="str">
        <f t="shared" ca="1" si="13"/>
        <v>IMM1</v>
      </c>
      <c r="R37" s="57">
        <f ca="1">IF($I37="","",IF(ISNUMBER($I37),$I37,_xll.meDateFromTenor(H37,$I37,"MOD_FOLLOWING",VLOOKUP(LEFT($M37,3),DateConventions,3))))</f>
        <v>45006</v>
      </c>
      <c r="S37" s="38" t="b">
        <f t="shared" ca="1" si="10"/>
        <v>1</v>
      </c>
      <c r="T37" s="38" t="b">
        <f t="shared" ca="1" si="1"/>
        <v>1</v>
      </c>
      <c r="U37" s="38" t="b">
        <f t="shared" ca="1" si="2"/>
        <v>1</v>
      </c>
      <c r="V37" s="38" t="b">
        <f t="shared" ca="1" si="3"/>
        <v>1</v>
      </c>
      <c r="W37" s="39" t="b">
        <f t="shared" ca="1" si="4"/>
        <v>1</v>
      </c>
      <c r="X37" s="38" t="b">
        <f t="shared" ca="1" si="5"/>
        <v>1</v>
      </c>
      <c r="Y37" s="40" t="b">
        <f t="shared" ca="1" si="6"/>
        <v>1</v>
      </c>
      <c r="Z37" s="40" t="b">
        <f t="shared" ca="1" si="11"/>
        <v>1</v>
      </c>
      <c r="AA37" s="40" t="b">
        <f t="shared" ca="1" si="7"/>
        <v>1</v>
      </c>
      <c r="AB37" s="67" t="b">
        <f t="shared" ca="1" si="8"/>
        <v>1</v>
      </c>
      <c r="AC37" s="64" t="str">
        <f t="shared" ca="1" si="12"/>
        <v>NYB</v>
      </c>
    </row>
    <row r="38" spans="1:29" x14ac:dyDescent="0.25">
      <c r="A38" s="29">
        <v>32</v>
      </c>
      <c r="B38" s="97" t="b">
        <f t="shared" ca="1" si="9"/>
        <v>1</v>
      </c>
      <c r="C38" s="60" t="s">
        <v>148</v>
      </c>
      <c r="D38" s="22" t="s">
        <v>77</v>
      </c>
      <c r="E38" s="62" t="s">
        <v>92</v>
      </c>
      <c r="F38" s="22">
        <v>1</v>
      </c>
      <c r="G38" s="22" t="s">
        <v>14</v>
      </c>
      <c r="H38" s="58">
        <f ca="1">IF($E38="IMM",_xll.meDateNthIMMFromStartDate(AsOf, $F38,$AC38,"MOD_FOLLOWING"),_xll.meDateFromTenor(AsOf,$F38&amp;"D","MOD_FOLLOWING",$AC38))</f>
        <v>43180</v>
      </c>
      <c r="I38" s="88" t="s">
        <v>29</v>
      </c>
      <c r="J38" s="23" t="s">
        <v>16</v>
      </c>
      <c r="K38" s="23" t="s">
        <v>47</v>
      </c>
      <c r="L38" s="23" t="s">
        <v>42</v>
      </c>
      <c r="M38" s="23" t="s">
        <v>99</v>
      </c>
      <c r="N38" s="23" t="s">
        <v>56</v>
      </c>
      <c r="O38" s="46" t="s">
        <v>48</v>
      </c>
      <c r="P38" s="37">
        <f t="shared" ca="1" si="0"/>
        <v>6</v>
      </c>
      <c r="Q38" s="38" t="str">
        <f t="shared" ca="1" si="13"/>
        <v>IMM1</v>
      </c>
      <c r="R38" s="57">
        <f ca="1">IF($I38="","",IF(ISNUMBER($I38),$I38,_xll.meDateFromTenor(H38,$I38,"MOD_FOLLOWING",VLOOKUP(LEFT($M38,3),DateConventions,3))))</f>
        <v>45006</v>
      </c>
      <c r="S38" s="38" t="b">
        <f t="shared" ca="1" si="10"/>
        <v>1</v>
      </c>
      <c r="T38" s="38" t="b">
        <f t="shared" ca="1" si="1"/>
        <v>1</v>
      </c>
      <c r="U38" s="38" t="b">
        <f t="shared" ca="1" si="2"/>
        <v>1</v>
      </c>
      <c r="V38" s="38" t="b">
        <f t="shared" ca="1" si="3"/>
        <v>1</v>
      </c>
      <c r="W38" s="39" t="b">
        <f t="shared" ca="1" si="4"/>
        <v>1</v>
      </c>
      <c r="X38" s="38" t="b">
        <f t="shared" ca="1" si="5"/>
        <v>1</v>
      </c>
      <c r="Y38" s="40" t="b">
        <f t="shared" ca="1" si="6"/>
        <v>1</v>
      </c>
      <c r="Z38" s="40" t="b">
        <f t="shared" ca="1" si="11"/>
        <v>1</v>
      </c>
      <c r="AA38" s="40" t="b">
        <f t="shared" ca="1" si="7"/>
        <v>1</v>
      </c>
      <c r="AB38" s="67" t="b">
        <f t="shared" ca="1" si="8"/>
        <v>1</v>
      </c>
      <c r="AC38" s="64" t="str">
        <f t="shared" ca="1" si="12"/>
        <v>NYB</v>
      </c>
    </row>
    <row r="39" spans="1:29" x14ac:dyDescent="0.25">
      <c r="A39" s="29">
        <v>33</v>
      </c>
      <c r="B39" s="97" t="b">
        <f t="shared" ca="1" si="9"/>
        <v>1</v>
      </c>
      <c r="C39" s="60" t="s">
        <v>148</v>
      </c>
      <c r="D39" s="22" t="s">
        <v>77</v>
      </c>
      <c r="E39" s="62" t="s">
        <v>92</v>
      </c>
      <c r="F39" s="22">
        <v>1</v>
      </c>
      <c r="G39" s="22" t="s">
        <v>14</v>
      </c>
      <c r="H39" s="58">
        <f ca="1">IF($E39="IMM",_xll.meDateNthIMMFromStartDate(AsOf, $F39,$AC39,"MOD_FOLLOWING"),_xll.meDateFromTenor(AsOf,$F39&amp;"D","MOD_FOLLOWING",$AC39))</f>
        <v>43180</v>
      </c>
      <c r="I39" s="88" t="s">
        <v>29</v>
      </c>
      <c r="J39" s="23" t="s">
        <v>16</v>
      </c>
      <c r="K39" s="23" t="s">
        <v>47</v>
      </c>
      <c r="L39" s="23" t="s">
        <v>42</v>
      </c>
      <c r="M39" s="23" t="s">
        <v>99</v>
      </c>
      <c r="N39" s="23" t="s">
        <v>56</v>
      </c>
      <c r="O39" s="46" t="s">
        <v>48</v>
      </c>
      <c r="P39" s="37">
        <f t="shared" ca="1" si="0"/>
        <v>6</v>
      </c>
      <c r="Q39" s="38" t="str">
        <f t="shared" ca="1" si="13"/>
        <v>IMM1</v>
      </c>
      <c r="R39" s="57">
        <f ca="1">IF($I39="","",IF(ISNUMBER($I39),$I39,_xll.meDateFromTenor(H39,$I39,"MOD_FOLLOWING",VLOOKUP(LEFT($M39,3),DateConventions,3))))</f>
        <v>45006</v>
      </c>
      <c r="S39" s="38" t="b">
        <f t="shared" ca="1" si="10"/>
        <v>1</v>
      </c>
      <c r="T39" s="38" t="b">
        <f t="shared" ca="1" si="1"/>
        <v>1</v>
      </c>
      <c r="U39" s="38" t="b">
        <f t="shared" ca="1" si="2"/>
        <v>1</v>
      </c>
      <c r="V39" s="38" t="b">
        <f t="shared" ca="1" si="3"/>
        <v>1</v>
      </c>
      <c r="W39" s="39" t="b">
        <f t="shared" ca="1" si="4"/>
        <v>1</v>
      </c>
      <c r="X39" s="38" t="b">
        <f t="shared" ca="1" si="5"/>
        <v>1</v>
      </c>
      <c r="Y39" s="40" t="b">
        <f t="shared" ca="1" si="6"/>
        <v>1</v>
      </c>
      <c r="Z39" s="40" t="b">
        <f t="shared" ca="1" si="11"/>
        <v>1</v>
      </c>
      <c r="AA39" s="40" t="b">
        <f t="shared" ca="1" si="7"/>
        <v>1</v>
      </c>
      <c r="AB39" s="67" t="b">
        <f t="shared" ca="1" si="8"/>
        <v>1</v>
      </c>
      <c r="AC39" s="64" t="str">
        <f t="shared" ca="1" si="12"/>
        <v>NYB</v>
      </c>
    </row>
    <row r="40" spans="1:29" x14ac:dyDescent="0.25">
      <c r="A40" s="29">
        <v>34</v>
      </c>
      <c r="B40" s="97" t="b">
        <f t="shared" ca="1" si="9"/>
        <v>1</v>
      </c>
      <c r="C40" s="60" t="s">
        <v>148</v>
      </c>
      <c r="D40" s="22" t="s">
        <v>77</v>
      </c>
      <c r="E40" s="62" t="s">
        <v>92</v>
      </c>
      <c r="F40" s="22">
        <v>1</v>
      </c>
      <c r="G40" s="22" t="s">
        <v>14</v>
      </c>
      <c r="H40" s="58">
        <f ca="1">IF($E40="IMM",_xll.meDateNthIMMFromStartDate(AsOf, $F40,$AC40,"MOD_FOLLOWING"),_xll.meDateFromTenor(AsOf,$F40&amp;"D","MOD_FOLLOWING",$AC40))</f>
        <v>43180</v>
      </c>
      <c r="I40" s="88" t="s">
        <v>29</v>
      </c>
      <c r="J40" s="23" t="s">
        <v>16</v>
      </c>
      <c r="K40" s="23" t="s">
        <v>47</v>
      </c>
      <c r="L40" s="23" t="s">
        <v>42</v>
      </c>
      <c r="M40" s="23" t="s">
        <v>99</v>
      </c>
      <c r="N40" s="23" t="s">
        <v>56</v>
      </c>
      <c r="O40" s="46" t="s">
        <v>48</v>
      </c>
      <c r="P40" s="37">
        <f t="shared" ca="1" si="0"/>
        <v>6</v>
      </c>
      <c r="Q40" s="38" t="str">
        <f t="shared" ca="1" si="13"/>
        <v>IMM1</v>
      </c>
      <c r="R40" s="57">
        <f ca="1">IF($I40="","",IF(ISNUMBER($I40),$I40,_xll.meDateFromTenor(H40,$I40,"MOD_FOLLOWING",VLOOKUP(LEFT($M40,3),DateConventions,3))))</f>
        <v>45006</v>
      </c>
      <c r="S40" s="38" t="b">
        <f t="shared" ca="1" si="10"/>
        <v>1</v>
      </c>
      <c r="T40" s="38" t="b">
        <f t="shared" ca="1" si="1"/>
        <v>1</v>
      </c>
      <c r="U40" s="38" t="b">
        <f t="shared" ca="1" si="2"/>
        <v>1</v>
      </c>
      <c r="V40" s="38" t="b">
        <f t="shared" ca="1" si="3"/>
        <v>1</v>
      </c>
      <c r="W40" s="39" t="b">
        <f t="shared" ca="1" si="4"/>
        <v>1</v>
      </c>
      <c r="X40" s="38" t="b">
        <f t="shared" ca="1" si="5"/>
        <v>1</v>
      </c>
      <c r="Y40" s="40" t="b">
        <f t="shared" ca="1" si="6"/>
        <v>1</v>
      </c>
      <c r="Z40" s="40" t="b">
        <f t="shared" ca="1" si="11"/>
        <v>1</v>
      </c>
      <c r="AA40" s="40" t="b">
        <f t="shared" ca="1" si="7"/>
        <v>1</v>
      </c>
      <c r="AB40" s="67" t="b">
        <f t="shared" ca="1" si="8"/>
        <v>1</v>
      </c>
      <c r="AC40" s="64" t="str">
        <f t="shared" ca="1" si="12"/>
        <v>NYB</v>
      </c>
    </row>
    <row r="41" spans="1:29" x14ac:dyDescent="0.25">
      <c r="A41" s="29">
        <v>35</v>
      </c>
      <c r="B41" s="97" t="b">
        <f t="shared" ca="1" si="9"/>
        <v>1</v>
      </c>
      <c r="C41" s="60" t="s">
        <v>148</v>
      </c>
      <c r="D41" s="22" t="s">
        <v>77</v>
      </c>
      <c r="E41" s="62" t="s">
        <v>92</v>
      </c>
      <c r="F41" s="22">
        <v>1</v>
      </c>
      <c r="G41" s="22" t="s">
        <v>14</v>
      </c>
      <c r="H41" s="58">
        <f ca="1">IF($E41="IMM",_xll.meDateNthIMMFromStartDate(AsOf, $F41,$AC41,"MOD_FOLLOWING"),_xll.meDateFromTenor(AsOf,$F41&amp;"D","MOD_FOLLOWING",$AC41))</f>
        <v>43180</v>
      </c>
      <c r="I41" s="88" t="s">
        <v>29</v>
      </c>
      <c r="J41" s="23" t="s">
        <v>16</v>
      </c>
      <c r="K41" s="23" t="s">
        <v>47</v>
      </c>
      <c r="L41" s="23" t="s">
        <v>42</v>
      </c>
      <c r="M41" s="23" t="s">
        <v>99</v>
      </c>
      <c r="N41" s="23" t="s">
        <v>56</v>
      </c>
      <c r="O41" s="46" t="s">
        <v>48</v>
      </c>
      <c r="P41" s="37">
        <f t="shared" ca="1" si="0"/>
        <v>6</v>
      </c>
      <c r="Q41" s="38" t="str">
        <f t="shared" ca="1" si="13"/>
        <v>IMM1</v>
      </c>
      <c r="R41" s="57">
        <f ca="1">IF($I41="","",IF(ISNUMBER($I41),$I41,_xll.meDateFromTenor(H41,$I41,"MOD_FOLLOWING",VLOOKUP(LEFT($M41,3),DateConventions,3))))</f>
        <v>45006</v>
      </c>
      <c r="S41" s="38" t="b">
        <f t="shared" ca="1" si="10"/>
        <v>1</v>
      </c>
      <c r="T41" s="38" t="b">
        <f t="shared" ca="1" si="1"/>
        <v>1</v>
      </c>
      <c r="U41" s="38" t="b">
        <f t="shared" ca="1" si="2"/>
        <v>1</v>
      </c>
      <c r="V41" s="38" t="b">
        <f t="shared" ca="1" si="3"/>
        <v>1</v>
      </c>
      <c r="W41" s="39" t="b">
        <f t="shared" ca="1" si="4"/>
        <v>1</v>
      </c>
      <c r="X41" s="38" t="b">
        <f t="shared" ca="1" si="5"/>
        <v>1</v>
      </c>
      <c r="Y41" s="40" t="b">
        <f t="shared" ca="1" si="6"/>
        <v>1</v>
      </c>
      <c r="Z41" s="40" t="b">
        <f t="shared" ca="1" si="11"/>
        <v>1</v>
      </c>
      <c r="AA41" s="40" t="b">
        <f t="shared" ca="1" si="7"/>
        <v>1</v>
      </c>
      <c r="AB41" s="67" t="b">
        <f t="shared" ca="1" si="8"/>
        <v>1</v>
      </c>
      <c r="AC41" s="64" t="str">
        <f t="shared" ca="1" si="12"/>
        <v>NYB</v>
      </c>
    </row>
    <row r="42" spans="1:29" x14ac:dyDescent="0.25">
      <c r="A42" s="29">
        <v>36</v>
      </c>
      <c r="B42" s="97" t="b">
        <f t="shared" ca="1" si="9"/>
        <v>1</v>
      </c>
      <c r="C42" s="60" t="s">
        <v>148</v>
      </c>
      <c r="D42" s="22" t="s">
        <v>77</v>
      </c>
      <c r="E42" s="62" t="s">
        <v>92</v>
      </c>
      <c r="F42" s="22">
        <v>1</v>
      </c>
      <c r="G42" s="22" t="s">
        <v>14</v>
      </c>
      <c r="H42" s="58">
        <f ca="1">IF($E42="IMM",_xll.meDateNthIMMFromStartDate(AsOf, $F42,$AC42,"MOD_FOLLOWING"),_xll.meDateFromTenor(AsOf,$F42&amp;"D","MOD_FOLLOWING",$AC42))</f>
        <v>43180</v>
      </c>
      <c r="I42" s="88" t="s">
        <v>29</v>
      </c>
      <c r="J42" s="23" t="s">
        <v>16</v>
      </c>
      <c r="K42" s="23" t="s">
        <v>47</v>
      </c>
      <c r="L42" s="23" t="s">
        <v>42</v>
      </c>
      <c r="M42" s="23" t="s">
        <v>99</v>
      </c>
      <c r="N42" s="23" t="s">
        <v>56</v>
      </c>
      <c r="O42" s="46" t="s">
        <v>48</v>
      </c>
      <c r="P42" s="37">
        <f t="shared" ca="1" si="0"/>
        <v>6</v>
      </c>
      <c r="Q42" s="38" t="str">
        <f t="shared" ca="1" si="13"/>
        <v>IMM1</v>
      </c>
      <c r="R42" s="57">
        <f ca="1">IF($I42="","",IF(ISNUMBER($I42),$I42,_xll.meDateFromTenor(H42,$I42,"MOD_FOLLOWING",VLOOKUP(LEFT($M42,3),DateConventions,3))))</f>
        <v>45006</v>
      </c>
      <c r="S42" s="38" t="b">
        <f t="shared" ca="1" si="10"/>
        <v>1</v>
      </c>
      <c r="T42" s="38" t="b">
        <f t="shared" ca="1" si="1"/>
        <v>1</v>
      </c>
      <c r="U42" s="38" t="b">
        <f t="shared" ca="1" si="2"/>
        <v>1</v>
      </c>
      <c r="V42" s="38" t="b">
        <f t="shared" ca="1" si="3"/>
        <v>1</v>
      </c>
      <c r="W42" s="39" t="b">
        <f t="shared" ca="1" si="4"/>
        <v>1</v>
      </c>
      <c r="X42" s="38" t="b">
        <f t="shared" ca="1" si="5"/>
        <v>1</v>
      </c>
      <c r="Y42" s="40" t="b">
        <f t="shared" ca="1" si="6"/>
        <v>1</v>
      </c>
      <c r="Z42" s="40" t="b">
        <f t="shared" ca="1" si="11"/>
        <v>1</v>
      </c>
      <c r="AA42" s="40" t="b">
        <f t="shared" ca="1" si="7"/>
        <v>1</v>
      </c>
      <c r="AB42" s="67" t="b">
        <f t="shared" ca="1" si="8"/>
        <v>1</v>
      </c>
      <c r="AC42" s="64" t="str">
        <f t="shared" ca="1" si="12"/>
        <v>NYB</v>
      </c>
    </row>
    <row r="43" spans="1:29" x14ac:dyDescent="0.25">
      <c r="A43" s="29">
        <v>37</v>
      </c>
      <c r="B43" s="97" t="b">
        <f t="shared" ca="1" si="9"/>
        <v>1</v>
      </c>
      <c r="C43" s="60" t="s">
        <v>148</v>
      </c>
      <c r="D43" s="22" t="s">
        <v>77</v>
      </c>
      <c r="E43" s="62" t="s">
        <v>92</v>
      </c>
      <c r="F43" s="22">
        <v>1</v>
      </c>
      <c r="G43" s="22" t="s">
        <v>14</v>
      </c>
      <c r="H43" s="58">
        <f ca="1">IF($E43="IMM",_xll.meDateNthIMMFromStartDate(AsOf, $F43,$AC43,"MOD_FOLLOWING"),_xll.meDateFromTenor(AsOf,$F43&amp;"D","MOD_FOLLOWING",$AC43))</f>
        <v>43180</v>
      </c>
      <c r="I43" s="88" t="s">
        <v>29</v>
      </c>
      <c r="J43" s="23" t="s">
        <v>16</v>
      </c>
      <c r="K43" s="23" t="s">
        <v>47</v>
      </c>
      <c r="L43" s="23" t="s">
        <v>42</v>
      </c>
      <c r="M43" s="23" t="s">
        <v>99</v>
      </c>
      <c r="N43" s="23" t="s">
        <v>56</v>
      </c>
      <c r="O43" s="46" t="s">
        <v>48</v>
      </c>
      <c r="P43" s="37">
        <f t="shared" ca="1" si="0"/>
        <v>6</v>
      </c>
      <c r="Q43" s="38" t="str">
        <f t="shared" ca="1" si="13"/>
        <v>IMM1</v>
      </c>
      <c r="R43" s="57">
        <f ca="1">IF($I43="","",IF(ISNUMBER($I43),$I43,_xll.meDateFromTenor(H43,$I43,"MOD_FOLLOWING",VLOOKUP(LEFT($M43,3),DateConventions,3))))</f>
        <v>45006</v>
      </c>
      <c r="S43" s="38" t="b">
        <f t="shared" ca="1" si="10"/>
        <v>1</v>
      </c>
      <c r="T43" s="38" t="b">
        <f t="shared" ca="1" si="1"/>
        <v>1</v>
      </c>
      <c r="U43" s="38" t="b">
        <f t="shared" ca="1" si="2"/>
        <v>1</v>
      </c>
      <c r="V43" s="38" t="b">
        <f t="shared" ca="1" si="3"/>
        <v>1</v>
      </c>
      <c r="W43" s="39" t="b">
        <f t="shared" ca="1" si="4"/>
        <v>1</v>
      </c>
      <c r="X43" s="38" t="b">
        <f t="shared" ca="1" si="5"/>
        <v>1</v>
      </c>
      <c r="Y43" s="40" t="b">
        <f t="shared" ca="1" si="6"/>
        <v>1</v>
      </c>
      <c r="Z43" s="40" t="b">
        <f t="shared" ca="1" si="11"/>
        <v>1</v>
      </c>
      <c r="AA43" s="40" t="b">
        <f t="shared" ca="1" si="7"/>
        <v>1</v>
      </c>
      <c r="AB43" s="67" t="b">
        <f t="shared" ca="1" si="8"/>
        <v>1</v>
      </c>
      <c r="AC43" s="64" t="str">
        <f t="shared" ca="1" si="12"/>
        <v>NYB</v>
      </c>
    </row>
    <row r="44" spans="1:29" x14ac:dyDescent="0.25">
      <c r="A44" s="29">
        <v>38</v>
      </c>
      <c r="B44" s="97" t="b">
        <f t="shared" ca="1" si="9"/>
        <v>1</v>
      </c>
      <c r="C44" s="60" t="s">
        <v>148</v>
      </c>
      <c r="D44" s="22" t="s">
        <v>77</v>
      </c>
      <c r="E44" s="62" t="s">
        <v>92</v>
      </c>
      <c r="F44" s="22">
        <v>1</v>
      </c>
      <c r="G44" s="22" t="s">
        <v>14</v>
      </c>
      <c r="H44" s="58">
        <f ca="1">IF($E44="IMM",_xll.meDateNthIMMFromStartDate(AsOf, $F44,$AC44,"MOD_FOLLOWING"),_xll.meDateFromTenor(AsOf,$F44&amp;"D","MOD_FOLLOWING",$AC44))</f>
        <v>43180</v>
      </c>
      <c r="I44" s="88" t="s">
        <v>29</v>
      </c>
      <c r="J44" s="23" t="s">
        <v>16</v>
      </c>
      <c r="K44" s="23" t="s">
        <v>47</v>
      </c>
      <c r="L44" s="23" t="s">
        <v>42</v>
      </c>
      <c r="M44" s="23" t="s">
        <v>99</v>
      </c>
      <c r="N44" s="23" t="s">
        <v>56</v>
      </c>
      <c r="O44" s="46" t="s">
        <v>48</v>
      </c>
      <c r="P44" s="37">
        <f t="shared" ca="1" si="0"/>
        <v>6</v>
      </c>
      <c r="Q44" s="38" t="str">
        <f t="shared" ca="1" si="13"/>
        <v>IMM1</v>
      </c>
      <c r="R44" s="57">
        <f ca="1">IF($I44="","",IF(ISNUMBER($I44),$I44,_xll.meDateFromTenor(H44,$I44,"MOD_FOLLOWING",VLOOKUP(LEFT($M44,3),DateConventions,3))))</f>
        <v>45006</v>
      </c>
      <c r="S44" s="38" t="b">
        <f t="shared" ca="1" si="10"/>
        <v>1</v>
      </c>
      <c r="T44" s="38" t="b">
        <f t="shared" ca="1" si="1"/>
        <v>1</v>
      </c>
      <c r="U44" s="38" t="b">
        <f t="shared" ca="1" si="2"/>
        <v>1</v>
      </c>
      <c r="V44" s="38" t="b">
        <f t="shared" ca="1" si="3"/>
        <v>1</v>
      </c>
      <c r="W44" s="39" t="b">
        <f t="shared" ca="1" si="4"/>
        <v>1</v>
      </c>
      <c r="X44" s="38" t="b">
        <f t="shared" ca="1" si="5"/>
        <v>1</v>
      </c>
      <c r="Y44" s="40" t="b">
        <f t="shared" ca="1" si="6"/>
        <v>1</v>
      </c>
      <c r="Z44" s="40" t="b">
        <f t="shared" ca="1" si="11"/>
        <v>1</v>
      </c>
      <c r="AA44" s="40" t="b">
        <f t="shared" ca="1" si="7"/>
        <v>1</v>
      </c>
      <c r="AB44" s="67" t="b">
        <f t="shared" ca="1" si="8"/>
        <v>1</v>
      </c>
      <c r="AC44" s="64" t="str">
        <f t="shared" ca="1" si="12"/>
        <v>NYB</v>
      </c>
    </row>
    <row r="45" spans="1:29" x14ac:dyDescent="0.25">
      <c r="A45" s="29">
        <v>39</v>
      </c>
      <c r="B45" s="97" t="b">
        <f t="shared" ca="1" si="9"/>
        <v>1</v>
      </c>
      <c r="C45" s="60" t="s">
        <v>148</v>
      </c>
      <c r="D45" s="22" t="s">
        <v>77</v>
      </c>
      <c r="E45" s="62" t="s">
        <v>92</v>
      </c>
      <c r="F45" s="22">
        <v>1</v>
      </c>
      <c r="G45" s="22" t="s">
        <v>14</v>
      </c>
      <c r="H45" s="58">
        <f ca="1">IF($E45="IMM",_xll.meDateNthIMMFromStartDate(AsOf, $F45,$AC45,"MOD_FOLLOWING"),_xll.meDateFromTenor(AsOf,$F45&amp;"D","MOD_FOLLOWING",$AC45))</f>
        <v>43180</v>
      </c>
      <c r="I45" s="88" t="s">
        <v>29</v>
      </c>
      <c r="J45" s="23" t="s">
        <v>16</v>
      </c>
      <c r="K45" s="23" t="s">
        <v>47</v>
      </c>
      <c r="L45" s="23" t="s">
        <v>42</v>
      </c>
      <c r="M45" s="23" t="s">
        <v>99</v>
      </c>
      <c r="N45" s="23" t="s">
        <v>56</v>
      </c>
      <c r="O45" s="46" t="s">
        <v>48</v>
      </c>
      <c r="P45" s="37">
        <f t="shared" ca="1" si="0"/>
        <v>6</v>
      </c>
      <c r="Q45" s="38" t="str">
        <f t="shared" ca="1" si="13"/>
        <v>IMM1</v>
      </c>
      <c r="R45" s="57">
        <f ca="1">IF($I45="","",IF(ISNUMBER($I45),$I45,_xll.meDateFromTenor(H45,$I45,"MOD_FOLLOWING",VLOOKUP(LEFT($M45,3),DateConventions,3))))</f>
        <v>45006</v>
      </c>
      <c r="S45" s="38" t="b">
        <f t="shared" ca="1" si="10"/>
        <v>1</v>
      </c>
      <c r="T45" s="38" t="b">
        <f t="shared" ca="1" si="1"/>
        <v>1</v>
      </c>
      <c r="U45" s="38" t="b">
        <f t="shared" ca="1" si="2"/>
        <v>1</v>
      </c>
      <c r="V45" s="38" t="b">
        <f t="shared" ca="1" si="3"/>
        <v>1</v>
      </c>
      <c r="W45" s="39" t="b">
        <f t="shared" ca="1" si="4"/>
        <v>1</v>
      </c>
      <c r="X45" s="38" t="b">
        <f t="shared" ca="1" si="5"/>
        <v>1</v>
      </c>
      <c r="Y45" s="40" t="b">
        <f t="shared" ca="1" si="6"/>
        <v>1</v>
      </c>
      <c r="Z45" s="40" t="b">
        <f t="shared" ca="1" si="11"/>
        <v>1</v>
      </c>
      <c r="AA45" s="40" t="b">
        <f t="shared" ca="1" si="7"/>
        <v>1</v>
      </c>
      <c r="AB45" s="67" t="b">
        <f t="shared" ca="1" si="8"/>
        <v>1</v>
      </c>
      <c r="AC45" s="64" t="str">
        <f t="shared" ca="1" si="12"/>
        <v>NYB</v>
      </c>
    </row>
    <row r="46" spans="1:29" x14ac:dyDescent="0.25">
      <c r="A46" s="29">
        <v>40</v>
      </c>
      <c r="B46" s="97" t="b">
        <f t="shared" ca="1" si="9"/>
        <v>1</v>
      </c>
      <c r="C46" s="60" t="s">
        <v>148</v>
      </c>
      <c r="D46" s="22" t="s">
        <v>77</v>
      </c>
      <c r="E46" s="62" t="s">
        <v>92</v>
      </c>
      <c r="F46" s="22">
        <v>1</v>
      </c>
      <c r="G46" s="22" t="s">
        <v>14</v>
      </c>
      <c r="H46" s="58">
        <f ca="1">IF($E46="IMM",_xll.meDateNthIMMFromStartDate(AsOf, $F46,$AC46,"MOD_FOLLOWING"),_xll.meDateFromTenor(AsOf,$F46&amp;"D","MOD_FOLLOWING",$AC46))</f>
        <v>43180</v>
      </c>
      <c r="I46" s="88" t="s">
        <v>29</v>
      </c>
      <c r="J46" s="23" t="s">
        <v>16</v>
      </c>
      <c r="K46" s="23" t="s">
        <v>47</v>
      </c>
      <c r="L46" s="23" t="s">
        <v>42</v>
      </c>
      <c r="M46" s="23" t="s">
        <v>99</v>
      </c>
      <c r="N46" s="23" t="s">
        <v>56</v>
      </c>
      <c r="O46" s="46" t="s">
        <v>48</v>
      </c>
      <c r="P46" s="37">
        <f t="shared" ca="1" si="0"/>
        <v>6</v>
      </c>
      <c r="Q46" s="38" t="str">
        <f t="shared" ca="1" si="13"/>
        <v>IMM1</v>
      </c>
      <c r="R46" s="57">
        <f ca="1">IF($I46="","",IF(ISNUMBER($I46),$I46,_xll.meDateFromTenor(H46,$I46,"MOD_FOLLOWING",VLOOKUP(LEFT($M46,3),DateConventions,3))))</f>
        <v>45006</v>
      </c>
      <c r="S46" s="38" t="b">
        <f t="shared" ca="1" si="10"/>
        <v>1</v>
      </c>
      <c r="T46" s="38" t="b">
        <f t="shared" ca="1" si="1"/>
        <v>1</v>
      </c>
      <c r="U46" s="38" t="b">
        <f t="shared" ca="1" si="2"/>
        <v>1</v>
      </c>
      <c r="V46" s="38" t="b">
        <f t="shared" ca="1" si="3"/>
        <v>1</v>
      </c>
      <c r="W46" s="39" t="b">
        <f t="shared" ca="1" si="4"/>
        <v>1</v>
      </c>
      <c r="X46" s="38" t="b">
        <f t="shared" ca="1" si="5"/>
        <v>1</v>
      </c>
      <c r="Y46" s="40" t="b">
        <f t="shared" ca="1" si="6"/>
        <v>1</v>
      </c>
      <c r="Z46" s="40" t="b">
        <f t="shared" ca="1" si="11"/>
        <v>1</v>
      </c>
      <c r="AA46" s="40" t="b">
        <f t="shared" ca="1" si="7"/>
        <v>1</v>
      </c>
      <c r="AB46" s="67" t="b">
        <f t="shared" ca="1" si="8"/>
        <v>1</v>
      </c>
      <c r="AC46" s="64" t="str">
        <f t="shared" ca="1" si="12"/>
        <v>NYB</v>
      </c>
    </row>
    <row r="47" spans="1:29" x14ac:dyDescent="0.25">
      <c r="A47" s="29">
        <v>41</v>
      </c>
      <c r="B47" s="97" t="b">
        <f t="shared" ca="1" si="9"/>
        <v>1</v>
      </c>
      <c r="C47" s="60" t="s">
        <v>148</v>
      </c>
      <c r="D47" s="22" t="s">
        <v>77</v>
      </c>
      <c r="E47" s="62" t="s">
        <v>92</v>
      </c>
      <c r="F47" s="22">
        <v>1</v>
      </c>
      <c r="G47" s="22" t="s">
        <v>14</v>
      </c>
      <c r="H47" s="58">
        <f ca="1">IF($E47="IMM",_xll.meDateNthIMMFromStartDate(AsOf, $F47,$AC47,"MOD_FOLLOWING"),_xll.meDateFromTenor(AsOf,$F47&amp;"D","MOD_FOLLOWING",$AC47))</f>
        <v>43180</v>
      </c>
      <c r="I47" s="88" t="s">
        <v>29</v>
      </c>
      <c r="J47" s="23" t="s">
        <v>16</v>
      </c>
      <c r="K47" s="23" t="s">
        <v>47</v>
      </c>
      <c r="L47" s="23" t="s">
        <v>42</v>
      </c>
      <c r="M47" s="23" t="s">
        <v>99</v>
      </c>
      <c r="N47" s="23" t="s">
        <v>56</v>
      </c>
      <c r="O47" s="46" t="s">
        <v>48</v>
      </c>
      <c r="P47" s="37">
        <f t="shared" ca="1" si="0"/>
        <v>6</v>
      </c>
      <c r="Q47" s="38" t="str">
        <f t="shared" ca="1" si="13"/>
        <v>IMM1</v>
      </c>
      <c r="R47" s="57">
        <f ca="1">IF($I47="","",IF(ISNUMBER($I47),$I47,_xll.meDateFromTenor(H47,$I47,"MOD_FOLLOWING",VLOOKUP(LEFT($M47,3),DateConventions,3))))</f>
        <v>45006</v>
      </c>
      <c r="S47" s="38" t="b">
        <f t="shared" ca="1" si="10"/>
        <v>1</v>
      </c>
      <c r="T47" s="38" t="b">
        <f t="shared" ca="1" si="1"/>
        <v>1</v>
      </c>
      <c r="U47" s="38" t="b">
        <f t="shared" ca="1" si="2"/>
        <v>1</v>
      </c>
      <c r="V47" s="38" t="b">
        <f t="shared" ca="1" si="3"/>
        <v>1</v>
      </c>
      <c r="W47" s="39" t="b">
        <f t="shared" ca="1" si="4"/>
        <v>1</v>
      </c>
      <c r="X47" s="38" t="b">
        <f t="shared" ca="1" si="5"/>
        <v>1</v>
      </c>
      <c r="Y47" s="40" t="b">
        <f t="shared" ca="1" si="6"/>
        <v>1</v>
      </c>
      <c r="Z47" s="40" t="b">
        <f t="shared" ca="1" si="11"/>
        <v>1</v>
      </c>
      <c r="AA47" s="40" t="b">
        <f t="shared" ca="1" si="7"/>
        <v>1</v>
      </c>
      <c r="AB47" s="67" t="b">
        <f t="shared" ca="1" si="8"/>
        <v>1</v>
      </c>
      <c r="AC47" s="64" t="str">
        <f t="shared" ca="1" si="12"/>
        <v>NYB</v>
      </c>
    </row>
    <row r="48" spans="1:29" x14ac:dyDescent="0.25">
      <c r="A48" s="29">
        <v>42</v>
      </c>
      <c r="B48" s="98" t="b">
        <f t="shared" ca="1" si="9"/>
        <v>1</v>
      </c>
      <c r="C48" s="72" t="s">
        <v>148</v>
      </c>
      <c r="D48" s="73" t="s">
        <v>77</v>
      </c>
      <c r="E48" s="74" t="s">
        <v>92</v>
      </c>
      <c r="F48" s="99">
        <v>1</v>
      </c>
      <c r="G48" s="99" t="s">
        <v>14</v>
      </c>
      <c r="H48" s="117">
        <f ca="1">IF($E48="IMM",_xll.meDateNthIMMFromStartDate(AsOf, $F48,$AC48,"MOD_FOLLOWING"),_xll.meDateFromTenor(AsOf,$F48&amp;"D","MOD_FOLLOWING",$AC48))</f>
        <v>43180</v>
      </c>
      <c r="I48" s="90" t="s">
        <v>29</v>
      </c>
      <c r="J48" s="77" t="s">
        <v>16</v>
      </c>
      <c r="K48" s="77" t="s">
        <v>47</v>
      </c>
      <c r="L48" s="77" t="s">
        <v>42</v>
      </c>
      <c r="M48" s="77" t="s">
        <v>99</v>
      </c>
      <c r="N48" s="77" t="s">
        <v>56</v>
      </c>
      <c r="O48" s="78" t="s">
        <v>48</v>
      </c>
      <c r="P48" s="41">
        <f t="shared" ca="1" si="0"/>
        <v>6</v>
      </c>
      <c r="Q48" s="38" t="str">
        <f t="shared" ca="1" si="13"/>
        <v>IMM1</v>
      </c>
      <c r="R48" s="57">
        <f ca="1">IF($I48="","",IF(ISNUMBER($I48),$I48,_xll.meDateFromTenor(H48,$I48,"MOD_FOLLOWING",VLOOKUP(LEFT($M48,3),DateConventions,3))))</f>
        <v>45006</v>
      </c>
      <c r="S48" s="38" t="b">
        <f t="shared" ca="1" si="10"/>
        <v>1</v>
      </c>
      <c r="T48" s="42" t="b">
        <f t="shared" ca="1" si="1"/>
        <v>1</v>
      </c>
      <c r="U48" s="42" t="b">
        <f t="shared" ca="1" si="2"/>
        <v>1</v>
      </c>
      <c r="V48" s="38" t="b">
        <f t="shared" ca="1" si="3"/>
        <v>1</v>
      </c>
      <c r="W48" s="39" t="b">
        <f t="shared" ca="1" si="4"/>
        <v>1</v>
      </c>
      <c r="X48" s="42" t="b">
        <f t="shared" ca="1" si="5"/>
        <v>1</v>
      </c>
      <c r="Y48" s="43" t="b">
        <f t="shared" ca="1" si="6"/>
        <v>1</v>
      </c>
      <c r="Z48" s="43" t="b">
        <f t="shared" ca="1" si="11"/>
        <v>1</v>
      </c>
      <c r="AA48" s="43" t="b">
        <f t="shared" ca="1" si="7"/>
        <v>1</v>
      </c>
      <c r="AB48" s="68" t="b">
        <f t="shared" ca="1" si="8"/>
        <v>1</v>
      </c>
      <c r="AC48" s="65" t="str">
        <f t="shared" ca="1" si="12"/>
        <v>NYB</v>
      </c>
    </row>
    <row r="49" spans="3:26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3:26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3:26" ht="15.75" outlineLevel="1" thickBot="1" x14ac:dyDescent="0.3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3:26" ht="15.75" outlineLevel="1" thickBot="1" x14ac:dyDescent="0.3">
      <c r="C52" s="128" t="s">
        <v>0</v>
      </c>
      <c r="D52" s="128" t="s">
        <v>1</v>
      </c>
      <c r="E52" s="128" t="s">
        <v>2</v>
      </c>
      <c r="F52" s="84"/>
      <c r="G52" s="128" t="s">
        <v>3</v>
      </c>
      <c r="H52" s="128" t="s">
        <v>4</v>
      </c>
      <c r="I52" s="128" t="s">
        <v>5</v>
      </c>
      <c r="J52" s="130" t="s">
        <v>6</v>
      </c>
      <c r="K52" s="131"/>
      <c r="L52" s="130" t="s">
        <v>7</v>
      </c>
      <c r="M52" s="132"/>
      <c r="N52" s="131"/>
      <c r="Y52" s="5"/>
      <c r="Z52" s="5"/>
    </row>
    <row r="53" spans="3:26" ht="26.25" outlineLevel="1" thickBot="1" x14ac:dyDescent="0.3">
      <c r="C53" s="129"/>
      <c r="D53" s="129"/>
      <c r="E53" s="129"/>
      <c r="F53" s="85"/>
      <c r="G53" s="129"/>
      <c r="H53" s="129"/>
      <c r="I53" s="129"/>
      <c r="J53" s="1" t="s">
        <v>8</v>
      </c>
      <c r="K53" s="1" t="s">
        <v>9</v>
      </c>
      <c r="L53" s="1" t="s">
        <v>10</v>
      </c>
      <c r="M53" s="1" t="s">
        <v>11</v>
      </c>
      <c r="N53" s="1" t="s">
        <v>9</v>
      </c>
      <c r="Y53" s="9"/>
    </row>
    <row r="54" spans="3:26" ht="26.25" outlineLevel="1" thickBot="1" x14ac:dyDescent="0.3">
      <c r="C54" s="85" t="s">
        <v>12</v>
      </c>
      <c r="D54" s="4" t="s">
        <v>13</v>
      </c>
      <c r="E54" s="11" t="s">
        <v>68</v>
      </c>
      <c r="F54" s="11"/>
      <c r="G54" s="4" t="s">
        <v>14</v>
      </c>
      <c r="H54" s="4" t="s">
        <v>15</v>
      </c>
      <c r="I54" s="4" t="s">
        <v>16</v>
      </c>
      <c r="J54" s="4" t="s">
        <v>49</v>
      </c>
      <c r="K54" s="4" t="s">
        <v>59</v>
      </c>
      <c r="L54" s="11" t="s">
        <v>61</v>
      </c>
      <c r="M54" s="4" t="s">
        <v>51</v>
      </c>
      <c r="N54" s="4" t="s">
        <v>57</v>
      </c>
      <c r="Y54" s="9"/>
    </row>
    <row r="55" spans="3:26" ht="26.25" outlineLevel="1" thickBot="1" x14ac:dyDescent="0.3">
      <c r="C55" s="85" t="s">
        <v>12</v>
      </c>
      <c r="D55" s="4" t="s">
        <v>13</v>
      </c>
      <c r="E55" s="11" t="s">
        <v>68</v>
      </c>
      <c r="F55" s="11"/>
      <c r="G55" s="4" t="s">
        <v>14</v>
      </c>
      <c r="H55" s="4" t="s">
        <v>17</v>
      </c>
      <c r="I55" s="4" t="s">
        <v>16</v>
      </c>
      <c r="J55" s="4" t="s">
        <v>49</v>
      </c>
      <c r="K55" s="4" t="s">
        <v>59</v>
      </c>
      <c r="L55" s="11" t="s">
        <v>62</v>
      </c>
      <c r="M55" s="4" t="s">
        <v>52</v>
      </c>
      <c r="N55" s="4" t="s">
        <v>57</v>
      </c>
      <c r="Y55" s="9"/>
    </row>
    <row r="56" spans="3:26" ht="26.25" outlineLevel="1" thickBot="1" x14ac:dyDescent="0.3">
      <c r="C56" s="85" t="s">
        <v>18</v>
      </c>
      <c r="D56" s="4" t="s">
        <v>19</v>
      </c>
      <c r="E56" s="11" t="s">
        <v>68</v>
      </c>
      <c r="F56" s="11"/>
      <c r="G56" s="4" t="s">
        <v>14</v>
      </c>
      <c r="H56" s="4" t="s">
        <v>20</v>
      </c>
      <c r="I56" s="4" t="s">
        <v>16</v>
      </c>
      <c r="J56" s="4" t="s">
        <v>49</v>
      </c>
      <c r="K56" s="4" t="s">
        <v>59</v>
      </c>
      <c r="L56" s="11" t="s">
        <v>63</v>
      </c>
      <c r="M56" s="4" t="s">
        <v>52</v>
      </c>
      <c r="N56" s="4" t="s">
        <v>57</v>
      </c>
      <c r="Y56" s="9"/>
    </row>
    <row r="57" spans="3:26" ht="26.25" outlineLevel="1" thickBot="1" x14ac:dyDescent="0.3">
      <c r="C57" s="85" t="s">
        <v>18</v>
      </c>
      <c r="D57" s="4" t="s">
        <v>19</v>
      </c>
      <c r="E57" s="11" t="s">
        <v>21</v>
      </c>
      <c r="F57" s="11"/>
      <c r="G57" s="4" t="s">
        <v>14</v>
      </c>
      <c r="H57" s="4" t="s">
        <v>22</v>
      </c>
      <c r="I57" s="4" t="s">
        <v>16</v>
      </c>
      <c r="J57" s="4" t="s">
        <v>49</v>
      </c>
      <c r="K57" s="4" t="s">
        <v>59</v>
      </c>
      <c r="L57" s="11" t="s">
        <v>98</v>
      </c>
      <c r="M57" s="4" t="s">
        <v>52</v>
      </c>
      <c r="N57" s="4" t="s">
        <v>57</v>
      </c>
      <c r="Y57" s="9"/>
    </row>
    <row r="58" spans="3:26" ht="26.25" outlineLevel="1" thickBot="1" x14ac:dyDescent="0.3">
      <c r="C58" s="85" t="s">
        <v>23</v>
      </c>
      <c r="D58" s="4" t="s">
        <v>19</v>
      </c>
      <c r="E58" s="11" t="s">
        <v>68</v>
      </c>
      <c r="F58" s="11"/>
      <c r="G58" s="4" t="s">
        <v>14</v>
      </c>
      <c r="H58" s="4" t="s">
        <v>20</v>
      </c>
      <c r="I58" s="4" t="s">
        <v>16</v>
      </c>
      <c r="J58" s="4" t="s">
        <v>49</v>
      </c>
      <c r="K58" s="4" t="s">
        <v>59</v>
      </c>
      <c r="L58" s="11" t="s">
        <v>64</v>
      </c>
      <c r="M58" s="4" t="s">
        <v>50</v>
      </c>
      <c r="N58" s="4" t="s">
        <v>57</v>
      </c>
      <c r="Y58" s="9"/>
    </row>
    <row r="59" spans="3:26" ht="26.25" outlineLevel="1" thickBot="1" x14ac:dyDescent="0.3">
      <c r="C59" s="85" t="s">
        <v>23</v>
      </c>
      <c r="D59" s="4" t="s">
        <v>19</v>
      </c>
      <c r="E59" s="11" t="s">
        <v>21</v>
      </c>
      <c r="F59" s="11"/>
      <c r="G59" s="4" t="s">
        <v>14</v>
      </c>
      <c r="H59" s="4" t="s">
        <v>22</v>
      </c>
      <c r="I59" s="4" t="s">
        <v>16</v>
      </c>
      <c r="J59" s="4" t="s">
        <v>49</v>
      </c>
      <c r="K59" s="4" t="s">
        <v>59</v>
      </c>
      <c r="L59" s="11" t="s">
        <v>99</v>
      </c>
      <c r="M59" s="4" t="s">
        <v>50</v>
      </c>
      <c r="N59" s="4" t="s">
        <v>57</v>
      </c>
      <c r="Y59" s="9"/>
    </row>
    <row r="60" spans="3:26" ht="26.25" outlineLevel="1" thickBot="1" x14ac:dyDescent="0.3">
      <c r="C60" s="85" t="s">
        <v>24</v>
      </c>
      <c r="D60" s="4" t="s">
        <v>25</v>
      </c>
      <c r="E60" s="11" t="s">
        <v>69</v>
      </c>
      <c r="F60" s="11"/>
      <c r="G60" s="4" t="s">
        <v>14</v>
      </c>
      <c r="H60" s="4" t="s">
        <v>17</v>
      </c>
      <c r="I60" s="4" t="s">
        <v>16</v>
      </c>
      <c r="J60" s="4" t="s">
        <v>50</v>
      </c>
      <c r="K60" s="4" t="s">
        <v>58</v>
      </c>
      <c r="L60" s="11" t="s">
        <v>65</v>
      </c>
      <c r="M60" s="4" t="s">
        <v>51</v>
      </c>
      <c r="N60" s="4" t="s">
        <v>58</v>
      </c>
      <c r="Y60" s="9"/>
    </row>
    <row r="61" spans="3:26" ht="26.25" customHeight="1" outlineLevel="1" thickBot="1" x14ac:dyDescent="0.3">
      <c r="C61" s="85" t="s">
        <v>24</v>
      </c>
      <c r="D61" s="4" t="s">
        <v>25</v>
      </c>
      <c r="E61" s="11" t="s">
        <v>69</v>
      </c>
      <c r="F61" s="11"/>
      <c r="G61" s="4" t="s">
        <v>14</v>
      </c>
      <c r="H61" s="4" t="s">
        <v>17</v>
      </c>
      <c r="I61" s="4" t="s">
        <v>16</v>
      </c>
      <c r="J61" s="4" t="s">
        <v>50</v>
      </c>
      <c r="K61" s="4" t="s">
        <v>58</v>
      </c>
      <c r="L61" s="11" t="s">
        <v>66</v>
      </c>
      <c r="M61" s="4" t="s">
        <v>52</v>
      </c>
      <c r="N61" s="4" t="s">
        <v>58</v>
      </c>
      <c r="Y61" s="9"/>
    </row>
    <row r="62" spans="3:26" outlineLevel="1" x14ac:dyDescent="0.25">
      <c r="Y62" s="9"/>
    </row>
    <row r="63" spans="3:26" outlineLevel="1" x14ac:dyDescent="0.25">
      <c r="Y63" s="9"/>
    </row>
    <row r="64" spans="3:26" ht="15.75" outlineLevel="1" thickBot="1" x14ac:dyDescent="0.3">
      <c r="C64" s="11" t="s">
        <v>61</v>
      </c>
      <c r="K64" s="5"/>
      <c r="Y64" s="9"/>
    </row>
    <row r="65" spans="2:25" ht="25.5" outlineLevel="1" x14ac:dyDescent="0.25">
      <c r="B65" s="5" t="s">
        <v>90</v>
      </c>
      <c r="C65" s="6" t="s">
        <v>40</v>
      </c>
      <c r="D65" s="6" t="s">
        <v>39</v>
      </c>
      <c r="E65" s="5" t="s">
        <v>45</v>
      </c>
      <c r="F65" s="5" t="s">
        <v>46</v>
      </c>
      <c r="H65" s="2"/>
      <c r="K65" t="s">
        <v>73</v>
      </c>
      <c r="L65" t="s">
        <v>74</v>
      </c>
      <c r="M65" t="s">
        <v>75</v>
      </c>
      <c r="Y65" s="9"/>
    </row>
    <row r="66" spans="2:25" outlineLevel="1" x14ac:dyDescent="0.25">
      <c r="B66" s="7">
        <f ca="1">_xll.meDateFromTenor(AsOf,"2D","MOD_FOLLOWING","TGT")</f>
        <v>43091</v>
      </c>
      <c r="C66" s="2" t="s">
        <v>26</v>
      </c>
      <c r="D66" s="7">
        <f ca="1">_xll.meDateFromTenor($B$66,C66,"MOD_FOLLOWING","TGT")</f>
        <v>43822</v>
      </c>
      <c r="E66" s="133">
        <f ca="1">_xll.meDateFromTenor($D66,"-5D","MOD_FOLLOWING","TGT")</f>
        <v>43815</v>
      </c>
      <c r="F66" s="133">
        <f ca="1">_xll.meDateFromTenor($D66,"5D","MOD_FOLLOWING","TGT")</f>
        <v>43832</v>
      </c>
      <c r="K66" s="13" t="s">
        <v>72</v>
      </c>
      <c r="L66" s="14" t="s">
        <v>78</v>
      </c>
      <c r="M66" s="15" t="s">
        <v>79</v>
      </c>
    </row>
    <row r="67" spans="2:25" outlineLevel="1" x14ac:dyDescent="0.25">
      <c r="C67" s="2" t="s">
        <v>27</v>
      </c>
      <c r="D67" s="7">
        <f ca="1">_xll.meDateFromTenor($B$66,C67,"MOD_FOLLOWING","TGT")</f>
        <v>44187</v>
      </c>
      <c r="E67" s="133">
        <f ca="1">_xll.meDateFromTenor($D67,"-5D","MOD_FOLLOWING","TGT")</f>
        <v>44180</v>
      </c>
      <c r="F67" s="133">
        <f ca="1">_xll.meDateFromTenor($D67,"5D","MOD_FOLLOWING","TGT")</f>
        <v>44195</v>
      </c>
      <c r="H67" s="7"/>
      <c r="K67" s="16" t="s">
        <v>76</v>
      </c>
      <c r="L67" s="17" t="s">
        <v>78</v>
      </c>
      <c r="M67" s="18" t="s">
        <v>80</v>
      </c>
    </row>
    <row r="68" spans="2:25" outlineLevel="1" x14ac:dyDescent="0.25">
      <c r="C68" s="2" t="s">
        <v>28</v>
      </c>
      <c r="D68" s="7">
        <f ca="1">_xll.meDateFromTenor($B$66,C68,"MOD_FOLLOWING","TGT")</f>
        <v>44552</v>
      </c>
      <c r="E68" s="133">
        <f ca="1">_xll.meDateFromTenor($D68,"-5D","MOD_FOLLOWING","TGT")</f>
        <v>44545</v>
      </c>
      <c r="F68" s="133">
        <f ca="1">_xll.meDateFromTenor($D68,"5D","MOD_FOLLOWING","TGT")</f>
        <v>44559</v>
      </c>
      <c r="H68" s="7"/>
      <c r="K68" s="19" t="s">
        <v>77</v>
      </c>
      <c r="L68" s="20" t="s">
        <v>78</v>
      </c>
      <c r="M68" s="21" t="s">
        <v>81</v>
      </c>
    </row>
    <row r="69" spans="2:25" outlineLevel="1" x14ac:dyDescent="0.25">
      <c r="C69" s="2" t="s">
        <v>29</v>
      </c>
      <c r="D69" s="7">
        <f ca="1">_xll.meDateFromTenor($B$66,C69,"MOD_FOLLOWING","TGT")</f>
        <v>44917</v>
      </c>
      <c r="E69" s="133">
        <f ca="1">_xll.meDateFromTenor($D69,"-5D","MOD_FOLLOWING","TGT")</f>
        <v>44910</v>
      </c>
      <c r="F69" s="133">
        <f ca="1">_xll.meDateFromTenor($D69,"5D","MOD_FOLLOWING","TGT")</f>
        <v>44925</v>
      </c>
      <c r="H69" s="7"/>
    </row>
    <row r="70" spans="2:25" outlineLevel="1" x14ac:dyDescent="0.25">
      <c r="C70" s="2" t="s">
        <v>30</v>
      </c>
      <c r="D70" s="7">
        <f ca="1">_xll.meDateFromTenor($B$66,C70,"MOD_FOLLOWING","TGT")</f>
        <v>45282</v>
      </c>
      <c r="E70" s="133">
        <f ca="1">_xll.meDateFromTenor($D70,"-5D","MOD_FOLLOWING","TGT")</f>
        <v>45275</v>
      </c>
      <c r="F70" s="133">
        <f ca="1">_xll.meDateFromTenor($D70,"5D","MOD_FOLLOWING","TGT")</f>
        <v>45294</v>
      </c>
      <c r="H70" s="7"/>
    </row>
    <row r="71" spans="2:25" outlineLevel="1" x14ac:dyDescent="0.25">
      <c r="C71" s="2" t="s">
        <v>31</v>
      </c>
      <c r="D71" s="7">
        <f ca="1">_xll.meDateFromTenor($B$66,C71,"MOD_FOLLOWING","TGT")</f>
        <v>45649</v>
      </c>
      <c r="E71" s="133">
        <f ca="1">_xll.meDateFromTenor($D71,"-5D","MOD_FOLLOWING","TGT")</f>
        <v>45642</v>
      </c>
      <c r="F71" s="133">
        <f ca="1">_xll.meDateFromTenor($D71,"5D","MOD_FOLLOWING","TGT")</f>
        <v>45659</v>
      </c>
      <c r="H71" s="7"/>
    </row>
    <row r="72" spans="2:25" outlineLevel="1" x14ac:dyDescent="0.25">
      <c r="C72" s="2" t="s">
        <v>32</v>
      </c>
      <c r="D72" s="7">
        <f ca="1">_xll.meDateFromTenor($B$66,C72,"MOD_FOLLOWING","TGT")</f>
        <v>46013</v>
      </c>
      <c r="E72" s="133">
        <f ca="1">_xll.meDateFromTenor($D72,"-5D","MOD_FOLLOWING","TGT")</f>
        <v>46006</v>
      </c>
      <c r="F72" s="133">
        <f ca="1">_xll.meDateFromTenor($D72,"5D","MOD_FOLLOWING","TGT")</f>
        <v>46022</v>
      </c>
      <c r="H72" s="7"/>
    </row>
    <row r="73" spans="2:25" outlineLevel="1" x14ac:dyDescent="0.25">
      <c r="C73" s="2" t="s">
        <v>33</v>
      </c>
      <c r="D73" s="7">
        <f ca="1">_xll.meDateFromTenor($B$66,C73,"MOD_FOLLOWING","TGT")</f>
        <v>46378</v>
      </c>
      <c r="E73" s="133">
        <f ca="1">_xll.meDateFromTenor($D73,"-5D","MOD_FOLLOWING","TGT")</f>
        <v>46371</v>
      </c>
      <c r="F73" s="133">
        <f ca="1">_xll.meDateFromTenor($D73,"5D","MOD_FOLLOWING","TGT")</f>
        <v>46386</v>
      </c>
      <c r="H73" s="7"/>
    </row>
    <row r="74" spans="2:25" outlineLevel="1" x14ac:dyDescent="0.25">
      <c r="C74" s="2" t="s">
        <v>34</v>
      </c>
      <c r="D74" s="7">
        <f ca="1">_xll.meDateFromTenor($B$66,C74,"MOD_FOLLOWING","TGT")</f>
        <v>46743</v>
      </c>
      <c r="E74" s="133">
        <f ca="1">_xll.meDateFromTenor($D74,"-5D","MOD_FOLLOWING","TGT")</f>
        <v>46736</v>
      </c>
      <c r="F74" s="133">
        <f ca="1">_xll.meDateFromTenor($D74,"5D","MOD_FOLLOWING","TGT")</f>
        <v>46750</v>
      </c>
      <c r="H74" s="7"/>
    </row>
    <row r="75" spans="2:25" outlineLevel="1" x14ac:dyDescent="0.25">
      <c r="C75" s="2" t="s">
        <v>35</v>
      </c>
      <c r="D75" s="7">
        <f ca="1">_xll.meDateFromTenor($B$66,C75,"MOD_FOLLOWING","TGT")</f>
        <v>47476</v>
      </c>
      <c r="E75" s="133">
        <f ca="1">_xll.meDateFromTenor($D75,"-5D","MOD_FOLLOWING","TGT")</f>
        <v>47469</v>
      </c>
      <c r="F75" s="133">
        <f ca="1">_xll.meDateFromTenor($D75,"5D","MOD_FOLLOWING","TGT")</f>
        <v>47486</v>
      </c>
      <c r="H75" s="7"/>
    </row>
    <row r="76" spans="2:25" outlineLevel="1" x14ac:dyDescent="0.25">
      <c r="C76" s="2" t="s">
        <v>36</v>
      </c>
      <c r="D76" s="7">
        <f ca="1">_xll.meDateFromTenor($B$66,C76,"MOD_FOLLOWING","TGT")</f>
        <v>48570</v>
      </c>
      <c r="E76" s="133">
        <f ca="1">_xll.meDateFromTenor($D76,"-5D","MOD_FOLLOWING","TGT")</f>
        <v>48563</v>
      </c>
      <c r="F76" s="133">
        <f ca="1">_xll.meDateFromTenor($D76,"5D","MOD_FOLLOWING","TGT")</f>
        <v>48577</v>
      </c>
      <c r="H76" s="7"/>
    </row>
    <row r="77" spans="2:25" outlineLevel="1" x14ac:dyDescent="0.25">
      <c r="C77" s="2" t="s">
        <v>37</v>
      </c>
      <c r="D77" s="7">
        <f ca="1">_xll.meDateFromTenor($B$66,C77,"MOD_FOLLOWING","TGT")</f>
        <v>50396</v>
      </c>
      <c r="E77" s="133">
        <f ca="1">_xll.meDateFromTenor($D77,"-5D","MOD_FOLLOWING","TGT")</f>
        <v>50389</v>
      </c>
      <c r="F77" s="133">
        <f ca="1">_xll.meDateFromTenor($D77,"5D","MOD_FOLLOWING","TGT")</f>
        <v>50404</v>
      </c>
      <c r="H77" s="7"/>
    </row>
    <row r="78" spans="2:25" outlineLevel="1" x14ac:dyDescent="0.25">
      <c r="C78" s="2" t="s">
        <v>38</v>
      </c>
      <c r="D78" s="7">
        <f ca="1">_xll.meDateFromTenor($B$66,C78,"MOD_FOLLOWING","TGT")</f>
        <v>54049</v>
      </c>
      <c r="E78" s="133">
        <f ca="1">_xll.meDateFromTenor($D78,"-5D","MOD_FOLLOWING","TGT")</f>
        <v>54042</v>
      </c>
      <c r="F78" s="133">
        <f ca="1">_xll.meDateFromTenor($D78,"5D","MOD_FOLLOWING","TGT")</f>
        <v>54059</v>
      </c>
      <c r="H78" s="7"/>
    </row>
    <row r="79" spans="2:25" outlineLevel="1" x14ac:dyDescent="0.25">
      <c r="E79" s="8"/>
      <c r="F79" s="8"/>
    </row>
    <row r="80" spans="2:25" outlineLevel="1" x14ac:dyDescent="0.25">
      <c r="E80" s="8"/>
      <c r="F80" s="8"/>
    </row>
    <row r="81" spans="2:26" ht="15.75" outlineLevel="1" thickBot="1" x14ac:dyDescent="0.3">
      <c r="C81" s="11" t="s">
        <v>62</v>
      </c>
      <c r="E81" s="8"/>
      <c r="F81" s="8"/>
    </row>
    <row r="82" spans="2:26" outlineLevel="1" x14ac:dyDescent="0.25">
      <c r="B82" s="5" t="s">
        <v>90</v>
      </c>
      <c r="C82" s="6" t="s">
        <v>40</v>
      </c>
      <c r="D82" t="s">
        <v>60</v>
      </c>
      <c r="E82" s="5" t="s">
        <v>45</v>
      </c>
      <c r="F82" s="5" t="s">
        <v>46</v>
      </c>
      <c r="H82" s="5"/>
    </row>
    <row r="83" spans="2:26" outlineLevel="1" x14ac:dyDescent="0.25">
      <c r="B83" s="7">
        <f ca="1">_xll.meDateFromTenor(AsOf,"2D","MOD_FOLLOWING","TGT")</f>
        <v>43091</v>
      </c>
      <c r="C83" s="2" t="s">
        <v>26</v>
      </c>
      <c r="D83" s="7">
        <f ca="1">_xll.meDateFromTenor($B$83,C83,"MOD_FOLLOWING","TGT")</f>
        <v>43822</v>
      </c>
      <c r="E83" s="133">
        <f ca="1">_xll.meDateFromTenor($D83,"-5D","MOD_FOLLOWING","TGT")</f>
        <v>43815</v>
      </c>
      <c r="F83" s="133">
        <f ca="1">_xll.meDateFromTenor($D83,"5D","MOD_FOLLOWING","TGT")</f>
        <v>43832</v>
      </c>
      <c r="H83" s="9"/>
    </row>
    <row r="84" spans="2:26" outlineLevel="1" x14ac:dyDescent="0.25">
      <c r="C84" s="2" t="s">
        <v>27</v>
      </c>
      <c r="D84" s="7">
        <f ca="1">_xll.meDateFromTenor($B$83,C84,"MOD_FOLLOWING","TGT")</f>
        <v>44187</v>
      </c>
      <c r="E84" s="133">
        <f ca="1">_xll.meDateFromTenor($D84,"-5D","MOD_FOLLOWING","TGT")</f>
        <v>44180</v>
      </c>
      <c r="F84" s="133">
        <f ca="1">_xll.meDateFromTenor($D84,"5D","MOD_FOLLOWING","TGT")</f>
        <v>44195</v>
      </c>
      <c r="H84" s="9"/>
    </row>
    <row r="85" spans="2:26" outlineLevel="1" x14ac:dyDescent="0.25">
      <c r="C85" s="2" t="s">
        <v>28</v>
      </c>
      <c r="D85" s="7">
        <f ca="1">_xll.meDateFromTenor($B$83,C85,"MOD_FOLLOWING","TGT")</f>
        <v>44552</v>
      </c>
      <c r="E85" s="133">
        <f ca="1">_xll.meDateFromTenor($D85,"-5D","MOD_FOLLOWING","TGT")</f>
        <v>44545</v>
      </c>
      <c r="F85" s="133">
        <f ca="1">_xll.meDateFromTenor($D85,"5D","MOD_FOLLOWING","TGT")</f>
        <v>44559</v>
      </c>
      <c r="H85" s="9"/>
    </row>
    <row r="86" spans="2:26" outlineLevel="1" x14ac:dyDescent="0.25">
      <c r="C86" s="2" t="s">
        <v>29</v>
      </c>
      <c r="D86" s="7">
        <f ca="1">_xll.meDateFromTenor($B$83,C86,"MOD_FOLLOWING","TGT")</f>
        <v>44917</v>
      </c>
      <c r="E86" s="133">
        <f ca="1">_xll.meDateFromTenor($D86,"-5D","MOD_FOLLOWING","TGT")</f>
        <v>44910</v>
      </c>
      <c r="F86" s="133">
        <f ca="1">_xll.meDateFromTenor($D86,"5D","MOD_FOLLOWING","TGT")</f>
        <v>44925</v>
      </c>
      <c r="H86" s="9"/>
    </row>
    <row r="87" spans="2:26" outlineLevel="1" x14ac:dyDescent="0.25">
      <c r="C87" s="2" t="s">
        <v>30</v>
      </c>
      <c r="D87" s="7">
        <f ca="1">_xll.meDateFromTenor($B$83,C87,"MOD_FOLLOWING","TGT")</f>
        <v>45282</v>
      </c>
      <c r="E87" s="133">
        <f ca="1">_xll.meDateFromTenor($D87,"-5D","MOD_FOLLOWING","TGT")</f>
        <v>45275</v>
      </c>
      <c r="F87" s="133">
        <f ca="1">_xll.meDateFromTenor($D87,"5D","MOD_FOLLOWING","TGT")</f>
        <v>45294</v>
      </c>
      <c r="H87" s="9"/>
    </row>
    <row r="88" spans="2:26" outlineLevel="1" x14ac:dyDescent="0.25">
      <c r="C88" s="2" t="s">
        <v>31</v>
      </c>
      <c r="D88" s="7">
        <f ca="1">_xll.meDateFromTenor($B$83,C88,"MOD_FOLLOWING","TGT")</f>
        <v>45649</v>
      </c>
      <c r="E88" s="133">
        <f ca="1">_xll.meDateFromTenor($D88,"-5D","MOD_FOLLOWING","TGT")</f>
        <v>45642</v>
      </c>
      <c r="F88" s="133">
        <f ca="1">_xll.meDateFromTenor($D88,"5D","MOD_FOLLOWING","TGT")</f>
        <v>45659</v>
      </c>
      <c r="H88" s="9"/>
    </row>
    <row r="89" spans="2:26" outlineLevel="1" x14ac:dyDescent="0.25">
      <c r="C89" s="2" t="s">
        <v>34</v>
      </c>
      <c r="D89" s="7">
        <f ca="1">_xll.meDateFromTenor($B$83,C89,"MOD_FOLLOWING","TGT")</f>
        <v>46743</v>
      </c>
      <c r="E89" s="133">
        <f ca="1">_xll.meDateFromTenor($D89,"-5D","MOD_FOLLOWING","TGT")</f>
        <v>46736</v>
      </c>
      <c r="F89" s="133">
        <f ca="1">_xll.meDateFromTenor($D89,"5D","MOD_FOLLOWING","TGT")</f>
        <v>46750</v>
      </c>
      <c r="H89" s="9"/>
    </row>
    <row r="90" spans="2:26" outlineLevel="1" x14ac:dyDescent="0.25">
      <c r="C90" s="2" t="s">
        <v>36</v>
      </c>
      <c r="D90" s="7">
        <f ca="1">_xll.meDateFromTenor($B$83,C90,"MOD_FOLLOWING","TGT")</f>
        <v>48570</v>
      </c>
      <c r="E90" s="133">
        <f ca="1">_xll.meDateFromTenor($D90,"-5D","MOD_FOLLOWING","TGT")</f>
        <v>48563</v>
      </c>
      <c r="F90" s="133">
        <f ca="1">_xll.meDateFromTenor($D90,"5D","MOD_FOLLOWING","TGT")</f>
        <v>48577</v>
      </c>
      <c r="H90" s="9"/>
    </row>
    <row r="91" spans="2:26" outlineLevel="1" x14ac:dyDescent="0.25">
      <c r="C91" s="2" t="s">
        <v>37</v>
      </c>
      <c r="D91" s="7">
        <f ca="1">_xll.meDateFromTenor($B$83,C91,"MOD_FOLLOWING","TGT")</f>
        <v>50396</v>
      </c>
      <c r="E91" s="133">
        <f ca="1">_xll.meDateFromTenor($D91,"-5D","MOD_FOLLOWING","TGT")</f>
        <v>50389</v>
      </c>
      <c r="F91" s="133">
        <f ca="1">_xll.meDateFromTenor($D91,"5D","MOD_FOLLOWING","TGT")</f>
        <v>50404</v>
      </c>
      <c r="H91" s="9"/>
    </row>
    <row r="92" spans="2:26" outlineLevel="1" x14ac:dyDescent="0.25">
      <c r="C92" s="2" t="s">
        <v>38</v>
      </c>
      <c r="D92" s="7">
        <f ca="1">_xll.meDateFromTenor($B$83,C92,"MOD_FOLLOWING","TGT")</f>
        <v>54049</v>
      </c>
      <c r="E92" s="133">
        <f ca="1">_xll.meDateFromTenor($D92,"-5D","MOD_FOLLOWING","TGT")</f>
        <v>54042</v>
      </c>
      <c r="F92" s="133">
        <f ca="1">_xll.meDateFromTenor($D92,"5D","MOD_FOLLOWING","TGT")</f>
        <v>54059</v>
      </c>
      <c r="H92" s="9"/>
    </row>
    <row r="93" spans="2:26" outlineLevel="1" x14ac:dyDescent="0.25">
      <c r="E93" s="8"/>
      <c r="F93" s="8"/>
    </row>
    <row r="94" spans="2:26" ht="15.75" outlineLevel="1" thickBot="1" x14ac:dyDescent="0.3">
      <c r="B94" s="5" t="s">
        <v>90</v>
      </c>
      <c r="C94" s="11" t="s">
        <v>63</v>
      </c>
      <c r="D94" s="11" t="s">
        <v>64</v>
      </c>
      <c r="E94" s="5" t="s">
        <v>45</v>
      </c>
      <c r="F94" s="5" t="s">
        <v>46</v>
      </c>
      <c r="H94" s="8" t="s">
        <v>93</v>
      </c>
      <c r="I94" s="11" t="s">
        <v>98</v>
      </c>
      <c r="J94" s="11" t="s">
        <v>99</v>
      </c>
      <c r="K94" s="5" t="s">
        <v>45</v>
      </c>
      <c r="L94" s="5" t="s">
        <v>46</v>
      </c>
      <c r="R94" s="8"/>
      <c r="Y94" s="5"/>
      <c r="Z94" s="5"/>
    </row>
    <row r="95" spans="2:26" outlineLevel="1" x14ac:dyDescent="0.25">
      <c r="B95" s="7">
        <f ca="1">_xll.meDateFromTenor(AsOf,"2D","MOD_FOLLOWING","NYB")</f>
        <v>43091</v>
      </c>
      <c r="C95" s="2" t="s">
        <v>26</v>
      </c>
      <c r="D95" s="7">
        <f ca="1">_xll.meDateFromTenor($B$95,C95,"MOD_FOLLOWING","NYB")</f>
        <v>43822</v>
      </c>
      <c r="E95" s="133">
        <f ca="1">_xll.meDateFromTenor($D95,"-5D","MOD_FOLLOWING","NYB")</f>
        <v>43815</v>
      </c>
      <c r="F95" s="133">
        <f ca="1">_xll.meDateFromTenor($D95,"5D","MOD_FOLLOWING","NYB")</f>
        <v>43830</v>
      </c>
      <c r="H95" s="9">
        <f ca="1">_xll.meDateNthIMMFromStartDate(AsOf, 1,"NYB","MOD_FOLLOWING")</f>
        <v>43180</v>
      </c>
      <c r="I95" s="2" t="s">
        <v>26</v>
      </c>
      <c r="J95" s="7">
        <f ca="1">_xll.meDateFromTenor($H$95,I95,"MOD_FOLLOWING","NYB")</f>
        <v>43913</v>
      </c>
      <c r="K95" s="133">
        <f ca="1">_xll.meDateFromTenor($J95,"-5D","MOD_FOLLOWING","NYB")</f>
        <v>43906</v>
      </c>
      <c r="L95" s="133">
        <f ca="1">_xll.meDateFromTenor($J95,"5D","MOD_FOLLOWING","NYB")</f>
        <v>43920</v>
      </c>
      <c r="R95" s="9"/>
      <c r="Y95" s="9"/>
      <c r="Z95" s="9"/>
    </row>
    <row r="96" spans="2:26" outlineLevel="1" x14ac:dyDescent="0.25">
      <c r="C96" s="2" t="s">
        <v>27</v>
      </c>
      <c r="D96" s="7">
        <f ca="1">_xll.meDateFromTenor($B$95,C96,"MOD_FOLLOWING","NYB")</f>
        <v>44187</v>
      </c>
      <c r="E96" s="133">
        <f ca="1">_xll.meDateFromTenor($D96,"-5D","MOD_FOLLOWING","NYB")</f>
        <v>44180</v>
      </c>
      <c r="F96" s="133">
        <f ca="1">_xll.meDateFromTenor($D96,"5D","MOD_FOLLOWING","NYB")</f>
        <v>44195</v>
      </c>
      <c r="H96" s="9"/>
      <c r="I96" s="2" t="s">
        <v>27</v>
      </c>
      <c r="J96" s="7">
        <f ca="1">_xll.meDateFromTenor($H$95,I96,"MOD_FOLLOWING","NYB")</f>
        <v>44277</v>
      </c>
      <c r="K96" s="133">
        <f ca="1">_xll.meDateFromTenor($J96,"-5D","MOD_FOLLOWING","NYB")</f>
        <v>44270</v>
      </c>
      <c r="L96" s="133">
        <f ca="1">_xll.meDateFromTenor($J96,"5D","MOD_FOLLOWING","NYB")</f>
        <v>44284</v>
      </c>
      <c r="R96" s="9"/>
      <c r="Y96" s="9"/>
      <c r="Z96" s="9"/>
    </row>
    <row r="97" spans="2:26" outlineLevel="1" x14ac:dyDescent="0.25">
      <c r="C97" s="2" t="s">
        <v>28</v>
      </c>
      <c r="D97" s="7">
        <f ca="1">_xll.meDateFromTenor($B$95,C97,"MOD_FOLLOWING","NYB")</f>
        <v>44552</v>
      </c>
      <c r="E97" s="133">
        <f ca="1">_xll.meDateFromTenor($D97,"-5D","MOD_FOLLOWING","NYB")</f>
        <v>44545</v>
      </c>
      <c r="F97" s="133">
        <f ca="1">_xll.meDateFromTenor($D97,"5D","MOD_FOLLOWING","NYB")</f>
        <v>44559</v>
      </c>
      <c r="H97" s="9"/>
      <c r="I97" s="2" t="s">
        <v>28</v>
      </c>
      <c r="J97" s="7">
        <f ca="1">_xll.meDateFromTenor($H$95,I97,"MOD_FOLLOWING","NYB")</f>
        <v>44641</v>
      </c>
      <c r="K97" s="133">
        <f ca="1">_xll.meDateFromTenor($J97,"-5D","MOD_FOLLOWING","NYB")</f>
        <v>44634</v>
      </c>
      <c r="L97" s="133">
        <f ca="1">_xll.meDateFromTenor($J97,"5D","MOD_FOLLOWING","NYB")</f>
        <v>44648</v>
      </c>
      <c r="R97" s="9"/>
      <c r="Y97" s="9"/>
      <c r="Z97" s="9"/>
    </row>
    <row r="98" spans="2:26" outlineLevel="1" x14ac:dyDescent="0.25">
      <c r="C98" s="2" t="s">
        <v>29</v>
      </c>
      <c r="D98" s="7">
        <f ca="1">_xll.meDateFromTenor($B$95,C98,"MOD_FOLLOWING","NYB")</f>
        <v>44917</v>
      </c>
      <c r="E98" s="133">
        <f ca="1">_xll.meDateFromTenor($D98,"-5D","MOD_FOLLOWING","NYB")</f>
        <v>44910</v>
      </c>
      <c r="F98" s="133">
        <f ca="1">_xll.meDateFromTenor($D98,"5D","MOD_FOLLOWING","NYB")</f>
        <v>44925</v>
      </c>
      <c r="H98" s="9"/>
      <c r="I98" s="2" t="s">
        <v>29</v>
      </c>
      <c r="J98" s="7">
        <f ca="1">_xll.meDateFromTenor($H$95,I98,"MOD_FOLLOWING","NYB")</f>
        <v>45006</v>
      </c>
      <c r="K98" s="133">
        <f ca="1">_xll.meDateFromTenor($J98,"-5D","MOD_FOLLOWING","NYB")</f>
        <v>44999</v>
      </c>
      <c r="L98" s="133">
        <f ca="1">_xll.meDateFromTenor($J98,"5D","MOD_FOLLOWING","NYB")</f>
        <v>45013</v>
      </c>
      <c r="R98" s="9"/>
      <c r="Y98" s="10"/>
      <c r="Z98" s="10"/>
    </row>
    <row r="99" spans="2:26" outlineLevel="1" x14ac:dyDescent="0.25">
      <c r="C99" s="2" t="s">
        <v>30</v>
      </c>
      <c r="D99" s="7">
        <f ca="1">_xll.meDateFromTenor($B$95,C99,"MOD_FOLLOWING","NYB")</f>
        <v>45282</v>
      </c>
      <c r="E99" s="133">
        <f ca="1">_xll.meDateFromTenor($D99,"-5D","MOD_FOLLOWING","NYB")</f>
        <v>45275</v>
      </c>
      <c r="F99" s="133">
        <f ca="1">_xll.meDateFromTenor($D99,"5D","MOD_FOLLOWING","NYB")</f>
        <v>45293</v>
      </c>
      <c r="H99" s="9"/>
      <c r="I99" s="2" t="s">
        <v>30</v>
      </c>
      <c r="J99" s="7">
        <f ca="1">_xll.meDateFromTenor($H$95,I99,"MOD_FOLLOWING","NYB")</f>
        <v>45372</v>
      </c>
      <c r="K99" s="133">
        <f ca="1">_xll.meDateFromTenor($J99,"-5D","MOD_FOLLOWING","NYB")</f>
        <v>45365</v>
      </c>
      <c r="L99" s="133">
        <f ca="1">_xll.meDateFromTenor($J99,"5D","MOD_FOLLOWING","NYB")</f>
        <v>45379</v>
      </c>
      <c r="R99" s="9"/>
      <c r="Y99" s="9"/>
      <c r="Z99" s="9"/>
    </row>
    <row r="100" spans="2:26" outlineLevel="1" x14ac:dyDescent="0.25">
      <c r="C100" s="2" t="s">
        <v>31</v>
      </c>
      <c r="D100" s="7">
        <f ca="1">_xll.meDateFromTenor($B$95,C100,"MOD_FOLLOWING","NYB")</f>
        <v>45649</v>
      </c>
      <c r="E100" s="133">
        <f ca="1">_xll.meDateFromTenor($D100,"-5D","MOD_FOLLOWING","NYB")</f>
        <v>45642</v>
      </c>
      <c r="F100" s="133">
        <f ca="1">_xll.meDateFromTenor($D100,"5D","MOD_FOLLOWING","NYB")</f>
        <v>45657</v>
      </c>
      <c r="H100" s="9"/>
      <c r="I100" s="2" t="s">
        <v>31</v>
      </c>
      <c r="J100" s="7">
        <f ca="1">_xll.meDateFromTenor($H$95,I100,"MOD_FOLLOWING","NYB")</f>
        <v>45737</v>
      </c>
      <c r="K100" s="133">
        <f ca="1">_xll.meDateFromTenor($J100,"-5D","MOD_FOLLOWING","NYB")</f>
        <v>45730</v>
      </c>
      <c r="L100" s="133">
        <f ca="1">_xll.meDateFromTenor($J100,"5D","MOD_FOLLOWING","NYB")</f>
        <v>45744</v>
      </c>
      <c r="R100" s="9"/>
      <c r="W100" s="2"/>
      <c r="X100" s="7"/>
      <c r="Y100" s="9"/>
      <c r="Z100" s="9"/>
    </row>
    <row r="101" spans="2:26" outlineLevel="1" x14ac:dyDescent="0.25">
      <c r="C101" s="2" t="s">
        <v>34</v>
      </c>
      <c r="D101" s="7">
        <f ca="1">_xll.meDateFromTenor($B$95,C101,"MOD_FOLLOWING","NYB")</f>
        <v>46743</v>
      </c>
      <c r="E101" s="133">
        <f ca="1">_xll.meDateFromTenor($D101,"-5D","MOD_FOLLOWING","NYB")</f>
        <v>46736</v>
      </c>
      <c r="F101" s="133">
        <f ca="1">_xll.meDateFromTenor($D101,"5D","MOD_FOLLOWING","NYB")</f>
        <v>46750</v>
      </c>
      <c r="H101" s="9"/>
      <c r="I101" s="2" t="s">
        <v>34</v>
      </c>
      <c r="J101" s="7">
        <f ca="1">_xll.meDateFromTenor($H$95,I101,"MOD_FOLLOWING","NYB")</f>
        <v>46833</v>
      </c>
      <c r="K101" s="133">
        <f ca="1">_xll.meDateFromTenor($J101,"-5D","MOD_FOLLOWING","NYB")</f>
        <v>46826</v>
      </c>
      <c r="L101" s="133">
        <f ca="1">_xll.meDateFromTenor($J101,"5D","MOD_FOLLOWING","NYB")</f>
        <v>46840</v>
      </c>
      <c r="R101" s="9"/>
      <c r="W101" s="2"/>
      <c r="X101" s="7"/>
      <c r="Y101" s="9"/>
      <c r="Z101" s="9"/>
    </row>
    <row r="102" spans="2:26" outlineLevel="1" x14ac:dyDescent="0.25">
      <c r="C102" s="2" t="s">
        <v>35</v>
      </c>
      <c r="D102" s="7">
        <f ca="1">_xll.meDateFromTenor($B$95,C102,"MOD_FOLLOWING","NYB")</f>
        <v>47476</v>
      </c>
      <c r="E102" s="133">
        <f ca="1">_xll.meDateFromTenor($D102,"-5D","MOD_FOLLOWING","NYB")</f>
        <v>47469</v>
      </c>
      <c r="F102" s="133">
        <f ca="1">_xll.meDateFromTenor($D102,"5D","MOD_FOLLOWING","NYB")</f>
        <v>47485</v>
      </c>
      <c r="H102" s="9"/>
      <c r="I102" s="2" t="s">
        <v>35</v>
      </c>
      <c r="J102" s="7">
        <f ca="1">_xll.meDateFromTenor($H$95,I102,"MOD_FOLLOWING","NYB")</f>
        <v>47563</v>
      </c>
      <c r="K102" s="133">
        <f ca="1">_xll.meDateFromTenor($J102,"-5D","MOD_FOLLOWING","NYB")</f>
        <v>47556</v>
      </c>
      <c r="L102" s="133">
        <f ca="1">_xll.meDateFromTenor($J102,"5D","MOD_FOLLOWING","NYB")</f>
        <v>47570</v>
      </c>
      <c r="R102" s="9"/>
      <c r="W102" s="2"/>
      <c r="X102" s="7"/>
      <c r="Y102" s="9"/>
      <c r="Z102" s="9"/>
    </row>
    <row r="103" spans="2:26" outlineLevel="1" x14ac:dyDescent="0.25">
      <c r="C103" s="2" t="s">
        <v>36</v>
      </c>
      <c r="D103" s="7">
        <f ca="1">_xll.meDateFromTenor($B$95,C103,"MOD_FOLLOWING","NYB")</f>
        <v>48570</v>
      </c>
      <c r="E103" s="133">
        <f ca="1">_xll.meDateFromTenor($D103,"-5D","MOD_FOLLOWING","NYB")</f>
        <v>48563</v>
      </c>
      <c r="F103" s="133">
        <f ca="1">_xll.meDateFromTenor($D103,"5D","MOD_FOLLOWING","NYB")</f>
        <v>48577</v>
      </c>
      <c r="H103" s="9"/>
      <c r="I103" s="2" t="s">
        <v>36</v>
      </c>
      <c r="J103" s="7">
        <f ca="1">_xll.meDateFromTenor($H$95,I103,"MOD_FOLLOWING","NYB")</f>
        <v>48659</v>
      </c>
      <c r="K103" s="133">
        <f ca="1">_xll.meDateFromTenor($J103,"-5D","MOD_FOLLOWING","NYB")</f>
        <v>48652</v>
      </c>
      <c r="L103" s="133">
        <f ca="1">_xll.meDateFromTenor($J103,"5D","MOD_FOLLOWING","NYB")</f>
        <v>48666</v>
      </c>
      <c r="R103" s="9"/>
      <c r="W103" s="2"/>
      <c r="X103" s="7"/>
      <c r="Y103" s="9"/>
      <c r="Z103" s="9"/>
    </row>
    <row r="104" spans="2:26" outlineLevel="1" x14ac:dyDescent="0.25">
      <c r="C104" s="2" t="s">
        <v>37</v>
      </c>
      <c r="D104" s="7">
        <f ca="1">_xll.meDateFromTenor($B$95,C104,"MOD_FOLLOWING","NYB")</f>
        <v>50396</v>
      </c>
      <c r="E104" s="133">
        <f ca="1">_xll.meDateFromTenor($D104,"-5D","MOD_FOLLOWING","NYB")</f>
        <v>50389</v>
      </c>
      <c r="F104" s="133">
        <f ca="1">_xll.meDateFromTenor($D104,"5D","MOD_FOLLOWING","NYB")</f>
        <v>50404</v>
      </c>
      <c r="H104" s="9"/>
      <c r="I104" s="2" t="s">
        <v>37</v>
      </c>
      <c r="J104" s="7">
        <f ca="1">_xll.meDateFromTenor($H$95,I104,"MOD_FOLLOWING","NYB")</f>
        <v>50486</v>
      </c>
      <c r="K104" s="133">
        <f ca="1">_xll.meDateFromTenor($J104,"-5D","MOD_FOLLOWING","NYB")</f>
        <v>50479</v>
      </c>
      <c r="L104" s="133">
        <f ca="1">_xll.meDateFromTenor($J104,"5D","MOD_FOLLOWING","NYB")</f>
        <v>50493</v>
      </c>
      <c r="R104" s="9"/>
      <c r="W104" s="2"/>
      <c r="X104" s="7"/>
      <c r="Y104" s="9"/>
      <c r="Z104" s="9"/>
    </row>
    <row r="105" spans="2:26" outlineLevel="1" x14ac:dyDescent="0.25">
      <c r="C105" s="2" t="s">
        <v>38</v>
      </c>
      <c r="D105" s="7">
        <f ca="1">_xll.meDateFromTenor($B$95,C105,"MOD_FOLLOWING","NYB")</f>
        <v>54049</v>
      </c>
      <c r="E105" s="133">
        <f ca="1">_xll.meDateFromTenor($D105,"-5D","MOD_FOLLOWING","NYB")</f>
        <v>54042</v>
      </c>
      <c r="F105" s="133">
        <f ca="1">_xll.meDateFromTenor($D105,"5D","MOD_FOLLOWING","NYB")</f>
        <v>54057</v>
      </c>
      <c r="H105" s="9"/>
      <c r="I105" s="2" t="s">
        <v>38</v>
      </c>
      <c r="J105" s="7">
        <f ca="1">_xll.meDateFromTenor($H$95,I105,"MOD_FOLLOWING","NYB")</f>
        <v>54140</v>
      </c>
      <c r="K105" s="133">
        <f ca="1">_xll.meDateFromTenor($J105,"-5D","MOD_FOLLOWING","NYB")</f>
        <v>54133</v>
      </c>
      <c r="L105" s="133">
        <f ca="1">_xll.meDateFromTenor($J105,"5D","MOD_FOLLOWING","NYB")</f>
        <v>54147</v>
      </c>
      <c r="R105" s="9"/>
      <c r="W105" s="2"/>
      <c r="X105" s="7"/>
      <c r="Y105" s="9"/>
      <c r="Z105" s="9"/>
    </row>
    <row r="106" spans="2:26" outlineLevel="1" x14ac:dyDescent="0.25">
      <c r="E106" s="8"/>
      <c r="F106" s="8"/>
    </row>
    <row r="107" spans="2:26" outlineLevel="1" x14ac:dyDescent="0.25">
      <c r="E107" s="8"/>
      <c r="F107" s="8"/>
    </row>
    <row r="108" spans="2:26" ht="15.75" outlineLevel="1" thickBot="1" x14ac:dyDescent="0.3">
      <c r="B108" s="5" t="s">
        <v>91</v>
      </c>
      <c r="C108" s="11" t="s">
        <v>65</v>
      </c>
      <c r="D108" s="11" t="s">
        <v>66</v>
      </c>
      <c r="E108" s="5" t="s">
        <v>45</v>
      </c>
      <c r="F108" s="5" t="s">
        <v>46</v>
      </c>
      <c r="H108" s="8" t="s">
        <v>94</v>
      </c>
      <c r="I108" s="11" t="s">
        <v>98</v>
      </c>
      <c r="J108" s="11" t="s">
        <v>99</v>
      </c>
      <c r="K108" s="5" t="s">
        <v>45</v>
      </c>
      <c r="L108" s="5" t="s">
        <v>46</v>
      </c>
    </row>
    <row r="109" spans="2:26" outlineLevel="1" x14ac:dyDescent="0.25">
      <c r="B109" s="7">
        <f ca="1">_xll.meDateFromTenor(AsOf,"0D","MOD_FOLLOWING","LNB")</f>
        <v>43089</v>
      </c>
      <c r="C109" s="2" t="s">
        <v>26</v>
      </c>
      <c r="D109" s="7">
        <f ca="1">_xll.meDateFromTenor($B$109,C109,"MOD_FOLLOWING","LNB")</f>
        <v>43819</v>
      </c>
      <c r="E109" s="133">
        <f ca="1">_xll.meDateFromTenor($D109,"-5D","MOD_FOLLOWING","LNB")</f>
        <v>43812</v>
      </c>
      <c r="F109" s="133">
        <f ca="1">_xll.meDateFromTenor($D109,"5D","MOD_FOLLOWING","LNB")</f>
        <v>43830</v>
      </c>
      <c r="H109" s="9">
        <f ca="1">_xll.meDateNthIMMFromStartDate(AsOf, 2,"NYB","MOD_FOLLOWING")</f>
        <v>43271</v>
      </c>
      <c r="I109" s="2" t="s">
        <v>26</v>
      </c>
      <c r="J109" s="7">
        <f ca="1">_xll.meDateFromTenor($H$109,I109,"MOD_FOLLOWING","NYB")</f>
        <v>44004</v>
      </c>
      <c r="K109" s="133">
        <f ca="1">_xll.meDateFromTenor($J109,"-5D","MOD_FOLLOWING","NYB")</f>
        <v>43997</v>
      </c>
      <c r="L109" s="133">
        <f ca="1">_xll.meDateFromTenor($J109,"5D","MOD_FOLLOWING","NYB")</f>
        <v>44011</v>
      </c>
    </row>
    <row r="110" spans="2:26" outlineLevel="1" x14ac:dyDescent="0.25">
      <c r="C110" s="2" t="s">
        <v>27</v>
      </c>
      <c r="D110" s="7">
        <f ca="1">_xll.meDateFromTenor($B$109,C110,"MOD_FOLLOWING","LNB")</f>
        <v>44186</v>
      </c>
      <c r="E110" s="133">
        <f ca="1">_xll.meDateFromTenor($D110,"-5D","MOD_FOLLOWING","LNB")</f>
        <v>44179</v>
      </c>
      <c r="F110" s="133">
        <f ca="1">_xll.meDateFromTenor($D110,"5D","MOD_FOLLOWING","LNB")</f>
        <v>44195</v>
      </c>
      <c r="H110" s="9"/>
      <c r="I110" s="2" t="s">
        <v>27</v>
      </c>
      <c r="J110" s="7">
        <f ca="1">_xll.meDateFromTenor($H$109,I110,"MOD_FOLLOWING","NYB")</f>
        <v>44368</v>
      </c>
      <c r="K110" s="133">
        <f ca="1">_xll.meDateFromTenor($J110,"-5D","MOD_FOLLOWING","NYB")</f>
        <v>44361</v>
      </c>
      <c r="L110" s="133">
        <f ca="1">_xll.meDateFromTenor($J110,"5D","MOD_FOLLOWING","NYB")</f>
        <v>44375</v>
      </c>
    </row>
    <row r="111" spans="2:26" outlineLevel="1" x14ac:dyDescent="0.25">
      <c r="C111" s="2" t="s">
        <v>28</v>
      </c>
      <c r="D111" s="7">
        <f ca="1">_xll.meDateFromTenor($B$109,C111,"MOD_FOLLOWING","LNB")</f>
        <v>44550</v>
      </c>
      <c r="E111" s="133">
        <f ca="1">_xll.meDateFromTenor($D111,"-5D","MOD_FOLLOWING","LNB")</f>
        <v>44543</v>
      </c>
      <c r="F111" s="133">
        <f ca="1">_xll.meDateFromTenor($D111,"5D","MOD_FOLLOWING","LNB")</f>
        <v>44559</v>
      </c>
      <c r="H111" s="9"/>
      <c r="I111" s="2" t="s">
        <v>28</v>
      </c>
      <c r="J111" s="7">
        <f ca="1">_xll.meDateFromTenor($H$109,I111,"MOD_FOLLOWING","NYB")</f>
        <v>44732</v>
      </c>
      <c r="K111" s="133">
        <f ca="1">_xll.meDateFromTenor($J111,"-5D","MOD_FOLLOWING","NYB")</f>
        <v>44725</v>
      </c>
      <c r="L111" s="133">
        <f ca="1">_xll.meDateFromTenor($J111,"5D","MOD_FOLLOWING","NYB")</f>
        <v>44739</v>
      </c>
    </row>
    <row r="112" spans="2:26" outlineLevel="1" x14ac:dyDescent="0.25">
      <c r="C112" s="2" t="s">
        <v>29</v>
      </c>
      <c r="D112" s="7">
        <f ca="1">_xll.meDateFromTenor($B$109,C112,"MOD_FOLLOWING","LNB")</f>
        <v>44915</v>
      </c>
      <c r="E112" s="133">
        <f ca="1">_xll.meDateFromTenor($D112,"-5D","MOD_FOLLOWING","LNB")</f>
        <v>44908</v>
      </c>
      <c r="F112" s="133">
        <f ca="1">_xll.meDateFromTenor($D112,"5D","MOD_FOLLOWING","LNB")</f>
        <v>44924</v>
      </c>
      <c r="H112" s="9"/>
      <c r="I112" s="2" t="s">
        <v>29</v>
      </c>
      <c r="J112" s="7">
        <f ca="1">_xll.meDateFromTenor($H$109,I112,"MOD_FOLLOWING","NYB")</f>
        <v>45097</v>
      </c>
      <c r="K112" s="133">
        <f ca="1">_xll.meDateFromTenor($J112,"-5D","MOD_FOLLOWING","NYB")</f>
        <v>45090</v>
      </c>
      <c r="L112" s="133">
        <f ca="1">_xll.meDateFromTenor($J112,"5D","MOD_FOLLOWING","NYB")</f>
        <v>45104</v>
      </c>
    </row>
    <row r="113" spans="1:12" outlineLevel="1" x14ac:dyDescent="0.25">
      <c r="C113" s="2" t="s">
        <v>30</v>
      </c>
      <c r="D113" s="7">
        <f ca="1">_xll.meDateFromTenor($B$109,C113,"MOD_FOLLOWING","LNB")</f>
        <v>45280</v>
      </c>
      <c r="E113" s="133">
        <f ca="1">_xll.meDateFromTenor($D113,"-5D","MOD_FOLLOWING","LNB")</f>
        <v>45273</v>
      </c>
      <c r="F113" s="133">
        <f ca="1">_xll.meDateFromTenor($D113,"5D","MOD_FOLLOWING","LNB")</f>
        <v>45289</v>
      </c>
      <c r="H113" s="9"/>
      <c r="I113" s="2" t="s">
        <v>30</v>
      </c>
      <c r="J113" s="7">
        <f ca="1">_xll.meDateFromTenor($H$109,I113,"MOD_FOLLOWING","NYB")</f>
        <v>45463</v>
      </c>
      <c r="K113" s="133">
        <f ca="1">_xll.meDateFromTenor($J113,"-5D","MOD_FOLLOWING","NYB")</f>
        <v>45456</v>
      </c>
      <c r="L113" s="133">
        <f ca="1">_xll.meDateFromTenor($J113,"5D","MOD_FOLLOWING","NYB")</f>
        <v>45470</v>
      </c>
    </row>
    <row r="114" spans="1:12" outlineLevel="1" x14ac:dyDescent="0.25">
      <c r="C114" s="2" t="s">
        <v>31</v>
      </c>
      <c r="D114" s="7">
        <f ca="1">_xll.meDateFromTenor($B$109,C114,"MOD_FOLLOWING","LNB")</f>
        <v>45646</v>
      </c>
      <c r="E114" s="133">
        <f ca="1">_xll.meDateFromTenor($D114,"-5D","MOD_FOLLOWING","LNB")</f>
        <v>45639</v>
      </c>
      <c r="F114" s="133">
        <f ca="1">_xll.meDateFromTenor($D114,"5D","MOD_FOLLOWING","LNB")</f>
        <v>45657</v>
      </c>
      <c r="H114" s="9"/>
      <c r="I114" s="2" t="s">
        <v>31</v>
      </c>
      <c r="J114" s="7">
        <f ca="1">_xll.meDateFromTenor($H$109,I114,"MOD_FOLLOWING","NYB")</f>
        <v>45828</v>
      </c>
      <c r="K114" s="133">
        <f ca="1">_xll.meDateFromTenor($J114,"-5D","MOD_FOLLOWING","NYB")</f>
        <v>45821</v>
      </c>
      <c r="L114" s="133">
        <f ca="1">_xll.meDateFromTenor($J114,"5D","MOD_FOLLOWING","NYB")</f>
        <v>45835</v>
      </c>
    </row>
    <row r="115" spans="1:12" outlineLevel="1" x14ac:dyDescent="0.25">
      <c r="C115" s="2" t="s">
        <v>34</v>
      </c>
      <c r="D115" s="7">
        <f ca="1">_xll.meDateFromTenor($B$109,C115,"MOD_FOLLOWING","LNB")</f>
        <v>46741</v>
      </c>
      <c r="E115" s="133">
        <f ca="1">_xll.meDateFromTenor($D115,"-5D","MOD_FOLLOWING","LNB")</f>
        <v>46734</v>
      </c>
      <c r="F115" s="133">
        <f ca="1">_xll.meDateFromTenor($D115,"5D","MOD_FOLLOWING","LNB")</f>
        <v>46750</v>
      </c>
      <c r="H115" s="9"/>
      <c r="I115" s="2" t="s">
        <v>34</v>
      </c>
      <c r="J115" s="7">
        <f ca="1">_xll.meDateFromTenor($H$109,I115,"MOD_FOLLOWING","NYB")</f>
        <v>46924</v>
      </c>
      <c r="K115" s="133">
        <f ca="1">_xll.meDateFromTenor($J115,"-5D","MOD_FOLLOWING","NYB")</f>
        <v>46917</v>
      </c>
      <c r="L115" s="133">
        <f ca="1">_xll.meDateFromTenor($J115,"5D","MOD_FOLLOWING","NYB")</f>
        <v>46931</v>
      </c>
    </row>
    <row r="116" spans="1:12" outlineLevel="1" x14ac:dyDescent="0.25">
      <c r="C116" s="2" t="s">
        <v>36</v>
      </c>
      <c r="D116" s="7">
        <f ca="1">_xll.meDateFromTenor($B$109,C116,"MOD_FOLLOWING","LNB")</f>
        <v>48568</v>
      </c>
      <c r="E116" s="133">
        <f ca="1">_xll.meDateFromTenor($D116,"-5D","MOD_FOLLOWING","LNB")</f>
        <v>48561</v>
      </c>
      <c r="F116" s="133">
        <f ca="1">_xll.meDateFromTenor($D116,"5D","MOD_FOLLOWING","LNB")</f>
        <v>48577</v>
      </c>
      <c r="H116" s="9"/>
      <c r="I116" s="2" t="s">
        <v>35</v>
      </c>
      <c r="J116" s="7">
        <f ca="1">_xll.meDateFromTenor($H$109,I116,"MOD_FOLLOWING","NYB")</f>
        <v>47654</v>
      </c>
      <c r="K116" s="133">
        <f ca="1">_xll.meDateFromTenor($J116,"-5D","MOD_FOLLOWING","NYB")</f>
        <v>47647</v>
      </c>
      <c r="L116" s="133">
        <f ca="1">_xll.meDateFromTenor($J116,"5D","MOD_FOLLOWING","NYB")</f>
        <v>47661</v>
      </c>
    </row>
    <row r="117" spans="1:12" outlineLevel="1" x14ac:dyDescent="0.25">
      <c r="C117" s="2" t="s">
        <v>37</v>
      </c>
      <c r="D117" s="7">
        <f ca="1">_xll.meDateFromTenor($B$109,C117,"MOD_FOLLOWING","LNB")</f>
        <v>50395</v>
      </c>
      <c r="E117" s="133">
        <f ca="1">_xll.meDateFromTenor($D117,"-5D","MOD_FOLLOWING","LNB")</f>
        <v>50388</v>
      </c>
      <c r="F117" s="133">
        <f ca="1">_xll.meDateFromTenor($D117,"5D","MOD_FOLLOWING","LNB")</f>
        <v>50404</v>
      </c>
      <c r="H117" s="9"/>
      <c r="I117" s="2" t="s">
        <v>36</v>
      </c>
      <c r="J117" s="7">
        <f ca="1">_xll.meDateFromTenor($H$109,I117,"MOD_FOLLOWING","NYB")</f>
        <v>48750</v>
      </c>
      <c r="K117" s="133">
        <f ca="1">_xll.meDateFromTenor($J117,"-5D","MOD_FOLLOWING","NYB")</f>
        <v>48743</v>
      </c>
      <c r="L117" s="133">
        <f ca="1">_xll.meDateFromTenor($J117,"5D","MOD_FOLLOWING","NYB")</f>
        <v>48757</v>
      </c>
    </row>
    <row r="118" spans="1:12" outlineLevel="1" x14ac:dyDescent="0.25">
      <c r="C118" s="2" t="s">
        <v>38</v>
      </c>
      <c r="D118" s="7">
        <f ca="1">_xll.meDateFromTenor($B$109,C118,"MOD_FOLLOWING","LNB")</f>
        <v>54046</v>
      </c>
      <c r="E118" s="133">
        <f ca="1">_xll.meDateFromTenor($D118,"-5D","MOD_FOLLOWING","LNB")</f>
        <v>54039</v>
      </c>
      <c r="F118" s="133">
        <f ca="1">_xll.meDateFromTenor($D118,"5D","MOD_FOLLOWING","LNB")</f>
        <v>54057</v>
      </c>
      <c r="H118" s="9"/>
      <c r="I118" s="2" t="s">
        <v>37</v>
      </c>
      <c r="J118" s="7">
        <f ca="1">_xll.meDateFromTenor($H$109,I118,"MOD_FOLLOWING","NYB")</f>
        <v>50577</v>
      </c>
      <c r="K118" s="133">
        <f ca="1">_xll.meDateFromTenor($J118,"-5D","MOD_FOLLOWING","NYB")</f>
        <v>50570</v>
      </c>
      <c r="L118" s="133">
        <f ca="1">_xll.meDateFromTenor($J118,"5D","MOD_FOLLOWING","NYB")</f>
        <v>50584</v>
      </c>
    </row>
    <row r="119" spans="1:12" outlineLevel="1" x14ac:dyDescent="0.25">
      <c r="H119" s="9"/>
      <c r="I119" s="2" t="s">
        <v>38</v>
      </c>
      <c r="J119" s="7">
        <f ca="1">_xll.meDateFromTenor($H$109,I119,"MOD_FOLLOWING","NYB")</f>
        <v>54231</v>
      </c>
      <c r="K119" s="133">
        <f ca="1">_xll.meDateFromTenor($J119,"-5D","MOD_FOLLOWING","NYB")</f>
        <v>54224</v>
      </c>
      <c r="L119" s="133">
        <f ca="1">_xll.meDateFromTenor($J119,"5D","MOD_FOLLOWING","NYB")</f>
        <v>54238</v>
      </c>
    </row>
    <row r="120" spans="1:12" x14ac:dyDescent="0.25">
      <c r="A120" s="12" t="s">
        <v>71</v>
      </c>
    </row>
  </sheetData>
  <mergeCells count="19">
    <mergeCell ref="I52:I53"/>
    <mergeCell ref="J52:K52"/>
    <mergeCell ref="L52:N52"/>
    <mergeCell ref="H5:H6"/>
    <mergeCell ref="I5:I6"/>
    <mergeCell ref="J5:J6"/>
    <mergeCell ref="K5:L5"/>
    <mergeCell ref="M5:O5"/>
    <mergeCell ref="C52:C53"/>
    <mergeCell ref="D52:D53"/>
    <mergeCell ref="E52:E53"/>
    <mergeCell ref="G52:G53"/>
    <mergeCell ref="H52:H53"/>
    <mergeCell ref="G5:G6"/>
    <mergeCell ref="B5:B6"/>
    <mergeCell ref="C5:C6"/>
    <mergeCell ref="D5:D6"/>
    <mergeCell ref="E5:E6"/>
    <mergeCell ref="F5:F6"/>
  </mergeCells>
  <conditionalFormatting sqref="B7:B48">
    <cfRule type="cellIs" dxfId="0" priority="1" operator="equal">
      <formula>TRUE</formula>
    </cfRule>
  </conditionalFormatting>
  <dataValidations count="6">
    <dataValidation type="list" allowBlank="1" showInputMessage="1" showErrorMessage="1" sqref="D7:D48">
      <formula1>"USD,EUR,GBP"</formula1>
    </dataValidation>
    <dataValidation type="list" allowBlank="1" showInputMessage="1" showErrorMessage="1" sqref="M7:M48">
      <formula1>"EUR3ML,EUR6ML,GBP3ML,GBP6ML,USD3ML,USD3ML.IMM,USD6ML,USD6ML.IMM"</formula1>
    </dataValidation>
    <dataValidation type="list" allowBlank="1" showInputMessage="1" showErrorMessage="1" sqref="E7:E48">
      <formula1>"SPOT,IMM"</formula1>
    </dataValidation>
    <dataValidation type="list" allowBlank="1" showInputMessage="1" showErrorMessage="1" sqref="O7:O48 L7:L48">
      <formula1>"30/360,ACT/360,ACT/365F"</formula1>
    </dataValidation>
    <dataValidation type="list" allowBlank="1" showInputMessage="1" showErrorMessage="1" sqref="K7:K48 N7:N48">
      <formula1>"ANNUAL,SEMI-ANNUAL,QUARTERLY,MONTHLY"</formula1>
    </dataValidation>
    <dataValidation type="list" allowBlank="1" showInputMessage="1" showErrorMessage="1" sqref="F7:F48">
      <formula1>"0,1,2"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224</vt:i4>
      </vt:variant>
    </vt:vector>
  </HeadingPairs>
  <TitlesOfParts>
    <vt:vector size="232" baseType="lpstr">
      <vt:lpstr>Instructions</vt:lpstr>
      <vt:lpstr>On-Venue Check</vt:lpstr>
      <vt:lpstr>Standard EUR3ML Swaps</vt:lpstr>
      <vt:lpstr>Standard EUR6ML Swaps</vt:lpstr>
      <vt:lpstr>Standard USD3ML Swaps</vt:lpstr>
      <vt:lpstr>Standard USD6ML Swaps</vt:lpstr>
      <vt:lpstr>IMM USD3ML Swaps</vt:lpstr>
      <vt:lpstr>IMM USD6ML Swaps</vt:lpstr>
      <vt:lpstr>'IMM USD3ML Swaps'!AsOf</vt:lpstr>
      <vt:lpstr>'IMM USD6ML Swaps'!AsOf</vt:lpstr>
      <vt:lpstr>'Standard EUR3ML Swaps'!AsOf</vt:lpstr>
      <vt:lpstr>'Standard EUR6ML Swaps'!AsOf</vt:lpstr>
      <vt:lpstr>'Standard USD3ML Swaps'!AsOf</vt:lpstr>
      <vt:lpstr>'Standard USD6ML Swaps'!AsOf</vt:lpstr>
      <vt:lpstr>AsOf</vt:lpstr>
      <vt:lpstr>'IMM USD3ML Swaps'!DateConventions</vt:lpstr>
      <vt:lpstr>'IMM USD6ML Swaps'!DateConventions</vt:lpstr>
      <vt:lpstr>'Standard EUR3ML Swaps'!DateConventions</vt:lpstr>
      <vt:lpstr>'Standard EUR6ML Swaps'!DateConventions</vt:lpstr>
      <vt:lpstr>'Standard USD3ML Swaps'!DateConventions</vt:lpstr>
      <vt:lpstr>'Standard USD6ML Swaps'!DateConventions</vt:lpstr>
      <vt:lpstr>DateConventions</vt:lpstr>
      <vt:lpstr>'IMM USD3ML Swaps'!EUR3MLSPOT</vt:lpstr>
      <vt:lpstr>'IMM USD6ML Swaps'!EUR3MLSPOT</vt:lpstr>
      <vt:lpstr>'Standard EUR3ML Swaps'!EUR3MLSPOT</vt:lpstr>
      <vt:lpstr>'Standard EUR6ML Swaps'!EUR3MLSPOT</vt:lpstr>
      <vt:lpstr>'Standard USD3ML Swaps'!EUR3MLSPOT</vt:lpstr>
      <vt:lpstr>'Standard USD6ML Swaps'!EUR3MLSPOT</vt:lpstr>
      <vt:lpstr>EUR3MLSPOT</vt:lpstr>
      <vt:lpstr>'IMM USD3ML Swaps'!EUR3MLSPOT.Lower</vt:lpstr>
      <vt:lpstr>'IMM USD6ML Swaps'!EUR3MLSPOT.Lower</vt:lpstr>
      <vt:lpstr>'Standard EUR3ML Swaps'!EUR3MLSPOT.Lower</vt:lpstr>
      <vt:lpstr>'Standard EUR6ML Swaps'!EUR3MLSPOT.Lower</vt:lpstr>
      <vt:lpstr>'Standard USD3ML Swaps'!EUR3MLSPOT.Lower</vt:lpstr>
      <vt:lpstr>'Standard USD6ML Swaps'!EUR3MLSPOT.Lower</vt:lpstr>
      <vt:lpstr>EUR3MLSPOT.Lower</vt:lpstr>
      <vt:lpstr>'IMM USD3ML Swaps'!EUR3MLSPOT.Upper</vt:lpstr>
      <vt:lpstr>'IMM USD6ML Swaps'!EUR3MLSPOT.Upper</vt:lpstr>
      <vt:lpstr>'Standard EUR3ML Swaps'!EUR3MLSPOT.Upper</vt:lpstr>
      <vt:lpstr>'Standard EUR6ML Swaps'!EUR3MLSPOT.Upper</vt:lpstr>
      <vt:lpstr>'Standard USD3ML Swaps'!EUR3MLSPOT.Upper</vt:lpstr>
      <vt:lpstr>'Standard USD6ML Swaps'!EUR3MLSPOT.Upper</vt:lpstr>
      <vt:lpstr>EUR3MLSPOT.Upper</vt:lpstr>
      <vt:lpstr>'IMM USD3ML Swaps'!EUR6MLSPOT</vt:lpstr>
      <vt:lpstr>'IMM USD6ML Swaps'!EUR6MLSPOT</vt:lpstr>
      <vt:lpstr>'Standard EUR3ML Swaps'!EUR6MLSPOT</vt:lpstr>
      <vt:lpstr>'Standard EUR6ML Swaps'!EUR6MLSPOT</vt:lpstr>
      <vt:lpstr>'Standard USD3ML Swaps'!EUR6MLSPOT</vt:lpstr>
      <vt:lpstr>'Standard USD6ML Swaps'!EUR6MLSPOT</vt:lpstr>
      <vt:lpstr>EUR6MLSPOT</vt:lpstr>
      <vt:lpstr>'IMM USD3ML Swaps'!EUR6MLSPOT.Lower</vt:lpstr>
      <vt:lpstr>'IMM USD6ML Swaps'!EUR6MLSPOT.Lower</vt:lpstr>
      <vt:lpstr>'Standard EUR3ML Swaps'!EUR6MLSPOT.Lower</vt:lpstr>
      <vt:lpstr>'Standard EUR6ML Swaps'!EUR6MLSPOT.Lower</vt:lpstr>
      <vt:lpstr>'Standard USD3ML Swaps'!EUR6MLSPOT.Lower</vt:lpstr>
      <vt:lpstr>'Standard USD6ML Swaps'!EUR6MLSPOT.Lower</vt:lpstr>
      <vt:lpstr>EUR6MLSPOT.Lower</vt:lpstr>
      <vt:lpstr>'IMM USD3ML Swaps'!EUR6MLSPOT.Upper</vt:lpstr>
      <vt:lpstr>'IMM USD6ML Swaps'!EUR6MLSPOT.Upper</vt:lpstr>
      <vt:lpstr>'Standard EUR3ML Swaps'!EUR6MLSPOT.Upper</vt:lpstr>
      <vt:lpstr>'Standard EUR6ML Swaps'!EUR6MLSPOT.Upper</vt:lpstr>
      <vt:lpstr>'Standard USD3ML Swaps'!EUR6MLSPOT.Upper</vt:lpstr>
      <vt:lpstr>'Standard USD6ML Swaps'!EUR6MLSPOT.Upper</vt:lpstr>
      <vt:lpstr>EUR6MLSPOT.Upper</vt:lpstr>
      <vt:lpstr>'IMM USD3ML Swaps'!GBP3MLSPOT</vt:lpstr>
      <vt:lpstr>'IMM USD6ML Swaps'!GBP3MLSPOT</vt:lpstr>
      <vt:lpstr>'Standard EUR3ML Swaps'!GBP3MLSPOT</vt:lpstr>
      <vt:lpstr>'Standard EUR6ML Swaps'!GBP3MLSPOT</vt:lpstr>
      <vt:lpstr>'Standard USD3ML Swaps'!GBP3MLSPOT</vt:lpstr>
      <vt:lpstr>'Standard USD6ML Swaps'!GBP3MLSPOT</vt:lpstr>
      <vt:lpstr>GBP3MLSPOT</vt:lpstr>
      <vt:lpstr>'IMM USD3ML Swaps'!GBP3MLSPOT.Lower</vt:lpstr>
      <vt:lpstr>'IMM USD6ML Swaps'!GBP3MLSPOT.Lower</vt:lpstr>
      <vt:lpstr>'Standard EUR3ML Swaps'!GBP3MLSPOT.Lower</vt:lpstr>
      <vt:lpstr>'Standard EUR6ML Swaps'!GBP3MLSPOT.Lower</vt:lpstr>
      <vt:lpstr>'Standard USD3ML Swaps'!GBP3MLSPOT.Lower</vt:lpstr>
      <vt:lpstr>'Standard USD6ML Swaps'!GBP3MLSPOT.Lower</vt:lpstr>
      <vt:lpstr>GBP3MLSPOT.Lower</vt:lpstr>
      <vt:lpstr>'IMM USD3ML Swaps'!GBP3MLSPOT.Upper</vt:lpstr>
      <vt:lpstr>'IMM USD6ML Swaps'!GBP3MLSPOT.Upper</vt:lpstr>
      <vt:lpstr>'Standard EUR3ML Swaps'!GBP3MLSPOT.Upper</vt:lpstr>
      <vt:lpstr>'Standard EUR6ML Swaps'!GBP3MLSPOT.Upper</vt:lpstr>
      <vt:lpstr>'Standard USD3ML Swaps'!GBP3MLSPOT.Upper</vt:lpstr>
      <vt:lpstr>'Standard USD6ML Swaps'!GBP3MLSPOT.Upper</vt:lpstr>
      <vt:lpstr>GBP3MLSPOT.Upper</vt:lpstr>
      <vt:lpstr>'IMM USD3ML Swaps'!GBP6MLSPOT</vt:lpstr>
      <vt:lpstr>'IMM USD6ML Swaps'!GBP6MLSPOT</vt:lpstr>
      <vt:lpstr>'Standard EUR3ML Swaps'!GBP6MLSPOT</vt:lpstr>
      <vt:lpstr>'Standard EUR6ML Swaps'!GBP6MLSPOT</vt:lpstr>
      <vt:lpstr>'Standard USD3ML Swaps'!GBP6MLSPOT</vt:lpstr>
      <vt:lpstr>'Standard USD6ML Swaps'!GBP6MLSPOT</vt:lpstr>
      <vt:lpstr>GBP6MLSPOT</vt:lpstr>
      <vt:lpstr>'IMM USD3ML Swaps'!GBP6MLSPOT.Lower</vt:lpstr>
      <vt:lpstr>'IMM USD6ML Swaps'!GBP6MLSPOT.Lower</vt:lpstr>
      <vt:lpstr>'Standard EUR3ML Swaps'!GBP6MLSPOT.Lower</vt:lpstr>
      <vt:lpstr>'Standard EUR6ML Swaps'!GBP6MLSPOT.Lower</vt:lpstr>
      <vt:lpstr>'Standard USD3ML Swaps'!GBP6MLSPOT.Lower</vt:lpstr>
      <vt:lpstr>'Standard USD6ML Swaps'!GBP6MLSPOT.Lower</vt:lpstr>
      <vt:lpstr>GBP6MLSPOT.Lower</vt:lpstr>
      <vt:lpstr>'IMM USD3ML Swaps'!GBP6MLSPOT.Upper</vt:lpstr>
      <vt:lpstr>'IMM USD6ML Swaps'!GBP6MLSPOT.Upper</vt:lpstr>
      <vt:lpstr>'Standard EUR3ML Swaps'!GBP6MLSPOT.Upper</vt:lpstr>
      <vt:lpstr>'Standard EUR6ML Swaps'!GBP6MLSPOT.Upper</vt:lpstr>
      <vt:lpstr>'Standard USD3ML Swaps'!GBP6MLSPOT.Upper</vt:lpstr>
      <vt:lpstr>'Standard USD6ML Swaps'!GBP6MLSPOT.Upper</vt:lpstr>
      <vt:lpstr>GBP6MLSPOT.Upper</vt:lpstr>
      <vt:lpstr>'IMM USD3ML Swaps'!USD3ML.IMMIMM1</vt:lpstr>
      <vt:lpstr>'IMM USD6ML Swaps'!USD3ML.IMMIMM1</vt:lpstr>
      <vt:lpstr>'Standard EUR3ML Swaps'!USD3ML.IMMIMM1</vt:lpstr>
      <vt:lpstr>'Standard EUR6ML Swaps'!USD3ML.IMMIMM1</vt:lpstr>
      <vt:lpstr>'Standard USD3ML Swaps'!USD3ML.IMMIMM1</vt:lpstr>
      <vt:lpstr>'Standard USD6ML Swaps'!USD3ML.IMMIMM1</vt:lpstr>
      <vt:lpstr>USD3ML.IMMIMM1</vt:lpstr>
      <vt:lpstr>'IMM USD3ML Swaps'!USD3ML.IMMIMM1.LOWER</vt:lpstr>
      <vt:lpstr>'IMM USD6ML Swaps'!USD3ML.IMMIMM1.LOWER</vt:lpstr>
      <vt:lpstr>'Standard EUR3ML Swaps'!USD3ML.IMMIMM1.LOWER</vt:lpstr>
      <vt:lpstr>'Standard EUR6ML Swaps'!USD3ML.IMMIMM1.LOWER</vt:lpstr>
      <vt:lpstr>'Standard USD3ML Swaps'!USD3ML.IMMIMM1.LOWER</vt:lpstr>
      <vt:lpstr>'Standard USD6ML Swaps'!USD3ML.IMMIMM1.LOWER</vt:lpstr>
      <vt:lpstr>USD3ML.IMMIMM1.LOWER</vt:lpstr>
      <vt:lpstr>'IMM USD3ML Swaps'!USD3ML.IMMIMM1.UPPER</vt:lpstr>
      <vt:lpstr>'IMM USD6ML Swaps'!USD3ML.IMMIMM1.UPPER</vt:lpstr>
      <vt:lpstr>'Standard EUR3ML Swaps'!USD3ML.IMMIMM1.UPPER</vt:lpstr>
      <vt:lpstr>'Standard EUR6ML Swaps'!USD3ML.IMMIMM1.UPPER</vt:lpstr>
      <vt:lpstr>'Standard USD3ML Swaps'!USD3ML.IMMIMM1.UPPER</vt:lpstr>
      <vt:lpstr>'Standard USD6ML Swaps'!USD3ML.IMMIMM1.UPPER</vt:lpstr>
      <vt:lpstr>USD3ML.IMMIMM1.UPPER</vt:lpstr>
      <vt:lpstr>'IMM USD3ML Swaps'!USD3ML.IMMIMM2</vt:lpstr>
      <vt:lpstr>'IMM USD6ML Swaps'!USD3ML.IMMIMM2</vt:lpstr>
      <vt:lpstr>'Standard EUR3ML Swaps'!USD3ML.IMMIMM2</vt:lpstr>
      <vt:lpstr>'Standard EUR6ML Swaps'!USD3ML.IMMIMM2</vt:lpstr>
      <vt:lpstr>'Standard USD3ML Swaps'!USD3ML.IMMIMM2</vt:lpstr>
      <vt:lpstr>'Standard USD6ML Swaps'!USD3ML.IMMIMM2</vt:lpstr>
      <vt:lpstr>USD3ML.IMMIMM2</vt:lpstr>
      <vt:lpstr>'IMM USD3ML Swaps'!USD3ML.IMMIMM2.LOWER</vt:lpstr>
      <vt:lpstr>'IMM USD6ML Swaps'!USD3ML.IMMIMM2.LOWER</vt:lpstr>
      <vt:lpstr>'Standard EUR3ML Swaps'!USD3ML.IMMIMM2.LOWER</vt:lpstr>
      <vt:lpstr>'Standard EUR6ML Swaps'!USD3ML.IMMIMM2.LOWER</vt:lpstr>
      <vt:lpstr>'Standard USD3ML Swaps'!USD3ML.IMMIMM2.LOWER</vt:lpstr>
      <vt:lpstr>'Standard USD6ML Swaps'!USD3ML.IMMIMM2.LOWER</vt:lpstr>
      <vt:lpstr>USD3ML.IMMIMM2.LOWER</vt:lpstr>
      <vt:lpstr>'IMM USD3ML Swaps'!USD3ML.IMMIMM2.UPPER</vt:lpstr>
      <vt:lpstr>'IMM USD6ML Swaps'!USD3ML.IMMIMM2.UPPER</vt:lpstr>
      <vt:lpstr>'Standard EUR3ML Swaps'!USD3ML.IMMIMM2.UPPER</vt:lpstr>
      <vt:lpstr>'Standard EUR6ML Swaps'!USD3ML.IMMIMM2.UPPER</vt:lpstr>
      <vt:lpstr>'Standard USD3ML Swaps'!USD3ML.IMMIMM2.UPPER</vt:lpstr>
      <vt:lpstr>'Standard USD6ML Swaps'!USD3ML.IMMIMM2.UPPER</vt:lpstr>
      <vt:lpstr>USD3ML.IMMIMM2.UPPER</vt:lpstr>
      <vt:lpstr>'IMM USD3ML Swaps'!USD3MLSPOT</vt:lpstr>
      <vt:lpstr>'IMM USD6ML Swaps'!USD3MLSPOT</vt:lpstr>
      <vt:lpstr>'Standard EUR3ML Swaps'!USD3MLSPOT</vt:lpstr>
      <vt:lpstr>'Standard EUR6ML Swaps'!USD3MLSPOT</vt:lpstr>
      <vt:lpstr>'Standard USD3ML Swaps'!USD3MLSPOT</vt:lpstr>
      <vt:lpstr>'Standard USD6ML Swaps'!USD3MLSPOT</vt:lpstr>
      <vt:lpstr>USD3MLSPOT</vt:lpstr>
      <vt:lpstr>'IMM USD3ML Swaps'!USD3MLSPOT.Lower</vt:lpstr>
      <vt:lpstr>'IMM USD6ML Swaps'!USD3MLSPOT.Lower</vt:lpstr>
      <vt:lpstr>'Standard EUR3ML Swaps'!USD3MLSPOT.Lower</vt:lpstr>
      <vt:lpstr>'Standard EUR6ML Swaps'!USD3MLSPOT.Lower</vt:lpstr>
      <vt:lpstr>'Standard USD3ML Swaps'!USD3MLSPOT.Lower</vt:lpstr>
      <vt:lpstr>'Standard USD6ML Swaps'!USD3MLSPOT.Lower</vt:lpstr>
      <vt:lpstr>USD3MLSPOT.Lower</vt:lpstr>
      <vt:lpstr>'IMM USD3ML Swaps'!USD3MLSPOT.Upper</vt:lpstr>
      <vt:lpstr>'IMM USD6ML Swaps'!USD3MLSPOT.Upper</vt:lpstr>
      <vt:lpstr>'Standard EUR3ML Swaps'!USD3MLSPOT.Upper</vt:lpstr>
      <vt:lpstr>'Standard EUR6ML Swaps'!USD3MLSPOT.Upper</vt:lpstr>
      <vt:lpstr>'Standard USD3ML Swaps'!USD3MLSPOT.Upper</vt:lpstr>
      <vt:lpstr>'Standard USD6ML Swaps'!USD3MLSPOT.Upper</vt:lpstr>
      <vt:lpstr>USD3MLSPOT.Upper</vt:lpstr>
      <vt:lpstr>'IMM USD3ML Swaps'!USD6ML.IMMIMM1</vt:lpstr>
      <vt:lpstr>'IMM USD6ML Swaps'!USD6ML.IMMIMM1</vt:lpstr>
      <vt:lpstr>'Standard EUR3ML Swaps'!USD6ML.IMMIMM1</vt:lpstr>
      <vt:lpstr>'Standard EUR6ML Swaps'!USD6ML.IMMIMM1</vt:lpstr>
      <vt:lpstr>'Standard USD3ML Swaps'!USD6ML.IMMIMM1</vt:lpstr>
      <vt:lpstr>'Standard USD6ML Swaps'!USD6ML.IMMIMM1</vt:lpstr>
      <vt:lpstr>USD6ML.IMMIMM1</vt:lpstr>
      <vt:lpstr>'IMM USD3ML Swaps'!USD6ML.IMMIMM1.LOWER</vt:lpstr>
      <vt:lpstr>'IMM USD6ML Swaps'!USD6ML.IMMIMM1.LOWER</vt:lpstr>
      <vt:lpstr>'Standard EUR3ML Swaps'!USD6ML.IMMIMM1.LOWER</vt:lpstr>
      <vt:lpstr>'Standard EUR6ML Swaps'!USD6ML.IMMIMM1.LOWER</vt:lpstr>
      <vt:lpstr>'Standard USD3ML Swaps'!USD6ML.IMMIMM1.LOWER</vt:lpstr>
      <vt:lpstr>'Standard USD6ML Swaps'!USD6ML.IMMIMM1.LOWER</vt:lpstr>
      <vt:lpstr>USD6ML.IMMIMM1.LOWER</vt:lpstr>
      <vt:lpstr>'IMM USD3ML Swaps'!USD6ML.IMMIMM1.UPPER</vt:lpstr>
      <vt:lpstr>'IMM USD6ML Swaps'!USD6ML.IMMIMM1.UPPER</vt:lpstr>
      <vt:lpstr>'Standard EUR3ML Swaps'!USD6ML.IMMIMM1.UPPER</vt:lpstr>
      <vt:lpstr>'Standard EUR6ML Swaps'!USD6ML.IMMIMM1.UPPER</vt:lpstr>
      <vt:lpstr>'Standard USD3ML Swaps'!USD6ML.IMMIMM1.UPPER</vt:lpstr>
      <vt:lpstr>'Standard USD6ML Swaps'!USD6ML.IMMIMM1.UPPER</vt:lpstr>
      <vt:lpstr>USD6ML.IMMIMM1.UPPER</vt:lpstr>
      <vt:lpstr>'IMM USD3ML Swaps'!USD6ML.IMMIMM2</vt:lpstr>
      <vt:lpstr>'IMM USD6ML Swaps'!USD6ML.IMMIMM2</vt:lpstr>
      <vt:lpstr>'Standard EUR3ML Swaps'!USD6ML.IMMIMM2</vt:lpstr>
      <vt:lpstr>'Standard EUR6ML Swaps'!USD6ML.IMMIMM2</vt:lpstr>
      <vt:lpstr>'Standard USD3ML Swaps'!USD6ML.IMMIMM2</vt:lpstr>
      <vt:lpstr>'Standard USD6ML Swaps'!USD6ML.IMMIMM2</vt:lpstr>
      <vt:lpstr>USD6ML.IMMIMM2</vt:lpstr>
      <vt:lpstr>'IMM USD3ML Swaps'!USD6ML.IMMIMM2.LOWER</vt:lpstr>
      <vt:lpstr>'IMM USD6ML Swaps'!USD6ML.IMMIMM2.LOWER</vt:lpstr>
      <vt:lpstr>'Standard EUR3ML Swaps'!USD6ML.IMMIMM2.LOWER</vt:lpstr>
      <vt:lpstr>'Standard EUR6ML Swaps'!USD6ML.IMMIMM2.LOWER</vt:lpstr>
      <vt:lpstr>'Standard USD3ML Swaps'!USD6ML.IMMIMM2.LOWER</vt:lpstr>
      <vt:lpstr>'Standard USD6ML Swaps'!USD6ML.IMMIMM2.LOWER</vt:lpstr>
      <vt:lpstr>USD6ML.IMMIMM2.LOWER</vt:lpstr>
      <vt:lpstr>'IMM USD3ML Swaps'!USD6ML.IMMIMM2.UPPER</vt:lpstr>
      <vt:lpstr>'IMM USD6ML Swaps'!USD6ML.IMMIMM2.UPPER</vt:lpstr>
      <vt:lpstr>'Standard EUR3ML Swaps'!USD6ML.IMMIMM2.UPPER</vt:lpstr>
      <vt:lpstr>'Standard EUR6ML Swaps'!USD6ML.IMMIMM2.UPPER</vt:lpstr>
      <vt:lpstr>'Standard USD3ML Swaps'!USD6ML.IMMIMM2.UPPER</vt:lpstr>
      <vt:lpstr>'Standard USD6ML Swaps'!USD6ML.IMMIMM2.UPPER</vt:lpstr>
      <vt:lpstr>USD6ML.IMMIMM2.UPPER</vt:lpstr>
      <vt:lpstr>'IMM USD3ML Swaps'!USD6MLSPOT</vt:lpstr>
      <vt:lpstr>'IMM USD6ML Swaps'!USD6MLSPOT</vt:lpstr>
      <vt:lpstr>'Standard EUR3ML Swaps'!USD6MLSPOT</vt:lpstr>
      <vt:lpstr>'Standard EUR6ML Swaps'!USD6MLSPOT</vt:lpstr>
      <vt:lpstr>'Standard USD3ML Swaps'!USD6MLSPOT</vt:lpstr>
      <vt:lpstr>'Standard USD6ML Swaps'!USD6MLSPOT</vt:lpstr>
      <vt:lpstr>USD6MLSPOT</vt:lpstr>
      <vt:lpstr>'IMM USD3ML Swaps'!USD6MLSPOT.Lower</vt:lpstr>
      <vt:lpstr>'IMM USD6ML Swaps'!USD6MLSPOT.Lower</vt:lpstr>
      <vt:lpstr>'Standard EUR3ML Swaps'!USD6MLSPOT.Lower</vt:lpstr>
      <vt:lpstr>'Standard EUR6ML Swaps'!USD6MLSPOT.Lower</vt:lpstr>
      <vt:lpstr>'Standard USD3ML Swaps'!USD6MLSPOT.Lower</vt:lpstr>
      <vt:lpstr>'Standard USD6ML Swaps'!USD6MLSPOT.Lower</vt:lpstr>
      <vt:lpstr>USD6MLSPOT.Lower</vt:lpstr>
      <vt:lpstr>'IMM USD3ML Swaps'!USD6MLSPOT.Upper</vt:lpstr>
      <vt:lpstr>'IMM USD6ML Swaps'!USD6MLSPOT.Upper</vt:lpstr>
      <vt:lpstr>'Standard EUR3ML Swaps'!USD6MLSPOT.Upper</vt:lpstr>
      <vt:lpstr>'Standard EUR6ML Swaps'!USD6MLSPOT.Upper</vt:lpstr>
      <vt:lpstr>'Standard USD3ML Swaps'!USD6MLSPOT.Upper</vt:lpstr>
      <vt:lpstr>'Standard USD6ML Swaps'!USD6MLSPOT.Upper</vt:lpstr>
      <vt:lpstr>USD6MLSPOT.Upper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2017-11-27T13:22:25Z</dcterms:created>
  <dcterms:modified xsi:type="dcterms:W3CDTF">2017-12-20T16:39:08Z</dcterms:modified>
</cp:coreProperties>
</file>