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10"/>
  </bookViews>
  <sheets>
    <sheet name="Settings" sheetId="26" r:id="rId1"/>
    <sheet name="EUR OIS" sheetId="2" r:id="rId2"/>
    <sheet name="EUR SWAP 6ML" sheetId="3" r:id="rId3"/>
    <sheet name="Swap Pricing" sheetId="21" r:id="rId4"/>
    <sheet name="LWO Swap Pricing" sheetId="41" r:id="rId5"/>
    <sheet name="Client Swap" sheetId="34" r:id="rId6"/>
    <sheet name="Back-to-Back Hedge Deal" sheetId="37" r:id="rId7"/>
    <sheet name="Fee Leg" sheetId="36" r:id="rId8"/>
    <sheet name="Add Fee to Client Swap" sheetId="38" r:id="rId9"/>
    <sheet name="PV Summary" sheetId="40" r:id="rId10"/>
    <sheet name="Cashflow Display" sheetId="35" r:id="rId11"/>
  </sheets>
  <functionGroups builtInGroupCount="17"/>
  <definedNames>
    <definedName name="ClientSwapNoFee" localSheetId="4">'LWO Swap Pricing'!$C$20</definedName>
    <definedName name="ClientSwapNoFee">'Client Swap'!$C$7</definedName>
    <definedName name="ClientSwapWithFee">'Add Fee to Client Swap'!$C$9</definedName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eeLeg">'Fee Leg'!$C$6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HedgeTrade">'Back-to-Back Hedge Deal'!$C$8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39" i="35" l="1" a="1"/>
  <c r="B39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B40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B41" i="35"/>
  <c r="C41" i="35"/>
  <c r="D41" i="35"/>
  <c r="E41" i="35"/>
  <c r="F41" i="35"/>
  <c r="G41" i="35"/>
  <c r="H41" i="35"/>
  <c r="I41" i="35"/>
  <c r="J41" i="35"/>
  <c r="K41" i="35"/>
  <c r="L41" i="35"/>
  <c r="M41" i="35"/>
  <c r="N41" i="35"/>
  <c r="B42" i="35"/>
  <c r="C42" i="35"/>
  <c r="D42" i="35"/>
  <c r="E42" i="35"/>
  <c r="F42" i="35"/>
  <c r="G42" i="35"/>
  <c r="H42" i="35"/>
  <c r="I42" i="35"/>
  <c r="J42" i="35"/>
  <c r="K42" i="35"/>
  <c r="L42" i="35"/>
  <c r="M42" i="35"/>
  <c r="N42" i="35"/>
  <c r="B43" i="35"/>
  <c r="C43" i="35"/>
  <c r="D43" i="35"/>
  <c r="E43" i="35"/>
  <c r="F43" i="35"/>
  <c r="G43" i="35"/>
  <c r="H43" i="35"/>
  <c r="I43" i="35"/>
  <c r="J43" i="35"/>
  <c r="K43" i="35"/>
  <c r="L43" i="35"/>
  <c r="M43" i="35"/>
  <c r="N43" i="35"/>
  <c r="B44" i="35"/>
  <c r="C44" i="35"/>
  <c r="D44" i="35"/>
  <c r="E44" i="35"/>
  <c r="F44" i="35"/>
  <c r="G44" i="35"/>
  <c r="H44" i="35"/>
  <c r="I44" i="35"/>
  <c r="J44" i="35"/>
  <c r="K44" i="35"/>
  <c r="L44" i="35"/>
  <c r="M44" i="35"/>
  <c r="N44" i="35"/>
  <c r="B45" i="35"/>
  <c r="C45" i="35"/>
  <c r="D45" i="35"/>
  <c r="E45" i="35"/>
  <c r="F45" i="35"/>
  <c r="G45" i="35"/>
  <c r="H45" i="35"/>
  <c r="I45" i="35"/>
  <c r="J45" i="35"/>
  <c r="K45" i="35"/>
  <c r="L45" i="35"/>
  <c r="M45" i="35"/>
  <c r="N45" i="35"/>
  <c r="B46" i="35"/>
  <c r="C46" i="35"/>
  <c r="D46" i="35"/>
  <c r="E46" i="35"/>
  <c r="F46" i="35"/>
  <c r="G46" i="35"/>
  <c r="H46" i="35"/>
  <c r="I46" i="35"/>
  <c r="J46" i="35"/>
  <c r="K46" i="35"/>
  <c r="L46" i="35"/>
  <c r="M46" i="35"/>
  <c r="N46" i="35"/>
  <c r="B47" i="35"/>
  <c r="C47" i="35"/>
  <c r="D47" i="35"/>
  <c r="E47" i="35"/>
  <c r="F47" i="35"/>
  <c r="G47" i="35"/>
  <c r="H47" i="35"/>
  <c r="I47" i="35"/>
  <c r="J47" i="35"/>
  <c r="K47" i="35"/>
  <c r="L47" i="35"/>
  <c r="M47" i="35"/>
  <c r="N47" i="35"/>
  <c r="B48" i="35"/>
  <c r="C48" i="35"/>
  <c r="D48" i="35"/>
  <c r="E48" i="35"/>
  <c r="F48" i="35"/>
  <c r="G48" i="35"/>
  <c r="H48" i="35"/>
  <c r="I48" i="35"/>
  <c r="J48" i="35"/>
  <c r="K48" i="35"/>
  <c r="L48" i="35"/>
  <c r="M48" i="35"/>
  <c r="N48" i="35"/>
  <c r="B49" i="35"/>
  <c r="C49" i="35"/>
  <c r="D49" i="35"/>
  <c r="E49" i="35"/>
  <c r="F49" i="35"/>
  <c r="G49" i="35"/>
  <c r="H49" i="35"/>
  <c r="I49" i="35"/>
  <c r="J49" i="35"/>
  <c r="K49" i="35"/>
  <c r="L49" i="35"/>
  <c r="M49" i="35"/>
  <c r="N49" i="35"/>
  <c r="B50" i="35"/>
  <c r="C50" i="35"/>
  <c r="D50" i="35"/>
  <c r="E50" i="35"/>
  <c r="F50" i="35"/>
  <c r="G50" i="35"/>
  <c r="H50" i="35"/>
  <c r="I50" i="35"/>
  <c r="J50" i="35"/>
  <c r="K50" i="35"/>
  <c r="L50" i="35"/>
  <c r="M50" i="35"/>
  <c r="N50" i="35"/>
  <c r="B51" i="35"/>
  <c r="C51" i="35"/>
  <c r="D51" i="35"/>
  <c r="E51" i="35"/>
  <c r="F51" i="35"/>
  <c r="G51" i="35"/>
  <c r="H51" i="35"/>
  <c r="I51" i="35"/>
  <c r="J51" i="35"/>
  <c r="K51" i="35"/>
  <c r="L51" i="35"/>
  <c r="M51" i="35"/>
  <c r="N51" i="35"/>
  <c r="B21" i="35" a="1"/>
  <c r="B21" i="35"/>
  <c r="C21" i="35"/>
  <c r="D21" i="35"/>
  <c r="E21" i="35"/>
  <c r="F21" i="35"/>
  <c r="G21" i="35"/>
  <c r="H21" i="35"/>
  <c r="I21" i="35"/>
  <c r="J21" i="35"/>
  <c r="K21" i="35"/>
  <c r="L21" i="35"/>
  <c r="M21" i="35"/>
  <c r="N21" i="35"/>
  <c r="O21" i="35"/>
  <c r="P21" i="35"/>
  <c r="B22" i="35"/>
  <c r="C22" i="35"/>
  <c r="D22" i="35"/>
  <c r="E22" i="35"/>
  <c r="F22" i="35"/>
  <c r="G22" i="35"/>
  <c r="H22" i="35"/>
  <c r="I22" i="35"/>
  <c r="J22" i="35"/>
  <c r="K22" i="35"/>
  <c r="L22" i="35"/>
  <c r="M22" i="35"/>
  <c r="N22" i="35"/>
  <c r="O22" i="35"/>
  <c r="P22" i="35"/>
  <c r="B23" i="35"/>
  <c r="C23" i="35"/>
  <c r="D23" i="35"/>
  <c r="E23" i="35"/>
  <c r="F23" i="35"/>
  <c r="G23" i="35"/>
  <c r="H23" i="35"/>
  <c r="I23" i="35"/>
  <c r="J23" i="35"/>
  <c r="K23" i="35"/>
  <c r="L23" i="35"/>
  <c r="M23" i="35"/>
  <c r="N23" i="35"/>
  <c r="O23" i="35"/>
  <c r="P23" i="35"/>
  <c r="B24" i="35"/>
  <c r="C24" i="35"/>
  <c r="D24" i="35"/>
  <c r="E24" i="35"/>
  <c r="F24" i="35"/>
  <c r="G24" i="35"/>
  <c r="H24" i="35"/>
  <c r="I24" i="35"/>
  <c r="J24" i="35"/>
  <c r="K24" i="35"/>
  <c r="L24" i="35"/>
  <c r="M24" i="35"/>
  <c r="N24" i="35"/>
  <c r="O24" i="35"/>
  <c r="P24" i="35"/>
  <c r="B25" i="35"/>
  <c r="C25" i="35"/>
  <c r="D25" i="35"/>
  <c r="E25" i="35"/>
  <c r="F25" i="35"/>
  <c r="G25" i="35"/>
  <c r="H25" i="35"/>
  <c r="I25" i="35"/>
  <c r="J25" i="35"/>
  <c r="K25" i="35"/>
  <c r="L25" i="35"/>
  <c r="M25" i="35"/>
  <c r="N25" i="35"/>
  <c r="O25" i="35"/>
  <c r="P25" i="35"/>
  <c r="B26" i="35"/>
  <c r="C26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B27" i="35"/>
  <c r="C27" i="35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B28" i="35"/>
  <c r="C28" i="35"/>
  <c r="D28" i="35"/>
  <c r="E28" i="35"/>
  <c r="F28" i="35"/>
  <c r="G28" i="35"/>
  <c r="H28" i="35"/>
  <c r="I28" i="35"/>
  <c r="J28" i="35"/>
  <c r="K28" i="35"/>
  <c r="L28" i="35"/>
  <c r="M28" i="35"/>
  <c r="N28" i="35"/>
  <c r="O28" i="35"/>
  <c r="P28" i="35"/>
  <c r="B29" i="35"/>
  <c r="C29" i="35"/>
  <c r="D29" i="35"/>
  <c r="E29" i="35"/>
  <c r="F29" i="35"/>
  <c r="G29" i="35"/>
  <c r="H29" i="35"/>
  <c r="I29" i="35"/>
  <c r="J29" i="35"/>
  <c r="K29" i="35"/>
  <c r="L29" i="35"/>
  <c r="M29" i="35"/>
  <c r="N29" i="35"/>
  <c r="O29" i="35"/>
  <c r="P29" i="35"/>
  <c r="B30" i="35"/>
  <c r="C30" i="35"/>
  <c r="D30" i="35"/>
  <c r="E30" i="35"/>
  <c r="F30" i="35"/>
  <c r="G30" i="35"/>
  <c r="H30" i="35"/>
  <c r="I30" i="35"/>
  <c r="J30" i="35"/>
  <c r="K30" i="35"/>
  <c r="L30" i="35"/>
  <c r="M30" i="35"/>
  <c r="N30" i="35"/>
  <c r="O30" i="35"/>
  <c r="P30" i="35"/>
  <c r="B31" i="35"/>
  <c r="C31" i="35"/>
  <c r="D31" i="35"/>
  <c r="E31" i="35"/>
  <c r="F31" i="35"/>
  <c r="G31" i="35"/>
  <c r="H31" i="35"/>
  <c r="I31" i="35"/>
  <c r="J31" i="35"/>
  <c r="K31" i="35"/>
  <c r="L31" i="35"/>
  <c r="M31" i="35"/>
  <c r="N31" i="35"/>
  <c r="O31" i="35"/>
  <c r="P31" i="35"/>
  <c r="B32" i="35"/>
  <c r="C32" i="35"/>
  <c r="D32" i="35"/>
  <c r="E32" i="35"/>
  <c r="F32" i="35"/>
  <c r="G32" i="35"/>
  <c r="H32" i="35"/>
  <c r="I32" i="35"/>
  <c r="J32" i="35"/>
  <c r="K32" i="35"/>
  <c r="L32" i="35"/>
  <c r="M32" i="35"/>
  <c r="N32" i="35"/>
  <c r="O32" i="35"/>
  <c r="P32" i="35"/>
  <c r="B33" i="35"/>
  <c r="C33" i="35"/>
  <c r="D33" i="35"/>
  <c r="E33" i="35"/>
  <c r="F33" i="35"/>
  <c r="G33" i="35"/>
  <c r="H33" i="35"/>
  <c r="I33" i="35"/>
  <c r="J33" i="35"/>
  <c r="K33" i="35"/>
  <c r="L33" i="35"/>
  <c r="M33" i="35"/>
  <c r="N33" i="35"/>
  <c r="O33" i="35"/>
  <c r="P33" i="35"/>
  <c r="B8" i="35" a="1"/>
  <c r="B8" i="35"/>
  <c r="C8" i="35"/>
  <c r="D8" i="35"/>
  <c r="E8" i="35"/>
  <c r="F8" i="35"/>
  <c r="G8" i="35"/>
  <c r="H8" i="35"/>
  <c r="I8" i="35"/>
  <c r="J8" i="35"/>
  <c r="K8" i="35"/>
  <c r="L8" i="35"/>
  <c r="M8" i="35"/>
  <c r="N8" i="35"/>
  <c r="O8" i="35"/>
  <c r="P8" i="35"/>
  <c r="B9" i="35"/>
  <c r="C9" i="35"/>
  <c r="D9" i="35"/>
  <c r="E9" i="35"/>
  <c r="F9" i="35"/>
  <c r="G9" i="35"/>
  <c r="H9" i="35"/>
  <c r="I9" i="35"/>
  <c r="J9" i="35"/>
  <c r="K9" i="35"/>
  <c r="L9" i="35"/>
  <c r="M9" i="35"/>
  <c r="N9" i="35"/>
  <c r="O9" i="35"/>
  <c r="P9" i="35"/>
  <c r="B10" i="35"/>
  <c r="C10" i="35"/>
  <c r="D10" i="35"/>
  <c r="E10" i="35"/>
  <c r="F10" i="35"/>
  <c r="G10" i="35"/>
  <c r="H10" i="35"/>
  <c r="I10" i="35"/>
  <c r="J10" i="35"/>
  <c r="K10" i="35"/>
  <c r="L10" i="35"/>
  <c r="M10" i="35"/>
  <c r="N10" i="35"/>
  <c r="O10" i="35"/>
  <c r="P10" i="35"/>
  <c r="B11" i="35"/>
  <c r="C11" i="35"/>
  <c r="D11" i="35"/>
  <c r="E11" i="35"/>
  <c r="F11" i="35"/>
  <c r="G11" i="35"/>
  <c r="H11" i="35"/>
  <c r="I11" i="35"/>
  <c r="J11" i="35"/>
  <c r="K11" i="35"/>
  <c r="L11" i="35"/>
  <c r="M11" i="35"/>
  <c r="N11" i="35"/>
  <c r="O11" i="35"/>
  <c r="P11" i="35"/>
  <c r="B12" i="35"/>
  <c r="C12" i="35"/>
  <c r="D12" i="35"/>
  <c r="E12" i="35"/>
  <c r="F12" i="35"/>
  <c r="G12" i="35"/>
  <c r="H12" i="35"/>
  <c r="I12" i="35"/>
  <c r="J12" i="35"/>
  <c r="K12" i="35"/>
  <c r="L12" i="35"/>
  <c r="M12" i="35"/>
  <c r="N12" i="35"/>
  <c r="O12" i="35"/>
  <c r="P12" i="35"/>
  <c r="B13" i="35"/>
  <c r="C13" i="35"/>
  <c r="D13" i="35"/>
  <c r="E13" i="35"/>
  <c r="F13" i="35"/>
  <c r="G13" i="35"/>
  <c r="H13" i="35"/>
  <c r="I13" i="35"/>
  <c r="J13" i="35"/>
  <c r="K13" i="35"/>
  <c r="L13" i="35"/>
  <c r="M13" i="35"/>
  <c r="N13" i="35"/>
  <c r="O13" i="35"/>
  <c r="P13" i="35"/>
  <c r="B14" i="35"/>
  <c r="C14" i="35"/>
  <c r="D14" i="35"/>
  <c r="E14" i="35"/>
  <c r="F14" i="35"/>
  <c r="G14" i="35"/>
  <c r="H14" i="35"/>
  <c r="I14" i="35"/>
  <c r="J14" i="35"/>
  <c r="K14" i="35"/>
  <c r="L14" i="35"/>
  <c r="M14" i="35"/>
  <c r="N14" i="35"/>
  <c r="O14" i="35"/>
  <c r="P14" i="35"/>
  <c r="B15" i="35"/>
  <c r="C15" i="35"/>
  <c r="D15" i="35"/>
  <c r="E15" i="35"/>
  <c r="F15" i="35"/>
  <c r="G15" i="35"/>
  <c r="H15" i="35"/>
  <c r="I15" i="35"/>
  <c r="J15" i="35"/>
  <c r="K15" i="35"/>
  <c r="L15" i="35"/>
  <c r="M15" i="35"/>
  <c r="N15" i="35"/>
  <c r="O15" i="35"/>
  <c r="P15" i="35"/>
  <c r="CD24" i="41" l="1"/>
  <c r="CD25" i="41"/>
  <c r="CD26" i="41"/>
  <c r="B9" i="40" a="1"/>
  <c r="B11" i="40" l="1"/>
  <c r="B19" i="40"/>
  <c r="B27" i="40"/>
  <c r="B14" i="40"/>
  <c r="B22" i="40"/>
  <c r="B16" i="40"/>
  <c r="B24" i="40"/>
  <c r="B32" i="40"/>
  <c r="B9" i="40"/>
  <c r="B25" i="40"/>
  <c r="B18" i="40"/>
  <c r="B26" i="40"/>
  <c r="B12" i="40"/>
  <c r="B20" i="40"/>
  <c r="B28" i="40"/>
  <c r="B13" i="40"/>
  <c r="B21" i="40"/>
  <c r="B29" i="40"/>
  <c r="B30" i="40"/>
  <c r="B15" i="40"/>
  <c r="B23" i="40"/>
  <c r="B31" i="40"/>
  <c r="B17" i="40"/>
  <c r="B10" i="40"/>
  <c r="CB6" i="41" a="1"/>
  <c r="CB10" i="41" s="1"/>
  <c r="AS5" i="21" a="1"/>
  <c r="AS9" i="21" s="1"/>
  <c r="BV26" i="41"/>
  <c r="BV25" i="41"/>
  <c r="BV24" i="41"/>
  <c r="BV23" i="41"/>
  <c r="BV22" i="41"/>
  <c r="BV21" i="41"/>
  <c r="BV20" i="41"/>
  <c r="BV19" i="41"/>
  <c r="BV18" i="41"/>
  <c r="BV17" i="41"/>
  <c r="BV16" i="41"/>
  <c r="BV15" i="41"/>
  <c r="BV14" i="41"/>
  <c r="BV13" i="41"/>
  <c r="BV12" i="41"/>
  <c r="BV11" i="41"/>
  <c r="BV10" i="41"/>
  <c r="BV9" i="41"/>
  <c r="BV8" i="41"/>
  <c r="BV7" i="41"/>
  <c r="BF26" i="41"/>
  <c r="BD26" i="41"/>
  <c r="AT26" i="41"/>
  <c r="AR26" i="41"/>
  <c r="AA26" i="41"/>
  <c r="V26" i="41"/>
  <c r="O26" i="41"/>
  <c r="M26" i="41"/>
  <c r="BF25" i="41"/>
  <c r="BD25" i="41"/>
  <c r="AT25" i="41"/>
  <c r="AR25" i="41"/>
  <c r="AA25" i="41"/>
  <c r="V25" i="41"/>
  <c r="O25" i="41"/>
  <c r="M25" i="41"/>
  <c r="BF24" i="41"/>
  <c r="BD24" i="41"/>
  <c r="AT24" i="41"/>
  <c r="AR24" i="41"/>
  <c r="AA24" i="41"/>
  <c r="V24" i="41"/>
  <c r="O24" i="41"/>
  <c r="M24" i="41"/>
  <c r="BF23" i="41"/>
  <c r="BD23" i="41"/>
  <c r="AT23" i="41"/>
  <c r="AR23" i="41"/>
  <c r="AA23" i="41"/>
  <c r="V23" i="41"/>
  <c r="O23" i="41"/>
  <c r="M23" i="41"/>
  <c r="BF22" i="41"/>
  <c r="BD22" i="41"/>
  <c r="AT22" i="41"/>
  <c r="AR22" i="41"/>
  <c r="AA22" i="41"/>
  <c r="V22" i="41"/>
  <c r="O22" i="41"/>
  <c r="M22" i="41"/>
  <c r="BF21" i="41"/>
  <c r="BD21" i="41"/>
  <c r="AT21" i="41"/>
  <c r="AR21" i="41"/>
  <c r="AA21" i="41"/>
  <c r="V21" i="41"/>
  <c r="O21" i="41"/>
  <c r="M21" i="41"/>
  <c r="BF20" i="41"/>
  <c r="BD20" i="41"/>
  <c r="AT20" i="41"/>
  <c r="AR20" i="41"/>
  <c r="AA20" i="41"/>
  <c r="V20" i="41"/>
  <c r="O20" i="41"/>
  <c r="M20" i="41"/>
  <c r="BF19" i="41"/>
  <c r="BD19" i="41"/>
  <c r="AT19" i="41"/>
  <c r="AR19" i="41"/>
  <c r="AA19" i="41"/>
  <c r="V19" i="41"/>
  <c r="O19" i="41"/>
  <c r="M19" i="41"/>
  <c r="BF18" i="41"/>
  <c r="BD18" i="41"/>
  <c r="AT18" i="41"/>
  <c r="AR18" i="41"/>
  <c r="AA18" i="41"/>
  <c r="V18" i="41"/>
  <c r="O18" i="41"/>
  <c r="M18" i="41"/>
  <c r="BF17" i="41"/>
  <c r="BD17" i="41"/>
  <c r="AT17" i="41"/>
  <c r="AR17" i="41"/>
  <c r="AA17" i="41"/>
  <c r="V17" i="41"/>
  <c r="O17" i="41"/>
  <c r="M17" i="41"/>
  <c r="BF16" i="41"/>
  <c r="BD16" i="41"/>
  <c r="AT16" i="41"/>
  <c r="AR16" i="41"/>
  <c r="AA16" i="41"/>
  <c r="V16" i="41"/>
  <c r="O16" i="41"/>
  <c r="M16" i="41"/>
  <c r="BF15" i="41"/>
  <c r="BD15" i="41"/>
  <c r="AT15" i="41"/>
  <c r="AR15" i="41"/>
  <c r="AA15" i="41"/>
  <c r="V15" i="41"/>
  <c r="O15" i="41"/>
  <c r="M15" i="41"/>
  <c r="BF14" i="41"/>
  <c r="BD14" i="41"/>
  <c r="AT14" i="41"/>
  <c r="AR14" i="41"/>
  <c r="AA14" i="41"/>
  <c r="V14" i="41"/>
  <c r="O14" i="41"/>
  <c r="M14" i="41"/>
  <c r="BF13" i="41"/>
  <c r="BD13" i="41"/>
  <c r="AT13" i="41"/>
  <c r="AR13" i="41"/>
  <c r="AA13" i="41"/>
  <c r="V13" i="41"/>
  <c r="O13" i="41"/>
  <c r="M13" i="41"/>
  <c r="BF12" i="41"/>
  <c r="BD12" i="41"/>
  <c r="AT12" i="41"/>
  <c r="AR12" i="41"/>
  <c r="AA12" i="41"/>
  <c r="V12" i="41"/>
  <c r="O12" i="41"/>
  <c r="M12" i="41"/>
  <c r="BF11" i="41"/>
  <c r="BD11" i="41"/>
  <c r="AT11" i="41"/>
  <c r="AR11" i="41"/>
  <c r="AA11" i="41"/>
  <c r="V11" i="41"/>
  <c r="O11" i="41"/>
  <c r="M11" i="41"/>
  <c r="BF10" i="41"/>
  <c r="BD10" i="41"/>
  <c r="AT10" i="41"/>
  <c r="AR10" i="41"/>
  <c r="AA10" i="41"/>
  <c r="V10" i="41"/>
  <c r="O10" i="41"/>
  <c r="M10" i="41"/>
  <c r="BF9" i="41"/>
  <c r="BD9" i="41"/>
  <c r="AT9" i="41"/>
  <c r="AR9" i="41"/>
  <c r="AA9" i="41"/>
  <c r="V9" i="41"/>
  <c r="O9" i="41"/>
  <c r="M9" i="41"/>
  <c r="BF8" i="41"/>
  <c r="BD8" i="41"/>
  <c r="AT8" i="41"/>
  <c r="AR8" i="41"/>
  <c r="AA8" i="41"/>
  <c r="V8" i="41"/>
  <c r="O8" i="41"/>
  <c r="M8" i="41"/>
  <c r="BF7" i="41"/>
  <c r="BD7" i="41"/>
  <c r="AT7" i="41"/>
  <c r="AR7" i="41"/>
  <c r="AA7" i="41"/>
  <c r="V7" i="41"/>
  <c r="O7" i="41"/>
  <c r="M7" i="41"/>
  <c r="B14" i="41"/>
  <c r="B9" i="41"/>
  <c r="D22" i="40"/>
  <c r="D25" i="40"/>
  <c r="B20" i="41"/>
  <c r="B23" i="41"/>
  <c r="B16" i="41"/>
  <c r="B12" i="41"/>
  <c r="B25" i="41"/>
  <c r="D19" i="40"/>
  <c r="B13" i="41"/>
  <c r="B17" i="41"/>
  <c r="D20" i="40"/>
  <c r="D27" i="40"/>
  <c r="D18" i="40"/>
  <c r="D33" i="34"/>
  <c r="B18" i="41"/>
  <c r="B10" i="41"/>
  <c r="C33" i="34"/>
  <c r="B24" i="41"/>
  <c r="B11" i="41"/>
  <c r="B19" i="41"/>
  <c r="B21" i="41"/>
  <c r="D23" i="40"/>
  <c r="D15" i="40"/>
  <c r="B15" i="41"/>
  <c r="B8" i="41"/>
  <c r="B22" i="41"/>
  <c r="D29" i="40"/>
  <c r="D10" i="40"/>
  <c r="B26" i="41"/>
  <c r="D26" i="40"/>
  <c r="D30" i="40"/>
  <c r="B7" i="41"/>
  <c r="D12" i="40"/>
  <c r="D31" i="40"/>
  <c r="D17" i="40"/>
  <c r="D13" i="40"/>
  <c r="D21" i="40"/>
  <c r="D14" i="40"/>
  <c r="D16" i="40"/>
  <c r="D24" i="40"/>
  <c r="D28" i="40"/>
  <c r="D32" i="40"/>
  <c r="D11" i="40"/>
  <c r="D9" i="40"/>
  <c r="AS5" i="21" l="1"/>
  <c r="CB8" i="41"/>
  <c r="CB9" i="41"/>
  <c r="AS20" i="21"/>
  <c r="AS12" i="21"/>
  <c r="AT11" i="21"/>
  <c r="AS18" i="21"/>
  <c r="AS10" i="21"/>
  <c r="AT16" i="21"/>
  <c r="AT8" i="21"/>
  <c r="AS16" i="21"/>
  <c r="AS8" i="21"/>
  <c r="AT19" i="21"/>
  <c r="AT15" i="21"/>
  <c r="AT7" i="21"/>
  <c r="AS22" i="21"/>
  <c r="AS14" i="21"/>
  <c r="AS6" i="21"/>
  <c r="AT20" i="21"/>
  <c r="AT12" i="21"/>
  <c r="AT5" i="21"/>
  <c r="CB6" i="41"/>
  <c r="CC19" i="41"/>
  <c r="CC20" i="41"/>
  <c r="CC16" i="41"/>
  <c r="CB16" i="41"/>
  <c r="CC12" i="41"/>
  <c r="CC13" i="41"/>
  <c r="CC23" i="41"/>
  <c r="CB12" i="41"/>
  <c r="CC21" i="41"/>
  <c r="CC9" i="41"/>
  <c r="CB21" i="41"/>
  <c r="CC15" i="41"/>
  <c r="CC8" i="41"/>
  <c r="CB20" i="41"/>
  <c r="CB13" i="41"/>
  <c r="CC7" i="41"/>
  <c r="CC17" i="41"/>
  <c r="CB17" i="41"/>
  <c r="CC11" i="41"/>
  <c r="CB23" i="41"/>
  <c r="CB19" i="41"/>
  <c r="CB15" i="41"/>
  <c r="CB11" i="41"/>
  <c r="CB7" i="41"/>
  <c r="CC22" i="41"/>
  <c r="CC18" i="41"/>
  <c r="CC14" i="41"/>
  <c r="CC10" i="41"/>
  <c r="CC6" i="41"/>
  <c r="CB22" i="41"/>
  <c r="CB18" i="41"/>
  <c r="CB14" i="41"/>
  <c r="AS19" i="21"/>
  <c r="AS15" i="21"/>
  <c r="AS11" i="21"/>
  <c r="AS7" i="21"/>
  <c r="AT22" i="21"/>
  <c r="AT18" i="21"/>
  <c r="AT14" i="21"/>
  <c r="AT10" i="21"/>
  <c r="AT6" i="21"/>
  <c r="AT21" i="21"/>
  <c r="AT17" i="21"/>
  <c r="AT13" i="21"/>
  <c r="AT9" i="21"/>
  <c r="AS21" i="21"/>
  <c r="AS17" i="21"/>
  <c r="AS13" i="21"/>
  <c r="BE7" i="41"/>
  <c r="Z7" i="41"/>
  <c r="BE8" i="41"/>
  <c r="Z8" i="41"/>
  <c r="BE16" i="41"/>
  <c r="Z16" i="41"/>
  <c r="BE24" i="41"/>
  <c r="Z24" i="41"/>
  <c r="BE9" i="41"/>
  <c r="Z9" i="41"/>
  <c r="BE17" i="41"/>
  <c r="Z17" i="41"/>
  <c r="Z25" i="41"/>
  <c r="BE25" i="41"/>
  <c r="Z15" i="41"/>
  <c r="BE15" i="41"/>
  <c r="Z18" i="41"/>
  <c r="BE18" i="41"/>
  <c r="BE12" i="41"/>
  <c r="Z12" i="41"/>
  <c r="BE20" i="41"/>
  <c r="Z20" i="41"/>
  <c r="Z23" i="41"/>
  <c r="BE23" i="41"/>
  <c r="Z10" i="41"/>
  <c r="BE10" i="41"/>
  <c r="Z11" i="41"/>
  <c r="BE11" i="41"/>
  <c r="Z13" i="41"/>
  <c r="BE13" i="41"/>
  <c r="Z21" i="41"/>
  <c r="BE21" i="41"/>
  <c r="Z26" i="41"/>
  <c r="BE26" i="41"/>
  <c r="Z19" i="41"/>
  <c r="BE19" i="41"/>
  <c r="Z14" i="41"/>
  <c r="BE14" i="41"/>
  <c r="Z22" i="41"/>
  <c r="BE22" i="41"/>
  <c r="C7" i="38"/>
  <c r="BW7" i="41"/>
  <c r="C7" i="34"/>
  <c r="BW18" i="41"/>
  <c r="C14" i="34"/>
  <c r="BZ7" i="41"/>
  <c r="BW13" i="41"/>
  <c r="BW17" i="41"/>
  <c r="BW19" i="41"/>
  <c r="BZ18" i="41"/>
  <c r="BY18" i="41"/>
  <c r="BW16" i="41"/>
  <c r="BW14" i="41"/>
  <c r="BY14" i="41" s="1"/>
  <c r="BW20" i="41"/>
  <c r="BZ20" i="41" s="1"/>
  <c r="BY20" i="41"/>
  <c r="C12" i="34"/>
  <c r="BZ16" i="41"/>
  <c r="BW24" i="41"/>
  <c r="BZ17" i="41"/>
  <c r="BW9" i="41"/>
  <c r="BZ9" i="41" s="1"/>
  <c r="BW15" i="41"/>
  <c r="BZ15" i="41" s="1"/>
  <c r="BY24" i="41"/>
  <c r="BY16" i="41"/>
  <c r="BW21" i="41"/>
  <c r="BZ13" i="41"/>
  <c r="BW23" i="41"/>
  <c r="BY19" i="41"/>
  <c r="BY13" i="41"/>
  <c r="BZ23" i="41"/>
  <c r="BW11" i="41"/>
  <c r="BY11" i="41" s="1"/>
  <c r="BZ24" i="41"/>
  <c r="BW26" i="41"/>
  <c r="BW12" i="41"/>
  <c r="BW8" i="41"/>
  <c r="BZ21" i="41"/>
  <c r="BZ26" i="41"/>
  <c r="BY8" i="41"/>
  <c r="BW25" i="41"/>
  <c r="BY25" i="41" s="1"/>
  <c r="BZ8" i="41"/>
  <c r="BZ25" i="41"/>
  <c r="BW22" i="41"/>
  <c r="BW10" i="41"/>
  <c r="BZ12" i="41"/>
  <c r="BY12" i="41"/>
  <c r="BZ22" i="41"/>
  <c r="BY22" i="41"/>
  <c r="BZ10" i="41"/>
  <c r="CD22" i="41" l="1"/>
  <c r="CD20" i="41"/>
  <c r="CD23" i="41"/>
  <c r="CD15" i="41"/>
  <c r="CD14" i="41"/>
  <c r="CD7" i="41"/>
  <c r="CD12" i="41"/>
  <c r="CD18" i="41"/>
  <c r="CD11" i="41"/>
  <c r="CD19" i="41"/>
  <c r="CD9" i="41"/>
  <c r="CD16" i="41"/>
  <c r="CD8" i="41"/>
  <c r="CD21" i="41"/>
  <c r="CD17" i="41"/>
  <c r="D22" i="3"/>
  <c r="D20" i="2"/>
  <c r="BY10" i="41"/>
  <c r="BY17" i="41"/>
  <c r="BY7" i="41"/>
  <c r="C13" i="34"/>
  <c r="BZ19" i="41"/>
  <c r="BZ11" i="41"/>
  <c r="BY26" i="41"/>
  <c r="D7" i="2"/>
  <c r="BY21" i="41"/>
  <c r="C6" i="36"/>
  <c r="BY23" i="41"/>
  <c r="BY9" i="41"/>
  <c r="BY15" i="41"/>
  <c r="BZ14" i="41"/>
  <c r="CD13" i="41" l="1"/>
  <c r="CD10" i="41"/>
  <c r="C8" i="38"/>
  <c r="C6" i="37"/>
  <c r="X8" i="21"/>
  <c r="C10" i="36"/>
  <c r="C8" i="37"/>
  <c r="C13" i="37" s="1"/>
  <c r="C9" i="38"/>
  <c r="C13" i="38"/>
  <c r="C12" i="37"/>
  <c r="D8" i="2"/>
  <c r="C14" i="37"/>
  <c r="C15" i="38"/>
  <c r="C14" i="38"/>
  <c r="C4" i="35" l="1"/>
  <c r="C17" i="35"/>
  <c r="C35" i="35"/>
  <c r="D8" i="3"/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22" i="21"/>
  <c r="B12" i="21"/>
  <c r="B20" i="21"/>
  <c r="B14" i="21"/>
  <c r="B15" i="21"/>
  <c r="B11" i="21"/>
  <c r="B24" i="21"/>
  <c r="B13" i="21"/>
  <c r="B10" i="21"/>
  <c r="B16" i="21"/>
  <c r="B18" i="21"/>
  <c r="B25" i="21"/>
  <c r="D9" i="3"/>
  <c r="B23" i="21"/>
  <c r="B21" i="21"/>
  <c r="B8" i="21"/>
  <c r="B17" i="21"/>
  <c r="B19" i="21"/>
  <c r="B9" i="21"/>
  <c r="B7" i="21"/>
  <c r="B6" i="21"/>
  <c r="AU25" i="21" l="1"/>
  <c r="AU24" i="21"/>
  <c r="AU23" i="21"/>
  <c r="AU22" i="21"/>
  <c r="AU20" i="21"/>
  <c r="AU19" i="21"/>
  <c r="AU21" i="21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AM7" i="21" l="1"/>
  <c r="AM8" i="21"/>
  <c r="AM9" i="21"/>
  <c r="AM10" i="21"/>
  <c r="AM11" i="21"/>
  <c r="AM12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6" i="21"/>
  <c r="AN6" i="21"/>
  <c r="W6" i="21" l="1"/>
  <c r="AJ25" i="21" l="1"/>
  <c r="AK25" i="21" s="1"/>
  <c r="X25" i="21"/>
  <c r="W25" i="21"/>
  <c r="AN25" i="21"/>
  <c r="AJ24" i="21"/>
  <c r="AK24" i="21" s="1"/>
  <c r="X24" i="21"/>
  <c r="W24" i="21"/>
  <c r="AN24" i="21"/>
  <c r="AJ23" i="21"/>
  <c r="AK23" i="21" s="1"/>
  <c r="X23" i="21"/>
  <c r="W23" i="21"/>
  <c r="AN23" i="21"/>
  <c r="AJ22" i="21"/>
  <c r="AK22" i="21" s="1"/>
  <c r="X22" i="21"/>
  <c r="W22" i="21"/>
  <c r="AN22" i="21"/>
  <c r="AJ21" i="21"/>
  <c r="AK21" i="21" s="1"/>
  <c r="X21" i="21"/>
  <c r="W21" i="21"/>
  <c r="AN21" i="21"/>
  <c r="AJ20" i="21"/>
  <c r="AK20" i="21" s="1"/>
  <c r="X20" i="21"/>
  <c r="W20" i="21"/>
  <c r="AN20" i="21"/>
  <c r="AJ19" i="21"/>
  <c r="AK19" i="21" s="1"/>
  <c r="X19" i="21"/>
  <c r="W19" i="21"/>
  <c r="AN19" i="21"/>
  <c r="AJ18" i="21"/>
  <c r="AK18" i="21" s="1"/>
  <c r="X18" i="21"/>
  <c r="W18" i="21"/>
  <c r="AN18" i="21"/>
  <c r="AJ17" i="21"/>
  <c r="AK17" i="21" s="1"/>
  <c r="X17" i="21"/>
  <c r="W17" i="21"/>
  <c r="AN17" i="21"/>
  <c r="AJ16" i="21"/>
  <c r="AK16" i="21" s="1"/>
  <c r="X16" i="21"/>
  <c r="W16" i="21"/>
  <c r="AN16" i="21"/>
  <c r="AJ15" i="21"/>
  <c r="AK15" i="21" s="1"/>
  <c r="X15" i="21"/>
  <c r="W15" i="21"/>
  <c r="AN15" i="21"/>
  <c r="AJ14" i="21"/>
  <c r="AK14" i="21" s="1"/>
  <c r="X14" i="21"/>
  <c r="W14" i="21"/>
  <c r="AN14" i="21"/>
  <c r="AJ13" i="21"/>
  <c r="AK13" i="21" s="1"/>
  <c r="X13" i="21"/>
  <c r="W13" i="21"/>
  <c r="AN13" i="21"/>
  <c r="AJ12" i="21"/>
  <c r="AK12" i="21" s="1"/>
  <c r="X12" i="21"/>
  <c r="W12" i="21"/>
  <c r="AN12" i="21"/>
  <c r="AJ11" i="21"/>
  <c r="AK11" i="21" s="1"/>
  <c r="X11" i="21"/>
  <c r="W11" i="21"/>
  <c r="AN11" i="21"/>
  <c r="AJ10" i="21"/>
  <c r="AK10" i="21" s="1"/>
  <c r="X10" i="21"/>
  <c r="W10" i="21"/>
  <c r="AN10" i="21"/>
  <c r="AJ9" i="21"/>
  <c r="AK9" i="21" s="1"/>
  <c r="X9" i="21"/>
  <c r="W9" i="21"/>
  <c r="AN9" i="21"/>
  <c r="AJ8" i="21"/>
  <c r="AK8" i="21" s="1"/>
  <c r="W8" i="21"/>
  <c r="AN8" i="21"/>
  <c r="AJ7" i="21"/>
  <c r="AK7" i="21" s="1"/>
  <c r="X7" i="21"/>
  <c r="W7" i="21"/>
  <c r="AN7" i="21"/>
  <c r="AJ6" i="21"/>
  <c r="AK6" i="21" s="1"/>
  <c r="X6" i="21"/>
  <c r="T6" i="21" l="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10" i="21"/>
  <c r="AP6" i="21"/>
  <c r="AQ22" i="21"/>
  <c r="AQ18" i="21"/>
  <c r="AQ16" i="21"/>
  <c r="AO18" i="21"/>
  <c r="AP16" i="21"/>
  <c r="AP14" i="21"/>
  <c r="AP18" i="21"/>
  <c r="AO13" i="21"/>
  <c r="AP8" i="21"/>
  <c r="AP24" i="21"/>
  <c r="AP15" i="21"/>
  <c r="AP22" i="21"/>
  <c r="AO21" i="21"/>
  <c r="AQ24" i="21"/>
  <c r="AO20" i="21"/>
  <c r="AP7" i="21"/>
  <c r="AO8" i="21"/>
  <c r="AQ17" i="21"/>
  <c r="AQ23" i="21"/>
  <c r="AO15" i="21"/>
  <c r="AP23" i="21"/>
  <c r="AQ15" i="21"/>
  <c r="AQ10" i="21"/>
  <c r="AP19" i="21"/>
  <c r="AO23" i="21"/>
  <c r="AQ9" i="21"/>
  <c r="AQ20" i="21"/>
  <c r="AO10" i="21"/>
  <c r="AQ8" i="21"/>
  <c r="AO24" i="21"/>
  <c r="AQ19" i="21"/>
  <c r="AP25" i="21"/>
  <c r="AO11" i="21"/>
  <c r="AO22" i="21"/>
  <c r="AP11" i="21"/>
  <c r="AQ11" i="21"/>
  <c r="AO9" i="21"/>
  <c r="AO14" i="21"/>
  <c r="AO6" i="21"/>
  <c r="AO7" i="21"/>
  <c r="AO17" i="21"/>
  <c r="AO16" i="21"/>
  <c r="AO12" i="21"/>
  <c r="AO19" i="21"/>
  <c r="AQ13" i="21"/>
  <c r="AQ6" i="21"/>
  <c r="AQ25" i="21"/>
  <c r="AQ7" i="21"/>
  <c r="AQ14" i="21"/>
  <c r="AP12" i="21"/>
  <c r="AP13" i="21"/>
  <c r="AP21" i="21"/>
  <c r="AO25" i="21"/>
  <c r="AP17" i="21"/>
  <c r="AQ21" i="21"/>
  <c r="AP20" i="21"/>
  <c r="AP9" i="21"/>
  <c r="AQ12" i="21"/>
  <c r="AU9" i="21" l="1"/>
  <c r="AU10" i="21"/>
  <c r="AU6" i="21"/>
  <c r="AU16" i="21"/>
  <c r="AU12" i="21"/>
  <c r="AU11" i="21"/>
  <c r="AU13" i="21"/>
  <c r="AU8" i="21"/>
  <c r="AU18" i="21"/>
  <c r="AU15" i="21"/>
  <c r="AU17" i="21"/>
  <c r="AU7" i="21"/>
  <c r="AU14" i="21"/>
  <c r="AP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sharedStrings.xml><?xml version="1.0" encoding="utf-8"?>
<sst xmlns="http://schemas.openxmlformats.org/spreadsheetml/2006/main" count="1880" uniqueCount="285">
  <si>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</si>
  <si>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</si>
  <si>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</si>
  <si>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</si>
  <si>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</si>
  <si>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</si>
  <si>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</si>
  <si>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</si>
  <si>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</si>
  <si>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</si>
  <si>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</si>
  <si>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</si>
  <si>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</si>
  <si>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</si>
  <si>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</si>
  <si>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</si>
  <si>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</si>
  <si>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</si>
  <si>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</si>
  <si>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</si>
  <si>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</si>
  <si>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</si>
  <si>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</si>
  <si>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</si>
  <si>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</si>
  <si>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</si>
  <si>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</si>
  <si>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</si>
  <si>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</si>
  <si>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</si>
  <si>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</si>
  <si>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</si>
  <si>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</si>
  <si>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</si>
  <si>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</si>
  <si>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</si>
  <si>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</si>
  <si>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</si>
  <si>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</si>
  <si>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</si>
  <si>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</si>
  <si>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</si>
  <si>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</si>
  <si>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</si>
  <si>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</si>
  <si>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</si>
  <si>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</si>
  <si>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</si>
  <si>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</si>
  <si>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</si>
  <si>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</si>
  <si>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</si>
  <si>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</si>
  <si>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</si>
  <si>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</si>
  <si>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</si>
  <si>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</si>
  <si>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</si>
  <si>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</si>
  <si>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</si>
  <si>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</si>
  <si>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</si>
  <si>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</si>
  <si>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</si>
  <si>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</si>
  <si>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</si>
  <si>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</si>
  <si>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</si>
  <si>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</si>
  <si>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</si>
  <si>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</si>
  <si>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</si>
  <si>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</si>
  <si>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</si>
  <si>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</si>
  <si>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</si>
  <si>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</si>
  <si>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</si>
  <si>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</si>
  <si>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</si>
  <si>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</si>
  <si>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</si>
  <si>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</si>
  <si>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</si>
  <si>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</si>
  <si>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</si>
  <si>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</si>
  <si>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</si>
  <si>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</si>
  <si>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</si>
  <si>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</si>
  <si>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</si>
  <si>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</si>
  <si>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</si>
  <si>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</si>
  <si>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</si>
  <si>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</si>
  <si>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</si>
  <si>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</si>
  <si>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</si>
  <si>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</si>
  <si>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</si>
  <si>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</si>
  <si>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</si>
  <si>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</si>
  <si>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</si>
  <si>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</si>
  <si>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</si>
  <si>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</si>
  <si>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</si>
  <si>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</si>
  <si>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</si>
  <si>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</si>
  <si>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</si>
  <si>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</si>
  <si>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</si>
  <si>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</si>
  <si>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</si>
  <si>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</si>
  <si>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</si>
  <si>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</si>
  <si>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</si>
  <si>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</si>
  <si>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</si>
  <si>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</si>
  <si>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</si>
  <si>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</si>
  <si>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</si>
  <si>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</si>
  <si>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</si>
  <si>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</si>
  <si>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</si>
  <si>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</si>
  <si>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</si>
  <si>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</si>
  <si>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</si>
  <si>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</si>
  <si>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</si>
  <si>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</si>
  <si>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</t>
  </si>
  <si>
    <t>1Y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</si>
  <si>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</si>
  <si>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</si>
  <si>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EUR6ML</t>
  </si>
  <si>
    <t>OIS:EUROIS:EURDF:EURDF_NOCSA</t>
  </si>
  <si>
    <t>Curve Loaded</t>
  </si>
  <si>
    <t>MonotoneConvex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</si>
  <si>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</si>
  <si>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</si>
  <si>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</si>
  <si>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</si>
  <si>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</si>
  <si>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</si>
  <si>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</si>
  <si>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</si>
  <si>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</si>
  <si>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</si>
  <si>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</si>
  <si>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</si>
  <si>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</si>
  <si>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</si>
  <si>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</si>
  <si>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</si>
  <si>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</si>
  <si>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</si>
  <si>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</si>
  <si>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</si>
  <si>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</si>
  <si>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</si>
  <si>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</si>
  <si>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</si>
  <si>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</si>
  <si>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</si>
  <si>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</si>
  <si>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</si>
  <si>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</si>
  <si>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</si>
  <si>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</si>
  <si>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</si>
  <si>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</si>
  <si>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</si>
  <si>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</si>
  <si>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</si>
  <si>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</si>
  <si>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</si>
  <si>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</si>
  <si>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</si>
  <si>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</si>
  <si>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</si>
  <si>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</si>
  <si>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</si>
  <si>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</si>
  <si>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</si>
  <si>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</si>
  <si>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</si>
  <si>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</si>
  <si>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</si>
  <si>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</si>
  <si>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</si>
  <si>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</si>
  <si>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</si>
  <si>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</si>
  <si>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</si>
  <si>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</si>
  <si>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PaymentDate</t>
  </si>
  <si>
    <t>AccrualBusinessDayAdjustment</t>
  </si>
  <si>
    <t>AccrualCalendar</t>
  </si>
  <si>
    <t>RollDay</t>
  </si>
  <si>
    <t>Settings</t>
  </si>
  <si>
    <t>NORMAL</t>
  </si>
  <si>
    <t>Leverage</t>
  </si>
  <si>
    <t>SwapName</t>
  </si>
  <si>
    <t>NotionalExchange</t>
  </si>
  <si>
    <t>NONE</t>
  </si>
  <si>
    <t>RECEIVER</t>
  </si>
  <si>
    <t>ParRate</t>
  </si>
  <si>
    <t>LegType</t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</si>
  <si>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</si>
  <si>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</si>
  <si>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t>CompoundingMethod</t>
  </si>
  <si>
    <t>GEOMETRIC</t>
  </si>
  <si>
    <t>SmoothShortEnd</t>
  </si>
  <si>
    <t>CompoundMethod</t>
  </si>
  <si>
    <t>FirstFixing</t>
  </si>
  <si>
    <t>LastFixing</t>
  </si>
  <si>
    <t>FixingBusinessDayAdjustment</t>
  </si>
  <si>
    <t>FixingCalendar</t>
  </si>
  <si>
    <t>PaymentBusinessDayAdjustment</t>
  </si>
  <si>
    <t>PaymentCalendar</t>
  </si>
  <si>
    <t>FirstStubDate</t>
  </si>
  <si>
    <t>LastStubDate</t>
  </si>
  <si>
    <t>FixingLag</t>
  </si>
  <si>
    <t>PaymentLag</t>
  </si>
  <si>
    <t>StubType</t>
  </si>
  <si>
    <r>
      <rPr>
        <sz val="14"/>
        <color rgb="FF0000FF"/>
        <rFont val="Calibri"/>
        <family val="2"/>
        <scheme val="minor"/>
      </rPr>
      <t>meLWOSwapCreate(</t>
    </r>
    <r>
      <rPr>
        <sz val="14"/>
        <color theme="1"/>
        <rFont val="Calibri"/>
        <family val="2"/>
        <scheme val="minor"/>
      </rPr>
      <t xml:space="preserve"> SwapName, SwapLVB, [ValidateKeys=False], [VerticalKeys=True] )</t>
    </r>
  </si>
  <si>
    <t>Swap Label Value Block</t>
  </si>
  <si>
    <t>Swap Name</t>
  </si>
  <si>
    <t>Create Swap</t>
  </si>
  <si>
    <t>Pricing &amp; Risk</t>
  </si>
  <si>
    <r>
      <rPr>
        <sz val="11"/>
        <color rgb="FF0000FF"/>
        <rFont val="Calibri"/>
        <family val="2"/>
        <scheme val="minor"/>
      </rPr>
      <t>meLWOSwapPV(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</si>
  <si>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meLWOSwapParRate(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</si>
  <si>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meLWOSwapPV01(</t>
    </r>
    <r>
      <rPr>
        <sz val="11"/>
        <color theme="1"/>
        <rFont val="Calibri"/>
        <family val="2"/>
        <scheme val="minor"/>
      </rPr>
      <t xml:space="preserve"> SwapName )</t>
    </r>
  </si>
  <si>
    <r>
      <rPr>
        <sz val="11"/>
        <color rgb="FF0000FF"/>
        <rFont val="Calibri"/>
        <family val="2"/>
        <scheme val="minor"/>
      </rPr>
      <t>meLWOSwapCreateBackToBack(</t>
    </r>
    <r>
      <rPr>
        <sz val="11"/>
        <color theme="1"/>
        <rFont val="Calibri"/>
        <family val="2"/>
        <scheme val="minor"/>
      </rPr>
      <t xml:space="preserve"> OriginalSwapName, NewSwapName )</t>
    </r>
  </si>
  <si>
    <t>PayReceive</t>
  </si>
  <si>
    <t>EUROIS</t>
  </si>
  <si>
    <t>Amount</t>
  </si>
  <si>
    <t>RECEIVE</t>
  </si>
  <si>
    <r>
      <rPr>
        <sz val="14"/>
        <color rgb="FF0000FF"/>
        <rFont val="Calibri"/>
        <family val="2"/>
        <scheme val="minor"/>
      </rPr>
      <t>meLWOFeeLegCreate(</t>
    </r>
    <r>
      <rPr>
        <sz val="14"/>
        <color theme="1"/>
        <rFont val="Calibri"/>
        <family val="2"/>
        <scheme val="minor"/>
      </rPr>
      <t xml:space="preserve"> FeeName, FeeProperties, FeeScheduleLVB, [ ValidateKeys=True ] )</t>
    </r>
  </si>
  <si>
    <t>Create Fee Leg</t>
  </si>
  <si>
    <t>Fee Leg Name</t>
  </si>
  <si>
    <t>Pricing</t>
  </si>
  <si>
    <r>
      <rPr>
        <sz val="11"/>
        <color rgb="FF0000FF"/>
        <rFont val="Calibri"/>
        <family val="2"/>
        <scheme val="minor"/>
      </rPr>
      <t>meLWOLegPV(</t>
    </r>
    <r>
      <rPr>
        <sz val="11"/>
        <color theme="1"/>
        <rFont val="Calibri"/>
        <family val="2"/>
        <scheme val="minor"/>
      </rPr>
      <t xml:space="preserve"> LegName )</t>
    </r>
  </si>
  <si>
    <t>Leg3:FEE</t>
  </si>
  <si>
    <t>ClientFeeLeg</t>
  </si>
  <si>
    <t>Create Swap (No Fee)</t>
  </si>
  <si>
    <t>Create Back to Back Swap</t>
  </si>
  <si>
    <r>
      <rPr>
        <sz val="14"/>
        <color rgb="FF0000FF"/>
        <rFont val="Calibri"/>
        <family val="2"/>
        <scheme val="minor"/>
      </rPr>
      <t>meLWOSwapDisplayCashflows(</t>
    </r>
    <r>
      <rPr>
        <sz val="14"/>
        <color theme="1"/>
        <rFont val="Calibri"/>
        <family val="2"/>
        <scheme val="minor"/>
      </rPr>
      <t xml:space="preserve"> SwapName, LegName, [ ShowColumnHeaders=True ] )</t>
    </r>
  </si>
  <si>
    <t>LegName</t>
  </si>
  <si>
    <t>Leg1:Fixed</t>
  </si>
  <si>
    <t>Leg2:Float</t>
  </si>
  <si>
    <t>Leg3:Fee</t>
  </si>
  <si>
    <t>meLWOSave</t>
  </si>
  <si>
    <t>Fee Leg Properties</t>
  </si>
  <si>
    <t>Fee Schedule</t>
  </si>
  <si>
    <r>
      <rPr>
        <sz val="14"/>
        <color rgb="FF0000FF"/>
        <rFont val="Calibri"/>
        <family val="2"/>
        <scheme val="minor"/>
      </rPr>
      <t>meLWOSwapCreateBackToBack</t>
    </r>
    <r>
      <rPr>
        <sz val="14"/>
        <rFont val="Calibri"/>
        <family val="2"/>
        <scheme val="minor"/>
      </rPr>
      <t>( OriginalSwapName, NewSwapName )</t>
    </r>
  </si>
  <si>
    <t>HedgeSwap5Y</t>
  </si>
  <si>
    <t>Add Fee to Client Swap</t>
  </si>
  <si>
    <t>ClientSwap5Y_NoFee</t>
  </si>
  <si>
    <t>Fee Leg</t>
  </si>
  <si>
    <t>ClientSwap5Y_WithFee</t>
  </si>
  <si>
    <r>
      <rPr>
        <sz val="14"/>
        <color rgb="FF0000FF"/>
        <rFont val="Calibri"/>
        <family val="2"/>
        <scheme val="minor"/>
      </rPr>
      <t>meLWOSwapAddFee(</t>
    </r>
    <r>
      <rPr>
        <sz val="14"/>
        <rFont val="Calibri"/>
        <family val="2"/>
        <scheme val="minor"/>
      </rPr>
      <t xml:space="preserve"> SwapName, FeeName )</t>
    </r>
  </si>
  <si>
    <r>
      <t>meLWOSwapAddFee</t>
    </r>
    <r>
      <rPr>
        <sz val="11"/>
        <rFont val="Calibri"/>
        <family val="2"/>
        <scheme val="minor"/>
      </rPr>
      <t>( SwapName, FeeName )</t>
    </r>
  </si>
  <si>
    <t>Back-to-Back Name ( BtB )</t>
  </si>
  <si>
    <t>Create BtB Swap</t>
  </si>
  <si>
    <t>Original Swap Name</t>
  </si>
  <si>
    <t>Swap List</t>
  </si>
  <si>
    <r>
      <rPr>
        <sz val="11"/>
        <color rgb="FF0000FF"/>
        <rFont val="Calibri"/>
        <family val="2"/>
        <scheme val="minor"/>
      </rPr>
      <t>meLWOList(</t>
    </r>
    <r>
      <rPr>
        <sz val="11"/>
        <color theme="1"/>
        <rFont val="Calibri"/>
        <family val="2"/>
        <scheme val="minor"/>
      </rPr>
      <t xml:space="preserve"> "SWAP" )</t>
    </r>
  </si>
  <si>
    <t>No Fee</t>
  </si>
  <si>
    <t>Leg 1 : Fixed</t>
  </si>
  <si>
    <t>Leg2: Float</t>
  </si>
  <si>
    <t>CreateSwap</t>
  </si>
  <si>
    <t>&lt;&lt;&lt; LVB Input &gt;&gt;&gt;</t>
  </si>
  <si>
    <t>Swap Results</t>
  </si>
  <si>
    <r>
      <t>meLWOSwapCreateFromLegLVBs</t>
    </r>
    <r>
      <rPr>
        <sz val="14"/>
        <rFont val="Calibri"/>
        <family val="2"/>
        <scheme val="minor"/>
      </rPr>
      <t>( SwapName, Leg1LVB, Leg2LVB)</t>
    </r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</si>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</sst>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  <numFmt numFmtId="171" formatCode="ddd\,\ dd\-mmm\-yy"/>
    <numFmt numFmtId="172" formatCode="#,##0.000000"/>
    <numFmt numFmtId="173" formatCode="ddd\,\ d\-mmm\-yy"/>
    <numFmt numFmtId="174" formatCode="0.0000%"/>
    <numFmt numFmtId="175" formatCode="ddd\.\ d\-mmm\-yy"/>
    <numFmt numFmtId="177" formatCode="#,##0.00000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/>
      <diagonal/>
    </border>
    <border>
      <left style="thin">
        <color theme="0" tint="-0.34998626667073579"/>
      </left>
      <right style="dotted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5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3" fontId="0" fillId="0" borderId="0" xfId="0" applyNumberFormat="1"/>
    <xf numFmtId="0" fontId="0" fillId="3" borderId="16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top" wrapText="1"/>
    </xf>
    <xf numFmtId="0" fontId="0" fillId="3" borderId="17" xfId="0" applyNumberFormat="1" applyFill="1" applyBorder="1" applyAlignment="1">
      <alignment horizontal="center" vertical="center" wrapText="1"/>
    </xf>
    <xf numFmtId="0" fontId="0" fillId="3" borderId="18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/>
    </xf>
    <xf numFmtId="165" fontId="6" fillId="0" borderId="22" xfId="0" applyNumberFormat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9" fillId="2" borderId="22" xfId="0" applyFont="1" applyFill="1" applyBorder="1" applyAlignment="1">
      <alignment horizontal="center"/>
    </xf>
    <xf numFmtId="165" fontId="9" fillId="2" borderId="22" xfId="0" applyNumberFormat="1" applyFont="1" applyFill="1" applyBorder="1" applyAlignment="1">
      <alignment horizontal="center"/>
    </xf>
    <xf numFmtId="165" fontId="0" fillId="2" borderId="22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19" xfId="0" applyNumberFormat="1" applyFont="1" applyFill="1" applyBorder="1" applyAlignment="1">
      <alignment horizontal="center" vertical="center"/>
    </xf>
    <xf numFmtId="167" fontId="6" fillId="0" borderId="22" xfId="0" applyNumberFormat="1" applyFont="1" applyFill="1" applyBorder="1" applyAlignment="1">
      <alignment horizontal="center" vertical="center"/>
    </xf>
    <xf numFmtId="4" fontId="9" fillId="2" borderId="22" xfId="0" applyNumberFormat="1" applyFont="1" applyFill="1" applyBorder="1" applyAlignment="1">
      <alignment horizontal="center" vertical="center"/>
    </xf>
    <xf numFmtId="167" fontId="9" fillId="3" borderId="20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 vertical="center"/>
    </xf>
    <xf numFmtId="169" fontId="9" fillId="2" borderId="19" xfId="0" applyNumberFormat="1" applyFont="1" applyFill="1" applyBorder="1" applyAlignment="1">
      <alignment horizontal="center"/>
    </xf>
    <xf numFmtId="167" fontId="9" fillId="3" borderId="21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0" fontId="0" fillId="3" borderId="18" xfId="0" applyNumberFormat="1" applyFill="1" applyBorder="1" applyAlignment="1">
      <alignment horizontal="center" vertical="top" wrapText="1"/>
    </xf>
    <xf numFmtId="0" fontId="0" fillId="3" borderId="16" xfId="0" applyNumberFormat="1" applyFill="1" applyBorder="1" applyAlignment="1">
      <alignment horizontal="center" vertical="center" wrapText="1"/>
    </xf>
    <xf numFmtId="169" fontId="9" fillId="3" borderId="20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5" fillId="0" borderId="15" xfId="0" applyFont="1" applyBorder="1"/>
    <xf numFmtId="172" fontId="9" fillId="2" borderId="0" xfId="0" applyNumberFormat="1" applyFont="1" applyFill="1" applyBorder="1" applyAlignment="1">
      <alignment horizontal="center" vertical="center"/>
    </xf>
    <xf numFmtId="172" fontId="9" fillId="2" borderId="12" xfId="0" applyNumberFormat="1" applyFont="1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23" fillId="0" borderId="0" xfId="0" applyFont="1"/>
    <xf numFmtId="3" fontId="9" fillId="2" borderId="0" xfId="0" applyNumberFormat="1" applyFont="1" applyFill="1" applyBorder="1" applyAlignment="1">
      <alignment horizontal="center" vertical="center"/>
    </xf>
    <xf numFmtId="173" fontId="0" fillId="4" borderId="15" xfId="0" applyNumberFormat="1" applyFill="1" applyBorder="1" applyAlignment="1">
      <alignment horizontal="center" vertical="center"/>
    </xf>
    <xf numFmtId="0" fontId="0" fillId="2" borderId="15" xfId="0" applyFill="1" applyBorder="1"/>
    <xf numFmtId="0" fontId="6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0" fillId="0" borderId="0" xfId="0" applyFont="1"/>
    <xf numFmtId="0" fontId="9" fillId="2" borderId="10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13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2" borderId="1" xfId="0" applyNumberForma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center" vertical="center"/>
    </xf>
    <xf numFmtId="0" fontId="0" fillId="2" borderId="4" xfId="0" applyNumberFormat="1" applyFill="1" applyBorder="1" applyAlignment="1">
      <alignment horizontal="center" vertical="center" wrapText="1"/>
    </xf>
    <xf numFmtId="3" fontId="6" fillId="5" borderId="4" xfId="0" applyNumberFormat="1" applyFont="1" applyFill="1" applyBorder="1" applyAlignment="1">
      <alignment horizontal="center" vertical="center"/>
    </xf>
    <xf numFmtId="167" fontId="6" fillId="5" borderId="4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0" fontId="6" fillId="5" borderId="4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4" fontId="6" fillId="5" borderId="4" xfId="0" applyNumberFormat="1" applyFont="1" applyFill="1" applyBorder="1" applyAlignment="1">
      <alignment horizontal="center" vertical="center"/>
    </xf>
    <xf numFmtId="0" fontId="6" fillId="5" borderId="4" xfId="0" quotePrefix="1" applyFont="1" applyFill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 wrapText="1"/>
    </xf>
    <xf numFmtId="0" fontId="6" fillId="5" borderId="11" xfId="0" quotePrefix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4" fontId="9" fillId="0" borderId="4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/>
    </xf>
    <xf numFmtId="164" fontId="9" fillId="2" borderId="0" xfId="0" applyNumberFormat="1" applyFont="1" applyFill="1" applyBorder="1" applyAlignment="1">
      <alignment horizontal="center" vertical="center"/>
    </xf>
    <xf numFmtId="164" fontId="9" fillId="2" borderId="12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3" fontId="0" fillId="5" borderId="0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3" fontId="0" fillId="5" borderId="12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7" fillId="0" borderId="0" xfId="0" applyFont="1"/>
    <xf numFmtId="171" fontId="0" fillId="5" borderId="9" xfId="0" applyNumberFormat="1" applyFill="1" applyBorder="1" applyAlignment="1">
      <alignment horizontal="center"/>
    </xf>
    <xf numFmtId="171" fontId="0" fillId="5" borderId="14" xfId="0" applyNumberFormat="1" applyFill="1" applyBorder="1" applyAlignment="1">
      <alignment horizontal="center"/>
    </xf>
    <xf numFmtId="0" fontId="9" fillId="0" borderId="1" xfId="0" applyFont="1" applyBorder="1"/>
    <xf numFmtId="0" fontId="9" fillId="0" borderId="11" xfId="0" applyFont="1" applyBorder="1"/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 applyAlignment="1">
      <alignment horizontal="center" vertical="center"/>
    </xf>
    <xf numFmtId="175" fontId="9" fillId="2" borderId="9" xfId="0" applyNumberFormat="1" applyFont="1" applyFill="1" applyBorder="1" applyAlignment="1">
      <alignment horizontal="center" vertical="center"/>
    </xf>
    <xf numFmtId="175" fontId="9" fillId="2" borderId="0" xfId="0" applyNumberFormat="1" applyFont="1" applyFill="1" applyBorder="1" applyAlignment="1">
      <alignment horizontal="center" vertical="center"/>
    </xf>
    <xf numFmtId="175" fontId="9" fillId="2" borderId="14" xfId="0" applyNumberFormat="1" applyFont="1" applyFill="1" applyBorder="1" applyAlignment="1">
      <alignment horizontal="center" vertical="center"/>
    </xf>
    <xf numFmtId="175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8" fontId="9" fillId="2" borderId="1" xfId="0" applyNumberFormat="1" applyFont="1" applyFill="1" applyBorder="1" applyAlignment="1">
      <alignment horizontal="center" vertical="center"/>
    </xf>
    <xf numFmtId="168" fontId="9" fillId="2" borderId="4" xfId="0" applyNumberFormat="1" applyFont="1" applyFill="1" applyBorder="1" applyAlignment="1">
      <alignment horizontal="center" vertical="center"/>
    </xf>
    <xf numFmtId="168" fontId="9" fillId="2" borderId="1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5" borderId="4" xfId="0" applyNumberFormat="1" applyFill="1" applyBorder="1" applyAlignment="1">
      <alignment horizontal="center" vertical="center"/>
    </xf>
    <xf numFmtId="174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6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6" fontId="6" fillId="0" borderId="22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6" xfId="0" applyNumberFormat="1" applyFill="1" applyBorder="1" applyAlignment="1">
      <alignment horizontal="center" vertical="top" wrapText="1"/>
    </xf>
    <xf numFmtId="0" fontId="0" fillId="2" borderId="17" xfId="0" applyNumberFormat="1" applyFill="1" applyBorder="1" applyAlignment="1">
      <alignment horizontal="center" vertical="top" wrapText="1"/>
    </xf>
    <xf numFmtId="0" fontId="0" fillId="2" borderId="18" xfId="0" applyNumberFormat="1" applyFill="1" applyBorder="1" applyAlignment="1">
      <alignment horizontal="center" vertical="top" wrapText="1"/>
    </xf>
    <xf numFmtId="167" fontId="0" fillId="0" borderId="24" xfId="0" quotePrefix="1" applyNumberFormat="1" applyFon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/>
    </xf>
    <xf numFmtId="165" fontId="6" fillId="0" borderId="24" xfId="0" applyNumberFormat="1" applyFont="1" applyFill="1" applyBorder="1" applyAlignment="1">
      <alignment horizontal="center" vertical="center"/>
    </xf>
    <xf numFmtId="10" fontId="6" fillId="0" borderId="24" xfId="0" applyNumberFormat="1" applyFont="1" applyFill="1" applyBorder="1" applyAlignment="1">
      <alignment horizontal="center" vertical="center"/>
    </xf>
    <xf numFmtId="166" fontId="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7" fontId="0" fillId="0" borderId="22" xfId="0" quotePrefix="1" applyNumberFormat="1" applyFont="1" applyFill="1" applyBorder="1" applyAlignment="1">
      <alignment horizontal="center" vertical="center"/>
    </xf>
    <xf numFmtId="3" fontId="0" fillId="0" borderId="22" xfId="0" applyNumberForma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/>
    </xf>
    <xf numFmtId="167" fontId="9" fillId="2" borderId="26" xfId="0" applyNumberFormat="1" applyFont="1" applyFill="1" applyBorder="1" applyAlignment="1">
      <alignment horizontal="center" vertical="center"/>
    </xf>
    <xf numFmtId="167" fontId="9" fillId="2" borderId="27" xfId="0" applyNumberFormat="1" applyFont="1" applyFill="1" applyBorder="1" applyAlignment="1">
      <alignment horizontal="center" vertical="center"/>
    </xf>
    <xf numFmtId="167" fontId="9" fillId="2" borderId="28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3" fontId="9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4" fontId="9" fillId="0" borderId="2" xfId="0" applyNumberFormat="1" applyFont="1" applyBorder="1" applyAlignment="1">
      <alignment horizontal="left" vertical="center"/>
    </xf>
    <xf numFmtId="10" fontId="9" fillId="0" borderId="2" xfId="0" applyNumberFormat="1" applyFont="1" applyBorder="1" applyAlignment="1">
      <alignment horizontal="left" vertical="center"/>
    </xf>
    <xf numFmtId="15" fontId="9" fillId="0" borderId="2" xfId="0" applyNumberFormat="1" applyFont="1" applyBorder="1" applyAlignment="1">
      <alignment horizontal="left" vertical="center"/>
    </xf>
    <xf numFmtId="165" fontId="9" fillId="0" borderId="2" xfId="0" applyNumberFormat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3" fontId="9" fillId="0" borderId="0" xfId="0" applyNumberFormat="1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4" fontId="9" fillId="0" borderId="0" xfId="0" applyNumberFormat="1" applyFont="1" applyBorder="1" applyAlignment="1">
      <alignment horizontal="left" vertical="center"/>
    </xf>
    <xf numFmtId="10" fontId="9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left" vertical="center"/>
    </xf>
    <xf numFmtId="165" fontId="9" fillId="0" borderId="0" xfId="0" applyNumberFormat="1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3" fontId="9" fillId="0" borderId="12" xfId="0" applyNumberFormat="1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4" fontId="9" fillId="0" borderId="12" xfId="0" applyNumberFormat="1" applyFont="1" applyBorder="1" applyAlignment="1">
      <alignment horizontal="left" vertical="center"/>
    </xf>
    <xf numFmtId="10" fontId="9" fillId="0" borderId="12" xfId="0" applyNumberFormat="1" applyFont="1" applyBorder="1" applyAlignment="1">
      <alignment horizontal="left" vertical="center"/>
    </xf>
    <xf numFmtId="15" fontId="9" fillId="0" borderId="12" xfId="0" applyNumberFormat="1" applyFont="1" applyBorder="1" applyAlignment="1">
      <alignment horizontal="left" vertical="center"/>
    </xf>
    <xf numFmtId="165" fontId="9" fillId="0" borderId="12" xfId="0" applyNumberFormat="1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166" fontId="9" fillId="0" borderId="2" xfId="0" applyNumberFormat="1" applyFont="1" applyBorder="1" applyAlignment="1">
      <alignment horizontal="left" vertical="center"/>
    </xf>
    <xf numFmtId="167" fontId="9" fillId="0" borderId="2" xfId="0" applyNumberFormat="1" applyFont="1" applyBorder="1" applyAlignment="1">
      <alignment horizontal="left" vertical="center"/>
    </xf>
    <xf numFmtId="166" fontId="9" fillId="0" borderId="0" xfId="0" applyNumberFormat="1" applyFont="1" applyBorder="1" applyAlignment="1">
      <alignment horizontal="left" vertical="center"/>
    </xf>
    <xf numFmtId="167" fontId="9" fillId="0" borderId="0" xfId="0" applyNumberFormat="1" applyFont="1" applyBorder="1" applyAlignment="1">
      <alignment horizontal="left" vertical="center"/>
    </xf>
    <xf numFmtId="166" fontId="9" fillId="0" borderId="12" xfId="0" applyNumberFormat="1" applyFont="1" applyBorder="1" applyAlignment="1">
      <alignment horizontal="left" vertical="center"/>
    </xf>
    <xf numFmtId="167" fontId="9" fillId="0" borderId="12" xfId="0" applyNumberFormat="1" applyFont="1" applyBorder="1" applyAlignment="1">
      <alignment horizontal="left" vertical="center"/>
    </xf>
    <xf numFmtId="0" fontId="9" fillId="2" borderId="6" xfId="0" applyFont="1" applyFill="1" applyBorder="1" applyAlignment="1">
      <alignment horizontal="left" vertical="center"/>
    </xf>
    <xf numFmtId="0" fontId="9" fillId="2" borderId="7" xfId="0" applyFont="1" applyFill="1" applyBorder="1" applyAlignment="1">
      <alignment horizontal="left" vertical="center"/>
    </xf>
    <xf numFmtId="0" fontId="9" fillId="2" borderId="8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3" xfId="0" applyNumberFormat="1" applyFont="1" applyFill="1" applyBorder="1" applyAlignment="1">
      <alignment horizontal="center" vertical="center"/>
    </xf>
    <xf numFmtId="165" fontId="9" fillId="2" borderId="10" xfId="0" applyNumberFormat="1" applyFont="1" applyFill="1" applyBorder="1" applyAlignment="1">
      <alignment horizontal="center" vertical="center"/>
    </xf>
    <xf numFmtId="165" fontId="9" fillId="2" borderId="13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69" fontId="9" fillId="2" borderId="11" xfId="0" applyNumberFormat="1" applyFont="1" applyFill="1" applyBorder="1" applyAlignment="1">
      <alignment horizontal="center" vertical="center"/>
    </xf>
    <xf numFmtId="0" fontId="25" fillId="0" borderId="0" xfId="0" applyFont="1"/>
    <xf numFmtId="0" fontId="24" fillId="0" borderId="0" xfId="0" applyFont="1"/>
    <xf numFmtId="0" fontId="23" fillId="0" borderId="0" xfId="0" applyFont="1" applyAlignment="1">
      <alignment horizontal="left" vertical="center"/>
    </xf>
    <xf numFmtId="4" fontId="9" fillId="2" borderId="4" xfId="0" applyNumberFormat="1" applyFont="1" applyFill="1" applyBorder="1" applyAlignment="1">
      <alignment horizontal="center" vertical="center"/>
    </xf>
    <xf numFmtId="4" fontId="9" fillId="2" borderId="11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4" borderId="15" xfId="0" applyFont="1" applyFill="1" applyBorder="1" applyAlignment="1">
      <alignment horizontal="left" vertical="center"/>
    </xf>
    <xf numFmtId="0" fontId="6" fillId="0" borderId="4" xfId="0" applyFont="1" applyBorder="1"/>
    <xf numFmtId="168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9" fillId="2" borderId="0" xfId="0" applyFont="1" applyFill="1" applyBorder="1"/>
    <xf numFmtId="0" fontId="9" fillId="2" borderId="10" xfId="0" applyFont="1" applyFill="1" applyBorder="1"/>
    <xf numFmtId="0" fontId="9" fillId="2" borderId="12" xfId="0" applyFont="1" applyFill="1" applyBorder="1"/>
    <xf numFmtId="0" fontId="9" fillId="2" borderId="13" xfId="0" applyFont="1" applyFill="1" applyBorder="1"/>
    <xf numFmtId="177" fontId="9" fillId="2" borderId="0" xfId="0" applyNumberFormat="1" applyFont="1" applyFill="1" applyBorder="1" applyAlignment="1">
      <alignment horizontal="center" vertical="center"/>
    </xf>
    <xf numFmtId="177" fontId="9" fillId="2" borderId="12" xfId="0" applyNumberFormat="1" applyFont="1" applyFill="1" applyBorder="1" applyAlignment="1">
      <alignment horizontal="center" vertical="center"/>
    </xf>
    <xf numFmtId="174" fontId="9" fillId="2" borderId="0" xfId="0" applyNumberFormat="1" applyFont="1" applyFill="1" applyBorder="1" applyAlignment="1">
      <alignment horizontal="center" vertical="center"/>
    </xf>
    <xf numFmtId="174" fontId="9" fillId="2" borderId="12" xfId="0" applyNumberFormat="1" applyFont="1" applyFill="1" applyBorder="1" applyAlignment="1">
      <alignment horizontal="center" vertical="center"/>
    </xf>
    <xf numFmtId="3" fontId="9" fillId="2" borderId="3" xfId="0" applyNumberFormat="1" applyFont="1" applyFill="1" applyBorder="1" applyAlignment="1">
      <alignment horizontal="center" vertical="center"/>
    </xf>
    <xf numFmtId="4" fontId="9" fillId="2" borderId="2" xfId="0" applyNumberFormat="1" applyFont="1" applyFill="1" applyBorder="1"/>
    <xf numFmtId="172" fontId="9" fillId="2" borderId="2" xfId="0" applyNumberFormat="1" applyFont="1" applyFill="1" applyBorder="1" applyAlignment="1">
      <alignment horizontal="center" vertical="center"/>
    </xf>
    <xf numFmtId="165" fontId="9" fillId="2" borderId="2" xfId="0" applyNumberFormat="1" applyFont="1" applyFill="1" applyBorder="1"/>
    <xf numFmtId="177" fontId="9" fillId="2" borderId="2" xfId="0" applyNumberFormat="1" applyFont="1" applyFill="1" applyBorder="1"/>
    <xf numFmtId="3" fontId="9" fillId="2" borderId="2" xfId="0" applyNumberFormat="1" applyFont="1" applyFill="1" applyBorder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339966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81" t="s">
        <v>208</v>
      </c>
    </row>
    <row r="3" spans="2:3" x14ac:dyDescent="0.25">
      <c r="B3" s="188" t="s">
        <v>10</v>
      </c>
      <c r="C3" s="187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49" t="s">
        <v>217</v>
      </c>
    </row>
    <row r="3" spans="2:14" x14ac:dyDescent="0.25">
      <c r="B3" s="61"/>
    </row>
    <row r="4" spans="2:14" x14ac:dyDescent="0.25">
      <c r="B4" s="61"/>
    </row>
    <row r="5" spans="2:14" x14ac:dyDescent="0.25">
      <c r="B5" s="145" t="s">
        <v>168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46" t="s">
        <v>168</v>
      </c>
      <c r="D7" s="177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EUROIS_19FEB16:0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08" t="s">
        <v>145</v>
      </c>
      <c r="D8" s="109" t="b">
        <f ca="1">_xll.meLWOExists(D7,"CURVE")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144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135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219</v>
      </c>
      <c r="D46" s="35" t="s">
        <v>220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221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47" t="s">
        <v>218</v>
      </c>
    </row>
    <row r="6" spans="2:12" x14ac:dyDescent="0.25">
      <c r="B6" s="148" t="s">
        <v>169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78" t="s">
        <v>169</v>
      </c>
      <c r="D8" s="177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EUR6ML_19FEB16:0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08" t="s">
        <v>145</v>
      </c>
      <c r="D9" s="150" t="b">
        <f ca="1">_xll.meLWOExists(D8,"CURVE")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129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202</v>
      </c>
      <c r="D37" s="10"/>
      <c r="E37" s="10"/>
      <c r="F37" s="49" t="s">
        <v>103</v>
      </c>
      <c r="G37" s="10"/>
      <c r="H37" s="10"/>
      <c r="I37" s="49" t="s">
        <v>201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141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139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142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136</v>
      </c>
      <c r="G50" s="10"/>
      <c r="H50" s="10"/>
      <c r="I50" s="49" t="s">
        <v>137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124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138</v>
      </c>
      <c r="G72" s="93" t="s">
        <v>13</v>
      </c>
      <c r="H72" s="93" t="s">
        <v>14</v>
      </c>
      <c r="I72" s="93" t="s">
        <v>12</v>
      </c>
      <c r="J72" s="93" t="s">
        <v>123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125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126</v>
      </c>
      <c r="D92" s="10"/>
      <c r="E92" s="10"/>
      <c r="F92" s="49" t="s">
        <v>127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128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130</v>
      </c>
      <c r="D97" s="35" t="s">
        <v>129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131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203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132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133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134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135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6600"/>
  </sheetPr>
  <dimension ref="A1:AU37"/>
  <sheetViews>
    <sheetView showGridLines="0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14.4257812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7" hidden="1" customWidth="1"/>
    <col min="39" max="39" width="13" hidden="1" customWidth="1"/>
    <col min="40" max="40" width="10.5703125" hidden="1" customWidth="1"/>
    <col min="41" max="41" width="17.5703125" customWidth="1"/>
    <col min="42" max="42" width="17" customWidth="1"/>
    <col min="43" max="43" width="13.42578125" customWidth="1"/>
    <col min="45" max="47" width="15.7109375" customWidth="1"/>
  </cols>
  <sheetData>
    <row r="1" spans="1:47" x14ac:dyDescent="0.25">
      <c r="A1" s="112"/>
      <c r="B1" s="112"/>
    </row>
    <row r="2" spans="1:47" ht="23.25" x14ac:dyDescent="0.35">
      <c r="B2" s="113" t="s">
        <v>151</v>
      </c>
      <c r="C2" s="113"/>
      <c r="L2" s="113"/>
      <c r="AO2" s="114" t="s">
        <v>152</v>
      </c>
      <c r="AP2" s="340">
        <f ca="1">SUM($AP$6:$AP$25)</f>
        <v>-312916.47953635454</v>
      </c>
      <c r="AQ2" s="341"/>
      <c r="AS2" s="113" t="s">
        <v>166</v>
      </c>
    </row>
    <row r="3" spans="1:47" x14ac:dyDescent="0.25">
      <c r="AO3" s="111"/>
      <c r="AP3" s="342"/>
      <c r="AQ3" s="341"/>
    </row>
    <row r="4" spans="1:47" x14ac:dyDescent="0.25">
      <c r="AO4" s="151"/>
      <c r="AP4" s="203"/>
      <c r="AQ4" s="115"/>
    </row>
    <row r="5" spans="1:47" ht="33" customHeight="1" x14ac:dyDescent="0.25">
      <c r="B5" s="116" t="s">
        <v>172</v>
      </c>
      <c r="C5" s="117" t="s">
        <v>173</v>
      </c>
      <c r="D5" s="117" t="s">
        <v>16</v>
      </c>
      <c r="E5" s="117" t="s">
        <v>186</v>
      </c>
      <c r="F5" s="117" t="s">
        <v>200</v>
      </c>
      <c r="G5" s="117" t="s">
        <v>174</v>
      </c>
      <c r="H5" s="117" t="s">
        <v>199</v>
      </c>
      <c r="I5" s="117" t="s">
        <v>153</v>
      </c>
      <c r="J5" s="117" t="s">
        <v>147</v>
      </c>
      <c r="K5" s="117" t="s">
        <v>170</v>
      </c>
      <c r="L5" s="116" t="s">
        <v>172</v>
      </c>
      <c r="M5" s="117" t="s">
        <v>171</v>
      </c>
      <c r="N5" s="117" t="s">
        <v>177</v>
      </c>
      <c r="O5" s="117" t="s">
        <v>178</v>
      </c>
      <c r="P5" s="117" t="s">
        <v>179</v>
      </c>
      <c r="Q5" s="117" t="s">
        <v>180</v>
      </c>
      <c r="R5" s="117" t="s">
        <v>181</v>
      </c>
      <c r="S5" s="117" t="s">
        <v>182</v>
      </c>
      <c r="T5" s="117" t="s">
        <v>183</v>
      </c>
      <c r="U5" s="117" t="s">
        <v>184</v>
      </c>
      <c r="V5" s="117" t="s">
        <v>185</v>
      </c>
      <c r="W5" s="117" t="s">
        <v>175</v>
      </c>
      <c r="X5" s="117" t="s">
        <v>187</v>
      </c>
      <c r="Y5" s="117" t="s">
        <v>188</v>
      </c>
      <c r="Z5" s="117" t="s">
        <v>189</v>
      </c>
      <c r="AA5" s="117" t="s">
        <v>190</v>
      </c>
      <c r="AB5" s="117" t="s">
        <v>191</v>
      </c>
      <c r="AC5" s="117" t="s">
        <v>192</v>
      </c>
      <c r="AD5" s="117" t="s">
        <v>193</v>
      </c>
      <c r="AE5" s="117" t="s">
        <v>194</v>
      </c>
      <c r="AF5" s="117" t="s">
        <v>176</v>
      </c>
      <c r="AG5" s="117" t="s">
        <v>195</v>
      </c>
      <c r="AH5" s="117" t="s">
        <v>196</v>
      </c>
      <c r="AI5" s="117" t="s">
        <v>197</v>
      </c>
      <c r="AJ5" s="117" t="s">
        <v>88</v>
      </c>
      <c r="AK5" s="117" t="s">
        <v>198</v>
      </c>
      <c r="AL5" s="117" t="s">
        <v>131</v>
      </c>
      <c r="AM5" s="117" t="s">
        <v>199</v>
      </c>
      <c r="AN5" s="170" t="s">
        <v>174</v>
      </c>
      <c r="AO5" s="171" t="s">
        <v>154</v>
      </c>
      <c r="AP5" s="118" t="s">
        <v>155</v>
      </c>
      <c r="AQ5" s="119" t="s">
        <v>156</v>
      </c>
      <c r="AR5" t="s">
        <v>4</v>
      </c>
      <c r="AS5" s="141" t="str">
        <f t="array" ref="AS5:AT22">'EUR SWAP 6ML'!F93:G111</f>
        <v>Term</v>
      </c>
      <c r="AT5" s="143" t="str">
        <v>Rate</v>
      </c>
      <c r="AU5" s="142" t="s">
        <v>167</v>
      </c>
    </row>
    <row r="6" spans="1:47" x14ac:dyDescent="0.25">
      <c r="A6" s="120">
        <v>1</v>
      </c>
      <c r="B6" s="165">
        <f ca="1">IF(NOW(),_xll.meDateFromTenor(COB,$C6,$P6,$Q6))</f>
        <v>42423</v>
      </c>
      <c r="C6" s="174" t="s">
        <v>157</v>
      </c>
      <c r="D6" s="152" t="s">
        <v>17</v>
      </c>
      <c r="E6" s="124" t="s">
        <v>158</v>
      </c>
      <c r="F6" s="124" t="s">
        <v>140</v>
      </c>
      <c r="G6" s="124">
        <v>0.01</v>
      </c>
      <c r="H6" s="263">
        <v>0</v>
      </c>
      <c r="I6" s="153" t="s">
        <v>159</v>
      </c>
      <c r="J6" s="152">
        <v>1000000</v>
      </c>
      <c r="K6" s="123" t="s">
        <v>148</v>
      </c>
      <c r="L6" s="165">
        <f ca="1">B6</f>
        <v>42423</v>
      </c>
      <c r="M6" s="158" t="str">
        <f>F6</f>
        <v>1Y</v>
      </c>
      <c r="N6" s="110" t="s">
        <v>26</v>
      </c>
      <c r="O6" s="154" t="s">
        <v>20</v>
      </c>
      <c r="P6" s="110" t="s">
        <v>22</v>
      </c>
      <c r="Q6" s="110" t="s">
        <v>2</v>
      </c>
      <c r="R6" s="155"/>
      <c r="S6" s="155"/>
      <c r="T6" s="156">
        <f t="shared" ref="T6:T25" ca="1" si="0">IF($L6="","",DAY($L6))</f>
        <v>23</v>
      </c>
      <c r="U6" s="157" t="s">
        <v>149</v>
      </c>
      <c r="V6" s="154" t="s">
        <v>150</v>
      </c>
      <c r="W6" s="126" t="str">
        <f t="shared" ref="W6:W25" si="1">$D6&amp;$E6</f>
        <v>EUR6ML</v>
      </c>
      <c r="X6" s="156" t="str">
        <f t="shared" ref="X6:X25" si="2">IF($E6="1ML","Monthly",IF($E6="3ML","Quarterly",IF($E6="6ML","Semi-Annual","Annual")))</f>
        <v>Semi-Annual</v>
      </c>
      <c r="Y6" s="154" t="s">
        <v>6</v>
      </c>
      <c r="Z6" s="110" t="s">
        <v>22</v>
      </c>
      <c r="AA6" s="110" t="s">
        <v>2</v>
      </c>
      <c r="AB6" s="155"/>
      <c r="AC6" s="155"/>
      <c r="AD6" s="156">
        <f t="shared" ref="AD6:AD25" ca="1" si="3">IF($L6="","",DAY($L6))</f>
        <v>23</v>
      </c>
      <c r="AE6" s="157" t="s">
        <v>149</v>
      </c>
      <c r="AF6" s="158" t="s">
        <v>37</v>
      </c>
      <c r="AG6" s="159"/>
      <c r="AH6" s="157" t="s">
        <v>149</v>
      </c>
      <c r="AI6" s="154" t="s">
        <v>150</v>
      </c>
      <c r="AJ6" s="155" t="str">
        <f t="shared" ref="AJ6:AJ25" si="4">D6&amp;"YC"</f>
        <v>EURYC</v>
      </c>
      <c r="AK6" s="126" t="str">
        <f t="shared" ref="AK6:AK25" si="5">LEFT(AJ6,3)&amp;"DF_"&amp;I6</f>
        <v>EURDF_NOCSA</v>
      </c>
      <c r="AL6" s="125" t="s">
        <v>146</v>
      </c>
      <c r="AM6" s="160">
        <f t="shared" ref="AM6:AM25" si="6">H6</f>
        <v>0</v>
      </c>
      <c r="AN6" s="166">
        <f t="shared" ref="AN6:AN25" si="7">G6</f>
        <v>0.01</v>
      </c>
      <c r="AO6" s="172">
        <f ca="1">IF(NOW(),_xll.meProductSwapParRate(_xll.meUtilityLVBFromKeysValues($L$5:$AM$5,$L6:$AM6),FALSE))</f>
        <v>-1.3969484986246625E-3</v>
      </c>
      <c r="AP6" s="161">
        <f ca="1">IF(NOW(),_xll.meProductSwapPV(_xll.meUtilityLVBFromKeysValues($J$5:$AN$5,$J6:$AN6),FALSE))</f>
        <v>-11440.174035374805</v>
      </c>
      <c r="AQ6" s="162">
        <f ca="1">IF(NOW(),_xll.meProductSwapPV01(_xll.meUtilityLVBFromKeysValues($J$5:$AL$5,$J6:$AL6),FALSE))</f>
        <v>100.37927289708608</v>
      </c>
      <c r="AR6" t="s">
        <v>4</v>
      </c>
      <c r="AS6" s="137" t="str">
        <v>2Y</v>
      </c>
      <c r="AT6" s="139">
        <v>-1.33E-3</v>
      </c>
      <c r="AU6" s="144">
        <f t="shared" ref="AU6:AU25" ca="1" si="8">IF(ISNA(VLOOKUP(AS6,$M$6:$AO$25,29,0)),"-",(VLOOKUP(AS6,$M$6:$AO$25,29,0)-AT6)*10000)</f>
        <v>6.9651099124379279E-10</v>
      </c>
    </row>
    <row r="7" spans="1:47" x14ac:dyDescent="0.25">
      <c r="A7" s="120">
        <v>2</v>
      </c>
      <c r="B7" s="165">
        <f ca="1">IF(NOW(),_xll.meDateFromTenor(COB,$C7,$P7,$Q7))</f>
        <v>42423</v>
      </c>
      <c r="C7" s="121" t="s">
        <v>157</v>
      </c>
      <c r="D7" s="122" t="s">
        <v>17</v>
      </c>
      <c r="E7" s="124" t="s">
        <v>158</v>
      </c>
      <c r="F7" s="124" t="s">
        <v>47</v>
      </c>
      <c r="G7" s="124">
        <v>0.01</v>
      </c>
      <c r="H7" s="263">
        <v>0</v>
      </c>
      <c r="I7" s="153" t="s">
        <v>159</v>
      </c>
      <c r="J7" s="122">
        <v>1000000</v>
      </c>
      <c r="K7" s="123" t="s">
        <v>148</v>
      </c>
      <c r="L7" s="165">
        <f t="shared" ref="L7:L25" ca="1" si="9">B7</f>
        <v>42423</v>
      </c>
      <c r="M7" s="156" t="str">
        <f t="shared" ref="M7:M25" si="10">F7</f>
        <v>2Y</v>
      </c>
      <c r="N7" s="110" t="s">
        <v>26</v>
      </c>
      <c r="O7" s="110" t="s">
        <v>20</v>
      </c>
      <c r="P7" s="110" t="s">
        <v>22</v>
      </c>
      <c r="Q7" s="110" t="s">
        <v>2</v>
      </c>
      <c r="R7" s="125"/>
      <c r="S7" s="125"/>
      <c r="T7" s="126">
        <f t="shared" ca="1" si="0"/>
        <v>23</v>
      </c>
      <c r="U7" s="125" t="s">
        <v>149</v>
      </c>
      <c r="V7" s="125" t="s">
        <v>150</v>
      </c>
      <c r="W7" s="126" t="str">
        <f t="shared" si="1"/>
        <v>EUR6ML</v>
      </c>
      <c r="X7" s="126" t="str">
        <f t="shared" si="2"/>
        <v>Semi-Annual</v>
      </c>
      <c r="Y7" s="125" t="s">
        <v>6</v>
      </c>
      <c r="Z7" s="125" t="s">
        <v>22</v>
      </c>
      <c r="AA7" s="125" t="s">
        <v>2</v>
      </c>
      <c r="AB7" s="125"/>
      <c r="AC7" s="125"/>
      <c r="AD7" s="126">
        <f t="shared" ca="1" si="3"/>
        <v>23</v>
      </c>
      <c r="AE7" s="125" t="s">
        <v>149</v>
      </c>
      <c r="AF7" s="127" t="s">
        <v>37</v>
      </c>
      <c r="AG7" s="128"/>
      <c r="AH7" s="125" t="s">
        <v>149</v>
      </c>
      <c r="AI7" s="125" t="s">
        <v>150</v>
      </c>
      <c r="AJ7" s="126" t="str">
        <f t="shared" si="4"/>
        <v>EURYC</v>
      </c>
      <c r="AK7" s="126" t="str">
        <f t="shared" si="5"/>
        <v>EURDF_NOCSA</v>
      </c>
      <c r="AL7" s="125" t="s">
        <v>146</v>
      </c>
      <c r="AM7" s="160">
        <f t="shared" si="6"/>
        <v>0</v>
      </c>
      <c r="AN7" s="166">
        <f t="shared" si="7"/>
        <v>0.01</v>
      </c>
      <c r="AO7" s="172">
        <f ca="1">IF(NOW(),_xll.meProductSwapParRate(_xll.meUtilityLVBFromKeysValues($L$5:$AM$5,$L7:$AM7),FALSE))</f>
        <v>-1.3299999999303489E-3</v>
      </c>
      <c r="AP7" s="161">
        <f ca="1">IF(NOW(),_xll.meProductSwapPV(_xll.meUtilityLVBFromKeysValues($J$5:$AN$5,$J7:$AN7),FALSE))</f>
        <v>-22790.510195972023</v>
      </c>
      <c r="AQ7" s="162">
        <f ca="1">IF(NOW(),_xll.meProductSwapPV01(_xll.meUtilityLVBFromKeysValues($J$5:$AL$5,$J7:$AL7),FALSE))</f>
        <v>201.15189934785636</v>
      </c>
      <c r="AR7" t="s">
        <v>4</v>
      </c>
      <c r="AS7" s="137" t="str">
        <v>3Y</v>
      </c>
      <c r="AT7" s="139">
        <v>-8.699999999999999E-4</v>
      </c>
      <c r="AU7" s="144">
        <f t="shared" ca="1" si="8"/>
        <v>2.3835372694666623E-8</v>
      </c>
    </row>
    <row r="8" spans="1:47" x14ac:dyDescent="0.25">
      <c r="A8" s="120">
        <v>3</v>
      </c>
      <c r="B8" s="165">
        <f ca="1">IF(NOW(),_xll.meDateFromTenor(COB,$C8,$P8,$Q8))</f>
        <v>42423</v>
      </c>
      <c r="C8" s="121" t="s">
        <v>157</v>
      </c>
      <c r="D8" s="122" t="s">
        <v>17</v>
      </c>
      <c r="E8" s="124" t="s">
        <v>158</v>
      </c>
      <c r="F8" s="124" t="s">
        <v>43</v>
      </c>
      <c r="G8" s="124">
        <v>0.01</v>
      </c>
      <c r="H8" s="263">
        <v>0</v>
      </c>
      <c r="I8" s="153" t="s">
        <v>159</v>
      </c>
      <c r="J8" s="122">
        <v>1000000</v>
      </c>
      <c r="K8" s="123" t="s">
        <v>148</v>
      </c>
      <c r="L8" s="165">
        <f t="shared" ca="1" si="9"/>
        <v>42423</v>
      </c>
      <c r="M8" s="156" t="str">
        <f t="shared" si="10"/>
        <v>3Y</v>
      </c>
      <c r="N8" s="110" t="s">
        <v>26</v>
      </c>
      <c r="O8" s="110" t="s">
        <v>20</v>
      </c>
      <c r="P8" s="110" t="s">
        <v>22</v>
      </c>
      <c r="Q8" s="110" t="s">
        <v>2</v>
      </c>
      <c r="R8" s="125"/>
      <c r="S8" s="125"/>
      <c r="T8" s="126">
        <f t="shared" ca="1" si="0"/>
        <v>23</v>
      </c>
      <c r="U8" s="125" t="s">
        <v>149</v>
      </c>
      <c r="V8" s="125" t="s">
        <v>150</v>
      </c>
      <c r="W8" s="126" t="str">
        <f t="shared" si="1"/>
        <v>EUR6ML</v>
      </c>
      <c r="X8" s="126" t="str">
        <f>IF($E8="1ML","Monthly",IF($E8="3ML","Quarterly",IF($E8="6ML","Semi-Annual","Annual")))</f>
        <v>Semi-Annual</v>
      </c>
      <c r="Y8" s="125" t="s">
        <v>6</v>
      </c>
      <c r="Z8" s="125" t="s">
        <v>22</v>
      </c>
      <c r="AA8" s="125" t="s">
        <v>2</v>
      </c>
      <c r="AB8" s="125"/>
      <c r="AC8" s="125"/>
      <c r="AD8" s="126">
        <f t="shared" ca="1" si="3"/>
        <v>23</v>
      </c>
      <c r="AE8" s="125" t="s">
        <v>149</v>
      </c>
      <c r="AF8" s="127" t="s">
        <v>37</v>
      </c>
      <c r="AG8" s="128"/>
      <c r="AH8" s="125" t="s">
        <v>149</v>
      </c>
      <c r="AI8" s="125" t="s">
        <v>150</v>
      </c>
      <c r="AJ8" s="126" t="str">
        <f t="shared" si="4"/>
        <v>EURYC</v>
      </c>
      <c r="AK8" s="126" t="str">
        <f t="shared" si="5"/>
        <v>EURDF_NOCSA</v>
      </c>
      <c r="AL8" s="125" t="s">
        <v>146</v>
      </c>
      <c r="AM8" s="160">
        <f t="shared" si="6"/>
        <v>0</v>
      </c>
      <c r="AN8" s="166">
        <f t="shared" si="7"/>
        <v>0.01</v>
      </c>
      <c r="AO8" s="172">
        <f ca="1">IF(NOW(),_xll.meProductSwapParRate(_xll.meUtilityLVBFromKeysValues($L$5:$AM$5,$L8:$AM8),FALSE))</f>
        <v>-8.6999999761646263E-4</v>
      </c>
      <c r="AP8" s="161">
        <f ca="1">IF(NOW(),_xll.meProductSwapPV(_xll.meUtilityLVBFromKeysValues($J$5:$AN$5,$J8:$AN8),FALSE))</f>
        <v>-32910.316560208732</v>
      </c>
      <c r="AQ8" s="162">
        <f ca="1">IF(NOW(),_xll.meProductSwapPV01(_xll.meUtilityLVBFromKeysValues($J$5:$AL$5,$J8:$AL8),FALSE))</f>
        <v>302.76280190823542</v>
      </c>
      <c r="AR8" t="s">
        <v>4</v>
      </c>
      <c r="AS8" s="137" t="str">
        <v>4Y</v>
      </c>
      <c r="AT8" s="139">
        <v>-8.0000000000000007E-5</v>
      </c>
      <c r="AU8" s="144">
        <f t="shared" ca="1" si="8"/>
        <v>2.6794396237352081E-8</v>
      </c>
    </row>
    <row r="9" spans="1:47" x14ac:dyDescent="0.25">
      <c r="A9" s="120">
        <v>4</v>
      </c>
      <c r="B9" s="165">
        <f ca="1">IF(NOW(),_xll.meDateFromTenor(COB,$C9,$P9,$Q9))</f>
        <v>42423</v>
      </c>
      <c r="C9" s="129" t="s">
        <v>157</v>
      </c>
      <c r="D9" s="122" t="s">
        <v>17</v>
      </c>
      <c r="E9" s="124" t="s">
        <v>158</v>
      </c>
      <c r="F9" s="124" t="s">
        <v>50</v>
      </c>
      <c r="G9" s="124">
        <v>0.01</v>
      </c>
      <c r="H9" s="263">
        <v>0</v>
      </c>
      <c r="I9" s="153" t="s">
        <v>159</v>
      </c>
      <c r="J9" s="122">
        <v>1000000</v>
      </c>
      <c r="K9" s="123" t="s">
        <v>148</v>
      </c>
      <c r="L9" s="165">
        <f t="shared" ca="1" si="9"/>
        <v>42423</v>
      </c>
      <c r="M9" s="156" t="str">
        <f t="shared" si="10"/>
        <v>4Y</v>
      </c>
      <c r="N9" s="125" t="s">
        <v>26</v>
      </c>
      <c r="O9" s="125" t="s">
        <v>20</v>
      </c>
      <c r="P9" s="125" t="s">
        <v>22</v>
      </c>
      <c r="Q9" s="125" t="s">
        <v>2</v>
      </c>
      <c r="R9" s="125"/>
      <c r="S9" s="125"/>
      <c r="T9" s="126">
        <f t="shared" ca="1" si="0"/>
        <v>23</v>
      </c>
      <c r="U9" s="125" t="s">
        <v>149</v>
      </c>
      <c r="V9" s="125" t="s">
        <v>150</v>
      </c>
      <c r="W9" s="126" t="str">
        <f t="shared" si="1"/>
        <v>EUR6ML</v>
      </c>
      <c r="X9" s="126" t="str">
        <f t="shared" si="2"/>
        <v>Semi-Annual</v>
      </c>
      <c r="Y9" s="125" t="s">
        <v>6</v>
      </c>
      <c r="Z9" s="125" t="s">
        <v>22</v>
      </c>
      <c r="AA9" s="125" t="s">
        <v>2</v>
      </c>
      <c r="AB9" s="125"/>
      <c r="AC9" s="125"/>
      <c r="AD9" s="126">
        <f t="shared" ca="1" si="3"/>
        <v>23</v>
      </c>
      <c r="AE9" s="125" t="s">
        <v>149</v>
      </c>
      <c r="AF9" s="127" t="s">
        <v>37</v>
      </c>
      <c r="AG9" s="128"/>
      <c r="AH9" s="125" t="s">
        <v>149</v>
      </c>
      <c r="AI9" s="125" t="s">
        <v>150</v>
      </c>
      <c r="AJ9" s="126" t="str">
        <f t="shared" si="4"/>
        <v>EURYC</v>
      </c>
      <c r="AK9" s="126" t="str">
        <f t="shared" si="5"/>
        <v>EURDF_NOCSA</v>
      </c>
      <c r="AL9" s="125" t="s">
        <v>146</v>
      </c>
      <c r="AM9" s="160">
        <f t="shared" si="6"/>
        <v>0</v>
      </c>
      <c r="AN9" s="167">
        <f t="shared" si="7"/>
        <v>0.01</v>
      </c>
      <c r="AO9" s="172">
        <f ca="1">IF(NOW(),_xll.meProductSwapParRate(_xll.meUtilityLVBFromKeysValues($L$5:$AM$5,$L9:$AM9),FALSE))</f>
        <v>-7.9999997320560383E-5</v>
      </c>
      <c r="AP9" s="161">
        <f ca="1">IF(NOW(),_xll.meProductSwapPV(_xll.meUtilityLVBFromKeysValues($J$5:$AN$5,$J9:$AN9),FALSE))</f>
        <v>-40681.837261517365</v>
      </c>
      <c r="AQ9" s="162">
        <f ca="1">IF(NOW(),_xll.meProductSwapPV01(_xll.meUtilityLVBFromKeysValues($J$5:$AL$5,$J9:$AL9),FALSE))</f>
        <v>403.58965547947724</v>
      </c>
      <c r="AR9" t="s">
        <v>4</v>
      </c>
      <c r="AS9" s="137" t="str">
        <v>5Y</v>
      </c>
      <c r="AT9" s="139">
        <v>9.2999999999999995E-4</v>
      </c>
      <c r="AU9" s="144">
        <f t="shared" ca="1" si="8"/>
        <v>8.7222104538930978E-8</v>
      </c>
    </row>
    <row r="10" spans="1:47" x14ac:dyDescent="0.25">
      <c r="A10" s="120">
        <v>5</v>
      </c>
      <c r="B10" s="165">
        <f ca="1">IF(NOW(),_xll.meDateFromTenor(COB,$C10,$P10,$Q10))</f>
        <v>42423</v>
      </c>
      <c r="C10" s="129" t="s">
        <v>157</v>
      </c>
      <c r="D10" s="122" t="s">
        <v>17</v>
      </c>
      <c r="E10" s="124" t="s">
        <v>158</v>
      </c>
      <c r="F10" s="124" t="s">
        <v>52</v>
      </c>
      <c r="G10" s="124">
        <v>0.01</v>
      </c>
      <c r="H10" s="263">
        <v>0</v>
      </c>
      <c r="I10" s="153" t="s">
        <v>159</v>
      </c>
      <c r="J10" s="122">
        <v>1000000</v>
      </c>
      <c r="K10" s="123" t="s">
        <v>148</v>
      </c>
      <c r="L10" s="165">
        <f t="shared" ca="1" si="9"/>
        <v>42423</v>
      </c>
      <c r="M10" s="156" t="str">
        <f t="shared" si="10"/>
        <v>5Y</v>
      </c>
      <c r="N10" s="125" t="s">
        <v>26</v>
      </c>
      <c r="O10" s="125" t="s">
        <v>20</v>
      </c>
      <c r="P10" s="125" t="s">
        <v>22</v>
      </c>
      <c r="Q10" s="125" t="s">
        <v>2</v>
      </c>
      <c r="R10" s="125"/>
      <c r="S10" s="125"/>
      <c r="T10" s="126">
        <f t="shared" ca="1" si="0"/>
        <v>23</v>
      </c>
      <c r="U10" s="125" t="s">
        <v>149</v>
      </c>
      <c r="V10" s="125" t="s">
        <v>150</v>
      </c>
      <c r="W10" s="126" t="str">
        <f t="shared" si="1"/>
        <v>EUR6ML</v>
      </c>
      <c r="X10" s="126" t="str">
        <f t="shared" si="2"/>
        <v>Semi-Annual</v>
      </c>
      <c r="Y10" s="125" t="s">
        <v>6</v>
      </c>
      <c r="Z10" s="125" t="s">
        <v>22</v>
      </c>
      <c r="AA10" s="125" t="s">
        <v>2</v>
      </c>
      <c r="AB10" s="125"/>
      <c r="AC10" s="125"/>
      <c r="AD10" s="126">
        <f t="shared" ca="1" si="3"/>
        <v>23</v>
      </c>
      <c r="AE10" s="125" t="s">
        <v>149</v>
      </c>
      <c r="AF10" s="127" t="s">
        <v>37</v>
      </c>
      <c r="AG10" s="128"/>
      <c r="AH10" s="125" t="s">
        <v>149</v>
      </c>
      <c r="AI10" s="125" t="s">
        <v>150</v>
      </c>
      <c r="AJ10" s="126" t="str">
        <f t="shared" si="4"/>
        <v>EURYC</v>
      </c>
      <c r="AK10" s="126" t="str">
        <f t="shared" si="5"/>
        <v>EURDF_NOCSA</v>
      </c>
      <c r="AL10" s="125" t="s">
        <v>146</v>
      </c>
      <c r="AM10" s="160">
        <f t="shared" si="6"/>
        <v>0</v>
      </c>
      <c r="AN10" s="167">
        <f t="shared" si="7"/>
        <v>0.01</v>
      </c>
      <c r="AO10" s="172">
        <f ca="1">IF(NOW(),_xll.meProductSwapParRate(_xll.meUtilityLVBFromKeysValues($L$5:$AM$5,$L10:$AM10),FALSE))</f>
        <v>9.300000087222104E-4</v>
      </c>
      <c r="AP10" s="161">
        <f ca="1">IF(NOW(),_xll.meProductSwapPV(_xll.meUtilityLVBFromKeysValues($J$5:$AN$5,$J10:$AN10),FALSE))</f>
        <v>-45731.777008922945</v>
      </c>
      <c r="AQ10" s="162">
        <f ca="1">IF(NOW(),_xll.meProductSwapPV01(_xll.meUtilityLVBFromKeysValues($J$5:$AL$5,$J10:$AL10),FALSE))</f>
        <v>504.20922880817125</v>
      </c>
      <c r="AR10" t="s">
        <v>4</v>
      </c>
      <c r="AS10" s="137" t="str">
        <v>6Y</v>
      </c>
      <c r="AT10" s="139">
        <v>2.0200000000000001E-3</v>
      </c>
      <c r="AU10" s="144">
        <f t="shared" ca="1" si="8"/>
        <v>-1.5287043332590233E-7</v>
      </c>
    </row>
    <row r="11" spans="1:47" x14ac:dyDescent="0.25">
      <c r="A11" s="120">
        <v>6</v>
      </c>
      <c r="B11" s="165">
        <f ca="1">IF(NOW(),_xll.meDateFromTenor(COB,$C11,$P11,$Q11))</f>
        <v>42423</v>
      </c>
      <c r="C11" s="129" t="s">
        <v>157</v>
      </c>
      <c r="D11" s="122" t="s">
        <v>17</v>
      </c>
      <c r="E11" s="124" t="s">
        <v>158</v>
      </c>
      <c r="F11" s="124" t="s">
        <v>54</v>
      </c>
      <c r="G11" s="124">
        <v>0.01</v>
      </c>
      <c r="H11" s="263">
        <v>0</v>
      </c>
      <c r="I11" s="153" t="s">
        <v>159</v>
      </c>
      <c r="J11" s="122">
        <v>1000000</v>
      </c>
      <c r="K11" s="123" t="s">
        <v>148</v>
      </c>
      <c r="L11" s="165">
        <f t="shared" ca="1" si="9"/>
        <v>42423</v>
      </c>
      <c r="M11" s="156" t="str">
        <f t="shared" si="10"/>
        <v>6Y</v>
      </c>
      <c r="N11" s="125" t="s">
        <v>26</v>
      </c>
      <c r="O11" s="125" t="s">
        <v>20</v>
      </c>
      <c r="P11" s="125" t="s">
        <v>22</v>
      </c>
      <c r="Q11" s="125" t="s">
        <v>2</v>
      </c>
      <c r="R11" s="125"/>
      <c r="S11" s="125"/>
      <c r="T11" s="126">
        <f t="shared" ca="1" si="0"/>
        <v>23</v>
      </c>
      <c r="U11" s="125" t="s">
        <v>149</v>
      </c>
      <c r="V11" s="125" t="s">
        <v>150</v>
      </c>
      <c r="W11" s="126" t="str">
        <f t="shared" si="1"/>
        <v>EUR6ML</v>
      </c>
      <c r="X11" s="126" t="str">
        <f t="shared" si="2"/>
        <v>Semi-Annual</v>
      </c>
      <c r="Y11" s="125" t="s">
        <v>6</v>
      </c>
      <c r="Z11" s="125" t="s">
        <v>22</v>
      </c>
      <c r="AA11" s="125" t="s">
        <v>2</v>
      </c>
      <c r="AB11" s="125"/>
      <c r="AC11" s="125"/>
      <c r="AD11" s="126">
        <f t="shared" ca="1" si="3"/>
        <v>23</v>
      </c>
      <c r="AE11" s="125" t="s">
        <v>149</v>
      </c>
      <c r="AF11" s="127" t="s">
        <v>37</v>
      </c>
      <c r="AG11" s="128"/>
      <c r="AH11" s="125" t="s">
        <v>149</v>
      </c>
      <c r="AI11" s="125" t="s">
        <v>150</v>
      </c>
      <c r="AJ11" s="126" t="str">
        <f t="shared" si="4"/>
        <v>EURYC</v>
      </c>
      <c r="AK11" s="126" t="str">
        <f t="shared" si="5"/>
        <v>EURDF_NOCSA</v>
      </c>
      <c r="AL11" s="125" t="s">
        <v>146</v>
      </c>
      <c r="AM11" s="160">
        <f t="shared" si="6"/>
        <v>0</v>
      </c>
      <c r="AN11" s="167">
        <f t="shared" si="7"/>
        <v>0.01</v>
      </c>
      <c r="AO11" s="172">
        <f ca="1">IF(NOW(),_xll.meProductSwapParRate(_xll.meUtilityLVBFromKeysValues($L$5:$AM$5,$L11:$AM11),FALSE))</f>
        <v>2.0199999847129568E-3</v>
      </c>
      <c r="AP11" s="161">
        <f ca="1">IF(NOW(),_xll.meProductSwapPV(_xll.meUtilityLVBFromKeysValues($J$5:$AN$5,$J11:$AN11),FALSE))</f>
        <v>-48247.450430491597</v>
      </c>
      <c r="AQ11" s="162">
        <f ca="1">IF(NOW(),_xll.meProductSwapPV01(_xll.meUtilityLVBFromKeysValues($J$5:$AL$5,$J11:$AL11),FALSE))</f>
        <v>604.60464082788735</v>
      </c>
      <c r="AR11" t="s">
        <v>4</v>
      </c>
      <c r="AS11" s="137" t="str">
        <v>7Y</v>
      </c>
      <c r="AT11" s="139">
        <v>3.2100000000000002E-3</v>
      </c>
      <c r="AU11" s="144">
        <f t="shared" ca="1" si="8"/>
        <v>8.7903712087111785E-8</v>
      </c>
    </row>
    <row r="12" spans="1:47" x14ac:dyDescent="0.25">
      <c r="A12" s="120">
        <v>7</v>
      </c>
      <c r="B12" s="165">
        <f ca="1">IF(NOW(),_xll.meDateFromTenor(COB,$C12,$P12,$Q12))</f>
        <v>42423</v>
      </c>
      <c r="C12" s="129" t="s">
        <v>157</v>
      </c>
      <c r="D12" s="122" t="s">
        <v>17</v>
      </c>
      <c r="E12" s="124" t="s">
        <v>158</v>
      </c>
      <c r="F12" s="124" t="s">
        <v>56</v>
      </c>
      <c r="G12" s="124">
        <v>0.01</v>
      </c>
      <c r="H12" s="263">
        <v>0</v>
      </c>
      <c r="I12" s="153" t="s">
        <v>159</v>
      </c>
      <c r="J12" s="122">
        <v>1000000</v>
      </c>
      <c r="K12" s="123" t="s">
        <v>148</v>
      </c>
      <c r="L12" s="165">
        <f t="shared" ca="1" si="9"/>
        <v>42423</v>
      </c>
      <c r="M12" s="156" t="str">
        <f t="shared" si="10"/>
        <v>7Y</v>
      </c>
      <c r="N12" s="125" t="s">
        <v>26</v>
      </c>
      <c r="O12" s="125" t="s">
        <v>20</v>
      </c>
      <c r="P12" s="125" t="s">
        <v>22</v>
      </c>
      <c r="Q12" s="125" t="s">
        <v>2</v>
      </c>
      <c r="R12" s="125"/>
      <c r="S12" s="125"/>
      <c r="T12" s="126">
        <f t="shared" ca="1" si="0"/>
        <v>23</v>
      </c>
      <c r="U12" s="125" t="s">
        <v>149</v>
      </c>
      <c r="V12" s="125" t="s">
        <v>150</v>
      </c>
      <c r="W12" s="126" t="str">
        <f t="shared" si="1"/>
        <v>EUR6ML</v>
      </c>
      <c r="X12" s="126" t="str">
        <f t="shared" si="2"/>
        <v>Semi-Annual</v>
      </c>
      <c r="Y12" s="125" t="s">
        <v>6</v>
      </c>
      <c r="Z12" s="125" t="s">
        <v>22</v>
      </c>
      <c r="AA12" s="125" t="s">
        <v>2</v>
      </c>
      <c r="AB12" s="125"/>
      <c r="AC12" s="125"/>
      <c r="AD12" s="126">
        <f t="shared" ca="1" si="3"/>
        <v>23</v>
      </c>
      <c r="AE12" s="125" t="s">
        <v>149</v>
      </c>
      <c r="AF12" s="127" t="s">
        <v>37</v>
      </c>
      <c r="AG12" s="128"/>
      <c r="AH12" s="125" t="s">
        <v>149</v>
      </c>
      <c r="AI12" s="125" t="s">
        <v>150</v>
      </c>
      <c r="AJ12" s="126" t="str">
        <f t="shared" si="4"/>
        <v>EURYC</v>
      </c>
      <c r="AK12" s="126" t="str">
        <f t="shared" si="5"/>
        <v>EURDF_NOCSA</v>
      </c>
      <c r="AL12" s="125" t="s">
        <v>146</v>
      </c>
      <c r="AM12" s="160">
        <f t="shared" si="6"/>
        <v>0</v>
      </c>
      <c r="AN12" s="167">
        <f t="shared" si="7"/>
        <v>0.01</v>
      </c>
      <c r="AO12" s="172">
        <f ca="1">IF(NOW(),_xll.meProductSwapParRate(_xll.meUtilityLVBFromKeysValues($L$5:$AM$5,$L12:$AM12),FALSE))</f>
        <v>3.2100000087903714E-3</v>
      </c>
      <c r="AP12" s="161">
        <f ca="1">IF(NOW(),_xll.meProductSwapPV(_xll.meUtilityLVBFromKeysValues($J$5:$AN$5,$J12:$AN12),FALSE))</f>
        <v>-47815.098586247266</v>
      </c>
      <c r="AQ12" s="162">
        <f ca="1">IF(NOW(),_xll.meProductSwapPV01(_xll.meUtilityLVBFromKeysValues($J$5:$AL$5,$J12:$AL12),FALSE))</f>
        <v>704.19880188731906</v>
      </c>
      <c r="AR12" t="s">
        <v>4</v>
      </c>
      <c r="AS12" s="137" t="str">
        <v>8Y</v>
      </c>
      <c r="AT12" s="139">
        <v>4.4400000000000004E-3</v>
      </c>
      <c r="AU12" s="144">
        <f t="shared" ca="1" si="8"/>
        <v>3.6820073032184375E-7</v>
      </c>
    </row>
    <row r="13" spans="1:47" x14ac:dyDescent="0.25">
      <c r="A13" s="120">
        <v>8</v>
      </c>
      <c r="B13" s="165">
        <f ca="1">IF(NOW(),_xll.meDateFromTenor(COB,$C13,$P13,$Q13))</f>
        <v>42423</v>
      </c>
      <c r="C13" s="129" t="s">
        <v>157</v>
      </c>
      <c r="D13" s="122" t="s">
        <v>17</v>
      </c>
      <c r="E13" s="124" t="s">
        <v>158</v>
      </c>
      <c r="F13" s="124" t="s">
        <v>58</v>
      </c>
      <c r="G13" s="124">
        <v>0.01</v>
      </c>
      <c r="H13" s="263">
        <v>0</v>
      </c>
      <c r="I13" s="153" t="s">
        <v>159</v>
      </c>
      <c r="J13" s="122">
        <v>1000000</v>
      </c>
      <c r="K13" s="123" t="s">
        <v>148</v>
      </c>
      <c r="L13" s="165">
        <f t="shared" ca="1" si="9"/>
        <v>42423</v>
      </c>
      <c r="M13" s="156" t="str">
        <f t="shared" si="10"/>
        <v>8Y</v>
      </c>
      <c r="N13" s="125" t="s">
        <v>26</v>
      </c>
      <c r="O13" s="125" t="s">
        <v>20</v>
      </c>
      <c r="P13" s="125" t="s">
        <v>22</v>
      </c>
      <c r="Q13" s="125" t="s">
        <v>2</v>
      </c>
      <c r="R13" s="125"/>
      <c r="S13" s="125"/>
      <c r="T13" s="126">
        <f t="shared" ca="1" si="0"/>
        <v>23</v>
      </c>
      <c r="U13" s="125" t="s">
        <v>149</v>
      </c>
      <c r="V13" s="125" t="s">
        <v>150</v>
      </c>
      <c r="W13" s="126" t="str">
        <f t="shared" si="1"/>
        <v>EUR6ML</v>
      </c>
      <c r="X13" s="126" t="str">
        <f t="shared" si="2"/>
        <v>Semi-Annual</v>
      </c>
      <c r="Y13" s="125" t="s">
        <v>6</v>
      </c>
      <c r="Z13" s="125" t="s">
        <v>22</v>
      </c>
      <c r="AA13" s="125" t="s">
        <v>2</v>
      </c>
      <c r="AB13" s="125"/>
      <c r="AC13" s="125"/>
      <c r="AD13" s="126">
        <f t="shared" ca="1" si="3"/>
        <v>23</v>
      </c>
      <c r="AE13" s="125" t="s">
        <v>149</v>
      </c>
      <c r="AF13" s="127" t="s">
        <v>37</v>
      </c>
      <c r="AG13" s="128"/>
      <c r="AH13" s="125" t="s">
        <v>149</v>
      </c>
      <c r="AI13" s="125" t="s">
        <v>150</v>
      </c>
      <c r="AJ13" s="126" t="str">
        <f t="shared" si="4"/>
        <v>EURYC</v>
      </c>
      <c r="AK13" s="126" t="str">
        <f t="shared" si="5"/>
        <v>EURDF_NOCSA</v>
      </c>
      <c r="AL13" s="125" t="s">
        <v>146</v>
      </c>
      <c r="AM13" s="160">
        <f t="shared" si="6"/>
        <v>0</v>
      </c>
      <c r="AN13" s="167">
        <f t="shared" si="7"/>
        <v>0.01</v>
      </c>
      <c r="AO13" s="172">
        <f ca="1">IF(NOW(),_xll.meProductSwapParRate(_xll.meUtilityLVBFromKeysValues($L$5:$AM$5,$L13:$AM13),FALSE))</f>
        <v>4.4400000368200734E-3</v>
      </c>
      <c r="AP13" s="161">
        <f ca="1">IF(NOW(),_xll.meProductSwapPV(_xll.meUtilityLVBFromKeysValues($J$5:$AN$5,$J13:$AN13),FALSE))</f>
        <v>-44630.60034804506</v>
      </c>
      <c r="AQ13" s="162">
        <f ca="1">IF(NOW(),_xll.meProductSwapPV01(_xll.meUtilityLVBFromKeysValues($J$5:$AL$5,$J13:$AL13),FALSE))</f>
        <v>802.70864466911803</v>
      </c>
      <c r="AR13" t="s">
        <v>4</v>
      </c>
      <c r="AS13" s="137" t="str">
        <v>9Y</v>
      </c>
      <c r="AT13" s="139">
        <v>5.6100000000000004E-3</v>
      </c>
      <c r="AU13" s="144">
        <f t="shared" ca="1" si="8"/>
        <v>1.5393982269462647E-6</v>
      </c>
    </row>
    <row r="14" spans="1:47" x14ac:dyDescent="0.25">
      <c r="A14" s="120">
        <v>9</v>
      </c>
      <c r="B14" s="165">
        <f ca="1">IF(NOW(),_xll.meDateFromTenor(COB,$C14,$P14,$Q14))</f>
        <v>42423</v>
      </c>
      <c r="C14" s="129" t="s">
        <v>157</v>
      </c>
      <c r="D14" s="122" t="s">
        <v>17</v>
      </c>
      <c r="E14" s="124" t="s">
        <v>158</v>
      </c>
      <c r="F14" s="124" t="s">
        <v>60</v>
      </c>
      <c r="G14" s="124">
        <v>0.01</v>
      </c>
      <c r="H14" s="263">
        <v>0</v>
      </c>
      <c r="I14" s="153" t="s">
        <v>159</v>
      </c>
      <c r="J14" s="122">
        <v>1000000</v>
      </c>
      <c r="K14" s="123" t="s">
        <v>148</v>
      </c>
      <c r="L14" s="165">
        <f t="shared" ca="1" si="9"/>
        <v>42423</v>
      </c>
      <c r="M14" s="156" t="str">
        <f t="shared" si="10"/>
        <v>9Y</v>
      </c>
      <c r="N14" s="125" t="s">
        <v>26</v>
      </c>
      <c r="O14" s="125" t="s">
        <v>20</v>
      </c>
      <c r="P14" s="125" t="s">
        <v>22</v>
      </c>
      <c r="Q14" s="125" t="s">
        <v>2</v>
      </c>
      <c r="R14" s="125"/>
      <c r="S14" s="125"/>
      <c r="T14" s="126">
        <f t="shared" ca="1" si="0"/>
        <v>23</v>
      </c>
      <c r="U14" s="125" t="s">
        <v>149</v>
      </c>
      <c r="V14" s="125" t="s">
        <v>150</v>
      </c>
      <c r="W14" s="126" t="str">
        <f t="shared" si="1"/>
        <v>EUR6ML</v>
      </c>
      <c r="X14" s="126" t="str">
        <f t="shared" si="2"/>
        <v>Semi-Annual</v>
      </c>
      <c r="Y14" s="125" t="s">
        <v>6</v>
      </c>
      <c r="Z14" s="125" t="s">
        <v>22</v>
      </c>
      <c r="AA14" s="125" t="s">
        <v>2</v>
      </c>
      <c r="AB14" s="125"/>
      <c r="AC14" s="125"/>
      <c r="AD14" s="126">
        <f t="shared" ca="1" si="3"/>
        <v>23</v>
      </c>
      <c r="AE14" s="125" t="s">
        <v>149</v>
      </c>
      <c r="AF14" s="127" t="s">
        <v>37</v>
      </c>
      <c r="AG14" s="128"/>
      <c r="AH14" s="125" t="s">
        <v>149</v>
      </c>
      <c r="AI14" s="125" t="s">
        <v>150</v>
      </c>
      <c r="AJ14" s="126" t="str">
        <f t="shared" si="4"/>
        <v>EURYC</v>
      </c>
      <c r="AK14" s="126" t="str">
        <f t="shared" si="5"/>
        <v>EURDF_NOCSA</v>
      </c>
      <c r="AL14" s="125" t="s">
        <v>146</v>
      </c>
      <c r="AM14" s="160">
        <f t="shared" si="6"/>
        <v>0</v>
      </c>
      <c r="AN14" s="167">
        <f t="shared" si="7"/>
        <v>0.01</v>
      </c>
      <c r="AO14" s="172">
        <f ca="1">IF(NOW(),_xll.meProductSwapParRate(_xll.meUtilityLVBFromKeysValues($L$5:$AM$5,$L14:$AM14),FALSE))</f>
        <v>5.6100001539398231E-3</v>
      </c>
      <c r="AP14" s="161">
        <f ca="1">IF(NOW(),_xll.meProductSwapPV(_xll.meUtilityLVBFromKeysValues($J$5:$AN$5,$J14:$AN14),FALSE))</f>
        <v>-39518.017840550077</v>
      </c>
      <c r="AQ14" s="162">
        <f ca="1">IF(NOW(),_xll.meProductSwapPV01(_xll.meUtilityLVBFromKeysValues($J$5:$AL$5,$J14:$AL14),FALSE))</f>
        <v>900.18267030272636</v>
      </c>
      <c r="AR14" t="s">
        <v>4</v>
      </c>
      <c r="AS14" s="137" t="str">
        <v>10Y</v>
      </c>
      <c r="AT14" s="139">
        <v>6.6700000000000006E-3</v>
      </c>
      <c r="AU14" s="144">
        <f t="shared" ca="1" si="8"/>
        <v>1.0240142674783348E-6</v>
      </c>
    </row>
    <row r="15" spans="1:47" x14ac:dyDescent="0.25">
      <c r="A15" s="120">
        <v>10</v>
      </c>
      <c r="B15" s="165">
        <f ca="1">IF(NOW(),_xll.meDateFromTenor(COB,$C15,$P15,$Q15))</f>
        <v>42423</v>
      </c>
      <c r="C15" s="129" t="s">
        <v>157</v>
      </c>
      <c r="D15" s="122" t="s">
        <v>17</v>
      </c>
      <c r="E15" s="124" t="s">
        <v>158</v>
      </c>
      <c r="F15" s="124" t="s">
        <v>61</v>
      </c>
      <c r="G15" s="124">
        <v>0.01</v>
      </c>
      <c r="H15" s="263">
        <v>0</v>
      </c>
      <c r="I15" s="153" t="s">
        <v>159</v>
      </c>
      <c r="J15" s="122">
        <v>1000000</v>
      </c>
      <c r="K15" s="123" t="s">
        <v>148</v>
      </c>
      <c r="L15" s="165">
        <f t="shared" ca="1" si="9"/>
        <v>42423</v>
      </c>
      <c r="M15" s="156" t="str">
        <f t="shared" si="10"/>
        <v>10Y</v>
      </c>
      <c r="N15" s="125" t="s">
        <v>26</v>
      </c>
      <c r="O15" s="125" t="s">
        <v>20</v>
      </c>
      <c r="P15" s="125" t="s">
        <v>22</v>
      </c>
      <c r="Q15" s="125" t="s">
        <v>2</v>
      </c>
      <c r="R15" s="125"/>
      <c r="S15" s="125"/>
      <c r="T15" s="126">
        <f t="shared" ca="1" si="0"/>
        <v>23</v>
      </c>
      <c r="U15" s="125" t="s">
        <v>149</v>
      </c>
      <c r="V15" s="125" t="s">
        <v>150</v>
      </c>
      <c r="W15" s="126" t="str">
        <f t="shared" si="1"/>
        <v>EUR6ML</v>
      </c>
      <c r="X15" s="126" t="str">
        <f t="shared" si="2"/>
        <v>Semi-Annual</v>
      </c>
      <c r="Y15" s="125" t="s">
        <v>6</v>
      </c>
      <c r="Z15" s="125" t="s">
        <v>22</v>
      </c>
      <c r="AA15" s="125" t="s">
        <v>2</v>
      </c>
      <c r="AB15" s="125"/>
      <c r="AC15" s="125"/>
      <c r="AD15" s="126">
        <f t="shared" ca="1" si="3"/>
        <v>23</v>
      </c>
      <c r="AE15" s="125" t="s">
        <v>149</v>
      </c>
      <c r="AF15" s="127" t="s">
        <v>37</v>
      </c>
      <c r="AG15" s="128"/>
      <c r="AH15" s="125" t="s">
        <v>149</v>
      </c>
      <c r="AI15" s="125" t="s">
        <v>150</v>
      </c>
      <c r="AJ15" s="126" t="str">
        <f t="shared" si="4"/>
        <v>EURYC</v>
      </c>
      <c r="AK15" s="126" t="str">
        <f t="shared" si="5"/>
        <v>EURDF_NOCSA</v>
      </c>
      <c r="AL15" s="125" t="s">
        <v>146</v>
      </c>
      <c r="AM15" s="160">
        <f t="shared" si="6"/>
        <v>0</v>
      </c>
      <c r="AN15" s="167">
        <f t="shared" si="7"/>
        <v>0.01</v>
      </c>
      <c r="AO15" s="172">
        <f ca="1">IF(NOW(),_xll.meProductSwapParRate(_xll.meUtilityLVBFromKeysValues($L$5:$AM$5,$L15:$AM15),FALSE))</f>
        <v>6.6700001024014273E-3</v>
      </c>
      <c r="AP15" s="161">
        <f ca="1">IF(NOW(),_xll.meProductSwapPV(_xll.meUtilityLVBFromKeysValues($J$5:$AN$5,$J15:$AN15),FALSE))</f>
        <v>-33156.434370422096</v>
      </c>
      <c r="AQ15" s="162">
        <f ca="1">IF(NOW(),_xll.meProductSwapPV01(_xll.meUtilityLVBFromKeysValues($J$5:$AL$5,$J15:$AL15),FALSE))</f>
        <v>995.6887504510986</v>
      </c>
      <c r="AR15" t="s">
        <v>4</v>
      </c>
      <c r="AS15" s="137" t="str">
        <v>11Y</v>
      </c>
      <c r="AT15" s="139">
        <v>7.6300000000000005E-3</v>
      </c>
      <c r="AU15" s="144">
        <f t="shared" ca="1" si="8"/>
        <v>4.0424646702980072E-6</v>
      </c>
    </row>
    <row r="16" spans="1:47" x14ac:dyDescent="0.25">
      <c r="A16" s="120">
        <v>11</v>
      </c>
      <c r="B16" s="165">
        <f ca="1">IF(NOW(),_xll.meDateFromTenor(COB,$C16,$P16,$Q16))</f>
        <v>42423</v>
      </c>
      <c r="C16" s="129" t="s">
        <v>157</v>
      </c>
      <c r="D16" s="122" t="s">
        <v>17</v>
      </c>
      <c r="E16" s="124" t="s">
        <v>158</v>
      </c>
      <c r="F16" s="124" t="s">
        <v>62</v>
      </c>
      <c r="G16" s="124">
        <v>0.01</v>
      </c>
      <c r="H16" s="263">
        <v>0</v>
      </c>
      <c r="I16" s="153" t="s">
        <v>159</v>
      </c>
      <c r="J16" s="122">
        <v>1000000</v>
      </c>
      <c r="K16" s="123" t="s">
        <v>148</v>
      </c>
      <c r="L16" s="165">
        <f t="shared" ca="1" si="9"/>
        <v>42423</v>
      </c>
      <c r="M16" s="156" t="str">
        <f t="shared" si="10"/>
        <v>11Y</v>
      </c>
      <c r="N16" s="125" t="s">
        <v>26</v>
      </c>
      <c r="O16" s="125" t="s">
        <v>20</v>
      </c>
      <c r="P16" s="125" t="s">
        <v>22</v>
      </c>
      <c r="Q16" s="125" t="s">
        <v>2</v>
      </c>
      <c r="R16" s="125"/>
      <c r="S16" s="125"/>
      <c r="T16" s="126">
        <f t="shared" ca="1" si="0"/>
        <v>23</v>
      </c>
      <c r="U16" s="125" t="s">
        <v>149</v>
      </c>
      <c r="V16" s="125" t="s">
        <v>150</v>
      </c>
      <c r="W16" s="126" t="str">
        <f t="shared" si="1"/>
        <v>EUR6ML</v>
      </c>
      <c r="X16" s="126" t="str">
        <f t="shared" si="2"/>
        <v>Semi-Annual</v>
      </c>
      <c r="Y16" s="125" t="s">
        <v>6</v>
      </c>
      <c r="Z16" s="125" t="s">
        <v>22</v>
      </c>
      <c r="AA16" s="125" t="s">
        <v>2</v>
      </c>
      <c r="AB16" s="125"/>
      <c r="AC16" s="125"/>
      <c r="AD16" s="126">
        <f t="shared" ca="1" si="3"/>
        <v>23</v>
      </c>
      <c r="AE16" s="125" t="s">
        <v>149</v>
      </c>
      <c r="AF16" s="127" t="s">
        <v>37</v>
      </c>
      <c r="AG16" s="128"/>
      <c r="AH16" s="125" t="s">
        <v>149</v>
      </c>
      <c r="AI16" s="125" t="s">
        <v>150</v>
      </c>
      <c r="AJ16" s="126" t="str">
        <f t="shared" si="4"/>
        <v>EURYC</v>
      </c>
      <c r="AK16" s="126" t="str">
        <f t="shared" si="5"/>
        <v>EURDF_NOCSA</v>
      </c>
      <c r="AL16" s="125" t="s">
        <v>146</v>
      </c>
      <c r="AM16" s="160">
        <f t="shared" si="6"/>
        <v>0</v>
      </c>
      <c r="AN16" s="167">
        <f t="shared" si="7"/>
        <v>0.01</v>
      </c>
      <c r="AO16" s="172">
        <f ca="1">IF(NOW(),_xll.meProductSwapParRate(_xll.meUtilityLVBFromKeysValues($L$5:$AM$5,$L16:$AM16),FALSE))</f>
        <v>7.6300004042464675E-3</v>
      </c>
      <c r="AP16" s="161">
        <f ca="1">IF(NOW(),_xll.meProductSwapPV(_xll.meUtilityLVBFromKeysValues($J$5:$AN$5,$J16:$AN16),FALSE))</f>
        <v>-25831.526806661688</v>
      </c>
      <c r="AQ16" s="162">
        <f ca="1">IF(NOW(),_xll.meProductSwapPV01(_xll.meUtilityLVBFromKeysValues($J$5:$AL$5,$J16:$AL16),FALSE))</f>
        <v>1089.9380258522215</v>
      </c>
      <c r="AR16" t="s">
        <v>4</v>
      </c>
      <c r="AS16" s="137" t="str">
        <v>12Y</v>
      </c>
      <c r="AT16" s="139">
        <v>8.4700000000000001E-3</v>
      </c>
      <c r="AU16" s="144">
        <f t="shared" ca="1" si="8"/>
        <v>5.7269967934647781E-6</v>
      </c>
    </row>
    <row r="17" spans="1:47" x14ac:dyDescent="0.25">
      <c r="A17" s="120">
        <v>12</v>
      </c>
      <c r="B17" s="165">
        <f ca="1">IF(NOW(),_xll.meDateFromTenor(COB,$C17,$P17,$Q17))</f>
        <v>42423</v>
      </c>
      <c r="C17" s="129" t="s">
        <v>157</v>
      </c>
      <c r="D17" s="122" t="s">
        <v>17</v>
      </c>
      <c r="E17" s="124" t="s">
        <v>158</v>
      </c>
      <c r="F17" s="124" t="s">
        <v>63</v>
      </c>
      <c r="G17" s="124">
        <v>0.01</v>
      </c>
      <c r="H17" s="263">
        <v>0</v>
      </c>
      <c r="I17" s="153" t="s">
        <v>159</v>
      </c>
      <c r="J17" s="122">
        <v>1000000</v>
      </c>
      <c r="K17" s="123" t="s">
        <v>148</v>
      </c>
      <c r="L17" s="165">
        <f t="shared" ca="1" si="9"/>
        <v>42423</v>
      </c>
      <c r="M17" s="156" t="str">
        <f t="shared" si="10"/>
        <v>12Y</v>
      </c>
      <c r="N17" s="125" t="s">
        <v>26</v>
      </c>
      <c r="O17" s="125" t="s">
        <v>20</v>
      </c>
      <c r="P17" s="125" t="s">
        <v>22</v>
      </c>
      <c r="Q17" s="125" t="s">
        <v>2</v>
      </c>
      <c r="R17" s="125"/>
      <c r="S17" s="125"/>
      <c r="T17" s="126">
        <f t="shared" ca="1" si="0"/>
        <v>23</v>
      </c>
      <c r="U17" s="125" t="s">
        <v>149</v>
      </c>
      <c r="V17" s="125" t="s">
        <v>150</v>
      </c>
      <c r="W17" s="126" t="str">
        <f t="shared" si="1"/>
        <v>EUR6ML</v>
      </c>
      <c r="X17" s="126" t="str">
        <f t="shared" si="2"/>
        <v>Semi-Annual</v>
      </c>
      <c r="Y17" s="125" t="s">
        <v>6</v>
      </c>
      <c r="Z17" s="125" t="s">
        <v>22</v>
      </c>
      <c r="AA17" s="125" t="s">
        <v>2</v>
      </c>
      <c r="AB17" s="125"/>
      <c r="AC17" s="125"/>
      <c r="AD17" s="126">
        <f t="shared" ca="1" si="3"/>
        <v>23</v>
      </c>
      <c r="AE17" s="125" t="s">
        <v>149</v>
      </c>
      <c r="AF17" s="127" t="s">
        <v>37</v>
      </c>
      <c r="AG17" s="128"/>
      <c r="AH17" s="125" t="s">
        <v>149</v>
      </c>
      <c r="AI17" s="125" t="s">
        <v>150</v>
      </c>
      <c r="AJ17" s="126" t="str">
        <f t="shared" si="4"/>
        <v>EURYC</v>
      </c>
      <c r="AK17" s="126" t="str">
        <f t="shared" si="5"/>
        <v>EURDF_NOCSA</v>
      </c>
      <c r="AL17" s="125" t="s">
        <v>146</v>
      </c>
      <c r="AM17" s="160">
        <f t="shared" si="6"/>
        <v>0</v>
      </c>
      <c r="AN17" s="167">
        <f t="shared" si="7"/>
        <v>0.01</v>
      </c>
      <c r="AO17" s="172">
        <f ca="1">IF(NOW(),_xll.meProductSwapParRate(_xll.meUtilityLVBFromKeysValues($L$5:$AM$5,$L17:$AM17),FALSE))</f>
        <v>8.4700005726996794E-3</v>
      </c>
      <c r="AP17" s="161">
        <f ca="1">IF(NOW(),_xll.meProductSwapPV(_xll.meUtilityLVBFromKeysValues($J$5:$AN$5,$J17:$AN17),FALSE))</f>
        <v>-18094.290800118124</v>
      </c>
      <c r="AQ17" s="162">
        <f ca="1">IF(NOW(),_xll.meProductSwapPV01(_xll.meUtilityLVBFromKeysValues($J$5:$AL$5,$J17:$AL17),FALSE))</f>
        <v>1182.633828304462</v>
      </c>
      <c r="AR17" t="s">
        <v>4</v>
      </c>
      <c r="AS17" s="137" t="str">
        <v>15Y</v>
      </c>
      <c r="AT17" s="139">
        <v>1.03E-2</v>
      </c>
      <c r="AU17" s="144">
        <f t="shared" ca="1" si="8"/>
        <v>8.6164795611021194E-6</v>
      </c>
    </row>
    <row r="18" spans="1:47" x14ac:dyDescent="0.25">
      <c r="A18" s="120">
        <v>13</v>
      </c>
      <c r="B18" s="165">
        <f ca="1">IF(NOW(),_xll.meDateFromTenor(COB,$C18,$P18,$Q18))</f>
        <v>42423</v>
      </c>
      <c r="C18" s="129" t="s">
        <v>157</v>
      </c>
      <c r="D18" s="122" t="s">
        <v>17</v>
      </c>
      <c r="E18" s="124" t="s">
        <v>158</v>
      </c>
      <c r="F18" s="124" t="s">
        <v>160</v>
      </c>
      <c r="G18" s="124">
        <v>0.01</v>
      </c>
      <c r="H18" s="263">
        <v>0</v>
      </c>
      <c r="I18" s="153" t="s">
        <v>159</v>
      </c>
      <c r="J18" s="122">
        <v>1000000</v>
      </c>
      <c r="K18" s="123" t="s">
        <v>148</v>
      </c>
      <c r="L18" s="165">
        <f t="shared" ca="1" si="9"/>
        <v>42423</v>
      </c>
      <c r="M18" s="156" t="str">
        <f t="shared" si="10"/>
        <v>13Y</v>
      </c>
      <c r="N18" s="125" t="s">
        <v>26</v>
      </c>
      <c r="O18" s="125" t="s">
        <v>20</v>
      </c>
      <c r="P18" s="125" t="s">
        <v>22</v>
      </c>
      <c r="Q18" s="125" t="s">
        <v>2</v>
      </c>
      <c r="R18" s="125"/>
      <c r="S18" s="125"/>
      <c r="T18" s="126">
        <f t="shared" ca="1" si="0"/>
        <v>23</v>
      </c>
      <c r="U18" s="125" t="s">
        <v>149</v>
      </c>
      <c r="V18" s="125" t="s">
        <v>150</v>
      </c>
      <c r="W18" s="126" t="str">
        <f t="shared" si="1"/>
        <v>EUR6ML</v>
      </c>
      <c r="X18" s="126" t="str">
        <f t="shared" si="2"/>
        <v>Semi-Annual</v>
      </c>
      <c r="Y18" s="125" t="s">
        <v>6</v>
      </c>
      <c r="Z18" s="125" t="s">
        <v>22</v>
      </c>
      <c r="AA18" s="125" t="s">
        <v>2</v>
      </c>
      <c r="AB18" s="125"/>
      <c r="AC18" s="125"/>
      <c r="AD18" s="126">
        <f t="shared" ca="1" si="3"/>
        <v>23</v>
      </c>
      <c r="AE18" s="125" t="s">
        <v>149</v>
      </c>
      <c r="AF18" s="127" t="s">
        <v>37</v>
      </c>
      <c r="AG18" s="128"/>
      <c r="AH18" s="125" t="s">
        <v>149</v>
      </c>
      <c r="AI18" s="125" t="s">
        <v>150</v>
      </c>
      <c r="AJ18" s="126" t="str">
        <f t="shared" si="4"/>
        <v>EURYC</v>
      </c>
      <c r="AK18" s="126" t="str">
        <f t="shared" si="5"/>
        <v>EURDF_NOCSA</v>
      </c>
      <c r="AL18" s="125" t="s">
        <v>146</v>
      </c>
      <c r="AM18" s="160">
        <f t="shared" si="6"/>
        <v>0</v>
      </c>
      <c r="AN18" s="167">
        <f t="shared" si="7"/>
        <v>0.01</v>
      </c>
      <c r="AO18" s="172">
        <f ca="1">IF(NOW(),_xll.meProductSwapParRate(_xll.meUtilityLVBFromKeysValues($L$5:$AM$5,$L18:$AM18),FALSE))</f>
        <v>9.1775537544505539E-3</v>
      </c>
      <c r="AP18" s="161">
        <f ca="1">IF(NOW(),_xll.meProductSwapPV(_xll.meUtilityLVBFromKeysValues($J$5:$AN$5,$J18:$AN18),FALSE))</f>
        <v>-10476.176277283354</v>
      </c>
      <c r="AQ18" s="162">
        <f ca="1">IF(NOW(),_xll.meProductSwapPV01(_xll.meUtilityLVBFromKeysValues($J$5:$AL$5,$J18:$AL18),FALSE))</f>
        <v>1273.7824914362143</v>
      </c>
      <c r="AR18" t="s">
        <v>4</v>
      </c>
      <c r="AS18" s="137" t="str">
        <v>20Y</v>
      </c>
      <c r="AT18" s="139">
        <v>1.1659999999999998E-2</v>
      </c>
      <c r="AU18" s="144">
        <f t="shared" ca="1" si="8"/>
        <v>1.3528311647997837E-5</v>
      </c>
    </row>
    <row r="19" spans="1:47" x14ac:dyDescent="0.25">
      <c r="A19" s="120">
        <v>14</v>
      </c>
      <c r="B19" s="165">
        <f ca="1">IF(NOW(),_xll.meDateFromTenor(COB,$C19,$P19,$Q19))</f>
        <v>42423</v>
      </c>
      <c r="C19" s="129" t="s">
        <v>157</v>
      </c>
      <c r="D19" s="122" t="s">
        <v>17</v>
      </c>
      <c r="E19" s="124" t="s">
        <v>158</v>
      </c>
      <c r="F19" s="124" t="s">
        <v>161</v>
      </c>
      <c r="G19" s="124">
        <v>0.01</v>
      </c>
      <c r="H19" s="263">
        <v>0</v>
      </c>
      <c r="I19" s="153" t="s">
        <v>159</v>
      </c>
      <c r="J19" s="122">
        <v>1000000</v>
      </c>
      <c r="K19" s="123" t="s">
        <v>148</v>
      </c>
      <c r="L19" s="165">
        <f t="shared" ca="1" si="9"/>
        <v>42423</v>
      </c>
      <c r="M19" s="156" t="str">
        <f t="shared" si="10"/>
        <v>14Y</v>
      </c>
      <c r="N19" s="125" t="s">
        <v>26</v>
      </c>
      <c r="O19" s="125" t="s">
        <v>20</v>
      </c>
      <c r="P19" s="125" t="s">
        <v>22</v>
      </c>
      <c r="Q19" s="125" t="s">
        <v>2</v>
      </c>
      <c r="R19" s="125"/>
      <c r="S19" s="125"/>
      <c r="T19" s="126">
        <f t="shared" ca="1" si="0"/>
        <v>23</v>
      </c>
      <c r="U19" s="125" t="s">
        <v>149</v>
      </c>
      <c r="V19" s="125" t="s">
        <v>150</v>
      </c>
      <c r="W19" s="126" t="str">
        <f t="shared" si="1"/>
        <v>EUR6ML</v>
      </c>
      <c r="X19" s="126" t="str">
        <f t="shared" si="2"/>
        <v>Semi-Annual</v>
      </c>
      <c r="Y19" s="125" t="s">
        <v>6</v>
      </c>
      <c r="Z19" s="125" t="s">
        <v>22</v>
      </c>
      <c r="AA19" s="125" t="s">
        <v>2</v>
      </c>
      <c r="AB19" s="125"/>
      <c r="AC19" s="125"/>
      <c r="AD19" s="126">
        <f t="shared" ca="1" si="3"/>
        <v>23</v>
      </c>
      <c r="AE19" s="125" t="s">
        <v>149</v>
      </c>
      <c r="AF19" s="127" t="s">
        <v>37</v>
      </c>
      <c r="AG19" s="128"/>
      <c r="AH19" s="125" t="s">
        <v>149</v>
      </c>
      <c r="AI19" s="125" t="s">
        <v>150</v>
      </c>
      <c r="AJ19" s="126" t="str">
        <f t="shared" si="4"/>
        <v>EURYC</v>
      </c>
      <c r="AK19" s="126" t="str">
        <f t="shared" si="5"/>
        <v>EURDF_NOCSA</v>
      </c>
      <c r="AL19" s="125" t="s">
        <v>146</v>
      </c>
      <c r="AM19" s="160">
        <f t="shared" si="6"/>
        <v>0</v>
      </c>
      <c r="AN19" s="167">
        <f t="shared" si="7"/>
        <v>0.01</v>
      </c>
      <c r="AO19" s="172">
        <f ca="1">IF(NOW(),_xll.meProductSwapParRate(_xll.meUtilityLVBFromKeysValues($L$5:$AM$5,$L19:$AM19),FALSE))</f>
        <v>9.7836371141081305E-3</v>
      </c>
      <c r="AP19" s="161">
        <f ca="1">IF(NOW(),_xll.meProductSwapPV(_xll.meUtilityLVBFromKeysValues($J$5:$AN$5,$J19:$AN19),FALSE))</f>
        <v>-2950.975927460353</v>
      </c>
      <c r="AQ19" s="162">
        <f ca="1">IF(NOW(),_xll.meProductSwapPV01(_xll.meUtilityLVBFromKeysValues($J$5:$AL$5,$J19:$AL19),FALSE))</f>
        <v>1363.9011678440718</v>
      </c>
      <c r="AR19" t="s">
        <v>4</v>
      </c>
      <c r="AS19" s="137" t="str">
        <v>25Y</v>
      </c>
      <c r="AT19" s="139">
        <v>1.201E-2</v>
      </c>
      <c r="AU19" s="144" t="str">
        <f t="shared" si="8"/>
        <v>-</v>
      </c>
    </row>
    <row r="20" spans="1:47" x14ac:dyDescent="0.25">
      <c r="A20" s="120">
        <v>15</v>
      </c>
      <c r="B20" s="165">
        <f ca="1">IF(NOW(),_xll.meDateFromTenor(COB,$C20,$P20,$Q20))</f>
        <v>42423</v>
      </c>
      <c r="C20" s="129" t="s">
        <v>157</v>
      </c>
      <c r="D20" s="122" t="s">
        <v>17</v>
      </c>
      <c r="E20" s="124" t="s">
        <v>158</v>
      </c>
      <c r="F20" s="124" t="s">
        <v>64</v>
      </c>
      <c r="G20" s="124">
        <v>0.01</v>
      </c>
      <c r="H20" s="263">
        <v>0</v>
      </c>
      <c r="I20" s="153" t="s">
        <v>159</v>
      </c>
      <c r="J20" s="122">
        <v>1000000</v>
      </c>
      <c r="K20" s="123" t="s">
        <v>148</v>
      </c>
      <c r="L20" s="165">
        <f t="shared" ca="1" si="9"/>
        <v>42423</v>
      </c>
      <c r="M20" s="156" t="str">
        <f t="shared" si="10"/>
        <v>15Y</v>
      </c>
      <c r="N20" s="125" t="s">
        <v>26</v>
      </c>
      <c r="O20" s="125" t="s">
        <v>20</v>
      </c>
      <c r="P20" s="125" t="s">
        <v>22</v>
      </c>
      <c r="Q20" s="125" t="s">
        <v>2</v>
      </c>
      <c r="R20" s="125"/>
      <c r="S20" s="125"/>
      <c r="T20" s="126">
        <f t="shared" ca="1" si="0"/>
        <v>23</v>
      </c>
      <c r="U20" s="125" t="s">
        <v>149</v>
      </c>
      <c r="V20" s="125" t="s">
        <v>150</v>
      </c>
      <c r="W20" s="126" t="str">
        <f t="shared" si="1"/>
        <v>EUR6ML</v>
      </c>
      <c r="X20" s="126" t="str">
        <f t="shared" si="2"/>
        <v>Semi-Annual</v>
      </c>
      <c r="Y20" s="125" t="s">
        <v>6</v>
      </c>
      <c r="Z20" s="125" t="s">
        <v>22</v>
      </c>
      <c r="AA20" s="125" t="s">
        <v>2</v>
      </c>
      <c r="AB20" s="125"/>
      <c r="AC20" s="125"/>
      <c r="AD20" s="126">
        <f t="shared" ca="1" si="3"/>
        <v>23</v>
      </c>
      <c r="AE20" s="125" t="s">
        <v>149</v>
      </c>
      <c r="AF20" s="127" t="s">
        <v>37</v>
      </c>
      <c r="AG20" s="128"/>
      <c r="AH20" s="125" t="s">
        <v>149</v>
      </c>
      <c r="AI20" s="125" t="s">
        <v>150</v>
      </c>
      <c r="AJ20" s="126" t="str">
        <f t="shared" si="4"/>
        <v>EURYC</v>
      </c>
      <c r="AK20" s="126" t="str">
        <f t="shared" si="5"/>
        <v>EURDF_NOCSA</v>
      </c>
      <c r="AL20" s="125" t="s">
        <v>146</v>
      </c>
      <c r="AM20" s="160">
        <f t="shared" si="6"/>
        <v>0</v>
      </c>
      <c r="AN20" s="167">
        <f t="shared" si="7"/>
        <v>0.01</v>
      </c>
      <c r="AO20" s="172">
        <f ca="1">IF(NOW(),_xll.meProductSwapParRate(_xll.meUtilityLVBFromKeysValues($L$5:$AM$5,$L20:$AM20),FALSE))</f>
        <v>1.0300000861647956E-2</v>
      </c>
      <c r="AP20" s="161">
        <f ca="1">IF(NOW(),_xll.meProductSwapPV(_xll.meUtilityLVBFromKeysValues($J$5:$AN$5,$J20:$AN20),FALSE))</f>
        <v>4355.2391102286429</v>
      </c>
      <c r="AQ20" s="162">
        <f ca="1">IF(NOW(),_xll.meProductSwapPV01(_xll.meUtilityLVBFromKeysValues($J$5:$AL$5,$J20:$AL20),FALSE))</f>
        <v>1451.7422004405469</v>
      </c>
      <c r="AR20" t="s">
        <v>4</v>
      </c>
      <c r="AS20" s="137" t="str">
        <v>30Y</v>
      </c>
      <c r="AT20" s="139">
        <v>1.204E-2</v>
      </c>
      <c r="AU20" s="144" t="str">
        <f t="shared" si="8"/>
        <v>-</v>
      </c>
    </row>
    <row r="21" spans="1:47" x14ac:dyDescent="0.25">
      <c r="A21" s="120">
        <v>16</v>
      </c>
      <c r="B21" s="165">
        <f ca="1">IF(NOW(),_xll.meDateFromTenor(COB,$C21,$P21,$Q21))</f>
        <v>42423</v>
      </c>
      <c r="C21" s="129" t="s">
        <v>157</v>
      </c>
      <c r="D21" s="122" t="s">
        <v>17</v>
      </c>
      <c r="E21" s="124" t="s">
        <v>158</v>
      </c>
      <c r="F21" s="124" t="s">
        <v>162</v>
      </c>
      <c r="G21" s="124">
        <v>0.01</v>
      </c>
      <c r="H21" s="263">
        <v>0</v>
      </c>
      <c r="I21" s="153" t="s">
        <v>159</v>
      </c>
      <c r="J21" s="122">
        <v>1000000</v>
      </c>
      <c r="K21" s="123" t="s">
        <v>148</v>
      </c>
      <c r="L21" s="165">
        <f t="shared" ca="1" si="9"/>
        <v>42423</v>
      </c>
      <c r="M21" s="156" t="str">
        <f t="shared" si="10"/>
        <v>16Y</v>
      </c>
      <c r="N21" s="125" t="s">
        <v>26</v>
      </c>
      <c r="O21" s="125" t="s">
        <v>20</v>
      </c>
      <c r="P21" s="125" t="s">
        <v>22</v>
      </c>
      <c r="Q21" s="125" t="s">
        <v>2</v>
      </c>
      <c r="R21" s="125"/>
      <c r="S21" s="125"/>
      <c r="T21" s="126">
        <f t="shared" ca="1" si="0"/>
        <v>23</v>
      </c>
      <c r="U21" s="125" t="s">
        <v>149</v>
      </c>
      <c r="V21" s="125" t="s">
        <v>150</v>
      </c>
      <c r="W21" s="126" t="str">
        <f t="shared" si="1"/>
        <v>EUR6ML</v>
      </c>
      <c r="X21" s="126" t="str">
        <f t="shared" si="2"/>
        <v>Semi-Annual</v>
      </c>
      <c r="Y21" s="125" t="s">
        <v>6</v>
      </c>
      <c r="Z21" s="125" t="s">
        <v>22</v>
      </c>
      <c r="AA21" s="125" t="s">
        <v>2</v>
      </c>
      <c r="AB21" s="125"/>
      <c r="AC21" s="125"/>
      <c r="AD21" s="126">
        <f t="shared" ca="1" si="3"/>
        <v>23</v>
      </c>
      <c r="AE21" s="125" t="s">
        <v>149</v>
      </c>
      <c r="AF21" s="127" t="s">
        <v>37</v>
      </c>
      <c r="AG21" s="128"/>
      <c r="AH21" s="125" t="s">
        <v>149</v>
      </c>
      <c r="AI21" s="125" t="s">
        <v>150</v>
      </c>
      <c r="AJ21" s="126" t="str">
        <f t="shared" si="4"/>
        <v>EURYC</v>
      </c>
      <c r="AK21" s="126" t="str">
        <f t="shared" si="5"/>
        <v>EURDF_NOCSA</v>
      </c>
      <c r="AL21" s="125" t="s">
        <v>146</v>
      </c>
      <c r="AM21" s="160">
        <f t="shared" si="6"/>
        <v>0</v>
      </c>
      <c r="AN21" s="167">
        <f t="shared" si="7"/>
        <v>0.01</v>
      </c>
      <c r="AO21" s="172">
        <f ca="1">IF(NOW(),_xll.meProductSwapParRate(_xll.meUtilityLVBFromKeysValues($L$5:$AM$5,$L21:$AM21),FALSE))</f>
        <v>1.0695998241957466E-2</v>
      </c>
      <c r="AP21" s="161">
        <f ca="1">IF(NOW(),_xll.meProductSwapPV(_xll.meUtilityLVBFromKeysValues($J$5:$AN$5,$J21:$AN21),FALSE))</f>
        <v>10705.142186347966</v>
      </c>
      <c r="AQ21" s="162">
        <f ca="1">IF(NOW(),_xll.meProductSwapPV01(_xll.meUtilityLVBFromKeysValues($J$5:$AL$5,$J21:$AL21),FALSE))</f>
        <v>1538.099026836649</v>
      </c>
      <c r="AR21" t="s">
        <v>4</v>
      </c>
      <c r="AS21" s="137" t="str">
        <v>40Y</v>
      </c>
      <c r="AT21" s="139">
        <v>1.1859999999999999E-2</v>
      </c>
      <c r="AU21" s="144" t="str">
        <f t="shared" si="8"/>
        <v>-</v>
      </c>
    </row>
    <row r="22" spans="1:47" x14ac:dyDescent="0.25">
      <c r="A22" s="120">
        <v>17</v>
      </c>
      <c r="B22" s="165">
        <f ca="1">IF(NOW(),_xll.meDateFromTenor(COB,$C22,$P22,$Q22))</f>
        <v>42423</v>
      </c>
      <c r="C22" s="129" t="s">
        <v>157</v>
      </c>
      <c r="D22" s="122" t="s">
        <v>17</v>
      </c>
      <c r="E22" s="124" t="s">
        <v>158</v>
      </c>
      <c r="F22" s="124" t="s">
        <v>163</v>
      </c>
      <c r="G22" s="124">
        <v>0.01</v>
      </c>
      <c r="H22" s="263">
        <v>0</v>
      </c>
      <c r="I22" s="153" t="s">
        <v>159</v>
      </c>
      <c r="J22" s="122">
        <v>1000000</v>
      </c>
      <c r="K22" s="123" t="s">
        <v>148</v>
      </c>
      <c r="L22" s="165">
        <f t="shared" ca="1" si="9"/>
        <v>42423</v>
      </c>
      <c r="M22" s="156" t="str">
        <f t="shared" si="10"/>
        <v>17Y</v>
      </c>
      <c r="N22" s="125" t="s">
        <v>26</v>
      </c>
      <c r="O22" s="125" t="s">
        <v>20</v>
      </c>
      <c r="P22" s="125" t="s">
        <v>22</v>
      </c>
      <c r="Q22" s="125" t="s">
        <v>2</v>
      </c>
      <c r="R22" s="125"/>
      <c r="S22" s="125"/>
      <c r="T22" s="126">
        <f t="shared" ca="1" si="0"/>
        <v>23</v>
      </c>
      <c r="U22" s="125" t="s">
        <v>149</v>
      </c>
      <c r="V22" s="125" t="s">
        <v>150</v>
      </c>
      <c r="W22" s="126" t="str">
        <f t="shared" si="1"/>
        <v>EUR6ML</v>
      </c>
      <c r="X22" s="126" t="str">
        <f t="shared" si="2"/>
        <v>Semi-Annual</v>
      </c>
      <c r="Y22" s="125" t="s">
        <v>6</v>
      </c>
      <c r="Z22" s="125" t="s">
        <v>22</v>
      </c>
      <c r="AA22" s="125" t="s">
        <v>2</v>
      </c>
      <c r="AB22" s="125"/>
      <c r="AC22" s="125"/>
      <c r="AD22" s="126">
        <f t="shared" ca="1" si="3"/>
        <v>23</v>
      </c>
      <c r="AE22" s="125" t="s">
        <v>149</v>
      </c>
      <c r="AF22" s="127" t="s">
        <v>37</v>
      </c>
      <c r="AG22" s="128"/>
      <c r="AH22" s="125" t="s">
        <v>149</v>
      </c>
      <c r="AI22" s="125" t="s">
        <v>150</v>
      </c>
      <c r="AJ22" s="126" t="str">
        <f t="shared" si="4"/>
        <v>EURYC</v>
      </c>
      <c r="AK22" s="126" t="str">
        <f t="shared" si="5"/>
        <v>EURDF_NOCSA</v>
      </c>
      <c r="AL22" s="125" t="s">
        <v>146</v>
      </c>
      <c r="AM22" s="160">
        <f t="shared" si="6"/>
        <v>0</v>
      </c>
      <c r="AN22" s="167">
        <f t="shared" si="7"/>
        <v>0.01</v>
      </c>
      <c r="AO22" s="172">
        <f ca="1">IF(NOW(),_xll.meProductSwapParRate(_xll.meUtilityLVBFromKeysValues($L$5:$AM$5,$L22:$AM22),FALSE))</f>
        <v>1.1020699154190641E-2</v>
      </c>
      <c r="AP22" s="161">
        <f ca="1">IF(NOW(),_xll.meProductSwapPV(_xll.meUtilityLVBFromKeysValues($J$5:$AN$5,$J22:$AN22),FALSE))</f>
        <v>16569.152614343995</v>
      </c>
      <c r="AQ22" s="162">
        <f ca="1">IF(NOW(),_xll.meProductSwapPV01(_xll.meUtilityLVBFromKeysValues($J$5:$AL$5,$J22:$AL22),FALSE))</f>
        <v>1623.3140339459228</v>
      </c>
      <c r="AR22" t="s">
        <v>4</v>
      </c>
      <c r="AS22" s="137" t="str">
        <v>50Y</v>
      </c>
      <c r="AT22" s="139">
        <v>1.1200000000000002E-2</v>
      </c>
      <c r="AU22" s="144" t="str">
        <f t="shared" si="8"/>
        <v>-</v>
      </c>
    </row>
    <row r="23" spans="1:47" x14ac:dyDescent="0.25">
      <c r="A23" s="120">
        <v>18</v>
      </c>
      <c r="B23" s="165">
        <f ca="1">IF(NOW(),_xll.meDateFromTenor(COB,$C23,$P23,$Q23))</f>
        <v>42423</v>
      </c>
      <c r="C23" s="129" t="s">
        <v>157</v>
      </c>
      <c r="D23" s="122" t="s">
        <v>17</v>
      </c>
      <c r="E23" s="124" t="s">
        <v>158</v>
      </c>
      <c r="F23" s="124" t="s">
        <v>164</v>
      </c>
      <c r="G23" s="124">
        <v>0.01</v>
      </c>
      <c r="H23" s="263">
        <v>0</v>
      </c>
      <c r="I23" s="153" t="s">
        <v>159</v>
      </c>
      <c r="J23" s="122">
        <v>1000000</v>
      </c>
      <c r="K23" s="123" t="s">
        <v>148</v>
      </c>
      <c r="L23" s="165">
        <f t="shared" ca="1" si="9"/>
        <v>42423</v>
      </c>
      <c r="M23" s="156" t="str">
        <f t="shared" si="10"/>
        <v>18Y</v>
      </c>
      <c r="N23" s="125" t="s">
        <v>26</v>
      </c>
      <c r="O23" s="125" t="s">
        <v>20</v>
      </c>
      <c r="P23" s="125" t="s">
        <v>22</v>
      </c>
      <c r="Q23" s="125" t="s">
        <v>2</v>
      </c>
      <c r="R23" s="125"/>
      <c r="S23" s="125"/>
      <c r="T23" s="126">
        <f t="shared" ca="1" si="0"/>
        <v>23</v>
      </c>
      <c r="U23" s="125" t="s">
        <v>149</v>
      </c>
      <c r="V23" s="125" t="s">
        <v>150</v>
      </c>
      <c r="W23" s="126" t="str">
        <f t="shared" si="1"/>
        <v>EUR6ML</v>
      </c>
      <c r="X23" s="126" t="str">
        <f t="shared" si="2"/>
        <v>Semi-Annual</v>
      </c>
      <c r="Y23" s="125" t="s">
        <v>6</v>
      </c>
      <c r="Z23" s="125" t="s">
        <v>22</v>
      </c>
      <c r="AA23" s="125" t="s">
        <v>2</v>
      </c>
      <c r="AB23" s="125"/>
      <c r="AC23" s="125"/>
      <c r="AD23" s="126">
        <f t="shared" ca="1" si="3"/>
        <v>23</v>
      </c>
      <c r="AE23" s="125" t="s">
        <v>149</v>
      </c>
      <c r="AF23" s="127" t="s">
        <v>37</v>
      </c>
      <c r="AG23" s="128"/>
      <c r="AH23" s="125" t="s">
        <v>149</v>
      </c>
      <c r="AI23" s="125" t="s">
        <v>150</v>
      </c>
      <c r="AJ23" s="126" t="str">
        <f t="shared" si="4"/>
        <v>EURYC</v>
      </c>
      <c r="AK23" s="126" t="str">
        <f t="shared" si="5"/>
        <v>EURDF_NOCSA</v>
      </c>
      <c r="AL23" s="125" t="s">
        <v>146</v>
      </c>
      <c r="AM23" s="160">
        <f t="shared" si="6"/>
        <v>0</v>
      </c>
      <c r="AN23" s="167">
        <f t="shared" si="7"/>
        <v>0.01</v>
      </c>
      <c r="AO23" s="172">
        <f ca="1">IF(NOW(),_xll.meProductSwapParRate(_xll.meUtilityLVBFromKeysValues($L$5:$AM$5,$L23:$AM23),FALSE))</f>
        <v>1.128354179522509E-2</v>
      </c>
      <c r="AP23" s="161">
        <f ca="1">IF(NOW(),_xll.meProductSwapPV(_xll.meUtilityLVBFromKeysValues($J$5:$AN$5,$J23:$AN23),FALSE))</f>
        <v>21913.121837040973</v>
      </c>
      <c r="AQ23" s="162">
        <f ca="1">IF(NOW(),_xll.meProductSwapPV01(_xll.meUtilityLVBFromKeysValues($J$5:$AL$5,$J23:$AL23),FALSE))</f>
        <v>1707.2386671443121</v>
      </c>
      <c r="AR23" t="s">
        <v>4</v>
      </c>
      <c r="AS23" s="137"/>
      <c r="AT23" s="139"/>
      <c r="AU23" s="144" t="str">
        <f t="shared" si="8"/>
        <v>-</v>
      </c>
    </row>
    <row r="24" spans="1:47" x14ac:dyDescent="0.25">
      <c r="A24" s="120">
        <v>19</v>
      </c>
      <c r="B24" s="165">
        <f ca="1">IF(NOW(),_xll.meDateFromTenor(COB,$C24,$P24,$Q24))</f>
        <v>42423</v>
      </c>
      <c r="C24" s="129" t="s">
        <v>157</v>
      </c>
      <c r="D24" s="122" t="s">
        <v>17</v>
      </c>
      <c r="E24" s="124" t="s">
        <v>158</v>
      </c>
      <c r="F24" s="124" t="s">
        <v>165</v>
      </c>
      <c r="G24" s="124">
        <v>0.01</v>
      </c>
      <c r="H24" s="263">
        <v>0</v>
      </c>
      <c r="I24" s="153" t="s">
        <v>159</v>
      </c>
      <c r="J24" s="122">
        <v>1000000</v>
      </c>
      <c r="K24" s="123" t="s">
        <v>148</v>
      </c>
      <c r="L24" s="165">
        <f t="shared" ca="1" si="9"/>
        <v>42423</v>
      </c>
      <c r="M24" s="156" t="str">
        <f t="shared" si="10"/>
        <v>19Y</v>
      </c>
      <c r="N24" s="125" t="s">
        <v>26</v>
      </c>
      <c r="O24" s="125" t="s">
        <v>20</v>
      </c>
      <c r="P24" s="125" t="s">
        <v>22</v>
      </c>
      <c r="Q24" s="125" t="s">
        <v>2</v>
      </c>
      <c r="R24" s="125"/>
      <c r="S24" s="125"/>
      <c r="T24" s="126">
        <f t="shared" ca="1" si="0"/>
        <v>23</v>
      </c>
      <c r="U24" s="125" t="s">
        <v>149</v>
      </c>
      <c r="V24" s="125" t="s">
        <v>150</v>
      </c>
      <c r="W24" s="126" t="str">
        <f t="shared" si="1"/>
        <v>EUR6ML</v>
      </c>
      <c r="X24" s="126" t="str">
        <f t="shared" si="2"/>
        <v>Semi-Annual</v>
      </c>
      <c r="Y24" s="125" t="s">
        <v>6</v>
      </c>
      <c r="Z24" s="125" t="s">
        <v>22</v>
      </c>
      <c r="AA24" s="125" t="s">
        <v>2</v>
      </c>
      <c r="AB24" s="125"/>
      <c r="AC24" s="125"/>
      <c r="AD24" s="126">
        <f t="shared" ca="1" si="3"/>
        <v>23</v>
      </c>
      <c r="AE24" s="125" t="s">
        <v>149</v>
      </c>
      <c r="AF24" s="127" t="s">
        <v>37</v>
      </c>
      <c r="AG24" s="128"/>
      <c r="AH24" s="125" t="s">
        <v>149</v>
      </c>
      <c r="AI24" s="125" t="s">
        <v>150</v>
      </c>
      <c r="AJ24" s="126" t="str">
        <f t="shared" si="4"/>
        <v>EURYC</v>
      </c>
      <c r="AK24" s="126" t="str">
        <f t="shared" si="5"/>
        <v>EURDF_NOCSA</v>
      </c>
      <c r="AL24" s="125" t="s">
        <v>146</v>
      </c>
      <c r="AM24" s="160">
        <f t="shared" si="6"/>
        <v>0</v>
      </c>
      <c r="AN24" s="167">
        <f t="shared" si="7"/>
        <v>0.01</v>
      </c>
      <c r="AO24" s="172">
        <f ca="1">IF(NOW(),_xll.meProductSwapParRate(_xll.meUtilityLVBFromKeysValues($L$5:$AM$5,$L24:$AM24),FALSE))</f>
        <v>1.149406931283883E-2</v>
      </c>
      <c r="AP24" s="161">
        <f ca="1">IF(NOW(),_xll.meProductSwapPV(_xll.meUtilityLVBFromKeysValues($J$5:$AN$5,$J24:$AN24),FALSE))</f>
        <v>26742.87670739539</v>
      </c>
      <c r="AQ24" s="162">
        <f ca="1">IF(NOW(),_xll.meProductSwapPV01(_xll.meUtilityLVBFromKeysValues($J$5:$AL$5,$J24:$AL24),FALSE))</f>
        <v>1789.9354787350633</v>
      </c>
      <c r="AR24" t="s">
        <v>4</v>
      </c>
      <c r="AS24" s="137"/>
      <c r="AT24" s="139"/>
      <c r="AU24" s="144" t="str">
        <f t="shared" si="8"/>
        <v>-</v>
      </c>
    </row>
    <row r="25" spans="1:47" x14ac:dyDescent="0.25">
      <c r="A25" s="120">
        <v>20</v>
      </c>
      <c r="B25" s="168">
        <f ca="1">IF(NOW(),_xll.meDateFromTenor(COB,$C25,$P25,$Q25))</f>
        <v>42423</v>
      </c>
      <c r="C25" s="175" t="s">
        <v>157</v>
      </c>
      <c r="D25" s="130" t="s">
        <v>17</v>
      </c>
      <c r="E25" s="132" t="s">
        <v>158</v>
      </c>
      <c r="F25" s="132" t="s">
        <v>65</v>
      </c>
      <c r="G25" s="132">
        <v>0.01</v>
      </c>
      <c r="H25" s="264">
        <v>0</v>
      </c>
      <c r="I25" s="163" t="s">
        <v>159</v>
      </c>
      <c r="J25" s="130">
        <v>1000000</v>
      </c>
      <c r="K25" s="131" t="s">
        <v>148</v>
      </c>
      <c r="L25" s="168">
        <f t="shared" ca="1" si="9"/>
        <v>42423</v>
      </c>
      <c r="M25" s="176" t="str">
        <f t="shared" si="10"/>
        <v>20Y</v>
      </c>
      <c r="N25" s="133" t="s">
        <v>26</v>
      </c>
      <c r="O25" s="133" t="s">
        <v>20</v>
      </c>
      <c r="P25" s="133" t="s">
        <v>22</v>
      </c>
      <c r="Q25" s="133" t="s">
        <v>2</v>
      </c>
      <c r="R25" s="133"/>
      <c r="S25" s="133"/>
      <c r="T25" s="134">
        <f t="shared" ca="1" si="0"/>
        <v>23</v>
      </c>
      <c r="U25" s="133" t="s">
        <v>149</v>
      </c>
      <c r="V25" s="133" t="s">
        <v>150</v>
      </c>
      <c r="W25" s="134" t="str">
        <f t="shared" si="1"/>
        <v>EUR6ML</v>
      </c>
      <c r="X25" s="134" t="str">
        <f t="shared" si="2"/>
        <v>Semi-Annual</v>
      </c>
      <c r="Y25" s="133" t="s">
        <v>6</v>
      </c>
      <c r="Z25" s="133" t="s">
        <v>22</v>
      </c>
      <c r="AA25" s="133" t="s">
        <v>2</v>
      </c>
      <c r="AB25" s="133"/>
      <c r="AC25" s="133"/>
      <c r="AD25" s="134">
        <f t="shared" ca="1" si="3"/>
        <v>23</v>
      </c>
      <c r="AE25" s="133" t="s">
        <v>149</v>
      </c>
      <c r="AF25" s="135" t="s">
        <v>37</v>
      </c>
      <c r="AG25" s="136"/>
      <c r="AH25" s="133" t="s">
        <v>149</v>
      </c>
      <c r="AI25" s="133" t="s">
        <v>150</v>
      </c>
      <c r="AJ25" s="134" t="str">
        <f t="shared" si="4"/>
        <v>EURYC</v>
      </c>
      <c r="AK25" s="134" t="str">
        <f t="shared" si="5"/>
        <v>EURDF_NOCSA</v>
      </c>
      <c r="AL25" s="133" t="s">
        <v>146</v>
      </c>
      <c r="AM25" s="164">
        <f t="shared" si="6"/>
        <v>0</v>
      </c>
      <c r="AN25" s="169">
        <f t="shared" si="7"/>
        <v>0.01</v>
      </c>
      <c r="AO25" s="172">
        <f ca="1">IF(NOW(),_xll.meProductSwapParRate(_xll.meUtilityLVBFromKeysValues($L$5:$AM$5,$L25:$AM25),FALSE))</f>
        <v>1.1660001352831163E-2</v>
      </c>
      <c r="AP25" s="161">
        <f ca="1">IF(NOW(),_xll.meProductSwapPV(_xll.meUtilityLVBFromKeysValues($J$5:$AN$5,$J25:$AN25),FALSE))</f>
        <v>31073.174457563939</v>
      </c>
      <c r="AQ25" s="162">
        <f ca="1">IF(NOW(),_xll.meProductSwapPV01(_xll.meUtilityLVBFromKeysValues($J$5:$AL$5,$J25:$AL25),FALSE))</f>
        <v>1871.8764538696346</v>
      </c>
      <c r="AR25" t="s">
        <v>4</v>
      </c>
      <c r="AS25" s="138"/>
      <c r="AT25" s="140"/>
      <c r="AU25" s="173" t="str">
        <f t="shared" si="8"/>
        <v>-</v>
      </c>
    </row>
    <row r="26" spans="1:47" x14ac:dyDescent="0.25">
      <c r="AO26" s="151"/>
    </row>
    <row r="27" spans="1:47" x14ac:dyDescent="0.25">
      <c r="AO27" s="151"/>
    </row>
    <row r="37" spans="7:7" x14ac:dyDescent="0.25">
      <c r="G37" s="63"/>
    </row>
  </sheetData>
  <mergeCells count="2">
    <mergeCell ref="AP2:AQ2"/>
    <mergeCell ref="AP3:AQ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00"/>
  </sheetPr>
  <dimension ref="B1:CD26"/>
  <sheetViews>
    <sheetView showGridLines="0" zoomScaleNormal="100" workbookViewId="0"/>
  </sheetViews>
  <sheetFormatPr defaultRowHeight="15" outlineLevelCol="1" x14ac:dyDescent="0.25"/>
  <cols>
    <col min="2" max="2" width="17" customWidth="1"/>
    <col min="3" max="3" width="12.5703125" customWidth="1"/>
    <col min="4" max="4" width="11.140625" customWidth="1"/>
    <col min="5" max="6" width="9.85546875" customWidth="1"/>
    <col min="7" max="7" width="9.85546875" bestFit="1" customWidth="1"/>
    <col min="8" max="8" width="11.5703125" bestFit="1" customWidth="1"/>
    <col min="10" max="10" width="13.85546875" bestFit="1" customWidth="1"/>
    <col min="11" max="11" width="9.140625" hidden="1" customWidth="1" outlineLevel="1"/>
    <col min="12" max="12" width="14" style="260" hidden="1" customWidth="1" outlineLevel="1"/>
    <col min="13" max="13" width="10.85546875" style="260" hidden="1" customWidth="1" outlineLevel="1"/>
    <col min="14" max="14" width="17.85546875" style="260" hidden="1" customWidth="1" outlineLevel="1"/>
    <col min="15" max="15" width="11.140625" style="260" hidden="1" customWidth="1" outlineLevel="1"/>
    <col min="16" max="19" width="9.140625" style="260" hidden="1" customWidth="1" outlineLevel="1"/>
    <col min="20" max="20" width="18" style="260" hidden="1" customWidth="1" outlineLevel="1"/>
    <col min="21" max="22" width="9.140625" style="260" hidden="1" customWidth="1" outlineLevel="1"/>
    <col min="23" max="23" width="10.140625" style="260" hidden="1" customWidth="1" outlineLevel="1"/>
    <col min="24" max="24" width="9.7109375" style="260" hidden="1" customWidth="1" outlineLevel="1"/>
    <col min="25" max="25" width="11.5703125" style="260" hidden="1" customWidth="1" outlineLevel="1"/>
    <col min="26" max="26" width="13.140625" style="260" hidden="1" customWidth="1" outlineLevel="1"/>
    <col min="27" max="27" width="12.7109375" style="260" hidden="1" customWidth="1" outlineLevel="1"/>
    <col min="28" max="28" width="10.28515625" style="260" hidden="1" customWidth="1" outlineLevel="1"/>
    <col min="29" max="29" width="9.140625" style="260" hidden="1" customWidth="1" outlineLevel="1"/>
    <col min="30" max="30" width="28.28515625" style="260" hidden="1" customWidth="1" outlineLevel="1"/>
    <col min="31" max="31" width="14.28515625" style="260" hidden="1" customWidth="1" outlineLevel="1"/>
    <col min="32" max="32" width="29.42578125" style="260" hidden="1" customWidth="1" outlineLevel="1"/>
    <col min="33" max="33" width="15.42578125" style="260" hidden="1" customWidth="1" outlineLevel="1"/>
    <col min="34" max="34" width="31" style="260" hidden="1" customWidth="1" outlineLevel="1"/>
    <col min="35" max="35" width="16.85546875" style="260" hidden="1" customWidth="1" outlineLevel="1"/>
    <col min="36" max="36" width="13.140625" style="260" hidden="1" customWidth="1" outlineLevel="1"/>
    <col min="37" max="37" width="12.5703125" style="260" hidden="1" customWidth="1" outlineLevel="1"/>
    <col min="38" max="38" width="8.85546875" style="260" hidden="1" customWidth="1" outlineLevel="1"/>
    <col min="39" max="39" width="9.140625" style="260" hidden="1" customWidth="1" outlineLevel="1"/>
    <col min="40" max="40" width="11.7109375" style="260" hidden="1" customWidth="1" outlineLevel="1"/>
    <col min="41" max="41" width="9.85546875" style="260" hidden="1" customWidth="1" outlineLevel="1"/>
    <col min="42" max="42" width="9.140625" style="260" hidden="1" customWidth="1" outlineLevel="1"/>
    <col min="43" max="43" width="12.42578125" style="260" hidden="1" customWidth="1" outlineLevel="1"/>
    <col min="44" max="44" width="11.7109375" style="260" hidden="1" customWidth="1" outlineLevel="1"/>
    <col min="45" max="45" width="17.28515625" style="260" hidden="1" customWidth="1" outlineLevel="1"/>
    <col min="46" max="46" width="11.140625" style="260" hidden="1" customWidth="1" outlineLevel="1"/>
    <col min="47" max="47" width="15.28515625" style="260" hidden="1" customWidth="1" outlineLevel="1"/>
    <col min="48" max="48" width="13.7109375" style="260" hidden="1" customWidth="1" outlineLevel="1"/>
    <col min="49" max="49" width="14" style="260" hidden="1" customWidth="1" outlineLevel="1"/>
    <col min="50" max="50" width="8.85546875" style="260" hidden="1" customWidth="1" outlineLevel="1"/>
    <col min="51" max="51" width="18" style="260" hidden="1" customWidth="1" outlineLevel="1"/>
    <col min="52" max="52" width="9" style="260" hidden="1" customWidth="1" outlineLevel="1"/>
    <col min="53" max="53" width="9.85546875" style="260" hidden="1" customWidth="1" outlineLevel="1"/>
    <col min="54" max="54" width="10.140625" style="260" hidden="1" customWidth="1" outlineLevel="1"/>
    <col min="55" max="55" width="9.7109375" style="260" hidden="1" customWidth="1" outlineLevel="1"/>
    <col min="56" max="56" width="11.5703125" style="260" hidden="1" customWidth="1" outlineLevel="1"/>
    <col min="57" max="57" width="13.5703125" style="260" hidden="1" customWidth="1" outlineLevel="1"/>
    <col min="58" max="58" width="12.7109375" style="260" hidden="1" customWidth="1" outlineLevel="1"/>
    <col min="59" max="59" width="12.42578125" style="260" hidden="1" customWidth="1" outlineLevel="1"/>
    <col min="60" max="60" width="9.28515625" style="260" hidden="1" customWidth="1" outlineLevel="1"/>
    <col min="61" max="61" width="28.28515625" style="260" hidden="1" customWidth="1" outlineLevel="1"/>
    <col min="62" max="62" width="14.28515625" style="260" hidden="1" customWidth="1" outlineLevel="1"/>
    <col min="63" max="63" width="29.42578125" style="260" hidden="1" customWidth="1" outlineLevel="1"/>
    <col min="64" max="64" width="15.42578125" style="260" hidden="1" customWidth="1" outlineLevel="1"/>
    <col min="65" max="65" width="31" style="260" hidden="1" customWidth="1" outlineLevel="1"/>
    <col min="66" max="66" width="16.85546875" style="260" hidden="1" customWidth="1" outlineLevel="1"/>
    <col min="67" max="67" width="13.140625" style="260" hidden="1" customWidth="1" outlineLevel="1"/>
    <col min="68" max="68" width="12.5703125" style="260" hidden="1" customWidth="1" outlineLevel="1"/>
    <col min="69" max="69" width="8.85546875" style="260" hidden="1" customWidth="1" outlineLevel="1"/>
    <col min="70" max="70" width="9.140625" style="260" hidden="1" customWidth="1" outlineLevel="1"/>
    <col min="71" max="71" width="11.7109375" style="260" hidden="1" customWidth="1" outlineLevel="1"/>
    <col min="72" max="72" width="9.85546875" style="260" hidden="1" customWidth="1" outlineLevel="1"/>
    <col min="73" max="73" width="9.140625" collapsed="1"/>
    <col min="74" max="74" width="13.42578125" customWidth="1"/>
    <col min="75" max="76" width="14.7109375" customWidth="1"/>
    <col min="77" max="77" width="13.140625" customWidth="1"/>
    <col min="78" max="78" width="13.85546875" customWidth="1"/>
    <col min="80" max="81" width="12.28515625" customWidth="1"/>
    <col min="82" max="82" width="15" customWidth="1"/>
  </cols>
  <sheetData>
    <row r="1" spans="2:82" ht="15" customHeight="1" x14ac:dyDescent="0.25">
      <c r="BU1" s="256" t="s">
        <v>281</v>
      </c>
    </row>
    <row r="2" spans="2:82" ht="15" customHeight="1" x14ac:dyDescent="0.25">
      <c r="BU2" s="256"/>
    </row>
    <row r="3" spans="2:82" s="185" customFormat="1" ht="15" customHeight="1" x14ac:dyDescent="0.3">
      <c r="B3" s="332" t="s">
        <v>283</v>
      </c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  <c r="BO3" s="333"/>
      <c r="BP3" s="333"/>
      <c r="BQ3" s="333"/>
      <c r="BR3" s="333"/>
      <c r="BS3" s="333"/>
      <c r="BT3" s="333"/>
      <c r="BV3" s="331" t="s">
        <v>282</v>
      </c>
      <c r="CB3" s="331" t="s">
        <v>166</v>
      </c>
    </row>
    <row r="4" spans="2:82" ht="15" customHeight="1" x14ac:dyDescent="0.25">
      <c r="L4" s="261" t="s">
        <v>278</v>
      </c>
      <c r="AQ4" s="261" t="s">
        <v>279</v>
      </c>
      <c r="CC4" s="259"/>
    </row>
    <row r="5" spans="2:82" ht="15" customHeight="1" x14ac:dyDescent="0.25">
      <c r="L5" s="261"/>
      <c r="AQ5" s="261"/>
      <c r="CC5" s="259"/>
    </row>
    <row r="6" spans="2:82" ht="15" customHeight="1" x14ac:dyDescent="0.25">
      <c r="B6" s="268" t="s">
        <v>172</v>
      </c>
      <c r="C6" s="269" t="s">
        <v>173</v>
      </c>
      <c r="D6" s="269" t="s">
        <v>16</v>
      </c>
      <c r="E6" s="269" t="s">
        <v>186</v>
      </c>
      <c r="F6" s="269" t="s">
        <v>200</v>
      </c>
      <c r="G6" s="269" t="s">
        <v>174</v>
      </c>
      <c r="H6" s="269" t="s">
        <v>199</v>
      </c>
      <c r="I6" s="269" t="s">
        <v>147</v>
      </c>
      <c r="J6" s="270" t="s">
        <v>170</v>
      </c>
      <c r="L6" s="265" t="s">
        <v>216</v>
      </c>
      <c r="M6" s="266" t="s">
        <v>147</v>
      </c>
      <c r="N6" s="266" t="s">
        <v>212</v>
      </c>
      <c r="O6" s="266" t="s">
        <v>243</v>
      </c>
      <c r="P6" s="266" t="s">
        <v>88</v>
      </c>
      <c r="Q6" s="266" t="s">
        <v>175</v>
      </c>
      <c r="R6" s="266" t="s">
        <v>198</v>
      </c>
      <c r="S6" s="266" t="s">
        <v>16</v>
      </c>
      <c r="T6" s="266" t="s">
        <v>222</v>
      </c>
      <c r="U6" s="266" t="s">
        <v>210</v>
      </c>
      <c r="V6" s="266" t="s">
        <v>174</v>
      </c>
      <c r="W6" s="266" t="s">
        <v>223</v>
      </c>
      <c r="X6" s="266" t="s">
        <v>224</v>
      </c>
      <c r="Y6" s="266" t="s">
        <v>199</v>
      </c>
      <c r="Z6" s="266" t="s">
        <v>172</v>
      </c>
      <c r="AA6" s="266" t="s">
        <v>171</v>
      </c>
      <c r="AB6" s="266" t="s">
        <v>27</v>
      </c>
      <c r="AC6" s="266" t="s">
        <v>18</v>
      </c>
      <c r="AD6" s="266" t="s">
        <v>225</v>
      </c>
      <c r="AE6" s="266" t="s">
        <v>226</v>
      </c>
      <c r="AF6" s="266" t="s">
        <v>205</v>
      </c>
      <c r="AG6" s="266" t="s">
        <v>206</v>
      </c>
      <c r="AH6" s="266" t="s">
        <v>227</v>
      </c>
      <c r="AI6" s="266" t="s">
        <v>228</v>
      </c>
      <c r="AJ6" s="266" t="s">
        <v>229</v>
      </c>
      <c r="AK6" s="266" t="s">
        <v>230</v>
      </c>
      <c r="AL6" s="266" t="s">
        <v>207</v>
      </c>
      <c r="AM6" s="266" t="s">
        <v>231</v>
      </c>
      <c r="AN6" s="266" t="s">
        <v>232</v>
      </c>
      <c r="AO6" s="267" t="s">
        <v>233</v>
      </c>
      <c r="AQ6" s="315" t="s">
        <v>216</v>
      </c>
      <c r="AR6" s="316" t="s">
        <v>147</v>
      </c>
      <c r="AS6" s="316" t="s">
        <v>212</v>
      </c>
      <c r="AT6" s="316" t="s">
        <v>243</v>
      </c>
      <c r="AU6" s="316" t="s">
        <v>88</v>
      </c>
      <c r="AV6" s="316" t="s">
        <v>175</v>
      </c>
      <c r="AW6" s="316" t="s">
        <v>198</v>
      </c>
      <c r="AX6" s="316" t="s">
        <v>16</v>
      </c>
      <c r="AY6" s="316" t="s">
        <v>222</v>
      </c>
      <c r="AZ6" s="316" t="s">
        <v>210</v>
      </c>
      <c r="BA6" s="316" t="s">
        <v>174</v>
      </c>
      <c r="BB6" s="316" t="s">
        <v>223</v>
      </c>
      <c r="BC6" s="316" t="s">
        <v>224</v>
      </c>
      <c r="BD6" s="316" t="s">
        <v>199</v>
      </c>
      <c r="BE6" s="316" t="s">
        <v>172</v>
      </c>
      <c r="BF6" s="316" t="s">
        <v>171</v>
      </c>
      <c r="BG6" s="316" t="s">
        <v>27</v>
      </c>
      <c r="BH6" s="316" t="s">
        <v>18</v>
      </c>
      <c r="BI6" s="316" t="s">
        <v>225</v>
      </c>
      <c r="BJ6" s="316" t="s">
        <v>226</v>
      </c>
      <c r="BK6" s="316" t="s">
        <v>205</v>
      </c>
      <c r="BL6" s="316" t="s">
        <v>206</v>
      </c>
      <c r="BM6" s="316" t="s">
        <v>227</v>
      </c>
      <c r="BN6" s="316" t="s">
        <v>228</v>
      </c>
      <c r="BO6" s="316" t="s">
        <v>229</v>
      </c>
      <c r="BP6" s="316" t="s">
        <v>230</v>
      </c>
      <c r="BQ6" s="316" t="s">
        <v>207</v>
      </c>
      <c r="BR6" s="316" t="s">
        <v>231</v>
      </c>
      <c r="BS6" s="316" t="s">
        <v>232</v>
      </c>
      <c r="BT6" s="317" t="s">
        <v>233</v>
      </c>
      <c r="BV6" s="325" t="s">
        <v>211</v>
      </c>
      <c r="BW6" s="326" t="s">
        <v>280</v>
      </c>
      <c r="BX6" s="326" t="s">
        <v>284</v>
      </c>
      <c r="BY6" s="326" t="s">
        <v>152</v>
      </c>
      <c r="BZ6" s="327" t="s">
        <v>215</v>
      </c>
      <c r="CB6" s="141" t="str">
        <f t="array" ref="CB6:CC23">'EUR SWAP 6ML'!F93:G111</f>
        <v>Term</v>
      </c>
      <c r="CC6" s="143" t="str">
        <v>Rate</v>
      </c>
      <c r="CD6" s="142" t="s">
        <v>167</v>
      </c>
    </row>
    <row r="7" spans="2:82" ht="15" customHeight="1" x14ac:dyDescent="0.25">
      <c r="B7" s="282">
        <f ca="1">IF(NOW(),_xll.meDateFromTenor(COB,$C7,$AH7,$AI7))</f>
        <v>42423</v>
      </c>
      <c r="C7" s="271" t="s">
        <v>157</v>
      </c>
      <c r="D7" s="272" t="s">
        <v>17</v>
      </c>
      <c r="E7" s="273" t="s">
        <v>143</v>
      </c>
      <c r="F7" s="273" t="s">
        <v>140</v>
      </c>
      <c r="G7" s="274">
        <v>0.01</v>
      </c>
      <c r="H7" s="275">
        <v>0</v>
      </c>
      <c r="I7" s="272">
        <v>1000000</v>
      </c>
      <c r="J7" s="276" t="s">
        <v>148</v>
      </c>
      <c r="L7" s="285" t="s">
        <v>258</v>
      </c>
      <c r="M7" s="286">
        <f>$I7</f>
        <v>1000000</v>
      </c>
      <c r="N7" s="287" t="s">
        <v>213</v>
      </c>
      <c r="O7" s="287" t="str">
        <f>IF($J7="PAYER","PAY","RECEIVE")</f>
        <v>PAY</v>
      </c>
      <c r="P7" s="287" t="s">
        <v>80</v>
      </c>
      <c r="Q7" s="287" t="s">
        <v>143</v>
      </c>
      <c r="R7" s="287" t="s">
        <v>244</v>
      </c>
      <c r="S7" s="287" t="s">
        <v>17</v>
      </c>
      <c r="T7" s="287" t="s">
        <v>220</v>
      </c>
      <c r="U7" s="288">
        <v>1</v>
      </c>
      <c r="V7" s="289">
        <f>$G7</f>
        <v>0.01</v>
      </c>
      <c r="W7" s="287"/>
      <c r="X7" s="287"/>
      <c r="Y7" s="287"/>
      <c r="Z7" s="290">
        <f ca="1">$B7</f>
        <v>42423</v>
      </c>
      <c r="AA7" s="291" t="str">
        <f>$F7</f>
        <v>1Y</v>
      </c>
      <c r="AB7" s="287" t="s">
        <v>26</v>
      </c>
      <c r="AC7" s="287" t="s">
        <v>20</v>
      </c>
      <c r="AD7" s="287"/>
      <c r="AE7" s="287"/>
      <c r="AF7" s="287" t="s">
        <v>22</v>
      </c>
      <c r="AG7" s="287" t="s">
        <v>2</v>
      </c>
      <c r="AH7" s="287" t="s">
        <v>22</v>
      </c>
      <c r="AI7" s="287" t="s">
        <v>2</v>
      </c>
      <c r="AJ7" s="287"/>
      <c r="AK7" s="287"/>
      <c r="AL7" s="287" t="s">
        <v>209</v>
      </c>
      <c r="AM7" s="287"/>
      <c r="AN7" s="287" t="s">
        <v>149</v>
      </c>
      <c r="AO7" s="292" t="s">
        <v>150</v>
      </c>
      <c r="AQ7" s="285" t="s">
        <v>259</v>
      </c>
      <c r="AR7" s="286">
        <f>$I7</f>
        <v>1000000</v>
      </c>
      <c r="AS7" s="287" t="s">
        <v>213</v>
      </c>
      <c r="AT7" s="287" t="str">
        <f>IF($J7="PAYER","RECEIVE","PAY")</f>
        <v>RECEIVE</v>
      </c>
      <c r="AU7" s="287" t="s">
        <v>80</v>
      </c>
      <c r="AV7" s="287" t="s">
        <v>143</v>
      </c>
      <c r="AW7" s="287" t="s">
        <v>244</v>
      </c>
      <c r="AX7" s="287" t="s">
        <v>17</v>
      </c>
      <c r="AY7" s="287" t="s">
        <v>220</v>
      </c>
      <c r="AZ7" s="288">
        <v>1</v>
      </c>
      <c r="BA7" s="287"/>
      <c r="BB7" s="287"/>
      <c r="BC7" s="287"/>
      <c r="BD7" s="309">
        <f>$H7</f>
        <v>0</v>
      </c>
      <c r="BE7" s="310">
        <f ca="1">$B7</f>
        <v>42423</v>
      </c>
      <c r="BF7" s="291" t="str">
        <f>$F7</f>
        <v>1Y</v>
      </c>
      <c r="BG7" s="287" t="s">
        <v>129</v>
      </c>
      <c r="BH7" s="287" t="s">
        <v>6</v>
      </c>
      <c r="BI7" s="287" t="s">
        <v>22</v>
      </c>
      <c r="BJ7" s="287" t="s">
        <v>2</v>
      </c>
      <c r="BK7" s="287" t="s">
        <v>22</v>
      </c>
      <c r="BL7" s="287" t="s">
        <v>2</v>
      </c>
      <c r="BM7" s="287" t="s">
        <v>22</v>
      </c>
      <c r="BN7" s="287" t="s">
        <v>2</v>
      </c>
      <c r="BO7" s="287"/>
      <c r="BP7" s="287"/>
      <c r="BQ7" s="287" t="s">
        <v>209</v>
      </c>
      <c r="BR7" s="287" t="s">
        <v>149</v>
      </c>
      <c r="BS7" s="287" t="s">
        <v>149</v>
      </c>
      <c r="BT7" s="292" t="s">
        <v>150</v>
      </c>
      <c r="BV7" s="323" t="str">
        <f t="shared" ref="BV7:BV26" si="0">"SWAP_"&amp;F7</f>
        <v>SWAP_1Y</v>
      </c>
      <c r="BW7" s="318" t="str">
        <f ca="1">_xll.meLWOSwapCreateFromLegLVBs($BV7,_xll.meUtilityLVBFromKeysValues($L$6:$AO$6,$L7:$AO7),_xll.meUtilityLVBFromKeysValues($AQ$6:$BT$6,$AQ7:$BT7),FALSE)</f>
        <v>SWAP_1Y:0</v>
      </c>
      <c r="BX7" s="318" t="s">
        <v>80</v>
      </c>
      <c r="BY7" s="319">
        <f ca="1">_xll.meLWOSwapPV($BW7,$BX7)</f>
        <v>-11440.174035374805</v>
      </c>
      <c r="BZ7" s="320">
        <f ca="1">_xll.meLWOSwapParRate($BW7,$BX7)</f>
        <v>-1.3969484986246622E-3</v>
      </c>
      <c r="CB7" s="209" t="str">
        <v>2Y</v>
      </c>
      <c r="CC7" s="328">
        <v>-1.33E-3</v>
      </c>
      <c r="CD7" s="334">
        <f t="shared" ref="CD7:CD26" ca="1" si="1">IF(OR(ISNA(VLOOKUP($CB7,$F$7:$BZ$26,73,0)),$CC7=""),"-",(VLOOKUP($CB7,$F$7:$BZ$26,73,0)-$CC7)*10000)</f>
        <v>6.9651099124379279E-10</v>
      </c>
    </row>
    <row r="8" spans="2:82" ht="15" customHeight="1" x14ac:dyDescent="0.25">
      <c r="B8" s="283">
        <f ca="1">IF(NOW(),_xll.meDateFromTenor(COB,$C8,$AH8,$AI8))</f>
        <v>42423</v>
      </c>
      <c r="C8" s="174" t="s">
        <v>157</v>
      </c>
      <c r="D8" s="152" t="s">
        <v>17</v>
      </c>
      <c r="E8" s="124" t="s">
        <v>143</v>
      </c>
      <c r="F8" s="124" t="s">
        <v>47</v>
      </c>
      <c r="G8" s="262">
        <v>0.01</v>
      </c>
      <c r="H8" s="263">
        <v>0</v>
      </c>
      <c r="I8" s="152">
        <v>1000000</v>
      </c>
      <c r="J8" s="277" t="s">
        <v>148</v>
      </c>
      <c r="L8" s="293" t="s">
        <v>258</v>
      </c>
      <c r="M8" s="294">
        <f t="shared" ref="M8:M26" si="2">$I8</f>
        <v>1000000</v>
      </c>
      <c r="N8" s="295" t="s">
        <v>213</v>
      </c>
      <c r="O8" s="295" t="str">
        <f t="shared" ref="O8:O26" si="3">IF($J8="PAYER","PAY","RECEIVE")</f>
        <v>PAY</v>
      </c>
      <c r="P8" s="295" t="s">
        <v>80</v>
      </c>
      <c r="Q8" s="295" t="s">
        <v>143</v>
      </c>
      <c r="R8" s="295" t="s">
        <v>244</v>
      </c>
      <c r="S8" s="295" t="s">
        <v>17</v>
      </c>
      <c r="T8" s="295" t="s">
        <v>220</v>
      </c>
      <c r="U8" s="296">
        <v>1</v>
      </c>
      <c r="V8" s="297">
        <f t="shared" ref="V8:V26" si="4">$G8</f>
        <v>0.01</v>
      </c>
      <c r="W8" s="295"/>
      <c r="X8" s="295"/>
      <c r="Y8" s="295"/>
      <c r="Z8" s="298">
        <f t="shared" ref="Z8:Z26" ca="1" si="5">$B8</f>
        <v>42423</v>
      </c>
      <c r="AA8" s="299" t="str">
        <f t="shared" ref="AA8:AA26" si="6">$F8</f>
        <v>2Y</v>
      </c>
      <c r="AB8" s="295" t="s">
        <v>26</v>
      </c>
      <c r="AC8" s="295" t="s">
        <v>20</v>
      </c>
      <c r="AD8" s="295"/>
      <c r="AE8" s="295"/>
      <c r="AF8" s="295" t="s">
        <v>22</v>
      </c>
      <c r="AG8" s="295" t="s">
        <v>2</v>
      </c>
      <c r="AH8" s="295" t="s">
        <v>22</v>
      </c>
      <c r="AI8" s="295" t="s">
        <v>2</v>
      </c>
      <c r="AJ8" s="295"/>
      <c r="AK8" s="295"/>
      <c r="AL8" s="295" t="s">
        <v>209</v>
      </c>
      <c r="AM8" s="295"/>
      <c r="AN8" s="295" t="s">
        <v>149</v>
      </c>
      <c r="AO8" s="300" t="s">
        <v>150</v>
      </c>
      <c r="AQ8" s="293" t="s">
        <v>259</v>
      </c>
      <c r="AR8" s="294">
        <f t="shared" ref="AR8:AR26" si="7">$I8</f>
        <v>1000000</v>
      </c>
      <c r="AS8" s="295" t="s">
        <v>213</v>
      </c>
      <c r="AT8" s="295" t="str">
        <f t="shared" ref="AT8:AT26" si="8">IF($J8="PAYER","RECEIVE","PAY")</f>
        <v>RECEIVE</v>
      </c>
      <c r="AU8" s="295" t="s">
        <v>80</v>
      </c>
      <c r="AV8" s="295" t="s">
        <v>143</v>
      </c>
      <c r="AW8" s="295" t="s">
        <v>244</v>
      </c>
      <c r="AX8" s="295" t="s">
        <v>17</v>
      </c>
      <c r="AY8" s="295" t="s">
        <v>220</v>
      </c>
      <c r="AZ8" s="296">
        <v>1</v>
      </c>
      <c r="BA8" s="295"/>
      <c r="BB8" s="295"/>
      <c r="BC8" s="295"/>
      <c r="BD8" s="311">
        <f t="shared" ref="BD8:BD26" si="9">$H8</f>
        <v>0</v>
      </c>
      <c r="BE8" s="312">
        <f t="shared" ref="BE8:BE26" ca="1" si="10">$B8</f>
        <v>42423</v>
      </c>
      <c r="BF8" s="299" t="str">
        <f t="shared" ref="BF8:BF26" si="11">$F8</f>
        <v>2Y</v>
      </c>
      <c r="BG8" s="295" t="s">
        <v>129</v>
      </c>
      <c r="BH8" s="295" t="s">
        <v>6</v>
      </c>
      <c r="BI8" s="295" t="s">
        <v>22</v>
      </c>
      <c r="BJ8" s="295" t="s">
        <v>2</v>
      </c>
      <c r="BK8" s="295" t="s">
        <v>22</v>
      </c>
      <c r="BL8" s="295" t="s">
        <v>2</v>
      </c>
      <c r="BM8" s="295" t="s">
        <v>22</v>
      </c>
      <c r="BN8" s="295" t="s">
        <v>2</v>
      </c>
      <c r="BO8" s="295"/>
      <c r="BP8" s="295"/>
      <c r="BQ8" s="295" t="s">
        <v>209</v>
      </c>
      <c r="BR8" s="295" t="s">
        <v>149</v>
      </c>
      <c r="BS8" s="295" t="s">
        <v>149</v>
      </c>
      <c r="BT8" s="300" t="s">
        <v>150</v>
      </c>
      <c r="BV8" s="242" t="str">
        <f t="shared" si="0"/>
        <v>SWAP_2Y</v>
      </c>
      <c r="BW8" s="156" t="str">
        <f ca="1">_xll.meLWOSwapCreateFromLegLVBs($BV8,_xll.meUtilityLVBFromKeysValues($L$6:$AO$6,$L8:$AO8),_xll.meUtilityLVBFromKeysValues($AQ$6:$BT$6,$AQ8:$BT8),FALSE)</f>
        <v>SWAP_2Y:0</v>
      </c>
      <c r="BX8" s="156" t="s">
        <v>80</v>
      </c>
      <c r="BY8" s="186">
        <f ca="1">_xll.meLWOSwapPV($BW8,$BX8)</f>
        <v>-22790.510195972023</v>
      </c>
      <c r="BZ8" s="321">
        <f ca="1">_xll.meLWOSwapParRate($BW8,$BX8)</f>
        <v>-1.3299999999303489E-3</v>
      </c>
      <c r="CB8" s="209" t="str">
        <v>3Y</v>
      </c>
      <c r="CC8" s="328">
        <v>-8.699999999999999E-4</v>
      </c>
      <c r="CD8" s="334">
        <f t="shared" ca="1" si="1"/>
        <v>2.3835371610464451E-8</v>
      </c>
    </row>
    <row r="9" spans="2:82" ht="15" customHeight="1" x14ac:dyDescent="0.25">
      <c r="B9" s="283">
        <f ca="1">IF(NOW(),_xll.meDateFromTenor(COB,$C9,$AH9,$AI9))</f>
        <v>42423</v>
      </c>
      <c r="C9" s="174" t="s">
        <v>157</v>
      </c>
      <c r="D9" s="152" t="s">
        <v>17</v>
      </c>
      <c r="E9" s="124" t="s">
        <v>143</v>
      </c>
      <c r="F9" s="124" t="s">
        <v>43</v>
      </c>
      <c r="G9" s="262">
        <v>0.01</v>
      </c>
      <c r="H9" s="263">
        <v>0</v>
      </c>
      <c r="I9" s="152">
        <v>1000000</v>
      </c>
      <c r="J9" s="277" t="s">
        <v>148</v>
      </c>
      <c r="L9" s="293" t="s">
        <v>258</v>
      </c>
      <c r="M9" s="294">
        <f t="shared" si="2"/>
        <v>1000000</v>
      </c>
      <c r="N9" s="295" t="s">
        <v>213</v>
      </c>
      <c r="O9" s="295" t="str">
        <f t="shared" si="3"/>
        <v>PAY</v>
      </c>
      <c r="P9" s="295" t="s">
        <v>80</v>
      </c>
      <c r="Q9" s="295" t="s">
        <v>143</v>
      </c>
      <c r="R9" s="295" t="s">
        <v>244</v>
      </c>
      <c r="S9" s="295" t="s">
        <v>17</v>
      </c>
      <c r="T9" s="295" t="s">
        <v>220</v>
      </c>
      <c r="U9" s="296">
        <v>1</v>
      </c>
      <c r="V9" s="297">
        <f t="shared" si="4"/>
        <v>0.01</v>
      </c>
      <c r="W9" s="295"/>
      <c r="X9" s="295"/>
      <c r="Y9" s="295"/>
      <c r="Z9" s="298">
        <f t="shared" ca="1" si="5"/>
        <v>42423</v>
      </c>
      <c r="AA9" s="299" t="str">
        <f t="shared" si="6"/>
        <v>3Y</v>
      </c>
      <c r="AB9" s="295" t="s">
        <v>26</v>
      </c>
      <c r="AC9" s="295" t="s">
        <v>20</v>
      </c>
      <c r="AD9" s="295"/>
      <c r="AE9" s="295"/>
      <c r="AF9" s="295" t="s">
        <v>22</v>
      </c>
      <c r="AG9" s="295" t="s">
        <v>2</v>
      </c>
      <c r="AH9" s="295" t="s">
        <v>22</v>
      </c>
      <c r="AI9" s="295" t="s">
        <v>2</v>
      </c>
      <c r="AJ9" s="295"/>
      <c r="AK9" s="295"/>
      <c r="AL9" s="295" t="s">
        <v>209</v>
      </c>
      <c r="AM9" s="295"/>
      <c r="AN9" s="295" t="s">
        <v>149</v>
      </c>
      <c r="AO9" s="300" t="s">
        <v>150</v>
      </c>
      <c r="AQ9" s="293" t="s">
        <v>259</v>
      </c>
      <c r="AR9" s="294">
        <f t="shared" si="7"/>
        <v>1000000</v>
      </c>
      <c r="AS9" s="295" t="s">
        <v>213</v>
      </c>
      <c r="AT9" s="295" t="str">
        <f t="shared" si="8"/>
        <v>RECEIVE</v>
      </c>
      <c r="AU9" s="295" t="s">
        <v>80</v>
      </c>
      <c r="AV9" s="295" t="s">
        <v>143</v>
      </c>
      <c r="AW9" s="295" t="s">
        <v>244</v>
      </c>
      <c r="AX9" s="295" t="s">
        <v>17</v>
      </c>
      <c r="AY9" s="295" t="s">
        <v>220</v>
      </c>
      <c r="AZ9" s="296">
        <v>1</v>
      </c>
      <c r="BA9" s="295"/>
      <c r="BB9" s="295"/>
      <c r="BC9" s="295"/>
      <c r="BD9" s="311">
        <f t="shared" si="9"/>
        <v>0</v>
      </c>
      <c r="BE9" s="312">
        <f t="shared" ca="1" si="10"/>
        <v>42423</v>
      </c>
      <c r="BF9" s="299" t="str">
        <f t="shared" si="11"/>
        <v>3Y</v>
      </c>
      <c r="BG9" s="295" t="s">
        <v>129</v>
      </c>
      <c r="BH9" s="295" t="s">
        <v>6</v>
      </c>
      <c r="BI9" s="295" t="s">
        <v>22</v>
      </c>
      <c r="BJ9" s="295" t="s">
        <v>2</v>
      </c>
      <c r="BK9" s="295" t="s">
        <v>22</v>
      </c>
      <c r="BL9" s="295" t="s">
        <v>2</v>
      </c>
      <c r="BM9" s="295" t="s">
        <v>22</v>
      </c>
      <c r="BN9" s="295" t="s">
        <v>2</v>
      </c>
      <c r="BO9" s="295"/>
      <c r="BP9" s="295"/>
      <c r="BQ9" s="295" t="s">
        <v>209</v>
      </c>
      <c r="BR9" s="295" t="s">
        <v>149</v>
      </c>
      <c r="BS9" s="295" t="s">
        <v>149</v>
      </c>
      <c r="BT9" s="300" t="s">
        <v>150</v>
      </c>
      <c r="BV9" s="242" t="str">
        <f t="shared" si="0"/>
        <v>SWAP_3Y</v>
      </c>
      <c r="BW9" s="156" t="str">
        <f ca="1">_xll.meLWOSwapCreateFromLegLVBs($BV9,_xll.meUtilityLVBFromKeysValues($L$6:$AO$6,$L9:$AO9),_xll.meUtilityLVBFromKeysValues($AQ$6:$BT$6,$AQ9:$BT9),FALSE)</f>
        <v>SWAP_3Y:0</v>
      </c>
      <c r="BX9" s="156" t="s">
        <v>80</v>
      </c>
      <c r="BY9" s="186">
        <f ca="1">_xll.meLWOSwapPV($BW9,$BX9)</f>
        <v>-32910.316560208732</v>
      </c>
      <c r="BZ9" s="321">
        <f ca="1">_xll.meLWOSwapParRate($BW9,$BX9)</f>
        <v>-8.6999999761646274E-4</v>
      </c>
      <c r="CB9" s="209" t="str">
        <v>4Y</v>
      </c>
      <c r="CC9" s="328">
        <v>-8.0000000000000007E-5</v>
      </c>
      <c r="CD9" s="334">
        <f t="shared" ca="1" si="1"/>
        <v>2.679439528867518E-8</v>
      </c>
    </row>
    <row r="10" spans="2:82" ht="15" customHeight="1" x14ac:dyDescent="0.25">
      <c r="B10" s="283">
        <f ca="1">IF(NOW(),_xll.meDateFromTenor(COB,$C10,$AH10,$AI10))</f>
        <v>42423</v>
      </c>
      <c r="C10" s="174" t="s">
        <v>157</v>
      </c>
      <c r="D10" s="152" t="s">
        <v>17</v>
      </c>
      <c r="E10" s="124" t="s">
        <v>143</v>
      </c>
      <c r="F10" s="124" t="s">
        <v>50</v>
      </c>
      <c r="G10" s="262">
        <v>0.01</v>
      </c>
      <c r="H10" s="263">
        <v>0</v>
      </c>
      <c r="I10" s="152">
        <v>1000000</v>
      </c>
      <c r="J10" s="277" t="s">
        <v>148</v>
      </c>
      <c r="L10" s="293" t="s">
        <v>258</v>
      </c>
      <c r="M10" s="294">
        <f t="shared" si="2"/>
        <v>1000000</v>
      </c>
      <c r="N10" s="295" t="s">
        <v>213</v>
      </c>
      <c r="O10" s="295" t="str">
        <f t="shared" si="3"/>
        <v>PAY</v>
      </c>
      <c r="P10" s="295" t="s">
        <v>80</v>
      </c>
      <c r="Q10" s="295" t="s">
        <v>143</v>
      </c>
      <c r="R10" s="295" t="s">
        <v>244</v>
      </c>
      <c r="S10" s="295" t="s">
        <v>17</v>
      </c>
      <c r="T10" s="295" t="s">
        <v>220</v>
      </c>
      <c r="U10" s="296">
        <v>1</v>
      </c>
      <c r="V10" s="297">
        <f t="shared" si="4"/>
        <v>0.01</v>
      </c>
      <c r="W10" s="295"/>
      <c r="X10" s="295"/>
      <c r="Y10" s="295"/>
      <c r="Z10" s="298">
        <f t="shared" ca="1" si="5"/>
        <v>42423</v>
      </c>
      <c r="AA10" s="299" t="str">
        <f t="shared" si="6"/>
        <v>4Y</v>
      </c>
      <c r="AB10" s="295" t="s">
        <v>26</v>
      </c>
      <c r="AC10" s="295" t="s">
        <v>20</v>
      </c>
      <c r="AD10" s="295"/>
      <c r="AE10" s="295"/>
      <c r="AF10" s="295" t="s">
        <v>22</v>
      </c>
      <c r="AG10" s="295" t="s">
        <v>2</v>
      </c>
      <c r="AH10" s="295" t="s">
        <v>22</v>
      </c>
      <c r="AI10" s="295" t="s">
        <v>2</v>
      </c>
      <c r="AJ10" s="295"/>
      <c r="AK10" s="295"/>
      <c r="AL10" s="295" t="s">
        <v>209</v>
      </c>
      <c r="AM10" s="295"/>
      <c r="AN10" s="295" t="s">
        <v>149</v>
      </c>
      <c r="AO10" s="300" t="s">
        <v>150</v>
      </c>
      <c r="AQ10" s="293" t="s">
        <v>259</v>
      </c>
      <c r="AR10" s="294">
        <f t="shared" si="7"/>
        <v>1000000</v>
      </c>
      <c r="AS10" s="295" t="s">
        <v>213</v>
      </c>
      <c r="AT10" s="295" t="str">
        <f t="shared" si="8"/>
        <v>RECEIVE</v>
      </c>
      <c r="AU10" s="295" t="s">
        <v>80</v>
      </c>
      <c r="AV10" s="295" t="s">
        <v>143</v>
      </c>
      <c r="AW10" s="295" t="s">
        <v>244</v>
      </c>
      <c r="AX10" s="295" t="s">
        <v>17</v>
      </c>
      <c r="AY10" s="295" t="s">
        <v>220</v>
      </c>
      <c r="AZ10" s="296">
        <v>1</v>
      </c>
      <c r="BA10" s="295"/>
      <c r="BB10" s="295"/>
      <c r="BC10" s="295"/>
      <c r="BD10" s="311">
        <f t="shared" si="9"/>
        <v>0</v>
      </c>
      <c r="BE10" s="312">
        <f t="shared" ca="1" si="10"/>
        <v>42423</v>
      </c>
      <c r="BF10" s="299" t="str">
        <f t="shared" si="11"/>
        <v>4Y</v>
      </c>
      <c r="BG10" s="295" t="s">
        <v>129</v>
      </c>
      <c r="BH10" s="295" t="s">
        <v>6</v>
      </c>
      <c r="BI10" s="295" t="s">
        <v>22</v>
      </c>
      <c r="BJ10" s="295" t="s">
        <v>2</v>
      </c>
      <c r="BK10" s="295" t="s">
        <v>22</v>
      </c>
      <c r="BL10" s="295" t="s">
        <v>2</v>
      </c>
      <c r="BM10" s="295" t="s">
        <v>22</v>
      </c>
      <c r="BN10" s="295" t="s">
        <v>2</v>
      </c>
      <c r="BO10" s="295"/>
      <c r="BP10" s="295"/>
      <c r="BQ10" s="295" t="s">
        <v>209</v>
      </c>
      <c r="BR10" s="295" t="s">
        <v>149</v>
      </c>
      <c r="BS10" s="295" t="s">
        <v>149</v>
      </c>
      <c r="BT10" s="300" t="s">
        <v>150</v>
      </c>
      <c r="BV10" s="242" t="str">
        <f t="shared" si="0"/>
        <v>SWAP_4Y</v>
      </c>
      <c r="BW10" s="156" t="str">
        <f ca="1">_xll.meLWOSwapCreateFromLegLVBs($BV10,_xll.meUtilityLVBFromKeysValues($L$6:$AO$6,$L10:$AO10),_xll.meUtilityLVBFromKeysValues($AQ$6:$BT$6,$AQ10:$BT10),FALSE)</f>
        <v>SWAP_4Y:0</v>
      </c>
      <c r="BX10" s="156" t="s">
        <v>80</v>
      </c>
      <c r="BY10" s="186">
        <f ca="1">_xll.meLWOSwapPV($BW10,$BX10)</f>
        <v>-40681.837261517365</v>
      </c>
      <c r="BZ10" s="321">
        <f ca="1">_xll.meLWOSwapParRate($BW10,$BX10)</f>
        <v>-7.9999997320560478E-5</v>
      </c>
      <c r="CB10" s="209" t="str">
        <v>5Y</v>
      </c>
      <c r="CC10" s="328">
        <v>9.2999999999999995E-4</v>
      </c>
      <c r="CD10" s="334">
        <f t="shared" ca="1" si="1"/>
        <v>8.7222104538930978E-8</v>
      </c>
    </row>
    <row r="11" spans="2:82" ht="15" customHeight="1" x14ac:dyDescent="0.25">
      <c r="B11" s="283">
        <f ca="1">IF(NOW(),_xll.meDateFromTenor(COB,$C11,$AH11,$AI11))</f>
        <v>42423</v>
      </c>
      <c r="C11" s="174" t="s">
        <v>157</v>
      </c>
      <c r="D11" s="152" t="s">
        <v>17</v>
      </c>
      <c r="E11" s="124" t="s">
        <v>143</v>
      </c>
      <c r="F11" s="124" t="s">
        <v>52</v>
      </c>
      <c r="G11" s="262">
        <v>0.01</v>
      </c>
      <c r="H11" s="263">
        <v>0</v>
      </c>
      <c r="I11" s="152">
        <v>1000000</v>
      </c>
      <c r="J11" s="277" t="s">
        <v>148</v>
      </c>
      <c r="L11" s="293" t="s">
        <v>258</v>
      </c>
      <c r="M11" s="294">
        <f t="shared" si="2"/>
        <v>1000000</v>
      </c>
      <c r="N11" s="295" t="s">
        <v>213</v>
      </c>
      <c r="O11" s="295" t="str">
        <f t="shared" si="3"/>
        <v>PAY</v>
      </c>
      <c r="P11" s="295" t="s">
        <v>80</v>
      </c>
      <c r="Q11" s="295" t="s">
        <v>143</v>
      </c>
      <c r="R11" s="295" t="s">
        <v>244</v>
      </c>
      <c r="S11" s="295" t="s">
        <v>17</v>
      </c>
      <c r="T11" s="295" t="s">
        <v>220</v>
      </c>
      <c r="U11" s="296">
        <v>1</v>
      </c>
      <c r="V11" s="297">
        <f t="shared" si="4"/>
        <v>0.01</v>
      </c>
      <c r="W11" s="295"/>
      <c r="X11" s="295"/>
      <c r="Y11" s="295"/>
      <c r="Z11" s="298">
        <f t="shared" ca="1" si="5"/>
        <v>42423</v>
      </c>
      <c r="AA11" s="299" t="str">
        <f t="shared" si="6"/>
        <v>5Y</v>
      </c>
      <c r="AB11" s="295" t="s">
        <v>26</v>
      </c>
      <c r="AC11" s="295" t="s">
        <v>20</v>
      </c>
      <c r="AD11" s="295"/>
      <c r="AE11" s="295"/>
      <c r="AF11" s="295" t="s">
        <v>22</v>
      </c>
      <c r="AG11" s="295" t="s">
        <v>2</v>
      </c>
      <c r="AH11" s="295" t="s">
        <v>22</v>
      </c>
      <c r="AI11" s="295" t="s">
        <v>2</v>
      </c>
      <c r="AJ11" s="295"/>
      <c r="AK11" s="295"/>
      <c r="AL11" s="295" t="s">
        <v>209</v>
      </c>
      <c r="AM11" s="295"/>
      <c r="AN11" s="295" t="s">
        <v>149</v>
      </c>
      <c r="AO11" s="300" t="s">
        <v>150</v>
      </c>
      <c r="AQ11" s="293" t="s">
        <v>259</v>
      </c>
      <c r="AR11" s="294">
        <f t="shared" si="7"/>
        <v>1000000</v>
      </c>
      <c r="AS11" s="295" t="s">
        <v>213</v>
      </c>
      <c r="AT11" s="295" t="str">
        <f t="shared" si="8"/>
        <v>RECEIVE</v>
      </c>
      <c r="AU11" s="295" t="s">
        <v>80</v>
      </c>
      <c r="AV11" s="295" t="s">
        <v>143</v>
      </c>
      <c r="AW11" s="295" t="s">
        <v>244</v>
      </c>
      <c r="AX11" s="295" t="s">
        <v>17</v>
      </c>
      <c r="AY11" s="295" t="s">
        <v>220</v>
      </c>
      <c r="AZ11" s="296">
        <v>1</v>
      </c>
      <c r="BA11" s="295"/>
      <c r="BB11" s="295"/>
      <c r="BC11" s="295"/>
      <c r="BD11" s="311">
        <f t="shared" si="9"/>
        <v>0</v>
      </c>
      <c r="BE11" s="312">
        <f t="shared" ca="1" si="10"/>
        <v>42423</v>
      </c>
      <c r="BF11" s="299" t="str">
        <f t="shared" si="11"/>
        <v>5Y</v>
      </c>
      <c r="BG11" s="295" t="s">
        <v>129</v>
      </c>
      <c r="BH11" s="295" t="s">
        <v>6</v>
      </c>
      <c r="BI11" s="295" t="s">
        <v>22</v>
      </c>
      <c r="BJ11" s="295" t="s">
        <v>2</v>
      </c>
      <c r="BK11" s="295" t="s">
        <v>22</v>
      </c>
      <c r="BL11" s="295" t="s">
        <v>2</v>
      </c>
      <c r="BM11" s="295" t="s">
        <v>22</v>
      </c>
      <c r="BN11" s="295" t="s">
        <v>2</v>
      </c>
      <c r="BO11" s="295"/>
      <c r="BP11" s="295"/>
      <c r="BQ11" s="295" t="s">
        <v>209</v>
      </c>
      <c r="BR11" s="295" t="s">
        <v>149</v>
      </c>
      <c r="BS11" s="295" t="s">
        <v>149</v>
      </c>
      <c r="BT11" s="300" t="s">
        <v>150</v>
      </c>
      <c r="BV11" s="242" t="str">
        <f t="shared" si="0"/>
        <v>SWAP_5Y</v>
      </c>
      <c r="BW11" s="156" t="str">
        <f ca="1">_xll.meLWOSwapCreateFromLegLVBs($BV11,_xll.meUtilityLVBFromKeysValues($L$6:$AO$6,$L11:$AO11),_xll.meUtilityLVBFromKeysValues($AQ$6:$BT$6,$AQ11:$BT11),FALSE)</f>
        <v>SWAP_5Y:0</v>
      </c>
      <c r="BX11" s="156" t="s">
        <v>80</v>
      </c>
      <c r="BY11" s="186">
        <f ca="1">_xll.meLWOSwapPV($BW11,$BX11)</f>
        <v>-45731.777008922945</v>
      </c>
      <c r="BZ11" s="321">
        <f ca="1">_xll.meLWOSwapParRate($BW11,$BX11)</f>
        <v>9.300000087222104E-4</v>
      </c>
      <c r="CB11" s="209" t="str">
        <v>6Y</v>
      </c>
      <c r="CC11" s="328">
        <v>2.0200000000000001E-3</v>
      </c>
      <c r="CD11" s="334">
        <f t="shared" ca="1" si="1"/>
        <v>-1.5287043766271102E-7</v>
      </c>
    </row>
    <row r="12" spans="2:82" ht="15" customHeight="1" x14ac:dyDescent="0.25">
      <c r="B12" s="283">
        <f ca="1">IF(NOW(),_xll.meDateFromTenor(COB,$C12,$AH12,$AI12))</f>
        <v>42423</v>
      </c>
      <c r="C12" s="174" t="s">
        <v>157</v>
      </c>
      <c r="D12" s="152" t="s">
        <v>17</v>
      </c>
      <c r="E12" s="124" t="s">
        <v>143</v>
      </c>
      <c r="F12" s="124" t="s">
        <v>54</v>
      </c>
      <c r="G12" s="262">
        <v>0.01</v>
      </c>
      <c r="H12" s="263">
        <v>0</v>
      </c>
      <c r="I12" s="152">
        <v>1000000</v>
      </c>
      <c r="J12" s="277" t="s">
        <v>148</v>
      </c>
      <c r="L12" s="293" t="s">
        <v>258</v>
      </c>
      <c r="M12" s="294">
        <f t="shared" si="2"/>
        <v>1000000</v>
      </c>
      <c r="N12" s="295" t="s">
        <v>213</v>
      </c>
      <c r="O12" s="295" t="str">
        <f t="shared" si="3"/>
        <v>PAY</v>
      </c>
      <c r="P12" s="295" t="s">
        <v>80</v>
      </c>
      <c r="Q12" s="295" t="s">
        <v>143</v>
      </c>
      <c r="R12" s="295" t="s">
        <v>244</v>
      </c>
      <c r="S12" s="295" t="s">
        <v>17</v>
      </c>
      <c r="T12" s="295" t="s">
        <v>220</v>
      </c>
      <c r="U12" s="296">
        <v>1</v>
      </c>
      <c r="V12" s="297">
        <f t="shared" si="4"/>
        <v>0.01</v>
      </c>
      <c r="W12" s="295"/>
      <c r="X12" s="295"/>
      <c r="Y12" s="295"/>
      <c r="Z12" s="298">
        <f t="shared" ca="1" si="5"/>
        <v>42423</v>
      </c>
      <c r="AA12" s="299" t="str">
        <f t="shared" si="6"/>
        <v>6Y</v>
      </c>
      <c r="AB12" s="295" t="s">
        <v>26</v>
      </c>
      <c r="AC12" s="295" t="s">
        <v>20</v>
      </c>
      <c r="AD12" s="295"/>
      <c r="AE12" s="295"/>
      <c r="AF12" s="295" t="s">
        <v>22</v>
      </c>
      <c r="AG12" s="295" t="s">
        <v>2</v>
      </c>
      <c r="AH12" s="295" t="s">
        <v>22</v>
      </c>
      <c r="AI12" s="295" t="s">
        <v>2</v>
      </c>
      <c r="AJ12" s="295"/>
      <c r="AK12" s="295"/>
      <c r="AL12" s="295" t="s">
        <v>209</v>
      </c>
      <c r="AM12" s="295"/>
      <c r="AN12" s="295" t="s">
        <v>149</v>
      </c>
      <c r="AO12" s="300" t="s">
        <v>150</v>
      </c>
      <c r="AQ12" s="293" t="s">
        <v>259</v>
      </c>
      <c r="AR12" s="294">
        <f t="shared" si="7"/>
        <v>1000000</v>
      </c>
      <c r="AS12" s="295" t="s">
        <v>213</v>
      </c>
      <c r="AT12" s="295" t="str">
        <f t="shared" si="8"/>
        <v>RECEIVE</v>
      </c>
      <c r="AU12" s="295" t="s">
        <v>80</v>
      </c>
      <c r="AV12" s="295" t="s">
        <v>143</v>
      </c>
      <c r="AW12" s="295" t="s">
        <v>244</v>
      </c>
      <c r="AX12" s="295" t="s">
        <v>17</v>
      </c>
      <c r="AY12" s="295" t="s">
        <v>220</v>
      </c>
      <c r="AZ12" s="296">
        <v>1</v>
      </c>
      <c r="BA12" s="295"/>
      <c r="BB12" s="295"/>
      <c r="BC12" s="295"/>
      <c r="BD12" s="311">
        <f t="shared" si="9"/>
        <v>0</v>
      </c>
      <c r="BE12" s="312">
        <f t="shared" ca="1" si="10"/>
        <v>42423</v>
      </c>
      <c r="BF12" s="299" t="str">
        <f t="shared" si="11"/>
        <v>6Y</v>
      </c>
      <c r="BG12" s="295" t="s">
        <v>129</v>
      </c>
      <c r="BH12" s="295" t="s">
        <v>6</v>
      </c>
      <c r="BI12" s="295" t="s">
        <v>22</v>
      </c>
      <c r="BJ12" s="295" t="s">
        <v>2</v>
      </c>
      <c r="BK12" s="295" t="s">
        <v>22</v>
      </c>
      <c r="BL12" s="295" t="s">
        <v>2</v>
      </c>
      <c r="BM12" s="295" t="s">
        <v>22</v>
      </c>
      <c r="BN12" s="295" t="s">
        <v>2</v>
      </c>
      <c r="BO12" s="295"/>
      <c r="BP12" s="295"/>
      <c r="BQ12" s="295" t="s">
        <v>209</v>
      </c>
      <c r="BR12" s="295" t="s">
        <v>149</v>
      </c>
      <c r="BS12" s="295" t="s">
        <v>149</v>
      </c>
      <c r="BT12" s="300" t="s">
        <v>150</v>
      </c>
      <c r="BV12" s="242" t="str">
        <f t="shared" si="0"/>
        <v>SWAP_6Y</v>
      </c>
      <c r="BW12" s="156" t="str">
        <f ca="1">_xll.meLWOSwapCreateFromLegLVBs($BV12,_xll.meUtilityLVBFromKeysValues($L$6:$AO$6,$L12:$AO12),_xll.meUtilityLVBFromKeysValues($AQ$6:$BT$6,$AQ12:$BT12),FALSE)</f>
        <v>SWAP_6Y:0</v>
      </c>
      <c r="BX12" s="156" t="s">
        <v>80</v>
      </c>
      <c r="BY12" s="186">
        <f ca="1">_xll.meLWOSwapPV($BW12,$BX12)</f>
        <v>-48247.450430491597</v>
      </c>
      <c r="BZ12" s="321">
        <f ca="1">_xll.meLWOSwapParRate($BW12,$BX12)</f>
        <v>2.0199999847129563E-3</v>
      </c>
      <c r="CB12" s="209" t="str">
        <v>7Y</v>
      </c>
      <c r="CC12" s="328">
        <v>3.2100000000000002E-3</v>
      </c>
      <c r="CD12" s="334">
        <f t="shared" ca="1" si="1"/>
        <v>8.7903707750303095E-8</v>
      </c>
    </row>
    <row r="13" spans="2:82" ht="15" customHeight="1" x14ac:dyDescent="0.25">
      <c r="B13" s="283">
        <f ca="1">IF(NOW(),_xll.meDateFromTenor(COB,$C13,$AH13,$AI13))</f>
        <v>42423</v>
      </c>
      <c r="C13" s="174" t="s">
        <v>157</v>
      </c>
      <c r="D13" s="152" t="s">
        <v>17</v>
      </c>
      <c r="E13" s="124" t="s">
        <v>143</v>
      </c>
      <c r="F13" s="124" t="s">
        <v>56</v>
      </c>
      <c r="G13" s="262">
        <v>0.01</v>
      </c>
      <c r="H13" s="263">
        <v>0</v>
      </c>
      <c r="I13" s="152">
        <v>1000000</v>
      </c>
      <c r="J13" s="277" t="s">
        <v>148</v>
      </c>
      <c r="L13" s="293" t="s">
        <v>258</v>
      </c>
      <c r="M13" s="294">
        <f t="shared" si="2"/>
        <v>1000000</v>
      </c>
      <c r="N13" s="295" t="s">
        <v>213</v>
      </c>
      <c r="O13" s="295" t="str">
        <f t="shared" si="3"/>
        <v>PAY</v>
      </c>
      <c r="P13" s="295" t="s">
        <v>80</v>
      </c>
      <c r="Q13" s="295" t="s">
        <v>143</v>
      </c>
      <c r="R13" s="295" t="s">
        <v>244</v>
      </c>
      <c r="S13" s="295" t="s">
        <v>17</v>
      </c>
      <c r="T13" s="295" t="s">
        <v>220</v>
      </c>
      <c r="U13" s="296">
        <v>1</v>
      </c>
      <c r="V13" s="297">
        <f t="shared" si="4"/>
        <v>0.01</v>
      </c>
      <c r="W13" s="295"/>
      <c r="X13" s="295"/>
      <c r="Y13" s="295"/>
      <c r="Z13" s="298">
        <f t="shared" ca="1" si="5"/>
        <v>42423</v>
      </c>
      <c r="AA13" s="299" t="str">
        <f t="shared" si="6"/>
        <v>7Y</v>
      </c>
      <c r="AB13" s="295" t="s">
        <v>26</v>
      </c>
      <c r="AC13" s="295" t="s">
        <v>20</v>
      </c>
      <c r="AD13" s="295"/>
      <c r="AE13" s="295"/>
      <c r="AF13" s="295" t="s">
        <v>22</v>
      </c>
      <c r="AG13" s="295" t="s">
        <v>2</v>
      </c>
      <c r="AH13" s="295" t="s">
        <v>22</v>
      </c>
      <c r="AI13" s="295" t="s">
        <v>2</v>
      </c>
      <c r="AJ13" s="295"/>
      <c r="AK13" s="295"/>
      <c r="AL13" s="295" t="s">
        <v>209</v>
      </c>
      <c r="AM13" s="295"/>
      <c r="AN13" s="295" t="s">
        <v>149</v>
      </c>
      <c r="AO13" s="300" t="s">
        <v>150</v>
      </c>
      <c r="AQ13" s="293" t="s">
        <v>259</v>
      </c>
      <c r="AR13" s="294">
        <f t="shared" si="7"/>
        <v>1000000</v>
      </c>
      <c r="AS13" s="295" t="s">
        <v>213</v>
      </c>
      <c r="AT13" s="295" t="str">
        <f t="shared" si="8"/>
        <v>RECEIVE</v>
      </c>
      <c r="AU13" s="295" t="s">
        <v>80</v>
      </c>
      <c r="AV13" s="295" t="s">
        <v>143</v>
      </c>
      <c r="AW13" s="295" t="s">
        <v>244</v>
      </c>
      <c r="AX13" s="295" t="s">
        <v>17</v>
      </c>
      <c r="AY13" s="295" t="s">
        <v>220</v>
      </c>
      <c r="AZ13" s="296">
        <v>1</v>
      </c>
      <c r="BA13" s="295"/>
      <c r="BB13" s="295"/>
      <c r="BC13" s="295"/>
      <c r="BD13" s="311">
        <f t="shared" si="9"/>
        <v>0</v>
      </c>
      <c r="BE13" s="312">
        <f t="shared" ca="1" si="10"/>
        <v>42423</v>
      </c>
      <c r="BF13" s="299" t="str">
        <f t="shared" si="11"/>
        <v>7Y</v>
      </c>
      <c r="BG13" s="295" t="s">
        <v>129</v>
      </c>
      <c r="BH13" s="295" t="s">
        <v>6</v>
      </c>
      <c r="BI13" s="295" t="s">
        <v>22</v>
      </c>
      <c r="BJ13" s="295" t="s">
        <v>2</v>
      </c>
      <c r="BK13" s="295" t="s">
        <v>22</v>
      </c>
      <c r="BL13" s="295" t="s">
        <v>2</v>
      </c>
      <c r="BM13" s="295" t="s">
        <v>22</v>
      </c>
      <c r="BN13" s="295" t="s">
        <v>2</v>
      </c>
      <c r="BO13" s="295"/>
      <c r="BP13" s="295"/>
      <c r="BQ13" s="295" t="s">
        <v>209</v>
      </c>
      <c r="BR13" s="295" t="s">
        <v>149</v>
      </c>
      <c r="BS13" s="295" t="s">
        <v>149</v>
      </c>
      <c r="BT13" s="300" t="s">
        <v>150</v>
      </c>
      <c r="BV13" s="242" t="str">
        <f t="shared" si="0"/>
        <v>SWAP_7Y</v>
      </c>
      <c r="BW13" s="156" t="str">
        <f ca="1">_xll.meLWOSwapCreateFromLegLVBs($BV13,_xll.meUtilityLVBFromKeysValues($L$6:$AO$6,$L13:$AO13),_xll.meUtilityLVBFromKeysValues($AQ$6:$BT$6,$AQ13:$BT13),FALSE)</f>
        <v>SWAP_7Y:0</v>
      </c>
      <c r="BX13" s="156" t="s">
        <v>80</v>
      </c>
      <c r="BY13" s="186">
        <f ca="1">_xll.meLWOSwapPV($BW13,$BX13)</f>
        <v>-47815.098586247273</v>
      </c>
      <c r="BZ13" s="321">
        <f ca="1">_xll.meLWOSwapParRate($BW13,$BX13)</f>
        <v>3.210000008790371E-3</v>
      </c>
      <c r="CB13" s="209" t="str">
        <v>8Y</v>
      </c>
      <c r="CC13" s="328">
        <v>4.4400000000000004E-3</v>
      </c>
      <c r="CD13" s="334">
        <f t="shared" ca="1" si="1"/>
        <v>3.6820071297460899E-7</v>
      </c>
    </row>
    <row r="14" spans="2:82" ht="15" customHeight="1" x14ac:dyDescent="0.25">
      <c r="B14" s="283">
        <f ca="1">IF(NOW(),_xll.meDateFromTenor(COB,$C14,$AH14,$AI14))</f>
        <v>42423</v>
      </c>
      <c r="C14" s="174" t="s">
        <v>157</v>
      </c>
      <c r="D14" s="152" t="s">
        <v>17</v>
      </c>
      <c r="E14" s="124" t="s">
        <v>143</v>
      </c>
      <c r="F14" s="124" t="s">
        <v>58</v>
      </c>
      <c r="G14" s="262">
        <v>0.01</v>
      </c>
      <c r="H14" s="263">
        <v>0</v>
      </c>
      <c r="I14" s="152">
        <v>1000000</v>
      </c>
      <c r="J14" s="277" t="s">
        <v>148</v>
      </c>
      <c r="L14" s="293" t="s">
        <v>258</v>
      </c>
      <c r="M14" s="294">
        <f t="shared" si="2"/>
        <v>1000000</v>
      </c>
      <c r="N14" s="295" t="s">
        <v>213</v>
      </c>
      <c r="O14" s="295" t="str">
        <f t="shared" si="3"/>
        <v>PAY</v>
      </c>
      <c r="P14" s="295" t="s">
        <v>80</v>
      </c>
      <c r="Q14" s="295" t="s">
        <v>143</v>
      </c>
      <c r="R14" s="295" t="s">
        <v>244</v>
      </c>
      <c r="S14" s="295" t="s">
        <v>17</v>
      </c>
      <c r="T14" s="295" t="s">
        <v>220</v>
      </c>
      <c r="U14" s="296">
        <v>1</v>
      </c>
      <c r="V14" s="297">
        <f t="shared" si="4"/>
        <v>0.01</v>
      </c>
      <c r="W14" s="295"/>
      <c r="X14" s="295"/>
      <c r="Y14" s="295"/>
      <c r="Z14" s="298">
        <f t="shared" ca="1" si="5"/>
        <v>42423</v>
      </c>
      <c r="AA14" s="299" t="str">
        <f t="shared" si="6"/>
        <v>8Y</v>
      </c>
      <c r="AB14" s="295" t="s">
        <v>26</v>
      </c>
      <c r="AC14" s="295" t="s">
        <v>20</v>
      </c>
      <c r="AD14" s="295"/>
      <c r="AE14" s="295"/>
      <c r="AF14" s="295" t="s">
        <v>22</v>
      </c>
      <c r="AG14" s="295" t="s">
        <v>2</v>
      </c>
      <c r="AH14" s="295" t="s">
        <v>22</v>
      </c>
      <c r="AI14" s="295" t="s">
        <v>2</v>
      </c>
      <c r="AJ14" s="295"/>
      <c r="AK14" s="295"/>
      <c r="AL14" s="295" t="s">
        <v>209</v>
      </c>
      <c r="AM14" s="295"/>
      <c r="AN14" s="295" t="s">
        <v>149</v>
      </c>
      <c r="AO14" s="300" t="s">
        <v>150</v>
      </c>
      <c r="AQ14" s="293" t="s">
        <v>259</v>
      </c>
      <c r="AR14" s="294">
        <f t="shared" si="7"/>
        <v>1000000</v>
      </c>
      <c r="AS14" s="295" t="s">
        <v>213</v>
      </c>
      <c r="AT14" s="295" t="str">
        <f t="shared" si="8"/>
        <v>RECEIVE</v>
      </c>
      <c r="AU14" s="295" t="s">
        <v>80</v>
      </c>
      <c r="AV14" s="295" t="s">
        <v>143</v>
      </c>
      <c r="AW14" s="295" t="s">
        <v>244</v>
      </c>
      <c r="AX14" s="295" t="s">
        <v>17</v>
      </c>
      <c r="AY14" s="295" t="s">
        <v>220</v>
      </c>
      <c r="AZ14" s="296">
        <v>1</v>
      </c>
      <c r="BA14" s="295"/>
      <c r="BB14" s="295"/>
      <c r="BC14" s="295"/>
      <c r="BD14" s="311">
        <f t="shared" si="9"/>
        <v>0</v>
      </c>
      <c r="BE14" s="312">
        <f t="shared" ca="1" si="10"/>
        <v>42423</v>
      </c>
      <c r="BF14" s="299" t="str">
        <f t="shared" si="11"/>
        <v>8Y</v>
      </c>
      <c r="BG14" s="295" t="s">
        <v>129</v>
      </c>
      <c r="BH14" s="295" t="s">
        <v>6</v>
      </c>
      <c r="BI14" s="295" t="s">
        <v>22</v>
      </c>
      <c r="BJ14" s="295" t="s">
        <v>2</v>
      </c>
      <c r="BK14" s="295" t="s">
        <v>22</v>
      </c>
      <c r="BL14" s="295" t="s">
        <v>2</v>
      </c>
      <c r="BM14" s="295" t="s">
        <v>22</v>
      </c>
      <c r="BN14" s="295" t="s">
        <v>2</v>
      </c>
      <c r="BO14" s="295"/>
      <c r="BP14" s="295"/>
      <c r="BQ14" s="295" t="s">
        <v>209</v>
      </c>
      <c r="BR14" s="295" t="s">
        <v>149</v>
      </c>
      <c r="BS14" s="295" t="s">
        <v>149</v>
      </c>
      <c r="BT14" s="300" t="s">
        <v>150</v>
      </c>
      <c r="BV14" s="242" t="str">
        <f t="shared" si="0"/>
        <v>SWAP_8Y</v>
      </c>
      <c r="BW14" s="156" t="str">
        <f ca="1">_xll.meLWOSwapCreateFromLegLVBs($BV14,_xll.meUtilityLVBFromKeysValues($L$6:$AO$6,$L14:$AO14),_xll.meUtilityLVBFromKeysValues($AQ$6:$BT$6,$AQ14:$BT14),FALSE)</f>
        <v>SWAP_8Y:0</v>
      </c>
      <c r="BX14" s="156" t="s">
        <v>80</v>
      </c>
      <c r="BY14" s="186">
        <f ca="1">_xll.meLWOSwapPV($BW14,$BX14)</f>
        <v>-44630.60034804506</v>
      </c>
      <c r="BZ14" s="321">
        <f ca="1">_xll.meLWOSwapParRate($BW14,$BX14)</f>
        <v>4.4400000368200717E-3</v>
      </c>
      <c r="CB14" s="209" t="str">
        <v>9Y</v>
      </c>
      <c r="CC14" s="328">
        <v>5.6100000000000004E-3</v>
      </c>
      <c r="CD14" s="334">
        <f t="shared" ca="1" si="1"/>
        <v>1.5393982182726473E-6</v>
      </c>
    </row>
    <row r="15" spans="2:82" ht="15" customHeight="1" x14ac:dyDescent="0.25">
      <c r="B15" s="283">
        <f ca="1">IF(NOW(),_xll.meDateFromTenor(COB,$C15,$AH15,$AI15))</f>
        <v>42423</v>
      </c>
      <c r="C15" s="174" t="s">
        <v>157</v>
      </c>
      <c r="D15" s="152" t="s">
        <v>17</v>
      </c>
      <c r="E15" s="124" t="s">
        <v>143</v>
      </c>
      <c r="F15" s="124" t="s">
        <v>60</v>
      </c>
      <c r="G15" s="262">
        <v>0.01</v>
      </c>
      <c r="H15" s="263">
        <v>0</v>
      </c>
      <c r="I15" s="152">
        <v>1000000</v>
      </c>
      <c r="J15" s="277" t="s">
        <v>148</v>
      </c>
      <c r="L15" s="293" t="s">
        <v>258</v>
      </c>
      <c r="M15" s="294">
        <f t="shared" si="2"/>
        <v>1000000</v>
      </c>
      <c r="N15" s="295" t="s">
        <v>213</v>
      </c>
      <c r="O15" s="295" t="str">
        <f t="shared" si="3"/>
        <v>PAY</v>
      </c>
      <c r="P15" s="295" t="s">
        <v>80</v>
      </c>
      <c r="Q15" s="295" t="s">
        <v>143</v>
      </c>
      <c r="R15" s="295" t="s">
        <v>244</v>
      </c>
      <c r="S15" s="295" t="s">
        <v>17</v>
      </c>
      <c r="T15" s="295" t="s">
        <v>220</v>
      </c>
      <c r="U15" s="296">
        <v>1</v>
      </c>
      <c r="V15" s="297">
        <f t="shared" si="4"/>
        <v>0.01</v>
      </c>
      <c r="W15" s="295"/>
      <c r="X15" s="295"/>
      <c r="Y15" s="295"/>
      <c r="Z15" s="298">
        <f t="shared" ca="1" si="5"/>
        <v>42423</v>
      </c>
      <c r="AA15" s="299" t="str">
        <f t="shared" si="6"/>
        <v>9Y</v>
      </c>
      <c r="AB15" s="295" t="s">
        <v>26</v>
      </c>
      <c r="AC15" s="295" t="s">
        <v>20</v>
      </c>
      <c r="AD15" s="295"/>
      <c r="AE15" s="295"/>
      <c r="AF15" s="295" t="s">
        <v>22</v>
      </c>
      <c r="AG15" s="295" t="s">
        <v>2</v>
      </c>
      <c r="AH15" s="295" t="s">
        <v>22</v>
      </c>
      <c r="AI15" s="295" t="s">
        <v>2</v>
      </c>
      <c r="AJ15" s="295"/>
      <c r="AK15" s="295"/>
      <c r="AL15" s="295" t="s">
        <v>209</v>
      </c>
      <c r="AM15" s="295"/>
      <c r="AN15" s="295" t="s">
        <v>149</v>
      </c>
      <c r="AO15" s="300" t="s">
        <v>150</v>
      </c>
      <c r="AQ15" s="293" t="s">
        <v>259</v>
      </c>
      <c r="AR15" s="294">
        <f t="shared" si="7"/>
        <v>1000000</v>
      </c>
      <c r="AS15" s="295" t="s">
        <v>213</v>
      </c>
      <c r="AT15" s="295" t="str">
        <f t="shared" si="8"/>
        <v>RECEIVE</v>
      </c>
      <c r="AU15" s="295" t="s">
        <v>80</v>
      </c>
      <c r="AV15" s="295" t="s">
        <v>143</v>
      </c>
      <c r="AW15" s="295" t="s">
        <v>244</v>
      </c>
      <c r="AX15" s="295" t="s">
        <v>17</v>
      </c>
      <c r="AY15" s="295" t="s">
        <v>220</v>
      </c>
      <c r="AZ15" s="296">
        <v>1</v>
      </c>
      <c r="BA15" s="295"/>
      <c r="BB15" s="295"/>
      <c r="BC15" s="295"/>
      <c r="BD15" s="311">
        <f t="shared" si="9"/>
        <v>0</v>
      </c>
      <c r="BE15" s="312">
        <f t="shared" ca="1" si="10"/>
        <v>42423</v>
      </c>
      <c r="BF15" s="299" t="str">
        <f t="shared" si="11"/>
        <v>9Y</v>
      </c>
      <c r="BG15" s="295" t="s">
        <v>129</v>
      </c>
      <c r="BH15" s="295" t="s">
        <v>6</v>
      </c>
      <c r="BI15" s="295" t="s">
        <v>22</v>
      </c>
      <c r="BJ15" s="295" t="s">
        <v>2</v>
      </c>
      <c r="BK15" s="295" t="s">
        <v>22</v>
      </c>
      <c r="BL15" s="295" t="s">
        <v>2</v>
      </c>
      <c r="BM15" s="295" t="s">
        <v>22</v>
      </c>
      <c r="BN15" s="295" t="s">
        <v>2</v>
      </c>
      <c r="BO15" s="295"/>
      <c r="BP15" s="295"/>
      <c r="BQ15" s="295" t="s">
        <v>209</v>
      </c>
      <c r="BR15" s="295" t="s">
        <v>149</v>
      </c>
      <c r="BS15" s="295" t="s">
        <v>149</v>
      </c>
      <c r="BT15" s="300" t="s">
        <v>150</v>
      </c>
      <c r="BV15" s="242" t="str">
        <f t="shared" si="0"/>
        <v>SWAP_9Y</v>
      </c>
      <c r="BW15" s="156" t="str">
        <f ca="1">_xll.meLWOSwapCreateFromLegLVBs($BV15,_xll.meUtilityLVBFromKeysValues($L$6:$AO$6,$L15:$AO15),_xll.meUtilityLVBFromKeysValues($AQ$6:$BT$6,$AQ15:$BT15),FALSE)</f>
        <v>SWAP_9Y:0</v>
      </c>
      <c r="BX15" s="156" t="s">
        <v>80</v>
      </c>
      <c r="BY15" s="186">
        <f ca="1">_xll.meLWOSwapPV($BW15,$BX15)</f>
        <v>-39518.01784055007</v>
      </c>
      <c r="BZ15" s="321">
        <f ca="1">_xll.meLWOSwapParRate($BW15,$BX15)</f>
        <v>5.6100001539398222E-3</v>
      </c>
      <c r="CB15" s="209" t="str">
        <v>10Y</v>
      </c>
      <c r="CC15" s="328">
        <v>6.6700000000000006E-3</v>
      </c>
      <c r="CD15" s="334">
        <f t="shared" ca="1" si="1"/>
        <v>1.0240142414574827E-6</v>
      </c>
    </row>
    <row r="16" spans="2:82" ht="15" customHeight="1" x14ac:dyDescent="0.25">
      <c r="B16" s="283">
        <f ca="1">IF(NOW(),_xll.meDateFromTenor(COB,$C16,$AH16,$AI16))</f>
        <v>42423</v>
      </c>
      <c r="C16" s="174" t="s">
        <v>157</v>
      </c>
      <c r="D16" s="152" t="s">
        <v>17</v>
      </c>
      <c r="E16" s="124" t="s">
        <v>143</v>
      </c>
      <c r="F16" s="124" t="s">
        <v>61</v>
      </c>
      <c r="G16" s="262">
        <v>0.01</v>
      </c>
      <c r="H16" s="263">
        <v>0</v>
      </c>
      <c r="I16" s="152">
        <v>1000000</v>
      </c>
      <c r="J16" s="277" t="s">
        <v>148</v>
      </c>
      <c r="L16" s="293" t="s">
        <v>258</v>
      </c>
      <c r="M16" s="294">
        <f t="shared" si="2"/>
        <v>1000000</v>
      </c>
      <c r="N16" s="295" t="s">
        <v>213</v>
      </c>
      <c r="O16" s="295" t="str">
        <f t="shared" si="3"/>
        <v>PAY</v>
      </c>
      <c r="P16" s="295" t="s">
        <v>80</v>
      </c>
      <c r="Q16" s="295" t="s">
        <v>143</v>
      </c>
      <c r="R16" s="295" t="s">
        <v>244</v>
      </c>
      <c r="S16" s="295" t="s">
        <v>17</v>
      </c>
      <c r="T16" s="295" t="s">
        <v>220</v>
      </c>
      <c r="U16" s="296">
        <v>1</v>
      </c>
      <c r="V16" s="297">
        <f t="shared" si="4"/>
        <v>0.01</v>
      </c>
      <c r="W16" s="295"/>
      <c r="X16" s="295"/>
      <c r="Y16" s="295"/>
      <c r="Z16" s="298">
        <f t="shared" ca="1" si="5"/>
        <v>42423</v>
      </c>
      <c r="AA16" s="299" t="str">
        <f t="shared" si="6"/>
        <v>10Y</v>
      </c>
      <c r="AB16" s="295" t="s">
        <v>26</v>
      </c>
      <c r="AC16" s="295" t="s">
        <v>20</v>
      </c>
      <c r="AD16" s="295"/>
      <c r="AE16" s="295"/>
      <c r="AF16" s="295" t="s">
        <v>22</v>
      </c>
      <c r="AG16" s="295" t="s">
        <v>2</v>
      </c>
      <c r="AH16" s="295" t="s">
        <v>22</v>
      </c>
      <c r="AI16" s="295" t="s">
        <v>2</v>
      </c>
      <c r="AJ16" s="295"/>
      <c r="AK16" s="295"/>
      <c r="AL16" s="295" t="s">
        <v>209</v>
      </c>
      <c r="AM16" s="295"/>
      <c r="AN16" s="295" t="s">
        <v>149</v>
      </c>
      <c r="AO16" s="300" t="s">
        <v>150</v>
      </c>
      <c r="AQ16" s="293" t="s">
        <v>259</v>
      </c>
      <c r="AR16" s="294">
        <f t="shared" si="7"/>
        <v>1000000</v>
      </c>
      <c r="AS16" s="295" t="s">
        <v>213</v>
      </c>
      <c r="AT16" s="295" t="str">
        <f t="shared" si="8"/>
        <v>RECEIVE</v>
      </c>
      <c r="AU16" s="295" t="s">
        <v>80</v>
      </c>
      <c r="AV16" s="295" t="s">
        <v>143</v>
      </c>
      <c r="AW16" s="295" t="s">
        <v>244</v>
      </c>
      <c r="AX16" s="295" t="s">
        <v>17</v>
      </c>
      <c r="AY16" s="295" t="s">
        <v>220</v>
      </c>
      <c r="AZ16" s="296">
        <v>1</v>
      </c>
      <c r="BA16" s="295"/>
      <c r="BB16" s="295"/>
      <c r="BC16" s="295"/>
      <c r="BD16" s="311">
        <f t="shared" si="9"/>
        <v>0</v>
      </c>
      <c r="BE16" s="312">
        <f t="shared" ca="1" si="10"/>
        <v>42423</v>
      </c>
      <c r="BF16" s="299" t="str">
        <f t="shared" si="11"/>
        <v>10Y</v>
      </c>
      <c r="BG16" s="295" t="s">
        <v>129</v>
      </c>
      <c r="BH16" s="295" t="s">
        <v>6</v>
      </c>
      <c r="BI16" s="295" t="s">
        <v>22</v>
      </c>
      <c r="BJ16" s="295" t="s">
        <v>2</v>
      </c>
      <c r="BK16" s="295" t="s">
        <v>22</v>
      </c>
      <c r="BL16" s="295" t="s">
        <v>2</v>
      </c>
      <c r="BM16" s="295" t="s">
        <v>22</v>
      </c>
      <c r="BN16" s="295" t="s">
        <v>2</v>
      </c>
      <c r="BO16" s="295"/>
      <c r="BP16" s="295"/>
      <c r="BQ16" s="295" t="s">
        <v>209</v>
      </c>
      <c r="BR16" s="295" t="s">
        <v>149</v>
      </c>
      <c r="BS16" s="295" t="s">
        <v>149</v>
      </c>
      <c r="BT16" s="300" t="s">
        <v>150</v>
      </c>
      <c r="BV16" s="242" t="str">
        <f t="shared" si="0"/>
        <v>SWAP_10Y</v>
      </c>
      <c r="BW16" s="156" t="str">
        <f ca="1">_xll.meLWOSwapCreateFromLegLVBs($BV16,_xll.meUtilityLVBFromKeysValues($L$6:$AO$6,$L16:$AO16),_xll.meUtilityLVBFromKeysValues($AQ$6:$BT$6,$AQ16:$BT16),FALSE)</f>
        <v>SWAP_10Y:0</v>
      </c>
      <c r="BX16" s="156" t="s">
        <v>80</v>
      </c>
      <c r="BY16" s="186">
        <f ca="1">_xll.meLWOSwapPV($BW16,$BX16)</f>
        <v>-33156.43437042211</v>
      </c>
      <c r="BZ16" s="321">
        <f ca="1">_xll.meLWOSwapParRate($BW16,$BX16)</f>
        <v>6.6700001024014247E-3</v>
      </c>
      <c r="CB16" s="209" t="str">
        <v>11Y</v>
      </c>
      <c r="CC16" s="328">
        <v>7.6300000000000005E-3</v>
      </c>
      <c r="CD16" s="334">
        <f t="shared" ca="1" si="1"/>
        <v>4.0424646529507724E-6</v>
      </c>
    </row>
    <row r="17" spans="2:82" ht="15" customHeight="1" x14ac:dyDescent="0.25">
      <c r="B17" s="283">
        <f ca="1">IF(NOW(),_xll.meDateFromTenor(COB,$C17,$AH17,$AI17))</f>
        <v>42423</v>
      </c>
      <c r="C17" s="174" t="s">
        <v>157</v>
      </c>
      <c r="D17" s="152" t="s">
        <v>17</v>
      </c>
      <c r="E17" s="124" t="s">
        <v>143</v>
      </c>
      <c r="F17" s="124" t="s">
        <v>62</v>
      </c>
      <c r="G17" s="262">
        <v>0.01</v>
      </c>
      <c r="H17" s="263">
        <v>0</v>
      </c>
      <c r="I17" s="152">
        <v>1000000</v>
      </c>
      <c r="J17" s="277" t="s">
        <v>148</v>
      </c>
      <c r="L17" s="293" t="s">
        <v>258</v>
      </c>
      <c r="M17" s="294">
        <f t="shared" si="2"/>
        <v>1000000</v>
      </c>
      <c r="N17" s="295" t="s">
        <v>213</v>
      </c>
      <c r="O17" s="295" t="str">
        <f t="shared" si="3"/>
        <v>PAY</v>
      </c>
      <c r="P17" s="295" t="s">
        <v>80</v>
      </c>
      <c r="Q17" s="295" t="s">
        <v>143</v>
      </c>
      <c r="R17" s="295" t="s">
        <v>244</v>
      </c>
      <c r="S17" s="295" t="s">
        <v>17</v>
      </c>
      <c r="T17" s="295" t="s">
        <v>220</v>
      </c>
      <c r="U17" s="296">
        <v>1</v>
      </c>
      <c r="V17" s="297">
        <f t="shared" si="4"/>
        <v>0.01</v>
      </c>
      <c r="W17" s="295"/>
      <c r="X17" s="295"/>
      <c r="Y17" s="295"/>
      <c r="Z17" s="298">
        <f t="shared" ca="1" si="5"/>
        <v>42423</v>
      </c>
      <c r="AA17" s="299" t="str">
        <f t="shared" si="6"/>
        <v>11Y</v>
      </c>
      <c r="AB17" s="295" t="s">
        <v>26</v>
      </c>
      <c r="AC17" s="295" t="s">
        <v>20</v>
      </c>
      <c r="AD17" s="295"/>
      <c r="AE17" s="295"/>
      <c r="AF17" s="295" t="s">
        <v>22</v>
      </c>
      <c r="AG17" s="295" t="s">
        <v>2</v>
      </c>
      <c r="AH17" s="295" t="s">
        <v>22</v>
      </c>
      <c r="AI17" s="295" t="s">
        <v>2</v>
      </c>
      <c r="AJ17" s="295"/>
      <c r="AK17" s="295"/>
      <c r="AL17" s="295" t="s">
        <v>209</v>
      </c>
      <c r="AM17" s="295"/>
      <c r="AN17" s="295" t="s">
        <v>149</v>
      </c>
      <c r="AO17" s="300" t="s">
        <v>150</v>
      </c>
      <c r="AQ17" s="293" t="s">
        <v>259</v>
      </c>
      <c r="AR17" s="294">
        <f t="shared" si="7"/>
        <v>1000000</v>
      </c>
      <c r="AS17" s="295" t="s">
        <v>213</v>
      </c>
      <c r="AT17" s="295" t="str">
        <f t="shared" si="8"/>
        <v>RECEIVE</v>
      </c>
      <c r="AU17" s="295" t="s">
        <v>80</v>
      </c>
      <c r="AV17" s="295" t="s">
        <v>143</v>
      </c>
      <c r="AW17" s="295" t="s">
        <v>244</v>
      </c>
      <c r="AX17" s="295" t="s">
        <v>17</v>
      </c>
      <c r="AY17" s="295" t="s">
        <v>220</v>
      </c>
      <c r="AZ17" s="296">
        <v>1</v>
      </c>
      <c r="BA17" s="295"/>
      <c r="BB17" s="295"/>
      <c r="BC17" s="295"/>
      <c r="BD17" s="311">
        <f t="shared" si="9"/>
        <v>0</v>
      </c>
      <c r="BE17" s="312">
        <f t="shared" ca="1" si="10"/>
        <v>42423</v>
      </c>
      <c r="BF17" s="299" t="str">
        <f t="shared" si="11"/>
        <v>11Y</v>
      </c>
      <c r="BG17" s="295" t="s">
        <v>129</v>
      </c>
      <c r="BH17" s="295" t="s">
        <v>6</v>
      </c>
      <c r="BI17" s="295" t="s">
        <v>22</v>
      </c>
      <c r="BJ17" s="295" t="s">
        <v>2</v>
      </c>
      <c r="BK17" s="295" t="s">
        <v>22</v>
      </c>
      <c r="BL17" s="295" t="s">
        <v>2</v>
      </c>
      <c r="BM17" s="295" t="s">
        <v>22</v>
      </c>
      <c r="BN17" s="295" t="s">
        <v>2</v>
      </c>
      <c r="BO17" s="295"/>
      <c r="BP17" s="295"/>
      <c r="BQ17" s="295" t="s">
        <v>209</v>
      </c>
      <c r="BR17" s="295" t="s">
        <v>149</v>
      </c>
      <c r="BS17" s="295" t="s">
        <v>149</v>
      </c>
      <c r="BT17" s="300" t="s">
        <v>150</v>
      </c>
      <c r="BV17" s="242" t="str">
        <f t="shared" si="0"/>
        <v>SWAP_11Y</v>
      </c>
      <c r="BW17" s="156" t="str">
        <f ca="1">_xll.meLWOSwapCreateFromLegLVBs($BV17,_xll.meUtilityLVBFromKeysValues($L$6:$AO$6,$L17:$AO17),_xll.meUtilityLVBFromKeysValues($AQ$6:$BT$6,$AQ17:$BT17),FALSE)</f>
        <v>SWAP_11Y:0</v>
      </c>
      <c r="BX17" s="156" t="s">
        <v>80</v>
      </c>
      <c r="BY17" s="186">
        <f ca="1">_xll.meLWOSwapPV($BW17,$BX17)</f>
        <v>-25831.526806661685</v>
      </c>
      <c r="BZ17" s="321">
        <f ca="1">_xll.meLWOSwapParRate($BW17,$BX17)</f>
        <v>7.6300004042464658E-3</v>
      </c>
      <c r="CB17" s="209" t="str">
        <v>12Y</v>
      </c>
      <c r="CC17" s="328">
        <v>8.4700000000000001E-3</v>
      </c>
      <c r="CD17" s="334">
        <f t="shared" ca="1" si="1"/>
        <v>5.7269967761175433E-6</v>
      </c>
    </row>
    <row r="18" spans="2:82" ht="15" customHeight="1" x14ac:dyDescent="0.25">
      <c r="B18" s="283">
        <f ca="1">IF(NOW(),_xll.meDateFromTenor(COB,$C18,$AH18,$AI18))</f>
        <v>42423</v>
      </c>
      <c r="C18" s="174" t="s">
        <v>157</v>
      </c>
      <c r="D18" s="152" t="s">
        <v>17</v>
      </c>
      <c r="E18" s="124" t="s">
        <v>143</v>
      </c>
      <c r="F18" s="124" t="s">
        <v>63</v>
      </c>
      <c r="G18" s="262">
        <v>0.01</v>
      </c>
      <c r="H18" s="263">
        <v>0</v>
      </c>
      <c r="I18" s="152">
        <v>1000000</v>
      </c>
      <c r="J18" s="277" t="s">
        <v>148</v>
      </c>
      <c r="L18" s="293" t="s">
        <v>258</v>
      </c>
      <c r="M18" s="294">
        <f t="shared" si="2"/>
        <v>1000000</v>
      </c>
      <c r="N18" s="295" t="s">
        <v>213</v>
      </c>
      <c r="O18" s="295" t="str">
        <f t="shared" si="3"/>
        <v>PAY</v>
      </c>
      <c r="P18" s="295" t="s">
        <v>80</v>
      </c>
      <c r="Q18" s="295" t="s">
        <v>143</v>
      </c>
      <c r="R18" s="295" t="s">
        <v>244</v>
      </c>
      <c r="S18" s="295" t="s">
        <v>17</v>
      </c>
      <c r="T18" s="295" t="s">
        <v>220</v>
      </c>
      <c r="U18" s="296">
        <v>1</v>
      </c>
      <c r="V18" s="297">
        <f t="shared" si="4"/>
        <v>0.01</v>
      </c>
      <c r="W18" s="295"/>
      <c r="X18" s="295"/>
      <c r="Y18" s="295"/>
      <c r="Z18" s="298">
        <f t="shared" ca="1" si="5"/>
        <v>42423</v>
      </c>
      <c r="AA18" s="299" t="str">
        <f t="shared" si="6"/>
        <v>12Y</v>
      </c>
      <c r="AB18" s="295" t="s">
        <v>26</v>
      </c>
      <c r="AC18" s="295" t="s">
        <v>20</v>
      </c>
      <c r="AD18" s="295"/>
      <c r="AE18" s="295"/>
      <c r="AF18" s="295" t="s">
        <v>22</v>
      </c>
      <c r="AG18" s="295" t="s">
        <v>2</v>
      </c>
      <c r="AH18" s="295" t="s">
        <v>22</v>
      </c>
      <c r="AI18" s="295" t="s">
        <v>2</v>
      </c>
      <c r="AJ18" s="295"/>
      <c r="AK18" s="295"/>
      <c r="AL18" s="295" t="s">
        <v>209</v>
      </c>
      <c r="AM18" s="295"/>
      <c r="AN18" s="295" t="s">
        <v>149</v>
      </c>
      <c r="AO18" s="300" t="s">
        <v>150</v>
      </c>
      <c r="AQ18" s="293" t="s">
        <v>259</v>
      </c>
      <c r="AR18" s="294">
        <f t="shared" si="7"/>
        <v>1000000</v>
      </c>
      <c r="AS18" s="295" t="s">
        <v>213</v>
      </c>
      <c r="AT18" s="295" t="str">
        <f t="shared" si="8"/>
        <v>RECEIVE</v>
      </c>
      <c r="AU18" s="295" t="s">
        <v>80</v>
      </c>
      <c r="AV18" s="295" t="s">
        <v>143</v>
      </c>
      <c r="AW18" s="295" t="s">
        <v>244</v>
      </c>
      <c r="AX18" s="295" t="s">
        <v>17</v>
      </c>
      <c r="AY18" s="295" t="s">
        <v>220</v>
      </c>
      <c r="AZ18" s="296">
        <v>1</v>
      </c>
      <c r="BA18" s="295"/>
      <c r="BB18" s="295"/>
      <c r="BC18" s="295"/>
      <c r="BD18" s="311">
        <f t="shared" si="9"/>
        <v>0</v>
      </c>
      <c r="BE18" s="312">
        <f t="shared" ca="1" si="10"/>
        <v>42423</v>
      </c>
      <c r="BF18" s="299" t="str">
        <f t="shared" si="11"/>
        <v>12Y</v>
      </c>
      <c r="BG18" s="295" t="s">
        <v>129</v>
      </c>
      <c r="BH18" s="295" t="s">
        <v>6</v>
      </c>
      <c r="BI18" s="295" t="s">
        <v>22</v>
      </c>
      <c r="BJ18" s="295" t="s">
        <v>2</v>
      </c>
      <c r="BK18" s="295" t="s">
        <v>22</v>
      </c>
      <c r="BL18" s="295" t="s">
        <v>2</v>
      </c>
      <c r="BM18" s="295" t="s">
        <v>22</v>
      </c>
      <c r="BN18" s="295" t="s">
        <v>2</v>
      </c>
      <c r="BO18" s="295"/>
      <c r="BP18" s="295"/>
      <c r="BQ18" s="295" t="s">
        <v>209</v>
      </c>
      <c r="BR18" s="295" t="s">
        <v>149</v>
      </c>
      <c r="BS18" s="295" t="s">
        <v>149</v>
      </c>
      <c r="BT18" s="300" t="s">
        <v>150</v>
      </c>
      <c r="BV18" s="242" t="str">
        <f t="shared" si="0"/>
        <v>SWAP_12Y</v>
      </c>
      <c r="BW18" s="156" t="str">
        <f ca="1">_xll.meLWOSwapCreateFromLegLVBs($BV18,_xll.meUtilityLVBFromKeysValues($L$6:$AO$6,$L18:$AO18),_xll.meUtilityLVBFromKeysValues($AQ$6:$BT$6,$AQ18:$BT18),FALSE)</f>
        <v>SWAP_12Y:0</v>
      </c>
      <c r="BX18" s="156" t="s">
        <v>80</v>
      </c>
      <c r="BY18" s="186">
        <f ca="1">_xll.meLWOSwapPV($BW18,$BX18)</f>
        <v>-18094.29080011812</v>
      </c>
      <c r="BZ18" s="321">
        <f ca="1">_xll.meLWOSwapParRate($BW18,$BX18)</f>
        <v>8.4700005726996777E-3</v>
      </c>
      <c r="CB18" s="209" t="str">
        <v>15Y</v>
      </c>
      <c r="CC18" s="328">
        <v>1.03E-2</v>
      </c>
      <c r="CD18" s="334">
        <f t="shared" ca="1" si="1"/>
        <v>8.6164795437548847E-6</v>
      </c>
    </row>
    <row r="19" spans="2:82" ht="15" customHeight="1" x14ac:dyDescent="0.25">
      <c r="B19" s="283">
        <f ca="1">IF(NOW(),_xll.meDateFromTenor(COB,$C19,$AH19,$AI19))</f>
        <v>42423</v>
      </c>
      <c r="C19" s="174" t="s">
        <v>157</v>
      </c>
      <c r="D19" s="152" t="s">
        <v>17</v>
      </c>
      <c r="E19" s="124" t="s">
        <v>143</v>
      </c>
      <c r="F19" s="124" t="s">
        <v>160</v>
      </c>
      <c r="G19" s="262">
        <v>0.01</v>
      </c>
      <c r="H19" s="263">
        <v>0</v>
      </c>
      <c r="I19" s="152">
        <v>1000000</v>
      </c>
      <c r="J19" s="277" t="s">
        <v>148</v>
      </c>
      <c r="L19" s="293" t="s">
        <v>258</v>
      </c>
      <c r="M19" s="294">
        <f t="shared" si="2"/>
        <v>1000000</v>
      </c>
      <c r="N19" s="295" t="s">
        <v>213</v>
      </c>
      <c r="O19" s="295" t="str">
        <f t="shared" si="3"/>
        <v>PAY</v>
      </c>
      <c r="P19" s="295" t="s">
        <v>80</v>
      </c>
      <c r="Q19" s="295" t="s">
        <v>143</v>
      </c>
      <c r="R19" s="295" t="s">
        <v>244</v>
      </c>
      <c r="S19" s="295" t="s">
        <v>17</v>
      </c>
      <c r="T19" s="295" t="s">
        <v>220</v>
      </c>
      <c r="U19" s="296">
        <v>1</v>
      </c>
      <c r="V19" s="297">
        <f t="shared" si="4"/>
        <v>0.01</v>
      </c>
      <c r="W19" s="295"/>
      <c r="X19" s="295"/>
      <c r="Y19" s="295"/>
      <c r="Z19" s="298">
        <f t="shared" ca="1" si="5"/>
        <v>42423</v>
      </c>
      <c r="AA19" s="299" t="str">
        <f t="shared" si="6"/>
        <v>13Y</v>
      </c>
      <c r="AB19" s="295" t="s">
        <v>26</v>
      </c>
      <c r="AC19" s="295" t="s">
        <v>20</v>
      </c>
      <c r="AD19" s="295"/>
      <c r="AE19" s="295"/>
      <c r="AF19" s="295" t="s">
        <v>22</v>
      </c>
      <c r="AG19" s="295" t="s">
        <v>2</v>
      </c>
      <c r="AH19" s="295" t="s">
        <v>22</v>
      </c>
      <c r="AI19" s="295" t="s">
        <v>2</v>
      </c>
      <c r="AJ19" s="295"/>
      <c r="AK19" s="295"/>
      <c r="AL19" s="295" t="s">
        <v>209</v>
      </c>
      <c r="AM19" s="295"/>
      <c r="AN19" s="295" t="s">
        <v>149</v>
      </c>
      <c r="AO19" s="300" t="s">
        <v>150</v>
      </c>
      <c r="AQ19" s="293" t="s">
        <v>259</v>
      </c>
      <c r="AR19" s="294">
        <f t="shared" si="7"/>
        <v>1000000</v>
      </c>
      <c r="AS19" s="295" t="s">
        <v>213</v>
      </c>
      <c r="AT19" s="295" t="str">
        <f t="shared" si="8"/>
        <v>RECEIVE</v>
      </c>
      <c r="AU19" s="295" t="s">
        <v>80</v>
      </c>
      <c r="AV19" s="295" t="s">
        <v>143</v>
      </c>
      <c r="AW19" s="295" t="s">
        <v>244</v>
      </c>
      <c r="AX19" s="295" t="s">
        <v>17</v>
      </c>
      <c r="AY19" s="295" t="s">
        <v>220</v>
      </c>
      <c r="AZ19" s="296">
        <v>1</v>
      </c>
      <c r="BA19" s="295"/>
      <c r="BB19" s="295"/>
      <c r="BC19" s="295"/>
      <c r="BD19" s="311">
        <f t="shared" si="9"/>
        <v>0</v>
      </c>
      <c r="BE19" s="312">
        <f t="shared" ca="1" si="10"/>
        <v>42423</v>
      </c>
      <c r="BF19" s="299" t="str">
        <f t="shared" si="11"/>
        <v>13Y</v>
      </c>
      <c r="BG19" s="295" t="s">
        <v>129</v>
      </c>
      <c r="BH19" s="295" t="s">
        <v>6</v>
      </c>
      <c r="BI19" s="295" t="s">
        <v>22</v>
      </c>
      <c r="BJ19" s="295" t="s">
        <v>2</v>
      </c>
      <c r="BK19" s="295" t="s">
        <v>22</v>
      </c>
      <c r="BL19" s="295" t="s">
        <v>2</v>
      </c>
      <c r="BM19" s="295" t="s">
        <v>22</v>
      </c>
      <c r="BN19" s="295" t="s">
        <v>2</v>
      </c>
      <c r="BO19" s="295"/>
      <c r="BP19" s="295"/>
      <c r="BQ19" s="295" t="s">
        <v>209</v>
      </c>
      <c r="BR19" s="295" t="s">
        <v>149</v>
      </c>
      <c r="BS19" s="295" t="s">
        <v>149</v>
      </c>
      <c r="BT19" s="300" t="s">
        <v>150</v>
      </c>
      <c r="BV19" s="242" t="str">
        <f t="shared" si="0"/>
        <v>SWAP_13Y</v>
      </c>
      <c r="BW19" s="156" t="str">
        <f ca="1">_xll.meLWOSwapCreateFromLegLVBs($BV19,_xll.meUtilityLVBFromKeysValues($L$6:$AO$6,$L19:$AO19),_xll.meUtilityLVBFromKeysValues($AQ$6:$BT$6,$AQ19:$BT19),FALSE)</f>
        <v>SWAP_13Y:0</v>
      </c>
      <c r="BX19" s="156" t="s">
        <v>80</v>
      </c>
      <c r="BY19" s="186">
        <f ca="1">_xll.meLWOSwapPV($BW19,$BX19)</f>
        <v>-10476.176277283332</v>
      </c>
      <c r="BZ19" s="321">
        <f ca="1">_xll.meLWOSwapParRate($BW19,$BX19)</f>
        <v>9.1775537544505539E-3</v>
      </c>
      <c r="CB19" s="209" t="str">
        <v>20Y</v>
      </c>
      <c r="CC19" s="328">
        <v>1.1659999999999998E-2</v>
      </c>
      <c r="CD19" s="334">
        <f t="shared" ca="1" si="1"/>
        <v>1.3528311613303368E-5</v>
      </c>
    </row>
    <row r="20" spans="2:82" ht="15" customHeight="1" x14ac:dyDescent="0.25">
      <c r="B20" s="283">
        <f ca="1">IF(NOW(),_xll.meDateFromTenor(COB,$C20,$AH20,$AI20))</f>
        <v>42423</v>
      </c>
      <c r="C20" s="174" t="s">
        <v>157</v>
      </c>
      <c r="D20" s="152" t="s">
        <v>17</v>
      </c>
      <c r="E20" s="124" t="s">
        <v>143</v>
      </c>
      <c r="F20" s="124" t="s">
        <v>161</v>
      </c>
      <c r="G20" s="262">
        <v>0.01</v>
      </c>
      <c r="H20" s="263">
        <v>0</v>
      </c>
      <c r="I20" s="152">
        <v>1000000</v>
      </c>
      <c r="J20" s="277" t="s">
        <v>148</v>
      </c>
      <c r="L20" s="293" t="s">
        <v>258</v>
      </c>
      <c r="M20" s="294">
        <f t="shared" si="2"/>
        <v>1000000</v>
      </c>
      <c r="N20" s="295" t="s">
        <v>213</v>
      </c>
      <c r="O20" s="295" t="str">
        <f t="shared" si="3"/>
        <v>PAY</v>
      </c>
      <c r="P20" s="295" t="s">
        <v>80</v>
      </c>
      <c r="Q20" s="295" t="s">
        <v>143</v>
      </c>
      <c r="R20" s="295" t="s">
        <v>244</v>
      </c>
      <c r="S20" s="295" t="s">
        <v>17</v>
      </c>
      <c r="T20" s="295" t="s">
        <v>220</v>
      </c>
      <c r="U20" s="296">
        <v>1</v>
      </c>
      <c r="V20" s="297">
        <f t="shared" si="4"/>
        <v>0.01</v>
      </c>
      <c r="W20" s="295"/>
      <c r="X20" s="295"/>
      <c r="Y20" s="295"/>
      <c r="Z20" s="298">
        <f t="shared" ca="1" si="5"/>
        <v>42423</v>
      </c>
      <c r="AA20" s="299" t="str">
        <f t="shared" si="6"/>
        <v>14Y</v>
      </c>
      <c r="AB20" s="295" t="s">
        <v>26</v>
      </c>
      <c r="AC20" s="295" t="s">
        <v>20</v>
      </c>
      <c r="AD20" s="295"/>
      <c r="AE20" s="295"/>
      <c r="AF20" s="295" t="s">
        <v>22</v>
      </c>
      <c r="AG20" s="295" t="s">
        <v>2</v>
      </c>
      <c r="AH20" s="295" t="s">
        <v>22</v>
      </c>
      <c r="AI20" s="295" t="s">
        <v>2</v>
      </c>
      <c r="AJ20" s="295"/>
      <c r="AK20" s="295"/>
      <c r="AL20" s="295" t="s">
        <v>209</v>
      </c>
      <c r="AM20" s="295"/>
      <c r="AN20" s="295" t="s">
        <v>149</v>
      </c>
      <c r="AO20" s="300" t="s">
        <v>150</v>
      </c>
      <c r="AQ20" s="293" t="s">
        <v>259</v>
      </c>
      <c r="AR20" s="294">
        <f t="shared" si="7"/>
        <v>1000000</v>
      </c>
      <c r="AS20" s="295" t="s">
        <v>213</v>
      </c>
      <c r="AT20" s="295" t="str">
        <f t="shared" si="8"/>
        <v>RECEIVE</v>
      </c>
      <c r="AU20" s="295" t="s">
        <v>80</v>
      </c>
      <c r="AV20" s="295" t="s">
        <v>143</v>
      </c>
      <c r="AW20" s="295" t="s">
        <v>244</v>
      </c>
      <c r="AX20" s="295" t="s">
        <v>17</v>
      </c>
      <c r="AY20" s="295" t="s">
        <v>220</v>
      </c>
      <c r="AZ20" s="296">
        <v>1</v>
      </c>
      <c r="BA20" s="295"/>
      <c r="BB20" s="295"/>
      <c r="BC20" s="295"/>
      <c r="BD20" s="311">
        <f t="shared" si="9"/>
        <v>0</v>
      </c>
      <c r="BE20" s="312">
        <f t="shared" ca="1" si="10"/>
        <v>42423</v>
      </c>
      <c r="BF20" s="299" t="str">
        <f t="shared" si="11"/>
        <v>14Y</v>
      </c>
      <c r="BG20" s="295" t="s">
        <v>129</v>
      </c>
      <c r="BH20" s="295" t="s">
        <v>6</v>
      </c>
      <c r="BI20" s="295" t="s">
        <v>22</v>
      </c>
      <c r="BJ20" s="295" t="s">
        <v>2</v>
      </c>
      <c r="BK20" s="295" t="s">
        <v>22</v>
      </c>
      <c r="BL20" s="295" t="s">
        <v>2</v>
      </c>
      <c r="BM20" s="295" t="s">
        <v>22</v>
      </c>
      <c r="BN20" s="295" t="s">
        <v>2</v>
      </c>
      <c r="BO20" s="295"/>
      <c r="BP20" s="295"/>
      <c r="BQ20" s="295" t="s">
        <v>209</v>
      </c>
      <c r="BR20" s="295" t="s">
        <v>149</v>
      </c>
      <c r="BS20" s="295" t="s">
        <v>149</v>
      </c>
      <c r="BT20" s="300" t="s">
        <v>150</v>
      </c>
      <c r="BV20" s="242" t="str">
        <f t="shared" si="0"/>
        <v>SWAP_14Y</v>
      </c>
      <c r="BW20" s="156" t="str">
        <f ca="1">_xll.meLWOSwapCreateFromLegLVBs($BV20,_xll.meUtilityLVBFromKeysValues($L$6:$AO$6,$L20:$AO20),_xll.meUtilityLVBFromKeysValues($AQ$6:$BT$6,$AQ20:$BT20),FALSE)</f>
        <v>SWAP_14Y:0</v>
      </c>
      <c r="BX20" s="156" t="s">
        <v>80</v>
      </c>
      <c r="BY20" s="186">
        <f ca="1">_xll.meLWOSwapPV($BW20,$BX20)</f>
        <v>-2950.9759274602984</v>
      </c>
      <c r="BZ20" s="321">
        <f ca="1">_xll.meLWOSwapParRate($BW20,$BX20)</f>
        <v>9.7836371141081322E-3</v>
      </c>
      <c r="CB20" s="209" t="str">
        <v>25Y</v>
      </c>
      <c r="CC20" s="328">
        <v>1.201E-2</v>
      </c>
      <c r="CD20" s="334" t="str">
        <f t="shared" si="1"/>
        <v>-</v>
      </c>
    </row>
    <row r="21" spans="2:82" ht="15" customHeight="1" x14ac:dyDescent="0.25">
      <c r="B21" s="283">
        <f ca="1">IF(NOW(),_xll.meDateFromTenor(COB,$C21,$AH21,$AI21))</f>
        <v>42423</v>
      </c>
      <c r="C21" s="174" t="s">
        <v>157</v>
      </c>
      <c r="D21" s="152" t="s">
        <v>17</v>
      </c>
      <c r="E21" s="124" t="s">
        <v>143</v>
      </c>
      <c r="F21" s="124" t="s">
        <v>64</v>
      </c>
      <c r="G21" s="262">
        <v>0.01</v>
      </c>
      <c r="H21" s="263">
        <v>0</v>
      </c>
      <c r="I21" s="152">
        <v>1000000</v>
      </c>
      <c r="J21" s="277" t="s">
        <v>148</v>
      </c>
      <c r="L21" s="293" t="s">
        <v>258</v>
      </c>
      <c r="M21" s="294">
        <f t="shared" si="2"/>
        <v>1000000</v>
      </c>
      <c r="N21" s="295" t="s">
        <v>213</v>
      </c>
      <c r="O21" s="295" t="str">
        <f t="shared" si="3"/>
        <v>PAY</v>
      </c>
      <c r="P21" s="295" t="s">
        <v>80</v>
      </c>
      <c r="Q21" s="295" t="s">
        <v>143</v>
      </c>
      <c r="R21" s="295" t="s">
        <v>244</v>
      </c>
      <c r="S21" s="295" t="s">
        <v>17</v>
      </c>
      <c r="T21" s="295" t="s">
        <v>220</v>
      </c>
      <c r="U21" s="296">
        <v>1</v>
      </c>
      <c r="V21" s="297">
        <f t="shared" si="4"/>
        <v>0.01</v>
      </c>
      <c r="W21" s="295"/>
      <c r="X21" s="295"/>
      <c r="Y21" s="295"/>
      <c r="Z21" s="298">
        <f t="shared" ca="1" si="5"/>
        <v>42423</v>
      </c>
      <c r="AA21" s="299" t="str">
        <f t="shared" si="6"/>
        <v>15Y</v>
      </c>
      <c r="AB21" s="295" t="s">
        <v>26</v>
      </c>
      <c r="AC21" s="295" t="s">
        <v>20</v>
      </c>
      <c r="AD21" s="295"/>
      <c r="AE21" s="295"/>
      <c r="AF21" s="295" t="s">
        <v>22</v>
      </c>
      <c r="AG21" s="295" t="s">
        <v>2</v>
      </c>
      <c r="AH21" s="295" t="s">
        <v>22</v>
      </c>
      <c r="AI21" s="295" t="s">
        <v>2</v>
      </c>
      <c r="AJ21" s="295"/>
      <c r="AK21" s="295"/>
      <c r="AL21" s="295" t="s">
        <v>209</v>
      </c>
      <c r="AM21" s="295"/>
      <c r="AN21" s="295" t="s">
        <v>149</v>
      </c>
      <c r="AO21" s="300" t="s">
        <v>150</v>
      </c>
      <c r="AQ21" s="293" t="s">
        <v>259</v>
      </c>
      <c r="AR21" s="294">
        <f t="shared" si="7"/>
        <v>1000000</v>
      </c>
      <c r="AS21" s="295" t="s">
        <v>213</v>
      </c>
      <c r="AT21" s="295" t="str">
        <f t="shared" si="8"/>
        <v>RECEIVE</v>
      </c>
      <c r="AU21" s="295" t="s">
        <v>80</v>
      </c>
      <c r="AV21" s="295" t="s">
        <v>143</v>
      </c>
      <c r="AW21" s="295" t="s">
        <v>244</v>
      </c>
      <c r="AX21" s="295" t="s">
        <v>17</v>
      </c>
      <c r="AY21" s="295" t="s">
        <v>220</v>
      </c>
      <c r="AZ21" s="296">
        <v>1</v>
      </c>
      <c r="BA21" s="295"/>
      <c r="BB21" s="295"/>
      <c r="BC21" s="295"/>
      <c r="BD21" s="311">
        <f t="shared" si="9"/>
        <v>0</v>
      </c>
      <c r="BE21" s="312">
        <f t="shared" ca="1" si="10"/>
        <v>42423</v>
      </c>
      <c r="BF21" s="299" t="str">
        <f t="shared" si="11"/>
        <v>15Y</v>
      </c>
      <c r="BG21" s="295" t="s">
        <v>129</v>
      </c>
      <c r="BH21" s="295" t="s">
        <v>6</v>
      </c>
      <c r="BI21" s="295" t="s">
        <v>22</v>
      </c>
      <c r="BJ21" s="295" t="s">
        <v>2</v>
      </c>
      <c r="BK21" s="295" t="s">
        <v>22</v>
      </c>
      <c r="BL21" s="295" t="s">
        <v>2</v>
      </c>
      <c r="BM21" s="295" t="s">
        <v>22</v>
      </c>
      <c r="BN21" s="295" t="s">
        <v>2</v>
      </c>
      <c r="BO21" s="295"/>
      <c r="BP21" s="295"/>
      <c r="BQ21" s="295" t="s">
        <v>209</v>
      </c>
      <c r="BR21" s="295" t="s">
        <v>149</v>
      </c>
      <c r="BS21" s="295" t="s">
        <v>149</v>
      </c>
      <c r="BT21" s="300" t="s">
        <v>150</v>
      </c>
      <c r="BV21" s="242" t="str">
        <f t="shared" si="0"/>
        <v>SWAP_15Y</v>
      </c>
      <c r="BW21" s="156" t="str">
        <f ca="1">_xll.meLWOSwapCreateFromLegLVBs($BV21,_xll.meUtilityLVBFromKeysValues($L$6:$AO$6,$L21:$AO21),_xll.meUtilityLVBFromKeysValues($AQ$6:$BT$6,$AQ21:$BT21),FALSE)</f>
        <v>SWAP_15Y:0</v>
      </c>
      <c r="BX21" s="156" t="s">
        <v>80</v>
      </c>
      <c r="BY21" s="186">
        <f ca="1">_xll.meLWOSwapPV($BW21,$BX21)</f>
        <v>4355.2391102286347</v>
      </c>
      <c r="BZ21" s="321">
        <f ca="1">_xll.meLWOSwapParRate($BW21,$BX21)</f>
        <v>1.0300000861647955E-2</v>
      </c>
      <c r="CB21" s="209" t="str">
        <v>30Y</v>
      </c>
      <c r="CC21" s="328">
        <v>1.204E-2</v>
      </c>
      <c r="CD21" s="334" t="str">
        <f t="shared" si="1"/>
        <v>-</v>
      </c>
    </row>
    <row r="22" spans="2:82" ht="15" customHeight="1" x14ac:dyDescent="0.25">
      <c r="B22" s="283">
        <f ca="1">IF(NOW(),_xll.meDateFromTenor(COB,$C22,$AH22,$AI22))</f>
        <v>42423</v>
      </c>
      <c r="C22" s="174" t="s">
        <v>157</v>
      </c>
      <c r="D22" s="152" t="s">
        <v>17</v>
      </c>
      <c r="E22" s="124" t="s">
        <v>143</v>
      </c>
      <c r="F22" s="124" t="s">
        <v>162</v>
      </c>
      <c r="G22" s="262">
        <v>0.01</v>
      </c>
      <c r="H22" s="263">
        <v>0</v>
      </c>
      <c r="I22" s="152">
        <v>1000000</v>
      </c>
      <c r="J22" s="277" t="s">
        <v>148</v>
      </c>
      <c r="L22" s="293" t="s">
        <v>258</v>
      </c>
      <c r="M22" s="294">
        <f t="shared" si="2"/>
        <v>1000000</v>
      </c>
      <c r="N22" s="295" t="s">
        <v>213</v>
      </c>
      <c r="O22" s="295" t="str">
        <f t="shared" si="3"/>
        <v>PAY</v>
      </c>
      <c r="P22" s="295" t="s">
        <v>80</v>
      </c>
      <c r="Q22" s="295" t="s">
        <v>143</v>
      </c>
      <c r="R22" s="295" t="s">
        <v>244</v>
      </c>
      <c r="S22" s="295" t="s">
        <v>17</v>
      </c>
      <c r="T22" s="295" t="s">
        <v>220</v>
      </c>
      <c r="U22" s="296">
        <v>1</v>
      </c>
      <c r="V22" s="297">
        <f t="shared" si="4"/>
        <v>0.01</v>
      </c>
      <c r="W22" s="295"/>
      <c r="X22" s="295"/>
      <c r="Y22" s="295"/>
      <c r="Z22" s="298">
        <f t="shared" ca="1" si="5"/>
        <v>42423</v>
      </c>
      <c r="AA22" s="299" t="str">
        <f t="shared" si="6"/>
        <v>16Y</v>
      </c>
      <c r="AB22" s="295" t="s">
        <v>26</v>
      </c>
      <c r="AC22" s="295" t="s">
        <v>20</v>
      </c>
      <c r="AD22" s="295"/>
      <c r="AE22" s="295"/>
      <c r="AF22" s="295" t="s">
        <v>22</v>
      </c>
      <c r="AG22" s="295" t="s">
        <v>2</v>
      </c>
      <c r="AH22" s="295" t="s">
        <v>22</v>
      </c>
      <c r="AI22" s="295" t="s">
        <v>2</v>
      </c>
      <c r="AJ22" s="295"/>
      <c r="AK22" s="295"/>
      <c r="AL22" s="295" t="s">
        <v>209</v>
      </c>
      <c r="AM22" s="295"/>
      <c r="AN22" s="295" t="s">
        <v>149</v>
      </c>
      <c r="AO22" s="300" t="s">
        <v>150</v>
      </c>
      <c r="AQ22" s="293" t="s">
        <v>259</v>
      </c>
      <c r="AR22" s="294">
        <f t="shared" si="7"/>
        <v>1000000</v>
      </c>
      <c r="AS22" s="295" t="s">
        <v>213</v>
      </c>
      <c r="AT22" s="295" t="str">
        <f t="shared" si="8"/>
        <v>RECEIVE</v>
      </c>
      <c r="AU22" s="295" t="s">
        <v>80</v>
      </c>
      <c r="AV22" s="295" t="s">
        <v>143</v>
      </c>
      <c r="AW22" s="295" t="s">
        <v>244</v>
      </c>
      <c r="AX22" s="295" t="s">
        <v>17</v>
      </c>
      <c r="AY22" s="295" t="s">
        <v>220</v>
      </c>
      <c r="AZ22" s="296">
        <v>1</v>
      </c>
      <c r="BA22" s="295"/>
      <c r="BB22" s="295"/>
      <c r="BC22" s="295"/>
      <c r="BD22" s="311">
        <f t="shared" si="9"/>
        <v>0</v>
      </c>
      <c r="BE22" s="312">
        <f t="shared" ca="1" si="10"/>
        <v>42423</v>
      </c>
      <c r="BF22" s="299" t="str">
        <f t="shared" si="11"/>
        <v>16Y</v>
      </c>
      <c r="BG22" s="295" t="s">
        <v>129</v>
      </c>
      <c r="BH22" s="295" t="s">
        <v>6</v>
      </c>
      <c r="BI22" s="295" t="s">
        <v>22</v>
      </c>
      <c r="BJ22" s="295" t="s">
        <v>2</v>
      </c>
      <c r="BK22" s="295" t="s">
        <v>22</v>
      </c>
      <c r="BL22" s="295" t="s">
        <v>2</v>
      </c>
      <c r="BM22" s="295" t="s">
        <v>22</v>
      </c>
      <c r="BN22" s="295" t="s">
        <v>2</v>
      </c>
      <c r="BO22" s="295"/>
      <c r="BP22" s="295"/>
      <c r="BQ22" s="295" t="s">
        <v>209</v>
      </c>
      <c r="BR22" s="295" t="s">
        <v>149</v>
      </c>
      <c r="BS22" s="295" t="s">
        <v>149</v>
      </c>
      <c r="BT22" s="300" t="s">
        <v>150</v>
      </c>
      <c r="BV22" s="242" t="str">
        <f t="shared" si="0"/>
        <v>SWAP_16Y</v>
      </c>
      <c r="BW22" s="156" t="str">
        <f ca="1">_xll.meLWOSwapCreateFromLegLVBs($BV22,_xll.meUtilityLVBFromKeysValues($L$6:$AO$6,$L22:$AO22),_xll.meUtilityLVBFromKeysValues($AQ$6:$BT$6,$AQ22:$BT22),FALSE)</f>
        <v>SWAP_16Y:0</v>
      </c>
      <c r="BX22" s="156" t="s">
        <v>80</v>
      </c>
      <c r="BY22" s="186">
        <f ca="1">_xll.meLWOSwapPV($BW22,$BX22)</f>
        <v>10705.142186347919</v>
      </c>
      <c r="BZ22" s="321">
        <f ca="1">_xll.meLWOSwapParRate($BW22,$BX22)</f>
        <v>1.0695998241957463E-2</v>
      </c>
      <c r="CB22" s="209" t="str">
        <v>40Y</v>
      </c>
      <c r="CC22" s="328">
        <v>1.1859999999999999E-2</v>
      </c>
      <c r="CD22" s="334" t="str">
        <f t="shared" si="1"/>
        <v>-</v>
      </c>
    </row>
    <row r="23" spans="2:82" ht="15" customHeight="1" x14ac:dyDescent="0.25">
      <c r="B23" s="283">
        <f ca="1">IF(NOW(),_xll.meDateFromTenor(COB,$C23,$AH23,$AI23))</f>
        <v>42423</v>
      </c>
      <c r="C23" s="174" t="s">
        <v>157</v>
      </c>
      <c r="D23" s="152" t="s">
        <v>17</v>
      </c>
      <c r="E23" s="124" t="s">
        <v>143</v>
      </c>
      <c r="F23" s="124" t="s">
        <v>163</v>
      </c>
      <c r="G23" s="262">
        <v>0.01</v>
      </c>
      <c r="H23" s="263">
        <v>0</v>
      </c>
      <c r="I23" s="152">
        <v>1000000</v>
      </c>
      <c r="J23" s="277" t="s">
        <v>148</v>
      </c>
      <c r="L23" s="293" t="s">
        <v>258</v>
      </c>
      <c r="M23" s="294">
        <f t="shared" si="2"/>
        <v>1000000</v>
      </c>
      <c r="N23" s="295" t="s">
        <v>213</v>
      </c>
      <c r="O23" s="295" t="str">
        <f t="shared" si="3"/>
        <v>PAY</v>
      </c>
      <c r="P23" s="295" t="s">
        <v>80</v>
      </c>
      <c r="Q23" s="295" t="s">
        <v>143</v>
      </c>
      <c r="R23" s="295" t="s">
        <v>244</v>
      </c>
      <c r="S23" s="295" t="s">
        <v>17</v>
      </c>
      <c r="T23" s="295" t="s">
        <v>220</v>
      </c>
      <c r="U23" s="296">
        <v>1</v>
      </c>
      <c r="V23" s="297">
        <f t="shared" si="4"/>
        <v>0.01</v>
      </c>
      <c r="W23" s="295"/>
      <c r="X23" s="295"/>
      <c r="Y23" s="295"/>
      <c r="Z23" s="298">
        <f t="shared" ca="1" si="5"/>
        <v>42423</v>
      </c>
      <c r="AA23" s="299" t="str">
        <f t="shared" si="6"/>
        <v>17Y</v>
      </c>
      <c r="AB23" s="295" t="s">
        <v>26</v>
      </c>
      <c r="AC23" s="295" t="s">
        <v>20</v>
      </c>
      <c r="AD23" s="295"/>
      <c r="AE23" s="295"/>
      <c r="AF23" s="295" t="s">
        <v>22</v>
      </c>
      <c r="AG23" s="295" t="s">
        <v>2</v>
      </c>
      <c r="AH23" s="295" t="s">
        <v>22</v>
      </c>
      <c r="AI23" s="295" t="s">
        <v>2</v>
      </c>
      <c r="AJ23" s="295"/>
      <c r="AK23" s="295"/>
      <c r="AL23" s="295" t="s">
        <v>209</v>
      </c>
      <c r="AM23" s="295"/>
      <c r="AN23" s="295" t="s">
        <v>149</v>
      </c>
      <c r="AO23" s="300" t="s">
        <v>150</v>
      </c>
      <c r="AQ23" s="293" t="s">
        <v>259</v>
      </c>
      <c r="AR23" s="294">
        <f t="shared" si="7"/>
        <v>1000000</v>
      </c>
      <c r="AS23" s="295" t="s">
        <v>213</v>
      </c>
      <c r="AT23" s="295" t="str">
        <f t="shared" si="8"/>
        <v>RECEIVE</v>
      </c>
      <c r="AU23" s="295" t="s">
        <v>80</v>
      </c>
      <c r="AV23" s="295" t="s">
        <v>143</v>
      </c>
      <c r="AW23" s="295" t="s">
        <v>244</v>
      </c>
      <c r="AX23" s="295" t="s">
        <v>17</v>
      </c>
      <c r="AY23" s="295" t="s">
        <v>220</v>
      </c>
      <c r="AZ23" s="296">
        <v>1</v>
      </c>
      <c r="BA23" s="295"/>
      <c r="BB23" s="295"/>
      <c r="BC23" s="295"/>
      <c r="BD23" s="311">
        <f t="shared" si="9"/>
        <v>0</v>
      </c>
      <c r="BE23" s="312">
        <f t="shared" ca="1" si="10"/>
        <v>42423</v>
      </c>
      <c r="BF23" s="299" t="str">
        <f t="shared" si="11"/>
        <v>17Y</v>
      </c>
      <c r="BG23" s="295" t="s">
        <v>129</v>
      </c>
      <c r="BH23" s="295" t="s">
        <v>6</v>
      </c>
      <c r="BI23" s="295" t="s">
        <v>22</v>
      </c>
      <c r="BJ23" s="295" t="s">
        <v>2</v>
      </c>
      <c r="BK23" s="295" t="s">
        <v>22</v>
      </c>
      <c r="BL23" s="295" t="s">
        <v>2</v>
      </c>
      <c r="BM23" s="295" t="s">
        <v>22</v>
      </c>
      <c r="BN23" s="295" t="s">
        <v>2</v>
      </c>
      <c r="BO23" s="295"/>
      <c r="BP23" s="295"/>
      <c r="BQ23" s="295" t="s">
        <v>209</v>
      </c>
      <c r="BR23" s="295" t="s">
        <v>149</v>
      </c>
      <c r="BS23" s="295" t="s">
        <v>149</v>
      </c>
      <c r="BT23" s="300" t="s">
        <v>150</v>
      </c>
      <c r="BV23" s="242" t="str">
        <f t="shared" si="0"/>
        <v>SWAP_17Y</v>
      </c>
      <c r="BW23" s="156" t="str">
        <f ca="1">_xll.meLWOSwapCreateFromLegLVBs($BV23,_xll.meUtilityLVBFromKeysValues($L$6:$AO$6,$L23:$AO23),_xll.meUtilityLVBFromKeysValues($AQ$6:$BT$6,$AQ23:$BT23),FALSE)</f>
        <v>SWAP_17Y:0</v>
      </c>
      <c r="BX23" s="156" t="s">
        <v>80</v>
      </c>
      <c r="BY23" s="186">
        <f ca="1">_xll.meLWOSwapPV($BW23,$BX23)</f>
        <v>16569.15261434397</v>
      </c>
      <c r="BZ23" s="321">
        <f ca="1">_xll.meLWOSwapParRate($BW23,$BX23)</f>
        <v>1.1020699154190638E-2</v>
      </c>
      <c r="CB23" s="209" t="str">
        <v>50Y</v>
      </c>
      <c r="CC23" s="328">
        <v>1.1200000000000002E-2</v>
      </c>
      <c r="CD23" s="334" t="str">
        <f t="shared" si="1"/>
        <v>-</v>
      </c>
    </row>
    <row r="24" spans="2:82" ht="15" customHeight="1" x14ac:dyDescent="0.25">
      <c r="B24" s="283">
        <f ca="1">IF(NOW(),_xll.meDateFromTenor(COB,$C24,$AH24,$AI24))</f>
        <v>42423</v>
      </c>
      <c r="C24" s="174" t="s">
        <v>157</v>
      </c>
      <c r="D24" s="152" t="s">
        <v>17</v>
      </c>
      <c r="E24" s="124" t="s">
        <v>143</v>
      </c>
      <c r="F24" s="124" t="s">
        <v>164</v>
      </c>
      <c r="G24" s="262">
        <v>0.01</v>
      </c>
      <c r="H24" s="263">
        <v>0</v>
      </c>
      <c r="I24" s="152">
        <v>1000000</v>
      </c>
      <c r="J24" s="277" t="s">
        <v>148</v>
      </c>
      <c r="L24" s="293" t="s">
        <v>258</v>
      </c>
      <c r="M24" s="294">
        <f t="shared" si="2"/>
        <v>1000000</v>
      </c>
      <c r="N24" s="295" t="s">
        <v>213</v>
      </c>
      <c r="O24" s="295" t="str">
        <f t="shared" si="3"/>
        <v>PAY</v>
      </c>
      <c r="P24" s="295" t="s">
        <v>80</v>
      </c>
      <c r="Q24" s="295" t="s">
        <v>143</v>
      </c>
      <c r="R24" s="295" t="s">
        <v>244</v>
      </c>
      <c r="S24" s="295" t="s">
        <v>17</v>
      </c>
      <c r="T24" s="295" t="s">
        <v>220</v>
      </c>
      <c r="U24" s="296">
        <v>1</v>
      </c>
      <c r="V24" s="297">
        <f t="shared" si="4"/>
        <v>0.01</v>
      </c>
      <c r="W24" s="295"/>
      <c r="X24" s="295"/>
      <c r="Y24" s="295"/>
      <c r="Z24" s="298">
        <f t="shared" ca="1" si="5"/>
        <v>42423</v>
      </c>
      <c r="AA24" s="299" t="str">
        <f t="shared" si="6"/>
        <v>18Y</v>
      </c>
      <c r="AB24" s="295" t="s">
        <v>26</v>
      </c>
      <c r="AC24" s="295" t="s">
        <v>20</v>
      </c>
      <c r="AD24" s="295"/>
      <c r="AE24" s="295"/>
      <c r="AF24" s="295" t="s">
        <v>22</v>
      </c>
      <c r="AG24" s="295" t="s">
        <v>2</v>
      </c>
      <c r="AH24" s="295" t="s">
        <v>22</v>
      </c>
      <c r="AI24" s="295" t="s">
        <v>2</v>
      </c>
      <c r="AJ24" s="295"/>
      <c r="AK24" s="295"/>
      <c r="AL24" s="295" t="s">
        <v>209</v>
      </c>
      <c r="AM24" s="295"/>
      <c r="AN24" s="295" t="s">
        <v>149</v>
      </c>
      <c r="AO24" s="300" t="s">
        <v>150</v>
      </c>
      <c r="AQ24" s="293" t="s">
        <v>259</v>
      </c>
      <c r="AR24" s="294">
        <f t="shared" si="7"/>
        <v>1000000</v>
      </c>
      <c r="AS24" s="295" t="s">
        <v>213</v>
      </c>
      <c r="AT24" s="295" t="str">
        <f t="shared" si="8"/>
        <v>RECEIVE</v>
      </c>
      <c r="AU24" s="295" t="s">
        <v>80</v>
      </c>
      <c r="AV24" s="295" t="s">
        <v>143</v>
      </c>
      <c r="AW24" s="295" t="s">
        <v>244</v>
      </c>
      <c r="AX24" s="295" t="s">
        <v>17</v>
      </c>
      <c r="AY24" s="295" t="s">
        <v>220</v>
      </c>
      <c r="AZ24" s="296">
        <v>1</v>
      </c>
      <c r="BA24" s="295"/>
      <c r="BB24" s="295"/>
      <c r="BC24" s="295"/>
      <c r="BD24" s="311">
        <f t="shared" si="9"/>
        <v>0</v>
      </c>
      <c r="BE24" s="312">
        <f t="shared" ca="1" si="10"/>
        <v>42423</v>
      </c>
      <c r="BF24" s="299" t="str">
        <f t="shared" si="11"/>
        <v>18Y</v>
      </c>
      <c r="BG24" s="295" t="s">
        <v>129</v>
      </c>
      <c r="BH24" s="295" t="s">
        <v>6</v>
      </c>
      <c r="BI24" s="295" t="s">
        <v>22</v>
      </c>
      <c r="BJ24" s="295" t="s">
        <v>2</v>
      </c>
      <c r="BK24" s="295" t="s">
        <v>22</v>
      </c>
      <c r="BL24" s="295" t="s">
        <v>2</v>
      </c>
      <c r="BM24" s="295" t="s">
        <v>22</v>
      </c>
      <c r="BN24" s="295" t="s">
        <v>2</v>
      </c>
      <c r="BO24" s="295"/>
      <c r="BP24" s="295"/>
      <c r="BQ24" s="295" t="s">
        <v>209</v>
      </c>
      <c r="BR24" s="295" t="s">
        <v>149</v>
      </c>
      <c r="BS24" s="295" t="s">
        <v>149</v>
      </c>
      <c r="BT24" s="300" t="s">
        <v>150</v>
      </c>
      <c r="BV24" s="242" t="str">
        <f t="shared" si="0"/>
        <v>SWAP_18Y</v>
      </c>
      <c r="BW24" s="156" t="str">
        <f ca="1">_xll.meLWOSwapCreateFromLegLVBs($BV24,_xll.meUtilityLVBFromKeysValues($L$6:$AO$6,$L24:$AO24),_xll.meUtilityLVBFromKeysValues($AQ$6:$BT$6,$AQ24:$BT24),FALSE)</f>
        <v>SWAP_18Y:0</v>
      </c>
      <c r="BX24" s="156" t="s">
        <v>80</v>
      </c>
      <c r="BY24" s="186">
        <f ca="1">_xll.meLWOSwapPV($BW24,$BX24)</f>
        <v>21913.121837040962</v>
      </c>
      <c r="BZ24" s="321">
        <f ca="1">_xll.meLWOSwapParRate($BW24,$BX24)</f>
        <v>1.1283541795225087E-2</v>
      </c>
      <c r="CB24" s="209"/>
      <c r="CC24" s="328"/>
      <c r="CD24" s="334" t="str">
        <f t="shared" si="1"/>
        <v>-</v>
      </c>
    </row>
    <row r="25" spans="2:82" ht="15" customHeight="1" x14ac:dyDescent="0.25">
      <c r="B25" s="283">
        <f ca="1">IF(NOW(),_xll.meDateFromTenor(COB,$C25,$AH25,$AI25))</f>
        <v>42423</v>
      </c>
      <c r="C25" s="174" t="s">
        <v>157</v>
      </c>
      <c r="D25" s="152" t="s">
        <v>17</v>
      </c>
      <c r="E25" s="124" t="s">
        <v>143</v>
      </c>
      <c r="F25" s="124" t="s">
        <v>165</v>
      </c>
      <c r="G25" s="262">
        <v>0.01</v>
      </c>
      <c r="H25" s="263">
        <v>0</v>
      </c>
      <c r="I25" s="152">
        <v>1000000</v>
      </c>
      <c r="J25" s="277" t="s">
        <v>148</v>
      </c>
      <c r="L25" s="293" t="s">
        <v>258</v>
      </c>
      <c r="M25" s="294">
        <f t="shared" si="2"/>
        <v>1000000</v>
      </c>
      <c r="N25" s="295" t="s">
        <v>213</v>
      </c>
      <c r="O25" s="295" t="str">
        <f t="shared" si="3"/>
        <v>PAY</v>
      </c>
      <c r="P25" s="295" t="s">
        <v>80</v>
      </c>
      <c r="Q25" s="295" t="s">
        <v>143</v>
      </c>
      <c r="R25" s="295" t="s">
        <v>244</v>
      </c>
      <c r="S25" s="295" t="s">
        <v>17</v>
      </c>
      <c r="T25" s="295" t="s">
        <v>220</v>
      </c>
      <c r="U25" s="296">
        <v>1</v>
      </c>
      <c r="V25" s="297">
        <f t="shared" si="4"/>
        <v>0.01</v>
      </c>
      <c r="W25" s="295"/>
      <c r="X25" s="295"/>
      <c r="Y25" s="295"/>
      <c r="Z25" s="298">
        <f t="shared" ca="1" si="5"/>
        <v>42423</v>
      </c>
      <c r="AA25" s="299" t="str">
        <f t="shared" si="6"/>
        <v>19Y</v>
      </c>
      <c r="AB25" s="295" t="s">
        <v>26</v>
      </c>
      <c r="AC25" s="295" t="s">
        <v>20</v>
      </c>
      <c r="AD25" s="295"/>
      <c r="AE25" s="295"/>
      <c r="AF25" s="295" t="s">
        <v>22</v>
      </c>
      <c r="AG25" s="295" t="s">
        <v>2</v>
      </c>
      <c r="AH25" s="295" t="s">
        <v>22</v>
      </c>
      <c r="AI25" s="295" t="s">
        <v>2</v>
      </c>
      <c r="AJ25" s="295"/>
      <c r="AK25" s="295"/>
      <c r="AL25" s="295" t="s">
        <v>209</v>
      </c>
      <c r="AM25" s="295"/>
      <c r="AN25" s="295" t="s">
        <v>149</v>
      </c>
      <c r="AO25" s="300" t="s">
        <v>150</v>
      </c>
      <c r="AQ25" s="293" t="s">
        <v>259</v>
      </c>
      <c r="AR25" s="294">
        <f t="shared" si="7"/>
        <v>1000000</v>
      </c>
      <c r="AS25" s="295" t="s">
        <v>213</v>
      </c>
      <c r="AT25" s="295" t="str">
        <f t="shared" si="8"/>
        <v>RECEIVE</v>
      </c>
      <c r="AU25" s="295" t="s">
        <v>80</v>
      </c>
      <c r="AV25" s="295" t="s">
        <v>143</v>
      </c>
      <c r="AW25" s="295" t="s">
        <v>244</v>
      </c>
      <c r="AX25" s="295" t="s">
        <v>17</v>
      </c>
      <c r="AY25" s="295" t="s">
        <v>220</v>
      </c>
      <c r="AZ25" s="296">
        <v>1</v>
      </c>
      <c r="BA25" s="295"/>
      <c r="BB25" s="295"/>
      <c r="BC25" s="295"/>
      <c r="BD25" s="311">
        <f t="shared" si="9"/>
        <v>0</v>
      </c>
      <c r="BE25" s="312">
        <f t="shared" ca="1" si="10"/>
        <v>42423</v>
      </c>
      <c r="BF25" s="299" t="str">
        <f t="shared" si="11"/>
        <v>19Y</v>
      </c>
      <c r="BG25" s="295" t="s">
        <v>129</v>
      </c>
      <c r="BH25" s="295" t="s">
        <v>6</v>
      </c>
      <c r="BI25" s="295" t="s">
        <v>22</v>
      </c>
      <c r="BJ25" s="295" t="s">
        <v>2</v>
      </c>
      <c r="BK25" s="295" t="s">
        <v>22</v>
      </c>
      <c r="BL25" s="295" t="s">
        <v>2</v>
      </c>
      <c r="BM25" s="295" t="s">
        <v>22</v>
      </c>
      <c r="BN25" s="295" t="s">
        <v>2</v>
      </c>
      <c r="BO25" s="295"/>
      <c r="BP25" s="295"/>
      <c r="BQ25" s="295" t="s">
        <v>209</v>
      </c>
      <c r="BR25" s="295" t="s">
        <v>149</v>
      </c>
      <c r="BS25" s="295" t="s">
        <v>149</v>
      </c>
      <c r="BT25" s="300" t="s">
        <v>150</v>
      </c>
      <c r="BV25" s="242" t="str">
        <f t="shared" si="0"/>
        <v>SWAP_19Y</v>
      </c>
      <c r="BW25" s="156" t="str">
        <f ca="1">_xll.meLWOSwapCreateFromLegLVBs($BV25,_xll.meUtilityLVBFromKeysValues($L$6:$AO$6,$L25:$AO25),_xll.meUtilityLVBFromKeysValues($AQ$6:$BT$6,$AQ25:$BT25),FALSE)</f>
        <v>SWAP_19Y:0</v>
      </c>
      <c r="BX25" s="156" t="s">
        <v>80</v>
      </c>
      <c r="BY25" s="186">
        <f ca="1">_xll.meLWOSwapPV($BW25,$BX25)</f>
        <v>26742.876707395335</v>
      </c>
      <c r="BZ25" s="321">
        <f ca="1">_xll.meLWOSwapParRate($BW25,$BX25)</f>
        <v>1.1494069312838829E-2</v>
      </c>
      <c r="CB25" s="209"/>
      <c r="CC25" s="328"/>
      <c r="CD25" s="334" t="str">
        <f t="shared" si="1"/>
        <v>-</v>
      </c>
    </row>
    <row r="26" spans="2:82" ht="15" customHeight="1" x14ac:dyDescent="0.25">
      <c r="B26" s="284">
        <f ca="1">IF(NOW(),_xll.meDateFromTenor(COB,$C26,$AH26,$AI26))</f>
        <v>42423</v>
      </c>
      <c r="C26" s="278" t="s">
        <v>157</v>
      </c>
      <c r="D26" s="279" t="s">
        <v>17</v>
      </c>
      <c r="E26" s="132" t="s">
        <v>143</v>
      </c>
      <c r="F26" s="132" t="s">
        <v>65</v>
      </c>
      <c r="G26" s="280">
        <v>0.01</v>
      </c>
      <c r="H26" s="264">
        <v>0</v>
      </c>
      <c r="I26" s="279">
        <v>1000000</v>
      </c>
      <c r="J26" s="281" t="s">
        <v>148</v>
      </c>
      <c r="L26" s="301" t="s">
        <v>258</v>
      </c>
      <c r="M26" s="302">
        <f t="shared" si="2"/>
        <v>1000000</v>
      </c>
      <c r="N26" s="303" t="s">
        <v>213</v>
      </c>
      <c r="O26" s="303" t="str">
        <f t="shared" si="3"/>
        <v>PAY</v>
      </c>
      <c r="P26" s="303" t="s">
        <v>80</v>
      </c>
      <c r="Q26" s="303" t="s">
        <v>143</v>
      </c>
      <c r="R26" s="303" t="s">
        <v>244</v>
      </c>
      <c r="S26" s="303" t="s">
        <v>17</v>
      </c>
      <c r="T26" s="303" t="s">
        <v>220</v>
      </c>
      <c r="U26" s="304">
        <v>1</v>
      </c>
      <c r="V26" s="305">
        <f t="shared" si="4"/>
        <v>0.01</v>
      </c>
      <c r="W26" s="303"/>
      <c r="X26" s="303"/>
      <c r="Y26" s="303"/>
      <c r="Z26" s="306">
        <f t="shared" ca="1" si="5"/>
        <v>42423</v>
      </c>
      <c r="AA26" s="307" t="str">
        <f t="shared" si="6"/>
        <v>20Y</v>
      </c>
      <c r="AB26" s="303" t="s">
        <v>26</v>
      </c>
      <c r="AC26" s="303" t="s">
        <v>20</v>
      </c>
      <c r="AD26" s="303"/>
      <c r="AE26" s="303"/>
      <c r="AF26" s="303" t="s">
        <v>22</v>
      </c>
      <c r="AG26" s="303" t="s">
        <v>2</v>
      </c>
      <c r="AH26" s="303" t="s">
        <v>22</v>
      </c>
      <c r="AI26" s="303" t="s">
        <v>2</v>
      </c>
      <c r="AJ26" s="303"/>
      <c r="AK26" s="303"/>
      <c r="AL26" s="303" t="s">
        <v>209</v>
      </c>
      <c r="AM26" s="303"/>
      <c r="AN26" s="303" t="s">
        <v>149</v>
      </c>
      <c r="AO26" s="308" t="s">
        <v>150</v>
      </c>
      <c r="AQ26" s="301" t="s">
        <v>259</v>
      </c>
      <c r="AR26" s="302">
        <f t="shared" si="7"/>
        <v>1000000</v>
      </c>
      <c r="AS26" s="303" t="s">
        <v>213</v>
      </c>
      <c r="AT26" s="303" t="str">
        <f t="shared" si="8"/>
        <v>RECEIVE</v>
      </c>
      <c r="AU26" s="303" t="s">
        <v>80</v>
      </c>
      <c r="AV26" s="303" t="s">
        <v>143</v>
      </c>
      <c r="AW26" s="303" t="s">
        <v>244</v>
      </c>
      <c r="AX26" s="303" t="s">
        <v>17</v>
      </c>
      <c r="AY26" s="303" t="s">
        <v>220</v>
      </c>
      <c r="AZ26" s="304">
        <v>1</v>
      </c>
      <c r="BA26" s="303"/>
      <c r="BB26" s="303"/>
      <c r="BC26" s="303"/>
      <c r="BD26" s="313">
        <f t="shared" si="9"/>
        <v>0</v>
      </c>
      <c r="BE26" s="314">
        <f t="shared" ca="1" si="10"/>
        <v>42423</v>
      </c>
      <c r="BF26" s="307" t="str">
        <f t="shared" si="11"/>
        <v>20Y</v>
      </c>
      <c r="BG26" s="303" t="s">
        <v>129</v>
      </c>
      <c r="BH26" s="303" t="s">
        <v>6</v>
      </c>
      <c r="BI26" s="303" t="s">
        <v>22</v>
      </c>
      <c r="BJ26" s="303" t="s">
        <v>2</v>
      </c>
      <c r="BK26" s="303" t="s">
        <v>22</v>
      </c>
      <c r="BL26" s="303" t="s">
        <v>2</v>
      </c>
      <c r="BM26" s="303" t="s">
        <v>22</v>
      </c>
      <c r="BN26" s="303" t="s">
        <v>2</v>
      </c>
      <c r="BO26" s="303"/>
      <c r="BP26" s="303"/>
      <c r="BQ26" s="303" t="s">
        <v>209</v>
      </c>
      <c r="BR26" s="303" t="s">
        <v>149</v>
      </c>
      <c r="BS26" s="303" t="s">
        <v>149</v>
      </c>
      <c r="BT26" s="308" t="s">
        <v>150</v>
      </c>
      <c r="BV26" s="324" t="str">
        <f t="shared" si="0"/>
        <v>SWAP_20Y</v>
      </c>
      <c r="BW26" s="194" t="str">
        <f ca="1">_xll.meLWOSwapCreateFromLegLVBs($BV26,_xll.meUtilityLVBFromKeysValues($L$6:$AO$6,$L26:$AO26),_xll.meUtilityLVBFromKeysValues($AQ$6:$BT$6,$AQ26:$BT26),FALSE)</f>
        <v>SWAP_20Y:0</v>
      </c>
      <c r="BX26" s="194" t="s">
        <v>80</v>
      </c>
      <c r="BY26" s="199">
        <f ca="1">_xll.meLWOSwapPV($BW26,$BX26)</f>
        <v>31073.174457563844</v>
      </c>
      <c r="BZ26" s="322">
        <f ca="1">_xll.meLWOSwapParRate($BW26,$BX26)</f>
        <v>1.166000135283116E-2</v>
      </c>
      <c r="CB26" s="329"/>
      <c r="CC26" s="330"/>
      <c r="CD26" s="335" t="str">
        <f t="shared" si="1"/>
        <v>-</v>
      </c>
    </row>
  </sheetData>
  <dataValidations disablePrompts="1" count="2">
    <dataValidation type="list" allowBlank="1" showInputMessage="1" showErrorMessage="1" sqref="J7:J26">
      <formula1>"PAYER,RECEIVER"</formula1>
    </dataValidation>
    <dataValidation type="list" allowBlank="1" showInputMessage="1" showErrorMessage="1" sqref="F7:F26">
      <formula1>"1ML,3ML,6ML,12ML"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B1:D49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</cols>
  <sheetData>
    <row r="1" spans="2:4" ht="15" customHeight="1" x14ac:dyDescent="0.25"/>
    <row r="2" spans="2:4" ht="15" customHeight="1" x14ac:dyDescent="0.3">
      <c r="B2" s="185" t="s">
        <v>234</v>
      </c>
    </row>
    <row r="3" spans="2:4" ht="15" customHeight="1" x14ac:dyDescent="0.25"/>
    <row r="4" spans="2:4" ht="15" customHeight="1" x14ac:dyDescent="0.25"/>
    <row r="5" spans="2:4" ht="15" customHeight="1" x14ac:dyDescent="0.25">
      <c r="B5" s="234" t="s">
        <v>237</v>
      </c>
      <c r="C5" s="256" t="s">
        <v>277</v>
      </c>
    </row>
    <row r="6" spans="2:4" ht="15" customHeight="1" x14ac:dyDescent="0.25">
      <c r="B6" s="182" t="s">
        <v>236</v>
      </c>
      <c r="C6" s="216" t="s">
        <v>267</v>
      </c>
    </row>
    <row r="7" spans="2:4" ht="15" customHeight="1" x14ac:dyDescent="0.25">
      <c r="B7" s="184" t="s">
        <v>254</v>
      </c>
      <c r="C7" s="217" t="str">
        <f ca="1">_xll.meLWOSwapCreate(C6,B18:D48,FALSE)</f>
        <v>CLIENTSWAP5Y_NOFEE:0</v>
      </c>
    </row>
    <row r="8" spans="2:4" ht="15" customHeight="1" x14ac:dyDescent="0.25">
      <c r="B8" s="181" t="s">
        <v>261</v>
      </c>
    </row>
    <row r="9" spans="2:4" ht="15" customHeight="1" x14ac:dyDescent="0.25"/>
    <row r="10" spans="2:4" ht="15" customHeight="1" x14ac:dyDescent="0.25">
      <c r="B10" s="234" t="s">
        <v>238</v>
      </c>
      <c r="C10" s="115"/>
    </row>
    <row r="11" spans="2:4" ht="15" customHeight="1" x14ac:dyDescent="0.25">
      <c r="B11" s="182" t="s">
        <v>284</v>
      </c>
      <c r="C11" s="337" t="s">
        <v>80</v>
      </c>
    </row>
    <row r="12" spans="2:4" ht="15" customHeight="1" x14ac:dyDescent="0.25">
      <c r="B12" s="183" t="s">
        <v>152</v>
      </c>
      <c r="C12" s="336">
        <f ca="1">_xll.meLWOSwapPV(ClientSwapNoFee,$C$11)</f>
        <v>-45731.777008922945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_xll.meLWOSwapParRate(ClientSwapNoFee,$C$11)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_xll.meLWOSwapPV01(ClientSwapNoFee,$C$11)</f>
        <v>504.2092288081713</v>
      </c>
      <c r="D14" t="s">
        <v>241</v>
      </c>
    </row>
    <row r="15" spans="2:4" ht="15" customHeight="1" x14ac:dyDescent="0.25"/>
    <row r="16" spans="2:4" ht="15" customHeight="1" x14ac:dyDescent="0.25">
      <c r="C16" s="258"/>
    </row>
    <row r="17" spans="2:4" ht="15" customHeight="1" x14ac:dyDescent="0.25">
      <c r="B17" s="234" t="s">
        <v>235</v>
      </c>
    </row>
    <row r="18" spans="2:4" ht="15" customHeight="1" x14ac:dyDescent="0.25">
      <c r="B18" s="204" t="s">
        <v>216</v>
      </c>
      <c r="C18" s="205" t="s">
        <v>258</v>
      </c>
      <c r="D18" s="205" t="s">
        <v>259</v>
      </c>
    </row>
    <row r="19" spans="2:4" ht="15" customHeight="1" x14ac:dyDescent="0.25">
      <c r="B19" s="206" t="s">
        <v>147</v>
      </c>
      <c r="C19" s="207">
        <v>1000000</v>
      </c>
      <c r="D19" s="207">
        <v>1000000</v>
      </c>
    </row>
    <row r="20" spans="2:4" ht="15" customHeight="1" x14ac:dyDescent="0.25">
      <c r="B20" s="206" t="s">
        <v>212</v>
      </c>
      <c r="C20" s="207" t="s">
        <v>213</v>
      </c>
      <c r="D20" s="207" t="s">
        <v>213</v>
      </c>
    </row>
    <row r="21" spans="2:4" ht="15" customHeight="1" x14ac:dyDescent="0.25">
      <c r="B21" s="206" t="s">
        <v>243</v>
      </c>
      <c r="C21" s="208" t="s">
        <v>148</v>
      </c>
      <c r="D21" s="189" t="s">
        <v>214</v>
      </c>
    </row>
    <row r="22" spans="2:4" ht="15" customHeight="1" x14ac:dyDescent="0.25">
      <c r="B22" s="206" t="s">
        <v>88</v>
      </c>
      <c r="C22" s="208" t="s">
        <v>80</v>
      </c>
      <c r="D22" s="189" t="s">
        <v>80</v>
      </c>
    </row>
    <row r="23" spans="2:4" ht="15" customHeight="1" x14ac:dyDescent="0.25">
      <c r="B23" s="206" t="s">
        <v>175</v>
      </c>
      <c r="C23" s="190" t="s">
        <v>143</v>
      </c>
      <c r="D23" s="190" t="s">
        <v>143</v>
      </c>
    </row>
    <row r="24" spans="2:4" ht="15" customHeight="1" x14ac:dyDescent="0.25">
      <c r="B24" s="206" t="s">
        <v>198</v>
      </c>
      <c r="C24" s="190" t="s">
        <v>244</v>
      </c>
      <c r="D24" s="190" t="s">
        <v>244</v>
      </c>
    </row>
    <row r="25" spans="2:4" ht="15" customHeight="1" x14ac:dyDescent="0.25">
      <c r="B25" s="206" t="s">
        <v>16</v>
      </c>
      <c r="C25" s="190" t="s">
        <v>17</v>
      </c>
      <c r="D25" s="190" t="s">
        <v>17</v>
      </c>
    </row>
    <row r="26" spans="2:4" ht="15" customHeight="1" x14ac:dyDescent="0.25">
      <c r="B26" s="209" t="s">
        <v>222</v>
      </c>
      <c r="C26" s="189" t="s">
        <v>220</v>
      </c>
      <c r="D26" s="189" t="s">
        <v>220</v>
      </c>
    </row>
    <row r="27" spans="2:4" ht="15" customHeight="1" x14ac:dyDescent="0.25">
      <c r="B27" s="206" t="s">
        <v>210</v>
      </c>
      <c r="C27" s="257">
        <v>1</v>
      </c>
      <c r="D27" s="257">
        <v>1</v>
      </c>
    </row>
    <row r="28" spans="2:4" ht="15" customHeight="1" x14ac:dyDescent="0.25">
      <c r="B28" s="206" t="s">
        <v>174</v>
      </c>
      <c r="C28" s="210">
        <v>0.01</v>
      </c>
      <c r="D28" s="211"/>
    </row>
    <row r="29" spans="2:4" ht="15" customHeight="1" x14ac:dyDescent="0.25">
      <c r="B29" s="206" t="s">
        <v>223</v>
      </c>
      <c r="C29" s="211"/>
      <c r="D29" s="191"/>
    </row>
    <row r="30" spans="2:4" ht="15" customHeight="1" x14ac:dyDescent="0.25">
      <c r="B30" s="206" t="s">
        <v>224</v>
      </c>
      <c r="C30" s="211"/>
      <c r="D30" s="211"/>
    </row>
    <row r="31" spans="2:4" ht="15" customHeight="1" x14ac:dyDescent="0.25">
      <c r="B31" s="206" t="s">
        <v>199</v>
      </c>
      <c r="C31" s="211"/>
      <c r="D31" s="212">
        <v>0</v>
      </c>
    </row>
    <row r="32" spans="2:4" ht="15" customHeight="1" x14ac:dyDescent="0.25">
      <c r="B32" s="206" t="s">
        <v>173</v>
      </c>
      <c r="C32" s="211" t="s">
        <v>157</v>
      </c>
      <c r="D32" s="212" t="s">
        <v>157</v>
      </c>
    </row>
    <row r="33" spans="2:4" ht="15" customHeight="1" x14ac:dyDescent="0.25">
      <c r="B33" s="206" t="s">
        <v>172</v>
      </c>
      <c r="C33" s="208">
        <f ca="1">_xll.meDateFromTenor(COB,C32,C41,C42)</f>
        <v>42423</v>
      </c>
      <c r="D33" s="208">
        <f ca="1">_xll.meDateFromTenor(COB,D32,D41,D42)</f>
        <v>42423</v>
      </c>
    </row>
    <row r="34" spans="2:4" ht="15" customHeight="1" x14ac:dyDescent="0.25">
      <c r="B34" s="206" t="s">
        <v>171</v>
      </c>
      <c r="C34" s="208" t="s">
        <v>52</v>
      </c>
      <c r="D34" s="208" t="s">
        <v>52</v>
      </c>
    </row>
    <row r="35" spans="2:4" ht="15" customHeight="1" x14ac:dyDescent="0.25">
      <c r="B35" s="206" t="s">
        <v>27</v>
      </c>
      <c r="C35" s="189" t="s">
        <v>26</v>
      </c>
      <c r="D35" s="189" t="s">
        <v>129</v>
      </c>
    </row>
    <row r="36" spans="2:4" ht="15" customHeight="1" x14ac:dyDescent="0.25">
      <c r="B36" s="206" t="s">
        <v>18</v>
      </c>
      <c r="C36" s="213" t="s">
        <v>20</v>
      </c>
      <c r="D36" s="213" t="s">
        <v>6</v>
      </c>
    </row>
    <row r="37" spans="2:4" ht="15" customHeight="1" x14ac:dyDescent="0.25">
      <c r="B37" s="206" t="s">
        <v>225</v>
      </c>
      <c r="C37" s="211"/>
      <c r="D37" s="189" t="s">
        <v>22</v>
      </c>
    </row>
    <row r="38" spans="2:4" ht="15" customHeight="1" x14ac:dyDescent="0.25">
      <c r="B38" s="206" t="s">
        <v>226</v>
      </c>
      <c r="C38" s="211"/>
      <c r="D38" s="189" t="s">
        <v>2</v>
      </c>
    </row>
    <row r="39" spans="2:4" ht="15" customHeight="1" x14ac:dyDescent="0.25">
      <c r="B39" s="206" t="s">
        <v>205</v>
      </c>
      <c r="C39" s="189" t="s">
        <v>22</v>
      </c>
      <c r="D39" s="189" t="s">
        <v>22</v>
      </c>
    </row>
    <row r="40" spans="2:4" ht="15" customHeight="1" x14ac:dyDescent="0.25">
      <c r="B40" s="206" t="s">
        <v>206</v>
      </c>
      <c r="C40" s="189" t="s">
        <v>2</v>
      </c>
      <c r="D40" s="189" t="s">
        <v>2</v>
      </c>
    </row>
    <row r="41" spans="2:4" ht="15" customHeight="1" x14ac:dyDescent="0.25">
      <c r="B41" s="206" t="s">
        <v>227</v>
      </c>
      <c r="C41" s="189" t="s">
        <v>22</v>
      </c>
      <c r="D41" s="189" t="s">
        <v>22</v>
      </c>
    </row>
    <row r="42" spans="2:4" ht="15" customHeight="1" x14ac:dyDescent="0.25">
      <c r="B42" s="206" t="s">
        <v>228</v>
      </c>
      <c r="C42" s="189" t="s">
        <v>2</v>
      </c>
      <c r="D42" s="189" t="s">
        <v>2</v>
      </c>
    </row>
    <row r="43" spans="2:4" ht="15" customHeight="1" x14ac:dyDescent="0.25">
      <c r="B43" s="206" t="s">
        <v>229</v>
      </c>
      <c r="C43" s="211"/>
      <c r="D43" s="211"/>
    </row>
    <row r="44" spans="2:4" ht="15" customHeight="1" x14ac:dyDescent="0.25">
      <c r="B44" s="206" t="s">
        <v>230</v>
      </c>
      <c r="C44" s="211"/>
      <c r="D44" s="211"/>
    </row>
    <row r="45" spans="2:4" ht="15" customHeight="1" x14ac:dyDescent="0.25">
      <c r="B45" s="206" t="s">
        <v>207</v>
      </c>
      <c r="C45" s="189" t="s">
        <v>209</v>
      </c>
      <c r="D45" s="189" t="s">
        <v>209</v>
      </c>
    </row>
    <row r="46" spans="2:4" ht="15" customHeight="1" x14ac:dyDescent="0.25">
      <c r="B46" s="206" t="s">
        <v>231</v>
      </c>
      <c r="C46" s="211"/>
      <c r="D46" s="213" t="s">
        <v>149</v>
      </c>
    </row>
    <row r="47" spans="2:4" ht="15" customHeight="1" x14ac:dyDescent="0.25">
      <c r="B47" s="206" t="s">
        <v>232</v>
      </c>
      <c r="C47" s="213" t="s">
        <v>149</v>
      </c>
      <c r="D47" s="213" t="s">
        <v>149</v>
      </c>
    </row>
    <row r="48" spans="2:4" ht="15" customHeight="1" x14ac:dyDescent="0.25">
      <c r="B48" s="214" t="s">
        <v>233</v>
      </c>
      <c r="C48" s="215" t="s">
        <v>150</v>
      </c>
      <c r="D48" s="215" t="s">
        <v>150</v>
      </c>
    </row>
    <row r="49" ht="15" customHeight="1" x14ac:dyDescent="0.25"/>
  </sheetData>
  <dataValidations count="7">
    <dataValidation type="list" allowBlank="1" showInputMessage="1" showErrorMessage="1" sqref="C42:D42 C40:D40 D38">
      <formula1>"TGT,NYB:LNB,LNB,TKB:LNB"</formula1>
    </dataValidation>
    <dataValidation type="list" allowBlank="1" showInputMessage="1" showErrorMessage="1" sqref="C39:D39 C41:D41 D37">
      <formula1>"MOD_FOLLOWING,FOLLOWING,MOD_PRECEDING,PRECEDING,NO_CHANGE"</formula1>
    </dataValidation>
    <dataValidation type="list" allowBlank="1" showInputMessage="1" showErrorMessage="1" sqref="C20:D20">
      <formula1>"NONE,START,END,START_END"</formula1>
    </dataValidation>
    <dataValidation type="list" allowBlank="1" showInputMessage="1" showErrorMessage="1" sqref="C48:D48">
      <formula1>"None,ShortStart,ShortEnd,LongStart,LongEnd"</formula1>
    </dataValidation>
    <dataValidation type="list" allowBlank="1" showInputMessage="1" showErrorMessage="1" sqref="C36:D36">
      <formula1>"30/360,ACT/360,ACT/365"</formula1>
    </dataValidation>
    <dataValidation type="list" allowBlank="1" showInputMessage="1" showErrorMessage="1" sqref="C35:D35">
      <formula1>"Annual,Semi-Annual,Quarterly,Monthly"</formula1>
    </dataValidation>
    <dataValidation type="list" allowBlank="1" showInputMessage="1" showErrorMessage="1" sqref="C21:D21">
      <formula1>"PAYER,RECEIVER"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/>
  </sheetPr>
  <dimension ref="B1:D15"/>
  <sheetViews>
    <sheetView showGridLines="0" workbookViewId="0"/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264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2" t="s">
        <v>274</v>
      </c>
      <c r="C6" s="216" t="str">
        <f ca="1">ClientSwapNoFee</f>
        <v>CLIENTSWAP5Y_NOFEE:0</v>
      </c>
    </row>
    <row r="7" spans="2:4" ht="15" customHeight="1" x14ac:dyDescent="0.25">
      <c r="B7" s="183" t="s">
        <v>272</v>
      </c>
      <c r="C7" s="248" t="s">
        <v>265</v>
      </c>
    </row>
    <row r="8" spans="2:4" ht="15" customHeight="1" x14ac:dyDescent="0.25">
      <c r="B8" s="184" t="s">
        <v>273</v>
      </c>
      <c r="C8" s="217" t="str">
        <f ca="1">_xll.meLWOSwapCreateBackToBack($C$6,$C$7)</f>
        <v>HEDGESWAP5Y:0</v>
      </c>
      <c r="D8" s="192" t="s">
        <v>242</v>
      </c>
    </row>
    <row r="9" spans="2:4" ht="15" customHeight="1" x14ac:dyDescent="0.25">
      <c r="B9" s="181"/>
    </row>
    <row r="10" spans="2:4" ht="15" customHeight="1" x14ac:dyDescent="0.25">
      <c r="B10" s="234" t="s">
        <v>238</v>
      </c>
      <c r="C10" s="202"/>
      <c r="D10" s="115"/>
    </row>
    <row r="11" spans="2:4" ht="15" customHeight="1" x14ac:dyDescent="0.25">
      <c r="B11" s="182" t="s">
        <v>284</v>
      </c>
      <c r="C11" s="337" t="s">
        <v>80</v>
      </c>
      <c r="D11" s="115"/>
    </row>
    <row r="12" spans="2:4" ht="15" customHeight="1" x14ac:dyDescent="0.25">
      <c r="B12" s="183" t="s">
        <v>152</v>
      </c>
      <c r="C12" s="336">
        <f ca="1">_xll.meLWOSwapPV(HedgeTrade,$C$11)</f>
        <v>45731.777008922945</v>
      </c>
      <c r="D12" t="s">
        <v>239</v>
      </c>
    </row>
    <row r="13" spans="2:4" ht="15" customHeight="1" x14ac:dyDescent="0.25">
      <c r="B13" s="183" t="s">
        <v>215</v>
      </c>
      <c r="C13" s="218">
        <f ca="1">_xll.meLWOSwapParRate(HedgeTrade,$C$11)</f>
        <v>9.300000087222104E-4</v>
      </c>
      <c r="D13" t="s">
        <v>240</v>
      </c>
    </row>
    <row r="14" spans="2:4" ht="15" customHeight="1" x14ac:dyDescent="0.25">
      <c r="B14" s="184" t="s">
        <v>156</v>
      </c>
      <c r="C14" s="219">
        <f ca="1">_xll.meLWOSwapPV01(HedgeTrade,$C$11)</f>
        <v>504.2092288081713</v>
      </c>
      <c r="D14" t="s">
        <v>241</v>
      </c>
    </row>
    <row r="15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B1:D25"/>
  <sheetViews>
    <sheetView showGridLines="0" workbookViewId="0"/>
  </sheetViews>
  <sheetFormatPr defaultRowHeight="15" x14ac:dyDescent="0.25"/>
  <cols>
    <col min="2" max="2" width="32" customWidth="1"/>
    <col min="3" max="4" width="25.7109375" customWidth="1"/>
    <col min="6" max="6" width="20.7109375" customWidth="1"/>
    <col min="7" max="7" width="25.28515625" customWidth="1"/>
  </cols>
  <sheetData>
    <row r="1" spans="2:4" ht="15" customHeight="1" x14ac:dyDescent="0.25"/>
    <row r="2" spans="2:4" ht="15" customHeight="1" x14ac:dyDescent="0.3">
      <c r="B2" s="185" t="s">
        <v>247</v>
      </c>
    </row>
    <row r="3" spans="2:4" ht="15" customHeight="1" x14ac:dyDescent="0.25"/>
    <row r="4" spans="2:4" ht="15" customHeight="1" x14ac:dyDescent="0.25">
      <c r="B4" s="181" t="s">
        <v>248</v>
      </c>
    </row>
    <row r="5" spans="2:4" x14ac:dyDescent="0.25">
      <c r="B5" s="182" t="s">
        <v>249</v>
      </c>
      <c r="C5" s="216" t="s">
        <v>253</v>
      </c>
    </row>
    <row r="6" spans="2:4" x14ac:dyDescent="0.25">
      <c r="B6" s="184" t="s">
        <v>248</v>
      </c>
      <c r="C6" s="217" t="str">
        <f ca="1">_xll.meLWOFeeLegCreate(C5,$B$13:$C$16,B19:D24)</f>
        <v>CLIENTFEELEG:1</v>
      </c>
    </row>
    <row r="8" spans="2:4" x14ac:dyDescent="0.25">
      <c r="B8" s="181" t="s">
        <v>250</v>
      </c>
    </row>
    <row r="9" spans="2:4" x14ac:dyDescent="0.25">
      <c r="B9" s="182" t="s">
        <v>284</v>
      </c>
      <c r="C9" s="337" t="s">
        <v>80</v>
      </c>
    </row>
    <row r="10" spans="2:4" x14ac:dyDescent="0.25">
      <c r="B10" s="184" t="s">
        <v>152</v>
      </c>
      <c r="C10" s="219">
        <f ca="1">_xll.meLWOLegPV(C6,$C$9)</f>
        <v>25210.406223418991</v>
      </c>
      <c r="D10" t="s">
        <v>251</v>
      </c>
    </row>
    <row r="12" spans="2:4" x14ac:dyDescent="0.25">
      <c r="B12" s="181" t="s">
        <v>262</v>
      </c>
      <c r="C12" s="181"/>
    </row>
    <row r="13" spans="2:4" x14ac:dyDescent="0.25">
      <c r="B13" s="222" t="s">
        <v>16</v>
      </c>
      <c r="C13" s="225" t="s">
        <v>17</v>
      </c>
    </row>
    <row r="14" spans="2:4" x14ac:dyDescent="0.25">
      <c r="B14" s="223" t="s">
        <v>88</v>
      </c>
      <c r="C14" s="211" t="s">
        <v>80</v>
      </c>
    </row>
    <row r="15" spans="2:4" x14ac:dyDescent="0.25">
      <c r="B15" s="223" t="s">
        <v>198</v>
      </c>
      <c r="C15" s="211" t="s">
        <v>244</v>
      </c>
    </row>
    <row r="16" spans="2:4" x14ac:dyDescent="0.25">
      <c r="B16" s="224" t="s">
        <v>216</v>
      </c>
      <c r="C16" s="226" t="s">
        <v>252</v>
      </c>
    </row>
    <row r="18" spans="2:4" x14ac:dyDescent="0.25">
      <c r="B18" s="181" t="s">
        <v>263</v>
      </c>
    </row>
    <row r="19" spans="2:4" x14ac:dyDescent="0.25">
      <c r="B19" s="227" t="s">
        <v>204</v>
      </c>
      <c r="C19" s="228" t="s">
        <v>245</v>
      </c>
      <c r="D19" s="229" t="s">
        <v>243</v>
      </c>
    </row>
    <row r="20" spans="2:4" x14ac:dyDescent="0.25">
      <c r="B20" s="235">
        <v>42789</v>
      </c>
      <c r="C20" s="230">
        <v>5000</v>
      </c>
      <c r="D20" s="231" t="s">
        <v>246</v>
      </c>
    </row>
    <row r="21" spans="2:4" x14ac:dyDescent="0.25">
      <c r="B21" s="235">
        <v>43154</v>
      </c>
      <c r="C21" s="230">
        <v>5000</v>
      </c>
      <c r="D21" s="231" t="s">
        <v>246</v>
      </c>
    </row>
    <row r="22" spans="2:4" x14ac:dyDescent="0.25">
      <c r="B22" s="235">
        <v>43519</v>
      </c>
      <c r="C22" s="230">
        <v>5000</v>
      </c>
      <c r="D22" s="231" t="s">
        <v>246</v>
      </c>
    </row>
    <row r="23" spans="2:4" x14ac:dyDescent="0.25">
      <c r="B23" s="235">
        <v>43884</v>
      </c>
      <c r="C23" s="230">
        <v>5000</v>
      </c>
      <c r="D23" s="231" t="s">
        <v>246</v>
      </c>
    </row>
    <row r="24" spans="2:4" x14ac:dyDescent="0.25">
      <c r="B24" s="235">
        <v>44250</v>
      </c>
      <c r="C24" s="230">
        <v>5000</v>
      </c>
      <c r="D24" s="231" t="s">
        <v>246</v>
      </c>
    </row>
    <row r="25" spans="2:4" x14ac:dyDescent="0.25">
      <c r="B25" s="236"/>
      <c r="C25" s="232"/>
      <c r="D25" s="23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B1:D16"/>
  <sheetViews>
    <sheetView showGridLines="0" workbookViewId="0"/>
  </sheetViews>
  <sheetFormatPr defaultRowHeight="15" x14ac:dyDescent="0.25"/>
  <cols>
    <col min="2" max="2" width="32" customWidth="1"/>
    <col min="3" max="3" width="34.42578125" customWidth="1"/>
    <col min="4" max="4" width="25.7109375" customWidth="1"/>
  </cols>
  <sheetData>
    <row r="1" spans="2:4" ht="15" customHeight="1" x14ac:dyDescent="0.25"/>
    <row r="2" spans="2:4" ht="15" customHeight="1" x14ac:dyDescent="0.3">
      <c r="B2" s="185" t="s">
        <v>270</v>
      </c>
    </row>
    <row r="3" spans="2:4" ht="15" customHeight="1" x14ac:dyDescent="0.25"/>
    <row r="4" spans="2:4" ht="15" customHeight="1" x14ac:dyDescent="0.25"/>
    <row r="5" spans="2:4" ht="15" customHeight="1" x14ac:dyDescent="0.25">
      <c r="B5" s="181" t="s">
        <v>255</v>
      </c>
    </row>
    <row r="6" spans="2:4" ht="15" customHeight="1" x14ac:dyDescent="0.25">
      <c r="B6" s="181" t="s">
        <v>236</v>
      </c>
    </row>
    <row r="7" spans="2:4" ht="15" customHeight="1" x14ac:dyDescent="0.25">
      <c r="B7" s="182" t="s">
        <v>269</v>
      </c>
      <c r="C7" s="216" t="str">
        <f ca="1">_xll.meLWOSwapCreate(B7,'Client Swap'!B18:D48,FALSE)</f>
        <v>CLIENTSWAP5Y_WITHFEE:4</v>
      </c>
    </row>
    <row r="8" spans="2:4" ht="15" customHeight="1" x14ac:dyDescent="0.25">
      <c r="B8" s="183" t="s">
        <v>268</v>
      </c>
      <c r="C8" s="248" t="str">
        <f ca="1">FeeLeg</f>
        <v>CLIENTFEELEG:1</v>
      </c>
    </row>
    <row r="9" spans="2:4" ht="15" customHeight="1" x14ac:dyDescent="0.25">
      <c r="B9" s="184" t="s">
        <v>266</v>
      </c>
      <c r="C9" s="217" t="str">
        <f ca="1">_xll.meLWOSwapAddFee($C$7,$C$8)</f>
        <v>CLIENTSWAP5Y_WITHFEE:5</v>
      </c>
      <c r="D9" s="149" t="s">
        <v>271</v>
      </c>
    </row>
    <row r="10" spans="2:4" ht="15" customHeight="1" x14ac:dyDescent="0.25">
      <c r="B10" s="181"/>
    </row>
    <row r="11" spans="2:4" ht="15" customHeight="1" x14ac:dyDescent="0.25">
      <c r="B11" s="234" t="s">
        <v>238</v>
      </c>
      <c r="C11" s="202"/>
      <c r="D11" s="115"/>
    </row>
    <row r="12" spans="2:4" ht="15" customHeight="1" x14ac:dyDescent="0.25">
      <c r="B12" s="182" t="s">
        <v>284</v>
      </c>
      <c r="C12" s="337" t="s">
        <v>80</v>
      </c>
      <c r="D12" s="115"/>
    </row>
    <row r="13" spans="2:4" ht="15" customHeight="1" x14ac:dyDescent="0.25">
      <c r="B13" s="183" t="s">
        <v>152</v>
      </c>
      <c r="C13" s="336">
        <f ca="1">_xll.meLWOSwapPV(ClientSwapWithFee,$C$12)</f>
        <v>-20521.370785503954</v>
      </c>
      <c r="D13" t="s">
        <v>239</v>
      </c>
    </row>
    <row r="14" spans="2:4" ht="15" customHeight="1" x14ac:dyDescent="0.25">
      <c r="B14" s="183" t="s">
        <v>215</v>
      </c>
      <c r="C14" s="218">
        <f ca="1">_xll.meLWOSwapParRate(ClientSwapWithFee,$C$12)</f>
        <v>9.300000087222104E-4</v>
      </c>
      <c r="D14" t="s">
        <v>240</v>
      </c>
    </row>
    <row r="15" spans="2:4" ht="15" customHeight="1" x14ac:dyDescent="0.25">
      <c r="B15" s="184" t="s">
        <v>156</v>
      </c>
      <c r="C15" s="219">
        <f ca="1">_xll.meLWOSwapPV01(ClientSwapWithFee,$C$12)</f>
        <v>504.2092288081713</v>
      </c>
      <c r="D15" t="s">
        <v>241</v>
      </c>
    </row>
    <row r="16" spans="2:4" ht="15" customHeight="1" x14ac:dyDescent="0.25"/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B1:D32"/>
  <sheetViews>
    <sheetView showGridLines="0" workbookViewId="0"/>
  </sheetViews>
  <sheetFormatPr defaultRowHeight="15" x14ac:dyDescent="0.25"/>
  <cols>
    <col min="2" max="2" width="23.140625" customWidth="1"/>
    <col min="3" max="3" width="9.140625" customWidth="1"/>
    <col min="4" max="4" width="20.7109375" customWidth="1"/>
    <col min="5" max="14" width="9.140625" customWidth="1"/>
  </cols>
  <sheetData>
    <row r="1" spans="2:4" ht="15" customHeight="1" x14ac:dyDescent="0.25"/>
    <row r="3" spans="2:4" x14ac:dyDescent="0.25">
      <c r="B3" s="192" t="s">
        <v>276</v>
      </c>
      <c r="D3" t="s">
        <v>239</v>
      </c>
    </row>
    <row r="4" spans="2:4" x14ac:dyDescent="0.25">
      <c r="B4" s="192"/>
    </row>
    <row r="5" spans="2:4" x14ac:dyDescent="0.25">
      <c r="B5" s="181" t="s">
        <v>284</v>
      </c>
    </row>
    <row r="6" spans="2:4" x14ac:dyDescent="0.25">
      <c r="B6" s="338" t="s">
        <v>80</v>
      </c>
    </row>
    <row r="7" spans="2:4" x14ac:dyDescent="0.25">
      <c r="B7" s="192"/>
    </row>
    <row r="8" spans="2:4" x14ac:dyDescent="0.25">
      <c r="B8" s="181" t="s">
        <v>275</v>
      </c>
      <c r="D8" s="255" t="s">
        <v>152</v>
      </c>
    </row>
    <row r="9" spans="2:4" x14ac:dyDescent="0.25">
      <c r="B9" s="249" t="str">
        <f t="array" aca="1" ref="B9:B32" ca="1">_xll.meUtilityResize(_xll.meLWOList("SWAP"),50,2)</f>
        <v>CLIENTSWAP5Y_NOFEE</v>
      </c>
      <c r="D9" s="252">
        <f ca="1">IF(OR(B9="",ISNA(B9)),"",_xll.meLWOSwapPV(B9,$B$6))</f>
        <v>-45731.777008922945</v>
      </c>
    </row>
    <row r="10" spans="2:4" x14ac:dyDescent="0.25">
      <c r="B10" s="250" t="str">
        <f ca="1"/>
        <v>CLIENTSWAP5Y_WITHFEE</v>
      </c>
      <c r="D10" s="253">
        <f ca="1">IF(OR(B10="",ISNA(B10)),"",_xll.meLWOSwapPV(B10,$B$6))</f>
        <v>-20521.370785503954</v>
      </c>
    </row>
    <row r="11" spans="2:4" x14ac:dyDescent="0.25">
      <c r="B11" s="250" t="str">
        <f ca="1"/>
        <v>HEDGESWAP5Y</v>
      </c>
      <c r="D11" s="253">
        <f ca="1">IF(OR(B11="",ISNA(B11)),"",_xll.meLWOSwapPV(B11,$B$6))</f>
        <v>45731.777008922945</v>
      </c>
    </row>
    <row r="12" spans="2:4" x14ac:dyDescent="0.25">
      <c r="B12" s="250" t="str">
        <f ca="1"/>
        <v>SWAP_10Y</v>
      </c>
      <c r="D12" s="253">
        <f ca="1">IF(OR(B12="",ISNA(B12)),"",_xll.meLWOSwapPV(B12,$B$6))</f>
        <v>-33156.43437042211</v>
      </c>
    </row>
    <row r="13" spans="2:4" x14ac:dyDescent="0.25">
      <c r="B13" s="250" t="str">
        <f ca="1"/>
        <v>SWAP_11Y</v>
      </c>
      <c r="D13" s="253">
        <f ca="1">IF(OR(B13="",ISNA(B13)),"",_xll.meLWOSwapPV(B13,$B$6))</f>
        <v>-25831.526806661685</v>
      </c>
    </row>
    <row r="14" spans="2:4" x14ac:dyDescent="0.25">
      <c r="B14" s="250" t="str">
        <f ca="1"/>
        <v>SWAP_12Y</v>
      </c>
      <c r="D14" s="253">
        <f ca="1">IF(OR(B14="",ISNA(B14)),"",_xll.meLWOSwapPV(B14,$B$6))</f>
        <v>-18094.29080011812</v>
      </c>
    </row>
    <row r="15" spans="2:4" x14ac:dyDescent="0.25">
      <c r="B15" s="250" t="str">
        <f ca="1"/>
        <v>SWAP_13Y</v>
      </c>
      <c r="D15" s="253">
        <f ca="1">IF(OR(B15="",ISNA(B15)),"",_xll.meLWOSwapPV(B15,$B$6))</f>
        <v>-10476.176277283332</v>
      </c>
    </row>
    <row r="16" spans="2:4" x14ac:dyDescent="0.25">
      <c r="B16" s="250" t="str">
        <f ca="1"/>
        <v>SWAP_14Y</v>
      </c>
      <c r="D16" s="253">
        <f ca="1">IF(OR(B16="",ISNA(B16)),"",_xll.meLWOSwapPV(B16,$B$6))</f>
        <v>-2950.9759274602984</v>
      </c>
    </row>
    <row r="17" spans="2:4" x14ac:dyDescent="0.25">
      <c r="B17" s="250" t="str">
        <f ca="1"/>
        <v>SWAP_15Y</v>
      </c>
      <c r="D17" s="253">
        <f ca="1">IF(OR(B17="",ISNA(B17)),"",_xll.meLWOSwapPV(B17,$B$6))</f>
        <v>4355.2391102286347</v>
      </c>
    </row>
    <row r="18" spans="2:4" x14ac:dyDescent="0.25">
      <c r="B18" s="250" t="str">
        <f ca="1"/>
        <v>SWAP_16Y</v>
      </c>
      <c r="D18" s="253">
        <f ca="1">IF(OR(B18="",ISNA(B18)),"",_xll.meLWOSwapPV(B18,$B$6))</f>
        <v>10705.142186347919</v>
      </c>
    </row>
    <row r="19" spans="2:4" x14ac:dyDescent="0.25">
      <c r="B19" s="250" t="str">
        <f ca="1"/>
        <v>SWAP_17Y</v>
      </c>
      <c r="D19" s="253">
        <f ca="1">IF(OR(B19="",ISNA(B19)),"",_xll.meLWOSwapPV(B19,$B$6))</f>
        <v>16569.15261434397</v>
      </c>
    </row>
    <row r="20" spans="2:4" x14ac:dyDescent="0.25">
      <c r="B20" s="250" t="str">
        <f ca="1"/>
        <v>SWAP_18Y</v>
      </c>
      <c r="D20" s="253">
        <f ca="1">IF(OR(B20="",ISNA(B20)),"",_xll.meLWOSwapPV(B20,$B$6))</f>
        <v>21913.121837040962</v>
      </c>
    </row>
    <row r="21" spans="2:4" x14ac:dyDescent="0.25">
      <c r="B21" s="250" t="str">
        <f ca="1"/>
        <v>SWAP_19Y</v>
      </c>
      <c r="D21" s="253">
        <f ca="1">IF(OR(B21="",ISNA(B21)),"",_xll.meLWOSwapPV(B21,$B$6))</f>
        <v>26742.876707395335</v>
      </c>
    </row>
    <row r="22" spans="2:4" x14ac:dyDescent="0.25">
      <c r="B22" s="250" t="str">
        <f ca="1"/>
        <v>SWAP_1Y</v>
      </c>
      <c r="D22" s="253">
        <f ca="1">IF(OR(B22="",ISNA(B22)),"",_xll.meLWOSwapPV(B22,$B$6))</f>
        <v>-11440.174035374805</v>
      </c>
    </row>
    <row r="23" spans="2:4" x14ac:dyDescent="0.25">
      <c r="B23" s="250" t="str">
        <f ca="1"/>
        <v>SWAP_20Y</v>
      </c>
      <c r="D23" s="253">
        <f ca="1">IF(OR(B23="",ISNA(B23)),"",_xll.meLWOSwapPV(B23,$B$6))</f>
        <v>31073.174457563844</v>
      </c>
    </row>
    <row r="24" spans="2:4" x14ac:dyDescent="0.25">
      <c r="B24" s="250" t="str">
        <f ca="1"/>
        <v>SWAP_2Y</v>
      </c>
      <c r="D24" s="253">
        <f ca="1">IF(OR(B24="",ISNA(B24)),"",_xll.meLWOSwapPV(B24,$B$6))</f>
        <v>-22790.510195972023</v>
      </c>
    </row>
    <row r="25" spans="2:4" x14ac:dyDescent="0.25">
      <c r="B25" s="250" t="str">
        <f ca="1"/>
        <v>SWAP_3Y</v>
      </c>
      <c r="D25" s="253">
        <f ca="1">IF(OR(B25="",ISNA(B25)),"",_xll.meLWOSwapPV(B25,$B$6))</f>
        <v>-32910.316560208732</v>
      </c>
    </row>
    <row r="26" spans="2:4" x14ac:dyDescent="0.25">
      <c r="B26" s="250" t="str">
        <f ca="1"/>
        <v>SWAP_4Y</v>
      </c>
      <c r="D26" s="253">
        <f ca="1">IF(OR(B26="",ISNA(B26)),"",_xll.meLWOSwapPV(B26,$B$6))</f>
        <v>-40681.837261517365</v>
      </c>
    </row>
    <row r="27" spans="2:4" x14ac:dyDescent="0.25">
      <c r="B27" s="250" t="str">
        <f ca="1"/>
        <v>SWAP_5Y</v>
      </c>
      <c r="D27" s="253">
        <f ca="1">IF(OR(B27="",ISNA(B27)),"",_xll.meLWOSwapPV(B27,$B$6))</f>
        <v>-45731.777008922945</v>
      </c>
    </row>
    <row r="28" spans="2:4" x14ac:dyDescent="0.25">
      <c r="B28" s="250" t="str">
        <f ca="1"/>
        <v>SWAP_6Y</v>
      </c>
      <c r="D28" s="253">
        <f ca="1">IF(OR(B28="",ISNA(B28)),"",_xll.meLWOSwapPV(B28,$B$6))</f>
        <v>-48247.450430491597</v>
      </c>
    </row>
    <row r="29" spans="2:4" x14ac:dyDescent="0.25">
      <c r="B29" s="250" t="str">
        <f ca="1"/>
        <v>SWAP_7Y</v>
      </c>
      <c r="D29" s="253">
        <f ca="1">IF(OR(B29="",ISNA(B29)),"",_xll.meLWOSwapPV(B29,$B$6))</f>
        <v>-47815.098586247273</v>
      </c>
    </row>
    <row r="30" spans="2:4" x14ac:dyDescent="0.25">
      <c r="B30" s="250" t="str">
        <f ca="1"/>
        <v>SWAP_8Y</v>
      </c>
      <c r="D30" s="253">
        <f ca="1">IF(OR(B30="",ISNA(B30)),"",_xll.meLWOSwapPV(B30,$B$6))</f>
        <v>-44630.60034804506</v>
      </c>
    </row>
    <row r="31" spans="2:4" x14ac:dyDescent="0.25">
      <c r="B31" s="250" t="str">
        <f ca="1"/>
        <v>SWAP_9Y</v>
      </c>
      <c r="D31" s="253">
        <f ca="1">IF(OR(B31="",ISNA(B31)),"",_xll.meLWOSwapPV(B31,$B$6))</f>
        <v>-39518.01784055007</v>
      </c>
    </row>
    <row r="32" spans="2:4" x14ac:dyDescent="0.25">
      <c r="B32" s="251" t="str">
        <f ca="1"/>
        <v/>
      </c>
      <c r="D32" s="254" t="str">
        <f ca="1">IF(OR(B32="",ISNA(B32)),"",_xll.meLWOSwapPV(B32,$B$6))</f>
        <v/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/>
  </sheetPr>
  <dimension ref="B1:P51"/>
  <sheetViews>
    <sheetView showGridLines="0" tabSelected="1" workbookViewId="0"/>
  </sheetViews>
  <sheetFormatPr defaultRowHeight="15" x14ac:dyDescent="0.25"/>
  <cols>
    <col min="2" max="2" width="35.140625" customWidth="1"/>
    <col min="3" max="3" width="31.5703125" customWidth="1"/>
    <col min="4" max="4" width="16.42578125" customWidth="1"/>
    <col min="5" max="6" width="19.5703125" bestFit="1" customWidth="1"/>
    <col min="7" max="7" width="15.7109375" customWidth="1"/>
    <col min="8" max="9" width="17.28515625" bestFit="1" customWidth="1"/>
    <col min="10" max="10" width="12.7109375" bestFit="1" customWidth="1"/>
    <col min="11" max="11" width="14.28515625" bestFit="1" customWidth="1"/>
    <col min="12" max="12" width="12.7109375" bestFit="1" customWidth="1"/>
    <col min="13" max="13" width="14.28515625" bestFit="1" customWidth="1"/>
    <col min="14" max="14" width="11.7109375" bestFit="1" customWidth="1"/>
    <col min="15" max="15" width="14.28515625" bestFit="1" customWidth="1"/>
    <col min="16" max="16" width="12" bestFit="1" customWidth="1"/>
  </cols>
  <sheetData>
    <row r="1" spans="2:16" ht="15" customHeight="1" x14ac:dyDescent="0.25"/>
    <row r="2" spans="2:16" ht="15" customHeight="1" x14ac:dyDescent="0.3">
      <c r="B2" s="185" t="s">
        <v>256</v>
      </c>
    </row>
    <row r="3" spans="2:16" ht="15" customHeight="1" x14ac:dyDescent="0.25"/>
    <row r="4" spans="2:16" ht="15" customHeight="1" x14ac:dyDescent="0.25">
      <c r="B4" s="182" t="s">
        <v>211</v>
      </c>
      <c r="C4" s="237" t="str">
        <f ca="1">ClientSwapWithFee</f>
        <v>CLIENTSWAP5Y_WITHFEE:5</v>
      </c>
    </row>
    <row r="5" spans="2:16" ht="15" customHeight="1" x14ac:dyDescent="0.25">
      <c r="B5" s="183" t="s">
        <v>88</v>
      </c>
      <c r="C5" s="339" t="s">
        <v>80</v>
      </c>
    </row>
    <row r="6" spans="2:16" ht="15" customHeight="1" x14ac:dyDescent="0.25">
      <c r="B6" s="184" t="s">
        <v>257</v>
      </c>
      <c r="C6" s="238" t="s">
        <v>258</v>
      </c>
    </row>
    <row r="7" spans="2:16" ht="15" customHeight="1" x14ac:dyDescent="0.25"/>
    <row r="8" spans="2:16" ht="15" customHeight="1" x14ac:dyDescent="0.25">
      <c r="B8" s="239" t="str">
        <f t="array" aca="1" ref="B8:P15" ca="1">_xll.meUtilityResize(_xll.meLWOSwapDisplayCashflows(C4,C5,C6),50,50)</f>
        <v>LEG1:FIXED Leg Schedule &amp; Cashflows</v>
      </c>
      <c r="C8" s="240" t="str">
        <f ca="1"/>
        <v/>
      </c>
      <c r="D8" s="240" t="str">
        <f ca="1"/>
        <v/>
      </c>
      <c r="E8" s="240" t="str">
        <f ca="1"/>
        <v/>
      </c>
      <c r="F8" s="240" t="str">
        <f ca="1"/>
        <v/>
      </c>
      <c r="G8" s="240" t="str">
        <f ca="1"/>
        <v/>
      </c>
      <c r="H8" s="240" t="str">
        <f ca="1"/>
        <v/>
      </c>
      <c r="I8" s="240" t="str">
        <f ca="1"/>
        <v/>
      </c>
      <c r="J8" s="240" t="str">
        <f ca="1"/>
        <v/>
      </c>
      <c r="K8" s="240" t="str">
        <f ca="1"/>
        <v/>
      </c>
      <c r="L8" s="240" t="str">
        <f ca="1"/>
        <v/>
      </c>
      <c r="M8" s="240" t="str">
        <f ca="1"/>
        <v/>
      </c>
      <c r="N8" s="240" t="str">
        <f ca="1"/>
        <v/>
      </c>
      <c r="O8" s="240" t="str">
        <f ca="1"/>
        <v/>
      </c>
      <c r="P8" s="241" t="str">
        <f ca="1"/>
        <v/>
      </c>
    </row>
    <row r="9" spans="2:16" ht="15" customHeight="1" x14ac:dyDescent="0.25">
      <c r="B9" s="242" t="str">
        <f ca="1"/>
        <v>AccrualStart</v>
      </c>
      <c r="C9" s="156" t="str">
        <f ca="1"/>
        <v>AccrualEnd</v>
      </c>
      <c r="D9" s="156" t="str">
        <f ca="1"/>
        <v>AccrualDays</v>
      </c>
      <c r="E9" s="156" t="str">
        <f ca="1"/>
        <v>AccrualYearFractions</v>
      </c>
      <c r="F9" s="156" t="str">
        <f ca="1"/>
        <v>PaymentDate</v>
      </c>
      <c r="G9" s="156" t="str">
        <f ca="1"/>
        <v>Notional</v>
      </c>
      <c r="H9" s="156" t="str">
        <f ca="1"/>
        <v>NotionalExchange</v>
      </c>
      <c r="I9" s="156" t="str">
        <f ca="1"/>
        <v>Leverage</v>
      </c>
      <c r="J9" s="156" t="str">
        <f ca="1"/>
        <v>FwdFXRate</v>
      </c>
      <c r="K9" s="156" t="str">
        <f ca="1"/>
        <v>FixedRate</v>
      </c>
      <c r="L9" s="156" t="str">
        <f ca="1"/>
        <v>Coupon</v>
      </c>
      <c r="M9" s="156" t="str">
        <f ca="1"/>
        <v>DiscountFactor</v>
      </c>
      <c r="N9" s="156" t="str">
        <f ca="1"/>
        <v>CouponPV</v>
      </c>
      <c r="O9" s="343" t="str">
        <f ca="1"/>
        <v/>
      </c>
      <c r="P9" s="344" t="str">
        <f ca="1"/>
        <v/>
      </c>
    </row>
    <row r="10" spans="2:16" ht="15" customHeight="1" x14ac:dyDescent="0.25">
      <c r="B10" s="243">
        <f ca="1"/>
        <v>42423</v>
      </c>
      <c r="C10" s="244">
        <f ca="1"/>
        <v>42789</v>
      </c>
      <c r="D10" s="156">
        <f ca="1"/>
        <v>366</v>
      </c>
      <c r="E10" s="197">
        <f ca="1"/>
        <v>1</v>
      </c>
      <c r="F10" s="244">
        <f ca="1"/>
        <v>42789</v>
      </c>
      <c r="G10" s="186">
        <f ca="1"/>
        <v>-1000000</v>
      </c>
      <c r="H10" s="186">
        <f ca="1"/>
        <v>0</v>
      </c>
      <c r="I10" s="160">
        <f ca="1"/>
        <v>1</v>
      </c>
      <c r="J10" s="347">
        <f ca="1"/>
        <v>1</v>
      </c>
      <c r="K10" s="349">
        <f ca="1"/>
        <v>0.01</v>
      </c>
      <c r="L10" s="186">
        <f ca="1"/>
        <v>-10000</v>
      </c>
      <c r="M10" s="156">
        <f ca="1"/>
        <v>1.0037929999999999</v>
      </c>
      <c r="N10" s="186">
        <f ca="1"/>
        <v>-10037.92729</v>
      </c>
      <c r="O10" s="343" t="str">
        <f ca="1"/>
        <v/>
      </c>
      <c r="P10" s="344" t="str">
        <f ca="1"/>
        <v/>
      </c>
    </row>
    <row r="11" spans="2:16" ht="15" customHeight="1" x14ac:dyDescent="0.25">
      <c r="B11" s="243">
        <f ca="1"/>
        <v>42789</v>
      </c>
      <c r="C11" s="244">
        <f ca="1"/>
        <v>43154</v>
      </c>
      <c r="D11" s="156">
        <f ca="1"/>
        <v>365</v>
      </c>
      <c r="E11" s="197">
        <f ca="1"/>
        <v>1</v>
      </c>
      <c r="F11" s="244">
        <f ca="1"/>
        <v>43154</v>
      </c>
      <c r="G11" s="186">
        <f ca="1"/>
        <v>-1000000</v>
      </c>
      <c r="H11" s="186">
        <f ca="1"/>
        <v>0</v>
      </c>
      <c r="I11" s="160">
        <f ca="1"/>
        <v>1</v>
      </c>
      <c r="J11" s="347">
        <f ca="1"/>
        <v>1</v>
      </c>
      <c r="K11" s="349">
        <f ca="1"/>
        <v>0.01</v>
      </c>
      <c r="L11" s="186">
        <f ca="1"/>
        <v>-10000</v>
      </c>
      <c r="M11" s="156">
        <f ca="1"/>
        <v>1.0077259999999999</v>
      </c>
      <c r="N11" s="186">
        <f ca="1"/>
        <v>-10077.262645000001</v>
      </c>
      <c r="O11" s="343" t="str">
        <f ca="1"/>
        <v/>
      </c>
      <c r="P11" s="344" t="str">
        <f ca="1"/>
        <v/>
      </c>
    </row>
    <row r="12" spans="2:16" ht="15" customHeight="1" x14ac:dyDescent="0.25">
      <c r="B12" s="243">
        <f ca="1"/>
        <v>43154</v>
      </c>
      <c r="C12" s="244">
        <f ca="1"/>
        <v>43521</v>
      </c>
      <c r="D12" s="156">
        <f ca="1"/>
        <v>367</v>
      </c>
      <c r="E12" s="197">
        <f ca="1"/>
        <v>1.0055559999999999</v>
      </c>
      <c r="F12" s="244">
        <f ca="1"/>
        <v>43521</v>
      </c>
      <c r="G12" s="186">
        <f ca="1"/>
        <v>-1000000</v>
      </c>
      <c r="H12" s="186">
        <f ca="1"/>
        <v>0</v>
      </c>
      <c r="I12" s="160">
        <f ca="1"/>
        <v>1</v>
      </c>
      <c r="J12" s="347">
        <f ca="1"/>
        <v>1</v>
      </c>
      <c r="K12" s="349">
        <f ca="1"/>
        <v>0.01</v>
      </c>
      <c r="L12" s="186">
        <f ca="1"/>
        <v>-10055.555555999999</v>
      </c>
      <c r="M12" s="156">
        <f ca="1"/>
        <v>1.0104949999999999</v>
      </c>
      <c r="N12" s="186">
        <f ca="1"/>
        <v>-10161.090255999999</v>
      </c>
      <c r="O12" s="343" t="str">
        <f ca="1"/>
        <v/>
      </c>
      <c r="P12" s="344" t="str">
        <f ca="1"/>
        <v/>
      </c>
    </row>
    <row r="13" spans="2:16" ht="15" customHeight="1" x14ac:dyDescent="0.25">
      <c r="B13" s="243">
        <f ca="1"/>
        <v>43521</v>
      </c>
      <c r="C13" s="244">
        <f ca="1"/>
        <v>43885</v>
      </c>
      <c r="D13" s="156">
        <f ca="1"/>
        <v>364</v>
      </c>
      <c r="E13" s="197">
        <f ca="1"/>
        <v>0.99722200000000005</v>
      </c>
      <c r="F13" s="244">
        <f ca="1"/>
        <v>43885</v>
      </c>
      <c r="G13" s="186">
        <f ca="1"/>
        <v>-1000000</v>
      </c>
      <c r="H13" s="186">
        <f ca="1"/>
        <v>0</v>
      </c>
      <c r="I13" s="160">
        <f ca="1"/>
        <v>1</v>
      </c>
      <c r="J13" s="347">
        <f ca="1"/>
        <v>1</v>
      </c>
      <c r="K13" s="349">
        <f ca="1"/>
        <v>0.01</v>
      </c>
      <c r="L13" s="186">
        <f ca="1"/>
        <v>-9972.2222220000003</v>
      </c>
      <c r="M13" s="156">
        <f ca="1"/>
        <v>1.011077</v>
      </c>
      <c r="N13" s="186">
        <f ca="1"/>
        <v>-10082.685357</v>
      </c>
      <c r="O13" s="343" t="str">
        <f ca="1"/>
        <v/>
      </c>
      <c r="P13" s="344" t="str">
        <f ca="1"/>
        <v/>
      </c>
    </row>
    <row r="14" spans="2:16" ht="15" customHeight="1" x14ac:dyDescent="0.25">
      <c r="B14" s="243">
        <f ca="1"/>
        <v>43885</v>
      </c>
      <c r="C14" s="244">
        <f ca="1"/>
        <v>44250</v>
      </c>
      <c r="D14" s="156">
        <f ca="1"/>
        <v>365</v>
      </c>
      <c r="E14" s="197">
        <f ca="1"/>
        <v>0.99722200000000005</v>
      </c>
      <c r="F14" s="244">
        <f ca="1"/>
        <v>44250</v>
      </c>
      <c r="G14" s="186">
        <f ca="1"/>
        <v>-1000000</v>
      </c>
      <c r="H14" s="186">
        <f ca="1"/>
        <v>0</v>
      </c>
      <c r="I14" s="160">
        <f ca="1"/>
        <v>1</v>
      </c>
      <c r="J14" s="347">
        <f ca="1"/>
        <v>1</v>
      </c>
      <c r="K14" s="349">
        <f ca="1"/>
        <v>0.01</v>
      </c>
      <c r="L14" s="186">
        <f ca="1"/>
        <v>-9972.2222220000003</v>
      </c>
      <c r="M14" s="156">
        <f ca="1"/>
        <v>1.008999</v>
      </c>
      <c r="N14" s="186">
        <f ca="1"/>
        <v>-10061.957333</v>
      </c>
      <c r="O14" s="343" t="str">
        <f ca="1"/>
        <v/>
      </c>
      <c r="P14" s="344" t="str">
        <f ca="1"/>
        <v/>
      </c>
    </row>
    <row r="15" spans="2:16" ht="15" customHeight="1" x14ac:dyDescent="0.25">
      <c r="B15" s="245" t="str">
        <f ca="1"/>
        <v/>
      </c>
      <c r="C15" s="246" t="str">
        <f ca="1"/>
        <v/>
      </c>
      <c r="D15" s="194" t="str">
        <f ca="1"/>
        <v/>
      </c>
      <c r="E15" s="198" t="str">
        <f ca="1"/>
        <v/>
      </c>
      <c r="F15" s="246" t="str">
        <f ca="1"/>
        <v/>
      </c>
      <c r="G15" s="199" t="str">
        <f ca="1"/>
        <v/>
      </c>
      <c r="H15" s="199" t="str">
        <f ca="1"/>
        <v/>
      </c>
      <c r="I15" s="196" t="str">
        <f ca="1"/>
        <v/>
      </c>
      <c r="J15" s="348" t="str">
        <f ca="1"/>
        <v/>
      </c>
      <c r="K15" s="350" t="str">
        <f ca="1"/>
        <v/>
      </c>
      <c r="L15" s="199" t="str">
        <f ca="1"/>
        <v/>
      </c>
      <c r="M15" s="194" t="str">
        <f ca="1"/>
        <v/>
      </c>
      <c r="N15" s="199" t="str">
        <f ca="1"/>
        <v/>
      </c>
      <c r="O15" s="345" t="str">
        <f ca="1"/>
        <v/>
      </c>
      <c r="P15" s="346" t="str">
        <f ca="1"/>
        <v/>
      </c>
    </row>
    <row r="16" spans="2:16" ht="15" customHeight="1" x14ac:dyDescent="0.25"/>
    <row r="17" spans="2:16" ht="15" customHeight="1" x14ac:dyDescent="0.25">
      <c r="B17" s="182" t="s">
        <v>211</v>
      </c>
      <c r="C17" s="237" t="str">
        <f ca="1">ClientSwapWithFee</f>
        <v>CLIENTSWAP5Y_WITHFEE:5</v>
      </c>
    </row>
    <row r="18" spans="2:16" ht="15" customHeight="1" x14ac:dyDescent="0.25">
      <c r="B18" s="183" t="s">
        <v>88</v>
      </c>
      <c r="C18" s="339" t="s">
        <v>80</v>
      </c>
    </row>
    <row r="19" spans="2:16" ht="15" customHeight="1" x14ac:dyDescent="0.25">
      <c r="B19" s="184" t="s">
        <v>257</v>
      </c>
      <c r="C19" s="238" t="s">
        <v>259</v>
      </c>
    </row>
    <row r="20" spans="2:16" ht="15" customHeight="1" x14ac:dyDescent="0.25"/>
    <row r="21" spans="2:16" ht="15" customHeight="1" x14ac:dyDescent="0.25">
      <c r="B21" s="239" t="str">
        <f t="array" aca="1" ref="B21:P33" ca="1">_xll.meUtilityResize(_xll.meLWOSwapDisplayCashflows(C17,C18,C19),50,50)</f>
        <v>LEG2:FLOAT Leg Schedule &amp; Cashflows</v>
      </c>
      <c r="C21" s="240" t="str">
        <f ca="1"/>
        <v/>
      </c>
      <c r="D21" s="240" t="str">
        <f ca="1"/>
        <v/>
      </c>
      <c r="E21" s="240" t="str">
        <f ca="1"/>
        <v/>
      </c>
      <c r="F21" s="240" t="str">
        <f ca="1"/>
        <v/>
      </c>
      <c r="G21" s="240" t="str">
        <f ca="1"/>
        <v/>
      </c>
      <c r="H21" s="240" t="str">
        <f ca="1"/>
        <v/>
      </c>
      <c r="I21" s="356" t="str">
        <f ca="1"/>
        <v/>
      </c>
      <c r="J21" s="240" t="str">
        <f ca="1"/>
        <v/>
      </c>
      <c r="K21" s="355" t="str">
        <f ca="1"/>
        <v/>
      </c>
      <c r="L21" s="352" t="str">
        <f ca="1"/>
        <v/>
      </c>
      <c r="M21" s="354" t="str">
        <f ca="1"/>
        <v/>
      </c>
      <c r="N21" s="240" t="str">
        <f ca="1"/>
        <v/>
      </c>
      <c r="O21" s="353" t="str">
        <f ca="1"/>
        <v/>
      </c>
      <c r="P21" s="351" t="str">
        <f ca="1"/>
        <v/>
      </c>
    </row>
    <row r="22" spans="2:16" ht="15" customHeight="1" x14ac:dyDescent="0.25">
      <c r="B22" s="242" t="str">
        <f ca="1"/>
        <v>FixingDate</v>
      </c>
      <c r="C22" s="156" t="str">
        <f ca="1"/>
        <v>AccrualStart</v>
      </c>
      <c r="D22" s="156" t="str">
        <f ca="1"/>
        <v>AccrualEnd</v>
      </c>
      <c r="E22" s="156" t="str">
        <f ca="1"/>
        <v>AccrualDays</v>
      </c>
      <c r="F22" s="156" t="str">
        <f ca="1"/>
        <v>AccrualYearFractions</v>
      </c>
      <c r="G22" s="156" t="str">
        <f ca="1"/>
        <v>PaymentDate</v>
      </c>
      <c r="H22" s="156" t="str">
        <f ca="1"/>
        <v>Notional</v>
      </c>
      <c r="I22" s="186" t="str">
        <f ca="1"/>
        <v>NotionalExchange</v>
      </c>
      <c r="J22" s="156" t="str">
        <f ca="1"/>
        <v>Leverage</v>
      </c>
      <c r="K22" s="347" t="str">
        <f ca="1"/>
        <v>FwdFXRate</v>
      </c>
      <c r="L22" s="160" t="str">
        <f ca="1"/>
        <v>FloatSpread</v>
      </c>
      <c r="M22" s="158" t="str">
        <f ca="1"/>
        <v>FloatRate</v>
      </c>
      <c r="N22" s="156" t="str">
        <f ca="1"/>
        <v>Coupon</v>
      </c>
      <c r="O22" s="179" t="str">
        <f ca="1"/>
        <v>DiscountFactor</v>
      </c>
      <c r="P22" s="200" t="str">
        <f ca="1"/>
        <v>CouponPV</v>
      </c>
    </row>
    <row r="23" spans="2:16" ht="15" customHeight="1" x14ac:dyDescent="0.25">
      <c r="B23" s="243">
        <f ca="1"/>
        <v>42423</v>
      </c>
      <c r="C23" s="244">
        <f ca="1"/>
        <v>42423</v>
      </c>
      <c r="D23" s="244">
        <f ca="1"/>
        <v>42605</v>
      </c>
      <c r="E23" s="186">
        <f ca="1"/>
        <v>182</v>
      </c>
      <c r="F23" s="197">
        <f ca="1"/>
        <v>0.50555600000000001</v>
      </c>
      <c r="G23" s="244">
        <f ca="1"/>
        <v>42605</v>
      </c>
      <c r="H23" s="186">
        <f ca="1"/>
        <v>1000000</v>
      </c>
      <c r="I23" s="186">
        <f ca="1"/>
        <v>0</v>
      </c>
      <c r="J23" s="160">
        <f ca="1"/>
        <v>1</v>
      </c>
      <c r="K23" s="347">
        <f ca="1"/>
        <v>1</v>
      </c>
      <c r="L23" s="160">
        <f ca="1"/>
        <v>0</v>
      </c>
      <c r="M23" s="158">
        <f ca="1"/>
        <v>-1.31E-3</v>
      </c>
      <c r="N23" s="186">
        <f ca="1"/>
        <v>-662.27777800000001</v>
      </c>
      <c r="O23" s="179">
        <f ca="1"/>
        <v>1.0017780000000001</v>
      </c>
      <c r="P23" s="200">
        <f ca="1"/>
        <v>-663.45529699999997</v>
      </c>
    </row>
    <row r="24" spans="2:16" ht="15" customHeight="1" x14ac:dyDescent="0.25">
      <c r="B24" s="243">
        <f ca="1"/>
        <v>42605</v>
      </c>
      <c r="C24" s="244">
        <f ca="1"/>
        <v>42605</v>
      </c>
      <c r="D24" s="244">
        <f ca="1"/>
        <v>42789</v>
      </c>
      <c r="E24" s="186">
        <f ca="1"/>
        <v>184</v>
      </c>
      <c r="F24" s="197">
        <f ca="1"/>
        <v>0.51111099999999998</v>
      </c>
      <c r="G24" s="244">
        <f ca="1"/>
        <v>42789</v>
      </c>
      <c r="H24" s="186">
        <f ca="1"/>
        <v>1000000</v>
      </c>
      <c r="I24" s="186">
        <f ca="1"/>
        <v>0</v>
      </c>
      <c r="J24" s="160">
        <f ca="1"/>
        <v>1</v>
      </c>
      <c r="K24" s="347">
        <f ca="1"/>
        <v>1</v>
      </c>
      <c r="L24" s="160">
        <f ca="1"/>
        <v>0</v>
      </c>
      <c r="M24" s="158">
        <f ca="1"/>
        <v>-1.4399999999999999E-3</v>
      </c>
      <c r="N24" s="186">
        <f ca="1"/>
        <v>-736</v>
      </c>
      <c r="O24" s="179">
        <f ca="1"/>
        <v>1.0037929999999999</v>
      </c>
      <c r="P24" s="200">
        <f ca="1"/>
        <v>-738.79144899999994</v>
      </c>
    </row>
    <row r="25" spans="2:16" ht="15" customHeight="1" x14ac:dyDescent="0.25">
      <c r="B25" s="243">
        <f ca="1"/>
        <v>42789</v>
      </c>
      <c r="C25" s="244">
        <f ca="1"/>
        <v>42789</v>
      </c>
      <c r="D25" s="244">
        <f ca="1"/>
        <v>42970</v>
      </c>
      <c r="E25" s="186">
        <f ca="1"/>
        <v>181</v>
      </c>
      <c r="F25" s="197">
        <f ca="1"/>
        <v>0.50277799999999995</v>
      </c>
      <c r="G25" s="244">
        <f ca="1"/>
        <v>42970</v>
      </c>
      <c r="H25" s="186">
        <f ca="1"/>
        <v>1000000</v>
      </c>
      <c r="I25" s="186">
        <f ca="1"/>
        <v>0</v>
      </c>
      <c r="J25" s="160">
        <f ca="1"/>
        <v>1</v>
      </c>
      <c r="K25" s="347">
        <f ca="1"/>
        <v>1</v>
      </c>
      <c r="L25" s="160">
        <f ca="1"/>
        <v>0</v>
      </c>
      <c r="M25" s="158">
        <f ca="1"/>
        <v>-1.41E-3</v>
      </c>
      <c r="N25" s="186">
        <f ca="1"/>
        <v>-708.91666699999996</v>
      </c>
      <c r="O25" s="179">
        <f ca="1"/>
        <v>1.005811</v>
      </c>
      <c r="P25" s="200">
        <f ca="1"/>
        <v>-713.03648799999996</v>
      </c>
    </row>
    <row r="26" spans="2:16" ht="15" customHeight="1" x14ac:dyDescent="0.25">
      <c r="B26" s="243">
        <f ca="1"/>
        <v>42970</v>
      </c>
      <c r="C26" s="244">
        <f ca="1"/>
        <v>42970</v>
      </c>
      <c r="D26" s="244">
        <f ca="1"/>
        <v>43154</v>
      </c>
      <c r="E26" s="186">
        <f ca="1"/>
        <v>184</v>
      </c>
      <c r="F26" s="197">
        <f ca="1"/>
        <v>0.51111099999999998</v>
      </c>
      <c r="G26" s="244">
        <f ca="1"/>
        <v>43154</v>
      </c>
      <c r="H26" s="186">
        <f ca="1"/>
        <v>1000000</v>
      </c>
      <c r="I26" s="186">
        <f ca="1"/>
        <v>0</v>
      </c>
      <c r="J26" s="160">
        <f ca="1"/>
        <v>1</v>
      </c>
      <c r="K26" s="347">
        <f ca="1"/>
        <v>1</v>
      </c>
      <c r="L26" s="160">
        <f ca="1"/>
        <v>0</v>
      </c>
      <c r="M26" s="158">
        <f ca="1"/>
        <v>-1.0869999999999999E-3</v>
      </c>
      <c r="N26" s="186">
        <f ca="1"/>
        <v>-555.74320799999998</v>
      </c>
      <c r="O26" s="179">
        <f ca="1"/>
        <v>1.0077259999999999</v>
      </c>
      <c r="P26" s="200">
        <f ca="1"/>
        <v>-560.03702699999997</v>
      </c>
    </row>
    <row r="27" spans="2:16" ht="15" customHeight="1" x14ac:dyDescent="0.25">
      <c r="B27" s="243">
        <f ca="1"/>
        <v>43154</v>
      </c>
      <c r="C27" s="244">
        <f ca="1"/>
        <v>43154</v>
      </c>
      <c r="D27" s="244">
        <f ca="1"/>
        <v>43335</v>
      </c>
      <c r="E27" s="186">
        <f ca="1"/>
        <v>181</v>
      </c>
      <c r="F27" s="197">
        <f ca="1"/>
        <v>0.50277799999999995</v>
      </c>
      <c r="G27" s="244">
        <f ca="1"/>
        <v>43335</v>
      </c>
      <c r="H27" s="186">
        <f ca="1"/>
        <v>1000000</v>
      </c>
      <c r="I27" s="186">
        <f ca="1"/>
        <v>0</v>
      </c>
      <c r="J27" s="160">
        <f ca="1"/>
        <v>1</v>
      </c>
      <c r="K27" s="347">
        <f ca="1"/>
        <v>1</v>
      </c>
      <c r="L27" s="160">
        <f ca="1"/>
        <v>0</v>
      </c>
      <c r="M27" s="158">
        <f ca="1"/>
        <v>-4.3199999999999998E-4</v>
      </c>
      <c r="N27" s="186">
        <f ca="1"/>
        <v>-217.084565</v>
      </c>
      <c r="O27" s="179">
        <f ca="1"/>
        <v>1.009288</v>
      </c>
      <c r="P27" s="200">
        <f ca="1"/>
        <v>-219.100953</v>
      </c>
    </row>
    <row r="28" spans="2:16" ht="15" customHeight="1" x14ac:dyDescent="0.25">
      <c r="B28" s="243">
        <f ca="1"/>
        <v>43335</v>
      </c>
      <c r="C28" s="244">
        <f ca="1"/>
        <v>43335</v>
      </c>
      <c r="D28" s="244">
        <f ca="1"/>
        <v>43521</v>
      </c>
      <c r="E28" s="186">
        <f ca="1"/>
        <v>186</v>
      </c>
      <c r="F28" s="197">
        <f ca="1"/>
        <v>0.51666699999999999</v>
      </c>
      <c r="G28" s="244">
        <f ca="1"/>
        <v>43521</v>
      </c>
      <c r="H28" s="186">
        <f ca="1"/>
        <v>1000000</v>
      </c>
      <c r="I28" s="186">
        <f ca="1"/>
        <v>0</v>
      </c>
      <c r="J28" s="160">
        <f ca="1"/>
        <v>1</v>
      </c>
      <c r="K28" s="347">
        <f ca="1"/>
        <v>1</v>
      </c>
      <c r="L28" s="160">
        <f ca="1"/>
        <v>0</v>
      </c>
      <c r="M28" s="158">
        <f ca="1"/>
        <v>4.9899999999999999E-4</v>
      </c>
      <c r="N28" s="186">
        <f ca="1"/>
        <v>257.68044600000002</v>
      </c>
      <c r="O28" s="179">
        <f ca="1"/>
        <v>1.0104949999999999</v>
      </c>
      <c r="P28" s="200">
        <f ca="1"/>
        <v>260.38484399999999</v>
      </c>
    </row>
    <row r="29" spans="2:16" ht="15" customHeight="1" x14ac:dyDescent="0.25">
      <c r="B29" s="243">
        <f ca="1"/>
        <v>43521</v>
      </c>
      <c r="C29" s="244">
        <f ca="1"/>
        <v>43521</v>
      </c>
      <c r="D29" s="244">
        <f ca="1"/>
        <v>43700</v>
      </c>
      <c r="E29" s="186">
        <f ca="1"/>
        <v>179</v>
      </c>
      <c r="F29" s="197">
        <f ca="1"/>
        <v>0.497222</v>
      </c>
      <c r="G29" s="244">
        <f ca="1"/>
        <v>43700</v>
      </c>
      <c r="H29" s="186">
        <f ca="1"/>
        <v>1000000</v>
      </c>
      <c r="I29" s="186">
        <f ca="1"/>
        <v>0</v>
      </c>
      <c r="J29" s="160">
        <f ca="1"/>
        <v>1</v>
      </c>
      <c r="K29" s="347">
        <f ca="1"/>
        <v>1</v>
      </c>
      <c r="L29" s="160">
        <f ca="1"/>
        <v>0</v>
      </c>
      <c r="M29" s="158">
        <f ca="1"/>
        <v>1.6459999999999999E-3</v>
      </c>
      <c r="N29" s="186">
        <f ca="1"/>
        <v>818.25485100000003</v>
      </c>
      <c r="O29" s="179">
        <f ca="1"/>
        <v>1.0110950000000001</v>
      </c>
      <c r="P29" s="200">
        <f ca="1"/>
        <v>827.33371799999998</v>
      </c>
    </row>
    <row r="30" spans="2:16" ht="15" customHeight="1" x14ac:dyDescent="0.25">
      <c r="B30" s="243">
        <f ca="1"/>
        <v>43700</v>
      </c>
      <c r="C30" s="244">
        <f ca="1"/>
        <v>43700</v>
      </c>
      <c r="D30" s="244">
        <f ca="1"/>
        <v>43885</v>
      </c>
      <c r="E30" s="186">
        <f ca="1"/>
        <v>185</v>
      </c>
      <c r="F30" s="197">
        <f ca="1"/>
        <v>0.51388900000000004</v>
      </c>
      <c r="G30" s="244">
        <f ca="1"/>
        <v>43885</v>
      </c>
      <c r="H30" s="186">
        <f ca="1"/>
        <v>1000000</v>
      </c>
      <c r="I30" s="186">
        <f ca="1"/>
        <v>0</v>
      </c>
      <c r="J30" s="160">
        <f ca="1"/>
        <v>1</v>
      </c>
      <c r="K30" s="347">
        <f ca="1"/>
        <v>1</v>
      </c>
      <c r="L30" s="160">
        <f ca="1"/>
        <v>0</v>
      </c>
      <c r="M30" s="158">
        <f ca="1"/>
        <v>2.856E-3</v>
      </c>
      <c r="N30" s="186">
        <f ca="1"/>
        <v>1467.5744930000001</v>
      </c>
      <c r="O30" s="179">
        <f ca="1"/>
        <v>1.011077</v>
      </c>
      <c r="P30" s="200">
        <f ca="1"/>
        <v>1483.8309369999999</v>
      </c>
    </row>
    <row r="31" spans="2:16" ht="15" customHeight="1" x14ac:dyDescent="0.25">
      <c r="B31" s="243">
        <f ca="1"/>
        <v>43885</v>
      </c>
      <c r="C31" s="244">
        <f ca="1"/>
        <v>43885</v>
      </c>
      <c r="D31" s="244">
        <f ca="1"/>
        <v>44067</v>
      </c>
      <c r="E31" s="186">
        <f ca="1"/>
        <v>182</v>
      </c>
      <c r="F31" s="197">
        <f ca="1"/>
        <v>0.50555600000000001</v>
      </c>
      <c r="G31" s="244">
        <f ca="1"/>
        <v>44067</v>
      </c>
      <c r="H31" s="186">
        <f ca="1"/>
        <v>1000000</v>
      </c>
      <c r="I31" s="186">
        <f ca="1"/>
        <v>0</v>
      </c>
      <c r="J31" s="160">
        <f ca="1"/>
        <v>1</v>
      </c>
      <c r="K31" s="347">
        <f ca="1"/>
        <v>1</v>
      </c>
      <c r="L31" s="160">
        <f ca="1"/>
        <v>0</v>
      </c>
      <c r="M31" s="158">
        <f ca="1"/>
        <v>4.254E-3</v>
      </c>
      <c r="N31" s="186">
        <f ca="1"/>
        <v>2150.737404</v>
      </c>
      <c r="O31" s="179">
        <f ca="1"/>
        <v>1.0103819999999999</v>
      </c>
      <c r="P31" s="200">
        <f ca="1"/>
        <v>2173.066444</v>
      </c>
    </row>
    <row r="32" spans="2:16" ht="15" customHeight="1" x14ac:dyDescent="0.25">
      <c r="B32" s="243">
        <f ca="1"/>
        <v>44067</v>
      </c>
      <c r="C32" s="244">
        <f ca="1"/>
        <v>44067</v>
      </c>
      <c r="D32" s="244">
        <f ca="1"/>
        <v>44250</v>
      </c>
      <c r="E32" s="186">
        <f ca="1"/>
        <v>183</v>
      </c>
      <c r="F32" s="197">
        <f ca="1"/>
        <v>0.50833300000000003</v>
      </c>
      <c r="G32" s="244">
        <f ca="1"/>
        <v>44250</v>
      </c>
      <c r="H32" s="186">
        <f ca="1"/>
        <v>1000000</v>
      </c>
      <c r="I32" s="186">
        <f ca="1"/>
        <v>0</v>
      </c>
      <c r="J32" s="160">
        <f ca="1"/>
        <v>1</v>
      </c>
      <c r="K32" s="347">
        <f ca="1"/>
        <v>1</v>
      </c>
      <c r="L32" s="160">
        <f ca="1"/>
        <v>0</v>
      </c>
      <c r="M32" s="158">
        <f ca="1"/>
        <v>5.535E-3</v>
      </c>
      <c r="N32" s="186">
        <f ca="1"/>
        <v>2813.6326490000001</v>
      </c>
      <c r="O32" s="179">
        <f ca="1"/>
        <v>1.008999</v>
      </c>
      <c r="P32" s="200">
        <f ca="1"/>
        <v>2838.9511419999999</v>
      </c>
    </row>
    <row r="33" spans="2:16" ht="15" customHeight="1" x14ac:dyDescent="0.25">
      <c r="B33" s="245" t="str">
        <f ca="1"/>
        <v/>
      </c>
      <c r="C33" s="246" t="str">
        <f ca="1"/>
        <v/>
      </c>
      <c r="D33" s="246" t="str">
        <f ca="1"/>
        <v/>
      </c>
      <c r="E33" s="199" t="str">
        <f ca="1"/>
        <v/>
      </c>
      <c r="F33" s="198" t="str">
        <f ca="1"/>
        <v/>
      </c>
      <c r="G33" s="246" t="str">
        <f ca="1"/>
        <v/>
      </c>
      <c r="H33" s="199" t="str">
        <f ca="1"/>
        <v/>
      </c>
      <c r="I33" s="199" t="str">
        <f ca="1"/>
        <v/>
      </c>
      <c r="J33" s="196" t="str">
        <f ca="1"/>
        <v/>
      </c>
      <c r="K33" s="348" t="str">
        <f ca="1"/>
        <v/>
      </c>
      <c r="L33" s="196" t="str">
        <f ca="1"/>
        <v/>
      </c>
      <c r="M33" s="247" t="str">
        <f ca="1"/>
        <v/>
      </c>
      <c r="N33" s="199" t="str">
        <f ca="1"/>
        <v/>
      </c>
      <c r="O33" s="180" t="str">
        <f ca="1"/>
        <v/>
      </c>
      <c r="P33" s="201" t="str">
        <f ca="1"/>
        <v/>
      </c>
    </row>
    <row r="34" spans="2:16" ht="15" customHeight="1" x14ac:dyDescent="0.25"/>
    <row r="35" spans="2:16" ht="15" customHeight="1" x14ac:dyDescent="0.25">
      <c r="B35" s="182" t="s">
        <v>211</v>
      </c>
      <c r="C35" s="237" t="str">
        <f ca="1">ClientSwapWithFee</f>
        <v>CLIENTSWAP5Y_WITHFEE:5</v>
      </c>
    </row>
    <row r="36" spans="2:16" ht="15" customHeight="1" x14ac:dyDescent="0.25">
      <c r="B36" s="183" t="s">
        <v>88</v>
      </c>
      <c r="C36" s="339" t="s">
        <v>80</v>
      </c>
    </row>
    <row r="37" spans="2:16" x14ac:dyDescent="0.25">
      <c r="B37" s="184" t="s">
        <v>257</v>
      </c>
      <c r="C37" s="238" t="s">
        <v>260</v>
      </c>
    </row>
    <row r="39" spans="2:16" x14ac:dyDescent="0.25">
      <c r="B39" s="239" t="str">
        <f t="array" aca="1" ref="B39:N51" ca="1">_xll.meUtilityResize(_xll.meLWOSwapDisplayCashflows(C35,C36,C37),50,50)</f>
        <v>LEG3:FEE Leg Schedule &amp; Cashflows</v>
      </c>
      <c r="C39" s="240" t="str">
        <f ca="1"/>
        <v/>
      </c>
      <c r="D39" s="240" t="str">
        <f ca="1"/>
        <v/>
      </c>
      <c r="E39" s="240" t="str">
        <f ca="1"/>
        <v/>
      </c>
      <c r="F39" s="240" t="str">
        <f ca="1"/>
        <v/>
      </c>
      <c r="G39" s="240" t="str">
        <f ca="1"/>
        <v/>
      </c>
      <c r="H39" s="240" t="str">
        <f ca="1"/>
        <v/>
      </c>
      <c r="I39" s="240" t="str">
        <f ca="1"/>
        <v/>
      </c>
      <c r="J39" s="240" t="str">
        <f ca="1"/>
        <v/>
      </c>
      <c r="K39" s="240" t="str">
        <f ca="1"/>
        <v/>
      </c>
      <c r="L39" s="240" t="str">
        <f ca="1"/>
        <v/>
      </c>
      <c r="M39" s="240" t="str">
        <f ca="1"/>
        <v/>
      </c>
      <c r="N39" s="241" t="str">
        <f ca="1"/>
        <v/>
      </c>
    </row>
    <row r="40" spans="2:16" x14ac:dyDescent="0.25">
      <c r="B40" s="242" t="str">
        <f ca="1"/>
        <v>PaymentDate</v>
      </c>
      <c r="C40" s="156" t="str">
        <f ca="1"/>
        <v>Amount</v>
      </c>
      <c r="D40" s="156" t="str">
        <f ca="1"/>
        <v>PayReceive</v>
      </c>
      <c r="E40" s="156" t="str">
        <f ca="1"/>
        <v>DiscountFactor</v>
      </c>
      <c r="F40" s="156" t="str">
        <f ca="1"/>
        <v>PV</v>
      </c>
      <c r="G40" s="156" t="str">
        <f ca="1"/>
        <v/>
      </c>
      <c r="H40" s="156" t="str">
        <f ca="1"/>
        <v/>
      </c>
      <c r="I40" s="156" t="str">
        <f ca="1"/>
        <v/>
      </c>
      <c r="J40" s="156" t="str">
        <f ca="1"/>
        <v/>
      </c>
      <c r="K40" s="156" t="str">
        <f ca="1"/>
        <v/>
      </c>
      <c r="L40" s="156" t="str">
        <f ca="1"/>
        <v/>
      </c>
      <c r="M40" s="156" t="str">
        <f ca="1"/>
        <v/>
      </c>
      <c r="N40" s="193" t="str">
        <f ca="1"/>
        <v/>
      </c>
    </row>
    <row r="41" spans="2:16" x14ac:dyDescent="0.25">
      <c r="B41" s="243">
        <f ca="1"/>
        <v>42789</v>
      </c>
      <c r="C41" s="186">
        <f ca="1"/>
        <v>5000</v>
      </c>
      <c r="D41" s="156" t="str">
        <f ca="1"/>
        <v>RECEIVE</v>
      </c>
      <c r="E41" s="179">
        <f ca="1"/>
        <v>1.0037929999999999</v>
      </c>
      <c r="F41" s="186">
        <f ca="1"/>
        <v>5018.9636449999998</v>
      </c>
      <c r="G41" s="186" t="str">
        <f ca="1"/>
        <v/>
      </c>
      <c r="H41" s="160" t="str">
        <f ca="1"/>
        <v/>
      </c>
      <c r="I41" s="220" t="str">
        <f ca="1"/>
        <v/>
      </c>
      <c r="J41" s="186" t="str">
        <f ca="1"/>
        <v/>
      </c>
      <c r="K41" s="179" t="str">
        <f ca="1"/>
        <v/>
      </c>
      <c r="L41" s="186" t="str">
        <f ca="1"/>
        <v/>
      </c>
      <c r="M41" s="156" t="str">
        <f ca="1"/>
        <v/>
      </c>
      <c r="N41" s="193" t="str">
        <f ca="1"/>
        <v/>
      </c>
    </row>
    <row r="42" spans="2:16" x14ac:dyDescent="0.25">
      <c r="B42" s="243">
        <f ca="1"/>
        <v>43154</v>
      </c>
      <c r="C42" s="186">
        <f ca="1"/>
        <v>5000</v>
      </c>
      <c r="D42" s="156" t="str">
        <f ca="1"/>
        <v>RECEIVE</v>
      </c>
      <c r="E42" s="179">
        <f ca="1"/>
        <v>1.0077259999999999</v>
      </c>
      <c r="F42" s="186">
        <f ca="1"/>
        <v>5038.6313229999996</v>
      </c>
      <c r="G42" s="186" t="str">
        <f ca="1"/>
        <v/>
      </c>
      <c r="H42" s="160" t="str">
        <f ca="1"/>
        <v/>
      </c>
      <c r="I42" s="220" t="str">
        <f ca="1"/>
        <v/>
      </c>
      <c r="J42" s="186" t="str">
        <f ca="1"/>
        <v/>
      </c>
      <c r="K42" s="179" t="str">
        <f ca="1"/>
        <v/>
      </c>
      <c r="L42" s="186" t="str">
        <f ca="1"/>
        <v/>
      </c>
      <c r="M42" s="156" t="str">
        <f ca="1"/>
        <v/>
      </c>
      <c r="N42" s="193" t="str">
        <f ca="1"/>
        <v/>
      </c>
    </row>
    <row r="43" spans="2:16" x14ac:dyDescent="0.25">
      <c r="B43" s="243">
        <f ca="1"/>
        <v>43519</v>
      </c>
      <c r="C43" s="186">
        <f ca="1"/>
        <v>5000</v>
      </c>
      <c r="D43" s="156" t="str">
        <f ca="1"/>
        <v>RECEIVE</v>
      </c>
      <c r="E43" s="179">
        <f ca="1"/>
        <v>1.0104850000000001</v>
      </c>
      <c r="F43" s="186">
        <f ca="1"/>
        <v>5052.4241899999997</v>
      </c>
      <c r="G43" s="186" t="str">
        <f ca="1"/>
        <v/>
      </c>
      <c r="H43" s="160" t="str">
        <f ca="1"/>
        <v/>
      </c>
      <c r="I43" s="220" t="str">
        <f ca="1"/>
        <v/>
      </c>
      <c r="J43" s="186" t="str">
        <f ca="1"/>
        <v/>
      </c>
      <c r="K43" s="179" t="str">
        <f ca="1"/>
        <v/>
      </c>
      <c r="L43" s="186" t="str">
        <f ca="1"/>
        <v/>
      </c>
      <c r="M43" s="156" t="str">
        <f ca="1"/>
        <v/>
      </c>
      <c r="N43" s="193" t="str">
        <f ca="1"/>
        <v/>
      </c>
    </row>
    <row r="44" spans="2:16" x14ac:dyDescent="0.25">
      <c r="B44" s="243">
        <f ca="1"/>
        <v>43884</v>
      </c>
      <c r="C44" s="186">
        <f ca="1"/>
        <v>5000</v>
      </c>
      <c r="D44" s="156" t="str">
        <f ca="1"/>
        <v>RECEIVE</v>
      </c>
      <c r="E44" s="179">
        <f ca="1"/>
        <v>1.0110790000000001</v>
      </c>
      <c r="F44" s="186">
        <f ca="1"/>
        <v>5055.3945309999999</v>
      </c>
      <c r="G44" s="186" t="str">
        <f ca="1"/>
        <v/>
      </c>
      <c r="H44" s="160" t="str">
        <f ca="1"/>
        <v/>
      </c>
      <c r="I44" s="220" t="str">
        <f ca="1"/>
        <v/>
      </c>
      <c r="J44" s="186" t="str">
        <f ca="1"/>
        <v/>
      </c>
      <c r="K44" s="179" t="str">
        <f ca="1"/>
        <v/>
      </c>
      <c r="L44" s="186" t="str">
        <f ca="1"/>
        <v/>
      </c>
      <c r="M44" s="156" t="str">
        <f ca="1"/>
        <v/>
      </c>
      <c r="N44" s="193" t="str">
        <f ca="1"/>
        <v/>
      </c>
    </row>
    <row r="45" spans="2:16" x14ac:dyDescent="0.25">
      <c r="B45" s="243">
        <f ca="1"/>
        <v>44250</v>
      </c>
      <c r="C45" s="186">
        <f ca="1"/>
        <v>5000</v>
      </c>
      <c r="D45" s="156" t="str">
        <f ca="1"/>
        <v>RECEIVE</v>
      </c>
      <c r="E45" s="179">
        <f ca="1"/>
        <v>1.008999</v>
      </c>
      <c r="F45" s="186">
        <f ca="1"/>
        <v>5044.9925350000003</v>
      </c>
      <c r="G45" s="186" t="str">
        <f ca="1"/>
        <v/>
      </c>
      <c r="H45" s="160" t="str">
        <f ca="1"/>
        <v/>
      </c>
      <c r="I45" s="220" t="str">
        <f ca="1"/>
        <v/>
      </c>
      <c r="J45" s="186" t="str">
        <f ca="1"/>
        <v/>
      </c>
      <c r="K45" s="179" t="str">
        <f ca="1"/>
        <v/>
      </c>
      <c r="L45" s="186" t="str">
        <f ca="1"/>
        <v/>
      </c>
      <c r="M45" s="156" t="str">
        <f ca="1"/>
        <v/>
      </c>
      <c r="N45" s="193" t="str">
        <f ca="1"/>
        <v/>
      </c>
    </row>
    <row r="46" spans="2:16" x14ac:dyDescent="0.25">
      <c r="B46" s="243" t="str">
        <f ca="1"/>
        <v/>
      </c>
      <c r="C46" s="186" t="str">
        <f ca="1"/>
        <v/>
      </c>
      <c r="D46" s="156" t="str">
        <f ca="1"/>
        <v/>
      </c>
      <c r="E46" s="179" t="str">
        <f ca="1"/>
        <v/>
      </c>
      <c r="F46" s="186" t="str">
        <f ca="1"/>
        <v/>
      </c>
      <c r="G46" s="186" t="str">
        <f ca="1"/>
        <v/>
      </c>
      <c r="H46" s="160" t="str">
        <f ca="1"/>
        <v/>
      </c>
      <c r="I46" s="220" t="str">
        <f ca="1"/>
        <v/>
      </c>
      <c r="J46" s="186" t="str">
        <f ca="1"/>
        <v/>
      </c>
      <c r="K46" s="179" t="str">
        <f ca="1"/>
        <v/>
      </c>
      <c r="L46" s="186" t="str">
        <f ca="1"/>
        <v/>
      </c>
      <c r="M46" s="156" t="str">
        <f ca="1"/>
        <v/>
      </c>
      <c r="N46" s="193" t="str">
        <f ca="1"/>
        <v/>
      </c>
    </row>
    <row r="47" spans="2:16" x14ac:dyDescent="0.25">
      <c r="B47" s="243" t="str">
        <f ca="1"/>
        <v/>
      </c>
      <c r="C47" s="186" t="str">
        <f ca="1"/>
        <v/>
      </c>
      <c r="D47" s="156" t="str">
        <f ca="1"/>
        <v/>
      </c>
      <c r="E47" s="179" t="str">
        <f ca="1"/>
        <v/>
      </c>
      <c r="F47" s="186" t="str">
        <f ca="1"/>
        <v/>
      </c>
      <c r="G47" s="186" t="str">
        <f ca="1"/>
        <v/>
      </c>
      <c r="H47" s="160" t="str">
        <f ca="1"/>
        <v/>
      </c>
      <c r="I47" s="220" t="str">
        <f ca="1"/>
        <v/>
      </c>
      <c r="J47" s="186" t="str">
        <f ca="1"/>
        <v/>
      </c>
      <c r="K47" s="179" t="str">
        <f ca="1"/>
        <v/>
      </c>
      <c r="L47" s="186" t="str">
        <f ca="1"/>
        <v/>
      </c>
      <c r="M47" s="156" t="str">
        <f ca="1"/>
        <v/>
      </c>
      <c r="N47" s="193" t="str">
        <f ca="1"/>
        <v/>
      </c>
    </row>
    <row r="48" spans="2:16" x14ac:dyDescent="0.25">
      <c r="B48" s="243" t="str">
        <f ca="1"/>
        <v/>
      </c>
      <c r="C48" s="186" t="str">
        <f ca="1"/>
        <v/>
      </c>
      <c r="D48" s="156" t="str">
        <f ca="1"/>
        <v/>
      </c>
      <c r="E48" s="179" t="str">
        <f ca="1"/>
        <v/>
      </c>
      <c r="F48" s="186" t="str">
        <f ca="1"/>
        <v/>
      </c>
      <c r="G48" s="186" t="str">
        <f ca="1"/>
        <v/>
      </c>
      <c r="H48" s="160" t="str">
        <f ca="1"/>
        <v/>
      </c>
      <c r="I48" s="220" t="str">
        <f ca="1"/>
        <v/>
      </c>
      <c r="J48" s="186" t="str">
        <f ca="1"/>
        <v/>
      </c>
      <c r="K48" s="179" t="str">
        <f ca="1"/>
        <v/>
      </c>
      <c r="L48" s="186" t="str">
        <f ca="1"/>
        <v/>
      </c>
      <c r="M48" s="156" t="str">
        <f ca="1"/>
        <v/>
      </c>
      <c r="N48" s="193" t="str">
        <f ca="1"/>
        <v/>
      </c>
    </row>
    <row r="49" spans="2:14" x14ac:dyDescent="0.25">
      <c r="B49" s="243" t="str">
        <f ca="1"/>
        <v/>
      </c>
      <c r="C49" s="186" t="str">
        <f ca="1"/>
        <v/>
      </c>
      <c r="D49" s="156" t="str">
        <f ca="1"/>
        <v/>
      </c>
      <c r="E49" s="179" t="str">
        <f ca="1"/>
        <v/>
      </c>
      <c r="F49" s="186" t="str">
        <f ca="1"/>
        <v/>
      </c>
      <c r="G49" s="186" t="str">
        <f ca="1"/>
        <v/>
      </c>
      <c r="H49" s="160" t="str">
        <f ca="1"/>
        <v/>
      </c>
      <c r="I49" s="220" t="str">
        <f ca="1"/>
        <v/>
      </c>
      <c r="J49" s="186" t="str">
        <f ca="1"/>
        <v/>
      </c>
      <c r="K49" s="179" t="str">
        <f ca="1"/>
        <v/>
      </c>
      <c r="L49" s="186" t="str">
        <f ca="1"/>
        <v/>
      </c>
      <c r="M49" s="156" t="str">
        <f ca="1"/>
        <v/>
      </c>
      <c r="N49" s="193" t="str">
        <f ca="1"/>
        <v/>
      </c>
    </row>
    <row r="50" spans="2:14" x14ac:dyDescent="0.25">
      <c r="B50" s="243" t="str">
        <f ca="1"/>
        <v/>
      </c>
      <c r="C50" s="186" t="str">
        <f ca="1"/>
        <v/>
      </c>
      <c r="D50" s="156" t="str">
        <f ca="1"/>
        <v/>
      </c>
      <c r="E50" s="179" t="str">
        <f ca="1"/>
        <v/>
      </c>
      <c r="F50" s="186" t="str">
        <f ca="1"/>
        <v/>
      </c>
      <c r="G50" s="186" t="str">
        <f ca="1"/>
        <v/>
      </c>
      <c r="H50" s="160" t="str">
        <f ca="1"/>
        <v/>
      </c>
      <c r="I50" s="220" t="str">
        <f ca="1"/>
        <v/>
      </c>
      <c r="J50" s="186" t="str">
        <f ca="1"/>
        <v/>
      </c>
      <c r="K50" s="179" t="str">
        <f ca="1"/>
        <v/>
      </c>
      <c r="L50" s="186" t="str">
        <f ca="1"/>
        <v/>
      </c>
      <c r="M50" s="156" t="str">
        <f ca="1"/>
        <v/>
      </c>
      <c r="N50" s="193" t="str">
        <f ca="1"/>
        <v/>
      </c>
    </row>
    <row r="51" spans="2:14" x14ac:dyDescent="0.25">
      <c r="B51" s="245" t="str">
        <f ca="1"/>
        <v/>
      </c>
      <c r="C51" s="199" t="str">
        <f ca="1"/>
        <v/>
      </c>
      <c r="D51" s="194" t="str">
        <f ca="1"/>
        <v/>
      </c>
      <c r="E51" s="180" t="str">
        <f ca="1"/>
        <v/>
      </c>
      <c r="F51" s="199" t="str">
        <f ca="1"/>
        <v/>
      </c>
      <c r="G51" s="199" t="str">
        <f ca="1"/>
        <v/>
      </c>
      <c r="H51" s="196" t="str">
        <f ca="1"/>
        <v/>
      </c>
      <c r="I51" s="221" t="str">
        <f ca="1"/>
        <v/>
      </c>
      <c r="J51" s="199" t="str">
        <f ca="1"/>
        <v/>
      </c>
      <c r="K51" s="180" t="str">
        <f ca="1"/>
        <v/>
      </c>
      <c r="L51" s="199" t="str">
        <f ca="1"/>
        <v/>
      </c>
      <c r="M51" s="194" t="str">
        <f ca="1"/>
        <v/>
      </c>
      <c r="N51" s="195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Settings</vt:lpstr>
      <vt:lpstr>EUR OIS</vt:lpstr>
      <vt:lpstr>EUR SWAP 6ML</vt:lpstr>
      <vt:lpstr>Swap Pricing</vt:lpstr>
      <vt:lpstr>LWO Swap Pricing</vt:lpstr>
      <vt:lpstr>Client Swap</vt:lpstr>
      <vt:lpstr>Back-to-Back Hedge Deal</vt:lpstr>
      <vt:lpstr>Fee Leg</vt:lpstr>
      <vt:lpstr>Add Fee to Client Swap</vt:lpstr>
      <vt:lpstr>PV Summary</vt:lpstr>
      <vt:lpstr>Cashflow Display</vt:lpstr>
      <vt:lpstr>'LWO Swap Pricing'!ClientSwapNoFee</vt:lpstr>
      <vt:lpstr>ClientSwapNoFee</vt:lpstr>
      <vt:lpstr>ClientSwapWithFee</vt:lpstr>
      <vt:lpstr>COB</vt:lpstr>
      <vt:lpstr>Curve.BuildProperties</vt:lpstr>
      <vt:lpstr>Curve.CollectionName</vt:lpstr>
      <vt:lpstr>Curve.MarketDataTable</vt:lpstr>
      <vt:lpstr>Curve.OISIndexName</vt:lpstr>
      <vt:lpstr>FeeLeg</vt:lpstr>
      <vt:lpstr>FRA.Conventions</vt:lpstr>
      <vt:lpstr>FRA.MarketDataX3</vt:lpstr>
      <vt:lpstr>FRA.MarketDataX6</vt:lpstr>
      <vt:lpstr>Futures.Conventions</vt:lpstr>
      <vt:lpstr>Futures.MarketData</vt:lpstr>
      <vt:lpstr>HedgeTrade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2016-10-18T10:59:13Z</dcterms:modified>
</cp:coreProperties>
</file>