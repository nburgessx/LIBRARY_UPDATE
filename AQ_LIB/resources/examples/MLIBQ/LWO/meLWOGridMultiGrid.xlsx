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LWO\"/>
    </mc:Choice>
  </mc:AlternateContent>
  <bookViews>
    <workbookView xWindow="0" yWindow="0" windowWidth="20490" windowHeight="7095" activeTab="1"/>
  </bookViews>
  <sheets>
    <sheet name="GRID_OBJECT" sheetId="1" r:id="rId1"/>
    <sheet name="MULTI_GRID" sheetId="2" r:id="rId2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9" i="2" l="1" a="1"/>
  <c r="X9" i="2"/>
  <c r="Y9" i="2"/>
  <c r="Z9" i="2"/>
  <c r="X10" i="2"/>
  <c r="Y10" i="2"/>
  <c r="Z10" i="2"/>
  <c r="X11" i="2"/>
  <c r="Y11" i="2"/>
  <c r="Z11" i="2"/>
  <c r="X12" i="2"/>
  <c r="Y12" i="2"/>
  <c r="Z12" i="2"/>
  <c r="X13" i="2"/>
  <c r="Y13" i="2"/>
  <c r="Z13" i="2"/>
  <c r="R9" i="2" a="1"/>
  <c r="R9" i="2"/>
  <c r="S9" i="2"/>
  <c r="T9" i="2"/>
  <c r="U9" i="2"/>
  <c r="V9" i="2"/>
  <c r="R10" i="2"/>
  <c r="S10" i="2"/>
  <c r="T10" i="2"/>
  <c r="U10" i="2"/>
  <c r="V10" i="2"/>
  <c r="R11" i="2"/>
  <c r="S11" i="2"/>
  <c r="T11" i="2"/>
  <c r="U11" i="2"/>
  <c r="V11" i="2"/>
  <c r="R12" i="2"/>
  <c r="S12" i="2"/>
  <c r="T12" i="2"/>
  <c r="U12" i="2"/>
  <c r="V12" i="2"/>
  <c r="R13" i="2"/>
  <c r="S13" i="2"/>
  <c r="T13" i="2"/>
  <c r="U13" i="2"/>
  <c r="V13" i="2"/>
  <c r="O9" i="2" a="1"/>
  <c r="O9" i="2"/>
  <c r="P9" i="2"/>
  <c r="O10" i="2"/>
  <c r="P10" i="2"/>
  <c r="O11" i="2"/>
  <c r="P11" i="2"/>
  <c r="O12" i="2"/>
  <c r="P12" i="2"/>
  <c r="O13" i="2"/>
  <c r="P13" i="2"/>
  <c r="O3" i="2"/>
  <c r="E6" i="2"/>
  <c r="E3" i="2"/>
  <c r="B6" i="2"/>
  <c r="C21" i="1" l="1"/>
  <c r="C4" i="1"/>
  <c r="I8" i="1" a="1"/>
  <c r="C17" i="1"/>
  <c r="I17" i="1" a="1"/>
  <c r="K21" i="1" l="1"/>
  <c r="K19" i="1"/>
  <c r="K17" i="1"/>
  <c r="J21" i="1"/>
  <c r="I17" i="1"/>
  <c r="L20" i="1"/>
  <c r="L18" i="1"/>
  <c r="K20" i="1"/>
  <c r="K18" i="1"/>
  <c r="J20" i="1"/>
  <c r="J18" i="1"/>
  <c r="I20" i="1"/>
  <c r="I18" i="1"/>
  <c r="I21" i="1"/>
  <c r="L21" i="1"/>
  <c r="L19" i="1"/>
  <c r="L17" i="1"/>
  <c r="J19" i="1"/>
  <c r="J17" i="1"/>
  <c r="I19" i="1"/>
  <c r="I13" i="1"/>
  <c r="I11" i="1"/>
  <c r="I9" i="1"/>
  <c r="L8" i="1"/>
  <c r="K8" i="1"/>
  <c r="J12" i="1"/>
  <c r="J10" i="1"/>
  <c r="J8" i="1"/>
  <c r="I12" i="1"/>
  <c r="I10" i="1"/>
  <c r="I8" i="1"/>
  <c r="L13" i="1"/>
  <c r="L11" i="1"/>
  <c r="L9" i="1"/>
  <c r="K13" i="1"/>
  <c r="K11" i="1"/>
  <c r="K9" i="1"/>
  <c r="K12" i="1"/>
  <c r="K10" i="1"/>
  <c r="J13" i="1"/>
  <c r="J11" i="1"/>
  <c r="J9" i="1"/>
  <c r="L12" i="1"/>
  <c r="L10" i="1"/>
</calcChain>
</file>

<file path=xl/sharedStrings.xml><?xml version="1.0" encoding="utf-8"?>
<sst xmlns="http://schemas.openxmlformats.org/spreadsheetml/2006/main" count="72" uniqueCount="57">
  <si>
    <t>meLWOGridCreate</t>
  </si>
  <si>
    <t>GridName</t>
  </si>
  <si>
    <t>MyPortfolio</t>
  </si>
  <si>
    <r>
      <t>meLWOGridDisplay</t>
    </r>
    <r>
      <rPr>
        <sz val="11"/>
        <color rgb="FF0000FF"/>
        <rFont val="Arial"/>
        <family val="2"/>
      </rPr>
      <t xml:space="preserve"> ( with Column Headers )</t>
    </r>
  </si>
  <si>
    <t>TradeID</t>
  </si>
  <si>
    <t>Pay/Rec</t>
  </si>
  <si>
    <t>Rate</t>
  </si>
  <si>
    <t>Tenor</t>
  </si>
  <si>
    <t>Trade1</t>
  </si>
  <si>
    <t>Payer</t>
  </si>
  <si>
    <t>5Y</t>
  </si>
  <si>
    <t>Trade2</t>
  </si>
  <si>
    <t>3Y</t>
  </si>
  <si>
    <t>Trade3</t>
  </si>
  <si>
    <t>Receiver</t>
  </si>
  <si>
    <t>1Y</t>
  </si>
  <si>
    <t>Trade4</t>
  </si>
  <si>
    <t>2Y</t>
  </si>
  <si>
    <t>Trade5</t>
  </si>
  <si>
    <t>10Y</t>
  </si>
  <si>
    <t>meLWOGridSave</t>
  </si>
  <si>
    <r>
      <t>meObjectGridDisplay</t>
    </r>
    <r>
      <rPr>
        <sz val="11"/>
        <color rgb="FF0000FF"/>
        <rFont val="Arial"/>
        <family val="2"/>
      </rPr>
      <t xml:space="preserve"> ( without Column Headers )</t>
    </r>
  </si>
  <si>
    <t>meLWOGridLoad</t>
  </si>
  <si>
    <t>FUTURES</t>
  </si>
  <si>
    <t>LIBORFIXINGS</t>
  </si>
  <si>
    <t>SWAPS</t>
  </si>
  <si>
    <t>Term</t>
  </si>
  <si>
    <t>StartDate</t>
  </si>
  <si>
    <t>EndDate</t>
  </si>
  <si>
    <t>Volatility</t>
  </si>
  <si>
    <t>Use</t>
  </si>
  <si>
    <t>40Y</t>
  </si>
  <si>
    <t>50Y</t>
  </si>
  <si>
    <t>1M</t>
  </si>
  <si>
    <t>L 1 Comdty</t>
  </si>
  <si>
    <t>3M</t>
  </si>
  <si>
    <t>L 2 Comdty</t>
  </si>
  <si>
    <t>6M</t>
  </si>
  <si>
    <t>L 3 Comdty</t>
  </si>
  <si>
    <t>4Y</t>
  </si>
  <si>
    <t>12M</t>
  </si>
  <si>
    <t>L 4 Comdty</t>
  </si>
  <si>
    <t>6Y</t>
  </si>
  <si>
    <t>7Y</t>
  </si>
  <si>
    <t>8Y</t>
  </si>
  <si>
    <t>12Y</t>
  </si>
  <si>
    <t>15Y</t>
  </si>
  <si>
    <t>20Y</t>
  </si>
  <si>
    <t>25Y</t>
  </si>
  <si>
    <t>30Y</t>
  </si>
  <si>
    <t>CREATE MULTI-GRID</t>
  </si>
  <si>
    <t>SAVE MULTI-GRID</t>
  </si>
  <si>
    <t>GBP_MKT_DATA</t>
  </si>
  <si>
    <t>OBJECT NAME</t>
  </si>
  <si>
    <t>LOAD MULTI-GRID</t>
  </si>
  <si>
    <t>FILEPATH</t>
  </si>
  <si>
    <t>DISPLAY MULTI-GRID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</si>
</sst>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64" formatCode="0.0000%"/>
    <numFmt numFmtId="165" formatCode="#,##0.000"/>
    <numFmt numFmtId="166" formatCode="0.000%"/>
    <numFmt numFmtId="167" formatCode="0.0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6600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</borders>
  <cellStyleXfs count="3">
    <xf numFmtId="0" fontId="0" fillId="0" borderId="0"/>
    <xf numFmtId="0" fontId="10" fillId="0" borderId="0">
      <alignment vertical="center"/>
    </xf>
    <xf numFmtId="41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10" fontId="3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0" fontId="3" fillId="2" borderId="2" xfId="0" applyNumberFormat="1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2" borderId="0" xfId="0" applyFont="1" applyFill="1" applyBorder="1"/>
    <xf numFmtId="0" fontId="3" fillId="2" borderId="0" xfId="0" applyFont="1" applyFill="1" applyBorder="1"/>
    <xf numFmtId="10" fontId="3" fillId="2" borderId="0" xfId="0" applyNumberFormat="1" applyFont="1" applyFill="1" applyBorder="1"/>
    <xf numFmtId="0" fontId="3" fillId="2" borderId="5" xfId="0" applyFont="1" applyFill="1" applyBorder="1"/>
    <xf numFmtId="0" fontId="5" fillId="2" borderId="0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0" fontId="5" fillId="2" borderId="0" xfId="0" applyNumberFormat="1" applyFont="1" applyFill="1" applyBorder="1" applyAlignment="1">
      <alignment horizontal="center" vertical="center"/>
    </xf>
    <xf numFmtId="15" fontId="5" fillId="2" borderId="5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0" fontId="5" fillId="2" borderId="8" xfId="0" applyNumberFormat="1" applyFont="1" applyFill="1" applyBorder="1" applyAlignment="1">
      <alignment horizontal="center" vertical="center"/>
    </xf>
    <xf numFmtId="15" fontId="5" fillId="2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5" fontId="3" fillId="0" borderId="14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5" fontId="3" fillId="0" borderId="17" xfId="0" applyNumberFormat="1" applyFont="1" applyFill="1" applyBorder="1" applyAlignment="1">
      <alignment horizontal="center" vertical="center"/>
    </xf>
    <xf numFmtId="15" fontId="5" fillId="2" borderId="3" xfId="0" applyNumberFormat="1" applyFont="1" applyFill="1" applyBorder="1" applyAlignment="1">
      <alignment horizontal="center" vertical="center"/>
    </xf>
    <xf numFmtId="0" fontId="3" fillId="2" borderId="7" xfId="0" applyFont="1" applyFill="1" applyBorder="1"/>
    <xf numFmtId="0" fontId="3" fillId="2" borderId="8" xfId="0" applyFont="1" applyFill="1" applyBorder="1"/>
    <xf numFmtId="10" fontId="3" fillId="2" borderId="8" xfId="0" applyNumberFormat="1" applyFont="1" applyFill="1" applyBorder="1"/>
    <xf numFmtId="0" fontId="3" fillId="2" borderId="9" xfId="0" applyFont="1" applyFill="1" applyBorder="1"/>
    <xf numFmtId="0" fontId="9" fillId="0" borderId="15" xfId="0" applyFont="1" applyFill="1" applyBorder="1" applyAlignment="1">
      <alignment horizontal="center" vertical="center"/>
    </xf>
    <xf numFmtId="0" fontId="8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66" fontId="9" fillId="0" borderId="14" xfId="2" quotePrefix="1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166" fontId="9" fillId="0" borderId="14" xfId="2" applyNumberFormat="1" applyFont="1" applyFill="1" applyBorder="1" applyAlignment="1">
      <alignment horizontal="center" vertical="center"/>
    </xf>
    <xf numFmtId="166" fontId="9" fillId="0" borderId="17" xfId="2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0" borderId="13" xfId="0" applyFont="1" applyFill="1" applyBorder="1" applyAlignment="1">
      <alignment horizontal="center" vertical="center"/>
    </xf>
    <xf numFmtId="164" fontId="9" fillId="0" borderId="14" xfId="0" applyNumberFormat="1" applyFont="1" applyFill="1" applyBorder="1" applyAlignment="1">
      <alignment horizontal="center" vertical="center"/>
    </xf>
    <xf numFmtId="15" fontId="9" fillId="0" borderId="0" xfId="1" quotePrefix="1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15" fontId="9" fillId="0" borderId="0" xfId="1" applyNumberFormat="1" applyFont="1" applyFill="1" applyBorder="1" applyAlignment="1">
      <alignment horizontal="center" vertical="center"/>
    </xf>
    <xf numFmtId="167" fontId="9" fillId="0" borderId="17" xfId="0" applyNumberFormat="1" applyFont="1" applyFill="1" applyBorder="1" applyAlignment="1">
      <alignment horizontal="center" vertical="center"/>
    </xf>
    <xf numFmtId="15" fontId="9" fillId="0" borderId="16" xfId="1" applyNumberFormat="1" applyFont="1" applyFill="1" applyBorder="1" applyAlignment="1">
      <alignment horizontal="center" vertical="center"/>
    </xf>
    <xf numFmtId="165" fontId="9" fillId="0" borderId="16" xfId="0" applyNumberFormat="1" applyFont="1" applyFill="1" applyBorder="1" applyAlignment="1">
      <alignment horizontal="center" vertical="center"/>
    </xf>
    <xf numFmtId="164" fontId="9" fillId="0" borderId="16" xfId="0" applyNumberFormat="1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0" fillId="4" borderId="0" xfId="0" applyFill="1"/>
    <xf numFmtId="0" fontId="9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5" fontId="0" fillId="0" borderId="0" xfId="0" applyNumberFormat="1"/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3">
    <cellStyle name="Comma [0] 5" xfId="2"/>
    <cellStyle name="Normal" xfId="0" builtinId="0"/>
    <cellStyle name="標準_Input_OutPut20060417" xfId="1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M30"/>
  <sheetViews>
    <sheetView showGridLines="0" zoomScale="85" zoomScaleNormal="85" workbookViewId="0"/>
  </sheetViews>
  <sheetFormatPr defaultRowHeight="14.25" x14ac:dyDescent="0.2"/>
  <cols>
    <col min="1" max="2" width="4.7109375" style="1" customWidth="1"/>
    <col min="3" max="4" width="15.7109375" style="1" customWidth="1"/>
    <col min="5" max="5" width="15.7109375" style="2" customWidth="1"/>
    <col min="6" max="7" width="15.7109375" style="1" customWidth="1"/>
    <col min="8" max="8" width="9.140625" style="1"/>
    <col min="9" max="12" width="15.7109375" style="1" customWidth="1"/>
    <col min="13" max="16384" width="9.140625" style="1"/>
  </cols>
  <sheetData>
    <row r="1" spans="2:13" ht="15" customHeight="1" x14ac:dyDescent="0.2"/>
    <row r="2" spans="2:13" ht="15" customHeight="1" x14ac:dyDescent="0.2">
      <c r="B2" s="3"/>
      <c r="C2" s="4"/>
      <c r="D2" s="4"/>
      <c r="E2" s="5"/>
      <c r="F2" s="4"/>
      <c r="G2" s="4"/>
      <c r="H2" s="4"/>
      <c r="I2" s="4"/>
      <c r="J2" s="4"/>
      <c r="K2" s="4"/>
      <c r="L2" s="4"/>
      <c r="M2" s="6"/>
    </row>
    <row r="3" spans="2:13" ht="15" customHeight="1" x14ac:dyDescent="0.25">
      <c r="B3" s="7"/>
      <c r="C3" s="8" t="s">
        <v>0</v>
      </c>
      <c r="D3" s="9"/>
      <c r="E3" s="10"/>
      <c r="F3" s="9"/>
      <c r="G3" s="9"/>
      <c r="H3" s="9"/>
      <c r="I3" s="9"/>
      <c r="J3" s="9"/>
      <c r="K3" s="9"/>
      <c r="L3" s="9"/>
      <c r="M3" s="11"/>
    </row>
    <row r="4" spans="2:13" ht="15" customHeight="1" x14ac:dyDescent="0.2">
      <c r="B4" s="7"/>
      <c r="C4" s="12" t="str">
        <f>_xll.meLWOGridCreate("myPortfolio",C8:F13,TRUE)</f>
        <v>MYPORTFOLIO@1:0</v>
      </c>
      <c r="D4" s="9"/>
      <c r="E4" s="10"/>
      <c r="F4" s="9"/>
      <c r="G4" s="9"/>
      <c r="H4" s="9"/>
      <c r="I4" s="9"/>
      <c r="J4" s="9"/>
      <c r="K4" s="9"/>
      <c r="L4" s="9"/>
      <c r="M4" s="11"/>
    </row>
    <row r="5" spans="2:13" ht="15" customHeight="1" x14ac:dyDescent="0.2">
      <c r="B5" s="7"/>
      <c r="C5" s="9"/>
      <c r="D5" s="9"/>
      <c r="E5" s="10"/>
      <c r="F5" s="9"/>
      <c r="G5" s="9"/>
      <c r="H5" s="9"/>
      <c r="I5" s="9"/>
      <c r="J5" s="9"/>
      <c r="K5" s="9"/>
      <c r="L5" s="9"/>
      <c r="M5" s="11"/>
    </row>
    <row r="6" spans="2:13" ht="15" x14ac:dyDescent="0.25">
      <c r="B6" s="7"/>
      <c r="C6" s="13" t="s">
        <v>1</v>
      </c>
      <c r="D6" s="14" t="s">
        <v>2</v>
      </c>
      <c r="E6" s="10"/>
      <c r="F6" s="9"/>
      <c r="G6" s="9"/>
      <c r="H6" s="9"/>
      <c r="I6" s="8" t="s">
        <v>3</v>
      </c>
      <c r="J6" s="9"/>
      <c r="K6" s="10"/>
      <c r="L6" s="9"/>
      <c r="M6" s="11"/>
    </row>
    <row r="7" spans="2:13" ht="15" x14ac:dyDescent="0.25">
      <c r="B7" s="7"/>
      <c r="C7" s="15"/>
      <c r="D7" s="16"/>
      <c r="E7" s="10"/>
      <c r="F7" s="9"/>
      <c r="G7" s="9"/>
      <c r="H7" s="9"/>
      <c r="I7" s="8"/>
      <c r="J7" s="9"/>
      <c r="K7" s="10"/>
      <c r="L7" s="9"/>
      <c r="M7" s="11"/>
    </row>
    <row r="8" spans="2:13" x14ac:dyDescent="0.2">
      <c r="B8" s="7"/>
      <c r="C8" s="16" t="s">
        <v>4</v>
      </c>
      <c r="D8" s="16" t="s">
        <v>5</v>
      </c>
      <c r="E8" s="17" t="s">
        <v>6</v>
      </c>
      <c r="F8" s="18" t="s">
        <v>7</v>
      </c>
      <c r="G8" s="9"/>
      <c r="H8" s="9"/>
      <c r="I8" s="19" t="str">
        <f t="array" aca="1" ref="I8:L13" ca="1">_xll.meLWOGridDisplay($C$4,TRUE)</f>
        <v>TradeID</v>
      </c>
      <c r="J8" s="20" t="str">
        <f ca="1"/>
        <v>Pay/Rec</v>
      </c>
      <c r="K8" s="21" t="str">
        <f ca="1"/>
        <v>Rate</v>
      </c>
      <c r="L8" s="22" t="str">
        <f ca="1"/>
        <v>Tenor</v>
      </c>
      <c r="M8" s="11"/>
    </row>
    <row r="9" spans="2:13" x14ac:dyDescent="0.2">
      <c r="B9" s="7"/>
      <c r="C9" s="31" t="s">
        <v>8</v>
      </c>
      <c r="D9" s="32" t="s">
        <v>9</v>
      </c>
      <c r="E9" s="33">
        <v>0.01</v>
      </c>
      <c r="F9" s="34" t="s">
        <v>10</v>
      </c>
      <c r="G9" s="9"/>
      <c r="H9" s="9"/>
      <c r="I9" s="23" t="str">
        <f ca="1"/>
        <v>Trade1</v>
      </c>
      <c r="J9" s="24" t="str">
        <f ca="1"/>
        <v>Payer</v>
      </c>
      <c r="K9" s="25">
        <f ca="1"/>
        <v>0.01</v>
      </c>
      <c r="L9" s="26" t="str">
        <f ca="1"/>
        <v>5Y</v>
      </c>
      <c r="M9" s="11"/>
    </row>
    <row r="10" spans="2:13" x14ac:dyDescent="0.2">
      <c r="B10" s="7"/>
      <c r="C10" s="35" t="s">
        <v>11</v>
      </c>
      <c r="D10" s="36" t="s">
        <v>9</v>
      </c>
      <c r="E10" s="37">
        <v>1.4999999999999999E-2</v>
      </c>
      <c r="F10" s="38" t="s">
        <v>12</v>
      </c>
      <c r="G10" s="9"/>
      <c r="H10" s="9"/>
      <c r="I10" s="23" t="str">
        <f ca="1"/>
        <v>Trade2</v>
      </c>
      <c r="J10" s="24" t="str">
        <f ca="1"/>
        <v>Payer</v>
      </c>
      <c r="K10" s="25">
        <f ca="1"/>
        <v>1.4999999999999999E-2</v>
      </c>
      <c r="L10" s="26" t="str">
        <f ca="1"/>
        <v>3Y</v>
      </c>
      <c r="M10" s="11"/>
    </row>
    <row r="11" spans="2:13" x14ac:dyDescent="0.2">
      <c r="B11" s="7"/>
      <c r="C11" s="35" t="s">
        <v>13</v>
      </c>
      <c r="D11" s="36" t="s">
        <v>14</v>
      </c>
      <c r="E11" s="37">
        <v>2.5000000000000001E-3</v>
      </c>
      <c r="F11" s="38" t="s">
        <v>15</v>
      </c>
      <c r="G11" s="9"/>
      <c r="H11" s="9"/>
      <c r="I11" s="23" t="str">
        <f ca="1"/>
        <v>Trade3</v>
      </c>
      <c r="J11" s="24" t="str">
        <f ca="1"/>
        <v>Receiver</v>
      </c>
      <c r="K11" s="25">
        <f ca="1"/>
        <v>2.5000000000000001E-3</v>
      </c>
      <c r="L11" s="26" t="str">
        <f ca="1"/>
        <v>1Y</v>
      </c>
      <c r="M11" s="11"/>
    </row>
    <row r="12" spans="2:13" x14ac:dyDescent="0.2">
      <c r="B12" s="7"/>
      <c r="C12" s="35" t="s">
        <v>16</v>
      </c>
      <c r="D12" s="36" t="s">
        <v>9</v>
      </c>
      <c r="E12" s="37">
        <v>5.0000000000000001E-3</v>
      </c>
      <c r="F12" s="38" t="s">
        <v>17</v>
      </c>
      <c r="G12" s="9"/>
      <c r="H12" s="9"/>
      <c r="I12" s="23" t="str">
        <f ca="1"/>
        <v>Trade4</v>
      </c>
      <c r="J12" s="24" t="str">
        <f ca="1"/>
        <v>Payer</v>
      </c>
      <c r="K12" s="25">
        <f ca="1"/>
        <v>5.0000000000000001E-3</v>
      </c>
      <c r="L12" s="26" t="str">
        <f ca="1"/>
        <v>2Y</v>
      </c>
      <c r="M12" s="11"/>
    </row>
    <row r="13" spans="2:13" x14ac:dyDescent="0.2">
      <c r="B13" s="7"/>
      <c r="C13" s="39" t="s">
        <v>18</v>
      </c>
      <c r="D13" s="40" t="s">
        <v>14</v>
      </c>
      <c r="E13" s="41">
        <v>0.1</v>
      </c>
      <c r="F13" s="42" t="s">
        <v>19</v>
      </c>
      <c r="G13" s="9"/>
      <c r="H13" s="9"/>
      <c r="I13" s="27" t="str">
        <f ca="1"/>
        <v>Trade5</v>
      </c>
      <c r="J13" s="28" t="str">
        <f ca="1"/>
        <v>Receiver</v>
      </c>
      <c r="K13" s="29">
        <f ca="1"/>
        <v>0.1</v>
      </c>
      <c r="L13" s="30" t="str">
        <f ca="1"/>
        <v>10Y</v>
      </c>
      <c r="M13" s="11"/>
    </row>
    <row r="14" spans="2:13" x14ac:dyDescent="0.2">
      <c r="B14" s="7"/>
      <c r="C14" s="9"/>
      <c r="D14" s="9"/>
      <c r="E14" s="10"/>
      <c r="F14" s="9"/>
      <c r="G14" s="9"/>
      <c r="H14" s="9"/>
      <c r="I14" s="9"/>
      <c r="J14" s="9"/>
      <c r="K14" s="9"/>
      <c r="L14" s="9"/>
      <c r="M14" s="11"/>
    </row>
    <row r="15" spans="2:13" x14ac:dyDescent="0.2"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</row>
    <row r="16" spans="2:13" ht="15" x14ac:dyDescent="0.25">
      <c r="B16" s="7"/>
      <c r="C16" s="8" t="s">
        <v>20</v>
      </c>
      <c r="D16" s="9"/>
      <c r="E16" s="9"/>
      <c r="F16" s="9"/>
      <c r="G16" s="9"/>
      <c r="H16" s="9"/>
      <c r="I16" s="8" t="s">
        <v>21</v>
      </c>
      <c r="J16" s="9"/>
      <c r="K16" s="10"/>
      <c r="L16" s="9"/>
      <c r="M16" s="11"/>
    </row>
    <row r="17" spans="2:13" x14ac:dyDescent="0.2">
      <c r="B17" s="7"/>
      <c r="C17" s="12" t="str">
        <f>_xll.meLWOGridSave($C$4,"C:\Temp\MyPortfolio.JSON")</f>
        <v>Object MYPORTFOLIO@1 was written to file C:\TEMP\MYPORTFOLIO.JSON</v>
      </c>
      <c r="D17" s="9"/>
      <c r="E17" s="9"/>
      <c r="F17" s="9"/>
      <c r="G17" s="9"/>
      <c r="H17" s="9"/>
      <c r="I17" s="19" t="str">
        <f t="array" aca="1" ref="I17:L21" ca="1">_xll.meLWOGridDisplay($C$4,FALSE)</f>
        <v>Trade1</v>
      </c>
      <c r="J17" s="20" t="str">
        <f ca="1"/>
        <v>Payer</v>
      </c>
      <c r="K17" s="21">
        <f ca="1"/>
        <v>0.01</v>
      </c>
      <c r="L17" s="43" t="str">
        <f ca="1"/>
        <v>5Y</v>
      </c>
      <c r="M17" s="11"/>
    </row>
    <row r="18" spans="2:13" x14ac:dyDescent="0.2">
      <c r="B18" s="7"/>
      <c r="C18" s="9"/>
      <c r="D18" s="9"/>
      <c r="E18" s="9"/>
      <c r="F18" s="9"/>
      <c r="G18" s="9"/>
      <c r="H18" s="9"/>
      <c r="I18" s="23" t="str">
        <f ca="1"/>
        <v>Trade2</v>
      </c>
      <c r="J18" s="24" t="str">
        <f ca="1"/>
        <v>Payer</v>
      </c>
      <c r="K18" s="25">
        <f ca="1"/>
        <v>1.4999999999999999E-2</v>
      </c>
      <c r="L18" s="26" t="str">
        <f ca="1"/>
        <v>3Y</v>
      </c>
      <c r="M18" s="11"/>
    </row>
    <row r="19" spans="2:13" x14ac:dyDescent="0.2">
      <c r="B19" s="7"/>
      <c r="C19" s="9"/>
      <c r="D19" s="9"/>
      <c r="E19" s="9"/>
      <c r="F19" s="9"/>
      <c r="G19" s="9"/>
      <c r="H19" s="9"/>
      <c r="I19" s="23" t="str">
        <f ca="1"/>
        <v>Trade3</v>
      </c>
      <c r="J19" s="24" t="str">
        <f ca="1"/>
        <v>Receiver</v>
      </c>
      <c r="K19" s="25">
        <f ca="1"/>
        <v>2.5000000000000001E-3</v>
      </c>
      <c r="L19" s="26" t="str">
        <f ca="1"/>
        <v>1Y</v>
      </c>
      <c r="M19" s="11"/>
    </row>
    <row r="20" spans="2:13" ht="15" x14ac:dyDescent="0.25">
      <c r="B20" s="7"/>
      <c r="C20" s="8" t="s">
        <v>22</v>
      </c>
      <c r="D20" s="9"/>
      <c r="E20" s="9"/>
      <c r="F20" s="9"/>
      <c r="G20" s="9"/>
      <c r="H20" s="9"/>
      <c r="I20" s="23" t="str">
        <f ca="1"/>
        <v>Trade4</v>
      </c>
      <c r="J20" s="24" t="str">
        <f ca="1"/>
        <v>Payer</v>
      </c>
      <c r="K20" s="25">
        <f ca="1"/>
        <v>5.0000000000000001E-3</v>
      </c>
      <c r="L20" s="26" t="str">
        <f ca="1"/>
        <v>2Y</v>
      </c>
      <c r="M20" s="11"/>
    </row>
    <row r="21" spans="2:13" x14ac:dyDescent="0.2">
      <c r="B21" s="7"/>
      <c r="C21" s="12" t="str">
        <f ca="1">_xll.meLWOGridLoad("C:\Temp\MYPORTFOLIO.JSON")</f>
        <v>#Error: File C:\TEMP\MYPORTFOLIO.JSON does not exist</v>
      </c>
      <c r="D21" s="9"/>
      <c r="E21" s="9"/>
      <c r="F21" s="9"/>
      <c r="G21" s="9"/>
      <c r="H21" s="9"/>
      <c r="I21" s="27" t="str">
        <f ca="1"/>
        <v>Trade5</v>
      </c>
      <c r="J21" s="28" t="str">
        <f ca="1"/>
        <v>Receiver</v>
      </c>
      <c r="K21" s="29">
        <f ca="1"/>
        <v>0.1</v>
      </c>
      <c r="L21" s="30" t="str">
        <f ca="1"/>
        <v>10Y</v>
      </c>
      <c r="M21" s="11"/>
    </row>
    <row r="22" spans="2:13" x14ac:dyDescent="0.2">
      <c r="B22" s="7"/>
      <c r="C22" s="9"/>
      <c r="D22" s="9"/>
      <c r="E22" s="9"/>
      <c r="F22" s="9"/>
      <c r="G22" s="9"/>
      <c r="H22" s="9"/>
      <c r="I22" s="9"/>
      <c r="J22" s="9"/>
      <c r="K22" s="9"/>
      <c r="L22" s="9"/>
      <c r="M22" s="11"/>
    </row>
    <row r="23" spans="2:13" x14ac:dyDescent="0.2">
      <c r="B23" s="44"/>
      <c r="C23" s="45"/>
      <c r="D23" s="45"/>
      <c r="E23" s="46"/>
      <c r="F23" s="45"/>
      <c r="G23" s="45"/>
      <c r="H23" s="45"/>
      <c r="I23" s="45"/>
      <c r="J23" s="45"/>
      <c r="K23" s="45"/>
      <c r="L23" s="45"/>
      <c r="M23" s="47"/>
    </row>
    <row r="24" spans="2:13" x14ac:dyDescent="0.2">
      <c r="E24" s="1"/>
    </row>
    <row r="25" spans="2:13" x14ac:dyDescent="0.2">
      <c r="E25" s="1"/>
    </row>
    <row r="26" spans="2:13" x14ac:dyDescent="0.2">
      <c r="E26" s="1"/>
    </row>
    <row r="27" spans="2:13" x14ac:dyDescent="0.2">
      <c r="E27" s="1"/>
    </row>
    <row r="28" spans="2:13" x14ac:dyDescent="0.2">
      <c r="E28" s="1"/>
    </row>
    <row r="29" spans="2:13" x14ac:dyDescent="0.2">
      <c r="E29" s="1"/>
    </row>
    <row r="30" spans="2:13" x14ac:dyDescent="0.2">
      <c r="E3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5"/>
  <sheetViews>
    <sheetView showGridLines="0" tabSelected="1" workbookViewId="0"/>
  </sheetViews>
  <sheetFormatPr defaultRowHeight="15" x14ac:dyDescent="0.25"/>
  <cols>
    <col min="3" max="3" width="9.85546875" customWidth="1"/>
    <col min="5" max="5" width="10.5703125" bestFit="1" customWidth="1"/>
    <col min="6" max="7" width="9.85546875" bestFit="1" customWidth="1"/>
    <col min="9" max="9" width="10.28515625" customWidth="1"/>
    <col min="18" max="18" width="10.5703125" bestFit="1" customWidth="1"/>
    <col min="19" max="20" width="9.85546875" bestFit="1" customWidth="1"/>
  </cols>
  <sheetData>
    <row r="2" spans="2:26" x14ac:dyDescent="0.25">
      <c r="B2" s="70" t="s">
        <v>53</v>
      </c>
      <c r="E2" s="70" t="s">
        <v>55</v>
      </c>
      <c r="O2" s="69" t="s">
        <v>54</v>
      </c>
    </row>
    <row r="3" spans="2:26" x14ac:dyDescent="0.25">
      <c r="B3" s="71" t="s">
        <v>52</v>
      </c>
      <c r="C3" s="71"/>
      <c r="D3" s="50"/>
      <c r="E3" s="71" t="str">
        <f ca="1">"C:\Temp\"&amp;B3&amp;".JSON"</f>
        <v>C:\Temp\GBP_MKT_DATA.JSON</v>
      </c>
      <c r="F3" s="71"/>
      <c r="G3" s="71"/>
      <c r="O3" t="str">
        <f ca="1">_xll.meLWOMultiGridLoad(E3)</f>
        <v>GBP_MKT_DATA@73:3</v>
      </c>
    </row>
    <row r="5" spans="2:26" x14ac:dyDescent="0.25">
      <c r="B5" s="69" t="s">
        <v>50</v>
      </c>
      <c r="E5" s="69" t="s">
        <v>51</v>
      </c>
    </row>
    <row r="6" spans="2:26" x14ac:dyDescent="0.25">
      <c r="B6" s="50" t="str">
        <f ca="1">_xll.meLWOMultiGridCreate(B3,TRUE,B8,B9:C14,E8,E9:I24,K8,K9:M24)</f>
        <v>GBP_MKT_DATA@73:1</v>
      </c>
      <c r="E6" t="str">
        <f ca="1">_xll.meLWOMultiGridSave(B6,E3)</f>
        <v>Object GBP_MKT_DATA@73 was written to file C:\TEMP\GBP_MKT_DATA.JSON</v>
      </c>
      <c r="O6" s="69" t="s">
        <v>56</v>
      </c>
    </row>
    <row r="8" spans="2:26" x14ac:dyDescent="0.25">
      <c r="B8" s="49" t="s">
        <v>24</v>
      </c>
      <c r="C8" s="50"/>
      <c r="D8" s="51"/>
      <c r="E8" s="49" t="s">
        <v>23</v>
      </c>
      <c r="F8" s="52"/>
      <c r="G8" s="50"/>
      <c r="H8" s="50"/>
      <c r="I8" s="50"/>
      <c r="J8" s="51"/>
      <c r="K8" s="49" t="s">
        <v>25</v>
      </c>
      <c r="L8" s="51"/>
      <c r="M8" s="51"/>
      <c r="N8" s="50"/>
      <c r="O8" s="49" t="s">
        <v>24</v>
      </c>
      <c r="R8" s="49" t="s">
        <v>23</v>
      </c>
      <c r="X8" s="49" t="s">
        <v>25</v>
      </c>
    </row>
    <row r="9" spans="2:26" ht="15.75" thickBot="1" x14ac:dyDescent="0.3">
      <c r="B9" s="72" t="s">
        <v>26</v>
      </c>
      <c r="C9" s="73" t="s">
        <v>6</v>
      </c>
      <c r="D9" s="57"/>
      <c r="E9" s="72" t="s">
        <v>26</v>
      </c>
      <c r="F9" s="74" t="s">
        <v>27</v>
      </c>
      <c r="G9" s="74" t="s">
        <v>28</v>
      </c>
      <c r="H9" s="74" t="s">
        <v>6</v>
      </c>
      <c r="I9" s="73" t="s">
        <v>29</v>
      </c>
      <c r="J9" s="57"/>
      <c r="K9" s="72" t="s">
        <v>26</v>
      </c>
      <c r="L9" s="74" t="s">
        <v>6</v>
      </c>
      <c r="M9" s="73" t="s">
        <v>30</v>
      </c>
      <c r="N9" s="50"/>
      <c r="O9" t="str">
        <f t="array" aca="1" ref="O9:P13" ca="1">_xll.meLWOMultiGridDisplay($O$3,O8,TRUE)</f>
        <v>Term</v>
      </c>
      <c r="P9" t="str">
        <f ca="1"/>
        <v>Rate</v>
      </c>
      <c r="R9" t="str">
        <f t="array" aca="1" ref="R9:V13" ca="1">_xll.meLWOMultiGridDisplay($O$3,R8,TRUE)</f>
        <v>Term</v>
      </c>
      <c r="S9" t="str">
        <f ca="1"/>
        <v>StartDate</v>
      </c>
      <c r="T9" t="str">
        <f ca="1"/>
        <v>EndDate</v>
      </c>
      <c r="U9" t="str">
        <f ca="1"/>
        <v>Rate</v>
      </c>
      <c r="V9" t="str">
        <f ca="1"/>
        <v>Volatility</v>
      </c>
      <c r="X9" t="str">
        <f t="array" aca="1" ref="X9:Z13" ca="1">_xll.meLWOMultiGridDisplay($O$3,X8,TRUE)</f>
        <v>Term</v>
      </c>
      <c r="Y9" t="str">
        <f ca="1"/>
        <v>Rate</v>
      </c>
      <c r="Z9" t="str">
        <f ca="1"/>
        <v>Use</v>
      </c>
    </row>
    <row r="10" spans="2:26" ht="15.75" thickTop="1" x14ac:dyDescent="0.25">
      <c r="B10" s="58" t="s">
        <v>33</v>
      </c>
      <c r="C10" s="59">
        <v>1.3913E-3</v>
      </c>
      <c r="D10" s="57"/>
      <c r="E10" s="58" t="s">
        <v>34</v>
      </c>
      <c r="F10" s="60">
        <v>43999</v>
      </c>
      <c r="G10" s="60">
        <v>44090</v>
      </c>
      <c r="H10" s="61">
        <v>99.715000000000003</v>
      </c>
      <c r="I10" s="53">
        <v>7.0000000000000001E-3</v>
      </c>
      <c r="J10" s="57"/>
      <c r="K10" s="58" t="s">
        <v>17</v>
      </c>
      <c r="L10" s="62">
        <v>1.9500000000000001E-3</v>
      </c>
      <c r="M10" s="54" t="b">
        <v>1</v>
      </c>
      <c r="N10" s="50"/>
      <c r="O10" t="str">
        <f ca="1"/>
        <v>1M</v>
      </c>
      <c r="P10" s="75">
        <f ca="1"/>
        <v>1.3913E-3</v>
      </c>
      <c r="R10" t="str">
        <f ca="1"/>
        <v>L 1 Comdty</v>
      </c>
      <c r="S10" s="76">
        <f ca="1"/>
        <v>43999</v>
      </c>
      <c r="T10" s="76">
        <f ca="1"/>
        <v>44090</v>
      </c>
      <c r="U10" s="78">
        <f ca="1"/>
        <v>99.715000000000003</v>
      </c>
      <c r="V10" s="77">
        <f ca="1"/>
        <v>7.0000000000000001E-3</v>
      </c>
      <c r="X10" t="str">
        <f ca="1"/>
        <v>2Y</v>
      </c>
      <c r="Y10" s="77">
        <f ca="1"/>
        <v>1.9499999999999999E-3</v>
      </c>
      <c r="Z10" t="str">
        <f ca="1"/>
        <v>TRUE</v>
      </c>
    </row>
    <row r="11" spans="2:26" x14ac:dyDescent="0.25">
      <c r="B11" s="58" t="s">
        <v>35</v>
      </c>
      <c r="C11" s="59">
        <v>3.4324999999999998E-3</v>
      </c>
      <c r="D11" s="57"/>
      <c r="E11" s="58" t="s">
        <v>36</v>
      </c>
      <c r="F11" s="60">
        <v>44090</v>
      </c>
      <c r="G11" s="60">
        <v>44181</v>
      </c>
      <c r="H11" s="61">
        <v>99.784999999999997</v>
      </c>
      <c r="I11" s="53">
        <v>7.0000000000000001E-3</v>
      </c>
      <c r="J11" s="57"/>
      <c r="K11" s="58" t="s">
        <v>12</v>
      </c>
      <c r="L11" s="62">
        <v>1.97E-3</v>
      </c>
      <c r="M11" s="54" t="b">
        <v>1</v>
      </c>
      <c r="N11" s="50"/>
      <c r="O11" t="str">
        <f ca="1"/>
        <v>3M</v>
      </c>
      <c r="P11" s="75">
        <f ca="1"/>
        <v>3.4324999999999998E-3</v>
      </c>
      <c r="R11" t="str">
        <f ca="1"/>
        <v>L 2 Comdty</v>
      </c>
      <c r="S11" s="76">
        <f ca="1"/>
        <v>44090</v>
      </c>
      <c r="T11" s="76">
        <f ca="1"/>
        <v>44181</v>
      </c>
      <c r="U11" s="78">
        <f ca="1"/>
        <v>99.784999999999997</v>
      </c>
      <c r="V11" s="77">
        <f ca="1"/>
        <v>7.0000000000000001E-3</v>
      </c>
      <c r="X11" t="str">
        <f ca="1"/>
        <v>3Y</v>
      </c>
      <c r="Y11" s="77">
        <f ca="1"/>
        <v>1.97E-3</v>
      </c>
      <c r="Z11" t="str">
        <f ca="1"/>
        <v>TRUE</v>
      </c>
    </row>
    <row r="12" spans="2:26" x14ac:dyDescent="0.25">
      <c r="B12" s="58" t="s">
        <v>37</v>
      </c>
      <c r="C12" s="59">
        <v>5.3038E-3</v>
      </c>
      <c r="D12" s="57"/>
      <c r="E12" s="58" t="s">
        <v>38</v>
      </c>
      <c r="F12" s="63">
        <v>44181</v>
      </c>
      <c r="G12" s="63">
        <v>44272</v>
      </c>
      <c r="H12" s="61">
        <v>99.795000000000002</v>
      </c>
      <c r="I12" s="55">
        <v>7.0000000000000001E-3</v>
      </c>
      <c r="J12" s="57"/>
      <c r="K12" s="58" t="s">
        <v>39</v>
      </c>
      <c r="L12" s="62">
        <v>2.2000000000000001E-3</v>
      </c>
      <c r="M12" s="54" t="b">
        <v>1</v>
      </c>
      <c r="N12" s="50"/>
      <c r="O12" t="str">
        <f ca="1"/>
        <v>6M</v>
      </c>
      <c r="P12" s="75">
        <f ca="1"/>
        <v>5.3038E-3</v>
      </c>
      <c r="R12" t="str">
        <f ca="1"/>
        <v>L 3 Comdty</v>
      </c>
      <c r="S12" s="76">
        <f ca="1"/>
        <v>44181</v>
      </c>
      <c r="T12" s="76">
        <f ca="1"/>
        <v>44272</v>
      </c>
      <c r="U12" s="78">
        <f ca="1"/>
        <v>99.795000000000002</v>
      </c>
      <c r="V12" s="77">
        <f ca="1"/>
        <v>7.0000000000000001E-3</v>
      </c>
      <c r="X12" t="str">
        <f ca="1"/>
        <v>4Y</v>
      </c>
      <c r="Y12" s="77">
        <f ca="1"/>
        <v>2.2000000000000001E-3</v>
      </c>
      <c r="Z12" t="str">
        <f ca="1"/>
        <v>TRUE</v>
      </c>
    </row>
    <row r="13" spans="2:26" x14ac:dyDescent="0.25">
      <c r="B13" s="58" t="s">
        <v>40</v>
      </c>
      <c r="C13" s="59">
        <v>7.1475000000000002E-3</v>
      </c>
      <c r="D13" s="57"/>
      <c r="E13" s="58" t="s">
        <v>41</v>
      </c>
      <c r="F13" s="63">
        <v>44272</v>
      </c>
      <c r="G13" s="63">
        <v>44363</v>
      </c>
      <c r="H13" s="61">
        <v>99.86</v>
      </c>
      <c r="I13" s="55">
        <v>7.0000000000000001E-3</v>
      </c>
      <c r="J13" s="57"/>
      <c r="K13" s="58" t="s">
        <v>10</v>
      </c>
      <c r="L13" s="62">
        <v>2.48E-3</v>
      </c>
      <c r="M13" s="54" t="b">
        <v>1</v>
      </c>
      <c r="N13" s="50"/>
      <c r="O13" t="str">
        <f ca="1"/>
        <v>12M</v>
      </c>
      <c r="P13" s="75">
        <f ca="1"/>
        <v>7.1475000000000002E-3</v>
      </c>
      <c r="R13" t="str">
        <f ca="1"/>
        <v>L 4 Comdty</v>
      </c>
      <c r="S13" s="76">
        <f ca="1"/>
        <v>44272</v>
      </c>
      <c r="T13" s="76">
        <f ca="1"/>
        <v>44363</v>
      </c>
      <c r="U13" s="78">
        <f ca="1"/>
        <v>99.86</v>
      </c>
      <c r="V13" s="77">
        <f ca="1"/>
        <v>7.0000000000000001E-3</v>
      </c>
      <c r="X13" t="str">
        <f ca="1"/>
        <v>5Y</v>
      </c>
      <c r="Y13" s="77">
        <f ca="1"/>
        <v>2.48E-3</v>
      </c>
      <c r="Z13" t="str">
        <f ca="1"/>
        <v>TRUE</v>
      </c>
    </row>
    <row r="14" spans="2:26" x14ac:dyDescent="0.25">
      <c r="B14" s="48"/>
      <c r="C14" s="64"/>
      <c r="D14" s="57"/>
      <c r="E14" s="58"/>
      <c r="F14" s="63"/>
      <c r="G14" s="63"/>
      <c r="H14" s="61"/>
      <c r="I14" s="55"/>
      <c r="J14" s="57"/>
      <c r="K14" s="58" t="s">
        <v>42</v>
      </c>
      <c r="L14" s="62">
        <v>2.7100000000000002E-3</v>
      </c>
      <c r="M14" s="54" t="b">
        <v>1</v>
      </c>
      <c r="N14" s="50"/>
      <c r="P14" s="75"/>
    </row>
    <row r="15" spans="2:26" x14ac:dyDescent="0.25">
      <c r="B15" s="57"/>
      <c r="C15" s="57"/>
      <c r="D15" s="57"/>
      <c r="E15" s="58"/>
      <c r="F15" s="63"/>
      <c r="G15" s="63"/>
      <c r="H15" s="61"/>
      <c r="I15" s="55"/>
      <c r="J15" s="57"/>
      <c r="K15" s="58" t="s">
        <v>43</v>
      </c>
      <c r="L15" s="62">
        <v>2.9299999999999999E-3</v>
      </c>
      <c r="M15" s="54" t="b">
        <v>1</v>
      </c>
      <c r="N15" s="50"/>
      <c r="P15" s="75"/>
    </row>
    <row r="16" spans="2:26" x14ac:dyDescent="0.25">
      <c r="B16" s="57"/>
      <c r="C16" s="57"/>
      <c r="D16" s="57"/>
      <c r="E16" s="58"/>
      <c r="F16" s="63"/>
      <c r="G16" s="63"/>
      <c r="H16" s="61"/>
      <c r="I16" s="55"/>
      <c r="J16" s="57"/>
      <c r="K16" s="58" t="s">
        <v>44</v>
      </c>
      <c r="L16" s="62">
        <v>3.1199999999999999E-3</v>
      </c>
      <c r="M16" s="54" t="b">
        <v>1</v>
      </c>
      <c r="N16" s="50"/>
    </row>
    <row r="17" spans="2:14" x14ac:dyDescent="0.25">
      <c r="B17" s="57"/>
      <c r="C17" s="57"/>
      <c r="D17" s="57"/>
      <c r="E17" s="58"/>
      <c r="F17" s="63"/>
      <c r="G17" s="63"/>
      <c r="H17" s="61"/>
      <c r="I17" s="55"/>
      <c r="J17" s="57"/>
      <c r="K17" s="58" t="s">
        <v>19</v>
      </c>
      <c r="L17" s="62">
        <v>3.4499999999999999E-3</v>
      </c>
      <c r="M17" s="54" t="b">
        <v>1</v>
      </c>
      <c r="N17" s="50"/>
    </row>
    <row r="18" spans="2:14" x14ac:dyDescent="0.25">
      <c r="B18" s="57"/>
      <c r="C18" s="57"/>
      <c r="D18" s="57"/>
      <c r="E18" s="58"/>
      <c r="F18" s="63"/>
      <c r="G18" s="63"/>
      <c r="H18" s="61"/>
      <c r="I18" s="55"/>
      <c r="J18" s="57"/>
      <c r="K18" s="58" t="s">
        <v>45</v>
      </c>
      <c r="L18" s="62">
        <v>3.64E-3</v>
      </c>
      <c r="M18" s="54" t="b">
        <v>1</v>
      </c>
      <c r="N18" s="50"/>
    </row>
    <row r="19" spans="2:14" x14ac:dyDescent="0.25">
      <c r="B19" s="57"/>
      <c r="C19" s="57"/>
      <c r="D19" s="57"/>
      <c r="E19" s="58"/>
      <c r="F19" s="63"/>
      <c r="G19" s="63"/>
      <c r="H19" s="61"/>
      <c r="I19" s="55"/>
      <c r="J19" s="57"/>
      <c r="K19" s="58" t="s">
        <v>46</v>
      </c>
      <c r="L19" s="62">
        <v>3.7599999999999999E-3</v>
      </c>
      <c r="M19" s="54" t="b">
        <v>1</v>
      </c>
      <c r="N19" s="50"/>
    </row>
    <row r="20" spans="2:14" x14ac:dyDescent="0.25">
      <c r="B20" s="57"/>
      <c r="C20" s="57"/>
      <c r="D20" s="57"/>
      <c r="E20" s="58"/>
      <c r="F20" s="63"/>
      <c r="G20" s="63"/>
      <c r="H20" s="61"/>
      <c r="I20" s="55"/>
      <c r="J20" s="57"/>
      <c r="K20" s="58" t="s">
        <v>47</v>
      </c>
      <c r="L20" s="62">
        <v>3.6099999999999999E-3</v>
      </c>
      <c r="M20" s="54" t="b">
        <v>1</v>
      </c>
      <c r="N20" s="50"/>
    </row>
    <row r="21" spans="2:14" x14ac:dyDescent="0.25">
      <c r="B21" s="57"/>
      <c r="C21" s="57"/>
      <c r="D21" s="57"/>
      <c r="E21" s="58"/>
      <c r="F21" s="63"/>
      <c r="G21" s="63"/>
      <c r="H21" s="61"/>
      <c r="I21" s="55"/>
      <c r="J21" s="57"/>
      <c r="K21" s="58" t="s">
        <v>48</v>
      </c>
      <c r="L21" s="62">
        <v>3.3400000000000001E-3</v>
      </c>
      <c r="M21" s="54" t="b">
        <v>1</v>
      </c>
      <c r="N21" s="50"/>
    </row>
    <row r="22" spans="2:14" x14ac:dyDescent="0.25">
      <c r="B22" s="57"/>
      <c r="C22" s="57"/>
      <c r="D22" s="57"/>
      <c r="E22" s="58"/>
      <c r="F22" s="63"/>
      <c r="G22" s="63"/>
      <c r="H22" s="61"/>
      <c r="I22" s="55"/>
      <c r="J22" s="57"/>
      <c r="K22" s="58" t="s">
        <v>49</v>
      </c>
      <c r="L22" s="62">
        <v>3.0100000000000001E-3</v>
      </c>
      <c r="M22" s="54" t="b">
        <v>1</v>
      </c>
      <c r="N22" s="50"/>
    </row>
    <row r="23" spans="2:14" x14ac:dyDescent="0.25">
      <c r="B23" s="57"/>
      <c r="C23" s="57"/>
      <c r="D23" s="57"/>
      <c r="E23" s="58"/>
      <c r="F23" s="63"/>
      <c r="G23" s="63"/>
      <c r="H23" s="61"/>
      <c r="I23" s="55"/>
      <c r="J23" s="57"/>
      <c r="K23" s="58" t="s">
        <v>31</v>
      </c>
      <c r="L23" s="62">
        <v>3.0100000000000001E-3</v>
      </c>
      <c r="M23" s="54" t="b">
        <v>1</v>
      </c>
      <c r="N23" s="50"/>
    </row>
    <row r="24" spans="2:14" x14ac:dyDescent="0.25">
      <c r="B24" s="57"/>
      <c r="C24" s="57"/>
      <c r="D24" s="57"/>
      <c r="E24" s="48"/>
      <c r="F24" s="65"/>
      <c r="G24" s="65"/>
      <c r="H24" s="66"/>
      <c r="I24" s="56"/>
      <c r="J24" s="57"/>
      <c r="K24" s="48" t="s">
        <v>32</v>
      </c>
      <c r="L24" s="67">
        <v>3.0100000000000001E-3</v>
      </c>
      <c r="M24" s="68" t="b">
        <v>1</v>
      </c>
      <c r="N24" s="50"/>
    </row>
    <row r="25" spans="2:14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GRID_OBJECT</vt:lpstr>
      <vt:lpstr>MULTI_GRID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2020-05-13T10:42:33Z</dcterms:created>
  <dcterms:modified xsi:type="dcterms:W3CDTF">2020-05-13T11:02:57Z</dcterms:modified>
</cp:coreProperties>
</file>