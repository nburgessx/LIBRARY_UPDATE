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5"/>
  </bookViews>
  <sheets>
    <sheet name="Settings" sheetId="24" r:id="rId1"/>
    <sheet name="EUR OIS" sheetId="2" r:id="rId2"/>
    <sheet name="EUR SWAP 3ML" sheetId="3" r:id="rId3"/>
    <sheet name="EUR BASIS 6ML" sheetId="4" r:id="rId4"/>
    <sheet name="FIXING TABLE" sheetId="35" r:id="rId5"/>
    <sheet name="SWAP PRICING" sheetId="36" r:id="rId6"/>
  </sheets>
  <functionGroups builtInGroupCount="17"/>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#REF!</definedName>
    <definedName name="EURNumericalRisk.Totals">#REF!</definedName>
    <definedName name="EURSwaps.Portfolio">#REF!</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#REF!</definedName>
    <definedName name="isEUR1MLLoaded">#REF!</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TenorBasisCurve.EUR3ML.ForwardStarting">'EUR BASIS 6ML'!$I$35:$M$76</definedName>
    <definedName name="TenorBasisCurve3M6M.CollectionName">'EUR BASIS 6ML'!$G$12</definedName>
    <definedName name="TenorBasisCurve3M6M.IndexName">'EUR BASIS 6ML'!$G$14</definedName>
    <definedName name="TenorBasisCurve3M6M.StaticDataTable">'EUR BASIS 6ML'!$G$13</definedName>
    <definedName name="TenorBasisCurve6M6M.BuildProperties">'EUR BASIS 6ML'!$F$21:$G$27</definedName>
    <definedName name="TenorBasisSwap3M6M.Conventions">'EUR BASIS 6ML'!$F$34:$G$76</definedName>
  </definedNames>
  <calcPr calcId="145621" calcMode="manual" calcOnSave="0"/>
</workbook>
</file>

<file path=xl/calcChain.xml><?xml version="1.0" encoding="utf-8"?>
<calcChain xmlns="http://schemas.openxmlformats.org/spreadsheetml/2006/main">
  <c r="C39" i="36" l="1"/>
  <c r="D7" i="36"/>
  <c r="F6" i="35" l="1"/>
  <c r="C6" i="35"/>
  <c r="C2" i="35"/>
  <c r="F2" i="35"/>
  <c r="C8" i="36"/>
  <c r="C40" i="36" l="1"/>
  <c r="D8" i="36"/>
  <c r="M50" i="4"/>
  <c r="K50" i="4"/>
  <c r="M49" i="4"/>
  <c r="K49" i="4"/>
  <c r="M48" i="4"/>
  <c r="K48" i="4"/>
  <c r="M47" i="4"/>
  <c r="K47" i="4"/>
  <c r="M46" i="4"/>
  <c r="K46" i="4"/>
  <c r="M45" i="4"/>
  <c r="K45" i="4"/>
  <c r="M44" i="4"/>
  <c r="K44" i="4"/>
  <c r="M43" i="4"/>
  <c r="K43" i="4"/>
  <c r="M42" i="4"/>
  <c r="K42" i="4"/>
  <c r="M41" i="4"/>
  <c r="K41" i="4"/>
  <c r="M40" i="4"/>
  <c r="K40" i="4"/>
  <c r="M39" i="4"/>
  <c r="K39" i="4"/>
  <c r="M38" i="4"/>
  <c r="K38" i="4"/>
  <c r="M37" i="4"/>
  <c r="M36" i="4"/>
  <c r="M35" i="4"/>
  <c r="C38" i="36"/>
  <c r="C45" i="36"/>
  <c r="C43" i="36"/>
  <c r="G13" i="24" l="1"/>
  <c r="C44" i="36"/>
  <c r="K3" i="36" a="1"/>
  <c r="S6" i="36" l="1"/>
  <c r="S10" i="36"/>
  <c r="S14" i="36"/>
  <c r="S18" i="36"/>
  <c r="S22" i="36"/>
  <c r="S26" i="36"/>
  <c r="L15" i="36"/>
  <c r="T20" i="36"/>
  <c r="L25" i="36"/>
  <c r="U6" i="36"/>
  <c r="L4" i="36"/>
  <c r="L8" i="36"/>
  <c r="T12" i="36"/>
  <c r="M3" i="36"/>
  <c r="V6" i="36"/>
  <c r="Q12" i="36"/>
  <c r="W17" i="36"/>
  <c r="M23" i="36"/>
  <c r="Q28" i="36"/>
  <c r="N9" i="36"/>
  <c r="R14" i="36"/>
  <c r="X19" i="36"/>
  <c r="N25" i="36"/>
  <c r="P5" i="36"/>
  <c r="O11" i="36"/>
  <c r="Q11" i="36"/>
  <c r="U18" i="36"/>
  <c r="U25" i="36"/>
  <c r="P24" i="36"/>
  <c r="W14" i="36"/>
  <c r="N4" i="36"/>
  <c r="X22" i="36"/>
  <c r="Z7" i="36"/>
  <c r="Z15" i="36"/>
  <c r="Z22" i="36"/>
  <c r="W4" i="36"/>
  <c r="Q13" i="36"/>
  <c r="U20" i="36"/>
  <c r="U27" i="36"/>
  <c r="W10" i="36"/>
  <c r="Z17" i="36"/>
  <c r="Z24" i="36"/>
  <c r="O7" i="36"/>
  <c r="Q15" i="36"/>
  <c r="U22" i="36"/>
  <c r="Y3" i="36"/>
  <c r="V13" i="36"/>
  <c r="R23" i="36"/>
  <c r="Y13" i="36"/>
  <c r="O27" i="36"/>
  <c r="V15" i="36"/>
  <c r="Z28" i="36"/>
  <c r="S3" i="36"/>
  <c r="S7" i="36"/>
  <c r="S11" i="36"/>
  <c r="S15" i="36"/>
  <c r="S19" i="36"/>
  <c r="S23" i="36"/>
  <c r="S27" i="36"/>
  <c r="T16" i="36"/>
  <c r="T21" i="36"/>
  <c r="T26" i="36"/>
  <c r="U7" i="36"/>
  <c r="L5" i="36"/>
  <c r="L9" i="36"/>
  <c r="T14" i="36"/>
  <c r="M4" i="36"/>
  <c r="O8" i="36"/>
  <c r="W13" i="36"/>
  <c r="M19" i="36"/>
  <c r="Q24" i="36"/>
  <c r="R4" i="36"/>
  <c r="R10" i="36"/>
  <c r="X15" i="36"/>
  <c r="N21" i="36"/>
  <c r="R26" i="36"/>
  <c r="X6" i="36"/>
  <c r="O4" i="36"/>
  <c r="O13" i="36"/>
  <c r="O20" i="36"/>
  <c r="Q27" i="36"/>
  <c r="Z27" i="36"/>
  <c r="O18" i="36"/>
  <c r="P11" i="36"/>
  <c r="K3" i="36"/>
  <c r="K7" i="36"/>
  <c r="K11" i="36"/>
  <c r="K15" i="36"/>
  <c r="K19" i="36"/>
  <c r="K23" i="36"/>
  <c r="K27" i="36"/>
  <c r="T15" i="36"/>
  <c r="L21" i="36"/>
  <c r="L26" i="36"/>
  <c r="M7" i="36"/>
  <c r="T4" i="36"/>
  <c r="T8" i="36"/>
  <c r="T13" i="36"/>
  <c r="U3" i="36"/>
  <c r="Q7" i="36"/>
  <c r="M13" i="36"/>
  <c r="Q18" i="36"/>
  <c r="W23" i="36"/>
  <c r="W3" i="36"/>
  <c r="X9" i="36"/>
  <c r="N15" i="36"/>
  <c r="R20" i="36"/>
  <c r="X25" i="36"/>
  <c r="M6" i="36"/>
  <c r="N3" i="36"/>
  <c r="O12" i="36"/>
  <c r="Q19" i="36"/>
  <c r="U26" i="36"/>
  <c r="N26" i="36"/>
  <c r="U16" i="36"/>
  <c r="X7" i="36"/>
  <c r="V24" i="36"/>
  <c r="Q9" i="36"/>
  <c r="X16" i="36"/>
  <c r="Z23" i="36"/>
  <c r="W5" i="36"/>
  <c r="O14" i="36"/>
  <c r="Q21" i="36"/>
  <c r="U28" i="36"/>
  <c r="V11" i="36"/>
  <c r="X18" i="36"/>
  <c r="Z25" i="36"/>
  <c r="V8" i="36"/>
  <c r="O16" i="36"/>
  <c r="Q23" i="36"/>
  <c r="Z4" i="36"/>
  <c r="V14" i="36"/>
  <c r="P25" i="36"/>
  <c r="U15" i="36"/>
  <c r="Y28" i="36"/>
  <c r="V16" i="36"/>
  <c r="K4" i="36"/>
  <c r="S9" i="36"/>
  <c r="S16" i="36"/>
  <c r="K22" i="36"/>
  <c r="L10" i="36"/>
  <c r="T22" i="36"/>
  <c r="T28" i="36"/>
  <c r="L6" i="36"/>
  <c r="L12" i="36"/>
  <c r="Q4" i="36"/>
  <c r="Q14" i="36"/>
  <c r="W21" i="36"/>
  <c r="Z5" i="36"/>
  <c r="X13" i="36"/>
  <c r="N23" i="36"/>
  <c r="V7" i="36"/>
  <c r="P9" i="36"/>
  <c r="M22" i="36"/>
  <c r="V22" i="36"/>
  <c r="U24" i="36"/>
  <c r="P26" i="36"/>
  <c r="P12" i="36"/>
  <c r="P21" i="36"/>
  <c r="Z6" i="36"/>
  <c r="Y16" i="36"/>
  <c r="Y25" i="36"/>
  <c r="V12" i="36"/>
  <c r="R21" i="36"/>
  <c r="Y4" i="36"/>
  <c r="O17" i="36"/>
  <c r="M26" i="36"/>
  <c r="Z11" i="36"/>
  <c r="Z26" i="36"/>
  <c r="S4" i="36"/>
  <c r="K10" i="36"/>
  <c r="K17" i="36"/>
  <c r="K24" i="36"/>
  <c r="L13" i="36"/>
  <c r="L23" i="36"/>
  <c r="U5" i="36"/>
  <c r="T6" i="36"/>
  <c r="L16" i="36"/>
  <c r="N5" i="36"/>
  <c r="M15" i="36"/>
  <c r="Q22" i="36"/>
  <c r="W6" i="36"/>
  <c r="R16" i="36"/>
  <c r="X23" i="36"/>
  <c r="Q8" i="36"/>
  <c r="O10" i="36"/>
  <c r="Y22" i="36"/>
  <c r="Z3" i="36"/>
  <c r="O26" i="36"/>
  <c r="N28" i="36"/>
  <c r="P13" i="36"/>
  <c r="N22" i="36"/>
  <c r="N8" i="36"/>
  <c r="Y17" i="36"/>
  <c r="W26" i="36"/>
  <c r="R13" i="36"/>
  <c r="P22" i="36"/>
  <c r="N6" i="36"/>
  <c r="M18" i="36"/>
  <c r="Y26" i="36"/>
  <c r="X12" i="36"/>
  <c r="X28" i="36"/>
  <c r="W22" i="36"/>
  <c r="Z13" i="36"/>
  <c r="K5" i="36"/>
  <c r="K12" i="36"/>
  <c r="S17" i="36"/>
  <c r="S24" i="36"/>
  <c r="L14" i="36"/>
  <c r="T23" i="36"/>
  <c r="M8" i="36"/>
  <c r="L7" i="36"/>
  <c r="T17" i="36"/>
  <c r="Y5" i="36"/>
  <c r="W15" i="36"/>
  <c r="M25" i="36"/>
  <c r="R7" i="36"/>
  <c r="N17" i="36"/>
  <c r="R24" i="36"/>
  <c r="O9" i="36"/>
  <c r="M14" i="36"/>
  <c r="Y23" i="36"/>
  <c r="P6" i="36"/>
  <c r="M28" i="36"/>
  <c r="O3" i="36"/>
  <c r="N14" i="36"/>
  <c r="X24" i="36"/>
  <c r="R9" i="36"/>
  <c r="W18" i="36"/>
  <c r="Q3" i="36"/>
  <c r="P14" i="36"/>
  <c r="P23" i="36"/>
  <c r="V9" i="36"/>
  <c r="Y18" i="36"/>
  <c r="Y27" i="36"/>
  <c r="R15" i="36"/>
  <c r="M5" i="36"/>
  <c r="U23" i="36"/>
  <c r="P18" i="36"/>
  <c r="S5" i="36"/>
  <c r="S12" i="36"/>
  <c r="K18" i="36"/>
  <c r="K25" i="36"/>
  <c r="L17" i="36"/>
  <c r="L24" i="36"/>
  <c r="U8" i="36"/>
  <c r="T7" i="36"/>
  <c r="L20" i="36"/>
  <c r="Z8" i="36"/>
  <c r="Q16" i="36"/>
  <c r="W25" i="36"/>
  <c r="P8" i="36"/>
  <c r="X17" i="36"/>
  <c r="N27" i="36"/>
  <c r="K6" i="36"/>
  <c r="K20" i="36"/>
  <c r="L18" i="36"/>
  <c r="M9" i="36"/>
  <c r="L22" i="36"/>
  <c r="M17" i="36"/>
  <c r="N11" i="36"/>
  <c r="X27" i="36"/>
  <c r="Y7" i="36"/>
  <c r="W8" i="36"/>
  <c r="Z12" i="36"/>
  <c r="P10" i="36"/>
  <c r="V26" i="36"/>
  <c r="M16" i="36"/>
  <c r="N7" i="36"/>
  <c r="N24" i="36"/>
  <c r="U13" i="36"/>
  <c r="O6" i="36"/>
  <c r="V21" i="36"/>
  <c r="Q5" i="36"/>
  <c r="R25" i="36"/>
  <c r="P15" i="36"/>
  <c r="M12" i="36"/>
  <c r="T24" i="36"/>
  <c r="Q26" i="36"/>
  <c r="U17" i="36"/>
  <c r="V18" i="36"/>
  <c r="N16" i="36"/>
  <c r="P16" i="36"/>
  <c r="K26" i="36"/>
  <c r="M27" i="36"/>
  <c r="O21" i="36"/>
  <c r="R19" i="36"/>
  <c r="O24" i="36"/>
  <c r="K28" i="36"/>
  <c r="M11" i="36"/>
  <c r="R5" i="36"/>
  <c r="V5" i="36"/>
  <c r="X4" i="36"/>
  <c r="Y11" i="36"/>
  <c r="Y20" i="36"/>
  <c r="S28" i="36"/>
  <c r="W11" i="36"/>
  <c r="R6" i="36"/>
  <c r="Y6" i="36"/>
  <c r="X5" i="36"/>
  <c r="W28" i="36"/>
  <c r="V23" i="36"/>
  <c r="K8" i="36"/>
  <c r="S20" i="36"/>
  <c r="T18" i="36"/>
  <c r="L3" i="36"/>
  <c r="T25" i="36"/>
  <c r="W19" i="36"/>
  <c r="X11" i="36"/>
  <c r="R28" i="36"/>
  <c r="Y14" i="36"/>
  <c r="N18" i="36"/>
  <c r="X14" i="36"/>
  <c r="R11" i="36"/>
  <c r="R27" i="36"/>
  <c r="U19" i="36"/>
  <c r="R8" i="36"/>
  <c r="X26" i="36"/>
  <c r="U14" i="36"/>
  <c r="P7" i="36"/>
  <c r="W7" i="36"/>
  <c r="Q6" i="36"/>
  <c r="P27" i="36"/>
  <c r="Z14" i="36"/>
  <c r="P28" i="36"/>
  <c r="U9" i="36"/>
  <c r="V27" i="36"/>
  <c r="Y19" i="36"/>
  <c r="Z9" i="36"/>
  <c r="M10" i="36"/>
  <c r="Y8" i="36"/>
  <c r="K9" i="36"/>
  <c r="S21" i="36"/>
  <c r="T19" i="36"/>
  <c r="T5" i="36"/>
  <c r="V3" i="36"/>
  <c r="M21" i="36"/>
  <c r="N13" i="36"/>
  <c r="V4" i="36"/>
  <c r="W16" i="36"/>
  <c r="X8" i="36"/>
  <c r="V17" i="36"/>
  <c r="P3" i="36"/>
  <c r="O23" i="36"/>
  <c r="V28" i="36"/>
  <c r="Y10" i="36"/>
  <c r="K13" i="36"/>
  <c r="T9" i="36"/>
  <c r="R18" i="36"/>
  <c r="Z10" i="36"/>
  <c r="V10" i="36"/>
  <c r="U21" i="36"/>
  <c r="N12" i="36"/>
  <c r="L27" i="36"/>
  <c r="Q10" i="36"/>
  <c r="U10" i="36"/>
  <c r="P4" i="36"/>
  <c r="Y24" i="36"/>
  <c r="X10" i="36"/>
  <c r="O19" i="36"/>
  <c r="K14" i="36"/>
  <c r="L11" i="36"/>
  <c r="X21" i="36"/>
  <c r="M20" i="36"/>
  <c r="P20" i="36"/>
  <c r="V19" i="36"/>
  <c r="Z18" i="36"/>
  <c r="K16" i="36"/>
  <c r="T11" i="36"/>
  <c r="R22" i="36"/>
  <c r="Y21" i="36"/>
  <c r="O15" i="36"/>
  <c r="W12" i="36"/>
  <c r="Q25" i="36"/>
  <c r="S8" i="36"/>
  <c r="K21" i="36"/>
  <c r="L19" i="36"/>
  <c r="T3" i="36"/>
  <c r="U4" i="36"/>
  <c r="Q20" i="36"/>
  <c r="R12" i="36"/>
  <c r="X3" i="36"/>
  <c r="Y15" i="36"/>
  <c r="X20" i="36"/>
  <c r="R17" i="36"/>
  <c r="O22" i="36"/>
  <c r="P19" i="36"/>
  <c r="W20" i="36"/>
  <c r="N10" i="36"/>
  <c r="S25" i="36"/>
  <c r="W9" i="36"/>
  <c r="Y9" i="36"/>
  <c r="Z20" i="36"/>
  <c r="M24" i="36"/>
  <c r="R3" i="36"/>
  <c r="Q17" i="36"/>
  <c r="S13" i="36"/>
  <c r="T10" i="36"/>
  <c r="N19" i="36"/>
  <c r="Y12" i="36"/>
  <c r="U11" i="36"/>
  <c r="Z16" i="36"/>
  <c r="P17" i="36"/>
  <c r="N20" i="36"/>
  <c r="T27" i="36"/>
  <c r="W27" i="36"/>
  <c r="W24" i="36"/>
  <c r="U12" i="36"/>
  <c r="O25" i="36"/>
  <c r="Z21" i="36"/>
  <c r="L28" i="36"/>
  <c r="O5" i="36"/>
  <c r="O28" i="36"/>
  <c r="V25" i="36"/>
  <c r="V20" i="36"/>
  <c r="Z19" i="36"/>
  <c r="E64" i="4"/>
  <c r="F77" i="3" l="1"/>
  <c r="G74" i="3"/>
  <c r="G75" i="3" s="1"/>
  <c r="G76" i="3" s="1"/>
  <c r="G77" i="3" s="1"/>
  <c r="G78" i="3" s="1"/>
  <c r="G79" i="3" s="1"/>
  <c r="G80" i="3" s="1"/>
  <c r="G81" i="3" s="1"/>
  <c r="G21" i="4" l="1"/>
  <c r="F22" i="3"/>
  <c r="F20" i="2"/>
  <c r="G6" i="24" l="1"/>
  <c r="F24" i="3" s="1"/>
  <c r="G23" i="4" l="1"/>
  <c r="G66" i="4"/>
  <c r="F98" i="3"/>
  <c r="F23" i="2"/>
  <c r="F22" i="2"/>
  <c r="F25" i="3"/>
  <c r="F7" i="2"/>
  <c r="F8" i="2" l="1"/>
  <c r="F8" i="3"/>
  <c r="F9" i="3" l="1"/>
  <c r="G7" i="4" l="1"/>
  <c r="G8" i="4" l="1"/>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<sst xmlns="http://schemas.openxmlformats.org/spreadsheetml/2006/main" count="718" uniqueCount="373">
  <si>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</si>
  <si>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</si>
  <si>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</si>
  <si>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</si>
  <si>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</si>
  <si>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</si>
  <si>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</si>
  <si>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</si>
  <si>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</si>
  <si>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</si>
  <si>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</si>
  <si>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</si>
  <si>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</si>
  <si>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</si>
  <si>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</si>
  <si>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</si>
  <si>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</si>
  <si>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</si>
  <si>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</si>
  <si>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</si>
  <si>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</si>
  <si>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</si>
  <si>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</si>
  <si>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</si>
  <si>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</si>
  <si>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</si>
  <si>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</si>
  <si>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</si>
  <si>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</si>
  <si>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</si>
  <si>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</si>
  <si>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</si>
  <si>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</si>
  <si>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</si>
  <si>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</si>
  <si>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</si>
  <si>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</si>
  <si>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</si>
  <si>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</si>
  <si>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</si>
  <si>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</si>
  <si>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</si>
  <si>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</si>
  <si>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</si>
  <si>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</si>
  <si>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</si>
  <si>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</si>
  <si>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</si>
  <si>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</si>
  <si>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</si>
  <si>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</si>
  <si>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</si>
  <si>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</si>
  <si>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</si>
  <si>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</si>
  <si>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</si>
  <si>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</si>
  <si>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</si>
  <si>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</si>
  <si>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</si>
  <si>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</si>
  <si>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</si>
  <si>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</si>
  <si>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</si>
  <si>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</si>
  <si>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</si>
  <si>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</si>
  <si>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</si>
  <si>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</si>
  <si>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</si>
  <si>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</si>
  <si>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</si>
  <si>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</si>
  <si>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</si>
  <si>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</si>
  <si>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</si>
  <si>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</si>
  <si>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</si>
  <si>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</si>
  <si>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</si>
  <si>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</si>
  <si>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</si>
  <si>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</si>
  <si>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</si>
  <si>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</si>
  <si>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</si>
  <si>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</si>
  <si>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</si>
  <si>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</si>
  <si>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</si>
  <si>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</si>
  <si>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</si>
  <si>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</si>
  <si>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</si>
  <si>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</si>
  <si>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</si>
  <si>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</si>
  <si>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</si>
  <si>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</si>
  <si>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</si>
  <si>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</si>
  <si>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</si>
  <si>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</si>
  <si>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</si>
  <si>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</si>
  <si>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</si>
  <si>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</si>
  <si>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</si>
  <si>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</si>
  <si>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</si>
  <si>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</si>
  <si>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</si>
  <si>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</si>
  <si>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</si>
  <si>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</si>
  <si>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</si>
  <si>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</si>
  <si>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</si>
  <si>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</si>
  <si>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</si>
  <si>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</si>
  <si>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</si>
  <si>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</si>
  <si>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</si>
  <si>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</si>
  <si>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</si>
  <si>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</si>
  <si>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</si>
  <si>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</si>
  <si>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</si>
  <si>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</si>
  <si>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</si>
  <si>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</si>
  <si>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</si>
  <si>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</si>
  <si>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</si>
  <si>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</si>
  <si>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</si>
  <si>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</si>
  <si>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</si>
  <si>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</si>
  <si>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</si>
  <si>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</si>
  <si>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</si>
  <si>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</si>
  <si>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</si>
  <si>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</si>
  <si>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</si>
  <si>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</si>
  <si>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</si>
  <si>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</si>
  <si>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</si>
  <si>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</si>
  <si>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</si>
  <si>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</si>
  <si>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</si>
  <si>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</si>
  <si>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</si>
  <si>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</si>
  <si>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</si>
  <si>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</si>
  <si>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</si>
  <si>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</si>
  <si>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</si>
  <si>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</si>
  <si>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</si>
  <si>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</si>
  <si>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</si>
  <si>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EUR3ML</t>
  </si>
  <si>
    <t>Notional</t>
  </si>
  <si>
    <t>0D</t>
  </si>
  <si>
    <t>PV01</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</si>
  <si>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</si>
  <si>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</si>
  <si>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</si>
  <si>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</si>
  <si>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</si>
  <si>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</si>
  <si>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</si>
  <si>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</si>
  <si>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</si>
  <si>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</si>
  <si>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</si>
  <si>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</si>
  <si>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</si>
  <si>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</si>
  <si>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</si>
  <si>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</si>
  <si>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</si>
  <si>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</si>
  <si>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</si>
  <si>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</si>
  <si>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</si>
  <si>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</si>
  <si>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</si>
  <si>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</si>
  <si>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</si>
  <si>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</si>
  <si>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50Y</t>
  </si>
  <si>
    <t>Libor Fixing Data</t>
  </si>
  <si>
    <t>Money Market O/N and T/N Conventions</t>
  </si>
  <si>
    <t>Libor Fixing Conventions</t>
  </si>
  <si>
    <t>EUR12ML</t>
  </si>
  <si>
    <t>Tenor Basis Spreads ( 6 X 12 )</t>
  </si>
  <si>
    <t>EffectiveDate</t>
  </si>
  <si>
    <t>MaturityDate</t>
  </si>
  <si>
    <t>FixedRate</t>
  </si>
  <si>
    <t>FloatSpread</t>
  </si>
  <si>
    <t>ForecastCurve</t>
  </si>
  <si>
    <t>DiscountCurve</t>
  </si>
  <si>
    <t>isDate</t>
  </si>
  <si>
    <t>basis.interpolation</t>
  </si>
  <si>
    <t>meCurveCalibrateOIS</t>
  </si>
  <si>
    <t>meCurveCalibrateSwap</t>
  </si>
  <si>
    <t>meCurveCalibrateBasis</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</si>
  <si>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</si>
  <si>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</si>
  <si>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</si>
  <si>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</si>
  <si>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</si>
  <si>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</si>
  <si>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</si>
  <si>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</si>
  <si>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</si>
  <si>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</si>
  <si>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</si>
  <si>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</si>
  <si>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</si>
  <si>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</si>
  <si>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</si>
  <si>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</si>
  <si>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</si>
  <si>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</si>
  <si>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</si>
  <si>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</si>
  <si>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</si>
  <si>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</si>
  <si>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</si>
  <si>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</si>
  <si>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</si>
  <si>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</si>
  <si>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</si>
  <si>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</si>
  <si>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</si>
  <si>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</si>
  <si>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</si>
  <si>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</si>
  <si>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</si>
  <si>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</si>
  <si>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</si>
  <si>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</si>
  <si>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</si>
  <si>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</si>
  <si>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</si>
  <si>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</si>
  <si>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</si>
  <si>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</si>
  <si>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</si>
  <si>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</si>
  <si>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</si>
  <si>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</si>
  <si>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</si>
  <si>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</si>
  <si>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</si>
  <si>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</si>
  <si>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</si>
  <si>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</si>
  <si>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</si>
  <si>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</si>
  <si>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</si>
  <si>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</si>
  <si>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</si>
  <si>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</si>
  <si>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</si>
  <si>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</si>
  <si>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</si>
  <si>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</si>
  <si>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</si>
  <si>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</si>
  <si>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</si>
  <si>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</si>
  <si>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</si>
  <si>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</si>
  <si>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</si>
  <si>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</si>
  <si>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</si>
  <si>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</si>
  <si>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</si>
  <si>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</si>
  <si>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</si>
  <si>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</si>
  <si>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</si>
  <si>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</si>
  <si>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</si>
  <si>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</si>
  <si>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</si>
  <si>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</si>
  <si>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</si>
  <si>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</si>
  <si>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</si>
  <si>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</si>
  <si>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EffectiveLag</t>
  </si>
  <si>
    <t>BumpSize</t>
  </si>
  <si>
    <t>BumpMode</t>
  </si>
  <si>
    <t>DiscountIndex</t>
  </si>
  <si>
    <t>StaticData</t>
  </si>
  <si>
    <t>Curve Settings</t>
  </si>
  <si>
    <t>Risk Settings</t>
  </si>
  <si>
    <t>Central</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</si>
  <si>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</si>
  <si>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</si>
  <si>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</si>
  <si>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</si>
  <si>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</si>
  <si>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PV</t>
  </si>
  <si>
    <t>CurveFrequency</t>
  </si>
  <si>
    <t>Daily</t>
  </si>
  <si>
    <t>ForecastCurveSet</t>
  </si>
  <si>
    <t>Calculation Mode</t>
  </si>
  <si>
    <t>CalcMode</t>
  </si>
  <si>
    <t>MANUAL</t>
  </si>
  <si>
    <t>3M6MBasis</t>
  </si>
  <si>
    <t>3M6MBasis:EUR6ML</t>
  </si>
  <si>
    <t>CreateFixingTable</t>
  </si>
  <si>
    <t>Fixing Table &amp; Index Information</t>
  </si>
  <si>
    <t>TableName</t>
  </si>
  <si>
    <t>CurveTenor</t>
  </si>
  <si>
    <t>FixingDate</t>
  </si>
  <si>
    <t>FixingValue</t>
  </si>
  <si>
    <t>Deal Information</t>
  </si>
  <si>
    <t>LegType</t>
  </si>
  <si>
    <t>Leg1:Fixed</t>
  </si>
  <si>
    <t>Leg2:Float</t>
  </si>
  <si>
    <t>NotionalExchange</t>
  </si>
  <si>
    <t>PayReceive</t>
  </si>
  <si>
    <t>PAY</t>
  </si>
  <si>
    <t>RECEIVE</t>
  </si>
  <si>
    <t>Leverage</t>
  </si>
  <si>
    <t>FirstStubCurveIndex</t>
  </si>
  <si>
    <t>NATURAL</t>
  </si>
  <si>
    <t>LastStubCurveIndex</t>
  </si>
  <si>
    <t>FirstFixing</t>
  </si>
  <si>
    <t>LastFixing</t>
  </si>
  <si>
    <t>FixingBusinessDayAdjustment</t>
  </si>
  <si>
    <t>FixingCalendar</t>
  </si>
  <si>
    <t>AccrualBusinessDayAdjustment</t>
  </si>
  <si>
    <t>AccrualCalendar</t>
  </si>
  <si>
    <t>PaymentBusinessDayAdjustment</t>
  </si>
  <si>
    <t>PaymentCalendar</t>
  </si>
  <si>
    <t>RollDay</t>
  </si>
  <si>
    <t>FixingLag</t>
  </si>
  <si>
    <t>PaymentLag</t>
  </si>
  <si>
    <t>FirstStubDate</t>
  </si>
  <si>
    <t>LastStubDate</t>
  </si>
  <si>
    <t>StubType</t>
  </si>
  <si>
    <t>Pricing &amp; Risk</t>
  </si>
  <si>
    <t>FixingTable</t>
  </si>
  <si>
    <t>&lt;&lt; Swap Start Lag</t>
  </si>
  <si>
    <t>&lt;&lt; Fixed Rate</t>
  </si>
  <si>
    <t>&lt;&lt; Float Spread</t>
  </si>
  <si>
    <t>&lt;&lt; Currency</t>
  </si>
  <si>
    <t>&lt;&lt; Tenor</t>
  </si>
  <si>
    <t>&lt;&lt; Stub Type</t>
  </si>
  <si>
    <r>
      <t xml:space="preserve">&lt;&lt; </t>
    </r>
    <r>
      <rPr>
        <b/>
        <sz val="11"/>
        <color rgb="FFC00000"/>
        <rFont val="Calibri"/>
        <family val="2"/>
        <scheme val="minor"/>
      </rPr>
      <t>"NATURAL"</t>
    </r>
    <r>
      <rPr>
        <sz val="11"/>
        <color rgb="FFC00000"/>
        <rFont val="Calibri"/>
        <family val="2"/>
        <scheme val="minor"/>
      </rPr>
      <t xml:space="preserve"> = Interpolate for Back Floating Stub Rate</t>
    </r>
  </si>
  <si>
    <r>
      <t xml:space="preserve">&lt;&lt; </t>
    </r>
    <r>
      <rPr>
        <b/>
        <sz val="11"/>
        <color rgb="FFC00000"/>
        <rFont val="Calibri"/>
        <family val="2"/>
        <scheme val="minor"/>
      </rPr>
      <t>"NATURAL"</t>
    </r>
    <r>
      <rPr>
        <sz val="11"/>
        <color rgb="FFC00000"/>
        <rFont val="Calibri"/>
        <family val="2"/>
        <scheme val="minor"/>
      </rPr>
      <t xml:space="preserve"> = Interpolate for Front Floating Stub Rate</t>
    </r>
  </si>
  <si>
    <t>ParRate</t>
  </si>
  <si>
    <t>Create</t>
  </si>
  <si>
    <t>Swap, Curve &amp; Fixing Table Handles</t>
  </si>
  <si>
    <t>NONE</t>
  </si>
  <si>
    <t>ShortStart</t>
  </si>
  <si>
    <t>Cashflows</t>
  </si>
  <si>
    <t>Refresh Curves, Fixing Tables and Swap Price</t>
  </si>
  <si>
    <t>-50D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</si>
</sst>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164" formatCode="0.000%"/>
    <numFmt numFmtId="165" formatCode="0.00000%"/>
    <numFmt numFmtId="166" formatCode="#,##0.0000"/>
    <numFmt numFmtId="167" formatCode="ddd\ d\-mmm\-yy"/>
    <numFmt numFmtId="168" formatCode="ddd\,\ d\-mmm\-yy"/>
    <numFmt numFmtId="169" formatCode="ddd\,\ d\-mmm\-yy\ h:mm"/>
    <numFmt numFmtId="170" formatCode="0.0000%"/>
    <numFmt numFmtId="171" formatCode="#,##0.00000"/>
  </numFmts>
  <fonts count="3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theme="3"/>
        <bgColor indexed="64"/>
      </patternFill>
    </fill>
  </fills>
  <borders count="28">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325">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6" xfId="0" applyFill="1" applyBorder="1"/>
    <xf numFmtId="0" fontId="0" fillId="2" borderId="27" xfId="0" applyFill="1" applyBorder="1"/>
    <xf numFmtId="0" fontId="0" fillId="2" borderId="25" xfId="0" applyFill="1" applyBorder="1"/>
    <xf numFmtId="0" fontId="22" fillId="0" borderId="0" xfId="0" applyFont="1"/>
    <xf numFmtId="0" fontId="9" fillId="2" borderId="0" xfId="0" applyFont="1" applyFill="1" applyBorder="1"/>
    <xf numFmtId="169"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4" fillId="2" borderId="0" xfId="0" applyFont="1" applyFill="1" applyBorder="1"/>
    <xf numFmtId="15" fontId="0" fillId="0" borderId="0" xfId="0" applyNumberFormat="1"/>
    <xf numFmtId="0" fontId="24" fillId="2" borderId="2" xfId="0" applyFont="1" applyFill="1" applyBorder="1"/>
    <xf numFmtId="164" fontId="0" fillId="0" borderId="0" xfId="0" quotePrefix="1" applyNumberFormat="1" applyAlignment="1">
      <alignment horizontal="center" vertical="center"/>
    </xf>
    <xf numFmtId="170" fontId="0" fillId="0" borderId="0" xfId="0" applyNumberFormat="1" applyAlignment="1">
      <alignment horizontal="center"/>
    </xf>
    <xf numFmtId="0" fontId="26" fillId="2" borderId="0" xfId="0" applyFont="1" applyFill="1" applyBorder="1"/>
    <xf numFmtId="170" fontId="6" fillId="2" borderId="0" xfId="0" applyNumberFormat="1" applyFont="1" applyFill="1" applyBorder="1" applyAlignment="1">
      <alignment horizontal="center" vertical="center"/>
    </xf>
    <xf numFmtId="170"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2" xfId="0" applyFill="1" applyBorder="1"/>
    <xf numFmtId="0" fontId="0" fillId="2" borderId="9" xfId="0" applyFill="1" applyBorder="1"/>
    <xf numFmtId="0" fontId="0" fillId="2" borderId="0" xfId="0" applyFill="1" applyBorder="1"/>
    <xf numFmtId="0" fontId="6" fillId="2" borderId="0" xfId="0" applyFont="1" applyFill="1" applyBorder="1"/>
    <xf numFmtId="0" fontId="0" fillId="2" borderId="12" xfId="0"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10" fontId="9" fillId="0" borderId="10" xfId="0" applyNumberFormat="1"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21" fillId="0" borderId="4" xfId="0" applyFont="1" applyBorder="1" applyAlignment="1">
      <alignment horizontal="center" vertical="center" textRotation="90" wrapText="1"/>
    </xf>
    <xf numFmtId="0" fontId="21"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5" fillId="2" borderId="0" xfId="0" applyFont="1" applyFill="1" applyBorder="1" applyAlignment="1">
      <alignment horizontal="left" vertical="center"/>
    </xf>
    <xf numFmtId="0" fontId="27" fillId="5" borderId="16" xfId="0" applyFont="1" applyFill="1" applyBorder="1" applyAlignment="1">
      <alignment horizontal="center" vertical="center"/>
    </xf>
    <xf numFmtId="0" fontId="27" fillId="5" borderId="10" xfId="0" applyFont="1" applyFill="1" applyBorder="1"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29" fillId="0" borderId="0" xfId="0" applyFont="1"/>
    <xf numFmtId="0" fontId="30"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23" fillId="0" borderId="0" xfId="0" applyFont="1"/>
    <xf numFmtId="0" fontId="0" fillId="2" borderId="1" xfId="0" applyNumberFormat="1" applyFill="1" applyBorder="1" applyAlignment="1">
      <alignment horizontal="left" vertical="center" wrapText="1"/>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8" fontId="6" fillId="0" borderId="1" xfId="0" applyNumberFormat="1" applyFont="1" applyFill="1" applyBorder="1" applyAlignment="1">
      <alignment horizontal="center" vertical="center"/>
    </xf>
    <xf numFmtId="168"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8" fontId="7" fillId="2" borderId="11" xfId="0" applyNumberFormat="1" applyFont="1" applyFill="1" applyBorder="1" applyAlignment="1">
      <alignment horizontal="center" vertical="center"/>
    </xf>
    <xf numFmtId="168" fontId="7" fillId="2" borderId="4" xfId="0" applyNumberFormat="1" applyFont="1" applyFill="1" applyBorder="1" applyAlignment="1">
      <alignment horizontal="center" vertical="center"/>
    </xf>
    <xf numFmtId="0" fontId="32" fillId="0" borderId="0" xfId="0" applyFont="1"/>
    <xf numFmtId="0" fontId="23" fillId="0" borderId="0" xfId="0" applyFont="1" applyAlignment="1">
      <alignment horizontal="left" vertical="center"/>
    </xf>
    <xf numFmtId="0" fontId="23" fillId="0" borderId="0" xfId="0" applyFont="1" applyAlignment="1">
      <alignment vertical="center"/>
    </xf>
    <xf numFmtId="0" fontId="0" fillId="0" borderId="4"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0" fontId="0" fillId="0" borderId="8" xfId="0" applyFill="1" applyBorder="1"/>
    <xf numFmtId="0" fontId="24" fillId="0" borderId="0" xfId="0" applyFont="1"/>
    <xf numFmtId="0" fontId="0" fillId="3" borderId="15" xfId="0" applyFill="1" applyBorder="1"/>
    <xf numFmtId="168" fontId="6" fillId="0" borderId="15" xfId="0" applyNumberFormat="1" applyFont="1" applyFill="1" applyBorder="1" applyAlignment="1">
      <alignment horizontal="center" vertical="center"/>
    </xf>
    <xf numFmtId="0" fontId="0" fillId="0" borderId="0" xfId="0" applyAlignment="1">
      <alignment horizontal="center" vertical="center"/>
    </xf>
    <xf numFmtId="0" fontId="0" fillId="2" borderId="15" xfId="0" applyFill="1" applyBorder="1" applyAlignment="1">
      <alignment horizontal="left" vertical="center"/>
    </xf>
    <xf numFmtId="0" fontId="9" fillId="0" borderId="15" xfId="0" applyFont="1" applyBorder="1" applyAlignment="1">
      <alignment horizontal="center" vertical="center"/>
    </xf>
    <xf numFmtId="0" fontId="0" fillId="0" borderId="1" xfId="0" applyBorder="1" applyAlignment="1">
      <alignment horizontal="center" vertical="center"/>
    </xf>
    <xf numFmtId="0" fontId="0" fillId="7" borderId="11" xfId="0" applyFont="1" applyFill="1" applyBorder="1" applyAlignment="1">
      <alignment horizontal="center" vertical="center"/>
    </xf>
    <xf numFmtId="0" fontId="0" fillId="0" borderId="0" xfId="0" applyFont="1" applyAlignment="1">
      <alignment horizontal="center" vertical="center"/>
    </xf>
    <xf numFmtId="168" fontId="0" fillId="2" borderId="1" xfId="0" applyNumberFormat="1" applyFill="1" applyBorder="1" applyAlignment="1">
      <alignment horizontal="left" vertical="center"/>
    </xf>
    <xf numFmtId="168" fontId="0" fillId="2" borderId="4" xfId="0" applyNumberFormat="1" applyFill="1" applyBorder="1" applyAlignment="1">
      <alignment horizontal="left" vertical="center"/>
    </xf>
    <xf numFmtId="168" fontId="0" fillId="2" borderId="11" xfId="0" applyNumberFormat="1" applyFill="1" applyBorder="1" applyAlignment="1">
      <alignment horizontal="left" vertical="center"/>
    </xf>
    <xf numFmtId="168" fontId="0" fillId="0" borderId="0" xfId="0" applyNumberFormat="1" applyAlignment="1">
      <alignment horizontal="left" vertical="center"/>
    </xf>
    <xf numFmtId="168" fontId="0" fillId="2" borderId="5" xfId="0" applyNumberFormat="1" applyFill="1" applyBorder="1" applyAlignment="1">
      <alignment horizontal="left" vertical="center"/>
    </xf>
    <xf numFmtId="168" fontId="0" fillId="2" borderId="9" xfId="0" applyNumberFormat="1" applyFill="1" applyBorder="1" applyAlignment="1">
      <alignment horizontal="left" vertical="center"/>
    </xf>
    <xf numFmtId="168" fontId="0" fillId="2" borderId="14" xfId="0" applyNumberFormat="1" applyFill="1" applyBorder="1" applyAlignment="1">
      <alignment horizontal="left" vertical="center"/>
    </xf>
    <xf numFmtId="170" fontId="0" fillId="2" borderId="3" xfId="0" applyNumberFormat="1" applyFill="1" applyBorder="1" applyAlignment="1">
      <alignment horizontal="center" vertical="center"/>
    </xf>
    <xf numFmtId="170" fontId="0" fillId="2" borderId="10" xfId="0" applyNumberFormat="1" applyFill="1" applyBorder="1" applyAlignment="1">
      <alignment horizontal="center" vertical="center"/>
    </xf>
    <xf numFmtId="170" fontId="0" fillId="2" borderId="13" xfId="0" applyNumberFormat="1" applyFill="1" applyBorder="1" applyAlignment="1">
      <alignment horizontal="center" vertical="center"/>
    </xf>
    <xf numFmtId="3" fontId="0" fillId="6" borderId="1" xfId="0" applyNumberFormat="1" applyFont="1" applyFill="1" applyBorder="1" applyAlignment="1">
      <alignment horizontal="center" vertical="center"/>
    </xf>
    <xf numFmtId="3" fontId="6" fillId="0" borderId="4" xfId="0" applyNumberFormat="1" applyFont="1" applyFill="1" applyBorder="1" applyAlignment="1">
      <alignment horizontal="center" vertical="center"/>
    </xf>
    <xf numFmtId="167" fontId="0" fillId="0" borderId="4" xfId="0" applyNumberFormat="1" applyFont="1" applyFill="1" applyBorder="1" applyAlignment="1">
      <alignment horizontal="center" vertical="center"/>
    </xf>
    <xf numFmtId="0" fontId="0" fillId="6" borderId="4" xfId="0" applyFill="1" applyBorder="1" applyAlignment="1">
      <alignment horizontal="center"/>
    </xf>
    <xf numFmtId="0" fontId="6" fillId="6" borderId="4" xfId="0" applyFont="1" applyFill="1" applyBorder="1" applyAlignment="1">
      <alignment horizontal="center" vertical="center"/>
    </xf>
    <xf numFmtId="0" fontId="6" fillId="6" borderId="4" xfId="0" quotePrefix="1" applyFont="1" applyFill="1" applyBorder="1" applyAlignment="1">
      <alignment horizontal="center" vertical="center"/>
    </xf>
    <xf numFmtId="168" fontId="0" fillId="6" borderId="4" xfId="0" applyNumberFormat="1" applyFill="1" applyBorder="1" applyAlignment="1">
      <alignment horizontal="center"/>
    </xf>
    <xf numFmtId="167" fontId="9" fillId="2" borderId="4" xfId="0" applyNumberFormat="1" applyFont="1" applyFill="1" applyBorder="1" applyAlignment="1">
      <alignment horizontal="center" vertical="center"/>
    </xf>
    <xf numFmtId="0" fontId="6" fillId="0" borderId="4" xfId="0" applyFont="1" applyFill="1" applyBorder="1" applyAlignment="1">
      <alignment horizontal="center" vertical="center"/>
    </xf>
    <xf numFmtId="0" fontId="0" fillId="0" borderId="4" xfId="0" applyFont="1" applyFill="1" applyBorder="1" applyAlignment="1">
      <alignment horizontal="center"/>
    </xf>
    <xf numFmtId="4" fontId="0" fillId="0" borderId="4" xfId="0" applyNumberFormat="1" applyFont="1" applyFill="1" applyBorder="1" applyAlignment="1">
      <alignment horizontal="center" vertical="center"/>
    </xf>
    <xf numFmtId="0" fontId="6" fillId="0" borderId="4" xfId="0" quotePrefix="1" applyFont="1" applyFill="1" applyBorder="1" applyAlignment="1">
      <alignment horizontal="center" vertical="center"/>
    </xf>
    <xf numFmtId="0" fontId="0" fillId="0" borderId="4" xfId="0" applyFill="1" applyBorder="1" applyAlignment="1">
      <alignment horizontal="center"/>
    </xf>
    <xf numFmtId="167" fontId="3" fillId="9" borderId="4" xfId="0" applyNumberFormat="1" applyFont="1" applyFill="1" applyBorder="1" applyAlignment="1">
      <alignment horizontal="center" vertical="center"/>
    </xf>
    <xf numFmtId="3" fontId="3" fillId="9" borderId="4" xfId="0" applyNumberFormat="1" applyFont="1" applyFill="1" applyBorder="1" applyAlignment="1">
      <alignment horizontal="center" vertical="center"/>
    </xf>
    <xf numFmtId="0" fontId="3" fillId="9" borderId="4" xfId="0" applyFont="1" applyFill="1" applyBorder="1" applyAlignment="1">
      <alignment horizontal="center"/>
    </xf>
    <xf numFmtId="10" fontId="3" fillId="9" borderId="4" xfId="0" applyNumberFormat="1" applyFont="1" applyFill="1" applyBorder="1" applyAlignment="1">
      <alignment horizontal="center" vertical="center"/>
    </xf>
    <xf numFmtId="166" fontId="3" fillId="9" borderId="4" xfId="0" applyNumberFormat="1" applyFont="1" applyFill="1" applyBorder="1" applyAlignment="1">
      <alignment horizontal="center" vertical="center"/>
    </xf>
    <xf numFmtId="4" fontId="9" fillId="2" borderId="4" xfId="0" applyNumberFormat="1" applyFont="1" applyFill="1" applyBorder="1" applyAlignment="1">
      <alignment horizontal="center" vertical="center"/>
    </xf>
    <xf numFmtId="0" fontId="2" fillId="0" borderId="0" xfId="0" applyFont="1" applyAlignment="1">
      <alignment horizontal="left"/>
    </xf>
    <xf numFmtId="0" fontId="2" fillId="0" borderId="0" xfId="0" applyFont="1"/>
    <xf numFmtId="0" fontId="9" fillId="0" borderId="0" xfId="0" applyFont="1"/>
    <xf numFmtId="0" fontId="0" fillId="0" borderId="3" xfId="0" applyBorder="1"/>
    <xf numFmtId="0" fontId="0" fillId="0" borderId="13" xfId="0" applyBorder="1"/>
    <xf numFmtId="0" fontId="0" fillId="2" borderId="1" xfId="0" applyFill="1" applyBorder="1"/>
    <xf numFmtId="0" fontId="0" fillId="2" borderId="11" xfId="0" applyFill="1" applyBorder="1"/>
    <xf numFmtId="0" fontId="0" fillId="2" borderId="4" xfId="0" applyFill="1" applyBorder="1"/>
    <xf numFmtId="0" fontId="9" fillId="0" borderId="5" xfId="0" applyFont="1" applyBorder="1"/>
    <xf numFmtId="0" fontId="9" fillId="0" borderId="9" xfId="0" applyFont="1" applyBorder="1"/>
    <xf numFmtId="3" fontId="9" fillId="0" borderId="5" xfId="0" applyNumberFormat="1" applyFont="1" applyBorder="1" applyAlignment="1">
      <alignment horizontal="left" vertical="center"/>
    </xf>
    <xf numFmtId="165" fontId="9" fillId="0" borderId="9" xfId="0" applyNumberFormat="1" applyFont="1" applyBorder="1" applyAlignment="1">
      <alignment horizontal="left" vertical="center"/>
    </xf>
    <xf numFmtId="1" fontId="9" fillId="0" borderId="14" xfId="0" applyNumberFormat="1" applyFont="1" applyBorder="1" applyAlignment="1">
      <alignment horizontal="left" vertical="center"/>
    </xf>
    <xf numFmtId="170" fontId="0" fillId="0" borderId="4" xfId="0" applyNumberFormat="1" applyFont="1" applyFill="1" applyBorder="1" applyAlignment="1">
      <alignment horizontal="center"/>
    </xf>
    <xf numFmtId="15" fontId="0" fillId="2" borderId="5" xfId="0" applyNumberFormat="1" applyFill="1" applyBorder="1"/>
    <xf numFmtId="15" fontId="0" fillId="2" borderId="2" xfId="0" applyNumberFormat="1" applyFill="1" applyBorder="1"/>
    <xf numFmtId="4" fontId="0" fillId="2" borderId="2" xfId="0" applyNumberFormat="1" applyFill="1" applyBorder="1"/>
    <xf numFmtId="3" fontId="0" fillId="2" borderId="2" xfId="0" applyNumberFormat="1" applyFill="1" applyBorder="1"/>
    <xf numFmtId="4" fontId="0" fillId="2" borderId="3" xfId="0" applyNumberFormat="1" applyFill="1" applyBorder="1"/>
    <xf numFmtId="15" fontId="0" fillId="2" borderId="9" xfId="0" applyNumberFormat="1" applyFill="1" applyBorder="1"/>
    <xf numFmtId="15" fontId="0" fillId="2" borderId="0" xfId="0" applyNumberFormat="1" applyFill="1" applyBorder="1"/>
    <xf numFmtId="4" fontId="0" fillId="2" borderId="0" xfId="0" applyNumberFormat="1" applyFill="1" applyBorder="1"/>
    <xf numFmtId="3" fontId="0" fillId="2" borderId="0" xfId="0" applyNumberFormat="1" applyFill="1" applyBorder="1"/>
    <xf numFmtId="4" fontId="0" fillId="2" borderId="10" xfId="0" applyNumberFormat="1" applyFill="1" applyBorder="1"/>
    <xf numFmtId="15" fontId="0" fillId="2" borderId="14" xfId="0" applyNumberFormat="1" applyFill="1" applyBorder="1"/>
    <xf numFmtId="15" fontId="0" fillId="2" borderId="12" xfId="0" applyNumberFormat="1" applyFill="1" applyBorder="1"/>
    <xf numFmtId="4" fontId="0" fillId="2" borderId="12" xfId="0" applyNumberFormat="1" applyFill="1" applyBorder="1"/>
    <xf numFmtId="3" fontId="0" fillId="2" borderId="12" xfId="0" applyNumberFormat="1" applyFill="1" applyBorder="1"/>
    <xf numFmtId="4" fontId="0" fillId="2" borderId="13" xfId="0" applyNumberFormat="1" applyFill="1" applyBorder="1"/>
    <xf numFmtId="166" fontId="0" fillId="2" borderId="0" xfId="0" applyNumberFormat="1" applyFill="1" applyBorder="1"/>
    <xf numFmtId="166" fontId="0" fillId="2" borderId="12" xfId="0" applyNumberFormat="1" applyFill="1" applyBorder="1"/>
    <xf numFmtId="10" fontId="0" fillId="2" borderId="0" xfId="0" applyNumberFormat="1" applyFill="1" applyBorder="1"/>
    <xf numFmtId="165" fontId="0" fillId="2" borderId="0" xfId="0" applyNumberFormat="1" applyFill="1" applyBorder="1"/>
    <xf numFmtId="165" fontId="0" fillId="2" borderId="12" xfId="0" applyNumberFormat="1" applyFill="1" applyBorder="1"/>
    <xf numFmtId="171" fontId="0" fillId="2" borderId="0" xfId="0" applyNumberFormat="1" applyFill="1" applyBorder="1"/>
    <xf numFmtId="171" fontId="0" fillId="2" borderId="12" xfId="0" applyNumberFormat="1" applyFill="1" applyBorder="1"/>
    <xf numFmtId="165" fontId="2" fillId="8" borderId="0" xfId="0" applyNumberFormat="1" applyFont="1" applyFill="1" applyBorder="1"/>
    <xf numFmtId="0" fontId="2" fillId="8" borderId="4" xfId="0" quotePrefix="1" applyFont="1" applyFill="1" applyBorder="1" applyAlignment="1">
      <alignment horizontal="center"/>
    </xf>
    <xf numFmtId="170" fontId="7" fillId="8" borderId="4" xfId="0" applyNumberFormat="1" applyFont="1" applyFill="1" applyBorder="1" applyAlignment="1">
      <alignment horizontal="center" vertical="center"/>
    </xf>
    <xf numFmtId="170" fontId="0" fillId="8" borderId="4" xfId="0" applyNumberFormat="1" applyFont="1" applyFill="1" applyBorder="1" applyAlignment="1">
      <alignment horizontal="center"/>
    </xf>
    <xf numFmtId="0" fontId="3" fillId="9" borderId="11" xfId="0" applyFont="1" applyFill="1" applyBorder="1"/>
    <xf numFmtId="0" fontId="3" fillId="9" borderId="14" xfId="0" applyFont="1" applyFill="1" applyBorder="1"/>
    <xf numFmtId="0" fontId="3" fillId="9" borderId="13" xfId="0" applyFont="1" applyFill="1" applyBorder="1"/>
    <xf numFmtId="0" fontId="21" fillId="0" borderId="16" xfId="0" applyFont="1" applyFill="1" applyBorder="1" applyAlignment="1">
      <alignment horizontal="center" vertical="center" textRotation="90"/>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0" fillId="0" borderId="16" xfId="0" applyFont="1" applyFill="1" applyBorder="1" applyAlignment="1">
      <alignment horizontal="center" vertical="center" textRotation="90" wrapText="1"/>
    </xf>
    <xf numFmtId="0" fontId="20" fillId="0" borderId="4" xfId="0" applyFont="1" applyBorder="1" applyAlignment="1">
      <alignment horizontal="center" vertical="center" textRotation="90"/>
    </xf>
    <xf numFmtId="0" fontId="20"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wrapText="1"/>
    </xf>
    <xf numFmtId="0" fontId="21" fillId="0" borderId="11" xfId="0" applyFont="1" applyBorder="1" applyAlignment="1">
      <alignment horizontal="center" vertical="center" textRotation="90" wrapText="1"/>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38100</xdr:colOff>
      <xdr:row>4</xdr:row>
      <xdr:rowOff>47625</xdr:rowOff>
    </xdr:from>
    <xdr:to>
      <xdr:col>2</xdr:col>
      <xdr:colOff>428625</xdr:colOff>
      <xdr:row>6</xdr:row>
      <xdr:rowOff>66733</xdr:rowOff>
    </xdr:to>
    <xdr:pic macro="[0]!RefreshCurvesAndPricing">
      <xdr:nvPicPr>
        <xdr:cNvPr id="3" name="Picture 2"/>
        <xdr:cNvPicPr>
          <a:picLocks noChangeAspect="1"/>
        </xdr:cNvPicPr>
      </xdr:nvPicPr>
      <xdr:blipFill>
        <a:blip xmlns:r="http://schemas.openxmlformats.org/officeDocument/2006/relationships" r:embed="rId1"/>
        <a:stretch>
          <a:fillRect/>
        </a:stretch>
      </xdr:blipFill>
      <xdr:spPr>
        <a:xfrm>
          <a:off x="1257300" y="80962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400050</xdr:colOff>
      <xdr:row>37</xdr:row>
      <xdr:rowOff>57150</xdr:rowOff>
    </xdr:from>
    <xdr:to>
      <xdr:col>7</xdr:col>
      <xdr:colOff>180975</xdr:colOff>
      <xdr:row>39</xdr:row>
      <xdr:rowOff>76258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7058025" y="7105650"/>
          <a:ext cx="390525" cy="4001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107" customWidth="1"/>
    <col min="5" max="5" width="13.85546875" bestFit="1" customWidth="1"/>
    <col min="6" max="6" width="20.42578125" customWidth="1"/>
    <col min="9" max="9" width="9.140625" style="107" customWidth="1"/>
    <col min="10" max="10" width="20.7109375" style="107" customWidth="1"/>
    <col min="11" max="11" width="16.85546875" style="107" customWidth="1"/>
  </cols>
  <sheetData>
    <row r="2" spans="2:12" x14ac:dyDescent="0.25">
      <c r="B2" s="80"/>
      <c r="C2" s="81"/>
      <c r="D2" s="81"/>
      <c r="E2" s="81"/>
      <c r="F2" s="81"/>
      <c r="G2" s="81"/>
      <c r="H2" s="81"/>
      <c r="I2" s="81"/>
      <c r="J2" s="81"/>
      <c r="K2" s="81"/>
      <c r="L2" s="82"/>
    </row>
    <row r="3" spans="2:12" s="107" customFormat="1" x14ac:dyDescent="0.25">
      <c r="B3" s="83"/>
      <c r="C3" s="110"/>
      <c r="D3" s="110"/>
      <c r="E3" s="110"/>
      <c r="F3" s="110"/>
      <c r="G3" s="110"/>
      <c r="H3" s="110"/>
      <c r="I3" s="110"/>
      <c r="J3" s="110"/>
      <c r="K3" s="110"/>
      <c r="L3" s="84"/>
    </row>
    <row r="4" spans="2:12" x14ac:dyDescent="0.25">
      <c r="B4" s="83"/>
      <c r="C4" s="78" t="s">
        <v>175</v>
      </c>
      <c r="D4" s="78"/>
      <c r="E4" s="78" t="s">
        <v>306</v>
      </c>
      <c r="F4" s="5"/>
      <c r="G4" s="5"/>
      <c r="H4" s="5"/>
      <c r="I4" s="110"/>
      <c r="J4" s="78" t="s">
        <v>305</v>
      </c>
      <c r="K4" s="110"/>
      <c r="L4" s="84"/>
    </row>
    <row r="5" spans="2:12" x14ac:dyDescent="0.25">
      <c r="B5" s="83"/>
      <c r="C5" s="5"/>
      <c r="D5" s="110"/>
      <c r="E5" s="101" t="s">
        <v>174</v>
      </c>
      <c r="F5" s="222">
        <v>42521</v>
      </c>
      <c r="G5" s="5"/>
      <c r="H5" s="5"/>
      <c r="I5" s="110"/>
      <c r="J5" s="220" t="s">
        <v>317</v>
      </c>
      <c r="K5" s="221" t="s">
        <v>315</v>
      </c>
      <c r="L5" s="84"/>
    </row>
    <row r="6" spans="2:12" x14ac:dyDescent="0.25">
      <c r="B6" s="83"/>
      <c r="C6" s="5"/>
      <c r="D6" s="110"/>
      <c r="E6" s="102" t="s">
        <v>110</v>
      </c>
      <c r="F6" s="226" t="s">
        <v>195</v>
      </c>
      <c r="G6" s="89" t="str">
        <f>"fn_"&amp;Interpolation&amp;"Interpolation"</f>
        <v>fn_SplineInterpolation</v>
      </c>
      <c r="H6" s="5"/>
      <c r="I6" s="110"/>
      <c r="J6" s="216" t="s">
        <v>193</v>
      </c>
      <c r="K6" s="217" t="s">
        <v>316</v>
      </c>
      <c r="L6" s="84"/>
    </row>
    <row r="7" spans="2:12" x14ac:dyDescent="0.25">
      <c r="B7" s="83"/>
      <c r="C7" s="5"/>
      <c r="D7" s="110"/>
      <c r="E7" s="103" t="s">
        <v>97</v>
      </c>
      <c r="F7" s="223" t="b">
        <v>1</v>
      </c>
      <c r="G7" s="5"/>
      <c r="H7" s="5"/>
      <c r="I7" s="110"/>
      <c r="J7" s="216" t="s">
        <v>197</v>
      </c>
      <c r="K7" s="217" t="s">
        <v>196</v>
      </c>
      <c r="L7" s="84"/>
    </row>
    <row r="8" spans="2:12" x14ac:dyDescent="0.25">
      <c r="B8" s="83"/>
      <c r="C8" s="90"/>
      <c r="D8" s="90"/>
      <c r="E8" s="5"/>
      <c r="F8" s="5"/>
      <c r="G8" s="5"/>
      <c r="H8" s="5"/>
      <c r="I8" s="110"/>
      <c r="J8" s="216" t="s">
        <v>168</v>
      </c>
      <c r="K8" s="217" t="s">
        <v>28</v>
      </c>
      <c r="L8" s="84"/>
    </row>
    <row r="9" spans="2:12" s="107" customFormat="1" x14ac:dyDescent="0.25">
      <c r="B9" s="83"/>
      <c r="C9" s="90"/>
      <c r="D9" s="90"/>
      <c r="E9" s="78" t="s">
        <v>318</v>
      </c>
      <c r="F9" s="110"/>
      <c r="G9" s="110"/>
      <c r="H9" s="110"/>
      <c r="I9" s="110"/>
      <c r="J9" s="216" t="s">
        <v>162</v>
      </c>
      <c r="K9" s="217" t="s">
        <v>108</v>
      </c>
      <c r="L9" s="84"/>
    </row>
    <row r="10" spans="2:12" s="107" customFormat="1" x14ac:dyDescent="0.25">
      <c r="B10" s="83"/>
      <c r="C10" s="90"/>
      <c r="D10" s="90"/>
      <c r="E10" s="236" t="s">
        <v>319</v>
      </c>
      <c r="F10" s="237" t="s">
        <v>320</v>
      </c>
      <c r="G10" s="90"/>
      <c r="H10" s="110"/>
      <c r="I10" s="110"/>
      <c r="J10" s="218" t="s">
        <v>202</v>
      </c>
      <c r="K10" s="219" t="s">
        <v>26</v>
      </c>
      <c r="L10" s="84"/>
    </row>
    <row r="11" spans="2:12" s="107" customFormat="1" x14ac:dyDescent="0.25">
      <c r="B11" s="83"/>
      <c r="C11" s="90"/>
      <c r="D11" s="90"/>
      <c r="E11" s="90"/>
      <c r="F11" s="90"/>
      <c r="G11" s="90"/>
      <c r="H11" s="110"/>
      <c r="I11" s="110"/>
      <c r="J11" s="110"/>
      <c r="K11" s="110"/>
      <c r="L11" s="84"/>
    </row>
    <row r="12" spans="2:12" s="107" customFormat="1" x14ac:dyDescent="0.25">
      <c r="B12" s="83"/>
      <c r="C12" s="90"/>
      <c r="D12" s="90"/>
      <c r="E12" s="78" t="s">
        <v>307</v>
      </c>
      <c r="F12" s="110"/>
      <c r="G12" s="110"/>
      <c r="H12" s="110"/>
      <c r="I12" s="110"/>
      <c r="J12" s="110"/>
      <c r="K12" s="110"/>
      <c r="L12" s="84"/>
    </row>
    <row r="13" spans="2:12" s="107" customFormat="1" x14ac:dyDescent="0.25">
      <c r="B13" s="83"/>
      <c r="C13" s="90"/>
      <c r="D13" s="90"/>
      <c r="E13" s="101" t="s">
        <v>302</v>
      </c>
      <c r="F13" s="224">
        <v>1</v>
      </c>
      <c r="G13" s="89" t="str">
        <f>F13&amp;" Basis Point(s)"</f>
        <v>1 Basis Point(s)</v>
      </c>
      <c r="H13" s="110"/>
      <c r="I13" s="110"/>
      <c r="J13" s="220" t="s">
        <v>304</v>
      </c>
      <c r="K13" s="221" t="s">
        <v>315</v>
      </c>
      <c r="L13" s="84"/>
    </row>
    <row r="14" spans="2:12" s="107" customFormat="1" x14ac:dyDescent="0.25">
      <c r="B14" s="83"/>
      <c r="C14" s="90"/>
      <c r="D14" s="90"/>
      <c r="E14" s="103" t="s">
        <v>303</v>
      </c>
      <c r="F14" s="225" t="s">
        <v>308</v>
      </c>
      <c r="G14" s="110"/>
      <c r="H14" s="110"/>
      <c r="I14" s="110"/>
      <c r="J14" s="218" t="s">
        <v>300</v>
      </c>
      <c r="K14" s="234" t="s">
        <v>316</v>
      </c>
      <c r="L14" s="84"/>
    </row>
    <row r="15" spans="2:12" s="107" customFormat="1" x14ac:dyDescent="0.25">
      <c r="B15" s="83"/>
      <c r="C15" s="90"/>
      <c r="D15" s="90"/>
      <c r="E15" s="110"/>
      <c r="F15" s="110"/>
      <c r="G15" s="110"/>
      <c r="H15" s="110"/>
      <c r="I15" s="110"/>
      <c r="J15" s="110"/>
      <c r="K15" s="110"/>
      <c r="L15" s="84"/>
    </row>
    <row r="16" spans="2:12" x14ac:dyDescent="0.25">
      <c r="B16" s="83"/>
      <c r="C16" s="5"/>
      <c r="D16" s="110"/>
      <c r="E16" s="5"/>
      <c r="F16" s="5"/>
      <c r="G16" s="5"/>
      <c r="H16" s="5"/>
      <c r="I16" s="110"/>
      <c r="J16" s="110"/>
      <c r="K16" s="110"/>
      <c r="L16" s="84"/>
    </row>
    <row r="17" spans="2:12" x14ac:dyDescent="0.25">
      <c r="B17" s="85"/>
      <c r="C17" s="86"/>
      <c r="D17" s="86"/>
      <c r="E17" s="86"/>
      <c r="F17" s="86"/>
      <c r="G17" s="86"/>
      <c r="H17" s="86"/>
      <c r="I17" s="86"/>
      <c r="J17" s="86"/>
      <c r="K17" s="86"/>
      <c r="L17" s="87"/>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6" tint="0.39997558519241921"/>
  </sheetPr>
  <dimension ref="B2:P90"/>
  <sheetViews>
    <sheetView showGridLines="0" workbookViewId="0"/>
  </sheetViews>
  <sheetFormatPr defaultRowHeight="15" x14ac:dyDescent="0.25"/>
  <cols>
    <col min="1" max="1" width="10.7109375" customWidth="1"/>
    <col min="2" max="2" width="2.7109375" customWidth="1"/>
    <col min="3" max="3" width="110.7109375" style="107" hidden="1" customWidth="1"/>
    <col min="4" max="4" width="4.7109375" style="107" hidden="1" customWidth="1"/>
    <col min="5" max="5" width="25.140625" style="167" bestFit="1" customWidth="1"/>
    <col min="6" max="6" width="32.7109375" style="176" customWidth="1"/>
    <col min="7" max="7" width="4.7109375" style="107" customWidth="1"/>
    <col min="8" max="10" width="10.7109375" customWidth="1"/>
    <col min="11" max="11" width="13.7109375" customWidth="1"/>
    <col min="12" max="12" width="18.28515625" customWidth="1"/>
    <col min="13" max="13" width="4.7109375" style="107" customWidth="1"/>
    <col min="14" max="15" width="10.7109375" customWidth="1"/>
    <col min="16" max="16" width="2.7109375" customWidth="1"/>
  </cols>
  <sheetData>
    <row r="2" spans="2:16" ht="23.25" x14ac:dyDescent="0.35">
      <c r="B2" s="196" t="s">
        <v>295</v>
      </c>
      <c r="C2" s="125"/>
      <c r="D2" s="125"/>
    </row>
    <row r="3" spans="2:16" ht="23.25" x14ac:dyDescent="0.35">
      <c r="B3" s="197" t="s">
        <v>294</v>
      </c>
      <c r="C3" s="125"/>
      <c r="D3" s="125"/>
    </row>
    <row r="4" spans="2:16" x14ac:dyDescent="0.25">
      <c r="B4" s="44"/>
      <c r="C4" s="125"/>
      <c r="D4" s="125"/>
    </row>
    <row r="5" spans="2:16" x14ac:dyDescent="0.25">
      <c r="B5" s="44" t="s">
        <v>212</v>
      </c>
      <c r="C5" s="125"/>
      <c r="D5" s="125"/>
    </row>
    <row r="6" spans="2:16" x14ac:dyDescent="0.25">
      <c r="B6" s="1"/>
      <c r="C6" s="108"/>
      <c r="D6" s="108"/>
      <c r="E6" s="182"/>
      <c r="F6" s="117"/>
      <c r="G6" s="117"/>
      <c r="H6" s="2"/>
      <c r="I6" s="2"/>
      <c r="J6" s="2"/>
      <c r="K6" s="2"/>
      <c r="L6" s="2"/>
      <c r="M6" s="108"/>
      <c r="N6" s="2"/>
      <c r="O6" s="2"/>
      <c r="P6" s="3"/>
    </row>
    <row r="7" spans="2:16" x14ac:dyDescent="0.25">
      <c r="B7" s="4"/>
      <c r="C7" s="120"/>
      <c r="D7" s="110"/>
      <c r="E7" s="183" t="s">
        <v>212</v>
      </c>
      <c r="F7" s="124"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152"/>
      <c r="H7" s="43"/>
      <c r="I7" s="5"/>
      <c r="J7" s="5"/>
      <c r="K7" s="5"/>
      <c r="L7" s="5"/>
      <c r="M7" s="110"/>
      <c r="N7" s="5"/>
      <c r="O7" s="5"/>
      <c r="P7" s="6"/>
    </row>
    <row r="8" spans="2:16" x14ac:dyDescent="0.25">
      <c r="B8" s="4"/>
      <c r="C8" s="110"/>
      <c r="D8" s="110"/>
      <c r="E8" s="184" t="s">
        <v>167</v>
      </c>
      <c r="F8" s="142" t="b">
        <f ca="1">LEFT(F7,5)=Curve.CollectionName</f>
        <v>1</v>
      </c>
      <c r="G8" s="142"/>
      <c r="H8" s="5"/>
      <c r="I8" s="5"/>
      <c r="J8" s="5"/>
      <c r="K8" s="5"/>
      <c r="L8" s="5"/>
      <c r="M8" s="110"/>
      <c r="N8" s="5"/>
      <c r="O8" s="5"/>
      <c r="P8" s="6"/>
    </row>
    <row r="9" spans="2:16" x14ac:dyDescent="0.25">
      <c r="B9" s="4"/>
      <c r="C9" s="110"/>
      <c r="D9" s="110"/>
      <c r="E9" s="185"/>
      <c r="F9" s="123"/>
      <c r="G9" s="123"/>
      <c r="H9" s="5"/>
      <c r="I9" s="5"/>
      <c r="J9" s="5"/>
      <c r="K9" s="5"/>
      <c r="L9" s="5"/>
      <c r="M9" s="110"/>
      <c r="N9" s="5"/>
      <c r="O9" s="5"/>
      <c r="P9" s="6"/>
    </row>
    <row r="10" spans="2:16" x14ac:dyDescent="0.25">
      <c r="B10" s="4"/>
      <c r="C10" s="112"/>
      <c r="D10" s="110"/>
      <c r="E10" s="186" t="s">
        <v>0</v>
      </c>
      <c r="F10" s="122"/>
      <c r="G10" s="153"/>
      <c r="H10" s="5"/>
      <c r="I10" s="5"/>
      <c r="J10" s="5"/>
      <c r="K10" s="5"/>
      <c r="L10" s="5"/>
      <c r="M10" s="110"/>
      <c r="N10" s="5"/>
      <c r="O10" s="5"/>
      <c r="P10" s="6"/>
    </row>
    <row r="11" spans="2:16" ht="30" x14ac:dyDescent="0.25">
      <c r="B11" s="4"/>
      <c r="C11" s="145" t="s">
        <v>215</v>
      </c>
      <c r="D11" s="110"/>
      <c r="E11" s="187" t="s">
        <v>80</v>
      </c>
      <c r="F11" s="136" t="s">
        <v>78</v>
      </c>
      <c r="G11" s="153"/>
      <c r="H11" s="5"/>
      <c r="I11" s="5"/>
      <c r="J11" s="5"/>
      <c r="K11" s="5"/>
      <c r="L11" s="5"/>
      <c r="M11" s="110"/>
      <c r="N11" s="5"/>
      <c r="O11" s="5"/>
      <c r="P11" s="6"/>
    </row>
    <row r="12" spans="2:16" ht="30" x14ac:dyDescent="0.25">
      <c r="B12" s="4"/>
      <c r="C12" s="145" t="s">
        <v>291</v>
      </c>
      <c r="D12" s="110"/>
      <c r="E12" s="188" t="s">
        <v>79</v>
      </c>
      <c r="F12" s="137" t="s">
        <v>9</v>
      </c>
      <c r="G12" s="153"/>
      <c r="H12" s="5"/>
      <c r="I12" s="5"/>
      <c r="J12" s="5"/>
      <c r="K12" s="5"/>
      <c r="L12" s="5"/>
      <c r="M12" s="110"/>
      <c r="N12" s="5"/>
      <c r="O12" s="5"/>
      <c r="P12" s="6"/>
    </row>
    <row r="13" spans="2:16" ht="30" x14ac:dyDescent="0.25">
      <c r="B13" s="4"/>
      <c r="C13" s="145" t="s">
        <v>292</v>
      </c>
      <c r="D13" s="110"/>
      <c r="E13" s="190" t="s">
        <v>81</v>
      </c>
      <c r="F13" s="138" t="s">
        <v>163</v>
      </c>
      <c r="G13" s="153"/>
      <c r="H13" s="5"/>
      <c r="I13" s="5"/>
      <c r="J13" s="5" t="s">
        <v>4</v>
      </c>
      <c r="K13" s="5" t="s">
        <v>4</v>
      </c>
      <c r="L13" s="5" t="s">
        <v>4</v>
      </c>
      <c r="M13" s="110"/>
      <c r="N13" s="5" t="s">
        <v>4</v>
      </c>
      <c r="O13" s="5" t="s">
        <v>4</v>
      </c>
      <c r="P13" s="6" t="s">
        <v>4</v>
      </c>
    </row>
    <row r="14" spans="2:16" x14ac:dyDescent="0.25">
      <c r="B14" s="9"/>
      <c r="C14" s="112"/>
      <c r="D14" s="112"/>
      <c r="E14" s="170"/>
      <c r="F14" s="177"/>
      <c r="G14" s="112"/>
      <c r="H14" s="10"/>
      <c r="I14" s="10"/>
      <c r="J14" s="10"/>
      <c r="K14" s="10"/>
      <c r="L14" s="10"/>
      <c r="M14" s="112"/>
      <c r="N14" s="10"/>
      <c r="O14" s="10"/>
      <c r="P14" s="11"/>
    </row>
    <row r="17" spans="2:16" x14ac:dyDescent="0.25">
      <c r="B17" s="40" t="s">
        <v>68</v>
      </c>
      <c r="C17" s="121"/>
      <c r="D17" s="121"/>
    </row>
    <row r="18" spans="2:16" x14ac:dyDescent="0.25">
      <c r="B18" s="1"/>
      <c r="C18" s="108"/>
      <c r="D18" s="108"/>
      <c r="E18" s="182"/>
      <c r="F18" s="117"/>
      <c r="G18" s="117"/>
      <c r="H18" s="2"/>
      <c r="I18" s="2"/>
      <c r="J18" s="45"/>
      <c r="K18" s="2"/>
      <c r="L18" s="2"/>
      <c r="M18" s="108"/>
      <c r="N18" s="2"/>
      <c r="O18" s="2"/>
      <c r="P18" s="3"/>
    </row>
    <row r="19" spans="2:16" x14ac:dyDescent="0.25">
      <c r="B19" s="4"/>
      <c r="C19" s="110"/>
      <c r="D19" s="110"/>
      <c r="E19" s="186" t="s">
        <v>68</v>
      </c>
      <c r="F19" s="118"/>
      <c r="G19" s="154"/>
      <c r="H19" s="5"/>
      <c r="I19" s="5"/>
      <c r="J19" s="5"/>
      <c r="K19" s="5"/>
      <c r="L19" s="5"/>
      <c r="M19" s="110"/>
      <c r="N19" s="5"/>
      <c r="O19" s="5"/>
      <c r="P19" s="6"/>
    </row>
    <row r="20" spans="2:16" ht="30" x14ac:dyDescent="0.25">
      <c r="B20" s="4"/>
      <c r="C20" s="145" t="s">
        <v>216</v>
      </c>
      <c r="D20" s="109"/>
      <c r="E20" s="187" t="s">
        <v>10</v>
      </c>
      <c r="F20" s="136">
        <f>COB</f>
        <v>42521</v>
      </c>
      <c r="G20" s="154"/>
      <c r="H20" s="5"/>
      <c r="I20" s="5"/>
      <c r="J20" s="5"/>
      <c r="K20" s="5"/>
      <c r="L20" s="5"/>
      <c r="M20" s="110"/>
      <c r="N20" s="5"/>
      <c r="O20" s="5"/>
      <c r="P20" s="6"/>
    </row>
    <row r="21" spans="2:16" ht="30" x14ac:dyDescent="0.25">
      <c r="B21" s="4"/>
      <c r="C21" s="145" t="s">
        <v>217</v>
      </c>
      <c r="D21" s="109"/>
      <c r="E21" s="188" t="s">
        <v>16</v>
      </c>
      <c r="F21" s="137" t="s">
        <v>17</v>
      </c>
      <c r="G21" s="154"/>
      <c r="H21" s="5"/>
      <c r="I21" s="5"/>
      <c r="J21" s="5"/>
      <c r="K21" s="5"/>
      <c r="L21" s="5"/>
      <c r="M21" s="110"/>
      <c r="N21" s="5"/>
      <c r="O21" s="5"/>
      <c r="P21" s="6"/>
    </row>
    <row r="22" spans="2:16" ht="30" x14ac:dyDescent="0.25">
      <c r="B22" s="4"/>
      <c r="C22" s="145" t="s">
        <v>218</v>
      </c>
      <c r="D22" s="109"/>
      <c r="E22" s="188" t="s">
        <v>83</v>
      </c>
      <c r="F22" s="139" t="str">
        <f>interpolationFunction</f>
        <v>fn_SplineInterpolation</v>
      </c>
      <c r="G22" s="154"/>
      <c r="H22" s="5"/>
      <c r="I22" s="5"/>
      <c r="J22" s="5"/>
      <c r="K22" s="5"/>
      <c r="L22" s="5"/>
      <c r="M22" s="110"/>
      <c r="N22" s="5"/>
      <c r="O22" s="5"/>
      <c r="P22" s="6"/>
    </row>
    <row r="23" spans="2:16" ht="30" x14ac:dyDescent="0.25">
      <c r="B23" s="4"/>
      <c r="C23" s="150" t="s">
        <v>293</v>
      </c>
      <c r="D23" s="109"/>
      <c r="E23" s="188" t="s">
        <v>24</v>
      </c>
      <c r="F23" s="139" t="str">
        <f>interpolationFunction</f>
        <v>fn_SplineInterpolation</v>
      </c>
      <c r="G23" s="154"/>
      <c r="H23" s="5"/>
      <c r="I23" s="5"/>
      <c r="J23" s="5"/>
      <c r="K23" s="5"/>
      <c r="L23" s="5"/>
      <c r="M23" s="110"/>
      <c r="N23" s="5"/>
      <c r="O23" s="5"/>
      <c r="P23" s="6"/>
    </row>
    <row r="24" spans="2:16" x14ac:dyDescent="0.25">
      <c r="B24" s="4"/>
      <c r="C24" s="151"/>
      <c r="D24" s="110"/>
      <c r="E24" s="190"/>
      <c r="F24" s="138"/>
      <c r="G24" s="154"/>
      <c r="H24" s="5"/>
      <c r="I24" s="5"/>
      <c r="J24" s="5"/>
      <c r="K24" s="5"/>
      <c r="L24" s="5"/>
      <c r="M24" s="110"/>
      <c r="N24" s="5"/>
      <c r="O24" s="5"/>
      <c r="P24" s="6"/>
    </row>
    <row r="25" spans="2:16" x14ac:dyDescent="0.25">
      <c r="B25" s="9"/>
      <c r="C25" s="112"/>
      <c r="D25" s="112"/>
      <c r="E25" s="170"/>
      <c r="F25" s="177"/>
      <c r="G25" s="112"/>
      <c r="H25" s="10"/>
      <c r="I25" s="10"/>
      <c r="J25" s="10"/>
      <c r="K25" s="10"/>
      <c r="L25" s="10"/>
      <c r="M25" s="112"/>
      <c r="N25" s="10"/>
      <c r="O25" s="10"/>
      <c r="P25" s="11"/>
    </row>
    <row r="27" spans="2:16" x14ac:dyDescent="0.25">
      <c r="H27" s="46"/>
    </row>
    <row r="28" spans="2:16" x14ac:dyDescent="0.25">
      <c r="B28" s="40" t="s">
        <v>77</v>
      </c>
      <c r="C28" s="121"/>
      <c r="D28" s="121"/>
    </row>
    <row r="29" spans="2:16" x14ac:dyDescent="0.25">
      <c r="B29" s="1"/>
      <c r="C29" s="108"/>
      <c r="D29" s="108"/>
      <c r="E29" s="168"/>
      <c r="F29" s="178"/>
      <c r="G29" s="108"/>
      <c r="H29" s="2"/>
      <c r="I29" s="2"/>
      <c r="J29" s="2"/>
      <c r="K29" s="2"/>
      <c r="L29" s="2"/>
      <c r="M29" s="108"/>
      <c r="N29" s="2"/>
      <c r="O29" s="2"/>
      <c r="P29" s="3"/>
    </row>
    <row r="30" spans="2:16" x14ac:dyDescent="0.25">
      <c r="B30" s="4"/>
      <c r="C30" s="110"/>
      <c r="D30" s="110"/>
      <c r="E30" s="192" t="s">
        <v>5</v>
      </c>
      <c r="F30" s="179"/>
      <c r="G30" s="111"/>
      <c r="H30" s="34" t="s">
        <v>70</v>
      </c>
      <c r="I30" s="8"/>
      <c r="J30" s="8"/>
      <c r="K30" s="8"/>
      <c r="L30" s="8"/>
      <c r="M30" s="111"/>
      <c r="N30" s="34" t="s">
        <v>72</v>
      </c>
      <c r="O30" s="8"/>
      <c r="P30" s="39"/>
    </row>
    <row r="31" spans="2:16" ht="30" x14ac:dyDescent="0.25">
      <c r="B31" s="4"/>
      <c r="C31" s="146" t="s">
        <v>220</v>
      </c>
      <c r="D31" s="109"/>
      <c r="E31" s="187" t="s">
        <v>3</v>
      </c>
      <c r="F31" s="113" t="s">
        <v>2</v>
      </c>
      <c r="G31" s="111"/>
      <c r="H31" s="41" t="s">
        <v>11</v>
      </c>
      <c r="I31" s="41" t="s">
        <v>12</v>
      </c>
      <c r="J31" s="41" t="s">
        <v>13</v>
      </c>
      <c r="K31" s="41" t="s">
        <v>14</v>
      </c>
      <c r="L31" s="41" t="s">
        <v>8</v>
      </c>
      <c r="M31" s="111"/>
      <c r="N31" s="41" t="s">
        <v>73</v>
      </c>
      <c r="O31" s="41" t="s">
        <v>12</v>
      </c>
      <c r="P31" s="39"/>
    </row>
    <row r="32" spans="2:16" ht="30" x14ac:dyDescent="0.25">
      <c r="B32" s="4"/>
      <c r="C32" s="146" t="s">
        <v>219</v>
      </c>
      <c r="D32" s="109"/>
      <c r="E32" s="188" t="s">
        <v>7</v>
      </c>
      <c r="F32" s="114" t="s">
        <v>6</v>
      </c>
      <c r="G32" s="111"/>
      <c r="H32" s="14" t="s">
        <v>46</v>
      </c>
      <c r="I32" s="12">
        <v>-3.4499999999999999E-3</v>
      </c>
      <c r="J32" s="13" t="s">
        <v>37</v>
      </c>
      <c r="K32" s="13" t="s">
        <v>37</v>
      </c>
      <c r="L32" s="31" t="b">
        <v>1</v>
      </c>
      <c r="M32" s="111"/>
      <c r="N32" s="37"/>
      <c r="O32" s="35"/>
      <c r="P32" s="39"/>
    </row>
    <row r="33" spans="2:16" ht="30" x14ac:dyDescent="0.25">
      <c r="B33" s="4"/>
      <c r="C33" s="146" t="s">
        <v>221</v>
      </c>
      <c r="D33" s="109"/>
      <c r="E33" s="188" t="s">
        <v>25</v>
      </c>
      <c r="F33" s="114" t="s">
        <v>26</v>
      </c>
      <c r="G33" s="111"/>
      <c r="H33" s="198" t="s">
        <v>48</v>
      </c>
      <c r="I33" s="199">
        <v>-3.4000000000000002E-3</v>
      </c>
      <c r="J33" s="200">
        <v>42523</v>
      </c>
      <c r="K33" s="200">
        <v>42572</v>
      </c>
      <c r="L33" s="201" t="b">
        <v>1</v>
      </c>
      <c r="M33" s="111"/>
      <c r="N33" s="37"/>
      <c r="O33" s="35"/>
      <c r="P33" s="39"/>
    </row>
    <row r="34" spans="2:16" ht="30" x14ac:dyDescent="0.25">
      <c r="B34" s="4"/>
      <c r="C34" s="146" t="s">
        <v>222</v>
      </c>
      <c r="D34" s="109"/>
      <c r="E34" s="188" t="s">
        <v>15</v>
      </c>
      <c r="F34" s="114" t="s">
        <v>30</v>
      </c>
      <c r="G34" s="111"/>
      <c r="H34" s="198" t="s">
        <v>49</v>
      </c>
      <c r="I34" s="199">
        <v>-3.4999999999999996E-3</v>
      </c>
      <c r="J34" s="200">
        <v>42572</v>
      </c>
      <c r="K34" s="200">
        <v>42621</v>
      </c>
      <c r="L34" s="201" t="b">
        <v>1</v>
      </c>
      <c r="M34" s="111"/>
      <c r="N34" s="37"/>
      <c r="O34" s="35"/>
      <c r="P34" s="39"/>
    </row>
    <row r="35" spans="2:16" ht="30" x14ac:dyDescent="0.25">
      <c r="B35" s="4"/>
      <c r="C35" s="146" t="s">
        <v>245</v>
      </c>
      <c r="D35" s="109"/>
      <c r="E35" s="188" t="s">
        <v>23</v>
      </c>
      <c r="F35" s="114" t="s">
        <v>22</v>
      </c>
      <c r="G35" s="111"/>
      <c r="H35" s="198" t="s">
        <v>51</v>
      </c>
      <c r="I35" s="199">
        <v>-3.7099999999999998E-3</v>
      </c>
      <c r="J35" s="200">
        <v>42621</v>
      </c>
      <c r="K35" s="200">
        <v>42663</v>
      </c>
      <c r="L35" s="201" t="b">
        <v>1</v>
      </c>
      <c r="M35" s="111"/>
      <c r="N35" s="37"/>
      <c r="O35" s="35"/>
      <c r="P35" s="39"/>
    </row>
    <row r="36" spans="2:16" ht="30" x14ac:dyDescent="0.25">
      <c r="B36" s="4"/>
      <c r="C36" s="146" t="s">
        <v>223</v>
      </c>
      <c r="D36" s="109"/>
      <c r="E36" s="188" t="s">
        <v>31</v>
      </c>
      <c r="F36" s="114" t="b">
        <v>1</v>
      </c>
      <c r="G36" s="111"/>
      <c r="H36" s="198" t="s">
        <v>53</v>
      </c>
      <c r="I36" s="199">
        <v>-3.82E-3</v>
      </c>
      <c r="J36" s="200">
        <v>42663</v>
      </c>
      <c r="K36" s="200">
        <v>42712</v>
      </c>
      <c r="L36" s="201" t="b">
        <v>1</v>
      </c>
      <c r="M36" s="111"/>
      <c r="N36" s="37"/>
      <c r="O36" s="35"/>
      <c r="P36" s="39"/>
    </row>
    <row r="37" spans="2:16" ht="30" x14ac:dyDescent="0.25">
      <c r="B37" s="4"/>
      <c r="C37" s="146" t="s">
        <v>224</v>
      </c>
      <c r="D37" s="109"/>
      <c r="E37" s="188" t="s">
        <v>32</v>
      </c>
      <c r="F37" s="115">
        <v>31</v>
      </c>
      <c r="G37" s="111"/>
      <c r="H37" s="14" t="s">
        <v>56</v>
      </c>
      <c r="I37" s="12">
        <v>-3.82E-3</v>
      </c>
      <c r="J37" s="13" t="s">
        <v>37</v>
      </c>
      <c r="K37" s="13" t="s">
        <v>37</v>
      </c>
      <c r="L37" s="31" t="b">
        <v>1</v>
      </c>
      <c r="M37" s="111"/>
      <c r="N37" s="37"/>
      <c r="O37" s="35"/>
      <c r="P37" s="39"/>
    </row>
    <row r="38" spans="2:16" ht="30" x14ac:dyDescent="0.25">
      <c r="B38" s="4"/>
      <c r="C38" s="146" t="s">
        <v>225</v>
      </c>
      <c r="D38" s="109"/>
      <c r="E38" s="188" t="s">
        <v>33</v>
      </c>
      <c r="F38" s="114" t="s">
        <v>34</v>
      </c>
      <c r="G38" s="111"/>
      <c r="H38" s="14" t="s">
        <v>58</v>
      </c>
      <c r="I38" s="12">
        <v>-3.9500000000000004E-3</v>
      </c>
      <c r="J38" s="13" t="s">
        <v>37</v>
      </c>
      <c r="K38" s="13" t="s">
        <v>37</v>
      </c>
      <c r="L38" s="31" t="b">
        <v>1</v>
      </c>
      <c r="M38" s="111"/>
      <c r="N38" s="37"/>
      <c r="O38" s="35"/>
      <c r="P38" s="39"/>
    </row>
    <row r="39" spans="2:16" ht="45" x14ac:dyDescent="0.25">
      <c r="B39" s="4"/>
      <c r="C39" s="146" t="s">
        <v>250</v>
      </c>
      <c r="D39" s="109"/>
      <c r="E39" s="188" t="s">
        <v>35</v>
      </c>
      <c r="F39" s="114" t="s">
        <v>36</v>
      </c>
      <c r="G39" s="111"/>
      <c r="H39" s="14" t="s">
        <v>47</v>
      </c>
      <c r="I39" s="12">
        <v>-4.0100000000000005E-3</v>
      </c>
      <c r="J39" s="13" t="s">
        <v>37</v>
      </c>
      <c r="K39" s="13" t="s">
        <v>37</v>
      </c>
      <c r="L39" s="31" t="b">
        <v>1</v>
      </c>
      <c r="M39" s="111"/>
      <c r="N39" s="37"/>
      <c r="O39" s="35"/>
      <c r="P39" s="39"/>
    </row>
    <row r="40" spans="2:16" ht="45" x14ac:dyDescent="0.25">
      <c r="B40" s="4"/>
      <c r="C40" s="146" t="s">
        <v>226</v>
      </c>
      <c r="D40" s="109"/>
      <c r="E40" s="188" t="s">
        <v>38</v>
      </c>
      <c r="F40" s="114" t="s">
        <v>39</v>
      </c>
      <c r="G40" s="111"/>
      <c r="H40" s="14" t="s">
        <v>43</v>
      </c>
      <c r="I40" s="12">
        <v>-3.8500000000000001E-3</v>
      </c>
      <c r="J40" s="13" t="s">
        <v>37</v>
      </c>
      <c r="K40" s="13" t="s">
        <v>37</v>
      </c>
      <c r="L40" s="31" t="b">
        <v>1</v>
      </c>
      <c r="M40" s="111"/>
      <c r="N40" s="37"/>
      <c r="O40" s="35"/>
      <c r="P40" s="39"/>
    </row>
    <row r="41" spans="2:16" ht="45" x14ac:dyDescent="0.25">
      <c r="B41" s="4"/>
      <c r="C41" s="146" t="s">
        <v>228</v>
      </c>
      <c r="D41" s="109"/>
      <c r="E41" s="188" t="s">
        <v>40</v>
      </c>
      <c r="F41" s="114" t="s">
        <v>41</v>
      </c>
      <c r="G41" s="111"/>
      <c r="H41" s="14" t="s">
        <v>50</v>
      </c>
      <c r="I41" s="12">
        <v>-3.4200000000000003E-3</v>
      </c>
      <c r="J41" s="13" t="s">
        <v>37</v>
      </c>
      <c r="K41" s="13" t="s">
        <v>37</v>
      </c>
      <c r="L41" s="31" t="b">
        <v>1</v>
      </c>
      <c r="M41" s="111"/>
      <c r="N41" s="37"/>
      <c r="O41" s="35"/>
      <c r="P41" s="39"/>
    </row>
    <row r="42" spans="2:16" ht="30" x14ac:dyDescent="0.25">
      <c r="B42" s="4"/>
      <c r="C42" s="146" t="s">
        <v>227</v>
      </c>
      <c r="D42" s="109"/>
      <c r="E42" s="188" t="s">
        <v>42</v>
      </c>
      <c r="F42" s="114" t="s">
        <v>43</v>
      </c>
      <c r="G42" s="111"/>
      <c r="H42" s="14" t="s">
        <v>52</v>
      </c>
      <c r="I42" s="12">
        <v>-2.7100000000000002E-3</v>
      </c>
      <c r="J42" s="13" t="s">
        <v>37</v>
      </c>
      <c r="K42" s="13" t="s">
        <v>37</v>
      </c>
      <c r="L42" s="31" t="b">
        <v>1</v>
      </c>
      <c r="M42" s="111"/>
      <c r="N42" s="37"/>
      <c r="O42" s="35"/>
      <c r="P42" s="39"/>
    </row>
    <row r="43" spans="2:16" ht="45" x14ac:dyDescent="0.25">
      <c r="B43" s="4"/>
      <c r="C43" s="146" t="s">
        <v>229</v>
      </c>
      <c r="D43" s="109"/>
      <c r="E43" s="188" t="s">
        <v>44</v>
      </c>
      <c r="F43" s="114" t="s">
        <v>45</v>
      </c>
      <c r="G43" s="111"/>
      <c r="H43" s="14" t="s">
        <v>54</v>
      </c>
      <c r="I43" s="12">
        <v>-1.7599999999999998E-3</v>
      </c>
      <c r="J43" s="13" t="s">
        <v>37</v>
      </c>
      <c r="K43" s="13" t="s">
        <v>37</v>
      </c>
      <c r="L43" s="31" t="b">
        <v>1</v>
      </c>
      <c r="M43" s="111"/>
      <c r="N43" s="37"/>
      <c r="O43" s="35"/>
      <c r="P43" s="39"/>
    </row>
    <row r="44" spans="2:16" ht="30" x14ac:dyDescent="0.25">
      <c r="B44" s="4"/>
      <c r="C44" s="146" t="s">
        <v>230</v>
      </c>
      <c r="D44" s="109"/>
      <c r="E44" s="188" t="s">
        <v>113</v>
      </c>
      <c r="F44" s="116">
        <v>1E-10</v>
      </c>
      <c r="G44" s="111"/>
      <c r="H44" s="14" t="s">
        <v>55</v>
      </c>
      <c r="I44" s="12">
        <v>-6.6E-4</v>
      </c>
      <c r="J44" s="13" t="s">
        <v>37</v>
      </c>
      <c r="K44" s="13" t="s">
        <v>37</v>
      </c>
      <c r="L44" s="31" t="b">
        <v>1</v>
      </c>
      <c r="M44" s="111"/>
      <c r="N44" s="37"/>
      <c r="O44" s="35"/>
      <c r="P44" s="39"/>
    </row>
    <row r="45" spans="2:16" ht="30" x14ac:dyDescent="0.25">
      <c r="B45" s="4"/>
      <c r="C45" s="146" t="s">
        <v>231</v>
      </c>
      <c r="D45" s="109"/>
      <c r="E45" s="188" t="s">
        <v>114</v>
      </c>
      <c r="F45" s="135">
        <v>1000</v>
      </c>
      <c r="G45" s="111"/>
      <c r="H45" s="14" t="s">
        <v>57</v>
      </c>
      <c r="I45" s="12">
        <v>5.5000000000000003E-4</v>
      </c>
      <c r="J45" s="13" t="s">
        <v>37</v>
      </c>
      <c r="K45" s="13" t="s">
        <v>37</v>
      </c>
      <c r="L45" s="31" t="b">
        <v>1</v>
      </c>
      <c r="M45" s="111"/>
      <c r="N45" s="37"/>
      <c r="O45" s="35"/>
      <c r="P45" s="39"/>
    </row>
    <row r="46" spans="2:16" ht="60" x14ac:dyDescent="0.25">
      <c r="B46" s="4"/>
      <c r="C46" s="147" t="s">
        <v>232</v>
      </c>
      <c r="D46" s="109"/>
      <c r="E46" s="188" t="s">
        <v>194</v>
      </c>
      <c r="F46" s="114" t="b">
        <v>1</v>
      </c>
      <c r="G46" s="111"/>
      <c r="H46" s="14" t="s">
        <v>59</v>
      </c>
      <c r="I46" s="12">
        <v>1.7499999999999998E-3</v>
      </c>
      <c r="J46" s="13" t="s">
        <v>37</v>
      </c>
      <c r="K46" s="13" t="s">
        <v>37</v>
      </c>
      <c r="L46" s="31" t="b">
        <v>1</v>
      </c>
      <c r="M46" s="111"/>
      <c r="N46" s="37"/>
      <c r="O46" s="35"/>
      <c r="P46" s="39"/>
    </row>
    <row r="47" spans="2:16" x14ac:dyDescent="0.25">
      <c r="B47" s="4"/>
      <c r="C47" s="148"/>
      <c r="D47" s="109"/>
      <c r="E47" s="193"/>
      <c r="F47" s="114"/>
      <c r="G47" s="111"/>
      <c r="H47" s="14" t="s">
        <v>60</v>
      </c>
      <c r="I47" s="12">
        <v>2.8399999999999996E-3</v>
      </c>
      <c r="J47" s="13" t="s">
        <v>37</v>
      </c>
      <c r="K47" s="13" t="s">
        <v>37</v>
      </c>
      <c r="L47" s="31" t="b">
        <v>1</v>
      </c>
      <c r="M47" s="111"/>
      <c r="N47" s="37"/>
      <c r="O47" s="35"/>
      <c r="P47" s="39"/>
    </row>
    <row r="48" spans="2:16" x14ac:dyDescent="0.25">
      <c r="B48" s="4"/>
      <c r="C48" s="148"/>
      <c r="D48" s="109"/>
      <c r="E48" s="193"/>
      <c r="F48" s="180"/>
      <c r="G48" s="111"/>
      <c r="H48" s="14" t="s">
        <v>61</v>
      </c>
      <c r="I48" s="12">
        <v>3.8600000000000001E-3</v>
      </c>
      <c r="J48" s="13" t="s">
        <v>37</v>
      </c>
      <c r="K48" s="13" t="s">
        <v>37</v>
      </c>
      <c r="L48" s="31" t="b">
        <v>1</v>
      </c>
      <c r="M48" s="111"/>
      <c r="N48" s="37"/>
      <c r="O48" s="35"/>
      <c r="P48" s="39"/>
    </row>
    <row r="49" spans="2:16" x14ac:dyDescent="0.25">
      <c r="B49" s="4"/>
      <c r="C49" s="148" t="s">
        <v>236</v>
      </c>
      <c r="D49" s="109"/>
      <c r="E49" s="193"/>
      <c r="F49" s="180"/>
      <c r="G49" s="111"/>
      <c r="H49" s="14" t="s">
        <v>62</v>
      </c>
      <c r="I49" s="12">
        <v>4.7699999999999999E-3</v>
      </c>
      <c r="J49" s="13" t="s">
        <v>37</v>
      </c>
      <c r="K49" s="13" t="s">
        <v>37</v>
      </c>
      <c r="L49" s="31" t="b">
        <v>1</v>
      </c>
      <c r="M49" s="111"/>
      <c r="N49" s="37"/>
      <c r="O49" s="35"/>
      <c r="P49" s="39"/>
    </row>
    <row r="50" spans="2:16" x14ac:dyDescent="0.25">
      <c r="B50" s="4"/>
      <c r="C50" s="155" t="s">
        <v>233</v>
      </c>
      <c r="D50" s="109"/>
      <c r="E50" s="193"/>
      <c r="F50" s="180"/>
      <c r="G50" s="111"/>
      <c r="H50" s="14" t="s">
        <v>63</v>
      </c>
      <c r="I50" s="12">
        <v>6.8799999999999998E-3</v>
      </c>
      <c r="J50" s="13" t="s">
        <v>37</v>
      </c>
      <c r="K50" s="13" t="s">
        <v>37</v>
      </c>
      <c r="L50" s="31" t="b">
        <v>1</v>
      </c>
      <c r="M50" s="111"/>
      <c r="N50" s="37"/>
      <c r="O50" s="35"/>
      <c r="P50" s="39"/>
    </row>
    <row r="51" spans="2:16" x14ac:dyDescent="0.25">
      <c r="B51" s="4"/>
      <c r="C51" s="155" t="s">
        <v>234</v>
      </c>
      <c r="D51" s="109"/>
      <c r="E51" s="193"/>
      <c r="F51" s="180"/>
      <c r="G51" s="111"/>
      <c r="H51" s="14" t="s">
        <v>64</v>
      </c>
      <c r="I51" s="12">
        <v>8.7100000000000007E-3</v>
      </c>
      <c r="J51" s="13" t="s">
        <v>37</v>
      </c>
      <c r="K51" s="13" t="s">
        <v>37</v>
      </c>
      <c r="L51" s="31" t="b">
        <v>1</v>
      </c>
      <c r="M51" s="111"/>
      <c r="N51" s="37"/>
      <c r="O51" s="35"/>
      <c r="P51" s="39"/>
    </row>
    <row r="52" spans="2:16" x14ac:dyDescent="0.25">
      <c r="B52" s="4"/>
      <c r="C52" s="155" t="s">
        <v>235</v>
      </c>
      <c r="D52" s="109"/>
      <c r="E52" s="193"/>
      <c r="F52" s="180"/>
      <c r="G52" s="111"/>
      <c r="H52" s="14" t="s">
        <v>65</v>
      </c>
      <c r="I52" s="12">
        <v>9.3600000000000003E-3</v>
      </c>
      <c r="J52" s="13" t="s">
        <v>37</v>
      </c>
      <c r="K52" s="13" t="s">
        <v>37</v>
      </c>
      <c r="L52" s="31" t="b">
        <v>1</v>
      </c>
      <c r="M52" s="111"/>
      <c r="N52" s="37"/>
      <c r="O52" s="35"/>
      <c r="P52" s="39"/>
    </row>
    <row r="53" spans="2:16" x14ac:dyDescent="0.25">
      <c r="B53" s="4"/>
      <c r="C53" s="148"/>
      <c r="D53" s="109"/>
      <c r="E53" s="193"/>
      <c r="F53" s="180"/>
      <c r="G53" s="111"/>
      <c r="H53" s="14" t="s">
        <v>66</v>
      </c>
      <c r="I53" s="12">
        <v>9.6100000000000005E-3</v>
      </c>
      <c r="J53" s="13" t="s">
        <v>37</v>
      </c>
      <c r="K53" s="13" t="s">
        <v>37</v>
      </c>
      <c r="L53" s="31" t="b">
        <v>1</v>
      </c>
      <c r="M53" s="111"/>
      <c r="N53" s="37"/>
      <c r="O53" s="35"/>
      <c r="P53" s="39"/>
    </row>
    <row r="54" spans="2:16" x14ac:dyDescent="0.25">
      <c r="B54" s="4"/>
      <c r="C54" s="148"/>
      <c r="D54" s="109"/>
      <c r="E54" s="193"/>
      <c r="F54" s="180"/>
      <c r="G54" s="111"/>
      <c r="H54" s="14" t="s">
        <v>67</v>
      </c>
      <c r="I54" s="12">
        <v>9.7299999999999991E-3</v>
      </c>
      <c r="J54" s="13" t="s">
        <v>37</v>
      </c>
      <c r="K54" s="13" t="s">
        <v>37</v>
      </c>
      <c r="L54" s="31" t="b">
        <v>1</v>
      </c>
      <c r="M54" s="111"/>
      <c r="N54" s="37"/>
      <c r="O54" s="35"/>
      <c r="P54" s="39"/>
    </row>
    <row r="55" spans="2:16" x14ac:dyDescent="0.25">
      <c r="B55" s="4"/>
      <c r="C55" s="148"/>
      <c r="D55" s="109"/>
      <c r="E55" s="193"/>
      <c r="F55" s="180"/>
      <c r="G55" s="111"/>
      <c r="H55" s="14" t="s">
        <v>198</v>
      </c>
      <c r="I55" s="12">
        <v>9.3200000000000002E-3</v>
      </c>
      <c r="J55" s="13" t="s">
        <v>37</v>
      </c>
      <c r="K55" s="13" t="s">
        <v>37</v>
      </c>
      <c r="L55" s="31" t="b">
        <v>1</v>
      </c>
      <c r="M55" s="111"/>
      <c r="N55" s="37"/>
      <c r="O55" s="35"/>
      <c r="P55" s="39"/>
    </row>
    <row r="56" spans="2:16" x14ac:dyDescent="0.25">
      <c r="B56" s="4"/>
      <c r="C56" s="148"/>
      <c r="D56" s="109"/>
      <c r="E56" s="193"/>
      <c r="F56" s="180"/>
      <c r="G56" s="111"/>
      <c r="H56" s="14"/>
      <c r="I56" s="12"/>
      <c r="J56" s="13"/>
      <c r="K56" s="13"/>
      <c r="L56" s="31"/>
      <c r="M56" s="111"/>
      <c r="N56" s="37"/>
      <c r="O56" s="35"/>
      <c r="P56" s="39"/>
    </row>
    <row r="57" spans="2:16" x14ac:dyDescent="0.25">
      <c r="B57" s="4"/>
      <c r="C57" s="149"/>
      <c r="D57" s="109"/>
      <c r="E57" s="194"/>
      <c r="F57" s="181"/>
      <c r="G57" s="111"/>
      <c r="H57" s="15"/>
      <c r="I57" s="16"/>
      <c r="J57" s="32"/>
      <c r="K57" s="32"/>
      <c r="L57" s="33"/>
      <c r="M57" s="111"/>
      <c r="N57" s="38"/>
      <c r="O57" s="36"/>
      <c r="P57" s="39"/>
    </row>
    <row r="58" spans="2:16" x14ac:dyDescent="0.25">
      <c r="B58" s="9"/>
      <c r="C58" s="112"/>
      <c r="D58" s="112"/>
      <c r="E58" s="170"/>
      <c r="F58" s="177"/>
      <c r="G58" s="112"/>
      <c r="H58" s="10"/>
      <c r="I58" s="10"/>
      <c r="J58" s="10"/>
      <c r="K58" s="10"/>
      <c r="L58" s="10"/>
      <c r="M58" s="112"/>
      <c r="N58" s="10"/>
      <c r="O58" s="10"/>
      <c r="P58" s="11"/>
    </row>
    <row r="61" spans="2:16" x14ac:dyDescent="0.25">
      <c r="B61" s="40" t="s">
        <v>76</v>
      </c>
      <c r="C61" s="121"/>
      <c r="D61" s="121"/>
    </row>
    <row r="62" spans="2:16" x14ac:dyDescent="0.25">
      <c r="B62" s="1"/>
      <c r="C62" s="108"/>
      <c r="D62" s="108"/>
      <c r="E62" s="168"/>
      <c r="F62" s="178"/>
      <c r="G62" s="108"/>
      <c r="H62" s="2"/>
      <c r="I62" s="2"/>
      <c r="J62" s="2"/>
      <c r="K62" s="2"/>
      <c r="L62" s="2"/>
      <c r="M62" s="108"/>
      <c r="N62" s="2"/>
      <c r="O62" s="2"/>
      <c r="P62" s="3"/>
    </row>
    <row r="63" spans="2:16" x14ac:dyDescent="0.25">
      <c r="B63" s="4"/>
      <c r="C63" s="110"/>
      <c r="D63" s="110"/>
      <c r="E63" s="192" t="s">
        <v>69</v>
      </c>
      <c r="F63" s="179"/>
      <c r="G63" s="111"/>
      <c r="H63" s="34" t="s">
        <v>71</v>
      </c>
      <c r="I63" s="8"/>
      <c r="J63" s="8"/>
      <c r="K63" s="34" t="s">
        <v>74</v>
      </c>
      <c r="L63" s="8"/>
      <c r="M63" s="111"/>
      <c r="N63" s="34" t="s">
        <v>75</v>
      </c>
      <c r="O63" s="8"/>
      <c r="P63" s="39"/>
    </row>
    <row r="64" spans="2:16" ht="30" x14ac:dyDescent="0.25">
      <c r="B64" s="4"/>
      <c r="C64" s="146" t="s">
        <v>220</v>
      </c>
      <c r="D64" s="109"/>
      <c r="E64" s="187" t="s">
        <v>1</v>
      </c>
      <c r="F64" s="113" t="s">
        <v>2</v>
      </c>
      <c r="G64" s="111"/>
      <c r="H64" s="41" t="s">
        <v>11</v>
      </c>
      <c r="I64" s="41" t="s">
        <v>12</v>
      </c>
      <c r="J64" s="8"/>
      <c r="K64" s="17" t="s">
        <v>3</v>
      </c>
      <c r="L64" s="24" t="s">
        <v>2</v>
      </c>
      <c r="M64" s="111"/>
      <c r="N64" s="41" t="s">
        <v>11</v>
      </c>
      <c r="O64" s="41" t="s">
        <v>12</v>
      </c>
      <c r="P64" s="39"/>
    </row>
    <row r="65" spans="2:16" ht="30" x14ac:dyDescent="0.25">
      <c r="B65" s="4"/>
      <c r="C65" s="146" t="s">
        <v>219</v>
      </c>
      <c r="D65" s="109"/>
      <c r="E65" s="188" t="s">
        <v>18</v>
      </c>
      <c r="F65" s="114" t="s">
        <v>6</v>
      </c>
      <c r="G65" s="111"/>
      <c r="H65" s="14" t="s">
        <v>47</v>
      </c>
      <c r="I65" s="35">
        <v>1.1099999999999999E-3</v>
      </c>
      <c r="J65" s="8"/>
      <c r="K65" s="18" t="s">
        <v>19</v>
      </c>
      <c r="L65" s="25" t="s">
        <v>20</v>
      </c>
      <c r="M65" s="111"/>
      <c r="N65" s="14" t="s">
        <v>47</v>
      </c>
      <c r="O65" s="35">
        <v>-2.9299999999999999E-3</v>
      </c>
      <c r="P65" s="39"/>
    </row>
    <row r="66" spans="2:16" ht="30" x14ac:dyDescent="0.25">
      <c r="B66" s="4"/>
      <c r="C66" s="146" t="s">
        <v>221</v>
      </c>
      <c r="D66" s="109"/>
      <c r="E66" s="188" t="s">
        <v>27</v>
      </c>
      <c r="F66" s="114" t="s">
        <v>28</v>
      </c>
      <c r="G66" s="111"/>
      <c r="H66" s="14" t="s">
        <v>43</v>
      </c>
      <c r="I66" s="35">
        <v>1.1800000000000001E-3</v>
      </c>
      <c r="J66" s="8"/>
      <c r="K66" s="18" t="s">
        <v>29</v>
      </c>
      <c r="L66" s="25" t="s">
        <v>26</v>
      </c>
      <c r="M66" s="111"/>
      <c r="N66" s="14" t="s">
        <v>43</v>
      </c>
      <c r="O66" s="35">
        <v>-2.7100000000000002E-3</v>
      </c>
      <c r="P66" s="39"/>
    </row>
    <row r="67" spans="2:16" ht="30" x14ac:dyDescent="0.25">
      <c r="B67" s="4"/>
      <c r="C67" s="146" t="s">
        <v>245</v>
      </c>
      <c r="D67" s="109"/>
      <c r="E67" s="188" t="s">
        <v>21</v>
      </c>
      <c r="F67" s="114" t="s">
        <v>22</v>
      </c>
      <c r="G67" s="111"/>
      <c r="H67" s="14" t="s">
        <v>50</v>
      </c>
      <c r="I67" s="35">
        <v>1.24E-3</v>
      </c>
      <c r="J67" s="8"/>
      <c r="K67" s="18" t="s">
        <v>23</v>
      </c>
      <c r="L67" s="25" t="s">
        <v>22</v>
      </c>
      <c r="M67" s="111"/>
      <c r="N67" s="14" t="s">
        <v>50</v>
      </c>
      <c r="O67" s="35">
        <v>-2.2200000000000002E-3</v>
      </c>
      <c r="P67" s="39"/>
    </row>
    <row r="68" spans="2:16" x14ac:dyDescent="0.25">
      <c r="B68" s="4"/>
      <c r="C68" s="148"/>
      <c r="D68" s="109"/>
      <c r="E68" s="188"/>
      <c r="F68" s="114"/>
      <c r="G68" s="111"/>
      <c r="H68" s="14" t="s">
        <v>52</v>
      </c>
      <c r="I68" s="35">
        <v>1.2600000000000001E-3</v>
      </c>
      <c r="J68" s="8"/>
      <c r="K68" s="18"/>
      <c r="L68" s="25"/>
      <c r="M68" s="111"/>
      <c r="N68" s="14" t="s">
        <v>52</v>
      </c>
      <c r="O68" s="35">
        <v>-1.48E-3</v>
      </c>
      <c r="P68" s="39"/>
    </row>
    <row r="69" spans="2:16" x14ac:dyDescent="0.25">
      <c r="B69" s="4"/>
      <c r="C69" s="148"/>
      <c r="D69" s="109"/>
      <c r="E69" s="188"/>
      <c r="F69" s="114"/>
      <c r="G69" s="111"/>
      <c r="H69" s="14" t="s">
        <v>54</v>
      </c>
      <c r="I69" s="35">
        <v>1.2600000000000001E-3</v>
      </c>
      <c r="J69" s="8"/>
      <c r="K69" s="19"/>
      <c r="L69" s="25"/>
      <c r="M69" s="111"/>
      <c r="N69" s="14" t="s">
        <v>54</v>
      </c>
      <c r="O69" s="35">
        <v>-5.0999999999999993E-4</v>
      </c>
      <c r="P69" s="39"/>
    </row>
    <row r="70" spans="2:16" x14ac:dyDescent="0.25">
      <c r="B70" s="4"/>
      <c r="C70" s="148"/>
      <c r="D70" s="109"/>
      <c r="E70" s="188"/>
      <c r="F70" s="115"/>
      <c r="G70" s="111"/>
      <c r="H70" s="14" t="s">
        <v>55</v>
      </c>
      <c r="I70" s="35">
        <v>1.25E-3</v>
      </c>
      <c r="J70" s="8"/>
      <c r="K70" s="20"/>
      <c r="L70" s="26"/>
      <c r="M70" s="111"/>
      <c r="N70" s="14" t="s">
        <v>55</v>
      </c>
      <c r="O70" s="35">
        <v>5.9999999999999995E-4</v>
      </c>
      <c r="P70" s="39"/>
    </row>
    <row r="71" spans="2:16" x14ac:dyDescent="0.25">
      <c r="B71" s="4"/>
      <c r="C71" s="148"/>
      <c r="D71" s="109"/>
      <c r="E71" s="188"/>
      <c r="F71" s="114"/>
      <c r="G71" s="111"/>
      <c r="H71" s="14" t="s">
        <v>57</v>
      </c>
      <c r="I71" s="35">
        <v>1.2199999999999999E-3</v>
      </c>
      <c r="J71" s="8"/>
      <c r="K71" s="18"/>
      <c r="L71" s="25"/>
      <c r="M71" s="111"/>
      <c r="N71" s="14" t="s">
        <v>57</v>
      </c>
      <c r="O71" s="35">
        <v>1.8E-3</v>
      </c>
      <c r="P71" s="39"/>
    </row>
    <row r="72" spans="2:16" x14ac:dyDescent="0.25">
      <c r="B72" s="4"/>
      <c r="C72" s="148"/>
      <c r="D72" s="109"/>
      <c r="E72" s="188"/>
      <c r="F72" s="114"/>
      <c r="G72" s="111"/>
      <c r="H72" s="14" t="s">
        <v>59</v>
      </c>
      <c r="I72" s="35">
        <v>1.1900000000000001E-3</v>
      </c>
      <c r="J72" s="8"/>
      <c r="K72" s="18"/>
      <c r="L72" s="25"/>
      <c r="M72" s="111"/>
      <c r="N72" s="14" t="s">
        <v>59</v>
      </c>
      <c r="O72" s="35">
        <v>2.98E-3</v>
      </c>
      <c r="P72" s="39"/>
    </row>
    <row r="73" spans="2:16" x14ac:dyDescent="0.25">
      <c r="B73" s="4"/>
      <c r="C73" s="148"/>
      <c r="D73" s="109"/>
      <c r="E73" s="188"/>
      <c r="F73" s="114"/>
      <c r="G73" s="111"/>
      <c r="H73" s="14" t="s">
        <v>60</v>
      </c>
      <c r="I73" s="35">
        <v>1.1800000000000001E-3</v>
      </c>
      <c r="J73" s="8"/>
      <c r="K73" s="18"/>
      <c r="L73" s="25"/>
      <c r="M73" s="111"/>
      <c r="N73" s="14" t="s">
        <v>60</v>
      </c>
      <c r="O73" s="35">
        <v>4.0799999999999994E-3</v>
      </c>
      <c r="P73" s="39"/>
    </row>
    <row r="74" spans="2:16" x14ac:dyDescent="0.25">
      <c r="B74" s="4"/>
      <c r="C74" s="148"/>
      <c r="D74" s="109"/>
      <c r="E74" s="188"/>
      <c r="F74" s="114"/>
      <c r="G74" s="111"/>
      <c r="H74" s="14" t="s">
        <v>61</v>
      </c>
      <c r="I74" s="35">
        <v>1.16E-3</v>
      </c>
      <c r="J74" s="8"/>
      <c r="K74" s="18"/>
      <c r="L74" s="25"/>
      <c r="M74" s="111"/>
      <c r="N74" s="14" t="s">
        <v>61</v>
      </c>
      <c r="O74" s="35">
        <v>5.1000000000000004E-3</v>
      </c>
      <c r="P74" s="39"/>
    </row>
    <row r="75" spans="2:16" x14ac:dyDescent="0.25">
      <c r="B75" s="4"/>
      <c r="C75" s="148" t="s">
        <v>236</v>
      </c>
      <c r="D75" s="109"/>
      <c r="E75" s="188"/>
      <c r="F75" s="114"/>
      <c r="G75" s="111"/>
      <c r="H75" s="14" t="s">
        <v>62</v>
      </c>
      <c r="I75" s="35">
        <v>1.15E-3</v>
      </c>
      <c r="J75" s="8"/>
      <c r="K75" s="18"/>
      <c r="L75" s="25"/>
      <c r="M75" s="111"/>
      <c r="N75" s="14" t="s">
        <v>62</v>
      </c>
      <c r="O75" s="35">
        <v>6.0099999999999997E-3</v>
      </c>
      <c r="P75" s="39"/>
    </row>
    <row r="76" spans="2:16" x14ac:dyDescent="0.25">
      <c r="B76" s="4"/>
      <c r="C76" s="155" t="s">
        <v>237</v>
      </c>
      <c r="D76" s="109"/>
      <c r="E76" s="188"/>
      <c r="F76" s="114"/>
      <c r="G76" s="111"/>
      <c r="H76" s="14" t="s">
        <v>63</v>
      </c>
      <c r="I76" s="35">
        <v>1.08E-3</v>
      </c>
      <c r="J76" s="8"/>
      <c r="K76" s="19"/>
      <c r="L76" s="25"/>
      <c r="M76" s="111"/>
      <c r="N76" s="14" t="s">
        <v>63</v>
      </c>
      <c r="O76" s="35">
        <v>8.0700000000000008E-3</v>
      </c>
      <c r="P76" s="39"/>
    </row>
    <row r="77" spans="2:16" x14ac:dyDescent="0.25">
      <c r="B77" s="4"/>
      <c r="C77" s="155" t="s">
        <v>238</v>
      </c>
      <c r="D77" s="109"/>
      <c r="E77" s="195"/>
      <c r="F77" s="180"/>
      <c r="G77" s="111"/>
      <c r="H77" s="14" t="s">
        <v>64</v>
      </c>
      <c r="I77" s="35">
        <v>9.5999999999999992E-4</v>
      </c>
      <c r="J77" s="8"/>
      <c r="K77" s="21"/>
      <c r="L77" s="27"/>
      <c r="M77" s="111"/>
      <c r="N77" s="14" t="s">
        <v>64</v>
      </c>
      <c r="O77" s="35">
        <v>9.8099999999999993E-3</v>
      </c>
      <c r="P77" s="39"/>
    </row>
    <row r="78" spans="2:16" x14ac:dyDescent="0.25">
      <c r="B78" s="4"/>
      <c r="C78" s="155"/>
      <c r="D78" s="109"/>
      <c r="E78" s="195"/>
      <c r="F78" s="116"/>
      <c r="G78" s="111"/>
      <c r="H78" s="14" t="s">
        <v>65</v>
      </c>
      <c r="I78" s="35">
        <v>8.5999999999999998E-4</v>
      </c>
      <c r="J78" s="8"/>
      <c r="K78" s="21"/>
      <c r="L78" s="28"/>
      <c r="M78" s="111"/>
      <c r="N78" s="14" t="s">
        <v>65</v>
      </c>
      <c r="O78" s="35">
        <v>1.0369999999999999E-2</v>
      </c>
      <c r="P78" s="39"/>
    </row>
    <row r="79" spans="2:16" x14ac:dyDescent="0.25">
      <c r="B79" s="4"/>
      <c r="C79" s="148"/>
      <c r="D79" s="109"/>
      <c r="E79" s="195"/>
      <c r="F79" s="180"/>
      <c r="G79" s="111"/>
      <c r="H79" s="14" t="s">
        <v>66</v>
      </c>
      <c r="I79" s="35">
        <v>7.7000000000000007E-4</v>
      </c>
      <c r="J79" s="8"/>
      <c r="K79" s="21"/>
      <c r="L79" s="27"/>
      <c r="M79" s="111"/>
      <c r="N79" s="14" t="s">
        <v>66</v>
      </c>
      <c r="O79" s="35">
        <v>1.0529999999999999E-2</v>
      </c>
      <c r="P79" s="39"/>
    </row>
    <row r="80" spans="2:16" x14ac:dyDescent="0.25">
      <c r="B80" s="4"/>
      <c r="C80" s="148"/>
      <c r="D80" s="109"/>
      <c r="E80" s="193"/>
      <c r="F80" s="114"/>
      <c r="G80" s="111"/>
      <c r="H80" s="14" t="s">
        <v>67</v>
      </c>
      <c r="I80" s="35">
        <v>6.4000000000000005E-4</v>
      </c>
      <c r="J80" s="8"/>
      <c r="K80" s="22"/>
      <c r="L80" s="25"/>
      <c r="M80" s="111"/>
      <c r="N80" s="14" t="s">
        <v>67</v>
      </c>
      <c r="O80" s="35">
        <v>1.0529999999999999E-2</v>
      </c>
      <c r="P80" s="39"/>
    </row>
    <row r="81" spans="2:16" x14ac:dyDescent="0.25">
      <c r="B81" s="4"/>
      <c r="C81" s="148"/>
      <c r="D81" s="109"/>
      <c r="E81" s="193"/>
      <c r="F81" s="180"/>
      <c r="G81" s="111"/>
      <c r="H81" s="14" t="s">
        <v>198</v>
      </c>
      <c r="I81" s="35">
        <v>5.5999999999999995E-4</v>
      </c>
      <c r="J81" s="8"/>
      <c r="K81" s="22"/>
      <c r="L81" s="29"/>
      <c r="M81" s="111"/>
      <c r="N81" s="14" t="s">
        <v>198</v>
      </c>
      <c r="O81" s="35">
        <v>1.0029999999999999E-2</v>
      </c>
      <c r="P81" s="39"/>
    </row>
    <row r="82" spans="2:16" x14ac:dyDescent="0.25">
      <c r="B82" s="4"/>
      <c r="C82" s="148"/>
      <c r="D82" s="109"/>
      <c r="E82" s="193"/>
      <c r="F82" s="180"/>
      <c r="G82" s="111"/>
      <c r="H82" s="14"/>
      <c r="I82" s="35"/>
      <c r="J82" s="8"/>
      <c r="K82" s="22"/>
      <c r="L82" s="29"/>
      <c r="M82" s="111"/>
      <c r="N82" s="14"/>
      <c r="O82" s="35"/>
      <c r="P82" s="39"/>
    </row>
    <row r="83" spans="2:16" x14ac:dyDescent="0.25">
      <c r="B83" s="4"/>
      <c r="C83" s="148"/>
      <c r="D83" s="109"/>
      <c r="E83" s="193"/>
      <c r="F83" s="180"/>
      <c r="G83" s="111"/>
      <c r="H83" s="14"/>
      <c r="I83" s="35"/>
      <c r="J83" s="8"/>
      <c r="K83" s="22"/>
      <c r="L83" s="29"/>
      <c r="M83" s="111"/>
      <c r="N83" s="14"/>
      <c r="O83" s="35"/>
      <c r="P83" s="39"/>
    </row>
    <row r="84" spans="2:16" x14ac:dyDescent="0.25">
      <c r="B84" s="4"/>
      <c r="C84" s="148"/>
      <c r="D84" s="109"/>
      <c r="E84" s="193"/>
      <c r="F84" s="180"/>
      <c r="G84" s="111"/>
      <c r="H84" s="14"/>
      <c r="I84" s="35"/>
      <c r="J84" s="8"/>
      <c r="K84" s="22"/>
      <c r="L84" s="29"/>
      <c r="M84" s="111"/>
      <c r="N84" s="14"/>
      <c r="O84" s="35"/>
      <c r="P84" s="39"/>
    </row>
    <row r="85" spans="2:16" x14ac:dyDescent="0.25">
      <c r="B85" s="4"/>
      <c r="C85" s="148"/>
      <c r="D85" s="109"/>
      <c r="E85" s="193"/>
      <c r="F85" s="180"/>
      <c r="G85" s="111"/>
      <c r="H85" s="14"/>
      <c r="I85" s="35"/>
      <c r="J85" s="8"/>
      <c r="K85" s="22"/>
      <c r="L85" s="29"/>
      <c r="M85" s="111"/>
      <c r="N85" s="14"/>
      <c r="O85" s="35"/>
      <c r="P85" s="39"/>
    </row>
    <row r="86" spans="2:16" x14ac:dyDescent="0.25">
      <c r="B86" s="4"/>
      <c r="C86" s="148"/>
      <c r="D86" s="109"/>
      <c r="E86" s="193"/>
      <c r="F86" s="180"/>
      <c r="G86" s="111"/>
      <c r="H86" s="14"/>
      <c r="I86" s="35"/>
      <c r="J86" s="8"/>
      <c r="K86" s="22"/>
      <c r="L86" s="29"/>
      <c r="M86" s="111"/>
      <c r="N86" s="14"/>
      <c r="O86" s="35"/>
      <c r="P86" s="39"/>
    </row>
    <row r="87" spans="2:16" x14ac:dyDescent="0.25">
      <c r="B87" s="4"/>
      <c r="C87" s="148"/>
      <c r="D87" s="109"/>
      <c r="E87" s="193"/>
      <c r="F87" s="180"/>
      <c r="G87" s="111"/>
      <c r="H87" s="14"/>
      <c r="I87" s="35"/>
      <c r="J87" s="8"/>
      <c r="K87" s="22"/>
      <c r="L87" s="29"/>
      <c r="M87" s="111"/>
      <c r="N87" s="14"/>
      <c r="O87" s="35"/>
      <c r="P87" s="39"/>
    </row>
    <row r="88" spans="2:16" x14ac:dyDescent="0.25">
      <c r="B88" s="4"/>
      <c r="C88" s="148"/>
      <c r="D88" s="109"/>
      <c r="E88" s="193"/>
      <c r="F88" s="180"/>
      <c r="G88" s="111"/>
      <c r="H88" s="14"/>
      <c r="I88" s="35"/>
      <c r="J88" s="8"/>
      <c r="K88" s="22"/>
      <c r="L88" s="29"/>
      <c r="M88" s="111"/>
      <c r="N88" s="14"/>
      <c r="O88" s="35"/>
      <c r="P88" s="39"/>
    </row>
    <row r="89" spans="2:16" x14ac:dyDescent="0.25">
      <c r="B89" s="4"/>
      <c r="C89" s="149"/>
      <c r="D89" s="109"/>
      <c r="E89" s="194"/>
      <c r="F89" s="181"/>
      <c r="G89" s="111"/>
      <c r="H89" s="15"/>
      <c r="I89" s="36"/>
      <c r="J89" s="8"/>
      <c r="K89" s="23"/>
      <c r="L89" s="30"/>
      <c r="M89" s="111"/>
      <c r="N89" s="15"/>
      <c r="O89" s="36"/>
      <c r="P89" s="39"/>
    </row>
    <row r="90" spans="2:16" x14ac:dyDescent="0.25">
      <c r="B90" s="9"/>
      <c r="C90" s="112"/>
      <c r="D90" s="112"/>
      <c r="E90" s="170"/>
      <c r="F90" s="177"/>
      <c r="G90" s="112"/>
      <c r="H90" s="10"/>
      <c r="I90" s="10"/>
      <c r="J90" s="10"/>
      <c r="K90" s="10"/>
      <c r="L90" s="10"/>
      <c r="M90" s="1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6" tint="0.39997558519241921"/>
  </sheetPr>
  <dimension ref="A1:R113"/>
  <sheetViews>
    <sheetView showGridLines="0" workbookViewId="0"/>
  </sheetViews>
  <sheetFormatPr defaultRowHeight="15" x14ac:dyDescent="0.25"/>
  <cols>
    <col min="2" max="2" width="2.7109375" customWidth="1"/>
    <col min="3" max="3" width="110.7109375" style="105" hidden="1" customWidth="1"/>
    <col min="4" max="4" width="4.7109375" style="107" hidden="1" customWidth="1"/>
    <col min="5" max="5" width="21.85546875" style="167" customWidth="1"/>
    <col min="6" max="6" width="32.7109375" style="176"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07"/>
    </row>
    <row r="2" spans="1:15" ht="23.25" x14ac:dyDescent="0.35">
      <c r="A2" s="107"/>
      <c r="B2" s="227" t="s">
        <v>309</v>
      </c>
      <c r="C2" s="106"/>
      <c r="D2" s="121"/>
    </row>
    <row r="3" spans="1:15" ht="23.25" x14ac:dyDescent="0.35">
      <c r="B3" s="208" t="s">
        <v>297</v>
      </c>
    </row>
    <row r="4" spans="1:15" ht="23.25" x14ac:dyDescent="0.35">
      <c r="B4" s="208" t="s">
        <v>296</v>
      </c>
    </row>
    <row r="5" spans="1:15" s="212" customFormat="1" x14ac:dyDescent="0.25">
      <c r="C5" s="213"/>
      <c r="E5" s="214"/>
      <c r="F5" s="215"/>
    </row>
    <row r="6" spans="1:15" x14ac:dyDescent="0.25">
      <c r="B6" s="40" t="s">
        <v>213</v>
      </c>
      <c r="C6" s="106"/>
      <c r="D6" s="121"/>
    </row>
    <row r="7" spans="1:15" x14ac:dyDescent="0.25">
      <c r="B7" s="1"/>
      <c r="C7" s="108"/>
      <c r="D7" s="108"/>
      <c r="E7" s="182"/>
      <c r="F7" s="117"/>
      <c r="G7" s="2"/>
      <c r="H7" s="2"/>
      <c r="I7" s="2"/>
      <c r="J7" s="2"/>
      <c r="K7" s="2"/>
      <c r="L7" s="2"/>
      <c r="M7" s="2"/>
      <c r="N7" s="2"/>
      <c r="O7" s="3"/>
    </row>
    <row r="8" spans="1:15" x14ac:dyDescent="0.25">
      <c r="B8" s="4"/>
      <c r="C8" s="120"/>
      <c r="D8" s="110"/>
      <c r="E8" s="183" t="s">
        <v>213</v>
      </c>
      <c r="F8" s="124"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(0.00900 sec)</v>
      </c>
      <c r="G8" s="42"/>
      <c r="H8" s="43"/>
      <c r="I8" s="5"/>
      <c r="J8" s="5"/>
      <c r="K8" s="5"/>
      <c r="L8" s="5"/>
      <c r="M8" s="5"/>
      <c r="N8" s="5"/>
      <c r="O8" s="6"/>
    </row>
    <row r="9" spans="1:15" x14ac:dyDescent="0.25">
      <c r="B9" s="4"/>
      <c r="C9" s="110"/>
      <c r="D9" s="110"/>
      <c r="E9" s="184" t="s">
        <v>167</v>
      </c>
      <c r="F9" s="142" t="b">
        <f ca="1">LEFT(F8,5)=STDCurve.CollectionName</f>
        <v>1</v>
      </c>
      <c r="G9" s="5"/>
      <c r="H9" s="5"/>
      <c r="I9" s="5"/>
      <c r="J9" s="5"/>
      <c r="K9" s="5"/>
      <c r="L9" s="5"/>
      <c r="M9" s="5"/>
      <c r="N9" s="5"/>
      <c r="O9" s="6"/>
    </row>
    <row r="10" spans="1:15" x14ac:dyDescent="0.25">
      <c r="B10" s="4"/>
      <c r="C10" s="110"/>
      <c r="D10" s="110"/>
      <c r="E10" s="169"/>
      <c r="F10" s="123"/>
      <c r="G10" s="5"/>
      <c r="H10" s="5"/>
      <c r="I10" s="5"/>
      <c r="J10" s="5"/>
      <c r="K10" s="5"/>
      <c r="L10" s="5"/>
      <c r="M10" s="5"/>
      <c r="N10" s="5"/>
      <c r="O10" s="6"/>
    </row>
    <row r="11" spans="1:15" x14ac:dyDescent="0.25">
      <c r="B11" s="4"/>
      <c r="C11" s="110"/>
      <c r="D11" s="110"/>
      <c r="E11" s="185"/>
      <c r="F11" s="123"/>
      <c r="G11" s="5"/>
      <c r="H11" s="5"/>
      <c r="I11" s="5"/>
      <c r="J11" s="5"/>
      <c r="K11" s="5"/>
      <c r="L11" s="5"/>
      <c r="M11" s="5"/>
      <c r="N11" s="5"/>
      <c r="O11" s="6"/>
    </row>
    <row r="12" spans="1:15" x14ac:dyDescent="0.25">
      <c r="B12" s="4"/>
      <c r="C12" s="110"/>
      <c r="D12" s="110"/>
      <c r="E12" s="186" t="s">
        <v>0</v>
      </c>
      <c r="F12" s="122"/>
      <c r="G12" s="5"/>
      <c r="H12" s="5"/>
      <c r="I12" s="5"/>
      <c r="J12" s="5"/>
      <c r="K12" s="5"/>
      <c r="L12" s="5"/>
      <c r="M12" s="5"/>
      <c r="N12" s="5"/>
      <c r="O12" s="6"/>
    </row>
    <row r="13" spans="1:15" ht="30" x14ac:dyDescent="0.25">
      <c r="B13" s="4"/>
      <c r="C13" s="145" t="s">
        <v>215</v>
      </c>
      <c r="D13" s="110"/>
      <c r="E13" s="187" t="s">
        <v>80</v>
      </c>
      <c r="F13" s="136" t="s">
        <v>78</v>
      </c>
      <c r="G13" s="5"/>
      <c r="H13" s="5"/>
      <c r="I13" s="5"/>
      <c r="J13" s="5"/>
      <c r="K13" s="5"/>
      <c r="L13" s="5"/>
      <c r="M13" s="5"/>
      <c r="N13" s="5"/>
      <c r="O13" s="6"/>
    </row>
    <row r="14" spans="1:15" ht="30" x14ac:dyDescent="0.25">
      <c r="B14" s="4"/>
      <c r="C14" s="145" t="s">
        <v>291</v>
      </c>
      <c r="D14" s="110"/>
      <c r="E14" s="188" t="s">
        <v>79</v>
      </c>
      <c r="F14" s="137" t="s">
        <v>82</v>
      </c>
      <c r="G14" s="5"/>
      <c r="H14" s="5"/>
      <c r="I14" s="5"/>
      <c r="J14" s="5"/>
      <c r="K14" s="5"/>
      <c r="L14" s="5"/>
      <c r="M14" s="5"/>
      <c r="N14" s="5"/>
      <c r="O14" s="6"/>
    </row>
    <row r="15" spans="1:15" ht="30" x14ac:dyDescent="0.25">
      <c r="B15" s="4"/>
      <c r="C15" s="145" t="s">
        <v>292</v>
      </c>
      <c r="D15" s="110"/>
      <c r="E15" s="190" t="s">
        <v>81</v>
      </c>
      <c r="F15" s="138" t="s">
        <v>182</v>
      </c>
      <c r="G15" s="5"/>
      <c r="H15" s="5"/>
      <c r="I15" s="5"/>
      <c r="J15" s="5" t="s">
        <v>4</v>
      </c>
      <c r="K15" s="5" t="s">
        <v>4</v>
      </c>
      <c r="L15" s="5" t="s">
        <v>4</v>
      </c>
      <c r="M15" s="5"/>
      <c r="N15" s="5"/>
      <c r="O15" s="6" t="s">
        <v>4</v>
      </c>
    </row>
    <row r="16" spans="1:15" x14ac:dyDescent="0.25">
      <c r="B16" s="9"/>
      <c r="C16" s="112"/>
      <c r="D16" s="112"/>
      <c r="E16" s="170"/>
      <c r="F16" s="177"/>
      <c r="G16" s="10"/>
      <c r="H16" s="10"/>
      <c r="I16" s="10"/>
      <c r="J16" s="10"/>
      <c r="K16" s="10"/>
      <c r="L16" s="10"/>
      <c r="M16" s="10"/>
      <c r="N16" s="10"/>
      <c r="O16" s="11"/>
    </row>
    <row r="19" spans="2:15" x14ac:dyDescent="0.25">
      <c r="B19" s="40" t="s">
        <v>68</v>
      </c>
      <c r="C19" s="106"/>
      <c r="D19" s="121"/>
    </row>
    <row r="20" spans="2:15" x14ac:dyDescent="0.25">
      <c r="B20" s="1"/>
      <c r="C20" s="108"/>
      <c r="D20" s="108"/>
      <c r="E20" s="182"/>
      <c r="F20" s="117"/>
      <c r="G20" s="2"/>
      <c r="H20" s="2"/>
      <c r="I20" s="2"/>
      <c r="J20" s="45"/>
      <c r="K20" s="2"/>
      <c r="L20" s="2"/>
      <c r="M20" s="2"/>
      <c r="N20" s="2"/>
      <c r="O20" s="3"/>
    </row>
    <row r="21" spans="2:15" x14ac:dyDescent="0.25">
      <c r="B21" s="4"/>
      <c r="C21" s="110"/>
      <c r="D21" s="110"/>
      <c r="E21" s="186" t="s">
        <v>68</v>
      </c>
      <c r="F21" s="118"/>
      <c r="G21" s="5"/>
      <c r="H21" s="5"/>
      <c r="I21" s="5"/>
      <c r="J21" s="5"/>
      <c r="K21" s="5"/>
      <c r="L21" s="5"/>
      <c r="M21" s="5"/>
      <c r="N21" s="5"/>
      <c r="O21" s="6"/>
    </row>
    <row r="22" spans="2:15" ht="30" x14ac:dyDescent="0.25">
      <c r="B22" s="4"/>
      <c r="C22" s="145" t="s">
        <v>216</v>
      </c>
      <c r="D22" s="110"/>
      <c r="E22" s="187" t="s">
        <v>10</v>
      </c>
      <c r="F22" s="136">
        <f>COB</f>
        <v>42521</v>
      </c>
      <c r="G22" s="5"/>
      <c r="H22" s="5"/>
      <c r="I22" s="5"/>
      <c r="J22" s="5"/>
      <c r="K22" s="5"/>
      <c r="L22" s="5"/>
      <c r="M22" s="5"/>
      <c r="N22" s="5"/>
      <c r="O22" s="6"/>
    </row>
    <row r="23" spans="2:15" ht="30" x14ac:dyDescent="0.25">
      <c r="B23" s="4"/>
      <c r="C23" s="145" t="s">
        <v>217</v>
      </c>
      <c r="D23" s="110"/>
      <c r="E23" s="188" t="s">
        <v>16</v>
      </c>
      <c r="F23" s="137" t="s">
        <v>17</v>
      </c>
      <c r="G23" s="5"/>
      <c r="H23" s="5"/>
      <c r="I23" s="5"/>
      <c r="J23" s="5"/>
      <c r="K23" s="5"/>
      <c r="L23" s="5"/>
      <c r="M23" s="5"/>
      <c r="N23" s="5"/>
      <c r="O23" s="6"/>
    </row>
    <row r="24" spans="2:15" ht="30" x14ac:dyDescent="0.25">
      <c r="B24" s="4"/>
      <c r="C24" s="145" t="s">
        <v>218</v>
      </c>
      <c r="D24" s="110"/>
      <c r="E24" s="188" t="s">
        <v>83</v>
      </c>
      <c r="F24" s="139" t="str">
        <f>interpolationFunction</f>
        <v>fn_SplineInterpolation</v>
      </c>
      <c r="G24" s="5"/>
      <c r="H24" s="5"/>
      <c r="I24" s="5"/>
      <c r="J24" s="5"/>
      <c r="K24" s="5"/>
      <c r="L24" s="5"/>
      <c r="M24" s="5"/>
      <c r="N24" s="5"/>
      <c r="O24" s="6"/>
    </row>
    <row r="25" spans="2:15" ht="30" x14ac:dyDescent="0.25">
      <c r="B25" s="4"/>
      <c r="C25" s="150" t="s">
        <v>293</v>
      </c>
      <c r="D25" s="110"/>
      <c r="E25" s="188" t="s">
        <v>24</v>
      </c>
      <c r="F25" s="139" t="str">
        <f>interpolationFunction</f>
        <v>fn_SplineInterpolation</v>
      </c>
      <c r="G25" s="5"/>
      <c r="H25" s="5"/>
      <c r="I25" s="5"/>
      <c r="J25" s="5"/>
      <c r="K25" s="5"/>
      <c r="L25" s="5"/>
      <c r="M25" s="5"/>
      <c r="N25" s="5"/>
      <c r="O25" s="6"/>
    </row>
    <row r="26" spans="2:15" ht="30" x14ac:dyDescent="0.25">
      <c r="B26" s="4"/>
      <c r="C26" s="150" t="s">
        <v>239</v>
      </c>
      <c r="D26" s="110"/>
      <c r="E26" s="188" t="s">
        <v>85</v>
      </c>
      <c r="F26" s="137" t="b">
        <v>0</v>
      </c>
      <c r="G26" s="5"/>
      <c r="H26" s="5"/>
      <c r="I26" s="5"/>
      <c r="J26" s="5"/>
      <c r="K26" s="5"/>
      <c r="L26" s="5"/>
      <c r="M26" s="5"/>
      <c r="N26" s="5"/>
      <c r="O26" s="6"/>
    </row>
    <row r="27" spans="2:15" ht="30" x14ac:dyDescent="0.25">
      <c r="B27" s="4"/>
      <c r="C27" s="150" t="s">
        <v>240</v>
      </c>
      <c r="D27" s="110"/>
      <c r="E27" s="188" t="s">
        <v>84</v>
      </c>
      <c r="F27" s="137" t="b">
        <v>1</v>
      </c>
      <c r="G27" s="5"/>
      <c r="H27" s="5"/>
      <c r="I27" s="5"/>
      <c r="J27" s="5"/>
      <c r="K27" s="5"/>
      <c r="L27" s="5"/>
      <c r="M27" s="5"/>
      <c r="N27" s="5"/>
      <c r="O27" s="6"/>
    </row>
    <row r="28" spans="2:15" ht="30" x14ac:dyDescent="0.25">
      <c r="B28" s="4"/>
      <c r="C28" s="146" t="s">
        <v>241</v>
      </c>
      <c r="D28" s="110"/>
      <c r="E28" s="188" t="s">
        <v>27</v>
      </c>
      <c r="F28" s="137" t="s">
        <v>28</v>
      </c>
      <c r="G28" s="5"/>
      <c r="H28" s="5"/>
      <c r="I28" s="5"/>
      <c r="J28" s="5"/>
      <c r="K28" s="5"/>
      <c r="L28" s="5"/>
      <c r="M28" s="5"/>
      <c r="N28" s="5"/>
      <c r="O28" s="6"/>
    </row>
    <row r="29" spans="2:15" ht="45" x14ac:dyDescent="0.25">
      <c r="B29" s="4"/>
      <c r="C29" s="150" t="s">
        <v>242</v>
      </c>
      <c r="D29" s="110"/>
      <c r="E29" s="188" t="s">
        <v>86</v>
      </c>
      <c r="F29" s="137" t="s">
        <v>9</v>
      </c>
      <c r="G29" s="5"/>
      <c r="H29" s="5"/>
      <c r="I29" s="5"/>
      <c r="J29" s="5"/>
      <c r="K29" s="5"/>
      <c r="L29" s="5"/>
      <c r="M29" s="5"/>
      <c r="N29" s="5"/>
      <c r="O29" s="6"/>
    </row>
    <row r="30" spans="2:15" x14ac:dyDescent="0.25">
      <c r="B30" s="4"/>
      <c r="C30" s="155"/>
      <c r="D30" s="110"/>
      <c r="E30" s="188"/>
      <c r="F30" s="137"/>
      <c r="G30" s="5"/>
      <c r="H30" s="5"/>
      <c r="I30" s="5"/>
      <c r="J30" s="5"/>
      <c r="K30" s="5"/>
      <c r="L30" s="5"/>
      <c r="M30" s="5"/>
      <c r="N30" s="5"/>
      <c r="O30" s="6"/>
    </row>
    <row r="31" spans="2:15" x14ac:dyDescent="0.25">
      <c r="B31" s="4"/>
      <c r="C31" s="151"/>
      <c r="D31" s="110"/>
      <c r="E31" s="190"/>
      <c r="F31" s="138"/>
      <c r="G31" s="5"/>
      <c r="H31" s="5"/>
      <c r="I31" s="5"/>
      <c r="J31" s="5"/>
      <c r="K31" s="5"/>
      <c r="L31" s="5"/>
      <c r="M31" s="5"/>
      <c r="N31" s="5"/>
      <c r="O31" s="6"/>
    </row>
    <row r="32" spans="2:15" x14ac:dyDescent="0.25">
      <c r="B32" s="9"/>
      <c r="C32" s="112"/>
      <c r="D32" s="112"/>
      <c r="E32" s="170"/>
      <c r="F32" s="177"/>
      <c r="G32" s="10"/>
      <c r="H32" s="10"/>
      <c r="I32" s="10"/>
      <c r="J32" s="10"/>
      <c r="K32" s="10"/>
      <c r="L32" s="10"/>
      <c r="M32" s="10"/>
      <c r="N32" s="10"/>
      <c r="O32" s="11"/>
    </row>
    <row r="35" spans="2:15" x14ac:dyDescent="0.25">
      <c r="B35" s="40" t="s">
        <v>87</v>
      </c>
      <c r="C35" s="106"/>
      <c r="D35" s="121"/>
    </row>
    <row r="36" spans="2:15" x14ac:dyDescent="0.25">
      <c r="B36" s="1"/>
      <c r="C36" s="108"/>
      <c r="D36" s="108"/>
      <c r="E36" s="168"/>
      <c r="F36" s="178"/>
      <c r="G36" s="2"/>
      <c r="H36" s="2"/>
      <c r="I36" s="2"/>
      <c r="J36" s="2"/>
      <c r="K36" s="2"/>
      <c r="L36" s="2"/>
      <c r="M36" s="2"/>
      <c r="N36" s="2"/>
      <c r="O36" s="3"/>
    </row>
    <row r="37" spans="2:15" x14ac:dyDescent="0.25">
      <c r="B37" s="4"/>
      <c r="C37" s="110"/>
      <c r="D37" s="110"/>
      <c r="E37" s="192" t="s">
        <v>200</v>
      </c>
      <c r="F37" s="179"/>
      <c r="G37" s="8"/>
      <c r="H37" s="34" t="s">
        <v>201</v>
      </c>
      <c r="I37" s="8"/>
      <c r="J37" s="8"/>
      <c r="K37" s="34" t="s">
        <v>199</v>
      </c>
      <c r="L37" s="8"/>
      <c r="M37" s="8"/>
      <c r="N37" s="8"/>
      <c r="O37" s="39"/>
    </row>
    <row r="38" spans="2:15" ht="30" x14ac:dyDescent="0.25">
      <c r="B38" s="4"/>
      <c r="C38" s="146" t="s">
        <v>220</v>
      </c>
      <c r="D38" s="110"/>
      <c r="E38" s="187" t="s">
        <v>1</v>
      </c>
      <c r="F38" s="113" t="s">
        <v>2</v>
      </c>
      <c r="G38" s="5"/>
      <c r="H38" s="156" t="s">
        <v>1</v>
      </c>
      <c r="I38" s="113" t="s">
        <v>2</v>
      </c>
      <c r="J38" s="8"/>
      <c r="K38" s="53" t="s">
        <v>11</v>
      </c>
      <c r="L38" s="53" t="s">
        <v>12</v>
      </c>
      <c r="M38" s="53"/>
      <c r="N38" s="53"/>
      <c r="O38" s="39"/>
    </row>
    <row r="39" spans="2:15" ht="30" x14ac:dyDescent="0.25">
      <c r="B39" s="4"/>
      <c r="C39" s="146" t="s">
        <v>219</v>
      </c>
      <c r="D39" s="110"/>
      <c r="E39" s="188" t="s">
        <v>88</v>
      </c>
      <c r="F39" s="114" t="s">
        <v>6</v>
      </c>
      <c r="G39" s="7"/>
      <c r="H39" s="104" t="s">
        <v>18</v>
      </c>
      <c r="I39" s="127" t="s">
        <v>6</v>
      </c>
      <c r="J39" s="8"/>
      <c r="K39" s="47" t="s">
        <v>161</v>
      </c>
      <c r="L39" s="50">
        <v>-3.49E-3</v>
      </c>
      <c r="M39" s="53"/>
      <c r="N39" s="53"/>
      <c r="O39" s="39"/>
    </row>
    <row r="40" spans="2:15" ht="30" x14ac:dyDescent="0.25">
      <c r="B40" s="4"/>
      <c r="C40" s="147" t="s">
        <v>245</v>
      </c>
      <c r="D40" s="110"/>
      <c r="E40" s="188" t="s">
        <v>89</v>
      </c>
      <c r="F40" s="114" t="s">
        <v>90</v>
      </c>
      <c r="G40" s="7"/>
      <c r="H40" s="104" t="s">
        <v>27</v>
      </c>
      <c r="I40" s="114" t="s">
        <v>91</v>
      </c>
      <c r="J40" s="8"/>
      <c r="K40" s="48" t="s">
        <v>145</v>
      </c>
      <c r="L40" s="51">
        <v>-2.6099999999999999E-3</v>
      </c>
      <c r="M40" s="53"/>
      <c r="N40" s="53"/>
      <c r="O40" s="39"/>
    </row>
    <row r="41" spans="2:15" x14ac:dyDescent="0.25">
      <c r="B41" s="4"/>
      <c r="C41" s="148"/>
      <c r="D41" s="110"/>
      <c r="E41" s="188"/>
      <c r="F41" s="114"/>
      <c r="G41" s="7"/>
      <c r="H41" s="104" t="s">
        <v>92</v>
      </c>
      <c r="I41" s="127">
        <v>2</v>
      </c>
      <c r="J41" s="8"/>
      <c r="K41" s="48" t="s">
        <v>94</v>
      </c>
      <c r="L41" s="51">
        <v>-1.5299999999999999E-3</v>
      </c>
      <c r="M41" s="53"/>
      <c r="N41" s="53"/>
      <c r="O41" s="39"/>
    </row>
    <row r="42" spans="2:15" x14ac:dyDescent="0.25">
      <c r="B42" s="4"/>
      <c r="C42" s="148"/>
      <c r="D42" s="110"/>
      <c r="E42" s="188"/>
      <c r="F42" s="114"/>
      <c r="G42" s="7"/>
      <c r="H42" s="104" t="s">
        <v>21</v>
      </c>
      <c r="I42" s="127" t="s">
        <v>22</v>
      </c>
      <c r="J42" s="8"/>
      <c r="K42" s="48" t="s">
        <v>56</v>
      </c>
      <c r="L42" s="51">
        <v>-1.4999999999999999E-4</v>
      </c>
      <c r="M42" s="53"/>
      <c r="N42" s="53"/>
      <c r="O42" s="39"/>
    </row>
    <row r="43" spans="2:15" x14ac:dyDescent="0.25">
      <c r="B43" s="4"/>
      <c r="C43" s="149"/>
      <c r="D43" s="110"/>
      <c r="E43" s="194"/>
      <c r="F43" s="181"/>
      <c r="G43" s="7"/>
      <c r="H43" s="157"/>
      <c r="I43" s="128"/>
      <c r="J43" s="8"/>
      <c r="K43" s="49"/>
      <c r="L43" s="52"/>
      <c r="M43" s="53"/>
      <c r="N43" s="53"/>
      <c r="O43" s="39"/>
    </row>
    <row r="44" spans="2:15" x14ac:dyDescent="0.25">
      <c r="B44" s="4"/>
      <c r="C44" s="110"/>
      <c r="D44" s="110"/>
      <c r="E44" s="172"/>
      <c r="F44" s="203"/>
      <c r="G44" s="7"/>
      <c r="H44" s="8"/>
      <c r="I44" s="8"/>
      <c r="J44" s="8"/>
      <c r="K44" s="93" t="s">
        <v>299</v>
      </c>
      <c r="L44" s="8"/>
      <c r="M44" s="8"/>
      <c r="N44" s="8"/>
      <c r="O44" s="39"/>
    </row>
    <row r="45" spans="2:15" x14ac:dyDescent="0.25">
      <c r="B45" s="9"/>
      <c r="C45" s="112"/>
      <c r="D45" s="112"/>
      <c r="E45" s="170"/>
      <c r="F45" s="177"/>
      <c r="G45" s="10"/>
      <c r="H45" s="10"/>
      <c r="I45" s="10"/>
      <c r="J45" s="10"/>
      <c r="K45" s="10"/>
      <c r="L45" s="10"/>
      <c r="M45" s="10"/>
      <c r="N45" s="10"/>
      <c r="O45" s="11"/>
    </row>
    <row r="48" spans="2:15" x14ac:dyDescent="0.25">
      <c r="B48" s="40" t="s">
        <v>95</v>
      </c>
      <c r="C48" s="106"/>
      <c r="D48" s="121"/>
    </row>
    <row r="49" spans="2:15" x14ac:dyDescent="0.25">
      <c r="B49" s="1"/>
      <c r="C49" s="108"/>
      <c r="D49" s="108"/>
      <c r="E49" s="168"/>
      <c r="F49" s="178"/>
      <c r="G49" s="2"/>
      <c r="H49" s="2"/>
      <c r="I49" s="2"/>
      <c r="J49" s="2"/>
      <c r="K49" s="2"/>
      <c r="L49" s="2"/>
      <c r="M49" s="2"/>
      <c r="N49" s="2"/>
      <c r="O49" s="3"/>
    </row>
    <row r="50" spans="2:15" x14ac:dyDescent="0.25">
      <c r="B50" s="4"/>
      <c r="C50" s="110"/>
      <c r="D50" s="110"/>
      <c r="E50" s="192" t="s">
        <v>96</v>
      </c>
      <c r="F50" s="179"/>
      <c r="G50" s="8"/>
      <c r="H50" s="34" t="s">
        <v>115</v>
      </c>
      <c r="I50" s="8"/>
      <c r="J50" s="8"/>
      <c r="K50" s="34" t="s">
        <v>116</v>
      </c>
      <c r="L50" s="8"/>
      <c r="M50" s="8"/>
      <c r="N50" s="8"/>
      <c r="O50" s="39"/>
    </row>
    <row r="51" spans="2:15" x14ac:dyDescent="0.25">
      <c r="B51" s="4"/>
      <c r="C51" s="110"/>
      <c r="D51" s="110"/>
      <c r="E51" s="187"/>
      <c r="F51" s="113"/>
      <c r="G51" s="5"/>
      <c r="H51" s="53" t="s">
        <v>11</v>
      </c>
      <c r="I51" s="53" t="s">
        <v>12</v>
      </c>
      <c r="J51" s="8"/>
      <c r="K51" s="53" t="s">
        <v>11</v>
      </c>
      <c r="L51" s="53" t="s">
        <v>12</v>
      </c>
      <c r="M51" s="53"/>
      <c r="N51" s="53"/>
      <c r="O51" s="39"/>
    </row>
    <row r="52" spans="2:15" x14ac:dyDescent="0.25">
      <c r="B52" s="4"/>
      <c r="C52" s="110"/>
      <c r="D52" s="110"/>
      <c r="E52" s="188"/>
      <c r="F52" s="114"/>
      <c r="G52" s="7"/>
      <c r="H52" s="47"/>
      <c r="I52" s="50"/>
      <c r="J52" s="8"/>
      <c r="K52" s="47"/>
      <c r="L52" s="50"/>
      <c r="M52" s="53"/>
      <c r="N52" s="53"/>
      <c r="O52" s="39"/>
    </row>
    <row r="53" spans="2:15" x14ac:dyDescent="0.25">
      <c r="B53" s="4"/>
      <c r="C53" s="110"/>
      <c r="D53" s="110"/>
      <c r="E53" s="188"/>
      <c r="F53" s="114"/>
      <c r="G53" s="7"/>
      <c r="H53" s="48"/>
      <c r="I53" s="51"/>
      <c r="J53" s="8"/>
      <c r="K53" s="48"/>
      <c r="L53" s="51"/>
      <c r="M53" s="53"/>
      <c r="N53" s="53"/>
      <c r="O53" s="39"/>
    </row>
    <row r="54" spans="2:15" x14ac:dyDescent="0.25">
      <c r="B54" s="4"/>
      <c r="C54" s="110"/>
      <c r="D54" s="110"/>
      <c r="E54" s="188"/>
      <c r="F54" s="114"/>
      <c r="G54" s="7"/>
      <c r="H54" s="48"/>
      <c r="I54" s="51"/>
      <c r="J54" s="8"/>
      <c r="K54" s="48"/>
      <c r="L54" s="51"/>
      <c r="M54" s="53"/>
      <c r="N54" s="53"/>
      <c r="O54" s="39"/>
    </row>
    <row r="55" spans="2:15" x14ac:dyDescent="0.25">
      <c r="B55" s="4"/>
      <c r="C55" s="110"/>
      <c r="D55" s="110"/>
      <c r="E55" s="188"/>
      <c r="F55" s="114"/>
      <c r="G55" s="7"/>
      <c r="H55" s="48"/>
      <c r="I55" s="51"/>
      <c r="J55" s="8"/>
      <c r="K55" s="48"/>
      <c r="L55" s="51"/>
      <c r="M55" s="53"/>
      <c r="N55" s="53"/>
      <c r="O55" s="39"/>
    </row>
    <row r="56" spans="2:15" x14ac:dyDescent="0.25">
      <c r="B56" s="4"/>
      <c r="C56" s="110"/>
      <c r="D56" s="110"/>
      <c r="E56" s="188"/>
      <c r="F56" s="114"/>
      <c r="G56" s="7"/>
      <c r="H56" s="48"/>
      <c r="I56" s="51"/>
      <c r="J56" s="8"/>
      <c r="K56" s="48"/>
      <c r="L56" s="51"/>
      <c r="M56" s="53"/>
      <c r="N56" s="53"/>
      <c r="O56" s="39"/>
    </row>
    <row r="57" spans="2:15" x14ac:dyDescent="0.25">
      <c r="B57" s="4"/>
      <c r="C57" s="110"/>
      <c r="D57" s="110"/>
      <c r="E57" s="188"/>
      <c r="F57" s="114"/>
      <c r="G57" s="7"/>
      <c r="H57" s="48"/>
      <c r="I57" s="51"/>
      <c r="J57" s="8"/>
      <c r="K57" s="48"/>
      <c r="L57" s="51"/>
      <c r="M57" s="53"/>
      <c r="N57" s="53"/>
      <c r="O57" s="39"/>
    </row>
    <row r="58" spans="2:15" x14ac:dyDescent="0.25">
      <c r="B58" s="4"/>
      <c r="C58" s="110"/>
      <c r="D58" s="110"/>
      <c r="E58" s="188"/>
      <c r="F58" s="114"/>
      <c r="G58" s="7"/>
      <c r="H58" s="48"/>
      <c r="I58" s="51"/>
      <c r="J58" s="8"/>
      <c r="K58" s="48"/>
      <c r="L58" s="51"/>
      <c r="M58" s="53"/>
      <c r="N58" s="53"/>
      <c r="O58" s="39"/>
    </row>
    <row r="59" spans="2:15" x14ac:dyDescent="0.25">
      <c r="B59" s="4"/>
      <c r="C59" s="110"/>
      <c r="D59" s="110"/>
      <c r="E59" s="188"/>
      <c r="F59" s="114"/>
      <c r="G59" s="7"/>
      <c r="H59" s="48"/>
      <c r="I59" s="51"/>
      <c r="J59" s="8"/>
      <c r="K59" s="48"/>
      <c r="L59" s="51"/>
      <c r="M59" s="53"/>
      <c r="N59" s="53"/>
      <c r="O59" s="39"/>
    </row>
    <row r="60" spans="2:15" x14ac:dyDescent="0.25">
      <c r="B60" s="4"/>
      <c r="C60" s="110"/>
      <c r="D60" s="110"/>
      <c r="E60" s="188"/>
      <c r="F60" s="114"/>
      <c r="G60" s="7"/>
      <c r="H60" s="48"/>
      <c r="I60" s="51"/>
      <c r="J60" s="8"/>
      <c r="K60" s="48"/>
      <c r="L60" s="51"/>
      <c r="M60" s="53"/>
      <c r="N60" s="53"/>
      <c r="O60" s="39"/>
    </row>
    <row r="61" spans="2:15" x14ac:dyDescent="0.25">
      <c r="B61" s="4"/>
      <c r="C61" s="110"/>
      <c r="D61" s="110"/>
      <c r="E61" s="188"/>
      <c r="F61" s="114"/>
      <c r="G61" s="7"/>
      <c r="H61" s="48"/>
      <c r="I61" s="51"/>
      <c r="J61" s="8"/>
      <c r="K61" s="48"/>
      <c r="L61" s="51"/>
      <c r="M61" s="53"/>
      <c r="N61" s="53"/>
      <c r="O61" s="39"/>
    </row>
    <row r="62" spans="2:15" x14ac:dyDescent="0.25">
      <c r="B62" s="4"/>
      <c r="C62" s="110"/>
      <c r="D62" s="110"/>
      <c r="E62" s="188"/>
      <c r="F62" s="114"/>
      <c r="G62" s="7"/>
      <c r="H62" s="48"/>
      <c r="I62" s="51"/>
      <c r="J62" s="8"/>
      <c r="K62" s="48"/>
      <c r="L62" s="51"/>
      <c r="M62" s="53"/>
      <c r="N62" s="53"/>
      <c r="O62" s="39"/>
    </row>
    <row r="63" spans="2:15" x14ac:dyDescent="0.25">
      <c r="B63" s="4"/>
      <c r="C63" s="110"/>
      <c r="D63" s="110"/>
      <c r="E63" s="188"/>
      <c r="F63" s="114"/>
      <c r="G63" s="7"/>
      <c r="H63" s="48"/>
      <c r="I63" s="51"/>
      <c r="J63" s="8"/>
      <c r="K63" s="48"/>
      <c r="L63" s="51"/>
      <c r="M63" s="53"/>
      <c r="N63" s="53"/>
      <c r="O63" s="39"/>
    </row>
    <row r="64" spans="2:15" x14ac:dyDescent="0.25">
      <c r="B64" s="4"/>
      <c r="C64" s="110"/>
      <c r="D64" s="110"/>
      <c r="E64" s="194"/>
      <c r="F64" s="181"/>
      <c r="G64" s="7"/>
      <c r="H64" s="49"/>
      <c r="I64" s="52"/>
      <c r="J64" s="8"/>
      <c r="K64" s="49"/>
      <c r="L64" s="52"/>
      <c r="M64" s="53"/>
      <c r="N64" s="53"/>
      <c r="O64" s="39"/>
    </row>
    <row r="65" spans="2:15" x14ac:dyDescent="0.25">
      <c r="B65" s="4"/>
      <c r="C65" s="110"/>
      <c r="D65" s="110"/>
      <c r="E65" s="172"/>
      <c r="F65" s="203"/>
      <c r="G65" s="7"/>
      <c r="H65" s="8"/>
      <c r="I65" s="8"/>
      <c r="J65" s="8"/>
      <c r="K65" s="8"/>
      <c r="L65" s="8"/>
      <c r="M65" s="53"/>
      <c r="N65" s="53"/>
      <c r="O65" s="39"/>
    </row>
    <row r="66" spans="2:15" x14ac:dyDescent="0.25">
      <c r="B66" s="9"/>
      <c r="C66" s="112"/>
      <c r="D66" s="112"/>
      <c r="E66" s="170"/>
      <c r="F66" s="177"/>
      <c r="G66" s="10"/>
      <c r="H66" s="10"/>
      <c r="I66" s="10"/>
      <c r="J66" s="10"/>
      <c r="K66" s="10"/>
      <c r="L66" s="10"/>
      <c r="M66" s="10"/>
      <c r="N66" s="10"/>
      <c r="O66" s="11"/>
    </row>
    <row r="69" spans="2:15" x14ac:dyDescent="0.25">
      <c r="B69" s="40" t="s">
        <v>99</v>
      </c>
      <c r="C69" s="106"/>
      <c r="D69" s="121"/>
    </row>
    <row r="70" spans="2:15" x14ac:dyDescent="0.25">
      <c r="B70" s="1"/>
      <c r="C70" s="108"/>
      <c r="D70" s="108"/>
      <c r="E70" s="168"/>
      <c r="F70" s="178"/>
      <c r="G70" s="2"/>
      <c r="H70" s="2"/>
      <c r="I70" s="2"/>
      <c r="J70" s="2"/>
      <c r="K70" s="2"/>
      <c r="L70" s="2"/>
      <c r="M70" s="2"/>
      <c r="N70" s="2"/>
      <c r="O70" s="3"/>
    </row>
    <row r="71" spans="2:15" x14ac:dyDescent="0.25">
      <c r="B71" s="4"/>
      <c r="C71" s="110"/>
      <c r="D71" s="110"/>
      <c r="E71" s="192" t="s">
        <v>100</v>
      </c>
      <c r="F71" s="179"/>
      <c r="G71" s="8"/>
      <c r="H71" s="34" t="s">
        <v>103</v>
      </c>
      <c r="I71" s="8"/>
      <c r="J71" s="8"/>
      <c r="K71" s="8"/>
      <c r="L71" s="8"/>
      <c r="M71" s="8"/>
      <c r="N71" s="8"/>
      <c r="O71" s="39"/>
    </row>
    <row r="72" spans="2:15" ht="30" x14ac:dyDescent="0.25">
      <c r="B72" s="4"/>
      <c r="C72" s="146" t="s">
        <v>220</v>
      </c>
      <c r="D72" s="110"/>
      <c r="E72" s="187" t="s">
        <v>3</v>
      </c>
      <c r="F72" s="113" t="s">
        <v>2</v>
      </c>
      <c r="G72" s="5"/>
      <c r="H72" s="72" t="s">
        <v>117</v>
      </c>
      <c r="I72" s="72" t="s">
        <v>13</v>
      </c>
      <c r="J72" s="72" t="s">
        <v>14</v>
      </c>
      <c r="K72" s="72" t="s">
        <v>12</v>
      </c>
      <c r="L72" s="72" t="s">
        <v>102</v>
      </c>
      <c r="M72" s="79"/>
      <c r="N72" s="79"/>
      <c r="O72" s="39"/>
    </row>
    <row r="73" spans="2:15" ht="30" x14ac:dyDescent="0.25">
      <c r="B73" s="4"/>
      <c r="C73" s="146" t="s">
        <v>219</v>
      </c>
      <c r="D73" s="110"/>
      <c r="E73" s="188" t="s">
        <v>7</v>
      </c>
      <c r="F73" s="114" t="s">
        <v>124</v>
      </c>
      <c r="G73" s="98">
        <v>4</v>
      </c>
      <c r="H73" s="54" t="s">
        <v>183</v>
      </c>
      <c r="I73" s="55">
        <v>42634</v>
      </c>
      <c r="J73" s="55">
        <v>42725</v>
      </c>
      <c r="K73" s="56">
        <v>100.28</v>
      </c>
      <c r="L73" s="57">
        <v>5.1399999999999996E-3</v>
      </c>
      <c r="M73" s="79"/>
      <c r="N73" s="79"/>
      <c r="O73" s="39"/>
    </row>
    <row r="74" spans="2:15" ht="30" x14ac:dyDescent="0.25">
      <c r="B74" s="4"/>
      <c r="C74" s="146" t="s">
        <v>222</v>
      </c>
      <c r="D74" s="110"/>
      <c r="E74" s="188" t="s">
        <v>15</v>
      </c>
      <c r="F74" s="114" t="s">
        <v>101</v>
      </c>
      <c r="G74" s="98">
        <f>G73+1</f>
        <v>5</v>
      </c>
      <c r="H74" s="58" t="s">
        <v>184</v>
      </c>
      <c r="I74" s="55">
        <v>42662</v>
      </c>
      <c r="J74" s="55">
        <v>42753</v>
      </c>
      <c r="K74" s="56">
        <v>100.285</v>
      </c>
      <c r="L74" s="57">
        <v>5.1399999999999996E-3</v>
      </c>
      <c r="M74" s="79"/>
      <c r="N74" s="79"/>
      <c r="O74" s="39"/>
    </row>
    <row r="75" spans="2:15" ht="30" x14ac:dyDescent="0.25">
      <c r="B75" s="4"/>
      <c r="C75" s="146" t="s">
        <v>245</v>
      </c>
      <c r="D75" s="110"/>
      <c r="E75" s="188" t="s">
        <v>23</v>
      </c>
      <c r="F75" s="134" t="s">
        <v>22</v>
      </c>
      <c r="G75" s="98">
        <f t="shared" ref="G75:G81" si="0">G74+1</f>
        <v>6</v>
      </c>
      <c r="H75" s="59" t="s">
        <v>185</v>
      </c>
      <c r="I75" s="60">
        <v>42690</v>
      </c>
      <c r="J75" s="60">
        <v>42781</v>
      </c>
      <c r="K75" s="61">
        <v>100.29</v>
      </c>
      <c r="L75" s="62">
        <v>5.1399999999999996E-3</v>
      </c>
      <c r="M75" s="79"/>
      <c r="N75" s="79"/>
      <c r="O75" s="39"/>
    </row>
    <row r="76" spans="2:15" ht="45" x14ac:dyDescent="0.25">
      <c r="B76" s="4"/>
      <c r="C76" s="146" t="s">
        <v>247</v>
      </c>
      <c r="D76" s="110"/>
      <c r="E76" s="188" t="s">
        <v>164</v>
      </c>
      <c r="F76" s="131">
        <v>0.03</v>
      </c>
      <c r="G76" s="98">
        <f t="shared" si="0"/>
        <v>7</v>
      </c>
      <c r="H76" s="59" t="s">
        <v>186</v>
      </c>
      <c r="I76" s="60">
        <v>42725</v>
      </c>
      <c r="J76" s="60">
        <v>42809</v>
      </c>
      <c r="K76" s="61">
        <v>100.295</v>
      </c>
      <c r="L76" s="62">
        <v>5.1399999999999996E-3</v>
      </c>
      <c r="M76" s="79"/>
      <c r="N76" s="79"/>
      <c r="O76" s="39"/>
    </row>
    <row r="77" spans="2:15" ht="30" x14ac:dyDescent="0.25">
      <c r="B77" s="4"/>
      <c r="C77" s="146" t="s">
        <v>248</v>
      </c>
      <c r="D77" s="110"/>
      <c r="E77" s="188" t="s">
        <v>97</v>
      </c>
      <c r="F77" s="114" t="b">
        <f>ApplyTension</f>
        <v>1</v>
      </c>
      <c r="G77" s="98">
        <f t="shared" si="0"/>
        <v>8</v>
      </c>
      <c r="H77" s="59" t="s">
        <v>187</v>
      </c>
      <c r="I77" s="60">
        <v>42809</v>
      </c>
      <c r="J77" s="60">
        <v>42907</v>
      </c>
      <c r="K77" s="61">
        <v>100.3</v>
      </c>
      <c r="L77" s="62">
        <v>5.1399999999999996E-3</v>
      </c>
      <c r="M77" s="79"/>
      <c r="N77" s="79"/>
      <c r="O77" s="39"/>
    </row>
    <row r="78" spans="2:15" ht="30" x14ac:dyDescent="0.25">
      <c r="B78" s="4"/>
      <c r="C78" s="147" t="s">
        <v>249</v>
      </c>
      <c r="D78" s="110"/>
      <c r="E78" s="188" t="s">
        <v>98</v>
      </c>
      <c r="F78" s="114">
        <v>2</v>
      </c>
      <c r="G78" s="98">
        <f t="shared" si="0"/>
        <v>9</v>
      </c>
      <c r="H78" s="59" t="s">
        <v>188</v>
      </c>
      <c r="I78" s="60">
        <v>42907</v>
      </c>
      <c r="J78" s="60">
        <v>42998</v>
      </c>
      <c r="K78" s="61">
        <v>100.30500000000001</v>
      </c>
      <c r="L78" s="62">
        <v>5.1399999999999996E-3</v>
      </c>
      <c r="M78" s="79"/>
      <c r="N78" s="79"/>
      <c r="O78" s="39"/>
    </row>
    <row r="79" spans="2:15" x14ac:dyDescent="0.25">
      <c r="B79" s="4"/>
      <c r="C79" s="148"/>
      <c r="D79" s="110"/>
      <c r="E79" s="188"/>
      <c r="F79" s="114"/>
      <c r="G79" s="98">
        <f t="shared" si="0"/>
        <v>10</v>
      </c>
      <c r="H79" s="59" t="s">
        <v>189</v>
      </c>
      <c r="I79" s="60">
        <v>42998</v>
      </c>
      <c r="J79" s="60">
        <v>43089</v>
      </c>
      <c r="K79" s="61">
        <v>100.30500000000001</v>
      </c>
      <c r="L79" s="62">
        <v>5.1399999999999996E-3</v>
      </c>
      <c r="M79" s="79"/>
      <c r="N79" s="79"/>
      <c r="O79" s="39"/>
    </row>
    <row r="80" spans="2:15" x14ac:dyDescent="0.25">
      <c r="B80" s="4"/>
      <c r="C80" s="148"/>
      <c r="D80" s="110"/>
      <c r="E80" s="188"/>
      <c r="F80" s="114"/>
      <c r="G80" s="98">
        <f t="shared" si="0"/>
        <v>11</v>
      </c>
      <c r="H80" s="59" t="s">
        <v>190</v>
      </c>
      <c r="I80" s="60">
        <v>43089</v>
      </c>
      <c r="J80" s="60">
        <v>43180</v>
      </c>
      <c r="K80" s="61">
        <v>100.3</v>
      </c>
      <c r="L80" s="62">
        <v>5.1399999999999996E-3</v>
      </c>
      <c r="M80" s="79"/>
      <c r="N80" s="79"/>
      <c r="O80" s="39"/>
    </row>
    <row r="81" spans="2:18" x14ac:dyDescent="0.25">
      <c r="B81" s="4"/>
      <c r="C81" s="148"/>
      <c r="D81" s="110"/>
      <c r="E81" s="188"/>
      <c r="F81" s="114"/>
      <c r="G81" s="98">
        <f t="shared" si="0"/>
        <v>12</v>
      </c>
      <c r="H81" s="59" t="s">
        <v>191</v>
      </c>
      <c r="I81" s="60">
        <v>43180</v>
      </c>
      <c r="J81" s="60">
        <v>43271</v>
      </c>
      <c r="K81" s="61">
        <v>100.285</v>
      </c>
      <c r="L81" s="62">
        <v>5.1399999999999996E-3</v>
      </c>
      <c r="M81" s="79"/>
      <c r="N81" s="79"/>
      <c r="O81" s="39"/>
    </row>
    <row r="82" spans="2:18" x14ac:dyDescent="0.25">
      <c r="B82" s="4"/>
      <c r="C82" s="148"/>
      <c r="D82" s="110"/>
      <c r="E82" s="188"/>
      <c r="F82" s="114"/>
      <c r="G82" s="7"/>
      <c r="H82" s="63"/>
      <c r="I82" s="60"/>
      <c r="J82" s="60"/>
      <c r="K82" s="64"/>
      <c r="L82" s="62"/>
      <c r="M82" s="79"/>
      <c r="N82" s="79"/>
      <c r="O82" s="39"/>
    </row>
    <row r="83" spans="2:18" x14ac:dyDescent="0.25">
      <c r="B83" s="4"/>
      <c r="C83" s="148"/>
      <c r="D83" s="110"/>
      <c r="E83" s="188"/>
      <c r="F83" s="114"/>
      <c r="G83" s="7"/>
      <c r="H83" s="65"/>
      <c r="I83" s="66"/>
      <c r="J83" s="66"/>
      <c r="K83" s="64"/>
      <c r="L83" s="67"/>
      <c r="M83" s="79"/>
      <c r="N83" s="79"/>
      <c r="O83" s="39"/>
      <c r="Q83" s="94"/>
      <c r="R83" s="94"/>
    </row>
    <row r="84" spans="2:18" x14ac:dyDescent="0.25">
      <c r="B84" s="4"/>
      <c r="C84" s="148"/>
      <c r="D84" s="110"/>
      <c r="E84" s="188"/>
      <c r="F84" s="114"/>
      <c r="G84" s="7"/>
      <c r="H84" s="65"/>
      <c r="I84" s="66"/>
      <c r="J84" s="66"/>
      <c r="K84" s="64"/>
      <c r="L84" s="67"/>
      <c r="M84" s="79"/>
      <c r="N84" s="79"/>
      <c r="O84" s="39"/>
    </row>
    <row r="85" spans="2:18" x14ac:dyDescent="0.25">
      <c r="B85" s="4"/>
      <c r="C85" s="149"/>
      <c r="D85" s="110"/>
      <c r="E85" s="194"/>
      <c r="F85" s="204"/>
      <c r="G85" s="7"/>
      <c r="H85" s="68"/>
      <c r="I85" s="69"/>
      <c r="J85" s="69"/>
      <c r="K85" s="70"/>
      <c r="L85" s="71"/>
      <c r="M85" s="79"/>
      <c r="N85" s="79"/>
      <c r="O85" s="39"/>
    </row>
    <row r="86" spans="2:18" x14ac:dyDescent="0.25">
      <c r="B86" s="4"/>
      <c r="C86" s="110"/>
      <c r="D86" s="110"/>
      <c r="E86" s="172"/>
      <c r="F86" s="203"/>
      <c r="G86" s="7"/>
      <c r="H86" s="8"/>
      <c r="I86" s="8"/>
      <c r="J86" s="8"/>
      <c r="K86" s="8"/>
      <c r="L86" s="8"/>
      <c r="M86" s="79"/>
      <c r="N86" s="79"/>
      <c r="O86" s="39"/>
    </row>
    <row r="87" spans="2:18" x14ac:dyDescent="0.25">
      <c r="B87" s="9"/>
      <c r="C87" s="112"/>
      <c r="D87" s="112"/>
      <c r="E87" s="170"/>
      <c r="F87" s="177"/>
      <c r="G87" s="10"/>
      <c r="H87" s="10"/>
      <c r="I87" s="10"/>
      <c r="J87" s="10"/>
      <c r="K87" s="10"/>
      <c r="L87" s="10"/>
      <c r="M87" s="10"/>
      <c r="N87" s="10"/>
      <c r="O87" s="11"/>
    </row>
    <row r="90" spans="2:18" x14ac:dyDescent="0.25">
      <c r="B90" s="40" t="s">
        <v>104</v>
      </c>
      <c r="C90" s="106"/>
      <c r="D90" s="121"/>
    </row>
    <row r="91" spans="2:18" x14ac:dyDescent="0.25">
      <c r="B91" s="1"/>
      <c r="C91" s="108"/>
      <c r="D91" s="108"/>
      <c r="E91" s="168"/>
      <c r="F91" s="178"/>
      <c r="G91" s="2"/>
      <c r="H91" s="2"/>
      <c r="I91" s="2"/>
      <c r="J91" s="2"/>
      <c r="K91" s="2"/>
      <c r="L91" s="2"/>
      <c r="M91" s="2"/>
      <c r="N91" s="2"/>
      <c r="O91" s="3"/>
    </row>
    <row r="92" spans="2:18" x14ac:dyDescent="0.25">
      <c r="B92" s="4"/>
      <c r="C92" s="110"/>
      <c r="D92" s="110"/>
      <c r="E92" s="192" t="s">
        <v>105</v>
      </c>
      <c r="F92" s="179"/>
      <c r="G92" s="8"/>
      <c r="H92" s="34" t="s">
        <v>106</v>
      </c>
      <c r="I92" s="8"/>
      <c r="J92" s="8"/>
      <c r="K92" s="8"/>
      <c r="L92" s="8"/>
      <c r="M92" s="8"/>
      <c r="N92" s="8"/>
      <c r="O92" s="39"/>
    </row>
    <row r="93" spans="2:18" ht="30" x14ac:dyDescent="0.25">
      <c r="B93" s="4"/>
      <c r="C93" s="146" t="s">
        <v>220</v>
      </c>
      <c r="D93" s="110"/>
      <c r="E93" s="202" t="s">
        <v>1</v>
      </c>
      <c r="F93" s="113" t="s">
        <v>2</v>
      </c>
      <c r="G93" s="5"/>
      <c r="H93" s="53" t="s">
        <v>11</v>
      </c>
      <c r="I93" s="53" t="s">
        <v>12</v>
      </c>
      <c r="J93" s="53" t="s">
        <v>8</v>
      </c>
      <c r="K93" s="8"/>
      <c r="L93" s="8"/>
      <c r="M93" s="8"/>
      <c r="N93" s="8"/>
      <c r="O93" s="39"/>
    </row>
    <row r="94" spans="2:18" ht="30" x14ac:dyDescent="0.25">
      <c r="B94" s="4"/>
      <c r="C94" s="146" t="s">
        <v>219</v>
      </c>
      <c r="D94" s="110"/>
      <c r="E94" s="189" t="s">
        <v>88</v>
      </c>
      <c r="F94" s="114" t="s">
        <v>20</v>
      </c>
      <c r="G94" s="7"/>
      <c r="H94" s="76" t="s">
        <v>43</v>
      </c>
      <c r="I94" s="73">
        <v>-2.65E-3</v>
      </c>
      <c r="J94" s="50" t="b">
        <v>1</v>
      </c>
      <c r="K94" s="99"/>
      <c r="L94" s="99"/>
      <c r="M94" s="99"/>
      <c r="N94" s="99"/>
      <c r="O94" s="39"/>
    </row>
    <row r="95" spans="2:18" ht="30" x14ac:dyDescent="0.25">
      <c r="B95" s="4"/>
      <c r="C95" s="146" t="s">
        <v>243</v>
      </c>
      <c r="D95" s="110"/>
      <c r="E95" s="189" t="s">
        <v>107</v>
      </c>
      <c r="F95" s="114" t="s">
        <v>6</v>
      </c>
      <c r="G95" s="7"/>
      <c r="H95" s="14" t="s">
        <v>50</v>
      </c>
      <c r="I95" s="74">
        <v>-2.0500000000000002E-3</v>
      </c>
      <c r="J95" s="51" t="b">
        <v>1</v>
      </c>
      <c r="K95" s="99"/>
      <c r="L95" s="99"/>
      <c r="M95" s="99"/>
      <c r="N95" s="99"/>
      <c r="O95" s="39"/>
    </row>
    <row r="96" spans="2:18" ht="30" x14ac:dyDescent="0.25">
      <c r="B96" s="4"/>
      <c r="C96" s="146" t="s">
        <v>221</v>
      </c>
      <c r="D96" s="110"/>
      <c r="E96" s="189" t="s">
        <v>27</v>
      </c>
      <c r="F96" s="114" t="s">
        <v>26</v>
      </c>
      <c r="G96" s="7"/>
      <c r="H96" s="14" t="s">
        <v>52</v>
      </c>
      <c r="I96" s="74">
        <v>-1.2475000000000001E-3</v>
      </c>
      <c r="J96" s="51" t="b">
        <v>1</v>
      </c>
      <c r="K96" s="99"/>
      <c r="L96" s="99"/>
      <c r="M96" s="99"/>
      <c r="N96" s="99"/>
      <c r="O96" s="39"/>
    </row>
    <row r="97" spans="2:17" ht="30" x14ac:dyDescent="0.25">
      <c r="B97" s="4"/>
      <c r="C97" s="146" t="s">
        <v>244</v>
      </c>
      <c r="D97" s="110"/>
      <c r="E97" s="189" t="s">
        <v>109</v>
      </c>
      <c r="F97" s="114" t="s">
        <v>28</v>
      </c>
      <c r="G97" s="7"/>
      <c r="H97" s="14" t="s">
        <v>54</v>
      </c>
      <c r="I97" s="74">
        <v>-2.4750000000000011E-4</v>
      </c>
      <c r="J97" s="51" t="b">
        <v>1</v>
      </c>
      <c r="K97" s="99"/>
      <c r="L97" s="99"/>
      <c r="M97" s="99"/>
      <c r="N97" s="99"/>
      <c r="O97" s="39"/>
    </row>
    <row r="98" spans="2:17" ht="30" x14ac:dyDescent="0.25">
      <c r="B98" s="4"/>
      <c r="C98" s="145" t="s">
        <v>218</v>
      </c>
      <c r="D98" s="110"/>
      <c r="E98" s="189" t="s">
        <v>110</v>
      </c>
      <c r="F98" s="139" t="str">
        <f>interpolationFunction</f>
        <v>fn_SplineInterpolation</v>
      </c>
      <c r="G98" s="7"/>
      <c r="H98" s="14" t="s">
        <v>55</v>
      </c>
      <c r="I98" s="74">
        <v>9.0249999999999966E-4</v>
      </c>
      <c r="J98" s="51" t="b">
        <v>1</v>
      </c>
      <c r="K98" s="99"/>
      <c r="L98" s="99"/>
      <c r="M98" s="99"/>
      <c r="N98" s="99"/>
      <c r="O98" s="39"/>
    </row>
    <row r="99" spans="2:17" ht="30" x14ac:dyDescent="0.25">
      <c r="B99" s="4"/>
      <c r="C99" s="146" t="s">
        <v>223</v>
      </c>
      <c r="D99" s="110"/>
      <c r="E99" s="189" t="s">
        <v>93</v>
      </c>
      <c r="F99" s="114" t="b">
        <v>1</v>
      </c>
      <c r="G99" s="7"/>
      <c r="H99" s="14" t="s">
        <v>57</v>
      </c>
      <c r="I99" s="74">
        <v>2.1275000000000001E-3</v>
      </c>
      <c r="J99" s="51" t="b">
        <v>1</v>
      </c>
      <c r="K99" s="99"/>
      <c r="L99" s="99"/>
      <c r="M99" s="99"/>
      <c r="N99" s="99"/>
      <c r="O99" s="39"/>
    </row>
    <row r="100" spans="2:17" ht="30" x14ac:dyDescent="0.25">
      <c r="B100" s="4"/>
      <c r="C100" s="146" t="s">
        <v>224</v>
      </c>
      <c r="D100" s="110"/>
      <c r="E100" s="189" t="s">
        <v>192</v>
      </c>
      <c r="F100" s="114">
        <v>31</v>
      </c>
      <c r="G100" s="7"/>
      <c r="H100" s="14" t="s">
        <v>59</v>
      </c>
      <c r="I100" s="74">
        <v>3.3224999999999999E-3</v>
      </c>
      <c r="J100" s="51" t="b">
        <v>1</v>
      </c>
      <c r="K100" s="99"/>
      <c r="L100" s="99"/>
      <c r="M100" s="99"/>
      <c r="N100" s="99"/>
      <c r="O100" s="39"/>
    </row>
    <row r="101" spans="2:17" ht="30" x14ac:dyDescent="0.25">
      <c r="B101" s="4"/>
      <c r="C101" s="146" t="s">
        <v>222</v>
      </c>
      <c r="D101" s="110"/>
      <c r="E101" s="189" t="s">
        <v>92</v>
      </c>
      <c r="F101" s="114">
        <v>2</v>
      </c>
      <c r="G101" s="7"/>
      <c r="H101" s="14" t="s">
        <v>60</v>
      </c>
      <c r="I101" s="74">
        <v>4.4425000000000003E-3</v>
      </c>
      <c r="J101" s="51" t="b">
        <v>1</v>
      </c>
      <c r="K101" s="99"/>
      <c r="L101" s="99"/>
      <c r="M101" s="99"/>
      <c r="N101" s="99"/>
      <c r="O101" s="39"/>
    </row>
    <row r="102" spans="2:17" ht="30" x14ac:dyDescent="0.25">
      <c r="B102" s="4"/>
      <c r="C102" s="146" t="s">
        <v>245</v>
      </c>
      <c r="D102" s="110"/>
      <c r="E102" s="189" t="s">
        <v>21</v>
      </c>
      <c r="F102" s="126" t="s">
        <v>22</v>
      </c>
      <c r="G102" s="7"/>
      <c r="H102" s="14" t="s">
        <v>61</v>
      </c>
      <c r="I102" s="74">
        <v>5.43334E-3</v>
      </c>
      <c r="J102" s="51" t="b">
        <v>1</v>
      </c>
      <c r="K102" s="99"/>
      <c r="L102" s="99"/>
      <c r="M102" s="99"/>
      <c r="N102" s="99"/>
      <c r="O102" s="39"/>
    </row>
    <row r="103" spans="2:17" ht="30" x14ac:dyDescent="0.25">
      <c r="B103" s="4"/>
      <c r="C103" s="146" t="s">
        <v>246</v>
      </c>
      <c r="D103" s="110"/>
      <c r="E103" s="189" t="s">
        <v>111</v>
      </c>
      <c r="F103" s="114" t="b">
        <v>1</v>
      </c>
      <c r="G103" s="7"/>
      <c r="H103" s="14" t="s">
        <v>62</v>
      </c>
      <c r="I103" s="74">
        <v>6.3458400000000002E-3</v>
      </c>
      <c r="J103" s="51" t="b">
        <v>1</v>
      </c>
      <c r="K103" s="99"/>
      <c r="L103" s="99"/>
      <c r="M103" s="99"/>
      <c r="N103" s="99"/>
      <c r="O103" s="39"/>
    </row>
    <row r="104" spans="2:17" ht="30" x14ac:dyDescent="0.25">
      <c r="B104" s="4"/>
      <c r="C104" s="146" t="s">
        <v>284</v>
      </c>
      <c r="D104" s="110"/>
      <c r="E104" s="189" t="s">
        <v>112</v>
      </c>
      <c r="F104" s="114" t="b">
        <v>1</v>
      </c>
      <c r="G104" s="7"/>
      <c r="H104" s="14" t="s">
        <v>63</v>
      </c>
      <c r="I104" s="74">
        <v>8.432499999999999E-3</v>
      </c>
      <c r="J104" s="51" t="b">
        <v>1</v>
      </c>
      <c r="K104" s="99"/>
      <c r="L104" s="99"/>
      <c r="M104" s="99"/>
      <c r="N104" s="99"/>
      <c r="O104" s="39"/>
    </row>
    <row r="105" spans="2:17" ht="30" x14ac:dyDescent="0.25">
      <c r="B105" s="4"/>
      <c r="C105" s="146" t="s">
        <v>230</v>
      </c>
      <c r="D105" s="110"/>
      <c r="E105" s="189" t="s">
        <v>113</v>
      </c>
      <c r="F105" s="116">
        <v>1.0000000000000001E-9</v>
      </c>
      <c r="G105" s="7"/>
      <c r="H105" s="14" t="s">
        <v>64</v>
      </c>
      <c r="I105" s="74">
        <v>1.0167500000000001E-2</v>
      </c>
      <c r="J105" s="51" t="b">
        <v>1</v>
      </c>
      <c r="K105" s="99"/>
      <c r="L105" s="99"/>
      <c r="M105" s="99"/>
      <c r="N105" s="99"/>
      <c r="O105" s="39"/>
    </row>
    <row r="106" spans="2:17" ht="30" x14ac:dyDescent="0.25">
      <c r="B106" s="4"/>
      <c r="C106" s="147" t="s">
        <v>231</v>
      </c>
      <c r="D106" s="110"/>
      <c r="E106" s="189" t="s">
        <v>114</v>
      </c>
      <c r="F106" s="135">
        <v>1000</v>
      </c>
      <c r="G106" s="7"/>
      <c r="H106" s="14" t="s">
        <v>65</v>
      </c>
      <c r="I106" s="74">
        <v>1.069667E-2</v>
      </c>
      <c r="J106" s="51" t="b">
        <v>1</v>
      </c>
      <c r="K106" s="99"/>
      <c r="L106" s="99"/>
      <c r="M106" s="99"/>
      <c r="N106" s="99"/>
      <c r="O106" s="39"/>
    </row>
    <row r="107" spans="2:17" x14ac:dyDescent="0.25">
      <c r="B107" s="4"/>
      <c r="C107" s="148"/>
      <c r="D107" s="110"/>
      <c r="E107" s="189"/>
      <c r="F107" s="114"/>
      <c r="G107" s="7"/>
      <c r="H107" s="14" t="s">
        <v>66</v>
      </c>
      <c r="I107" s="74">
        <v>1.08675E-2</v>
      </c>
      <c r="J107" s="51" t="b">
        <v>1</v>
      </c>
      <c r="K107" s="99"/>
      <c r="L107" s="99"/>
      <c r="M107" s="99"/>
      <c r="N107" s="99"/>
      <c r="O107" s="39"/>
    </row>
    <row r="108" spans="2:17" x14ac:dyDescent="0.25">
      <c r="B108" s="4"/>
      <c r="C108" s="148"/>
      <c r="D108" s="110"/>
      <c r="E108" s="189"/>
      <c r="F108" s="114"/>
      <c r="G108" s="7"/>
      <c r="H108" s="14"/>
      <c r="I108" s="74"/>
      <c r="J108" s="51"/>
      <c r="K108" s="53"/>
      <c r="L108" s="100"/>
      <c r="M108" s="100"/>
      <c r="N108" s="100"/>
      <c r="O108" s="39"/>
    </row>
    <row r="109" spans="2:17" x14ac:dyDescent="0.25">
      <c r="B109" s="4"/>
      <c r="C109" s="148"/>
      <c r="D109" s="110"/>
      <c r="E109" s="189"/>
      <c r="F109" s="114"/>
      <c r="G109" s="7"/>
      <c r="H109" s="14"/>
      <c r="I109" s="74"/>
      <c r="J109" s="51"/>
      <c r="K109" s="53"/>
      <c r="L109" s="100"/>
      <c r="M109" s="100"/>
      <c r="N109" s="100"/>
      <c r="O109" s="39"/>
    </row>
    <row r="110" spans="2:17" x14ac:dyDescent="0.25">
      <c r="B110" s="4"/>
      <c r="C110" s="148"/>
      <c r="D110" s="110"/>
      <c r="E110" s="189"/>
      <c r="F110" s="114"/>
      <c r="G110" s="7"/>
      <c r="H110" s="14"/>
      <c r="I110" s="74"/>
      <c r="J110" s="51"/>
      <c r="K110" s="53"/>
      <c r="L110" s="8"/>
      <c r="M110" s="8"/>
      <c r="N110" s="8"/>
      <c r="O110" s="39"/>
      <c r="Q110" s="96"/>
    </row>
    <row r="111" spans="2:17" x14ac:dyDescent="0.25">
      <c r="B111" s="4"/>
      <c r="C111" s="149"/>
      <c r="D111" s="110"/>
      <c r="E111" s="191"/>
      <c r="F111" s="204"/>
      <c r="G111" s="7"/>
      <c r="H111" s="15"/>
      <c r="I111" s="75"/>
      <c r="J111" s="52"/>
      <c r="K111" s="53"/>
      <c r="L111" s="8"/>
      <c r="M111" s="8"/>
      <c r="N111" s="8"/>
      <c r="O111" s="39"/>
    </row>
    <row r="112" spans="2:17" x14ac:dyDescent="0.25">
      <c r="B112" s="4"/>
      <c r="C112" s="110"/>
      <c r="D112" s="110"/>
      <c r="E112" s="172"/>
      <c r="F112" s="203"/>
      <c r="G112" s="7"/>
      <c r="H112" s="8"/>
      <c r="I112" s="8"/>
      <c r="J112" s="8"/>
      <c r="K112" s="8"/>
      <c r="L112" s="8"/>
      <c r="M112" s="8"/>
      <c r="N112" s="8"/>
      <c r="O112" s="39"/>
    </row>
    <row r="113" spans="2:15" x14ac:dyDescent="0.25">
      <c r="B113" s="9"/>
      <c r="C113" s="112"/>
      <c r="D113" s="112"/>
      <c r="E113" s="170"/>
      <c r="F113" s="177"/>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6" tint="0.39997558519241921"/>
  </sheetPr>
  <dimension ref="A1:P78"/>
  <sheetViews>
    <sheetView showGridLines="0" workbookViewId="0"/>
  </sheetViews>
  <sheetFormatPr defaultRowHeight="15" x14ac:dyDescent="0.25"/>
  <cols>
    <col min="2" max="2" width="2.7109375" customWidth="1"/>
    <col min="3" max="3" width="110.7109375" style="107" hidden="1" customWidth="1"/>
    <col min="4" max="4" width="4.7109375" style="107" hidden="1" customWidth="1"/>
    <col min="5" max="5" width="13" style="107" customWidth="1"/>
    <col min="6" max="6" width="26.7109375" style="167" customWidth="1"/>
    <col min="7" max="7" width="32.7109375" style="176" customWidth="1"/>
    <col min="8" max="8" width="4.7109375" style="167" customWidth="1"/>
    <col min="9" max="11" width="12.7109375" customWidth="1"/>
    <col min="12" max="13" width="18.7109375" customWidth="1"/>
    <col min="14" max="14" width="2.7109375" customWidth="1"/>
    <col min="15" max="16" width="9.140625" customWidth="1"/>
  </cols>
  <sheetData>
    <row r="1" spans="1:14" x14ac:dyDescent="0.25">
      <c r="A1" s="107"/>
    </row>
    <row r="2" spans="1:14" s="208" customFormat="1" ht="23.25" x14ac:dyDescent="0.35">
      <c r="B2" s="227" t="s">
        <v>310</v>
      </c>
      <c r="F2" s="228"/>
      <c r="G2" s="229"/>
      <c r="H2" s="228"/>
    </row>
    <row r="3" spans="1:14" s="208" customFormat="1" ht="23.25" x14ac:dyDescent="0.35">
      <c r="B3" s="88" t="s">
        <v>298</v>
      </c>
      <c r="F3" s="228"/>
      <c r="G3" s="229"/>
      <c r="H3" s="228"/>
    </row>
    <row r="5" spans="1:14" x14ac:dyDescent="0.25">
      <c r="B5" s="40" t="s">
        <v>214</v>
      </c>
      <c r="C5" s="121"/>
      <c r="D5" s="121"/>
      <c r="E5" s="121"/>
    </row>
    <row r="6" spans="1:14" x14ac:dyDescent="0.25">
      <c r="B6" s="1"/>
      <c r="C6" s="108"/>
      <c r="D6" s="108"/>
      <c r="E6" s="108"/>
      <c r="F6" s="182"/>
      <c r="G6" s="117"/>
      <c r="H6" s="168"/>
      <c r="I6" s="2"/>
      <c r="J6" s="2"/>
      <c r="K6" s="2"/>
      <c r="L6" s="2"/>
      <c r="M6" s="2"/>
      <c r="N6" s="3"/>
    </row>
    <row r="7" spans="1:14" x14ac:dyDescent="0.25">
      <c r="B7" s="4"/>
      <c r="C7" s="120"/>
      <c r="D7" s="110"/>
      <c r="E7" s="110"/>
      <c r="F7" s="183" t="s">
        <v>214</v>
      </c>
      <c r="G7" s="124"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(0.00900 sec)</v>
      </c>
      <c r="H7" s="152"/>
      <c r="I7" s="43"/>
      <c r="J7" s="5"/>
      <c r="K7" s="5"/>
      <c r="L7" s="5"/>
      <c r="M7" s="5"/>
      <c r="N7" s="6"/>
    </row>
    <row r="8" spans="1:14" x14ac:dyDescent="0.25">
      <c r="B8" s="4"/>
      <c r="C8" s="110"/>
      <c r="D8" s="110"/>
      <c r="E8" s="110"/>
      <c r="F8" s="184" t="s">
        <v>167</v>
      </c>
      <c r="G8" s="142" t="b">
        <f ca="1">LEFT(G7,5)=TenorBasisCurve3M6M.CollectionName</f>
        <v>1</v>
      </c>
      <c r="H8" s="169"/>
      <c r="I8" s="5"/>
      <c r="J8" s="5"/>
      <c r="K8" s="5"/>
      <c r="L8" s="5"/>
      <c r="M8" s="5"/>
      <c r="N8" s="6"/>
    </row>
    <row r="9" spans="1:14" x14ac:dyDescent="0.25">
      <c r="B9" s="4"/>
      <c r="C9" s="110"/>
      <c r="D9" s="110"/>
      <c r="E9" s="110"/>
      <c r="F9" s="185"/>
      <c r="G9" s="123"/>
      <c r="H9" s="169"/>
      <c r="I9" s="5"/>
      <c r="J9" s="5"/>
      <c r="K9" s="5"/>
      <c r="L9" s="5"/>
      <c r="M9" s="5"/>
      <c r="N9" s="6"/>
    </row>
    <row r="10" spans="1:14" x14ac:dyDescent="0.25">
      <c r="B10" s="4"/>
      <c r="C10" s="110"/>
      <c r="D10" s="110"/>
      <c r="E10" s="110"/>
      <c r="F10" s="185"/>
      <c r="G10" s="123"/>
      <c r="H10" s="169"/>
      <c r="I10" s="5"/>
      <c r="J10" s="5"/>
      <c r="K10" s="5"/>
      <c r="L10" s="5"/>
      <c r="M10" s="5"/>
      <c r="N10" s="6"/>
    </row>
    <row r="11" spans="1:14" x14ac:dyDescent="0.25">
      <c r="B11" s="4"/>
      <c r="C11" s="110"/>
      <c r="D11" s="110"/>
      <c r="E11" s="110"/>
      <c r="F11" s="186" t="s">
        <v>0</v>
      </c>
      <c r="G11" s="122"/>
      <c r="H11" s="169"/>
      <c r="I11" s="5"/>
      <c r="J11" s="5"/>
      <c r="K11" s="5"/>
      <c r="L11" s="5"/>
      <c r="M11" s="5"/>
      <c r="N11" s="6"/>
    </row>
    <row r="12" spans="1:14" ht="30" x14ac:dyDescent="0.25">
      <c r="B12" s="4"/>
      <c r="C12" s="145" t="s">
        <v>215</v>
      </c>
      <c r="D12" s="110"/>
      <c r="E12" s="110"/>
      <c r="F12" s="187" t="s">
        <v>80</v>
      </c>
      <c r="G12" s="136" t="s">
        <v>78</v>
      </c>
      <c r="H12" s="169"/>
      <c r="I12" s="5"/>
      <c r="J12" s="5"/>
      <c r="K12" s="5"/>
      <c r="L12" s="5"/>
      <c r="M12" s="5"/>
      <c r="N12" s="6"/>
    </row>
    <row r="13" spans="1:14" ht="30" x14ac:dyDescent="0.25">
      <c r="B13" s="4"/>
      <c r="C13" s="145" t="s">
        <v>291</v>
      </c>
      <c r="D13" s="110"/>
      <c r="E13" s="110"/>
      <c r="F13" s="188" t="s">
        <v>79</v>
      </c>
      <c r="G13" s="137" t="s">
        <v>321</v>
      </c>
      <c r="H13" s="169"/>
      <c r="I13" s="5"/>
      <c r="J13" s="5"/>
      <c r="K13" s="5"/>
      <c r="L13" s="5"/>
      <c r="M13" s="5"/>
      <c r="N13" s="6"/>
    </row>
    <row r="14" spans="1:14" ht="30" x14ac:dyDescent="0.25">
      <c r="B14" s="4"/>
      <c r="C14" s="145" t="s">
        <v>292</v>
      </c>
      <c r="D14" s="110"/>
      <c r="E14" s="110"/>
      <c r="F14" s="190" t="s">
        <v>81</v>
      </c>
      <c r="G14" s="138" t="s">
        <v>322</v>
      </c>
      <c r="H14" s="169"/>
      <c r="I14" s="5"/>
      <c r="J14" s="5"/>
      <c r="K14" s="5"/>
      <c r="L14" s="5"/>
      <c r="M14" s="5"/>
      <c r="N14" s="6" t="s">
        <v>4</v>
      </c>
    </row>
    <row r="15" spans="1:14" x14ac:dyDescent="0.25">
      <c r="B15" s="9"/>
      <c r="C15" s="112"/>
      <c r="D15" s="112"/>
      <c r="E15" s="112"/>
      <c r="F15" s="170"/>
      <c r="G15" s="177"/>
      <c r="H15" s="170"/>
      <c r="I15" s="10"/>
      <c r="J15" s="10"/>
      <c r="K15" s="10"/>
      <c r="L15" s="10"/>
      <c r="M15" s="10"/>
      <c r="N15" s="11"/>
    </row>
    <row r="18" spans="2:14" x14ac:dyDescent="0.25">
      <c r="B18" s="40" t="s">
        <v>68</v>
      </c>
      <c r="C18" s="121"/>
      <c r="D18" s="121"/>
      <c r="E18" s="121"/>
    </row>
    <row r="19" spans="2:14" x14ac:dyDescent="0.25">
      <c r="B19" s="1"/>
      <c r="C19" s="108"/>
      <c r="D19" s="108"/>
      <c r="E19" s="108"/>
      <c r="F19" s="182"/>
      <c r="G19" s="117"/>
      <c r="H19" s="168"/>
      <c r="I19" s="2"/>
      <c r="J19" s="2"/>
      <c r="K19" s="2"/>
      <c r="L19" s="2"/>
      <c r="M19" s="2"/>
      <c r="N19" s="3"/>
    </row>
    <row r="20" spans="2:14" x14ac:dyDescent="0.25">
      <c r="B20" s="4"/>
      <c r="C20" s="110"/>
      <c r="D20" s="110"/>
      <c r="E20" s="110"/>
      <c r="F20" s="186" t="s">
        <v>68</v>
      </c>
      <c r="G20" s="118"/>
      <c r="H20" s="169"/>
      <c r="I20" s="5"/>
      <c r="J20" s="5"/>
      <c r="K20" s="5"/>
      <c r="L20" s="5"/>
      <c r="M20" s="5"/>
      <c r="N20" s="6"/>
    </row>
    <row r="21" spans="2:14" ht="30" x14ac:dyDescent="0.25">
      <c r="B21" s="4"/>
      <c r="C21" s="145" t="s">
        <v>216</v>
      </c>
      <c r="D21" s="110"/>
      <c r="E21" s="110"/>
      <c r="F21" s="187" t="s">
        <v>10</v>
      </c>
      <c r="G21" s="136">
        <f>COB</f>
        <v>42521</v>
      </c>
      <c r="H21" s="169"/>
      <c r="I21" s="5"/>
      <c r="J21" s="5"/>
      <c r="K21" s="5"/>
      <c r="L21" s="5"/>
      <c r="M21" s="5"/>
      <c r="N21" s="6"/>
    </row>
    <row r="22" spans="2:14" ht="30" x14ac:dyDescent="0.25">
      <c r="B22" s="4"/>
      <c r="C22" s="145" t="s">
        <v>217</v>
      </c>
      <c r="D22" s="110"/>
      <c r="E22" s="110"/>
      <c r="F22" s="188" t="s">
        <v>16</v>
      </c>
      <c r="G22" s="137" t="s">
        <v>17</v>
      </c>
      <c r="H22" s="169"/>
      <c r="I22" s="5"/>
      <c r="J22" s="5"/>
      <c r="K22" s="5"/>
      <c r="L22" s="5"/>
      <c r="M22" s="5"/>
      <c r="N22" s="6"/>
    </row>
    <row r="23" spans="2:14" ht="45" x14ac:dyDescent="0.25">
      <c r="B23" s="4"/>
      <c r="C23" s="145" t="s">
        <v>252</v>
      </c>
      <c r="D23" s="110"/>
      <c r="E23" s="110"/>
      <c r="F23" s="188" t="s">
        <v>211</v>
      </c>
      <c r="G23" s="139" t="str">
        <f>interpolationFunction</f>
        <v>fn_SplineInterpolation</v>
      </c>
      <c r="H23" s="169"/>
      <c r="I23" s="5"/>
      <c r="J23" s="5"/>
      <c r="K23" s="5"/>
      <c r="L23" s="5"/>
      <c r="M23" s="5"/>
      <c r="N23" s="6"/>
    </row>
    <row r="24" spans="2:14" ht="45" x14ac:dyDescent="0.25">
      <c r="B24" s="4"/>
      <c r="C24" s="146" t="s">
        <v>251</v>
      </c>
      <c r="D24" s="110"/>
      <c r="E24" s="110"/>
      <c r="F24" s="188" t="s">
        <v>173</v>
      </c>
      <c r="G24" s="137" t="b">
        <v>1</v>
      </c>
      <c r="H24" s="169"/>
      <c r="I24" s="5"/>
      <c r="J24" s="5"/>
      <c r="K24" s="5"/>
      <c r="L24" s="5"/>
      <c r="M24" s="5"/>
      <c r="N24" s="6"/>
    </row>
    <row r="25" spans="2:14" ht="45" x14ac:dyDescent="0.25">
      <c r="B25" s="4"/>
      <c r="C25" s="150" t="s">
        <v>242</v>
      </c>
      <c r="D25" s="110"/>
      <c r="E25" s="110"/>
      <c r="F25" s="188" t="s">
        <v>172</v>
      </c>
      <c r="G25" s="137" t="s">
        <v>9</v>
      </c>
      <c r="H25" s="169"/>
      <c r="I25" s="5"/>
      <c r="J25" s="5"/>
      <c r="K25" s="5"/>
      <c r="L25" s="5"/>
      <c r="M25" s="5"/>
      <c r="N25" s="6"/>
    </row>
    <row r="26" spans="2:14" x14ac:dyDescent="0.25">
      <c r="B26" s="4"/>
      <c r="C26" s="155"/>
      <c r="D26" s="110"/>
      <c r="E26" s="110"/>
      <c r="F26" s="188"/>
      <c r="G26" s="137"/>
      <c r="H26" s="169"/>
      <c r="I26" s="5"/>
      <c r="J26" s="5"/>
      <c r="K26" s="5"/>
      <c r="L26" s="5"/>
      <c r="M26" s="5"/>
      <c r="N26" s="6"/>
    </row>
    <row r="27" spans="2:14" x14ac:dyDescent="0.25">
      <c r="B27" s="4"/>
      <c r="C27" s="151"/>
      <c r="D27" s="110"/>
      <c r="E27" s="110"/>
      <c r="F27" s="190"/>
      <c r="G27" s="138"/>
      <c r="H27" s="169"/>
      <c r="I27" s="5"/>
      <c r="J27" s="5"/>
      <c r="K27" s="5"/>
      <c r="L27" s="5"/>
      <c r="M27" s="5"/>
      <c r="N27" s="6"/>
    </row>
    <row r="28" spans="2:14" x14ac:dyDescent="0.25">
      <c r="B28" s="9"/>
      <c r="C28" s="112"/>
      <c r="D28" s="112"/>
      <c r="E28" s="112"/>
      <c r="F28" s="170"/>
      <c r="G28" s="177"/>
      <c r="H28" s="170"/>
      <c r="I28" s="10"/>
      <c r="J28" s="10"/>
      <c r="K28" s="10"/>
      <c r="L28" s="10"/>
      <c r="M28" s="10"/>
      <c r="N28" s="11"/>
    </row>
    <row r="31" spans="2:14" x14ac:dyDescent="0.25">
      <c r="B31" s="40" t="s">
        <v>118</v>
      </c>
      <c r="C31" s="121"/>
      <c r="D31" s="121"/>
      <c r="E31" s="121"/>
      <c r="L31" s="13"/>
    </row>
    <row r="32" spans="2:14" x14ac:dyDescent="0.25">
      <c r="B32" s="1"/>
      <c r="C32" s="108"/>
      <c r="D32" s="108"/>
      <c r="E32" s="108"/>
      <c r="F32" s="168"/>
      <c r="G32" s="178"/>
      <c r="H32" s="168"/>
      <c r="I32" s="95" t="s">
        <v>181</v>
      </c>
      <c r="J32" s="95"/>
      <c r="K32" s="2"/>
      <c r="L32" s="2"/>
      <c r="M32" s="2"/>
      <c r="N32" s="3"/>
    </row>
    <row r="33" spans="2:14" x14ac:dyDescent="0.25">
      <c r="B33" s="4"/>
      <c r="C33" s="110"/>
      <c r="D33" s="110"/>
      <c r="E33" s="110"/>
      <c r="F33" s="192" t="s">
        <v>160</v>
      </c>
      <c r="G33" s="179"/>
      <c r="H33" s="171"/>
      <c r="I33" s="119" t="s">
        <v>203</v>
      </c>
      <c r="J33" s="111"/>
      <c r="K33" s="8"/>
      <c r="L33" s="8"/>
      <c r="M33" s="8"/>
      <c r="N33" s="39"/>
    </row>
    <row r="34" spans="2:14" ht="45" x14ac:dyDescent="0.25">
      <c r="B34" s="4"/>
      <c r="C34" s="145" t="s">
        <v>253</v>
      </c>
      <c r="D34" s="110"/>
      <c r="E34" s="141"/>
      <c r="F34" s="187" t="s">
        <v>119</v>
      </c>
      <c r="G34" s="113" t="s">
        <v>120</v>
      </c>
      <c r="H34" s="171"/>
      <c r="I34" s="53" t="s">
        <v>11</v>
      </c>
      <c r="J34" s="53" t="s">
        <v>12</v>
      </c>
      <c r="K34" s="53" t="s">
        <v>210</v>
      </c>
      <c r="L34" s="53" t="s">
        <v>179</v>
      </c>
      <c r="M34" s="53" t="s">
        <v>180</v>
      </c>
      <c r="N34" s="39"/>
    </row>
    <row r="35" spans="2:14" ht="45" x14ac:dyDescent="0.25">
      <c r="B35" s="4"/>
      <c r="C35" s="145" t="s">
        <v>254</v>
      </c>
      <c r="D35" s="110"/>
      <c r="E35" s="316" t="s">
        <v>165</v>
      </c>
      <c r="F35" s="205" t="s">
        <v>121</v>
      </c>
      <c r="G35" s="140" t="b">
        <v>1</v>
      </c>
      <c r="H35" s="171"/>
      <c r="I35" s="129" t="s">
        <v>159</v>
      </c>
      <c r="J35" s="132">
        <v>1.2999999999999999E-3</v>
      </c>
      <c r="K35" s="158" t="b">
        <v>0</v>
      </c>
      <c r="L35" s="159" t="s">
        <v>176</v>
      </c>
      <c r="M35" s="160" t="str">
        <f t="shared" ref="M35:M36" si="0">I35</f>
        <v>1Y</v>
      </c>
      <c r="N35" s="39"/>
    </row>
    <row r="36" spans="2:14" ht="30" x14ac:dyDescent="0.25">
      <c r="B36" s="4"/>
      <c r="C36" s="145" t="s">
        <v>255</v>
      </c>
      <c r="D36" s="110"/>
      <c r="E36" s="317"/>
      <c r="F36" s="188" t="s">
        <v>122</v>
      </c>
      <c r="G36" s="114" t="s">
        <v>2</v>
      </c>
      <c r="H36" s="171"/>
      <c r="I36" s="48" t="s">
        <v>47</v>
      </c>
      <c r="J36" s="74">
        <v>1.2999999999999999E-3</v>
      </c>
      <c r="K36" s="161" t="b">
        <v>0</v>
      </c>
      <c r="L36" s="162" t="s">
        <v>176</v>
      </c>
      <c r="M36" s="163" t="str">
        <f t="shared" si="0"/>
        <v>2Y</v>
      </c>
      <c r="N36" s="39"/>
    </row>
    <row r="37" spans="2:14" ht="30" x14ac:dyDescent="0.25">
      <c r="B37" s="4"/>
      <c r="C37" s="145" t="s">
        <v>256</v>
      </c>
      <c r="D37" s="110"/>
      <c r="E37" s="317"/>
      <c r="F37" s="188" t="s">
        <v>123</v>
      </c>
      <c r="G37" s="114" t="s">
        <v>124</v>
      </c>
      <c r="H37" s="171"/>
      <c r="I37" s="130" t="s">
        <v>43</v>
      </c>
      <c r="J37" s="133">
        <v>1.2999999999999999E-3</v>
      </c>
      <c r="K37" s="161" t="b">
        <v>0</v>
      </c>
      <c r="L37" s="162" t="s">
        <v>176</v>
      </c>
      <c r="M37" s="163" t="str">
        <f>I37</f>
        <v>3Y</v>
      </c>
      <c r="N37" s="39"/>
    </row>
    <row r="38" spans="2:14" ht="30" x14ac:dyDescent="0.25">
      <c r="B38" s="4"/>
      <c r="C38" s="145" t="s">
        <v>257</v>
      </c>
      <c r="D38" s="110"/>
      <c r="E38" s="317"/>
      <c r="F38" s="188" t="s">
        <v>125</v>
      </c>
      <c r="G38" s="126" t="s">
        <v>28</v>
      </c>
      <c r="H38" s="171"/>
      <c r="I38" s="130" t="s">
        <v>50</v>
      </c>
      <c r="J38" s="133">
        <v>1.3499999999999999E-3</v>
      </c>
      <c r="K38" s="161" t="b">
        <f t="shared" ref="K38:K50" si="1">ISNUMBER(L38)</f>
        <v>0</v>
      </c>
      <c r="L38" s="162" t="s">
        <v>176</v>
      </c>
      <c r="M38" s="163" t="str">
        <f t="shared" ref="M38:M50" si="2">I38</f>
        <v>4Y</v>
      </c>
      <c r="N38" s="39"/>
    </row>
    <row r="39" spans="2:14" ht="30" x14ac:dyDescent="0.25">
      <c r="B39" s="4"/>
      <c r="C39" s="145" t="s">
        <v>258</v>
      </c>
      <c r="D39" s="110"/>
      <c r="E39" s="317"/>
      <c r="F39" s="188" t="s">
        <v>126</v>
      </c>
      <c r="G39" s="126" t="s">
        <v>22</v>
      </c>
      <c r="H39" s="171"/>
      <c r="I39" s="130" t="s">
        <v>52</v>
      </c>
      <c r="J39" s="133">
        <v>1.39E-3</v>
      </c>
      <c r="K39" s="161" t="b">
        <f t="shared" si="1"/>
        <v>0</v>
      </c>
      <c r="L39" s="162" t="s">
        <v>176</v>
      </c>
      <c r="M39" s="163" t="str">
        <f t="shared" si="2"/>
        <v>5Y</v>
      </c>
      <c r="N39" s="39"/>
    </row>
    <row r="40" spans="2:14" ht="30" x14ac:dyDescent="0.25">
      <c r="B40" s="4"/>
      <c r="C40" s="145" t="s">
        <v>268</v>
      </c>
      <c r="D40" s="110"/>
      <c r="E40" s="317"/>
      <c r="F40" s="188" t="s">
        <v>127</v>
      </c>
      <c r="G40" s="114" t="s">
        <v>101</v>
      </c>
      <c r="H40" s="171"/>
      <c r="I40" s="130" t="s">
        <v>54</v>
      </c>
      <c r="J40" s="133">
        <v>1.39E-3</v>
      </c>
      <c r="K40" s="161" t="b">
        <f t="shared" si="1"/>
        <v>0</v>
      </c>
      <c r="L40" s="162" t="s">
        <v>176</v>
      </c>
      <c r="M40" s="163" t="str">
        <f t="shared" si="2"/>
        <v>6Y</v>
      </c>
      <c r="N40" s="39"/>
    </row>
    <row r="41" spans="2:14" ht="30" x14ac:dyDescent="0.25">
      <c r="B41" s="4"/>
      <c r="C41" s="145" t="s">
        <v>260</v>
      </c>
      <c r="D41" s="110"/>
      <c r="E41" s="317"/>
      <c r="F41" s="188" t="s">
        <v>128</v>
      </c>
      <c r="G41" s="114" t="s">
        <v>9</v>
      </c>
      <c r="H41" s="171"/>
      <c r="I41" s="130" t="s">
        <v>55</v>
      </c>
      <c r="J41" s="133">
        <v>1.3699999999999999E-3</v>
      </c>
      <c r="K41" s="161" t="b">
        <f t="shared" si="1"/>
        <v>0</v>
      </c>
      <c r="L41" s="162" t="s">
        <v>176</v>
      </c>
      <c r="M41" s="163" t="str">
        <f t="shared" si="2"/>
        <v>7Y</v>
      </c>
      <c r="N41" s="39"/>
    </row>
    <row r="42" spans="2:14" ht="30" x14ac:dyDescent="0.25">
      <c r="B42" s="4"/>
      <c r="C42" s="145" t="s">
        <v>259</v>
      </c>
      <c r="D42" s="110"/>
      <c r="E42" s="317"/>
      <c r="F42" s="188" t="s">
        <v>129</v>
      </c>
      <c r="G42" s="114" t="s">
        <v>168</v>
      </c>
      <c r="H42" s="171"/>
      <c r="I42" s="130" t="s">
        <v>57</v>
      </c>
      <c r="J42" s="133">
        <v>1.3249999999999998E-3</v>
      </c>
      <c r="K42" s="161" t="b">
        <f t="shared" si="1"/>
        <v>0</v>
      </c>
      <c r="L42" s="162" t="s">
        <v>176</v>
      </c>
      <c r="M42" s="163" t="str">
        <f t="shared" si="2"/>
        <v>8Y</v>
      </c>
      <c r="N42" s="39"/>
    </row>
    <row r="43" spans="2:14" ht="30" x14ac:dyDescent="0.25">
      <c r="B43" s="4"/>
      <c r="C43" s="145" t="s">
        <v>261</v>
      </c>
      <c r="D43" s="110"/>
      <c r="E43" s="317"/>
      <c r="F43" s="188" t="s">
        <v>130</v>
      </c>
      <c r="G43" s="126" t="s">
        <v>145</v>
      </c>
      <c r="H43" s="171"/>
      <c r="I43" s="130" t="s">
        <v>59</v>
      </c>
      <c r="J43" s="133">
        <v>1.2599999999999998E-3</v>
      </c>
      <c r="K43" s="161" t="b">
        <f t="shared" si="1"/>
        <v>0</v>
      </c>
      <c r="L43" s="162" t="s">
        <v>176</v>
      </c>
      <c r="M43" s="163" t="str">
        <f t="shared" si="2"/>
        <v>9Y</v>
      </c>
      <c r="N43" s="39"/>
    </row>
    <row r="44" spans="2:14" ht="30" x14ac:dyDescent="0.25">
      <c r="B44" s="4"/>
      <c r="C44" s="145" t="s">
        <v>262</v>
      </c>
      <c r="D44" s="110"/>
      <c r="E44" s="317"/>
      <c r="F44" s="188" t="s">
        <v>131</v>
      </c>
      <c r="G44" s="114" t="s">
        <v>124</v>
      </c>
      <c r="H44" s="171"/>
      <c r="I44" s="130" t="s">
        <v>60</v>
      </c>
      <c r="J44" s="133">
        <v>1.1899999999999999E-3</v>
      </c>
      <c r="K44" s="161" t="b">
        <f t="shared" si="1"/>
        <v>0</v>
      </c>
      <c r="L44" s="162" t="s">
        <v>176</v>
      </c>
      <c r="M44" s="163" t="str">
        <f t="shared" si="2"/>
        <v>10Y</v>
      </c>
      <c r="N44" s="39"/>
    </row>
    <row r="45" spans="2:14" ht="30" x14ac:dyDescent="0.25">
      <c r="B45" s="4"/>
      <c r="C45" s="145" t="s">
        <v>263</v>
      </c>
      <c r="D45" s="110"/>
      <c r="E45" s="317"/>
      <c r="F45" s="188" t="s">
        <v>132</v>
      </c>
      <c r="G45" s="114" t="s">
        <v>2</v>
      </c>
      <c r="H45" s="171"/>
      <c r="I45" s="130" t="s">
        <v>61</v>
      </c>
      <c r="J45" s="133">
        <v>1.1249999999999999E-3</v>
      </c>
      <c r="K45" s="161" t="b">
        <f t="shared" si="1"/>
        <v>0</v>
      </c>
      <c r="L45" s="162" t="s">
        <v>176</v>
      </c>
      <c r="M45" s="163" t="str">
        <f t="shared" si="2"/>
        <v>11Y</v>
      </c>
      <c r="N45" s="39"/>
    </row>
    <row r="46" spans="2:14" ht="30" x14ac:dyDescent="0.25">
      <c r="B46" s="4"/>
      <c r="C46" s="145" t="s">
        <v>264</v>
      </c>
      <c r="D46" s="110"/>
      <c r="E46" s="317"/>
      <c r="F46" s="188" t="s">
        <v>133</v>
      </c>
      <c r="G46" s="114" t="s">
        <v>91</v>
      </c>
      <c r="H46" s="171"/>
      <c r="I46" s="130" t="s">
        <v>62</v>
      </c>
      <c r="J46" s="133">
        <v>1.0649999999999998E-3</v>
      </c>
      <c r="K46" s="161" t="b">
        <f t="shared" si="1"/>
        <v>0</v>
      </c>
      <c r="L46" s="162" t="s">
        <v>176</v>
      </c>
      <c r="M46" s="163" t="str">
        <f t="shared" si="2"/>
        <v>12Y</v>
      </c>
      <c r="N46" s="39"/>
    </row>
    <row r="47" spans="2:14" ht="30" x14ac:dyDescent="0.25">
      <c r="B47" s="4"/>
      <c r="C47" s="145" t="s">
        <v>265</v>
      </c>
      <c r="D47" s="110"/>
      <c r="E47" s="317"/>
      <c r="F47" s="188" t="s">
        <v>134</v>
      </c>
      <c r="G47" s="114" t="s">
        <v>2</v>
      </c>
      <c r="H47" s="171"/>
      <c r="I47" s="130" t="s">
        <v>63</v>
      </c>
      <c r="J47" s="133">
        <v>9.0999999999999978E-4</v>
      </c>
      <c r="K47" s="161" t="b">
        <f t="shared" si="1"/>
        <v>0</v>
      </c>
      <c r="L47" s="162" t="s">
        <v>176</v>
      </c>
      <c r="M47" s="163" t="str">
        <f t="shared" si="2"/>
        <v>15Y</v>
      </c>
      <c r="N47" s="39"/>
    </row>
    <row r="48" spans="2:14" ht="30" x14ac:dyDescent="0.25">
      <c r="B48" s="4"/>
      <c r="C48" s="145" t="s">
        <v>266</v>
      </c>
      <c r="D48" s="110"/>
      <c r="E48" s="317"/>
      <c r="F48" s="188" t="s">
        <v>135</v>
      </c>
      <c r="G48" s="114">
        <v>2</v>
      </c>
      <c r="H48" s="171"/>
      <c r="I48" s="130" t="s">
        <v>64</v>
      </c>
      <c r="J48" s="133">
        <v>7.099999999999998E-4</v>
      </c>
      <c r="K48" s="161" t="b">
        <f t="shared" si="1"/>
        <v>0</v>
      </c>
      <c r="L48" s="162" t="s">
        <v>176</v>
      </c>
      <c r="M48" s="163" t="str">
        <f t="shared" si="2"/>
        <v>20Y</v>
      </c>
      <c r="N48" s="39"/>
    </row>
    <row r="49" spans="2:16" ht="30" x14ac:dyDescent="0.25">
      <c r="B49" s="4"/>
      <c r="C49" s="145" t="s">
        <v>267</v>
      </c>
      <c r="D49" s="110"/>
      <c r="E49" s="318"/>
      <c r="F49" s="206" t="s">
        <v>136</v>
      </c>
      <c r="G49" s="126" t="s">
        <v>22</v>
      </c>
      <c r="H49" s="171"/>
      <c r="I49" s="130" t="s">
        <v>65</v>
      </c>
      <c r="J49" s="133">
        <v>5.8249999999999979E-4</v>
      </c>
      <c r="K49" s="161" t="b">
        <f t="shared" si="1"/>
        <v>0</v>
      </c>
      <c r="L49" s="162" t="s">
        <v>176</v>
      </c>
      <c r="M49" s="163" t="str">
        <f t="shared" si="2"/>
        <v>25Y</v>
      </c>
      <c r="N49" s="39"/>
    </row>
    <row r="50" spans="2:16" ht="30" x14ac:dyDescent="0.25">
      <c r="B50" s="4"/>
      <c r="C50" s="145" t="s">
        <v>269</v>
      </c>
      <c r="D50" s="110"/>
      <c r="E50" s="319" t="s">
        <v>166</v>
      </c>
      <c r="F50" s="205" t="s">
        <v>137</v>
      </c>
      <c r="G50" s="140" t="s">
        <v>2</v>
      </c>
      <c r="H50" s="171"/>
      <c r="I50" s="130" t="s">
        <v>66</v>
      </c>
      <c r="J50" s="133">
        <v>4.8999999999999988E-4</v>
      </c>
      <c r="K50" s="161" t="b">
        <f t="shared" si="1"/>
        <v>0</v>
      </c>
      <c r="L50" s="162" t="s">
        <v>176</v>
      </c>
      <c r="M50" s="163" t="str">
        <f t="shared" si="2"/>
        <v>30Y</v>
      </c>
      <c r="N50" s="39"/>
    </row>
    <row r="51" spans="2:16" ht="30" x14ac:dyDescent="0.25">
      <c r="B51" s="4"/>
      <c r="C51" s="145" t="s">
        <v>270</v>
      </c>
      <c r="D51" s="110"/>
      <c r="E51" s="320"/>
      <c r="F51" s="188" t="s">
        <v>138</v>
      </c>
      <c r="G51" s="114" t="s">
        <v>124</v>
      </c>
      <c r="H51" s="171"/>
      <c r="I51" s="130"/>
      <c r="J51" s="133"/>
      <c r="K51" s="161"/>
      <c r="L51" s="162"/>
      <c r="M51" s="163"/>
      <c r="N51" s="39"/>
    </row>
    <row r="52" spans="2:16" ht="30" x14ac:dyDescent="0.25">
      <c r="B52" s="4"/>
      <c r="C52" s="145" t="s">
        <v>271</v>
      </c>
      <c r="D52" s="110"/>
      <c r="E52" s="320"/>
      <c r="F52" s="188" t="s">
        <v>139</v>
      </c>
      <c r="G52" s="126" t="s">
        <v>108</v>
      </c>
      <c r="H52" s="171"/>
      <c r="I52" s="130"/>
      <c r="J52" s="133"/>
      <c r="K52" s="161"/>
      <c r="L52" s="162"/>
      <c r="M52" s="163"/>
      <c r="N52" s="39"/>
    </row>
    <row r="53" spans="2:16" ht="30" x14ac:dyDescent="0.25">
      <c r="B53" s="4"/>
      <c r="C53" s="145" t="s">
        <v>272</v>
      </c>
      <c r="D53" s="110"/>
      <c r="E53" s="320"/>
      <c r="F53" s="188" t="s">
        <v>140</v>
      </c>
      <c r="G53" s="126" t="s">
        <v>22</v>
      </c>
      <c r="H53" s="171"/>
      <c r="I53" s="48"/>
      <c r="J53" s="74"/>
      <c r="K53" s="161"/>
      <c r="L53" s="162"/>
      <c r="M53" s="163"/>
      <c r="N53" s="39"/>
    </row>
    <row r="54" spans="2:16" ht="30" x14ac:dyDescent="0.25">
      <c r="B54" s="4"/>
      <c r="C54" s="145" t="s">
        <v>273</v>
      </c>
      <c r="D54" s="110"/>
      <c r="E54" s="320"/>
      <c r="F54" s="188" t="s">
        <v>141</v>
      </c>
      <c r="G54" s="114" t="s">
        <v>101</v>
      </c>
      <c r="H54" s="172"/>
      <c r="I54" s="48"/>
      <c r="J54" s="74"/>
      <c r="K54" s="161"/>
      <c r="L54" s="162"/>
      <c r="M54" s="163"/>
      <c r="N54" s="39"/>
    </row>
    <row r="55" spans="2:16" ht="30" x14ac:dyDescent="0.25">
      <c r="B55" s="4"/>
      <c r="C55" s="145" t="s">
        <v>274</v>
      </c>
      <c r="D55" s="110"/>
      <c r="E55" s="320"/>
      <c r="F55" s="188" t="s">
        <v>142</v>
      </c>
      <c r="G55" s="114" t="s">
        <v>9</v>
      </c>
      <c r="H55" s="172"/>
      <c r="I55" s="48"/>
      <c r="J55" s="74"/>
      <c r="K55" s="161"/>
      <c r="L55" s="162"/>
      <c r="M55" s="163"/>
      <c r="N55" s="39"/>
    </row>
    <row r="56" spans="2:16" ht="30" x14ac:dyDescent="0.25">
      <c r="B56" s="4"/>
      <c r="C56" s="145" t="s">
        <v>275</v>
      </c>
      <c r="D56" s="110"/>
      <c r="E56" s="320"/>
      <c r="F56" s="188" t="s">
        <v>143</v>
      </c>
      <c r="G56" s="175" t="s">
        <v>82</v>
      </c>
      <c r="H56" s="173" t="s">
        <v>177</v>
      </c>
      <c r="I56" s="48"/>
      <c r="J56" s="74"/>
      <c r="K56" s="161"/>
      <c r="L56" s="162"/>
      <c r="M56" s="163"/>
      <c r="N56" s="39"/>
    </row>
    <row r="57" spans="2:16" ht="30" x14ac:dyDescent="0.25">
      <c r="B57" s="4"/>
      <c r="C57" s="145" t="s">
        <v>276</v>
      </c>
      <c r="D57" s="110"/>
      <c r="E57" s="320"/>
      <c r="F57" s="188" t="s">
        <v>144</v>
      </c>
      <c r="G57" s="126" t="s">
        <v>94</v>
      </c>
      <c r="H57" s="172"/>
      <c r="I57" s="48"/>
      <c r="J57" s="74"/>
      <c r="K57" s="161"/>
      <c r="L57" s="162"/>
      <c r="M57" s="163"/>
      <c r="N57" s="39"/>
      <c r="P57" s="97"/>
    </row>
    <row r="58" spans="2:16" ht="30" x14ac:dyDescent="0.25">
      <c r="B58" s="4"/>
      <c r="C58" s="145" t="s">
        <v>277</v>
      </c>
      <c r="D58" s="110"/>
      <c r="E58" s="320"/>
      <c r="F58" s="188" t="s">
        <v>146</v>
      </c>
      <c r="G58" s="114" t="s">
        <v>124</v>
      </c>
      <c r="H58" s="172"/>
      <c r="I58" s="48"/>
      <c r="J58" s="74"/>
      <c r="K58" s="161"/>
      <c r="L58" s="162"/>
      <c r="M58" s="163"/>
      <c r="N58" s="39"/>
      <c r="P58" s="97"/>
    </row>
    <row r="59" spans="2:16" ht="30" x14ac:dyDescent="0.25">
      <c r="B59" s="4"/>
      <c r="C59" s="145" t="s">
        <v>278</v>
      </c>
      <c r="D59" s="110"/>
      <c r="E59" s="320"/>
      <c r="F59" s="188" t="s">
        <v>147</v>
      </c>
      <c r="G59" s="114" t="s">
        <v>2</v>
      </c>
      <c r="H59" s="172"/>
      <c r="I59" s="48"/>
      <c r="J59" s="74"/>
      <c r="K59" s="161"/>
      <c r="L59" s="162"/>
      <c r="M59" s="163"/>
      <c r="N59" s="39"/>
      <c r="P59" s="97"/>
    </row>
    <row r="60" spans="2:16" ht="30" x14ac:dyDescent="0.25">
      <c r="B60" s="4"/>
      <c r="C60" s="145" t="s">
        <v>279</v>
      </c>
      <c r="D60" s="110"/>
      <c r="E60" s="320"/>
      <c r="F60" s="188" t="s">
        <v>148</v>
      </c>
      <c r="G60" s="114" t="s">
        <v>91</v>
      </c>
      <c r="H60" s="172"/>
      <c r="I60" s="48"/>
      <c r="J60" s="74"/>
      <c r="K60" s="161"/>
      <c r="L60" s="162"/>
      <c r="M60" s="163"/>
      <c r="N60" s="39"/>
      <c r="P60" s="97"/>
    </row>
    <row r="61" spans="2:16" ht="30" x14ac:dyDescent="0.25">
      <c r="B61" s="4"/>
      <c r="C61" s="145" t="s">
        <v>280</v>
      </c>
      <c r="D61" s="110"/>
      <c r="E61" s="320"/>
      <c r="F61" s="188" t="s">
        <v>149</v>
      </c>
      <c r="G61" s="114" t="s">
        <v>2</v>
      </c>
      <c r="H61" s="172"/>
      <c r="I61" s="48"/>
      <c r="J61" s="74"/>
      <c r="K61" s="161"/>
      <c r="L61" s="162"/>
      <c r="M61" s="163"/>
      <c r="N61" s="39"/>
      <c r="P61" s="97"/>
    </row>
    <row r="62" spans="2:16" ht="30" x14ac:dyDescent="0.25">
      <c r="B62" s="4"/>
      <c r="C62" s="145" t="s">
        <v>281</v>
      </c>
      <c r="D62" s="110"/>
      <c r="E62" s="320"/>
      <c r="F62" s="188" t="s">
        <v>150</v>
      </c>
      <c r="G62" s="114">
        <v>2</v>
      </c>
      <c r="H62" s="172"/>
      <c r="I62" s="48"/>
      <c r="J62" s="74"/>
      <c r="K62" s="161"/>
      <c r="L62" s="162"/>
      <c r="M62" s="163"/>
      <c r="N62" s="39"/>
      <c r="P62" s="97"/>
    </row>
    <row r="63" spans="2:16" ht="30" x14ac:dyDescent="0.25">
      <c r="B63" s="4"/>
      <c r="C63" s="145" t="s">
        <v>282</v>
      </c>
      <c r="D63" s="110"/>
      <c r="E63" s="321"/>
      <c r="F63" s="206" t="s">
        <v>151</v>
      </c>
      <c r="G63" s="126" t="s">
        <v>22</v>
      </c>
      <c r="H63" s="172"/>
      <c r="I63" s="48"/>
      <c r="J63" s="74"/>
      <c r="K63" s="161"/>
      <c r="L63" s="162"/>
      <c r="M63" s="163"/>
      <c r="N63" s="39"/>
      <c r="P63" s="97"/>
    </row>
    <row r="64" spans="2:16" ht="30" x14ac:dyDescent="0.25">
      <c r="B64" s="4"/>
      <c r="C64" s="145" t="s">
        <v>283</v>
      </c>
      <c r="D64" s="110"/>
      <c r="E64" s="322" t="str">
        <f>"Solving For :"&amp;CHAR(32)&amp;$H$64</f>
        <v>Solving For : &lt;--- Solver: Target</v>
      </c>
      <c r="F64" s="207" t="s">
        <v>152</v>
      </c>
      <c r="G64" s="174" t="s">
        <v>153</v>
      </c>
      <c r="H64" s="173" t="s">
        <v>178</v>
      </c>
      <c r="I64" s="48"/>
      <c r="J64" s="74"/>
      <c r="K64" s="161"/>
      <c r="L64" s="162"/>
      <c r="M64" s="163"/>
      <c r="N64" s="39"/>
      <c r="P64" s="97"/>
    </row>
    <row r="65" spans="2:16" ht="30" x14ac:dyDescent="0.25">
      <c r="B65" s="4"/>
      <c r="C65" s="146" t="s">
        <v>285</v>
      </c>
      <c r="D65" s="110"/>
      <c r="E65" s="323"/>
      <c r="F65" s="188" t="s">
        <v>112</v>
      </c>
      <c r="G65" s="114" t="b">
        <v>1</v>
      </c>
      <c r="H65" s="172"/>
      <c r="I65" s="48"/>
      <c r="J65" s="74"/>
      <c r="K65" s="161"/>
      <c r="L65" s="162"/>
      <c r="M65" s="163"/>
      <c r="N65" s="39"/>
      <c r="P65" s="97"/>
    </row>
    <row r="66" spans="2:16" ht="30" x14ac:dyDescent="0.25">
      <c r="B66" s="4"/>
      <c r="C66" s="146" t="s">
        <v>286</v>
      </c>
      <c r="D66" s="110"/>
      <c r="E66" s="323"/>
      <c r="F66" s="188" t="s">
        <v>154</v>
      </c>
      <c r="G66" s="139" t="str">
        <f>interpolationFunction</f>
        <v>fn_SplineInterpolation</v>
      </c>
      <c r="H66" s="172"/>
      <c r="I66" s="48"/>
      <c r="J66" s="74"/>
      <c r="K66" s="161"/>
      <c r="L66" s="162"/>
      <c r="M66" s="163"/>
      <c r="N66" s="39"/>
      <c r="P66" s="97"/>
    </row>
    <row r="67" spans="2:16" ht="45" x14ac:dyDescent="0.25">
      <c r="B67" s="4"/>
      <c r="C67" s="146" t="s">
        <v>287</v>
      </c>
      <c r="D67" s="110"/>
      <c r="E67" s="323"/>
      <c r="F67" s="188" t="s">
        <v>155</v>
      </c>
      <c r="G67" s="114" t="b">
        <v>1</v>
      </c>
      <c r="H67" s="172"/>
      <c r="I67" s="48"/>
      <c r="J67" s="74"/>
      <c r="K67" s="161"/>
      <c r="L67" s="162"/>
      <c r="M67" s="163"/>
      <c r="N67" s="39"/>
      <c r="P67" s="97"/>
    </row>
    <row r="68" spans="2:16" ht="45" x14ac:dyDescent="0.25">
      <c r="B68" s="4"/>
      <c r="C68" s="146" t="s">
        <v>288</v>
      </c>
      <c r="D68" s="110"/>
      <c r="E68" s="323"/>
      <c r="F68" s="188" t="s">
        <v>156</v>
      </c>
      <c r="G68" s="114" t="b">
        <v>1</v>
      </c>
      <c r="H68" s="172"/>
      <c r="I68" s="48"/>
      <c r="J68" s="74"/>
      <c r="K68" s="161"/>
      <c r="L68" s="162"/>
      <c r="M68" s="163"/>
      <c r="N68" s="39"/>
      <c r="P68" s="97"/>
    </row>
    <row r="69" spans="2:16" ht="45" x14ac:dyDescent="0.25">
      <c r="B69" s="4"/>
      <c r="C69" s="146" t="s">
        <v>289</v>
      </c>
      <c r="D69" s="110"/>
      <c r="E69" s="323"/>
      <c r="F69" s="188" t="s">
        <v>157</v>
      </c>
      <c r="G69" s="126" t="s">
        <v>94</v>
      </c>
      <c r="H69" s="172"/>
      <c r="I69" s="48"/>
      <c r="J69" s="74"/>
      <c r="K69" s="161"/>
      <c r="L69" s="162"/>
      <c r="M69" s="163"/>
      <c r="N69" s="39"/>
    </row>
    <row r="70" spans="2:16" ht="30" x14ac:dyDescent="0.25">
      <c r="B70" s="4"/>
      <c r="C70" s="146" t="s">
        <v>290</v>
      </c>
      <c r="D70" s="110"/>
      <c r="E70" s="323"/>
      <c r="F70" s="188" t="s">
        <v>158</v>
      </c>
      <c r="G70" s="114" t="b">
        <v>0</v>
      </c>
      <c r="H70" s="172"/>
      <c r="I70" s="48"/>
      <c r="J70" s="74"/>
      <c r="K70" s="161"/>
      <c r="L70" s="162"/>
      <c r="M70" s="163"/>
      <c r="N70" s="39"/>
    </row>
    <row r="71" spans="2:16" ht="30" x14ac:dyDescent="0.25">
      <c r="B71" s="4"/>
      <c r="C71" s="146" t="s">
        <v>230</v>
      </c>
      <c r="D71" s="110"/>
      <c r="E71" s="323"/>
      <c r="F71" s="188" t="s">
        <v>113</v>
      </c>
      <c r="G71" s="116">
        <v>1.0000000000000001E-9</v>
      </c>
      <c r="H71" s="172"/>
      <c r="I71" s="48"/>
      <c r="J71" s="74"/>
      <c r="K71" s="161"/>
      <c r="L71" s="162"/>
      <c r="M71" s="163"/>
      <c r="N71" s="39"/>
    </row>
    <row r="72" spans="2:16" ht="30" x14ac:dyDescent="0.25">
      <c r="B72" s="4"/>
      <c r="C72" s="147" t="s">
        <v>231</v>
      </c>
      <c r="D72" s="110"/>
      <c r="E72" s="323"/>
      <c r="F72" s="188" t="s">
        <v>114</v>
      </c>
      <c r="G72" s="135">
        <v>1000</v>
      </c>
      <c r="H72" s="172"/>
      <c r="I72" s="48"/>
      <c r="J72" s="74"/>
      <c r="K72" s="161"/>
      <c r="L72" s="162"/>
      <c r="M72" s="163"/>
      <c r="N72" s="39"/>
    </row>
    <row r="73" spans="2:16" x14ac:dyDescent="0.25">
      <c r="B73" s="4"/>
      <c r="C73" s="143"/>
      <c r="D73" s="110"/>
      <c r="E73" s="323"/>
      <c r="F73" s="188"/>
      <c r="G73" s="114"/>
      <c r="H73" s="172"/>
      <c r="I73" s="48"/>
      <c r="J73" s="74"/>
      <c r="K73" s="161"/>
      <c r="L73" s="162"/>
      <c r="M73" s="163"/>
      <c r="N73" s="39"/>
    </row>
    <row r="74" spans="2:16" x14ac:dyDescent="0.25">
      <c r="B74" s="4"/>
      <c r="C74" s="143"/>
      <c r="D74" s="110"/>
      <c r="E74" s="323"/>
      <c r="F74" s="188"/>
      <c r="G74" s="114"/>
      <c r="H74" s="172"/>
      <c r="I74" s="48"/>
      <c r="J74" s="74"/>
      <c r="K74" s="161"/>
      <c r="L74" s="162"/>
      <c r="M74" s="163"/>
      <c r="N74" s="39"/>
    </row>
    <row r="75" spans="2:16" x14ac:dyDescent="0.25">
      <c r="B75" s="4"/>
      <c r="C75" s="143"/>
      <c r="D75" s="110"/>
      <c r="E75" s="323"/>
      <c r="F75" s="188"/>
      <c r="G75" s="114"/>
      <c r="H75" s="172"/>
      <c r="I75" s="48"/>
      <c r="J75" s="74"/>
      <c r="K75" s="161"/>
      <c r="L75" s="162"/>
      <c r="M75" s="163"/>
      <c r="N75" s="39"/>
    </row>
    <row r="76" spans="2:16" x14ac:dyDescent="0.25">
      <c r="B76" s="4"/>
      <c r="C76" s="144"/>
      <c r="D76" s="110"/>
      <c r="E76" s="324"/>
      <c r="F76" s="194"/>
      <c r="G76" s="204"/>
      <c r="H76" s="172"/>
      <c r="I76" s="49"/>
      <c r="J76" s="75"/>
      <c r="K76" s="164"/>
      <c r="L76" s="165"/>
      <c r="M76" s="166"/>
      <c r="N76" s="39"/>
    </row>
    <row r="77" spans="2:16" x14ac:dyDescent="0.25">
      <c r="B77" s="4"/>
      <c r="C77" s="110"/>
      <c r="D77" s="110"/>
      <c r="E77" s="110"/>
      <c r="F77" s="172"/>
      <c r="G77" s="203"/>
      <c r="H77" s="172"/>
      <c r="I77" s="8" t="s">
        <v>4</v>
      </c>
      <c r="J77" s="8" t="s">
        <v>4</v>
      </c>
      <c r="K77" s="53" t="s">
        <v>4</v>
      </c>
      <c r="L77" s="91" t="s">
        <v>4</v>
      </c>
      <c r="M77" s="92" t="s">
        <v>4</v>
      </c>
      <c r="N77" s="39"/>
    </row>
    <row r="78" spans="2:16" x14ac:dyDescent="0.25">
      <c r="B78" s="9"/>
      <c r="C78" s="112"/>
      <c r="D78" s="112"/>
      <c r="E78" s="112"/>
      <c r="F78" s="170"/>
      <c r="G78" s="177"/>
      <c r="H78" s="170"/>
      <c r="I78" s="10"/>
      <c r="J78" s="10"/>
      <c r="K78" s="10"/>
      <c r="L78" s="10"/>
      <c r="M78" s="10"/>
      <c r="N78" s="11"/>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59999389629810485"/>
  </sheetPr>
  <dimension ref="A2:F389"/>
  <sheetViews>
    <sheetView showGridLines="0" workbookViewId="0"/>
  </sheetViews>
  <sheetFormatPr defaultRowHeight="15" x14ac:dyDescent="0.25"/>
  <cols>
    <col min="2" max="2" width="18.7109375" customWidth="1"/>
    <col min="3" max="3" width="22.140625" customWidth="1"/>
    <col min="5" max="5" width="18.7109375" customWidth="1"/>
    <col min="6" max="6" width="22" bestFit="1" customWidth="1"/>
  </cols>
  <sheetData>
    <row r="2" spans="1:6" x14ac:dyDescent="0.25">
      <c r="B2" s="239" t="s">
        <v>323</v>
      </c>
      <c r="C2" s="240" t="str">
        <f ca="1">_xll.meLWOFixingTableCreate(C6,C7,C8,B12:B376,C12:C376)</f>
        <v>EUR3M_FIXINGS@2:3</v>
      </c>
      <c r="D2" s="107"/>
      <c r="E2" s="239" t="s">
        <v>323</v>
      </c>
      <c r="F2" s="240" t="str">
        <f ca="1">_xll.meLWOFixingTableCreate(F6,F7,F8,E12:E376,F12:F376)</f>
        <v>EUR6M_FIXINGS@1:3</v>
      </c>
    </row>
    <row r="3" spans="1:6" x14ac:dyDescent="0.25">
      <c r="B3" s="167"/>
      <c r="C3" s="238"/>
      <c r="D3" s="107"/>
      <c r="E3" s="167"/>
      <c r="F3" s="238"/>
    </row>
    <row r="4" spans="1:6" x14ac:dyDescent="0.25">
      <c r="B4" s="167"/>
      <c r="C4" s="238"/>
      <c r="D4" s="107"/>
      <c r="E4" s="167"/>
      <c r="F4" s="238"/>
    </row>
    <row r="5" spans="1:6" x14ac:dyDescent="0.25">
      <c r="B5" s="214" t="s">
        <v>324</v>
      </c>
      <c r="C5" s="238"/>
      <c r="D5" s="107"/>
      <c r="E5" s="214" t="s">
        <v>324</v>
      </c>
      <c r="F5" s="238"/>
    </row>
    <row r="6" spans="1:6" x14ac:dyDescent="0.25">
      <c r="B6" s="231" t="s">
        <v>325</v>
      </c>
      <c r="C6" s="241" t="str">
        <f>C7&amp;C8&amp;"_FIXINGS"</f>
        <v>EUR3M_FIXINGS</v>
      </c>
      <c r="D6" s="107"/>
      <c r="E6" s="231" t="s">
        <v>325</v>
      </c>
      <c r="F6" s="241" t="str">
        <f>F7&amp;F8&amp;"_FIXINGS"</f>
        <v>EUR6M_FIXINGS</v>
      </c>
    </row>
    <row r="7" spans="1:6" x14ac:dyDescent="0.25">
      <c r="B7" s="232" t="s">
        <v>16</v>
      </c>
      <c r="C7" s="230" t="s">
        <v>17</v>
      </c>
      <c r="D7" s="107"/>
      <c r="E7" s="232" t="s">
        <v>16</v>
      </c>
      <c r="F7" s="230" t="s">
        <v>17</v>
      </c>
    </row>
    <row r="8" spans="1:6" x14ac:dyDescent="0.25">
      <c r="B8" s="233" t="s">
        <v>326</v>
      </c>
      <c r="C8" s="242" t="s">
        <v>145</v>
      </c>
      <c r="D8" s="107"/>
      <c r="E8" s="233" t="s">
        <v>326</v>
      </c>
      <c r="F8" s="242" t="s">
        <v>94</v>
      </c>
    </row>
    <row r="9" spans="1:6" x14ac:dyDescent="0.25">
      <c r="B9" s="167"/>
      <c r="C9" s="238"/>
      <c r="D9" s="107"/>
      <c r="E9" s="167"/>
      <c r="F9" s="238"/>
    </row>
    <row r="10" spans="1:6" x14ac:dyDescent="0.25">
      <c r="B10" s="247"/>
      <c r="C10" s="238"/>
      <c r="D10" s="107"/>
      <c r="E10" s="167"/>
      <c r="F10" s="238"/>
    </row>
    <row r="11" spans="1:6" x14ac:dyDescent="0.25">
      <c r="B11" s="214" t="s">
        <v>327</v>
      </c>
      <c r="C11" s="243" t="s">
        <v>328</v>
      </c>
      <c r="D11" s="107"/>
      <c r="E11" s="214" t="s">
        <v>327</v>
      </c>
      <c r="F11" s="243" t="s">
        <v>328</v>
      </c>
    </row>
    <row r="12" spans="1:6" x14ac:dyDescent="0.25">
      <c r="B12" s="248">
        <v>41996</v>
      </c>
      <c r="C12" s="251">
        <v>-2.6099999999999999E-3</v>
      </c>
      <c r="D12" s="107"/>
      <c r="E12" s="244">
        <v>41996</v>
      </c>
      <c r="F12" s="251">
        <v>-1.5299999999999999E-3</v>
      </c>
    </row>
    <row r="13" spans="1:6" x14ac:dyDescent="0.25">
      <c r="B13" s="249">
        <v>41997</v>
      </c>
      <c r="C13" s="252">
        <v>-2.6099999999999999E-3</v>
      </c>
      <c r="D13" s="107"/>
      <c r="E13" s="245">
        <v>41997</v>
      </c>
      <c r="F13" s="252">
        <v>-1.5299999999999999E-3</v>
      </c>
    </row>
    <row r="14" spans="1:6" x14ac:dyDescent="0.25">
      <c r="A14" s="107"/>
      <c r="B14" s="249">
        <v>42002</v>
      </c>
      <c r="C14" s="252">
        <v>-2.6099999999999999E-3</v>
      </c>
      <c r="D14" s="107"/>
      <c r="E14" s="245">
        <v>42002</v>
      </c>
      <c r="F14" s="252">
        <v>-1.5299999999999999E-3</v>
      </c>
    </row>
    <row r="15" spans="1:6" x14ac:dyDescent="0.25">
      <c r="A15" s="107"/>
      <c r="B15" s="249">
        <v>42003</v>
      </c>
      <c r="C15" s="252">
        <v>-2.6099999999999999E-3</v>
      </c>
      <c r="D15" s="107"/>
      <c r="E15" s="245">
        <v>42003</v>
      </c>
      <c r="F15" s="252">
        <v>-1.5299999999999999E-3</v>
      </c>
    </row>
    <row r="16" spans="1:6" x14ac:dyDescent="0.25">
      <c r="A16" s="107"/>
      <c r="B16" s="249">
        <v>42004</v>
      </c>
      <c r="C16" s="252">
        <v>-2.6099999999999999E-3</v>
      </c>
      <c r="D16" s="107"/>
      <c r="E16" s="245">
        <v>42004</v>
      </c>
      <c r="F16" s="252">
        <v>-1.5299999999999999E-3</v>
      </c>
    </row>
    <row r="17" spans="1:6" x14ac:dyDescent="0.25">
      <c r="A17" s="107"/>
      <c r="B17" s="249">
        <v>42006</v>
      </c>
      <c r="C17" s="252">
        <v>-2.6099999999999999E-3</v>
      </c>
      <c r="D17" s="107"/>
      <c r="E17" s="245">
        <v>42006</v>
      </c>
      <c r="F17" s="252">
        <v>-1.5299999999999999E-3</v>
      </c>
    </row>
    <row r="18" spans="1:6" x14ac:dyDescent="0.25">
      <c r="A18" s="107"/>
      <c r="B18" s="249">
        <v>42009</v>
      </c>
      <c r="C18" s="252">
        <v>-2.6099999999999999E-3</v>
      </c>
      <c r="D18" s="107"/>
      <c r="E18" s="245">
        <v>42009</v>
      </c>
      <c r="F18" s="252">
        <v>-1.5299999999999999E-3</v>
      </c>
    </row>
    <row r="19" spans="1:6" x14ac:dyDescent="0.25">
      <c r="A19" s="107"/>
      <c r="B19" s="249">
        <v>42010</v>
      </c>
      <c r="C19" s="252">
        <v>-2.6099999999999999E-3</v>
      </c>
      <c r="D19" s="107"/>
      <c r="E19" s="245">
        <v>42010</v>
      </c>
      <c r="F19" s="252">
        <v>-1.5299999999999999E-3</v>
      </c>
    </row>
    <row r="20" spans="1:6" x14ac:dyDescent="0.25">
      <c r="A20" s="107"/>
      <c r="B20" s="249">
        <v>42011</v>
      </c>
      <c r="C20" s="252">
        <v>-2.6099999999999999E-3</v>
      </c>
      <c r="D20" s="107"/>
      <c r="E20" s="245">
        <v>42011</v>
      </c>
      <c r="F20" s="252">
        <v>-1.5299999999999999E-3</v>
      </c>
    </row>
    <row r="21" spans="1:6" x14ac:dyDescent="0.25">
      <c r="A21" s="107"/>
      <c r="B21" s="249">
        <v>42012</v>
      </c>
      <c r="C21" s="252">
        <v>-2.6099999999999999E-3</v>
      </c>
      <c r="D21" s="107"/>
      <c r="E21" s="245">
        <v>42012</v>
      </c>
      <c r="F21" s="252">
        <v>-1.5299999999999999E-3</v>
      </c>
    </row>
    <row r="22" spans="1:6" x14ac:dyDescent="0.25">
      <c r="A22" s="107"/>
      <c r="B22" s="249">
        <v>42013</v>
      </c>
      <c r="C22" s="252">
        <v>-2.6099999999999999E-3</v>
      </c>
      <c r="D22" s="107"/>
      <c r="E22" s="245">
        <v>42013</v>
      </c>
      <c r="F22" s="252">
        <v>-1.5299999999999999E-3</v>
      </c>
    </row>
    <row r="23" spans="1:6" s="107" customFormat="1" x14ac:dyDescent="0.25">
      <c r="B23" s="249">
        <v>42016</v>
      </c>
      <c r="C23" s="252">
        <v>-2.6099999999999999E-3</v>
      </c>
      <c r="E23" s="245">
        <v>42016</v>
      </c>
      <c r="F23" s="252">
        <v>-1.5299999999999999E-3</v>
      </c>
    </row>
    <row r="24" spans="1:6" s="107" customFormat="1" x14ac:dyDescent="0.25">
      <c r="B24" s="249">
        <v>42017</v>
      </c>
      <c r="C24" s="252">
        <v>-2.6099999999999999E-3</v>
      </c>
      <c r="E24" s="245">
        <v>42017</v>
      </c>
      <c r="F24" s="252">
        <v>-1.5299999999999999E-3</v>
      </c>
    </row>
    <row r="25" spans="1:6" s="107" customFormat="1" x14ac:dyDescent="0.25">
      <c r="B25" s="249">
        <v>42018</v>
      </c>
      <c r="C25" s="252">
        <v>-2.6099999999999999E-3</v>
      </c>
      <c r="E25" s="245">
        <v>42018</v>
      </c>
      <c r="F25" s="252">
        <v>-1.5299999999999999E-3</v>
      </c>
    </row>
    <row r="26" spans="1:6" s="107" customFormat="1" x14ac:dyDescent="0.25">
      <c r="B26" s="249">
        <v>42019</v>
      </c>
      <c r="C26" s="252">
        <v>-2.6099999999999999E-3</v>
      </c>
      <c r="E26" s="245">
        <v>42019</v>
      </c>
      <c r="F26" s="252">
        <v>-1.5299999999999999E-3</v>
      </c>
    </row>
    <row r="27" spans="1:6" s="107" customFormat="1" x14ac:dyDescent="0.25">
      <c r="B27" s="249">
        <v>42020</v>
      </c>
      <c r="C27" s="252">
        <v>-2.6099999999999999E-3</v>
      </c>
      <c r="E27" s="245">
        <v>42020</v>
      </c>
      <c r="F27" s="252">
        <v>-1.5299999999999999E-3</v>
      </c>
    </row>
    <row r="28" spans="1:6" s="107" customFormat="1" x14ac:dyDescent="0.25">
      <c r="B28" s="249">
        <v>42023</v>
      </c>
      <c r="C28" s="252">
        <v>-2.6099999999999999E-3</v>
      </c>
      <c r="E28" s="245">
        <v>42023</v>
      </c>
      <c r="F28" s="252">
        <v>-1.5299999999999999E-3</v>
      </c>
    </row>
    <row r="29" spans="1:6" s="107" customFormat="1" x14ac:dyDescent="0.25">
      <c r="B29" s="249">
        <v>42024</v>
      </c>
      <c r="C29" s="252">
        <v>-2.6099999999999999E-3</v>
      </c>
      <c r="E29" s="245">
        <v>42024</v>
      </c>
      <c r="F29" s="252">
        <v>-1.5299999999999999E-3</v>
      </c>
    </row>
    <row r="30" spans="1:6" s="107" customFormat="1" x14ac:dyDescent="0.25">
      <c r="B30" s="249">
        <v>42025</v>
      </c>
      <c r="C30" s="252">
        <v>-2.6099999999999999E-3</v>
      </c>
      <c r="E30" s="245">
        <v>42025</v>
      </c>
      <c r="F30" s="252">
        <v>-1.5299999999999999E-3</v>
      </c>
    </row>
    <row r="31" spans="1:6" s="107" customFormat="1" x14ac:dyDescent="0.25">
      <c r="B31" s="249">
        <v>42026</v>
      </c>
      <c r="C31" s="252">
        <v>-2.6099999999999999E-3</v>
      </c>
      <c r="E31" s="245">
        <v>42026</v>
      </c>
      <c r="F31" s="252">
        <v>-1.5299999999999999E-3</v>
      </c>
    </row>
    <row r="32" spans="1:6" s="107" customFormat="1" x14ac:dyDescent="0.25">
      <c r="B32" s="249">
        <v>42027</v>
      </c>
      <c r="C32" s="252">
        <v>-2.6099999999999999E-3</v>
      </c>
      <c r="E32" s="245">
        <v>42027</v>
      </c>
      <c r="F32" s="252">
        <v>-1.5299999999999999E-3</v>
      </c>
    </row>
    <row r="33" spans="1:6" s="107" customFormat="1" x14ac:dyDescent="0.25">
      <c r="B33" s="249">
        <v>42030</v>
      </c>
      <c r="C33" s="252">
        <v>-2.6099999999999999E-3</v>
      </c>
      <c r="E33" s="245">
        <v>42030</v>
      </c>
      <c r="F33" s="252">
        <v>-1.5299999999999999E-3</v>
      </c>
    </row>
    <row r="34" spans="1:6" s="107" customFormat="1" x14ac:dyDescent="0.25">
      <c r="B34" s="249">
        <v>42031</v>
      </c>
      <c r="C34" s="252">
        <v>-2.6099999999999999E-3</v>
      </c>
      <c r="E34" s="245">
        <v>42031</v>
      </c>
      <c r="F34" s="252">
        <v>-1.5299999999999999E-3</v>
      </c>
    </row>
    <row r="35" spans="1:6" s="107" customFormat="1" x14ac:dyDescent="0.25">
      <c r="B35" s="249">
        <v>42032</v>
      </c>
      <c r="C35" s="252">
        <v>-2.6099999999999999E-3</v>
      </c>
      <c r="E35" s="245">
        <v>42032</v>
      </c>
      <c r="F35" s="252">
        <v>-1.5299999999999999E-3</v>
      </c>
    </row>
    <row r="36" spans="1:6" s="107" customFormat="1" x14ac:dyDescent="0.25">
      <c r="B36" s="249">
        <v>42033</v>
      </c>
      <c r="C36" s="252">
        <v>-2.6099999999999999E-3</v>
      </c>
      <c r="E36" s="245">
        <v>42033</v>
      </c>
      <c r="F36" s="252">
        <v>-1.5299999999999999E-3</v>
      </c>
    </row>
    <row r="37" spans="1:6" s="107" customFormat="1" x14ac:dyDescent="0.25">
      <c r="B37" s="249">
        <v>42034</v>
      </c>
      <c r="C37" s="252">
        <v>-2.6099999999999999E-3</v>
      </c>
      <c r="E37" s="245">
        <v>42034</v>
      </c>
      <c r="F37" s="252">
        <v>-1.5299999999999999E-3</v>
      </c>
    </row>
    <row r="38" spans="1:6" s="107" customFormat="1" x14ac:dyDescent="0.25">
      <c r="B38" s="249">
        <v>42037</v>
      </c>
      <c r="C38" s="252">
        <v>-2.6099999999999999E-3</v>
      </c>
      <c r="E38" s="245">
        <v>42037</v>
      </c>
      <c r="F38" s="252">
        <v>-1.5299999999999999E-3</v>
      </c>
    </row>
    <row r="39" spans="1:6" s="107" customFormat="1" x14ac:dyDescent="0.25">
      <c r="B39" s="249">
        <v>42038</v>
      </c>
      <c r="C39" s="252">
        <v>-2.6099999999999999E-3</v>
      </c>
      <c r="E39" s="245">
        <v>42038</v>
      </c>
      <c r="F39" s="252">
        <v>-1.5299999999999999E-3</v>
      </c>
    </row>
    <row r="40" spans="1:6" s="107" customFormat="1" x14ac:dyDescent="0.25">
      <c r="B40" s="249">
        <v>42039</v>
      </c>
      <c r="C40" s="252">
        <v>-2.6099999999999999E-3</v>
      </c>
      <c r="E40" s="245">
        <v>42039</v>
      </c>
      <c r="F40" s="252">
        <v>-1.5299999999999999E-3</v>
      </c>
    </row>
    <row r="41" spans="1:6" s="107" customFormat="1" x14ac:dyDescent="0.25">
      <c r="B41" s="249">
        <v>42040</v>
      </c>
      <c r="C41" s="252">
        <v>-2.6099999999999999E-3</v>
      </c>
      <c r="E41" s="245">
        <v>42040</v>
      </c>
      <c r="F41" s="252">
        <v>-1.5299999999999999E-3</v>
      </c>
    </row>
    <row r="42" spans="1:6" s="107" customFormat="1" x14ac:dyDescent="0.25">
      <c r="B42" s="249">
        <v>42041</v>
      </c>
      <c r="C42" s="252">
        <v>-2.6099999999999999E-3</v>
      </c>
      <c r="E42" s="245">
        <v>42041</v>
      </c>
      <c r="F42" s="252">
        <v>-1.5299999999999999E-3</v>
      </c>
    </row>
    <row r="43" spans="1:6" s="107" customFormat="1" x14ac:dyDescent="0.25">
      <c r="B43" s="249">
        <v>42044</v>
      </c>
      <c r="C43" s="252">
        <v>-2.6099999999999999E-3</v>
      </c>
      <c r="E43" s="245">
        <v>42044</v>
      </c>
      <c r="F43" s="252">
        <v>-1.5299999999999999E-3</v>
      </c>
    </row>
    <row r="44" spans="1:6" s="107" customFormat="1" x14ac:dyDescent="0.25">
      <c r="B44" s="249">
        <v>42045</v>
      </c>
      <c r="C44" s="252">
        <v>-2.6099999999999999E-3</v>
      </c>
      <c r="E44" s="245">
        <v>42045</v>
      </c>
      <c r="F44" s="252">
        <v>-1.5299999999999999E-3</v>
      </c>
    </row>
    <row r="45" spans="1:6" x14ac:dyDescent="0.25">
      <c r="A45" s="107"/>
      <c r="B45" s="249">
        <v>42046</v>
      </c>
      <c r="C45" s="252">
        <v>-2.6099999999999999E-3</v>
      </c>
      <c r="D45" s="107"/>
      <c r="E45" s="245">
        <v>42046</v>
      </c>
      <c r="F45" s="252">
        <v>-1.5299999999999999E-3</v>
      </c>
    </row>
    <row r="46" spans="1:6" x14ac:dyDescent="0.25">
      <c r="A46" s="107"/>
      <c r="B46" s="249">
        <v>42047</v>
      </c>
      <c r="C46" s="252">
        <v>-2.6099999999999999E-3</v>
      </c>
      <c r="D46" s="107"/>
      <c r="E46" s="245">
        <v>42047</v>
      </c>
      <c r="F46" s="252">
        <v>-1.5299999999999999E-3</v>
      </c>
    </row>
    <row r="47" spans="1:6" x14ac:dyDescent="0.25">
      <c r="A47" s="107"/>
      <c r="B47" s="249">
        <v>42048</v>
      </c>
      <c r="C47" s="252">
        <v>-2.6099999999999999E-3</v>
      </c>
      <c r="D47" s="107"/>
      <c r="E47" s="245">
        <v>42048</v>
      </c>
      <c r="F47" s="252">
        <v>-1.5299999999999999E-3</v>
      </c>
    </row>
    <row r="48" spans="1:6" x14ac:dyDescent="0.25">
      <c r="A48" s="107"/>
      <c r="B48" s="249">
        <v>42051</v>
      </c>
      <c r="C48" s="252">
        <v>-2.6099999999999999E-3</v>
      </c>
      <c r="D48" s="107"/>
      <c r="E48" s="245">
        <v>42051</v>
      </c>
      <c r="F48" s="252">
        <v>-1.5299999999999999E-3</v>
      </c>
    </row>
    <row r="49" spans="1:6" x14ac:dyDescent="0.25">
      <c r="A49" s="107"/>
      <c r="B49" s="249">
        <v>42052</v>
      </c>
      <c r="C49" s="252">
        <v>-2.6099999999999999E-3</v>
      </c>
      <c r="D49" s="107"/>
      <c r="E49" s="245">
        <v>42052</v>
      </c>
      <c r="F49" s="252">
        <v>-1.5299999999999999E-3</v>
      </c>
    </row>
    <row r="50" spans="1:6" x14ac:dyDescent="0.25">
      <c r="A50" s="107"/>
      <c r="B50" s="249">
        <v>42053</v>
      </c>
      <c r="C50" s="252">
        <v>-2.6099999999999999E-3</v>
      </c>
      <c r="D50" s="107"/>
      <c r="E50" s="245">
        <v>42053</v>
      </c>
      <c r="F50" s="252">
        <v>-1.5299999999999999E-3</v>
      </c>
    </row>
    <row r="51" spans="1:6" x14ac:dyDescent="0.25">
      <c r="A51" s="107"/>
      <c r="B51" s="249">
        <v>42054</v>
      </c>
      <c r="C51" s="252">
        <v>-2.6099999999999999E-3</v>
      </c>
      <c r="D51" s="107"/>
      <c r="E51" s="245">
        <v>42054</v>
      </c>
      <c r="F51" s="252">
        <v>-1.5299999999999999E-3</v>
      </c>
    </row>
    <row r="52" spans="1:6" x14ac:dyDescent="0.25">
      <c r="A52" s="107"/>
      <c r="B52" s="249">
        <v>42055</v>
      </c>
      <c r="C52" s="252">
        <v>-2.6099999999999999E-3</v>
      </c>
      <c r="D52" s="107"/>
      <c r="E52" s="245">
        <v>42055</v>
      </c>
      <c r="F52" s="252">
        <v>-1.5299999999999999E-3</v>
      </c>
    </row>
    <row r="53" spans="1:6" x14ac:dyDescent="0.25">
      <c r="A53" s="107"/>
      <c r="B53" s="249">
        <v>42058</v>
      </c>
      <c r="C53" s="252">
        <v>-2.6099999999999999E-3</v>
      </c>
      <c r="D53" s="107"/>
      <c r="E53" s="245">
        <v>42058</v>
      </c>
      <c r="F53" s="252">
        <v>-1.5299999999999999E-3</v>
      </c>
    </row>
    <row r="54" spans="1:6" x14ac:dyDescent="0.25">
      <c r="A54" s="107"/>
      <c r="B54" s="249">
        <v>42059</v>
      </c>
      <c r="C54" s="252">
        <v>-2.6099999999999999E-3</v>
      </c>
      <c r="D54" s="107"/>
      <c r="E54" s="245">
        <v>42059</v>
      </c>
      <c r="F54" s="252">
        <v>-1.5299999999999999E-3</v>
      </c>
    </row>
    <row r="55" spans="1:6" x14ac:dyDescent="0.25">
      <c r="A55" s="107"/>
      <c r="B55" s="249">
        <v>42060</v>
      </c>
      <c r="C55" s="252">
        <v>-2.6099999999999999E-3</v>
      </c>
      <c r="D55" s="107"/>
      <c r="E55" s="245">
        <v>42060</v>
      </c>
      <c r="F55" s="252">
        <v>-1.5299999999999999E-3</v>
      </c>
    </row>
    <row r="56" spans="1:6" x14ac:dyDescent="0.25">
      <c r="A56" s="107"/>
      <c r="B56" s="249">
        <v>42061</v>
      </c>
      <c r="C56" s="252">
        <v>-2.6099999999999999E-3</v>
      </c>
      <c r="D56" s="107"/>
      <c r="E56" s="245">
        <v>42061</v>
      </c>
      <c r="F56" s="252">
        <v>-1.5299999999999999E-3</v>
      </c>
    </row>
    <row r="57" spans="1:6" x14ac:dyDescent="0.25">
      <c r="A57" s="107"/>
      <c r="B57" s="249">
        <v>42062</v>
      </c>
      <c r="C57" s="252">
        <v>-2.6099999999999999E-3</v>
      </c>
      <c r="D57" s="107"/>
      <c r="E57" s="245">
        <v>42062</v>
      </c>
      <c r="F57" s="252">
        <v>-1.5299999999999999E-3</v>
      </c>
    </row>
    <row r="58" spans="1:6" x14ac:dyDescent="0.25">
      <c r="A58" s="107"/>
      <c r="B58" s="249">
        <v>42065</v>
      </c>
      <c r="C58" s="252">
        <v>-2.6099999999999999E-3</v>
      </c>
      <c r="E58" s="245">
        <v>42065</v>
      </c>
      <c r="F58" s="252">
        <v>-1.5299999999999999E-3</v>
      </c>
    </row>
    <row r="59" spans="1:6" x14ac:dyDescent="0.25">
      <c r="A59" s="107"/>
      <c r="B59" s="249">
        <v>42066</v>
      </c>
      <c r="C59" s="252">
        <v>-2.6099999999999999E-3</v>
      </c>
      <c r="E59" s="245">
        <v>42066</v>
      </c>
      <c r="F59" s="252">
        <v>-1.5299999999999999E-3</v>
      </c>
    </row>
    <row r="60" spans="1:6" x14ac:dyDescent="0.25">
      <c r="A60" s="107"/>
      <c r="B60" s="249">
        <v>42067</v>
      </c>
      <c r="C60" s="252">
        <v>-2.6099999999999999E-3</v>
      </c>
      <c r="E60" s="245">
        <v>42067</v>
      </c>
      <c r="F60" s="252">
        <v>-1.5299999999999999E-3</v>
      </c>
    </row>
    <row r="61" spans="1:6" x14ac:dyDescent="0.25">
      <c r="A61" s="107"/>
      <c r="B61" s="249">
        <v>42068</v>
      </c>
      <c r="C61" s="252">
        <v>-2.6099999999999999E-3</v>
      </c>
      <c r="E61" s="245">
        <v>42068</v>
      </c>
      <c r="F61" s="252">
        <v>-1.5299999999999999E-3</v>
      </c>
    </row>
    <row r="62" spans="1:6" x14ac:dyDescent="0.25">
      <c r="A62" s="107"/>
      <c r="B62" s="249">
        <v>42069</v>
      </c>
      <c r="C62" s="252">
        <v>-2.6099999999999999E-3</v>
      </c>
      <c r="E62" s="245">
        <v>42069</v>
      </c>
      <c r="F62" s="252">
        <v>-1.5299999999999999E-3</v>
      </c>
    </row>
    <row r="63" spans="1:6" x14ac:dyDescent="0.25">
      <c r="A63" s="107"/>
      <c r="B63" s="249">
        <v>42072</v>
      </c>
      <c r="C63" s="252">
        <v>-2.6099999999999999E-3</v>
      </c>
      <c r="E63" s="245">
        <v>42072</v>
      </c>
      <c r="F63" s="252">
        <v>-1.5299999999999999E-3</v>
      </c>
    </row>
    <row r="64" spans="1:6" x14ac:dyDescent="0.25">
      <c r="A64" s="107"/>
      <c r="B64" s="249">
        <v>42073</v>
      </c>
      <c r="C64" s="252">
        <v>-2.6099999999999999E-3</v>
      </c>
      <c r="E64" s="245">
        <v>42073</v>
      </c>
      <c r="F64" s="252">
        <v>-1.5299999999999999E-3</v>
      </c>
    </row>
    <row r="65" spans="1:6" x14ac:dyDescent="0.25">
      <c r="A65" s="107"/>
      <c r="B65" s="249">
        <v>42074</v>
      </c>
      <c r="C65" s="252">
        <v>-2.6099999999999999E-3</v>
      </c>
      <c r="E65" s="245">
        <v>42074</v>
      </c>
      <c r="F65" s="252">
        <v>-1.5299999999999999E-3</v>
      </c>
    </row>
    <row r="66" spans="1:6" x14ac:dyDescent="0.25">
      <c r="A66" s="107"/>
      <c r="B66" s="249">
        <v>42075</v>
      </c>
      <c r="C66" s="252">
        <v>-2.6099999999999999E-3</v>
      </c>
      <c r="E66" s="245">
        <v>42075</v>
      </c>
      <c r="F66" s="252">
        <v>-1.5299999999999999E-3</v>
      </c>
    </row>
    <row r="67" spans="1:6" x14ac:dyDescent="0.25">
      <c r="A67" s="107"/>
      <c r="B67" s="249">
        <v>42076</v>
      </c>
      <c r="C67" s="252">
        <v>-2.6099999999999999E-3</v>
      </c>
      <c r="E67" s="245">
        <v>42076</v>
      </c>
      <c r="F67" s="252">
        <v>-1.5299999999999999E-3</v>
      </c>
    </row>
    <row r="68" spans="1:6" x14ac:dyDescent="0.25">
      <c r="A68" s="107"/>
      <c r="B68" s="249">
        <v>42079</v>
      </c>
      <c r="C68" s="252">
        <v>-2.6099999999999999E-3</v>
      </c>
      <c r="E68" s="245">
        <v>42079</v>
      </c>
      <c r="F68" s="252">
        <v>-1.5299999999999999E-3</v>
      </c>
    </row>
    <row r="69" spans="1:6" x14ac:dyDescent="0.25">
      <c r="A69" s="107"/>
      <c r="B69" s="249">
        <v>42080</v>
      </c>
      <c r="C69" s="252">
        <v>-2.6099999999999999E-3</v>
      </c>
      <c r="E69" s="245">
        <v>42080</v>
      </c>
      <c r="F69" s="252">
        <v>-1.5299999999999999E-3</v>
      </c>
    </row>
    <row r="70" spans="1:6" x14ac:dyDescent="0.25">
      <c r="A70" s="107"/>
      <c r="B70" s="249">
        <v>42081</v>
      </c>
      <c r="C70" s="252">
        <v>-2.6099999999999999E-3</v>
      </c>
      <c r="E70" s="245">
        <v>42081</v>
      </c>
      <c r="F70" s="252">
        <v>-1.5299999999999999E-3</v>
      </c>
    </row>
    <row r="71" spans="1:6" x14ac:dyDescent="0.25">
      <c r="A71" s="107"/>
      <c r="B71" s="249">
        <v>42082</v>
      </c>
      <c r="C71" s="252">
        <v>-2.6099999999999999E-3</v>
      </c>
      <c r="E71" s="245">
        <v>42082</v>
      </c>
      <c r="F71" s="252">
        <v>-1.5299999999999999E-3</v>
      </c>
    </row>
    <row r="72" spans="1:6" x14ac:dyDescent="0.25">
      <c r="A72" s="107"/>
      <c r="B72" s="249">
        <v>42083</v>
      </c>
      <c r="C72" s="252">
        <v>-2.6099999999999999E-3</v>
      </c>
      <c r="E72" s="245">
        <v>42083</v>
      </c>
      <c r="F72" s="252">
        <v>-1.5299999999999999E-3</v>
      </c>
    </row>
    <row r="73" spans="1:6" x14ac:dyDescent="0.25">
      <c r="A73" s="107"/>
      <c r="B73" s="249">
        <v>42086</v>
      </c>
      <c r="C73" s="252">
        <v>-2.6099999999999999E-3</v>
      </c>
      <c r="E73" s="245">
        <v>42086</v>
      </c>
      <c r="F73" s="252">
        <v>-1.5299999999999999E-3</v>
      </c>
    </row>
    <row r="74" spans="1:6" x14ac:dyDescent="0.25">
      <c r="A74" s="107"/>
      <c r="B74" s="249">
        <v>42087</v>
      </c>
      <c r="C74" s="252">
        <v>-2.6099999999999999E-3</v>
      </c>
      <c r="E74" s="245">
        <v>42087</v>
      </c>
      <c r="F74" s="252">
        <v>-1.5299999999999999E-3</v>
      </c>
    </row>
    <row r="75" spans="1:6" x14ac:dyDescent="0.25">
      <c r="A75" s="107"/>
      <c r="B75" s="249">
        <v>42088</v>
      </c>
      <c r="C75" s="252">
        <v>-2.6099999999999999E-3</v>
      </c>
      <c r="E75" s="245">
        <v>42088</v>
      </c>
      <c r="F75" s="252">
        <v>-1.5299999999999999E-3</v>
      </c>
    </row>
    <row r="76" spans="1:6" x14ac:dyDescent="0.25">
      <c r="A76" s="107"/>
      <c r="B76" s="249">
        <v>42089</v>
      </c>
      <c r="C76" s="252">
        <v>-2.6099999999999999E-3</v>
      </c>
      <c r="E76" s="245">
        <v>42089</v>
      </c>
      <c r="F76" s="252">
        <v>-1.5299999999999999E-3</v>
      </c>
    </row>
    <row r="77" spans="1:6" x14ac:dyDescent="0.25">
      <c r="A77" s="107"/>
      <c r="B77" s="249">
        <v>42090</v>
      </c>
      <c r="C77" s="252">
        <v>-2.6099999999999999E-3</v>
      </c>
      <c r="E77" s="245">
        <v>42090</v>
      </c>
      <c r="F77" s="252">
        <v>-1.5299999999999999E-3</v>
      </c>
    </row>
    <row r="78" spans="1:6" x14ac:dyDescent="0.25">
      <c r="A78" s="107"/>
      <c r="B78" s="249">
        <v>42093</v>
      </c>
      <c r="C78" s="252">
        <v>-2.6099999999999999E-3</v>
      </c>
      <c r="E78" s="245">
        <v>42093</v>
      </c>
      <c r="F78" s="252">
        <v>-1.5299999999999999E-3</v>
      </c>
    </row>
    <row r="79" spans="1:6" x14ac:dyDescent="0.25">
      <c r="A79" s="107"/>
      <c r="B79" s="249">
        <v>42094</v>
      </c>
      <c r="C79" s="252">
        <v>-2.6099999999999999E-3</v>
      </c>
      <c r="E79" s="245">
        <v>42094</v>
      </c>
      <c r="F79" s="252">
        <v>-1.5299999999999999E-3</v>
      </c>
    </row>
    <row r="80" spans="1:6" x14ac:dyDescent="0.25">
      <c r="A80" s="107"/>
      <c r="B80" s="249">
        <v>42095</v>
      </c>
      <c r="C80" s="252">
        <v>-2.6099999999999999E-3</v>
      </c>
      <c r="E80" s="245">
        <v>42095</v>
      </c>
      <c r="F80" s="252">
        <v>-1.5299999999999999E-3</v>
      </c>
    </row>
    <row r="81" spans="1:6" x14ac:dyDescent="0.25">
      <c r="A81" s="107"/>
      <c r="B81" s="249">
        <v>42096</v>
      </c>
      <c r="C81" s="252">
        <v>-2.6099999999999999E-3</v>
      </c>
      <c r="E81" s="245">
        <v>42096</v>
      </c>
      <c r="F81" s="252">
        <v>-1.5299999999999999E-3</v>
      </c>
    </row>
    <row r="82" spans="1:6" x14ac:dyDescent="0.25">
      <c r="A82" s="107"/>
      <c r="B82" s="249">
        <v>42101</v>
      </c>
      <c r="C82" s="252">
        <v>-2.6099999999999999E-3</v>
      </c>
      <c r="E82" s="245">
        <v>42101</v>
      </c>
      <c r="F82" s="252">
        <v>-1.5299999999999999E-3</v>
      </c>
    </row>
    <row r="83" spans="1:6" x14ac:dyDescent="0.25">
      <c r="A83" s="107"/>
      <c r="B83" s="249">
        <v>42102</v>
      </c>
      <c r="C83" s="252">
        <v>-2.6099999999999999E-3</v>
      </c>
      <c r="E83" s="245">
        <v>42102</v>
      </c>
      <c r="F83" s="252">
        <v>-1.5299999999999999E-3</v>
      </c>
    </row>
    <row r="84" spans="1:6" x14ac:dyDescent="0.25">
      <c r="A84" s="107"/>
      <c r="B84" s="249">
        <v>42103</v>
      </c>
      <c r="C84" s="252">
        <v>-2.6099999999999999E-3</v>
      </c>
      <c r="E84" s="245">
        <v>42103</v>
      </c>
      <c r="F84" s="252">
        <v>-1.5299999999999999E-3</v>
      </c>
    </row>
    <row r="85" spans="1:6" x14ac:dyDescent="0.25">
      <c r="A85" s="107"/>
      <c r="B85" s="249">
        <v>42104</v>
      </c>
      <c r="C85" s="252">
        <v>-2.6099999999999999E-3</v>
      </c>
      <c r="E85" s="245">
        <v>42104</v>
      </c>
      <c r="F85" s="252">
        <v>-1.5299999999999999E-3</v>
      </c>
    </row>
    <row r="86" spans="1:6" x14ac:dyDescent="0.25">
      <c r="A86" s="107"/>
      <c r="B86" s="249">
        <v>42107</v>
      </c>
      <c r="C86" s="252">
        <v>-2.6099999999999999E-3</v>
      </c>
      <c r="E86" s="245">
        <v>42107</v>
      </c>
      <c r="F86" s="252">
        <v>-1.5299999999999999E-3</v>
      </c>
    </row>
    <row r="87" spans="1:6" x14ac:dyDescent="0.25">
      <c r="A87" s="107"/>
      <c r="B87" s="249">
        <v>42108</v>
      </c>
      <c r="C87" s="252">
        <v>-2.6099999999999999E-3</v>
      </c>
      <c r="E87" s="245">
        <v>42108</v>
      </c>
      <c r="F87" s="252">
        <v>-1.5299999999999999E-3</v>
      </c>
    </row>
    <row r="88" spans="1:6" x14ac:dyDescent="0.25">
      <c r="A88" s="107"/>
      <c r="B88" s="249">
        <v>42109</v>
      </c>
      <c r="C88" s="252">
        <v>-2.6099999999999999E-3</v>
      </c>
      <c r="E88" s="245">
        <v>42109</v>
      </c>
      <c r="F88" s="252">
        <v>-1.5299999999999999E-3</v>
      </c>
    </row>
    <row r="89" spans="1:6" x14ac:dyDescent="0.25">
      <c r="A89" s="107"/>
      <c r="B89" s="249">
        <v>42110</v>
      </c>
      <c r="C89" s="252">
        <v>-2.6099999999999999E-3</v>
      </c>
      <c r="E89" s="245">
        <v>42110</v>
      </c>
      <c r="F89" s="252">
        <v>-1.5299999999999999E-3</v>
      </c>
    </row>
    <row r="90" spans="1:6" x14ac:dyDescent="0.25">
      <c r="A90" s="107"/>
      <c r="B90" s="249">
        <v>42111</v>
      </c>
      <c r="C90" s="252">
        <v>-2.6099999999999999E-3</v>
      </c>
      <c r="E90" s="245">
        <v>42111</v>
      </c>
      <c r="F90" s="252">
        <v>-1.5299999999999999E-3</v>
      </c>
    </row>
    <row r="91" spans="1:6" x14ac:dyDescent="0.25">
      <c r="A91" s="107"/>
      <c r="B91" s="249">
        <v>42114</v>
      </c>
      <c r="C91" s="252">
        <v>-2.6099999999999999E-3</v>
      </c>
      <c r="E91" s="245">
        <v>42114</v>
      </c>
      <c r="F91" s="252">
        <v>-1.5299999999999999E-3</v>
      </c>
    </row>
    <row r="92" spans="1:6" x14ac:dyDescent="0.25">
      <c r="A92" s="107"/>
      <c r="B92" s="249">
        <v>42115</v>
      </c>
      <c r="C92" s="252">
        <v>-2.6099999999999999E-3</v>
      </c>
      <c r="E92" s="245">
        <v>42115</v>
      </c>
      <c r="F92" s="252">
        <v>-1.5299999999999999E-3</v>
      </c>
    </row>
    <row r="93" spans="1:6" x14ac:dyDescent="0.25">
      <c r="A93" s="107"/>
      <c r="B93" s="249">
        <v>42116</v>
      </c>
      <c r="C93" s="252">
        <v>-2.6099999999999999E-3</v>
      </c>
      <c r="E93" s="245">
        <v>42116</v>
      </c>
      <c r="F93" s="252">
        <v>-1.5299999999999999E-3</v>
      </c>
    </row>
    <row r="94" spans="1:6" x14ac:dyDescent="0.25">
      <c r="A94" s="107"/>
      <c r="B94" s="249">
        <v>42117</v>
      </c>
      <c r="C94" s="252">
        <v>-2.6099999999999999E-3</v>
      </c>
      <c r="E94" s="245">
        <v>42117</v>
      </c>
      <c r="F94" s="252">
        <v>-1.5299999999999999E-3</v>
      </c>
    </row>
    <row r="95" spans="1:6" x14ac:dyDescent="0.25">
      <c r="A95" s="107"/>
      <c r="B95" s="249">
        <v>42118</v>
      </c>
      <c r="C95" s="252">
        <v>-2.6099999999999999E-3</v>
      </c>
      <c r="E95" s="245">
        <v>42118</v>
      </c>
      <c r="F95" s="252">
        <v>-1.5299999999999999E-3</v>
      </c>
    </row>
    <row r="96" spans="1:6" x14ac:dyDescent="0.25">
      <c r="A96" s="107"/>
      <c r="B96" s="249">
        <v>42121</v>
      </c>
      <c r="C96" s="252">
        <v>-2.6099999999999999E-3</v>
      </c>
      <c r="E96" s="245">
        <v>42121</v>
      </c>
      <c r="F96" s="252">
        <v>-1.5299999999999999E-3</v>
      </c>
    </row>
    <row r="97" spans="1:6" x14ac:dyDescent="0.25">
      <c r="A97" s="107"/>
      <c r="B97" s="249">
        <v>42122</v>
      </c>
      <c r="C97" s="252">
        <v>-2.6099999999999999E-3</v>
      </c>
      <c r="E97" s="245">
        <v>42122</v>
      </c>
      <c r="F97" s="252">
        <v>-1.5299999999999999E-3</v>
      </c>
    </row>
    <row r="98" spans="1:6" x14ac:dyDescent="0.25">
      <c r="A98" s="107"/>
      <c r="B98" s="249">
        <v>42123</v>
      </c>
      <c r="C98" s="252">
        <v>-2.6099999999999999E-3</v>
      </c>
      <c r="E98" s="245">
        <v>42123</v>
      </c>
      <c r="F98" s="252">
        <v>-1.5299999999999999E-3</v>
      </c>
    </row>
    <row r="99" spans="1:6" x14ac:dyDescent="0.25">
      <c r="A99" s="107"/>
      <c r="B99" s="249">
        <v>42124</v>
      </c>
      <c r="C99" s="252">
        <v>-2.6099999999999999E-3</v>
      </c>
      <c r="E99" s="245">
        <v>42124</v>
      </c>
      <c r="F99" s="252">
        <v>-1.5299999999999999E-3</v>
      </c>
    </row>
    <row r="100" spans="1:6" x14ac:dyDescent="0.25">
      <c r="A100" s="107"/>
      <c r="B100" s="249">
        <v>42128</v>
      </c>
      <c r="C100" s="252">
        <v>-2.6099999999999999E-3</v>
      </c>
      <c r="E100" s="245">
        <v>42128</v>
      </c>
      <c r="F100" s="252">
        <v>-1.5299999999999999E-3</v>
      </c>
    </row>
    <row r="101" spans="1:6" x14ac:dyDescent="0.25">
      <c r="A101" s="107"/>
      <c r="B101" s="249">
        <v>42129</v>
      </c>
      <c r="C101" s="252">
        <v>-2.6099999999999999E-3</v>
      </c>
      <c r="E101" s="245">
        <v>42129</v>
      </c>
      <c r="F101" s="252">
        <v>-1.5299999999999999E-3</v>
      </c>
    </row>
    <row r="102" spans="1:6" x14ac:dyDescent="0.25">
      <c r="A102" s="107"/>
      <c r="B102" s="249">
        <v>42130</v>
      </c>
      <c r="C102" s="252">
        <v>-2.6099999999999999E-3</v>
      </c>
      <c r="E102" s="245">
        <v>42130</v>
      </c>
      <c r="F102" s="252">
        <v>-1.5299999999999999E-3</v>
      </c>
    </row>
    <row r="103" spans="1:6" x14ac:dyDescent="0.25">
      <c r="A103" s="107"/>
      <c r="B103" s="249">
        <v>42131</v>
      </c>
      <c r="C103" s="252">
        <v>-2.6099999999999999E-3</v>
      </c>
      <c r="E103" s="245">
        <v>42131</v>
      </c>
      <c r="F103" s="252">
        <v>-1.5299999999999999E-3</v>
      </c>
    </row>
    <row r="104" spans="1:6" x14ac:dyDescent="0.25">
      <c r="A104" s="107"/>
      <c r="B104" s="249">
        <v>42132</v>
      </c>
      <c r="C104" s="252">
        <v>-2.6099999999999999E-3</v>
      </c>
      <c r="E104" s="245">
        <v>42132</v>
      </c>
      <c r="F104" s="252">
        <v>-1.5299999999999999E-3</v>
      </c>
    </row>
    <row r="105" spans="1:6" x14ac:dyDescent="0.25">
      <c r="A105" s="107"/>
      <c r="B105" s="249">
        <v>42135</v>
      </c>
      <c r="C105" s="252">
        <v>-2.6099999999999999E-3</v>
      </c>
      <c r="E105" s="245">
        <v>42135</v>
      </c>
      <c r="F105" s="252">
        <v>-1.5299999999999999E-3</v>
      </c>
    </row>
    <row r="106" spans="1:6" x14ac:dyDescent="0.25">
      <c r="A106" s="107"/>
      <c r="B106" s="249">
        <v>42136</v>
      </c>
      <c r="C106" s="252">
        <v>-2.6099999999999999E-3</v>
      </c>
      <c r="E106" s="245">
        <v>42136</v>
      </c>
      <c r="F106" s="252">
        <v>-1.5299999999999999E-3</v>
      </c>
    </row>
    <row r="107" spans="1:6" x14ac:dyDescent="0.25">
      <c r="A107" s="107"/>
      <c r="B107" s="249">
        <v>42137</v>
      </c>
      <c r="C107" s="252">
        <v>-2.6099999999999999E-3</v>
      </c>
      <c r="E107" s="245">
        <v>42137</v>
      </c>
      <c r="F107" s="252">
        <v>-1.5299999999999999E-3</v>
      </c>
    </row>
    <row r="108" spans="1:6" x14ac:dyDescent="0.25">
      <c r="A108" s="107"/>
      <c r="B108" s="249">
        <v>42138</v>
      </c>
      <c r="C108" s="252">
        <v>-2.6099999999999999E-3</v>
      </c>
      <c r="E108" s="245">
        <v>42138</v>
      </c>
      <c r="F108" s="252">
        <v>-1.5299999999999999E-3</v>
      </c>
    </row>
    <row r="109" spans="1:6" x14ac:dyDescent="0.25">
      <c r="A109" s="107"/>
      <c r="B109" s="249">
        <v>42139</v>
      </c>
      <c r="C109" s="252">
        <v>-2.6099999999999999E-3</v>
      </c>
      <c r="E109" s="245">
        <v>42139</v>
      </c>
      <c r="F109" s="252">
        <v>-1.5299999999999999E-3</v>
      </c>
    </row>
    <row r="110" spans="1:6" x14ac:dyDescent="0.25">
      <c r="A110" s="107"/>
      <c r="B110" s="249">
        <v>42142</v>
      </c>
      <c r="C110" s="252">
        <v>-2.6099999999999999E-3</v>
      </c>
      <c r="E110" s="245">
        <v>42142</v>
      </c>
      <c r="F110" s="252">
        <v>-1.5299999999999999E-3</v>
      </c>
    </row>
    <row r="111" spans="1:6" x14ac:dyDescent="0.25">
      <c r="A111" s="107"/>
      <c r="B111" s="249">
        <v>42143</v>
      </c>
      <c r="C111" s="252">
        <v>-2.6099999999999999E-3</v>
      </c>
      <c r="E111" s="245">
        <v>42143</v>
      </c>
      <c r="F111" s="252">
        <v>-1.5299999999999999E-3</v>
      </c>
    </row>
    <row r="112" spans="1:6" x14ac:dyDescent="0.25">
      <c r="A112" s="107"/>
      <c r="B112" s="249">
        <v>42144</v>
      </c>
      <c r="C112" s="252">
        <v>-2.6099999999999999E-3</v>
      </c>
      <c r="E112" s="245">
        <v>42144</v>
      </c>
      <c r="F112" s="252">
        <v>-1.5299999999999999E-3</v>
      </c>
    </row>
    <row r="113" spans="1:6" x14ac:dyDescent="0.25">
      <c r="A113" s="107"/>
      <c r="B113" s="249">
        <v>42145</v>
      </c>
      <c r="C113" s="252">
        <v>-2.6099999999999999E-3</v>
      </c>
      <c r="E113" s="245">
        <v>42145</v>
      </c>
      <c r="F113" s="252">
        <v>-1.5299999999999999E-3</v>
      </c>
    </row>
    <row r="114" spans="1:6" x14ac:dyDescent="0.25">
      <c r="A114" s="107"/>
      <c r="B114" s="249">
        <v>42146</v>
      </c>
      <c r="C114" s="252">
        <v>-2.6099999999999999E-3</v>
      </c>
      <c r="E114" s="245">
        <v>42146</v>
      </c>
      <c r="F114" s="252">
        <v>-1.5299999999999999E-3</v>
      </c>
    </row>
    <row r="115" spans="1:6" x14ac:dyDescent="0.25">
      <c r="A115" s="107"/>
      <c r="B115" s="249">
        <v>42149</v>
      </c>
      <c r="C115" s="252">
        <v>-2.6099999999999999E-3</v>
      </c>
      <c r="E115" s="245">
        <v>42149</v>
      </c>
      <c r="F115" s="252">
        <v>-1.5299999999999999E-3</v>
      </c>
    </row>
    <row r="116" spans="1:6" x14ac:dyDescent="0.25">
      <c r="A116" s="107"/>
      <c r="B116" s="249">
        <v>42150</v>
      </c>
      <c r="C116" s="252">
        <v>-2.6099999999999999E-3</v>
      </c>
      <c r="E116" s="245">
        <v>42150</v>
      </c>
      <c r="F116" s="252">
        <v>-1.5299999999999999E-3</v>
      </c>
    </row>
    <row r="117" spans="1:6" x14ac:dyDescent="0.25">
      <c r="A117" s="107"/>
      <c r="B117" s="249">
        <v>42151</v>
      </c>
      <c r="C117" s="252">
        <v>-2.6099999999999999E-3</v>
      </c>
      <c r="E117" s="245">
        <v>42151</v>
      </c>
      <c r="F117" s="252">
        <v>-1.5299999999999999E-3</v>
      </c>
    </row>
    <row r="118" spans="1:6" x14ac:dyDescent="0.25">
      <c r="A118" s="107"/>
      <c r="B118" s="249">
        <v>42152</v>
      </c>
      <c r="C118" s="252">
        <v>-2.6099999999999999E-3</v>
      </c>
      <c r="E118" s="245">
        <v>42152</v>
      </c>
      <c r="F118" s="252">
        <v>-1.5299999999999999E-3</v>
      </c>
    </row>
    <row r="119" spans="1:6" x14ac:dyDescent="0.25">
      <c r="A119" s="107"/>
      <c r="B119" s="249">
        <v>42153</v>
      </c>
      <c r="C119" s="252">
        <v>-2.6099999999999999E-3</v>
      </c>
      <c r="E119" s="245">
        <v>42153</v>
      </c>
      <c r="F119" s="252">
        <v>-1.5299999999999999E-3</v>
      </c>
    </row>
    <row r="120" spans="1:6" x14ac:dyDescent="0.25">
      <c r="A120" s="107"/>
      <c r="B120" s="249">
        <v>42156</v>
      </c>
      <c r="C120" s="252">
        <v>-2.6099999999999999E-3</v>
      </c>
      <c r="E120" s="245">
        <v>42156</v>
      </c>
      <c r="F120" s="252">
        <v>-1.5299999999999999E-3</v>
      </c>
    </row>
    <row r="121" spans="1:6" x14ac:dyDescent="0.25">
      <c r="A121" s="107"/>
      <c r="B121" s="249">
        <v>42157</v>
      </c>
      <c r="C121" s="252">
        <v>-2.6099999999999999E-3</v>
      </c>
      <c r="E121" s="245">
        <v>42157</v>
      </c>
      <c r="F121" s="252">
        <v>-1.5299999999999999E-3</v>
      </c>
    </row>
    <row r="122" spans="1:6" x14ac:dyDescent="0.25">
      <c r="A122" s="107"/>
      <c r="B122" s="249">
        <v>42158</v>
      </c>
      <c r="C122" s="252">
        <v>-2.6099999999999999E-3</v>
      </c>
      <c r="E122" s="245">
        <v>42158</v>
      </c>
      <c r="F122" s="252">
        <v>-1.5299999999999999E-3</v>
      </c>
    </row>
    <row r="123" spans="1:6" x14ac:dyDescent="0.25">
      <c r="A123" s="107"/>
      <c r="B123" s="249">
        <v>42159</v>
      </c>
      <c r="C123" s="252">
        <v>-2.6099999999999999E-3</v>
      </c>
      <c r="E123" s="245">
        <v>42159</v>
      </c>
      <c r="F123" s="252">
        <v>-1.5299999999999999E-3</v>
      </c>
    </row>
    <row r="124" spans="1:6" x14ac:dyDescent="0.25">
      <c r="A124" s="107"/>
      <c r="B124" s="249">
        <v>42160</v>
      </c>
      <c r="C124" s="252">
        <v>-2.6099999999999999E-3</v>
      </c>
      <c r="E124" s="245">
        <v>42160</v>
      </c>
      <c r="F124" s="252">
        <v>-1.5299999999999999E-3</v>
      </c>
    </row>
    <row r="125" spans="1:6" x14ac:dyDescent="0.25">
      <c r="A125" s="107"/>
      <c r="B125" s="249">
        <v>42163</v>
      </c>
      <c r="C125" s="252">
        <v>-2.6099999999999999E-3</v>
      </c>
      <c r="E125" s="245">
        <v>42163</v>
      </c>
      <c r="F125" s="252">
        <v>-1.5299999999999999E-3</v>
      </c>
    </row>
    <row r="126" spans="1:6" x14ac:dyDescent="0.25">
      <c r="A126" s="107"/>
      <c r="B126" s="249">
        <v>42164</v>
      </c>
      <c r="C126" s="252">
        <v>-2.6099999999999999E-3</v>
      </c>
      <c r="E126" s="245">
        <v>42164</v>
      </c>
      <c r="F126" s="252">
        <v>-1.5299999999999999E-3</v>
      </c>
    </row>
    <row r="127" spans="1:6" x14ac:dyDescent="0.25">
      <c r="A127" s="107"/>
      <c r="B127" s="249">
        <v>42165</v>
      </c>
      <c r="C127" s="252">
        <v>-2.6099999999999999E-3</v>
      </c>
      <c r="E127" s="245">
        <v>42165</v>
      </c>
      <c r="F127" s="252">
        <v>-1.5299999999999999E-3</v>
      </c>
    </row>
    <row r="128" spans="1:6" x14ac:dyDescent="0.25">
      <c r="A128" s="107"/>
      <c r="B128" s="249">
        <v>42166</v>
      </c>
      <c r="C128" s="252">
        <v>-2.6099999999999999E-3</v>
      </c>
      <c r="E128" s="245">
        <v>42166</v>
      </c>
      <c r="F128" s="252">
        <v>-1.5299999999999999E-3</v>
      </c>
    </row>
    <row r="129" spans="1:6" x14ac:dyDescent="0.25">
      <c r="A129" s="107"/>
      <c r="B129" s="249">
        <v>42167</v>
      </c>
      <c r="C129" s="252">
        <v>-2.6099999999999999E-3</v>
      </c>
      <c r="E129" s="245">
        <v>42167</v>
      </c>
      <c r="F129" s="252">
        <v>-1.5299999999999999E-3</v>
      </c>
    </row>
    <row r="130" spans="1:6" x14ac:dyDescent="0.25">
      <c r="A130" s="107"/>
      <c r="B130" s="249">
        <v>42170</v>
      </c>
      <c r="C130" s="252">
        <v>-2.6099999999999999E-3</v>
      </c>
      <c r="E130" s="245">
        <v>42170</v>
      </c>
      <c r="F130" s="252">
        <v>-1.5299999999999999E-3</v>
      </c>
    </row>
    <row r="131" spans="1:6" x14ac:dyDescent="0.25">
      <c r="A131" s="107"/>
      <c r="B131" s="249">
        <v>42171</v>
      </c>
      <c r="C131" s="252">
        <v>-2.6099999999999999E-3</v>
      </c>
      <c r="E131" s="245">
        <v>42171</v>
      </c>
      <c r="F131" s="252">
        <v>-1.5299999999999999E-3</v>
      </c>
    </row>
    <row r="132" spans="1:6" x14ac:dyDescent="0.25">
      <c r="A132" s="107"/>
      <c r="B132" s="249">
        <v>42172</v>
      </c>
      <c r="C132" s="252">
        <v>-2.6099999999999999E-3</v>
      </c>
      <c r="E132" s="245">
        <v>42172</v>
      </c>
      <c r="F132" s="252">
        <v>-1.5299999999999999E-3</v>
      </c>
    </row>
    <row r="133" spans="1:6" x14ac:dyDescent="0.25">
      <c r="A133" s="107"/>
      <c r="B133" s="249">
        <v>42173</v>
      </c>
      <c r="C133" s="252">
        <v>-2.6099999999999999E-3</v>
      </c>
      <c r="E133" s="245">
        <v>42173</v>
      </c>
      <c r="F133" s="252">
        <v>-1.5299999999999999E-3</v>
      </c>
    </row>
    <row r="134" spans="1:6" x14ac:dyDescent="0.25">
      <c r="A134" s="107"/>
      <c r="B134" s="249">
        <v>42174</v>
      </c>
      <c r="C134" s="252">
        <v>-2.6099999999999999E-3</v>
      </c>
      <c r="E134" s="245">
        <v>42174</v>
      </c>
      <c r="F134" s="252">
        <v>-1.5299999999999999E-3</v>
      </c>
    </row>
    <row r="135" spans="1:6" x14ac:dyDescent="0.25">
      <c r="A135" s="107"/>
      <c r="B135" s="249">
        <v>42177</v>
      </c>
      <c r="C135" s="252">
        <v>-2.6099999999999999E-3</v>
      </c>
      <c r="E135" s="245">
        <v>42177</v>
      </c>
      <c r="F135" s="252">
        <v>-1.5299999999999999E-3</v>
      </c>
    </row>
    <row r="136" spans="1:6" x14ac:dyDescent="0.25">
      <c r="A136" s="107"/>
      <c r="B136" s="249">
        <v>42178</v>
      </c>
      <c r="C136" s="252">
        <v>-2.6099999999999999E-3</v>
      </c>
      <c r="E136" s="245">
        <v>42178</v>
      </c>
      <c r="F136" s="252">
        <v>-1.5299999999999999E-3</v>
      </c>
    </row>
    <row r="137" spans="1:6" x14ac:dyDescent="0.25">
      <c r="A137" s="107"/>
      <c r="B137" s="249">
        <v>42179</v>
      </c>
      <c r="C137" s="252">
        <v>-2.6099999999999999E-3</v>
      </c>
      <c r="E137" s="245">
        <v>42179</v>
      </c>
      <c r="F137" s="252">
        <v>-1.5299999999999999E-3</v>
      </c>
    </row>
    <row r="138" spans="1:6" x14ac:dyDescent="0.25">
      <c r="A138" s="107"/>
      <c r="B138" s="249">
        <v>42180</v>
      </c>
      <c r="C138" s="252">
        <v>-2.6099999999999999E-3</v>
      </c>
      <c r="E138" s="245">
        <v>42180</v>
      </c>
      <c r="F138" s="252">
        <v>-1.5299999999999999E-3</v>
      </c>
    </row>
    <row r="139" spans="1:6" x14ac:dyDescent="0.25">
      <c r="A139" s="107"/>
      <c r="B139" s="249">
        <v>42181</v>
      </c>
      <c r="C139" s="252">
        <v>-2.6099999999999999E-3</v>
      </c>
      <c r="E139" s="245">
        <v>42181</v>
      </c>
      <c r="F139" s="252">
        <v>-1.5299999999999999E-3</v>
      </c>
    </row>
    <row r="140" spans="1:6" x14ac:dyDescent="0.25">
      <c r="A140" s="107"/>
      <c r="B140" s="249">
        <v>42184</v>
      </c>
      <c r="C140" s="252">
        <v>-2.6099999999999999E-3</v>
      </c>
      <c r="E140" s="245">
        <v>42184</v>
      </c>
      <c r="F140" s="252">
        <v>-1.5299999999999999E-3</v>
      </c>
    </row>
    <row r="141" spans="1:6" x14ac:dyDescent="0.25">
      <c r="A141" s="107"/>
      <c r="B141" s="249">
        <v>42185</v>
      </c>
      <c r="C141" s="252">
        <v>-2.6099999999999999E-3</v>
      </c>
      <c r="E141" s="245">
        <v>42185</v>
      </c>
      <c r="F141" s="252">
        <v>-1.5299999999999999E-3</v>
      </c>
    </row>
    <row r="142" spans="1:6" x14ac:dyDescent="0.25">
      <c r="A142" s="107"/>
      <c r="B142" s="249">
        <v>42186</v>
      </c>
      <c r="C142" s="252">
        <v>-2.6099999999999999E-3</v>
      </c>
      <c r="E142" s="245">
        <v>42186</v>
      </c>
      <c r="F142" s="252">
        <v>-1.5299999999999999E-3</v>
      </c>
    </row>
    <row r="143" spans="1:6" x14ac:dyDescent="0.25">
      <c r="A143" s="107"/>
      <c r="B143" s="249">
        <v>42187</v>
      </c>
      <c r="C143" s="252">
        <v>-2.6099999999999999E-3</v>
      </c>
      <c r="E143" s="245">
        <v>42187</v>
      </c>
      <c r="F143" s="252">
        <v>-1.5299999999999999E-3</v>
      </c>
    </row>
    <row r="144" spans="1:6" x14ac:dyDescent="0.25">
      <c r="A144" s="107"/>
      <c r="B144" s="249">
        <v>42188</v>
      </c>
      <c r="C144" s="252">
        <v>-2.6099999999999999E-3</v>
      </c>
      <c r="E144" s="245">
        <v>42188</v>
      </c>
      <c r="F144" s="252">
        <v>-1.5299999999999999E-3</v>
      </c>
    </row>
    <row r="145" spans="1:6" x14ac:dyDescent="0.25">
      <c r="A145" s="107"/>
      <c r="B145" s="249">
        <v>42191</v>
      </c>
      <c r="C145" s="252">
        <v>-2.6099999999999999E-3</v>
      </c>
      <c r="E145" s="245">
        <v>42191</v>
      </c>
      <c r="F145" s="252">
        <v>-1.5299999999999999E-3</v>
      </c>
    </row>
    <row r="146" spans="1:6" x14ac:dyDescent="0.25">
      <c r="A146" s="107"/>
      <c r="B146" s="249">
        <v>42192</v>
      </c>
      <c r="C146" s="252">
        <v>-2.6099999999999999E-3</v>
      </c>
      <c r="E146" s="245">
        <v>42192</v>
      </c>
      <c r="F146" s="252">
        <v>-1.5299999999999999E-3</v>
      </c>
    </row>
    <row r="147" spans="1:6" x14ac:dyDescent="0.25">
      <c r="A147" s="107"/>
      <c r="B147" s="249">
        <v>42193</v>
      </c>
      <c r="C147" s="252">
        <v>-2.6099999999999999E-3</v>
      </c>
      <c r="E147" s="245">
        <v>42193</v>
      </c>
      <c r="F147" s="252">
        <v>-1.5299999999999999E-3</v>
      </c>
    </row>
    <row r="148" spans="1:6" x14ac:dyDescent="0.25">
      <c r="A148" s="107"/>
      <c r="B148" s="249">
        <v>42194</v>
      </c>
      <c r="C148" s="252">
        <v>-2.6099999999999999E-3</v>
      </c>
      <c r="E148" s="245">
        <v>42194</v>
      </c>
      <c r="F148" s="252">
        <v>-1.5299999999999999E-3</v>
      </c>
    </row>
    <row r="149" spans="1:6" x14ac:dyDescent="0.25">
      <c r="A149" s="107"/>
      <c r="B149" s="249">
        <v>42195</v>
      </c>
      <c r="C149" s="252">
        <v>-2.6099999999999999E-3</v>
      </c>
      <c r="E149" s="245">
        <v>42195</v>
      </c>
      <c r="F149" s="252">
        <v>-1.5299999999999999E-3</v>
      </c>
    </row>
    <row r="150" spans="1:6" x14ac:dyDescent="0.25">
      <c r="A150" s="107"/>
      <c r="B150" s="249">
        <v>42198</v>
      </c>
      <c r="C150" s="252">
        <v>-2.6099999999999999E-3</v>
      </c>
      <c r="E150" s="245">
        <v>42198</v>
      </c>
      <c r="F150" s="252">
        <v>-1.5299999999999999E-3</v>
      </c>
    </row>
    <row r="151" spans="1:6" x14ac:dyDescent="0.25">
      <c r="A151" s="107"/>
      <c r="B151" s="249">
        <v>42199</v>
      </c>
      <c r="C151" s="252">
        <v>-2.6099999999999999E-3</v>
      </c>
      <c r="E151" s="245">
        <v>42199</v>
      </c>
      <c r="F151" s="252">
        <v>-1.5299999999999999E-3</v>
      </c>
    </row>
    <row r="152" spans="1:6" x14ac:dyDescent="0.25">
      <c r="A152" s="107"/>
      <c r="B152" s="249">
        <v>42200</v>
      </c>
      <c r="C152" s="252">
        <v>-2.6099999999999999E-3</v>
      </c>
      <c r="E152" s="245">
        <v>42200</v>
      </c>
      <c r="F152" s="252">
        <v>-1.5299999999999999E-3</v>
      </c>
    </row>
    <row r="153" spans="1:6" x14ac:dyDescent="0.25">
      <c r="A153" s="107"/>
      <c r="B153" s="249">
        <v>42201</v>
      </c>
      <c r="C153" s="252">
        <v>-2.6099999999999999E-3</v>
      </c>
      <c r="E153" s="245">
        <v>42201</v>
      </c>
      <c r="F153" s="252">
        <v>-1.5299999999999999E-3</v>
      </c>
    </row>
    <row r="154" spans="1:6" x14ac:dyDescent="0.25">
      <c r="A154" s="107"/>
      <c r="B154" s="249">
        <v>42202</v>
      </c>
      <c r="C154" s="252">
        <v>-2.6099999999999999E-3</v>
      </c>
      <c r="E154" s="245">
        <v>42202</v>
      </c>
      <c r="F154" s="252">
        <v>-1.5299999999999999E-3</v>
      </c>
    </row>
    <row r="155" spans="1:6" x14ac:dyDescent="0.25">
      <c r="A155" s="107"/>
      <c r="B155" s="249">
        <v>42205</v>
      </c>
      <c r="C155" s="252">
        <v>-2.6099999999999999E-3</v>
      </c>
      <c r="E155" s="245">
        <v>42205</v>
      </c>
      <c r="F155" s="252">
        <v>-1.5299999999999999E-3</v>
      </c>
    </row>
    <row r="156" spans="1:6" x14ac:dyDescent="0.25">
      <c r="A156" s="107"/>
      <c r="B156" s="249">
        <v>42206</v>
      </c>
      <c r="C156" s="252">
        <v>-2.6099999999999999E-3</v>
      </c>
      <c r="E156" s="245">
        <v>42206</v>
      </c>
      <c r="F156" s="252">
        <v>-1.5299999999999999E-3</v>
      </c>
    </row>
    <row r="157" spans="1:6" x14ac:dyDescent="0.25">
      <c r="A157" s="107"/>
      <c r="B157" s="249">
        <v>42207</v>
      </c>
      <c r="C157" s="252">
        <v>-2.6099999999999999E-3</v>
      </c>
      <c r="E157" s="245">
        <v>42207</v>
      </c>
      <c r="F157" s="252">
        <v>-1.5299999999999999E-3</v>
      </c>
    </row>
    <row r="158" spans="1:6" x14ac:dyDescent="0.25">
      <c r="A158" s="107"/>
      <c r="B158" s="249">
        <v>42208</v>
      </c>
      <c r="C158" s="252">
        <v>-2.6099999999999999E-3</v>
      </c>
      <c r="E158" s="245">
        <v>42208</v>
      </c>
      <c r="F158" s="252">
        <v>-1.5299999999999999E-3</v>
      </c>
    </row>
    <row r="159" spans="1:6" x14ac:dyDescent="0.25">
      <c r="A159" s="107"/>
      <c r="B159" s="249">
        <v>42209</v>
      </c>
      <c r="C159" s="252">
        <v>-2.6099999999999999E-3</v>
      </c>
      <c r="E159" s="245">
        <v>42209</v>
      </c>
      <c r="F159" s="252">
        <v>-1.5299999999999999E-3</v>
      </c>
    </row>
    <row r="160" spans="1:6" x14ac:dyDescent="0.25">
      <c r="A160" s="107"/>
      <c r="B160" s="249">
        <v>42212</v>
      </c>
      <c r="C160" s="252">
        <v>-2.6099999999999999E-3</v>
      </c>
      <c r="E160" s="245">
        <v>42212</v>
      </c>
      <c r="F160" s="252">
        <v>-1.5299999999999999E-3</v>
      </c>
    </row>
    <row r="161" spans="1:6" x14ac:dyDescent="0.25">
      <c r="A161" s="107"/>
      <c r="B161" s="249">
        <v>42213</v>
      </c>
      <c r="C161" s="252">
        <v>-2.6099999999999999E-3</v>
      </c>
      <c r="E161" s="245">
        <v>42213</v>
      </c>
      <c r="F161" s="252">
        <v>-1.5299999999999999E-3</v>
      </c>
    </row>
    <row r="162" spans="1:6" x14ac:dyDescent="0.25">
      <c r="A162" s="107"/>
      <c r="B162" s="249">
        <v>42214</v>
      </c>
      <c r="C162" s="252">
        <v>-2.6099999999999999E-3</v>
      </c>
      <c r="E162" s="245">
        <v>42214</v>
      </c>
      <c r="F162" s="252">
        <v>-1.5299999999999999E-3</v>
      </c>
    </row>
    <row r="163" spans="1:6" x14ac:dyDescent="0.25">
      <c r="A163" s="107"/>
      <c r="B163" s="249">
        <v>42215</v>
      </c>
      <c r="C163" s="252">
        <v>-2.6099999999999999E-3</v>
      </c>
      <c r="E163" s="245">
        <v>42215</v>
      </c>
      <c r="F163" s="252">
        <v>-1.5299999999999999E-3</v>
      </c>
    </row>
    <row r="164" spans="1:6" x14ac:dyDescent="0.25">
      <c r="A164" s="107"/>
      <c r="B164" s="249">
        <v>42216</v>
      </c>
      <c r="C164" s="252">
        <v>-2.6099999999999999E-3</v>
      </c>
      <c r="E164" s="245">
        <v>42216</v>
      </c>
      <c r="F164" s="252">
        <v>-1.5299999999999999E-3</v>
      </c>
    </row>
    <row r="165" spans="1:6" x14ac:dyDescent="0.25">
      <c r="A165" s="107"/>
      <c r="B165" s="249">
        <v>42219</v>
      </c>
      <c r="C165" s="252">
        <v>-2.6099999999999999E-3</v>
      </c>
      <c r="E165" s="245">
        <v>42219</v>
      </c>
      <c r="F165" s="252">
        <v>-1.5299999999999999E-3</v>
      </c>
    </row>
    <row r="166" spans="1:6" x14ac:dyDescent="0.25">
      <c r="A166" s="107"/>
      <c r="B166" s="249">
        <v>42220</v>
      </c>
      <c r="C166" s="252">
        <v>-2.6099999999999999E-3</v>
      </c>
      <c r="E166" s="245">
        <v>42220</v>
      </c>
      <c r="F166" s="252">
        <v>-1.5299999999999999E-3</v>
      </c>
    </row>
    <row r="167" spans="1:6" x14ac:dyDescent="0.25">
      <c r="A167" s="107"/>
      <c r="B167" s="249">
        <v>42221</v>
      </c>
      <c r="C167" s="252">
        <v>-2.6099999999999999E-3</v>
      </c>
      <c r="E167" s="245">
        <v>42221</v>
      </c>
      <c r="F167" s="252">
        <v>-1.5299999999999999E-3</v>
      </c>
    </row>
    <row r="168" spans="1:6" x14ac:dyDescent="0.25">
      <c r="A168" s="107"/>
      <c r="B168" s="249">
        <v>42222</v>
      </c>
      <c r="C168" s="252">
        <v>-2.6099999999999999E-3</v>
      </c>
      <c r="E168" s="245">
        <v>42222</v>
      </c>
      <c r="F168" s="252">
        <v>-1.5299999999999999E-3</v>
      </c>
    </row>
    <row r="169" spans="1:6" x14ac:dyDescent="0.25">
      <c r="A169" s="107"/>
      <c r="B169" s="249">
        <v>42223</v>
      </c>
      <c r="C169" s="252">
        <v>-2.6099999999999999E-3</v>
      </c>
      <c r="E169" s="245">
        <v>42223</v>
      </c>
      <c r="F169" s="252">
        <v>-1.5299999999999999E-3</v>
      </c>
    </row>
    <row r="170" spans="1:6" x14ac:dyDescent="0.25">
      <c r="A170" s="107"/>
      <c r="B170" s="249">
        <v>42226</v>
      </c>
      <c r="C170" s="252">
        <v>-2.6099999999999999E-3</v>
      </c>
      <c r="E170" s="245">
        <v>42226</v>
      </c>
      <c r="F170" s="252">
        <v>-1.5299999999999999E-3</v>
      </c>
    </row>
    <row r="171" spans="1:6" x14ac:dyDescent="0.25">
      <c r="A171" s="107"/>
      <c r="B171" s="249">
        <v>42227</v>
      </c>
      <c r="C171" s="252">
        <v>-2.6099999999999999E-3</v>
      </c>
      <c r="E171" s="245">
        <v>42227</v>
      </c>
      <c r="F171" s="252">
        <v>-1.5299999999999999E-3</v>
      </c>
    </row>
    <row r="172" spans="1:6" x14ac:dyDescent="0.25">
      <c r="A172" s="107"/>
      <c r="B172" s="249">
        <v>42228</v>
      </c>
      <c r="C172" s="252">
        <v>-2.6099999999999999E-3</v>
      </c>
      <c r="E172" s="245">
        <v>42228</v>
      </c>
      <c r="F172" s="252">
        <v>-1.5299999999999999E-3</v>
      </c>
    </row>
    <row r="173" spans="1:6" x14ac:dyDescent="0.25">
      <c r="A173" s="107"/>
      <c r="B173" s="249">
        <v>42229</v>
      </c>
      <c r="C173" s="252">
        <v>-2.6099999999999999E-3</v>
      </c>
      <c r="E173" s="245">
        <v>42229</v>
      </c>
      <c r="F173" s="252">
        <v>-1.5299999999999999E-3</v>
      </c>
    </row>
    <row r="174" spans="1:6" x14ac:dyDescent="0.25">
      <c r="A174" s="107"/>
      <c r="B174" s="249">
        <v>42230</v>
      </c>
      <c r="C174" s="252">
        <v>-2.6099999999999999E-3</v>
      </c>
      <c r="E174" s="245">
        <v>42230</v>
      </c>
      <c r="F174" s="252">
        <v>-1.5299999999999999E-3</v>
      </c>
    </row>
    <row r="175" spans="1:6" x14ac:dyDescent="0.25">
      <c r="A175" s="107"/>
      <c r="B175" s="249">
        <v>42233</v>
      </c>
      <c r="C175" s="252">
        <v>-2.6099999999999999E-3</v>
      </c>
      <c r="E175" s="245">
        <v>42233</v>
      </c>
      <c r="F175" s="252">
        <v>-1.5299999999999999E-3</v>
      </c>
    </row>
    <row r="176" spans="1:6" x14ac:dyDescent="0.25">
      <c r="A176" s="107"/>
      <c r="B176" s="249">
        <v>42234</v>
      </c>
      <c r="C176" s="252">
        <v>-2.6099999999999999E-3</v>
      </c>
      <c r="E176" s="245">
        <v>42234</v>
      </c>
      <c r="F176" s="252">
        <v>-1.5299999999999999E-3</v>
      </c>
    </row>
    <row r="177" spans="1:6" x14ac:dyDescent="0.25">
      <c r="A177" s="107"/>
      <c r="B177" s="249">
        <v>42235</v>
      </c>
      <c r="C177" s="252">
        <v>-2.6099999999999999E-3</v>
      </c>
      <c r="E177" s="245">
        <v>42235</v>
      </c>
      <c r="F177" s="252">
        <v>-1.5299999999999999E-3</v>
      </c>
    </row>
    <row r="178" spans="1:6" x14ac:dyDescent="0.25">
      <c r="A178" s="107"/>
      <c r="B178" s="249">
        <v>42236</v>
      </c>
      <c r="C178" s="252">
        <v>-2.6099999999999999E-3</v>
      </c>
      <c r="E178" s="245">
        <v>42236</v>
      </c>
      <c r="F178" s="252">
        <v>-1.5299999999999999E-3</v>
      </c>
    </row>
    <row r="179" spans="1:6" x14ac:dyDescent="0.25">
      <c r="A179" s="107"/>
      <c r="B179" s="249">
        <v>42237</v>
      </c>
      <c r="C179" s="252">
        <v>-2.6099999999999999E-3</v>
      </c>
      <c r="E179" s="245">
        <v>42237</v>
      </c>
      <c r="F179" s="252">
        <v>-1.5299999999999999E-3</v>
      </c>
    </row>
    <row r="180" spans="1:6" x14ac:dyDescent="0.25">
      <c r="A180" s="107"/>
      <c r="B180" s="249">
        <v>42240</v>
      </c>
      <c r="C180" s="252">
        <v>-2.6099999999999999E-3</v>
      </c>
      <c r="E180" s="245">
        <v>42240</v>
      </c>
      <c r="F180" s="252">
        <v>-1.5299999999999999E-3</v>
      </c>
    </row>
    <row r="181" spans="1:6" x14ac:dyDescent="0.25">
      <c r="A181" s="107"/>
      <c r="B181" s="249">
        <v>42241</v>
      </c>
      <c r="C181" s="252">
        <v>-2.6099999999999999E-3</v>
      </c>
      <c r="E181" s="245">
        <v>42241</v>
      </c>
      <c r="F181" s="252">
        <v>-1.5299999999999999E-3</v>
      </c>
    </row>
    <row r="182" spans="1:6" x14ac:dyDescent="0.25">
      <c r="A182" s="107"/>
      <c r="B182" s="249">
        <v>42242</v>
      </c>
      <c r="C182" s="252">
        <v>-2.6099999999999999E-3</v>
      </c>
      <c r="E182" s="245">
        <v>42242</v>
      </c>
      <c r="F182" s="252">
        <v>-1.5299999999999999E-3</v>
      </c>
    </row>
    <row r="183" spans="1:6" x14ac:dyDescent="0.25">
      <c r="A183" s="107"/>
      <c r="B183" s="249">
        <v>42243</v>
      </c>
      <c r="C183" s="252">
        <v>-2.6099999999999999E-3</v>
      </c>
      <c r="E183" s="245">
        <v>42243</v>
      </c>
      <c r="F183" s="252">
        <v>-1.5299999999999999E-3</v>
      </c>
    </row>
    <row r="184" spans="1:6" x14ac:dyDescent="0.25">
      <c r="A184" s="107"/>
      <c r="B184" s="249">
        <v>42244</v>
      </c>
      <c r="C184" s="252">
        <v>-2.6099999999999999E-3</v>
      </c>
      <c r="E184" s="245">
        <v>42244</v>
      </c>
      <c r="F184" s="252">
        <v>-1.5299999999999999E-3</v>
      </c>
    </row>
    <row r="185" spans="1:6" x14ac:dyDescent="0.25">
      <c r="A185" s="107"/>
      <c r="B185" s="249">
        <v>42247</v>
      </c>
      <c r="C185" s="252">
        <v>-2.6099999999999999E-3</v>
      </c>
      <c r="E185" s="245">
        <v>42247</v>
      </c>
      <c r="F185" s="252">
        <v>-1.5299999999999999E-3</v>
      </c>
    </row>
    <row r="186" spans="1:6" x14ac:dyDescent="0.25">
      <c r="A186" s="107"/>
      <c r="B186" s="249">
        <v>42248</v>
      </c>
      <c r="C186" s="252">
        <v>-2.6099999999999999E-3</v>
      </c>
      <c r="E186" s="245">
        <v>42248</v>
      </c>
      <c r="F186" s="252">
        <v>-1.5299999999999999E-3</v>
      </c>
    </row>
    <row r="187" spans="1:6" x14ac:dyDescent="0.25">
      <c r="A187" s="107"/>
      <c r="B187" s="249">
        <v>42249</v>
      </c>
      <c r="C187" s="252">
        <v>-2.6099999999999999E-3</v>
      </c>
      <c r="E187" s="245">
        <v>42249</v>
      </c>
      <c r="F187" s="252">
        <v>-1.5299999999999999E-3</v>
      </c>
    </row>
    <row r="188" spans="1:6" x14ac:dyDescent="0.25">
      <c r="A188" s="107"/>
      <c r="B188" s="249">
        <v>42250</v>
      </c>
      <c r="C188" s="252">
        <v>-2.6099999999999999E-3</v>
      </c>
      <c r="E188" s="245">
        <v>42250</v>
      </c>
      <c r="F188" s="252">
        <v>-1.5299999999999999E-3</v>
      </c>
    </row>
    <row r="189" spans="1:6" x14ac:dyDescent="0.25">
      <c r="A189" s="107"/>
      <c r="B189" s="249">
        <v>42251</v>
      </c>
      <c r="C189" s="252">
        <v>-2.6099999999999999E-3</v>
      </c>
      <c r="E189" s="245">
        <v>42251</v>
      </c>
      <c r="F189" s="252">
        <v>-1.5299999999999999E-3</v>
      </c>
    </row>
    <row r="190" spans="1:6" x14ac:dyDescent="0.25">
      <c r="A190" s="107"/>
      <c r="B190" s="249">
        <v>42254</v>
      </c>
      <c r="C190" s="252">
        <v>-2.6099999999999999E-3</v>
      </c>
      <c r="E190" s="245">
        <v>42254</v>
      </c>
      <c r="F190" s="252">
        <v>-1.5299999999999999E-3</v>
      </c>
    </row>
    <row r="191" spans="1:6" x14ac:dyDescent="0.25">
      <c r="A191" s="107"/>
      <c r="B191" s="249">
        <v>42255</v>
      </c>
      <c r="C191" s="252">
        <v>-2.6099999999999999E-3</v>
      </c>
      <c r="E191" s="245">
        <v>42255</v>
      </c>
      <c r="F191" s="252">
        <v>-1.5299999999999999E-3</v>
      </c>
    </row>
    <row r="192" spans="1:6" x14ac:dyDescent="0.25">
      <c r="A192" s="107"/>
      <c r="B192" s="249">
        <v>42256</v>
      </c>
      <c r="C192" s="252">
        <v>-2.6099999999999999E-3</v>
      </c>
      <c r="E192" s="245">
        <v>42256</v>
      </c>
      <c r="F192" s="252">
        <v>-1.5299999999999999E-3</v>
      </c>
    </row>
    <row r="193" spans="1:6" x14ac:dyDescent="0.25">
      <c r="A193" s="107"/>
      <c r="B193" s="249">
        <v>42257</v>
      </c>
      <c r="C193" s="252">
        <v>-2.6099999999999999E-3</v>
      </c>
      <c r="E193" s="245">
        <v>42257</v>
      </c>
      <c r="F193" s="252">
        <v>-1.5299999999999999E-3</v>
      </c>
    </row>
    <row r="194" spans="1:6" x14ac:dyDescent="0.25">
      <c r="A194" s="107"/>
      <c r="B194" s="249">
        <v>42258</v>
      </c>
      <c r="C194" s="252">
        <v>-2.6099999999999999E-3</v>
      </c>
      <c r="E194" s="245">
        <v>42258</v>
      </c>
      <c r="F194" s="252">
        <v>-1.5299999999999999E-3</v>
      </c>
    </row>
    <row r="195" spans="1:6" x14ac:dyDescent="0.25">
      <c r="A195" s="107"/>
      <c r="B195" s="249">
        <v>42261</v>
      </c>
      <c r="C195" s="252">
        <v>-2.6099999999999999E-3</v>
      </c>
      <c r="E195" s="245">
        <v>42261</v>
      </c>
      <c r="F195" s="252">
        <v>-1.5299999999999999E-3</v>
      </c>
    </row>
    <row r="196" spans="1:6" x14ac:dyDescent="0.25">
      <c r="A196" s="107"/>
      <c r="B196" s="249">
        <v>42262</v>
      </c>
      <c r="C196" s="252">
        <v>-2.6099999999999999E-3</v>
      </c>
      <c r="E196" s="245">
        <v>42262</v>
      </c>
      <c r="F196" s="252">
        <v>-1.5299999999999999E-3</v>
      </c>
    </row>
    <row r="197" spans="1:6" x14ac:dyDescent="0.25">
      <c r="A197" s="107"/>
      <c r="B197" s="249">
        <v>42263</v>
      </c>
      <c r="C197" s="252">
        <v>-2.6099999999999999E-3</v>
      </c>
      <c r="E197" s="245">
        <v>42263</v>
      </c>
      <c r="F197" s="252">
        <v>-1.5299999999999999E-3</v>
      </c>
    </row>
    <row r="198" spans="1:6" x14ac:dyDescent="0.25">
      <c r="A198" s="107"/>
      <c r="B198" s="249">
        <v>42264</v>
      </c>
      <c r="C198" s="252">
        <v>-2.6099999999999999E-3</v>
      </c>
      <c r="E198" s="245">
        <v>42264</v>
      </c>
      <c r="F198" s="252">
        <v>-1.5299999999999999E-3</v>
      </c>
    </row>
    <row r="199" spans="1:6" x14ac:dyDescent="0.25">
      <c r="A199" s="107"/>
      <c r="B199" s="249">
        <v>42265</v>
      </c>
      <c r="C199" s="252">
        <v>-2.6099999999999999E-3</v>
      </c>
      <c r="E199" s="245">
        <v>42265</v>
      </c>
      <c r="F199" s="252">
        <v>-1.5299999999999999E-3</v>
      </c>
    </row>
    <row r="200" spans="1:6" x14ac:dyDescent="0.25">
      <c r="A200" s="107"/>
      <c r="B200" s="249">
        <v>42268</v>
      </c>
      <c r="C200" s="252">
        <v>-2.6099999999999999E-3</v>
      </c>
      <c r="E200" s="245">
        <v>42268</v>
      </c>
      <c r="F200" s="252">
        <v>-1.5299999999999999E-3</v>
      </c>
    </row>
    <row r="201" spans="1:6" x14ac:dyDescent="0.25">
      <c r="A201" s="107"/>
      <c r="B201" s="249">
        <v>42269</v>
      </c>
      <c r="C201" s="252">
        <v>-2.6099999999999999E-3</v>
      </c>
      <c r="E201" s="245">
        <v>42269</v>
      </c>
      <c r="F201" s="252">
        <v>-1.5299999999999999E-3</v>
      </c>
    </row>
    <row r="202" spans="1:6" x14ac:dyDescent="0.25">
      <c r="A202" s="107"/>
      <c r="B202" s="249">
        <v>42270</v>
      </c>
      <c r="C202" s="252">
        <v>-2.6099999999999999E-3</v>
      </c>
      <c r="E202" s="245">
        <v>42270</v>
      </c>
      <c r="F202" s="252">
        <v>-1.5299999999999999E-3</v>
      </c>
    </row>
    <row r="203" spans="1:6" x14ac:dyDescent="0.25">
      <c r="A203" s="107"/>
      <c r="B203" s="249">
        <v>42271</v>
      </c>
      <c r="C203" s="252">
        <v>-2.6099999999999999E-3</v>
      </c>
      <c r="E203" s="245">
        <v>42271</v>
      </c>
      <c r="F203" s="252">
        <v>-1.5299999999999999E-3</v>
      </c>
    </row>
    <row r="204" spans="1:6" x14ac:dyDescent="0.25">
      <c r="A204" s="107"/>
      <c r="B204" s="249">
        <v>42272</v>
      </c>
      <c r="C204" s="252">
        <v>-2.6099999999999999E-3</v>
      </c>
      <c r="E204" s="245">
        <v>42272</v>
      </c>
      <c r="F204" s="252">
        <v>-1.5299999999999999E-3</v>
      </c>
    </row>
    <row r="205" spans="1:6" x14ac:dyDescent="0.25">
      <c r="A205" s="107"/>
      <c r="B205" s="249">
        <v>42275</v>
      </c>
      <c r="C205" s="252">
        <v>-2.6099999999999999E-3</v>
      </c>
      <c r="E205" s="245">
        <v>42275</v>
      </c>
      <c r="F205" s="252">
        <v>-1.5299999999999999E-3</v>
      </c>
    </row>
    <row r="206" spans="1:6" x14ac:dyDescent="0.25">
      <c r="A206" s="107"/>
      <c r="B206" s="249">
        <v>42276</v>
      </c>
      <c r="C206" s="252">
        <v>-2.6099999999999999E-3</v>
      </c>
      <c r="E206" s="245">
        <v>42276</v>
      </c>
      <c r="F206" s="252">
        <v>-1.5299999999999999E-3</v>
      </c>
    </row>
    <row r="207" spans="1:6" x14ac:dyDescent="0.25">
      <c r="A207" s="107"/>
      <c r="B207" s="249">
        <v>42277</v>
      </c>
      <c r="C207" s="252">
        <v>-2.6099999999999999E-3</v>
      </c>
      <c r="E207" s="245">
        <v>42277</v>
      </c>
      <c r="F207" s="252">
        <v>-1.5299999999999999E-3</v>
      </c>
    </row>
    <row r="208" spans="1:6" x14ac:dyDescent="0.25">
      <c r="A208" s="107"/>
      <c r="B208" s="249">
        <v>42278</v>
      </c>
      <c r="C208" s="252">
        <v>-2.6099999999999999E-3</v>
      </c>
      <c r="E208" s="245">
        <v>42278</v>
      </c>
      <c r="F208" s="252">
        <v>-1.5299999999999999E-3</v>
      </c>
    </row>
    <row r="209" spans="1:6" x14ac:dyDescent="0.25">
      <c r="A209" s="107"/>
      <c r="B209" s="249">
        <v>42279</v>
      </c>
      <c r="C209" s="252">
        <v>-2.6099999999999999E-3</v>
      </c>
      <c r="E209" s="245">
        <v>42279</v>
      </c>
      <c r="F209" s="252">
        <v>-1.5299999999999999E-3</v>
      </c>
    </row>
    <row r="210" spans="1:6" x14ac:dyDescent="0.25">
      <c r="A210" s="107"/>
      <c r="B210" s="249">
        <v>42282</v>
      </c>
      <c r="C210" s="252">
        <v>-2.6099999999999999E-3</v>
      </c>
      <c r="E210" s="245">
        <v>42282</v>
      </c>
      <c r="F210" s="252">
        <v>-1.5299999999999999E-3</v>
      </c>
    </row>
    <row r="211" spans="1:6" x14ac:dyDescent="0.25">
      <c r="A211" s="107"/>
      <c r="B211" s="249">
        <v>42283</v>
      </c>
      <c r="C211" s="252">
        <v>-2.6099999999999999E-3</v>
      </c>
      <c r="E211" s="245">
        <v>42283</v>
      </c>
      <c r="F211" s="252">
        <v>-1.5299999999999999E-3</v>
      </c>
    </row>
    <row r="212" spans="1:6" x14ac:dyDescent="0.25">
      <c r="A212" s="107"/>
      <c r="B212" s="249">
        <v>42284</v>
      </c>
      <c r="C212" s="252">
        <v>-2.6099999999999999E-3</v>
      </c>
      <c r="E212" s="245">
        <v>42284</v>
      </c>
      <c r="F212" s="252">
        <v>-1.5299999999999999E-3</v>
      </c>
    </row>
    <row r="213" spans="1:6" x14ac:dyDescent="0.25">
      <c r="A213" s="107"/>
      <c r="B213" s="249">
        <v>42285</v>
      </c>
      <c r="C213" s="252">
        <v>-2.6099999999999999E-3</v>
      </c>
      <c r="E213" s="245">
        <v>42285</v>
      </c>
      <c r="F213" s="252">
        <v>-1.5299999999999999E-3</v>
      </c>
    </row>
    <row r="214" spans="1:6" x14ac:dyDescent="0.25">
      <c r="A214" s="107"/>
      <c r="B214" s="249">
        <v>42286</v>
      </c>
      <c r="C214" s="252">
        <v>-2.6099999999999999E-3</v>
      </c>
      <c r="E214" s="245">
        <v>42286</v>
      </c>
      <c r="F214" s="252">
        <v>-1.5299999999999999E-3</v>
      </c>
    </row>
    <row r="215" spans="1:6" x14ac:dyDescent="0.25">
      <c r="A215" s="107"/>
      <c r="B215" s="249">
        <v>42289</v>
      </c>
      <c r="C215" s="252">
        <v>-2.6099999999999999E-3</v>
      </c>
      <c r="E215" s="245">
        <v>42289</v>
      </c>
      <c r="F215" s="252">
        <v>-1.5299999999999999E-3</v>
      </c>
    </row>
    <row r="216" spans="1:6" x14ac:dyDescent="0.25">
      <c r="A216" s="107"/>
      <c r="B216" s="249">
        <v>42290</v>
      </c>
      <c r="C216" s="252">
        <v>-2.6099999999999999E-3</v>
      </c>
      <c r="E216" s="245">
        <v>42290</v>
      </c>
      <c r="F216" s="252">
        <v>-1.5299999999999999E-3</v>
      </c>
    </row>
    <row r="217" spans="1:6" x14ac:dyDescent="0.25">
      <c r="A217" s="107"/>
      <c r="B217" s="249">
        <v>42291</v>
      </c>
      <c r="C217" s="252">
        <v>-2.6099999999999999E-3</v>
      </c>
      <c r="E217" s="245">
        <v>42291</v>
      </c>
      <c r="F217" s="252">
        <v>-1.5299999999999999E-3</v>
      </c>
    </row>
    <row r="218" spans="1:6" x14ac:dyDescent="0.25">
      <c r="A218" s="107"/>
      <c r="B218" s="249">
        <v>42292</v>
      </c>
      <c r="C218" s="252">
        <v>-2.6099999999999999E-3</v>
      </c>
      <c r="E218" s="245">
        <v>42292</v>
      </c>
      <c r="F218" s="252">
        <v>-1.5299999999999999E-3</v>
      </c>
    </row>
    <row r="219" spans="1:6" x14ac:dyDescent="0.25">
      <c r="A219" s="107"/>
      <c r="B219" s="249">
        <v>42293</v>
      </c>
      <c r="C219" s="252">
        <v>-2.6099999999999999E-3</v>
      </c>
      <c r="E219" s="245">
        <v>42293</v>
      </c>
      <c r="F219" s="252">
        <v>-1.5299999999999999E-3</v>
      </c>
    </row>
    <row r="220" spans="1:6" x14ac:dyDescent="0.25">
      <c r="A220" s="107"/>
      <c r="B220" s="249">
        <v>42296</v>
      </c>
      <c r="C220" s="252">
        <v>-2.6099999999999999E-3</v>
      </c>
      <c r="E220" s="245">
        <v>42296</v>
      </c>
      <c r="F220" s="252">
        <v>-1.5299999999999999E-3</v>
      </c>
    </row>
    <row r="221" spans="1:6" x14ac:dyDescent="0.25">
      <c r="A221" s="107"/>
      <c r="B221" s="249">
        <v>42297</v>
      </c>
      <c r="C221" s="252">
        <v>-2.6099999999999999E-3</v>
      </c>
      <c r="E221" s="245">
        <v>42297</v>
      </c>
      <c r="F221" s="252">
        <v>-1.5299999999999999E-3</v>
      </c>
    </row>
    <row r="222" spans="1:6" x14ac:dyDescent="0.25">
      <c r="A222" s="107"/>
      <c r="B222" s="249">
        <v>42298</v>
      </c>
      <c r="C222" s="252">
        <v>-2.6099999999999999E-3</v>
      </c>
      <c r="E222" s="245">
        <v>42298</v>
      </c>
      <c r="F222" s="252">
        <v>-1.5299999999999999E-3</v>
      </c>
    </row>
    <row r="223" spans="1:6" x14ac:dyDescent="0.25">
      <c r="A223" s="107"/>
      <c r="B223" s="249">
        <v>42299</v>
      </c>
      <c r="C223" s="252">
        <v>-2.6099999999999999E-3</v>
      </c>
      <c r="E223" s="245">
        <v>42299</v>
      </c>
      <c r="F223" s="252">
        <v>-1.5299999999999999E-3</v>
      </c>
    </row>
    <row r="224" spans="1:6" x14ac:dyDescent="0.25">
      <c r="A224" s="107"/>
      <c r="B224" s="249">
        <v>42300</v>
      </c>
      <c r="C224" s="252">
        <v>-2.6099999999999999E-3</v>
      </c>
      <c r="E224" s="245">
        <v>42300</v>
      </c>
      <c r="F224" s="252">
        <v>-1.5299999999999999E-3</v>
      </c>
    </row>
    <row r="225" spans="1:6" x14ac:dyDescent="0.25">
      <c r="A225" s="107"/>
      <c r="B225" s="249">
        <v>42303</v>
      </c>
      <c r="C225" s="252">
        <v>-2.6099999999999999E-3</v>
      </c>
      <c r="E225" s="245">
        <v>42303</v>
      </c>
      <c r="F225" s="252">
        <v>-1.5299999999999999E-3</v>
      </c>
    </row>
    <row r="226" spans="1:6" x14ac:dyDescent="0.25">
      <c r="A226" s="107"/>
      <c r="B226" s="249">
        <v>42304</v>
      </c>
      <c r="C226" s="252">
        <v>-2.6099999999999999E-3</v>
      </c>
      <c r="E226" s="245">
        <v>42304</v>
      </c>
      <c r="F226" s="252">
        <v>-1.5299999999999999E-3</v>
      </c>
    </row>
    <row r="227" spans="1:6" x14ac:dyDescent="0.25">
      <c r="A227" s="107"/>
      <c r="B227" s="249">
        <v>42305</v>
      </c>
      <c r="C227" s="252">
        <v>-2.6099999999999999E-3</v>
      </c>
      <c r="E227" s="245">
        <v>42305</v>
      </c>
      <c r="F227" s="252">
        <v>-1.5299999999999999E-3</v>
      </c>
    </row>
    <row r="228" spans="1:6" x14ac:dyDescent="0.25">
      <c r="A228" s="107"/>
      <c r="B228" s="249">
        <v>42306</v>
      </c>
      <c r="C228" s="252">
        <v>-2.6099999999999999E-3</v>
      </c>
      <c r="E228" s="245">
        <v>42306</v>
      </c>
      <c r="F228" s="252">
        <v>-1.5299999999999999E-3</v>
      </c>
    </row>
    <row r="229" spans="1:6" x14ac:dyDescent="0.25">
      <c r="A229" s="107"/>
      <c r="B229" s="249">
        <v>42307</v>
      </c>
      <c r="C229" s="252">
        <v>-2.6099999999999999E-3</v>
      </c>
      <c r="E229" s="245">
        <v>42307</v>
      </c>
      <c r="F229" s="252">
        <v>-1.5299999999999999E-3</v>
      </c>
    </row>
    <row r="230" spans="1:6" x14ac:dyDescent="0.25">
      <c r="A230" s="107"/>
      <c r="B230" s="249">
        <v>42310</v>
      </c>
      <c r="C230" s="252">
        <v>-2.6099999999999999E-3</v>
      </c>
      <c r="E230" s="245">
        <v>42310</v>
      </c>
      <c r="F230" s="252">
        <v>-1.5299999999999999E-3</v>
      </c>
    </row>
    <row r="231" spans="1:6" x14ac:dyDescent="0.25">
      <c r="A231" s="107"/>
      <c r="B231" s="249">
        <v>42311</v>
      </c>
      <c r="C231" s="252">
        <v>-2.6099999999999999E-3</v>
      </c>
      <c r="E231" s="245">
        <v>42311</v>
      </c>
      <c r="F231" s="252">
        <v>-1.5299999999999999E-3</v>
      </c>
    </row>
    <row r="232" spans="1:6" x14ac:dyDescent="0.25">
      <c r="A232" s="107"/>
      <c r="B232" s="249">
        <v>42312</v>
      </c>
      <c r="C232" s="252">
        <v>-2.6099999999999999E-3</v>
      </c>
      <c r="E232" s="245">
        <v>42312</v>
      </c>
      <c r="F232" s="252">
        <v>-1.5299999999999999E-3</v>
      </c>
    </row>
    <row r="233" spans="1:6" x14ac:dyDescent="0.25">
      <c r="A233" s="107"/>
      <c r="B233" s="249">
        <v>42313</v>
      </c>
      <c r="C233" s="252">
        <v>-2.6099999999999999E-3</v>
      </c>
      <c r="E233" s="245">
        <v>42313</v>
      </c>
      <c r="F233" s="252">
        <v>-1.5299999999999999E-3</v>
      </c>
    </row>
    <row r="234" spans="1:6" x14ac:dyDescent="0.25">
      <c r="A234" s="107"/>
      <c r="B234" s="249">
        <v>42314</v>
      </c>
      <c r="C234" s="252">
        <v>-2.6099999999999999E-3</v>
      </c>
      <c r="E234" s="245">
        <v>42314</v>
      </c>
      <c r="F234" s="252">
        <v>-1.5299999999999999E-3</v>
      </c>
    </row>
    <row r="235" spans="1:6" x14ac:dyDescent="0.25">
      <c r="A235" s="107"/>
      <c r="B235" s="249">
        <v>42317</v>
      </c>
      <c r="C235" s="252">
        <v>-2.6099999999999999E-3</v>
      </c>
      <c r="E235" s="245">
        <v>42317</v>
      </c>
      <c r="F235" s="252">
        <v>-1.5299999999999999E-3</v>
      </c>
    </row>
    <row r="236" spans="1:6" x14ac:dyDescent="0.25">
      <c r="A236" s="107"/>
      <c r="B236" s="249">
        <v>42318</v>
      </c>
      <c r="C236" s="252">
        <v>-2.6099999999999999E-3</v>
      </c>
      <c r="E236" s="245">
        <v>42318</v>
      </c>
      <c r="F236" s="252">
        <v>-1.5299999999999999E-3</v>
      </c>
    </row>
    <row r="237" spans="1:6" x14ac:dyDescent="0.25">
      <c r="A237" s="107"/>
      <c r="B237" s="249">
        <v>42319</v>
      </c>
      <c r="C237" s="252">
        <v>-2.6099999999999999E-3</v>
      </c>
      <c r="E237" s="245">
        <v>42319</v>
      </c>
      <c r="F237" s="252">
        <v>-1.5299999999999999E-3</v>
      </c>
    </row>
    <row r="238" spans="1:6" x14ac:dyDescent="0.25">
      <c r="A238" s="107"/>
      <c r="B238" s="249">
        <v>42320</v>
      </c>
      <c r="C238" s="252">
        <v>-2.6099999999999999E-3</v>
      </c>
      <c r="E238" s="245">
        <v>42320</v>
      </c>
      <c r="F238" s="252">
        <v>-1.5299999999999999E-3</v>
      </c>
    </row>
    <row r="239" spans="1:6" x14ac:dyDescent="0.25">
      <c r="A239" s="107"/>
      <c r="B239" s="249">
        <v>42321</v>
      </c>
      <c r="C239" s="252">
        <v>-2.6099999999999999E-3</v>
      </c>
      <c r="E239" s="245">
        <v>42321</v>
      </c>
      <c r="F239" s="252">
        <v>-1.5299999999999999E-3</v>
      </c>
    </row>
    <row r="240" spans="1:6" x14ac:dyDescent="0.25">
      <c r="A240" s="107"/>
      <c r="B240" s="249">
        <v>42324</v>
      </c>
      <c r="C240" s="252">
        <v>-2.6099999999999999E-3</v>
      </c>
      <c r="E240" s="245">
        <v>42324</v>
      </c>
      <c r="F240" s="252">
        <v>-1.5299999999999999E-3</v>
      </c>
    </row>
    <row r="241" spans="1:6" x14ac:dyDescent="0.25">
      <c r="A241" s="107"/>
      <c r="B241" s="249">
        <v>42325</v>
      </c>
      <c r="C241" s="252">
        <v>-2.6099999999999999E-3</v>
      </c>
      <c r="E241" s="245">
        <v>42325</v>
      </c>
      <c r="F241" s="252">
        <v>-1.5299999999999999E-3</v>
      </c>
    </row>
    <row r="242" spans="1:6" x14ac:dyDescent="0.25">
      <c r="A242" s="107"/>
      <c r="B242" s="249">
        <v>42326</v>
      </c>
      <c r="C242" s="252">
        <v>-2.6099999999999999E-3</v>
      </c>
      <c r="E242" s="245">
        <v>42326</v>
      </c>
      <c r="F242" s="252">
        <v>-1.5299999999999999E-3</v>
      </c>
    </row>
    <row r="243" spans="1:6" x14ac:dyDescent="0.25">
      <c r="A243" s="107"/>
      <c r="B243" s="249">
        <v>42327</v>
      </c>
      <c r="C243" s="252">
        <v>-2.6099999999999999E-3</v>
      </c>
      <c r="E243" s="245">
        <v>42327</v>
      </c>
      <c r="F243" s="252">
        <v>-1.5299999999999999E-3</v>
      </c>
    </row>
    <row r="244" spans="1:6" x14ac:dyDescent="0.25">
      <c r="A244" s="107"/>
      <c r="B244" s="249">
        <v>42328</v>
      </c>
      <c r="C244" s="252">
        <v>-2.6099999999999999E-3</v>
      </c>
      <c r="E244" s="245">
        <v>42328</v>
      </c>
      <c r="F244" s="252">
        <v>-1.5299999999999999E-3</v>
      </c>
    </row>
    <row r="245" spans="1:6" x14ac:dyDescent="0.25">
      <c r="A245" s="107"/>
      <c r="B245" s="249">
        <v>42331</v>
      </c>
      <c r="C245" s="252">
        <v>-2.6099999999999999E-3</v>
      </c>
      <c r="E245" s="245">
        <v>42331</v>
      </c>
      <c r="F245" s="252">
        <v>-1.5299999999999999E-3</v>
      </c>
    </row>
    <row r="246" spans="1:6" x14ac:dyDescent="0.25">
      <c r="A246" s="107"/>
      <c r="B246" s="249">
        <v>42332</v>
      </c>
      <c r="C246" s="252">
        <v>-2.6099999999999999E-3</v>
      </c>
      <c r="E246" s="245">
        <v>42332</v>
      </c>
      <c r="F246" s="252">
        <v>-1.5299999999999999E-3</v>
      </c>
    </row>
    <row r="247" spans="1:6" x14ac:dyDescent="0.25">
      <c r="A247" s="107"/>
      <c r="B247" s="249">
        <v>42333</v>
      </c>
      <c r="C247" s="252">
        <v>-2.6099999999999999E-3</v>
      </c>
      <c r="E247" s="245">
        <v>42333</v>
      </c>
      <c r="F247" s="252">
        <v>-1.5299999999999999E-3</v>
      </c>
    </row>
    <row r="248" spans="1:6" x14ac:dyDescent="0.25">
      <c r="A248" s="107"/>
      <c r="B248" s="249">
        <v>42334</v>
      </c>
      <c r="C248" s="252">
        <v>-2.6099999999999999E-3</v>
      </c>
      <c r="E248" s="245">
        <v>42334</v>
      </c>
      <c r="F248" s="252">
        <v>-1.5299999999999999E-3</v>
      </c>
    </row>
    <row r="249" spans="1:6" x14ac:dyDescent="0.25">
      <c r="A249" s="107"/>
      <c r="B249" s="249">
        <v>42335</v>
      </c>
      <c r="C249" s="252">
        <v>-2.6099999999999999E-3</v>
      </c>
      <c r="E249" s="245">
        <v>42335</v>
      </c>
      <c r="F249" s="252">
        <v>-1.5299999999999999E-3</v>
      </c>
    </row>
    <row r="250" spans="1:6" x14ac:dyDescent="0.25">
      <c r="A250" s="107"/>
      <c r="B250" s="249">
        <v>42338</v>
      </c>
      <c r="C250" s="252">
        <v>-2.6099999999999999E-3</v>
      </c>
      <c r="E250" s="245">
        <v>42338</v>
      </c>
      <c r="F250" s="252">
        <v>-1.5299999999999999E-3</v>
      </c>
    </row>
    <row r="251" spans="1:6" x14ac:dyDescent="0.25">
      <c r="A251" s="107"/>
      <c r="B251" s="249">
        <v>42339</v>
      </c>
      <c r="C251" s="252">
        <v>-2.6099999999999999E-3</v>
      </c>
      <c r="E251" s="245">
        <v>42339</v>
      </c>
      <c r="F251" s="252">
        <v>-1.5299999999999999E-3</v>
      </c>
    </row>
    <row r="252" spans="1:6" x14ac:dyDescent="0.25">
      <c r="A252" s="107"/>
      <c r="B252" s="249">
        <v>42340</v>
      </c>
      <c r="C252" s="252">
        <v>-2.6099999999999999E-3</v>
      </c>
      <c r="E252" s="245">
        <v>42340</v>
      </c>
      <c r="F252" s="252">
        <v>-1.5299999999999999E-3</v>
      </c>
    </row>
    <row r="253" spans="1:6" x14ac:dyDescent="0.25">
      <c r="A253" s="107"/>
      <c r="B253" s="249">
        <v>42341</v>
      </c>
      <c r="C253" s="252">
        <v>-2.6099999999999999E-3</v>
      </c>
      <c r="E253" s="245">
        <v>42341</v>
      </c>
      <c r="F253" s="252">
        <v>-1.5299999999999999E-3</v>
      </c>
    </row>
    <row r="254" spans="1:6" x14ac:dyDescent="0.25">
      <c r="A254" s="107"/>
      <c r="B254" s="249">
        <v>42342</v>
      </c>
      <c r="C254" s="252">
        <v>-2.6099999999999999E-3</v>
      </c>
      <c r="E254" s="245">
        <v>42342</v>
      </c>
      <c r="F254" s="252">
        <v>-1.5299999999999999E-3</v>
      </c>
    </row>
    <row r="255" spans="1:6" x14ac:dyDescent="0.25">
      <c r="A255" s="107"/>
      <c r="B255" s="249">
        <v>42345</v>
      </c>
      <c r="C255" s="252">
        <v>-2.6099999999999999E-3</v>
      </c>
      <c r="E255" s="245">
        <v>42345</v>
      </c>
      <c r="F255" s="252">
        <v>-1.5299999999999999E-3</v>
      </c>
    </row>
    <row r="256" spans="1:6" x14ac:dyDescent="0.25">
      <c r="A256" s="107"/>
      <c r="B256" s="249">
        <v>42346</v>
      </c>
      <c r="C256" s="252">
        <v>-2.6099999999999999E-3</v>
      </c>
      <c r="E256" s="245">
        <v>42346</v>
      </c>
      <c r="F256" s="252">
        <v>-1.5299999999999999E-3</v>
      </c>
    </row>
    <row r="257" spans="1:6" x14ac:dyDescent="0.25">
      <c r="A257" s="107"/>
      <c r="B257" s="249">
        <v>42347</v>
      </c>
      <c r="C257" s="252">
        <v>-2.6099999999999999E-3</v>
      </c>
      <c r="E257" s="245">
        <v>42347</v>
      </c>
      <c r="F257" s="252">
        <v>-1.5299999999999999E-3</v>
      </c>
    </row>
    <row r="258" spans="1:6" x14ac:dyDescent="0.25">
      <c r="A258" s="107"/>
      <c r="B258" s="249">
        <v>42348</v>
      </c>
      <c r="C258" s="252">
        <v>-2.6099999999999999E-3</v>
      </c>
      <c r="E258" s="245">
        <v>42348</v>
      </c>
      <c r="F258" s="252">
        <v>-1.5299999999999999E-3</v>
      </c>
    </row>
    <row r="259" spans="1:6" x14ac:dyDescent="0.25">
      <c r="A259" s="107"/>
      <c r="B259" s="249">
        <v>42349</v>
      </c>
      <c r="C259" s="252">
        <v>-2.6099999999999999E-3</v>
      </c>
      <c r="E259" s="245">
        <v>42349</v>
      </c>
      <c r="F259" s="252">
        <v>-1.5299999999999999E-3</v>
      </c>
    </row>
    <row r="260" spans="1:6" x14ac:dyDescent="0.25">
      <c r="A260" s="107"/>
      <c r="B260" s="249">
        <v>42352</v>
      </c>
      <c r="C260" s="252">
        <v>-2.6099999999999999E-3</v>
      </c>
      <c r="E260" s="245">
        <v>42352</v>
      </c>
      <c r="F260" s="252">
        <v>-1.5299999999999999E-3</v>
      </c>
    </row>
    <row r="261" spans="1:6" x14ac:dyDescent="0.25">
      <c r="A261" s="107"/>
      <c r="B261" s="249">
        <v>42353</v>
      </c>
      <c r="C261" s="252">
        <v>-2.6099999999999999E-3</v>
      </c>
      <c r="E261" s="245">
        <v>42353</v>
      </c>
      <c r="F261" s="252">
        <v>-1.5299999999999999E-3</v>
      </c>
    </row>
    <row r="262" spans="1:6" x14ac:dyDescent="0.25">
      <c r="A262" s="107"/>
      <c r="B262" s="249">
        <v>42354</v>
      </c>
      <c r="C262" s="252">
        <v>-2.6099999999999999E-3</v>
      </c>
      <c r="E262" s="245">
        <v>42354</v>
      </c>
      <c r="F262" s="252">
        <v>-1.5299999999999999E-3</v>
      </c>
    </row>
    <row r="263" spans="1:6" x14ac:dyDescent="0.25">
      <c r="A263" s="107"/>
      <c r="B263" s="249">
        <v>42355</v>
      </c>
      <c r="C263" s="252">
        <v>-2.6099999999999999E-3</v>
      </c>
      <c r="E263" s="245">
        <v>42355</v>
      </c>
      <c r="F263" s="252">
        <v>-1.5299999999999999E-3</v>
      </c>
    </row>
    <row r="264" spans="1:6" x14ac:dyDescent="0.25">
      <c r="A264" s="107"/>
      <c r="B264" s="249">
        <v>42356</v>
      </c>
      <c r="C264" s="252">
        <v>-2.6099999999999999E-3</v>
      </c>
      <c r="E264" s="245">
        <v>42356</v>
      </c>
      <c r="F264" s="252">
        <v>-1.5299999999999999E-3</v>
      </c>
    </row>
    <row r="265" spans="1:6" x14ac:dyDescent="0.25">
      <c r="A265" s="107"/>
      <c r="B265" s="249">
        <v>42359</v>
      </c>
      <c r="C265" s="252">
        <v>-2.6099999999999999E-3</v>
      </c>
      <c r="E265" s="245">
        <v>42359</v>
      </c>
      <c r="F265" s="252">
        <v>-1.5299999999999999E-3</v>
      </c>
    </row>
    <row r="266" spans="1:6" x14ac:dyDescent="0.25">
      <c r="A266" s="107"/>
      <c r="B266" s="249">
        <v>42360</v>
      </c>
      <c r="C266" s="252">
        <v>-2.6099999999999999E-3</v>
      </c>
      <c r="E266" s="245">
        <v>42360</v>
      </c>
      <c r="F266" s="252">
        <v>-1.5299999999999999E-3</v>
      </c>
    </row>
    <row r="267" spans="1:6" x14ac:dyDescent="0.25">
      <c r="A267" s="107"/>
      <c r="B267" s="249">
        <v>42361</v>
      </c>
      <c r="C267" s="252">
        <v>-2.6099999999999999E-3</v>
      </c>
      <c r="E267" s="245">
        <v>42361</v>
      </c>
      <c r="F267" s="252">
        <v>-1.5299999999999999E-3</v>
      </c>
    </row>
    <row r="268" spans="1:6" x14ac:dyDescent="0.25">
      <c r="A268" s="107"/>
      <c r="B268" s="249">
        <v>42362</v>
      </c>
      <c r="C268" s="252">
        <v>-2.6099999999999999E-3</v>
      </c>
      <c r="E268" s="245">
        <v>42362</v>
      </c>
      <c r="F268" s="252">
        <v>-1.5299999999999999E-3</v>
      </c>
    </row>
    <row r="269" spans="1:6" x14ac:dyDescent="0.25">
      <c r="A269" s="107"/>
      <c r="B269" s="249">
        <v>42366</v>
      </c>
      <c r="C269" s="252">
        <v>-2.6099999999999999E-3</v>
      </c>
      <c r="E269" s="245">
        <v>42366</v>
      </c>
      <c r="F269" s="252">
        <v>-1.5299999999999999E-3</v>
      </c>
    </row>
    <row r="270" spans="1:6" x14ac:dyDescent="0.25">
      <c r="A270" s="107"/>
      <c r="B270" s="249">
        <v>42367</v>
      </c>
      <c r="C270" s="252">
        <v>-2.6099999999999999E-3</v>
      </c>
      <c r="E270" s="245">
        <v>42367</v>
      </c>
      <c r="F270" s="252">
        <v>-1.5299999999999999E-3</v>
      </c>
    </row>
    <row r="271" spans="1:6" x14ac:dyDescent="0.25">
      <c r="A271" s="107"/>
      <c r="B271" s="249">
        <v>42368</v>
      </c>
      <c r="C271" s="252">
        <v>-2.6099999999999999E-3</v>
      </c>
      <c r="E271" s="245">
        <v>42368</v>
      </c>
      <c r="F271" s="252">
        <v>-1.5299999999999999E-3</v>
      </c>
    </row>
    <row r="272" spans="1:6" x14ac:dyDescent="0.25">
      <c r="A272" s="107"/>
      <c r="B272" s="249">
        <v>42369</v>
      </c>
      <c r="C272" s="252">
        <v>-2.6099999999999999E-3</v>
      </c>
      <c r="E272" s="245">
        <v>42369</v>
      </c>
      <c r="F272" s="252">
        <v>-1.5299999999999999E-3</v>
      </c>
    </row>
    <row r="273" spans="1:6" x14ac:dyDescent="0.25">
      <c r="A273" s="107"/>
      <c r="B273" s="249">
        <v>42373</v>
      </c>
      <c r="C273" s="252">
        <v>-2.6099999999999999E-3</v>
      </c>
      <c r="E273" s="245">
        <v>42373</v>
      </c>
      <c r="F273" s="252">
        <v>-1.5299999999999999E-3</v>
      </c>
    </row>
    <row r="274" spans="1:6" x14ac:dyDescent="0.25">
      <c r="A274" s="107"/>
      <c r="B274" s="249">
        <v>42374</v>
      </c>
      <c r="C274" s="252">
        <v>-2.6099999999999999E-3</v>
      </c>
      <c r="E274" s="245">
        <v>42374</v>
      </c>
      <c r="F274" s="252">
        <v>-1.5299999999999999E-3</v>
      </c>
    </row>
    <row r="275" spans="1:6" x14ac:dyDescent="0.25">
      <c r="A275" s="107"/>
      <c r="B275" s="249">
        <v>42375</v>
      </c>
      <c r="C275" s="252">
        <v>-2.6099999999999999E-3</v>
      </c>
      <c r="E275" s="245">
        <v>42375</v>
      </c>
      <c r="F275" s="252">
        <v>-1.5299999999999999E-3</v>
      </c>
    </row>
    <row r="276" spans="1:6" x14ac:dyDescent="0.25">
      <c r="A276" s="107"/>
      <c r="B276" s="249">
        <v>42376</v>
      </c>
      <c r="C276" s="252">
        <v>-2.6099999999999999E-3</v>
      </c>
      <c r="E276" s="245">
        <v>42376</v>
      </c>
      <c r="F276" s="252">
        <v>-1.5299999999999999E-3</v>
      </c>
    </row>
    <row r="277" spans="1:6" x14ac:dyDescent="0.25">
      <c r="A277" s="107"/>
      <c r="B277" s="249">
        <v>42377</v>
      </c>
      <c r="C277" s="252">
        <v>-2.6099999999999999E-3</v>
      </c>
      <c r="E277" s="245">
        <v>42377</v>
      </c>
      <c r="F277" s="252">
        <v>-1.5299999999999999E-3</v>
      </c>
    </row>
    <row r="278" spans="1:6" x14ac:dyDescent="0.25">
      <c r="A278" s="107"/>
      <c r="B278" s="249">
        <v>42380</v>
      </c>
      <c r="C278" s="252">
        <v>-2.6099999999999999E-3</v>
      </c>
      <c r="E278" s="245">
        <v>42380</v>
      </c>
      <c r="F278" s="252">
        <v>-1.5299999999999999E-3</v>
      </c>
    </row>
    <row r="279" spans="1:6" x14ac:dyDescent="0.25">
      <c r="A279" s="107"/>
      <c r="B279" s="249">
        <v>42381</v>
      </c>
      <c r="C279" s="252">
        <v>-2.6099999999999999E-3</v>
      </c>
      <c r="E279" s="245">
        <v>42381</v>
      </c>
      <c r="F279" s="252">
        <v>-1.5299999999999999E-3</v>
      </c>
    </row>
    <row r="280" spans="1:6" x14ac:dyDescent="0.25">
      <c r="A280" s="107"/>
      <c r="B280" s="249">
        <v>42382</v>
      </c>
      <c r="C280" s="252">
        <v>-2.6099999999999999E-3</v>
      </c>
      <c r="E280" s="245">
        <v>42382</v>
      </c>
      <c r="F280" s="252">
        <v>-1.5299999999999999E-3</v>
      </c>
    </row>
    <row r="281" spans="1:6" x14ac:dyDescent="0.25">
      <c r="A281" s="107"/>
      <c r="B281" s="249">
        <v>42383</v>
      </c>
      <c r="C281" s="252">
        <v>-2.6099999999999999E-3</v>
      </c>
      <c r="E281" s="245">
        <v>42383</v>
      </c>
      <c r="F281" s="252">
        <v>-1.5299999999999999E-3</v>
      </c>
    </row>
    <row r="282" spans="1:6" x14ac:dyDescent="0.25">
      <c r="A282" s="107"/>
      <c r="B282" s="249">
        <v>42384</v>
      </c>
      <c r="C282" s="252">
        <v>-2.6099999999999999E-3</v>
      </c>
      <c r="E282" s="245">
        <v>42384</v>
      </c>
      <c r="F282" s="252">
        <v>-1.5299999999999999E-3</v>
      </c>
    </row>
    <row r="283" spans="1:6" x14ac:dyDescent="0.25">
      <c r="A283" s="107"/>
      <c r="B283" s="249">
        <v>42387</v>
      </c>
      <c r="C283" s="252">
        <v>-2.6099999999999999E-3</v>
      </c>
      <c r="E283" s="245">
        <v>42387</v>
      </c>
      <c r="F283" s="252">
        <v>-1.5299999999999999E-3</v>
      </c>
    </row>
    <row r="284" spans="1:6" x14ac:dyDescent="0.25">
      <c r="A284" s="107"/>
      <c r="B284" s="249">
        <v>42388</v>
      </c>
      <c r="C284" s="252">
        <v>-2.6099999999999999E-3</v>
      </c>
      <c r="E284" s="245">
        <v>42388</v>
      </c>
      <c r="F284" s="252">
        <v>-1.5299999999999999E-3</v>
      </c>
    </row>
    <row r="285" spans="1:6" x14ac:dyDescent="0.25">
      <c r="A285" s="107"/>
      <c r="B285" s="249">
        <v>42389</v>
      </c>
      <c r="C285" s="252">
        <v>-2.6099999999999999E-3</v>
      </c>
      <c r="E285" s="245">
        <v>42389</v>
      </c>
      <c r="F285" s="252">
        <v>-1.5299999999999999E-3</v>
      </c>
    </row>
    <row r="286" spans="1:6" x14ac:dyDescent="0.25">
      <c r="A286" s="107"/>
      <c r="B286" s="249">
        <v>42390</v>
      </c>
      <c r="C286" s="252">
        <v>-2.6099999999999999E-3</v>
      </c>
      <c r="E286" s="245">
        <v>42390</v>
      </c>
      <c r="F286" s="252">
        <v>-1.5299999999999999E-3</v>
      </c>
    </row>
    <row r="287" spans="1:6" x14ac:dyDescent="0.25">
      <c r="A287" s="107"/>
      <c r="B287" s="249">
        <v>42391</v>
      </c>
      <c r="C287" s="252">
        <v>-2.6099999999999999E-3</v>
      </c>
      <c r="E287" s="245">
        <v>42391</v>
      </c>
      <c r="F287" s="252">
        <v>-1.5299999999999999E-3</v>
      </c>
    </row>
    <row r="288" spans="1:6" x14ac:dyDescent="0.25">
      <c r="A288" s="107"/>
      <c r="B288" s="249">
        <v>42394</v>
      </c>
      <c r="C288" s="252">
        <v>-2.6099999999999999E-3</v>
      </c>
      <c r="E288" s="245">
        <v>42394</v>
      </c>
      <c r="F288" s="252">
        <v>-1.5299999999999999E-3</v>
      </c>
    </row>
    <row r="289" spans="1:6" x14ac:dyDescent="0.25">
      <c r="A289" s="107"/>
      <c r="B289" s="249">
        <v>42395</v>
      </c>
      <c r="C289" s="252">
        <v>-2.6099999999999999E-3</v>
      </c>
      <c r="E289" s="245">
        <v>42395</v>
      </c>
      <c r="F289" s="252">
        <v>-1.5299999999999999E-3</v>
      </c>
    </row>
    <row r="290" spans="1:6" x14ac:dyDescent="0.25">
      <c r="A290" s="107"/>
      <c r="B290" s="249">
        <v>42396</v>
      </c>
      <c r="C290" s="252">
        <v>-2.6099999999999999E-3</v>
      </c>
      <c r="E290" s="245">
        <v>42396</v>
      </c>
      <c r="F290" s="252">
        <v>-1.5299999999999999E-3</v>
      </c>
    </row>
    <row r="291" spans="1:6" x14ac:dyDescent="0.25">
      <c r="A291" s="107"/>
      <c r="B291" s="249">
        <v>42397</v>
      </c>
      <c r="C291" s="252">
        <v>-2.6099999999999999E-3</v>
      </c>
      <c r="E291" s="245">
        <v>42397</v>
      </c>
      <c r="F291" s="252">
        <v>-1.5299999999999999E-3</v>
      </c>
    </row>
    <row r="292" spans="1:6" x14ac:dyDescent="0.25">
      <c r="A292" s="107"/>
      <c r="B292" s="249">
        <v>42398</v>
      </c>
      <c r="C292" s="252">
        <v>-2.6099999999999999E-3</v>
      </c>
      <c r="E292" s="245">
        <v>42398</v>
      </c>
      <c r="F292" s="252">
        <v>-1.5299999999999999E-3</v>
      </c>
    </row>
    <row r="293" spans="1:6" x14ac:dyDescent="0.25">
      <c r="A293" s="107"/>
      <c r="B293" s="249">
        <v>42401</v>
      </c>
      <c r="C293" s="252">
        <v>-2.6099999999999999E-3</v>
      </c>
      <c r="E293" s="245">
        <v>42401</v>
      </c>
      <c r="F293" s="252">
        <v>-1.5299999999999999E-3</v>
      </c>
    </row>
    <row r="294" spans="1:6" x14ac:dyDescent="0.25">
      <c r="A294" s="107"/>
      <c r="B294" s="249">
        <v>42402</v>
      </c>
      <c r="C294" s="252">
        <v>-2.6099999999999999E-3</v>
      </c>
      <c r="E294" s="245">
        <v>42402</v>
      </c>
      <c r="F294" s="252">
        <v>-1.5299999999999999E-3</v>
      </c>
    </row>
    <row r="295" spans="1:6" x14ac:dyDescent="0.25">
      <c r="A295" s="107"/>
      <c r="B295" s="249">
        <v>42403</v>
      </c>
      <c r="C295" s="252">
        <v>-2.6099999999999999E-3</v>
      </c>
      <c r="E295" s="245">
        <v>42403</v>
      </c>
      <c r="F295" s="252">
        <v>-1.5299999999999999E-3</v>
      </c>
    </row>
    <row r="296" spans="1:6" x14ac:dyDescent="0.25">
      <c r="A296" s="107"/>
      <c r="B296" s="249">
        <v>42404</v>
      </c>
      <c r="C296" s="252">
        <v>-2.6099999999999999E-3</v>
      </c>
      <c r="E296" s="245">
        <v>42404</v>
      </c>
      <c r="F296" s="252">
        <v>-1.5299999999999999E-3</v>
      </c>
    </row>
    <row r="297" spans="1:6" x14ac:dyDescent="0.25">
      <c r="A297" s="107"/>
      <c r="B297" s="249">
        <v>42405</v>
      </c>
      <c r="C297" s="252">
        <v>-2.6099999999999999E-3</v>
      </c>
      <c r="E297" s="245">
        <v>42405</v>
      </c>
      <c r="F297" s="252">
        <v>-1.5299999999999999E-3</v>
      </c>
    </row>
    <row r="298" spans="1:6" x14ac:dyDescent="0.25">
      <c r="A298" s="107"/>
      <c r="B298" s="249">
        <v>42408</v>
      </c>
      <c r="C298" s="252">
        <v>-2.6099999999999999E-3</v>
      </c>
      <c r="E298" s="245">
        <v>42408</v>
      </c>
      <c r="F298" s="252">
        <v>-1.5299999999999999E-3</v>
      </c>
    </row>
    <row r="299" spans="1:6" x14ac:dyDescent="0.25">
      <c r="A299" s="107"/>
      <c r="B299" s="249">
        <v>42409</v>
      </c>
      <c r="C299" s="252">
        <v>-2.6099999999999999E-3</v>
      </c>
      <c r="E299" s="245">
        <v>42409</v>
      </c>
      <c r="F299" s="252">
        <v>-1.5299999999999999E-3</v>
      </c>
    </row>
    <row r="300" spans="1:6" x14ac:dyDescent="0.25">
      <c r="A300" s="107"/>
      <c r="B300" s="249">
        <v>42410</v>
      </c>
      <c r="C300" s="252">
        <v>-2.6099999999999999E-3</v>
      </c>
      <c r="E300" s="245">
        <v>42410</v>
      </c>
      <c r="F300" s="252">
        <v>-1.5299999999999999E-3</v>
      </c>
    </row>
    <row r="301" spans="1:6" x14ac:dyDescent="0.25">
      <c r="A301" s="107"/>
      <c r="B301" s="249">
        <v>42411</v>
      </c>
      <c r="C301" s="252">
        <v>-2.6099999999999999E-3</v>
      </c>
      <c r="E301" s="245">
        <v>42411</v>
      </c>
      <c r="F301" s="252">
        <v>-1.5299999999999999E-3</v>
      </c>
    </row>
    <row r="302" spans="1:6" x14ac:dyDescent="0.25">
      <c r="A302" s="107"/>
      <c r="B302" s="249">
        <v>42412</v>
      </c>
      <c r="C302" s="252">
        <v>-2.6099999999999999E-3</v>
      </c>
      <c r="E302" s="245">
        <v>42412</v>
      </c>
      <c r="F302" s="252">
        <v>-1.5299999999999999E-3</v>
      </c>
    </row>
    <row r="303" spans="1:6" x14ac:dyDescent="0.25">
      <c r="A303" s="107"/>
      <c r="B303" s="249">
        <v>42415</v>
      </c>
      <c r="C303" s="252">
        <v>-2.6099999999999999E-3</v>
      </c>
      <c r="E303" s="245">
        <v>42415</v>
      </c>
      <c r="F303" s="252">
        <v>-1.5299999999999999E-3</v>
      </c>
    </row>
    <row r="304" spans="1:6" x14ac:dyDescent="0.25">
      <c r="A304" s="107"/>
      <c r="B304" s="249">
        <v>42416</v>
      </c>
      <c r="C304" s="252">
        <v>-2.6099999999999999E-3</v>
      </c>
      <c r="E304" s="245">
        <v>42416</v>
      </c>
      <c r="F304" s="252">
        <v>-1.5299999999999999E-3</v>
      </c>
    </row>
    <row r="305" spans="1:6" x14ac:dyDescent="0.25">
      <c r="A305" s="107"/>
      <c r="B305" s="249">
        <v>42417</v>
      </c>
      <c r="C305" s="252">
        <v>-2.6099999999999999E-3</v>
      </c>
      <c r="E305" s="245">
        <v>42417</v>
      </c>
      <c r="F305" s="252">
        <v>-1.5299999999999999E-3</v>
      </c>
    </row>
    <row r="306" spans="1:6" x14ac:dyDescent="0.25">
      <c r="A306" s="107"/>
      <c r="B306" s="249">
        <v>42418</v>
      </c>
      <c r="C306" s="252">
        <v>-2.6099999999999999E-3</v>
      </c>
      <c r="E306" s="245">
        <v>42418</v>
      </c>
      <c r="F306" s="252">
        <v>-1.5299999999999999E-3</v>
      </c>
    </row>
    <row r="307" spans="1:6" x14ac:dyDescent="0.25">
      <c r="A307" s="107"/>
      <c r="B307" s="249">
        <v>42419</v>
      </c>
      <c r="C307" s="252">
        <v>-2.6099999999999999E-3</v>
      </c>
      <c r="E307" s="245">
        <v>42419</v>
      </c>
      <c r="F307" s="252">
        <v>-1.5299999999999999E-3</v>
      </c>
    </row>
    <row r="308" spans="1:6" x14ac:dyDescent="0.25">
      <c r="A308" s="107"/>
      <c r="B308" s="249">
        <v>42422</v>
      </c>
      <c r="C308" s="252">
        <v>-2.6099999999999999E-3</v>
      </c>
      <c r="E308" s="245">
        <v>42422</v>
      </c>
      <c r="F308" s="252">
        <v>-1.5299999999999999E-3</v>
      </c>
    </row>
    <row r="309" spans="1:6" x14ac:dyDescent="0.25">
      <c r="A309" s="107"/>
      <c r="B309" s="249">
        <v>42423</v>
      </c>
      <c r="C309" s="252">
        <v>-2.6099999999999999E-3</v>
      </c>
      <c r="E309" s="245">
        <v>42423</v>
      </c>
      <c r="F309" s="252">
        <v>-1.5299999999999999E-3</v>
      </c>
    </row>
    <row r="310" spans="1:6" x14ac:dyDescent="0.25">
      <c r="A310" s="107"/>
      <c r="B310" s="249">
        <v>42424</v>
      </c>
      <c r="C310" s="252">
        <v>-2.6099999999999999E-3</v>
      </c>
      <c r="E310" s="245">
        <v>42424</v>
      </c>
      <c r="F310" s="252">
        <v>-1.5299999999999999E-3</v>
      </c>
    </row>
    <row r="311" spans="1:6" x14ac:dyDescent="0.25">
      <c r="A311" s="107"/>
      <c r="B311" s="249">
        <v>42425</v>
      </c>
      <c r="C311" s="252">
        <v>-2.6099999999999999E-3</v>
      </c>
      <c r="E311" s="245">
        <v>42425</v>
      </c>
      <c r="F311" s="252">
        <v>-1.5299999999999999E-3</v>
      </c>
    </row>
    <row r="312" spans="1:6" x14ac:dyDescent="0.25">
      <c r="A312" s="107"/>
      <c r="B312" s="249">
        <v>42426</v>
      </c>
      <c r="C312" s="252">
        <v>-2.6099999999999999E-3</v>
      </c>
      <c r="E312" s="245">
        <v>42426</v>
      </c>
      <c r="F312" s="252">
        <v>-1.5299999999999999E-3</v>
      </c>
    </row>
    <row r="313" spans="1:6" x14ac:dyDescent="0.25">
      <c r="A313" s="107"/>
      <c r="B313" s="249">
        <v>42429</v>
      </c>
      <c r="C313" s="252">
        <v>-2.6099999999999999E-3</v>
      </c>
      <c r="E313" s="245">
        <v>42429</v>
      </c>
      <c r="F313" s="252">
        <v>-1.5299999999999999E-3</v>
      </c>
    </row>
    <row r="314" spans="1:6" x14ac:dyDescent="0.25">
      <c r="A314" s="107"/>
      <c r="B314" s="249">
        <v>42430</v>
      </c>
      <c r="C314" s="252">
        <v>-2.6099999999999999E-3</v>
      </c>
      <c r="E314" s="245">
        <v>42430</v>
      </c>
      <c r="F314" s="252">
        <v>-1.5299999999999999E-3</v>
      </c>
    </row>
    <row r="315" spans="1:6" x14ac:dyDescent="0.25">
      <c r="A315" s="107"/>
      <c r="B315" s="249">
        <v>42431</v>
      </c>
      <c r="C315" s="252">
        <v>-2.6099999999999999E-3</v>
      </c>
      <c r="E315" s="245">
        <v>42431</v>
      </c>
      <c r="F315" s="252">
        <v>-1.5299999999999999E-3</v>
      </c>
    </row>
    <row r="316" spans="1:6" x14ac:dyDescent="0.25">
      <c r="A316" s="107"/>
      <c r="B316" s="249">
        <v>42432</v>
      </c>
      <c r="C316" s="252">
        <v>-2.6099999999999999E-3</v>
      </c>
      <c r="E316" s="245">
        <v>42432</v>
      </c>
      <c r="F316" s="252">
        <v>-1.5299999999999999E-3</v>
      </c>
    </row>
    <row r="317" spans="1:6" x14ac:dyDescent="0.25">
      <c r="A317" s="107"/>
      <c r="B317" s="249">
        <v>42433</v>
      </c>
      <c r="C317" s="252">
        <v>-2.6099999999999999E-3</v>
      </c>
      <c r="E317" s="245">
        <v>42433</v>
      </c>
      <c r="F317" s="252">
        <v>-1.5299999999999999E-3</v>
      </c>
    </row>
    <row r="318" spans="1:6" x14ac:dyDescent="0.25">
      <c r="A318" s="107"/>
      <c r="B318" s="249">
        <v>42436</v>
      </c>
      <c r="C318" s="252">
        <v>-2.6099999999999999E-3</v>
      </c>
      <c r="E318" s="245">
        <v>42436</v>
      </c>
      <c r="F318" s="252">
        <v>-1.5299999999999999E-3</v>
      </c>
    </row>
    <row r="319" spans="1:6" x14ac:dyDescent="0.25">
      <c r="A319" s="107"/>
      <c r="B319" s="249">
        <v>42437</v>
      </c>
      <c r="C319" s="252">
        <v>-2.6099999999999999E-3</v>
      </c>
      <c r="E319" s="245">
        <v>42437</v>
      </c>
      <c r="F319" s="252">
        <v>-1.5299999999999999E-3</v>
      </c>
    </row>
    <row r="320" spans="1:6" x14ac:dyDescent="0.25">
      <c r="A320" s="107"/>
      <c r="B320" s="249">
        <v>42438</v>
      </c>
      <c r="C320" s="252">
        <v>-2.6099999999999999E-3</v>
      </c>
      <c r="E320" s="245">
        <v>42438</v>
      </c>
      <c r="F320" s="252">
        <v>-1.5299999999999999E-3</v>
      </c>
    </row>
    <row r="321" spans="1:6" x14ac:dyDescent="0.25">
      <c r="A321" s="107"/>
      <c r="B321" s="249">
        <v>42439</v>
      </c>
      <c r="C321" s="252">
        <v>-2.6099999999999999E-3</v>
      </c>
      <c r="E321" s="245">
        <v>42439</v>
      </c>
      <c r="F321" s="252">
        <v>-1.5299999999999999E-3</v>
      </c>
    </row>
    <row r="322" spans="1:6" x14ac:dyDescent="0.25">
      <c r="A322" s="107"/>
      <c r="B322" s="249">
        <v>42440</v>
      </c>
      <c r="C322" s="252">
        <v>-2.6099999999999999E-3</v>
      </c>
      <c r="E322" s="245">
        <v>42440</v>
      </c>
      <c r="F322" s="252">
        <v>-1.5299999999999999E-3</v>
      </c>
    </row>
    <row r="323" spans="1:6" x14ac:dyDescent="0.25">
      <c r="A323" s="107"/>
      <c r="B323" s="249">
        <v>42443</v>
      </c>
      <c r="C323" s="252">
        <v>-2.6099999999999999E-3</v>
      </c>
      <c r="E323" s="245">
        <v>42443</v>
      </c>
      <c r="F323" s="252">
        <v>-1.5299999999999999E-3</v>
      </c>
    </row>
    <row r="324" spans="1:6" x14ac:dyDescent="0.25">
      <c r="A324" s="107"/>
      <c r="B324" s="249">
        <v>42444</v>
      </c>
      <c r="C324" s="252">
        <v>-2.6099999999999999E-3</v>
      </c>
      <c r="E324" s="245">
        <v>42444</v>
      </c>
      <c r="F324" s="252">
        <v>-1.5299999999999999E-3</v>
      </c>
    </row>
    <row r="325" spans="1:6" x14ac:dyDescent="0.25">
      <c r="A325" s="107"/>
      <c r="B325" s="249">
        <v>42445</v>
      </c>
      <c r="C325" s="252">
        <v>-2.6099999999999999E-3</v>
      </c>
      <c r="E325" s="245">
        <v>42445</v>
      </c>
      <c r="F325" s="252">
        <v>-1.5299999999999999E-3</v>
      </c>
    </row>
    <row r="326" spans="1:6" x14ac:dyDescent="0.25">
      <c r="A326" s="107"/>
      <c r="B326" s="249">
        <v>42446</v>
      </c>
      <c r="C326" s="252">
        <v>-2.6099999999999999E-3</v>
      </c>
      <c r="E326" s="245">
        <v>42446</v>
      </c>
      <c r="F326" s="252">
        <v>-1.5299999999999999E-3</v>
      </c>
    </row>
    <row r="327" spans="1:6" x14ac:dyDescent="0.25">
      <c r="A327" s="107"/>
      <c r="B327" s="249">
        <v>42447</v>
      </c>
      <c r="C327" s="252">
        <v>-2.6099999999999999E-3</v>
      </c>
      <c r="E327" s="245">
        <v>42447</v>
      </c>
      <c r="F327" s="252">
        <v>-1.5299999999999999E-3</v>
      </c>
    </row>
    <row r="328" spans="1:6" x14ac:dyDescent="0.25">
      <c r="A328" s="107"/>
      <c r="B328" s="249">
        <v>42450</v>
      </c>
      <c r="C328" s="252">
        <v>-2.6099999999999999E-3</v>
      </c>
      <c r="E328" s="245">
        <v>42450</v>
      </c>
      <c r="F328" s="252">
        <v>-1.5299999999999999E-3</v>
      </c>
    </row>
    <row r="329" spans="1:6" x14ac:dyDescent="0.25">
      <c r="A329" s="107"/>
      <c r="B329" s="249">
        <v>42451</v>
      </c>
      <c r="C329" s="252">
        <v>-2.6099999999999999E-3</v>
      </c>
      <c r="E329" s="245">
        <v>42451</v>
      </c>
      <c r="F329" s="252">
        <v>-1.5299999999999999E-3</v>
      </c>
    </row>
    <row r="330" spans="1:6" x14ac:dyDescent="0.25">
      <c r="A330" s="107"/>
      <c r="B330" s="249">
        <v>42452</v>
      </c>
      <c r="C330" s="252">
        <v>-2.6099999999999999E-3</v>
      </c>
      <c r="E330" s="245">
        <v>42452</v>
      </c>
      <c r="F330" s="252">
        <v>-1.5299999999999999E-3</v>
      </c>
    </row>
    <row r="331" spans="1:6" x14ac:dyDescent="0.25">
      <c r="A331" s="107"/>
      <c r="B331" s="249">
        <v>42453</v>
      </c>
      <c r="C331" s="252">
        <v>-2.6099999999999999E-3</v>
      </c>
      <c r="E331" s="245">
        <v>42453</v>
      </c>
      <c r="F331" s="252">
        <v>-1.5299999999999999E-3</v>
      </c>
    </row>
    <row r="332" spans="1:6" x14ac:dyDescent="0.25">
      <c r="A332" s="107"/>
      <c r="B332" s="249">
        <v>42458</v>
      </c>
      <c r="C332" s="252">
        <v>-2.6099999999999999E-3</v>
      </c>
      <c r="E332" s="245">
        <v>42458</v>
      </c>
      <c r="F332" s="252">
        <v>-1.5299999999999999E-3</v>
      </c>
    </row>
    <row r="333" spans="1:6" x14ac:dyDescent="0.25">
      <c r="A333" s="107"/>
      <c r="B333" s="249">
        <v>42459</v>
      </c>
      <c r="C333" s="252">
        <v>-2.6099999999999999E-3</v>
      </c>
      <c r="E333" s="245">
        <v>42459</v>
      </c>
      <c r="F333" s="252">
        <v>-1.5299999999999999E-3</v>
      </c>
    </row>
    <row r="334" spans="1:6" x14ac:dyDescent="0.25">
      <c r="A334" s="107"/>
      <c r="B334" s="249">
        <v>42460</v>
      </c>
      <c r="C334" s="252">
        <v>-2.6099999999999999E-3</v>
      </c>
      <c r="E334" s="245">
        <v>42460</v>
      </c>
      <c r="F334" s="252">
        <v>-1.5299999999999999E-3</v>
      </c>
    </row>
    <row r="335" spans="1:6" x14ac:dyDescent="0.25">
      <c r="A335" s="107"/>
      <c r="B335" s="249">
        <v>42461</v>
      </c>
      <c r="C335" s="252">
        <v>-2.6099999999999999E-3</v>
      </c>
      <c r="E335" s="245">
        <v>42461</v>
      </c>
      <c r="F335" s="252">
        <v>-1.5299999999999999E-3</v>
      </c>
    </row>
    <row r="336" spans="1:6" x14ac:dyDescent="0.25">
      <c r="A336" s="107"/>
      <c r="B336" s="249">
        <v>42464</v>
      </c>
      <c r="C336" s="252">
        <v>-2.6099999999999999E-3</v>
      </c>
      <c r="E336" s="245">
        <v>42464</v>
      </c>
      <c r="F336" s="252">
        <v>-1.5299999999999999E-3</v>
      </c>
    </row>
    <row r="337" spans="1:6" x14ac:dyDescent="0.25">
      <c r="A337" s="107"/>
      <c r="B337" s="249">
        <v>42465</v>
      </c>
      <c r="C337" s="252">
        <v>-2.6099999999999999E-3</v>
      </c>
      <c r="E337" s="245">
        <v>42465</v>
      </c>
      <c r="F337" s="252">
        <v>-1.5299999999999999E-3</v>
      </c>
    </row>
    <row r="338" spans="1:6" x14ac:dyDescent="0.25">
      <c r="A338" s="107"/>
      <c r="B338" s="249">
        <v>42466</v>
      </c>
      <c r="C338" s="252">
        <v>-2.6099999999999999E-3</v>
      </c>
      <c r="E338" s="245">
        <v>42466</v>
      </c>
      <c r="F338" s="252">
        <v>-1.5299999999999999E-3</v>
      </c>
    </row>
    <row r="339" spans="1:6" x14ac:dyDescent="0.25">
      <c r="A339" s="107"/>
      <c r="B339" s="249">
        <v>42467</v>
      </c>
      <c r="C339" s="252">
        <v>-2.6099999999999999E-3</v>
      </c>
      <c r="E339" s="245">
        <v>42467</v>
      </c>
      <c r="F339" s="252">
        <v>-1.5299999999999999E-3</v>
      </c>
    </row>
    <row r="340" spans="1:6" x14ac:dyDescent="0.25">
      <c r="A340" s="107"/>
      <c r="B340" s="249">
        <v>42468</v>
      </c>
      <c r="C340" s="252">
        <v>-2.6099999999999999E-3</v>
      </c>
      <c r="E340" s="245">
        <v>42468</v>
      </c>
      <c r="F340" s="252">
        <v>-1.5299999999999999E-3</v>
      </c>
    </row>
    <row r="341" spans="1:6" x14ac:dyDescent="0.25">
      <c r="A341" s="107"/>
      <c r="B341" s="249">
        <v>42471</v>
      </c>
      <c r="C341" s="252">
        <v>-2.6099999999999999E-3</v>
      </c>
      <c r="E341" s="245">
        <v>42471</v>
      </c>
      <c r="F341" s="252">
        <v>-1.5299999999999999E-3</v>
      </c>
    </row>
    <row r="342" spans="1:6" x14ac:dyDescent="0.25">
      <c r="A342" s="107"/>
      <c r="B342" s="249">
        <v>42472</v>
      </c>
      <c r="C342" s="252">
        <v>-2.6099999999999999E-3</v>
      </c>
      <c r="E342" s="245">
        <v>42472</v>
      </c>
      <c r="F342" s="252">
        <v>-1.5299999999999999E-3</v>
      </c>
    </row>
    <row r="343" spans="1:6" x14ac:dyDescent="0.25">
      <c r="A343" s="107"/>
      <c r="B343" s="249">
        <v>42473</v>
      </c>
      <c r="C343" s="252">
        <v>-2.6099999999999999E-3</v>
      </c>
      <c r="E343" s="245">
        <v>42473</v>
      </c>
      <c r="F343" s="252">
        <v>-1.5299999999999999E-3</v>
      </c>
    </row>
    <row r="344" spans="1:6" x14ac:dyDescent="0.25">
      <c r="A344" s="107"/>
      <c r="B344" s="249">
        <v>42474</v>
      </c>
      <c r="C344" s="252">
        <v>-2.6099999999999999E-3</v>
      </c>
      <c r="E344" s="245">
        <v>42474</v>
      </c>
      <c r="F344" s="252">
        <v>-1.5299999999999999E-3</v>
      </c>
    </row>
    <row r="345" spans="1:6" x14ac:dyDescent="0.25">
      <c r="A345" s="107"/>
      <c r="B345" s="249">
        <v>42475</v>
      </c>
      <c r="C345" s="252">
        <v>-2.6099999999999999E-3</v>
      </c>
      <c r="E345" s="245">
        <v>42475</v>
      </c>
      <c r="F345" s="252">
        <v>-1.5299999999999999E-3</v>
      </c>
    </row>
    <row r="346" spans="1:6" x14ac:dyDescent="0.25">
      <c r="A346" s="107"/>
      <c r="B346" s="249">
        <v>42478</v>
      </c>
      <c r="C346" s="252">
        <v>-2.6099999999999999E-3</v>
      </c>
      <c r="E346" s="245">
        <v>42478</v>
      </c>
      <c r="F346" s="252">
        <v>-1.5299999999999999E-3</v>
      </c>
    </row>
    <row r="347" spans="1:6" x14ac:dyDescent="0.25">
      <c r="A347" s="107"/>
      <c r="B347" s="249">
        <v>42479</v>
      </c>
      <c r="C347" s="252">
        <v>-2.6099999999999999E-3</v>
      </c>
      <c r="E347" s="245">
        <v>42479</v>
      </c>
      <c r="F347" s="252">
        <v>-1.5299999999999999E-3</v>
      </c>
    </row>
    <row r="348" spans="1:6" x14ac:dyDescent="0.25">
      <c r="A348" s="107"/>
      <c r="B348" s="249">
        <v>42480</v>
      </c>
      <c r="C348" s="252">
        <v>-2.6099999999999999E-3</v>
      </c>
      <c r="E348" s="245">
        <v>42480</v>
      </c>
      <c r="F348" s="252">
        <v>-1.5299999999999999E-3</v>
      </c>
    </row>
    <row r="349" spans="1:6" x14ac:dyDescent="0.25">
      <c r="A349" s="107"/>
      <c r="B349" s="249">
        <v>42481</v>
      </c>
      <c r="C349" s="252">
        <v>-2.6099999999999999E-3</v>
      </c>
      <c r="E349" s="245">
        <v>42481</v>
      </c>
      <c r="F349" s="252">
        <v>-1.5299999999999999E-3</v>
      </c>
    </row>
    <row r="350" spans="1:6" x14ac:dyDescent="0.25">
      <c r="A350" s="107"/>
      <c r="B350" s="249">
        <v>42482</v>
      </c>
      <c r="C350" s="252">
        <v>-2.6099999999999999E-3</v>
      </c>
      <c r="E350" s="245">
        <v>42482</v>
      </c>
      <c r="F350" s="252">
        <v>-1.5299999999999999E-3</v>
      </c>
    </row>
    <row r="351" spans="1:6" x14ac:dyDescent="0.25">
      <c r="A351" s="107"/>
      <c r="B351" s="249">
        <v>42485</v>
      </c>
      <c r="C351" s="252">
        <v>-2.6099999999999999E-3</v>
      </c>
      <c r="E351" s="245">
        <v>42485</v>
      </c>
      <c r="F351" s="252">
        <v>-1.5299999999999999E-3</v>
      </c>
    </row>
    <row r="352" spans="1:6" x14ac:dyDescent="0.25">
      <c r="A352" s="107"/>
      <c r="B352" s="249">
        <v>42486</v>
      </c>
      <c r="C352" s="252">
        <v>-2.6099999999999999E-3</v>
      </c>
      <c r="E352" s="245">
        <v>42486</v>
      </c>
      <c r="F352" s="252">
        <v>-1.5299999999999999E-3</v>
      </c>
    </row>
    <row r="353" spans="1:6" x14ac:dyDescent="0.25">
      <c r="A353" s="107"/>
      <c r="B353" s="249">
        <v>42487</v>
      </c>
      <c r="C353" s="252">
        <v>-2.6099999999999999E-3</v>
      </c>
      <c r="E353" s="245">
        <v>42487</v>
      </c>
      <c r="F353" s="252">
        <v>-1.5299999999999999E-3</v>
      </c>
    </row>
    <row r="354" spans="1:6" x14ac:dyDescent="0.25">
      <c r="A354" s="107"/>
      <c r="B354" s="249">
        <v>42488</v>
      </c>
      <c r="C354" s="252">
        <v>-2.6099999999999999E-3</v>
      </c>
      <c r="E354" s="245">
        <v>42488</v>
      </c>
      <c r="F354" s="252">
        <v>-1.5299999999999999E-3</v>
      </c>
    </row>
    <row r="355" spans="1:6" x14ac:dyDescent="0.25">
      <c r="A355" s="107"/>
      <c r="B355" s="249">
        <v>42489</v>
      </c>
      <c r="C355" s="252">
        <v>-2.6099999999999999E-3</v>
      </c>
      <c r="E355" s="245">
        <v>42489</v>
      </c>
      <c r="F355" s="252">
        <v>-1.5299999999999999E-3</v>
      </c>
    </row>
    <row r="356" spans="1:6" x14ac:dyDescent="0.25">
      <c r="A356" s="107"/>
      <c r="B356" s="249">
        <v>42492</v>
      </c>
      <c r="C356" s="252">
        <v>-2.6099999999999999E-3</v>
      </c>
      <c r="E356" s="245">
        <v>42492</v>
      </c>
      <c r="F356" s="252">
        <v>-1.5299999999999999E-3</v>
      </c>
    </row>
    <row r="357" spans="1:6" x14ac:dyDescent="0.25">
      <c r="A357" s="107"/>
      <c r="B357" s="249">
        <v>42493</v>
      </c>
      <c r="C357" s="252">
        <v>-2.6099999999999999E-3</v>
      </c>
      <c r="E357" s="245">
        <v>42493</v>
      </c>
      <c r="F357" s="252">
        <v>-1.5299999999999999E-3</v>
      </c>
    </row>
    <row r="358" spans="1:6" x14ac:dyDescent="0.25">
      <c r="A358" s="107"/>
      <c r="B358" s="249">
        <v>42494</v>
      </c>
      <c r="C358" s="252">
        <v>-2.6099999999999999E-3</v>
      </c>
      <c r="E358" s="245">
        <v>42494</v>
      </c>
      <c r="F358" s="252">
        <v>-1.5299999999999999E-3</v>
      </c>
    </row>
    <row r="359" spans="1:6" x14ac:dyDescent="0.25">
      <c r="A359" s="107"/>
      <c r="B359" s="249">
        <v>42495</v>
      </c>
      <c r="C359" s="252">
        <v>-2.6099999999999999E-3</v>
      </c>
      <c r="E359" s="245">
        <v>42495</v>
      </c>
      <c r="F359" s="252">
        <v>-1.5299999999999999E-3</v>
      </c>
    </row>
    <row r="360" spans="1:6" x14ac:dyDescent="0.25">
      <c r="A360" s="107"/>
      <c r="B360" s="249">
        <v>42496</v>
      </c>
      <c r="C360" s="252">
        <v>-2.6099999999999999E-3</v>
      </c>
      <c r="E360" s="245">
        <v>42496</v>
      </c>
      <c r="F360" s="252">
        <v>-1.5299999999999999E-3</v>
      </c>
    </row>
    <row r="361" spans="1:6" x14ac:dyDescent="0.25">
      <c r="A361" s="107"/>
      <c r="B361" s="249">
        <v>42499</v>
      </c>
      <c r="C361" s="252">
        <v>-2.6099999999999999E-3</v>
      </c>
      <c r="E361" s="245">
        <v>42499</v>
      </c>
      <c r="F361" s="252">
        <v>-1.5299999999999999E-3</v>
      </c>
    </row>
    <row r="362" spans="1:6" x14ac:dyDescent="0.25">
      <c r="A362" s="107"/>
      <c r="B362" s="249">
        <v>42500</v>
      </c>
      <c r="C362" s="252">
        <v>-2.6099999999999999E-3</v>
      </c>
      <c r="E362" s="245">
        <v>42500</v>
      </c>
      <c r="F362" s="252">
        <v>-1.5299999999999999E-3</v>
      </c>
    </row>
    <row r="363" spans="1:6" x14ac:dyDescent="0.25">
      <c r="A363" s="107"/>
      <c r="B363" s="249">
        <v>42501</v>
      </c>
      <c r="C363" s="252">
        <v>-2.6099999999999999E-3</v>
      </c>
      <c r="E363" s="245">
        <v>42501</v>
      </c>
      <c r="F363" s="252">
        <v>-1.5299999999999999E-3</v>
      </c>
    </row>
    <row r="364" spans="1:6" x14ac:dyDescent="0.25">
      <c r="A364" s="107"/>
      <c r="B364" s="249">
        <v>42502</v>
      </c>
      <c r="C364" s="252">
        <v>-2.6099999999999999E-3</v>
      </c>
      <c r="E364" s="245">
        <v>42502</v>
      </c>
      <c r="F364" s="252">
        <v>-1.5299999999999999E-3</v>
      </c>
    </row>
    <row r="365" spans="1:6" x14ac:dyDescent="0.25">
      <c r="A365" s="107"/>
      <c r="B365" s="249">
        <v>42503</v>
      </c>
      <c r="C365" s="252">
        <v>-2.6099999999999999E-3</v>
      </c>
      <c r="E365" s="245">
        <v>42503</v>
      </c>
      <c r="F365" s="252">
        <v>-1.5299999999999999E-3</v>
      </c>
    </row>
    <row r="366" spans="1:6" x14ac:dyDescent="0.25">
      <c r="A366" s="107"/>
      <c r="B366" s="249">
        <v>42506</v>
      </c>
      <c r="C366" s="252">
        <v>-2.6099999999999999E-3</v>
      </c>
      <c r="E366" s="245">
        <v>42506</v>
      </c>
      <c r="F366" s="252">
        <v>-1.5299999999999999E-3</v>
      </c>
    </row>
    <row r="367" spans="1:6" x14ac:dyDescent="0.25">
      <c r="A367" s="107"/>
      <c r="B367" s="249">
        <v>42507</v>
      </c>
      <c r="C367" s="252">
        <v>-2.6099999999999999E-3</v>
      </c>
      <c r="E367" s="245">
        <v>42507</v>
      </c>
      <c r="F367" s="252">
        <v>-1.5299999999999999E-3</v>
      </c>
    </row>
    <row r="368" spans="1:6" x14ac:dyDescent="0.25">
      <c r="A368" s="107"/>
      <c r="B368" s="249">
        <v>42508</v>
      </c>
      <c r="C368" s="252">
        <v>-2.6099999999999999E-3</v>
      </c>
      <c r="E368" s="245">
        <v>42508</v>
      </c>
      <c r="F368" s="252">
        <v>-1.5299999999999999E-3</v>
      </c>
    </row>
    <row r="369" spans="1:6" x14ac:dyDescent="0.25">
      <c r="A369" s="107"/>
      <c r="B369" s="249">
        <v>42509</v>
      </c>
      <c r="C369" s="252">
        <v>-2.6099999999999999E-3</v>
      </c>
      <c r="E369" s="245">
        <v>42509</v>
      </c>
      <c r="F369" s="252">
        <v>-1.5299999999999999E-3</v>
      </c>
    </row>
    <row r="370" spans="1:6" x14ac:dyDescent="0.25">
      <c r="A370" s="107"/>
      <c r="B370" s="249">
        <v>42510</v>
      </c>
      <c r="C370" s="252">
        <v>-2.6099999999999999E-3</v>
      </c>
      <c r="E370" s="245">
        <v>42510</v>
      </c>
      <c r="F370" s="252">
        <v>-1.5299999999999999E-3</v>
      </c>
    </row>
    <row r="371" spans="1:6" x14ac:dyDescent="0.25">
      <c r="A371" s="107"/>
      <c r="B371" s="249">
        <v>42513</v>
      </c>
      <c r="C371" s="252">
        <v>-2.6099999999999999E-3</v>
      </c>
      <c r="E371" s="245">
        <v>42513</v>
      </c>
      <c r="F371" s="252">
        <v>-1.5299999999999999E-3</v>
      </c>
    </row>
    <row r="372" spans="1:6" x14ac:dyDescent="0.25">
      <c r="A372" s="107"/>
      <c r="B372" s="249">
        <v>42514</v>
      </c>
      <c r="C372" s="252">
        <v>-2.6099999999999999E-3</v>
      </c>
      <c r="E372" s="245">
        <v>42514</v>
      </c>
      <c r="F372" s="252">
        <v>-1.5299999999999999E-3</v>
      </c>
    </row>
    <row r="373" spans="1:6" x14ac:dyDescent="0.25">
      <c r="A373" s="107"/>
      <c r="B373" s="249">
        <v>42515</v>
      </c>
      <c r="C373" s="252">
        <v>-2.6099999999999999E-3</v>
      </c>
      <c r="E373" s="245">
        <v>42515</v>
      </c>
      <c r="F373" s="252">
        <v>-1.5299999999999999E-3</v>
      </c>
    </row>
    <row r="374" spans="1:6" x14ac:dyDescent="0.25">
      <c r="A374" s="107"/>
      <c r="B374" s="249">
        <v>42516</v>
      </c>
      <c r="C374" s="252">
        <v>-2.6099999999999999E-3</v>
      </c>
      <c r="E374" s="245">
        <v>42516</v>
      </c>
      <c r="F374" s="252">
        <v>-1.5299999999999999E-3</v>
      </c>
    </row>
    <row r="375" spans="1:6" x14ac:dyDescent="0.25">
      <c r="A375" s="107"/>
      <c r="B375" s="249">
        <v>42517</v>
      </c>
      <c r="C375" s="252">
        <v>-2.6099999999999999E-3</v>
      </c>
      <c r="E375" s="245">
        <v>42517</v>
      </c>
      <c r="F375" s="252">
        <v>-1.5299999999999999E-3</v>
      </c>
    </row>
    <row r="376" spans="1:6" x14ac:dyDescent="0.25">
      <c r="A376" s="107"/>
      <c r="B376" s="250">
        <v>42520</v>
      </c>
      <c r="C376" s="253">
        <v>-2.6099999999999999E-3</v>
      </c>
      <c r="E376" s="246">
        <v>42520</v>
      </c>
      <c r="F376" s="253">
        <v>-1.5299999999999999E-3</v>
      </c>
    </row>
    <row r="377" spans="1:6" x14ac:dyDescent="0.25">
      <c r="A377" s="107" t="s">
        <v>4</v>
      </c>
      <c r="B377" t="s">
        <v>4</v>
      </c>
      <c r="C377" t="s">
        <v>4</v>
      </c>
      <c r="D377" t="s">
        <v>4</v>
      </c>
      <c r="E377" t="s">
        <v>4</v>
      </c>
      <c r="F377" t="s">
        <v>4</v>
      </c>
    </row>
    <row r="378" spans="1:6" x14ac:dyDescent="0.25">
      <c r="A378" s="107"/>
    </row>
    <row r="379" spans="1:6" x14ac:dyDescent="0.25">
      <c r="A379" s="107"/>
    </row>
    <row r="380" spans="1:6" x14ac:dyDescent="0.25">
      <c r="A380" s="107"/>
    </row>
    <row r="381" spans="1:6" x14ac:dyDescent="0.25">
      <c r="A381" s="107"/>
    </row>
    <row r="382" spans="1:6" x14ac:dyDescent="0.25">
      <c r="A382" s="107"/>
    </row>
    <row r="383" spans="1:6" x14ac:dyDescent="0.25">
      <c r="A383" s="107"/>
    </row>
    <row r="384" spans="1:6" x14ac:dyDescent="0.25">
      <c r="A384" s="107"/>
    </row>
    <row r="385" spans="1:1" x14ac:dyDescent="0.25">
      <c r="A385" s="107"/>
    </row>
    <row r="386" spans="1:1" x14ac:dyDescent="0.25">
      <c r="A386" s="107"/>
    </row>
    <row r="387" spans="1:1" x14ac:dyDescent="0.25">
      <c r="A387" s="107"/>
    </row>
    <row r="388" spans="1:1" x14ac:dyDescent="0.25">
      <c r="A388" s="107"/>
    </row>
    <row r="389" spans="1:1" x14ac:dyDescent="0.25">
      <c r="A389" s="107"/>
    </row>
  </sheetData>
  <dataValidations count="1">
    <dataValidation type="list" allowBlank="1" showInputMessage="1" showErrorMessage="1" sqref="C8 F8">
      <formula1>"1D,1M,3M,6M,12M"</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39997558519241921"/>
  </sheetPr>
  <dimension ref="B2:Z45"/>
  <sheetViews>
    <sheetView showGridLines="0" tabSelected="1" workbookViewId="0"/>
  </sheetViews>
  <sheetFormatPr defaultRowHeight="15" customHeight="1" x14ac:dyDescent="0.25"/>
  <cols>
    <col min="2" max="2" width="31" bestFit="1" customWidth="1"/>
    <col min="3" max="4" width="20.7109375" customWidth="1"/>
    <col min="6" max="7" width="9.140625" style="107"/>
    <col min="8" max="8" width="15.28515625" bestFit="1" customWidth="1"/>
    <col min="11" max="11" width="10.7109375" customWidth="1"/>
    <col min="12" max="12" width="11" customWidth="1"/>
    <col min="13" max="13" width="11.5703125" bestFit="1" customWidth="1"/>
    <col min="15" max="15" width="11" customWidth="1"/>
    <col min="16" max="16" width="13.140625" bestFit="1" customWidth="1"/>
    <col min="17" max="17" width="11.7109375" bestFit="1" customWidth="1"/>
    <col min="20" max="21" width="9.85546875" bestFit="1" customWidth="1"/>
    <col min="22" max="22" width="10.140625" customWidth="1"/>
    <col min="24" max="24" width="10" customWidth="1"/>
  </cols>
  <sheetData>
    <row r="2" spans="2:26" ht="15" customHeight="1" x14ac:dyDescent="0.25">
      <c r="B2" s="273" t="s">
        <v>329</v>
      </c>
      <c r="C2" s="107"/>
      <c r="D2" s="107"/>
      <c r="K2" s="273" t="s">
        <v>370</v>
      </c>
    </row>
    <row r="3" spans="2:26" ht="15" customHeight="1" x14ac:dyDescent="0.25">
      <c r="B3" s="209" t="s">
        <v>330</v>
      </c>
      <c r="C3" s="254" t="s">
        <v>331</v>
      </c>
      <c r="D3" s="254" t="s">
        <v>332</v>
      </c>
      <c r="E3" s="235"/>
      <c r="K3" s="287" t="str">
        <f t="array" aca="1" ref="K3:Z28" ca="1">_xll.meUtilityResize(_xll.meLWOSwapDisplayCashflows(C38,C39,,C40),100,50)</f>
        <v>LEG1:FIXED Leg Schedule &amp; Cashflows</v>
      </c>
      <c r="L3" s="288" t="str">
        <f ca="1"/>
        <v/>
      </c>
      <c r="M3" s="108" t="str">
        <f ca="1"/>
        <v/>
      </c>
      <c r="N3" s="108" t="str">
        <f ca="1"/>
        <v/>
      </c>
      <c r="O3" s="108" t="str">
        <f ca="1"/>
        <v/>
      </c>
      <c r="P3" s="108" t="str">
        <f ca="1"/>
        <v/>
      </c>
      <c r="Q3" s="108" t="str">
        <f ca="1"/>
        <v/>
      </c>
      <c r="R3" s="108" t="str">
        <f ca="1"/>
        <v/>
      </c>
      <c r="S3" s="108" t="str">
        <f ca="1"/>
        <v/>
      </c>
      <c r="T3" s="289" t="str">
        <f ca="1"/>
        <v/>
      </c>
      <c r="U3" s="108" t="str">
        <f ca="1"/>
        <v/>
      </c>
      <c r="V3" s="290" t="str">
        <f ca="1"/>
        <v/>
      </c>
      <c r="W3" s="108" t="str">
        <f ca="1"/>
        <v/>
      </c>
      <c r="X3" s="290" t="str">
        <f ca="1"/>
        <v/>
      </c>
      <c r="Y3" s="289" t="str">
        <f ca="1"/>
        <v/>
      </c>
      <c r="Z3" s="291" t="str">
        <f ca="1"/>
        <v/>
      </c>
    </row>
    <row r="4" spans="2:26" ht="15" customHeight="1" x14ac:dyDescent="0.25">
      <c r="B4" s="210" t="s">
        <v>169</v>
      </c>
      <c r="C4" s="268">
        <v>1000000</v>
      </c>
      <c r="D4" s="268">
        <v>1000000</v>
      </c>
      <c r="E4" s="235"/>
      <c r="K4" s="292" t="str">
        <f ca="1"/>
        <v>AccrualStart</v>
      </c>
      <c r="L4" s="293" t="str">
        <f ca="1"/>
        <v>AccrualEnd</v>
      </c>
      <c r="M4" s="110" t="str">
        <f ca="1"/>
        <v>AccrualDays</v>
      </c>
      <c r="N4" s="110" t="str">
        <f ca="1"/>
        <v>AccrualYearFractions</v>
      </c>
      <c r="O4" s="110" t="str">
        <f ca="1"/>
        <v>PaymentDate</v>
      </c>
      <c r="P4" s="110" t="str">
        <f ca="1"/>
        <v>Notional</v>
      </c>
      <c r="Q4" s="110" t="str">
        <f ca="1"/>
        <v>NotionalExchange</v>
      </c>
      <c r="R4" s="110" t="str">
        <f ca="1"/>
        <v>Leverage</v>
      </c>
      <c r="S4" s="110" t="str">
        <f ca="1"/>
        <v>FixedRate</v>
      </c>
      <c r="T4" s="294" t="str">
        <f ca="1"/>
        <v>Coupon</v>
      </c>
      <c r="U4" s="110" t="str">
        <f ca="1"/>
        <v>DiscountFactor</v>
      </c>
      <c r="V4" s="295" t="str">
        <f ca="1"/>
        <v>CouponPV</v>
      </c>
      <c r="W4" s="110" t="str">
        <f ca="1"/>
        <v/>
      </c>
      <c r="X4" s="295" t="str">
        <f ca="1"/>
        <v/>
      </c>
      <c r="Y4" s="294" t="str">
        <f ca="1"/>
        <v/>
      </c>
      <c r="Z4" s="296" t="str">
        <f ca="1"/>
        <v/>
      </c>
    </row>
    <row r="5" spans="2:26" ht="15" customHeight="1" x14ac:dyDescent="0.25">
      <c r="B5" s="210" t="s">
        <v>333</v>
      </c>
      <c r="C5" s="255" t="s">
        <v>368</v>
      </c>
      <c r="D5" s="255" t="s">
        <v>368</v>
      </c>
      <c r="E5" s="235"/>
      <c r="K5" s="292">
        <f ca="1"/>
        <v>42447</v>
      </c>
      <c r="L5" s="293">
        <f ca="1"/>
        <v>42814</v>
      </c>
      <c r="M5" s="110">
        <f ca="1"/>
        <v>367</v>
      </c>
      <c r="N5" s="302">
        <f ca="1"/>
        <v>1.00555555555556</v>
      </c>
      <c r="O5" s="293">
        <f ca="1"/>
        <v>42814</v>
      </c>
      <c r="P5" s="295">
        <f ca="1"/>
        <v>-1000000</v>
      </c>
      <c r="Q5" s="110">
        <f ca="1"/>
        <v>0</v>
      </c>
      <c r="R5" s="294">
        <f ca="1"/>
        <v>1</v>
      </c>
      <c r="S5" s="304">
        <f ca="1"/>
        <v>0.01</v>
      </c>
      <c r="T5" s="295">
        <f ca="1"/>
        <v>-10055.5555555556</v>
      </c>
      <c r="U5" s="307">
        <f ca="1"/>
        <v>1.00304442787876</v>
      </c>
      <c r="V5" s="295">
        <f ca="1"/>
        <v>-10086.1689692253</v>
      </c>
      <c r="W5" s="110" t="str">
        <f ca="1"/>
        <v/>
      </c>
      <c r="X5" s="295" t="str">
        <f ca="1"/>
        <v/>
      </c>
      <c r="Y5" s="294" t="str">
        <f ca="1"/>
        <v/>
      </c>
      <c r="Z5" s="296" t="str">
        <f ca="1"/>
        <v/>
      </c>
    </row>
    <row r="6" spans="2:26" ht="15" customHeight="1" x14ac:dyDescent="0.25">
      <c r="B6" s="210" t="s">
        <v>334</v>
      </c>
      <c r="C6" s="256" t="s">
        <v>335</v>
      </c>
      <c r="D6" s="256" t="s">
        <v>336</v>
      </c>
      <c r="E6" s="235"/>
      <c r="K6" s="292">
        <f ca="1"/>
        <v>42814</v>
      </c>
      <c r="L6" s="293">
        <f ca="1"/>
        <v>43178</v>
      </c>
      <c r="M6" s="110">
        <f ca="1"/>
        <v>364</v>
      </c>
      <c r="N6" s="302">
        <f ca="1"/>
        <v>0.99722222222222201</v>
      </c>
      <c r="O6" s="293">
        <f ca="1"/>
        <v>43178</v>
      </c>
      <c r="P6" s="295">
        <f ca="1"/>
        <v>-1000000</v>
      </c>
      <c r="Q6" s="110">
        <f ca="1"/>
        <v>0</v>
      </c>
      <c r="R6" s="294">
        <f ca="1"/>
        <v>1</v>
      </c>
      <c r="S6" s="304">
        <f ca="1"/>
        <v>0.01</v>
      </c>
      <c r="T6" s="295">
        <f ca="1"/>
        <v>-9972.2222222222208</v>
      </c>
      <c r="U6" s="307">
        <f ca="1"/>
        <v>1.00732657805367</v>
      </c>
      <c r="V6" s="295">
        <f ca="1"/>
        <v>-10045.284486701899</v>
      </c>
      <c r="W6" s="110" t="str">
        <f ca="1"/>
        <v/>
      </c>
      <c r="X6" s="295" t="str">
        <f ca="1"/>
        <v/>
      </c>
      <c r="Y6" s="294" t="str">
        <f ca="1"/>
        <v/>
      </c>
      <c r="Z6" s="296" t="str">
        <f ca="1"/>
        <v/>
      </c>
    </row>
    <row r="7" spans="2:26" ht="15" customHeight="1" x14ac:dyDescent="0.25">
      <c r="B7" s="210" t="s">
        <v>301</v>
      </c>
      <c r="C7" s="310" t="s">
        <v>372</v>
      </c>
      <c r="D7" s="272" t="str">
        <f>C7</f>
        <v>-50D</v>
      </c>
      <c r="E7" s="235" t="s">
        <v>357</v>
      </c>
      <c r="K7" s="292">
        <f ca="1"/>
        <v>43178</v>
      </c>
      <c r="L7" s="293">
        <f ca="1"/>
        <v>43542</v>
      </c>
      <c r="M7" s="110">
        <f ca="1"/>
        <v>364</v>
      </c>
      <c r="N7" s="302">
        <f ca="1"/>
        <v>0.99722222222222201</v>
      </c>
      <c r="O7" s="293">
        <f ca="1"/>
        <v>43542</v>
      </c>
      <c r="P7" s="295">
        <f ca="1"/>
        <v>-1000000</v>
      </c>
      <c r="Q7" s="110">
        <f ca="1"/>
        <v>0</v>
      </c>
      <c r="R7" s="294">
        <f ca="1"/>
        <v>1</v>
      </c>
      <c r="S7" s="304">
        <f ca="1"/>
        <v>0.01</v>
      </c>
      <c r="T7" s="295">
        <f ca="1"/>
        <v>-9972.2222222222208</v>
      </c>
      <c r="U7" s="307">
        <f ca="1"/>
        <v>1.01115326034417</v>
      </c>
      <c r="V7" s="295">
        <f ca="1"/>
        <v>-10083.4450128766</v>
      </c>
      <c r="W7" s="110" t="str">
        <f ca="1"/>
        <v/>
      </c>
      <c r="X7" s="295" t="str">
        <f ca="1"/>
        <v/>
      </c>
      <c r="Y7" s="294" t="str">
        <f ca="1"/>
        <v/>
      </c>
      <c r="Z7" s="296" t="str">
        <f ca="1"/>
        <v/>
      </c>
    </row>
    <row r="8" spans="2:26" ht="15" customHeight="1" x14ac:dyDescent="0.25">
      <c r="B8" s="210" t="s">
        <v>204</v>
      </c>
      <c r="C8" s="261">
        <f>_xll.meDateFromTenor(COB,C7,C25,C26)</f>
        <v>42447</v>
      </c>
      <c r="D8" s="261">
        <f>C8</f>
        <v>42447</v>
      </c>
      <c r="E8" s="235"/>
      <c r="K8" s="292">
        <f ca="1"/>
        <v>43542</v>
      </c>
      <c r="L8" s="293">
        <f ca="1"/>
        <v>43908</v>
      </c>
      <c r="M8" s="110">
        <f ca="1"/>
        <v>366</v>
      </c>
      <c r="N8" s="302">
        <f ca="1"/>
        <v>1</v>
      </c>
      <c r="O8" s="293">
        <f ca="1"/>
        <v>43908</v>
      </c>
      <c r="P8" s="295">
        <f ca="1"/>
        <v>-1000000</v>
      </c>
      <c r="Q8" s="110">
        <f ca="1"/>
        <v>0</v>
      </c>
      <c r="R8" s="294">
        <f ca="1"/>
        <v>1</v>
      </c>
      <c r="S8" s="304">
        <f ca="1"/>
        <v>0.01</v>
      </c>
      <c r="T8" s="295">
        <f ca="1"/>
        <v>-10000</v>
      </c>
      <c r="U8" s="307">
        <f ca="1"/>
        <v>1.0137240209612199</v>
      </c>
      <c r="V8" s="295">
        <f ca="1"/>
        <v>-10137.2402096122</v>
      </c>
      <c r="W8" s="110" t="str">
        <f ca="1"/>
        <v/>
      </c>
      <c r="X8" s="295" t="str">
        <f ca="1"/>
        <v/>
      </c>
      <c r="Y8" s="294" t="str">
        <f ca="1"/>
        <v/>
      </c>
      <c r="Z8" s="296" t="str">
        <f ca="1"/>
        <v/>
      </c>
    </row>
    <row r="9" spans="2:26" ht="15" customHeight="1" x14ac:dyDescent="0.25">
      <c r="B9" s="210" t="s">
        <v>205</v>
      </c>
      <c r="C9" s="267" t="s">
        <v>52</v>
      </c>
      <c r="D9" s="267" t="s">
        <v>52</v>
      </c>
      <c r="E9" s="235" t="s">
        <v>361</v>
      </c>
      <c r="K9" s="292">
        <f ca="1"/>
        <v>43908</v>
      </c>
      <c r="L9" s="293">
        <f ca="1"/>
        <v>44273</v>
      </c>
      <c r="M9" s="110">
        <f ca="1"/>
        <v>365</v>
      </c>
      <c r="N9" s="302">
        <f ca="1"/>
        <v>1</v>
      </c>
      <c r="O9" s="293">
        <f ca="1"/>
        <v>44273</v>
      </c>
      <c r="P9" s="295">
        <f ca="1"/>
        <v>-1000000</v>
      </c>
      <c r="Q9" s="110">
        <f ca="1"/>
        <v>0</v>
      </c>
      <c r="R9" s="294">
        <f ca="1"/>
        <v>1</v>
      </c>
      <c r="S9" s="304">
        <f ca="1"/>
        <v>0.01</v>
      </c>
      <c r="T9" s="295">
        <f ca="1"/>
        <v>-10000</v>
      </c>
      <c r="U9" s="307">
        <f ca="1"/>
        <v>1.01417846413387</v>
      </c>
      <c r="V9" s="295">
        <f ca="1"/>
        <v>-10141.7846413387</v>
      </c>
      <c r="W9" s="110" t="str">
        <f ca="1"/>
        <v/>
      </c>
      <c r="X9" s="295" t="str">
        <f ca="1"/>
        <v/>
      </c>
      <c r="Y9" s="294" t="str">
        <f ca="1"/>
        <v/>
      </c>
      <c r="Z9" s="296" t="str">
        <f ca="1"/>
        <v/>
      </c>
    </row>
    <row r="10" spans="2:26" ht="15" customHeight="1" x14ac:dyDescent="0.25">
      <c r="B10" s="210" t="s">
        <v>27</v>
      </c>
      <c r="C10" s="262" t="s">
        <v>26</v>
      </c>
      <c r="D10" s="262" t="s">
        <v>108</v>
      </c>
      <c r="E10" s="235"/>
      <c r="K10" s="292" t="str">
        <f ca="1"/>
        <v>LEG2:FLOAT Leg Schedule &amp; Cashflows</v>
      </c>
      <c r="L10" s="293" t="str">
        <f ca="1"/>
        <v/>
      </c>
      <c r="M10" s="110" t="str">
        <f ca="1"/>
        <v/>
      </c>
      <c r="N10" s="302" t="str">
        <f ca="1"/>
        <v/>
      </c>
      <c r="O10" s="293" t="str">
        <f ca="1"/>
        <v/>
      </c>
      <c r="P10" s="295" t="str">
        <f ca="1"/>
        <v/>
      </c>
      <c r="Q10" s="110" t="str">
        <f ca="1"/>
        <v/>
      </c>
      <c r="R10" s="294" t="str">
        <f ca="1"/>
        <v/>
      </c>
      <c r="S10" s="304" t="str">
        <f ca="1"/>
        <v/>
      </c>
      <c r="T10" s="295" t="str">
        <f ca="1"/>
        <v/>
      </c>
      <c r="U10" s="307" t="str">
        <f ca="1"/>
        <v/>
      </c>
      <c r="V10" s="295" t="str">
        <f ca="1"/>
        <v/>
      </c>
      <c r="W10" s="110" t="str">
        <f ca="1"/>
        <v/>
      </c>
      <c r="X10" s="295" t="str">
        <f ca="1"/>
        <v/>
      </c>
      <c r="Y10" s="294" t="str">
        <f ca="1"/>
        <v/>
      </c>
      <c r="Z10" s="296" t="str">
        <f ca="1"/>
        <v/>
      </c>
    </row>
    <row r="11" spans="2:26" ht="15" customHeight="1" x14ac:dyDescent="0.25">
      <c r="B11" s="210" t="s">
        <v>208</v>
      </c>
      <c r="C11" s="255"/>
      <c r="D11" s="255" t="s">
        <v>162</v>
      </c>
      <c r="E11" s="235"/>
      <c r="K11" s="292" t="str">
        <f ca="1"/>
        <v>FixingDate</v>
      </c>
      <c r="L11" s="293" t="str">
        <f ca="1"/>
        <v>AccrualStart</v>
      </c>
      <c r="M11" s="110" t="str">
        <f ca="1"/>
        <v>AccrualEnd</v>
      </c>
      <c r="N11" s="110" t="str">
        <f ca="1"/>
        <v>AccrualDays</v>
      </c>
      <c r="O11" s="110" t="str">
        <f ca="1"/>
        <v>AccrualYearFractions</v>
      </c>
      <c r="P11" s="295" t="str">
        <f ca="1"/>
        <v>PaymentDate</v>
      </c>
      <c r="Q11" s="110" t="str">
        <f ca="1"/>
        <v>Notional</v>
      </c>
      <c r="R11" s="110" t="str">
        <f ca="1"/>
        <v>NotionalExchange</v>
      </c>
      <c r="S11" s="110" t="str">
        <f ca="1"/>
        <v>Leverage</v>
      </c>
      <c r="T11" s="294" t="str">
        <f ca="1"/>
        <v>FloatSpread</v>
      </c>
      <c r="U11" s="307" t="str">
        <f ca="1"/>
        <v>FloatRate</v>
      </c>
      <c r="V11" s="295" t="str">
        <f ca="1"/>
        <v>Coupon</v>
      </c>
      <c r="W11" s="110" t="str">
        <f ca="1"/>
        <v>DiscountFactor</v>
      </c>
      <c r="X11" s="295" t="str">
        <f ca="1"/>
        <v>CouponPV</v>
      </c>
      <c r="Y11" s="294" t="str">
        <f ca="1"/>
        <v/>
      </c>
      <c r="Z11" s="296" t="str">
        <f ca="1"/>
        <v/>
      </c>
    </row>
    <row r="12" spans="2:26" ht="15" customHeight="1" x14ac:dyDescent="0.25">
      <c r="B12" s="210" t="s">
        <v>209</v>
      </c>
      <c r="C12" s="263" t="s">
        <v>193</v>
      </c>
      <c r="D12" s="263" t="s">
        <v>193</v>
      </c>
      <c r="E12" s="235"/>
      <c r="K12" s="292">
        <f ca="1"/>
        <v>42447</v>
      </c>
      <c r="L12" s="293">
        <f ca="1"/>
        <v>42447</v>
      </c>
      <c r="M12" s="293">
        <f ca="1"/>
        <v>42632</v>
      </c>
      <c r="N12" s="110">
        <f ca="1"/>
        <v>185</v>
      </c>
      <c r="O12" s="302">
        <f ca="1"/>
        <v>0.51388888888888895</v>
      </c>
      <c r="P12" s="293">
        <f ca="1"/>
        <v>42632</v>
      </c>
      <c r="Q12" s="295">
        <f ca="1"/>
        <v>1000000</v>
      </c>
      <c r="R12" s="110">
        <f ca="1"/>
        <v>0</v>
      </c>
      <c r="S12" s="110">
        <f ca="1"/>
        <v>1</v>
      </c>
      <c r="T12" s="294">
        <f ca="1"/>
        <v>0</v>
      </c>
      <c r="U12" s="309">
        <f ca="1"/>
        <v>-1.5299999999999999E-3</v>
      </c>
      <c r="V12" s="295">
        <f ca="1"/>
        <v>-786.25</v>
      </c>
      <c r="W12" s="110">
        <f ca="1"/>
        <v>1.00107227859707</v>
      </c>
      <c r="X12" s="295">
        <f ca="1"/>
        <v>-787.09307904694401</v>
      </c>
      <c r="Y12" s="294" t="str">
        <f ca="1"/>
        <v/>
      </c>
      <c r="Z12" s="296" t="str">
        <f ca="1"/>
        <v/>
      </c>
    </row>
    <row r="13" spans="2:26" ht="15" customHeight="1" x14ac:dyDescent="0.25">
      <c r="B13" s="210" t="s">
        <v>16</v>
      </c>
      <c r="C13" s="269" t="s">
        <v>17</v>
      </c>
      <c r="D13" s="269" t="s">
        <v>17</v>
      </c>
      <c r="E13" s="235" t="s">
        <v>360</v>
      </c>
      <c r="K13" s="292">
        <f ca="1"/>
        <v>42632</v>
      </c>
      <c r="L13" s="293">
        <f ca="1"/>
        <v>42632</v>
      </c>
      <c r="M13" s="293">
        <f ca="1"/>
        <v>42814</v>
      </c>
      <c r="N13" s="110">
        <f ca="1"/>
        <v>182</v>
      </c>
      <c r="O13" s="302">
        <f ca="1"/>
        <v>0.50555555555555598</v>
      </c>
      <c r="P13" s="293">
        <f ca="1"/>
        <v>42814</v>
      </c>
      <c r="Q13" s="295">
        <f ca="1"/>
        <v>1000000</v>
      </c>
      <c r="R13" s="110">
        <f ca="1"/>
        <v>0</v>
      </c>
      <c r="S13" s="294">
        <f ca="1"/>
        <v>1</v>
      </c>
      <c r="T13" s="294">
        <f ca="1"/>
        <v>0</v>
      </c>
      <c r="U13" s="305">
        <f ca="1"/>
        <v>-1.46991025846309E-3</v>
      </c>
      <c r="V13" s="295">
        <f ca="1"/>
        <v>-743.121297334117</v>
      </c>
      <c r="W13" s="307">
        <f ca="1"/>
        <v>1.00304442787876</v>
      </c>
      <c r="X13" s="295">
        <f ca="1"/>
        <v>-745.38367652902002</v>
      </c>
      <c r="Y13" s="294" t="str">
        <f ca="1"/>
        <v/>
      </c>
      <c r="Z13" s="296" t="str">
        <f ca="1"/>
        <v/>
      </c>
    </row>
    <row r="14" spans="2:26" ht="15" customHeight="1" x14ac:dyDescent="0.25">
      <c r="B14" s="232" t="s">
        <v>311</v>
      </c>
      <c r="C14" s="262" t="s">
        <v>312</v>
      </c>
      <c r="D14" s="262" t="s">
        <v>312</v>
      </c>
      <c r="E14" s="235"/>
      <c r="K14" s="292">
        <f ca="1"/>
        <v>42814</v>
      </c>
      <c r="L14" s="293">
        <f ca="1"/>
        <v>42814</v>
      </c>
      <c r="M14" s="293">
        <f ca="1"/>
        <v>42996</v>
      </c>
      <c r="N14" s="110">
        <f ca="1"/>
        <v>182</v>
      </c>
      <c r="O14" s="302">
        <f ca="1"/>
        <v>0.50555555555555598</v>
      </c>
      <c r="P14" s="293">
        <f ca="1"/>
        <v>42996</v>
      </c>
      <c r="Q14" s="295">
        <f ca="1"/>
        <v>1000000</v>
      </c>
      <c r="R14" s="110">
        <f ca="1"/>
        <v>0</v>
      </c>
      <c r="S14" s="294">
        <f ca="1"/>
        <v>1</v>
      </c>
      <c r="T14" s="294">
        <f ca="1"/>
        <v>0</v>
      </c>
      <c r="U14" s="305">
        <f ca="1"/>
        <v>-1.63509454257024E-3</v>
      </c>
      <c r="V14" s="295">
        <f ca="1"/>
        <v>-826.63112985495604</v>
      </c>
      <c r="W14" s="307">
        <f ca="1"/>
        <v>1.0051763053718401</v>
      </c>
      <c r="X14" s="295">
        <f ca="1"/>
        <v>-830.91002501295497</v>
      </c>
      <c r="Y14" s="294" t="str">
        <f ca="1"/>
        <v/>
      </c>
      <c r="Z14" s="296" t="str">
        <f ca="1"/>
        <v/>
      </c>
    </row>
    <row r="15" spans="2:26" ht="15" customHeight="1" x14ac:dyDescent="0.25">
      <c r="B15" s="210" t="s">
        <v>337</v>
      </c>
      <c r="C15" s="264">
        <v>1</v>
      </c>
      <c r="D15" s="264">
        <v>1</v>
      </c>
      <c r="E15" s="235"/>
      <c r="K15" s="292">
        <f ca="1"/>
        <v>42996</v>
      </c>
      <c r="L15" s="293">
        <f ca="1"/>
        <v>42996</v>
      </c>
      <c r="M15" s="293">
        <f ca="1"/>
        <v>43178</v>
      </c>
      <c r="N15" s="110">
        <f ca="1"/>
        <v>182</v>
      </c>
      <c r="O15" s="302">
        <f ca="1"/>
        <v>0.50555555555555598</v>
      </c>
      <c r="P15" s="293">
        <f ca="1"/>
        <v>43178</v>
      </c>
      <c r="Q15" s="295">
        <f ca="1"/>
        <v>1000000</v>
      </c>
      <c r="R15" s="110">
        <f ca="1"/>
        <v>0</v>
      </c>
      <c r="S15" s="294">
        <f ca="1"/>
        <v>1</v>
      </c>
      <c r="T15" s="294">
        <f ca="1"/>
        <v>0</v>
      </c>
      <c r="U15" s="305">
        <f ca="1"/>
        <v>-1.75786834685623E-3</v>
      </c>
      <c r="V15" s="295">
        <f ca="1"/>
        <v>-888.70010868842905</v>
      </c>
      <c r="W15" s="307">
        <f ca="1"/>
        <v>1.00732657805367</v>
      </c>
      <c r="X15" s="295">
        <f ca="1"/>
        <v>-895.21123940103803</v>
      </c>
      <c r="Y15" s="294" t="str">
        <f ca="1"/>
        <v/>
      </c>
      <c r="Z15" s="296" t="str">
        <f ca="1"/>
        <v/>
      </c>
    </row>
    <row r="16" spans="2:26" ht="15" customHeight="1" x14ac:dyDescent="0.25">
      <c r="B16" s="210" t="s">
        <v>206</v>
      </c>
      <c r="C16" s="270">
        <v>0.01</v>
      </c>
      <c r="D16" s="270"/>
      <c r="E16" s="235" t="s">
        <v>358</v>
      </c>
      <c r="K16" s="292">
        <f ca="1"/>
        <v>43178</v>
      </c>
      <c r="L16" s="293">
        <f ca="1"/>
        <v>43178</v>
      </c>
      <c r="M16" s="293">
        <f ca="1"/>
        <v>43361</v>
      </c>
      <c r="N16" s="110">
        <f ca="1"/>
        <v>183</v>
      </c>
      <c r="O16" s="302">
        <f ca="1"/>
        <v>0.50833333333333297</v>
      </c>
      <c r="P16" s="293">
        <f ca="1"/>
        <v>43361</v>
      </c>
      <c r="Q16" s="295">
        <f ca="1"/>
        <v>1000000</v>
      </c>
      <c r="R16" s="110">
        <f ca="1"/>
        <v>0</v>
      </c>
      <c r="S16" s="294">
        <f ca="1"/>
        <v>1</v>
      </c>
      <c r="T16" s="294">
        <f ca="1"/>
        <v>0</v>
      </c>
      <c r="U16" s="305">
        <f ca="1"/>
        <v>-1.4136847363437799E-3</v>
      </c>
      <c r="V16" s="295">
        <f ca="1"/>
        <v>-718.62307430809005</v>
      </c>
      <c r="W16" s="307">
        <f ca="1"/>
        <v>1.00938365238554</v>
      </c>
      <c r="X16" s="295">
        <f ca="1"/>
        <v>-725.36638343362199</v>
      </c>
      <c r="Y16" s="294" t="str">
        <f ca="1"/>
        <v/>
      </c>
      <c r="Z16" s="296" t="str">
        <f ca="1"/>
        <v/>
      </c>
    </row>
    <row r="17" spans="2:26" ht="15" customHeight="1" x14ac:dyDescent="0.25">
      <c r="B17" s="210" t="s">
        <v>338</v>
      </c>
      <c r="C17" s="262"/>
      <c r="D17" s="258" t="s">
        <v>339</v>
      </c>
      <c r="E17" s="235" t="s">
        <v>364</v>
      </c>
      <c r="K17" s="292">
        <f ca="1"/>
        <v>43361</v>
      </c>
      <c r="L17" s="293">
        <f ca="1"/>
        <v>43361</v>
      </c>
      <c r="M17" s="293">
        <f ca="1"/>
        <v>43542</v>
      </c>
      <c r="N17" s="110">
        <f ca="1"/>
        <v>181</v>
      </c>
      <c r="O17" s="302">
        <f ca="1"/>
        <v>0.50277777777777799</v>
      </c>
      <c r="P17" s="293">
        <f ca="1"/>
        <v>43542</v>
      </c>
      <c r="Q17" s="295">
        <f ca="1"/>
        <v>1000000</v>
      </c>
      <c r="R17" s="110">
        <f ca="1"/>
        <v>0</v>
      </c>
      <c r="S17" s="294">
        <f ca="1"/>
        <v>1</v>
      </c>
      <c r="T17" s="294">
        <f ca="1"/>
        <v>0</v>
      </c>
      <c r="U17" s="305">
        <f ca="1"/>
        <v>-7.0243366081310099E-4</v>
      </c>
      <c r="V17" s="295">
        <f ca="1"/>
        <v>-353.16803501992001</v>
      </c>
      <c r="W17" s="307">
        <f ca="1"/>
        <v>1.01115326034417</v>
      </c>
      <c r="X17" s="295">
        <f ca="1"/>
        <v>-357.10701005973601</v>
      </c>
      <c r="Y17" s="294" t="str">
        <f ca="1"/>
        <v/>
      </c>
      <c r="Z17" s="296" t="str">
        <f ca="1"/>
        <v/>
      </c>
    </row>
    <row r="18" spans="2:26" ht="15" customHeight="1" x14ac:dyDescent="0.25">
      <c r="B18" s="210" t="s">
        <v>340</v>
      </c>
      <c r="C18" s="262"/>
      <c r="D18" s="258" t="s">
        <v>339</v>
      </c>
      <c r="E18" s="235" t="s">
        <v>363</v>
      </c>
      <c r="K18" s="292">
        <f ca="1"/>
        <v>43542</v>
      </c>
      <c r="L18" s="293">
        <f ca="1"/>
        <v>43542</v>
      </c>
      <c r="M18" s="293">
        <f ca="1"/>
        <v>43726</v>
      </c>
      <c r="N18" s="110">
        <f ca="1"/>
        <v>184</v>
      </c>
      <c r="O18" s="302">
        <f ca="1"/>
        <v>0.51111111111111096</v>
      </c>
      <c r="P18" s="293">
        <f ca="1"/>
        <v>43726</v>
      </c>
      <c r="Q18" s="295">
        <f ca="1"/>
        <v>1000000</v>
      </c>
      <c r="R18" s="110">
        <f ca="1"/>
        <v>0</v>
      </c>
      <c r="S18" s="294">
        <f ca="1"/>
        <v>1</v>
      </c>
      <c r="T18" s="294">
        <f ca="1"/>
        <v>0</v>
      </c>
      <c r="U18" s="305">
        <f ca="1"/>
        <v>2.5578934482062699E-4</v>
      </c>
      <c r="V18" s="295">
        <f ca="1"/>
        <v>130.73677624165401</v>
      </c>
      <c r="W18" s="307">
        <f ca="1"/>
        <v>1.0126632365727</v>
      </c>
      <c r="X18" s="295">
        <f ca="1"/>
        <v>132.39232696795401</v>
      </c>
      <c r="Y18" s="294" t="str">
        <f ca="1"/>
        <v/>
      </c>
      <c r="Z18" s="296" t="str">
        <f ca="1"/>
        <v/>
      </c>
    </row>
    <row r="19" spans="2:26" ht="15" customHeight="1" x14ac:dyDescent="0.25">
      <c r="B19" s="210" t="s">
        <v>341</v>
      </c>
      <c r="C19" s="286"/>
      <c r="D19" s="311"/>
      <c r="E19" s="235"/>
      <c r="K19" s="292">
        <f ca="1"/>
        <v>43726</v>
      </c>
      <c r="L19" s="293">
        <f ca="1"/>
        <v>43726</v>
      </c>
      <c r="M19" s="293">
        <f ca="1"/>
        <v>43908</v>
      </c>
      <c r="N19" s="110">
        <f ca="1"/>
        <v>182</v>
      </c>
      <c r="O19" s="302">
        <f ca="1"/>
        <v>0.50555555555555598</v>
      </c>
      <c r="P19" s="293">
        <f ca="1"/>
        <v>43908</v>
      </c>
      <c r="Q19" s="295">
        <f ca="1"/>
        <v>1000000</v>
      </c>
      <c r="R19" s="110">
        <f ca="1"/>
        <v>0</v>
      </c>
      <c r="S19" s="294">
        <f ca="1"/>
        <v>1</v>
      </c>
      <c r="T19" s="294">
        <f ca="1"/>
        <v>0</v>
      </c>
      <c r="U19" s="305">
        <f ca="1"/>
        <v>1.34249781840637E-3</v>
      </c>
      <c r="V19" s="295">
        <f ca="1"/>
        <v>678.70723041655401</v>
      </c>
      <c r="W19" s="307">
        <f ca="1"/>
        <v>1.0137240209612199</v>
      </c>
      <c r="X19" s="295">
        <f ca="1"/>
        <v>688.02182267332</v>
      </c>
      <c r="Y19" s="294" t="str">
        <f ca="1"/>
        <v/>
      </c>
      <c r="Z19" s="296" t="str">
        <f ca="1"/>
        <v/>
      </c>
    </row>
    <row r="20" spans="2:26" ht="15" customHeight="1" x14ac:dyDescent="0.25">
      <c r="B20" s="210" t="s">
        <v>342</v>
      </c>
      <c r="C20" s="286"/>
      <c r="D20" s="312"/>
      <c r="E20" s="235"/>
      <c r="K20" s="292">
        <f ca="1"/>
        <v>43908</v>
      </c>
      <c r="L20" s="293">
        <f ca="1"/>
        <v>43908</v>
      </c>
      <c r="M20" s="293">
        <f ca="1"/>
        <v>44092</v>
      </c>
      <c r="N20" s="110">
        <f ca="1"/>
        <v>184</v>
      </c>
      <c r="O20" s="302">
        <f ca="1"/>
        <v>0.51111111111111096</v>
      </c>
      <c r="P20" s="293">
        <f ca="1"/>
        <v>44092</v>
      </c>
      <c r="Q20" s="295">
        <f ca="1"/>
        <v>1000000</v>
      </c>
      <c r="R20" s="110">
        <f ca="1"/>
        <v>0</v>
      </c>
      <c r="S20" s="294">
        <f ca="1"/>
        <v>1</v>
      </c>
      <c r="T20" s="294">
        <f ca="1"/>
        <v>0</v>
      </c>
      <c r="U20" s="305">
        <f ca="1"/>
        <v>2.4154033044964203E-3</v>
      </c>
      <c r="V20" s="295">
        <f ca="1"/>
        <v>1234.5394667426101</v>
      </c>
      <c r="W20" s="307">
        <f ca="1"/>
        <v>1.0143137586945601</v>
      </c>
      <c r="X20" s="295">
        <f ca="1"/>
        <v>1252.2103667684901</v>
      </c>
      <c r="Y20" s="294" t="str">
        <f ca="1"/>
        <v/>
      </c>
      <c r="Z20" s="296" t="str">
        <f ca="1"/>
        <v/>
      </c>
    </row>
    <row r="21" spans="2:26" ht="15" customHeight="1" x14ac:dyDescent="0.25">
      <c r="B21" s="210" t="s">
        <v>207</v>
      </c>
      <c r="C21" s="271"/>
      <c r="D21" s="271">
        <v>0</v>
      </c>
      <c r="E21" s="235" t="s">
        <v>359</v>
      </c>
      <c r="K21" s="292">
        <f ca="1"/>
        <v>44092</v>
      </c>
      <c r="L21" s="293">
        <f ca="1"/>
        <v>44092</v>
      </c>
      <c r="M21" s="293">
        <f ca="1"/>
        <v>44273</v>
      </c>
      <c r="N21" s="110">
        <f ca="1"/>
        <v>181</v>
      </c>
      <c r="O21" s="302">
        <f ca="1"/>
        <v>0.50277777777777799</v>
      </c>
      <c r="P21" s="293">
        <f ca="1"/>
        <v>44273</v>
      </c>
      <c r="Q21" s="295">
        <f ca="1"/>
        <v>1000000</v>
      </c>
      <c r="R21" s="110">
        <f ca="1"/>
        <v>0</v>
      </c>
      <c r="S21" s="294">
        <f ca="1"/>
        <v>1</v>
      </c>
      <c r="T21" s="294">
        <f ca="1"/>
        <v>0</v>
      </c>
      <c r="U21" s="305">
        <f ca="1"/>
        <v>3.5652058487284201E-3</v>
      </c>
      <c r="V21" s="295">
        <f ca="1"/>
        <v>1792.50627394401</v>
      </c>
      <c r="W21" s="307">
        <f ca="1"/>
        <v>1.01417846413387</v>
      </c>
      <c r="X21" s="295">
        <f ca="1"/>
        <v>1817.9212598588599</v>
      </c>
      <c r="Y21" s="294" t="str">
        <f ca="1"/>
        <v/>
      </c>
      <c r="Z21" s="296" t="str">
        <f ca="1"/>
        <v/>
      </c>
    </row>
    <row r="22" spans="2:26" ht="15" customHeight="1" x14ac:dyDescent="0.25">
      <c r="B22" s="210" t="s">
        <v>18</v>
      </c>
      <c r="C22" s="265" t="s">
        <v>20</v>
      </c>
      <c r="D22" s="265" t="s">
        <v>6</v>
      </c>
      <c r="E22" s="235"/>
      <c r="K22" s="292" t="str">
        <f ca="1"/>
        <v/>
      </c>
      <c r="L22" s="293" t="str">
        <f ca="1"/>
        <v/>
      </c>
      <c r="M22" s="293" t="str">
        <f ca="1"/>
        <v/>
      </c>
      <c r="N22" s="110" t="str">
        <f ca="1"/>
        <v/>
      </c>
      <c r="O22" s="302" t="str">
        <f ca="1"/>
        <v/>
      </c>
      <c r="P22" s="293" t="str">
        <f ca="1"/>
        <v/>
      </c>
      <c r="Q22" s="295" t="str">
        <f ca="1"/>
        <v/>
      </c>
      <c r="R22" s="110" t="str">
        <f ca="1"/>
        <v/>
      </c>
      <c r="S22" s="294" t="str">
        <f ca="1"/>
        <v/>
      </c>
      <c r="T22" s="294" t="str">
        <f ca="1"/>
        <v/>
      </c>
      <c r="U22" s="305" t="str">
        <f ca="1"/>
        <v/>
      </c>
      <c r="V22" s="295" t="str">
        <f ca="1"/>
        <v/>
      </c>
      <c r="W22" s="307" t="str">
        <f ca="1"/>
        <v/>
      </c>
      <c r="X22" s="295" t="str">
        <f ca="1"/>
        <v/>
      </c>
      <c r="Y22" s="294" t="str">
        <f ca="1"/>
        <v/>
      </c>
      <c r="Z22" s="296" t="str">
        <f ca="1"/>
        <v/>
      </c>
    </row>
    <row r="23" spans="2:26" ht="15" customHeight="1" x14ac:dyDescent="0.25">
      <c r="B23" s="210" t="s">
        <v>343</v>
      </c>
      <c r="C23" s="266"/>
      <c r="D23" s="262" t="s">
        <v>22</v>
      </c>
      <c r="E23" s="235"/>
      <c r="K23" s="292" t="str">
        <f ca="1"/>
        <v/>
      </c>
      <c r="L23" s="293" t="str">
        <f ca="1"/>
        <v/>
      </c>
      <c r="M23" s="293" t="str">
        <f ca="1"/>
        <v/>
      </c>
      <c r="N23" s="110" t="str">
        <f ca="1"/>
        <v/>
      </c>
      <c r="O23" s="302" t="str">
        <f ca="1"/>
        <v/>
      </c>
      <c r="P23" s="293" t="str">
        <f ca="1"/>
        <v/>
      </c>
      <c r="Q23" s="295" t="str">
        <f ca="1"/>
        <v/>
      </c>
      <c r="R23" s="110" t="str">
        <f ca="1"/>
        <v/>
      </c>
      <c r="S23" s="294" t="str">
        <f ca="1"/>
        <v/>
      </c>
      <c r="T23" s="294" t="str">
        <f ca="1"/>
        <v/>
      </c>
      <c r="U23" s="305" t="str">
        <f ca="1"/>
        <v/>
      </c>
      <c r="V23" s="295" t="str">
        <f ca="1"/>
        <v/>
      </c>
      <c r="W23" s="307" t="str">
        <f ca="1"/>
        <v/>
      </c>
      <c r="X23" s="295" t="str">
        <f ca="1"/>
        <v/>
      </c>
      <c r="Y23" s="294" t="str">
        <f ca="1"/>
        <v/>
      </c>
      <c r="Z23" s="296" t="str">
        <f ca="1"/>
        <v/>
      </c>
    </row>
    <row r="24" spans="2:26" ht="15" customHeight="1" x14ac:dyDescent="0.25">
      <c r="B24" s="210" t="s">
        <v>344</v>
      </c>
      <c r="C24" s="266"/>
      <c r="D24" s="262" t="s">
        <v>2</v>
      </c>
      <c r="E24" s="235"/>
      <c r="K24" s="292" t="str">
        <f ca="1"/>
        <v/>
      </c>
      <c r="L24" s="293" t="str">
        <f ca="1"/>
        <v/>
      </c>
      <c r="M24" s="293" t="str">
        <f ca="1"/>
        <v/>
      </c>
      <c r="N24" s="110" t="str">
        <f ca="1"/>
        <v/>
      </c>
      <c r="O24" s="302" t="str">
        <f ca="1"/>
        <v/>
      </c>
      <c r="P24" s="293" t="str">
        <f ca="1"/>
        <v/>
      </c>
      <c r="Q24" s="295" t="str">
        <f ca="1"/>
        <v/>
      </c>
      <c r="R24" s="110" t="str">
        <f ca="1"/>
        <v/>
      </c>
      <c r="S24" s="110" t="str">
        <f ca="1"/>
        <v/>
      </c>
      <c r="T24" s="294" t="str">
        <f ca="1"/>
        <v/>
      </c>
      <c r="U24" s="305" t="str">
        <f ca="1"/>
        <v/>
      </c>
      <c r="V24" s="295" t="str">
        <f ca="1"/>
        <v/>
      </c>
      <c r="W24" s="307" t="str">
        <f ca="1"/>
        <v/>
      </c>
      <c r="X24" s="295" t="str">
        <f ca="1"/>
        <v/>
      </c>
      <c r="Y24" s="294" t="str">
        <f ca="1"/>
        <v/>
      </c>
      <c r="Z24" s="296" t="str">
        <f ca="1"/>
        <v/>
      </c>
    </row>
    <row r="25" spans="2:26" ht="15" customHeight="1" x14ac:dyDescent="0.25">
      <c r="B25" s="210" t="s">
        <v>345</v>
      </c>
      <c r="C25" s="258" t="s">
        <v>22</v>
      </c>
      <c r="D25" s="258" t="s">
        <v>22</v>
      </c>
      <c r="E25" s="235"/>
      <c r="K25" s="292" t="str">
        <f ca="1"/>
        <v/>
      </c>
      <c r="L25" s="293" t="str">
        <f ca="1"/>
        <v/>
      </c>
      <c r="M25" s="293" t="str">
        <f ca="1"/>
        <v/>
      </c>
      <c r="N25" s="110" t="str">
        <f ca="1"/>
        <v/>
      </c>
      <c r="O25" s="302" t="str">
        <f ca="1"/>
        <v/>
      </c>
      <c r="P25" s="293" t="str">
        <f ca="1"/>
        <v/>
      </c>
      <c r="Q25" s="295" t="str">
        <f ca="1"/>
        <v/>
      </c>
      <c r="R25" s="110" t="str">
        <f ca="1"/>
        <v/>
      </c>
      <c r="S25" s="110" t="str">
        <f ca="1"/>
        <v/>
      </c>
      <c r="T25" s="294" t="str">
        <f ca="1"/>
        <v/>
      </c>
      <c r="U25" s="305" t="str">
        <f ca="1"/>
        <v/>
      </c>
      <c r="V25" s="295" t="str">
        <f ca="1"/>
        <v/>
      </c>
      <c r="W25" s="307" t="str">
        <f ca="1"/>
        <v/>
      </c>
      <c r="X25" s="295" t="str">
        <f ca="1"/>
        <v/>
      </c>
      <c r="Y25" s="294" t="str">
        <f ca="1"/>
        <v/>
      </c>
      <c r="Z25" s="296" t="str">
        <f ca="1"/>
        <v/>
      </c>
    </row>
    <row r="26" spans="2:26" ht="15" customHeight="1" x14ac:dyDescent="0.25">
      <c r="B26" s="210" t="s">
        <v>346</v>
      </c>
      <c r="C26" s="258" t="s">
        <v>2</v>
      </c>
      <c r="D26" s="258" t="s">
        <v>2</v>
      </c>
      <c r="E26" s="235"/>
      <c r="K26" s="292" t="str">
        <f ca="1"/>
        <v/>
      </c>
      <c r="L26" s="293" t="str">
        <f ca="1"/>
        <v/>
      </c>
      <c r="M26" s="293" t="str">
        <f ca="1"/>
        <v/>
      </c>
      <c r="N26" s="110" t="str">
        <f ca="1"/>
        <v/>
      </c>
      <c r="O26" s="302" t="str">
        <f ca="1"/>
        <v/>
      </c>
      <c r="P26" s="293" t="str">
        <f ca="1"/>
        <v/>
      </c>
      <c r="Q26" s="295" t="str">
        <f ca="1"/>
        <v/>
      </c>
      <c r="R26" s="110" t="str">
        <f ca="1"/>
        <v/>
      </c>
      <c r="S26" s="110" t="str">
        <f ca="1"/>
        <v/>
      </c>
      <c r="T26" s="294" t="str">
        <f ca="1"/>
        <v/>
      </c>
      <c r="U26" s="305" t="str">
        <f ca="1"/>
        <v/>
      </c>
      <c r="V26" s="295" t="str">
        <f ca="1"/>
        <v/>
      </c>
      <c r="W26" s="307" t="str">
        <f ca="1"/>
        <v/>
      </c>
      <c r="X26" s="295" t="str">
        <f ca="1"/>
        <v/>
      </c>
      <c r="Y26" s="294" t="str">
        <f ca="1"/>
        <v/>
      </c>
      <c r="Z26" s="296" t="str">
        <f ca="1"/>
        <v/>
      </c>
    </row>
    <row r="27" spans="2:26" ht="15" customHeight="1" x14ac:dyDescent="0.25">
      <c r="B27" s="210" t="s">
        <v>347</v>
      </c>
      <c r="C27" s="258" t="s">
        <v>22</v>
      </c>
      <c r="D27" s="258" t="s">
        <v>22</v>
      </c>
      <c r="E27" s="235"/>
      <c r="K27" s="292" t="str">
        <f ca="1"/>
        <v/>
      </c>
      <c r="L27" s="293" t="str">
        <f ca="1"/>
        <v/>
      </c>
      <c r="M27" s="293" t="str">
        <f ca="1"/>
        <v/>
      </c>
      <c r="N27" s="110" t="str">
        <f ca="1"/>
        <v/>
      </c>
      <c r="O27" s="302" t="str">
        <f ca="1"/>
        <v/>
      </c>
      <c r="P27" s="293" t="str">
        <f ca="1"/>
        <v/>
      </c>
      <c r="Q27" s="295" t="str">
        <f ca="1"/>
        <v/>
      </c>
      <c r="R27" s="110" t="str">
        <f ca="1"/>
        <v/>
      </c>
      <c r="S27" s="110" t="str">
        <f ca="1"/>
        <v/>
      </c>
      <c r="T27" s="294" t="str">
        <f ca="1"/>
        <v/>
      </c>
      <c r="U27" s="305" t="str">
        <f ca="1"/>
        <v/>
      </c>
      <c r="V27" s="295" t="str">
        <f ca="1"/>
        <v/>
      </c>
      <c r="W27" s="307" t="str">
        <f ca="1"/>
        <v/>
      </c>
      <c r="X27" s="295" t="str">
        <f ca="1"/>
        <v/>
      </c>
      <c r="Y27" s="294" t="str">
        <f ca="1"/>
        <v/>
      </c>
      <c r="Z27" s="296" t="str">
        <f ca="1"/>
        <v/>
      </c>
    </row>
    <row r="28" spans="2:26" ht="15" customHeight="1" x14ac:dyDescent="0.25">
      <c r="B28" s="210" t="s">
        <v>348</v>
      </c>
      <c r="C28" s="258" t="s">
        <v>2</v>
      </c>
      <c r="D28" s="258" t="s">
        <v>2</v>
      </c>
      <c r="E28" s="235"/>
      <c r="K28" s="292" t="str">
        <f ca="1"/>
        <v/>
      </c>
      <c r="L28" s="293" t="str">
        <f ca="1"/>
        <v/>
      </c>
      <c r="M28" s="293" t="str">
        <f ca="1"/>
        <v/>
      </c>
      <c r="N28" s="110" t="str">
        <f ca="1"/>
        <v/>
      </c>
      <c r="O28" s="302" t="str">
        <f ca="1"/>
        <v/>
      </c>
      <c r="P28" s="293" t="str">
        <f ca="1"/>
        <v/>
      </c>
      <c r="Q28" s="295" t="str">
        <f ca="1"/>
        <v/>
      </c>
      <c r="R28" s="110" t="str">
        <f ca="1"/>
        <v/>
      </c>
      <c r="S28" s="110" t="str">
        <f ca="1"/>
        <v/>
      </c>
      <c r="T28" s="294" t="str">
        <f ca="1"/>
        <v/>
      </c>
      <c r="U28" s="305" t="str">
        <f ca="1"/>
        <v/>
      </c>
      <c r="V28" s="295" t="str">
        <f ca="1"/>
        <v/>
      </c>
      <c r="W28" s="307" t="str">
        <f ca="1"/>
        <v/>
      </c>
      <c r="X28" s="295" t="str">
        <f ca="1"/>
        <v/>
      </c>
      <c r="Y28" s="294" t="str">
        <f ca="1"/>
        <v/>
      </c>
      <c r="Z28" s="296" t="str">
        <f ca="1"/>
        <v/>
      </c>
    </row>
    <row r="29" spans="2:26" ht="15" customHeight="1" x14ac:dyDescent="0.25">
      <c r="B29" s="210" t="s">
        <v>349</v>
      </c>
      <c r="C29" s="258" t="s">
        <v>313</v>
      </c>
      <c r="D29" s="258" t="s">
        <v>313</v>
      </c>
      <c r="E29" s="235"/>
      <c r="K29" s="292"/>
      <c r="L29" s="293"/>
      <c r="M29" s="293"/>
      <c r="N29" s="110"/>
      <c r="O29" s="302"/>
      <c r="P29" s="293"/>
      <c r="Q29" s="295"/>
      <c r="R29" s="110"/>
      <c r="S29" s="110"/>
      <c r="T29" s="294"/>
      <c r="U29" s="305"/>
      <c r="V29" s="295"/>
      <c r="W29" s="307"/>
      <c r="X29" s="295"/>
      <c r="Y29" s="294"/>
      <c r="Z29" s="296"/>
    </row>
    <row r="30" spans="2:26" ht="15" customHeight="1" x14ac:dyDescent="0.25">
      <c r="B30" s="210" t="s">
        <v>350</v>
      </c>
      <c r="C30" s="257"/>
      <c r="D30" s="259" t="s">
        <v>170</v>
      </c>
      <c r="E30" s="235"/>
      <c r="K30" s="292"/>
      <c r="L30" s="293"/>
      <c r="M30" s="293"/>
      <c r="N30" s="110"/>
      <c r="O30" s="302"/>
      <c r="P30" s="293"/>
      <c r="Q30" s="295"/>
      <c r="R30" s="110"/>
      <c r="S30" s="110"/>
      <c r="T30" s="294"/>
      <c r="U30" s="305"/>
      <c r="V30" s="295"/>
      <c r="W30" s="307"/>
      <c r="X30" s="295"/>
      <c r="Y30" s="294"/>
      <c r="Z30" s="296"/>
    </row>
    <row r="31" spans="2:26" ht="15" customHeight="1" x14ac:dyDescent="0.25">
      <c r="B31" s="210" t="s">
        <v>351</v>
      </c>
      <c r="C31" s="259" t="s">
        <v>170</v>
      </c>
      <c r="D31" s="259" t="s">
        <v>170</v>
      </c>
      <c r="E31" s="235"/>
      <c r="K31" s="292"/>
      <c r="L31" s="293"/>
      <c r="M31" s="293"/>
      <c r="N31" s="110"/>
      <c r="O31" s="302"/>
      <c r="P31" s="293"/>
      <c r="Q31" s="295"/>
      <c r="R31" s="110"/>
      <c r="S31" s="110"/>
      <c r="T31" s="294"/>
      <c r="U31" s="305"/>
      <c r="V31" s="295"/>
      <c r="W31" s="307"/>
      <c r="X31" s="295"/>
      <c r="Y31" s="294"/>
      <c r="Z31" s="296"/>
    </row>
    <row r="32" spans="2:26" ht="15" customHeight="1" x14ac:dyDescent="0.25">
      <c r="B32" s="210" t="s">
        <v>352</v>
      </c>
      <c r="C32" s="260"/>
      <c r="D32" s="260"/>
      <c r="E32" s="235"/>
      <c r="K32" s="292"/>
      <c r="L32" s="293"/>
      <c r="M32" s="293"/>
      <c r="N32" s="110"/>
      <c r="O32" s="302"/>
      <c r="P32" s="293"/>
      <c r="Q32" s="295"/>
      <c r="R32" s="110"/>
      <c r="S32" s="110"/>
      <c r="T32" s="294"/>
      <c r="U32" s="305"/>
      <c r="V32" s="295"/>
      <c r="W32" s="307"/>
      <c r="X32" s="295"/>
      <c r="Y32" s="294"/>
      <c r="Z32" s="296"/>
    </row>
    <row r="33" spans="2:26" ht="15" customHeight="1" x14ac:dyDescent="0.25">
      <c r="B33" s="210" t="s">
        <v>353</v>
      </c>
      <c r="C33" s="260"/>
      <c r="D33" s="260"/>
      <c r="E33" s="235"/>
      <c r="K33" s="292"/>
      <c r="L33" s="293"/>
      <c r="M33" s="293"/>
      <c r="N33" s="110"/>
      <c r="O33" s="302"/>
      <c r="P33" s="293"/>
      <c r="Q33" s="295"/>
      <c r="R33" s="110"/>
      <c r="S33" s="110"/>
      <c r="T33" s="294"/>
      <c r="U33" s="305"/>
      <c r="V33" s="295"/>
      <c r="W33" s="307"/>
      <c r="X33" s="295"/>
      <c r="Y33" s="294"/>
      <c r="Z33" s="296"/>
    </row>
    <row r="34" spans="2:26" ht="15" customHeight="1" x14ac:dyDescent="0.25">
      <c r="B34" s="211" t="s">
        <v>354</v>
      </c>
      <c r="C34" s="269" t="s">
        <v>369</v>
      </c>
      <c r="D34" s="269" t="s">
        <v>369</v>
      </c>
      <c r="E34" s="235" t="s">
        <v>362</v>
      </c>
      <c r="K34" s="292"/>
      <c r="L34" s="293"/>
      <c r="M34" s="293"/>
      <c r="N34" s="110"/>
      <c r="O34" s="302"/>
      <c r="P34" s="293"/>
      <c r="Q34" s="295"/>
      <c r="R34" s="110"/>
      <c r="S34" s="110"/>
      <c r="T34" s="294"/>
      <c r="U34" s="305"/>
      <c r="V34" s="295"/>
      <c r="W34" s="307"/>
      <c r="X34" s="295"/>
      <c r="Y34" s="294"/>
      <c r="Z34" s="296"/>
    </row>
    <row r="35" spans="2:26" ht="15" customHeight="1" x14ac:dyDescent="0.25">
      <c r="K35" s="292"/>
      <c r="L35" s="293"/>
      <c r="M35" s="293"/>
      <c r="N35" s="110"/>
      <c r="O35" s="302"/>
      <c r="P35" s="293"/>
      <c r="Q35" s="295"/>
      <c r="R35" s="110"/>
      <c r="S35" s="110"/>
      <c r="T35" s="294"/>
      <c r="U35" s="305"/>
      <c r="V35" s="295"/>
      <c r="W35" s="307"/>
      <c r="X35" s="295"/>
      <c r="Y35" s="294"/>
      <c r="Z35" s="296"/>
    </row>
    <row r="36" spans="2:26" ht="15" customHeight="1" x14ac:dyDescent="0.25">
      <c r="K36" s="292"/>
      <c r="L36" s="293"/>
      <c r="M36" s="293"/>
      <c r="N36" s="110"/>
      <c r="O36" s="302"/>
      <c r="P36" s="293"/>
      <c r="Q36" s="295"/>
      <c r="R36" s="110"/>
      <c r="S36" s="110"/>
      <c r="T36" s="294"/>
      <c r="U36" s="305"/>
      <c r="V36" s="295"/>
      <c r="W36" s="307"/>
      <c r="X36" s="295"/>
      <c r="Y36" s="294"/>
      <c r="Z36" s="296"/>
    </row>
    <row r="37" spans="2:26" ht="15" customHeight="1" x14ac:dyDescent="0.25">
      <c r="B37" s="274" t="s">
        <v>367</v>
      </c>
      <c r="F37" s="274" t="s">
        <v>371</v>
      </c>
      <c r="K37" s="292"/>
      <c r="L37" s="293"/>
      <c r="M37" s="293"/>
      <c r="N37" s="110"/>
      <c r="O37" s="302"/>
      <c r="P37" s="293"/>
      <c r="Q37" s="295"/>
      <c r="R37" s="110"/>
      <c r="S37" s="110"/>
      <c r="T37" s="294"/>
      <c r="U37" s="305"/>
      <c r="V37" s="295"/>
      <c r="W37" s="307"/>
      <c r="X37" s="295"/>
      <c r="Y37" s="294"/>
      <c r="Z37" s="296"/>
    </row>
    <row r="38" spans="2:26" s="107" customFormat="1" ht="15" customHeight="1" x14ac:dyDescent="0.25">
      <c r="B38" s="278" t="s">
        <v>366</v>
      </c>
      <c r="C38" s="281" t="str">
        <f ca="1">_xll.meLWOSwapCreate("SWAP",B3:D34,FALSE)</f>
        <v>SWAP@3:7</v>
      </c>
      <c r="D38" s="276"/>
      <c r="K38" s="292"/>
      <c r="L38" s="293"/>
      <c r="M38" s="293"/>
      <c r="N38" s="110"/>
      <c r="O38" s="302"/>
      <c r="P38" s="293"/>
      <c r="Q38" s="295"/>
      <c r="R38" s="110"/>
      <c r="S38" s="110"/>
      <c r="T38" s="294"/>
      <c r="U38" s="305"/>
      <c r="V38" s="295"/>
      <c r="W38" s="307"/>
      <c r="X38" s="295"/>
      <c r="Y38" s="294"/>
      <c r="Z38" s="296"/>
    </row>
    <row r="39" spans="2:26" ht="15" customHeight="1" x14ac:dyDescent="0.25">
      <c r="B39" s="280" t="s">
        <v>80</v>
      </c>
      <c r="C39" s="282" t="str">
        <f>TenorBasisCurve3M6M.CollectionName</f>
        <v>EURYC</v>
      </c>
      <c r="D39" s="77"/>
      <c r="K39" s="292"/>
      <c r="L39" s="293"/>
      <c r="M39" s="293"/>
      <c r="N39" s="110"/>
      <c r="O39" s="302"/>
      <c r="P39" s="293"/>
      <c r="Q39" s="295"/>
      <c r="R39" s="110"/>
      <c r="S39" s="110"/>
      <c r="T39" s="294"/>
      <c r="U39" s="305"/>
      <c r="V39" s="295"/>
      <c r="W39" s="307"/>
      <c r="X39" s="295"/>
      <c r="Y39" s="294"/>
      <c r="Z39" s="296"/>
    </row>
    <row r="40" spans="2:26" ht="15" customHeight="1" x14ac:dyDescent="0.25">
      <c r="B40" s="313" t="s">
        <v>356</v>
      </c>
      <c r="C40" s="314" t="str">
        <f ca="1">'FIXING TABLE'!F2</f>
        <v>EUR6M_FIXINGS@1:3</v>
      </c>
      <c r="D40" s="315"/>
      <c r="K40" s="292"/>
      <c r="L40" s="293"/>
      <c r="M40" s="293"/>
      <c r="N40" s="110"/>
      <c r="O40" s="302"/>
      <c r="P40" s="293"/>
      <c r="Q40" s="295"/>
      <c r="R40" s="110"/>
      <c r="S40" s="110"/>
      <c r="T40" s="294"/>
      <c r="U40" s="305"/>
      <c r="V40" s="295"/>
      <c r="W40" s="307"/>
      <c r="X40" s="295"/>
      <c r="Y40" s="294"/>
      <c r="Z40" s="296"/>
    </row>
    <row r="41" spans="2:26" s="107" customFormat="1" ht="15" customHeight="1" x14ac:dyDescent="0.25">
      <c r="C41" s="275"/>
      <c r="K41" s="292"/>
      <c r="L41" s="293"/>
      <c r="M41" s="293"/>
      <c r="N41" s="110"/>
      <c r="O41" s="302"/>
      <c r="P41" s="293"/>
      <c r="Q41" s="295"/>
      <c r="R41" s="110"/>
      <c r="S41" s="110"/>
      <c r="T41" s="294"/>
      <c r="U41" s="305"/>
      <c r="V41" s="295"/>
      <c r="W41" s="307"/>
      <c r="X41" s="295"/>
      <c r="Y41" s="294"/>
      <c r="Z41" s="296"/>
    </row>
    <row r="42" spans="2:26" s="107" customFormat="1" ht="15" customHeight="1" x14ac:dyDescent="0.25">
      <c r="B42" s="274" t="s">
        <v>355</v>
      </c>
      <c r="C42" s="275"/>
      <c r="K42" s="292"/>
      <c r="L42" s="293"/>
      <c r="M42" s="293"/>
      <c r="N42" s="110"/>
      <c r="O42" s="302"/>
      <c r="P42" s="293"/>
      <c r="Q42" s="295"/>
      <c r="R42" s="110"/>
      <c r="S42" s="110"/>
      <c r="T42" s="294"/>
      <c r="U42" s="305"/>
      <c r="V42" s="295"/>
      <c r="W42" s="307"/>
      <c r="X42" s="295"/>
      <c r="Y42" s="294"/>
      <c r="Z42" s="296"/>
    </row>
    <row r="43" spans="2:26" ht="15" customHeight="1" x14ac:dyDescent="0.25">
      <c r="B43" s="278" t="s">
        <v>314</v>
      </c>
      <c r="C43" s="283">
        <f ca="1">_xll.meLWOSwapPV(C38,C39,,C40)</f>
        <v>-50944.448956969267</v>
      </c>
      <c r="D43" s="276"/>
      <c r="K43" s="292"/>
      <c r="L43" s="293"/>
      <c r="M43" s="293"/>
      <c r="N43" s="110"/>
      <c r="O43" s="302"/>
      <c r="P43" s="293"/>
      <c r="Q43" s="295"/>
      <c r="R43" s="110"/>
      <c r="S43" s="110"/>
      <c r="T43" s="294"/>
      <c r="U43" s="305"/>
      <c r="V43" s="295"/>
      <c r="W43" s="307"/>
      <c r="X43" s="295"/>
      <c r="Y43" s="294"/>
      <c r="Z43" s="296"/>
    </row>
    <row r="44" spans="2:26" ht="15" customHeight="1" x14ac:dyDescent="0.25">
      <c r="B44" s="280" t="s">
        <v>365</v>
      </c>
      <c r="C44" s="284">
        <f ca="1">_xll.meLWOSwapParRate(C38,C39,C40)</f>
        <v>-8.922373378707835E-5</v>
      </c>
      <c r="D44" s="77"/>
      <c r="K44" s="292"/>
      <c r="L44" s="293"/>
      <c r="M44" s="293"/>
      <c r="N44" s="110"/>
      <c r="O44" s="302"/>
      <c r="P44" s="293"/>
      <c r="Q44" s="295"/>
      <c r="R44" s="110"/>
      <c r="S44" s="110"/>
      <c r="T44" s="294"/>
      <c r="U44" s="305"/>
      <c r="V44" s="295"/>
      <c r="W44" s="307"/>
      <c r="X44" s="295"/>
      <c r="Y44" s="294"/>
      <c r="Z44" s="296"/>
    </row>
    <row r="45" spans="2:26" ht="15" customHeight="1" x14ac:dyDescent="0.25">
      <c r="B45" s="279" t="s">
        <v>171</v>
      </c>
      <c r="C45" s="285">
        <f ca="1">_xll.meLWOSwapPV01(C38,C39)</f>
        <v>504.93923319754583</v>
      </c>
      <c r="D45" s="277"/>
      <c r="K45" s="297"/>
      <c r="L45" s="298"/>
      <c r="M45" s="298"/>
      <c r="N45" s="112"/>
      <c r="O45" s="303"/>
      <c r="P45" s="298"/>
      <c r="Q45" s="300"/>
      <c r="R45" s="112"/>
      <c r="S45" s="112"/>
      <c r="T45" s="299"/>
      <c r="U45" s="306"/>
      <c r="V45" s="300"/>
      <c r="W45" s="308"/>
      <c r="X45" s="300"/>
      <c r="Y45" s="299"/>
      <c r="Z45" s="301"/>
    </row>
  </sheetData>
  <dataValidations count="9">
    <dataValidation type="list" allowBlank="1" showInputMessage="1" showErrorMessage="1" sqref="C18">
      <formula1>"NATURAL,1D,1M,3M,6M,12M"</formula1>
    </dataValidation>
    <dataValidation type="list" allowBlank="1" showInputMessage="1" showErrorMessage="1" sqref="C6:D6">
      <formula1>"PAY,RECEIVE"</formula1>
    </dataValidation>
    <dataValidation type="list" allowBlank="1" showInputMessage="1" showErrorMessage="1" sqref="C5:D5">
      <formula1>"NONE,START,END,START_AND_END"</formula1>
    </dataValidation>
    <dataValidation type="list" allowBlank="1" showInputMessage="1" showErrorMessage="1" sqref="C10:D10">
      <formula1>"Annual,Semi-Annual,Quarterly,Monthly"</formula1>
    </dataValidation>
    <dataValidation type="list" allowBlank="1" showInputMessage="1" showErrorMessage="1" sqref="C22:D22">
      <formula1>"30/360,ACT/360,ACT/365"</formula1>
    </dataValidation>
    <dataValidation type="list" allowBlank="1" showInputMessage="1" showErrorMessage="1" sqref="C34:D34">
      <formula1>"None,ShortStart,ShortEnd,LongStart,LongEnd"</formula1>
    </dataValidation>
    <dataValidation type="list" allowBlank="1" showInputMessage="1" showErrorMessage="1" sqref="C27:D27 D23 C25:D25">
      <formula1>"MOD_FOLLOWING,FOLLOWING,MOD_PRECEDING,PRECEDING,NO_CHANGE"</formula1>
    </dataValidation>
    <dataValidation type="list" allowBlank="1" showInputMessage="1" showErrorMessage="1" sqref="C26:D26 D24 C28:D28">
      <formula1>"TGT,NYB:LNB,LNB,TKB:LNB"</formula1>
    </dataValidation>
    <dataValidation type="list" allowBlank="1" showInputMessage="1" showErrorMessage="1" sqref="D17:D18">
      <formula1>"NATURAL,EUR3ML,EUR6ML"</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47</vt:i4>
      </vt:variant>
    </vt:vector>
  </HeadingPairs>
  <TitlesOfParts>
    <vt:vector size="53" baseType="lpstr">
      <vt:lpstr>Settings</vt:lpstr>
      <vt:lpstr>EUR OIS</vt:lpstr>
      <vt:lpstr>EUR SWAP 3ML</vt:lpstr>
      <vt:lpstr>EUR BASIS 6ML</vt:lpstr>
      <vt:lpstr>FIXING TABLE</vt:lpstr>
      <vt:lpstr>SWAP PRICING</vt:lpstr>
      <vt:lpstr>ApplyTension</vt:lpstr>
      <vt:lpstr>CalcMode</vt:lpstr>
      <vt:lpstr>COB</vt:lpstr>
      <vt:lpstr>Curve.BuildProperties</vt:lpstr>
      <vt:lpstr>Curve.CollectionName</vt:lpstr>
      <vt:lpstr>Curve.MarketDataTable</vt:lpstr>
      <vt:lpstr>Curve.OISIndexName</vt:lpstr>
      <vt:lpstr>FRA.Conventions</vt:lpstr>
      <vt:lpstr>FRA.MarketDataX3</vt:lpstr>
      <vt:lpstr>FRA.MarketDataX6</vt:lpstr>
      <vt:lpstr>Futures.Conventions</vt:lpstr>
      <vt:lpstr>Futures.MarketData</vt:lpstr>
      <vt:lpstr>'EUR BASIS 6ML'!Info</vt:lpstr>
      <vt:lpstr>'EUR OIS'!Info</vt:lpstr>
      <vt:lpstr>'EUR SWAP 3ML'!Info</vt:lpstr>
      <vt:lpstr>Interpolation</vt:lpstr>
      <vt:lpstr>interpolationFunction</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TenorBasisCurve.EUR3ML.ForwardStarting</vt:lpstr>
      <vt:lpstr>TenorBasisCurve3M6M.CollectionName</vt:lpstr>
      <vt:lpstr>TenorBasisCurve3M6M.IndexName</vt:lpstr>
      <vt:lpstr>TenorBasisCurve3M6M.StaticDataTable</vt:lpstr>
      <vt:lpstr>TenorBasisCurve6M6M.BuildProperties</vt:lpstr>
      <vt:lpstr>TenorBasisSwap3M6M.Conventions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2016-12-29T15:59:03Z</dcterms:modified>
</cp:coreProperties>
</file>