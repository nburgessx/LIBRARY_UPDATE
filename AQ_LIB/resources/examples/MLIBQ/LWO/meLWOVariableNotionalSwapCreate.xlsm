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90" windowWidth="20700" windowHeight="11760" tabRatio="703" activeTab="8"/>
  </bookViews>
  <sheets>
    <sheet name="Settings" sheetId="26" r:id="rId1"/>
    <sheet name="EUR OIS" sheetId="2" r:id="rId2"/>
    <sheet name="EUR SWAP 6ML" sheetId="3" r:id="rId3"/>
    <sheet name="EUR BASIS 3ML" sheetId="4" r:id="rId4"/>
    <sheet name="Create Schedule" sheetId="27" r:id="rId5"/>
    <sheet name="Display Schedule" sheetId="29" r:id="rId6"/>
    <sheet name="Custom Fixed Schedule" sheetId="31" r:id="rId7"/>
    <sheet name="Custom Float Schedule" sheetId="33" r:id="rId8"/>
    <sheet name="VariableNotionalSwap" sheetId="28" r:id="rId9"/>
  </sheets>
  <functionGroups builtInGroupCount="17"/>
  <definedNames>
    <definedName name="COB">Settings!$C$3</definedName>
    <definedName name="Curve.BuildProperties">'EUR OIS'!$C$20:$D$24</definedName>
    <definedName name="Curve.CollectionName">'EUR OIS'!$D$11</definedName>
    <definedName name="Curve.MarketDataTable">'EUR OIS'!$D$12</definedName>
    <definedName name="Curve.OISIndexName">'EUR OIS'!$D$13</definedName>
    <definedName name="CustomFixedSchedule">'Custom Fixed Schedule'!$C$6</definedName>
    <definedName name="CustomFloatSchedule">'Custom Float Schedule'!$C$6</definedName>
    <definedName name="FixedSchedule1">'Create Schedule'!$C$7</definedName>
    <definedName name="FloatSchedule1">'Create Schedule'!$F$7</definedName>
    <definedName name="FRA.Conventions">'EUR SWAP 6ML'!$C$51:$D$64</definedName>
    <definedName name="FRA.MarketDataX3">'EUR SWAP 6ML'!$F$52:$G$64</definedName>
    <definedName name="FRA.MarketDataX6">'EUR SWAP 6ML'!$I$52:$J$64</definedName>
    <definedName name="Futures.Conventions">'EUR SWAP 6ML'!$C$72:$D$85</definedName>
    <definedName name="Futures.MarketData">'EUR SWAP 6ML'!$F$73:$J$85</definedName>
    <definedName name="isEUR3MLLoaded">'EUR BASIS 3ML'!$E$8</definedName>
    <definedName name="isEUR6MLLoaded">'EUR SWAP 6ML'!$D$9</definedName>
    <definedName name="isEUROISLoaded">'EUR OIS'!$D$8</definedName>
    <definedName name="Libor.Conventions">'EUR SWAP 6ML'!$F$38:$G$43</definedName>
    <definedName name="Libor.MarketData">'EUR SWAP 6ML'!$I$39:$J$43</definedName>
    <definedName name="LiborOISBasis.Conventions">'EUR OIS'!$C$64:$D$89</definedName>
    <definedName name="LiborOISBasis.MarketData">'EUR OIS'!$F$65:$G$89</definedName>
    <definedName name="LiborSwap.Conventions">'EUR OIS'!$I$64:$J$89</definedName>
    <definedName name="LiborSwap.MarketData">'EUR OIS'!$L$65:$M$89</definedName>
    <definedName name="MoneyMarket.Conventions">'EUR SWAP 6ML'!$C$38:$D$43</definedName>
    <definedName name="OIS.Conventions">'EUR OIS'!$C$31:$D$57</definedName>
    <definedName name="OIS.FixingTable">'EUR OIS'!$L$32:$M$57</definedName>
    <definedName name="OIS.MarketData">'EUR OIS'!$F$32:$J$57</definedName>
    <definedName name="STDCurve.Buildproperties">'EUR SWAP 6ML'!$C$22:$D$31</definedName>
    <definedName name="STDCurve.CollectionName">'EUR SWAP 6ML'!$D$13</definedName>
    <definedName name="STDCurve.IndexName">'EUR SWAP 6ML'!$D$15</definedName>
    <definedName name="STDCurve.StaticDataTable">'EUR SWAP 6ML'!$D$14</definedName>
    <definedName name="Swap.Conventions">'EUR SWAP 6ML'!$C$93:$D$111</definedName>
    <definedName name="Swap.MarketData">'EUR SWAP 6ML'!$F$94:$H$111</definedName>
    <definedName name="TenorBasisCurve3M6M.BuildProperties">'EUR BASIS 3ML'!$D$21:$E$31</definedName>
    <definedName name="TenorBasisCurve3M6M.CollectionName">'EUR BASIS 3ML'!$E$12</definedName>
    <definedName name="TenorBasisCurve3M6M.IndexName">'EUR BASIS 3ML'!$E$14</definedName>
    <definedName name="TenorBasisCurve3M6M.StaticDataTable">'EUR BASIS 3ML'!$E$13</definedName>
    <definedName name="TenorBasisSwap3M6M.Conventions">'EUR BASIS 3ML'!$D$38:$E$80</definedName>
    <definedName name="TenorBasisSwap3M6M.MarketData">'EUR BASIS 3ML'!$G$39:$H$80</definedName>
    <definedName name="VanillaIRS">#REF!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E11" i="28" l="1" a="1"/>
  <c r="E11" i="28"/>
  <c r="F11" i="28"/>
  <c r="G11" i="28"/>
  <c r="H11" i="28"/>
  <c r="I11" i="28"/>
  <c r="J11" i="28"/>
  <c r="K11" i="28"/>
  <c r="L11" i="28"/>
  <c r="M11" i="28"/>
  <c r="N11" i="28"/>
  <c r="O11" i="28"/>
  <c r="P11" i="28"/>
  <c r="Q11" i="28"/>
  <c r="R11" i="28"/>
  <c r="S11" i="28"/>
  <c r="E12" i="28"/>
  <c r="F12" i="28"/>
  <c r="G12" i="28"/>
  <c r="H12" i="28"/>
  <c r="I12" i="28"/>
  <c r="J12" i="28"/>
  <c r="K12" i="28"/>
  <c r="L12" i="28"/>
  <c r="M12" i="28"/>
  <c r="N12" i="28"/>
  <c r="O12" i="28"/>
  <c r="P12" i="28"/>
  <c r="Q12" i="28"/>
  <c r="R12" i="28"/>
  <c r="S12" i="28"/>
  <c r="E13" i="28"/>
  <c r="F13" i="28"/>
  <c r="G13" i="28"/>
  <c r="H13" i="28"/>
  <c r="I13" i="28"/>
  <c r="J13" i="28"/>
  <c r="K13" i="28"/>
  <c r="L13" i="28"/>
  <c r="M13" i="28"/>
  <c r="N13" i="28"/>
  <c r="O13" i="28"/>
  <c r="P13" i="28"/>
  <c r="Q13" i="28"/>
  <c r="R13" i="28"/>
  <c r="S13" i="28"/>
  <c r="E14" i="28"/>
  <c r="F14" i="28"/>
  <c r="G14" i="28"/>
  <c r="H14" i="28"/>
  <c r="I14" i="28"/>
  <c r="J14" i="28"/>
  <c r="K14" i="28"/>
  <c r="L14" i="28"/>
  <c r="M14" i="28"/>
  <c r="N14" i="28"/>
  <c r="O14" i="28"/>
  <c r="P14" i="28"/>
  <c r="Q14" i="28"/>
  <c r="R14" i="28"/>
  <c r="S14" i="28"/>
  <c r="E15" i="28"/>
  <c r="F15" i="28"/>
  <c r="G15" i="28"/>
  <c r="H15" i="28"/>
  <c r="I15" i="28"/>
  <c r="J15" i="28"/>
  <c r="K15" i="28"/>
  <c r="L15" i="28"/>
  <c r="M15" i="28"/>
  <c r="N15" i="28"/>
  <c r="O15" i="28"/>
  <c r="P15" i="28"/>
  <c r="Q15" i="28"/>
  <c r="R15" i="28"/>
  <c r="S15" i="28"/>
  <c r="E16" i="28"/>
  <c r="F16" i="28"/>
  <c r="G16" i="28"/>
  <c r="H16" i="28"/>
  <c r="I16" i="28"/>
  <c r="J16" i="28"/>
  <c r="K16" i="28"/>
  <c r="L16" i="28"/>
  <c r="M16" i="28"/>
  <c r="N16" i="28"/>
  <c r="O16" i="28"/>
  <c r="P16" i="28"/>
  <c r="Q16" i="28"/>
  <c r="R16" i="28"/>
  <c r="S16" i="28"/>
  <c r="E17" i="28"/>
  <c r="F17" i="28"/>
  <c r="G17" i="28"/>
  <c r="H17" i="28"/>
  <c r="I17" i="28"/>
  <c r="J17" i="28"/>
  <c r="K17" i="28"/>
  <c r="L17" i="28"/>
  <c r="M17" i="28"/>
  <c r="N17" i="28"/>
  <c r="O17" i="28"/>
  <c r="P17" i="28"/>
  <c r="Q17" i="28"/>
  <c r="R17" i="28"/>
  <c r="S17" i="28"/>
  <c r="E18" i="28"/>
  <c r="F18" i="28"/>
  <c r="G18" i="28"/>
  <c r="H18" i="28"/>
  <c r="I18" i="28"/>
  <c r="J18" i="28"/>
  <c r="K18" i="28"/>
  <c r="L18" i="28"/>
  <c r="M18" i="28"/>
  <c r="N18" i="28"/>
  <c r="O18" i="28"/>
  <c r="P18" i="28"/>
  <c r="Q18" i="28"/>
  <c r="R18" i="28"/>
  <c r="S18" i="28"/>
  <c r="E19" i="28"/>
  <c r="F19" i="28"/>
  <c r="G19" i="28"/>
  <c r="H19" i="28"/>
  <c r="I19" i="28"/>
  <c r="J19" i="28"/>
  <c r="K19" i="28"/>
  <c r="L19" i="28"/>
  <c r="M19" i="28"/>
  <c r="N19" i="28"/>
  <c r="O19" i="28"/>
  <c r="P19" i="28"/>
  <c r="Q19" i="28"/>
  <c r="R19" i="28"/>
  <c r="S19" i="28"/>
  <c r="E20" i="28"/>
  <c r="F20" i="28"/>
  <c r="G20" i="28"/>
  <c r="H20" i="28"/>
  <c r="I20" i="28"/>
  <c r="J20" i="28"/>
  <c r="K20" i="28"/>
  <c r="L20" i="28"/>
  <c r="M20" i="28"/>
  <c r="N20" i="28"/>
  <c r="O20" i="28"/>
  <c r="P20" i="28"/>
  <c r="Q20" i="28"/>
  <c r="R20" i="28"/>
  <c r="S20" i="28"/>
  <c r="E21" i="28"/>
  <c r="F21" i="28"/>
  <c r="G21" i="28"/>
  <c r="H21" i="28"/>
  <c r="I21" i="28"/>
  <c r="J21" i="28"/>
  <c r="K21" i="28"/>
  <c r="L21" i="28"/>
  <c r="M21" i="28"/>
  <c r="N21" i="28"/>
  <c r="O21" i="28"/>
  <c r="P21" i="28"/>
  <c r="Q21" i="28"/>
  <c r="R21" i="28"/>
  <c r="S21" i="28"/>
  <c r="E22" i="28"/>
  <c r="F22" i="28"/>
  <c r="G22" i="28"/>
  <c r="H22" i="28"/>
  <c r="I22" i="28"/>
  <c r="J22" i="28"/>
  <c r="K22" i="28"/>
  <c r="L22" i="28"/>
  <c r="M22" i="28"/>
  <c r="N22" i="28"/>
  <c r="O22" i="28"/>
  <c r="P22" i="28"/>
  <c r="Q22" i="28"/>
  <c r="R22" i="28"/>
  <c r="S22" i="28"/>
  <c r="E23" i="28"/>
  <c r="F23" i="28"/>
  <c r="G23" i="28"/>
  <c r="H23" i="28"/>
  <c r="I23" i="28"/>
  <c r="J23" i="28"/>
  <c r="K23" i="28"/>
  <c r="L23" i="28"/>
  <c r="M23" i="28"/>
  <c r="N23" i="28"/>
  <c r="O23" i="28"/>
  <c r="P23" i="28"/>
  <c r="Q23" i="28"/>
  <c r="R23" i="28"/>
  <c r="S23" i="28"/>
  <c r="E27" i="28" a="1"/>
  <c r="E27" i="28"/>
  <c r="F27" i="28"/>
  <c r="G27" i="28"/>
  <c r="H27" i="28"/>
  <c r="I27" i="28"/>
  <c r="J27" i="28"/>
  <c r="K27" i="28"/>
  <c r="L27" i="28"/>
  <c r="M27" i="28"/>
  <c r="N27" i="28"/>
  <c r="O27" i="28"/>
  <c r="P27" i="28"/>
  <c r="Q27" i="28"/>
  <c r="R27" i="28"/>
  <c r="S27" i="28"/>
  <c r="E28" i="28"/>
  <c r="F28" i="28"/>
  <c r="G28" i="28"/>
  <c r="H28" i="28"/>
  <c r="I28" i="28"/>
  <c r="J28" i="28"/>
  <c r="K28" i="28"/>
  <c r="L28" i="28"/>
  <c r="M28" i="28"/>
  <c r="N28" i="28"/>
  <c r="O28" i="28"/>
  <c r="P28" i="28"/>
  <c r="Q28" i="28"/>
  <c r="R28" i="28"/>
  <c r="S28" i="28"/>
  <c r="E29" i="28"/>
  <c r="F29" i="28"/>
  <c r="G29" i="28"/>
  <c r="H29" i="28"/>
  <c r="I29" i="28"/>
  <c r="J29" i="28"/>
  <c r="K29" i="28"/>
  <c r="L29" i="28"/>
  <c r="M29" i="28"/>
  <c r="N29" i="28"/>
  <c r="O29" i="28"/>
  <c r="P29" i="28"/>
  <c r="Q29" i="28"/>
  <c r="R29" i="28"/>
  <c r="S29" i="28"/>
  <c r="E30" i="28"/>
  <c r="F30" i="28"/>
  <c r="G30" i="28"/>
  <c r="H30" i="28"/>
  <c r="I30" i="28"/>
  <c r="J30" i="28"/>
  <c r="K30" i="28"/>
  <c r="L30" i="28"/>
  <c r="M30" i="28"/>
  <c r="N30" i="28"/>
  <c r="O30" i="28"/>
  <c r="P30" i="28"/>
  <c r="Q30" i="28"/>
  <c r="R30" i="28"/>
  <c r="S30" i="28"/>
  <c r="E31" i="28"/>
  <c r="F31" i="28"/>
  <c r="G31" i="28"/>
  <c r="H31" i="28"/>
  <c r="I31" i="28"/>
  <c r="J31" i="28"/>
  <c r="K31" i="28"/>
  <c r="L31" i="28"/>
  <c r="M31" i="28"/>
  <c r="N31" i="28"/>
  <c r="O31" i="28"/>
  <c r="P31" i="28"/>
  <c r="Q31" i="28"/>
  <c r="R31" i="28"/>
  <c r="S31" i="28"/>
  <c r="E32" i="28"/>
  <c r="F32" i="28"/>
  <c r="G32" i="28"/>
  <c r="H32" i="28"/>
  <c r="I32" i="28"/>
  <c r="J32" i="28"/>
  <c r="K32" i="28"/>
  <c r="L32" i="28"/>
  <c r="M32" i="28"/>
  <c r="N32" i="28"/>
  <c r="O32" i="28"/>
  <c r="P32" i="28"/>
  <c r="Q32" i="28"/>
  <c r="R32" i="28"/>
  <c r="S32" i="28"/>
  <c r="E33" i="28"/>
  <c r="F33" i="28"/>
  <c r="G33" i="28"/>
  <c r="H33" i="28"/>
  <c r="I33" i="28"/>
  <c r="J33" i="28"/>
  <c r="K33" i="28"/>
  <c r="L33" i="28"/>
  <c r="M33" i="28"/>
  <c r="N33" i="28"/>
  <c r="O33" i="28"/>
  <c r="P33" i="28"/>
  <c r="Q33" i="28"/>
  <c r="R33" i="28"/>
  <c r="S33" i="28"/>
  <c r="E34" i="28"/>
  <c r="F34" i="28"/>
  <c r="G34" i="28"/>
  <c r="H34" i="28"/>
  <c r="I34" i="28"/>
  <c r="J34" i="28"/>
  <c r="K34" i="28"/>
  <c r="L34" i="28"/>
  <c r="M34" i="28"/>
  <c r="N34" i="28"/>
  <c r="O34" i="28"/>
  <c r="P34" i="28"/>
  <c r="Q34" i="28"/>
  <c r="R34" i="28"/>
  <c r="S34" i="28"/>
  <c r="E35" i="28"/>
  <c r="F35" i="28"/>
  <c r="G35" i="28"/>
  <c r="H35" i="28"/>
  <c r="I35" i="28"/>
  <c r="J35" i="28"/>
  <c r="K35" i="28"/>
  <c r="L35" i="28"/>
  <c r="M35" i="28"/>
  <c r="N35" i="28"/>
  <c r="O35" i="28"/>
  <c r="P35" i="28"/>
  <c r="Q35" i="28"/>
  <c r="R35" i="28"/>
  <c r="S35" i="28"/>
  <c r="E36" i="28"/>
  <c r="F36" i="28"/>
  <c r="G36" i="28"/>
  <c r="H36" i="28"/>
  <c r="I36" i="28"/>
  <c r="J36" i="28"/>
  <c r="K36" i="28"/>
  <c r="L36" i="28"/>
  <c r="M36" i="28"/>
  <c r="N36" i="28"/>
  <c r="O36" i="28"/>
  <c r="P36" i="28"/>
  <c r="Q36" i="28"/>
  <c r="R36" i="28"/>
  <c r="S36" i="28"/>
  <c r="E37" i="28"/>
  <c r="F37" i="28"/>
  <c r="G37" i="28"/>
  <c r="H37" i="28"/>
  <c r="I37" i="28"/>
  <c r="J37" i="28"/>
  <c r="K37" i="28"/>
  <c r="L37" i="28"/>
  <c r="M37" i="28"/>
  <c r="N37" i="28"/>
  <c r="O37" i="28"/>
  <c r="P37" i="28"/>
  <c r="Q37" i="28"/>
  <c r="R37" i="28"/>
  <c r="S37" i="28"/>
  <c r="E38" i="28"/>
  <c r="F38" i="28"/>
  <c r="G38" i="28"/>
  <c r="H38" i="28"/>
  <c r="I38" i="28"/>
  <c r="J38" i="28"/>
  <c r="K38" i="28"/>
  <c r="L38" i="28"/>
  <c r="M38" i="28"/>
  <c r="N38" i="28"/>
  <c r="O38" i="28"/>
  <c r="P38" i="28"/>
  <c r="Q38" i="28"/>
  <c r="R38" i="28"/>
  <c r="S38" i="28"/>
  <c r="E39" i="28"/>
  <c r="F39" i="28"/>
  <c r="G39" i="28"/>
  <c r="H39" i="28"/>
  <c r="I39" i="28"/>
  <c r="J39" i="28"/>
  <c r="K39" i="28"/>
  <c r="L39" i="28"/>
  <c r="M39" i="28"/>
  <c r="N39" i="28"/>
  <c r="O39" i="28"/>
  <c r="P39" i="28"/>
  <c r="Q39" i="28"/>
  <c r="R39" i="28"/>
  <c r="S39" i="28"/>
  <c r="B36" i="33" a="1"/>
  <c r="B36" i="33"/>
  <c r="C36" i="33"/>
  <c r="D36" i="33"/>
  <c r="E36" i="33"/>
  <c r="F36" i="33"/>
  <c r="G36" i="33"/>
  <c r="H36" i="33"/>
  <c r="I36" i="33"/>
  <c r="J36" i="33"/>
  <c r="K36" i="33"/>
  <c r="L36" i="33"/>
  <c r="M36" i="33"/>
  <c r="B37" i="33"/>
  <c r="C37" i="33"/>
  <c r="D37" i="33"/>
  <c r="E37" i="33"/>
  <c r="F37" i="33"/>
  <c r="G37" i="33"/>
  <c r="H37" i="33"/>
  <c r="I37" i="33"/>
  <c r="J37" i="33"/>
  <c r="K37" i="33"/>
  <c r="L37" i="33"/>
  <c r="M37" i="33"/>
  <c r="B38" i="33"/>
  <c r="C38" i="33"/>
  <c r="D38" i="33"/>
  <c r="E38" i="33"/>
  <c r="F38" i="33"/>
  <c r="G38" i="33"/>
  <c r="H38" i="33"/>
  <c r="I38" i="33"/>
  <c r="J38" i="33"/>
  <c r="K38" i="33"/>
  <c r="L38" i="33"/>
  <c r="M38" i="33"/>
  <c r="B39" i="33"/>
  <c r="C39" i="33"/>
  <c r="D39" i="33"/>
  <c r="E39" i="33"/>
  <c r="F39" i="33"/>
  <c r="G39" i="33"/>
  <c r="H39" i="33"/>
  <c r="I39" i="33"/>
  <c r="J39" i="33"/>
  <c r="K39" i="33"/>
  <c r="L39" i="33"/>
  <c r="M39" i="33"/>
  <c r="B40" i="33"/>
  <c r="C40" i="33"/>
  <c r="D40" i="33"/>
  <c r="E40" i="33"/>
  <c r="F40" i="33"/>
  <c r="G40" i="33"/>
  <c r="H40" i="33"/>
  <c r="I40" i="33"/>
  <c r="J40" i="33"/>
  <c r="K40" i="33"/>
  <c r="L40" i="33"/>
  <c r="M40" i="33"/>
  <c r="B41" i="33"/>
  <c r="C41" i="33"/>
  <c r="D41" i="33"/>
  <c r="E41" i="33"/>
  <c r="F41" i="33"/>
  <c r="G41" i="33"/>
  <c r="H41" i="33"/>
  <c r="I41" i="33"/>
  <c r="J41" i="33"/>
  <c r="K41" i="33"/>
  <c r="L41" i="33"/>
  <c r="M41" i="33"/>
  <c r="B42" i="33"/>
  <c r="C42" i="33"/>
  <c r="D42" i="33"/>
  <c r="E42" i="33"/>
  <c r="F42" i="33"/>
  <c r="G42" i="33"/>
  <c r="H42" i="33"/>
  <c r="I42" i="33"/>
  <c r="J42" i="33"/>
  <c r="K42" i="33"/>
  <c r="L42" i="33"/>
  <c r="M42" i="33"/>
  <c r="B43" i="33"/>
  <c r="C43" i="33"/>
  <c r="D43" i="33"/>
  <c r="E43" i="33"/>
  <c r="F43" i="33"/>
  <c r="G43" i="33"/>
  <c r="H43" i="33"/>
  <c r="I43" i="33"/>
  <c r="J43" i="33"/>
  <c r="K43" i="33"/>
  <c r="L43" i="33"/>
  <c r="M43" i="33"/>
  <c r="B44" i="33"/>
  <c r="C44" i="33"/>
  <c r="D44" i="33"/>
  <c r="E44" i="33"/>
  <c r="F44" i="33"/>
  <c r="G44" i="33"/>
  <c r="H44" i="33"/>
  <c r="I44" i="33"/>
  <c r="J44" i="33"/>
  <c r="K44" i="33"/>
  <c r="L44" i="33"/>
  <c r="M44" i="33"/>
  <c r="B45" i="33"/>
  <c r="C45" i="33"/>
  <c r="D45" i="33"/>
  <c r="E45" i="33"/>
  <c r="F45" i="33"/>
  <c r="G45" i="33"/>
  <c r="H45" i="33"/>
  <c r="I45" i="33"/>
  <c r="J45" i="33"/>
  <c r="K45" i="33"/>
  <c r="L45" i="33"/>
  <c r="M45" i="33"/>
  <c r="B46" i="33"/>
  <c r="C46" i="33"/>
  <c r="D46" i="33"/>
  <c r="E46" i="33"/>
  <c r="F46" i="33"/>
  <c r="G46" i="33"/>
  <c r="H46" i="33"/>
  <c r="I46" i="33"/>
  <c r="J46" i="33"/>
  <c r="K46" i="33"/>
  <c r="L46" i="33"/>
  <c r="M46" i="33"/>
  <c r="B47" i="33"/>
  <c r="C47" i="33"/>
  <c r="D47" i="33"/>
  <c r="E47" i="33"/>
  <c r="F47" i="33"/>
  <c r="G47" i="33"/>
  <c r="H47" i="33"/>
  <c r="I47" i="33"/>
  <c r="J47" i="33"/>
  <c r="K47" i="33"/>
  <c r="L47" i="33"/>
  <c r="M47" i="33"/>
  <c r="B48" i="33"/>
  <c r="C48" i="33"/>
  <c r="D48" i="33"/>
  <c r="E48" i="33"/>
  <c r="F48" i="33"/>
  <c r="G48" i="33"/>
  <c r="H48" i="33"/>
  <c r="I48" i="33"/>
  <c r="J48" i="33"/>
  <c r="K48" i="33"/>
  <c r="L48" i="33"/>
  <c r="M48" i="33"/>
  <c r="B49" i="33"/>
  <c r="C49" i="33"/>
  <c r="D49" i="33"/>
  <c r="E49" i="33"/>
  <c r="F49" i="33"/>
  <c r="G49" i="33"/>
  <c r="H49" i="33"/>
  <c r="I49" i="33"/>
  <c r="J49" i="33"/>
  <c r="K49" i="33"/>
  <c r="L49" i="33"/>
  <c r="M49" i="33"/>
  <c r="B22" i="29" l="1" a="1"/>
  <c r="B22" i="29"/>
  <c r="C22" i="29"/>
  <c r="D22" i="29"/>
  <c r="E22" i="29"/>
  <c r="F22" i="29"/>
  <c r="G22" i="29"/>
  <c r="H22" i="29"/>
  <c r="I22" i="29"/>
  <c r="J22" i="29"/>
  <c r="K22" i="29"/>
  <c r="L22" i="29"/>
  <c r="M22" i="29"/>
  <c r="N22" i="29"/>
  <c r="B23" i="29"/>
  <c r="C23" i="29"/>
  <c r="D23" i="29"/>
  <c r="E23" i="29"/>
  <c r="F23" i="29"/>
  <c r="G23" i="29"/>
  <c r="H23" i="29"/>
  <c r="I23" i="29"/>
  <c r="J23" i="29"/>
  <c r="K23" i="29"/>
  <c r="L23" i="29"/>
  <c r="M23" i="29"/>
  <c r="N23" i="29"/>
  <c r="B24" i="29"/>
  <c r="C24" i="29"/>
  <c r="D24" i="29"/>
  <c r="E24" i="29"/>
  <c r="F24" i="29"/>
  <c r="G24" i="29"/>
  <c r="H24" i="29"/>
  <c r="I24" i="29"/>
  <c r="J24" i="29"/>
  <c r="K24" i="29"/>
  <c r="L24" i="29"/>
  <c r="M24" i="29"/>
  <c r="N24" i="29"/>
  <c r="B25" i="29"/>
  <c r="C25" i="29"/>
  <c r="D25" i="29"/>
  <c r="E25" i="29"/>
  <c r="F25" i="29"/>
  <c r="G25" i="29"/>
  <c r="H25" i="29"/>
  <c r="I25" i="29"/>
  <c r="J25" i="29"/>
  <c r="K25" i="29"/>
  <c r="L25" i="29"/>
  <c r="M25" i="29"/>
  <c r="N25" i="29"/>
  <c r="B26" i="29"/>
  <c r="C26" i="29"/>
  <c r="D26" i="29"/>
  <c r="E26" i="29"/>
  <c r="F26" i="29"/>
  <c r="G26" i="29"/>
  <c r="H26" i="29"/>
  <c r="I26" i="29"/>
  <c r="J26" i="29"/>
  <c r="K26" i="29"/>
  <c r="L26" i="29"/>
  <c r="M26" i="29"/>
  <c r="N26" i="29"/>
  <c r="B27" i="29"/>
  <c r="C27" i="29"/>
  <c r="D27" i="29"/>
  <c r="E27" i="29"/>
  <c r="F27" i="29"/>
  <c r="G27" i="29"/>
  <c r="H27" i="29"/>
  <c r="I27" i="29"/>
  <c r="J27" i="29"/>
  <c r="K27" i="29"/>
  <c r="L27" i="29"/>
  <c r="M27" i="29"/>
  <c r="N27" i="29"/>
  <c r="B28" i="29"/>
  <c r="C28" i="29"/>
  <c r="D28" i="29"/>
  <c r="E28" i="29"/>
  <c r="F28" i="29"/>
  <c r="G28" i="29"/>
  <c r="H28" i="29"/>
  <c r="I28" i="29"/>
  <c r="J28" i="29"/>
  <c r="K28" i="29"/>
  <c r="L28" i="29"/>
  <c r="M28" i="29"/>
  <c r="N28" i="29"/>
  <c r="B29" i="29"/>
  <c r="C29" i="29"/>
  <c r="D29" i="29"/>
  <c r="E29" i="29"/>
  <c r="F29" i="29"/>
  <c r="G29" i="29"/>
  <c r="H29" i="29"/>
  <c r="I29" i="29"/>
  <c r="J29" i="29"/>
  <c r="K29" i="29"/>
  <c r="L29" i="29"/>
  <c r="M29" i="29"/>
  <c r="N29" i="29"/>
  <c r="B30" i="29"/>
  <c r="C30" i="29"/>
  <c r="D30" i="29"/>
  <c r="E30" i="29"/>
  <c r="F30" i="29"/>
  <c r="G30" i="29"/>
  <c r="H30" i="29"/>
  <c r="I30" i="29"/>
  <c r="J30" i="29"/>
  <c r="K30" i="29"/>
  <c r="L30" i="29"/>
  <c r="M30" i="29"/>
  <c r="N30" i="29"/>
  <c r="B31" i="29"/>
  <c r="C31" i="29"/>
  <c r="D31" i="29"/>
  <c r="E31" i="29"/>
  <c r="F31" i="29"/>
  <c r="G31" i="29"/>
  <c r="H31" i="29"/>
  <c r="I31" i="29"/>
  <c r="J31" i="29"/>
  <c r="K31" i="29"/>
  <c r="L31" i="29"/>
  <c r="M31" i="29"/>
  <c r="N31" i="29"/>
  <c r="B32" i="29"/>
  <c r="C32" i="29"/>
  <c r="D32" i="29"/>
  <c r="E32" i="29"/>
  <c r="F32" i="29"/>
  <c r="G32" i="29"/>
  <c r="H32" i="29"/>
  <c r="I32" i="29"/>
  <c r="J32" i="29"/>
  <c r="K32" i="29"/>
  <c r="L32" i="29"/>
  <c r="M32" i="29"/>
  <c r="N32" i="29"/>
  <c r="B33" i="29"/>
  <c r="C33" i="29"/>
  <c r="D33" i="29"/>
  <c r="E33" i="29"/>
  <c r="F33" i="29"/>
  <c r="G33" i="29"/>
  <c r="H33" i="29"/>
  <c r="I33" i="29"/>
  <c r="J33" i="29"/>
  <c r="K33" i="29"/>
  <c r="L33" i="29"/>
  <c r="M33" i="29"/>
  <c r="N33" i="29"/>
  <c r="B34" i="29"/>
  <c r="C34" i="29"/>
  <c r="D34" i="29"/>
  <c r="E34" i="29"/>
  <c r="F34" i="29"/>
  <c r="G34" i="29"/>
  <c r="H34" i="29"/>
  <c r="I34" i="29"/>
  <c r="J34" i="29"/>
  <c r="K34" i="29"/>
  <c r="L34" i="29"/>
  <c r="M34" i="29"/>
  <c r="N34" i="29"/>
  <c r="B6" i="29" a="1"/>
  <c r="B6" i="29"/>
  <c r="C6" i="29"/>
  <c r="D6" i="29"/>
  <c r="E6" i="29"/>
  <c r="F6" i="29"/>
  <c r="G6" i="29"/>
  <c r="H6" i="29"/>
  <c r="I6" i="29"/>
  <c r="J6" i="29"/>
  <c r="K6" i="29"/>
  <c r="L6" i="29"/>
  <c r="M6" i="29"/>
  <c r="N6" i="29"/>
  <c r="B7" i="29"/>
  <c r="C7" i="29"/>
  <c r="D7" i="29"/>
  <c r="E7" i="29"/>
  <c r="F7" i="29"/>
  <c r="G7" i="29"/>
  <c r="H7" i="29"/>
  <c r="I7" i="29"/>
  <c r="J7" i="29"/>
  <c r="K7" i="29"/>
  <c r="L7" i="29"/>
  <c r="M7" i="29"/>
  <c r="N7" i="29"/>
  <c r="B8" i="29"/>
  <c r="C8" i="29"/>
  <c r="D8" i="29"/>
  <c r="E8" i="29"/>
  <c r="F8" i="29"/>
  <c r="G8" i="29"/>
  <c r="H8" i="29"/>
  <c r="I8" i="29"/>
  <c r="J8" i="29"/>
  <c r="K8" i="29"/>
  <c r="L8" i="29"/>
  <c r="M8" i="29"/>
  <c r="N8" i="29"/>
  <c r="B9" i="29"/>
  <c r="C9" i="29"/>
  <c r="D9" i="29"/>
  <c r="E9" i="29"/>
  <c r="F9" i="29"/>
  <c r="G9" i="29"/>
  <c r="H9" i="29"/>
  <c r="I9" i="29"/>
  <c r="J9" i="29"/>
  <c r="K9" i="29"/>
  <c r="L9" i="29"/>
  <c r="M9" i="29"/>
  <c r="N9" i="29"/>
  <c r="B10" i="29"/>
  <c r="C10" i="29"/>
  <c r="D10" i="29"/>
  <c r="E10" i="29"/>
  <c r="F10" i="29"/>
  <c r="G10" i="29"/>
  <c r="H10" i="29"/>
  <c r="I10" i="29"/>
  <c r="J10" i="29"/>
  <c r="K10" i="29"/>
  <c r="L10" i="29"/>
  <c r="M10" i="29"/>
  <c r="N10" i="29"/>
  <c r="B11" i="29"/>
  <c r="C11" i="29"/>
  <c r="D11" i="29"/>
  <c r="E11" i="29"/>
  <c r="F11" i="29"/>
  <c r="G11" i="29"/>
  <c r="H11" i="29"/>
  <c r="I11" i="29"/>
  <c r="J11" i="29"/>
  <c r="K11" i="29"/>
  <c r="L11" i="29"/>
  <c r="M11" i="29"/>
  <c r="N11" i="29"/>
  <c r="B12" i="29"/>
  <c r="C12" i="29"/>
  <c r="D12" i="29"/>
  <c r="E12" i="29"/>
  <c r="F12" i="29"/>
  <c r="G12" i="29"/>
  <c r="H12" i="29"/>
  <c r="I12" i="29"/>
  <c r="J12" i="29"/>
  <c r="K12" i="29"/>
  <c r="L12" i="29"/>
  <c r="M12" i="29"/>
  <c r="N12" i="29"/>
  <c r="B13" i="29"/>
  <c r="C13" i="29"/>
  <c r="D13" i="29"/>
  <c r="E13" i="29"/>
  <c r="F13" i="29"/>
  <c r="G13" i="29"/>
  <c r="H13" i="29"/>
  <c r="I13" i="29"/>
  <c r="J13" i="29"/>
  <c r="K13" i="29"/>
  <c r="L13" i="29"/>
  <c r="M13" i="29"/>
  <c r="N13" i="29"/>
  <c r="B14" i="29"/>
  <c r="C14" i="29"/>
  <c r="D14" i="29"/>
  <c r="E14" i="29"/>
  <c r="F14" i="29"/>
  <c r="G14" i="29"/>
  <c r="H14" i="29"/>
  <c r="I14" i="29"/>
  <c r="J14" i="29"/>
  <c r="K14" i="29"/>
  <c r="L14" i="29"/>
  <c r="M14" i="29"/>
  <c r="N14" i="29"/>
  <c r="B15" i="29"/>
  <c r="C15" i="29"/>
  <c r="D15" i="29"/>
  <c r="E15" i="29"/>
  <c r="F15" i="29"/>
  <c r="G15" i="29"/>
  <c r="H15" i="29"/>
  <c r="I15" i="29"/>
  <c r="J15" i="29"/>
  <c r="K15" i="29"/>
  <c r="L15" i="29"/>
  <c r="M15" i="29"/>
  <c r="N15" i="29"/>
  <c r="B16" i="29"/>
  <c r="C16" i="29"/>
  <c r="D16" i="29"/>
  <c r="E16" i="29"/>
  <c r="F16" i="29"/>
  <c r="G16" i="29"/>
  <c r="H16" i="29"/>
  <c r="I16" i="29"/>
  <c r="J16" i="29"/>
  <c r="K16" i="29"/>
  <c r="L16" i="29"/>
  <c r="M16" i="29"/>
  <c r="N16" i="29"/>
  <c r="B17" i="29"/>
  <c r="C17" i="29"/>
  <c r="D17" i="29"/>
  <c r="E17" i="29"/>
  <c r="F17" i="29"/>
  <c r="G17" i="29"/>
  <c r="H17" i="29"/>
  <c r="I17" i="29"/>
  <c r="J17" i="29"/>
  <c r="K17" i="29"/>
  <c r="L17" i="29"/>
  <c r="M17" i="29"/>
  <c r="N17" i="29"/>
  <c r="B18" i="29"/>
  <c r="C18" i="29"/>
  <c r="D18" i="29"/>
  <c r="E18" i="29"/>
  <c r="F18" i="29"/>
  <c r="G18" i="29"/>
  <c r="H18" i="29"/>
  <c r="I18" i="29"/>
  <c r="J18" i="29"/>
  <c r="K18" i="29"/>
  <c r="L18" i="29"/>
  <c r="M18" i="29"/>
  <c r="N18" i="29"/>
  <c r="I22" i="31" l="1"/>
  <c r="I23" i="31" s="1"/>
  <c r="I24" i="31" s="1"/>
  <c r="I25" i="31" s="1"/>
  <c r="G22" i="31"/>
  <c r="G23" i="31" l="1"/>
  <c r="J22" i="33"/>
  <c r="J23" i="33" s="1"/>
  <c r="J24" i="33" s="1"/>
  <c r="J25" i="33" s="1"/>
  <c r="J26" i="33" s="1"/>
  <c r="J27" i="33" s="1"/>
  <c r="J28" i="33" s="1"/>
  <c r="J29" i="33" s="1"/>
  <c r="J30" i="33" s="1"/>
  <c r="C6" i="33"/>
  <c r="G24" i="31" l="1"/>
  <c r="C11" i="28"/>
  <c r="C27" i="28"/>
  <c r="C6" i="28"/>
  <c r="F5" i="28"/>
  <c r="F7" i="28"/>
  <c r="F6" i="28"/>
  <c r="G25" i="31" l="1"/>
  <c r="E21" i="4"/>
  <c r="D22" i="3"/>
  <c r="D20" i="2"/>
  <c r="C6" i="31"/>
  <c r="B36" i="31" s="1" a="1"/>
  <c r="F16" i="27"/>
  <c r="C16" i="27"/>
  <c r="D7" i="2"/>
  <c r="D8" i="2"/>
  <c r="C7" i="27"/>
  <c r="F7" i="27"/>
  <c r="E42" i="31" l="1"/>
  <c r="I48" i="31"/>
  <c r="D41" i="31"/>
  <c r="H47" i="31"/>
  <c r="G40" i="31"/>
  <c r="K46" i="31"/>
  <c r="J39" i="31"/>
  <c r="D46" i="31"/>
  <c r="F38" i="31"/>
  <c r="J44" i="31"/>
  <c r="K36" i="31"/>
  <c r="E43" i="31"/>
  <c r="I49" i="31"/>
  <c r="J41" i="31"/>
  <c r="D48" i="31"/>
  <c r="E40" i="31"/>
  <c r="I46" i="31"/>
  <c r="G47" i="31"/>
  <c r="E48" i="31"/>
  <c r="E38" i="31"/>
  <c r="D37" i="31"/>
  <c r="H43" i="31"/>
  <c r="G36" i="31"/>
  <c r="E49" i="31"/>
  <c r="H48" i="31"/>
  <c r="D47" i="31"/>
  <c r="I45" i="31"/>
  <c r="D44" i="31"/>
  <c r="I42" i="31"/>
  <c r="C39" i="31"/>
  <c r="B38" i="31"/>
  <c r="E37" i="31"/>
  <c r="B43" i="31"/>
  <c r="H41" i="31"/>
  <c r="C40" i="31"/>
  <c r="H38" i="31"/>
  <c r="C37" i="31"/>
  <c r="K49" i="31"/>
  <c r="E46" i="31"/>
  <c r="C38" i="31"/>
  <c r="F37" i="31"/>
  <c r="B36" i="31"/>
  <c r="J48" i="31"/>
  <c r="E47" i="31"/>
  <c r="J45" i="31"/>
  <c r="E44" i="31"/>
  <c r="I40" i="31"/>
  <c r="H39" i="31"/>
  <c r="B46" i="31"/>
  <c r="E45" i="31"/>
  <c r="D38" i="31"/>
  <c r="D43" i="31"/>
  <c r="I41" i="31"/>
  <c r="H46" i="31"/>
  <c r="I36" i="31"/>
  <c r="C43" i="31"/>
  <c r="G49" i="31"/>
  <c r="B42" i="31"/>
  <c r="F48" i="31"/>
  <c r="E41" i="31"/>
  <c r="I47" i="31"/>
  <c r="H40" i="31"/>
  <c r="B47" i="31"/>
  <c r="D39" i="31"/>
  <c r="H45" i="31"/>
  <c r="I37" i="31"/>
  <c r="C44" i="31"/>
  <c r="D36" i="31"/>
  <c r="H42" i="31"/>
  <c r="B49" i="31"/>
  <c r="C41" i="31"/>
  <c r="G37" i="31"/>
  <c r="K43" i="31"/>
  <c r="F36" i="31"/>
  <c r="J42" i="31"/>
  <c r="D49" i="31"/>
  <c r="C42" i="31"/>
  <c r="G48" i="31"/>
  <c r="F41" i="31"/>
  <c r="J47" i="31"/>
  <c r="B40" i="31"/>
  <c r="F46" i="31"/>
  <c r="G38" i="31"/>
  <c r="K44" i="31"/>
  <c r="B37" i="31"/>
  <c r="F43" i="31"/>
  <c r="J49" i="31"/>
  <c r="K41" i="31"/>
  <c r="I44" i="31"/>
  <c r="K42" i="31"/>
  <c r="D42" i="31"/>
  <c r="J40" i="31"/>
  <c r="E39" i="31"/>
  <c r="J37" i="31"/>
  <c r="E36" i="31"/>
  <c r="C49" i="31"/>
  <c r="G45" i="31"/>
  <c r="F44" i="31"/>
  <c r="I43" i="31"/>
  <c r="H36" i="31"/>
  <c r="F49" i="31"/>
  <c r="B48" i="31"/>
  <c r="G46" i="31"/>
  <c r="B45" i="31"/>
  <c r="G43" i="31"/>
  <c r="K39" i="31"/>
  <c r="J38" i="31"/>
  <c r="D45" i="31"/>
  <c r="G44" i="31"/>
  <c r="J43" i="31"/>
  <c r="F42" i="31"/>
  <c r="K40" i="31"/>
  <c r="F39" i="31"/>
  <c r="K37" i="31"/>
  <c r="J36" i="31"/>
  <c r="C48" i="31"/>
  <c r="I38" i="31"/>
  <c r="G41" i="31"/>
  <c r="K47" i="31"/>
  <c r="F40" i="31"/>
  <c r="J46" i="31"/>
  <c r="I39" i="31"/>
  <c r="C46" i="31"/>
  <c r="B39" i="31"/>
  <c r="F45" i="31"/>
  <c r="H37" i="31"/>
  <c r="B44" i="31"/>
  <c r="C36" i="31"/>
  <c r="G42" i="31"/>
  <c r="K48" i="31"/>
  <c r="B41" i="31"/>
  <c r="F47" i="31"/>
  <c r="G39" i="31"/>
  <c r="K45" i="31"/>
  <c r="C47" i="31"/>
  <c r="K38" i="31"/>
  <c r="H44" i="31"/>
  <c r="H49" i="31"/>
  <c r="D40" i="31"/>
  <c r="C45" i="31"/>
  <c r="B5" i="29"/>
  <c r="B21" i="29"/>
  <c r="D8" i="3"/>
  <c r="C68" i="4" l="1"/>
  <c r="D9" i="3"/>
  <c r="E7" i="4"/>
  <c r="E8" i="4"/>
</calcChain>
</file>

<file path=xl/comments1.xml><?xml version="1.0" encoding="utf-8"?>
<comments xmlns="http://schemas.openxmlformats.org/spreadsheetml/2006/main">
  <authors>
    <author>Nicholas Burgess</author>
  </authors>
  <commentList>
    <comment ref="D42" authorId="0">
      <text>
        <r>
          <rPr>
            <i/>
            <u/>
            <sz val="12"/>
            <color indexed="12"/>
            <rFont val="Tahoma"/>
            <family val="2"/>
          </rPr>
          <t>LongTerm</t>
        </r>
        <r>
          <rPr>
            <sz val="12"/>
            <color indexed="81"/>
            <rFont val="Tahoma"/>
            <family val="2"/>
          </rPr>
          <t xml:space="preserve">
Defines the first Libor-OIS Basis Instrument to be used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4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45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comments2.xml><?xml version="1.0" encoding="utf-8"?>
<comments xmlns="http://schemas.openxmlformats.org/spreadsheetml/2006/main">
  <authors>
    <author>Nicholas Burgess</author>
  </authors>
  <commentList>
    <comment ref="D24" authorId="0">
      <text>
        <r>
          <rPr>
            <u/>
            <sz val="12"/>
            <color indexed="12"/>
            <rFont val="Tahoma"/>
            <family val="2"/>
          </rPr>
          <t>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OIS Discount Curve</t>
        </r>
      </text>
    </comment>
    <comment ref="D25" authorId="0">
      <text>
        <r>
          <rPr>
            <u/>
            <sz val="12"/>
            <color indexed="12"/>
            <rFont val="Tahoma"/>
            <family val="2"/>
          </rPr>
          <t>YieldGen.Interpolation</t>
        </r>
        <r>
          <rPr>
            <sz val="12"/>
            <color indexed="81"/>
            <rFont val="Tahoma"/>
            <family val="2"/>
          </rPr>
          <t xml:space="preserve">
The interpolation method to be used for the target curve (i.e. for this Swap Curve)</t>
        </r>
      </text>
    </comment>
    <comment ref="D10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D10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  <comment ref="D107" authorId="0">
      <text>
        <r>
          <rPr>
            <u/>
            <sz val="12"/>
            <color indexed="39"/>
            <rFont val="Tahoma"/>
            <family val="2"/>
          </rPr>
          <t>GradientEpsilon</t>
        </r>
        <r>
          <rPr>
            <sz val="12"/>
            <color indexed="81"/>
            <rFont val="Tahoma"/>
            <family val="2"/>
          </rPr>
          <t xml:space="preserve">
Swap Solver Gradient Precission Critereon
</t>
        </r>
      </text>
    </comment>
  </commentList>
</comments>
</file>

<file path=xl/comments3.xml><?xml version="1.0" encoding="utf-8"?>
<comments xmlns="http://schemas.openxmlformats.org/spreadsheetml/2006/main">
  <authors>
    <author>Nicholas Burgess</author>
  </authors>
  <commentList>
    <comment ref="E23" authorId="0">
      <text>
        <r>
          <rPr>
            <u/>
            <sz val="12"/>
            <color indexed="12"/>
            <rFont val="Tahoma"/>
            <family val="2"/>
          </rPr>
          <t>Basis.Interpolation."Target Curve"</t>
        </r>
        <r>
          <rPr>
            <sz val="12"/>
            <color indexed="81"/>
            <rFont val="Tahoma"/>
            <family val="2"/>
          </rPr>
          <t xml:space="preserve">
The interpolation method to be used for calibrating the specified target curve</t>
        </r>
      </text>
    </comment>
    <comment ref="E75" authorId="0">
      <text>
        <r>
          <rPr>
            <u/>
            <sz val="12"/>
            <color indexed="39"/>
            <rFont val="Tahoma"/>
            <family val="2"/>
          </rPr>
          <t>Epsilon</t>
        </r>
        <r>
          <rPr>
            <sz val="12"/>
            <color indexed="81"/>
            <rFont val="Tahoma"/>
            <family val="2"/>
          </rPr>
          <t xml:space="preserve">
Swap Solver Convergence Precission Critereon
</t>
        </r>
      </text>
    </comment>
    <comment ref="E76" authorId="0">
      <text>
        <r>
          <rPr>
            <u/>
            <sz val="12"/>
            <color indexed="39"/>
            <rFont val="Tahoma"/>
            <family val="2"/>
          </rPr>
          <t>MaxLoop</t>
        </r>
        <r>
          <rPr>
            <sz val="12"/>
            <color indexed="81"/>
            <rFont val="Tahoma"/>
            <family val="2"/>
          </rPr>
          <t xml:space="preserve">
Swap Solver Maximum Number of Iterations
</t>
        </r>
      </text>
    </comment>
  </commentList>
</comments>
</file>

<file path=xl/sharedStrings.xml><?xml version="1.0" encoding="utf-8"?>
<sst xmlns="http://schemas.openxmlformats.org/spreadsheetml/2006/main" count="836" uniqueCount="305">
  <si>
    <t>Curve Names</t>
  </si>
  <si>
    <t>Calendar</t>
  </si>
  <si>
    <t>TGT</t>
  </si>
  <si>
    <t>calendar</t>
  </si>
  <si>
    <t xml:space="preserve"> </t>
  </si>
  <si>
    <t>OIS Conventions</t>
  </si>
  <si>
    <t>ACT/360</t>
  </si>
  <si>
    <t>daycount</t>
  </si>
  <si>
    <t>Use</t>
  </si>
  <si>
    <t>OIS</t>
  </si>
  <si>
    <t>AsOfDate</t>
  </si>
  <si>
    <t>Term</t>
  </si>
  <si>
    <t>Rate</t>
  </si>
  <si>
    <t>StartDate</t>
  </si>
  <si>
    <t>EndDate</t>
  </si>
  <si>
    <t>resetlag</t>
  </si>
  <si>
    <t>Currency</t>
  </si>
  <si>
    <t>EUR</t>
  </si>
  <si>
    <t>Daycount</t>
  </si>
  <si>
    <t>daycountfix</t>
  </si>
  <si>
    <t>30/360</t>
  </si>
  <si>
    <t>SlidingRule</t>
  </si>
  <si>
    <t>MOD_FOLLOWING</t>
  </si>
  <si>
    <t>slidingrule</t>
  </si>
  <si>
    <t>yieldgen.interpolation</t>
  </si>
  <si>
    <t>frequency</t>
  </si>
  <si>
    <t>Annual</t>
  </si>
  <si>
    <t>Frequency</t>
  </si>
  <si>
    <t>Quarterly</t>
  </si>
  <si>
    <t>frequencyfix</t>
  </si>
  <si>
    <t>2d</t>
  </si>
  <si>
    <t>iseomroll</t>
    <phoneticPr fontId="0"/>
  </si>
  <si>
    <t>eomday</t>
    <phoneticPr fontId="0"/>
  </si>
  <si>
    <t>generatemethod</t>
  </si>
  <si>
    <t>dailycompounding</t>
  </si>
  <si>
    <t>firstrate</t>
  </si>
  <si>
    <t>ShortMarket</t>
  </si>
  <si>
    <t/>
  </si>
  <si>
    <t>shorttermconvention</t>
  </si>
  <si>
    <t>arithmeticaverage</t>
  </si>
  <si>
    <t>longtermconvention</t>
  </si>
  <si>
    <t>LOBASIS</t>
  </si>
  <si>
    <t>longterm</t>
  </si>
  <si>
    <t>3Y</t>
  </si>
  <si>
    <t>longterm.generatemethod</t>
  </si>
  <si>
    <t>dailyaveraging</t>
  </si>
  <si>
    <t>ON</t>
  </si>
  <si>
    <t>2Y</t>
  </si>
  <si>
    <t>EUSF1A</t>
  </si>
  <si>
    <t>EUSF2A</t>
  </si>
  <si>
    <t>4Y</t>
  </si>
  <si>
    <t>EUSF3A</t>
  </si>
  <si>
    <t>5Y</t>
  </si>
  <si>
    <t>EUSF4A</t>
  </si>
  <si>
    <t>6Y</t>
  </si>
  <si>
    <t>EUSF5A</t>
  </si>
  <si>
    <t>7Y</t>
  </si>
  <si>
    <t>12M</t>
  </si>
  <si>
    <t>8Y</t>
  </si>
  <si>
    <t>18M</t>
  </si>
  <si>
    <t>9Y</t>
  </si>
  <si>
    <t>10Y</t>
  </si>
  <si>
    <t>11Y</t>
  </si>
  <si>
    <t>12Y</t>
  </si>
  <si>
    <t>15Y</t>
  </si>
  <si>
    <t>20Y</t>
  </si>
  <si>
    <t>25Y</t>
  </si>
  <si>
    <t>30Y</t>
  </si>
  <si>
    <t>40Y</t>
  </si>
  <si>
    <t>50Y</t>
  </si>
  <si>
    <t>Curve Build Properties</t>
  </si>
  <si>
    <t>Libor-OIS Tenor Basis Conventions</t>
  </si>
  <si>
    <t>OIS Par Rates</t>
  </si>
  <si>
    <t>Libor-OIS  Spreads</t>
  </si>
  <si>
    <t>OIS Fixing Table</t>
  </si>
  <si>
    <t>Date</t>
  </si>
  <si>
    <t>Libor Swap Conventions</t>
  </si>
  <si>
    <t>Libor Swap  Rates</t>
  </si>
  <si>
    <t>Libor-OIS Basis Swaps</t>
  </si>
  <si>
    <t>Overnight Indexed Swaps</t>
  </si>
  <si>
    <t>EURYC</t>
  </si>
  <si>
    <t>Interpolation Options</t>
  </si>
  <si>
    <t>fn_LinearInterpolation</t>
  </si>
  <si>
    <t>fn_StepInterpolation</t>
  </si>
  <si>
    <t>fn_MonotoneConvexInterpolation</t>
  </si>
  <si>
    <t>fn_SplineInterpolation</t>
  </si>
  <si>
    <t>fn_ConstrainedSplineInterpolation</t>
  </si>
  <si>
    <t>StaticDataTable</t>
  </si>
  <si>
    <t>CurveCollection</t>
  </si>
  <si>
    <t>IndexName(s)</t>
  </si>
  <si>
    <t>STD</t>
  </si>
  <si>
    <t>STD:EUR6ML</t>
  </si>
  <si>
    <t>interpolation</t>
  </si>
  <si>
    <t>isfutureuse</t>
  </si>
  <si>
    <t>isfrause</t>
  </si>
  <si>
    <t>dfcurvename</t>
  </si>
  <si>
    <t>Cash Instruments</t>
  </si>
  <si>
    <t>DayCount</t>
  </si>
  <si>
    <t>Slidingrule</t>
  </si>
  <si>
    <t>FOLLOWING</t>
  </si>
  <si>
    <t>Simple</t>
  </si>
  <si>
    <t>Resetlag</t>
  </si>
  <si>
    <t>IsEomRoll</t>
  </si>
  <si>
    <t>Libor Conventions</t>
  </si>
  <si>
    <t>6M</t>
  </si>
  <si>
    <t>FRA Instruments</t>
  </si>
  <si>
    <t>FRA Conventions</t>
  </si>
  <si>
    <t>ResetLag</t>
  </si>
  <si>
    <t>ApplyTension</t>
  </si>
  <si>
    <t>TensionGap</t>
  </si>
  <si>
    <t>2X8</t>
  </si>
  <si>
    <t>3X9</t>
  </si>
  <si>
    <t>4X10</t>
  </si>
  <si>
    <t>5X11</t>
  </si>
  <si>
    <t>6X12</t>
  </si>
  <si>
    <t>7X13</t>
  </si>
  <si>
    <t>8X14</t>
  </si>
  <si>
    <t>9X15</t>
  </si>
  <si>
    <t>10X16</t>
  </si>
  <si>
    <t>11X17</t>
  </si>
  <si>
    <t>12X18</t>
  </si>
  <si>
    <t>Futures Instruments</t>
  </si>
  <si>
    <t>Futures Conventions</t>
  </si>
  <si>
    <t>2</t>
  </si>
  <si>
    <t>Volatility</t>
  </si>
  <si>
    <t>Futures Data</t>
  </si>
  <si>
    <t>Swap Instruments</t>
  </si>
  <si>
    <t>Swap Conventions</t>
  </si>
  <si>
    <t>Swap Data</t>
  </si>
  <si>
    <t>DayCountFloat</t>
  </si>
  <si>
    <t>Semi-Annual</t>
  </si>
  <si>
    <t>FrequencyFloat</t>
  </si>
  <si>
    <t>Interpolation</t>
  </si>
  <si>
    <t>IsNewtonraphson</t>
  </si>
  <si>
    <t>issimultaneouseq</t>
  </si>
  <si>
    <t>Epsilon</t>
  </si>
  <si>
    <t>MaxLoop</t>
  </si>
  <si>
    <t>FRA Market Data X3</t>
  </si>
  <si>
    <t>FRA Market Data x6</t>
  </si>
  <si>
    <t>Term / Ticker</t>
  </si>
  <si>
    <t>3M6MBasis</t>
  </si>
  <si>
    <t>3M6MBasis:EUR3ML</t>
  </si>
  <si>
    <t>Tenor Basis Swaps</t>
  </si>
  <si>
    <t>MarketName</t>
  </si>
  <si>
    <t>EUR3M6MBASIS</t>
  </si>
  <si>
    <t>IsLeg1Spread</t>
  </si>
  <si>
    <t>Leg1cashlet.calendar</t>
  </si>
  <si>
    <t>Leg1cashlet.daycount</t>
  </si>
  <si>
    <t>Act/360</t>
  </si>
  <si>
    <t>Leg1cashlet.frequency</t>
  </si>
  <si>
    <t>Leg1cashlet.slidingrule</t>
  </si>
  <si>
    <t>Leg1cashlet.spotlag</t>
  </si>
  <si>
    <t>Leg1discount</t>
  </si>
  <si>
    <t>Leg1forecast</t>
  </si>
  <si>
    <t>Leg1index.accessary</t>
  </si>
  <si>
    <t>Leg1index.daycount</t>
  </si>
  <si>
    <t>Leg1index.fixing.calendar</t>
  </si>
  <si>
    <t>Leg1index.frequency</t>
  </si>
  <si>
    <t>Leg1index.payment.calendar</t>
  </si>
  <si>
    <t>Leg1index.resetlag</t>
  </si>
  <si>
    <t>Leg1index.slidingrule</t>
  </si>
  <si>
    <t>Leg2cashlet.calendar</t>
  </si>
  <si>
    <t>Leg2cashlet.daycount</t>
  </si>
  <si>
    <t>Leg2cashlet.frequency</t>
  </si>
  <si>
    <t>Leg2cashlet.slidingrule</t>
  </si>
  <si>
    <t>Leg2cashlet.spotlag</t>
  </si>
  <si>
    <t>Leg2discount</t>
  </si>
  <si>
    <t>Leg2forecast</t>
  </si>
  <si>
    <t>Leg2index.accessary</t>
  </si>
  <si>
    <t>3M</t>
  </si>
  <si>
    <t>Leg2index.daycount</t>
  </si>
  <si>
    <t>Leg2index.fixing.calendar</t>
  </si>
  <si>
    <t>Leg2index.frequency</t>
  </si>
  <si>
    <t>Leg2index.payment.calendar</t>
  </si>
  <si>
    <t>Leg2index.resetlag</t>
  </si>
  <si>
    <t>Leg2index.slidingrule</t>
  </si>
  <si>
    <t>Target</t>
  </si>
  <si>
    <t>Leg2Forecast</t>
  </si>
  <si>
    <t>fwdinterpolation</t>
  </si>
  <si>
    <t>isfwdinter</t>
  </si>
  <si>
    <t>issamegridindex</t>
  </si>
  <si>
    <t>spotrateterm</t>
  </si>
  <si>
    <t>isyieldspreadcalc</t>
  </si>
  <si>
    <t>1Y</t>
  </si>
  <si>
    <t>Tenor Basis Conventions ( 3 X 6 )</t>
  </si>
  <si>
    <t>1M</t>
  </si>
  <si>
    <r>
      <t>* These fixings are used in the tenor basis curves see '</t>
    </r>
    <r>
      <rPr>
        <sz val="11"/>
        <color rgb="FF0000FF"/>
        <rFont val="Calibri"/>
        <family val="2"/>
        <scheme val="minor"/>
      </rPr>
      <t>SpotRateTerm</t>
    </r>
    <r>
      <rPr>
        <sz val="11"/>
        <rFont val="Calibri"/>
        <family val="2"/>
        <scheme val="minor"/>
      </rPr>
      <t>'</t>
    </r>
  </si>
  <si>
    <t>Tenor Basis Spreads ( 3 X 6 )</t>
  </si>
  <si>
    <t>EUR6ML</t>
  </si>
  <si>
    <t>OIS:EUROIS:EURDF:EURDF_NOCSA</t>
  </si>
  <si>
    <t>Known Leg</t>
  </si>
  <si>
    <t>Leg2Forecast Unknown : 
STD is the initial guess</t>
  </si>
  <si>
    <t>Curve Loaded</t>
  </si>
  <si>
    <t>Notional</t>
  </si>
  <si>
    <t>0D</t>
  </si>
  <si>
    <t>ShortStart</t>
  </si>
  <si>
    <t>PV</t>
  </si>
  <si>
    <t>PV01</t>
  </si>
  <si>
    <t>2D</t>
  </si>
  <si>
    <t>meCurveCalibrateOIS</t>
  </si>
  <si>
    <t>meCurveCalibrateSwap</t>
  </si>
  <si>
    <t>meCurveCalibrateBasis</t>
  </si>
  <si>
    <t>MaturityDate</t>
  </si>
  <si>
    <t>EffectiveDate</t>
  </si>
  <si>
    <t>FixedRate</t>
  </si>
  <si>
    <t>ForecastCurve</t>
  </si>
  <si>
    <t>FloatFirstFixing</t>
  </si>
  <si>
    <t>FixedFrequency</t>
  </si>
  <si>
    <t>FixedDaycount</t>
  </si>
  <si>
    <t>FixedFirstStubDate</t>
  </si>
  <si>
    <t>FixedLastStubDate</t>
  </si>
  <si>
    <t>FixedRollDay</t>
  </si>
  <si>
    <t>FixedPaymentLag</t>
  </si>
  <si>
    <t>FixedStubType</t>
  </si>
  <si>
    <t>FloatFrequency</t>
  </si>
  <si>
    <t>FloatDaycount</t>
  </si>
  <si>
    <t>FloatFirstStubDate</t>
  </si>
  <si>
    <t>FloatLastStubDate</t>
  </si>
  <si>
    <t>FloatRollDay</t>
  </si>
  <si>
    <t>FloatFixingLag</t>
  </si>
  <si>
    <t>FloatLastFixing</t>
  </si>
  <si>
    <t>FloatPaymentLag</t>
  </si>
  <si>
    <t>FloatStubType</t>
  </si>
  <si>
    <t>DiscountCurve</t>
  </si>
  <si>
    <t>FloatSpread</t>
  </si>
  <si>
    <t>Libor Fixing Table</t>
  </si>
  <si>
    <t>Money Market O/N and T/N Conventions</t>
  </si>
  <si>
    <t>EomDay</t>
  </si>
  <si>
    <t>basis.interpolation</t>
  </si>
  <si>
    <t>isFwdBasis</t>
  </si>
  <si>
    <t>dfCurveName</t>
  </si>
  <si>
    <t>PaymentDate</t>
  </si>
  <si>
    <t>FixingDate</t>
  </si>
  <si>
    <t>AccrualDaycount</t>
  </si>
  <si>
    <t>AccrualBusinessDayAdjustment</t>
  </si>
  <si>
    <t>AccrualCalendar</t>
  </si>
  <si>
    <t>RollDay</t>
  </si>
  <si>
    <t>Settings</t>
  </si>
  <si>
    <t>FixedAccrualBusinessDayAdjustment</t>
  </si>
  <si>
    <t>FloatFixingBusinessDayAdjustment</t>
  </si>
  <si>
    <t>FixedAccrualCalendar</t>
  </si>
  <si>
    <t>FloatFixingCalendar</t>
  </si>
  <si>
    <t>FixedPaymentBusinessDayAdjustment</t>
  </si>
  <si>
    <t>FloatAccrualBusinessDayAdjustment</t>
  </si>
  <si>
    <t>FixedPaymentCalendar</t>
  </si>
  <si>
    <t>FloatAccrualCalendar</t>
  </si>
  <si>
    <t>FloatPaymentBusinessDayAdjustment</t>
  </si>
  <si>
    <t>FloatPaymentCalendar</t>
  </si>
  <si>
    <t>NORMAL</t>
  </si>
  <si>
    <t>Leverage</t>
  </si>
  <si>
    <t>ScheduleName</t>
  </si>
  <si>
    <t>FIXED_SCHEDULE</t>
  </si>
  <si>
    <t>FLOAT_SCHEDULE</t>
  </si>
  <si>
    <t>FIXED</t>
  </si>
  <si>
    <t>FLOAT</t>
  </si>
  <si>
    <t>SwapName</t>
  </si>
  <si>
    <t>CreateSwap</t>
  </si>
  <si>
    <t>CreateSchedule</t>
  </si>
  <si>
    <t>NotionalExchange</t>
  </si>
  <si>
    <r>
      <rPr>
        <sz val="16"/>
        <color rgb="FF0000FF"/>
        <rFont val="Calibri"/>
        <family val="2"/>
        <scheme val="minor"/>
      </rPr>
      <t>meLWOScheduleCreate(</t>
    </r>
    <r>
      <rPr>
        <sz val="16"/>
        <color theme="1"/>
        <rFont val="Calibri"/>
        <family val="2"/>
        <scheme val="minor"/>
      </rPr>
      <t xml:space="preserve"> ScheduleName, ScheduleLVB, Validate=TRUE )</t>
    </r>
  </si>
  <si>
    <t>LEG1: SCHEDULE</t>
  </si>
  <si>
    <t>LEG2: SCHEDULE</t>
  </si>
  <si>
    <t>CREATE SWAP</t>
  </si>
  <si>
    <t>LEG1: CREATE SCHEDULE</t>
  </si>
  <si>
    <t>LEG2: CREATE SCHEDULE</t>
  </si>
  <si>
    <t>RESULTS</t>
  </si>
  <si>
    <t>ParRate</t>
  </si>
  <si>
    <t>Schedule</t>
  </si>
  <si>
    <t>LEG2: DEAL INFORMATION</t>
  </si>
  <si>
    <t>LEG1: DEAL INFORMATION</t>
  </si>
  <si>
    <r>
      <rPr>
        <sz val="14"/>
        <color rgb="FF0000FF"/>
        <rFont val="Calibri"/>
        <family val="2"/>
        <scheme val="minor"/>
      </rPr>
      <t>meLWOSwapPV(</t>
    </r>
    <r>
      <rPr>
        <sz val="14"/>
        <color theme="1"/>
        <rFont val="Calibri"/>
        <family val="2"/>
        <scheme val="minor"/>
      </rPr>
      <t xml:space="preserve"> SwapName)</t>
    </r>
  </si>
  <si>
    <r>
      <rPr>
        <sz val="14"/>
        <color rgb="FF0000FF"/>
        <rFont val="Calibri"/>
        <family val="2"/>
        <scheme val="minor"/>
      </rPr>
      <t>meLWOSwapParRate(</t>
    </r>
    <r>
      <rPr>
        <sz val="14"/>
        <color theme="1"/>
        <rFont val="Calibri"/>
        <family val="2"/>
        <scheme val="minor"/>
      </rPr>
      <t xml:space="preserve"> SwapName )</t>
    </r>
  </si>
  <si>
    <r>
      <rPr>
        <sz val="14"/>
        <color rgb="FF0000FF"/>
        <rFont val="Calibri"/>
        <family val="2"/>
        <scheme val="minor"/>
      </rPr>
      <t>meLWOSwapPV01(</t>
    </r>
    <r>
      <rPr>
        <sz val="14"/>
        <color theme="1"/>
        <rFont val="Calibri"/>
        <family val="2"/>
        <scheme val="minor"/>
      </rPr>
      <t xml:space="preserve"> SwapName )</t>
    </r>
  </si>
  <si>
    <r>
      <rPr>
        <sz val="16"/>
        <color rgb="FF0000FF"/>
        <rFont val="Calibri"/>
        <family val="2"/>
        <scheme val="minor"/>
      </rPr>
      <t>meLWOScheduleDisplay(</t>
    </r>
    <r>
      <rPr>
        <sz val="16"/>
        <color theme="1"/>
        <rFont val="Calibri"/>
        <family val="2"/>
        <scheme val="minor"/>
      </rPr>
      <t xml:space="preserve"> ScheduleName )</t>
    </r>
  </si>
  <si>
    <t>AccrualStart</t>
  </si>
  <si>
    <t>AccrualEnd</t>
  </si>
  <si>
    <t>AccrualDays</t>
  </si>
  <si>
    <t>AccrualYearFractions</t>
  </si>
  <si>
    <r>
      <t xml:space="preserve">meLWOScheduleCreateBespoke( </t>
    </r>
    <r>
      <rPr>
        <sz val="11"/>
        <rFont val="Calibri"/>
        <family val="2"/>
        <scheme val="minor"/>
      </rPr>
      <t>ScheduleName, Properties, ScheduleLVB )</t>
    </r>
  </si>
  <si>
    <t>Schedule Name</t>
  </si>
  <si>
    <t>Create Bespoke Schedule</t>
  </si>
  <si>
    <t>Display Bespoke Schedule</t>
  </si>
  <si>
    <t>ScheduleType</t>
  </si>
  <si>
    <t>LegType</t>
  </si>
  <si>
    <t>LEG1:FIXED</t>
  </si>
  <si>
    <t>LEG2:FLOAT</t>
  </si>
  <si>
    <t xml:space="preserve">Copy Schedule from Display Schedule &amp; Modify </t>
  </si>
  <si>
    <r>
      <t xml:space="preserve">Schedule Build Properties </t>
    </r>
    <r>
      <rPr>
        <b/>
        <sz val="11"/>
        <rFont val="Calibri"/>
        <family val="2"/>
        <scheme val="minor"/>
      </rPr>
      <t>( Needed to Re-Calculate Accrual Days &amp; Year Fractions )</t>
    </r>
  </si>
  <si>
    <r>
      <rPr>
        <sz val="14"/>
        <color rgb="FF0000FF"/>
        <rFont val="Calibri"/>
        <family val="2"/>
        <scheme val="minor"/>
      </rPr>
      <t>meLWOVariableNotionalSwapCreate(</t>
    </r>
    <r>
      <rPr>
        <sz val="14"/>
        <color theme="1"/>
        <rFont val="Calibri"/>
        <family val="2"/>
        <scheme val="minor"/>
      </rPr>
      <t xml:space="preserve"> SwapName, Leg1Schedule, Leg2Schedule, Leg1LVB, Leg2LVB )</t>
    </r>
  </si>
  <si>
    <t>VariableNotionalSwap</t>
  </si>
  <si>
    <r>
      <rPr>
        <sz val="14"/>
        <color rgb="FF0000FF"/>
        <rFont val="Calibri"/>
        <family val="2"/>
        <scheme val="minor"/>
      </rPr>
      <t>meLWOSwapDisplayCashflows(</t>
    </r>
    <r>
      <rPr>
        <sz val="14"/>
        <color theme="1"/>
        <rFont val="Calibri"/>
        <family val="2"/>
        <scheme val="minor"/>
      </rPr>
      <t xml:space="preserve"> SwapName, [ LegName ], [ DisplayHeaders ] )</t>
    </r>
  </si>
  <si>
    <r>
      <t>meLWOCurveCreateOIS</t>
    </r>
    <r>
      <rPr>
        <sz val="11"/>
        <rFont val="Calibri"/>
        <family val="2"/>
        <scheme val="minor"/>
      </rPr>
      <t>( LWOCurveName, Curve.CollectionName,Curve.MarketDataTable,Curve.OISIndexName,Curve.BuildProperties,OIS.Conventions,OIS.MarketData,OIS.FixingTable,LiborOISBasis.Conventions,LiborOISBasis.MarketData,LiborSwap.Conventions,LiborSwap.MarketData)</t>
    </r>
  </si>
  <si>
    <r>
      <t>meLWOCurveCreateSwap</t>
    </r>
    <r>
      <rPr>
        <sz val="11"/>
        <rFont val="Calibri"/>
        <family val="2"/>
        <scheme val="minor"/>
      </rPr>
      <t>( LWOCurveName, STDCurve.CollectionName,STDCurve.StaticDataTable,STDCurve.IndexName,STDCurve.Buildproperties,MoneyMarket.Conventions,Libor.Conventions,Libor.MarketData,Swap.Conventions,Swap.MarketData,FRA.Conventions,FRA.MarketDataX3,FRA.MarketDataX6,Futures.Conventions,Futures.MarketData)</t>
    </r>
  </si>
  <si>
    <r>
      <t>meLWOCurveCreateBasis</t>
    </r>
    <r>
      <rPr>
        <sz val="11"/>
        <rFont val="Calibri"/>
        <family val="2"/>
        <scheme val="minor"/>
      </rPr>
      <t>( LWOCurveName, TenorBasisCurve3M6M.CollectionName,TenorBasisCurve3M6M.StaticDataTable,TenorBasisCurve3M6M.IndexName,TenorBasisCurve3M6M.BuildProperties,TenorBasisSwap3M6M.Conventions,TenorBasisSwap3M6M.MarketData)</t>
    </r>
  </si>
  <si>
    <t>CustomFixedSchedule</t>
  </si>
  <si>
    <t>CustomFloatSchedule</t>
  </si>
  <si>
    <t>CompoundingMethod</t>
  </si>
  <si>
    <t>GEOMETRIC</t>
  </si>
  <si>
    <t>SmoothShortEnd</t>
  </si>
  <si>
    <t>IMM</t>
  </si>
  <si>
    <t>PayReceive</t>
  </si>
  <si>
    <t>EUROIS</t>
  </si>
  <si>
    <t>RECEIVE</t>
  </si>
  <si>
    <t>PAY</t>
  </si>
  <si>
    <t>START_AND_END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</si>
</sst>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1" formatCode="_-* #,##0_-;\-* #,##0_-;_-* &quot;-&quot;_-;_-@_-"/>
    <numFmt numFmtId="164" formatCode="0.000%"/>
    <numFmt numFmtId="165" formatCode="0.00000%"/>
    <numFmt numFmtId="166" formatCode="#,##0.0000"/>
    <numFmt numFmtId="167" formatCode="ddd\ d\-mmm\-yy"/>
    <numFmt numFmtId="168" formatCode="#,##0.000000"/>
    <numFmt numFmtId="169" formatCode="ddd\,\ d\-mmm\-yy"/>
    <numFmt numFmtId="170" formatCode="0.0000%"/>
  </numFmts>
  <fonts count="28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600"/>
      <name val="Calibri"/>
      <family val="2"/>
      <scheme val="minor"/>
    </font>
    <font>
      <sz val="11"/>
      <name val="Times New Roman"/>
      <family val="1"/>
    </font>
    <font>
      <b/>
      <sz val="11"/>
      <color rgb="FF006600"/>
      <name val="Calibri"/>
      <family val="2"/>
      <scheme val="minor"/>
    </font>
    <font>
      <i/>
      <sz val="11"/>
      <color rgb="FF0000FF"/>
      <name val="Calibri"/>
      <family val="2"/>
      <scheme val="minor"/>
    </font>
    <font>
      <i/>
      <sz val="1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2"/>
      <color indexed="81"/>
      <name val="Tahoma"/>
      <family val="2"/>
    </font>
    <font>
      <i/>
      <u/>
      <sz val="12"/>
      <color indexed="12"/>
      <name val="Tahoma"/>
      <family val="2"/>
    </font>
    <font>
      <sz val="11"/>
      <color theme="1"/>
      <name val="Calibri"/>
      <family val="2"/>
      <scheme val="minor"/>
    </font>
    <font>
      <u/>
      <sz val="12"/>
      <color indexed="12"/>
      <name val="Tahoma"/>
      <family val="2"/>
    </font>
    <font>
      <u/>
      <sz val="12"/>
      <color indexed="39"/>
      <name val="Tahoma"/>
      <family val="2"/>
    </font>
    <font>
      <sz val="20"/>
      <color rgb="FF0000FF"/>
      <name val="Calibri"/>
      <family val="2"/>
      <scheme val="minor"/>
    </font>
    <font>
      <sz val="20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0000FF"/>
      <name val="Calibri"/>
      <family val="2"/>
      <scheme val="minor"/>
    </font>
    <font>
      <sz val="16"/>
      <color theme="1"/>
      <name val="Calibri"/>
      <family val="2"/>
      <scheme val="minor"/>
    </font>
    <font>
      <sz val="16"/>
      <color rgb="FF0000FF"/>
      <name val="Calibri"/>
      <family val="2"/>
      <scheme val="minor"/>
    </font>
    <font>
      <sz val="11"/>
      <color rgb="FFC0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dotted">
        <color theme="0" tint="-0.24994659260841701"/>
      </bottom>
      <diagonal/>
    </border>
    <border>
      <left/>
      <right style="thin">
        <color theme="0" tint="-0.24994659260841701"/>
      </right>
      <top style="dotted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dotted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3743705557422"/>
      </top>
      <bottom/>
      <diagonal/>
    </border>
    <border>
      <left style="thin">
        <color theme="0" tint="-0.14990691854609822"/>
      </left>
      <right style="thin">
        <color theme="0" tint="-0.14990691854609822"/>
      </right>
      <top/>
      <bottom style="thin">
        <color theme="0" tint="-0.14990691854609822"/>
      </bottom>
      <diagonal/>
    </border>
    <border>
      <left style="thin">
        <color theme="0" tint="-0.1498764000366222"/>
      </left>
      <right style="thin">
        <color theme="0" tint="-0.1498458815271462"/>
      </right>
      <top style="thin">
        <color theme="0" tint="-0.1498764000366222"/>
      </top>
      <bottom/>
      <diagonal/>
    </border>
    <border>
      <left style="thin">
        <color theme="0" tint="-0.1498458815271462"/>
      </left>
      <right style="thin">
        <color theme="0" tint="-0.1498764000366222"/>
      </right>
      <top style="thin">
        <color theme="0" tint="-0.1498764000366222"/>
      </top>
      <bottom/>
      <diagonal/>
    </border>
    <border>
      <left style="thin">
        <color theme="0" tint="-0.1498764000366222"/>
      </left>
      <right style="thin">
        <color theme="0" tint="-0.1498458815271462"/>
      </right>
      <top/>
      <bottom/>
      <diagonal/>
    </border>
    <border>
      <left style="thin">
        <color theme="0" tint="-0.1498458815271462"/>
      </left>
      <right style="thin">
        <color theme="0" tint="-0.1498764000366222"/>
      </right>
      <top/>
      <bottom/>
      <diagonal/>
    </border>
    <border>
      <left style="thin">
        <color theme="0" tint="-0.1498764000366222"/>
      </left>
      <right style="thin">
        <color theme="0" tint="-0.1498458815271462"/>
      </right>
      <top/>
      <bottom style="thin">
        <color theme="0" tint="-0.1498764000366222"/>
      </bottom>
      <diagonal/>
    </border>
    <border>
      <left style="thin">
        <color theme="0" tint="-0.1498458815271462"/>
      </left>
      <right style="thin">
        <color theme="0" tint="-0.1498764000366222"/>
      </right>
      <top/>
      <bottom style="thin">
        <color theme="0" tint="-0.1498764000366222"/>
      </bottom>
      <diagonal/>
    </border>
    <border>
      <left style="thin">
        <color theme="0" tint="-0.14981536301767021"/>
      </left>
      <right style="thin">
        <color theme="0" tint="-0.14981536301767021"/>
      </right>
      <top style="thin">
        <color theme="0" tint="-0.14981536301767021"/>
      </top>
      <bottom/>
      <diagonal/>
    </border>
    <border>
      <left style="thin">
        <color theme="0" tint="-0.14981536301767021"/>
      </left>
      <right style="thin">
        <color theme="0" tint="-0.14981536301767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thin">
        <color theme="0" tint="-0.14990691854609822"/>
      </left>
      <right style="thin">
        <color theme="0" tint="-0.14990691854609822"/>
      </right>
      <top/>
      <bottom/>
      <diagonal/>
    </border>
    <border>
      <left style="thin">
        <color theme="0" tint="-0.14981536301767021"/>
      </left>
      <right style="thin">
        <color theme="0" tint="-0.14981536301767021"/>
      </right>
      <top/>
      <bottom style="thin">
        <color theme="0" tint="-0.14978484450819421"/>
      </bottom>
      <diagonal/>
    </border>
  </borders>
  <cellStyleXfs count="3">
    <xf numFmtId="0" fontId="0" fillId="0" borderId="0"/>
    <xf numFmtId="0" fontId="10" fillId="0" borderId="0">
      <alignment vertical="center"/>
    </xf>
    <xf numFmtId="41" fontId="18" fillId="0" borderId="0" applyFont="0" applyFill="0" applyBorder="0" applyAlignment="0" applyProtection="0"/>
  </cellStyleXfs>
  <cellXfs count="321">
    <xf numFmtId="0" fontId="0" fillId="0" borderId="0" xfId="0"/>
    <xf numFmtId="0" fontId="0" fillId="0" borderId="0" xfId="0" applyFill="1" applyBorder="1"/>
    <xf numFmtId="0" fontId="0" fillId="2" borderId="5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6" xfId="0" applyFill="1" applyBorder="1"/>
    <xf numFmtId="0" fontId="4" fillId="2" borderId="0" xfId="0" applyFont="1" applyFill="1" applyBorder="1"/>
    <xf numFmtId="0" fontId="0" fillId="2" borderId="0" xfId="0" applyFill="1" applyBorder="1"/>
    <xf numFmtId="0" fontId="0" fillId="2" borderId="7" xfId="0" applyFill="1" applyBorder="1"/>
    <xf numFmtId="0" fontId="8" fillId="2" borderId="0" xfId="0" applyFont="1" applyFill="1" applyBorder="1"/>
    <xf numFmtId="0" fontId="6" fillId="2" borderId="0" xfId="0" applyFont="1" applyFill="1" applyBorder="1"/>
    <xf numFmtId="0" fontId="0" fillId="2" borderId="11" xfId="0" applyFill="1" applyBorder="1"/>
    <xf numFmtId="0" fontId="0" fillId="2" borderId="9" xfId="0" applyFill="1" applyBorder="1"/>
    <xf numFmtId="0" fontId="0" fillId="2" borderId="10" xfId="0" applyFill="1" applyBorder="1"/>
    <xf numFmtId="0" fontId="0" fillId="0" borderId="5" xfId="0" applyFill="1" applyBorder="1"/>
    <xf numFmtId="0" fontId="0" fillId="0" borderId="2" xfId="0" applyFill="1" applyBorder="1"/>
    <xf numFmtId="0" fontId="0" fillId="0" borderId="3" xfId="0" applyFill="1" applyBorder="1"/>
    <xf numFmtId="0" fontId="0" fillId="0" borderId="6" xfId="0" applyFill="1" applyBorder="1"/>
    <xf numFmtId="0" fontId="0" fillId="0" borderId="7" xfId="0" applyFill="1" applyBorder="1"/>
    <xf numFmtId="164" fontId="9" fillId="0" borderId="0" xfId="0" applyNumberFormat="1" applyFont="1" applyFill="1" applyBorder="1" applyAlignment="1">
      <alignment horizontal="center" vertical="center"/>
    </xf>
    <xf numFmtId="15" fontId="9" fillId="0" borderId="0" xfId="0" applyNumberFormat="1" applyFont="1" applyFill="1" applyBorder="1" applyAlignment="1">
      <alignment horizontal="center" vertical="center"/>
    </xf>
    <xf numFmtId="0" fontId="0" fillId="0" borderId="11" xfId="0" applyFill="1" applyBorder="1"/>
    <xf numFmtId="0" fontId="0" fillId="0" borderId="10" xfId="0" applyFill="1" applyBorder="1"/>
    <xf numFmtId="0" fontId="0" fillId="0" borderId="9" xfId="0" applyFill="1" applyBorder="1"/>
    <xf numFmtId="0" fontId="9" fillId="0" borderId="6" xfId="0" applyFont="1" applyFill="1" applyBorder="1" applyAlignment="1">
      <alignment horizontal="center" vertical="center"/>
    </xf>
    <xf numFmtId="0" fontId="9" fillId="0" borderId="11" xfId="0" applyFont="1" applyFill="1" applyBorder="1" applyAlignment="1">
      <alignment horizontal="center" vertical="center"/>
    </xf>
    <xf numFmtId="164" fontId="9" fillId="0" borderId="9" xfId="0" applyNumberFormat="1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center"/>
    </xf>
    <xf numFmtId="0" fontId="6" fillId="0" borderId="4" xfId="0" applyFont="1" applyFill="1" applyBorder="1" applyAlignment="1">
      <alignment vertical="center"/>
    </xf>
    <xf numFmtId="0" fontId="6" fillId="0" borderId="4" xfId="0" applyFont="1" applyFill="1" applyBorder="1"/>
    <xf numFmtId="0" fontId="6" fillId="0" borderId="4" xfId="0" applyFont="1" applyFill="1" applyBorder="1" applyAlignment="1"/>
    <xf numFmtId="0" fontId="1" fillId="0" borderId="4" xfId="0" applyFont="1" applyFill="1" applyBorder="1" applyAlignment="1"/>
    <xf numFmtId="0" fontId="0" fillId="0" borderId="4" xfId="0" applyFont="1" applyFill="1" applyBorder="1"/>
    <xf numFmtId="0" fontId="0" fillId="0" borderId="8" xfId="0" applyFont="1" applyFill="1" applyBorder="1"/>
    <xf numFmtId="0" fontId="9" fillId="0" borderId="3" xfId="0" applyFont="1" applyFill="1" applyBorder="1" applyAlignment="1">
      <alignment horizontal="center" vertical="center"/>
    </xf>
    <xf numFmtId="0" fontId="9" fillId="0" borderId="7" xfId="0" applyFont="1" applyFill="1" applyBorder="1" applyAlignment="1">
      <alignment horizontal="center" vertical="center"/>
    </xf>
    <xf numFmtId="0" fontId="9" fillId="0" borderId="7" xfId="0" applyNumberFormat="1" applyFont="1" applyFill="1" applyBorder="1" applyAlignment="1">
      <alignment horizontal="center" vertical="center"/>
    </xf>
    <xf numFmtId="0" fontId="9" fillId="0" borderId="7" xfId="0" applyFont="1" applyFill="1" applyBorder="1" applyAlignment="1"/>
    <xf numFmtId="11" fontId="9" fillId="0" borderId="7" xfId="0" applyNumberFormat="1" applyFont="1" applyFill="1" applyBorder="1" applyAlignment="1">
      <alignment horizontal="center" vertical="center"/>
    </xf>
    <xf numFmtId="0" fontId="9" fillId="0" borderId="7" xfId="0" applyFont="1" applyFill="1" applyBorder="1"/>
    <xf numFmtId="0" fontId="9" fillId="0" borderId="10" xfId="0" applyFont="1" applyFill="1" applyBorder="1"/>
    <xf numFmtId="15" fontId="9" fillId="0" borderId="7" xfId="0" applyNumberFormat="1" applyFont="1" applyFill="1" applyBorder="1" applyAlignment="1">
      <alignment horizontal="center" vertical="center"/>
    </xf>
    <xf numFmtId="15" fontId="9" fillId="0" borderId="9" xfId="0" applyNumberFormat="1" applyFont="1" applyFill="1" applyBorder="1" applyAlignment="1">
      <alignment horizontal="center" vertical="center"/>
    </xf>
    <xf numFmtId="15" fontId="9" fillId="0" borderId="10" xfId="0" applyNumberFormat="1" applyFont="1" applyFill="1" applyBorder="1" applyAlignment="1">
      <alignment horizontal="center" vertical="center"/>
    </xf>
    <xf numFmtId="0" fontId="6" fillId="0" borderId="8" xfId="0" applyFont="1" applyFill="1" applyBorder="1"/>
    <xf numFmtId="0" fontId="4" fillId="2" borderId="2" xfId="0" applyFont="1" applyFill="1" applyBorder="1"/>
    <xf numFmtId="0" fontId="5" fillId="2" borderId="2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7" fillId="2" borderId="9" xfId="0" applyFont="1" applyFill="1" applyBorder="1"/>
    <xf numFmtId="0" fontId="7" fillId="2" borderId="0" xfId="0" applyFont="1" applyFill="1" applyBorder="1"/>
    <xf numFmtId="0" fontId="2" fillId="2" borderId="0" xfId="0" applyFont="1" applyFill="1" applyBorder="1"/>
    <xf numFmtId="164" fontId="9" fillId="0" borderId="7" xfId="0" applyNumberFormat="1" applyFont="1" applyFill="1" applyBorder="1" applyAlignment="1">
      <alignment horizontal="center" vertical="center"/>
    </xf>
    <xf numFmtId="164" fontId="9" fillId="0" borderId="10" xfId="0" applyNumberFormat="1" applyFont="1" applyFill="1" applyBorder="1" applyAlignment="1">
      <alignment horizontal="center" vertical="center"/>
    </xf>
    <xf numFmtId="15" fontId="9" fillId="0" borderId="6" xfId="0" applyNumberFormat="1" applyFont="1" applyFill="1" applyBorder="1" applyAlignment="1">
      <alignment horizontal="center" vertical="center"/>
    </xf>
    <xf numFmtId="15" fontId="9" fillId="0" borderId="11" xfId="0" applyNumberFormat="1" applyFont="1" applyFill="1" applyBorder="1" applyAlignment="1">
      <alignment horizontal="center" vertical="center"/>
    </xf>
    <xf numFmtId="0" fontId="6" fillId="2" borderId="7" xfId="0" applyFont="1" applyFill="1" applyBorder="1"/>
    <xf numFmtId="0" fontId="5" fillId="0" borderId="0" xfId="0" applyFont="1"/>
    <xf numFmtId="0" fontId="3" fillId="2" borderId="9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vertical="center"/>
    </xf>
    <xf numFmtId="0" fontId="5" fillId="2" borderId="0" xfId="0" applyFont="1" applyFill="1" applyBorder="1" applyAlignment="1">
      <alignment horizontal="center" vertical="center"/>
    </xf>
    <xf numFmtId="0" fontId="12" fillId="0" borderId="0" xfId="0" applyFont="1"/>
    <xf numFmtId="0" fontId="14" fillId="2" borderId="2" xfId="0" applyFont="1" applyFill="1" applyBorder="1"/>
    <xf numFmtId="0" fontId="0" fillId="0" borderId="0" xfId="0" quotePrefix="1"/>
    <xf numFmtId="0" fontId="11" fillId="2" borderId="7" xfId="0" applyFont="1" applyFill="1" applyBorder="1" applyAlignment="1">
      <alignment horizontal="center" vertical="center"/>
    </xf>
    <xf numFmtId="0" fontId="9" fillId="0" borderId="7" xfId="0" applyFont="1" applyFill="1" applyBorder="1" applyAlignment="1">
      <alignment horizontal="center"/>
    </xf>
    <xf numFmtId="0" fontId="9" fillId="0" borderId="10" xfId="0" applyFont="1" applyFill="1" applyBorder="1" applyAlignment="1">
      <alignment horizontal="center"/>
    </xf>
    <xf numFmtId="0" fontId="6" fillId="0" borderId="5" xfId="0" applyFont="1" applyFill="1" applyBorder="1" applyAlignment="1">
      <alignment horizontal="center" vertical="center"/>
    </xf>
    <xf numFmtId="0" fontId="6" fillId="0" borderId="6" xfId="0" applyFont="1" applyFill="1" applyBorder="1" applyAlignment="1">
      <alignment horizontal="center" vertical="center"/>
    </xf>
    <xf numFmtId="0" fontId="6" fillId="0" borderId="11" xfId="0" applyFont="1" applyFill="1" applyBorder="1" applyAlignment="1">
      <alignment horizontal="center" vertical="center"/>
    </xf>
    <xf numFmtId="10" fontId="9" fillId="0" borderId="7" xfId="0" applyNumberFormat="1" applyFont="1" applyFill="1" applyBorder="1" applyAlignment="1">
      <alignment horizontal="center" vertical="center"/>
    </xf>
    <xf numFmtId="165" fontId="9" fillId="0" borderId="3" xfId="0" applyNumberFormat="1" applyFont="1" applyFill="1" applyBorder="1" applyAlignment="1">
      <alignment horizontal="center" vertical="center"/>
    </xf>
    <xf numFmtId="165" fontId="9" fillId="0" borderId="7" xfId="0" applyNumberFormat="1" applyFont="1" applyFill="1" applyBorder="1" applyAlignment="1">
      <alignment horizontal="center" vertical="center"/>
    </xf>
    <xf numFmtId="165" fontId="9" fillId="0" borderId="10" xfId="0" applyNumberFormat="1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4" fontId="9" fillId="0" borderId="6" xfId="1" quotePrefix="1" applyNumberFormat="1" applyFont="1" applyFill="1" applyBorder="1" applyAlignment="1">
      <alignment horizontal="center" vertical="center"/>
    </xf>
    <xf numFmtId="15" fontId="9" fillId="0" borderId="0" xfId="1" quotePrefix="1" applyNumberFormat="1" applyFont="1" applyFill="1" applyBorder="1" applyAlignment="1">
      <alignment horizontal="center" vertical="center"/>
    </xf>
    <xf numFmtId="166" fontId="9" fillId="0" borderId="0" xfId="2" quotePrefix="1" applyNumberFormat="1" applyFont="1" applyFill="1" applyBorder="1" applyAlignment="1">
      <alignment horizontal="center" vertical="center"/>
    </xf>
    <xf numFmtId="164" fontId="9" fillId="0" borderId="7" xfId="2" quotePrefix="1" applyNumberFormat="1" applyFont="1" applyFill="1" applyBorder="1" applyAlignment="1">
      <alignment horizontal="center" vertical="center"/>
    </xf>
    <xf numFmtId="165" fontId="9" fillId="0" borderId="6" xfId="1" quotePrefix="1" applyNumberFormat="1" applyFont="1" applyFill="1" applyBorder="1" applyAlignment="1">
      <alignment horizontal="center" vertical="center"/>
    </xf>
    <xf numFmtId="165" fontId="9" fillId="0" borderId="6" xfId="1" applyNumberFormat="1" applyFont="1" applyFill="1" applyBorder="1" applyAlignment="1">
      <alignment horizontal="center" vertical="center"/>
    </xf>
    <xf numFmtId="15" fontId="9" fillId="0" borderId="0" xfId="1" applyNumberFormat="1" applyFont="1" applyFill="1" applyBorder="1" applyAlignment="1">
      <alignment horizontal="center" vertical="center"/>
    </xf>
    <xf numFmtId="166" fontId="9" fillId="0" borderId="0" xfId="2" applyNumberFormat="1" applyFont="1" applyFill="1" applyBorder="1" applyAlignment="1">
      <alignment horizontal="center" vertical="center"/>
    </xf>
    <xf numFmtId="164" fontId="9" fillId="0" borderId="7" xfId="2" applyNumberFormat="1" applyFont="1" applyFill="1" applyBorder="1" applyAlignment="1">
      <alignment horizontal="center" vertical="center"/>
    </xf>
    <xf numFmtId="0" fontId="9" fillId="0" borderId="6" xfId="1" applyFont="1" applyFill="1" applyBorder="1" applyAlignment="1">
      <alignment horizontal="center" vertical="center"/>
    </xf>
    <xf numFmtId="166" fontId="9" fillId="0" borderId="0" xfId="1" applyNumberFormat="1" applyFont="1" applyFill="1" applyBorder="1" applyAlignment="1">
      <alignment horizontal="center" vertical="center"/>
    </xf>
    <xf numFmtId="0" fontId="9" fillId="0" borderId="6" xfId="0" applyFont="1" applyFill="1" applyBorder="1" applyAlignment="1">
      <alignment horizontal="center"/>
    </xf>
    <xf numFmtId="15" fontId="9" fillId="0" borderId="0" xfId="0" applyNumberFormat="1" applyFont="1" applyFill="1" applyBorder="1" applyAlignment="1">
      <alignment horizontal="center"/>
    </xf>
    <xf numFmtId="164" fontId="9" fillId="0" borderId="7" xfId="0" applyNumberFormat="1" applyFont="1" applyFill="1" applyBorder="1" applyAlignment="1">
      <alignment horizontal="center"/>
    </xf>
    <xf numFmtId="0" fontId="9" fillId="0" borderId="11" xfId="0" applyFont="1" applyFill="1" applyBorder="1" applyAlignment="1">
      <alignment horizontal="center"/>
    </xf>
    <xf numFmtId="15" fontId="9" fillId="0" borderId="9" xfId="0" applyNumberFormat="1" applyFont="1" applyFill="1" applyBorder="1" applyAlignment="1">
      <alignment horizontal="center"/>
    </xf>
    <xf numFmtId="166" fontId="9" fillId="0" borderId="9" xfId="1" applyNumberFormat="1" applyFont="1" applyFill="1" applyBorder="1" applyAlignment="1">
      <alignment horizontal="center" vertical="center"/>
    </xf>
    <xf numFmtId="164" fontId="9" fillId="0" borderId="10" xfId="0" applyNumberFormat="1" applyFont="1" applyFill="1" applyBorder="1" applyAlignment="1">
      <alignment horizontal="center"/>
    </xf>
    <xf numFmtId="0" fontId="0" fillId="2" borderId="9" xfId="0" applyFont="1" applyFill="1" applyBorder="1" applyAlignment="1">
      <alignment horizontal="center" vertical="center"/>
    </xf>
    <xf numFmtId="165" fontId="9" fillId="0" borderId="2" xfId="0" applyNumberFormat="1" applyFont="1" applyFill="1" applyBorder="1" applyAlignment="1">
      <alignment horizontal="center" vertical="center"/>
    </xf>
    <xf numFmtId="165" fontId="9" fillId="0" borderId="0" xfId="0" applyNumberFormat="1" applyFont="1" applyFill="1" applyBorder="1" applyAlignment="1">
      <alignment horizontal="center" vertical="center"/>
    </xf>
    <xf numFmtId="165" fontId="9" fillId="0" borderId="9" xfId="0" applyNumberFormat="1" applyFont="1" applyFill="1" applyBorder="1" applyAlignment="1">
      <alignment horizontal="center" vertical="center"/>
    </xf>
    <xf numFmtId="0" fontId="9" fillId="0" borderId="5" xfId="0" applyFont="1" applyFill="1" applyBorder="1" applyAlignment="1">
      <alignment horizontal="center" vertical="center"/>
    </xf>
    <xf numFmtId="0" fontId="9" fillId="0" borderId="1" xfId="0" applyFont="1" applyFill="1" applyBorder="1" applyAlignment="1">
      <alignment vertical="center"/>
    </xf>
    <xf numFmtId="0" fontId="9" fillId="0" borderId="4" xfId="0" applyFont="1" applyFill="1" applyBorder="1" applyAlignment="1">
      <alignment vertical="center"/>
    </xf>
    <xf numFmtId="0" fontId="9" fillId="0" borderId="8" xfId="0" applyFont="1" applyFill="1" applyBorder="1"/>
    <xf numFmtId="0" fontId="11" fillId="0" borderId="7" xfId="0" applyFont="1" applyFill="1" applyBorder="1" applyAlignment="1">
      <alignment horizontal="center" vertical="center"/>
    </xf>
    <xf numFmtId="3" fontId="9" fillId="0" borderId="7" xfId="0" applyNumberFormat="1" applyFont="1" applyFill="1" applyBorder="1" applyAlignment="1">
      <alignment horizontal="center" vertical="center"/>
    </xf>
    <xf numFmtId="15" fontId="9" fillId="0" borderId="1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left" vertical="center"/>
    </xf>
    <xf numFmtId="0" fontId="9" fillId="0" borderId="8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0" fontId="6" fillId="0" borderId="13" xfId="0" applyFont="1" applyFill="1" applyBorder="1" applyAlignment="1">
      <alignment vertical="center"/>
    </xf>
    <xf numFmtId="0" fontId="9" fillId="0" borderId="15" xfId="0" applyFont="1" applyFill="1" applyBorder="1" applyAlignment="1">
      <alignment horizontal="center" vertical="center"/>
    </xf>
    <xf numFmtId="0" fontId="6" fillId="0" borderId="14" xfId="0" applyFont="1" applyFill="1" applyBorder="1" applyAlignment="1">
      <alignment vertical="center"/>
    </xf>
    <xf numFmtId="0" fontId="5" fillId="0" borderId="16" xfId="0" applyFont="1" applyFill="1" applyBorder="1" applyAlignment="1">
      <alignment horizontal="center" vertical="center"/>
    </xf>
    <xf numFmtId="0" fontId="11" fillId="2" borderId="13" xfId="0" applyFont="1" applyFill="1" applyBorder="1" applyAlignment="1">
      <alignment horizontal="center" vertical="center"/>
    </xf>
    <xf numFmtId="0" fontId="7" fillId="0" borderId="4" xfId="0" applyFont="1" applyFill="1" applyBorder="1" applyAlignment="1">
      <alignment vertical="center"/>
    </xf>
    <xf numFmtId="0" fontId="0" fillId="2" borderId="0" xfId="0" applyFont="1" applyFill="1" applyBorder="1"/>
    <xf numFmtId="0" fontId="0" fillId="2" borderId="0" xfId="0" applyFont="1" applyFill="1" applyBorder="1" applyAlignment="1">
      <alignment horizontal="center" vertical="center"/>
    </xf>
    <xf numFmtId="3" fontId="0" fillId="0" borderId="0" xfId="0" applyNumberFormat="1"/>
    <xf numFmtId="0" fontId="12" fillId="0" borderId="0" xfId="0" applyFont="1"/>
    <xf numFmtId="0" fontId="13" fillId="0" borderId="12" xfId="0" applyFont="1" applyFill="1" applyBorder="1"/>
    <xf numFmtId="0" fontId="5" fillId="0" borderId="0" xfId="0" applyFont="1"/>
    <xf numFmtId="0" fontId="5" fillId="0" borderId="0" xfId="0" applyFont="1"/>
    <xf numFmtId="0" fontId="5" fillId="0" borderId="0" xfId="0" applyFont="1"/>
    <xf numFmtId="0" fontId="5" fillId="0" borderId="0" xfId="0" applyFont="1"/>
    <xf numFmtId="0" fontId="13" fillId="0" borderId="12" xfId="0" applyFont="1" applyFill="1" applyBorder="1"/>
    <xf numFmtId="0" fontId="0" fillId="2" borderId="0" xfId="0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4" fontId="9" fillId="2" borderId="0" xfId="0" applyNumberFormat="1" applyFont="1" applyFill="1" applyBorder="1" applyAlignment="1">
      <alignment horizontal="center" vertical="center"/>
    </xf>
    <xf numFmtId="0" fontId="11" fillId="0" borderId="12" xfId="0" applyFont="1" applyFill="1" applyBorder="1" applyAlignment="1">
      <alignment horizontal="center" vertical="center"/>
    </xf>
    <xf numFmtId="0" fontId="5" fillId="0" borderId="12" xfId="0" applyFont="1" applyBorder="1"/>
    <xf numFmtId="0" fontId="6" fillId="0" borderId="4" xfId="0" applyFont="1" applyFill="1" applyBorder="1" applyAlignment="1">
      <alignment horizontal="left" vertical="center"/>
    </xf>
    <xf numFmtId="0" fontId="9" fillId="0" borderId="0" xfId="0" applyFont="1"/>
    <xf numFmtId="0" fontId="9" fillId="2" borderId="5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2" fillId="0" borderId="0" xfId="0" applyFont="1"/>
    <xf numFmtId="0" fontId="0" fillId="2" borderId="1" xfId="0" applyFill="1" applyBorder="1"/>
    <xf numFmtId="0" fontId="0" fillId="2" borderId="4" xfId="0" applyFill="1" applyBorder="1"/>
    <xf numFmtId="0" fontId="0" fillId="2" borderId="8" xfId="0" applyFill="1" applyBorder="1"/>
    <xf numFmtId="0" fontId="23" fillId="0" borderId="0" xfId="0" applyFont="1"/>
    <xf numFmtId="169" fontId="9" fillId="2" borderId="0" xfId="0" applyNumberFormat="1" applyFont="1" applyFill="1" applyBorder="1" applyAlignment="1">
      <alignment horizontal="center" vertical="center"/>
    </xf>
    <xf numFmtId="3" fontId="9" fillId="2" borderId="0" xfId="0" applyNumberFormat="1" applyFont="1" applyFill="1" applyBorder="1" applyAlignment="1">
      <alignment horizontal="center" vertical="center"/>
    </xf>
    <xf numFmtId="0" fontId="0" fillId="2" borderId="19" xfId="0" applyFill="1" applyBorder="1"/>
    <xf numFmtId="169" fontId="0" fillId="3" borderId="12" xfId="0" applyNumberFormat="1" applyFill="1" applyBorder="1" applyAlignment="1">
      <alignment horizontal="center" vertical="center"/>
    </xf>
    <xf numFmtId="0" fontId="0" fillId="2" borderId="12" xfId="0" applyFill="1" applyBorder="1"/>
    <xf numFmtId="0" fontId="0" fillId="4" borderId="18" xfId="0" applyFill="1" applyBorder="1"/>
    <xf numFmtId="0" fontId="0" fillId="4" borderId="19" xfId="0" applyFill="1" applyBorder="1"/>
    <xf numFmtId="0" fontId="0" fillId="2" borderId="18" xfId="0" applyNumberFormat="1" applyFill="1" applyBorder="1" applyAlignment="1">
      <alignment horizontal="left" vertical="center" wrapText="1"/>
    </xf>
    <xf numFmtId="0" fontId="0" fillId="2" borderId="18" xfId="0" applyFill="1" applyBorder="1" applyAlignment="1">
      <alignment horizontal="left"/>
    </xf>
    <xf numFmtId="0" fontId="0" fillId="2" borderId="19" xfId="0" applyFill="1" applyBorder="1" applyAlignment="1">
      <alignment horizontal="left"/>
    </xf>
    <xf numFmtId="167" fontId="6" fillId="4" borderId="18" xfId="0" applyNumberFormat="1" applyFont="1" applyFill="1" applyBorder="1" applyAlignment="1">
      <alignment horizontal="center" vertical="center"/>
    </xf>
    <xf numFmtId="0" fontId="6" fillId="4" borderId="18" xfId="0" applyFont="1" applyFill="1" applyBorder="1" applyAlignment="1">
      <alignment horizontal="center" vertical="center"/>
    </xf>
    <xf numFmtId="0" fontId="6" fillId="4" borderId="18" xfId="0" quotePrefix="1" applyFont="1" applyFill="1" applyBorder="1" applyAlignment="1">
      <alignment horizontal="center" vertical="center"/>
    </xf>
    <xf numFmtId="4" fontId="0" fillId="4" borderId="18" xfId="0" applyNumberFormat="1" applyFill="1" applyBorder="1" applyAlignment="1">
      <alignment horizontal="center" vertical="center"/>
    </xf>
    <xf numFmtId="10" fontId="6" fillId="4" borderId="18" xfId="0" applyNumberFormat="1" applyFont="1" applyFill="1" applyBorder="1" applyAlignment="1">
      <alignment horizontal="center" vertical="center"/>
    </xf>
    <xf numFmtId="0" fontId="0" fillId="4" borderId="18" xfId="0" applyFill="1" applyBorder="1" applyAlignment="1">
      <alignment horizontal="center" vertical="center"/>
    </xf>
    <xf numFmtId="0" fontId="0" fillId="4" borderId="18" xfId="0" applyFill="1" applyBorder="1" applyAlignment="1">
      <alignment horizontal="center"/>
    </xf>
    <xf numFmtId="4" fontId="0" fillId="4" borderId="18" xfId="0" applyNumberFormat="1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0" fontId="0" fillId="2" borderId="20" xfId="0" applyNumberFormat="1" applyFill="1" applyBorder="1" applyAlignment="1">
      <alignment horizontal="left" vertical="center" wrapText="1"/>
    </xf>
    <xf numFmtId="167" fontId="9" fillId="4" borderId="18" xfId="0" applyNumberFormat="1" applyFont="1" applyFill="1" applyBorder="1" applyAlignment="1">
      <alignment horizontal="center" vertical="center"/>
    </xf>
    <xf numFmtId="0" fontId="0" fillId="2" borderId="22" xfId="0" applyFont="1" applyFill="1" applyBorder="1"/>
    <xf numFmtId="0" fontId="0" fillId="4" borderId="23" xfId="0" applyFill="1" applyBorder="1" applyAlignment="1">
      <alignment horizontal="center" vertical="center"/>
    </xf>
    <xf numFmtId="0" fontId="0" fillId="2" borderId="24" xfId="0" applyFill="1" applyBorder="1"/>
    <xf numFmtId="0" fontId="6" fillId="0" borderId="25" xfId="0" applyFont="1" applyBorder="1" applyAlignment="1">
      <alignment horizontal="center" vertical="center"/>
    </xf>
    <xf numFmtId="0" fontId="0" fillId="2" borderId="26" xfId="0" applyFill="1" applyBorder="1"/>
    <xf numFmtId="0" fontId="6" fillId="0" borderId="27" xfId="0" applyFont="1" applyBorder="1" applyAlignment="1">
      <alignment horizontal="center" vertical="center"/>
    </xf>
    <xf numFmtId="0" fontId="0" fillId="2" borderId="28" xfId="0" applyFont="1" applyFill="1" applyBorder="1"/>
    <xf numFmtId="0" fontId="0" fillId="4" borderId="28" xfId="0" applyFill="1" applyBorder="1" applyAlignment="1">
      <alignment horizontal="center" vertical="center"/>
    </xf>
    <xf numFmtId="0" fontId="0" fillId="2" borderId="29" xfId="0" applyFill="1" applyBorder="1"/>
    <xf numFmtId="3" fontId="6" fillId="4" borderId="17" xfId="0" applyNumberFormat="1" applyFont="1" applyFill="1" applyBorder="1" applyAlignment="1">
      <alignment horizontal="center" vertical="center"/>
    </xf>
    <xf numFmtId="0" fontId="6" fillId="4" borderId="18" xfId="0" applyFont="1" applyFill="1" applyBorder="1" applyAlignment="1">
      <alignment horizontal="center"/>
    </xf>
    <xf numFmtId="0" fontId="6" fillId="4" borderId="4" xfId="0" applyFont="1" applyFill="1" applyBorder="1" applyAlignment="1">
      <alignment horizontal="center"/>
    </xf>
    <xf numFmtId="165" fontId="6" fillId="4" borderId="4" xfId="0" applyNumberFormat="1" applyFont="1" applyFill="1" applyBorder="1" applyAlignment="1">
      <alignment horizontal="center" vertical="center"/>
    </xf>
    <xf numFmtId="0" fontId="0" fillId="4" borderId="0" xfId="0" applyFill="1" applyBorder="1"/>
    <xf numFmtId="0" fontId="25" fillId="0" borderId="0" xfId="0" applyFont="1"/>
    <xf numFmtId="0" fontId="0" fillId="2" borderId="17" xfId="0" applyFill="1" applyBorder="1"/>
    <xf numFmtId="0" fontId="0" fillId="2" borderId="18" xfId="0" applyFont="1" applyFill="1" applyBorder="1"/>
    <xf numFmtId="0" fontId="9" fillId="0" borderId="29" xfId="0" applyFont="1" applyBorder="1" applyAlignment="1">
      <alignment horizontal="center" vertical="center"/>
    </xf>
    <xf numFmtId="3" fontId="9" fillId="4" borderId="30" xfId="0" applyNumberFormat="1" applyFont="1" applyFill="1" applyBorder="1" applyAlignment="1">
      <alignment horizontal="center" vertical="center"/>
    </xf>
    <xf numFmtId="0" fontId="0" fillId="4" borderId="0" xfId="0" applyFont="1" applyFill="1" applyBorder="1"/>
    <xf numFmtId="0" fontId="0" fillId="0" borderId="0" xfId="0" applyFont="1"/>
    <xf numFmtId="0" fontId="0" fillId="2" borderId="30" xfId="0" applyNumberFormat="1" applyFont="1" applyFill="1" applyBorder="1" applyAlignment="1">
      <alignment horizontal="left" vertical="center" wrapText="1"/>
    </xf>
    <xf numFmtId="0" fontId="0" fillId="2" borderId="17" xfId="0" applyNumberFormat="1" applyFont="1" applyFill="1" applyBorder="1" applyAlignment="1">
      <alignment horizontal="left" vertical="center" wrapText="1"/>
    </xf>
    <xf numFmtId="0" fontId="0" fillId="2" borderId="18" xfId="0" applyNumberFormat="1" applyFont="1" applyFill="1" applyBorder="1" applyAlignment="1">
      <alignment horizontal="left" vertical="center" wrapText="1"/>
    </xf>
    <xf numFmtId="0" fontId="0" fillId="4" borderId="0" xfId="0" applyNumberFormat="1" applyFont="1" applyFill="1" applyBorder="1" applyAlignment="1">
      <alignment horizontal="left" vertical="center"/>
    </xf>
    <xf numFmtId="0" fontId="0" fillId="2" borderId="4" xfId="0" applyNumberFormat="1" applyFont="1" applyFill="1" applyBorder="1" applyAlignment="1">
      <alignment horizontal="left" vertical="center" wrapText="1"/>
    </xf>
    <xf numFmtId="0" fontId="0" fillId="2" borderId="32" xfId="0" applyNumberFormat="1" applyFont="1" applyFill="1" applyBorder="1" applyAlignment="1">
      <alignment horizontal="left" vertical="center" wrapText="1"/>
    </xf>
    <xf numFmtId="0" fontId="6" fillId="4" borderId="32" xfId="0" applyFont="1" applyFill="1" applyBorder="1" applyAlignment="1">
      <alignment horizontal="center"/>
    </xf>
    <xf numFmtId="0" fontId="0" fillId="2" borderId="21" xfId="0" applyNumberFormat="1" applyFont="1" applyFill="1" applyBorder="1" applyAlignment="1">
      <alignment horizontal="left" vertical="center" wrapText="1"/>
    </xf>
    <xf numFmtId="0" fontId="6" fillId="4" borderId="21" xfId="0" applyFont="1" applyFill="1" applyBorder="1" applyAlignment="1">
      <alignment horizontal="center"/>
    </xf>
    <xf numFmtId="0" fontId="0" fillId="2" borderId="4" xfId="0" applyFont="1" applyFill="1" applyBorder="1"/>
    <xf numFmtId="0" fontId="0" fillId="2" borderId="8" xfId="0" applyFont="1" applyFill="1" applyBorder="1"/>
    <xf numFmtId="169" fontId="9" fillId="2" borderId="6" xfId="0" applyNumberFormat="1" applyFont="1" applyFill="1" applyBorder="1" applyAlignment="1">
      <alignment horizontal="center" vertical="center"/>
    </xf>
    <xf numFmtId="169" fontId="9" fillId="2" borderId="11" xfId="0" applyNumberFormat="1" applyFont="1" applyFill="1" applyBorder="1" applyAlignment="1">
      <alignment horizontal="center" vertical="center"/>
    </xf>
    <xf numFmtId="169" fontId="9" fillId="2" borderId="9" xfId="0" applyNumberFormat="1" applyFont="1" applyFill="1" applyBorder="1" applyAlignment="1">
      <alignment horizontal="center" vertical="center"/>
    </xf>
    <xf numFmtId="0" fontId="9" fillId="2" borderId="9" xfId="0" applyFont="1" applyFill="1" applyBorder="1" applyAlignment="1">
      <alignment horizontal="center" vertical="center"/>
    </xf>
    <xf numFmtId="4" fontId="9" fillId="2" borderId="2" xfId="0" applyNumberFormat="1" applyFont="1" applyFill="1" applyBorder="1" applyAlignment="1">
      <alignment horizontal="center" vertical="center"/>
    </xf>
    <xf numFmtId="4" fontId="9" fillId="2" borderId="9" xfId="0" applyNumberFormat="1" applyFont="1" applyFill="1" applyBorder="1" applyAlignment="1">
      <alignment horizontal="center" vertical="center"/>
    </xf>
    <xf numFmtId="166" fontId="9" fillId="2" borderId="2" xfId="0" applyNumberFormat="1" applyFont="1" applyFill="1" applyBorder="1" applyAlignment="1">
      <alignment horizontal="center" vertical="center"/>
    </xf>
    <xf numFmtId="166" fontId="9" fillId="2" borderId="0" xfId="0" applyNumberFormat="1" applyFont="1" applyFill="1" applyBorder="1" applyAlignment="1">
      <alignment horizontal="center" vertical="center"/>
    </xf>
    <xf numFmtId="166" fontId="9" fillId="2" borderId="9" xfId="0" applyNumberFormat="1" applyFont="1" applyFill="1" applyBorder="1" applyAlignment="1">
      <alignment horizontal="center" vertical="center"/>
    </xf>
    <xf numFmtId="3" fontId="9" fillId="2" borderId="2" xfId="0" applyNumberFormat="1" applyFont="1" applyFill="1" applyBorder="1" applyAlignment="1">
      <alignment horizontal="center" vertical="center"/>
    </xf>
    <xf numFmtId="3" fontId="9" fillId="2" borderId="9" xfId="0" applyNumberFormat="1" applyFont="1" applyFill="1" applyBorder="1" applyAlignment="1">
      <alignment horizontal="center" vertical="center"/>
    </xf>
    <xf numFmtId="170" fontId="9" fillId="2" borderId="0" xfId="0" applyNumberFormat="1" applyFont="1" applyFill="1" applyBorder="1" applyAlignment="1">
      <alignment horizontal="center" vertical="center"/>
    </xf>
    <xf numFmtId="0" fontId="9" fillId="6" borderId="25" xfId="0" applyFont="1" applyFill="1" applyBorder="1" applyAlignment="1">
      <alignment horizontal="center" vertical="center"/>
    </xf>
    <xf numFmtId="0" fontId="0" fillId="7" borderId="20" xfId="0" applyNumberFormat="1" applyFill="1" applyBorder="1" applyAlignment="1">
      <alignment horizontal="center" vertical="center" wrapText="1"/>
    </xf>
    <xf numFmtId="3" fontId="6" fillId="7" borderId="18" xfId="0" applyNumberFormat="1" applyFont="1" applyFill="1" applyBorder="1" applyAlignment="1">
      <alignment horizontal="center" vertical="center"/>
    </xf>
    <xf numFmtId="167" fontId="6" fillId="7" borderId="18" xfId="0" applyNumberFormat="1" applyFont="1" applyFill="1" applyBorder="1" applyAlignment="1">
      <alignment horizontal="center" vertical="center"/>
    </xf>
    <xf numFmtId="170" fontId="6" fillId="7" borderId="18" xfId="0" applyNumberFormat="1" applyFont="1" applyFill="1" applyBorder="1" applyAlignment="1">
      <alignment horizontal="center" vertical="center"/>
    </xf>
    <xf numFmtId="4" fontId="0" fillId="7" borderId="18" xfId="0" applyNumberFormat="1" applyFill="1" applyBorder="1" applyAlignment="1">
      <alignment horizontal="center"/>
    </xf>
    <xf numFmtId="0" fontId="0" fillId="2" borderId="33" xfId="0" applyFill="1" applyBorder="1"/>
    <xf numFmtId="0" fontId="6" fillId="4" borderId="33" xfId="0" applyFont="1" applyFill="1" applyBorder="1" applyAlignment="1">
      <alignment horizontal="center" vertical="center"/>
    </xf>
    <xf numFmtId="0" fontId="0" fillId="2" borderId="31" xfId="0" applyFill="1" applyBorder="1"/>
    <xf numFmtId="3" fontId="9" fillId="4" borderId="31" xfId="0" applyNumberFormat="1" applyFont="1" applyFill="1" applyBorder="1" applyAlignment="1">
      <alignment horizontal="center" vertical="center"/>
    </xf>
    <xf numFmtId="0" fontId="5" fillId="0" borderId="0" xfId="0" quotePrefix="1" applyFont="1"/>
    <xf numFmtId="0" fontId="0" fillId="4" borderId="1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6" fillId="4" borderId="0" xfId="0" applyFont="1" applyFill="1" applyBorder="1"/>
    <xf numFmtId="0" fontId="0" fillId="4" borderId="17" xfId="0" applyFill="1" applyBorder="1" applyAlignment="1">
      <alignment horizontal="center" vertical="center"/>
    </xf>
    <xf numFmtId="0" fontId="9" fillId="6" borderId="19" xfId="0" applyFont="1" applyFill="1" applyBorder="1" applyAlignment="1">
      <alignment horizontal="center" vertical="center"/>
    </xf>
    <xf numFmtId="0" fontId="27" fillId="0" borderId="0" xfId="0" applyFont="1"/>
    <xf numFmtId="0" fontId="9" fillId="3" borderId="5" xfId="0" applyFont="1" applyFill="1" applyBorder="1" applyAlignment="1">
      <alignment horizontal="center" vertical="center"/>
    </xf>
    <xf numFmtId="169" fontId="9" fillId="3" borderId="6" xfId="0" applyNumberFormat="1" applyFont="1" applyFill="1" applyBorder="1" applyAlignment="1">
      <alignment horizontal="center" vertical="center"/>
    </xf>
    <xf numFmtId="169" fontId="9" fillId="3" borderId="11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169" fontId="9" fillId="3" borderId="0" xfId="0" applyNumberFormat="1" applyFont="1" applyFill="1" applyBorder="1" applyAlignment="1">
      <alignment horizontal="center" vertical="center"/>
    </xf>
    <xf numFmtId="0" fontId="9" fillId="3" borderId="0" xfId="0" applyFont="1" applyFill="1" applyBorder="1" applyAlignment="1">
      <alignment horizontal="center" vertical="center"/>
    </xf>
    <xf numFmtId="166" fontId="9" fillId="3" borderId="0" xfId="0" applyNumberFormat="1" applyFont="1" applyFill="1" applyBorder="1" applyAlignment="1">
      <alignment horizontal="center" vertical="center"/>
    </xf>
    <xf numFmtId="3" fontId="9" fillId="3" borderId="0" xfId="0" applyNumberFormat="1" applyFont="1" applyFill="1" applyBorder="1" applyAlignment="1">
      <alignment horizontal="center" vertical="center"/>
    </xf>
    <xf numFmtId="4" fontId="9" fillId="3" borderId="0" xfId="0" applyNumberFormat="1" applyFont="1" applyFill="1" applyBorder="1" applyAlignment="1">
      <alignment horizontal="center" vertical="center"/>
    </xf>
    <xf numFmtId="0" fontId="9" fillId="3" borderId="7" xfId="0" applyFont="1" applyFill="1" applyBorder="1" applyAlignment="1">
      <alignment horizontal="center" vertical="center"/>
    </xf>
    <xf numFmtId="169" fontId="9" fillId="3" borderId="9" xfId="0" applyNumberFormat="1" applyFont="1" applyFill="1" applyBorder="1" applyAlignment="1">
      <alignment horizontal="center" vertical="center"/>
    </xf>
    <xf numFmtId="0" fontId="9" fillId="3" borderId="9" xfId="0" applyFont="1" applyFill="1" applyBorder="1" applyAlignment="1">
      <alignment horizontal="center" vertical="center"/>
    </xf>
    <xf numFmtId="166" fontId="9" fillId="3" borderId="9" xfId="0" applyNumberFormat="1" applyFont="1" applyFill="1" applyBorder="1" applyAlignment="1">
      <alignment horizontal="center" vertical="center"/>
    </xf>
    <xf numFmtId="3" fontId="9" fillId="3" borderId="9" xfId="0" applyNumberFormat="1" applyFont="1" applyFill="1" applyBorder="1" applyAlignment="1">
      <alignment horizontal="center" vertical="center"/>
    </xf>
    <xf numFmtId="4" fontId="9" fillId="3" borderId="9" xfId="0" applyNumberFormat="1" applyFont="1" applyFill="1" applyBorder="1" applyAlignment="1">
      <alignment horizontal="center" vertical="center"/>
    </xf>
    <xf numFmtId="0" fontId="9" fillId="3" borderId="10" xfId="0" applyFont="1" applyFill="1" applyBorder="1" applyAlignment="1">
      <alignment horizontal="center" vertical="center"/>
    </xf>
    <xf numFmtId="3" fontId="9" fillId="3" borderId="2" xfId="0" applyNumberFormat="1" applyFont="1" applyFill="1" applyBorder="1" applyAlignment="1">
      <alignment horizontal="center" vertical="center"/>
    </xf>
    <xf numFmtId="4" fontId="9" fillId="3" borderId="2" xfId="0" applyNumberFormat="1" applyFont="1" applyFill="1" applyBorder="1" applyAlignment="1">
      <alignment horizontal="center" vertical="center"/>
    </xf>
    <xf numFmtId="0" fontId="9" fillId="3" borderId="3" xfId="0" applyFont="1" applyFill="1" applyBorder="1" applyAlignment="1">
      <alignment horizontal="center" vertical="center"/>
    </xf>
    <xf numFmtId="169" fontId="9" fillId="5" borderId="0" xfId="0" applyNumberFormat="1" applyFont="1" applyFill="1" applyBorder="1" applyAlignment="1">
      <alignment horizontal="center" vertical="center"/>
    </xf>
    <xf numFmtId="3" fontId="9" fillId="5" borderId="0" xfId="0" applyNumberFormat="1" applyFont="1" applyFill="1" applyBorder="1" applyAlignment="1">
      <alignment horizontal="center" vertical="center"/>
    </xf>
    <xf numFmtId="164" fontId="9" fillId="5" borderId="0" xfId="0" applyNumberFormat="1" applyFont="1" applyFill="1" applyBorder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164" fontId="9" fillId="3" borderId="0" xfId="0" applyNumberFormat="1" applyFont="1" applyFill="1" applyBorder="1" applyAlignment="1">
      <alignment horizontal="center" vertical="center"/>
    </xf>
    <xf numFmtId="164" fontId="9" fillId="3" borderId="9" xfId="0" applyNumberFormat="1" applyFont="1" applyFill="1" applyBorder="1" applyAlignment="1">
      <alignment horizontal="center" vertical="center"/>
    </xf>
    <xf numFmtId="4" fontId="9" fillId="3" borderId="7" xfId="0" applyNumberFormat="1" applyFont="1" applyFill="1" applyBorder="1" applyAlignment="1">
      <alignment horizontal="center" vertical="center"/>
    </xf>
    <xf numFmtId="4" fontId="9" fillId="3" borderId="10" xfId="0" applyNumberFormat="1" applyFont="1" applyFill="1" applyBorder="1" applyAlignment="1">
      <alignment horizontal="center" vertical="center"/>
    </xf>
    <xf numFmtId="10" fontId="9" fillId="5" borderId="0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3" fontId="9" fillId="0" borderId="17" xfId="0" applyNumberFormat="1" applyFont="1" applyBorder="1" applyAlignment="1">
      <alignment horizontal="center" vertical="center"/>
    </xf>
    <xf numFmtId="170" fontId="9" fillId="4" borderId="18" xfId="0" applyNumberFormat="1" applyFont="1" applyFill="1" applyBorder="1" applyAlignment="1">
      <alignment horizontal="center" vertical="center"/>
    </xf>
    <xf numFmtId="0" fontId="22" fillId="0" borderId="13" xfId="0" applyFont="1" applyFill="1" applyBorder="1" applyAlignment="1">
      <alignment horizontal="center" vertical="center" textRotation="90"/>
    </xf>
    <xf numFmtId="0" fontId="22" fillId="0" borderId="4" xfId="0" applyFont="1" applyBorder="1" applyAlignment="1">
      <alignment horizontal="center" vertical="center" textRotation="90"/>
    </xf>
    <xf numFmtId="0" fontId="22" fillId="0" borderId="14" xfId="0" applyFont="1" applyBorder="1" applyAlignment="1">
      <alignment horizontal="center" vertical="center" textRotation="90"/>
    </xf>
    <xf numFmtId="0" fontId="21" fillId="0" borderId="13" xfId="0" applyFont="1" applyFill="1" applyBorder="1" applyAlignment="1">
      <alignment horizontal="center" vertical="center" textRotation="90" wrapText="1"/>
    </xf>
    <xf numFmtId="0" fontId="21" fillId="0" borderId="4" xfId="0" applyFont="1" applyBorder="1" applyAlignment="1">
      <alignment horizontal="center" vertical="center" textRotation="90"/>
    </xf>
    <xf numFmtId="0" fontId="21" fillId="0" borderId="14" xfId="0" applyFont="1" applyBorder="1" applyAlignment="1">
      <alignment horizontal="center" vertical="center" textRotation="90"/>
    </xf>
    <xf numFmtId="0" fontId="22" fillId="0" borderId="13" xfId="0" applyFont="1" applyFill="1" applyBorder="1" applyAlignment="1">
      <alignment horizontal="center" vertical="center" textRotation="90" wrapText="1"/>
    </xf>
    <xf numFmtId="0" fontId="22" fillId="0" borderId="4" xfId="0" applyFont="1" applyBorder="1" applyAlignment="1">
      <alignment horizontal="center" vertical="center" textRotation="90" wrapText="1"/>
    </xf>
    <xf numFmtId="0" fontId="22" fillId="0" borderId="8" xfId="0" applyFont="1" applyBorder="1" applyAlignment="1">
      <alignment horizontal="center" vertical="center" textRotation="90" wrapText="1"/>
    </xf>
    <xf numFmtId="0" fontId="0" fillId="7" borderId="18" xfId="0" applyNumberFormat="1" applyFill="1" applyBorder="1" applyAlignment="1">
      <alignment horizontal="center" vertical="center" wrapText="1"/>
    </xf>
    <xf numFmtId="0" fontId="9" fillId="2" borderId="2" xfId="0" applyFont="1" applyFill="1" applyBorder="1" applyAlignment="1">
      <alignment horizontal="center"/>
    </xf>
    <xf numFmtId="0" fontId="9" fillId="2" borderId="3" xfId="0" applyFont="1" applyFill="1" applyBorder="1" applyAlignment="1">
      <alignment horizontal="center"/>
    </xf>
    <xf numFmtId="0" fontId="9" fillId="2" borderId="0" xfId="0" applyFont="1" applyFill="1" applyBorder="1" applyAlignment="1">
      <alignment horizontal="center"/>
    </xf>
    <xf numFmtId="0" fontId="9" fillId="2" borderId="7" xfId="0" applyFont="1" applyFill="1" applyBorder="1" applyAlignment="1">
      <alignment horizontal="center"/>
    </xf>
    <xf numFmtId="10" fontId="9" fillId="2" borderId="0" xfId="0" applyNumberFormat="1" applyFont="1" applyFill="1" applyBorder="1" applyAlignment="1">
      <alignment horizontal="center"/>
    </xf>
    <xf numFmtId="10" fontId="9" fillId="2" borderId="9" xfId="0" applyNumberFormat="1" applyFont="1" applyFill="1" applyBorder="1" applyAlignment="1">
      <alignment horizontal="center"/>
    </xf>
    <xf numFmtId="0" fontId="9" fillId="2" borderId="9" xfId="0" applyFont="1" applyFill="1" applyBorder="1" applyAlignment="1">
      <alignment horizontal="center"/>
    </xf>
    <xf numFmtId="0" fontId="9" fillId="2" borderId="10" xfId="0" applyFont="1" applyFill="1" applyBorder="1" applyAlignment="1">
      <alignment horizontal="center"/>
    </xf>
    <xf numFmtId="4" fontId="9" fillId="2" borderId="0" xfId="0" applyNumberFormat="1" applyFont="1" applyFill="1" applyBorder="1" applyAlignment="1">
      <alignment horizontal="center"/>
    </xf>
    <xf numFmtId="4" fontId="9" fillId="2" borderId="9" xfId="0" applyNumberFormat="1" applyFont="1" applyFill="1" applyBorder="1" applyAlignment="1">
      <alignment horizontal="center"/>
    </xf>
    <xf numFmtId="166" fontId="9" fillId="2" borderId="0" xfId="0" applyNumberFormat="1" applyFont="1" applyFill="1" applyBorder="1" applyAlignment="1">
      <alignment horizontal="center"/>
    </xf>
    <xf numFmtId="166" fontId="9" fillId="2" borderId="9" xfId="0" applyNumberFormat="1" applyFont="1" applyFill="1" applyBorder="1" applyAlignment="1">
      <alignment horizontal="center"/>
    </xf>
    <xf numFmtId="10" fontId="9" fillId="2" borderId="7" xfId="0" applyNumberFormat="1" applyFont="1" applyFill="1" applyBorder="1" applyAlignment="1">
      <alignment horizontal="center"/>
    </xf>
    <xf numFmtId="10" fontId="9" fillId="2" borderId="10" xfId="0" applyNumberFormat="1" applyFont="1" applyFill="1" applyBorder="1" applyAlignment="1">
      <alignment horizontal="center"/>
    </xf>
    <xf numFmtId="0" fontId="0" fillId="2" borderId="4" xfId="0" applyNumberFormat="1" applyFill="1" applyBorder="1" applyAlignment="1">
      <alignment horizontal="left" vertical="center" wrapText="1"/>
    </xf>
    <xf numFmtId="3" fontId="6" fillId="4" borderId="4" xfId="0" applyNumberFormat="1" applyFont="1" applyFill="1" applyBorder="1" applyAlignment="1">
      <alignment horizontal="center" vertical="center"/>
    </xf>
    <xf numFmtId="0" fontId="9" fillId="4" borderId="0" xfId="0" applyFont="1" applyFill="1"/>
    <xf numFmtId="0" fontId="9" fillId="4" borderId="5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169" fontId="9" fillId="4" borderId="6" xfId="0" applyNumberFormat="1" applyFont="1" applyFill="1" applyBorder="1" applyAlignment="1">
      <alignment horizontal="center" vertical="center"/>
    </xf>
    <xf numFmtId="169" fontId="9" fillId="4" borderId="0" xfId="0" applyNumberFormat="1" applyFont="1" applyFill="1" applyBorder="1" applyAlignment="1">
      <alignment horizontal="center" vertical="center"/>
    </xf>
    <xf numFmtId="3" fontId="9" fillId="4" borderId="0" xfId="0" applyNumberFormat="1" applyFont="1" applyFill="1" applyBorder="1" applyAlignment="1">
      <alignment horizontal="center" vertical="center"/>
    </xf>
    <xf numFmtId="166" fontId="9" fillId="4" borderId="0" xfId="0" applyNumberFormat="1" applyFont="1" applyFill="1" applyBorder="1" applyAlignment="1">
      <alignment horizontal="center" vertical="center"/>
    </xf>
    <xf numFmtId="169" fontId="9" fillId="4" borderId="11" xfId="0" applyNumberFormat="1" applyFont="1" applyFill="1" applyBorder="1" applyAlignment="1">
      <alignment horizontal="center" vertical="center"/>
    </xf>
    <xf numFmtId="169" fontId="9" fillId="4" borderId="9" xfId="0" applyNumberFormat="1" applyFont="1" applyFill="1" applyBorder="1" applyAlignment="1">
      <alignment horizontal="center" vertical="center"/>
    </xf>
    <xf numFmtId="3" fontId="9" fillId="4" borderId="9" xfId="0" applyNumberFormat="1" applyFont="1" applyFill="1" applyBorder="1" applyAlignment="1">
      <alignment horizontal="center" vertical="center"/>
    </xf>
    <xf numFmtId="166" fontId="9" fillId="4" borderId="9" xfId="0" applyNumberFormat="1" applyFont="1" applyFill="1" applyBorder="1" applyAlignment="1">
      <alignment horizontal="center" vertical="center"/>
    </xf>
    <xf numFmtId="4" fontId="9" fillId="5" borderId="0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/>
    </xf>
    <xf numFmtId="0" fontId="9" fillId="4" borderId="3" xfId="0" applyFont="1" applyFill="1" applyBorder="1" applyAlignment="1">
      <alignment horizontal="center"/>
    </xf>
    <xf numFmtId="4" fontId="9" fillId="4" borderId="0" xfId="0" applyNumberFormat="1" applyFont="1" applyFill="1" applyBorder="1" applyAlignment="1">
      <alignment horizontal="center" vertical="center"/>
    </xf>
    <xf numFmtId="166" fontId="9" fillId="4" borderId="0" xfId="0" applyNumberFormat="1" applyFont="1" applyFill="1" applyBorder="1" applyAlignment="1">
      <alignment horizontal="center"/>
    </xf>
    <xf numFmtId="4" fontId="9" fillId="4" borderId="7" xfId="0" applyNumberFormat="1" applyFont="1" applyFill="1" applyBorder="1" applyAlignment="1">
      <alignment horizontal="center"/>
    </xf>
    <xf numFmtId="4" fontId="9" fillId="4" borderId="9" xfId="0" applyNumberFormat="1" applyFont="1" applyFill="1" applyBorder="1" applyAlignment="1">
      <alignment horizontal="center" vertical="center"/>
    </xf>
    <xf numFmtId="166" fontId="9" fillId="4" borderId="9" xfId="0" applyNumberFormat="1" applyFont="1" applyFill="1" applyBorder="1" applyAlignment="1">
      <alignment horizontal="center"/>
    </xf>
    <xf numFmtId="4" fontId="9" fillId="4" borderId="10" xfId="0" applyNumberFormat="1" applyFont="1" applyFill="1" applyBorder="1" applyAlignment="1">
      <alignment horizontal="center"/>
    </xf>
    <xf numFmtId="166" fontId="9" fillId="4" borderId="2" xfId="0" applyNumberFormat="1" applyFont="1" applyFill="1" applyBorder="1" applyAlignment="1">
      <alignment horizontal="center" vertical="center"/>
    </xf>
    <xf numFmtId="3" fontId="9" fillId="4" borderId="2" xfId="0" applyNumberFormat="1" applyFont="1" applyFill="1" applyBorder="1" applyAlignment="1">
      <alignment horizontal="center" vertical="center"/>
    </xf>
    <xf numFmtId="4" fontId="9" fillId="4" borderId="2" xfId="0" applyNumberFormat="1" applyFont="1" applyFill="1" applyBorder="1" applyAlignment="1">
      <alignment horizontal="center" vertical="center"/>
    </xf>
    <xf numFmtId="0" fontId="9" fillId="4" borderId="0" xfId="0" applyFont="1" applyFill="1" applyBorder="1" applyAlignment="1">
      <alignment horizontal="center" vertical="center"/>
    </xf>
    <xf numFmtId="168" fontId="9" fillId="4" borderId="0" xfId="0" applyNumberFormat="1" applyFont="1" applyFill="1" applyBorder="1" applyAlignment="1">
      <alignment horizontal="center" vertical="center"/>
    </xf>
    <xf numFmtId="0" fontId="9" fillId="4" borderId="9" xfId="0" applyFont="1" applyFill="1" applyBorder="1" applyAlignment="1">
      <alignment horizontal="center" vertical="center"/>
    </xf>
    <xf numFmtId="168" fontId="9" fillId="4" borderId="9" xfId="0" applyNumberFormat="1" applyFont="1" applyFill="1" applyBorder="1" applyAlignment="1">
      <alignment horizontal="center" vertical="center"/>
    </xf>
    <xf numFmtId="0" fontId="9" fillId="4" borderId="2" xfId="0" applyFont="1" applyFill="1" applyBorder="1"/>
    <xf numFmtId="0" fontId="9" fillId="4" borderId="3" xfId="0" applyFont="1" applyFill="1" applyBorder="1"/>
    <xf numFmtId="0" fontId="9" fillId="4" borderId="0" xfId="0" applyFont="1" applyFill="1" applyBorder="1"/>
    <xf numFmtId="0" fontId="9" fillId="4" borderId="7" xfId="0" applyFont="1" applyFill="1" applyBorder="1"/>
    <xf numFmtId="0" fontId="9" fillId="4" borderId="9" xfId="0" applyFont="1" applyFill="1" applyBorder="1"/>
    <xf numFmtId="0" fontId="9" fillId="4" borderId="10" xfId="0" applyFont="1" applyFill="1" applyBorder="1"/>
    <xf numFmtId="165" fontId="9" fillId="4" borderId="0" xfId="0" applyNumberFormat="1" applyFont="1" applyFill="1" applyBorder="1" applyAlignment="1">
      <alignment horizontal="center" vertical="center"/>
    </xf>
    <xf numFmtId="165" fontId="9" fillId="4" borderId="9" xfId="0" applyNumberFormat="1" applyFont="1" applyFill="1" applyBorder="1" applyAlignment="1">
      <alignment horizontal="center" vertical="center"/>
    </xf>
    <xf numFmtId="170" fontId="9" fillId="4" borderId="0" xfId="0" applyNumberFormat="1" applyFont="1" applyFill="1" applyBorder="1" applyAlignment="1">
      <alignment horizontal="center" vertical="center"/>
    </xf>
    <xf numFmtId="170" fontId="9" fillId="4" borderId="9" xfId="0" applyNumberFormat="1" applyFont="1" applyFill="1" applyBorder="1" applyAlignment="1">
      <alignment horizontal="center" vertical="center"/>
    </xf>
    <xf numFmtId="0" fontId="9" fillId="4" borderId="0" xfId="0" applyFont="1" applyFill="1" applyBorder="1" applyAlignment="1">
      <alignment horizontal="center"/>
    </xf>
    <xf numFmtId="0" fontId="9" fillId="4" borderId="7" xfId="0" applyFont="1" applyFill="1" applyBorder="1" applyAlignment="1">
      <alignment horizontal="center"/>
    </xf>
    <xf numFmtId="0" fontId="9" fillId="4" borderId="9" xfId="0" applyFont="1" applyFill="1" applyBorder="1" applyAlignment="1">
      <alignment horizontal="center"/>
    </xf>
    <xf numFmtId="3" fontId="9" fillId="4" borderId="7" xfId="0" applyNumberFormat="1" applyFont="1" applyFill="1" applyBorder="1" applyAlignment="1">
      <alignment horizontal="center"/>
    </xf>
    <xf numFmtId="3" fontId="9" fillId="4" borderId="10" xfId="0" applyNumberFormat="1" applyFont="1" applyFill="1" applyBorder="1" applyAlignment="1">
      <alignment horizontal="center"/>
    </xf>
  </cellXfs>
  <cellStyles count="3">
    <cellStyle name="Comma [0]" xfId="2" builtinId="6"/>
    <cellStyle name="Normal" xfId="0" builtinId="0"/>
    <cellStyle name="標準_Input_OutPut20060417" xfId="1"/>
  </cellStyles>
  <dxfs count="0"/>
  <tableStyles count="0" defaultTableStyle="TableStyleMedium2" defaultPivotStyle="PivotStyleLight16"/>
  <colors>
    <mruColors>
      <color rgb="FF006600"/>
      <color rgb="FF0000FF"/>
      <color rgb="FFFFFFCC"/>
      <color rgb="FF3399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1"/>
  </sheetPr>
  <dimension ref="B2:C3"/>
  <sheetViews>
    <sheetView showGridLines="0" workbookViewId="0"/>
  </sheetViews>
  <sheetFormatPr defaultRowHeight="15" x14ac:dyDescent="0.25"/>
  <cols>
    <col min="2" max="3" width="15.85546875" customWidth="1"/>
  </cols>
  <sheetData>
    <row r="2" spans="2:3" x14ac:dyDescent="0.25">
      <c r="B2" s="133" t="s">
        <v>237</v>
      </c>
    </row>
    <row r="3" spans="2:3" x14ac:dyDescent="0.25">
      <c r="B3" s="142" t="s">
        <v>10</v>
      </c>
      <c r="C3" s="141">
        <v>42419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3"/>
  </sheetPr>
  <dimension ref="A2:N90"/>
  <sheetViews>
    <sheetView showGridLines="0" workbookViewId="0"/>
  </sheetViews>
  <sheetFormatPr defaultRowHeight="15" x14ac:dyDescent="0.25"/>
  <cols>
    <col min="1" max="1" width="10.7109375" customWidth="1"/>
    <col min="2" max="2" width="2.7109375" customWidth="1"/>
    <col min="3" max="3" width="25.140625" bestFit="1" customWidth="1"/>
    <col min="4" max="4" width="32.85546875" customWidth="1"/>
    <col min="5" max="5" width="10.7109375" customWidth="1"/>
    <col min="6" max="8" width="12.7109375" customWidth="1"/>
    <col min="9" max="9" width="15.7109375" customWidth="1"/>
    <col min="10" max="10" width="20.7109375" customWidth="1"/>
    <col min="11" max="11" width="12.7109375" customWidth="1"/>
    <col min="12" max="13" width="15.7109375" customWidth="1"/>
    <col min="14" max="14" width="2.7109375" customWidth="1"/>
  </cols>
  <sheetData>
    <row r="2" spans="2:14" x14ac:dyDescent="0.25">
      <c r="B2" s="122" t="s">
        <v>291</v>
      </c>
    </row>
    <row r="3" spans="2:14" x14ac:dyDescent="0.25">
      <c r="B3" s="61"/>
    </row>
    <row r="4" spans="2:14" x14ac:dyDescent="0.25">
      <c r="B4" s="61"/>
    </row>
    <row r="5" spans="2:14" x14ac:dyDescent="0.25">
      <c r="B5" s="117" t="s">
        <v>199</v>
      </c>
    </row>
    <row r="6" spans="2:14" x14ac:dyDescent="0.25">
      <c r="B6" s="2"/>
      <c r="C6" s="45"/>
      <c r="D6" s="46"/>
      <c r="E6" s="3"/>
      <c r="F6" s="3"/>
      <c r="G6" s="3"/>
      <c r="H6" s="3"/>
      <c r="I6" s="3"/>
      <c r="J6" s="3"/>
      <c r="K6" s="3"/>
      <c r="L6" s="3"/>
      <c r="M6" s="3"/>
      <c r="N6" s="4"/>
    </row>
    <row r="7" spans="2:14" x14ac:dyDescent="0.25">
      <c r="B7" s="5"/>
      <c r="C7" s="118" t="s">
        <v>199</v>
      </c>
      <c r="D7" s="127" t="str">
        <f ca="1">IF(NOW(),_xll.meLWOCurveCreateOIS("EUROIS_19FEB16",Curve.CollectionName,Curve.MarketDataTable,Curve.OISIndexName,Curve.BuildProperties,OIS.Conventions,OIS.MarketData,OIS.FixingTable,LiborOISBasis.Conventions,LiborOISBasis.MarketData,LiborSwap.Conventions,LiborSwap.MarketData),"Error Building OIS Curve")</f>
        <v>EUROIS_19FEB16:0</v>
      </c>
      <c r="E7" s="7" t="s">
        <v>4</v>
      </c>
      <c r="F7" s="7"/>
      <c r="G7" s="7"/>
      <c r="H7" s="7"/>
      <c r="I7" s="7"/>
      <c r="J7" s="7"/>
      <c r="K7" s="7"/>
      <c r="L7" s="7"/>
      <c r="M7" s="7"/>
      <c r="N7" s="8"/>
    </row>
    <row r="8" spans="2:14" x14ac:dyDescent="0.25">
      <c r="B8" s="5"/>
      <c r="C8" s="114" t="s">
        <v>192</v>
      </c>
      <c r="D8" s="115" t="b">
        <f ca="1">_xll.meLWOExists(D7,"CURVE")</f>
        <v>1</v>
      </c>
      <c r="E8" s="7" t="s">
        <v>4</v>
      </c>
      <c r="F8" s="7"/>
      <c r="G8" s="7"/>
      <c r="H8" s="7"/>
      <c r="I8" s="7"/>
      <c r="J8" s="7"/>
      <c r="K8" s="7"/>
      <c r="L8" s="7"/>
      <c r="M8" s="7"/>
      <c r="N8" s="8"/>
    </row>
    <row r="9" spans="2:14" x14ac:dyDescent="0.25">
      <c r="B9" s="5"/>
      <c r="C9" s="6"/>
      <c r="D9" s="60"/>
      <c r="E9" s="7"/>
      <c r="F9" s="7"/>
      <c r="G9" s="7"/>
      <c r="H9" s="7"/>
      <c r="I9" s="7"/>
      <c r="J9" s="7"/>
      <c r="K9" s="7"/>
      <c r="L9" s="7"/>
      <c r="M9" s="7"/>
      <c r="N9" s="8"/>
    </row>
    <row r="10" spans="2:14" x14ac:dyDescent="0.25">
      <c r="B10" s="5"/>
      <c r="C10" s="48" t="s">
        <v>0</v>
      </c>
      <c r="D10" s="57"/>
      <c r="E10" s="7"/>
      <c r="F10" s="7"/>
      <c r="G10" s="7"/>
      <c r="H10" s="7"/>
      <c r="I10" s="7"/>
      <c r="J10" s="7"/>
      <c r="K10" s="7"/>
      <c r="L10" s="7"/>
      <c r="M10" s="7"/>
      <c r="N10" s="8"/>
    </row>
    <row r="11" spans="2:14" x14ac:dyDescent="0.25">
      <c r="B11" s="5"/>
      <c r="C11" s="27" t="s">
        <v>88</v>
      </c>
      <c r="D11" s="103" t="s">
        <v>80</v>
      </c>
      <c r="E11" s="7"/>
      <c r="F11" s="7"/>
      <c r="G11" s="7"/>
      <c r="H11" s="7"/>
      <c r="I11" s="7"/>
      <c r="J11" s="7"/>
      <c r="K11" s="7"/>
      <c r="L11" s="7"/>
      <c r="M11" s="7"/>
      <c r="N11" s="8"/>
    </row>
    <row r="12" spans="2:14" x14ac:dyDescent="0.25">
      <c r="B12" s="5"/>
      <c r="C12" s="28" t="s">
        <v>87</v>
      </c>
      <c r="D12" s="104" t="s">
        <v>9</v>
      </c>
      <c r="E12" s="7"/>
      <c r="F12" s="7"/>
      <c r="G12" s="7"/>
      <c r="H12" s="7"/>
      <c r="I12" s="7"/>
      <c r="J12" s="7"/>
      <c r="K12" s="7"/>
      <c r="L12" s="7"/>
      <c r="M12" s="7"/>
      <c r="N12" s="8"/>
    </row>
    <row r="13" spans="2:14" x14ac:dyDescent="0.25">
      <c r="B13" s="5"/>
      <c r="C13" s="59" t="s">
        <v>89</v>
      </c>
      <c r="D13" s="106" t="s">
        <v>189</v>
      </c>
      <c r="E13" s="7"/>
      <c r="F13" s="7"/>
      <c r="G13" s="7"/>
      <c r="H13" s="7"/>
      <c r="I13" s="7" t="s">
        <v>4</v>
      </c>
      <c r="J13" s="7" t="s">
        <v>4</v>
      </c>
      <c r="K13" s="7" t="s">
        <v>4</v>
      </c>
      <c r="L13" s="7" t="s">
        <v>4</v>
      </c>
      <c r="M13" s="7" t="s">
        <v>4</v>
      </c>
      <c r="N13" s="8" t="s">
        <v>4</v>
      </c>
    </row>
    <row r="14" spans="2:14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3"/>
    </row>
    <row r="17" spans="1:14" x14ac:dyDescent="0.25">
      <c r="B17" s="56" t="s">
        <v>70</v>
      </c>
    </row>
    <row r="18" spans="1:14" x14ac:dyDescent="0.25">
      <c r="B18" s="2"/>
      <c r="C18" s="45"/>
      <c r="D18" s="46"/>
      <c r="E18" s="3"/>
      <c r="F18" s="3"/>
      <c r="G18" s="3"/>
      <c r="H18" s="62"/>
      <c r="I18" s="3"/>
      <c r="J18" s="3"/>
      <c r="K18" s="3"/>
      <c r="L18" s="3"/>
      <c r="M18" s="3"/>
      <c r="N18" s="4"/>
    </row>
    <row r="19" spans="1:14" x14ac:dyDescent="0.25">
      <c r="B19" s="5"/>
      <c r="C19" s="48" t="s">
        <v>70</v>
      </c>
      <c r="D19" s="47"/>
      <c r="E19" s="7"/>
      <c r="F19" s="50" t="s">
        <v>81</v>
      </c>
      <c r="G19" s="7"/>
      <c r="H19" s="7"/>
      <c r="I19" s="7"/>
      <c r="J19" s="7"/>
      <c r="K19" s="7"/>
      <c r="L19" s="7"/>
      <c r="M19" s="7"/>
      <c r="N19" s="8"/>
    </row>
    <row r="20" spans="1:14" x14ac:dyDescent="0.25">
      <c r="B20" s="5"/>
      <c r="C20" s="27" t="s">
        <v>10</v>
      </c>
      <c r="D20" s="103">
        <f ca="1">COB</f>
        <v>42419</v>
      </c>
      <c r="E20" s="7"/>
      <c r="F20" s="14" t="s">
        <v>82</v>
      </c>
      <c r="G20" s="15"/>
      <c r="H20" s="16"/>
      <c r="I20" s="7"/>
      <c r="J20" s="7"/>
      <c r="K20" s="7"/>
      <c r="L20" s="7"/>
      <c r="M20" s="7"/>
      <c r="N20" s="8"/>
    </row>
    <row r="21" spans="1:14" x14ac:dyDescent="0.25">
      <c r="A21" s="28"/>
      <c r="B21" s="5"/>
      <c r="C21" s="28" t="s">
        <v>16</v>
      </c>
      <c r="D21" s="104" t="s">
        <v>17</v>
      </c>
      <c r="E21" s="7"/>
      <c r="F21" s="17" t="s">
        <v>83</v>
      </c>
      <c r="G21" s="1"/>
      <c r="H21" s="18"/>
      <c r="I21" s="7"/>
      <c r="J21" s="7"/>
      <c r="K21" s="7"/>
      <c r="L21" s="7"/>
      <c r="M21" s="7"/>
      <c r="N21" s="8"/>
    </row>
    <row r="22" spans="1:14" x14ac:dyDescent="0.25">
      <c r="B22" s="5"/>
      <c r="C22" s="28" t="s">
        <v>24</v>
      </c>
      <c r="D22" s="107" t="s">
        <v>84</v>
      </c>
      <c r="E22" s="7"/>
      <c r="F22" s="17" t="s">
        <v>84</v>
      </c>
      <c r="G22" s="1"/>
      <c r="H22" s="18"/>
      <c r="I22" s="7"/>
      <c r="J22" s="7"/>
      <c r="K22" s="7"/>
      <c r="L22" s="7"/>
      <c r="M22" s="7"/>
      <c r="N22" s="8"/>
    </row>
    <row r="23" spans="1:14" x14ac:dyDescent="0.25">
      <c r="B23" s="5"/>
      <c r="C23" s="29"/>
      <c r="D23" s="104"/>
      <c r="E23" s="7"/>
      <c r="F23" s="17" t="s">
        <v>85</v>
      </c>
      <c r="G23" s="1"/>
      <c r="H23" s="18"/>
      <c r="I23" s="7"/>
      <c r="J23" s="7"/>
      <c r="K23" s="7"/>
      <c r="L23" s="7"/>
      <c r="M23" s="7"/>
      <c r="N23" s="8"/>
    </row>
    <row r="24" spans="1:14" x14ac:dyDescent="0.25">
      <c r="B24" s="5"/>
      <c r="C24" s="44"/>
      <c r="D24" s="106"/>
      <c r="E24" s="7"/>
      <c r="F24" s="21" t="s">
        <v>86</v>
      </c>
      <c r="G24" s="23"/>
      <c r="H24" s="22"/>
      <c r="I24" s="7"/>
      <c r="J24" s="7"/>
      <c r="K24" s="7"/>
      <c r="L24" s="7"/>
      <c r="M24" s="7"/>
      <c r="N24" s="8"/>
    </row>
    <row r="25" spans="1:14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3"/>
    </row>
    <row r="27" spans="1:14" x14ac:dyDescent="0.25">
      <c r="F27" s="63"/>
    </row>
    <row r="28" spans="1:14" x14ac:dyDescent="0.25">
      <c r="B28" s="56" t="s">
        <v>79</v>
      </c>
    </row>
    <row r="29" spans="1:14" x14ac:dyDescent="0.25"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4"/>
    </row>
    <row r="30" spans="1:14" x14ac:dyDescent="0.25">
      <c r="B30" s="5"/>
      <c r="C30" s="49" t="s">
        <v>5</v>
      </c>
      <c r="D30" s="10"/>
      <c r="E30" s="10"/>
      <c r="F30" s="49" t="s">
        <v>72</v>
      </c>
      <c r="G30" s="10"/>
      <c r="H30" s="10"/>
      <c r="I30" s="10"/>
      <c r="J30" s="10"/>
      <c r="K30" s="10"/>
      <c r="L30" s="49" t="s">
        <v>74</v>
      </c>
      <c r="M30" s="10"/>
      <c r="N30" s="55"/>
    </row>
    <row r="31" spans="1:14" x14ac:dyDescent="0.25">
      <c r="B31" s="5"/>
      <c r="C31" s="27" t="s">
        <v>3</v>
      </c>
      <c r="D31" s="34" t="s">
        <v>2</v>
      </c>
      <c r="E31" s="7"/>
      <c r="F31" s="58" t="s">
        <v>11</v>
      </c>
      <c r="G31" s="58" t="s">
        <v>12</v>
      </c>
      <c r="H31" s="58" t="s">
        <v>13</v>
      </c>
      <c r="I31" s="58" t="s">
        <v>14</v>
      </c>
      <c r="J31" s="58" t="s">
        <v>8</v>
      </c>
      <c r="K31" s="10"/>
      <c r="L31" s="58" t="s">
        <v>75</v>
      </c>
      <c r="M31" s="58" t="s">
        <v>12</v>
      </c>
      <c r="N31" s="55"/>
    </row>
    <row r="32" spans="1:14" x14ac:dyDescent="0.25">
      <c r="B32" s="5"/>
      <c r="C32" s="28" t="s">
        <v>7</v>
      </c>
      <c r="D32" s="35" t="s">
        <v>6</v>
      </c>
      <c r="E32" s="9"/>
      <c r="F32" s="24" t="s">
        <v>46</v>
      </c>
      <c r="G32" s="19">
        <v>-2.4299999999999999E-3</v>
      </c>
      <c r="H32" s="20" t="s">
        <v>37</v>
      </c>
      <c r="I32" s="20" t="s">
        <v>37</v>
      </c>
      <c r="J32" s="41" t="b">
        <v>1</v>
      </c>
      <c r="K32" s="10"/>
      <c r="L32" s="53"/>
      <c r="M32" s="51"/>
      <c r="N32" s="55"/>
    </row>
    <row r="33" spans="2:14" x14ac:dyDescent="0.25">
      <c r="B33" s="5"/>
      <c r="C33" s="28" t="s">
        <v>25</v>
      </c>
      <c r="D33" s="35" t="s">
        <v>26</v>
      </c>
      <c r="E33" s="9"/>
      <c r="F33" s="24" t="s">
        <v>48</v>
      </c>
      <c r="G33" s="19">
        <v>-3.3900000000000002E-3</v>
      </c>
      <c r="H33" s="20">
        <v>42481</v>
      </c>
      <c r="I33" s="20">
        <v>42523</v>
      </c>
      <c r="J33" s="41" t="b">
        <v>1</v>
      </c>
      <c r="K33" s="10"/>
      <c r="L33" s="53"/>
      <c r="M33" s="51"/>
      <c r="N33" s="55"/>
    </row>
    <row r="34" spans="2:14" x14ac:dyDescent="0.25">
      <c r="B34" s="5"/>
      <c r="C34" s="28" t="s">
        <v>15</v>
      </c>
      <c r="D34" s="35" t="s">
        <v>30</v>
      </c>
      <c r="E34" s="9"/>
      <c r="F34" s="24" t="s">
        <v>49</v>
      </c>
      <c r="G34" s="19">
        <v>-3.5299999999999997E-3</v>
      </c>
      <c r="H34" s="20">
        <v>42523</v>
      </c>
      <c r="I34" s="20">
        <v>42572</v>
      </c>
      <c r="J34" s="41" t="b">
        <v>1</v>
      </c>
      <c r="K34" s="10"/>
      <c r="L34" s="53"/>
      <c r="M34" s="51"/>
      <c r="N34" s="55"/>
    </row>
    <row r="35" spans="2:14" x14ac:dyDescent="0.25">
      <c r="B35" s="5"/>
      <c r="C35" s="28" t="s">
        <v>23</v>
      </c>
      <c r="D35" s="35" t="s">
        <v>22</v>
      </c>
      <c r="E35" s="9"/>
      <c r="F35" s="24" t="s">
        <v>51</v>
      </c>
      <c r="G35" s="19">
        <v>-3.5699999999999998E-3</v>
      </c>
      <c r="H35" s="20">
        <v>42572</v>
      </c>
      <c r="I35" s="20">
        <v>42621</v>
      </c>
      <c r="J35" s="41" t="b">
        <v>1</v>
      </c>
      <c r="K35" s="10"/>
      <c r="L35" s="53"/>
      <c r="M35" s="51"/>
      <c r="N35" s="55"/>
    </row>
    <row r="36" spans="2:14" x14ac:dyDescent="0.25">
      <c r="B36" s="5"/>
      <c r="C36" s="29" t="s">
        <v>31</v>
      </c>
      <c r="D36" s="35" t="b">
        <v>1</v>
      </c>
      <c r="E36" s="9"/>
      <c r="F36" s="24" t="s">
        <v>53</v>
      </c>
      <c r="G36" s="19">
        <v>-3.7799999999999999E-3</v>
      </c>
      <c r="H36" s="20">
        <v>42621</v>
      </c>
      <c r="I36" s="20">
        <v>42663</v>
      </c>
      <c r="J36" s="41" t="b">
        <v>1</v>
      </c>
      <c r="K36" s="10"/>
      <c r="L36" s="53"/>
      <c r="M36" s="51"/>
      <c r="N36" s="55"/>
    </row>
    <row r="37" spans="2:14" x14ac:dyDescent="0.25">
      <c r="B37" s="5"/>
      <c r="C37" s="30" t="s">
        <v>32</v>
      </c>
      <c r="D37" s="36">
        <v>31</v>
      </c>
      <c r="E37" s="9"/>
      <c r="F37" s="24" t="s">
        <v>55</v>
      </c>
      <c r="G37" s="19">
        <v>-3.8600000000000001E-3</v>
      </c>
      <c r="H37" s="20">
        <v>42663</v>
      </c>
      <c r="I37" s="20">
        <v>42712</v>
      </c>
      <c r="J37" s="41" t="b">
        <v>1</v>
      </c>
      <c r="K37" s="10"/>
      <c r="L37" s="53"/>
      <c r="M37" s="51"/>
      <c r="N37" s="55"/>
    </row>
    <row r="38" spans="2:14" x14ac:dyDescent="0.25">
      <c r="B38" s="5"/>
      <c r="C38" s="28" t="s">
        <v>33</v>
      </c>
      <c r="D38" s="35" t="s">
        <v>34</v>
      </c>
      <c r="E38" s="9"/>
      <c r="F38" s="24" t="s">
        <v>57</v>
      </c>
      <c r="G38" s="19">
        <v>-3.6900000000000001E-3</v>
      </c>
      <c r="H38" s="20" t="s">
        <v>37</v>
      </c>
      <c r="I38" s="20" t="s">
        <v>37</v>
      </c>
      <c r="J38" s="41" t="b">
        <v>1</v>
      </c>
      <c r="K38" s="10"/>
      <c r="L38" s="53"/>
      <c r="M38" s="51"/>
      <c r="N38" s="55"/>
    </row>
    <row r="39" spans="2:14" x14ac:dyDescent="0.25">
      <c r="B39" s="5"/>
      <c r="C39" s="28" t="s">
        <v>35</v>
      </c>
      <c r="D39" s="35" t="s">
        <v>36</v>
      </c>
      <c r="E39" s="9"/>
      <c r="F39" s="24" t="s">
        <v>59</v>
      </c>
      <c r="G39" s="19">
        <v>-3.79E-3</v>
      </c>
      <c r="H39" s="20" t="s">
        <v>37</v>
      </c>
      <c r="I39" s="20" t="s">
        <v>37</v>
      </c>
      <c r="J39" s="41" t="b">
        <v>1</v>
      </c>
      <c r="K39" s="10"/>
      <c r="L39" s="53"/>
      <c r="M39" s="51"/>
      <c r="N39" s="55"/>
    </row>
    <row r="40" spans="2:14" x14ac:dyDescent="0.25">
      <c r="B40" s="5"/>
      <c r="C40" s="28" t="s">
        <v>38</v>
      </c>
      <c r="D40" s="35" t="s">
        <v>39</v>
      </c>
      <c r="E40" s="9"/>
      <c r="F40" s="24" t="s">
        <v>47</v>
      </c>
      <c r="G40" s="19">
        <v>-3.7699999999999999E-3</v>
      </c>
      <c r="H40" s="20" t="s">
        <v>37</v>
      </c>
      <c r="I40" s="20" t="s">
        <v>37</v>
      </c>
      <c r="J40" s="41" t="b">
        <v>1</v>
      </c>
      <c r="K40" s="10"/>
      <c r="L40" s="53"/>
      <c r="M40" s="51"/>
      <c r="N40" s="55"/>
    </row>
    <row r="41" spans="2:14" x14ac:dyDescent="0.25">
      <c r="B41" s="5"/>
      <c r="C41" s="28" t="s">
        <v>40</v>
      </c>
      <c r="D41" s="35" t="s">
        <v>41</v>
      </c>
      <c r="E41" s="9"/>
      <c r="F41" s="24" t="s">
        <v>43</v>
      </c>
      <c r="G41" s="19">
        <v>-3.4000000000000002E-3</v>
      </c>
      <c r="H41" s="20" t="s">
        <v>37</v>
      </c>
      <c r="I41" s="20" t="s">
        <v>37</v>
      </c>
      <c r="J41" s="41" t="b">
        <v>1</v>
      </c>
      <c r="K41" s="10"/>
      <c r="L41" s="53"/>
      <c r="M41" s="51"/>
      <c r="N41" s="55"/>
    </row>
    <row r="42" spans="2:14" x14ac:dyDescent="0.25">
      <c r="B42" s="5"/>
      <c r="C42" s="28" t="s">
        <v>42</v>
      </c>
      <c r="D42" s="35" t="s">
        <v>43</v>
      </c>
      <c r="E42" s="9"/>
      <c r="F42" s="24" t="s">
        <v>50</v>
      </c>
      <c r="G42" s="19">
        <v>-2.6900000000000001E-3</v>
      </c>
      <c r="H42" s="20" t="s">
        <v>37</v>
      </c>
      <c r="I42" s="20" t="s">
        <v>37</v>
      </c>
      <c r="J42" s="41" t="b">
        <v>1</v>
      </c>
      <c r="K42" s="10"/>
      <c r="L42" s="53"/>
      <c r="M42" s="51"/>
      <c r="N42" s="55"/>
    </row>
    <row r="43" spans="2:14" x14ac:dyDescent="0.25">
      <c r="B43" s="5"/>
      <c r="C43" s="29" t="s">
        <v>44</v>
      </c>
      <c r="D43" s="35" t="s">
        <v>45</v>
      </c>
      <c r="E43" s="9"/>
      <c r="F43" s="24" t="s">
        <v>52</v>
      </c>
      <c r="G43" s="19">
        <v>-1.7499999999999998E-3</v>
      </c>
      <c r="H43" s="20" t="s">
        <v>37</v>
      </c>
      <c r="I43" s="20" t="s">
        <v>37</v>
      </c>
      <c r="J43" s="41" t="b">
        <v>1</v>
      </c>
      <c r="K43" s="10"/>
      <c r="L43" s="53"/>
      <c r="M43" s="51"/>
      <c r="N43" s="55"/>
    </row>
    <row r="44" spans="2:14" x14ac:dyDescent="0.25">
      <c r="B44" s="5"/>
      <c r="C44" s="28" t="s">
        <v>135</v>
      </c>
      <c r="D44" s="38">
        <v>1E-10</v>
      </c>
      <c r="E44" s="9"/>
      <c r="F44" s="24" t="s">
        <v>54</v>
      </c>
      <c r="G44" s="19">
        <v>-6.4000000000000005E-4</v>
      </c>
      <c r="H44" s="20" t="s">
        <v>37</v>
      </c>
      <c r="I44" s="20" t="s">
        <v>37</v>
      </c>
      <c r="J44" s="41" t="b">
        <v>1</v>
      </c>
      <c r="K44" s="10"/>
      <c r="L44" s="53"/>
      <c r="M44" s="51"/>
      <c r="N44" s="55"/>
    </row>
    <row r="45" spans="2:14" x14ac:dyDescent="0.25">
      <c r="B45" s="5"/>
      <c r="C45" s="28" t="s">
        <v>136</v>
      </c>
      <c r="D45" s="102">
        <v>1000</v>
      </c>
      <c r="E45" s="9"/>
      <c r="F45" s="24" t="s">
        <v>56</v>
      </c>
      <c r="G45" s="19">
        <v>5.6999999999999998E-4</v>
      </c>
      <c r="H45" s="20" t="s">
        <v>37</v>
      </c>
      <c r="I45" s="20" t="s">
        <v>37</v>
      </c>
      <c r="J45" s="41" t="b">
        <v>1</v>
      </c>
      <c r="K45" s="10"/>
      <c r="L45" s="53"/>
      <c r="M45" s="51"/>
      <c r="N45" s="55"/>
    </row>
    <row r="46" spans="2:14" x14ac:dyDescent="0.25">
      <c r="B46" s="5"/>
      <c r="C46" s="30" t="s">
        <v>296</v>
      </c>
      <c r="D46" s="35" t="s">
        <v>297</v>
      </c>
      <c r="E46" s="9"/>
      <c r="F46" s="24" t="s">
        <v>58</v>
      </c>
      <c r="G46" s="19">
        <v>1.83E-3</v>
      </c>
      <c r="H46" s="20" t="s">
        <v>37</v>
      </c>
      <c r="I46" s="20" t="s">
        <v>37</v>
      </c>
      <c r="J46" s="41" t="b">
        <v>1</v>
      </c>
      <c r="K46" s="10"/>
      <c r="L46" s="53"/>
      <c r="M46" s="51"/>
      <c r="N46" s="55"/>
    </row>
    <row r="47" spans="2:14" x14ac:dyDescent="0.25">
      <c r="B47" s="5"/>
      <c r="C47" s="32" t="s">
        <v>298</v>
      </c>
      <c r="D47" s="35" t="b">
        <v>1</v>
      </c>
      <c r="E47" s="9"/>
      <c r="F47" s="24" t="s">
        <v>60</v>
      </c>
      <c r="G47" s="19">
        <v>3.0599999999999998E-3</v>
      </c>
      <c r="H47" s="20" t="s">
        <v>37</v>
      </c>
      <c r="I47" s="20" t="s">
        <v>37</v>
      </c>
      <c r="J47" s="41" t="b">
        <v>1</v>
      </c>
      <c r="K47" s="10"/>
      <c r="L47" s="53"/>
      <c r="M47" s="51"/>
      <c r="N47" s="55"/>
    </row>
    <row r="48" spans="2:14" x14ac:dyDescent="0.25">
      <c r="B48" s="5"/>
      <c r="C48" s="32"/>
      <c r="D48" s="39"/>
      <c r="E48" s="9"/>
      <c r="F48" s="24" t="s">
        <v>61</v>
      </c>
      <c r="G48" s="19">
        <v>4.1900000000000001E-3</v>
      </c>
      <c r="H48" s="20" t="s">
        <v>37</v>
      </c>
      <c r="I48" s="20" t="s">
        <v>37</v>
      </c>
      <c r="J48" s="41" t="b">
        <v>1</v>
      </c>
      <c r="K48" s="10"/>
      <c r="L48" s="53"/>
      <c r="M48" s="51"/>
      <c r="N48" s="55"/>
    </row>
    <row r="49" spans="2:14" x14ac:dyDescent="0.25">
      <c r="B49" s="5"/>
      <c r="C49" s="32"/>
      <c r="D49" s="39"/>
      <c r="E49" s="9"/>
      <c r="F49" s="24" t="s">
        <v>62</v>
      </c>
      <c r="G49" s="19">
        <v>5.2100000000000002E-3</v>
      </c>
      <c r="H49" s="20" t="s">
        <v>37</v>
      </c>
      <c r="I49" s="20" t="s">
        <v>37</v>
      </c>
      <c r="J49" s="41" t="b">
        <v>1</v>
      </c>
      <c r="K49" s="10"/>
      <c r="L49" s="53"/>
      <c r="M49" s="51"/>
      <c r="N49" s="55"/>
    </row>
    <row r="50" spans="2:14" x14ac:dyDescent="0.25">
      <c r="B50" s="5"/>
      <c r="C50" s="32"/>
      <c r="D50" s="39"/>
      <c r="E50" s="9"/>
      <c r="F50" s="24" t="s">
        <v>63</v>
      </c>
      <c r="G50" s="19">
        <v>6.0899999999999999E-3</v>
      </c>
      <c r="H50" s="20" t="s">
        <v>37</v>
      </c>
      <c r="I50" s="20" t="s">
        <v>37</v>
      </c>
      <c r="J50" s="41" t="b">
        <v>1</v>
      </c>
      <c r="K50" s="10"/>
      <c r="L50" s="53"/>
      <c r="M50" s="51"/>
      <c r="N50" s="55"/>
    </row>
    <row r="51" spans="2:14" x14ac:dyDescent="0.25">
      <c r="B51" s="5"/>
      <c r="C51" s="32"/>
      <c r="D51" s="39"/>
      <c r="E51" s="9"/>
      <c r="F51" s="24" t="s">
        <v>64</v>
      </c>
      <c r="G51" s="19">
        <v>8.1000000000000013E-3</v>
      </c>
      <c r="H51" s="20" t="s">
        <v>37</v>
      </c>
      <c r="I51" s="20" t="s">
        <v>37</v>
      </c>
      <c r="J51" s="41" t="b">
        <v>1</v>
      </c>
      <c r="K51" s="10"/>
      <c r="L51" s="53"/>
      <c r="M51" s="51"/>
      <c r="N51" s="55"/>
    </row>
    <row r="52" spans="2:14" x14ac:dyDescent="0.25">
      <c r="B52" s="5"/>
      <c r="C52" s="32"/>
      <c r="D52" s="39"/>
      <c r="E52" s="9"/>
      <c r="F52" s="24" t="s">
        <v>65</v>
      </c>
      <c r="G52" s="19">
        <v>9.75E-3</v>
      </c>
      <c r="H52" s="20" t="s">
        <v>37</v>
      </c>
      <c r="I52" s="20" t="s">
        <v>37</v>
      </c>
      <c r="J52" s="41" t="b">
        <v>1</v>
      </c>
      <c r="K52" s="10"/>
      <c r="L52" s="53"/>
      <c r="M52" s="51"/>
      <c r="N52" s="55"/>
    </row>
    <row r="53" spans="2:14" x14ac:dyDescent="0.25">
      <c r="B53" s="5"/>
      <c r="C53" s="32"/>
      <c r="D53" s="39"/>
      <c r="E53" s="9"/>
      <c r="F53" s="24" t="s">
        <v>66</v>
      </c>
      <c r="G53" s="19">
        <v>1.0329999999999999E-2</v>
      </c>
      <c r="H53" s="20" t="s">
        <v>37</v>
      </c>
      <c r="I53" s="20" t="s">
        <v>37</v>
      </c>
      <c r="J53" s="41" t="b">
        <v>1</v>
      </c>
      <c r="K53" s="10"/>
      <c r="L53" s="53"/>
      <c r="M53" s="51"/>
      <c r="N53" s="55"/>
    </row>
    <row r="54" spans="2:14" x14ac:dyDescent="0.25">
      <c r="B54" s="5"/>
      <c r="C54" s="32"/>
      <c r="D54" s="39"/>
      <c r="E54" s="9"/>
      <c r="F54" s="24" t="s">
        <v>67</v>
      </c>
      <c r="G54" s="19">
        <v>1.0529999999999999E-2</v>
      </c>
      <c r="H54" s="20" t="s">
        <v>37</v>
      </c>
      <c r="I54" s="20" t="s">
        <v>37</v>
      </c>
      <c r="J54" s="41" t="b">
        <v>1</v>
      </c>
      <c r="K54" s="10"/>
      <c r="L54" s="53"/>
      <c r="M54" s="51"/>
      <c r="N54" s="55"/>
    </row>
    <row r="55" spans="2:14" x14ac:dyDescent="0.25">
      <c r="B55" s="5"/>
      <c r="C55" s="32"/>
      <c r="D55" s="39"/>
      <c r="E55" s="9"/>
      <c r="F55" s="24" t="s">
        <v>68</v>
      </c>
      <c r="G55" s="19">
        <v>1.061E-2</v>
      </c>
      <c r="H55" s="20" t="s">
        <v>37</v>
      </c>
      <c r="I55" s="20" t="s">
        <v>37</v>
      </c>
      <c r="J55" s="41" t="b">
        <v>1</v>
      </c>
      <c r="K55" s="10"/>
      <c r="L55" s="53"/>
      <c r="M55" s="51"/>
      <c r="N55" s="55"/>
    </row>
    <row r="56" spans="2:14" x14ac:dyDescent="0.25">
      <c r="B56" s="5"/>
      <c r="C56" s="32"/>
      <c r="D56" s="39"/>
      <c r="E56" s="9"/>
      <c r="F56" s="24" t="s">
        <v>69</v>
      </c>
      <c r="G56" s="19">
        <v>1.01E-2</v>
      </c>
      <c r="H56" s="20" t="s">
        <v>37</v>
      </c>
      <c r="I56" s="20" t="s">
        <v>37</v>
      </c>
      <c r="J56" s="41" t="b">
        <v>1</v>
      </c>
      <c r="K56" s="10"/>
      <c r="L56" s="53"/>
      <c r="M56" s="51"/>
      <c r="N56" s="55"/>
    </row>
    <row r="57" spans="2:14" x14ac:dyDescent="0.25">
      <c r="B57" s="5"/>
      <c r="C57" s="33"/>
      <c r="D57" s="40"/>
      <c r="E57" s="9"/>
      <c r="F57" s="25"/>
      <c r="G57" s="26"/>
      <c r="H57" s="42"/>
      <c r="I57" s="42"/>
      <c r="J57" s="43"/>
      <c r="K57" s="10"/>
      <c r="L57" s="54"/>
      <c r="M57" s="52"/>
      <c r="N57" s="55"/>
    </row>
    <row r="58" spans="2:14" x14ac:dyDescent="0.25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3"/>
    </row>
    <row r="61" spans="2:14" x14ac:dyDescent="0.25">
      <c r="B61" s="56" t="s">
        <v>78</v>
      </c>
    </row>
    <row r="62" spans="2:14" x14ac:dyDescent="0.25"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4"/>
    </row>
    <row r="63" spans="2:14" x14ac:dyDescent="0.25">
      <c r="B63" s="5"/>
      <c r="C63" s="49" t="s">
        <v>71</v>
      </c>
      <c r="D63" s="10"/>
      <c r="E63" s="10"/>
      <c r="F63" s="49" t="s">
        <v>73</v>
      </c>
      <c r="G63" s="10"/>
      <c r="H63" s="10"/>
      <c r="I63" s="49" t="s">
        <v>76</v>
      </c>
      <c r="J63" s="10"/>
      <c r="K63" s="10"/>
      <c r="L63" s="49" t="s">
        <v>77</v>
      </c>
      <c r="M63" s="10"/>
      <c r="N63" s="55"/>
    </row>
    <row r="64" spans="2:14" x14ac:dyDescent="0.25">
      <c r="B64" s="5"/>
      <c r="C64" s="27" t="s">
        <v>1</v>
      </c>
      <c r="D64" s="34" t="s">
        <v>2</v>
      </c>
      <c r="E64" s="7"/>
      <c r="F64" s="58" t="s">
        <v>11</v>
      </c>
      <c r="G64" s="58" t="s">
        <v>12</v>
      </c>
      <c r="H64" s="10"/>
      <c r="I64" s="27" t="s">
        <v>3</v>
      </c>
      <c r="J64" s="34" t="s">
        <v>2</v>
      </c>
      <c r="K64" s="10"/>
      <c r="L64" s="58" t="s">
        <v>11</v>
      </c>
      <c r="M64" s="58" t="s">
        <v>12</v>
      </c>
      <c r="N64" s="55"/>
    </row>
    <row r="65" spans="2:14" x14ac:dyDescent="0.25">
      <c r="B65" s="5"/>
      <c r="C65" s="28" t="s">
        <v>18</v>
      </c>
      <c r="D65" s="35" t="s">
        <v>6</v>
      </c>
      <c r="E65" s="9"/>
      <c r="F65" s="24" t="s">
        <v>47</v>
      </c>
      <c r="G65" s="51">
        <v>1.2600000000000001E-3</v>
      </c>
      <c r="H65" s="10"/>
      <c r="I65" s="28" t="s">
        <v>19</v>
      </c>
      <c r="J65" s="35" t="s">
        <v>20</v>
      </c>
      <c r="K65" s="10"/>
      <c r="L65" s="24" t="s">
        <v>47</v>
      </c>
      <c r="M65" s="51">
        <v>-2.5400000000000002E-3</v>
      </c>
      <c r="N65" s="55"/>
    </row>
    <row r="66" spans="2:14" x14ac:dyDescent="0.25">
      <c r="B66" s="5"/>
      <c r="C66" s="28" t="s">
        <v>27</v>
      </c>
      <c r="D66" s="35" t="s">
        <v>28</v>
      </c>
      <c r="E66" s="9"/>
      <c r="F66" s="24" t="s">
        <v>43</v>
      </c>
      <c r="G66" s="51">
        <v>1.2999999999999999E-3</v>
      </c>
      <c r="H66" s="10"/>
      <c r="I66" s="28" t="s">
        <v>29</v>
      </c>
      <c r="J66" s="35" t="s">
        <v>26</v>
      </c>
      <c r="K66" s="10"/>
      <c r="L66" s="24" t="s">
        <v>43</v>
      </c>
      <c r="M66" s="51">
        <v>-2.14E-3</v>
      </c>
      <c r="N66" s="55"/>
    </row>
    <row r="67" spans="2:14" x14ac:dyDescent="0.25">
      <c r="B67" s="5"/>
      <c r="C67" s="28" t="s">
        <v>21</v>
      </c>
      <c r="D67" s="35" t="s">
        <v>22</v>
      </c>
      <c r="E67" s="9"/>
      <c r="F67" s="24" t="s">
        <v>50</v>
      </c>
      <c r="G67" s="51">
        <v>1.32E-3</v>
      </c>
      <c r="H67" s="10"/>
      <c r="I67" s="28" t="s">
        <v>23</v>
      </c>
      <c r="J67" s="35" t="s">
        <v>22</v>
      </c>
      <c r="K67" s="10"/>
      <c r="L67" s="24" t="s">
        <v>50</v>
      </c>
      <c r="M67" s="51">
        <v>-1.4000000000000002E-3</v>
      </c>
      <c r="N67" s="55"/>
    </row>
    <row r="68" spans="2:14" x14ac:dyDescent="0.25">
      <c r="B68" s="5"/>
      <c r="C68" s="28"/>
      <c r="D68" s="35"/>
      <c r="E68" s="9"/>
      <c r="F68" s="24" t="s">
        <v>52</v>
      </c>
      <c r="G68" s="51">
        <v>1.34E-3</v>
      </c>
      <c r="H68" s="10"/>
      <c r="I68" s="28"/>
      <c r="J68" s="35"/>
      <c r="K68" s="10"/>
      <c r="L68" s="24" t="s">
        <v>52</v>
      </c>
      <c r="M68" s="51">
        <v>-4.2000000000000002E-4</v>
      </c>
      <c r="N68" s="55"/>
    </row>
    <row r="69" spans="2:14" x14ac:dyDescent="0.25">
      <c r="B69" s="5"/>
      <c r="C69" s="29"/>
      <c r="D69" s="35"/>
      <c r="E69" s="9"/>
      <c r="F69" s="24" t="s">
        <v>54</v>
      </c>
      <c r="G69" s="51">
        <v>1.33E-3</v>
      </c>
      <c r="H69" s="10"/>
      <c r="I69" s="29"/>
      <c r="J69" s="35"/>
      <c r="K69" s="10"/>
      <c r="L69" s="24" t="s">
        <v>54</v>
      </c>
      <c r="M69" s="51">
        <v>7.000000000000001E-4</v>
      </c>
      <c r="N69" s="55"/>
    </row>
    <row r="70" spans="2:14" x14ac:dyDescent="0.25">
      <c r="B70" s="5"/>
      <c r="C70" s="30"/>
      <c r="D70" s="36"/>
      <c r="E70" s="9"/>
      <c r="F70" s="24" t="s">
        <v>56</v>
      </c>
      <c r="G70" s="51">
        <v>1.32E-3</v>
      </c>
      <c r="H70" s="10"/>
      <c r="I70" s="30"/>
      <c r="J70" s="36"/>
      <c r="K70" s="10"/>
      <c r="L70" s="24" t="s">
        <v>56</v>
      </c>
      <c r="M70" s="51">
        <v>1.92E-3</v>
      </c>
      <c r="N70" s="55"/>
    </row>
    <row r="71" spans="2:14" x14ac:dyDescent="0.25">
      <c r="B71" s="5"/>
      <c r="C71" s="28"/>
      <c r="D71" s="35"/>
      <c r="E71" s="9"/>
      <c r="F71" s="24" t="s">
        <v>58</v>
      </c>
      <c r="G71" s="51">
        <v>1.31E-3</v>
      </c>
      <c r="H71" s="10"/>
      <c r="I71" s="28"/>
      <c r="J71" s="35"/>
      <c r="K71" s="10"/>
      <c r="L71" s="24" t="s">
        <v>58</v>
      </c>
      <c r="M71" s="51">
        <v>3.1900000000000001E-3</v>
      </c>
      <c r="N71" s="55"/>
    </row>
    <row r="72" spans="2:14" x14ac:dyDescent="0.25">
      <c r="B72" s="5"/>
      <c r="C72" s="28"/>
      <c r="D72" s="35"/>
      <c r="E72" s="9"/>
      <c r="F72" s="24" t="s">
        <v>60</v>
      </c>
      <c r="G72" s="51">
        <v>1.2999999999999999E-3</v>
      </c>
      <c r="H72" s="10"/>
      <c r="I72" s="28"/>
      <c r="J72" s="35"/>
      <c r="K72" s="10"/>
      <c r="L72" s="24" t="s">
        <v>60</v>
      </c>
      <c r="M72" s="51">
        <v>4.4299999999999999E-3</v>
      </c>
      <c r="N72" s="55"/>
    </row>
    <row r="73" spans="2:14" x14ac:dyDescent="0.25">
      <c r="B73" s="5"/>
      <c r="C73" s="28"/>
      <c r="D73" s="35"/>
      <c r="E73" s="9"/>
      <c r="F73" s="24" t="s">
        <v>61</v>
      </c>
      <c r="G73" s="51">
        <v>1.2800000000000001E-3</v>
      </c>
      <c r="H73" s="10"/>
      <c r="I73" s="28"/>
      <c r="J73" s="35"/>
      <c r="K73" s="10"/>
      <c r="L73" s="24" t="s">
        <v>61</v>
      </c>
      <c r="M73" s="51">
        <v>5.5500000000000002E-3</v>
      </c>
      <c r="N73" s="55"/>
    </row>
    <row r="74" spans="2:14" x14ac:dyDescent="0.25">
      <c r="B74" s="5"/>
      <c r="C74" s="28"/>
      <c r="D74" s="35"/>
      <c r="E74" s="9"/>
      <c r="F74" s="24" t="s">
        <v>62</v>
      </c>
      <c r="G74" s="51">
        <v>1.2699999999999999E-3</v>
      </c>
      <c r="H74" s="10"/>
      <c r="I74" s="28"/>
      <c r="J74" s="35"/>
      <c r="K74" s="10"/>
      <c r="L74" s="24" t="s">
        <v>62</v>
      </c>
      <c r="M74" s="51">
        <v>6.5700000000000003E-3</v>
      </c>
      <c r="N74" s="55"/>
    </row>
    <row r="75" spans="2:14" x14ac:dyDescent="0.25">
      <c r="B75" s="5"/>
      <c r="C75" s="28"/>
      <c r="D75" s="35"/>
      <c r="E75" s="9"/>
      <c r="F75" s="24" t="s">
        <v>63</v>
      </c>
      <c r="G75" s="51">
        <v>1.2600000000000001E-3</v>
      </c>
      <c r="H75" s="10"/>
      <c r="I75" s="28"/>
      <c r="J75" s="35"/>
      <c r="K75" s="10"/>
      <c r="L75" s="24" t="s">
        <v>63</v>
      </c>
      <c r="M75" s="51">
        <v>7.4599999999999996E-3</v>
      </c>
      <c r="N75" s="55"/>
    </row>
    <row r="76" spans="2:14" x14ac:dyDescent="0.25">
      <c r="B76" s="5"/>
      <c r="C76" s="29"/>
      <c r="D76" s="35"/>
      <c r="E76" s="9"/>
      <c r="F76" s="24" t="s">
        <v>64</v>
      </c>
      <c r="G76" s="51">
        <v>1.1900000000000001E-3</v>
      </c>
      <c r="H76" s="10"/>
      <c r="I76" s="29"/>
      <c r="J76" s="35"/>
      <c r="K76" s="10"/>
      <c r="L76" s="24" t="s">
        <v>64</v>
      </c>
      <c r="M76" s="51">
        <v>9.4199999999999996E-3</v>
      </c>
      <c r="N76" s="55"/>
    </row>
    <row r="77" spans="2:14" x14ac:dyDescent="0.25">
      <c r="B77" s="5"/>
      <c r="C77" s="31"/>
      <c r="D77" s="37"/>
      <c r="E77" s="9"/>
      <c r="F77" s="24" t="s">
        <v>65</v>
      </c>
      <c r="G77" s="51">
        <v>1.0400000000000001E-3</v>
      </c>
      <c r="H77" s="10"/>
      <c r="I77" s="31"/>
      <c r="J77" s="37"/>
      <c r="K77" s="10"/>
      <c r="L77" s="24" t="s">
        <v>65</v>
      </c>
      <c r="M77" s="51">
        <v>1.095E-2</v>
      </c>
      <c r="N77" s="55"/>
    </row>
    <row r="78" spans="2:14" x14ac:dyDescent="0.25">
      <c r="B78" s="5"/>
      <c r="C78" s="31"/>
      <c r="D78" s="38"/>
      <c r="E78" s="9"/>
      <c r="F78" s="24" t="s">
        <v>66</v>
      </c>
      <c r="G78" s="51">
        <v>9.1999999999999992E-4</v>
      </c>
      <c r="H78" s="10"/>
      <c r="I78" s="31"/>
      <c r="J78" s="38"/>
      <c r="K78" s="10"/>
      <c r="L78" s="24" t="s">
        <v>66</v>
      </c>
      <c r="M78" s="51">
        <v>1.142E-2</v>
      </c>
      <c r="N78" s="55"/>
    </row>
    <row r="79" spans="2:14" x14ac:dyDescent="0.25">
      <c r="B79" s="5"/>
      <c r="C79" s="31"/>
      <c r="D79" s="37"/>
      <c r="E79" s="9"/>
      <c r="F79" s="24" t="s">
        <v>67</v>
      </c>
      <c r="G79" s="51">
        <v>8.1999999999999998E-4</v>
      </c>
      <c r="H79" s="10"/>
      <c r="I79" s="31"/>
      <c r="J79" s="37"/>
      <c r="K79" s="10"/>
      <c r="L79" s="24" t="s">
        <v>67</v>
      </c>
      <c r="M79" s="51">
        <v>1.1519999999999999E-2</v>
      </c>
      <c r="N79" s="55"/>
    </row>
    <row r="80" spans="2:14" x14ac:dyDescent="0.25">
      <c r="B80" s="5"/>
      <c r="C80" s="32"/>
      <c r="D80" s="35"/>
      <c r="E80" s="9"/>
      <c r="F80" s="24" t="s">
        <v>68</v>
      </c>
      <c r="G80" s="51">
        <v>6.6E-4</v>
      </c>
      <c r="H80" s="10"/>
      <c r="I80" s="32"/>
      <c r="J80" s="35"/>
      <c r="K80" s="10"/>
      <c r="L80" s="24" t="s">
        <v>68</v>
      </c>
      <c r="M80" s="51">
        <v>1.1439999999999999E-2</v>
      </c>
      <c r="N80" s="55"/>
    </row>
    <row r="81" spans="2:14" x14ac:dyDescent="0.25">
      <c r="B81" s="5"/>
      <c r="C81" s="32"/>
      <c r="D81" s="39"/>
      <c r="E81" s="9"/>
      <c r="F81" s="24" t="s">
        <v>69</v>
      </c>
      <c r="G81" s="51">
        <v>5.6999999999999998E-4</v>
      </c>
      <c r="H81" s="10"/>
      <c r="I81" s="32"/>
      <c r="J81" s="39"/>
      <c r="K81" s="10"/>
      <c r="L81" s="24" t="s">
        <v>69</v>
      </c>
      <c r="M81" s="51">
        <v>1.0829999999999999E-2</v>
      </c>
      <c r="N81" s="55"/>
    </row>
    <row r="82" spans="2:14" x14ac:dyDescent="0.25">
      <c r="B82" s="5"/>
      <c r="C82" s="32"/>
      <c r="D82" s="39"/>
      <c r="E82" s="9"/>
      <c r="F82" s="24"/>
      <c r="G82" s="51"/>
      <c r="H82" s="10"/>
      <c r="I82" s="32"/>
      <c r="J82" s="39"/>
      <c r="K82" s="10"/>
      <c r="L82" s="24"/>
      <c r="M82" s="51"/>
      <c r="N82" s="55"/>
    </row>
    <row r="83" spans="2:14" x14ac:dyDescent="0.25">
      <c r="B83" s="5"/>
      <c r="C83" s="32"/>
      <c r="D83" s="39"/>
      <c r="E83" s="9"/>
      <c r="F83" s="24"/>
      <c r="G83" s="51"/>
      <c r="H83" s="10"/>
      <c r="I83" s="32"/>
      <c r="J83" s="39"/>
      <c r="K83" s="10"/>
      <c r="L83" s="24"/>
      <c r="M83" s="51"/>
      <c r="N83" s="55"/>
    </row>
    <row r="84" spans="2:14" x14ac:dyDescent="0.25">
      <c r="B84" s="5"/>
      <c r="C84" s="32"/>
      <c r="D84" s="39"/>
      <c r="E84" s="9"/>
      <c r="F84" s="24"/>
      <c r="G84" s="51"/>
      <c r="H84" s="10"/>
      <c r="I84" s="32"/>
      <c r="J84" s="39"/>
      <c r="K84" s="10"/>
      <c r="L84" s="24"/>
      <c r="M84" s="51"/>
      <c r="N84" s="55"/>
    </row>
    <row r="85" spans="2:14" x14ac:dyDescent="0.25">
      <c r="B85" s="5"/>
      <c r="C85" s="32"/>
      <c r="D85" s="39"/>
      <c r="E85" s="9"/>
      <c r="F85" s="24"/>
      <c r="G85" s="51"/>
      <c r="H85" s="10"/>
      <c r="I85" s="32"/>
      <c r="J85" s="39"/>
      <c r="K85" s="10"/>
      <c r="L85" s="24"/>
      <c r="M85" s="51"/>
      <c r="N85" s="55"/>
    </row>
    <row r="86" spans="2:14" x14ac:dyDescent="0.25">
      <c r="B86" s="5"/>
      <c r="C86" s="32"/>
      <c r="D86" s="39"/>
      <c r="E86" s="9"/>
      <c r="F86" s="24"/>
      <c r="G86" s="51"/>
      <c r="H86" s="10"/>
      <c r="I86" s="32"/>
      <c r="J86" s="39"/>
      <c r="K86" s="10"/>
      <c r="L86" s="24"/>
      <c r="M86" s="51"/>
      <c r="N86" s="55"/>
    </row>
    <row r="87" spans="2:14" x14ac:dyDescent="0.25">
      <c r="B87" s="5"/>
      <c r="C87" s="32"/>
      <c r="D87" s="39"/>
      <c r="E87" s="9"/>
      <c r="F87" s="24"/>
      <c r="G87" s="51"/>
      <c r="H87" s="10"/>
      <c r="I87" s="32"/>
      <c r="J87" s="39"/>
      <c r="K87" s="10"/>
      <c r="L87" s="24"/>
      <c r="M87" s="51"/>
      <c r="N87" s="55"/>
    </row>
    <row r="88" spans="2:14" x14ac:dyDescent="0.25">
      <c r="B88" s="5"/>
      <c r="C88" s="32"/>
      <c r="D88" s="39"/>
      <c r="E88" s="9"/>
      <c r="F88" s="24"/>
      <c r="G88" s="51"/>
      <c r="H88" s="10"/>
      <c r="I88" s="32"/>
      <c r="J88" s="39"/>
      <c r="K88" s="10"/>
      <c r="L88" s="24"/>
      <c r="M88" s="51"/>
      <c r="N88" s="55"/>
    </row>
    <row r="89" spans="2:14" x14ac:dyDescent="0.25">
      <c r="B89" s="5"/>
      <c r="C89" s="33"/>
      <c r="D89" s="40"/>
      <c r="E89" s="9"/>
      <c r="F89" s="25"/>
      <c r="G89" s="52"/>
      <c r="H89" s="10"/>
      <c r="I89" s="33"/>
      <c r="J89" s="40"/>
      <c r="K89" s="10"/>
      <c r="L89" s="25"/>
      <c r="M89" s="52"/>
      <c r="N89" s="55"/>
    </row>
    <row r="90" spans="2:14" x14ac:dyDescent="0.25"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3"/>
    </row>
  </sheetData>
  <dataValidations disablePrompts="1" count="1">
    <dataValidation type="list" allowBlank="1" showInputMessage="1" showErrorMessage="1" sqref="D22">
      <formula1>"fn_StepInterpolation,fn_LinearInterpolation,fn_MonotoneConvexInterpolation,fn_SplineInterpolation,fn_ConstrainedSplineInterpolation"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3"/>
  </sheetPr>
  <dimension ref="B2:L113"/>
  <sheetViews>
    <sheetView showGridLines="0" workbookViewId="0"/>
  </sheetViews>
  <sheetFormatPr defaultRowHeight="15" x14ac:dyDescent="0.25"/>
  <cols>
    <col min="2" max="2" width="2.7109375" customWidth="1"/>
    <col min="3" max="3" width="24.28515625" customWidth="1"/>
    <col min="4" max="4" width="31.5703125" customWidth="1"/>
    <col min="6" max="7" width="18.7109375" customWidth="1"/>
    <col min="8" max="8" width="12.7109375" customWidth="1"/>
    <col min="9" max="11" width="18.7109375" customWidth="1"/>
    <col min="12" max="12" width="4.7109375" customWidth="1"/>
    <col min="14" max="15" width="15.7109375" customWidth="1"/>
  </cols>
  <sheetData>
    <row r="2" spans="2:12" x14ac:dyDescent="0.25">
      <c r="B2" s="119" t="s">
        <v>292</v>
      </c>
    </row>
    <row r="6" spans="2:12" x14ac:dyDescent="0.25">
      <c r="B6" s="120" t="s">
        <v>200</v>
      </c>
    </row>
    <row r="7" spans="2:12" x14ac:dyDescent="0.25">
      <c r="B7" s="2"/>
      <c r="C7" s="45"/>
      <c r="D7" s="46"/>
      <c r="E7" s="3"/>
      <c r="F7" s="3"/>
      <c r="G7" s="3"/>
      <c r="H7" s="3"/>
      <c r="I7" s="3"/>
      <c r="J7" s="3"/>
      <c r="K7" s="3"/>
      <c r="L7" s="4"/>
    </row>
    <row r="8" spans="2:12" x14ac:dyDescent="0.25">
      <c r="B8" s="5"/>
      <c r="C8" s="128" t="s">
        <v>200</v>
      </c>
      <c r="D8" s="127" t="str">
        <f ca="1">IF(AND(isEUROISLoaded,NOW()),_xll.meLWOCurveCreateSwap("EUR6ML_19FEB16",STDCurve.CollectionName,STDCurve.StaticDataTable,STDCurve.IndexName,STDCurve.Buildproperties,MoneyMarket.Conventions,Libor.Conventions,Libor.MarketData,Swap.Conventions,Swap.MarketData,FRA.Conventions,FRA.MarketDataX3,FRA.MarketDataX6,Futures.Conventions,Futures.MarketData,,),"Error Building Swap Curve")</f>
        <v>EUR6ML_19FEB16:0</v>
      </c>
      <c r="E8" s="7"/>
      <c r="F8" s="7"/>
      <c r="G8" s="7"/>
      <c r="H8" s="7"/>
      <c r="I8" s="7"/>
      <c r="J8" s="7"/>
      <c r="K8" s="7"/>
      <c r="L8" s="8"/>
    </row>
    <row r="9" spans="2:12" x14ac:dyDescent="0.25">
      <c r="B9" s="5"/>
      <c r="C9" s="114" t="s">
        <v>192</v>
      </c>
      <c r="D9" s="124" t="b">
        <f ca="1">_xll.meLWOExists(D8,"CURVE")</f>
        <v>1</v>
      </c>
      <c r="E9" s="7"/>
      <c r="F9" s="7"/>
      <c r="G9" s="7"/>
      <c r="H9" s="7"/>
      <c r="I9" s="7"/>
      <c r="J9" s="7"/>
      <c r="K9" s="7"/>
      <c r="L9" s="8"/>
    </row>
    <row r="10" spans="2:12" x14ac:dyDescent="0.25">
      <c r="B10" s="5"/>
      <c r="C10" s="7"/>
      <c r="D10" s="60"/>
      <c r="E10" s="7"/>
      <c r="F10" s="7"/>
      <c r="G10" s="7"/>
      <c r="H10" s="7"/>
      <c r="I10" s="7"/>
      <c r="J10" s="7"/>
      <c r="K10" s="7"/>
      <c r="L10" s="8"/>
    </row>
    <row r="11" spans="2:12" x14ac:dyDescent="0.25">
      <c r="B11" s="5"/>
      <c r="C11" s="6"/>
      <c r="D11" s="60"/>
      <c r="E11" s="7"/>
      <c r="F11" s="7"/>
      <c r="G11" s="7"/>
      <c r="H11" s="7"/>
      <c r="I11" s="7"/>
      <c r="J11" s="7"/>
      <c r="K11" s="7"/>
      <c r="L11" s="8"/>
    </row>
    <row r="12" spans="2:12" x14ac:dyDescent="0.25">
      <c r="B12" s="5"/>
      <c r="C12" s="48" t="s">
        <v>0</v>
      </c>
      <c r="D12" s="57"/>
      <c r="E12" s="7"/>
      <c r="F12" s="7"/>
      <c r="G12" s="7"/>
      <c r="H12" s="7"/>
      <c r="I12" s="7"/>
      <c r="J12" s="7"/>
      <c r="K12" s="7"/>
      <c r="L12" s="8"/>
    </row>
    <row r="13" spans="2:12" x14ac:dyDescent="0.25">
      <c r="B13" s="5"/>
      <c r="C13" s="27" t="s">
        <v>88</v>
      </c>
      <c r="D13" s="103" t="s">
        <v>80</v>
      </c>
      <c r="E13" s="7"/>
      <c r="F13" s="7"/>
      <c r="G13" s="7"/>
      <c r="H13" s="7"/>
      <c r="I13" s="7"/>
      <c r="J13" s="7"/>
      <c r="K13" s="7"/>
      <c r="L13" s="8"/>
    </row>
    <row r="14" spans="2:12" x14ac:dyDescent="0.25">
      <c r="B14" s="5"/>
      <c r="C14" s="28" t="s">
        <v>87</v>
      </c>
      <c r="D14" s="104" t="s">
        <v>90</v>
      </c>
      <c r="E14" s="7"/>
      <c r="F14" s="7"/>
      <c r="G14" s="7"/>
      <c r="H14" s="7"/>
      <c r="I14" s="7"/>
      <c r="J14" s="7"/>
      <c r="K14" s="7"/>
      <c r="L14" s="8"/>
    </row>
    <row r="15" spans="2:12" x14ac:dyDescent="0.25">
      <c r="B15" s="5"/>
      <c r="C15" s="59" t="s">
        <v>89</v>
      </c>
      <c r="D15" s="106" t="s">
        <v>91</v>
      </c>
      <c r="E15" s="7"/>
      <c r="F15" s="7"/>
      <c r="G15" s="7"/>
      <c r="H15" s="7" t="s">
        <v>4</v>
      </c>
      <c r="I15" s="7" t="s">
        <v>4</v>
      </c>
      <c r="J15" s="7" t="s">
        <v>4</v>
      </c>
      <c r="K15" s="7"/>
      <c r="L15" s="8" t="s">
        <v>4</v>
      </c>
    </row>
    <row r="16" spans="2:12" x14ac:dyDescent="0.25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3"/>
    </row>
    <row r="19" spans="2:12" x14ac:dyDescent="0.25">
      <c r="B19" s="56" t="s">
        <v>70</v>
      </c>
    </row>
    <row r="20" spans="2:12" x14ac:dyDescent="0.25">
      <c r="B20" s="2"/>
      <c r="C20" s="45"/>
      <c r="D20" s="46"/>
      <c r="E20" s="3"/>
      <c r="F20" s="3"/>
      <c r="G20" s="3"/>
      <c r="H20" s="62"/>
      <c r="I20" s="3"/>
      <c r="J20" s="3"/>
      <c r="K20" s="3"/>
      <c r="L20" s="4"/>
    </row>
    <row r="21" spans="2:12" x14ac:dyDescent="0.25">
      <c r="B21" s="5"/>
      <c r="C21" s="48" t="s">
        <v>70</v>
      </c>
      <c r="D21" s="47"/>
      <c r="E21" s="7"/>
      <c r="F21" s="50" t="s">
        <v>81</v>
      </c>
      <c r="G21" s="7"/>
      <c r="H21" s="7"/>
      <c r="I21" s="7"/>
      <c r="J21" s="7"/>
      <c r="K21" s="7"/>
      <c r="L21" s="8"/>
    </row>
    <row r="22" spans="2:12" x14ac:dyDescent="0.25">
      <c r="B22" s="5"/>
      <c r="C22" s="27" t="s">
        <v>10</v>
      </c>
      <c r="D22" s="103">
        <f ca="1">COB</f>
        <v>42419</v>
      </c>
      <c r="E22" s="7"/>
      <c r="F22" s="14" t="s">
        <v>82</v>
      </c>
      <c r="G22" s="16"/>
      <c r="H22" s="7"/>
      <c r="I22" s="7"/>
      <c r="J22" s="7"/>
      <c r="K22" s="7"/>
      <c r="L22" s="8"/>
    </row>
    <row r="23" spans="2:12" x14ac:dyDescent="0.25">
      <c r="B23" s="5"/>
      <c r="C23" s="28" t="s">
        <v>16</v>
      </c>
      <c r="D23" s="104" t="s">
        <v>17</v>
      </c>
      <c r="E23" s="7"/>
      <c r="F23" s="17" t="s">
        <v>83</v>
      </c>
      <c r="G23" s="18"/>
      <c r="H23" s="7"/>
      <c r="I23" s="7"/>
      <c r="J23" s="7"/>
      <c r="K23" s="7"/>
      <c r="L23" s="8"/>
    </row>
    <row r="24" spans="2:12" x14ac:dyDescent="0.25">
      <c r="B24" s="5"/>
      <c r="C24" s="29" t="s">
        <v>92</v>
      </c>
      <c r="D24" s="105" t="s">
        <v>84</v>
      </c>
      <c r="E24" s="7"/>
      <c r="F24" s="17" t="s">
        <v>84</v>
      </c>
      <c r="G24" s="18"/>
      <c r="H24" s="7"/>
      <c r="I24" s="7"/>
      <c r="J24" s="7"/>
      <c r="K24" s="7"/>
      <c r="L24" s="8"/>
    </row>
    <row r="25" spans="2:12" x14ac:dyDescent="0.25">
      <c r="B25" s="5"/>
      <c r="C25" s="29" t="s">
        <v>24</v>
      </c>
      <c r="D25" s="105" t="s">
        <v>84</v>
      </c>
      <c r="E25" s="7"/>
      <c r="F25" s="17" t="s">
        <v>85</v>
      </c>
      <c r="G25" s="18"/>
      <c r="H25" s="7"/>
      <c r="I25" s="7"/>
      <c r="J25" s="7"/>
      <c r="K25" s="7"/>
      <c r="L25" s="8"/>
    </row>
    <row r="26" spans="2:12" x14ac:dyDescent="0.25">
      <c r="B26" s="5"/>
      <c r="C26" s="29" t="s">
        <v>94</v>
      </c>
      <c r="D26" s="104" t="b">
        <v>1</v>
      </c>
      <c r="E26" s="7"/>
      <c r="F26" s="17" t="s">
        <v>86</v>
      </c>
      <c r="G26" s="18"/>
      <c r="H26" s="7"/>
      <c r="I26" s="7"/>
      <c r="J26" s="7"/>
      <c r="K26" s="7"/>
      <c r="L26" s="8"/>
    </row>
    <row r="27" spans="2:12" x14ac:dyDescent="0.25">
      <c r="B27" s="5"/>
      <c r="C27" s="29" t="s">
        <v>93</v>
      </c>
      <c r="D27" s="104" t="b">
        <v>0</v>
      </c>
      <c r="E27" s="7"/>
      <c r="F27" s="17"/>
      <c r="G27" s="18"/>
      <c r="H27" s="7"/>
      <c r="I27" s="7"/>
      <c r="J27" s="7"/>
      <c r="K27" s="7"/>
      <c r="L27" s="8"/>
    </row>
    <row r="28" spans="2:12" x14ac:dyDescent="0.25">
      <c r="B28" s="5"/>
      <c r="C28" s="29" t="s">
        <v>27</v>
      </c>
      <c r="D28" s="104" t="s">
        <v>130</v>
      </c>
      <c r="E28" s="7"/>
      <c r="F28" s="17"/>
      <c r="G28" s="18"/>
      <c r="H28" s="7"/>
      <c r="I28" s="7"/>
      <c r="J28" s="7"/>
      <c r="K28" s="7"/>
      <c r="L28" s="8"/>
    </row>
    <row r="29" spans="2:12" x14ac:dyDescent="0.25">
      <c r="B29" s="5"/>
      <c r="C29" s="29" t="s">
        <v>95</v>
      </c>
      <c r="D29" s="104" t="s">
        <v>9</v>
      </c>
      <c r="E29" s="7"/>
      <c r="F29" s="17"/>
      <c r="G29" s="18"/>
      <c r="H29" s="7"/>
      <c r="I29" s="7"/>
      <c r="J29" s="7"/>
      <c r="K29" s="7"/>
      <c r="L29" s="8"/>
    </row>
    <row r="30" spans="2:12" x14ac:dyDescent="0.25">
      <c r="B30" s="5"/>
      <c r="C30" s="29"/>
      <c r="D30" s="104"/>
      <c r="E30" s="7"/>
      <c r="F30" s="17"/>
      <c r="G30" s="18"/>
      <c r="H30" s="7"/>
      <c r="I30" s="7"/>
      <c r="J30" s="7"/>
      <c r="K30" s="7"/>
      <c r="L30" s="8"/>
    </row>
    <row r="31" spans="2:12" x14ac:dyDescent="0.25">
      <c r="B31" s="5"/>
      <c r="C31" s="44"/>
      <c r="D31" s="106"/>
      <c r="E31" s="7"/>
      <c r="F31" s="21"/>
      <c r="G31" s="22"/>
      <c r="H31" s="7"/>
      <c r="I31" s="7"/>
      <c r="J31" s="7"/>
      <c r="K31" s="7"/>
      <c r="L31" s="8"/>
    </row>
    <row r="32" spans="2:12" x14ac:dyDescent="0.25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3"/>
    </row>
    <row r="35" spans="2:12" x14ac:dyDescent="0.25">
      <c r="B35" s="56" t="s">
        <v>96</v>
      </c>
    </row>
    <row r="36" spans="2:12" x14ac:dyDescent="0.25">
      <c r="B36" s="2"/>
      <c r="C36" s="3"/>
      <c r="D36" s="3"/>
      <c r="E36" s="3"/>
      <c r="F36" s="3"/>
      <c r="G36" s="3"/>
      <c r="H36" s="3"/>
      <c r="I36" s="3"/>
      <c r="J36" s="3"/>
      <c r="K36" s="3"/>
      <c r="L36" s="4"/>
    </row>
    <row r="37" spans="2:12" x14ac:dyDescent="0.25">
      <c r="B37" s="5"/>
      <c r="C37" s="49" t="s">
        <v>226</v>
      </c>
      <c r="D37" s="10"/>
      <c r="E37" s="10"/>
      <c r="F37" s="49" t="s">
        <v>103</v>
      </c>
      <c r="G37" s="10"/>
      <c r="H37" s="10"/>
      <c r="I37" s="49" t="s">
        <v>225</v>
      </c>
      <c r="J37" s="10"/>
      <c r="K37" s="10"/>
      <c r="L37" s="55"/>
    </row>
    <row r="38" spans="2:12" x14ac:dyDescent="0.25">
      <c r="B38" s="5"/>
      <c r="C38" s="27" t="s">
        <v>1</v>
      </c>
      <c r="D38" s="34" t="s">
        <v>2</v>
      </c>
      <c r="E38" s="7"/>
      <c r="F38" s="27" t="s">
        <v>1</v>
      </c>
      <c r="G38" s="34" t="s">
        <v>2</v>
      </c>
      <c r="H38" s="10"/>
      <c r="I38" s="74" t="s">
        <v>11</v>
      </c>
      <c r="J38" s="74" t="s">
        <v>12</v>
      </c>
      <c r="K38" s="74"/>
      <c r="L38" s="55"/>
    </row>
    <row r="39" spans="2:12" x14ac:dyDescent="0.25">
      <c r="B39" s="5"/>
      <c r="C39" s="28" t="s">
        <v>97</v>
      </c>
      <c r="D39" s="35" t="s">
        <v>6</v>
      </c>
      <c r="E39" s="9"/>
      <c r="F39" s="30" t="s">
        <v>18</v>
      </c>
      <c r="G39" s="65" t="s">
        <v>6</v>
      </c>
      <c r="H39" s="10"/>
      <c r="I39" s="67" t="s">
        <v>185</v>
      </c>
      <c r="J39" s="71">
        <v>-2.8E-3</v>
      </c>
      <c r="K39" s="74"/>
      <c r="L39" s="55"/>
    </row>
    <row r="40" spans="2:12" x14ac:dyDescent="0.25">
      <c r="B40" s="5"/>
      <c r="C40" s="28" t="s">
        <v>98</v>
      </c>
      <c r="D40" s="35" t="s">
        <v>99</v>
      </c>
      <c r="E40" s="9"/>
      <c r="F40" s="29" t="s">
        <v>27</v>
      </c>
      <c r="G40" s="35" t="s">
        <v>100</v>
      </c>
      <c r="H40" s="10"/>
      <c r="I40" s="68" t="s">
        <v>169</v>
      </c>
      <c r="J40" s="72">
        <v>-2.2000000000000001E-3</v>
      </c>
      <c r="K40" s="74"/>
      <c r="L40" s="55"/>
    </row>
    <row r="41" spans="2:12" x14ac:dyDescent="0.25">
      <c r="B41" s="5"/>
      <c r="C41" s="28"/>
      <c r="D41" s="35"/>
      <c r="E41" s="9"/>
      <c r="F41" s="29" t="s">
        <v>101</v>
      </c>
      <c r="G41" s="65">
        <v>2</v>
      </c>
      <c r="H41" s="10"/>
      <c r="I41" s="68" t="s">
        <v>104</v>
      </c>
      <c r="J41" s="72">
        <v>-1.31E-3</v>
      </c>
      <c r="K41" s="74"/>
      <c r="L41" s="55"/>
    </row>
    <row r="42" spans="2:12" x14ac:dyDescent="0.25">
      <c r="B42" s="5"/>
      <c r="C42" s="28"/>
      <c r="D42" s="35"/>
      <c r="E42" s="9"/>
      <c r="F42" s="29" t="s">
        <v>21</v>
      </c>
      <c r="G42" s="65" t="s">
        <v>22</v>
      </c>
      <c r="H42" s="10"/>
      <c r="I42" s="68" t="s">
        <v>57</v>
      </c>
      <c r="J42" s="72">
        <v>-1E-4</v>
      </c>
      <c r="K42" s="74"/>
      <c r="L42" s="55"/>
    </row>
    <row r="43" spans="2:12" x14ac:dyDescent="0.25">
      <c r="B43" s="5"/>
      <c r="C43" s="33"/>
      <c r="D43" s="40"/>
      <c r="E43" s="9"/>
      <c r="F43" s="44"/>
      <c r="G43" s="66"/>
      <c r="H43" s="10"/>
      <c r="I43" s="69"/>
      <c r="J43" s="73"/>
      <c r="K43" s="74"/>
      <c r="L43" s="55"/>
    </row>
    <row r="44" spans="2:12" x14ac:dyDescent="0.25">
      <c r="B44" s="5"/>
      <c r="C44" s="9"/>
      <c r="D44" s="9"/>
      <c r="E44" s="9"/>
      <c r="F44" s="10"/>
      <c r="G44" s="10"/>
      <c r="H44" s="10"/>
      <c r="I44" s="10" t="s">
        <v>186</v>
      </c>
      <c r="J44" s="10"/>
      <c r="K44" s="10"/>
      <c r="L44" s="55"/>
    </row>
    <row r="45" spans="2:12" x14ac:dyDescent="0.25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3"/>
    </row>
    <row r="48" spans="2:12" x14ac:dyDescent="0.25">
      <c r="B48" s="56" t="s">
        <v>105</v>
      </c>
    </row>
    <row r="49" spans="2:12" x14ac:dyDescent="0.25">
      <c r="B49" s="2"/>
      <c r="C49" s="3"/>
      <c r="D49" s="3"/>
      <c r="E49" s="3"/>
      <c r="F49" s="3"/>
      <c r="G49" s="3"/>
      <c r="H49" s="3"/>
      <c r="I49" s="3"/>
      <c r="J49" s="3"/>
      <c r="K49" s="3"/>
      <c r="L49" s="4"/>
    </row>
    <row r="50" spans="2:12" x14ac:dyDescent="0.25">
      <c r="B50" s="5"/>
      <c r="C50" s="49" t="s">
        <v>106</v>
      </c>
      <c r="D50" s="10"/>
      <c r="E50" s="10"/>
      <c r="F50" s="49" t="s">
        <v>137</v>
      </c>
      <c r="G50" s="10"/>
      <c r="H50" s="10"/>
      <c r="I50" s="49" t="s">
        <v>138</v>
      </c>
      <c r="J50" s="10"/>
      <c r="K50" s="10"/>
      <c r="L50" s="55"/>
    </row>
    <row r="51" spans="2:12" x14ac:dyDescent="0.25">
      <c r="B51" s="5"/>
      <c r="C51" s="27" t="s">
        <v>1</v>
      </c>
      <c r="D51" s="34" t="s">
        <v>2</v>
      </c>
      <c r="E51" s="7"/>
      <c r="F51" s="74" t="s">
        <v>11</v>
      </c>
      <c r="G51" s="74" t="s">
        <v>12</v>
      </c>
      <c r="H51" s="10"/>
      <c r="I51" s="74" t="s">
        <v>11</v>
      </c>
      <c r="J51" s="74" t="s">
        <v>12</v>
      </c>
      <c r="K51" s="74"/>
      <c r="L51" s="55"/>
    </row>
    <row r="52" spans="2:12" x14ac:dyDescent="0.25">
      <c r="B52" s="5"/>
      <c r="C52" s="28" t="s">
        <v>97</v>
      </c>
      <c r="D52" s="35" t="s">
        <v>6</v>
      </c>
      <c r="E52" s="9"/>
      <c r="F52" s="67"/>
      <c r="G52" s="71"/>
      <c r="H52" s="10"/>
      <c r="I52" s="67" t="s">
        <v>110</v>
      </c>
      <c r="J52" s="71">
        <v>-1.2900000000000001E-3</v>
      </c>
      <c r="K52" s="74"/>
      <c r="L52" s="55"/>
    </row>
    <row r="53" spans="2:12" x14ac:dyDescent="0.25">
      <c r="B53" s="5"/>
      <c r="C53" s="28" t="s">
        <v>107</v>
      </c>
      <c r="D53" s="35">
        <v>2</v>
      </c>
      <c r="E53" s="9"/>
      <c r="F53" s="68"/>
      <c r="G53" s="72"/>
      <c r="H53" s="10"/>
      <c r="I53" s="68" t="s">
        <v>111</v>
      </c>
      <c r="J53" s="72">
        <v>-1.2900000000000001E-3</v>
      </c>
      <c r="K53" s="74"/>
      <c r="L53" s="55"/>
    </row>
    <row r="54" spans="2:12" x14ac:dyDescent="0.25">
      <c r="B54" s="5"/>
      <c r="C54" s="28" t="s">
        <v>21</v>
      </c>
      <c r="D54" s="64" t="s">
        <v>22</v>
      </c>
      <c r="E54" s="9"/>
      <c r="F54" s="68"/>
      <c r="G54" s="72"/>
      <c r="H54" s="10"/>
      <c r="I54" s="68" t="s">
        <v>112</v>
      </c>
      <c r="J54" s="72">
        <v>-1.33E-3</v>
      </c>
      <c r="K54" s="74"/>
      <c r="L54" s="55"/>
    </row>
    <row r="55" spans="2:12" x14ac:dyDescent="0.25">
      <c r="B55" s="5"/>
      <c r="C55" s="28" t="s">
        <v>102</v>
      </c>
      <c r="D55" s="35" t="b">
        <v>0</v>
      </c>
      <c r="E55" s="9"/>
      <c r="F55" s="68"/>
      <c r="G55" s="72"/>
      <c r="H55" s="10"/>
      <c r="I55" s="68" t="s">
        <v>113</v>
      </c>
      <c r="J55" s="72">
        <v>-1.3900000000000002E-3</v>
      </c>
      <c r="K55" s="74"/>
      <c r="L55" s="55"/>
    </row>
    <row r="56" spans="2:12" x14ac:dyDescent="0.25">
      <c r="B56" s="5"/>
      <c r="C56" s="28" t="s">
        <v>108</v>
      </c>
      <c r="D56" s="35" t="b">
        <v>1</v>
      </c>
      <c r="E56" s="9"/>
      <c r="F56" s="68"/>
      <c r="G56" s="72"/>
      <c r="H56" s="10"/>
      <c r="I56" s="68" t="s">
        <v>114</v>
      </c>
      <c r="J56" s="72">
        <v>-1.4399999999999999E-3</v>
      </c>
      <c r="K56" s="74"/>
      <c r="L56" s="55"/>
    </row>
    <row r="57" spans="2:12" x14ac:dyDescent="0.25">
      <c r="B57" s="5"/>
      <c r="C57" s="28" t="s">
        <v>109</v>
      </c>
      <c r="D57" s="35">
        <v>2</v>
      </c>
      <c r="E57" s="9"/>
      <c r="F57" s="68"/>
      <c r="G57" s="72"/>
      <c r="H57" s="10"/>
      <c r="I57" s="68" t="s">
        <v>115</v>
      </c>
      <c r="J57" s="72">
        <v>-1.4399999999999999E-3</v>
      </c>
      <c r="K57" s="74"/>
      <c r="L57" s="55"/>
    </row>
    <row r="58" spans="2:12" x14ac:dyDescent="0.25">
      <c r="B58" s="5"/>
      <c r="C58" s="28"/>
      <c r="D58" s="35"/>
      <c r="E58" s="9"/>
      <c r="F58" s="68"/>
      <c r="G58" s="72"/>
      <c r="H58" s="10"/>
      <c r="I58" s="68" t="s">
        <v>116</v>
      </c>
      <c r="J58" s="72">
        <v>-1.4599999999999999E-3</v>
      </c>
      <c r="K58" s="74"/>
      <c r="L58" s="55"/>
    </row>
    <row r="59" spans="2:12" x14ac:dyDescent="0.25">
      <c r="B59" s="5"/>
      <c r="C59" s="28"/>
      <c r="D59" s="35"/>
      <c r="E59" s="9"/>
      <c r="F59" s="68"/>
      <c r="G59" s="72"/>
      <c r="H59" s="10"/>
      <c r="I59" s="68" t="s">
        <v>117</v>
      </c>
      <c r="J59" s="72">
        <v>-1.47E-3</v>
      </c>
      <c r="K59" s="74"/>
      <c r="L59" s="55"/>
    </row>
    <row r="60" spans="2:12" x14ac:dyDescent="0.25">
      <c r="B60" s="5"/>
      <c r="C60" s="28"/>
      <c r="D60" s="35"/>
      <c r="E60" s="9"/>
      <c r="F60" s="68"/>
      <c r="G60" s="72"/>
      <c r="H60" s="10"/>
      <c r="I60" s="68" t="s">
        <v>118</v>
      </c>
      <c r="J60" s="72">
        <v>-1.4599999999999999E-3</v>
      </c>
      <c r="K60" s="74"/>
      <c r="L60" s="55"/>
    </row>
    <row r="61" spans="2:12" x14ac:dyDescent="0.25">
      <c r="B61" s="5"/>
      <c r="C61" s="28"/>
      <c r="D61" s="35"/>
      <c r="E61" s="9"/>
      <c r="F61" s="68"/>
      <c r="G61" s="72"/>
      <c r="H61" s="10"/>
      <c r="I61" s="68" t="s">
        <v>119</v>
      </c>
      <c r="J61" s="72">
        <v>-1.4299999999999998E-3</v>
      </c>
      <c r="K61" s="74"/>
      <c r="L61" s="55"/>
    </row>
    <row r="62" spans="2:12" x14ac:dyDescent="0.25">
      <c r="B62" s="5"/>
      <c r="C62" s="28"/>
      <c r="D62" s="35"/>
      <c r="E62" s="9"/>
      <c r="F62" s="68"/>
      <c r="G62" s="72"/>
      <c r="H62" s="10"/>
      <c r="I62" s="68" t="s">
        <v>120</v>
      </c>
      <c r="J62" s="72">
        <v>-1.4099999999999998E-3</v>
      </c>
      <c r="K62" s="74"/>
      <c r="L62" s="55"/>
    </row>
    <row r="63" spans="2:12" x14ac:dyDescent="0.25">
      <c r="B63" s="5"/>
      <c r="C63" s="28"/>
      <c r="D63" s="35"/>
      <c r="E63" s="9"/>
      <c r="F63" s="68"/>
      <c r="G63" s="72"/>
      <c r="H63" s="10"/>
      <c r="I63" s="68"/>
      <c r="J63" s="72"/>
      <c r="K63" s="74"/>
      <c r="L63" s="55"/>
    </row>
    <row r="64" spans="2:12" x14ac:dyDescent="0.25">
      <c r="B64" s="5"/>
      <c r="C64" s="33"/>
      <c r="D64" s="40"/>
      <c r="E64" s="9"/>
      <c r="F64" s="69"/>
      <c r="G64" s="73"/>
      <c r="H64" s="10"/>
      <c r="I64" s="69"/>
      <c r="J64" s="73"/>
      <c r="K64" s="74"/>
      <c r="L64" s="55"/>
    </row>
    <row r="65" spans="2:12" x14ac:dyDescent="0.25">
      <c r="B65" s="5"/>
      <c r="C65" s="9"/>
      <c r="D65" s="9"/>
      <c r="E65" s="9"/>
      <c r="F65" s="10"/>
      <c r="G65" s="10"/>
      <c r="H65" s="10"/>
      <c r="I65" s="10"/>
      <c r="J65" s="10"/>
      <c r="K65" s="74"/>
      <c r="L65" s="55"/>
    </row>
    <row r="66" spans="2:12" x14ac:dyDescent="0.25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9" spans="2:12" x14ac:dyDescent="0.25">
      <c r="B69" s="56" t="s">
        <v>121</v>
      </c>
    </row>
    <row r="70" spans="2:12" x14ac:dyDescent="0.25">
      <c r="B70" s="2"/>
      <c r="C70" s="3"/>
      <c r="D70" s="3"/>
      <c r="E70" s="3"/>
      <c r="F70" s="3"/>
      <c r="G70" s="3"/>
      <c r="H70" s="3"/>
      <c r="I70" s="3"/>
      <c r="J70" s="3"/>
      <c r="K70" s="3"/>
      <c r="L70" s="4"/>
    </row>
    <row r="71" spans="2:12" x14ac:dyDescent="0.25">
      <c r="B71" s="5"/>
      <c r="C71" s="49" t="s">
        <v>122</v>
      </c>
      <c r="D71" s="10"/>
      <c r="E71" s="10"/>
      <c r="F71" s="49" t="s">
        <v>125</v>
      </c>
      <c r="G71" s="10"/>
      <c r="H71" s="10"/>
      <c r="I71" s="10"/>
      <c r="J71" s="10"/>
      <c r="K71" s="10"/>
      <c r="L71" s="55"/>
    </row>
    <row r="72" spans="2:12" x14ac:dyDescent="0.25">
      <c r="B72" s="5"/>
      <c r="C72" s="27"/>
      <c r="D72" s="34"/>
      <c r="E72" s="7"/>
      <c r="F72" s="93" t="s">
        <v>139</v>
      </c>
      <c r="G72" s="93" t="s">
        <v>13</v>
      </c>
      <c r="H72" s="93" t="s">
        <v>14</v>
      </c>
      <c r="I72" s="93" t="s">
        <v>12</v>
      </c>
      <c r="J72" s="93" t="s">
        <v>124</v>
      </c>
      <c r="K72" s="10"/>
      <c r="L72" s="55"/>
    </row>
    <row r="73" spans="2:12" x14ac:dyDescent="0.25">
      <c r="B73" s="5"/>
      <c r="C73" s="28"/>
      <c r="D73" s="35"/>
      <c r="E73" s="9"/>
      <c r="F73" s="75"/>
      <c r="G73" s="76"/>
      <c r="H73" s="76"/>
      <c r="I73" s="77"/>
      <c r="J73" s="78"/>
      <c r="K73" s="10"/>
      <c r="L73" s="55"/>
    </row>
    <row r="74" spans="2:12" x14ac:dyDescent="0.25">
      <c r="B74" s="5"/>
      <c r="C74" s="28"/>
      <c r="D74" s="35"/>
      <c r="E74" s="9"/>
      <c r="F74" s="79"/>
      <c r="G74" s="76"/>
      <c r="H74" s="76"/>
      <c r="I74" s="77"/>
      <c r="J74" s="78"/>
      <c r="K74" s="10"/>
      <c r="L74" s="55"/>
    </row>
    <row r="75" spans="2:12" x14ac:dyDescent="0.25">
      <c r="B75" s="5"/>
      <c r="C75" s="28"/>
      <c r="D75" s="101"/>
      <c r="E75" s="9"/>
      <c r="F75" s="80"/>
      <c r="G75" s="81"/>
      <c r="H75" s="81"/>
      <c r="I75" s="82"/>
      <c r="J75" s="83"/>
      <c r="K75" s="10"/>
      <c r="L75" s="55"/>
    </row>
    <row r="76" spans="2:12" x14ac:dyDescent="0.25">
      <c r="B76" s="5"/>
      <c r="C76" s="28"/>
      <c r="D76" s="70"/>
      <c r="E76" s="9"/>
      <c r="F76" s="80"/>
      <c r="G76" s="81"/>
      <c r="H76" s="81"/>
      <c r="I76" s="82"/>
      <c r="J76" s="83"/>
      <c r="K76" s="10"/>
      <c r="L76" s="55"/>
    </row>
    <row r="77" spans="2:12" x14ac:dyDescent="0.25">
      <c r="B77" s="5"/>
      <c r="C77" s="28"/>
      <c r="D77" s="35"/>
      <c r="E77" s="9"/>
      <c r="F77" s="80"/>
      <c r="G77" s="81"/>
      <c r="H77" s="81"/>
      <c r="I77" s="82"/>
      <c r="J77" s="83"/>
      <c r="K77" s="10"/>
      <c r="L77" s="55"/>
    </row>
    <row r="78" spans="2:12" x14ac:dyDescent="0.25">
      <c r="B78" s="5"/>
      <c r="C78" s="28"/>
      <c r="D78" s="35"/>
      <c r="E78" s="9"/>
      <c r="F78" s="80"/>
      <c r="G78" s="81"/>
      <c r="H78" s="81"/>
      <c r="I78" s="82"/>
      <c r="J78" s="83"/>
      <c r="K78" s="10"/>
      <c r="L78" s="55"/>
    </row>
    <row r="79" spans="2:12" x14ac:dyDescent="0.25">
      <c r="B79" s="5"/>
      <c r="C79" s="28"/>
      <c r="D79" s="35"/>
      <c r="E79" s="9"/>
      <c r="F79" s="80"/>
      <c r="G79" s="81"/>
      <c r="H79" s="81"/>
      <c r="I79" s="82"/>
      <c r="J79" s="83"/>
      <c r="K79" s="10"/>
      <c r="L79" s="55"/>
    </row>
    <row r="80" spans="2:12" x14ac:dyDescent="0.25">
      <c r="B80" s="5"/>
      <c r="C80" s="28"/>
      <c r="D80" s="35"/>
      <c r="E80" s="9"/>
      <c r="F80" s="80"/>
      <c r="G80" s="81"/>
      <c r="H80" s="81"/>
      <c r="I80" s="82"/>
      <c r="J80" s="83"/>
      <c r="K80" s="10"/>
      <c r="L80" s="55"/>
    </row>
    <row r="81" spans="2:12" x14ac:dyDescent="0.25">
      <c r="B81" s="5"/>
      <c r="C81" s="28"/>
      <c r="D81" s="35"/>
      <c r="E81" s="9"/>
      <c r="F81" s="80"/>
      <c r="G81" s="81"/>
      <c r="H81" s="81"/>
      <c r="I81" s="82"/>
      <c r="J81" s="83"/>
      <c r="K81" s="10"/>
      <c r="L81" s="55"/>
    </row>
    <row r="82" spans="2:12" x14ac:dyDescent="0.25">
      <c r="B82" s="5"/>
      <c r="C82" s="28"/>
      <c r="D82" s="35"/>
      <c r="E82" s="9"/>
      <c r="F82" s="84"/>
      <c r="G82" s="81"/>
      <c r="H82" s="81"/>
      <c r="I82" s="85"/>
      <c r="J82" s="83"/>
      <c r="K82" s="10"/>
      <c r="L82" s="55"/>
    </row>
    <row r="83" spans="2:12" x14ac:dyDescent="0.25">
      <c r="B83" s="5"/>
      <c r="C83" s="28"/>
      <c r="D83" s="35"/>
      <c r="E83" s="9"/>
      <c r="F83" s="86"/>
      <c r="G83" s="87"/>
      <c r="H83" s="87"/>
      <c r="I83" s="85"/>
      <c r="J83" s="88"/>
      <c r="K83" s="10"/>
      <c r="L83" s="55"/>
    </row>
    <row r="84" spans="2:12" x14ac:dyDescent="0.25">
      <c r="B84" s="5"/>
      <c r="C84" s="28"/>
      <c r="D84" s="35"/>
      <c r="E84" s="9"/>
      <c r="F84" s="86"/>
      <c r="G84" s="87"/>
      <c r="H84" s="87"/>
      <c r="I84" s="85"/>
      <c r="J84" s="88"/>
      <c r="K84" s="10"/>
      <c r="L84" s="55"/>
    </row>
    <row r="85" spans="2:12" x14ac:dyDescent="0.25">
      <c r="B85" s="5"/>
      <c r="C85" s="33"/>
      <c r="D85" s="40"/>
      <c r="E85" s="9"/>
      <c r="F85" s="89"/>
      <c r="G85" s="90"/>
      <c r="H85" s="90"/>
      <c r="I85" s="91"/>
      <c r="J85" s="92"/>
      <c r="K85" s="10"/>
      <c r="L85" s="55"/>
    </row>
    <row r="86" spans="2:12" x14ac:dyDescent="0.25">
      <c r="B86" s="5"/>
      <c r="C86" s="9"/>
      <c r="D86" s="9"/>
      <c r="E86" s="9"/>
      <c r="F86" s="10"/>
      <c r="G86" s="10"/>
      <c r="H86" s="10"/>
      <c r="I86" s="10"/>
      <c r="J86" s="10"/>
      <c r="K86" s="10"/>
      <c r="L86" s="55"/>
    </row>
    <row r="87" spans="2:12" x14ac:dyDescent="0.25"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90" spans="2:12" x14ac:dyDescent="0.25">
      <c r="B90" s="56" t="s">
        <v>126</v>
      </c>
    </row>
    <row r="91" spans="2:12" x14ac:dyDescent="0.25">
      <c r="B91" s="2"/>
      <c r="C91" s="3"/>
      <c r="D91" s="3"/>
      <c r="E91" s="3"/>
      <c r="F91" s="3"/>
      <c r="G91" s="3"/>
      <c r="H91" s="3"/>
      <c r="I91" s="3"/>
      <c r="J91" s="3"/>
      <c r="K91" s="3"/>
      <c r="L91" s="4"/>
    </row>
    <row r="92" spans="2:12" x14ac:dyDescent="0.25">
      <c r="B92" s="5"/>
      <c r="C92" s="49" t="s">
        <v>127</v>
      </c>
      <c r="D92" s="10"/>
      <c r="E92" s="10"/>
      <c r="F92" s="49" t="s">
        <v>128</v>
      </c>
      <c r="G92" s="10"/>
      <c r="H92" s="10"/>
      <c r="I92" s="10"/>
      <c r="J92" s="10"/>
      <c r="K92" s="10"/>
      <c r="L92" s="55"/>
    </row>
    <row r="93" spans="2:12" x14ac:dyDescent="0.25">
      <c r="B93" s="5"/>
      <c r="C93" s="98" t="s">
        <v>1</v>
      </c>
      <c r="D93" s="34" t="s">
        <v>2</v>
      </c>
      <c r="E93" s="7"/>
      <c r="F93" s="74" t="s">
        <v>11</v>
      </c>
      <c r="G93" s="74" t="s">
        <v>12</v>
      </c>
      <c r="H93" s="74" t="s">
        <v>8</v>
      </c>
      <c r="I93" s="10"/>
      <c r="J93" s="10"/>
      <c r="K93" s="10"/>
      <c r="L93" s="55"/>
    </row>
    <row r="94" spans="2:12" x14ac:dyDescent="0.25">
      <c r="B94" s="5"/>
      <c r="C94" s="99" t="s">
        <v>97</v>
      </c>
      <c r="D94" s="35" t="s">
        <v>20</v>
      </c>
      <c r="E94" s="9"/>
      <c r="F94" s="97" t="s">
        <v>47</v>
      </c>
      <c r="G94" s="94">
        <v>-1.33E-3</v>
      </c>
      <c r="H94" s="71" t="b">
        <v>1</v>
      </c>
      <c r="I94" s="10"/>
      <c r="J94" s="10"/>
      <c r="K94" s="10"/>
      <c r="L94" s="55"/>
    </row>
    <row r="95" spans="2:12" x14ac:dyDescent="0.25">
      <c r="B95" s="5"/>
      <c r="C95" s="99" t="s">
        <v>129</v>
      </c>
      <c r="D95" s="35" t="s">
        <v>6</v>
      </c>
      <c r="E95" s="9"/>
      <c r="F95" s="24" t="s">
        <v>43</v>
      </c>
      <c r="G95" s="95">
        <v>-8.699999999999999E-4</v>
      </c>
      <c r="H95" s="72" t="b">
        <v>1</v>
      </c>
      <c r="I95" s="10"/>
      <c r="J95" s="10"/>
      <c r="K95" s="10"/>
      <c r="L95" s="55"/>
    </row>
    <row r="96" spans="2:12" x14ac:dyDescent="0.25">
      <c r="B96" s="5"/>
      <c r="C96" s="99" t="s">
        <v>27</v>
      </c>
      <c r="D96" s="35" t="s">
        <v>26</v>
      </c>
      <c r="E96" s="9"/>
      <c r="F96" s="24" t="s">
        <v>50</v>
      </c>
      <c r="G96" s="95">
        <v>-8.0000000000000007E-5</v>
      </c>
      <c r="H96" s="72" t="b">
        <v>1</v>
      </c>
      <c r="I96" s="10"/>
      <c r="J96" s="10"/>
      <c r="K96" s="10"/>
      <c r="L96" s="55"/>
    </row>
    <row r="97" spans="2:12" x14ac:dyDescent="0.25">
      <c r="B97" s="5"/>
      <c r="C97" s="99" t="s">
        <v>131</v>
      </c>
      <c r="D97" s="35" t="s">
        <v>130</v>
      </c>
      <c r="E97" s="9"/>
      <c r="F97" s="24" t="s">
        <v>52</v>
      </c>
      <c r="G97" s="95">
        <v>9.2999999999999995E-4</v>
      </c>
      <c r="H97" s="72" t="b">
        <v>1</v>
      </c>
      <c r="I97" s="10"/>
      <c r="J97" s="10"/>
      <c r="K97" s="10"/>
      <c r="L97" s="55"/>
    </row>
    <row r="98" spans="2:12" x14ac:dyDescent="0.25">
      <c r="B98" s="5"/>
      <c r="C98" s="99" t="s">
        <v>132</v>
      </c>
      <c r="D98" s="107" t="s">
        <v>84</v>
      </c>
      <c r="E98" s="9"/>
      <c r="F98" s="24" t="s">
        <v>54</v>
      </c>
      <c r="G98" s="95">
        <v>2.0200000000000001E-3</v>
      </c>
      <c r="H98" s="72" t="b">
        <v>1</v>
      </c>
      <c r="I98" s="10"/>
      <c r="J98" s="10"/>
      <c r="K98" s="10"/>
      <c r="L98" s="55"/>
    </row>
    <row r="99" spans="2:12" x14ac:dyDescent="0.25">
      <c r="B99" s="5"/>
      <c r="C99" s="99" t="s">
        <v>102</v>
      </c>
      <c r="D99" s="35" t="b">
        <v>1</v>
      </c>
      <c r="E99" s="9"/>
      <c r="F99" s="24" t="s">
        <v>56</v>
      </c>
      <c r="G99" s="95">
        <v>3.2100000000000002E-3</v>
      </c>
      <c r="H99" s="72" t="b">
        <v>1</v>
      </c>
      <c r="I99" s="10"/>
      <c r="J99" s="10"/>
      <c r="K99" s="10"/>
      <c r="L99" s="55"/>
    </row>
    <row r="100" spans="2:12" x14ac:dyDescent="0.25">
      <c r="B100" s="5"/>
      <c r="C100" s="99" t="s">
        <v>227</v>
      </c>
      <c r="D100" s="35">
        <v>31</v>
      </c>
      <c r="E100" s="9"/>
      <c r="F100" s="24" t="s">
        <v>58</v>
      </c>
      <c r="G100" s="95">
        <v>4.4400000000000004E-3</v>
      </c>
      <c r="H100" s="72" t="b">
        <v>1</v>
      </c>
      <c r="I100" s="10"/>
      <c r="J100" s="10"/>
      <c r="K100" s="10"/>
      <c r="L100" s="55"/>
    </row>
    <row r="101" spans="2:12" x14ac:dyDescent="0.25">
      <c r="B101" s="5"/>
      <c r="C101" s="99" t="s">
        <v>101</v>
      </c>
      <c r="D101" s="35">
        <v>2</v>
      </c>
      <c r="E101" s="9"/>
      <c r="F101" s="24" t="s">
        <v>60</v>
      </c>
      <c r="G101" s="95">
        <v>5.6100000000000004E-3</v>
      </c>
      <c r="H101" s="72" t="b">
        <v>1</v>
      </c>
      <c r="I101" s="10"/>
      <c r="J101" s="10"/>
      <c r="K101" s="10"/>
      <c r="L101" s="55"/>
    </row>
    <row r="102" spans="2:12" x14ac:dyDescent="0.25">
      <c r="B102" s="5"/>
      <c r="C102" s="99" t="s">
        <v>21</v>
      </c>
      <c r="D102" s="64" t="s">
        <v>22</v>
      </c>
      <c r="E102" s="9"/>
      <c r="F102" s="24" t="s">
        <v>61</v>
      </c>
      <c r="G102" s="95">
        <v>6.6700000000000006E-3</v>
      </c>
      <c r="H102" s="72" t="b">
        <v>1</v>
      </c>
      <c r="I102" s="10"/>
      <c r="J102" s="10"/>
      <c r="K102" s="10"/>
      <c r="L102" s="55"/>
    </row>
    <row r="103" spans="2:12" x14ac:dyDescent="0.25">
      <c r="B103" s="5"/>
      <c r="C103" s="99" t="s">
        <v>133</v>
      </c>
      <c r="D103" s="35" t="b">
        <v>1</v>
      </c>
      <c r="E103" s="9"/>
      <c r="F103" s="24" t="s">
        <v>62</v>
      </c>
      <c r="G103" s="95">
        <v>7.6300000000000005E-3</v>
      </c>
      <c r="H103" s="72" t="b">
        <v>1</v>
      </c>
      <c r="I103" s="10"/>
      <c r="J103" s="10"/>
      <c r="K103" s="10"/>
      <c r="L103" s="55"/>
    </row>
    <row r="104" spans="2:12" x14ac:dyDescent="0.25">
      <c r="B104" s="5"/>
      <c r="C104" s="99" t="s">
        <v>134</v>
      </c>
      <c r="D104" s="35" t="b">
        <v>1</v>
      </c>
      <c r="E104" s="9"/>
      <c r="F104" s="24" t="s">
        <v>63</v>
      </c>
      <c r="G104" s="95">
        <v>8.4700000000000001E-3</v>
      </c>
      <c r="H104" s="72" t="b">
        <v>1</v>
      </c>
      <c r="I104" s="10"/>
      <c r="J104" s="10"/>
      <c r="K104" s="10"/>
      <c r="L104" s="55"/>
    </row>
    <row r="105" spans="2:12" x14ac:dyDescent="0.25">
      <c r="B105" s="5"/>
      <c r="C105" s="99" t="s">
        <v>135</v>
      </c>
      <c r="D105" s="38">
        <v>1.0000000000000001E-9</v>
      </c>
      <c r="E105" s="9"/>
      <c r="F105" s="24" t="s">
        <v>64</v>
      </c>
      <c r="G105" s="95">
        <v>1.03E-2</v>
      </c>
      <c r="H105" s="72" t="b">
        <v>1</v>
      </c>
      <c r="I105" s="10"/>
      <c r="J105" s="10"/>
      <c r="K105" s="10"/>
      <c r="L105" s="55"/>
    </row>
    <row r="106" spans="2:12" x14ac:dyDescent="0.25">
      <c r="B106" s="5"/>
      <c r="C106" s="99" t="s">
        <v>136</v>
      </c>
      <c r="D106" s="102">
        <v>1000</v>
      </c>
      <c r="E106" s="9"/>
      <c r="F106" s="24" t="s">
        <v>65</v>
      </c>
      <c r="G106" s="95">
        <v>1.1659999999999998E-2</v>
      </c>
      <c r="H106" s="72" t="b">
        <v>1</v>
      </c>
      <c r="I106" s="10"/>
      <c r="J106" s="10"/>
      <c r="K106" s="10"/>
      <c r="L106" s="55"/>
    </row>
    <row r="107" spans="2:12" x14ac:dyDescent="0.25">
      <c r="B107" s="5"/>
      <c r="C107" s="99"/>
      <c r="D107" s="38"/>
      <c r="E107" s="9"/>
      <c r="F107" s="24" t="s">
        <v>66</v>
      </c>
      <c r="G107" s="95">
        <v>1.201E-2</v>
      </c>
      <c r="H107" s="72" t="b">
        <v>1</v>
      </c>
      <c r="I107" s="10"/>
      <c r="J107" s="10"/>
      <c r="K107" s="10"/>
      <c r="L107" s="55"/>
    </row>
    <row r="108" spans="2:12" x14ac:dyDescent="0.25">
      <c r="B108" s="5"/>
      <c r="C108" s="99"/>
      <c r="D108" s="35"/>
      <c r="E108" s="9"/>
      <c r="F108" s="24" t="s">
        <v>67</v>
      </c>
      <c r="G108" s="95">
        <v>1.204E-2</v>
      </c>
      <c r="H108" s="72" t="b">
        <v>1</v>
      </c>
      <c r="I108" s="10"/>
      <c r="J108" s="10"/>
      <c r="K108" s="10"/>
      <c r="L108" s="55"/>
    </row>
    <row r="109" spans="2:12" x14ac:dyDescent="0.25">
      <c r="B109" s="5"/>
      <c r="C109" s="99"/>
      <c r="D109" s="35"/>
      <c r="E109" s="9"/>
      <c r="F109" s="24" t="s">
        <v>68</v>
      </c>
      <c r="G109" s="95">
        <v>1.1859999999999999E-2</v>
      </c>
      <c r="H109" s="72" t="b">
        <v>1</v>
      </c>
      <c r="I109" s="10"/>
      <c r="J109" s="10"/>
      <c r="K109" s="10"/>
      <c r="L109" s="55"/>
    </row>
    <row r="110" spans="2:12" x14ac:dyDescent="0.25">
      <c r="B110" s="5"/>
      <c r="C110" s="99"/>
      <c r="D110" s="35"/>
      <c r="E110" s="9"/>
      <c r="F110" s="24" t="s">
        <v>69</v>
      </c>
      <c r="G110" s="95">
        <v>1.1200000000000002E-2</v>
      </c>
      <c r="H110" s="72" t="b">
        <v>1</v>
      </c>
      <c r="I110" s="10"/>
      <c r="J110" s="10"/>
      <c r="K110" s="10"/>
      <c r="L110" s="55"/>
    </row>
    <row r="111" spans="2:12" x14ac:dyDescent="0.25">
      <c r="B111" s="5"/>
      <c r="C111" s="100"/>
      <c r="D111" s="40"/>
      <c r="E111" s="9"/>
      <c r="F111" s="25"/>
      <c r="G111" s="96"/>
      <c r="H111" s="73"/>
      <c r="I111" s="10"/>
      <c r="J111" s="10"/>
      <c r="K111" s="10"/>
      <c r="L111" s="55"/>
    </row>
    <row r="112" spans="2:12" x14ac:dyDescent="0.25">
      <c r="B112" s="5"/>
      <c r="C112" s="9"/>
      <c r="D112" s="9"/>
      <c r="E112" s="9"/>
      <c r="F112" s="10"/>
      <c r="G112" s="10"/>
      <c r="H112" s="10"/>
      <c r="I112" s="10"/>
      <c r="J112" s="10"/>
      <c r="K112" s="10"/>
      <c r="L112" s="55"/>
    </row>
    <row r="113" spans="2:12" x14ac:dyDescent="0.25"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</sheetData>
  <dataValidations disablePrompts="1" count="2">
    <dataValidation type="list" allowBlank="1" showInputMessage="1" showErrorMessage="1" sqref="D98 D24:D25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D54 D102 D75">
      <formula1>"FOLLOWING,MOD_FOLLOWING,PRECEDING,MOD_PRECEEDING,NO_CHANGE"</formula1>
    </dataValidation>
  </dataValidation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3"/>
  </sheetPr>
  <dimension ref="B2:J82"/>
  <sheetViews>
    <sheetView showGridLines="0" workbookViewId="0"/>
  </sheetViews>
  <sheetFormatPr defaultRowHeight="15" x14ac:dyDescent="0.25"/>
  <cols>
    <col min="2" max="2" width="2.7109375" customWidth="1"/>
    <col min="3" max="3" width="13" customWidth="1"/>
    <col min="4" max="4" width="32" customWidth="1"/>
    <col min="5" max="5" width="32.42578125" customWidth="1"/>
    <col min="7" max="9" width="20.7109375" customWidth="1"/>
    <col min="10" max="10" width="2.7109375" customWidth="1"/>
    <col min="11" max="15" width="20.7109375" customWidth="1"/>
    <col min="16" max="16" width="2.7109375" customWidth="1"/>
  </cols>
  <sheetData>
    <row r="2" spans="2:10" x14ac:dyDescent="0.25">
      <c r="B2" s="121" t="s">
        <v>293</v>
      </c>
    </row>
    <row r="5" spans="2:10" x14ac:dyDescent="0.25">
      <c r="B5" s="122" t="s">
        <v>201</v>
      </c>
      <c r="C5" s="56"/>
    </row>
    <row r="6" spans="2:10" x14ac:dyDescent="0.25">
      <c r="B6" s="2"/>
      <c r="C6" s="3"/>
      <c r="D6" s="45"/>
      <c r="E6" s="46"/>
      <c r="F6" s="3"/>
      <c r="G6" s="3"/>
      <c r="H6" s="3"/>
      <c r="I6" s="3"/>
      <c r="J6" s="4"/>
    </row>
    <row r="7" spans="2:10" x14ac:dyDescent="0.25">
      <c r="B7" s="5"/>
      <c r="C7" s="7"/>
      <c r="D7" s="123" t="s">
        <v>201</v>
      </c>
      <c r="E7" s="127" t="str">
        <f ca="1">IF(AND(isEUR6MLLoaded,NOW()),_xll.meLWOCurveCreateBasis("EUR3ML_19FEB16",TenorBasisCurve3M6M.CollectionName,TenorBasisCurve3M6M.StaticDataTable,TenorBasisCurve3M6M.IndexName,TenorBasisCurve3M6M.BuildProperties,TenorBasisSwap3M6M.Conventions,TenorBasisSwap3M6M.MarketData),"Error Building Tenor Basis Curve")</f>
        <v>EUR3ML_19FEB16:0</v>
      </c>
      <c r="F7" s="7"/>
      <c r="G7" s="7"/>
      <c r="H7" s="7"/>
      <c r="I7" s="7"/>
      <c r="J7" s="8"/>
    </row>
    <row r="8" spans="2:10" x14ac:dyDescent="0.25">
      <c r="B8" s="5"/>
      <c r="C8" s="7"/>
      <c r="D8" s="114" t="s">
        <v>192</v>
      </c>
      <c r="E8" s="124" t="b">
        <f ca="1">_xll.meLWOExists(E7,"CURVE")</f>
        <v>1</v>
      </c>
      <c r="F8" s="7"/>
      <c r="G8" s="7"/>
      <c r="H8" s="7"/>
      <c r="I8" s="7"/>
      <c r="J8" s="8"/>
    </row>
    <row r="9" spans="2:10" x14ac:dyDescent="0.25">
      <c r="B9" s="5"/>
      <c r="C9" s="7"/>
      <c r="D9" s="6"/>
      <c r="E9" s="60"/>
      <c r="F9" s="7"/>
      <c r="G9" s="7"/>
      <c r="H9" s="7"/>
      <c r="I9" s="7"/>
      <c r="J9" s="8"/>
    </row>
    <row r="10" spans="2:10" x14ac:dyDescent="0.25">
      <c r="B10" s="5"/>
      <c r="C10" s="7"/>
      <c r="D10" s="6" t="s">
        <v>4</v>
      </c>
      <c r="E10" s="60"/>
      <c r="F10" s="7"/>
      <c r="G10" s="7"/>
      <c r="H10" s="7"/>
      <c r="I10" s="7"/>
      <c r="J10" s="8"/>
    </row>
    <row r="11" spans="2:10" x14ac:dyDescent="0.25">
      <c r="B11" s="5"/>
      <c r="C11" s="7"/>
      <c r="D11" s="48" t="s">
        <v>0</v>
      </c>
      <c r="E11" s="57"/>
      <c r="F11" s="7"/>
      <c r="G11" s="7"/>
      <c r="H11" s="7"/>
      <c r="I11" s="7"/>
      <c r="J11" s="8"/>
    </row>
    <row r="12" spans="2:10" x14ac:dyDescent="0.25">
      <c r="B12" s="5"/>
      <c r="C12" s="7"/>
      <c r="D12" s="27" t="s">
        <v>88</v>
      </c>
      <c r="E12" s="103" t="s">
        <v>80</v>
      </c>
      <c r="F12" s="7"/>
      <c r="G12" s="7"/>
      <c r="H12" s="7"/>
      <c r="I12" s="7"/>
      <c r="J12" s="8"/>
    </row>
    <row r="13" spans="2:10" x14ac:dyDescent="0.25">
      <c r="B13" s="5"/>
      <c r="C13" s="7"/>
      <c r="D13" s="28" t="s">
        <v>87</v>
      </c>
      <c r="E13" s="104" t="s">
        <v>140</v>
      </c>
      <c r="F13" s="7"/>
      <c r="G13" s="7"/>
      <c r="H13" s="7"/>
      <c r="I13" s="7"/>
      <c r="J13" s="8"/>
    </row>
    <row r="14" spans="2:10" x14ac:dyDescent="0.25">
      <c r="B14" s="5"/>
      <c r="C14" s="7"/>
      <c r="D14" s="59" t="s">
        <v>89</v>
      </c>
      <c r="E14" s="106" t="s">
        <v>141</v>
      </c>
      <c r="F14" s="7"/>
      <c r="G14" s="7"/>
      <c r="H14" s="7"/>
      <c r="I14" s="7"/>
      <c r="J14" s="8" t="s">
        <v>4</v>
      </c>
    </row>
    <row r="15" spans="2:10" x14ac:dyDescent="0.25">
      <c r="B15" s="11"/>
      <c r="C15" s="12"/>
      <c r="D15" s="12"/>
      <c r="E15" s="12"/>
      <c r="F15" s="12"/>
      <c r="G15" s="12"/>
      <c r="H15" s="12"/>
      <c r="I15" s="12"/>
      <c r="J15" s="13"/>
    </row>
    <row r="18" spans="2:10" x14ac:dyDescent="0.25">
      <c r="B18" s="56" t="s">
        <v>70</v>
      </c>
      <c r="C18" s="56"/>
    </row>
    <row r="19" spans="2:10" x14ac:dyDescent="0.25">
      <c r="B19" s="2"/>
      <c r="C19" s="3"/>
      <c r="D19" s="45"/>
      <c r="E19" s="46"/>
      <c r="F19" s="3"/>
      <c r="G19" s="3"/>
      <c r="H19" s="3"/>
      <c r="I19" s="3"/>
      <c r="J19" s="4"/>
    </row>
    <row r="20" spans="2:10" x14ac:dyDescent="0.25">
      <c r="B20" s="5"/>
      <c r="C20" s="7"/>
      <c r="D20" s="48" t="s">
        <v>70</v>
      </c>
      <c r="E20" s="47"/>
      <c r="F20" s="7"/>
      <c r="G20" s="50" t="s">
        <v>81</v>
      </c>
      <c r="H20" s="7"/>
      <c r="I20" s="7"/>
      <c r="J20" s="8"/>
    </row>
    <row r="21" spans="2:10" x14ac:dyDescent="0.25">
      <c r="B21" s="5"/>
      <c r="C21" s="7"/>
      <c r="D21" s="27" t="s">
        <v>10</v>
      </c>
      <c r="E21" s="103">
        <f ca="1">COB</f>
        <v>42419</v>
      </c>
      <c r="F21" s="7"/>
      <c r="G21" s="14" t="s">
        <v>82</v>
      </c>
      <c r="H21" s="16"/>
      <c r="I21" s="7"/>
      <c r="J21" s="8"/>
    </row>
    <row r="22" spans="2:10" x14ac:dyDescent="0.25">
      <c r="B22" s="5"/>
      <c r="C22" s="7"/>
      <c r="D22" s="28" t="s">
        <v>16</v>
      </c>
      <c r="E22" s="104" t="s">
        <v>17</v>
      </c>
      <c r="F22" s="7"/>
      <c r="G22" s="17" t="s">
        <v>83</v>
      </c>
      <c r="H22" s="18"/>
      <c r="I22" s="7"/>
      <c r="J22" s="8"/>
    </row>
    <row r="23" spans="2:10" x14ac:dyDescent="0.25">
      <c r="B23" s="5"/>
      <c r="C23" s="7"/>
      <c r="D23" s="28" t="s">
        <v>228</v>
      </c>
      <c r="E23" s="107" t="s">
        <v>84</v>
      </c>
      <c r="F23" s="7"/>
      <c r="G23" s="17" t="s">
        <v>84</v>
      </c>
      <c r="H23" s="18"/>
      <c r="I23" s="7"/>
      <c r="J23" s="8"/>
    </row>
    <row r="24" spans="2:10" x14ac:dyDescent="0.25">
      <c r="B24" s="5"/>
      <c r="C24" s="7"/>
      <c r="D24" s="129" t="s">
        <v>229</v>
      </c>
      <c r="E24" s="104" t="b">
        <v>0</v>
      </c>
      <c r="F24" s="7"/>
      <c r="G24" s="17" t="s">
        <v>85</v>
      </c>
      <c r="H24" s="18"/>
      <c r="I24" s="7"/>
      <c r="J24" s="8"/>
    </row>
    <row r="25" spans="2:10" x14ac:dyDescent="0.25">
      <c r="B25" s="5"/>
      <c r="C25" s="7"/>
      <c r="D25" s="129" t="s">
        <v>230</v>
      </c>
      <c r="E25" s="104" t="s">
        <v>9</v>
      </c>
      <c r="F25" s="7"/>
      <c r="G25" s="17" t="s">
        <v>86</v>
      </c>
      <c r="H25" s="18"/>
      <c r="I25" s="7"/>
      <c r="J25" s="8"/>
    </row>
    <row r="26" spans="2:10" x14ac:dyDescent="0.25">
      <c r="B26" s="5"/>
      <c r="C26" s="7"/>
      <c r="D26" s="28"/>
      <c r="E26" s="104"/>
      <c r="F26" s="7"/>
      <c r="G26" s="17"/>
      <c r="H26" s="18"/>
      <c r="I26" s="7"/>
      <c r="J26" s="8"/>
    </row>
    <row r="27" spans="2:10" x14ac:dyDescent="0.25">
      <c r="B27" s="5"/>
      <c r="C27" s="7"/>
      <c r="D27" s="28"/>
      <c r="E27" s="104"/>
      <c r="F27" s="7"/>
      <c r="G27" s="17"/>
      <c r="H27" s="18"/>
      <c r="I27" s="7"/>
      <c r="J27" s="8"/>
    </row>
    <row r="28" spans="2:10" x14ac:dyDescent="0.25">
      <c r="B28" s="5"/>
      <c r="C28" s="7"/>
      <c r="D28" s="29"/>
      <c r="E28" s="104"/>
      <c r="F28" s="7"/>
      <c r="G28" s="17"/>
      <c r="H28" s="18"/>
      <c r="I28" s="7"/>
      <c r="J28" s="8"/>
    </row>
    <row r="29" spans="2:10" x14ac:dyDescent="0.25">
      <c r="B29" s="5"/>
      <c r="C29" s="7"/>
      <c r="D29" s="29"/>
      <c r="E29" s="104"/>
      <c r="F29" s="7"/>
      <c r="G29" s="17"/>
      <c r="H29" s="18"/>
      <c r="I29" s="7"/>
      <c r="J29" s="8"/>
    </row>
    <row r="30" spans="2:10" x14ac:dyDescent="0.25">
      <c r="B30" s="5"/>
      <c r="C30" s="7"/>
      <c r="D30" s="29"/>
      <c r="E30" s="104"/>
      <c r="F30" s="7"/>
      <c r="G30" s="17"/>
      <c r="H30" s="18"/>
      <c r="I30" s="7"/>
      <c r="J30" s="8"/>
    </row>
    <row r="31" spans="2:10" x14ac:dyDescent="0.25">
      <c r="B31" s="5"/>
      <c r="C31" s="7"/>
      <c r="D31" s="44"/>
      <c r="E31" s="106"/>
      <c r="F31" s="7"/>
      <c r="G31" s="21"/>
      <c r="H31" s="22"/>
      <c r="I31" s="7"/>
      <c r="J31" s="8"/>
    </row>
    <row r="32" spans="2:10" x14ac:dyDescent="0.25">
      <c r="B32" s="11"/>
      <c r="C32" s="12"/>
      <c r="D32" s="12"/>
      <c r="E32" s="12"/>
      <c r="F32" s="12"/>
      <c r="G32" s="12"/>
      <c r="H32" s="12"/>
      <c r="I32" s="12"/>
      <c r="J32" s="13"/>
    </row>
    <row r="35" spans="2:10" x14ac:dyDescent="0.25">
      <c r="B35" s="56" t="s">
        <v>142</v>
      </c>
      <c r="C35" s="56"/>
    </row>
    <row r="36" spans="2:10" x14ac:dyDescent="0.25">
      <c r="B36" s="2"/>
      <c r="C36" s="3"/>
      <c r="D36" s="3"/>
      <c r="E36" s="3"/>
      <c r="F36" s="3"/>
      <c r="G36" s="3"/>
      <c r="H36" s="3"/>
      <c r="I36" s="3"/>
      <c r="J36" s="4"/>
    </row>
    <row r="37" spans="2:10" x14ac:dyDescent="0.25">
      <c r="B37" s="5"/>
      <c r="C37" s="7"/>
      <c r="D37" s="49" t="s">
        <v>184</v>
      </c>
      <c r="E37" s="10"/>
      <c r="F37" s="10"/>
      <c r="G37" s="49" t="s">
        <v>187</v>
      </c>
      <c r="H37" s="10"/>
      <c r="I37" s="10"/>
      <c r="J37" s="55"/>
    </row>
    <row r="38" spans="2:10" x14ac:dyDescent="0.25">
      <c r="B38" s="5"/>
      <c r="C38" s="111"/>
      <c r="D38" s="27" t="s">
        <v>143</v>
      </c>
      <c r="E38" s="34" t="s">
        <v>144</v>
      </c>
      <c r="F38" s="7"/>
      <c r="G38" s="74" t="s">
        <v>11</v>
      </c>
      <c r="H38" s="74" t="s">
        <v>12</v>
      </c>
      <c r="I38" s="10"/>
      <c r="J38" s="55"/>
    </row>
    <row r="39" spans="2:10" x14ac:dyDescent="0.25">
      <c r="B39" s="5"/>
      <c r="C39" s="253" t="s">
        <v>190</v>
      </c>
      <c r="D39" s="108" t="s">
        <v>145</v>
      </c>
      <c r="E39" s="109" t="b">
        <v>0</v>
      </c>
      <c r="F39" s="9"/>
      <c r="G39" s="67" t="s">
        <v>183</v>
      </c>
      <c r="H39" s="71">
        <v>1.1300000000000001E-3</v>
      </c>
      <c r="I39" s="10"/>
      <c r="J39" s="55"/>
    </row>
    <row r="40" spans="2:10" x14ac:dyDescent="0.25">
      <c r="B40" s="5"/>
      <c r="C40" s="254"/>
      <c r="D40" s="28" t="s">
        <v>146</v>
      </c>
      <c r="E40" s="35" t="s">
        <v>2</v>
      </c>
      <c r="F40" s="9"/>
      <c r="G40" s="68" t="s">
        <v>47</v>
      </c>
      <c r="H40" s="72">
        <v>1.1925E-3</v>
      </c>
      <c r="I40" s="10"/>
      <c r="J40" s="55"/>
    </row>
    <row r="41" spans="2:10" x14ac:dyDescent="0.25">
      <c r="B41" s="5"/>
      <c r="C41" s="254"/>
      <c r="D41" s="28" t="s">
        <v>147</v>
      </c>
      <c r="E41" s="35" t="s">
        <v>148</v>
      </c>
      <c r="F41" s="9"/>
      <c r="G41" s="68" t="s">
        <v>43</v>
      </c>
      <c r="H41" s="72">
        <v>1.2425000000000001E-3</v>
      </c>
      <c r="I41" s="10"/>
      <c r="J41" s="55"/>
    </row>
    <row r="42" spans="2:10" x14ac:dyDescent="0.25">
      <c r="B42" s="5"/>
      <c r="C42" s="254"/>
      <c r="D42" s="28" t="s">
        <v>149</v>
      </c>
      <c r="E42" s="64" t="s">
        <v>130</v>
      </c>
      <c r="F42" s="9"/>
      <c r="G42" s="68" t="s">
        <v>50</v>
      </c>
      <c r="H42" s="72">
        <v>1.2975E-3</v>
      </c>
      <c r="I42" s="10"/>
      <c r="J42" s="55"/>
    </row>
    <row r="43" spans="2:10" x14ac:dyDescent="0.25">
      <c r="B43" s="5"/>
      <c r="C43" s="254"/>
      <c r="D43" s="28" t="s">
        <v>150</v>
      </c>
      <c r="E43" s="64" t="s">
        <v>22</v>
      </c>
      <c r="F43" s="9"/>
      <c r="G43" s="68" t="s">
        <v>52</v>
      </c>
      <c r="H43" s="72">
        <v>1.3324999999999999E-3</v>
      </c>
      <c r="I43" s="10"/>
      <c r="J43" s="55"/>
    </row>
    <row r="44" spans="2:10" x14ac:dyDescent="0.25">
      <c r="B44" s="5"/>
      <c r="C44" s="254"/>
      <c r="D44" s="28" t="s">
        <v>151</v>
      </c>
      <c r="E44" s="35" t="s">
        <v>123</v>
      </c>
      <c r="F44" s="9"/>
      <c r="G44" s="68" t="s">
        <v>54</v>
      </c>
      <c r="H44" s="72">
        <v>1.3074999999999999E-3</v>
      </c>
      <c r="I44" s="10"/>
      <c r="J44" s="55"/>
    </row>
    <row r="45" spans="2:10" x14ac:dyDescent="0.25">
      <c r="B45" s="5"/>
      <c r="C45" s="254"/>
      <c r="D45" s="28" t="s">
        <v>152</v>
      </c>
      <c r="E45" s="35" t="s">
        <v>9</v>
      </c>
      <c r="F45" s="9"/>
      <c r="G45" s="68" t="s">
        <v>56</v>
      </c>
      <c r="H45" s="72">
        <v>1.2725E-3</v>
      </c>
      <c r="I45" s="10"/>
      <c r="J45" s="55"/>
    </row>
    <row r="46" spans="2:10" x14ac:dyDescent="0.25">
      <c r="B46" s="5"/>
      <c r="C46" s="254"/>
      <c r="D46" s="28" t="s">
        <v>153</v>
      </c>
      <c r="E46" s="35" t="s">
        <v>188</v>
      </c>
      <c r="F46" s="9"/>
      <c r="G46" s="68" t="s">
        <v>58</v>
      </c>
      <c r="H46" s="72">
        <v>1.2275000000000001E-3</v>
      </c>
      <c r="I46" s="10"/>
      <c r="J46" s="55"/>
    </row>
    <row r="47" spans="2:10" x14ac:dyDescent="0.25">
      <c r="B47" s="5"/>
      <c r="C47" s="254"/>
      <c r="D47" s="28" t="s">
        <v>154</v>
      </c>
      <c r="E47" s="35" t="s">
        <v>104</v>
      </c>
      <c r="F47" s="9"/>
      <c r="G47" s="68" t="s">
        <v>60</v>
      </c>
      <c r="H47" s="72">
        <v>1.1675000000000001E-3</v>
      </c>
      <c r="I47" s="10"/>
      <c r="J47" s="55"/>
    </row>
    <row r="48" spans="2:10" x14ac:dyDescent="0.25">
      <c r="B48" s="5"/>
      <c r="C48" s="254"/>
      <c r="D48" s="28" t="s">
        <v>155</v>
      </c>
      <c r="E48" s="35" t="s">
        <v>148</v>
      </c>
      <c r="F48" s="9"/>
      <c r="G48" s="68" t="s">
        <v>61</v>
      </c>
      <c r="H48" s="72">
        <v>1.1025E-3</v>
      </c>
      <c r="I48" s="10"/>
      <c r="J48" s="55"/>
    </row>
    <row r="49" spans="2:10" x14ac:dyDescent="0.25">
      <c r="B49" s="5"/>
      <c r="C49" s="254"/>
      <c r="D49" s="28" t="s">
        <v>156</v>
      </c>
      <c r="E49" s="35" t="s">
        <v>2</v>
      </c>
      <c r="F49" s="9"/>
      <c r="G49" s="68" t="s">
        <v>62</v>
      </c>
      <c r="H49" s="72">
        <v>1.0425E-3</v>
      </c>
      <c r="I49" s="10"/>
      <c r="J49" s="55"/>
    </row>
    <row r="50" spans="2:10" x14ac:dyDescent="0.25">
      <c r="B50" s="5"/>
      <c r="C50" s="254"/>
      <c r="D50" s="28" t="s">
        <v>157</v>
      </c>
      <c r="E50" s="35" t="s">
        <v>100</v>
      </c>
      <c r="F50" s="9"/>
      <c r="G50" s="68" t="s">
        <v>63</v>
      </c>
      <c r="H50" s="72">
        <v>9.9250000000000011E-4</v>
      </c>
      <c r="I50" s="10"/>
      <c r="J50" s="55"/>
    </row>
    <row r="51" spans="2:10" x14ac:dyDescent="0.25">
      <c r="B51" s="5"/>
      <c r="C51" s="254"/>
      <c r="D51" s="28" t="s">
        <v>158</v>
      </c>
      <c r="E51" s="35" t="s">
        <v>2</v>
      </c>
      <c r="F51" s="9"/>
      <c r="G51" s="68" t="s">
        <v>64</v>
      </c>
      <c r="H51" s="72">
        <v>8.6249999999999999E-4</v>
      </c>
      <c r="I51" s="10"/>
      <c r="J51" s="55"/>
    </row>
    <row r="52" spans="2:10" x14ac:dyDescent="0.25">
      <c r="B52" s="5"/>
      <c r="C52" s="254"/>
      <c r="D52" s="28" t="s">
        <v>159</v>
      </c>
      <c r="E52" s="35" t="s">
        <v>123</v>
      </c>
      <c r="F52" s="9"/>
      <c r="G52" s="68" t="s">
        <v>65</v>
      </c>
      <c r="H52" s="72">
        <v>6.8749999999999996E-4</v>
      </c>
      <c r="I52" s="10"/>
      <c r="J52" s="55"/>
    </row>
    <row r="53" spans="2:10" x14ac:dyDescent="0.25">
      <c r="B53" s="5"/>
      <c r="C53" s="255"/>
      <c r="D53" s="110" t="s">
        <v>160</v>
      </c>
      <c r="E53" s="64" t="s">
        <v>22</v>
      </c>
      <c r="F53" s="9"/>
      <c r="G53" s="68" t="s">
        <v>66</v>
      </c>
      <c r="H53" s="72">
        <v>5.8250000000000001E-4</v>
      </c>
      <c r="I53" s="10"/>
      <c r="J53" s="55"/>
    </row>
    <row r="54" spans="2:10" x14ac:dyDescent="0.25">
      <c r="B54" s="5"/>
      <c r="C54" s="256" t="s">
        <v>191</v>
      </c>
      <c r="D54" s="108" t="s">
        <v>161</v>
      </c>
      <c r="E54" s="109" t="s">
        <v>2</v>
      </c>
      <c r="F54" s="9"/>
      <c r="G54" s="68" t="s">
        <v>67</v>
      </c>
      <c r="H54" s="72">
        <v>5.1250000000000004E-4</v>
      </c>
      <c r="I54" s="10"/>
      <c r="J54" s="55"/>
    </row>
    <row r="55" spans="2:10" x14ac:dyDescent="0.25">
      <c r="B55" s="5"/>
      <c r="C55" s="257"/>
      <c r="D55" s="28" t="s">
        <v>162</v>
      </c>
      <c r="E55" s="35" t="s">
        <v>148</v>
      </c>
      <c r="F55" s="9"/>
      <c r="G55" s="68"/>
      <c r="H55" s="72"/>
      <c r="I55" s="10"/>
      <c r="J55" s="55"/>
    </row>
    <row r="56" spans="2:10" x14ac:dyDescent="0.25">
      <c r="B56" s="5"/>
      <c r="C56" s="257"/>
      <c r="D56" s="28" t="s">
        <v>163</v>
      </c>
      <c r="E56" s="64" t="s">
        <v>28</v>
      </c>
      <c r="F56" s="9"/>
      <c r="G56" s="68"/>
      <c r="H56" s="72"/>
      <c r="I56" s="10"/>
      <c r="J56" s="55"/>
    </row>
    <row r="57" spans="2:10" x14ac:dyDescent="0.25">
      <c r="B57" s="5"/>
      <c r="C57" s="257"/>
      <c r="D57" s="28" t="s">
        <v>164</v>
      </c>
      <c r="E57" s="64" t="s">
        <v>22</v>
      </c>
      <c r="F57" s="9"/>
      <c r="G57" s="68"/>
      <c r="H57" s="72"/>
      <c r="I57" s="10"/>
      <c r="J57" s="55"/>
    </row>
    <row r="58" spans="2:10" x14ac:dyDescent="0.25">
      <c r="B58" s="5"/>
      <c r="C58" s="257"/>
      <c r="D58" s="28" t="s">
        <v>165</v>
      </c>
      <c r="E58" s="35" t="s">
        <v>123</v>
      </c>
      <c r="F58" s="9"/>
      <c r="G58" s="68"/>
      <c r="H58" s="72"/>
      <c r="I58" s="10"/>
      <c r="J58" s="55"/>
    </row>
    <row r="59" spans="2:10" x14ac:dyDescent="0.25">
      <c r="B59" s="5"/>
      <c r="C59" s="257"/>
      <c r="D59" s="28" t="s">
        <v>166</v>
      </c>
      <c r="E59" s="35" t="s">
        <v>9</v>
      </c>
      <c r="F59" s="9"/>
      <c r="G59" s="68"/>
      <c r="H59" s="72"/>
      <c r="I59" s="10"/>
      <c r="J59" s="55"/>
    </row>
    <row r="60" spans="2:10" x14ac:dyDescent="0.25">
      <c r="B60" s="5"/>
      <c r="C60" s="257"/>
      <c r="D60" s="28" t="s">
        <v>167</v>
      </c>
      <c r="E60" s="35" t="s">
        <v>90</v>
      </c>
      <c r="F60" s="9"/>
      <c r="G60" s="68"/>
      <c r="H60" s="72"/>
      <c r="I60" s="10"/>
      <c r="J60" s="55"/>
    </row>
    <row r="61" spans="2:10" x14ac:dyDescent="0.25">
      <c r="B61" s="5"/>
      <c r="C61" s="257"/>
      <c r="D61" s="28" t="s">
        <v>168</v>
      </c>
      <c r="E61" s="35" t="s">
        <v>169</v>
      </c>
      <c r="F61" s="9"/>
      <c r="G61" s="68"/>
      <c r="H61" s="72"/>
      <c r="I61" s="10"/>
      <c r="J61" s="55"/>
    </row>
    <row r="62" spans="2:10" x14ac:dyDescent="0.25">
      <c r="B62" s="5"/>
      <c r="C62" s="257"/>
      <c r="D62" s="28" t="s">
        <v>170</v>
      </c>
      <c r="E62" s="35" t="s">
        <v>148</v>
      </c>
      <c r="F62" s="9"/>
      <c r="G62" s="68"/>
      <c r="H62" s="72"/>
      <c r="I62" s="10"/>
      <c r="J62" s="55"/>
    </row>
    <row r="63" spans="2:10" x14ac:dyDescent="0.25">
      <c r="B63" s="5"/>
      <c r="C63" s="257"/>
      <c r="D63" s="28" t="s">
        <v>171</v>
      </c>
      <c r="E63" s="35" t="s">
        <v>2</v>
      </c>
      <c r="F63" s="9"/>
      <c r="G63" s="68"/>
      <c r="H63" s="72"/>
      <c r="I63" s="10"/>
      <c r="J63" s="55"/>
    </row>
    <row r="64" spans="2:10" x14ac:dyDescent="0.25">
      <c r="B64" s="5"/>
      <c r="C64" s="257"/>
      <c r="D64" s="28" t="s">
        <v>172</v>
      </c>
      <c r="E64" s="35" t="s">
        <v>100</v>
      </c>
      <c r="F64" s="9"/>
      <c r="G64" s="68"/>
      <c r="H64" s="72"/>
      <c r="I64" s="10"/>
      <c r="J64" s="55"/>
    </row>
    <row r="65" spans="2:10" x14ac:dyDescent="0.25">
      <c r="B65" s="5"/>
      <c r="C65" s="257"/>
      <c r="D65" s="28" t="s">
        <v>173</v>
      </c>
      <c r="E65" s="35" t="s">
        <v>2</v>
      </c>
      <c r="F65" s="9"/>
      <c r="G65" s="68"/>
      <c r="H65" s="72"/>
      <c r="I65" s="10"/>
      <c r="J65" s="55"/>
    </row>
    <row r="66" spans="2:10" x14ac:dyDescent="0.25">
      <c r="B66" s="5"/>
      <c r="C66" s="257"/>
      <c r="D66" s="28" t="s">
        <v>174</v>
      </c>
      <c r="E66" s="35" t="s">
        <v>123</v>
      </c>
      <c r="F66" s="9"/>
      <c r="G66" s="68"/>
      <c r="H66" s="72"/>
      <c r="I66" s="10"/>
      <c r="J66" s="55"/>
    </row>
    <row r="67" spans="2:10" x14ac:dyDescent="0.25">
      <c r="B67" s="5"/>
      <c r="C67" s="258"/>
      <c r="D67" s="110" t="s">
        <v>175</v>
      </c>
      <c r="E67" s="64" t="s">
        <v>22</v>
      </c>
      <c r="F67" s="9"/>
      <c r="G67" s="68"/>
      <c r="H67" s="72"/>
      <c r="I67" s="10"/>
      <c r="J67" s="55"/>
    </row>
    <row r="68" spans="2:10" x14ac:dyDescent="0.25">
      <c r="B68" s="5"/>
      <c r="C68" s="259" t="str">
        <f ca="1">"Solving For :"&amp;CHAR(32)&amp;$E$68</f>
        <v>Solving For : Leg2Forecast</v>
      </c>
      <c r="D68" s="113" t="s">
        <v>176</v>
      </c>
      <c r="E68" s="112" t="s">
        <v>177</v>
      </c>
      <c r="F68" s="9"/>
      <c r="G68" s="68"/>
      <c r="H68" s="72"/>
      <c r="I68" s="10"/>
      <c r="J68" s="55"/>
    </row>
    <row r="69" spans="2:10" x14ac:dyDescent="0.25">
      <c r="B69" s="5"/>
      <c r="C69" s="260"/>
      <c r="D69" s="28" t="s">
        <v>134</v>
      </c>
      <c r="E69" s="35" t="b">
        <v>1</v>
      </c>
      <c r="F69" s="9"/>
      <c r="G69" s="68"/>
      <c r="H69" s="72"/>
      <c r="I69" s="10"/>
      <c r="J69" s="55"/>
    </row>
    <row r="70" spans="2:10" x14ac:dyDescent="0.25">
      <c r="B70" s="5"/>
      <c r="C70" s="260"/>
      <c r="D70" s="28" t="s">
        <v>178</v>
      </c>
      <c r="E70" s="107" t="s">
        <v>84</v>
      </c>
      <c r="F70" s="9"/>
      <c r="G70" s="68"/>
      <c r="H70" s="72"/>
      <c r="I70" s="10"/>
      <c r="J70" s="55"/>
    </row>
    <row r="71" spans="2:10" x14ac:dyDescent="0.25">
      <c r="B71" s="5"/>
      <c r="C71" s="260"/>
      <c r="D71" s="28" t="s">
        <v>179</v>
      </c>
      <c r="E71" s="35" t="b">
        <v>1</v>
      </c>
      <c r="F71" s="9"/>
      <c r="G71" s="68"/>
      <c r="H71" s="72"/>
      <c r="I71" s="10"/>
      <c r="J71" s="55"/>
    </row>
    <row r="72" spans="2:10" x14ac:dyDescent="0.25">
      <c r="B72" s="5"/>
      <c r="C72" s="260"/>
      <c r="D72" s="28" t="s">
        <v>180</v>
      </c>
      <c r="E72" s="35" t="b">
        <v>1</v>
      </c>
      <c r="F72" s="9"/>
      <c r="G72" s="68"/>
      <c r="H72" s="72"/>
      <c r="I72" s="10"/>
      <c r="J72" s="55"/>
    </row>
    <row r="73" spans="2:10" x14ac:dyDescent="0.25">
      <c r="B73" s="5"/>
      <c r="C73" s="260"/>
      <c r="D73" s="28" t="s">
        <v>181</v>
      </c>
      <c r="E73" s="35" t="s">
        <v>169</v>
      </c>
      <c r="F73" s="9"/>
      <c r="G73" s="68"/>
      <c r="H73" s="72"/>
      <c r="I73" s="10"/>
      <c r="J73" s="55"/>
    </row>
    <row r="74" spans="2:10" x14ac:dyDescent="0.25">
      <c r="B74" s="5"/>
      <c r="C74" s="260"/>
      <c r="D74" s="28" t="s">
        <v>182</v>
      </c>
      <c r="E74" s="35" t="b">
        <v>0</v>
      </c>
      <c r="F74" s="9"/>
      <c r="G74" s="68"/>
      <c r="H74" s="72"/>
      <c r="I74" s="10"/>
      <c r="J74" s="55"/>
    </row>
    <row r="75" spans="2:10" x14ac:dyDescent="0.25">
      <c r="B75" s="5"/>
      <c r="C75" s="260"/>
      <c r="D75" s="28" t="s">
        <v>135</v>
      </c>
      <c r="E75" s="38">
        <v>1.0000000000000001E-9</v>
      </c>
      <c r="F75" s="9"/>
      <c r="G75" s="68"/>
      <c r="H75" s="72"/>
      <c r="I75" s="10"/>
      <c r="J75" s="55"/>
    </row>
    <row r="76" spans="2:10" x14ac:dyDescent="0.25">
      <c r="B76" s="5"/>
      <c r="C76" s="260"/>
      <c r="D76" s="28" t="s">
        <v>136</v>
      </c>
      <c r="E76" s="102">
        <v>1000</v>
      </c>
      <c r="F76" s="9"/>
      <c r="G76" s="68"/>
      <c r="H76" s="72"/>
      <c r="I76" s="10"/>
      <c r="J76" s="55"/>
    </row>
    <row r="77" spans="2:10" x14ac:dyDescent="0.25">
      <c r="B77" s="5"/>
      <c r="C77" s="260"/>
      <c r="D77" s="28"/>
      <c r="E77" s="35"/>
      <c r="F77" s="9"/>
      <c r="G77" s="68"/>
      <c r="H77" s="72"/>
      <c r="I77" s="10"/>
      <c r="J77" s="55"/>
    </row>
    <row r="78" spans="2:10" x14ac:dyDescent="0.25">
      <c r="B78" s="5"/>
      <c r="C78" s="260"/>
      <c r="D78" s="28"/>
      <c r="E78" s="35"/>
      <c r="F78" s="9"/>
      <c r="G78" s="68"/>
      <c r="H78" s="72"/>
      <c r="I78" s="10"/>
      <c r="J78" s="55"/>
    </row>
    <row r="79" spans="2:10" x14ac:dyDescent="0.25">
      <c r="B79" s="5"/>
      <c r="C79" s="260"/>
      <c r="D79" s="28"/>
      <c r="E79" s="35"/>
      <c r="F79" s="9"/>
      <c r="G79" s="68"/>
      <c r="H79" s="72"/>
      <c r="I79" s="10"/>
      <c r="J79" s="55"/>
    </row>
    <row r="80" spans="2:10" x14ac:dyDescent="0.25">
      <c r="B80" s="5"/>
      <c r="C80" s="261"/>
      <c r="D80" s="33"/>
      <c r="E80" s="40"/>
      <c r="F80" s="9"/>
      <c r="G80" s="69"/>
      <c r="H80" s="73"/>
      <c r="I80" s="10"/>
      <c r="J80" s="55"/>
    </row>
    <row r="81" spans="2:10" x14ac:dyDescent="0.25">
      <c r="B81" s="5"/>
      <c r="C81" s="7"/>
      <c r="D81" s="9"/>
      <c r="E81" s="9"/>
      <c r="F81" s="9"/>
      <c r="G81" s="10"/>
      <c r="H81" s="10"/>
      <c r="I81" s="10"/>
      <c r="J81" s="55"/>
    </row>
    <row r="82" spans="2:10" x14ac:dyDescent="0.25">
      <c r="B82" s="11"/>
      <c r="C82" s="12"/>
      <c r="D82" s="12"/>
      <c r="E82" s="12"/>
      <c r="F82" s="12"/>
      <c r="G82" s="12"/>
      <c r="H82" s="12"/>
      <c r="I82" s="12"/>
      <c r="J82" s="13"/>
    </row>
  </sheetData>
  <mergeCells count="3">
    <mergeCell ref="C39:C53"/>
    <mergeCell ref="C54:C67"/>
    <mergeCell ref="C68:C80"/>
  </mergeCells>
  <dataValidations count="4">
    <dataValidation type="list" allowBlank="1" showInputMessage="1" showErrorMessage="1" sqref="E70 E23">
      <formula1>"fn_StepInterpolation,fn_LinearInterpolation,fn_MonotoneConvexInterpolation,fn_SplineInterpolation,fn_ConstrainedSplineInterpolation"</formula1>
    </dataValidation>
    <dataValidation type="list" allowBlank="1" showInputMessage="1" showErrorMessage="1" sqref="E41 E67 E57 E53 E43">
      <formula1>"FOLLOWING,MOD_FOLLOWING,PRECEDING,MOD_PRECEEDING,NO_CHANGE"</formula1>
    </dataValidation>
    <dataValidation type="list" allowBlank="1" showInputMessage="1" showErrorMessage="1" sqref="E42 E56">
      <formula1>"Annual,Semi-Annual,Quarterly,Monthly"</formula1>
    </dataValidation>
    <dataValidation type="list" allowBlank="1" showInputMessage="1" showErrorMessage="1" sqref="E24">
      <formula1>"TRUE,FALSE"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6600"/>
  </sheetPr>
  <dimension ref="B2:G36"/>
  <sheetViews>
    <sheetView showGridLines="0" workbookViewId="0"/>
  </sheetViews>
  <sheetFormatPr defaultRowHeight="15" customHeight="1" x14ac:dyDescent="0.25"/>
  <cols>
    <col min="2" max="2" width="35.7109375" customWidth="1"/>
    <col min="3" max="3" width="30.7109375" customWidth="1"/>
    <col min="5" max="5" width="35.7109375" customWidth="1"/>
    <col min="6" max="6" width="30.7109375" customWidth="1"/>
  </cols>
  <sheetData>
    <row r="2" spans="2:7" s="173" customFormat="1" ht="21" x14ac:dyDescent="0.35">
      <c r="B2" s="173" t="s">
        <v>259</v>
      </c>
    </row>
    <row r="5" spans="2:7" ht="15" customHeight="1" x14ac:dyDescent="0.25">
      <c r="B5" t="s">
        <v>263</v>
      </c>
      <c r="E5" t="s">
        <v>264</v>
      </c>
    </row>
    <row r="6" spans="2:7" ht="15" customHeight="1" x14ac:dyDescent="0.25">
      <c r="B6" s="159" t="s">
        <v>250</v>
      </c>
      <c r="C6" s="160" t="s">
        <v>251</v>
      </c>
      <c r="E6" s="159" t="s">
        <v>250</v>
      </c>
      <c r="F6" s="160" t="s">
        <v>252</v>
      </c>
    </row>
    <row r="7" spans="2:7" ht="15" customHeight="1" x14ac:dyDescent="0.25">
      <c r="B7" s="161" t="s">
        <v>257</v>
      </c>
      <c r="C7" s="203" t="str">
        <f ca="1">_xll.meLWOScheduleCreate(C6,B13:C36,TRUE)</f>
        <v>FIXED_SCHEDULE:1</v>
      </c>
      <c r="E7" s="161" t="s">
        <v>257</v>
      </c>
      <c r="F7" s="203" t="str">
        <f ca="1">_xll.meLWOScheduleCreate(F6,E13:F36,TRUE)</f>
        <v>FLOAT_SCHEDULE:0</v>
      </c>
    </row>
    <row r="8" spans="2:7" ht="15" customHeight="1" x14ac:dyDescent="0.25">
      <c r="B8" s="161"/>
      <c r="C8" s="162"/>
      <c r="E8" s="161"/>
      <c r="F8" s="162"/>
    </row>
    <row r="9" spans="2:7" ht="15" customHeight="1" x14ac:dyDescent="0.25">
      <c r="B9" s="163"/>
      <c r="C9" s="164"/>
      <c r="E9" s="163"/>
      <c r="F9" s="164"/>
    </row>
    <row r="12" spans="2:7" ht="15" customHeight="1" x14ac:dyDescent="0.25">
      <c r="B12" t="s">
        <v>260</v>
      </c>
      <c r="E12" t="s">
        <v>261</v>
      </c>
    </row>
    <row r="13" spans="2:7" ht="15" customHeight="1" x14ac:dyDescent="0.25">
      <c r="B13" s="157" t="s">
        <v>282</v>
      </c>
      <c r="C13" s="204" t="s">
        <v>253</v>
      </c>
      <c r="E13" s="157" t="s">
        <v>282</v>
      </c>
      <c r="F13" s="204" t="s">
        <v>254</v>
      </c>
    </row>
    <row r="14" spans="2:7" ht="15" customHeight="1" x14ac:dyDescent="0.25">
      <c r="B14" s="145" t="s">
        <v>300</v>
      </c>
      <c r="C14" s="262" t="s">
        <v>303</v>
      </c>
      <c r="E14" s="145" t="s">
        <v>300</v>
      </c>
      <c r="F14" s="262" t="s">
        <v>302</v>
      </c>
    </row>
    <row r="15" spans="2:7" ht="15" customHeight="1" x14ac:dyDescent="0.25">
      <c r="B15" s="145" t="s">
        <v>193</v>
      </c>
      <c r="C15" s="205">
        <v>1000000</v>
      </c>
      <c r="E15" s="145" t="s">
        <v>193</v>
      </c>
      <c r="F15" s="205">
        <v>1000000</v>
      </c>
    </row>
    <row r="16" spans="2:7" ht="15" customHeight="1" x14ac:dyDescent="0.25">
      <c r="B16" s="145" t="s">
        <v>203</v>
      </c>
      <c r="C16" s="158">
        <f ca="1">_xll.meDateFromTenor(COB,D16,C22,C23)</f>
        <v>42423</v>
      </c>
      <c r="D16" s="122" t="s">
        <v>198</v>
      </c>
      <c r="E16" s="145" t="s">
        <v>203</v>
      </c>
      <c r="F16" s="158">
        <f ca="1">_xll.meDateFromTenor(COB,G16,F22,F23)</f>
        <v>42423</v>
      </c>
      <c r="G16" s="122" t="s">
        <v>198</v>
      </c>
    </row>
    <row r="17" spans="2:6" ht="15" customHeight="1" x14ac:dyDescent="0.25">
      <c r="B17" s="145" t="s">
        <v>202</v>
      </c>
      <c r="C17" s="206" t="s">
        <v>52</v>
      </c>
      <c r="E17" s="145" t="s">
        <v>202</v>
      </c>
      <c r="F17" s="206" t="s">
        <v>52</v>
      </c>
    </row>
    <row r="18" spans="2:6" ht="15" customHeight="1" x14ac:dyDescent="0.25">
      <c r="B18" s="145" t="s">
        <v>207</v>
      </c>
      <c r="C18" s="149" t="s">
        <v>26</v>
      </c>
      <c r="E18" s="145" t="s">
        <v>214</v>
      </c>
      <c r="F18" s="149" t="s">
        <v>130</v>
      </c>
    </row>
    <row r="19" spans="2:6" ht="15" customHeight="1" x14ac:dyDescent="0.25">
      <c r="B19" s="145" t="s">
        <v>208</v>
      </c>
      <c r="C19" s="150" t="s">
        <v>20</v>
      </c>
      <c r="E19" s="145" t="s">
        <v>215</v>
      </c>
      <c r="F19" s="150" t="s">
        <v>6</v>
      </c>
    </row>
    <row r="20" spans="2:6" ht="15" customHeight="1" x14ac:dyDescent="0.25">
      <c r="B20" s="145" t="s">
        <v>238</v>
      </c>
      <c r="C20" s="149" t="s">
        <v>22</v>
      </c>
      <c r="E20" s="145" t="s">
        <v>239</v>
      </c>
      <c r="F20" s="149" t="s">
        <v>22</v>
      </c>
    </row>
    <row r="21" spans="2:6" ht="15" customHeight="1" x14ac:dyDescent="0.25">
      <c r="B21" s="145" t="s">
        <v>240</v>
      </c>
      <c r="C21" s="149" t="s">
        <v>2</v>
      </c>
      <c r="E21" s="145" t="s">
        <v>241</v>
      </c>
      <c r="F21" s="149" t="s">
        <v>2</v>
      </c>
    </row>
    <row r="22" spans="2:6" ht="15" customHeight="1" x14ac:dyDescent="0.25">
      <c r="B22" s="145" t="s">
        <v>242</v>
      </c>
      <c r="C22" s="149" t="s">
        <v>22</v>
      </c>
      <c r="E22" s="145" t="s">
        <v>243</v>
      </c>
      <c r="F22" s="149" t="s">
        <v>22</v>
      </c>
    </row>
    <row r="23" spans="2:6" ht="15" customHeight="1" x14ac:dyDescent="0.25">
      <c r="B23" s="145" t="s">
        <v>244</v>
      </c>
      <c r="C23" s="149" t="s">
        <v>2</v>
      </c>
      <c r="E23" s="145" t="s">
        <v>245</v>
      </c>
      <c r="F23" s="149" t="s">
        <v>2</v>
      </c>
    </row>
    <row r="24" spans="2:6" ht="15" customHeight="1" x14ac:dyDescent="0.25">
      <c r="B24" s="145" t="s">
        <v>209</v>
      </c>
      <c r="C24" s="148"/>
      <c r="E24" s="145" t="s">
        <v>246</v>
      </c>
      <c r="F24" s="148" t="s">
        <v>22</v>
      </c>
    </row>
    <row r="25" spans="2:6" ht="15" customHeight="1" x14ac:dyDescent="0.25">
      <c r="B25" s="145" t="s">
        <v>210</v>
      </c>
      <c r="C25" s="148"/>
      <c r="E25" s="145" t="s">
        <v>247</v>
      </c>
      <c r="F25" s="148" t="s">
        <v>2</v>
      </c>
    </row>
    <row r="26" spans="2:6" ht="15" customHeight="1" x14ac:dyDescent="0.25">
      <c r="B26" s="145" t="s">
        <v>211</v>
      </c>
      <c r="C26" s="149" t="s">
        <v>299</v>
      </c>
      <c r="E26" s="145" t="s">
        <v>216</v>
      </c>
      <c r="F26" s="149"/>
    </row>
    <row r="27" spans="2:6" ht="15" customHeight="1" x14ac:dyDescent="0.25">
      <c r="B27" s="145" t="s">
        <v>212</v>
      </c>
      <c r="C27" s="150" t="s">
        <v>194</v>
      </c>
      <c r="E27" s="145" t="s">
        <v>217</v>
      </c>
      <c r="F27" s="150"/>
    </row>
    <row r="28" spans="2:6" ht="15" customHeight="1" x14ac:dyDescent="0.25">
      <c r="B28" s="145" t="s">
        <v>213</v>
      </c>
      <c r="C28" s="150" t="s">
        <v>195</v>
      </c>
      <c r="E28" s="145" t="s">
        <v>218</v>
      </c>
      <c r="F28" s="150" t="s">
        <v>299</v>
      </c>
    </row>
    <row r="29" spans="2:6" ht="15" customHeight="1" x14ac:dyDescent="0.25">
      <c r="B29" s="145" t="s">
        <v>249</v>
      </c>
      <c r="C29" s="151">
        <v>1</v>
      </c>
      <c r="E29" s="145" t="s">
        <v>219</v>
      </c>
      <c r="F29" s="153" t="s">
        <v>194</v>
      </c>
    </row>
    <row r="30" spans="2:6" ht="15" customHeight="1" x14ac:dyDescent="0.25">
      <c r="B30" s="145" t="s">
        <v>204</v>
      </c>
      <c r="C30" s="207">
        <v>0.01</v>
      </c>
      <c r="E30" s="145" t="s">
        <v>221</v>
      </c>
      <c r="F30" s="152" t="s">
        <v>194</v>
      </c>
    </row>
    <row r="31" spans="2:6" ht="15" customHeight="1" x14ac:dyDescent="0.25">
      <c r="B31" s="146"/>
      <c r="C31" s="143"/>
      <c r="E31" s="146" t="s">
        <v>222</v>
      </c>
      <c r="F31" s="154" t="s">
        <v>195</v>
      </c>
    </row>
    <row r="32" spans="2:6" ht="15" customHeight="1" x14ac:dyDescent="0.25">
      <c r="B32" s="146"/>
      <c r="C32" s="143"/>
      <c r="E32" s="146" t="s">
        <v>249</v>
      </c>
      <c r="F32" s="155">
        <v>1</v>
      </c>
    </row>
    <row r="33" spans="2:6" ht="15" customHeight="1" x14ac:dyDescent="0.25">
      <c r="B33" s="146"/>
      <c r="C33" s="143"/>
      <c r="E33" s="146" t="s">
        <v>224</v>
      </c>
      <c r="F33" s="208">
        <v>0</v>
      </c>
    </row>
    <row r="34" spans="2:6" ht="15" customHeight="1" x14ac:dyDescent="0.25">
      <c r="B34" s="146"/>
      <c r="C34" s="143"/>
      <c r="E34" s="146"/>
      <c r="F34" s="154"/>
    </row>
    <row r="35" spans="2:6" ht="15" customHeight="1" x14ac:dyDescent="0.25">
      <c r="B35" s="146"/>
      <c r="C35" s="143"/>
      <c r="E35" s="146"/>
      <c r="F35" s="154"/>
    </row>
    <row r="36" spans="2:6" ht="15" customHeight="1" x14ac:dyDescent="0.25">
      <c r="B36" s="147"/>
      <c r="C36" s="144"/>
      <c r="E36" s="147"/>
      <c r="F36" s="156"/>
    </row>
  </sheetData>
  <dataValidations count="7">
    <dataValidation type="list" allowBlank="1" showInputMessage="1" showErrorMessage="1" sqref="C21 C23 F21 F23 F25">
      <formula1>"TGT,NYB:LNB,LNB,TKB:LNB"</formula1>
    </dataValidation>
    <dataValidation type="list" allowBlank="1" showInputMessage="1" showErrorMessage="1" sqref="F31 C28">
      <formula1>"None,ShortStart,ShortEnd,LongStart,LongEnd"</formula1>
    </dataValidation>
    <dataValidation type="list" allowBlank="1" showInputMessage="1" showErrorMessage="1" sqref="C19 F19">
      <formula1>"30/360,ACT/360,ACT/365"</formula1>
    </dataValidation>
    <dataValidation type="list" allowBlank="1" showInputMessage="1" showErrorMessage="1" sqref="C18 F18">
      <formula1>"Annual,Semi-Annual,Quarterly,Monthly"</formula1>
    </dataValidation>
    <dataValidation type="list" allowBlank="1" showInputMessage="1" showErrorMessage="1" sqref="C20 C22 F22 F24 F20">
      <formula1>"MOD_FOLLOWING,FOLLOWING,MOD_PRECEDING,PRECEDING,NO_CHANGE"</formula1>
    </dataValidation>
    <dataValidation type="list" allowBlank="1" showInputMessage="1" showErrorMessage="1" sqref="C13 F13">
      <formula1>"FIXED,FLOAT"</formula1>
    </dataValidation>
    <dataValidation type="list" allowBlank="1" showInputMessage="1" showErrorMessage="1" sqref="C14 F14">
      <formula1>"PAY,RECEIVE"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006600"/>
  </sheetPr>
  <dimension ref="A2:N34"/>
  <sheetViews>
    <sheetView showGridLines="0" workbookViewId="0"/>
  </sheetViews>
  <sheetFormatPr defaultRowHeight="15" customHeight="1" x14ac:dyDescent="0.25"/>
  <cols>
    <col min="2" max="10" width="20.7109375" customWidth="1"/>
    <col min="11" max="11" width="10.85546875" bestFit="1" customWidth="1"/>
    <col min="12" max="12" width="11.5703125" bestFit="1" customWidth="1"/>
  </cols>
  <sheetData>
    <row r="2" spans="1:14" s="173" customFormat="1" ht="21" x14ac:dyDescent="0.35">
      <c r="B2" s="173" t="s">
        <v>273</v>
      </c>
    </row>
    <row r="5" spans="1:14" ht="15" customHeight="1" x14ac:dyDescent="0.25">
      <c r="A5" t="s">
        <v>4</v>
      </c>
      <c r="B5" s="130" t="str">
        <f ca="1">[0]!FixedSchedule1</f>
        <v>FIXED_SCHEDULE:1</v>
      </c>
      <c r="K5" t="s">
        <v>4</v>
      </c>
    </row>
    <row r="6" spans="1:14" ht="15" customHeight="1" x14ac:dyDescent="0.25">
      <c r="A6" t="s">
        <v>4</v>
      </c>
      <c r="B6" s="131" t="str">
        <f t="array" aca="1" ref="B6:N18" ca="1">_xll.meUtilityResize(_xll.meLWOScheduleDisplay(B5,TRUE),50,50)</f>
        <v>ScheduleProperties</v>
      </c>
      <c r="C6" s="132" t="str">
        <f ca="1"/>
        <v/>
      </c>
      <c r="D6" s="132" t="str">
        <f ca="1"/>
        <v/>
      </c>
      <c r="E6" s="197" t="str">
        <f ca="1"/>
        <v/>
      </c>
      <c r="F6" s="132" t="str">
        <f ca="1"/>
        <v/>
      </c>
      <c r="G6" s="200" t="str">
        <f ca="1"/>
        <v/>
      </c>
      <c r="H6" s="195" t="str">
        <f ca="1"/>
        <v/>
      </c>
      <c r="I6" s="132" t="str">
        <f ca="1"/>
        <v/>
      </c>
      <c r="J6" s="132" t="str">
        <f ca="1"/>
        <v/>
      </c>
      <c r="K6" s="263" t="str">
        <f ca="1"/>
        <v/>
      </c>
      <c r="L6" s="263" t="str">
        <f ca="1"/>
        <v/>
      </c>
      <c r="M6" s="263" t="str">
        <f ca="1"/>
        <v/>
      </c>
      <c r="N6" s="264" t="str">
        <f ca="1"/>
        <v/>
      </c>
    </row>
    <row r="7" spans="1:14" ht="15" customHeight="1" x14ac:dyDescent="0.25">
      <c r="A7" t="s">
        <v>4</v>
      </c>
      <c r="B7" s="191" t="str">
        <f ca="1"/>
        <v>ACCRUALBUSINESSDAYADJUSTMENT</v>
      </c>
      <c r="C7" s="138" t="str">
        <f ca="1"/>
        <v>MOD_FOLLOWING</v>
      </c>
      <c r="D7" s="125" t="str">
        <f ca="1"/>
        <v/>
      </c>
      <c r="E7" s="198" t="str">
        <f ca="1"/>
        <v/>
      </c>
      <c r="F7" s="138" t="str">
        <f ca="1"/>
        <v/>
      </c>
      <c r="G7" s="139" t="str">
        <f ca="1"/>
        <v/>
      </c>
      <c r="H7" s="126" t="str">
        <f ca="1"/>
        <v/>
      </c>
      <c r="I7" s="202" t="str">
        <f ca="1"/>
        <v/>
      </c>
      <c r="J7" s="125" t="str">
        <f ca="1"/>
        <v/>
      </c>
      <c r="K7" s="265" t="str">
        <f ca="1"/>
        <v/>
      </c>
      <c r="L7" s="265" t="str">
        <f ca="1"/>
        <v/>
      </c>
      <c r="M7" s="265" t="str">
        <f ca="1"/>
        <v/>
      </c>
      <c r="N7" s="266" t="str">
        <f ca="1"/>
        <v/>
      </c>
    </row>
    <row r="8" spans="1:14" ht="15" customHeight="1" x14ac:dyDescent="0.25">
      <c r="A8" t="s">
        <v>4</v>
      </c>
      <c r="B8" s="191" t="str">
        <f ca="1"/>
        <v>ACCRUALCALENDAR</v>
      </c>
      <c r="C8" s="138" t="str">
        <f ca="1"/>
        <v>TGT</v>
      </c>
      <c r="D8" s="125" t="str">
        <f ca="1"/>
        <v/>
      </c>
      <c r="E8" s="198" t="str">
        <f ca="1"/>
        <v/>
      </c>
      <c r="F8" s="138" t="str">
        <f ca="1"/>
        <v/>
      </c>
      <c r="G8" s="139" t="str">
        <f ca="1"/>
        <v/>
      </c>
      <c r="H8" s="126" t="str">
        <f ca="1"/>
        <v/>
      </c>
      <c r="I8" s="202" t="str">
        <f ca="1"/>
        <v/>
      </c>
      <c r="J8" s="125" t="str">
        <f ca="1"/>
        <v/>
      </c>
      <c r="K8" s="265" t="str">
        <f ca="1"/>
        <v/>
      </c>
      <c r="L8" s="265" t="str">
        <f ca="1"/>
        <v/>
      </c>
      <c r="M8" s="265" t="str">
        <f ca="1"/>
        <v/>
      </c>
      <c r="N8" s="266" t="str">
        <f ca="1"/>
        <v/>
      </c>
    </row>
    <row r="9" spans="1:14" ht="15" customHeight="1" x14ac:dyDescent="0.25">
      <c r="A9" t="s">
        <v>4</v>
      </c>
      <c r="B9" s="191" t="str">
        <f ca="1"/>
        <v>ACCRUALDAYCOUNT</v>
      </c>
      <c r="C9" s="138" t="str">
        <f ca="1"/>
        <v>30/360</v>
      </c>
      <c r="D9" s="125" t="str">
        <f ca="1"/>
        <v/>
      </c>
      <c r="E9" s="198" t="str">
        <f ca="1"/>
        <v/>
      </c>
      <c r="F9" s="138" t="str">
        <f ca="1"/>
        <v/>
      </c>
      <c r="G9" s="139" t="str">
        <f ca="1"/>
        <v/>
      </c>
      <c r="H9" s="126" t="str">
        <f ca="1"/>
        <v/>
      </c>
      <c r="I9" s="202" t="str">
        <f ca="1"/>
        <v/>
      </c>
      <c r="J9" s="125" t="str">
        <f ca="1"/>
        <v/>
      </c>
      <c r="K9" s="265" t="str">
        <f ca="1"/>
        <v/>
      </c>
      <c r="L9" s="265" t="str">
        <f ca="1"/>
        <v/>
      </c>
      <c r="M9" s="265" t="str">
        <f ca="1"/>
        <v/>
      </c>
      <c r="N9" s="266" t="str">
        <f ca="1"/>
        <v/>
      </c>
    </row>
    <row r="10" spans="1:14" ht="15" customHeight="1" x14ac:dyDescent="0.25">
      <c r="A10" t="s">
        <v>4</v>
      </c>
      <c r="B10" s="191" t="str">
        <f ca="1"/>
        <v>NOTIONALEXCHANGE</v>
      </c>
      <c r="C10" s="138" t="str">
        <f ca="1"/>
        <v>NONE</v>
      </c>
      <c r="D10" s="125" t="str">
        <f ca="1"/>
        <v/>
      </c>
      <c r="E10" s="198" t="str">
        <f ca="1"/>
        <v/>
      </c>
      <c r="F10" s="138" t="str">
        <f ca="1"/>
        <v/>
      </c>
      <c r="G10" s="139" t="str">
        <f ca="1"/>
        <v/>
      </c>
      <c r="H10" s="126" t="str">
        <f ca="1"/>
        <v/>
      </c>
      <c r="I10" s="202" t="str">
        <f ca="1"/>
        <v/>
      </c>
      <c r="J10" s="125" t="str">
        <f ca="1"/>
        <v/>
      </c>
      <c r="K10" s="265" t="str">
        <f ca="1"/>
        <v/>
      </c>
      <c r="L10" s="265" t="str">
        <f ca="1"/>
        <v/>
      </c>
      <c r="M10" s="265" t="str">
        <f ca="1"/>
        <v/>
      </c>
      <c r="N10" s="266" t="str">
        <f ca="1"/>
        <v/>
      </c>
    </row>
    <row r="11" spans="1:14" ht="15" customHeight="1" x14ac:dyDescent="0.25">
      <c r="A11" t="s">
        <v>4</v>
      </c>
      <c r="B11" s="191" t="str">
        <f ca="1"/>
        <v>PAYRECEIVE</v>
      </c>
      <c r="C11" s="138" t="str">
        <f ca="1"/>
        <v>PAY</v>
      </c>
      <c r="D11" s="125" t="str">
        <f ca="1"/>
        <v/>
      </c>
      <c r="E11" s="198" t="str">
        <f ca="1"/>
        <v/>
      </c>
      <c r="F11" s="138" t="str">
        <f ca="1"/>
        <v/>
      </c>
      <c r="G11" s="139" t="str">
        <f ca="1"/>
        <v/>
      </c>
      <c r="H11" s="126" t="str">
        <f ca="1"/>
        <v/>
      </c>
      <c r="I11" s="202" t="str">
        <f ca="1"/>
        <v/>
      </c>
      <c r="J11" s="125" t="str">
        <f ca="1"/>
        <v/>
      </c>
      <c r="K11" s="265" t="str">
        <f ca="1"/>
        <v/>
      </c>
      <c r="L11" s="265" t="str">
        <f ca="1"/>
        <v/>
      </c>
      <c r="M11" s="265" t="str">
        <f ca="1"/>
        <v/>
      </c>
      <c r="N11" s="266" t="str">
        <f ca="1"/>
        <v/>
      </c>
    </row>
    <row r="12" spans="1:14" ht="15" customHeight="1" x14ac:dyDescent="0.25">
      <c r="A12" t="s">
        <v>4</v>
      </c>
      <c r="B12" s="191" t="str">
        <f ca="1"/>
        <v>ROLLDAY</v>
      </c>
      <c r="C12" s="138" t="str">
        <f ca="1"/>
        <v>IMM</v>
      </c>
      <c r="D12" s="125" t="str">
        <f ca="1"/>
        <v/>
      </c>
      <c r="E12" s="198" t="str">
        <f ca="1"/>
        <v/>
      </c>
      <c r="F12" s="138" t="str">
        <f ca="1"/>
        <v/>
      </c>
      <c r="G12" s="139" t="str">
        <f ca="1"/>
        <v/>
      </c>
      <c r="H12" s="126" t="str">
        <f ca="1"/>
        <v/>
      </c>
      <c r="I12" s="202" t="str">
        <f ca="1"/>
        <v/>
      </c>
      <c r="J12" s="125" t="str">
        <f ca="1"/>
        <v/>
      </c>
      <c r="K12" s="265" t="str">
        <f ca="1"/>
        <v/>
      </c>
      <c r="L12" s="265" t="str">
        <f ca="1"/>
        <v/>
      </c>
      <c r="M12" s="265" t="str">
        <f ca="1"/>
        <v/>
      </c>
      <c r="N12" s="266" t="str">
        <f ca="1"/>
        <v/>
      </c>
    </row>
    <row r="13" spans="1:14" ht="15" customHeight="1" x14ac:dyDescent="0.25">
      <c r="A13" t="s">
        <v>4</v>
      </c>
      <c r="B13" s="191" t="str">
        <f ca="1"/>
        <v>SCHEDULETYPE</v>
      </c>
      <c r="C13" s="138" t="str">
        <f ca="1"/>
        <v>FIXED</v>
      </c>
      <c r="D13" s="125" t="str">
        <f ca="1"/>
        <v/>
      </c>
      <c r="E13" s="198" t="str">
        <f ca="1"/>
        <v/>
      </c>
      <c r="F13" s="138" t="str">
        <f ca="1"/>
        <v/>
      </c>
      <c r="G13" s="139" t="str">
        <f ca="1"/>
        <v/>
      </c>
      <c r="H13" s="126" t="str">
        <f ca="1"/>
        <v/>
      </c>
      <c r="I13" s="202" t="str">
        <f ca="1"/>
        <v/>
      </c>
      <c r="J13" s="125" t="str">
        <f ca="1"/>
        <v/>
      </c>
      <c r="K13" s="265" t="str">
        <f ca="1"/>
        <v/>
      </c>
      <c r="L13" s="265" t="str">
        <f ca="1"/>
        <v/>
      </c>
      <c r="M13" s="265" t="str">
        <f ca="1"/>
        <v/>
      </c>
      <c r="N13" s="266" t="str">
        <f ca="1"/>
        <v/>
      </c>
    </row>
    <row r="14" spans="1:14" ht="15" customHeight="1" x14ac:dyDescent="0.25">
      <c r="A14" t="s">
        <v>4</v>
      </c>
      <c r="B14" s="191" t="str">
        <f ca="1"/>
        <v>Schedule</v>
      </c>
      <c r="C14" s="138" t="str">
        <f ca="1"/>
        <v/>
      </c>
      <c r="D14" s="125" t="str">
        <f ca="1"/>
        <v/>
      </c>
      <c r="E14" s="198" t="str">
        <f ca="1"/>
        <v/>
      </c>
      <c r="F14" s="138" t="str">
        <f ca="1"/>
        <v/>
      </c>
      <c r="G14" s="139" t="str">
        <f ca="1"/>
        <v/>
      </c>
      <c r="H14" s="126" t="str">
        <f ca="1"/>
        <v/>
      </c>
      <c r="I14" s="202" t="str">
        <f ca="1"/>
        <v/>
      </c>
      <c r="J14" s="125" t="str">
        <f ca="1"/>
        <v/>
      </c>
      <c r="K14" s="265" t="str">
        <f ca="1"/>
        <v/>
      </c>
      <c r="L14" s="265" t="str">
        <f ca="1"/>
        <v/>
      </c>
      <c r="M14" s="265" t="str">
        <f ca="1"/>
        <v/>
      </c>
      <c r="N14" s="266" t="str">
        <f ca="1"/>
        <v/>
      </c>
    </row>
    <row r="15" spans="1:14" ht="15" customHeight="1" x14ac:dyDescent="0.25">
      <c r="A15" t="s">
        <v>4</v>
      </c>
      <c r="B15" s="191" t="str">
        <f ca="1"/>
        <v>AccrualStart</v>
      </c>
      <c r="C15" s="138" t="str">
        <f ca="1"/>
        <v>AccrualEnd</v>
      </c>
      <c r="D15" s="125" t="str">
        <f ca="1"/>
        <v>AccrualDays</v>
      </c>
      <c r="E15" s="198" t="str">
        <f ca="1"/>
        <v>AccrualYearFractions</v>
      </c>
      <c r="F15" s="138" t="str">
        <f ca="1"/>
        <v>PaymentDate</v>
      </c>
      <c r="G15" s="139" t="str">
        <f ca="1"/>
        <v>Notional</v>
      </c>
      <c r="H15" s="126" t="str">
        <f ca="1"/>
        <v>NotionalExchange</v>
      </c>
      <c r="I15" s="202" t="str">
        <f ca="1"/>
        <v>Leverage</v>
      </c>
      <c r="J15" s="125" t="str">
        <f ca="1"/>
        <v>FwdFXRate</v>
      </c>
      <c r="K15" s="265" t="str">
        <f ca="1"/>
        <v>FixedRate</v>
      </c>
      <c r="L15" s="265" t="str">
        <f ca="1"/>
        <v/>
      </c>
      <c r="M15" s="265" t="str">
        <f ca="1"/>
        <v/>
      </c>
      <c r="N15" s="266" t="str">
        <f ca="1"/>
        <v/>
      </c>
    </row>
    <row r="16" spans="1:14" ht="15" customHeight="1" x14ac:dyDescent="0.25">
      <c r="A16" t="s">
        <v>4</v>
      </c>
      <c r="B16" s="191">
        <f ca="1"/>
        <v>42423</v>
      </c>
      <c r="C16" s="138">
        <f ca="1"/>
        <v>42781</v>
      </c>
      <c r="D16" s="125">
        <f ca="1"/>
        <v>358</v>
      </c>
      <c r="E16" s="198">
        <f ca="1"/>
        <v>0.97777800000000004</v>
      </c>
      <c r="F16" s="138">
        <f ca="1"/>
        <v>42781</v>
      </c>
      <c r="G16" s="139">
        <f ca="1"/>
        <v>-1000000</v>
      </c>
      <c r="H16" s="139">
        <f ca="1"/>
        <v>0</v>
      </c>
      <c r="I16" s="126">
        <f ca="1"/>
        <v>1</v>
      </c>
      <c r="J16" s="126">
        <f ca="1"/>
        <v>1</v>
      </c>
      <c r="K16" s="267">
        <f ca="1"/>
        <v>0.01</v>
      </c>
      <c r="L16" s="265" t="str">
        <f ca="1"/>
        <v/>
      </c>
      <c r="M16" s="265" t="str">
        <f ca="1"/>
        <v/>
      </c>
      <c r="N16" s="266" t="str">
        <f ca="1"/>
        <v/>
      </c>
    </row>
    <row r="17" spans="1:14" ht="15" customHeight="1" x14ac:dyDescent="0.25">
      <c r="A17" t="s">
        <v>4</v>
      </c>
      <c r="B17" s="191">
        <f ca="1"/>
        <v>42781</v>
      </c>
      <c r="C17" s="138">
        <f ca="1"/>
        <v>43152</v>
      </c>
      <c r="D17" s="125">
        <f ca="1"/>
        <v>371</v>
      </c>
      <c r="E17" s="198">
        <f ca="1"/>
        <v>1.016667</v>
      </c>
      <c r="F17" s="138">
        <f ca="1"/>
        <v>43152</v>
      </c>
      <c r="G17" s="139">
        <f ca="1"/>
        <v>-1000000</v>
      </c>
      <c r="H17" s="139">
        <f ca="1"/>
        <v>0</v>
      </c>
      <c r="I17" s="126">
        <f ca="1"/>
        <v>1</v>
      </c>
      <c r="J17" s="126">
        <f ca="1"/>
        <v>1</v>
      </c>
      <c r="K17" s="267">
        <f ca="1"/>
        <v>0.01</v>
      </c>
      <c r="L17" s="265" t="str">
        <f ca="1"/>
        <v/>
      </c>
      <c r="M17" s="265" t="str">
        <f ca="1"/>
        <v/>
      </c>
      <c r="N17" s="266" t="str">
        <f ca="1"/>
        <v/>
      </c>
    </row>
    <row r="18" spans="1:14" ht="15" customHeight="1" x14ac:dyDescent="0.25">
      <c r="A18" t="s">
        <v>4</v>
      </c>
      <c r="B18" s="192">
        <f ca="1"/>
        <v>43152</v>
      </c>
      <c r="C18" s="193">
        <f ca="1"/>
        <v>43516</v>
      </c>
      <c r="D18" s="194">
        <f ca="1"/>
        <v>364</v>
      </c>
      <c r="E18" s="199">
        <f ca="1"/>
        <v>0.99722200000000005</v>
      </c>
      <c r="F18" s="193">
        <f ca="1"/>
        <v>43516</v>
      </c>
      <c r="G18" s="201">
        <f ca="1"/>
        <v>-1000000</v>
      </c>
      <c r="H18" s="201">
        <f ca="1"/>
        <v>0</v>
      </c>
      <c r="I18" s="196">
        <f ca="1"/>
        <v>1</v>
      </c>
      <c r="J18" s="196">
        <f ca="1"/>
        <v>1</v>
      </c>
      <c r="K18" s="268">
        <f ca="1"/>
        <v>0.01</v>
      </c>
      <c r="L18" s="269" t="str">
        <f ca="1"/>
        <v/>
      </c>
      <c r="M18" s="269" t="str">
        <f ca="1"/>
        <v/>
      </c>
      <c r="N18" s="270" t="str">
        <f ca="1"/>
        <v/>
      </c>
    </row>
    <row r="19" spans="1:14" ht="15" customHeight="1" x14ac:dyDescent="0.25">
      <c r="A19" t="s">
        <v>4</v>
      </c>
      <c r="B19" s="179"/>
      <c r="C19" s="179"/>
      <c r="D19" s="179"/>
      <c r="E19" s="179"/>
      <c r="F19" s="179"/>
      <c r="G19" s="179"/>
      <c r="H19" s="179"/>
      <c r="I19" s="179"/>
      <c r="J19" s="179"/>
      <c r="K19" t="s">
        <v>4</v>
      </c>
    </row>
    <row r="20" spans="1:14" ht="15" customHeight="1" x14ac:dyDescent="0.25">
      <c r="A20" t="s">
        <v>4</v>
      </c>
      <c r="B20" s="179"/>
      <c r="C20" s="179"/>
      <c r="D20" s="179"/>
      <c r="E20" s="179"/>
      <c r="F20" s="179"/>
      <c r="G20" s="179"/>
      <c r="H20" s="179"/>
      <c r="I20" s="179"/>
      <c r="J20" s="179"/>
      <c r="K20" t="s">
        <v>4</v>
      </c>
    </row>
    <row r="21" spans="1:14" ht="15" customHeight="1" x14ac:dyDescent="0.25">
      <c r="A21" t="s">
        <v>4</v>
      </c>
      <c r="B21" s="130" t="str">
        <f ca="1">FloatSchedule1</f>
        <v>FLOAT_SCHEDULE:0</v>
      </c>
      <c r="C21" s="179"/>
      <c r="D21" s="179"/>
      <c r="E21" s="179"/>
      <c r="F21" s="179"/>
      <c r="G21" s="179"/>
      <c r="H21" s="179"/>
      <c r="I21" s="179"/>
      <c r="J21" s="179"/>
      <c r="K21" t="s">
        <v>4</v>
      </c>
    </row>
    <row r="22" spans="1:14" ht="15" customHeight="1" x14ac:dyDescent="0.25">
      <c r="A22" t="s">
        <v>4</v>
      </c>
      <c r="B22" s="131" t="str">
        <f t="array" aca="1" ref="B22:N34" ca="1">_xll.meUtilityResize(_xll.meLWOScheduleDisplay(B21),50,50)</f>
        <v>FixingDate</v>
      </c>
      <c r="C22" s="132" t="str">
        <f ca="1"/>
        <v>AccrualStart</v>
      </c>
      <c r="D22" s="132" t="str">
        <f ca="1"/>
        <v>AccrualEnd</v>
      </c>
      <c r="E22" s="132" t="str">
        <f ca="1"/>
        <v>AccrualDays</v>
      </c>
      <c r="F22" s="197" t="str">
        <f ca="1"/>
        <v>AccrualYearFractions</v>
      </c>
      <c r="G22" s="132" t="str">
        <f ca="1"/>
        <v>PaymentDate</v>
      </c>
      <c r="H22" s="200" t="str">
        <f ca="1"/>
        <v>Notional</v>
      </c>
      <c r="I22" s="195" t="str">
        <f ca="1"/>
        <v>NotionalExchange</v>
      </c>
      <c r="J22" s="195" t="str">
        <f ca="1"/>
        <v>Leverage</v>
      </c>
      <c r="K22" s="263" t="str">
        <f ca="1"/>
        <v>FwdFXRate</v>
      </c>
      <c r="L22" s="263" t="str">
        <f ca="1"/>
        <v>FloatSpread</v>
      </c>
      <c r="M22" s="263" t="str">
        <f ca="1"/>
        <v/>
      </c>
      <c r="N22" s="264" t="str">
        <f ca="1"/>
        <v/>
      </c>
    </row>
    <row r="23" spans="1:14" ht="15" customHeight="1" x14ac:dyDescent="0.25">
      <c r="A23" t="s">
        <v>4</v>
      </c>
      <c r="B23" s="191">
        <f ca="1"/>
        <v>42423</v>
      </c>
      <c r="C23" s="138">
        <f ca="1"/>
        <v>42423</v>
      </c>
      <c r="D23" s="138">
        <f ca="1"/>
        <v>42599</v>
      </c>
      <c r="E23" s="125">
        <f ca="1"/>
        <v>176</v>
      </c>
      <c r="F23" s="198">
        <f ca="1"/>
        <v>0.48888900000000002</v>
      </c>
      <c r="G23" s="138">
        <f ca="1"/>
        <v>42599</v>
      </c>
      <c r="H23" s="139">
        <f ca="1"/>
        <v>1000000</v>
      </c>
      <c r="I23" s="139">
        <f ca="1"/>
        <v>0</v>
      </c>
      <c r="J23" s="126">
        <f ca="1"/>
        <v>1</v>
      </c>
      <c r="K23" s="273">
        <f ca="1"/>
        <v>1</v>
      </c>
      <c r="L23" s="271">
        <f ca="1"/>
        <v>0</v>
      </c>
      <c r="M23" s="265" t="str">
        <f ca="1"/>
        <v/>
      </c>
      <c r="N23" s="266" t="str">
        <f ca="1"/>
        <v/>
      </c>
    </row>
    <row r="24" spans="1:14" ht="15" customHeight="1" x14ac:dyDescent="0.25">
      <c r="A24" t="s">
        <v>4</v>
      </c>
      <c r="B24" s="191">
        <f ca="1"/>
        <v>42599</v>
      </c>
      <c r="C24" s="138">
        <f ca="1"/>
        <v>42599</v>
      </c>
      <c r="D24" s="138">
        <f ca="1"/>
        <v>42781</v>
      </c>
      <c r="E24" s="125">
        <f ca="1"/>
        <v>182</v>
      </c>
      <c r="F24" s="198">
        <f ca="1"/>
        <v>0.50555600000000001</v>
      </c>
      <c r="G24" s="138">
        <f ca="1"/>
        <v>42781</v>
      </c>
      <c r="H24" s="139">
        <f ca="1"/>
        <v>1000000</v>
      </c>
      <c r="I24" s="139">
        <f ca="1"/>
        <v>0</v>
      </c>
      <c r="J24" s="126">
        <f ca="1"/>
        <v>1</v>
      </c>
      <c r="K24" s="273">
        <f ca="1"/>
        <v>1</v>
      </c>
      <c r="L24" s="271">
        <f ca="1"/>
        <v>0</v>
      </c>
      <c r="M24" s="265" t="str">
        <f ca="1"/>
        <v/>
      </c>
      <c r="N24" s="266" t="str">
        <f ca="1"/>
        <v/>
      </c>
    </row>
    <row r="25" spans="1:14" ht="15" customHeight="1" x14ac:dyDescent="0.25">
      <c r="A25" t="s">
        <v>4</v>
      </c>
      <c r="B25" s="191">
        <f ca="1"/>
        <v>42781</v>
      </c>
      <c r="C25" s="138">
        <f ca="1"/>
        <v>42781</v>
      </c>
      <c r="D25" s="138">
        <f ca="1"/>
        <v>42963</v>
      </c>
      <c r="E25" s="125">
        <f ca="1"/>
        <v>182</v>
      </c>
      <c r="F25" s="198">
        <f ca="1"/>
        <v>0.50555600000000001</v>
      </c>
      <c r="G25" s="138">
        <f ca="1"/>
        <v>42963</v>
      </c>
      <c r="H25" s="139">
        <f ca="1"/>
        <v>1000000</v>
      </c>
      <c r="I25" s="139">
        <f ca="1"/>
        <v>0</v>
      </c>
      <c r="J25" s="126">
        <f ca="1"/>
        <v>1</v>
      </c>
      <c r="K25" s="273">
        <f ca="1"/>
        <v>1</v>
      </c>
      <c r="L25" s="271">
        <f ca="1"/>
        <v>0</v>
      </c>
      <c r="M25" s="265" t="str">
        <f ca="1"/>
        <v/>
      </c>
      <c r="N25" s="266" t="str">
        <f ca="1"/>
        <v/>
      </c>
    </row>
    <row r="26" spans="1:14" ht="15" customHeight="1" x14ac:dyDescent="0.25">
      <c r="A26" t="s">
        <v>4</v>
      </c>
      <c r="B26" s="191">
        <f ca="1"/>
        <v>42963</v>
      </c>
      <c r="C26" s="138">
        <f ca="1"/>
        <v>42963</v>
      </c>
      <c r="D26" s="138">
        <f ca="1"/>
        <v>43152</v>
      </c>
      <c r="E26" s="125">
        <f ca="1"/>
        <v>189</v>
      </c>
      <c r="F26" s="198">
        <f ca="1"/>
        <v>0.52500000000000002</v>
      </c>
      <c r="G26" s="138">
        <f ca="1"/>
        <v>43152</v>
      </c>
      <c r="H26" s="139">
        <f ca="1"/>
        <v>1000000</v>
      </c>
      <c r="I26" s="139">
        <f ca="1"/>
        <v>0</v>
      </c>
      <c r="J26" s="126">
        <f ca="1"/>
        <v>1</v>
      </c>
      <c r="K26" s="273">
        <f ca="1"/>
        <v>1</v>
      </c>
      <c r="L26" s="271">
        <f ca="1"/>
        <v>0</v>
      </c>
      <c r="M26" s="265" t="str">
        <f ca="1"/>
        <v/>
      </c>
      <c r="N26" s="266" t="str">
        <f ca="1"/>
        <v/>
      </c>
    </row>
    <row r="27" spans="1:14" ht="15" customHeight="1" x14ac:dyDescent="0.25">
      <c r="A27" t="s">
        <v>4</v>
      </c>
      <c r="B27" s="191">
        <f ca="1"/>
        <v>43152</v>
      </c>
      <c r="C27" s="138">
        <f ca="1"/>
        <v>43152</v>
      </c>
      <c r="D27" s="138">
        <f ca="1"/>
        <v>43327</v>
      </c>
      <c r="E27" s="125">
        <f ca="1"/>
        <v>175</v>
      </c>
      <c r="F27" s="198">
        <f ca="1"/>
        <v>0.48611100000000002</v>
      </c>
      <c r="G27" s="138">
        <f ca="1"/>
        <v>43327</v>
      </c>
      <c r="H27" s="139">
        <f ca="1"/>
        <v>1000000</v>
      </c>
      <c r="I27" s="139">
        <f ca="1"/>
        <v>0</v>
      </c>
      <c r="J27" s="126">
        <f ca="1"/>
        <v>1</v>
      </c>
      <c r="K27" s="273">
        <f ca="1"/>
        <v>1</v>
      </c>
      <c r="L27" s="271">
        <f ca="1"/>
        <v>0</v>
      </c>
      <c r="M27" s="265" t="str">
        <f ca="1"/>
        <v/>
      </c>
      <c r="N27" s="266" t="str">
        <f ca="1"/>
        <v/>
      </c>
    </row>
    <row r="28" spans="1:14" ht="15" customHeight="1" x14ac:dyDescent="0.25">
      <c r="A28" t="s">
        <v>4</v>
      </c>
      <c r="B28" s="191">
        <f ca="1"/>
        <v>43327</v>
      </c>
      <c r="C28" s="138">
        <f ca="1"/>
        <v>43327</v>
      </c>
      <c r="D28" s="138">
        <f ca="1"/>
        <v>43516</v>
      </c>
      <c r="E28" s="125">
        <f ca="1"/>
        <v>189</v>
      </c>
      <c r="F28" s="198">
        <f ca="1"/>
        <v>0.52500000000000002</v>
      </c>
      <c r="G28" s="138">
        <f ca="1"/>
        <v>43516</v>
      </c>
      <c r="H28" s="139">
        <f ca="1"/>
        <v>1000000</v>
      </c>
      <c r="I28" s="139">
        <f ca="1"/>
        <v>0</v>
      </c>
      <c r="J28" s="126">
        <f ca="1"/>
        <v>1</v>
      </c>
      <c r="K28" s="273">
        <f ca="1"/>
        <v>1</v>
      </c>
      <c r="L28" s="271">
        <f ca="1"/>
        <v>0</v>
      </c>
      <c r="M28" s="265" t="str">
        <f ca="1"/>
        <v/>
      </c>
      <c r="N28" s="266" t="str">
        <f ca="1"/>
        <v/>
      </c>
    </row>
    <row r="29" spans="1:14" ht="15" customHeight="1" x14ac:dyDescent="0.25">
      <c r="A29" t="s">
        <v>4</v>
      </c>
      <c r="B29" s="191">
        <f ca="1"/>
        <v>43516</v>
      </c>
      <c r="C29" s="138">
        <f ca="1"/>
        <v>43516</v>
      </c>
      <c r="D29" s="138">
        <f ca="1"/>
        <v>43698</v>
      </c>
      <c r="E29" s="125">
        <f ca="1"/>
        <v>182</v>
      </c>
      <c r="F29" s="198">
        <f ca="1"/>
        <v>0.50555600000000001</v>
      </c>
      <c r="G29" s="138">
        <f ca="1"/>
        <v>43698</v>
      </c>
      <c r="H29" s="139">
        <f ca="1"/>
        <v>1000000</v>
      </c>
      <c r="I29" s="139">
        <f ca="1"/>
        <v>0</v>
      </c>
      <c r="J29" s="126">
        <f ca="1"/>
        <v>1</v>
      </c>
      <c r="K29" s="273">
        <f ca="1"/>
        <v>1</v>
      </c>
      <c r="L29" s="271">
        <f ca="1"/>
        <v>0</v>
      </c>
      <c r="M29" s="265" t="str">
        <f ca="1"/>
        <v/>
      </c>
      <c r="N29" s="266" t="str">
        <f ca="1"/>
        <v/>
      </c>
    </row>
    <row r="30" spans="1:14" ht="15" customHeight="1" x14ac:dyDescent="0.25">
      <c r="A30" t="s">
        <v>4</v>
      </c>
      <c r="B30" s="191">
        <f ca="1"/>
        <v>43698</v>
      </c>
      <c r="C30" s="138">
        <f ca="1"/>
        <v>43698</v>
      </c>
      <c r="D30" s="138">
        <f ca="1"/>
        <v>43880</v>
      </c>
      <c r="E30" s="125">
        <f ca="1"/>
        <v>182</v>
      </c>
      <c r="F30" s="198">
        <f ca="1"/>
        <v>0.50555600000000001</v>
      </c>
      <c r="G30" s="138">
        <f ca="1"/>
        <v>43880</v>
      </c>
      <c r="H30" s="139">
        <f ca="1"/>
        <v>1000000</v>
      </c>
      <c r="I30" s="139">
        <f ca="1"/>
        <v>0</v>
      </c>
      <c r="J30" s="126">
        <f ca="1"/>
        <v>1</v>
      </c>
      <c r="K30" s="273">
        <f ca="1"/>
        <v>1</v>
      </c>
      <c r="L30" s="271">
        <f ca="1"/>
        <v>0</v>
      </c>
      <c r="M30" s="265" t="str">
        <f ca="1"/>
        <v/>
      </c>
      <c r="N30" s="266" t="str">
        <f ca="1"/>
        <v/>
      </c>
    </row>
    <row r="31" spans="1:14" ht="15" customHeight="1" x14ac:dyDescent="0.25">
      <c r="A31" t="s">
        <v>4</v>
      </c>
      <c r="B31" s="191">
        <f ca="1"/>
        <v>43880</v>
      </c>
      <c r="C31" s="138">
        <f ca="1"/>
        <v>43880</v>
      </c>
      <c r="D31" s="138">
        <f ca="1"/>
        <v>44062</v>
      </c>
      <c r="E31" s="125">
        <f ca="1"/>
        <v>182</v>
      </c>
      <c r="F31" s="198">
        <f ca="1"/>
        <v>0.50555600000000001</v>
      </c>
      <c r="G31" s="138">
        <f ca="1"/>
        <v>44062</v>
      </c>
      <c r="H31" s="139">
        <f ca="1"/>
        <v>1000000</v>
      </c>
      <c r="I31" s="139">
        <f ca="1"/>
        <v>0</v>
      </c>
      <c r="J31" s="126">
        <f ca="1"/>
        <v>1</v>
      </c>
      <c r="K31" s="273">
        <f ca="1"/>
        <v>1</v>
      </c>
      <c r="L31" s="271">
        <f ca="1"/>
        <v>0</v>
      </c>
      <c r="M31" s="265" t="str">
        <f ca="1"/>
        <v/>
      </c>
      <c r="N31" s="266" t="str">
        <f ca="1"/>
        <v/>
      </c>
    </row>
    <row r="32" spans="1:14" ht="15" customHeight="1" x14ac:dyDescent="0.25">
      <c r="A32" t="s">
        <v>4</v>
      </c>
      <c r="B32" s="191">
        <f ca="1"/>
        <v>44062</v>
      </c>
      <c r="C32" s="138">
        <f ca="1"/>
        <v>44062</v>
      </c>
      <c r="D32" s="138">
        <f ca="1"/>
        <v>44250</v>
      </c>
      <c r="E32" s="125">
        <f ca="1"/>
        <v>188</v>
      </c>
      <c r="F32" s="198">
        <f ca="1"/>
        <v>0.52222199999999996</v>
      </c>
      <c r="G32" s="138">
        <f ca="1"/>
        <v>44250</v>
      </c>
      <c r="H32" s="139">
        <f ca="1"/>
        <v>1000000</v>
      </c>
      <c r="I32" s="139">
        <f ca="1"/>
        <v>0</v>
      </c>
      <c r="J32" s="126">
        <f ca="1"/>
        <v>1</v>
      </c>
      <c r="K32" s="273">
        <f ca="1"/>
        <v>1</v>
      </c>
      <c r="L32" s="271">
        <f ca="1"/>
        <v>0</v>
      </c>
      <c r="M32" s="265" t="str">
        <f ca="1"/>
        <v/>
      </c>
      <c r="N32" s="266" t="str">
        <f ca="1"/>
        <v/>
      </c>
    </row>
    <row r="33" spans="1:14" ht="15" customHeight="1" x14ac:dyDescent="0.25">
      <c r="A33" t="s">
        <v>4</v>
      </c>
      <c r="B33" s="191" t="str">
        <f ca="1"/>
        <v/>
      </c>
      <c r="C33" s="138" t="str">
        <f ca="1"/>
        <v/>
      </c>
      <c r="D33" s="138" t="str">
        <f ca="1"/>
        <v/>
      </c>
      <c r="E33" s="125" t="str">
        <f ca="1"/>
        <v/>
      </c>
      <c r="F33" s="198" t="str">
        <f ca="1"/>
        <v/>
      </c>
      <c r="G33" s="138" t="str">
        <f ca="1"/>
        <v/>
      </c>
      <c r="H33" s="139" t="str">
        <f ca="1"/>
        <v/>
      </c>
      <c r="I33" s="139" t="str">
        <f ca="1"/>
        <v/>
      </c>
      <c r="J33" s="126" t="str">
        <f ca="1"/>
        <v/>
      </c>
      <c r="K33" s="273" t="str">
        <f ca="1"/>
        <v/>
      </c>
      <c r="L33" s="271" t="str">
        <f ca="1"/>
        <v/>
      </c>
      <c r="M33" s="265" t="str">
        <f ca="1"/>
        <v/>
      </c>
      <c r="N33" s="266" t="str">
        <f ca="1"/>
        <v/>
      </c>
    </row>
    <row r="34" spans="1:14" ht="15" customHeight="1" x14ac:dyDescent="0.25">
      <c r="A34" t="s">
        <v>4</v>
      </c>
      <c r="B34" s="192" t="str">
        <f ca="1"/>
        <v/>
      </c>
      <c r="C34" s="193" t="str">
        <f ca="1"/>
        <v/>
      </c>
      <c r="D34" s="193" t="str">
        <f ca="1"/>
        <v/>
      </c>
      <c r="E34" s="194" t="str">
        <f ca="1"/>
        <v/>
      </c>
      <c r="F34" s="199" t="str">
        <f ca="1"/>
        <v/>
      </c>
      <c r="G34" s="193" t="str">
        <f ca="1"/>
        <v/>
      </c>
      <c r="H34" s="201" t="str">
        <f ca="1"/>
        <v/>
      </c>
      <c r="I34" s="201" t="str">
        <f ca="1"/>
        <v/>
      </c>
      <c r="J34" s="196" t="str">
        <f ca="1"/>
        <v/>
      </c>
      <c r="K34" s="274" t="str">
        <f ca="1"/>
        <v/>
      </c>
      <c r="L34" s="272" t="str">
        <f ca="1"/>
        <v/>
      </c>
      <c r="M34" s="269" t="str">
        <f ca="1"/>
        <v/>
      </c>
      <c r="N34" s="270" t="str">
        <f ca="1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7"/>
  </sheetPr>
  <dimension ref="B2:K49"/>
  <sheetViews>
    <sheetView showGridLines="0" workbookViewId="0"/>
  </sheetViews>
  <sheetFormatPr defaultRowHeight="15" x14ac:dyDescent="0.25"/>
  <cols>
    <col min="2" max="2" width="31" customWidth="1"/>
    <col min="3" max="3" width="27.85546875" customWidth="1"/>
    <col min="4" max="4" width="15.7109375" customWidth="1"/>
    <col min="5" max="5" width="19.5703125" bestFit="1" customWidth="1"/>
    <col min="6" max="7" width="15.7109375" customWidth="1"/>
    <col min="8" max="8" width="17.28515625" bestFit="1" customWidth="1"/>
    <col min="9" max="10" width="15.7109375" customWidth="1"/>
    <col min="11" max="11" width="10.140625" customWidth="1"/>
    <col min="12" max="12" width="20.7109375" customWidth="1"/>
    <col min="14" max="14" width="20.42578125" customWidth="1"/>
    <col min="15" max="15" width="17.42578125" bestFit="1" customWidth="1"/>
    <col min="16" max="16" width="11.5703125" bestFit="1" customWidth="1"/>
    <col min="17" max="18" width="19.5703125" bestFit="1" customWidth="1"/>
    <col min="19" max="19" width="13.140625" bestFit="1" customWidth="1"/>
    <col min="20" max="20" width="11.7109375" bestFit="1" customWidth="1"/>
    <col min="21" max="21" width="9.85546875" bestFit="1" customWidth="1"/>
    <col min="22" max="22" width="12.42578125" customWidth="1"/>
  </cols>
  <sheetData>
    <row r="2" spans="2:3" x14ac:dyDescent="0.25">
      <c r="B2" s="213" t="s">
        <v>278</v>
      </c>
    </row>
    <row r="4" spans="2:3" x14ac:dyDescent="0.25">
      <c r="B4" s="172" t="s">
        <v>280</v>
      </c>
    </row>
    <row r="5" spans="2:3" x14ac:dyDescent="0.25">
      <c r="B5" s="174" t="s">
        <v>279</v>
      </c>
      <c r="C5" s="218" t="s">
        <v>294</v>
      </c>
    </row>
    <row r="6" spans="2:3" x14ac:dyDescent="0.25">
      <c r="B6" s="140" t="s">
        <v>280</v>
      </c>
      <c r="C6" s="219" t="str">
        <f ca="1">_xll.meLWOScheduleCreateBespoke(C5,B10:C16,B20:I25)</f>
        <v>CUSTOMFIXEDSCHEDULE:15</v>
      </c>
    </row>
    <row r="7" spans="2:3" x14ac:dyDescent="0.25">
      <c r="B7" s="179"/>
      <c r="C7" s="179"/>
    </row>
    <row r="8" spans="2:3" x14ac:dyDescent="0.25">
      <c r="B8" s="179"/>
      <c r="C8" s="179"/>
    </row>
    <row r="9" spans="2:3" x14ac:dyDescent="0.25">
      <c r="B9" t="s">
        <v>287</v>
      </c>
    </row>
    <row r="10" spans="2:3" x14ac:dyDescent="0.25">
      <c r="B10" s="134" t="s">
        <v>282</v>
      </c>
      <c r="C10" s="214" t="s">
        <v>253</v>
      </c>
    </row>
    <row r="11" spans="2:3" x14ac:dyDescent="0.25">
      <c r="B11" s="135" t="s">
        <v>300</v>
      </c>
      <c r="C11" s="215" t="s">
        <v>303</v>
      </c>
    </row>
    <row r="12" spans="2:3" x14ac:dyDescent="0.25">
      <c r="B12" s="277" t="s">
        <v>258</v>
      </c>
      <c r="C12" s="278" t="s">
        <v>304</v>
      </c>
    </row>
    <row r="13" spans="2:3" x14ac:dyDescent="0.25">
      <c r="B13" s="135" t="s">
        <v>233</v>
      </c>
      <c r="C13" s="215" t="s">
        <v>20</v>
      </c>
    </row>
    <row r="14" spans="2:3" x14ac:dyDescent="0.25">
      <c r="B14" s="135" t="s">
        <v>234</v>
      </c>
      <c r="C14" s="215" t="s">
        <v>22</v>
      </c>
    </row>
    <row r="15" spans="2:3" x14ac:dyDescent="0.25">
      <c r="B15" s="135" t="s">
        <v>235</v>
      </c>
      <c r="C15" s="215" t="s">
        <v>2</v>
      </c>
    </row>
    <row r="16" spans="2:3" x14ac:dyDescent="0.25">
      <c r="B16" s="136" t="s">
        <v>236</v>
      </c>
      <c r="C16" s="216" t="s">
        <v>248</v>
      </c>
    </row>
    <row r="19" spans="2:11" x14ac:dyDescent="0.25">
      <c r="B19" s="220" t="s">
        <v>286</v>
      </c>
    </row>
    <row r="20" spans="2:11" x14ac:dyDescent="0.25">
      <c r="B20" s="221" t="s">
        <v>274</v>
      </c>
      <c r="C20" s="224" t="s">
        <v>275</v>
      </c>
      <c r="D20" s="224" t="s">
        <v>276</v>
      </c>
      <c r="E20" s="225" t="s">
        <v>277</v>
      </c>
      <c r="F20" s="224" t="s">
        <v>231</v>
      </c>
      <c r="G20" s="238" t="s">
        <v>193</v>
      </c>
      <c r="H20" s="239" t="s">
        <v>249</v>
      </c>
      <c r="I20" s="224" t="s">
        <v>204</v>
      </c>
      <c r="J20" s="224" t="s">
        <v>4</v>
      </c>
      <c r="K20" s="240" t="s">
        <v>4</v>
      </c>
    </row>
    <row r="21" spans="2:11" x14ac:dyDescent="0.25">
      <c r="B21" s="222">
        <v>42423</v>
      </c>
      <c r="C21" s="226">
        <v>42781</v>
      </c>
      <c r="D21" s="227">
        <v>358</v>
      </c>
      <c r="E21" s="228">
        <v>0.97777800000000004</v>
      </c>
      <c r="F21" s="226">
        <v>42781</v>
      </c>
      <c r="G21" s="242">
        <v>10000000</v>
      </c>
      <c r="H21" s="230">
        <v>1</v>
      </c>
      <c r="I21" s="243">
        <v>0.1</v>
      </c>
      <c r="J21" s="227" t="s">
        <v>4</v>
      </c>
      <c r="K21" s="231" t="s">
        <v>4</v>
      </c>
    </row>
    <row r="22" spans="2:11" x14ac:dyDescent="0.25">
      <c r="B22" s="222">
        <v>42781</v>
      </c>
      <c r="C22" s="226">
        <v>43152</v>
      </c>
      <c r="D22" s="227">
        <v>371</v>
      </c>
      <c r="E22" s="228">
        <v>1.016667</v>
      </c>
      <c r="F22" s="226">
        <v>43152</v>
      </c>
      <c r="G22" s="242">
        <f t="shared" ref="G22:G25" ca="1" si="0">G21-1000000</f>
        <v>9000000</v>
      </c>
      <c r="H22" s="230">
        <v>1</v>
      </c>
      <c r="I22" s="249">
        <f t="shared" ref="I22:I25" ca="1" si="1">I21-1%</f>
        <v>9.0000000000000011E-2</v>
      </c>
      <c r="J22" s="227" t="s">
        <v>4</v>
      </c>
      <c r="K22" s="231" t="s">
        <v>4</v>
      </c>
    </row>
    <row r="23" spans="2:11" x14ac:dyDescent="0.25">
      <c r="B23" s="222">
        <v>43152</v>
      </c>
      <c r="C23" s="226">
        <v>43516</v>
      </c>
      <c r="D23" s="227">
        <v>364</v>
      </c>
      <c r="E23" s="228">
        <v>0.99722200000000005</v>
      </c>
      <c r="F23" s="226">
        <v>43516</v>
      </c>
      <c r="G23" s="242">
        <f t="shared" ca="1" si="0"/>
        <v>8000000</v>
      </c>
      <c r="H23" s="230">
        <v>1</v>
      </c>
      <c r="I23" s="249">
        <f t="shared" ca="1" si="1"/>
        <v>8.0000000000000016E-2</v>
      </c>
      <c r="J23" s="227" t="s">
        <v>4</v>
      </c>
      <c r="K23" s="231" t="s">
        <v>4</v>
      </c>
    </row>
    <row r="24" spans="2:11" x14ac:dyDescent="0.25">
      <c r="B24" s="222">
        <v>43516</v>
      </c>
      <c r="C24" s="226">
        <v>43880</v>
      </c>
      <c r="D24" s="227">
        <v>364</v>
      </c>
      <c r="E24" s="228">
        <v>0.99722200000000005</v>
      </c>
      <c r="F24" s="226">
        <v>43880</v>
      </c>
      <c r="G24" s="242">
        <f t="shared" ca="1" si="0"/>
        <v>7000000</v>
      </c>
      <c r="H24" s="230">
        <v>1</v>
      </c>
      <c r="I24" s="249">
        <f t="shared" ca="1" si="1"/>
        <v>7.0000000000000021E-2</v>
      </c>
      <c r="J24" s="227" t="s">
        <v>4</v>
      </c>
      <c r="K24" s="231" t="s">
        <v>4</v>
      </c>
    </row>
    <row r="25" spans="2:11" x14ac:dyDescent="0.25">
      <c r="B25" s="222">
        <v>43880</v>
      </c>
      <c r="C25" s="241">
        <v>46076</v>
      </c>
      <c r="D25" s="227">
        <v>370</v>
      </c>
      <c r="E25" s="228">
        <v>1.0111110000000001</v>
      </c>
      <c r="F25" s="241">
        <v>46076</v>
      </c>
      <c r="G25" s="242">
        <f t="shared" ca="1" si="0"/>
        <v>6000000</v>
      </c>
      <c r="H25" s="230">
        <v>1</v>
      </c>
      <c r="I25" s="249">
        <f t="shared" ca="1" si="1"/>
        <v>6.0000000000000019E-2</v>
      </c>
      <c r="J25" s="227" t="s">
        <v>4</v>
      </c>
      <c r="K25" s="231" t="s">
        <v>4</v>
      </c>
    </row>
    <row r="26" spans="2:11" x14ac:dyDescent="0.25">
      <c r="B26" s="222" t="s">
        <v>4</v>
      </c>
      <c r="C26" s="226" t="s">
        <v>4</v>
      </c>
      <c r="D26" s="227" t="s">
        <v>4</v>
      </c>
      <c r="E26" s="228" t="s">
        <v>4</v>
      </c>
      <c r="F26" s="226" t="s">
        <v>4</v>
      </c>
      <c r="G26" s="229" t="s">
        <v>4</v>
      </c>
      <c r="H26" s="230" t="s">
        <v>4</v>
      </c>
      <c r="I26" s="245" t="s">
        <v>4</v>
      </c>
      <c r="J26" s="227" t="s">
        <v>4</v>
      </c>
      <c r="K26" s="231" t="s">
        <v>4</v>
      </c>
    </row>
    <row r="27" spans="2:11" x14ac:dyDescent="0.25">
      <c r="B27" s="222" t="s">
        <v>4</v>
      </c>
      <c r="C27" s="226" t="s">
        <v>4</v>
      </c>
      <c r="D27" s="227" t="s">
        <v>4</v>
      </c>
      <c r="E27" s="228" t="s">
        <v>4</v>
      </c>
      <c r="F27" s="226" t="s">
        <v>4</v>
      </c>
      <c r="G27" s="229" t="s">
        <v>4</v>
      </c>
      <c r="H27" s="230" t="s">
        <v>4</v>
      </c>
      <c r="I27" s="245" t="s">
        <v>4</v>
      </c>
      <c r="J27" s="227" t="s">
        <v>4</v>
      </c>
      <c r="K27" s="231" t="s">
        <v>4</v>
      </c>
    </row>
    <row r="28" spans="2:11" x14ac:dyDescent="0.25">
      <c r="B28" s="222" t="s">
        <v>4</v>
      </c>
      <c r="C28" s="226" t="s">
        <v>4</v>
      </c>
      <c r="D28" s="227" t="s">
        <v>4</v>
      </c>
      <c r="E28" s="228" t="s">
        <v>4</v>
      </c>
      <c r="F28" s="226" t="s">
        <v>4</v>
      </c>
      <c r="G28" s="229" t="s">
        <v>4</v>
      </c>
      <c r="H28" s="230" t="s">
        <v>4</v>
      </c>
      <c r="I28" s="245" t="s">
        <v>4</v>
      </c>
      <c r="J28" s="227" t="s">
        <v>4</v>
      </c>
      <c r="K28" s="231" t="s">
        <v>4</v>
      </c>
    </row>
    <row r="29" spans="2:11" x14ac:dyDescent="0.25">
      <c r="B29" s="222" t="s">
        <v>4</v>
      </c>
      <c r="C29" s="226" t="s">
        <v>4</v>
      </c>
      <c r="D29" s="227" t="s">
        <v>4</v>
      </c>
      <c r="E29" s="228" t="s">
        <v>4</v>
      </c>
      <c r="F29" s="226" t="s">
        <v>4</v>
      </c>
      <c r="G29" s="229" t="s">
        <v>4</v>
      </c>
      <c r="H29" s="230" t="s">
        <v>4</v>
      </c>
      <c r="I29" s="245" t="s">
        <v>4</v>
      </c>
      <c r="J29" s="227" t="s">
        <v>4</v>
      </c>
      <c r="K29" s="231" t="s">
        <v>4</v>
      </c>
    </row>
    <row r="30" spans="2:11" x14ac:dyDescent="0.25">
      <c r="B30" s="222" t="s">
        <v>4</v>
      </c>
      <c r="C30" s="226" t="s">
        <v>4</v>
      </c>
      <c r="D30" s="227" t="s">
        <v>4</v>
      </c>
      <c r="E30" s="228" t="s">
        <v>4</v>
      </c>
      <c r="F30" s="226" t="s">
        <v>4</v>
      </c>
      <c r="G30" s="229" t="s">
        <v>4</v>
      </c>
      <c r="H30" s="230" t="s">
        <v>4</v>
      </c>
      <c r="I30" s="245" t="s">
        <v>4</v>
      </c>
      <c r="J30" s="227" t="s">
        <v>4</v>
      </c>
      <c r="K30" s="231" t="s">
        <v>4</v>
      </c>
    </row>
    <row r="31" spans="2:11" x14ac:dyDescent="0.25">
      <c r="B31" s="222" t="s">
        <v>4</v>
      </c>
      <c r="C31" s="226" t="s">
        <v>4</v>
      </c>
      <c r="D31" s="227" t="s">
        <v>4</v>
      </c>
      <c r="E31" s="228" t="s">
        <v>4</v>
      </c>
      <c r="F31" s="226" t="s">
        <v>4</v>
      </c>
      <c r="G31" s="229" t="s">
        <v>4</v>
      </c>
      <c r="H31" s="230" t="s">
        <v>4</v>
      </c>
      <c r="I31" s="245" t="s">
        <v>4</v>
      </c>
      <c r="J31" s="227" t="s">
        <v>4</v>
      </c>
      <c r="K31" s="231" t="s">
        <v>4</v>
      </c>
    </row>
    <row r="32" spans="2:11" x14ac:dyDescent="0.25">
      <c r="B32" s="223" t="s">
        <v>4</v>
      </c>
      <c r="C32" s="232" t="s">
        <v>4</v>
      </c>
      <c r="D32" s="233" t="s">
        <v>4</v>
      </c>
      <c r="E32" s="234" t="s">
        <v>4</v>
      </c>
      <c r="F32" s="232" t="s">
        <v>4</v>
      </c>
      <c r="G32" s="235" t="s">
        <v>4</v>
      </c>
      <c r="H32" s="236" t="s">
        <v>4</v>
      </c>
      <c r="I32" s="246" t="s">
        <v>4</v>
      </c>
      <c r="J32" s="233" t="s">
        <v>4</v>
      </c>
      <c r="K32" s="237" t="s">
        <v>4</v>
      </c>
    </row>
    <row r="35" spans="2:11" x14ac:dyDescent="0.25">
      <c r="B35" s="217" t="s">
        <v>281</v>
      </c>
    </row>
    <row r="36" spans="2:11" x14ac:dyDescent="0.25">
      <c r="B36" s="131" t="str">
        <f t="array" aca="1" ref="B36:K49" ca="1">_xll.meUtilityResize(_xll.meLWOScheduleDisplay(C6),50,50)</f>
        <v>AccrualStart</v>
      </c>
      <c r="C36" s="132" t="str">
        <f ca="1"/>
        <v>AccrualEnd</v>
      </c>
      <c r="D36" s="132" t="str">
        <f ca="1"/>
        <v>AccrualDays</v>
      </c>
      <c r="E36" s="132" t="str">
        <f ca="1"/>
        <v>AccrualYearFractions</v>
      </c>
      <c r="F36" s="132" t="str">
        <f ca="1"/>
        <v>PaymentDate</v>
      </c>
      <c r="G36" s="132" t="str">
        <f ca="1"/>
        <v>Notional</v>
      </c>
      <c r="H36" s="132" t="str">
        <f ca="1"/>
        <v>NotionalExchange</v>
      </c>
      <c r="I36" s="132" t="str">
        <f ca="1"/>
        <v>Leverage</v>
      </c>
      <c r="J36" s="132" t="str">
        <f ca="1"/>
        <v>FwdFXRate</v>
      </c>
      <c r="K36" s="264" t="str">
        <f ca="1"/>
        <v>FixedRate</v>
      </c>
    </row>
    <row r="37" spans="2:11" x14ac:dyDescent="0.25">
      <c r="B37" s="191" t="str">
        <f ca="1"/>
        <v/>
      </c>
      <c r="C37" s="138" t="str">
        <f ca="1"/>
        <v/>
      </c>
      <c r="D37" s="125" t="str">
        <f ca="1"/>
        <v/>
      </c>
      <c r="E37" s="125" t="str">
        <f ca="1"/>
        <v/>
      </c>
      <c r="F37" s="138">
        <f ca="1"/>
        <v>42423</v>
      </c>
      <c r="G37" s="139" t="str">
        <f ca="1"/>
        <v/>
      </c>
      <c r="H37" s="139">
        <f ca="1"/>
        <v>-10000000</v>
      </c>
      <c r="I37" s="126" t="str">
        <f ca="1"/>
        <v/>
      </c>
      <c r="J37" s="126" t="str">
        <f ca="1"/>
        <v/>
      </c>
      <c r="K37" s="275" t="str">
        <f ca="1"/>
        <v/>
      </c>
    </row>
    <row r="38" spans="2:11" x14ac:dyDescent="0.25">
      <c r="B38" s="191">
        <f ca="1"/>
        <v>42423</v>
      </c>
      <c r="C38" s="138">
        <f ca="1"/>
        <v>42781</v>
      </c>
      <c r="D38" s="125">
        <f ca="1"/>
        <v>358</v>
      </c>
      <c r="E38" s="125">
        <f ca="1"/>
        <v>0.97777800000000004</v>
      </c>
      <c r="F38" s="138">
        <f ca="1"/>
        <v>42781</v>
      </c>
      <c r="G38" s="139">
        <f ca="1"/>
        <v>10000000</v>
      </c>
      <c r="H38" s="139">
        <f ca="1"/>
        <v>1000000</v>
      </c>
      <c r="I38" s="126">
        <f ca="1"/>
        <v>1</v>
      </c>
      <c r="J38" s="126">
        <f ca="1"/>
        <v>1</v>
      </c>
      <c r="K38" s="275">
        <f ca="1"/>
        <v>0.1</v>
      </c>
    </row>
    <row r="39" spans="2:11" x14ac:dyDescent="0.25">
      <c r="B39" s="191">
        <f ca="1"/>
        <v>42781</v>
      </c>
      <c r="C39" s="138">
        <f ca="1"/>
        <v>43152</v>
      </c>
      <c r="D39" s="125">
        <f ca="1"/>
        <v>371</v>
      </c>
      <c r="E39" s="125">
        <f ca="1"/>
        <v>1.016667</v>
      </c>
      <c r="F39" s="138">
        <f ca="1"/>
        <v>43152</v>
      </c>
      <c r="G39" s="139">
        <f ca="1"/>
        <v>9000000</v>
      </c>
      <c r="H39" s="139">
        <f ca="1"/>
        <v>1000000</v>
      </c>
      <c r="I39" s="126">
        <f ca="1"/>
        <v>1</v>
      </c>
      <c r="J39" s="126">
        <f ca="1"/>
        <v>1</v>
      </c>
      <c r="K39" s="275">
        <f ca="1"/>
        <v>0.09</v>
      </c>
    </row>
    <row r="40" spans="2:11" x14ac:dyDescent="0.25">
      <c r="B40" s="191">
        <f ca="1"/>
        <v>43152</v>
      </c>
      <c r="C40" s="138">
        <f ca="1"/>
        <v>43516</v>
      </c>
      <c r="D40" s="125">
        <f ca="1"/>
        <v>364</v>
      </c>
      <c r="E40" s="125">
        <f ca="1"/>
        <v>0.99722200000000005</v>
      </c>
      <c r="F40" s="138">
        <f ca="1"/>
        <v>43516</v>
      </c>
      <c r="G40" s="139">
        <f ca="1"/>
        <v>8000000</v>
      </c>
      <c r="H40" s="139">
        <f ca="1"/>
        <v>1000000</v>
      </c>
      <c r="I40" s="126">
        <f ca="1"/>
        <v>1</v>
      </c>
      <c r="J40" s="126">
        <f ca="1"/>
        <v>1</v>
      </c>
      <c r="K40" s="275">
        <f ca="1"/>
        <v>0.08</v>
      </c>
    </row>
    <row r="41" spans="2:11" x14ac:dyDescent="0.25">
      <c r="B41" s="191">
        <f ca="1"/>
        <v>43516</v>
      </c>
      <c r="C41" s="138">
        <f ca="1"/>
        <v>43880</v>
      </c>
      <c r="D41" s="125">
        <f ca="1"/>
        <v>364</v>
      </c>
      <c r="E41" s="125">
        <f ca="1"/>
        <v>0.99722200000000005</v>
      </c>
      <c r="F41" s="138">
        <f ca="1"/>
        <v>43880</v>
      </c>
      <c r="G41" s="139">
        <f ca="1"/>
        <v>7000000</v>
      </c>
      <c r="H41" s="139">
        <f ca="1"/>
        <v>1000000</v>
      </c>
      <c r="I41" s="126">
        <f ca="1"/>
        <v>1</v>
      </c>
      <c r="J41" s="126">
        <f ca="1"/>
        <v>1</v>
      </c>
      <c r="K41" s="275">
        <f ca="1"/>
        <v>7.0000000000000007E-2</v>
      </c>
    </row>
    <row r="42" spans="2:11" x14ac:dyDescent="0.25">
      <c r="B42" s="191">
        <f ca="1"/>
        <v>43880</v>
      </c>
      <c r="C42" s="138">
        <f ca="1"/>
        <v>46076</v>
      </c>
      <c r="D42" s="125">
        <f ca="1"/>
        <v>2196</v>
      </c>
      <c r="E42" s="125">
        <f ca="1"/>
        <v>6.0111109999999996</v>
      </c>
      <c r="F42" s="138">
        <f ca="1"/>
        <v>46076</v>
      </c>
      <c r="G42" s="139">
        <f ca="1"/>
        <v>6000000</v>
      </c>
      <c r="H42" s="139">
        <f ca="1"/>
        <v>6000000</v>
      </c>
      <c r="I42" s="126">
        <f ca="1"/>
        <v>1</v>
      </c>
      <c r="J42" s="126">
        <f ca="1"/>
        <v>1</v>
      </c>
      <c r="K42" s="275">
        <f ca="1"/>
        <v>0.06</v>
      </c>
    </row>
    <row r="43" spans="2:11" x14ac:dyDescent="0.25">
      <c r="B43" s="191" t="str">
        <f ca="1"/>
        <v/>
      </c>
      <c r="C43" s="138" t="str">
        <f ca="1"/>
        <v/>
      </c>
      <c r="D43" s="125" t="str">
        <f ca="1"/>
        <v/>
      </c>
      <c r="E43" s="125" t="str">
        <f ca="1"/>
        <v/>
      </c>
      <c r="F43" s="138" t="str">
        <f ca="1"/>
        <v/>
      </c>
      <c r="G43" s="139" t="str">
        <f ca="1"/>
        <v/>
      </c>
      <c r="H43" s="139" t="str">
        <f ca="1"/>
        <v/>
      </c>
      <c r="I43" s="126" t="str">
        <f ca="1"/>
        <v/>
      </c>
      <c r="J43" s="126" t="str">
        <f ca="1"/>
        <v/>
      </c>
      <c r="K43" s="275" t="str">
        <f ca="1"/>
        <v/>
      </c>
    </row>
    <row r="44" spans="2:11" x14ac:dyDescent="0.25">
      <c r="B44" s="191" t="str">
        <f ca="1"/>
        <v/>
      </c>
      <c r="C44" s="138" t="str">
        <f ca="1"/>
        <v/>
      </c>
      <c r="D44" s="125" t="str">
        <f ca="1"/>
        <v/>
      </c>
      <c r="E44" s="198" t="str">
        <f ca="1"/>
        <v/>
      </c>
      <c r="F44" s="138" t="str">
        <f ca="1"/>
        <v/>
      </c>
      <c r="G44" s="139" t="str">
        <f ca="1"/>
        <v/>
      </c>
      <c r="H44" s="139" t="str">
        <f ca="1"/>
        <v/>
      </c>
      <c r="I44" s="126" t="str">
        <f ca="1"/>
        <v/>
      </c>
      <c r="J44" s="126" t="str">
        <f ca="1"/>
        <v/>
      </c>
      <c r="K44" s="275" t="str">
        <f ca="1"/>
        <v/>
      </c>
    </row>
    <row r="45" spans="2:11" x14ac:dyDescent="0.25">
      <c r="B45" s="191" t="str">
        <f ca="1"/>
        <v/>
      </c>
      <c r="C45" s="138" t="str">
        <f ca="1"/>
        <v/>
      </c>
      <c r="D45" s="125" t="str">
        <f ca="1"/>
        <v/>
      </c>
      <c r="E45" s="198" t="str">
        <f ca="1"/>
        <v/>
      </c>
      <c r="F45" s="138" t="str">
        <f ca="1"/>
        <v/>
      </c>
      <c r="G45" s="139" t="str">
        <f ca="1"/>
        <v/>
      </c>
      <c r="H45" s="139" t="str">
        <f ca="1"/>
        <v/>
      </c>
      <c r="I45" s="126" t="str">
        <f ca="1"/>
        <v/>
      </c>
      <c r="J45" s="126" t="str">
        <f ca="1"/>
        <v/>
      </c>
      <c r="K45" s="275" t="str">
        <f ca="1"/>
        <v/>
      </c>
    </row>
    <row r="46" spans="2:11" x14ac:dyDescent="0.25">
      <c r="B46" s="191" t="str">
        <f ca="1"/>
        <v/>
      </c>
      <c r="C46" s="138" t="str">
        <f ca="1"/>
        <v/>
      </c>
      <c r="D46" s="125" t="str">
        <f ca="1"/>
        <v/>
      </c>
      <c r="E46" s="198" t="str">
        <f ca="1"/>
        <v/>
      </c>
      <c r="F46" s="138" t="str">
        <f ca="1"/>
        <v/>
      </c>
      <c r="G46" s="139" t="str">
        <f ca="1"/>
        <v/>
      </c>
      <c r="H46" s="139" t="str">
        <f ca="1"/>
        <v/>
      </c>
      <c r="I46" s="126" t="str">
        <f ca="1"/>
        <v/>
      </c>
      <c r="J46" s="126" t="str">
        <f ca="1"/>
        <v/>
      </c>
      <c r="K46" s="275" t="str">
        <f ca="1"/>
        <v/>
      </c>
    </row>
    <row r="47" spans="2:11" x14ac:dyDescent="0.25">
      <c r="B47" s="191" t="str">
        <f ca="1"/>
        <v/>
      </c>
      <c r="C47" s="138" t="str">
        <f ca="1"/>
        <v/>
      </c>
      <c r="D47" s="125" t="str">
        <f ca="1"/>
        <v/>
      </c>
      <c r="E47" s="198" t="str">
        <f ca="1"/>
        <v/>
      </c>
      <c r="F47" s="138" t="str">
        <f ca="1"/>
        <v/>
      </c>
      <c r="G47" s="139" t="str">
        <f ca="1"/>
        <v/>
      </c>
      <c r="H47" s="139" t="str">
        <f ca="1"/>
        <v/>
      </c>
      <c r="I47" s="126" t="str">
        <f ca="1"/>
        <v/>
      </c>
      <c r="J47" s="126" t="str">
        <f ca="1"/>
        <v/>
      </c>
      <c r="K47" s="275" t="str">
        <f ca="1"/>
        <v/>
      </c>
    </row>
    <row r="48" spans="2:11" x14ac:dyDescent="0.25">
      <c r="B48" s="191" t="str">
        <f ca="1"/>
        <v/>
      </c>
      <c r="C48" s="138" t="str">
        <f ca="1"/>
        <v/>
      </c>
      <c r="D48" s="125" t="str">
        <f ca="1"/>
        <v/>
      </c>
      <c r="E48" s="198" t="str">
        <f ca="1"/>
        <v/>
      </c>
      <c r="F48" s="138" t="str">
        <f ca="1"/>
        <v/>
      </c>
      <c r="G48" s="139" t="str">
        <f ca="1"/>
        <v/>
      </c>
      <c r="H48" s="139" t="str">
        <f ca="1"/>
        <v/>
      </c>
      <c r="I48" s="126" t="str">
        <f ca="1"/>
        <v/>
      </c>
      <c r="J48" s="126" t="str">
        <f ca="1"/>
        <v/>
      </c>
      <c r="K48" s="275" t="str">
        <f ca="1"/>
        <v/>
      </c>
    </row>
    <row r="49" spans="2:11" x14ac:dyDescent="0.25">
      <c r="B49" s="192" t="str">
        <f ca="1"/>
        <v/>
      </c>
      <c r="C49" s="193" t="str">
        <f ca="1"/>
        <v/>
      </c>
      <c r="D49" s="194" t="str">
        <f ca="1"/>
        <v/>
      </c>
      <c r="E49" s="199" t="str">
        <f ca="1"/>
        <v/>
      </c>
      <c r="F49" s="193" t="str">
        <f ca="1"/>
        <v/>
      </c>
      <c r="G49" s="201" t="str">
        <f ca="1"/>
        <v/>
      </c>
      <c r="H49" s="201" t="str">
        <f ca="1"/>
        <v/>
      </c>
      <c r="I49" s="196" t="str">
        <f ca="1"/>
        <v/>
      </c>
      <c r="J49" s="196" t="str">
        <f ca="1"/>
        <v/>
      </c>
      <c r="K49" s="276" t="str">
        <f ca="1"/>
        <v/>
      </c>
    </row>
  </sheetData>
  <dataValidations count="1">
    <dataValidation type="list" allowBlank="1" showInputMessage="1" showErrorMessage="1" sqref="C12">
      <formula1>"NONE,START,END,START_AND_END"</formula1>
    </dataValidation>
  </dataValidation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/>
  </sheetPr>
  <dimension ref="B2:M49"/>
  <sheetViews>
    <sheetView showGridLines="0" workbookViewId="0"/>
  </sheetViews>
  <sheetFormatPr defaultRowHeight="15" x14ac:dyDescent="0.25"/>
  <cols>
    <col min="2" max="2" width="31" customWidth="1"/>
    <col min="3" max="3" width="24.5703125" customWidth="1"/>
    <col min="4" max="4" width="15.7109375" customWidth="1"/>
    <col min="5" max="6" width="19.5703125" bestFit="1" customWidth="1"/>
    <col min="7" max="10" width="15.7109375" customWidth="1"/>
    <col min="11" max="11" width="10.140625" customWidth="1"/>
    <col min="12" max="12" width="20.7109375" customWidth="1"/>
    <col min="14" max="14" width="20.42578125" customWidth="1"/>
    <col min="15" max="15" width="17.42578125" bestFit="1" customWidth="1"/>
    <col min="16" max="16" width="11.5703125" bestFit="1" customWidth="1"/>
    <col min="17" max="18" width="19.5703125" bestFit="1" customWidth="1"/>
    <col min="19" max="19" width="13.140625" bestFit="1" customWidth="1"/>
    <col min="20" max="20" width="11.7109375" bestFit="1" customWidth="1"/>
    <col min="21" max="21" width="9.85546875" bestFit="1" customWidth="1"/>
    <col min="22" max="22" width="12.42578125" customWidth="1"/>
  </cols>
  <sheetData>
    <row r="2" spans="2:3" x14ac:dyDescent="0.25">
      <c r="B2" s="213" t="s">
        <v>278</v>
      </c>
    </row>
    <row r="4" spans="2:3" x14ac:dyDescent="0.25">
      <c r="B4" s="172" t="s">
        <v>280</v>
      </c>
    </row>
    <row r="5" spans="2:3" x14ac:dyDescent="0.25">
      <c r="B5" s="174" t="s">
        <v>279</v>
      </c>
      <c r="C5" s="218" t="s">
        <v>295</v>
      </c>
    </row>
    <row r="6" spans="2:3" x14ac:dyDescent="0.25">
      <c r="B6" s="140" t="s">
        <v>280</v>
      </c>
      <c r="C6" s="219" t="str">
        <f ca="1">_xll.meLWOScheduleCreateBespoke(C5,B10:C16,B20:J30)</f>
        <v>CUSTOMFLOATSCHEDULE:0</v>
      </c>
    </row>
    <row r="7" spans="2:3" x14ac:dyDescent="0.25">
      <c r="B7" s="179"/>
      <c r="C7" s="179"/>
    </row>
    <row r="8" spans="2:3" x14ac:dyDescent="0.25">
      <c r="B8" s="179"/>
      <c r="C8" s="179"/>
    </row>
    <row r="9" spans="2:3" x14ac:dyDescent="0.25">
      <c r="B9" t="s">
        <v>287</v>
      </c>
    </row>
    <row r="10" spans="2:3" x14ac:dyDescent="0.25">
      <c r="B10" s="134" t="s">
        <v>282</v>
      </c>
      <c r="C10" s="214" t="s">
        <v>254</v>
      </c>
    </row>
    <row r="11" spans="2:3" x14ac:dyDescent="0.25">
      <c r="B11" s="135" t="s">
        <v>300</v>
      </c>
      <c r="C11" s="215" t="s">
        <v>302</v>
      </c>
    </row>
    <row r="12" spans="2:3" x14ac:dyDescent="0.25">
      <c r="B12" s="277" t="s">
        <v>258</v>
      </c>
      <c r="C12" s="278" t="s">
        <v>304</v>
      </c>
    </row>
    <row r="13" spans="2:3" x14ac:dyDescent="0.25">
      <c r="B13" s="135" t="s">
        <v>233</v>
      </c>
      <c r="C13" s="215" t="s">
        <v>20</v>
      </c>
    </row>
    <row r="14" spans="2:3" x14ac:dyDescent="0.25">
      <c r="B14" s="135" t="s">
        <v>234</v>
      </c>
      <c r="C14" s="215" t="s">
        <v>22</v>
      </c>
    </row>
    <row r="15" spans="2:3" x14ac:dyDescent="0.25">
      <c r="B15" s="135" t="s">
        <v>235</v>
      </c>
      <c r="C15" s="215" t="s">
        <v>2</v>
      </c>
    </row>
    <row r="16" spans="2:3" x14ac:dyDescent="0.25">
      <c r="B16" s="136" t="s">
        <v>236</v>
      </c>
      <c r="C16" s="216" t="s">
        <v>248</v>
      </c>
    </row>
    <row r="19" spans="2:12" x14ac:dyDescent="0.25">
      <c r="B19" s="220" t="s">
        <v>286</v>
      </c>
    </row>
    <row r="20" spans="2:12" x14ac:dyDescent="0.25">
      <c r="B20" s="221" t="s">
        <v>232</v>
      </c>
      <c r="C20" s="224" t="s">
        <v>274</v>
      </c>
      <c r="D20" s="224" t="s">
        <v>275</v>
      </c>
      <c r="E20" s="225" t="s">
        <v>276</v>
      </c>
      <c r="F20" s="224" t="s">
        <v>277</v>
      </c>
      <c r="G20" s="238" t="s">
        <v>231</v>
      </c>
      <c r="H20" s="239" t="s">
        <v>193</v>
      </c>
      <c r="I20" s="224" t="s">
        <v>249</v>
      </c>
      <c r="J20" s="224" t="s">
        <v>224</v>
      </c>
      <c r="K20" s="224"/>
      <c r="L20" s="240"/>
    </row>
    <row r="21" spans="2:12" x14ac:dyDescent="0.25">
      <c r="B21" s="222">
        <v>42423</v>
      </c>
      <c r="C21" s="226">
        <v>42423</v>
      </c>
      <c r="D21" s="226">
        <v>42583</v>
      </c>
      <c r="E21" s="229">
        <v>182</v>
      </c>
      <c r="F21" s="228">
        <v>0.50555600000000001</v>
      </c>
      <c r="G21" s="226">
        <v>42605</v>
      </c>
      <c r="H21" s="242">
        <v>10000000</v>
      </c>
      <c r="I21" s="230">
        <v>1</v>
      </c>
      <c r="J21" s="290">
        <v>10</v>
      </c>
      <c r="K21" s="230"/>
      <c r="L21" s="247"/>
    </row>
    <row r="22" spans="2:12" x14ac:dyDescent="0.25">
      <c r="B22" s="222">
        <v>42605</v>
      </c>
      <c r="C22" s="226">
        <v>42605</v>
      </c>
      <c r="D22" s="226">
        <v>42767</v>
      </c>
      <c r="E22" s="229">
        <v>184</v>
      </c>
      <c r="F22" s="228">
        <v>0.51111099999999998</v>
      </c>
      <c r="G22" s="226">
        <v>42789</v>
      </c>
      <c r="H22" s="242">
        <v>9000000</v>
      </c>
      <c r="I22" s="230">
        <v>1</v>
      </c>
      <c r="J22" s="290">
        <f ca="1">J21-1</f>
        <v>9</v>
      </c>
      <c r="K22" s="230"/>
      <c r="L22" s="247"/>
    </row>
    <row r="23" spans="2:12" x14ac:dyDescent="0.25">
      <c r="B23" s="222">
        <v>42789</v>
      </c>
      <c r="C23" s="226">
        <v>42789</v>
      </c>
      <c r="D23" s="226">
        <v>42948</v>
      </c>
      <c r="E23" s="229">
        <v>181</v>
      </c>
      <c r="F23" s="228">
        <v>0.50277799999999995</v>
      </c>
      <c r="G23" s="226">
        <v>42970</v>
      </c>
      <c r="H23" s="242">
        <v>8000000</v>
      </c>
      <c r="I23" s="230">
        <v>1</v>
      </c>
      <c r="J23" s="290">
        <f t="shared" ref="J23:J30" ca="1" si="0">J22-1</f>
        <v>8</v>
      </c>
      <c r="K23" s="230"/>
      <c r="L23" s="247"/>
    </row>
    <row r="24" spans="2:12" x14ac:dyDescent="0.25">
      <c r="B24" s="222">
        <v>42970</v>
      </c>
      <c r="C24" s="226">
        <v>42970</v>
      </c>
      <c r="D24" s="226">
        <v>43132</v>
      </c>
      <c r="E24" s="229">
        <v>184</v>
      </c>
      <c r="F24" s="228">
        <v>0.51111099999999998</v>
      </c>
      <c r="G24" s="226">
        <v>43154</v>
      </c>
      <c r="H24" s="242">
        <v>7000000</v>
      </c>
      <c r="I24" s="230">
        <v>1</v>
      </c>
      <c r="J24" s="290">
        <f t="shared" ca="1" si="0"/>
        <v>7</v>
      </c>
      <c r="K24" s="230"/>
      <c r="L24" s="247"/>
    </row>
    <row r="25" spans="2:12" x14ac:dyDescent="0.25">
      <c r="B25" s="222">
        <v>43154</v>
      </c>
      <c r="C25" s="226">
        <v>43154</v>
      </c>
      <c r="D25" s="226">
        <v>43313</v>
      </c>
      <c r="E25" s="229">
        <v>181</v>
      </c>
      <c r="F25" s="228">
        <v>0.50277799999999995</v>
      </c>
      <c r="G25" s="226">
        <v>43335</v>
      </c>
      <c r="H25" s="242">
        <v>6000000</v>
      </c>
      <c r="I25" s="230">
        <v>1</v>
      </c>
      <c r="J25" s="290">
        <f t="shared" ca="1" si="0"/>
        <v>6</v>
      </c>
      <c r="K25" s="230"/>
      <c r="L25" s="247"/>
    </row>
    <row r="26" spans="2:12" x14ac:dyDescent="0.25">
      <c r="B26" s="222">
        <v>43335</v>
      </c>
      <c r="C26" s="226">
        <v>43335</v>
      </c>
      <c r="D26" s="226">
        <v>43497</v>
      </c>
      <c r="E26" s="229">
        <v>186</v>
      </c>
      <c r="F26" s="228">
        <v>0.51666699999999999</v>
      </c>
      <c r="G26" s="226">
        <v>43521</v>
      </c>
      <c r="H26" s="242">
        <v>5000000</v>
      </c>
      <c r="I26" s="230">
        <v>1</v>
      </c>
      <c r="J26" s="290">
        <f t="shared" ca="1" si="0"/>
        <v>5</v>
      </c>
      <c r="K26" s="230"/>
      <c r="L26" s="247"/>
    </row>
    <row r="27" spans="2:12" x14ac:dyDescent="0.25">
      <c r="B27" s="222">
        <v>43521</v>
      </c>
      <c r="C27" s="226">
        <v>43521</v>
      </c>
      <c r="D27" s="226">
        <v>43678</v>
      </c>
      <c r="E27" s="229">
        <v>179</v>
      </c>
      <c r="F27" s="228">
        <v>0.497222</v>
      </c>
      <c r="G27" s="226">
        <v>43700</v>
      </c>
      <c r="H27" s="242">
        <v>4000000</v>
      </c>
      <c r="I27" s="230">
        <v>1</v>
      </c>
      <c r="J27" s="290">
        <f t="shared" ca="1" si="0"/>
        <v>4</v>
      </c>
      <c r="K27" s="230"/>
      <c r="L27" s="247"/>
    </row>
    <row r="28" spans="2:12" x14ac:dyDescent="0.25">
      <c r="B28" s="222">
        <v>43700</v>
      </c>
      <c r="C28" s="226">
        <v>43700</v>
      </c>
      <c r="D28" s="226">
        <v>43862</v>
      </c>
      <c r="E28" s="229">
        <v>185</v>
      </c>
      <c r="F28" s="228">
        <v>0.51388900000000004</v>
      </c>
      <c r="G28" s="226">
        <v>43885</v>
      </c>
      <c r="H28" s="242">
        <v>3000000</v>
      </c>
      <c r="I28" s="230">
        <v>1</v>
      </c>
      <c r="J28" s="290">
        <f t="shared" ca="1" si="0"/>
        <v>3</v>
      </c>
      <c r="K28" s="230"/>
      <c r="L28" s="247"/>
    </row>
    <row r="29" spans="2:12" x14ac:dyDescent="0.25">
      <c r="B29" s="222">
        <v>43885</v>
      </c>
      <c r="C29" s="226">
        <v>43885</v>
      </c>
      <c r="D29" s="226">
        <v>44044</v>
      </c>
      <c r="E29" s="229">
        <v>182</v>
      </c>
      <c r="F29" s="228">
        <v>0.50555600000000001</v>
      </c>
      <c r="G29" s="226">
        <v>44067</v>
      </c>
      <c r="H29" s="242">
        <v>2000000</v>
      </c>
      <c r="I29" s="230">
        <v>1</v>
      </c>
      <c r="J29" s="290">
        <f t="shared" ca="1" si="0"/>
        <v>2</v>
      </c>
      <c r="K29" s="230"/>
      <c r="L29" s="247"/>
    </row>
    <row r="30" spans="2:12" x14ac:dyDescent="0.25">
      <c r="B30" s="222">
        <v>44067</v>
      </c>
      <c r="C30" s="226">
        <v>44067</v>
      </c>
      <c r="D30" s="241">
        <v>46054</v>
      </c>
      <c r="E30" s="229">
        <v>183</v>
      </c>
      <c r="F30" s="228">
        <v>0.50833300000000003</v>
      </c>
      <c r="G30" s="241">
        <v>46076</v>
      </c>
      <c r="H30" s="242">
        <v>1000000</v>
      </c>
      <c r="I30" s="230">
        <v>1</v>
      </c>
      <c r="J30" s="290">
        <f t="shared" ca="1" si="0"/>
        <v>1</v>
      </c>
      <c r="K30" s="230"/>
      <c r="L30" s="247"/>
    </row>
    <row r="31" spans="2:12" x14ac:dyDescent="0.25">
      <c r="B31" s="222" t="s">
        <v>37</v>
      </c>
      <c r="C31" s="226" t="s">
        <v>37</v>
      </c>
      <c r="D31" s="226" t="s">
        <v>37</v>
      </c>
      <c r="E31" s="229" t="s">
        <v>37</v>
      </c>
      <c r="F31" s="228" t="s">
        <v>37</v>
      </c>
      <c r="G31" s="226" t="s">
        <v>37</v>
      </c>
      <c r="H31" s="229" t="s">
        <v>37</v>
      </c>
      <c r="I31" s="230" t="s">
        <v>37</v>
      </c>
      <c r="J31" s="230" t="s">
        <v>37</v>
      </c>
      <c r="K31" s="230"/>
      <c r="L31" s="247"/>
    </row>
    <row r="32" spans="2:12" x14ac:dyDescent="0.25">
      <c r="B32" s="223" t="s">
        <v>37</v>
      </c>
      <c r="C32" s="232" t="s">
        <v>37</v>
      </c>
      <c r="D32" s="232" t="s">
        <v>37</v>
      </c>
      <c r="E32" s="235" t="s">
        <v>37</v>
      </c>
      <c r="F32" s="234" t="s">
        <v>37</v>
      </c>
      <c r="G32" s="232" t="s">
        <v>37</v>
      </c>
      <c r="H32" s="235" t="s">
        <v>37</v>
      </c>
      <c r="I32" s="236" t="s">
        <v>37</v>
      </c>
      <c r="J32" s="236" t="s">
        <v>37</v>
      </c>
      <c r="K32" s="236"/>
      <c r="L32" s="248"/>
    </row>
    <row r="35" spans="2:13" x14ac:dyDescent="0.25">
      <c r="B35" s="217" t="s">
        <v>281</v>
      </c>
    </row>
    <row r="36" spans="2:13" x14ac:dyDescent="0.25">
      <c r="B36" s="280" t="str">
        <f t="array" aca="1" ref="B36:M49" ca="1">_xll.meUtilityResize(_xll.meLWOScheduleDisplay(C6),50,50)</f>
        <v>FixingDate</v>
      </c>
      <c r="C36" s="281" t="str">
        <f ca="1"/>
        <v>AccrualStart</v>
      </c>
      <c r="D36" s="281" t="str">
        <f ca="1"/>
        <v>AccrualEnd</v>
      </c>
      <c r="E36" s="281" t="str">
        <f ca="1"/>
        <v>AccrualDays</v>
      </c>
      <c r="F36" s="281" t="str">
        <f ca="1"/>
        <v>AccrualYearFractions</v>
      </c>
      <c r="G36" s="281" t="str">
        <f ca="1"/>
        <v>PaymentDate</v>
      </c>
      <c r="H36" s="281" t="str">
        <f ca="1"/>
        <v>Notional</v>
      </c>
      <c r="I36" s="281" t="str">
        <f ca="1"/>
        <v>NotionalExchange</v>
      </c>
      <c r="J36" s="281" t="str">
        <f ca="1"/>
        <v>Leverage</v>
      </c>
      <c r="K36" s="291" t="str">
        <f ca="1"/>
        <v>FwdFXRate</v>
      </c>
      <c r="L36" s="292" t="str">
        <f ca="1"/>
        <v>FloatSpread</v>
      </c>
      <c r="M36" s="279" t="str">
        <f ca="1"/>
        <v/>
      </c>
    </row>
    <row r="37" spans="2:13" x14ac:dyDescent="0.25">
      <c r="B37" s="282" t="str">
        <f ca="1"/>
        <v/>
      </c>
      <c r="C37" s="283" t="str">
        <f ca="1"/>
        <v/>
      </c>
      <c r="D37" s="283" t="str">
        <f ca="1"/>
        <v/>
      </c>
      <c r="E37" s="284" t="str">
        <f ca="1"/>
        <v/>
      </c>
      <c r="F37" s="285" t="str">
        <f ca="1"/>
        <v/>
      </c>
      <c r="G37" s="283">
        <f ca="1"/>
        <v>42423</v>
      </c>
      <c r="H37" s="284" t="str">
        <f ca="1"/>
        <v/>
      </c>
      <c r="I37" s="284">
        <f ca="1"/>
        <v>-10000000</v>
      </c>
      <c r="J37" s="293" t="str">
        <f ca="1"/>
        <v/>
      </c>
      <c r="K37" s="294" t="str">
        <f ca="1"/>
        <v/>
      </c>
      <c r="L37" s="295" t="str">
        <f ca="1"/>
        <v/>
      </c>
      <c r="M37" s="279" t="str">
        <f ca="1"/>
        <v/>
      </c>
    </row>
    <row r="38" spans="2:13" x14ac:dyDescent="0.25">
      <c r="B38" s="282">
        <f ca="1"/>
        <v>42423</v>
      </c>
      <c r="C38" s="283">
        <f ca="1"/>
        <v>42423</v>
      </c>
      <c r="D38" s="283">
        <f ca="1"/>
        <v>42583</v>
      </c>
      <c r="E38" s="284">
        <f ca="1"/>
        <v>160</v>
      </c>
      <c r="F38" s="285">
        <f ca="1"/>
        <v>0.43888899999999997</v>
      </c>
      <c r="G38" s="283">
        <f ca="1"/>
        <v>42605</v>
      </c>
      <c r="H38" s="284">
        <f ca="1"/>
        <v>10000000</v>
      </c>
      <c r="I38" s="284">
        <f ca="1"/>
        <v>1000000</v>
      </c>
      <c r="J38" s="293">
        <f ca="1"/>
        <v>1</v>
      </c>
      <c r="K38" s="294">
        <f ca="1"/>
        <v>1</v>
      </c>
      <c r="L38" s="295">
        <f ca="1"/>
        <v>10</v>
      </c>
      <c r="M38" s="279" t="str">
        <f ca="1"/>
        <v/>
      </c>
    </row>
    <row r="39" spans="2:13" x14ac:dyDescent="0.25">
      <c r="B39" s="282">
        <f ca="1"/>
        <v>42605</v>
      </c>
      <c r="C39" s="283">
        <f ca="1"/>
        <v>42605</v>
      </c>
      <c r="D39" s="283">
        <f ca="1"/>
        <v>42767</v>
      </c>
      <c r="E39" s="284">
        <f ca="1"/>
        <v>162</v>
      </c>
      <c r="F39" s="285">
        <f ca="1"/>
        <v>0.43888899999999997</v>
      </c>
      <c r="G39" s="283">
        <f ca="1"/>
        <v>42789</v>
      </c>
      <c r="H39" s="284">
        <f ca="1"/>
        <v>9000000</v>
      </c>
      <c r="I39" s="284">
        <f ca="1"/>
        <v>1000000</v>
      </c>
      <c r="J39" s="293">
        <f ca="1"/>
        <v>1</v>
      </c>
      <c r="K39" s="294">
        <f ca="1"/>
        <v>1</v>
      </c>
      <c r="L39" s="295">
        <f ca="1"/>
        <v>9</v>
      </c>
      <c r="M39" s="279" t="str">
        <f ca="1"/>
        <v/>
      </c>
    </row>
    <row r="40" spans="2:13" x14ac:dyDescent="0.25">
      <c r="B40" s="282">
        <f ca="1"/>
        <v>42789</v>
      </c>
      <c r="C40" s="283">
        <f ca="1"/>
        <v>42789</v>
      </c>
      <c r="D40" s="283">
        <f ca="1"/>
        <v>42948</v>
      </c>
      <c r="E40" s="284">
        <f ca="1"/>
        <v>159</v>
      </c>
      <c r="F40" s="285">
        <f ca="1"/>
        <v>0.43888899999999997</v>
      </c>
      <c r="G40" s="283">
        <f ca="1"/>
        <v>42970</v>
      </c>
      <c r="H40" s="284">
        <f ca="1"/>
        <v>8000000</v>
      </c>
      <c r="I40" s="284">
        <f ca="1"/>
        <v>1000000</v>
      </c>
      <c r="J40" s="293">
        <f ca="1"/>
        <v>1</v>
      </c>
      <c r="K40" s="294">
        <f ca="1"/>
        <v>1</v>
      </c>
      <c r="L40" s="295">
        <f ca="1"/>
        <v>8</v>
      </c>
      <c r="M40" s="279" t="str">
        <f ca="1"/>
        <v/>
      </c>
    </row>
    <row r="41" spans="2:13" x14ac:dyDescent="0.25">
      <c r="B41" s="282">
        <f ca="1"/>
        <v>42970</v>
      </c>
      <c r="C41" s="283">
        <f ca="1"/>
        <v>42970</v>
      </c>
      <c r="D41" s="283">
        <f ca="1"/>
        <v>43132</v>
      </c>
      <c r="E41" s="284">
        <f ca="1"/>
        <v>162</v>
      </c>
      <c r="F41" s="285">
        <f ca="1"/>
        <v>0.43888899999999997</v>
      </c>
      <c r="G41" s="283">
        <f ca="1"/>
        <v>43154</v>
      </c>
      <c r="H41" s="284">
        <f ca="1"/>
        <v>7000000</v>
      </c>
      <c r="I41" s="284">
        <f ca="1"/>
        <v>1000000</v>
      </c>
      <c r="J41" s="293">
        <f ca="1"/>
        <v>1</v>
      </c>
      <c r="K41" s="294">
        <f ca="1"/>
        <v>1</v>
      </c>
      <c r="L41" s="295">
        <f ca="1"/>
        <v>7</v>
      </c>
      <c r="M41" s="279" t="str">
        <f ca="1"/>
        <v/>
      </c>
    </row>
    <row r="42" spans="2:13" x14ac:dyDescent="0.25">
      <c r="B42" s="282">
        <f ca="1"/>
        <v>43154</v>
      </c>
      <c r="C42" s="283">
        <f ca="1"/>
        <v>43154</v>
      </c>
      <c r="D42" s="283">
        <f ca="1"/>
        <v>43313</v>
      </c>
      <c r="E42" s="284">
        <f ca="1"/>
        <v>159</v>
      </c>
      <c r="F42" s="285">
        <f ca="1"/>
        <v>0.43888899999999997</v>
      </c>
      <c r="G42" s="283">
        <f ca="1"/>
        <v>43335</v>
      </c>
      <c r="H42" s="284">
        <f ca="1"/>
        <v>6000000</v>
      </c>
      <c r="I42" s="284">
        <f ca="1"/>
        <v>1000000</v>
      </c>
      <c r="J42" s="293">
        <f ca="1"/>
        <v>1</v>
      </c>
      <c r="K42" s="294">
        <f ca="1"/>
        <v>1</v>
      </c>
      <c r="L42" s="295">
        <f ca="1"/>
        <v>6</v>
      </c>
      <c r="M42" s="279" t="str">
        <f ca="1"/>
        <v/>
      </c>
    </row>
    <row r="43" spans="2:13" x14ac:dyDescent="0.25">
      <c r="B43" s="282">
        <f ca="1"/>
        <v>43335</v>
      </c>
      <c r="C43" s="283">
        <f ca="1"/>
        <v>43335</v>
      </c>
      <c r="D43" s="283">
        <f ca="1"/>
        <v>43497</v>
      </c>
      <c r="E43" s="284">
        <f ca="1"/>
        <v>162</v>
      </c>
      <c r="F43" s="285">
        <f ca="1"/>
        <v>0.43888899999999997</v>
      </c>
      <c r="G43" s="283">
        <f ca="1"/>
        <v>43521</v>
      </c>
      <c r="H43" s="284">
        <f ca="1"/>
        <v>5000000</v>
      </c>
      <c r="I43" s="284">
        <f ca="1"/>
        <v>1000000</v>
      </c>
      <c r="J43" s="293">
        <f ca="1"/>
        <v>1</v>
      </c>
      <c r="K43" s="294">
        <f ca="1"/>
        <v>1</v>
      </c>
      <c r="L43" s="295">
        <f ca="1"/>
        <v>5</v>
      </c>
      <c r="M43" s="279" t="str">
        <f ca="1"/>
        <v/>
      </c>
    </row>
    <row r="44" spans="2:13" x14ac:dyDescent="0.25">
      <c r="B44" s="282">
        <f ca="1"/>
        <v>43521</v>
      </c>
      <c r="C44" s="283">
        <f ca="1"/>
        <v>43521</v>
      </c>
      <c r="D44" s="283">
        <f ca="1"/>
        <v>43678</v>
      </c>
      <c r="E44" s="284">
        <f ca="1"/>
        <v>157</v>
      </c>
      <c r="F44" s="285">
        <f ca="1"/>
        <v>0.43333300000000002</v>
      </c>
      <c r="G44" s="283">
        <f ca="1"/>
        <v>43700</v>
      </c>
      <c r="H44" s="284">
        <f ca="1"/>
        <v>4000000</v>
      </c>
      <c r="I44" s="284">
        <f ca="1"/>
        <v>1000000</v>
      </c>
      <c r="J44" s="293">
        <f ca="1"/>
        <v>1</v>
      </c>
      <c r="K44" s="294">
        <f ca="1"/>
        <v>1</v>
      </c>
      <c r="L44" s="295">
        <f ca="1"/>
        <v>4</v>
      </c>
      <c r="M44" s="279" t="str">
        <f ca="1"/>
        <v/>
      </c>
    </row>
    <row r="45" spans="2:13" x14ac:dyDescent="0.25">
      <c r="B45" s="282">
        <f ca="1"/>
        <v>43700</v>
      </c>
      <c r="C45" s="283">
        <f ca="1"/>
        <v>43700</v>
      </c>
      <c r="D45" s="283">
        <f ca="1"/>
        <v>43862</v>
      </c>
      <c r="E45" s="284">
        <f ca="1"/>
        <v>162</v>
      </c>
      <c r="F45" s="285">
        <f ca="1"/>
        <v>0.43888899999999997</v>
      </c>
      <c r="G45" s="283">
        <f ca="1"/>
        <v>43885</v>
      </c>
      <c r="H45" s="284">
        <f ca="1"/>
        <v>3000000</v>
      </c>
      <c r="I45" s="284">
        <f ca="1"/>
        <v>1000000</v>
      </c>
      <c r="J45" s="293">
        <f ca="1"/>
        <v>1</v>
      </c>
      <c r="K45" s="294">
        <f ca="1"/>
        <v>1</v>
      </c>
      <c r="L45" s="295">
        <f ca="1"/>
        <v>3</v>
      </c>
      <c r="M45" s="279" t="str">
        <f ca="1"/>
        <v/>
      </c>
    </row>
    <row r="46" spans="2:13" x14ac:dyDescent="0.25">
      <c r="B46" s="282">
        <f ca="1"/>
        <v>43885</v>
      </c>
      <c r="C46" s="283">
        <f ca="1"/>
        <v>43885</v>
      </c>
      <c r="D46" s="283">
        <f ca="1"/>
        <v>44044</v>
      </c>
      <c r="E46" s="284">
        <f ca="1"/>
        <v>159</v>
      </c>
      <c r="F46" s="285">
        <f ca="1"/>
        <v>0.43611100000000003</v>
      </c>
      <c r="G46" s="283">
        <f ca="1"/>
        <v>44067</v>
      </c>
      <c r="H46" s="284">
        <f ca="1"/>
        <v>2000000</v>
      </c>
      <c r="I46" s="284">
        <f ca="1"/>
        <v>1000000</v>
      </c>
      <c r="J46" s="293">
        <f ca="1"/>
        <v>1</v>
      </c>
      <c r="K46" s="294">
        <f ca="1"/>
        <v>1</v>
      </c>
      <c r="L46" s="295">
        <f ca="1"/>
        <v>2</v>
      </c>
      <c r="M46" s="279" t="str">
        <f ca="1"/>
        <v/>
      </c>
    </row>
    <row r="47" spans="2:13" x14ac:dyDescent="0.25">
      <c r="B47" s="282">
        <f ca="1"/>
        <v>44067</v>
      </c>
      <c r="C47" s="283">
        <f ca="1"/>
        <v>44067</v>
      </c>
      <c r="D47" s="283">
        <f ca="1"/>
        <v>46054</v>
      </c>
      <c r="E47" s="284">
        <f ca="1"/>
        <v>1987</v>
      </c>
      <c r="F47" s="285">
        <f ca="1"/>
        <v>5.4361110000000004</v>
      </c>
      <c r="G47" s="283">
        <f ca="1"/>
        <v>46076</v>
      </c>
      <c r="H47" s="284">
        <f ca="1"/>
        <v>1000000</v>
      </c>
      <c r="I47" s="284">
        <f ca="1"/>
        <v>1000000</v>
      </c>
      <c r="J47" s="293">
        <f ca="1"/>
        <v>1</v>
      </c>
      <c r="K47" s="294">
        <f ca="1"/>
        <v>1</v>
      </c>
      <c r="L47" s="295">
        <f ca="1"/>
        <v>1</v>
      </c>
      <c r="M47" s="279" t="str">
        <f ca="1"/>
        <v/>
      </c>
    </row>
    <row r="48" spans="2:13" x14ac:dyDescent="0.25">
      <c r="B48" s="282" t="str">
        <f ca="1"/>
        <v/>
      </c>
      <c r="C48" s="283" t="str">
        <f ca="1"/>
        <v/>
      </c>
      <c r="D48" s="283" t="str">
        <f ca="1"/>
        <v/>
      </c>
      <c r="E48" s="284" t="str">
        <f ca="1"/>
        <v/>
      </c>
      <c r="F48" s="285" t="str">
        <f ca="1"/>
        <v/>
      </c>
      <c r="G48" s="283" t="str">
        <f ca="1"/>
        <v/>
      </c>
      <c r="H48" s="284" t="str">
        <f ca="1"/>
        <v/>
      </c>
      <c r="I48" s="284" t="str">
        <f ca="1"/>
        <v/>
      </c>
      <c r="J48" s="293" t="str">
        <f ca="1"/>
        <v/>
      </c>
      <c r="K48" s="294" t="str">
        <f ca="1"/>
        <v/>
      </c>
      <c r="L48" s="295" t="str">
        <f ca="1"/>
        <v/>
      </c>
      <c r="M48" s="279" t="str">
        <f ca="1"/>
        <v/>
      </c>
    </row>
    <row r="49" spans="2:13" x14ac:dyDescent="0.25">
      <c r="B49" s="286" t="str">
        <f ca="1"/>
        <v/>
      </c>
      <c r="C49" s="287" t="str">
        <f ca="1"/>
        <v/>
      </c>
      <c r="D49" s="287" t="str">
        <f ca="1"/>
        <v/>
      </c>
      <c r="E49" s="288" t="str">
        <f ca="1"/>
        <v/>
      </c>
      <c r="F49" s="289" t="str">
        <f ca="1"/>
        <v/>
      </c>
      <c r="G49" s="287" t="str">
        <f ca="1"/>
        <v/>
      </c>
      <c r="H49" s="288" t="str">
        <f ca="1"/>
        <v/>
      </c>
      <c r="I49" s="288" t="str">
        <f ca="1"/>
        <v/>
      </c>
      <c r="J49" s="296" t="str">
        <f ca="1"/>
        <v/>
      </c>
      <c r="K49" s="297" t="str">
        <f ca="1"/>
        <v/>
      </c>
      <c r="L49" s="298" t="str">
        <f ca="1"/>
        <v/>
      </c>
      <c r="M49" s="279" t="str">
        <f ca="1"/>
        <v/>
      </c>
    </row>
  </sheetData>
  <dataValidations count="1">
    <dataValidation type="list" allowBlank="1" showInputMessage="1" showErrorMessage="1" sqref="C12">
      <formula1>"NONE,START,END,START_AND_END"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7"/>
  </sheetPr>
  <dimension ref="B2:S40"/>
  <sheetViews>
    <sheetView showGridLines="0" tabSelected="1" zoomScaleNormal="100" workbookViewId="0"/>
  </sheetViews>
  <sheetFormatPr defaultRowHeight="15" customHeight="1" x14ac:dyDescent="0.25"/>
  <cols>
    <col min="2" max="2" width="20.7109375" customWidth="1"/>
    <col min="3" max="3" width="30.7109375" customWidth="1"/>
    <col min="5" max="5" width="36.42578125" customWidth="1"/>
    <col min="6" max="6" width="17.85546875" bestFit="1" customWidth="1"/>
    <col min="7" max="7" width="15.7109375" customWidth="1"/>
    <col min="8" max="9" width="19.7109375" bestFit="1" customWidth="1"/>
    <col min="10" max="10" width="15.7109375" customWidth="1"/>
    <col min="11" max="12" width="17.28515625" bestFit="1" customWidth="1"/>
    <col min="13" max="17" width="15.7109375" customWidth="1"/>
    <col min="18" max="18" width="14.28515625" bestFit="1" customWidth="1"/>
    <col min="19" max="19" width="13.5703125" bestFit="1" customWidth="1"/>
  </cols>
  <sheetData>
    <row r="2" spans="2:19" s="173" customFormat="1" ht="21" x14ac:dyDescent="0.35">
      <c r="B2" s="137" t="s">
        <v>288</v>
      </c>
    </row>
    <row r="4" spans="2:19" ht="15" customHeight="1" x14ac:dyDescent="0.25">
      <c r="B4" t="s">
        <v>262</v>
      </c>
      <c r="E4" t="s">
        <v>265</v>
      </c>
      <c r="F4" s="250"/>
    </row>
    <row r="5" spans="2:19" ht="15" customHeight="1" x14ac:dyDescent="0.3">
      <c r="B5" s="165" t="s">
        <v>255</v>
      </c>
      <c r="C5" s="166" t="s">
        <v>289</v>
      </c>
      <c r="E5" s="174" t="s">
        <v>196</v>
      </c>
      <c r="F5" s="251">
        <f ca="1">_xll.meLWOSwapPV(C6,C7)</f>
        <v>4867480.8484715708</v>
      </c>
      <c r="G5" s="137" t="s">
        <v>270</v>
      </c>
      <c r="M5" s="116"/>
    </row>
    <row r="6" spans="2:19" ht="15" customHeight="1" x14ac:dyDescent="0.3">
      <c r="B6" s="167" t="s">
        <v>256</v>
      </c>
      <c r="C6" s="176" t="str">
        <f ca="1">_xll.meLWOVariableNotionalSwapCreate(C5,C11,C27,B12:C23,B28:C39)</f>
        <v>VARIABLENOTIONALSWAP:0</v>
      </c>
      <c r="D6" t="s">
        <v>4</v>
      </c>
      <c r="E6" s="175" t="s">
        <v>266</v>
      </c>
      <c r="F6" s="252">
        <f ca="1">_xll.meLWOSwapParRate(C6,C7)</f>
        <v>9.5714044623899008E-4</v>
      </c>
      <c r="G6" s="137" t="s">
        <v>271</v>
      </c>
    </row>
    <row r="7" spans="2:19" ht="15" customHeight="1" x14ac:dyDescent="0.3">
      <c r="B7" s="209" t="s">
        <v>88</v>
      </c>
      <c r="C7" s="210" t="s">
        <v>80</v>
      </c>
      <c r="E7" s="211" t="s">
        <v>197</v>
      </c>
      <c r="F7" s="212">
        <f ca="1">_xll.meLWOSwapPV01(C6,C7)</f>
        <v>6869.5523954838609</v>
      </c>
      <c r="G7" s="137" t="s">
        <v>272</v>
      </c>
      <c r="O7" s="116"/>
    </row>
    <row r="8" spans="2:19" ht="15" customHeight="1" x14ac:dyDescent="0.25">
      <c r="O8" s="116"/>
    </row>
    <row r="9" spans="2:19" ht="15" customHeight="1" x14ac:dyDescent="0.25">
      <c r="F9" s="244"/>
      <c r="O9" s="116"/>
    </row>
    <row r="10" spans="2:19" s="179" customFormat="1" ht="15" customHeight="1" x14ac:dyDescent="0.3">
      <c r="B10" s="178" t="s">
        <v>269</v>
      </c>
      <c r="E10" s="137" t="s">
        <v>290</v>
      </c>
    </row>
    <row r="11" spans="2:19" s="179" customFormat="1" ht="15" customHeight="1" x14ac:dyDescent="0.25">
      <c r="B11" s="180" t="s">
        <v>267</v>
      </c>
      <c r="C11" s="177" t="str">
        <f ca="1">CustomFixedSchedule</f>
        <v>CUSTOMFIXEDSCHEDULE:15</v>
      </c>
      <c r="D11" s="179" t="s">
        <v>4</v>
      </c>
      <c r="E11" s="280" t="str">
        <f t="array" aca="1" ref="E11:S23" ca="1">_xll.meUtilityResize(_xll.meLWOSwapDisplayCashflows(C6,C7,C12),50,50)</f>
        <v>LEG1:FIXED Leg Schedule &amp; Cashflows</v>
      </c>
      <c r="F11" s="281" t="str">
        <f ca="1"/>
        <v/>
      </c>
      <c r="G11" s="281" t="str">
        <f ca="1"/>
        <v/>
      </c>
      <c r="H11" s="299" t="str">
        <f ca="1"/>
        <v/>
      </c>
      <c r="I11" s="281" t="str">
        <f ca="1"/>
        <v/>
      </c>
      <c r="J11" s="300" t="str">
        <f ca="1"/>
        <v/>
      </c>
      <c r="K11" s="301" t="str">
        <f ca="1"/>
        <v/>
      </c>
      <c r="L11" s="281" t="str">
        <f ca="1"/>
        <v/>
      </c>
      <c r="M11" s="281" t="str">
        <f ca="1"/>
        <v/>
      </c>
      <c r="N11" s="281" t="str">
        <f ca="1"/>
        <v/>
      </c>
      <c r="O11" s="281" t="str">
        <f ca="1"/>
        <v/>
      </c>
      <c r="P11" s="281" t="str">
        <f ca="1"/>
        <v/>
      </c>
      <c r="Q11" s="281" t="str">
        <f ca="1"/>
        <v/>
      </c>
      <c r="R11" s="306" t="str">
        <f ca="1"/>
        <v/>
      </c>
      <c r="S11" s="307" t="str">
        <f ca="1"/>
        <v/>
      </c>
    </row>
    <row r="12" spans="2:19" s="179" customFormat="1" ht="15" customHeight="1" x14ac:dyDescent="0.25">
      <c r="B12" s="181" t="s">
        <v>283</v>
      </c>
      <c r="C12" s="168" t="s">
        <v>284</v>
      </c>
      <c r="D12" s="179" t="s">
        <v>4</v>
      </c>
      <c r="E12" s="282" t="str">
        <f ca="1"/>
        <v>AccrualStart</v>
      </c>
      <c r="F12" s="283" t="str">
        <f ca="1"/>
        <v>AccrualEnd</v>
      </c>
      <c r="G12" s="302" t="str">
        <f ca="1"/>
        <v>AccrualDays</v>
      </c>
      <c r="H12" s="285" t="str">
        <f ca="1"/>
        <v>AccrualYearFractions</v>
      </c>
      <c r="I12" s="283" t="str">
        <f ca="1"/>
        <v>PaymentDate</v>
      </c>
      <c r="J12" s="284" t="str">
        <f ca="1"/>
        <v>Notional</v>
      </c>
      <c r="K12" s="293" t="str">
        <f ca="1"/>
        <v>NotionalExchange</v>
      </c>
      <c r="L12" s="302" t="str">
        <f ca="1"/>
        <v>Leverage</v>
      </c>
      <c r="M12" s="302" t="str">
        <f ca="1"/>
        <v>FwdFXRate</v>
      </c>
      <c r="N12" s="302" t="str">
        <f ca="1"/>
        <v>FixedRate</v>
      </c>
      <c r="O12" s="302" t="str">
        <f ca="1"/>
        <v>Coupon</v>
      </c>
      <c r="P12" s="302" t="str">
        <f ca="1"/>
        <v>DiscountFactor</v>
      </c>
      <c r="Q12" s="302" t="str">
        <f ca="1"/>
        <v>CouponPV</v>
      </c>
      <c r="R12" s="308" t="str">
        <f ca="1"/>
        <v/>
      </c>
      <c r="S12" s="309" t="str">
        <f ca="1"/>
        <v/>
      </c>
    </row>
    <row r="13" spans="2:19" s="179" customFormat="1" ht="15" customHeight="1" x14ac:dyDescent="0.25">
      <c r="B13" s="182" t="s">
        <v>205</v>
      </c>
      <c r="C13" s="149" t="s">
        <v>188</v>
      </c>
      <c r="D13" s="179" t="s">
        <v>4</v>
      </c>
      <c r="E13" s="282" t="str">
        <f ca="1"/>
        <v/>
      </c>
      <c r="F13" s="283" t="str">
        <f ca="1"/>
        <v/>
      </c>
      <c r="G13" s="302" t="str">
        <f ca="1"/>
        <v/>
      </c>
      <c r="H13" s="285" t="str">
        <f ca="1"/>
        <v/>
      </c>
      <c r="I13" s="283">
        <f ca="1"/>
        <v>42423</v>
      </c>
      <c r="J13" s="284" t="str">
        <f ca="1"/>
        <v/>
      </c>
      <c r="K13" s="284">
        <f ca="1"/>
        <v>-10000000</v>
      </c>
      <c r="L13" s="293" t="str">
        <f ca="1"/>
        <v/>
      </c>
      <c r="M13" s="284" t="str">
        <f ca="1"/>
        <v/>
      </c>
      <c r="N13" s="314" t="str">
        <f ca="1"/>
        <v/>
      </c>
      <c r="O13" s="284">
        <f ca="1"/>
        <v>-10000000</v>
      </c>
      <c r="P13" s="303">
        <f ca="1"/>
        <v>1.000027</v>
      </c>
      <c r="Q13" s="284">
        <f ca="1"/>
        <v>-10000270.005922999</v>
      </c>
      <c r="R13" s="308" t="str">
        <f ca="1"/>
        <v/>
      </c>
      <c r="S13" s="309" t="str">
        <f ca="1"/>
        <v/>
      </c>
    </row>
    <row r="14" spans="2:19" s="179" customFormat="1" ht="15" customHeight="1" x14ac:dyDescent="0.25">
      <c r="B14" s="182" t="s">
        <v>223</v>
      </c>
      <c r="C14" s="149" t="s">
        <v>301</v>
      </c>
      <c r="D14" s="179" t="s">
        <v>4</v>
      </c>
      <c r="E14" s="282">
        <f ca="1"/>
        <v>42423</v>
      </c>
      <c r="F14" s="283">
        <f ca="1"/>
        <v>42781</v>
      </c>
      <c r="G14" s="302">
        <f ca="1"/>
        <v>358</v>
      </c>
      <c r="H14" s="285">
        <f ca="1"/>
        <v>0.97777800000000004</v>
      </c>
      <c r="I14" s="283">
        <f ca="1"/>
        <v>42781</v>
      </c>
      <c r="J14" s="284">
        <f ca="1"/>
        <v>10000000</v>
      </c>
      <c r="K14" s="284">
        <f ca="1"/>
        <v>1000000</v>
      </c>
      <c r="L14" s="293">
        <f ca="1"/>
        <v>1</v>
      </c>
      <c r="M14" s="284">
        <f ca="1"/>
        <v>1</v>
      </c>
      <c r="N14" s="314">
        <f ca="1"/>
        <v>0.1</v>
      </c>
      <c r="O14" s="284">
        <f ca="1"/>
        <v>1977777.7777780001</v>
      </c>
      <c r="P14" s="303">
        <f ca="1"/>
        <v>1.0037</v>
      </c>
      <c r="Q14" s="284">
        <f ca="1"/>
        <v>1985095.7550039999</v>
      </c>
      <c r="R14" s="308" t="str">
        <f ca="1"/>
        <v/>
      </c>
      <c r="S14" s="309" t="str">
        <f ca="1"/>
        <v/>
      </c>
    </row>
    <row r="15" spans="2:19" s="179" customFormat="1" ht="15" customHeight="1" x14ac:dyDescent="0.25">
      <c r="B15" s="182" t="s">
        <v>16</v>
      </c>
      <c r="C15" s="169" t="s">
        <v>17</v>
      </c>
      <c r="D15" s="179" t="s">
        <v>4</v>
      </c>
      <c r="E15" s="282">
        <f ca="1"/>
        <v>42781</v>
      </c>
      <c r="F15" s="283">
        <f ca="1"/>
        <v>43152</v>
      </c>
      <c r="G15" s="302">
        <f ca="1"/>
        <v>371</v>
      </c>
      <c r="H15" s="285">
        <f ca="1"/>
        <v>1.016667</v>
      </c>
      <c r="I15" s="283">
        <f ca="1"/>
        <v>43152</v>
      </c>
      <c r="J15" s="284">
        <f ca="1"/>
        <v>9000000</v>
      </c>
      <c r="K15" s="284">
        <f ca="1"/>
        <v>1000000</v>
      </c>
      <c r="L15" s="293">
        <f ca="1"/>
        <v>1</v>
      </c>
      <c r="M15" s="284">
        <f ca="1"/>
        <v>1</v>
      </c>
      <c r="N15" s="314">
        <f ca="1"/>
        <v>0.09</v>
      </c>
      <c r="O15" s="284">
        <f ca="1"/>
        <v>1823500</v>
      </c>
      <c r="P15" s="303">
        <f ca="1"/>
        <v>1.0077069999999999</v>
      </c>
      <c r="Q15" s="284">
        <f ca="1"/>
        <v>1837553.5990279999</v>
      </c>
      <c r="R15" s="308" t="str">
        <f ca="1"/>
        <v/>
      </c>
      <c r="S15" s="309" t="str">
        <f ca="1"/>
        <v/>
      </c>
    </row>
    <row r="16" spans="2:19" s="179" customFormat="1" ht="15" customHeight="1" x14ac:dyDescent="0.25">
      <c r="B16" s="182"/>
      <c r="C16" s="169"/>
      <c r="D16" s="179" t="s">
        <v>4</v>
      </c>
      <c r="E16" s="282">
        <f ca="1"/>
        <v>43152</v>
      </c>
      <c r="F16" s="283">
        <f ca="1"/>
        <v>43516</v>
      </c>
      <c r="G16" s="302">
        <f ca="1"/>
        <v>364</v>
      </c>
      <c r="H16" s="285">
        <f ca="1"/>
        <v>0.99722200000000005</v>
      </c>
      <c r="I16" s="283">
        <f ca="1"/>
        <v>43516</v>
      </c>
      <c r="J16" s="284">
        <f ca="1"/>
        <v>8000000</v>
      </c>
      <c r="K16" s="284">
        <f ca="1"/>
        <v>1000000</v>
      </c>
      <c r="L16" s="293">
        <f ca="1"/>
        <v>1</v>
      </c>
      <c r="M16" s="284">
        <f ca="1"/>
        <v>1</v>
      </c>
      <c r="N16" s="314">
        <f ca="1"/>
        <v>0.08</v>
      </c>
      <c r="O16" s="284">
        <f ca="1"/>
        <v>1638222.2222219999</v>
      </c>
      <c r="P16" s="303">
        <f ca="1"/>
        <v>1.0104690000000001</v>
      </c>
      <c r="Q16" s="284">
        <f ca="1"/>
        <v>1655373.015133</v>
      </c>
      <c r="R16" s="308" t="str">
        <f ca="1"/>
        <v/>
      </c>
      <c r="S16" s="309" t="str">
        <f ca="1"/>
        <v/>
      </c>
    </row>
    <row r="17" spans="2:19" s="179" customFormat="1" ht="15" customHeight="1" x14ac:dyDescent="0.25">
      <c r="B17" s="182"/>
      <c r="C17" s="169"/>
      <c r="D17" s="179" t="s">
        <v>4</v>
      </c>
      <c r="E17" s="282">
        <f ca="1"/>
        <v>43516</v>
      </c>
      <c r="F17" s="283">
        <f ca="1"/>
        <v>43880</v>
      </c>
      <c r="G17" s="302">
        <f ca="1"/>
        <v>364</v>
      </c>
      <c r="H17" s="285">
        <f ca="1"/>
        <v>0.99722200000000005</v>
      </c>
      <c r="I17" s="283">
        <f ca="1"/>
        <v>43880</v>
      </c>
      <c r="J17" s="284">
        <f ca="1"/>
        <v>7000000</v>
      </c>
      <c r="K17" s="284">
        <f ca="1"/>
        <v>1000000</v>
      </c>
      <c r="L17" s="293">
        <f ca="1"/>
        <v>1</v>
      </c>
      <c r="M17" s="284">
        <f ca="1"/>
        <v>1</v>
      </c>
      <c r="N17" s="314">
        <f ca="1"/>
        <v>7.0000000000000007E-2</v>
      </c>
      <c r="O17" s="284">
        <f ca="1"/>
        <v>1488638.8888890001</v>
      </c>
      <c r="P17" s="303">
        <f ca="1"/>
        <v>1.0110859999999999</v>
      </c>
      <c r="Q17" s="284">
        <f ca="1"/>
        <v>1505141.850323</v>
      </c>
      <c r="R17" s="308" t="str">
        <f ca="1"/>
        <v/>
      </c>
      <c r="S17" s="309" t="str">
        <f ca="1"/>
        <v/>
      </c>
    </row>
    <row r="18" spans="2:19" s="179" customFormat="1" ht="15" customHeight="1" x14ac:dyDescent="0.25">
      <c r="B18" s="185"/>
      <c r="C18" s="186"/>
      <c r="D18" s="179" t="s">
        <v>4</v>
      </c>
      <c r="E18" s="282">
        <f ca="1"/>
        <v>43880</v>
      </c>
      <c r="F18" s="283">
        <f ca="1"/>
        <v>46076</v>
      </c>
      <c r="G18" s="302">
        <f ca="1"/>
        <v>2196</v>
      </c>
      <c r="H18" s="285">
        <f ca="1"/>
        <v>6.0111109999999996</v>
      </c>
      <c r="I18" s="283">
        <f ca="1"/>
        <v>46076</v>
      </c>
      <c r="J18" s="284">
        <f ca="1"/>
        <v>6000000</v>
      </c>
      <c r="K18" s="284">
        <f ca="1"/>
        <v>6000000</v>
      </c>
      <c r="L18" s="293">
        <f ca="1"/>
        <v>1</v>
      </c>
      <c r="M18" s="284">
        <f ca="1"/>
        <v>1</v>
      </c>
      <c r="N18" s="314">
        <f ca="1"/>
        <v>0.06</v>
      </c>
      <c r="O18" s="284">
        <f ca="1"/>
        <v>8164000</v>
      </c>
      <c r="P18" s="303">
        <f ca="1"/>
        <v>0.95772100000000004</v>
      </c>
      <c r="Q18" s="284">
        <f ca="1"/>
        <v>7818835.3704530001</v>
      </c>
      <c r="R18" s="308" t="str">
        <f ca="1"/>
        <v/>
      </c>
      <c r="S18" s="309" t="str">
        <f ca="1"/>
        <v/>
      </c>
    </row>
    <row r="19" spans="2:19" s="179" customFormat="1" ht="15" customHeight="1" x14ac:dyDescent="0.25">
      <c r="B19" s="185"/>
      <c r="C19" s="186"/>
      <c r="D19" s="179" t="s">
        <v>4</v>
      </c>
      <c r="E19" s="282" t="str">
        <f ca="1"/>
        <v/>
      </c>
      <c r="F19" s="283" t="str">
        <f ca="1"/>
        <v/>
      </c>
      <c r="G19" s="302" t="str">
        <f ca="1"/>
        <v/>
      </c>
      <c r="H19" s="285" t="str">
        <f ca="1"/>
        <v/>
      </c>
      <c r="I19" s="283" t="str">
        <f ca="1"/>
        <v/>
      </c>
      <c r="J19" s="284" t="str">
        <f ca="1"/>
        <v/>
      </c>
      <c r="K19" s="284" t="str">
        <f ca="1"/>
        <v/>
      </c>
      <c r="L19" s="293" t="str">
        <f ca="1"/>
        <v/>
      </c>
      <c r="M19" s="284" t="str">
        <f ca="1"/>
        <v/>
      </c>
      <c r="N19" s="314" t="str">
        <f ca="1"/>
        <v/>
      </c>
      <c r="O19" s="284" t="str">
        <f ca="1"/>
        <v/>
      </c>
      <c r="P19" s="303" t="str">
        <f ca="1"/>
        <v/>
      </c>
      <c r="Q19" s="284" t="str">
        <f ca="1"/>
        <v/>
      </c>
      <c r="R19" s="308" t="str">
        <f ca="1"/>
        <v/>
      </c>
      <c r="S19" s="309" t="str">
        <f ca="1"/>
        <v/>
      </c>
    </row>
    <row r="20" spans="2:19" s="179" customFormat="1" ht="15" customHeight="1" x14ac:dyDescent="0.25">
      <c r="B20" s="185"/>
      <c r="C20" s="186"/>
      <c r="D20" s="179" t="s">
        <v>4</v>
      </c>
      <c r="E20" s="282" t="str">
        <f ca="1"/>
        <v/>
      </c>
      <c r="F20" s="283" t="str">
        <f ca="1"/>
        <v/>
      </c>
      <c r="G20" s="302" t="str">
        <f ca="1"/>
        <v/>
      </c>
      <c r="H20" s="285" t="str">
        <f ca="1"/>
        <v/>
      </c>
      <c r="I20" s="283" t="str">
        <f ca="1"/>
        <v/>
      </c>
      <c r="J20" s="284" t="str">
        <f ca="1"/>
        <v/>
      </c>
      <c r="K20" s="284" t="str">
        <f ca="1"/>
        <v/>
      </c>
      <c r="L20" s="293" t="str">
        <f ca="1"/>
        <v/>
      </c>
      <c r="M20" s="284" t="str">
        <f ca="1"/>
        <v/>
      </c>
      <c r="N20" s="314" t="str">
        <f ca="1"/>
        <v/>
      </c>
      <c r="O20" s="284" t="str">
        <f ca="1"/>
        <v/>
      </c>
      <c r="P20" s="303" t="str">
        <f ca="1"/>
        <v/>
      </c>
      <c r="Q20" s="284" t="str">
        <f ca="1"/>
        <v/>
      </c>
      <c r="R20" s="308" t="str">
        <f ca="1"/>
        <v/>
      </c>
      <c r="S20" s="309" t="str">
        <f ca="1"/>
        <v/>
      </c>
    </row>
    <row r="21" spans="2:19" s="179" customFormat="1" ht="15" customHeight="1" x14ac:dyDescent="0.25">
      <c r="B21" s="185"/>
      <c r="C21" s="186"/>
      <c r="D21" s="179" t="s">
        <v>4</v>
      </c>
      <c r="E21" s="282" t="str">
        <f ca="1"/>
        <v/>
      </c>
      <c r="F21" s="283" t="str">
        <f ca="1"/>
        <v/>
      </c>
      <c r="G21" s="302" t="str">
        <f ca="1"/>
        <v/>
      </c>
      <c r="H21" s="285" t="str">
        <f ca="1"/>
        <v/>
      </c>
      <c r="I21" s="283" t="str">
        <f ca="1"/>
        <v/>
      </c>
      <c r="J21" s="284" t="str">
        <f ca="1"/>
        <v/>
      </c>
      <c r="K21" s="284" t="str">
        <f ca="1"/>
        <v/>
      </c>
      <c r="L21" s="293" t="str">
        <f ca="1"/>
        <v/>
      </c>
      <c r="M21" s="284" t="str">
        <f ca="1"/>
        <v/>
      </c>
      <c r="N21" s="314" t="str">
        <f ca="1"/>
        <v/>
      </c>
      <c r="O21" s="284" t="str">
        <f ca="1"/>
        <v/>
      </c>
      <c r="P21" s="303" t="str">
        <f ca="1"/>
        <v/>
      </c>
      <c r="Q21" s="284" t="str">
        <f ca="1"/>
        <v/>
      </c>
      <c r="R21" s="308" t="str">
        <f ca="1"/>
        <v/>
      </c>
      <c r="S21" s="309" t="str">
        <f ca="1"/>
        <v/>
      </c>
    </row>
    <row r="22" spans="2:19" s="179" customFormat="1" ht="15" customHeight="1" x14ac:dyDescent="0.25">
      <c r="B22" s="185"/>
      <c r="C22" s="186"/>
      <c r="D22" s="179" t="s">
        <v>4</v>
      </c>
      <c r="E22" s="282" t="str">
        <f ca="1"/>
        <v/>
      </c>
      <c r="F22" s="283" t="str">
        <f ca="1"/>
        <v/>
      </c>
      <c r="G22" s="302" t="str">
        <f ca="1"/>
        <v/>
      </c>
      <c r="H22" s="285" t="str">
        <f ca="1"/>
        <v/>
      </c>
      <c r="I22" s="283" t="str">
        <f ca="1"/>
        <v/>
      </c>
      <c r="J22" s="284" t="str">
        <f ca="1"/>
        <v/>
      </c>
      <c r="K22" s="284" t="str">
        <f ca="1"/>
        <v/>
      </c>
      <c r="L22" s="293" t="str">
        <f ca="1"/>
        <v/>
      </c>
      <c r="M22" s="284" t="str">
        <f ca="1"/>
        <v/>
      </c>
      <c r="N22" s="314" t="str">
        <f ca="1"/>
        <v/>
      </c>
      <c r="O22" s="284" t="str">
        <f ca="1"/>
        <v/>
      </c>
      <c r="P22" s="303" t="str">
        <f ca="1"/>
        <v/>
      </c>
      <c r="Q22" s="284" t="str">
        <f ca="1"/>
        <v/>
      </c>
      <c r="R22" s="308" t="str">
        <f ca="1"/>
        <v/>
      </c>
      <c r="S22" s="309" t="str">
        <f ca="1"/>
        <v/>
      </c>
    </row>
    <row r="23" spans="2:19" s="179" customFormat="1" ht="15" customHeight="1" x14ac:dyDescent="0.25">
      <c r="B23" s="187"/>
      <c r="C23" s="188"/>
      <c r="D23" s="179" t="s">
        <v>4</v>
      </c>
      <c r="E23" s="286" t="str">
        <f ca="1"/>
        <v/>
      </c>
      <c r="F23" s="287" t="str">
        <f ca="1"/>
        <v/>
      </c>
      <c r="G23" s="304" t="str">
        <f ca="1"/>
        <v/>
      </c>
      <c r="H23" s="289" t="str">
        <f ca="1"/>
        <v/>
      </c>
      <c r="I23" s="287" t="str">
        <f ca="1"/>
        <v/>
      </c>
      <c r="J23" s="288" t="str">
        <f ca="1"/>
        <v/>
      </c>
      <c r="K23" s="288" t="str">
        <f ca="1"/>
        <v/>
      </c>
      <c r="L23" s="296" t="str">
        <f ca="1"/>
        <v/>
      </c>
      <c r="M23" s="288" t="str">
        <f ca="1"/>
        <v/>
      </c>
      <c r="N23" s="315" t="str">
        <f ca="1"/>
        <v/>
      </c>
      <c r="O23" s="288" t="str">
        <f ca="1"/>
        <v/>
      </c>
      <c r="P23" s="305" t="str">
        <f ca="1"/>
        <v/>
      </c>
      <c r="Q23" s="288" t="str">
        <f ca="1"/>
        <v/>
      </c>
      <c r="R23" s="310" t="str">
        <f ca="1"/>
        <v/>
      </c>
      <c r="S23" s="311" t="str">
        <f ca="1"/>
        <v/>
      </c>
    </row>
    <row r="24" spans="2:19" s="179" customFormat="1" ht="15" customHeight="1" x14ac:dyDescent="0.25">
      <c r="D24" s="179" t="s">
        <v>4</v>
      </c>
      <c r="E24" s="179" t="s">
        <v>4</v>
      </c>
      <c r="F24" s="179" t="s">
        <v>4</v>
      </c>
      <c r="G24" s="179" t="s">
        <v>4</v>
      </c>
      <c r="H24" s="179" t="s">
        <v>4</v>
      </c>
      <c r="I24" s="179" t="s">
        <v>4</v>
      </c>
      <c r="J24" s="179" t="s">
        <v>4</v>
      </c>
      <c r="K24" s="179" t="s">
        <v>4</v>
      </c>
      <c r="L24" s="179" t="s">
        <v>4</v>
      </c>
      <c r="M24" s="179" t="s">
        <v>4</v>
      </c>
      <c r="N24" s="179" t="s">
        <v>4</v>
      </c>
      <c r="O24" s="179" t="s">
        <v>4</v>
      </c>
      <c r="P24" s="179" t="s">
        <v>4</v>
      </c>
      <c r="Q24" s="179" t="s">
        <v>4</v>
      </c>
      <c r="R24" s="179" t="s">
        <v>4</v>
      </c>
    </row>
    <row r="25" spans="2:19" s="179" customFormat="1" ht="15" customHeight="1" x14ac:dyDescent="0.25">
      <c r="D25" s="179" t="s">
        <v>4</v>
      </c>
      <c r="E25" s="179" t="s">
        <v>4</v>
      </c>
      <c r="F25" s="179" t="s">
        <v>4</v>
      </c>
      <c r="G25" s="179" t="s">
        <v>4</v>
      </c>
      <c r="H25" s="179" t="s">
        <v>4</v>
      </c>
      <c r="I25" s="179" t="s">
        <v>4</v>
      </c>
      <c r="J25" s="179" t="s">
        <v>4</v>
      </c>
      <c r="K25" s="179" t="s">
        <v>4</v>
      </c>
      <c r="L25" s="179" t="s">
        <v>4</v>
      </c>
      <c r="M25" s="179" t="s">
        <v>4</v>
      </c>
      <c r="N25" s="179" t="s">
        <v>4</v>
      </c>
      <c r="O25" s="179" t="s">
        <v>4</v>
      </c>
      <c r="P25" s="179" t="s">
        <v>4</v>
      </c>
      <c r="Q25" s="179" t="s">
        <v>4</v>
      </c>
      <c r="R25" s="179" t="s">
        <v>4</v>
      </c>
    </row>
    <row r="26" spans="2:19" s="179" customFormat="1" ht="15" customHeight="1" x14ac:dyDescent="0.3">
      <c r="B26" s="183" t="s">
        <v>268</v>
      </c>
      <c r="D26" s="179" t="s">
        <v>4</v>
      </c>
      <c r="E26" s="137" t="s">
        <v>290</v>
      </c>
      <c r="R26" s="179" t="s">
        <v>4</v>
      </c>
    </row>
    <row r="27" spans="2:19" s="179" customFormat="1" ht="15" customHeight="1" x14ac:dyDescent="0.25">
      <c r="B27" s="180" t="s">
        <v>267</v>
      </c>
      <c r="C27" s="177" t="str">
        <f ca="1">CustomFloatSchedule</f>
        <v>CUSTOMFLOATSCHEDULE:0</v>
      </c>
      <c r="D27" s="179" t="s">
        <v>4</v>
      </c>
      <c r="E27" s="280" t="str">
        <f t="array" aca="1" ref="E27:S39" ca="1">_xll.meUtilityResize(_xll.meLWOSwapDisplayCashflows(C6,C7,C28),50,50)</f>
        <v>LEG2:FLOAT Leg Schedule &amp; Cashflows</v>
      </c>
      <c r="F27" s="281" t="str">
        <f ca="1"/>
        <v/>
      </c>
      <c r="G27" s="281" t="str">
        <f ca="1"/>
        <v/>
      </c>
      <c r="H27" s="299" t="str">
        <f ca="1"/>
        <v/>
      </c>
      <c r="I27" s="281" t="str">
        <f ca="1"/>
        <v/>
      </c>
      <c r="J27" s="300" t="str">
        <f ca="1"/>
        <v/>
      </c>
      <c r="K27" s="301" t="str">
        <f ca="1"/>
        <v/>
      </c>
      <c r="L27" s="281" t="str">
        <f ca="1"/>
        <v/>
      </c>
      <c r="M27" s="281" t="str">
        <f ca="1"/>
        <v/>
      </c>
      <c r="N27" s="281" t="str">
        <f ca="1"/>
        <v/>
      </c>
      <c r="O27" s="281" t="str">
        <f ca="1"/>
        <v/>
      </c>
      <c r="P27" s="281" t="str">
        <f ca="1"/>
        <v/>
      </c>
      <c r="Q27" s="281" t="str">
        <f ca="1"/>
        <v/>
      </c>
      <c r="R27" s="306" t="str">
        <f ca="1"/>
        <v/>
      </c>
      <c r="S27" s="307" t="str">
        <f ca="1"/>
        <v/>
      </c>
    </row>
    <row r="28" spans="2:19" s="179" customFormat="1" ht="15" customHeight="1" x14ac:dyDescent="0.25">
      <c r="B28" s="181" t="s">
        <v>283</v>
      </c>
      <c r="C28" s="168" t="s">
        <v>285</v>
      </c>
      <c r="D28" s="179" t="s">
        <v>4</v>
      </c>
      <c r="E28" s="282" t="str">
        <f ca="1"/>
        <v>FixingDate</v>
      </c>
      <c r="F28" s="283" t="str">
        <f ca="1"/>
        <v>AccrualStart</v>
      </c>
      <c r="G28" s="283" t="str">
        <f ca="1"/>
        <v>AccrualEnd</v>
      </c>
      <c r="H28" s="285" t="str">
        <f ca="1"/>
        <v>AccrualDays</v>
      </c>
      <c r="I28" s="283" t="str">
        <f ca="1"/>
        <v>AccrualYearFractions</v>
      </c>
      <c r="J28" s="284" t="str">
        <f ca="1"/>
        <v>PaymentDate</v>
      </c>
      <c r="K28" s="293" t="str">
        <f ca="1"/>
        <v>Notional</v>
      </c>
      <c r="L28" s="302" t="str">
        <f ca="1"/>
        <v>NotionalExchange</v>
      </c>
      <c r="M28" s="302" t="str">
        <f ca="1"/>
        <v>Leverage</v>
      </c>
      <c r="N28" s="302" t="str">
        <f ca="1"/>
        <v>FwdFXRate</v>
      </c>
      <c r="O28" s="302" t="str">
        <f ca="1"/>
        <v>FloatSpread</v>
      </c>
      <c r="P28" s="302" t="str">
        <f ca="1"/>
        <v>FloatRate</v>
      </c>
      <c r="Q28" s="302" t="str">
        <f ca="1"/>
        <v>Coupon</v>
      </c>
      <c r="R28" s="316" t="str">
        <f ca="1"/>
        <v>DiscountFactor</v>
      </c>
      <c r="S28" s="317" t="str">
        <f ca="1"/>
        <v>CouponPV</v>
      </c>
    </row>
    <row r="29" spans="2:19" s="179" customFormat="1" ht="15" customHeight="1" x14ac:dyDescent="0.25">
      <c r="B29" s="182" t="s">
        <v>205</v>
      </c>
      <c r="C29" s="149" t="s">
        <v>188</v>
      </c>
      <c r="D29" s="179" t="s">
        <v>4</v>
      </c>
      <c r="E29" s="282" t="str">
        <f ca="1"/>
        <v/>
      </c>
      <c r="F29" s="283" t="str">
        <f ca="1"/>
        <v/>
      </c>
      <c r="G29" s="283" t="str">
        <f ca="1"/>
        <v/>
      </c>
      <c r="H29" s="284" t="str">
        <f ca="1"/>
        <v/>
      </c>
      <c r="I29" s="285" t="str">
        <f ca="1"/>
        <v/>
      </c>
      <c r="J29" s="283">
        <f ca="1"/>
        <v>42423</v>
      </c>
      <c r="K29" s="284" t="str">
        <f ca="1"/>
        <v/>
      </c>
      <c r="L29" s="284">
        <f ca="1"/>
        <v>-10000000</v>
      </c>
      <c r="M29" s="293" t="str">
        <f ca="1"/>
        <v/>
      </c>
      <c r="N29" s="285" t="str">
        <f ca="1"/>
        <v/>
      </c>
      <c r="O29" s="293" t="str">
        <f ca="1"/>
        <v/>
      </c>
      <c r="P29" s="312" t="str">
        <f ca="1"/>
        <v/>
      </c>
      <c r="Q29" s="284">
        <f ca="1"/>
        <v>-10000000</v>
      </c>
      <c r="R29" s="316">
        <f ca="1"/>
        <v>1.000027</v>
      </c>
      <c r="S29" s="319">
        <f ca="1"/>
        <v>-10000270.005922999</v>
      </c>
    </row>
    <row r="30" spans="2:19" s="179" customFormat="1" ht="15" customHeight="1" x14ac:dyDescent="0.25">
      <c r="B30" s="184" t="s">
        <v>223</v>
      </c>
      <c r="C30" s="149" t="s">
        <v>301</v>
      </c>
      <c r="D30" s="179" t="s">
        <v>4</v>
      </c>
      <c r="E30" s="282">
        <f ca="1"/>
        <v>42423</v>
      </c>
      <c r="F30" s="283">
        <f ca="1"/>
        <v>42423</v>
      </c>
      <c r="G30" s="283">
        <f ca="1"/>
        <v>42583</v>
      </c>
      <c r="H30" s="284">
        <f ca="1"/>
        <v>160</v>
      </c>
      <c r="I30" s="285">
        <f ca="1"/>
        <v>0.43888899999999997</v>
      </c>
      <c r="J30" s="283">
        <f ca="1"/>
        <v>42605</v>
      </c>
      <c r="K30" s="284">
        <f ca="1"/>
        <v>10000000</v>
      </c>
      <c r="L30" s="284">
        <f ca="1"/>
        <v>1000000</v>
      </c>
      <c r="M30" s="293">
        <f ca="1"/>
        <v>1</v>
      </c>
      <c r="N30" s="285">
        <f ca="1"/>
        <v>1</v>
      </c>
      <c r="O30" s="293">
        <f ca="1"/>
        <v>10</v>
      </c>
      <c r="P30" s="312">
        <f ca="1"/>
        <v>-1.31E-3</v>
      </c>
      <c r="Q30" s="284">
        <f ca="1"/>
        <v>998639.44444400002</v>
      </c>
      <c r="R30" s="316">
        <f ca="1"/>
        <v>1.0017780000000001</v>
      </c>
      <c r="S30" s="319">
        <f ca="1"/>
        <v>1000415.009509</v>
      </c>
    </row>
    <row r="31" spans="2:19" s="179" customFormat="1" ht="15" customHeight="1" x14ac:dyDescent="0.25">
      <c r="B31" s="184" t="s">
        <v>16</v>
      </c>
      <c r="C31" s="170" t="s">
        <v>17</v>
      </c>
      <c r="D31" s="179" t="s">
        <v>4</v>
      </c>
      <c r="E31" s="282">
        <f ca="1"/>
        <v>42605</v>
      </c>
      <c r="F31" s="283">
        <f ca="1"/>
        <v>42605</v>
      </c>
      <c r="G31" s="283">
        <f ca="1"/>
        <v>42767</v>
      </c>
      <c r="H31" s="284">
        <f ca="1"/>
        <v>162</v>
      </c>
      <c r="I31" s="285">
        <f ca="1"/>
        <v>0.43888899999999997</v>
      </c>
      <c r="J31" s="283">
        <f ca="1"/>
        <v>42789</v>
      </c>
      <c r="K31" s="284">
        <f ca="1"/>
        <v>9000000</v>
      </c>
      <c r="L31" s="284">
        <f ca="1"/>
        <v>1000000</v>
      </c>
      <c r="M31" s="293">
        <f ca="1"/>
        <v>1</v>
      </c>
      <c r="N31" s="285">
        <f ca="1"/>
        <v>1</v>
      </c>
      <c r="O31" s="293">
        <f ca="1"/>
        <v>9</v>
      </c>
      <c r="P31" s="312">
        <f ca="1"/>
        <v>-1.4399999999999999E-3</v>
      </c>
      <c r="Q31" s="284">
        <f ca="1"/>
        <v>997867</v>
      </c>
      <c r="R31" s="316">
        <f ca="1"/>
        <v>1.0037929999999999</v>
      </c>
      <c r="S31" s="319">
        <f ca="1"/>
        <v>1001651.63908</v>
      </c>
    </row>
    <row r="32" spans="2:19" s="179" customFormat="1" ht="15" customHeight="1" x14ac:dyDescent="0.25">
      <c r="B32" s="184" t="s">
        <v>206</v>
      </c>
      <c r="C32" s="170"/>
      <c r="D32" s="179" t="s">
        <v>4</v>
      </c>
      <c r="E32" s="282">
        <f ca="1"/>
        <v>42789</v>
      </c>
      <c r="F32" s="283">
        <f ca="1"/>
        <v>42789</v>
      </c>
      <c r="G32" s="283">
        <f ca="1"/>
        <v>42948</v>
      </c>
      <c r="H32" s="284">
        <f ca="1"/>
        <v>159</v>
      </c>
      <c r="I32" s="285">
        <f ca="1"/>
        <v>0.43888899999999997</v>
      </c>
      <c r="J32" s="283">
        <f ca="1"/>
        <v>42970</v>
      </c>
      <c r="K32" s="284">
        <f ca="1"/>
        <v>8000000</v>
      </c>
      <c r="L32" s="284">
        <f ca="1"/>
        <v>1000000</v>
      </c>
      <c r="M32" s="293">
        <f ca="1"/>
        <v>1</v>
      </c>
      <c r="N32" s="285">
        <f ca="1"/>
        <v>1</v>
      </c>
      <c r="O32" s="293">
        <f ca="1"/>
        <v>8</v>
      </c>
      <c r="P32" s="312">
        <f ca="1"/>
        <v>-1.41E-3</v>
      </c>
      <c r="Q32" s="284">
        <f ca="1"/>
        <v>997858.22222200001</v>
      </c>
      <c r="R32" s="316">
        <f ca="1"/>
        <v>1.005811</v>
      </c>
      <c r="S32" s="319">
        <f ca="1"/>
        <v>1003657.208388</v>
      </c>
    </row>
    <row r="33" spans="2:19" s="179" customFormat="1" ht="15" customHeight="1" x14ac:dyDescent="0.25">
      <c r="B33" s="184" t="s">
        <v>220</v>
      </c>
      <c r="C33" s="170"/>
      <c r="D33" s="179" t="s">
        <v>4</v>
      </c>
      <c r="E33" s="282">
        <f ca="1"/>
        <v>42970</v>
      </c>
      <c r="F33" s="283">
        <f ca="1"/>
        <v>42970</v>
      </c>
      <c r="G33" s="283">
        <f ca="1"/>
        <v>43132</v>
      </c>
      <c r="H33" s="284">
        <f ca="1"/>
        <v>162</v>
      </c>
      <c r="I33" s="285">
        <f ca="1"/>
        <v>0.43888899999999997</v>
      </c>
      <c r="J33" s="283">
        <f ca="1"/>
        <v>43154</v>
      </c>
      <c r="K33" s="284">
        <f ca="1"/>
        <v>7000000</v>
      </c>
      <c r="L33" s="284">
        <f ca="1"/>
        <v>1000000</v>
      </c>
      <c r="M33" s="293">
        <f ca="1"/>
        <v>1</v>
      </c>
      <c r="N33" s="285">
        <f ca="1"/>
        <v>1</v>
      </c>
      <c r="O33" s="293">
        <f ca="1"/>
        <v>7</v>
      </c>
      <c r="P33" s="312">
        <f ca="1"/>
        <v>-1.0869999999999999E-3</v>
      </c>
      <c r="Q33" s="284">
        <f ca="1"/>
        <v>998810.05562</v>
      </c>
      <c r="R33" s="316">
        <f ca="1"/>
        <v>1.0077259999999999</v>
      </c>
      <c r="S33" s="319">
        <f ca="1"/>
        <v>1006527.126302</v>
      </c>
    </row>
    <row r="34" spans="2:19" s="179" customFormat="1" ht="15" customHeight="1" x14ac:dyDescent="0.25">
      <c r="B34" s="184"/>
      <c r="C34" s="171"/>
      <c r="D34" s="179" t="s">
        <v>4</v>
      </c>
      <c r="E34" s="282">
        <f ca="1"/>
        <v>43154</v>
      </c>
      <c r="F34" s="283">
        <f ca="1"/>
        <v>43154</v>
      </c>
      <c r="G34" s="283">
        <f ca="1"/>
        <v>43313</v>
      </c>
      <c r="H34" s="284">
        <f ca="1"/>
        <v>159</v>
      </c>
      <c r="I34" s="285">
        <f ca="1"/>
        <v>0.43888899999999997</v>
      </c>
      <c r="J34" s="283">
        <f ca="1"/>
        <v>43335</v>
      </c>
      <c r="K34" s="284">
        <f ca="1"/>
        <v>6000000</v>
      </c>
      <c r="L34" s="284">
        <f ca="1"/>
        <v>1000000</v>
      </c>
      <c r="M34" s="293">
        <f ca="1"/>
        <v>1</v>
      </c>
      <c r="N34" s="285">
        <f ca="1"/>
        <v>1</v>
      </c>
      <c r="O34" s="293">
        <f ca="1"/>
        <v>6</v>
      </c>
      <c r="P34" s="312">
        <f ca="1"/>
        <v>-4.3199999999999998E-4</v>
      </c>
      <c r="Q34" s="284">
        <f ca="1"/>
        <v>1000443.004597</v>
      </c>
      <c r="R34" s="316">
        <f ca="1"/>
        <v>1.009288</v>
      </c>
      <c r="S34" s="319">
        <f ca="1"/>
        <v>1009735.606518</v>
      </c>
    </row>
    <row r="35" spans="2:19" s="179" customFormat="1" ht="15" customHeight="1" x14ac:dyDescent="0.25">
      <c r="B35" s="184"/>
      <c r="C35" s="171"/>
      <c r="D35" s="179" t="s">
        <v>4</v>
      </c>
      <c r="E35" s="282">
        <f ca="1"/>
        <v>43335</v>
      </c>
      <c r="F35" s="283">
        <f ca="1"/>
        <v>43335</v>
      </c>
      <c r="G35" s="283">
        <f ca="1"/>
        <v>43497</v>
      </c>
      <c r="H35" s="284">
        <f ca="1"/>
        <v>162</v>
      </c>
      <c r="I35" s="285">
        <f ca="1"/>
        <v>0.43888899999999997</v>
      </c>
      <c r="J35" s="283">
        <f ca="1"/>
        <v>43521</v>
      </c>
      <c r="K35" s="284">
        <f ca="1"/>
        <v>5000000</v>
      </c>
      <c r="L35" s="284">
        <f ca="1"/>
        <v>1000000</v>
      </c>
      <c r="M35" s="293">
        <f ca="1"/>
        <v>1</v>
      </c>
      <c r="N35" s="285">
        <f ca="1"/>
        <v>1</v>
      </c>
      <c r="O35" s="293">
        <f ca="1"/>
        <v>5</v>
      </c>
      <c r="P35" s="312">
        <f ca="1"/>
        <v>4.9899999999999999E-4</v>
      </c>
      <c r="Q35" s="284">
        <f ca="1"/>
        <v>1002191.671428</v>
      </c>
      <c r="R35" s="316">
        <f ca="1"/>
        <v>1.0104949999999999</v>
      </c>
      <c r="S35" s="319">
        <f ca="1"/>
        <v>1012709.836962</v>
      </c>
    </row>
    <row r="36" spans="2:19" s="179" customFormat="1" ht="15" customHeight="1" x14ac:dyDescent="0.25">
      <c r="B36" s="185"/>
      <c r="C36" s="186"/>
      <c r="D36" s="179" t="s">
        <v>4</v>
      </c>
      <c r="E36" s="282">
        <f ca="1"/>
        <v>43521</v>
      </c>
      <c r="F36" s="283">
        <f ca="1"/>
        <v>43521</v>
      </c>
      <c r="G36" s="283">
        <f ca="1"/>
        <v>43678</v>
      </c>
      <c r="H36" s="284">
        <f ca="1"/>
        <v>157</v>
      </c>
      <c r="I36" s="285">
        <f ca="1"/>
        <v>0.43333300000000002</v>
      </c>
      <c r="J36" s="283">
        <f ca="1"/>
        <v>43700</v>
      </c>
      <c r="K36" s="284">
        <f ca="1"/>
        <v>4000000</v>
      </c>
      <c r="L36" s="284">
        <f ca="1"/>
        <v>1000000</v>
      </c>
      <c r="M36" s="293">
        <f ca="1"/>
        <v>1</v>
      </c>
      <c r="N36" s="285">
        <f ca="1"/>
        <v>1</v>
      </c>
      <c r="O36" s="293">
        <f ca="1"/>
        <v>4</v>
      </c>
      <c r="P36" s="312">
        <f ca="1"/>
        <v>1.6459999999999999E-3</v>
      </c>
      <c r="Q36" s="284">
        <f ca="1"/>
        <v>1003545.797171</v>
      </c>
      <c r="R36" s="316">
        <f ca="1"/>
        <v>1.0110950000000001</v>
      </c>
      <c r="S36" s="319">
        <f ca="1"/>
        <v>1014680.542386</v>
      </c>
    </row>
    <row r="37" spans="2:19" s="179" customFormat="1" ht="15" customHeight="1" x14ac:dyDescent="0.25">
      <c r="B37" s="189"/>
      <c r="C37" s="186"/>
      <c r="D37" s="179" t="s">
        <v>4</v>
      </c>
      <c r="E37" s="282">
        <f ca="1"/>
        <v>43700</v>
      </c>
      <c r="F37" s="283">
        <f ca="1"/>
        <v>43700</v>
      </c>
      <c r="G37" s="283">
        <f ca="1"/>
        <v>43862</v>
      </c>
      <c r="H37" s="284">
        <f ca="1"/>
        <v>162</v>
      </c>
      <c r="I37" s="285">
        <f ca="1"/>
        <v>0.43888899999999997</v>
      </c>
      <c r="J37" s="283">
        <f ca="1"/>
        <v>43885</v>
      </c>
      <c r="K37" s="284">
        <f ca="1"/>
        <v>3000000</v>
      </c>
      <c r="L37" s="284">
        <f ca="1"/>
        <v>1000000</v>
      </c>
      <c r="M37" s="293">
        <f ca="1"/>
        <v>1</v>
      </c>
      <c r="N37" s="285">
        <f ca="1"/>
        <v>1</v>
      </c>
      <c r="O37" s="293">
        <f ca="1"/>
        <v>3</v>
      </c>
      <c r="P37" s="312">
        <f ca="1"/>
        <v>2.856E-3</v>
      </c>
      <c r="Q37" s="284">
        <f ca="1"/>
        <v>1004155.163835</v>
      </c>
      <c r="R37" s="316">
        <f ca="1"/>
        <v>1.011077</v>
      </c>
      <c r="S37" s="319">
        <f ca="1"/>
        <v>1015278.274096</v>
      </c>
    </row>
    <row r="38" spans="2:19" s="179" customFormat="1" ht="15" customHeight="1" x14ac:dyDescent="0.25">
      <c r="B38" s="189"/>
      <c r="C38" s="186"/>
      <c r="D38" s="179" t="s">
        <v>4</v>
      </c>
      <c r="E38" s="282">
        <f ca="1"/>
        <v>43885</v>
      </c>
      <c r="F38" s="283">
        <f ca="1"/>
        <v>43885</v>
      </c>
      <c r="G38" s="283">
        <f ca="1"/>
        <v>44044</v>
      </c>
      <c r="H38" s="284">
        <f ca="1"/>
        <v>159</v>
      </c>
      <c r="I38" s="285">
        <f ca="1"/>
        <v>0.43611100000000003</v>
      </c>
      <c r="J38" s="283">
        <f ca="1"/>
        <v>44067</v>
      </c>
      <c r="K38" s="284">
        <f ca="1"/>
        <v>2000000</v>
      </c>
      <c r="L38" s="284">
        <f ca="1"/>
        <v>1000000</v>
      </c>
      <c r="M38" s="293">
        <f ca="1"/>
        <v>1</v>
      </c>
      <c r="N38" s="285">
        <f ca="1"/>
        <v>1</v>
      </c>
      <c r="O38" s="293">
        <f ca="1"/>
        <v>2</v>
      </c>
      <c r="P38" s="312">
        <f ca="1"/>
        <v>4.254E-3</v>
      </c>
      <c r="Q38" s="284">
        <f ca="1"/>
        <v>1003885.057328</v>
      </c>
      <c r="R38" s="316">
        <f ca="1"/>
        <v>1.0103819999999999</v>
      </c>
      <c r="S38" s="319">
        <f ca="1"/>
        <v>1014307.4313619999</v>
      </c>
    </row>
    <row r="39" spans="2:19" s="179" customFormat="1" ht="15" customHeight="1" x14ac:dyDescent="0.25">
      <c r="B39" s="190"/>
      <c r="C39" s="188"/>
      <c r="D39" s="179" t="s">
        <v>4</v>
      </c>
      <c r="E39" s="286">
        <f ca="1"/>
        <v>44067</v>
      </c>
      <c r="F39" s="287">
        <f ca="1"/>
        <v>44067</v>
      </c>
      <c r="G39" s="287">
        <f ca="1"/>
        <v>46054</v>
      </c>
      <c r="H39" s="288">
        <f ca="1"/>
        <v>1987</v>
      </c>
      <c r="I39" s="289">
        <f ca="1"/>
        <v>5.4361110000000004</v>
      </c>
      <c r="J39" s="287">
        <f ca="1"/>
        <v>46076</v>
      </c>
      <c r="K39" s="288">
        <f ca="1"/>
        <v>1000000</v>
      </c>
      <c r="L39" s="288">
        <f ca="1"/>
        <v>1000000</v>
      </c>
      <c r="M39" s="296">
        <f ca="1"/>
        <v>1</v>
      </c>
      <c r="N39" s="289">
        <f ca="1"/>
        <v>1</v>
      </c>
      <c r="O39" s="296">
        <f ca="1"/>
        <v>1</v>
      </c>
      <c r="P39" s="313">
        <f ca="1"/>
        <v>5.535E-3</v>
      </c>
      <c r="Q39" s="288">
        <f ca="1"/>
        <v>1030632.567906</v>
      </c>
      <c r="R39" s="318">
        <f ca="1"/>
        <v>0.95772100000000004</v>
      </c>
      <c r="S39" s="320">
        <f ca="1"/>
        <v>987058.59577200003</v>
      </c>
    </row>
    <row r="40" spans="2:19" ht="15" customHeight="1" x14ac:dyDescent="0.25">
      <c r="E40" s="179"/>
      <c r="F40" s="179"/>
      <c r="G40" s="179"/>
      <c r="H40" s="179"/>
      <c r="I40" s="179"/>
      <c r="J40" s="179"/>
      <c r="K40" s="179"/>
      <c r="L40" s="179"/>
      <c r="M40" s="179"/>
      <c r="N40" s="179"/>
    </row>
  </sheetData>
  <dataValidations count="2">
    <dataValidation type="list" allowBlank="1" showInputMessage="1" showErrorMessage="1" sqref="C13 C29">
      <formula1>"NONE,START,END,START_END"</formula1>
    </dataValidation>
    <dataValidation type="list" allowBlank="1" showInputMessage="1" showErrorMessage="1" sqref="C14 C30">
      <formula1>"PAY,RECEIVE"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39</vt:i4>
      </vt:variant>
    </vt:vector>
  </HeadingPairs>
  <TitlesOfParts>
    <vt:vector size="48" baseType="lpstr">
      <vt:lpstr>Settings</vt:lpstr>
      <vt:lpstr>EUR OIS</vt:lpstr>
      <vt:lpstr>EUR SWAP 6ML</vt:lpstr>
      <vt:lpstr>EUR BASIS 3ML</vt:lpstr>
      <vt:lpstr>Create Schedule</vt:lpstr>
      <vt:lpstr>Display Schedule</vt:lpstr>
      <vt:lpstr>Custom Fixed Schedule</vt:lpstr>
      <vt:lpstr>Custom Float Schedule</vt:lpstr>
      <vt:lpstr>VariableNotionalSwap</vt:lpstr>
      <vt:lpstr>COB</vt:lpstr>
      <vt:lpstr>Curve.BuildProperties</vt:lpstr>
      <vt:lpstr>Curve.CollectionName</vt:lpstr>
      <vt:lpstr>Curve.MarketDataTable</vt:lpstr>
      <vt:lpstr>Curve.OISIndexName</vt:lpstr>
      <vt:lpstr>CustomFixedSchedule</vt:lpstr>
      <vt:lpstr>CustomFloatSchedule</vt:lpstr>
      <vt:lpstr>FixedSchedule1</vt:lpstr>
      <vt:lpstr>FloatSchedule1</vt:lpstr>
      <vt:lpstr>FRA.Conventions</vt:lpstr>
      <vt:lpstr>FRA.MarketDataX3</vt:lpstr>
      <vt:lpstr>FRA.MarketDataX6</vt:lpstr>
      <vt:lpstr>Futures.Conventions</vt:lpstr>
      <vt:lpstr>Futures.MarketData</vt:lpstr>
      <vt:lpstr>isEUR3MLLoaded</vt:lpstr>
      <vt:lpstr>isEUR6MLLoaded</vt:lpstr>
      <vt:lpstr>isEUROISLoaded</vt:lpstr>
      <vt:lpstr>Libor.Conventions</vt:lpstr>
      <vt:lpstr>Libor.MarketData</vt:lpstr>
      <vt:lpstr>LiborOISBasis.Conventions</vt:lpstr>
      <vt:lpstr>LiborOISBasis.MarketData</vt:lpstr>
      <vt:lpstr>LiborSwap.Conventions</vt:lpstr>
      <vt:lpstr>LiborSwap.MarketData</vt:lpstr>
      <vt:lpstr>MoneyMarket.Conventions</vt:lpstr>
      <vt:lpstr>OIS.Conventions</vt:lpstr>
      <vt:lpstr>OIS.FixingTable</vt:lpstr>
      <vt:lpstr>OIS.MarketData</vt:lpstr>
      <vt:lpstr>STDCurve.Buildproperties</vt:lpstr>
      <vt:lpstr>STDCurve.CollectionName</vt:lpstr>
      <vt:lpstr>STDCurve.IndexName</vt:lpstr>
      <vt:lpstr>STDCurve.StaticDataTable</vt:lpstr>
      <vt:lpstr>Swap.Conventions</vt:lpstr>
      <vt:lpstr>Swap.MarketData</vt:lpstr>
      <vt:lpstr>TenorBasisCurve3M6M.BuildProperties</vt:lpstr>
      <vt:lpstr>TenorBasisCurve3M6M.CollectionName</vt:lpstr>
      <vt:lpstr>TenorBasisCurve3M6M.IndexName</vt:lpstr>
      <vt:lpstr>TenorBasisCurve3M6M.StaticDataTable</vt:lpstr>
      <vt:lpstr>TenorBasisSwap3M6M.Conventions</vt:lpstr>
      <vt:lpstr>TenorBasisSwap3M6M.MarketData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Burgess</dc:creator>
  <cp:lastModifiedBy>Nicholas Burgess</cp:lastModifiedBy>
  <dcterms:created xsi:type="dcterms:W3CDTF">2016-03-11T11:47:18Z</dcterms:created>
  <dcterms:modified xsi:type="dcterms:W3CDTF">2016-10-18T11:18:48Z</dcterms:modified>
</cp:coreProperties>
</file>