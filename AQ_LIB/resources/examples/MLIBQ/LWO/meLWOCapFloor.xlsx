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20" windowWidth="19875" windowHeight="6945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calcChain.xml><?xml version="1.0" encoding="utf-8"?>
<calcChain xmlns="http://schemas.openxmlformats.org/spreadsheetml/2006/main">
  <c r="I6" i="1" l="1" a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G6" i="1"/>
  <c r="C9" i="1"/>
  <c r="C10" i="1"/>
  <c r="G2" i="1"/>
  <c r="C2" i="1" l="1"/>
  <c r="F19" i="1" a="1"/>
  <c r="G18" i="1"/>
  <c r="F19" i="1" l="1"/>
  <c r="G19" i="1"/>
  <c r="F20" i="1"/>
  <c r="G20" i="1"/>
  <c r="F21" i="1"/>
  <c r="G21" i="1"/>
  <c r="F22" i="1"/>
  <c r="G22" i="1"/>
</calcChain>
</file>

<file path=xl/sharedStrings.xml><?xml version="1.0" encoding="utf-8"?>
<sst xmlns="http://schemas.openxmlformats.org/spreadsheetml/2006/main" count="82" uniqueCount="71">
  <si>
    <t>FORECASTCURVE</t>
  </si>
  <si>
    <t>USD3ML</t>
  </si>
  <si>
    <t>COMPOUNDMETHOD</t>
  </si>
  <si>
    <t>NONE</t>
  </si>
  <si>
    <t>DISCOUNTCURVE</t>
  </si>
  <si>
    <t>USDOIS</t>
  </si>
  <si>
    <t>CURRENCY</t>
  </si>
  <si>
    <t>USD</t>
  </si>
  <si>
    <t>FIRSTFIXING</t>
  </si>
  <si>
    <t/>
  </si>
  <si>
    <t>LASTFIXING</t>
  </si>
  <si>
    <t>FIRSTSTUBCURVEINDEX</t>
  </si>
  <si>
    <t>NATURAL</t>
  </si>
  <si>
    <t>LASTSTUBCURVEINDEX</t>
  </si>
  <si>
    <t>NOTIONAL</t>
  </si>
  <si>
    <t>LEVERAGE</t>
  </si>
  <si>
    <t>2D</t>
  </si>
  <si>
    <t>MOD_FOLLOWING</t>
  </si>
  <si>
    <t>EFFECTIVEDATE</t>
  </si>
  <si>
    <t>MATURITYDATE</t>
  </si>
  <si>
    <t>ACCRUALFREQUENCY</t>
  </si>
  <si>
    <t>QUARTERLY</t>
  </si>
  <si>
    <t>ACCRUALBUSINESSDAYADJUSTMENT</t>
  </si>
  <si>
    <t>ACCRUALCALENDAR</t>
  </si>
  <si>
    <t>ACCRUALDAYCOUNT</t>
  </si>
  <si>
    <t>ACT/360</t>
  </si>
  <si>
    <t>PAYMENTFREQUENCY</t>
  </si>
  <si>
    <t>PAYMENTBUSINESSDAYADJUSTMENT</t>
  </si>
  <si>
    <t>PAYMENTCALENDAR</t>
  </si>
  <si>
    <t>PAYMENTLAG</t>
  </si>
  <si>
    <t>0D</t>
  </si>
  <si>
    <t>FIRSTSTUBDATE</t>
  </si>
  <si>
    <t>LASTSTUBDATE</t>
  </si>
  <si>
    <t>ROLLDAY</t>
  </si>
  <si>
    <t>NORMAL</t>
  </si>
  <si>
    <t>STUBTYPE</t>
  </si>
  <si>
    <t>ShortStart</t>
  </si>
  <si>
    <t>FIXINGBUSINESSDAYADJUSTMENT</t>
  </si>
  <si>
    <t>FIXINGCALENDAR</t>
  </si>
  <si>
    <t>LNB</t>
  </si>
  <si>
    <t>FIXINGLAG</t>
  </si>
  <si>
    <t>FIXINGADVANCEORARREAR</t>
  </si>
  <si>
    <t>FLOATSPREAD</t>
  </si>
  <si>
    <t>OptionStyle</t>
  </si>
  <si>
    <t>NYB:LNB</t>
  </si>
  <si>
    <t>SPOTLAG</t>
  </si>
  <si>
    <t>SPOTBUSINESSDAYADJUSTMENT</t>
  </si>
  <si>
    <t>SPOTCALENDAR</t>
  </si>
  <si>
    <t>CAP</t>
  </si>
  <si>
    <t>STRIKE</t>
  </si>
  <si>
    <t>CAPVOL</t>
  </si>
  <si>
    <t>USD_CAP_VOL</t>
  </si>
  <si>
    <t>PV</t>
  </si>
  <si>
    <t>Curve</t>
  </si>
  <si>
    <t>USDYC</t>
  </si>
  <si>
    <t>ASOFDATE</t>
  </si>
  <si>
    <t>VOLSOURCE</t>
  </si>
  <si>
    <t>VOL</t>
  </si>
  <si>
    <t>VOLTYPE</t>
  </si>
  <si>
    <t>LOGNORMAL</t>
  </si>
  <si>
    <t>3M</t>
  </si>
  <si>
    <t>5Y</t>
  </si>
  <si>
    <t>CAP_USD_3MX5Y</t>
  </si>
  <si>
    <t>CREATE CAP FLOOR</t>
  </si>
  <si>
    <t>OBJECT NAME</t>
  </si>
  <si>
    <t>CREATE VOL</t>
  </si>
  <si>
    <t>1. CREATE CAP / FLOOR OBJECT</t>
  </si>
  <si>
    <t>2.  CREATE VOLATILITY OBJECT</t>
  </si>
  <si>
    <t>3.  SPECIFY YIELD CURVE</t>
  </si>
  <si>
    <t>4.  CALCULATE RESULTS</t>
  </si>
  <si>
    <t>5.  DISPLAY CAPLET / FLOORLET CASHFLOWS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</si>
</sst>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d\,\ d\-mmm\-yy"/>
    <numFmt numFmtId="165" formatCode="0.000000%"/>
    <numFmt numFmtId="168" formatCode="#,##0.0000"/>
    <numFmt numFmtId="170" formatCode="0.000%"/>
    <numFmt numFmtId="171" formatCode="0.0000%"/>
    <numFmt numFmtId="172" formatCode="0.00000%"/>
    <numFmt numFmtId="174" formatCode="#,##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Font="1" applyFill="1"/>
    <xf numFmtId="4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/>
    <xf numFmtId="0" fontId="0" fillId="2" borderId="4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/>
    </xf>
    <xf numFmtId="0" fontId="0" fillId="2" borderId="5" xfId="0" applyFont="1" applyFill="1" applyBorder="1"/>
    <xf numFmtId="0" fontId="3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7" xfId="0" applyFill="1" applyBorder="1" applyAlignment="1">
      <alignment horizontal="left"/>
    </xf>
    <xf numFmtId="164" fontId="3" fillId="0" borderId="6" xfId="0" applyNumberFormat="1" applyFont="1" applyFill="1" applyBorder="1" applyAlignment="1">
      <alignment horizontal="center" vertical="center"/>
    </xf>
    <xf numFmtId="0" fontId="1" fillId="0" borderId="0" xfId="0" applyFont="1"/>
    <xf numFmtId="164" fontId="3" fillId="0" borderId="4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left"/>
    </xf>
    <xf numFmtId="0" fontId="0" fillId="3" borderId="8" xfId="0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 vertical="center"/>
    </xf>
    <xf numFmtId="165" fontId="0" fillId="3" borderId="4" xfId="0" applyNumberFormat="1" applyFont="1" applyFill="1" applyBorder="1" applyAlignment="1">
      <alignment horizontal="center" vertical="center"/>
    </xf>
    <xf numFmtId="4" fontId="0" fillId="3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3" xfId="0" applyFill="1" applyBorder="1"/>
    <xf numFmtId="3" fontId="2" fillId="0" borderId="3" xfId="0" applyNumberFormat="1" applyFont="1" applyBorder="1" applyAlignment="1">
      <alignment horizontal="center" vertical="center"/>
    </xf>
    <xf numFmtId="0" fontId="0" fillId="2" borderId="4" xfId="0" applyFill="1" applyBorder="1"/>
    <xf numFmtId="3" fontId="2" fillId="0" borderId="4" xfId="0" applyNumberFormat="1" applyFont="1" applyBorder="1" applyAlignment="1">
      <alignment horizontal="center" vertical="center"/>
    </xf>
    <xf numFmtId="0" fontId="0" fillId="2" borderId="5" xfId="0" applyFill="1" applyBorder="1"/>
    <xf numFmtId="3" fontId="2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4" fontId="2" fillId="2" borderId="0" xfId="0" applyNumberFormat="1" applyFont="1" applyFill="1" applyBorder="1" applyAlignment="1">
      <alignment horizontal="center" vertical="center"/>
    </xf>
    <xf numFmtId="4" fontId="2" fillId="2" borderId="14" xfId="0" applyNumberFormat="1" applyFont="1" applyFill="1" applyBorder="1" applyAlignment="1">
      <alignment horizontal="center" vertical="center"/>
    </xf>
    <xf numFmtId="168" fontId="2" fillId="2" borderId="0" xfId="0" applyNumberFormat="1" applyFont="1" applyFill="1" applyBorder="1" applyAlignment="1">
      <alignment horizontal="center" vertical="center"/>
    </xf>
    <xf numFmtId="168" fontId="2" fillId="2" borderId="14" xfId="0" applyNumberFormat="1" applyFont="1" applyFill="1" applyBorder="1" applyAlignment="1">
      <alignment horizontal="center" vertical="center"/>
    </xf>
    <xf numFmtId="170" fontId="2" fillId="2" borderId="0" xfId="0" applyNumberFormat="1" applyFont="1" applyFill="1" applyBorder="1" applyAlignment="1">
      <alignment horizontal="center" vertical="center"/>
    </xf>
    <xf numFmtId="170" fontId="2" fillId="2" borderId="14" xfId="0" applyNumberFormat="1" applyFont="1" applyFill="1" applyBorder="1" applyAlignment="1">
      <alignment horizontal="center" vertical="center"/>
    </xf>
    <xf numFmtId="171" fontId="2" fillId="2" borderId="0" xfId="0" applyNumberFormat="1" applyFont="1" applyFill="1" applyBorder="1" applyAlignment="1">
      <alignment horizontal="center" vertical="center"/>
    </xf>
    <xf numFmtId="171" fontId="2" fillId="2" borderId="14" xfId="0" applyNumberFormat="1" applyFont="1" applyFill="1" applyBorder="1" applyAlignment="1">
      <alignment horizontal="center" vertical="center"/>
    </xf>
    <xf numFmtId="4" fontId="2" fillId="2" borderId="10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14" xfId="0" applyNumberFormat="1" applyFont="1" applyFill="1" applyBorder="1" applyAlignment="1">
      <alignment horizontal="center" vertical="center"/>
    </xf>
    <xf numFmtId="170" fontId="2" fillId="2" borderId="10" xfId="0" applyNumberFormat="1" applyFont="1" applyFill="1" applyBorder="1" applyAlignment="1">
      <alignment horizontal="center" vertical="center"/>
    </xf>
    <xf numFmtId="168" fontId="2" fillId="2" borderId="10" xfId="0" applyNumberFormat="1" applyFont="1" applyFill="1" applyBorder="1" applyAlignment="1">
      <alignment horizontal="center" vertical="center"/>
    </xf>
    <xf numFmtId="172" fontId="2" fillId="2" borderId="10" xfId="0" applyNumberFormat="1" applyFont="1" applyFill="1" applyBorder="1" applyAlignment="1">
      <alignment horizontal="center" vertical="center"/>
    </xf>
    <xf numFmtId="172" fontId="2" fillId="2" borderId="0" xfId="0" applyNumberFormat="1" applyFont="1" applyFill="1" applyBorder="1" applyAlignment="1">
      <alignment horizontal="center" vertical="center"/>
    </xf>
    <xf numFmtId="172" fontId="2" fillId="2" borderId="14" xfId="0" applyNumberFormat="1" applyFont="1" applyFill="1" applyBorder="1" applyAlignment="1">
      <alignment horizontal="center" vertical="center"/>
    </xf>
    <xf numFmtId="174" fontId="2" fillId="2" borderId="10" xfId="0" applyNumberFormat="1" applyFont="1" applyFill="1" applyBorder="1" applyAlignment="1">
      <alignment horizontal="center" vertical="center"/>
    </xf>
    <xf numFmtId="174" fontId="2" fillId="2" borderId="0" xfId="0" applyNumberFormat="1" applyFont="1" applyFill="1" applyBorder="1" applyAlignment="1">
      <alignment horizontal="center" vertical="center"/>
    </xf>
    <xf numFmtId="174" fontId="2" fillId="2" borderId="14" xfId="0" applyNumberFormat="1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51"/>
  <sheetViews>
    <sheetView showGridLines="0" tabSelected="1" workbookViewId="0"/>
  </sheetViews>
  <sheetFormatPr defaultRowHeight="15" x14ac:dyDescent="0.25"/>
  <cols>
    <col min="1" max="1" width="4.7109375" style="1" customWidth="1"/>
    <col min="2" max="2" width="35.7109375" customWidth="1"/>
    <col min="3" max="3" width="30.7109375" customWidth="1"/>
    <col min="4" max="5" width="4.7109375" customWidth="1"/>
    <col min="6" max="6" width="20.7109375" customWidth="1"/>
    <col min="7" max="7" width="19.5703125" bestFit="1" customWidth="1"/>
    <col min="9" max="11" width="15.7109375" customWidth="1"/>
    <col min="12" max="12" width="11.5703125" bestFit="1" customWidth="1"/>
    <col min="13" max="13" width="19.5703125" bestFit="1" customWidth="1"/>
    <col min="14" max="14" width="15.7109375" customWidth="1"/>
    <col min="15" max="24" width="10.7109375" customWidth="1"/>
  </cols>
  <sheetData>
    <row r="2" spans="2:24" x14ac:dyDescent="0.25">
      <c r="B2" s="70" t="s">
        <v>63</v>
      </c>
      <c r="C2" s="13" t="str">
        <f ca="1">_xll.meLWOCapFloorCreate(C3,B6:C39)</f>
        <v>CAP_USD_3MX5Y@32:0</v>
      </c>
      <c r="F2" t="s">
        <v>65</v>
      </c>
      <c r="G2" s="13" t="str">
        <f ca="1">_xll.meLWOVolatilityCreate(G3,F6:G10)</f>
        <v>USD_CAP_VOL@31:0</v>
      </c>
    </row>
    <row r="3" spans="2:24" x14ac:dyDescent="0.25">
      <c r="B3" s="70" t="s">
        <v>64</v>
      </c>
      <c r="C3" s="7" t="s">
        <v>62</v>
      </c>
      <c r="F3" t="s">
        <v>64</v>
      </c>
      <c r="G3" s="37" t="s">
        <v>51</v>
      </c>
    </row>
    <row r="4" spans="2:24" x14ac:dyDescent="0.25">
      <c r="C4" s="7"/>
      <c r="G4" s="37"/>
    </row>
    <row r="5" spans="2:24" x14ac:dyDescent="0.25">
      <c r="B5" s="20" t="s">
        <v>66</v>
      </c>
      <c r="F5" s="20" t="s">
        <v>67</v>
      </c>
      <c r="I5" s="20" t="s">
        <v>70</v>
      </c>
    </row>
    <row r="6" spans="2:24" x14ac:dyDescent="0.25">
      <c r="B6" s="8" t="s">
        <v>43</v>
      </c>
      <c r="C6" s="28" t="s">
        <v>48</v>
      </c>
      <c r="F6" s="15" t="s">
        <v>55</v>
      </c>
      <c r="G6" s="19">
        <f ca="1">TODAY()</f>
        <v>43161</v>
      </c>
      <c r="I6" s="44" t="str">
        <f t="array" aca="1" ref="I6:X51" ca="1">_xll.meUtilityResize(_xll.meLWOCapFloorDisplayCashflows($C$2,$G$2,$G$14),100,50)</f>
        <v>ExpiryDate</v>
      </c>
      <c r="J6" s="45" t="str">
        <f ca="1"/>
        <v>AccrualStart</v>
      </c>
      <c r="K6" s="45" t="str">
        <f ca="1"/>
        <v>AccrualEnd</v>
      </c>
      <c r="L6" s="38" t="str">
        <f ca="1"/>
        <v>AccrualDays</v>
      </c>
      <c r="M6" s="38" t="str">
        <f ca="1"/>
        <v>AccrualYearFractions</v>
      </c>
      <c r="N6" s="45" t="str">
        <f ca="1"/>
        <v>PaymentDate</v>
      </c>
      <c r="O6" s="59" t="str">
        <f ca="1"/>
        <v>Notional</v>
      </c>
      <c r="P6" s="58" t="str">
        <f ca="1"/>
        <v>Leverage</v>
      </c>
      <c r="Q6" s="38" t="str">
        <f ca="1"/>
        <v>Strike</v>
      </c>
      <c r="R6" s="62" t="str">
        <f ca="1"/>
        <v>Vol</v>
      </c>
      <c r="S6" s="63" t="str">
        <f ca="1"/>
        <v>FloatSpread</v>
      </c>
      <c r="T6" s="64" t="str">
        <f ca="1"/>
        <v>FloatRate</v>
      </c>
      <c r="U6" s="59" t="str">
        <f ca="1"/>
        <v>Coupon</v>
      </c>
      <c r="V6" s="67" t="str">
        <f ca="1"/>
        <v>DiscountFactor</v>
      </c>
      <c r="W6" s="59" t="str">
        <f ca="1"/>
        <v>CouponPV</v>
      </c>
      <c r="X6" s="39" t="str">
        <f ca="1"/>
        <v/>
      </c>
    </row>
    <row r="7" spans="2:24" x14ac:dyDescent="0.25">
      <c r="B7" s="9" t="s">
        <v>14</v>
      </c>
      <c r="C7" s="27">
        <v>10000000</v>
      </c>
      <c r="F7" s="16" t="s">
        <v>6</v>
      </c>
      <c r="G7" s="14" t="s">
        <v>7</v>
      </c>
      <c r="I7" s="46">
        <f ca="1"/>
        <v>43251</v>
      </c>
      <c r="J7" s="47">
        <f ca="1"/>
        <v>43255</v>
      </c>
      <c r="K7" s="47">
        <f ca="1"/>
        <v>43256</v>
      </c>
      <c r="L7" s="40">
        <f ca="1"/>
        <v>1</v>
      </c>
      <c r="M7" s="52">
        <f ca="1"/>
        <v>2.7777777777777801E-3</v>
      </c>
      <c r="N7" s="47">
        <f ca="1"/>
        <v>43256</v>
      </c>
      <c r="O7" s="60">
        <f ca="1"/>
        <v>10000000</v>
      </c>
      <c r="P7" s="50">
        <f ca="1"/>
        <v>1</v>
      </c>
      <c r="Q7" s="56">
        <f ca="1"/>
        <v>2.5000000000000001E-2</v>
      </c>
      <c r="R7" s="54">
        <f ca="1"/>
        <v>0.25459999999999999</v>
      </c>
      <c r="S7" s="52">
        <f ca="1"/>
        <v>0</v>
      </c>
      <c r="T7" s="65">
        <f ca="1"/>
        <v>2.1582080464401399E-2</v>
      </c>
      <c r="U7" s="60">
        <f ca="1"/>
        <v>4.5642146768868601</v>
      </c>
      <c r="V7" s="68">
        <f ca="1"/>
        <v>0.99577460728842704</v>
      </c>
      <c r="W7" s="60">
        <f ca="1"/>
        <v>4.5449290774570903</v>
      </c>
      <c r="X7" s="41" t="str">
        <f ca="1"/>
        <v/>
      </c>
    </row>
    <row r="8" spans="2:24" x14ac:dyDescent="0.25">
      <c r="B8" s="9" t="s">
        <v>15</v>
      </c>
      <c r="C8" s="2">
        <v>1</v>
      </c>
      <c r="F8" s="16" t="s">
        <v>56</v>
      </c>
      <c r="G8" s="14" t="s">
        <v>50</v>
      </c>
      <c r="I8" s="46">
        <f ca="1"/>
        <v>43252</v>
      </c>
      <c r="J8" s="47">
        <f ca="1"/>
        <v>43256</v>
      </c>
      <c r="K8" s="47">
        <f ca="1"/>
        <v>43348</v>
      </c>
      <c r="L8" s="40">
        <f ca="1"/>
        <v>92</v>
      </c>
      <c r="M8" s="52">
        <f ca="1"/>
        <v>0.25555555555555598</v>
      </c>
      <c r="N8" s="47">
        <f ca="1"/>
        <v>43348</v>
      </c>
      <c r="O8" s="60">
        <f ca="1"/>
        <v>10000000</v>
      </c>
      <c r="P8" s="50">
        <f ca="1"/>
        <v>1</v>
      </c>
      <c r="Q8" s="56">
        <f ca="1"/>
        <v>2.5000000000000001E-2</v>
      </c>
      <c r="R8" s="54">
        <f ca="1"/>
        <v>0.25459999999999999</v>
      </c>
      <c r="S8" s="52">
        <f ca="1"/>
        <v>0</v>
      </c>
      <c r="T8" s="65">
        <f ca="1"/>
        <v>2.1597696180751198E-2</v>
      </c>
      <c r="U8" s="60">
        <f ca="1"/>
        <v>433.54966776191299</v>
      </c>
      <c r="V8" s="68">
        <f ca="1"/>
        <v>0.991095699809877</v>
      </c>
      <c r="W8" s="60">
        <f ca="1"/>
        <v>429.68921137283297</v>
      </c>
      <c r="X8" s="41" t="str">
        <f ca="1"/>
        <v/>
      </c>
    </row>
    <row r="9" spans="2:24" x14ac:dyDescent="0.25">
      <c r="B9" s="9" t="s">
        <v>18</v>
      </c>
      <c r="C9" s="21">
        <f ca="1">_xll.meDateFromTenor(TODAY(),$D9,"MOD_FOLLOWING",$C$26)</f>
        <v>43255</v>
      </c>
      <c r="D9" s="30" t="s">
        <v>60</v>
      </c>
      <c r="E9" s="20"/>
      <c r="F9" s="17" t="s">
        <v>57</v>
      </c>
      <c r="G9" s="25">
        <v>0.25459999999999999</v>
      </c>
      <c r="I9" s="46">
        <f ca="1"/>
        <v>43346</v>
      </c>
      <c r="J9" s="47">
        <f ca="1"/>
        <v>43348</v>
      </c>
      <c r="K9" s="47">
        <f ca="1"/>
        <v>43439</v>
      </c>
      <c r="L9" s="40">
        <f ca="1"/>
        <v>91</v>
      </c>
      <c r="M9" s="52">
        <f ca="1"/>
        <v>0.25277777777777799</v>
      </c>
      <c r="N9" s="47">
        <f ca="1"/>
        <v>43439</v>
      </c>
      <c r="O9" s="60">
        <f ca="1"/>
        <v>10000000</v>
      </c>
      <c r="P9" s="50">
        <f ca="1"/>
        <v>1</v>
      </c>
      <c r="Q9" s="56">
        <f ca="1"/>
        <v>2.5000000000000001E-2</v>
      </c>
      <c r="R9" s="54">
        <f ca="1"/>
        <v>0.25459999999999999</v>
      </c>
      <c r="S9" s="52">
        <f ca="1"/>
        <v>0</v>
      </c>
      <c r="T9" s="65">
        <f ca="1"/>
        <v>2.2766191022296399E-2</v>
      </c>
      <c r="U9" s="60">
        <f ca="1"/>
        <v>2061.6218256288998</v>
      </c>
      <c r="V9" s="68">
        <f ca="1"/>
        <v>0.98611070484486196</v>
      </c>
      <c r="W9" s="60">
        <f ca="1"/>
        <v>2032.9873515944601</v>
      </c>
      <c r="X9" s="41" t="str">
        <f ca="1"/>
        <v/>
      </c>
    </row>
    <row r="10" spans="2:24" x14ac:dyDescent="0.25">
      <c r="B10" s="9" t="s">
        <v>19</v>
      </c>
      <c r="C10" s="21">
        <f ca="1">_xll.meDateFromTenor(C9,$D10,"MOD_FOLLOWING",$C$26)</f>
        <v>45082</v>
      </c>
      <c r="D10" s="30" t="s">
        <v>61</v>
      </c>
      <c r="E10" s="20"/>
      <c r="F10" s="18" t="s">
        <v>58</v>
      </c>
      <c r="G10" s="24" t="s">
        <v>59</v>
      </c>
      <c r="I10" s="46">
        <f ca="1"/>
        <v>43437</v>
      </c>
      <c r="J10" s="47">
        <f ca="1"/>
        <v>43439</v>
      </c>
      <c r="K10" s="47">
        <f ca="1"/>
        <v>43529</v>
      </c>
      <c r="L10" s="40">
        <f ca="1"/>
        <v>90</v>
      </c>
      <c r="M10" s="52">
        <f ca="1"/>
        <v>0.25</v>
      </c>
      <c r="N10" s="47">
        <f ca="1"/>
        <v>43529</v>
      </c>
      <c r="O10" s="60">
        <f ca="1"/>
        <v>10000000</v>
      </c>
      <c r="P10" s="50">
        <f ca="1"/>
        <v>1</v>
      </c>
      <c r="Q10" s="56">
        <f ca="1"/>
        <v>2.5000000000000001E-2</v>
      </c>
      <c r="R10" s="54">
        <f ca="1"/>
        <v>0.25459999999999999</v>
      </c>
      <c r="S10" s="52">
        <f ca="1"/>
        <v>0</v>
      </c>
      <c r="T10" s="65">
        <f ca="1"/>
        <v>2.4031186810985799E-2</v>
      </c>
      <c r="U10" s="60">
        <f ca="1"/>
        <v>4238.2004388982004</v>
      </c>
      <c r="V10" s="68">
        <f ca="1"/>
        <v>0.98084433821263195</v>
      </c>
      <c r="W10" s="60">
        <f ca="1"/>
        <v>4157.0149047035902</v>
      </c>
      <c r="X10" s="41" t="str">
        <f ca="1"/>
        <v/>
      </c>
    </row>
    <row r="11" spans="2:24" x14ac:dyDescent="0.25">
      <c r="B11" s="10" t="s">
        <v>49</v>
      </c>
      <c r="C11" s="26">
        <v>2.5000000000000001E-2</v>
      </c>
      <c r="I11" s="46">
        <f ca="1"/>
        <v>43525</v>
      </c>
      <c r="J11" s="47">
        <f ca="1"/>
        <v>43529</v>
      </c>
      <c r="K11" s="47">
        <f ca="1"/>
        <v>43621</v>
      </c>
      <c r="L11" s="40">
        <f ca="1"/>
        <v>92</v>
      </c>
      <c r="M11" s="52">
        <f ca="1"/>
        <v>0.25555555555555598</v>
      </c>
      <c r="N11" s="47">
        <f ca="1"/>
        <v>43621</v>
      </c>
      <c r="O11" s="60">
        <f ca="1"/>
        <v>10000000</v>
      </c>
      <c r="P11" s="50">
        <f ca="1"/>
        <v>1</v>
      </c>
      <c r="Q11" s="56">
        <f ca="1"/>
        <v>2.5000000000000001E-2</v>
      </c>
      <c r="R11" s="54">
        <f ca="1"/>
        <v>0.25459999999999999</v>
      </c>
      <c r="S11" s="52">
        <f ca="1"/>
        <v>0</v>
      </c>
      <c r="T11" s="65">
        <f ca="1"/>
        <v>2.48576727660797E-2</v>
      </c>
      <c r="U11" s="60">
        <f ca="1"/>
        <v>6228.9790124540596</v>
      </c>
      <c r="V11" s="68">
        <f ca="1"/>
        <v>0.97521284915295503</v>
      </c>
      <c r="W11" s="60">
        <f ca="1"/>
        <v>6074.5803700492897</v>
      </c>
      <c r="X11" s="41" t="str">
        <f ca="1"/>
        <v/>
      </c>
    </row>
    <row r="12" spans="2:24" x14ac:dyDescent="0.25">
      <c r="B12" s="9" t="s">
        <v>42</v>
      </c>
      <c r="C12" s="2">
        <v>0</v>
      </c>
      <c r="I12" s="46">
        <f ca="1"/>
        <v>43619</v>
      </c>
      <c r="J12" s="47">
        <f ca="1"/>
        <v>43621</v>
      </c>
      <c r="K12" s="47">
        <f ca="1"/>
        <v>43713</v>
      </c>
      <c r="L12" s="40">
        <f ca="1"/>
        <v>92</v>
      </c>
      <c r="M12" s="52">
        <f ca="1"/>
        <v>0.25555555555555598</v>
      </c>
      <c r="N12" s="47">
        <f ca="1"/>
        <v>43713</v>
      </c>
      <c r="O12" s="60">
        <f ca="1"/>
        <v>10000000</v>
      </c>
      <c r="P12" s="50">
        <f ca="1"/>
        <v>1</v>
      </c>
      <c r="Q12" s="56">
        <f ca="1"/>
        <v>2.5000000000000001E-2</v>
      </c>
      <c r="R12" s="54">
        <f ca="1"/>
        <v>0.25459999999999999</v>
      </c>
      <c r="S12" s="52">
        <f ca="1"/>
        <v>0</v>
      </c>
      <c r="T12" s="65">
        <f ca="1"/>
        <v>2.57027658965438E-2</v>
      </c>
      <c r="U12" s="60">
        <f ca="1"/>
        <v>8246.9963606799192</v>
      </c>
      <c r="V12" s="68">
        <f ca="1"/>
        <v>0.969419401663976</v>
      </c>
      <c r="W12" s="60">
        <f ca="1"/>
        <v>7994.7982774953198</v>
      </c>
      <c r="X12" s="41" t="str">
        <f ca="1"/>
        <v/>
      </c>
    </row>
    <row r="13" spans="2:24" x14ac:dyDescent="0.25">
      <c r="B13" s="9" t="s">
        <v>6</v>
      </c>
      <c r="C13" s="3" t="s">
        <v>7</v>
      </c>
      <c r="F13" s="20" t="s">
        <v>68</v>
      </c>
      <c r="I13" s="46">
        <f ca="1"/>
        <v>43711</v>
      </c>
      <c r="J13" s="47">
        <f ca="1"/>
        <v>43713</v>
      </c>
      <c r="K13" s="47">
        <f ca="1"/>
        <v>43804</v>
      </c>
      <c r="L13" s="40">
        <f ca="1"/>
        <v>91</v>
      </c>
      <c r="M13" s="52">
        <f ca="1"/>
        <v>0.25277777777777799</v>
      </c>
      <c r="N13" s="47">
        <f ca="1"/>
        <v>43804</v>
      </c>
      <c r="O13" s="60">
        <f ca="1"/>
        <v>10000000</v>
      </c>
      <c r="P13" s="50">
        <f ca="1"/>
        <v>1</v>
      </c>
      <c r="Q13" s="56">
        <f ca="1"/>
        <v>2.5000000000000001E-2</v>
      </c>
      <c r="R13" s="54">
        <f ca="1"/>
        <v>0.25459999999999999</v>
      </c>
      <c r="S13" s="52">
        <f ca="1"/>
        <v>0</v>
      </c>
      <c r="T13" s="65">
        <f ca="1"/>
        <v>2.62855030322326E-2</v>
      </c>
      <c r="U13" s="60">
        <f ca="1"/>
        <v>9747.5401658010705</v>
      </c>
      <c r="V13" s="68">
        <f ca="1"/>
        <v>0.96362080086163604</v>
      </c>
      <c r="W13" s="60">
        <f ca="1"/>
        <v>9392.9324610001895</v>
      </c>
      <c r="X13" s="41" t="str">
        <f ca="1"/>
        <v/>
      </c>
    </row>
    <row r="14" spans="2:24" x14ac:dyDescent="0.25">
      <c r="B14" s="9" t="s">
        <v>2</v>
      </c>
      <c r="C14" s="3" t="s">
        <v>3</v>
      </c>
      <c r="F14" s="22" t="s">
        <v>53</v>
      </c>
      <c r="G14" s="23" t="s">
        <v>54</v>
      </c>
      <c r="I14" s="46">
        <f ca="1"/>
        <v>43802</v>
      </c>
      <c r="J14" s="47">
        <f ca="1"/>
        <v>43804</v>
      </c>
      <c r="K14" s="47">
        <f ca="1"/>
        <v>43895</v>
      </c>
      <c r="L14" s="40">
        <f ca="1"/>
        <v>91</v>
      </c>
      <c r="M14" s="52">
        <f ca="1"/>
        <v>0.25277777777777799</v>
      </c>
      <c r="N14" s="47">
        <f ca="1"/>
        <v>43895</v>
      </c>
      <c r="O14" s="60">
        <f ca="1"/>
        <v>10000000</v>
      </c>
      <c r="P14" s="50">
        <f ca="1"/>
        <v>1</v>
      </c>
      <c r="Q14" s="56">
        <f ca="1"/>
        <v>2.5000000000000001E-2</v>
      </c>
      <c r="R14" s="54">
        <f ca="1"/>
        <v>0.25459999999999999</v>
      </c>
      <c r="S14" s="52">
        <f ca="1"/>
        <v>0</v>
      </c>
      <c r="T14" s="65">
        <f ca="1"/>
        <v>2.69066915466427E-2</v>
      </c>
      <c r="U14" s="60">
        <f ca="1"/>
        <v>11377.6866890153</v>
      </c>
      <c r="V14" s="68">
        <f ca="1"/>
        <v>0.95785394379420097</v>
      </c>
      <c r="W14" s="60">
        <f ca="1"/>
        <v>10898.162066328099</v>
      </c>
      <c r="X14" s="41" t="str">
        <f ca="1"/>
        <v/>
      </c>
    </row>
    <row r="15" spans="2:24" x14ac:dyDescent="0.25">
      <c r="B15" s="9" t="s">
        <v>0</v>
      </c>
      <c r="C15" s="29" t="s">
        <v>1</v>
      </c>
      <c r="I15" s="46">
        <f ca="1"/>
        <v>43893</v>
      </c>
      <c r="J15" s="47">
        <f ca="1"/>
        <v>43895</v>
      </c>
      <c r="K15" s="47">
        <f ca="1"/>
        <v>43987</v>
      </c>
      <c r="L15" s="40">
        <f ca="1"/>
        <v>92</v>
      </c>
      <c r="M15" s="52">
        <f ca="1"/>
        <v>0.25555555555555598</v>
      </c>
      <c r="N15" s="47">
        <f ca="1"/>
        <v>43987</v>
      </c>
      <c r="O15" s="60">
        <f ca="1"/>
        <v>10000000</v>
      </c>
      <c r="P15" s="50">
        <f ca="1"/>
        <v>1</v>
      </c>
      <c r="Q15" s="56">
        <f ca="1"/>
        <v>2.5000000000000001E-2</v>
      </c>
      <c r="R15" s="54">
        <f ca="1"/>
        <v>0.25459999999999999</v>
      </c>
      <c r="S15" s="52">
        <f ca="1"/>
        <v>0</v>
      </c>
      <c r="T15" s="65">
        <f ca="1"/>
        <v>2.7282345849014299E-2</v>
      </c>
      <c r="U15" s="60">
        <f ca="1"/>
        <v>12724.6312635249</v>
      </c>
      <c r="V15" s="68">
        <f ca="1"/>
        <v>0.95211389149472703</v>
      </c>
      <c r="W15" s="60">
        <f ca="1"/>
        <v>12115.298190150101</v>
      </c>
      <c r="X15" s="41" t="str">
        <f ca="1"/>
        <v/>
      </c>
    </row>
    <row r="16" spans="2:24" x14ac:dyDescent="0.25">
      <c r="B16" s="9" t="s">
        <v>4</v>
      </c>
      <c r="C16" s="29" t="s">
        <v>5</v>
      </c>
      <c r="I16" s="46">
        <f ca="1"/>
        <v>43985</v>
      </c>
      <c r="J16" s="47">
        <f ca="1"/>
        <v>43987</v>
      </c>
      <c r="K16" s="47">
        <f ca="1"/>
        <v>44082</v>
      </c>
      <c r="L16" s="40">
        <f ca="1"/>
        <v>95</v>
      </c>
      <c r="M16" s="52">
        <f ca="1"/>
        <v>0.26388888888888901</v>
      </c>
      <c r="N16" s="47">
        <f ca="1"/>
        <v>44082</v>
      </c>
      <c r="O16" s="60">
        <f ca="1"/>
        <v>10000000</v>
      </c>
      <c r="P16" s="50">
        <f ca="1"/>
        <v>1</v>
      </c>
      <c r="Q16" s="56">
        <f ca="1"/>
        <v>2.5000000000000001E-2</v>
      </c>
      <c r="R16" s="54">
        <f ca="1"/>
        <v>0.25459999999999999</v>
      </c>
      <c r="S16" s="52">
        <f ca="1"/>
        <v>0</v>
      </c>
      <c r="T16" s="65">
        <f ca="1"/>
        <v>2.7471010895044199E-2</v>
      </c>
      <c r="U16" s="60">
        <f ca="1"/>
        <v>14050.5465602365</v>
      </c>
      <c r="V16" s="68">
        <f ca="1"/>
        <v>0.94624823186902596</v>
      </c>
      <c r="W16" s="60">
        <f ca="1"/>
        <v>13295.3048394172</v>
      </c>
      <c r="X16" s="41" t="str">
        <f ca="1"/>
        <v/>
      </c>
    </row>
    <row r="17" spans="2:24" x14ac:dyDescent="0.25">
      <c r="B17" s="11" t="s">
        <v>45</v>
      </c>
      <c r="C17" s="3" t="s">
        <v>16</v>
      </c>
      <c r="F17" s="20" t="s">
        <v>69</v>
      </c>
      <c r="I17" s="46">
        <f ca="1"/>
        <v>44078</v>
      </c>
      <c r="J17" s="47">
        <f ca="1"/>
        <v>44082</v>
      </c>
      <c r="K17" s="47">
        <f ca="1"/>
        <v>44172</v>
      </c>
      <c r="L17" s="40">
        <f ca="1"/>
        <v>90</v>
      </c>
      <c r="M17" s="52">
        <f ca="1"/>
        <v>0.25</v>
      </c>
      <c r="N17" s="47">
        <f ca="1"/>
        <v>44172</v>
      </c>
      <c r="O17" s="60">
        <f ca="1"/>
        <v>10000000</v>
      </c>
      <c r="P17" s="50">
        <f ca="1"/>
        <v>1</v>
      </c>
      <c r="Q17" s="56">
        <f ca="1"/>
        <v>2.5000000000000001E-2</v>
      </c>
      <c r="R17" s="54">
        <f ca="1"/>
        <v>0.25459999999999999</v>
      </c>
      <c r="S17" s="52">
        <f ca="1"/>
        <v>0</v>
      </c>
      <c r="T17" s="65">
        <f ca="1"/>
        <v>2.7613786309107099E-2</v>
      </c>
      <c r="U17" s="60">
        <f ca="1"/>
        <v>14074.997243423801</v>
      </c>
      <c r="V17" s="68">
        <f ca="1"/>
        <v>0.94070024575203404</v>
      </c>
      <c r="W17" s="60">
        <f ca="1"/>
        <v>13240.353365847999</v>
      </c>
      <c r="X17" s="41" t="str">
        <f ca="1"/>
        <v/>
      </c>
    </row>
    <row r="18" spans="2:24" x14ac:dyDescent="0.25">
      <c r="B18" s="11" t="s">
        <v>46</v>
      </c>
      <c r="C18" s="3" t="s">
        <v>17</v>
      </c>
      <c r="F18" s="31" t="s">
        <v>52</v>
      </c>
      <c r="G18" s="32">
        <f ca="1">_xll.meLWOCapFloorPV(C2,G2,"USDYC")</f>
        <v>236889.97399804113</v>
      </c>
      <c r="I18" s="46">
        <f ca="1"/>
        <v>44168</v>
      </c>
      <c r="J18" s="47">
        <f ca="1"/>
        <v>44172</v>
      </c>
      <c r="K18" s="47">
        <f ca="1"/>
        <v>44260</v>
      </c>
      <c r="L18" s="40">
        <f ca="1"/>
        <v>88</v>
      </c>
      <c r="M18" s="52">
        <f ca="1"/>
        <v>0.24444444444444399</v>
      </c>
      <c r="N18" s="47">
        <f ca="1"/>
        <v>44260</v>
      </c>
      <c r="O18" s="60">
        <f ca="1"/>
        <v>10000000</v>
      </c>
      <c r="P18" s="50">
        <f ca="1"/>
        <v>1</v>
      </c>
      <c r="Q18" s="56">
        <f ca="1"/>
        <v>2.5000000000000001E-2</v>
      </c>
      <c r="R18" s="54">
        <f ca="1"/>
        <v>0.25459999999999999</v>
      </c>
      <c r="S18" s="52">
        <f ca="1"/>
        <v>0</v>
      </c>
      <c r="T18" s="65">
        <f ca="1"/>
        <v>2.7760745884089999E-2</v>
      </c>
      <c r="U18" s="60">
        <f ca="1"/>
        <v>14476.785660233299</v>
      </c>
      <c r="V18" s="68">
        <f ca="1"/>
        <v>0.93522889827843403</v>
      </c>
      <c r="W18" s="60">
        <f ca="1"/>
        <v>13539.108303633</v>
      </c>
      <c r="X18" s="41" t="str">
        <f ca="1"/>
        <v/>
      </c>
    </row>
    <row r="19" spans="2:24" x14ac:dyDescent="0.25">
      <c r="B19" s="11" t="s">
        <v>47</v>
      </c>
      <c r="C19" s="4" t="s">
        <v>39</v>
      </c>
      <c r="F19" s="33" t="str">
        <f t="array" aca="1" ref="F19:G22" ca="1">TRANSPOSE(_xll.meLWOCapFloorGreeksAnalytical($C$2,$G$2,G14))</f>
        <v>Delta</v>
      </c>
      <c r="G19" s="34">
        <f ca="1"/>
        <v>-2800.7306401399655</v>
      </c>
      <c r="I19" s="46">
        <f ca="1"/>
        <v>44258</v>
      </c>
      <c r="J19" s="47">
        <f ca="1"/>
        <v>44260</v>
      </c>
      <c r="K19" s="47">
        <f ca="1"/>
        <v>44354</v>
      </c>
      <c r="L19" s="40">
        <f ca="1"/>
        <v>94</v>
      </c>
      <c r="M19" s="52">
        <f ca="1"/>
        <v>0.26111111111111102</v>
      </c>
      <c r="N19" s="47">
        <f ca="1"/>
        <v>44354</v>
      </c>
      <c r="O19" s="60">
        <f ca="1"/>
        <v>10000000</v>
      </c>
      <c r="P19" s="50">
        <f ca="1"/>
        <v>1</v>
      </c>
      <c r="Q19" s="56">
        <f ca="1"/>
        <v>2.5000000000000001E-2</v>
      </c>
      <c r="R19" s="54">
        <f ca="1"/>
        <v>0.25459999999999999</v>
      </c>
      <c r="S19" s="52">
        <f ca="1"/>
        <v>0</v>
      </c>
      <c r="T19" s="65">
        <f ca="1"/>
        <v>2.78347002782771E-2</v>
      </c>
      <c r="U19" s="60">
        <f ca="1"/>
        <v>16077.027911767</v>
      </c>
      <c r="V19" s="68">
        <f ca="1"/>
        <v>0.92930913975695295</v>
      </c>
      <c r="W19" s="60">
        <f ca="1"/>
        <v>14940.5289785327</v>
      </c>
      <c r="X19" s="41" t="str">
        <f ca="1"/>
        <v/>
      </c>
    </row>
    <row r="20" spans="2:24" x14ac:dyDescent="0.25">
      <c r="B20" s="9" t="s">
        <v>37</v>
      </c>
      <c r="C20" s="3" t="s">
        <v>17</v>
      </c>
      <c r="F20" s="33" t="str">
        <f ca="1"/>
        <v>Gamma</v>
      </c>
      <c r="G20" s="34">
        <f ca="1"/>
        <v>17.840319533085239</v>
      </c>
      <c r="I20" s="46">
        <f ca="1"/>
        <v>44350</v>
      </c>
      <c r="J20" s="47">
        <f ca="1"/>
        <v>44354</v>
      </c>
      <c r="K20" s="47">
        <f ca="1"/>
        <v>44446</v>
      </c>
      <c r="L20" s="40">
        <f ca="1"/>
        <v>92</v>
      </c>
      <c r="M20" s="52">
        <f ca="1"/>
        <v>0.25555555555555598</v>
      </c>
      <c r="N20" s="47">
        <f ca="1"/>
        <v>44446</v>
      </c>
      <c r="O20" s="60">
        <f ca="1"/>
        <v>10000000</v>
      </c>
      <c r="P20" s="50">
        <f ca="1"/>
        <v>1</v>
      </c>
      <c r="Q20" s="56">
        <f ca="1"/>
        <v>2.5000000000000001E-2</v>
      </c>
      <c r="R20" s="54">
        <f ca="1"/>
        <v>0.25459999999999999</v>
      </c>
      <c r="S20" s="52">
        <f ca="1"/>
        <v>0</v>
      </c>
      <c r="T20" s="65">
        <f ca="1"/>
        <v>2.7875835073529299E-2</v>
      </c>
      <c r="U20" s="60">
        <f ca="1"/>
        <v>16269.351203996899</v>
      </c>
      <c r="V20" s="68">
        <f ca="1"/>
        <v>0.92347638283461597</v>
      </c>
      <c r="W20" s="60">
        <f ca="1"/>
        <v>15024.361600933</v>
      </c>
      <c r="X20" s="41" t="str">
        <f ca="1"/>
        <v/>
      </c>
    </row>
    <row r="21" spans="2:24" x14ac:dyDescent="0.25">
      <c r="B21" s="9" t="s">
        <v>38</v>
      </c>
      <c r="C21" s="3" t="s">
        <v>39</v>
      </c>
      <c r="F21" s="33" t="str">
        <f ca="1"/>
        <v>Vega</v>
      </c>
      <c r="G21" s="34">
        <f ca="1"/>
        <v>7105.931422151245</v>
      </c>
      <c r="I21" s="46">
        <f ca="1"/>
        <v>44442</v>
      </c>
      <c r="J21" s="47">
        <f ca="1"/>
        <v>44446</v>
      </c>
      <c r="K21" s="47">
        <f ca="1"/>
        <v>44536</v>
      </c>
      <c r="L21" s="40">
        <f ca="1"/>
        <v>90</v>
      </c>
      <c r="M21" s="52">
        <f ca="1"/>
        <v>0.25</v>
      </c>
      <c r="N21" s="47">
        <f ca="1"/>
        <v>44536</v>
      </c>
      <c r="O21" s="60">
        <f ca="1"/>
        <v>10000000</v>
      </c>
      <c r="P21" s="50">
        <f ca="1"/>
        <v>1</v>
      </c>
      <c r="Q21" s="56">
        <f ca="1"/>
        <v>2.5000000000000001E-2</v>
      </c>
      <c r="R21" s="54">
        <f ca="1"/>
        <v>0.25459999999999999</v>
      </c>
      <c r="S21" s="52">
        <f ca="1"/>
        <v>0</v>
      </c>
      <c r="T21" s="65">
        <f ca="1"/>
        <v>2.7913858877372501E-2</v>
      </c>
      <c r="U21" s="60">
        <f ca="1"/>
        <v>16416.040163522601</v>
      </c>
      <c r="V21" s="68">
        <f ca="1"/>
        <v>0.91777900611057095</v>
      </c>
      <c r="W21" s="60">
        <f ca="1"/>
        <v>15066.2970255489</v>
      </c>
      <c r="X21" s="41" t="str">
        <f ca="1"/>
        <v/>
      </c>
    </row>
    <row r="22" spans="2:24" x14ac:dyDescent="0.25">
      <c r="B22" s="9" t="s">
        <v>40</v>
      </c>
      <c r="C22" s="3" t="s">
        <v>16</v>
      </c>
      <c r="F22" s="35" t="str">
        <f ca="1"/>
        <v>Theta</v>
      </c>
      <c r="G22" s="36">
        <f ca="1"/>
        <v>-101.41622939769647</v>
      </c>
      <c r="I22" s="46">
        <f ca="1"/>
        <v>44532</v>
      </c>
      <c r="J22" s="47">
        <f ca="1"/>
        <v>44536</v>
      </c>
      <c r="K22" s="47">
        <f ca="1"/>
        <v>44627</v>
      </c>
      <c r="L22" s="40">
        <f ca="1"/>
        <v>91</v>
      </c>
      <c r="M22" s="52">
        <f ca="1"/>
        <v>0.25277777777777799</v>
      </c>
      <c r="N22" s="47">
        <f ca="1"/>
        <v>44627</v>
      </c>
      <c r="O22" s="60">
        <f ca="1"/>
        <v>10000000</v>
      </c>
      <c r="P22" s="50">
        <f ca="1"/>
        <v>1</v>
      </c>
      <c r="Q22" s="56">
        <f ca="1"/>
        <v>2.5000000000000001E-2</v>
      </c>
      <c r="R22" s="54">
        <f ca="1"/>
        <v>0.25459999999999999</v>
      </c>
      <c r="S22" s="52">
        <f ca="1"/>
        <v>0</v>
      </c>
      <c r="T22" s="65">
        <f ca="1"/>
        <v>2.7950866698485E-2</v>
      </c>
      <c r="U22" s="60">
        <f ca="1"/>
        <v>17078.0024459616</v>
      </c>
      <c r="V22" s="68">
        <f ca="1"/>
        <v>0.91207144557726605</v>
      </c>
      <c r="W22" s="60">
        <f ca="1"/>
        <v>15576.3583784603</v>
      </c>
      <c r="X22" s="41" t="str">
        <f ca="1"/>
        <v/>
      </c>
    </row>
    <row r="23" spans="2:24" x14ac:dyDescent="0.25">
      <c r="B23" s="9" t="s">
        <v>41</v>
      </c>
      <c r="C23" s="3" t="s">
        <v>9</v>
      </c>
      <c r="I23" s="46">
        <f ca="1"/>
        <v>44623</v>
      </c>
      <c r="J23" s="47">
        <f ca="1"/>
        <v>44627</v>
      </c>
      <c r="K23" s="47">
        <f ca="1"/>
        <v>44718</v>
      </c>
      <c r="L23" s="40">
        <f ca="1"/>
        <v>91</v>
      </c>
      <c r="M23" s="52">
        <f ca="1"/>
        <v>0.25277777777777799</v>
      </c>
      <c r="N23" s="47">
        <f ca="1"/>
        <v>44718</v>
      </c>
      <c r="O23" s="60">
        <f ca="1"/>
        <v>10000000</v>
      </c>
      <c r="P23" s="50">
        <f ca="1"/>
        <v>1</v>
      </c>
      <c r="Q23" s="56">
        <f ca="1"/>
        <v>2.5000000000000001E-2</v>
      </c>
      <c r="R23" s="54">
        <f ca="1"/>
        <v>0.25459999999999999</v>
      </c>
      <c r="S23" s="52">
        <f ca="1"/>
        <v>0</v>
      </c>
      <c r="T23" s="65">
        <f ca="1"/>
        <v>2.7991207589566199E-2</v>
      </c>
      <c r="U23" s="60">
        <f ca="1"/>
        <v>17554.248944453499</v>
      </c>
      <c r="V23" s="68">
        <f ca="1"/>
        <v>0.90644889849619104</v>
      </c>
      <c r="W23" s="60">
        <f ca="1"/>
        <v>15912.0296196278</v>
      </c>
      <c r="X23" s="41" t="str">
        <f ca="1"/>
        <v/>
      </c>
    </row>
    <row r="24" spans="2:24" x14ac:dyDescent="0.25">
      <c r="B24" s="9" t="s">
        <v>20</v>
      </c>
      <c r="C24" s="3" t="s">
        <v>21</v>
      </c>
      <c r="I24" s="46">
        <f ca="1"/>
        <v>44714</v>
      </c>
      <c r="J24" s="47">
        <f ca="1"/>
        <v>44718</v>
      </c>
      <c r="K24" s="47">
        <f ca="1"/>
        <v>44810</v>
      </c>
      <c r="L24" s="40">
        <f ca="1"/>
        <v>92</v>
      </c>
      <c r="M24" s="52">
        <f ca="1"/>
        <v>0.25555555555555598</v>
      </c>
      <c r="N24" s="47">
        <f ca="1"/>
        <v>44810</v>
      </c>
      <c r="O24" s="60">
        <f ca="1"/>
        <v>10000000</v>
      </c>
      <c r="P24" s="50">
        <f ca="1"/>
        <v>1</v>
      </c>
      <c r="Q24" s="56">
        <f ca="1"/>
        <v>2.5000000000000001E-2</v>
      </c>
      <c r="R24" s="54">
        <f ca="1"/>
        <v>0.25459999999999999</v>
      </c>
      <c r="S24" s="52">
        <f ca="1"/>
        <v>0</v>
      </c>
      <c r="T24" s="65">
        <f ca="1"/>
        <v>2.8045253682965399E-2</v>
      </c>
      <c r="U24" s="60">
        <f ca="1"/>
        <v>18239.9593554723</v>
      </c>
      <c r="V24" s="68">
        <f ca="1"/>
        <v>0.90083440567213102</v>
      </c>
      <c r="W24" s="60">
        <f ca="1"/>
        <v>16431.1829454707</v>
      </c>
      <c r="X24" s="41" t="str">
        <f ca="1"/>
        <v/>
      </c>
    </row>
    <row r="25" spans="2:24" x14ac:dyDescent="0.25">
      <c r="B25" s="9" t="s">
        <v>22</v>
      </c>
      <c r="C25" s="3" t="s">
        <v>17</v>
      </c>
      <c r="I25" s="46">
        <f ca="1"/>
        <v>44806</v>
      </c>
      <c r="J25" s="47">
        <f ca="1"/>
        <v>44810</v>
      </c>
      <c r="K25" s="47">
        <f ca="1"/>
        <v>44900</v>
      </c>
      <c r="L25" s="40">
        <f ca="1"/>
        <v>90</v>
      </c>
      <c r="M25" s="52">
        <f ca="1"/>
        <v>0.25</v>
      </c>
      <c r="N25" s="47">
        <f ca="1"/>
        <v>44900</v>
      </c>
      <c r="O25" s="60">
        <f ca="1"/>
        <v>10000000</v>
      </c>
      <c r="P25" s="50">
        <f ca="1"/>
        <v>1</v>
      </c>
      <c r="Q25" s="56">
        <f ca="1"/>
        <v>2.5000000000000001E-2</v>
      </c>
      <c r="R25" s="54">
        <f ca="1"/>
        <v>0.25459999999999999</v>
      </c>
      <c r="S25" s="52">
        <f ca="1"/>
        <v>0</v>
      </c>
      <c r="T25" s="65">
        <f ca="1"/>
        <v>2.8117342407520798E-2</v>
      </c>
      <c r="U25" s="60">
        <f ca="1"/>
        <v>18349.389588631999</v>
      </c>
      <c r="V25" s="68">
        <f ca="1"/>
        <v>0.89538267579602704</v>
      </c>
      <c r="W25" s="60">
        <f ca="1"/>
        <v>16429.725549093098</v>
      </c>
      <c r="X25" s="41" t="str">
        <f ca="1"/>
        <v/>
      </c>
    </row>
    <row r="26" spans="2:24" x14ac:dyDescent="0.25">
      <c r="B26" s="9" t="s">
        <v>23</v>
      </c>
      <c r="C26" s="3" t="s">
        <v>44</v>
      </c>
      <c r="I26" s="46">
        <f ca="1"/>
        <v>44896</v>
      </c>
      <c r="J26" s="47">
        <f ca="1"/>
        <v>44900</v>
      </c>
      <c r="K26" s="47">
        <f ca="1"/>
        <v>44991</v>
      </c>
      <c r="L26" s="40">
        <f ca="1"/>
        <v>91</v>
      </c>
      <c r="M26" s="52">
        <f ca="1"/>
        <v>0.25277777777777799</v>
      </c>
      <c r="N26" s="47">
        <f ca="1"/>
        <v>44991</v>
      </c>
      <c r="O26" s="60">
        <f ca="1"/>
        <v>10000000</v>
      </c>
      <c r="P26" s="50">
        <f ca="1"/>
        <v>1</v>
      </c>
      <c r="Q26" s="56">
        <f ca="1"/>
        <v>2.5000000000000001E-2</v>
      </c>
      <c r="R26" s="54">
        <f ca="1"/>
        <v>0.25459999999999999</v>
      </c>
      <c r="S26" s="52">
        <f ca="1"/>
        <v>0</v>
      </c>
      <c r="T26" s="65">
        <f ca="1"/>
        <v>2.8205811992793602E-2</v>
      </c>
      <c r="U26" s="60">
        <f ca="1"/>
        <v>19074.868471886999</v>
      </c>
      <c r="V26" s="68">
        <f ca="1"/>
        <v>0.88988457484388905</v>
      </c>
      <c r="W26" s="60">
        <f ca="1"/>
        <v>16974.431220308299</v>
      </c>
      <c r="X26" s="41" t="str">
        <f ca="1"/>
        <v/>
      </c>
    </row>
    <row r="27" spans="2:24" x14ac:dyDescent="0.25">
      <c r="B27" s="9" t="s">
        <v>24</v>
      </c>
      <c r="C27" s="3" t="s">
        <v>25</v>
      </c>
      <c r="I27" s="46">
        <f ca="1"/>
        <v>44987</v>
      </c>
      <c r="J27" s="47">
        <f ca="1"/>
        <v>44991</v>
      </c>
      <c r="K27" s="47">
        <f ca="1"/>
        <v>45082</v>
      </c>
      <c r="L27" s="40">
        <f ca="1"/>
        <v>91</v>
      </c>
      <c r="M27" s="52">
        <f ca="1"/>
        <v>0.25277777777777799</v>
      </c>
      <c r="N27" s="47">
        <f ca="1"/>
        <v>45082</v>
      </c>
      <c r="O27" s="60">
        <f ca="1"/>
        <v>10000000</v>
      </c>
      <c r="P27" s="50">
        <f ca="1"/>
        <v>1</v>
      </c>
      <c r="Q27" s="56">
        <f ca="1"/>
        <v>2.5000000000000001E-2</v>
      </c>
      <c r="R27" s="54">
        <f ca="1"/>
        <v>0.25459999999999999</v>
      </c>
      <c r="S27" s="52">
        <f ca="1"/>
        <v>0</v>
      </c>
      <c r="T27" s="65">
        <f ca="1"/>
        <v>2.8316292812278699E-2</v>
      </c>
      <c r="U27" s="60">
        <f ca="1"/>
        <v>19629.8934203998</v>
      </c>
      <c r="V27" s="68">
        <f ca="1"/>
        <v>0.88437996262146901</v>
      </c>
      <c r="W27" s="60">
        <f ca="1"/>
        <v>17360.284409396601</v>
      </c>
      <c r="X27" s="41" t="str">
        <f ca="1"/>
        <v/>
      </c>
    </row>
    <row r="28" spans="2:24" x14ac:dyDescent="0.25">
      <c r="B28" s="9" t="s">
        <v>33</v>
      </c>
      <c r="C28" s="3" t="s">
        <v>34</v>
      </c>
      <c r="I28" s="46" t="str">
        <f ca="1"/>
        <v/>
      </c>
      <c r="J28" s="47" t="str">
        <f ca="1"/>
        <v/>
      </c>
      <c r="K28" s="47" t="str">
        <f ca="1"/>
        <v/>
      </c>
      <c r="L28" s="40" t="str">
        <f ca="1"/>
        <v/>
      </c>
      <c r="M28" s="52" t="str">
        <f ca="1"/>
        <v/>
      </c>
      <c r="N28" s="47" t="str">
        <f ca="1"/>
        <v/>
      </c>
      <c r="O28" s="60" t="str">
        <f ca="1"/>
        <v/>
      </c>
      <c r="P28" s="50" t="str">
        <f ca="1"/>
        <v/>
      </c>
      <c r="Q28" s="56" t="str">
        <f ca="1"/>
        <v/>
      </c>
      <c r="R28" s="54" t="str">
        <f ca="1"/>
        <v/>
      </c>
      <c r="S28" s="52" t="str">
        <f ca="1"/>
        <v/>
      </c>
      <c r="T28" s="65" t="str">
        <f ca="1"/>
        <v/>
      </c>
      <c r="U28" s="60" t="str">
        <f ca="1"/>
        <v/>
      </c>
      <c r="V28" s="68" t="str">
        <f ca="1"/>
        <v/>
      </c>
      <c r="W28" s="60" t="str">
        <f ca="1"/>
        <v/>
      </c>
      <c r="X28" s="41" t="str">
        <f ca="1"/>
        <v/>
      </c>
    </row>
    <row r="29" spans="2:24" x14ac:dyDescent="0.25">
      <c r="B29" s="9" t="s">
        <v>26</v>
      </c>
      <c r="C29" s="3" t="s">
        <v>21</v>
      </c>
      <c r="I29" s="46" t="str">
        <f ca="1"/>
        <v/>
      </c>
      <c r="J29" s="47" t="str">
        <f ca="1"/>
        <v/>
      </c>
      <c r="K29" s="47" t="str">
        <f ca="1"/>
        <v/>
      </c>
      <c r="L29" s="40" t="str">
        <f ca="1"/>
        <v/>
      </c>
      <c r="M29" s="52" t="str">
        <f ca="1"/>
        <v/>
      </c>
      <c r="N29" s="47" t="str">
        <f ca="1"/>
        <v/>
      </c>
      <c r="O29" s="60" t="str">
        <f ca="1"/>
        <v/>
      </c>
      <c r="P29" s="50" t="str">
        <f ca="1"/>
        <v/>
      </c>
      <c r="Q29" s="56" t="str">
        <f ca="1"/>
        <v/>
      </c>
      <c r="R29" s="54" t="str">
        <f ca="1"/>
        <v/>
      </c>
      <c r="S29" s="52" t="str">
        <f ca="1"/>
        <v/>
      </c>
      <c r="T29" s="65" t="str">
        <f ca="1"/>
        <v/>
      </c>
      <c r="U29" s="60" t="str">
        <f ca="1"/>
        <v/>
      </c>
      <c r="V29" s="68" t="str">
        <f ca="1"/>
        <v/>
      </c>
      <c r="W29" s="60" t="str">
        <f ca="1"/>
        <v/>
      </c>
      <c r="X29" s="41" t="str">
        <f ca="1"/>
        <v/>
      </c>
    </row>
    <row r="30" spans="2:24" x14ac:dyDescent="0.25">
      <c r="B30" s="9" t="s">
        <v>27</v>
      </c>
      <c r="C30" s="3" t="s">
        <v>17</v>
      </c>
      <c r="I30" s="46" t="str">
        <f ca="1"/>
        <v/>
      </c>
      <c r="J30" s="47" t="str">
        <f ca="1"/>
        <v/>
      </c>
      <c r="K30" s="47" t="str">
        <f ca="1"/>
        <v/>
      </c>
      <c r="L30" s="40" t="str">
        <f ca="1"/>
        <v/>
      </c>
      <c r="M30" s="52" t="str">
        <f ca="1"/>
        <v/>
      </c>
      <c r="N30" s="47" t="str">
        <f ca="1"/>
        <v/>
      </c>
      <c r="O30" s="60" t="str">
        <f ca="1"/>
        <v/>
      </c>
      <c r="P30" s="50" t="str">
        <f ca="1"/>
        <v/>
      </c>
      <c r="Q30" s="56" t="str">
        <f ca="1"/>
        <v/>
      </c>
      <c r="R30" s="54" t="str">
        <f ca="1"/>
        <v/>
      </c>
      <c r="S30" s="52" t="str">
        <f ca="1"/>
        <v/>
      </c>
      <c r="T30" s="65" t="str">
        <f ca="1"/>
        <v/>
      </c>
      <c r="U30" s="60" t="str">
        <f ca="1"/>
        <v/>
      </c>
      <c r="V30" s="68" t="str">
        <f ca="1"/>
        <v/>
      </c>
      <c r="W30" s="60" t="str">
        <f ca="1"/>
        <v/>
      </c>
      <c r="X30" s="41" t="str">
        <f ca="1"/>
        <v/>
      </c>
    </row>
    <row r="31" spans="2:24" x14ac:dyDescent="0.25">
      <c r="B31" s="9" t="s">
        <v>28</v>
      </c>
      <c r="C31" s="3" t="s">
        <v>44</v>
      </c>
      <c r="I31" s="46" t="str">
        <f ca="1"/>
        <v/>
      </c>
      <c r="J31" s="47" t="str">
        <f ca="1"/>
        <v/>
      </c>
      <c r="K31" s="47" t="str">
        <f ca="1"/>
        <v/>
      </c>
      <c r="L31" s="40" t="str">
        <f ca="1"/>
        <v/>
      </c>
      <c r="M31" s="52" t="str">
        <f ca="1"/>
        <v/>
      </c>
      <c r="N31" s="47" t="str">
        <f ca="1"/>
        <v/>
      </c>
      <c r="O31" s="60" t="str">
        <f ca="1"/>
        <v/>
      </c>
      <c r="P31" s="50" t="str">
        <f ca="1"/>
        <v/>
      </c>
      <c r="Q31" s="56" t="str">
        <f ca="1"/>
        <v/>
      </c>
      <c r="R31" s="54" t="str">
        <f ca="1"/>
        <v/>
      </c>
      <c r="S31" s="52" t="str">
        <f ca="1"/>
        <v/>
      </c>
      <c r="T31" s="65" t="str">
        <f ca="1"/>
        <v/>
      </c>
      <c r="U31" s="60" t="str">
        <f ca="1"/>
        <v/>
      </c>
      <c r="V31" s="68" t="str">
        <f ca="1"/>
        <v/>
      </c>
      <c r="W31" s="60" t="str">
        <f ca="1"/>
        <v/>
      </c>
      <c r="X31" s="41" t="str">
        <f ca="1"/>
        <v/>
      </c>
    </row>
    <row r="32" spans="2:24" x14ac:dyDescent="0.25">
      <c r="B32" s="9" t="s">
        <v>29</v>
      </c>
      <c r="C32" s="3" t="s">
        <v>30</v>
      </c>
      <c r="I32" s="46" t="str">
        <f ca="1"/>
        <v/>
      </c>
      <c r="J32" s="47" t="str">
        <f ca="1"/>
        <v/>
      </c>
      <c r="K32" s="47" t="str">
        <f ca="1"/>
        <v/>
      </c>
      <c r="L32" s="40" t="str">
        <f ca="1"/>
        <v/>
      </c>
      <c r="M32" s="52" t="str">
        <f ca="1"/>
        <v/>
      </c>
      <c r="N32" s="47" t="str">
        <f ca="1"/>
        <v/>
      </c>
      <c r="O32" s="60" t="str">
        <f ca="1"/>
        <v/>
      </c>
      <c r="P32" s="50" t="str">
        <f ca="1"/>
        <v/>
      </c>
      <c r="Q32" s="56" t="str">
        <f ca="1"/>
        <v/>
      </c>
      <c r="R32" s="54" t="str">
        <f ca="1"/>
        <v/>
      </c>
      <c r="S32" s="52" t="str">
        <f ca="1"/>
        <v/>
      </c>
      <c r="T32" s="65" t="str">
        <f ca="1"/>
        <v/>
      </c>
      <c r="U32" s="60" t="str">
        <f ca="1"/>
        <v/>
      </c>
      <c r="V32" s="68" t="str">
        <f ca="1"/>
        <v/>
      </c>
      <c r="W32" s="60" t="str">
        <f ca="1"/>
        <v/>
      </c>
      <c r="X32" s="41" t="str">
        <f ca="1"/>
        <v/>
      </c>
    </row>
    <row r="33" spans="2:24" x14ac:dyDescent="0.25">
      <c r="B33" s="9" t="s">
        <v>35</v>
      </c>
      <c r="C33" s="3" t="s">
        <v>36</v>
      </c>
      <c r="I33" s="46" t="str">
        <f ca="1"/>
        <v/>
      </c>
      <c r="J33" s="47" t="str">
        <f ca="1"/>
        <v/>
      </c>
      <c r="K33" s="47" t="str">
        <f ca="1"/>
        <v/>
      </c>
      <c r="L33" s="40" t="str">
        <f ca="1"/>
        <v/>
      </c>
      <c r="M33" s="52" t="str">
        <f ca="1"/>
        <v/>
      </c>
      <c r="N33" s="47" t="str">
        <f ca="1"/>
        <v/>
      </c>
      <c r="O33" s="60" t="str">
        <f ca="1"/>
        <v/>
      </c>
      <c r="P33" s="50" t="str">
        <f ca="1"/>
        <v/>
      </c>
      <c r="Q33" s="56" t="str">
        <f ca="1"/>
        <v/>
      </c>
      <c r="R33" s="54" t="str">
        <f ca="1"/>
        <v/>
      </c>
      <c r="S33" s="52" t="str">
        <f ca="1"/>
        <v/>
      </c>
      <c r="T33" s="65" t="str">
        <f ca="1"/>
        <v/>
      </c>
      <c r="U33" s="60" t="str">
        <f ca="1"/>
        <v/>
      </c>
      <c r="V33" s="68" t="str">
        <f ca="1"/>
        <v/>
      </c>
      <c r="W33" s="60" t="str">
        <f ca="1"/>
        <v/>
      </c>
      <c r="X33" s="41" t="str">
        <f ca="1"/>
        <v/>
      </c>
    </row>
    <row r="34" spans="2:24" x14ac:dyDescent="0.25">
      <c r="B34" s="9" t="s">
        <v>11</v>
      </c>
      <c r="C34" s="3" t="s">
        <v>12</v>
      </c>
      <c r="I34" s="46" t="str">
        <f ca="1"/>
        <v/>
      </c>
      <c r="J34" s="47" t="str">
        <f ca="1"/>
        <v/>
      </c>
      <c r="K34" s="47" t="str">
        <f ca="1"/>
        <v/>
      </c>
      <c r="L34" s="40" t="str">
        <f ca="1"/>
        <v/>
      </c>
      <c r="M34" s="52" t="str">
        <f ca="1"/>
        <v/>
      </c>
      <c r="N34" s="47" t="str">
        <f ca="1"/>
        <v/>
      </c>
      <c r="O34" s="60" t="str">
        <f ca="1"/>
        <v/>
      </c>
      <c r="P34" s="50" t="str">
        <f ca="1"/>
        <v/>
      </c>
      <c r="Q34" s="56" t="str">
        <f ca="1"/>
        <v/>
      </c>
      <c r="R34" s="54" t="str">
        <f ca="1"/>
        <v/>
      </c>
      <c r="S34" s="52" t="str">
        <f ca="1"/>
        <v/>
      </c>
      <c r="T34" s="65" t="str">
        <f ca="1"/>
        <v/>
      </c>
      <c r="U34" s="60" t="str">
        <f ca="1"/>
        <v/>
      </c>
      <c r="V34" s="68" t="str">
        <f ca="1"/>
        <v/>
      </c>
      <c r="W34" s="60" t="str">
        <f ca="1"/>
        <v/>
      </c>
      <c r="X34" s="41" t="str">
        <f ca="1"/>
        <v/>
      </c>
    </row>
    <row r="35" spans="2:24" x14ac:dyDescent="0.25">
      <c r="B35" s="9" t="s">
        <v>13</v>
      </c>
      <c r="C35" s="3" t="s">
        <v>12</v>
      </c>
      <c r="I35" s="46" t="str">
        <f ca="1"/>
        <v/>
      </c>
      <c r="J35" s="47" t="str">
        <f ca="1"/>
        <v/>
      </c>
      <c r="K35" s="47" t="str">
        <f ca="1"/>
        <v/>
      </c>
      <c r="L35" s="40" t="str">
        <f ca="1"/>
        <v/>
      </c>
      <c r="M35" s="52" t="str">
        <f ca="1"/>
        <v/>
      </c>
      <c r="N35" s="47" t="str">
        <f ca="1"/>
        <v/>
      </c>
      <c r="O35" s="60" t="str">
        <f ca="1"/>
        <v/>
      </c>
      <c r="P35" s="50" t="str">
        <f ca="1"/>
        <v/>
      </c>
      <c r="Q35" s="56" t="str">
        <f ca="1"/>
        <v/>
      </c>
      <c r="R35" s="54" t="str">
        <f ca="1"/>
        <v/>
      </c>
      <c r="S35" s="52" t="str">
        <f ca="1"/>
        <v/>
      </c>
      <c r="T35" s="65" t="str">
        <f ca="1"/>
        <v/>
      </c>
      <c r="U35" s="60" t="str">
        <f ca="1"/>
        <v/>
      </c>
      <c r="V35" s="68" t="str">
        <f ca="1"/>
        <v/>
      </c>
      <c r="W35" s="60" t="str">
        <f ca="1"/>
        <v/>
      </c>
      <c r="X35" s="41" t="str">
        <f ca="1"/>
        <v/>
      </c>
    </row>
    <row r="36" spans="2:24" x14ac:dyDescent="0.25">
      <c r="B36" s="9" t="s">
        <v>31</v>
      </c>
      <c r="C36" s="5"/>
      <c r="I36" s="46" t="str">
        <f ca="1"/>
        <v/>
      </c>
      <c r="J36" s="47" t="str">
        <f ca="1"/>
        <v/>
      </c>
      <c r="K36" s="47" t="str">
        <f ca="1"/>
        <v/>
      </c>
      <c r="L36" s="40" t="str">
        <f ca="1"/>
        <v/>
      </c>
      <c r="M36" s="52" t="str">
        <f ca="1"/>
        <v/>
      </c>
      <c r="N36" s="47" t="str">
        <f ca="1"/>
        <v/>
      </c>
      <c r="O36" s="60" t="str">
        <f ca="1"/>
        <v/>
      </c>
      <c r="P36" s="50" t="str">
        <f ca="1"/>
        <v/>
      </c>
      <c r="Q36" s="56" t="str">
        <f ca="1"/>
        <v/>
      </c>
      <c r="R36" s="54" t="str">
        <f ca="1"/>
        <v/>
      </c>
      <c r="S36" s="52" t="str">
        <f ca="1"/>
        <v/>
      </c>
      <c r="T36" s="65" t="str">
        <f ca="1"/>
        <v/>
      </c>
      <c r="U36" s="60" t="str">
        <f ca="1"/>
        <v/>
      </c>
      <c r="V36" s="68" t="str">
        <f ca="1"/>
        <v/>
      </c>
      <c r="W36" s="60" t="str">
        <f ca="1"/>
        <v/>
      </c>
      <c r="X36" s="41" t="str">
        <f ca="1"/>
        <v/>
      </c>
    </row>
    <row r="37" spans="2:24" x14ac:dyDescent="0.25">
      <c r="B37" s="9" t="s">
        <v>32</v>
      </c>
      <c r="C37" s="5"/>
      <c r="I37" s="46" t="str">
        <f ca="1"/>
        <v/>
      </c>
      <c r="J37" s="47" t="str">
        <f ca="1"/>
        <v/>
      </c>
      <c r="K37" s="47" t="str">
        <f ca="1"/>
        <v/>
      </c>
      <c r="L37" s="40" t="str">
        <f ca="1"/>
        <v/>
      </c>
      <c r="M37" s="52" t="str">
        <f ca="1"/>
        <v/>
      </c>
      <c r="N37" s="47" t="str">
        <f ca="1"/>
        <v/>
      </c>
      <c r="O37" s="60" t="str">
        <f ca="1"/>
        <v/>
      </c>
      <c r="P37" s="50" t="str">
        <f ca="1"/>
        <v/>
      </c>
      <c r="Q37" s="56" t="str">
        <f ca="1"/>
        <v/>
      </c>
      <c r="R37" s="54" t="str">
        <f ca="1"/>
        <v/>
      </c>
      <c r="S37" s="52" t="str">
        <f ca="1"/>
        <v/>
      </c>
      <c r="T37" s="65" t="str">
        <f ca="1"/>
        <v/>
      </c>
      <c r="U37" s="60" t="str">
        <f ca="1"/>
        <v/>
      </c>
      <c r="V37" s="68" t="str">
        <f ca="1"/>
        <v/>
      </c>
      <c r="W37" s="60" t="str">
        <f ca="1"/>
        <v/>
      </c>
      <c r="X37" s="41" t="str">
        <f ca="1"/>
        <v/>
      </c>
    </row>
    <row r="38" spans="2:24" x14ac:dyDescent="0.25">
      <c r="B38" s="9" t="s">
        <v>8</v>
      </c>
      <c r="C38" s="5"/>
      <c r="I38" s="46" t="str">
        <f ca="1"/>
        <v/>
      </c>
      <c r="J38" s="47" t="str">
        <f ca="1"/>
        <v/>
      </c>
      <c r="K38" s="47" t="str">
        <f ca="1"/>
        <v/>
      </c>
      <c r="L38" s="40" t="str">
        <f ca="1"/>
        <v/>
      </c>
      <c r="M38" s="52" t="str">
        <f ca="1"/>
        <v/>
      </c>
      <c r="N38" s="47" t="str">
        <f ca="1"/>
        <v/>
      </c>
      <c r="O38" s="60" t="str">
        <f ca="1"/>
        <v/>
      </c>
      <c r="P38" s="50" t="str">
        <f ca="1"/>
        <v/>
      </c>
      <c r="Q38" s="56" t="str">
        <f ca="1"/>
        <v/>
      </c>
      <c r="R38" s="54" t="str">
        <f ca="1"/>
        <v/>
      </c>
      <c r="S38" s="52" t="str">
        <f ca="1"/>
        <v/>
      </c>
      <c r="T38" s="65" t="str">
        <f ca="1"/>
        <v/>
      </c>
      <c r="U38" s="60" t="str">
        <f ca="1"/>
        <v/>
      </c>
      <c r="V38" s="68" t="str">
        <f ca="1"/>
        <v/>
      </c>
      <c r="W38" s="60" t="str">
        <f ca="1"/>
        <v/>
      </c>
      <c r="X38" s="41" t="str">
        <f ca="1"/>
        <v/>
      </c>
    </row>
    <row r="39" spans="2:24" x14ac:dyDescent="0.25">
      <c r="B39" s="12" t="s">
        <v>10</v>
      </c>
      <c r="C39" s="6"/>
      <c r="I39" s="46" t="str">
        <f ca="1"/>
        <v/>
      </c>
      <c r="J39" s="47" t="str">
        <f ca="1"/>
        <v/>
      </c>
      <c r="K39" s="47" t="str">
        <f ca="1"/>
        <v/>
      </c>
      <c r="L39" s="40" t="str">
        <f ca="1"/>
        <v/>
      </c>
      <c r="M39" s="52" t="str">
        <f ca="1"/>
        <v/>
      </c>
      <c r="N39" s="47" t="str">
        <f ca="1"/>
        <v/>
      </c>
      <c r="O39" s="60" t="str">
        <f ca="1"/>
        <v/>
      </c>
      <c r="P39" s="50" t="str">
        <f ca="1"/>
        <v/>
      </c>
      <c r="Q39" s="56" t="str">
        <f ca="1"/>
        <v/>
      </c>
      <c r="R39" s="54" t="str">
        <f ca="1"/>
        <v/>
      </c>
      <c r="S39" s="52" t="str">
        <f ca="1"/>
        <v/>
      </c>
      <c r="T39" s="65" t="str">
        <f ca="1"/>
        <v/>
      </c>
      <c r="U39" s="60" t="str">
        <f ca="1"/>
        <v/>
      </c>
      <c r="V39" s="68" t="str">
        <f ca="1"/>
        <v/>
      </c>
      <c r="W39" s="60" t="str">
        <f ca="1"/>
        <v/>
      </c>
      <c r="X39" s="41" t="str">
        <f ca="1"/>
        <v/>
      </c>
    </row>
    <row r="40" spans="2:24" x14ac:dyDescent="0.25">
      <c r="I40" s="46" t="str">
        <f ca="1"/>
        <v/>
      </c>
      <c r="J40" s="47" t="str">
        <f ca="1"/>
        <v/>
      </c>
      <c r="K40" s="47" t="str">
        <f ca="1"/>
        <v/>
      </c>
      <c r="L40" s="40" t="str">
        <f ca="1"/>
        <v/>
      </c>
      <c r="M40" s="52" t="str">
        <f ca="1"/>
        <v/>
      </c>
      <c r="N40" s="47" t="str">
        <f ca="1"/>
        <v/>
      </c>
      <c r="O40" s="60" t="str">
        <f ca="1"/>
        <v/>
      </c>
      <c r="P40" s="50" t="str">
        <f ca="1"/>
        <v/>
      </c>
      <c r="Q40" s="56" t="str">
        <f ca="1"/>
        <v/>
      </c>
      <c r="R40" s="54" t="str">
        <f ca="1"/>
        <v/>
      </c>
      <c r="S40" s="52" t="str">
        <f ca="1"/>
        <v/>
      </c>
      <c r="T40" s="65" t="str">
        <f ca="1"/>
        <v/>
      </c>
      <c r="U40" s="60" t="str">
        <f ca="1"/>
        <v/>
      </c>
      <c r="V40" s="68" t="str">
        <f ca="1"/>
        <v/>
      </c>
      <c r="W40" s="60" t="str">
        <f ca="1"/>
        <v/>
      </c>
      <c r="X40" s="41" t="str">
        <f ca="1"/>
        <v/>
      </c>
    </row>
    <row r="41" spans="2:24" x14ac:dyDescent="0.25">
      <c r="I41" s="46" t="str">
        <f ca="1"/>
        <v/>
      </c>
      <c r="J41" s="47" t="str">
        <f ca="1"/>
        <v/>
      </c>
      <c r="K41" s="47" t="str">
        <f ca="1"/>
        <v/>
      </c>
      <c r="L41" s="40" t="str">
        <f ca="1"/>
        <v/>
      </c>
      <c r="M41" s="52" t="str">
        <f ca="1"/>
        <v/>
      </c>
      <c r="N41" s="47" t="str">
        <f ca="1"/>
        <v/>
      </c>
      <c r="O41" s="60" t="str">
        <f ca="1"/>
        <v/>
      </c>
      <c r="P41" s="50" t="str">
        <f ca="1"/>
        <v/>
      </c>
      <c r="Q41" s="56" t="str">
        <f ca="1"/>
        <v/>
      </c>
      <c r="R41" s="54" t="str">
        <f ca="1"/>
        <v/>
      </c>
      <c r="S41" s="52" t="str">
        <f ca="1"/>
        <v/>
      </c>
      <c r="T41" s="65" t="str">
        <f ca="1"/>
        <v/>
      </c>
      <c r="U41" s="60" t="str">
        <f ca="1"/>
        <v/>
      </c>
      <c r="V41" s="68" t="str">
        <f ca="1"/>
        <v/>
      </c>
      <c r="W41" s="60" t="str">
        <f ca="1"/>
        <v/>
      </c>
      <c r="X41" s="41" t="str">
        <f ca="1"/>
        <v/>
      </c>
    </row>
    <row r="42" spans="2:24" x14ac:dyDescent="0.25">
      <c r="I42" s="46" t="str">
        <f ca="1"/>
        <v/>
      </c>
      <c r="J42" s="47" t="str">
        <f ca="1"/>
        <v/>
      </c>
      <c r="K42" s="47" t="str">
        <f ca="1"/>
        <v/>
      </c>
      <c r="L42" s="40" t="str">
        <f ca="1"/>
        <v/>
      </c>
      <c r="M42" s="52" t="str">
        <f ca="1"/>
        <v/>
      </c>
      <c r="N42" s="47" t="str">
        <f ca="1"/>
        <v/>
      </c>
      <c r="O42" s="60" t="str">
        <f ca="1"/>
        <v/>
      </c>
      <c r="P42" s="50" t="str">
        <f ca="1"/>
        <v/>
      </c>
      <c r="Q42" s="56" t="str">
        <f ca="1"/>
        <v/>
      </c>
      <c r="R42" s="54" t="str">
        <f ca="1"/>
        <v/>
      </c>
      <c r="S42" s="52" t="str">
        <f ca="1"/>
        <v/>
      </c>
      <c r="T42" s="65" t="str">
        <f ca="1"/>
        <v/>
      </c>
      <c r="U42" s="60" t="str">
        <f ca="1"/>
        <v/>
      </c>
      <c r="V42" s="68" t="str">
        <f ca="1"/>
        <v/>
      </c>
      <c r="W42" s="60" t="str">
        <f ca="1"/>
        <v/>
      </c>
      <c r="X42" s="41" t="str">
        <f ca="1"/>
        <v/>
      </c>
    </row>
    <row r="43" spans="2:24" x14ac:dyDescent="0.25">
      <c r="I43" s="46" t="str">
        <f ca="1"/>
        <v/>
      </c>
      <c r="J43" s="47" t="str">
        <f ca="1"/>
        <v/>
      </c>
      <c r="K43" s="47" t="str">
        <f ca="1"/>
        <v/>
      </c>
      <c r="L43" s="40" t="str">
        <f ca="1"/>
        <v/>
      </c>
      <c r="M43" s="52" t="str">
        <f ca="1"/>
        <v/>
      </c>
      <c r="N43" s="47" t="str">
        <f ca="1"/>
        <v/>
      </c>
      <c r="O43" s="60" t="str">
        <f ca="1"/>
        <v/>
      </c>
      <c r="P43" s="50" t="str">
        <f ca="1"/>
        <v/>
      </c>
      <c r="Q43" s="56" t="str">
        <f ca="1"/>
        <v/>
      </c>
      <c r="R43" s="54" t="str">
        <f ca="1"/>
        <v/>
      </c>
      <c r="S43" s="52" t="str">
        <f ca="1"/>
        <v/>
      </c>
      <c r="T43" s="65" t="str">
        <f ca="1"/>
        <v/>
      </c>
      <c r="U43" s="60" t="str">
        <f ca="1"/>
        <v/>
      </c>
      <c r="V43" s="68" t="str">
        <f ca="1"/>
        <v/>
      </c>
      <c r="W43" s="60" t="str">
        <f ca="1"/>
        <v/>
      </c>
      <c r="X43" s="41" t="str">
        <f ca="1"/>
        <v/>
      </c>
    </row>
    <row r="44" spans="2:24" x14ac:dyDescent="0.25">
      <c r="I44" s="46" t="str">
        <f ca="1"/>
        <v/>
      </c>
      <c r="J44" s="47" t="str">
        <f ca="1"/>
        <v/>
      </c>
      <c r="K44" s="47" t="str">
        <f ca="1"/>
        <v/>
      </c>
      <c r="L44" s="40" t="str">
        <f ca="1"/>
        <v/>
      </c>
      <c r="M44" s="52" t="str">
        <f ca="1"/>
        <v/>
      </c>
      <c r="N44" s="47" t="str">
        <f ca="1"/>
        <v/>
      </c>
      <c r="O44" s="60" t="str">
        <f ca="1"/>
        <v/>
      </c>
      <c r="P44" s="50" t="str">
        <f ca="1"/>
        <v/>
      </c>
      <c r="Q44" s="56" t="str">
        <f ca="1"/>
        <v/>
      </c>
      <c r="R44" s="54" t="str">
        <f ca="1"/>
        <v/>
      </c>
      <c r="S44" s="52" t="str">
        <f ca="1"/>
        <v/>
      </c>
      <c r="T44" s="65" t="str">
        <f ca="1"/>
        <v/>
      </c>
      <c r="U44" s="60" t="str">
        <f ca="1"/>
        <v/>
      </c>
      <c r="V44" s="68" t="str">
        <f ca="1"/>
        <v/>
      </c>
      <c r="W44" s="60" t="str">
        <f ca="1"/>
        <v/>
      </c>
      <c r="X44" s="41" t="str">
        <f ca="1"/>
        <v/>
      </c>
    </row>
    <row r="45" spans="2:24" x14ac:dyDescent="0.25">
      <c r="I45" s="46" t="str">
        <f ca="1"/>
        <v/>
      </c>
      <c r="J45" s="47" t="str">
        <f ca="1"/>
        <v/>
      </c>
      <c r="K45" s="47" t="str">
        <f ca="1"/>
        <v/>
      </c>
      <c r="L45" s="40" t="str">
        <f ca="1"/>
        <v/>
      </c>
      <c r="M45" s="52" t="str">
        <f ca="1"/>
        <v/>
      </c>
      <c r="N45" s="47" t="str">
        <f ca="1"/>
        <v/>
      </c>
      <c r="O45" s="60" t="str">
        <f ca="1"/>
        <v/>
      </c>
      <c r="P45" s="50" t="str">
        <f ca="1"/>
        <v/>
      </c>
      <c r="Q45" s="56" t="str">
        <f ca="1"/>
        <v/>
      </c>
      <c r="R45" s="54" t="str">
        <f ca="1"/>
        <v/>
      </c>
      <c r="S45" s="52" t="str">
        <f ca="1"/>
        <v/>
      </c>
      <c r="T45" s="65" t="str">
        <f ca="1"/>
        <v/>
      </c>
      <c r="U45" s="60" t="str">
        <f ca="1"/>
        <v/>
      </c>
      <c r="V45" s="68" t="str">
        <f ca="1"/>
        <v/>
      </c>
      <c r="W45" s="60" t="str">
        <f ca="1"/>
        <v/>
      </c>
      <c r="X45" s="41" t="str">
        <f ca="1"/>
        <v/>
      </c>
    </row>
    <row r="46" spans="2:24" x14ac:dyDescent="0.25">
      <c r="I46" s="46" t="str">
        <f ca="1"/>
        <v/>
      </c>
      <c r="J46" s="47" t="str">
        <f ca="1"/>
        <v/>
      </c>
      <c r="K46" s="47" t="str">
        <f ca="1"/>
        <v/>
      </c>
      <c r="L46" s="40" t="str">
        <f ca="1"/>
        <v/>
      </c>
      <c r="M46" s="52" t="str">
        <f ca="1"/>
        <v/>
      </c>
      <c r="N46" s="47" t="str">
        <f ca="1"/>
        <v/>
      </c>
      <c r="O46" s="60" t="str">
        <f ca="1"/>
        <v/>
      </c>
      <c r="P46" s="50" t="str">
        <f ca="1"/>
        <v/>
      </c>
      <c r="Q46" s="56" t="str">
        <f ca="1"/>
        <v/>
      </c>
      <c r="R46" s="54" t="str">
        <f ca="1"/>
        <v/>
      </c>
      <c r="S46" s="52" t="str">
        <f ca="1"/>
        <v/>
      </c>
      <c r="T46" s="65" t="str">
        <f ca="1"/>
        <v/>
      </c>
      <c r="U46" s="60" t="str">
        <f ca="1"/>
        <v/>
      </c>
      <c r="V46" s="68" t="str">
        <f ca="1"/>
        <v/>
      </c>
      <c r="W46" s="60" t="str">
        <f ca="1"/>
        <v/>
      </c>
      <c r="X46" s="41" t="str">
        <f ca="1"/>
        <v/>
      </c>
    </row>
    <row r="47" spans="2:24" x14ac:dyDescent="0.25">
      <c r="I47" s="46" t="str">
        <f ca="1"/>
        <v/>
      </c>
      <c r="J47" s="47" t="str">
        <f ca="1"/>
        <v/>
      </c>
      <c r="K47" s="47" t="str">
        <f ca="1"/>
        <v/>
      </c>
      <c r="L47" s="40" t="str">
        <f ca="1"/>
        <v/>
      </c>
      <c r="M47" s="52" t="str">
        <f ca="1"/>
        <v/>
      </c>
      <c r="N47" s="47" t="str">
        <f ca="1"/>
        <v/>
      </c>
      <c r="O47" s="60" t="str">
        <f ca="1"/>
        <v/>
      </c>
      <c r="P47" s="50" t="str">
        <f ca="1"/>
        <v/>
      </c>
      <c r="Q47" s="56" t="str">
        <f ca="1"/>
        <v/>
      </c>
      <c r="R47" s="54" t="str">
        <f ca="1"/>
        <v/>
      </c>
      <c r="S47" s="52" t="str">
        <f ca="1"/>
        <v/>
      </c>
      <c r="T47" s="65" t="str">
        <f ca="1"/>
        <v/>
      </c>
      <c r="U47" s="60" t="str">
        <f ca="1"/>
        <v/>
      </c>
      <c r="V47" s="68" t="str">
        <f ca="1"/>
        <v/>
      </c>
      <c r="W47" s="60" t="str">
        <f ca="1"/>
        <v/>
      </c>
      <c r="X47" s="41" t="str">
        <f ca="1"/>
        <v/>
      </c>
    </row>
    <row r="48" spans="2:24" x14ac:dyDescent="0.25">
      <c r="I48" s="46" t="str">
        <f ca="1"/>
        <v/>
      </c>
      <c r="J48" s="47" t="str">
        <f ca="1"/>
        <v/>
      </c>
      <c r="K48" s="47" t="str">
        <f ca="1"/>
        <v/>
      </c>
      <c r="L48" s="40" t="str">
        <f ca="1"/>
        <v/>
      </c>
      <c r="M48" s="52" t="str">
        <f ca="1"/>
        <v/>
      </c>
      <c r="N48" s="47" t="str">
        <f ca="1"/>
        <v/>
      </c>
      <c r="O48" s="60" t="str">
        <f ca="1"/>
        <v/>
      </c>
      <c r="P48" s="50" t="str">
        <f ca="1"/>
        <v/>
      </c>
      <c r="Q48" s="56" t="str">
        <f ca="1"/>
        <v/>
      </c>
      <c r="R48" s="54" t="str">
        <f ca="1"/>
        <v/>
      </c>
      <c r="S48" s="52" t="str">
        <f ca="1"/>
        <v/>
      </c>
      <c r="T48" s="65" t="str">
        <f ca="1"/>
        <v/>
      </c>
      <c r="U48" s="60" t="str">
        <f ca="1"/>
        <v/>
      </c>
      <c r="V48" s="68" t="str">
        <f ca="1"/>
        <v/>
      </c>
      <c r="W48" s="60" t="str">
        <f ca="1"/>
        <v/>
      </c>
      <c r="X48" s="41" t="str">
        <f ca="1"/>
        <v/>
      </c>
    </row>
    <row r="49" spans="9:24" x14ac:dyDescent="0.25">
      <c r="I49" s="46" t="str">
        <f ca="1"/>
        <v/>
      </c>
      <c r="J49" s="47" t="str">
        <f ca="1"/>
        <v/>
      </c>
      <c r="K49" s="47" t="str">
        <f ca="1"/>
        <v/>
      </c>
      <c r="L49" s="40" t="str">
        <f ca="1"/>
        <v/>
      </c>
      <c r="M49" s="52" t="str">
        <f ca="1"/>
        <v/>
      </c>
      <c r="N49" s="47" t="str">
        <f ca="1"/>
        <v/>
      </c>
      <c r="O49" s="60" t="str">
        <f ca="1"/>
        <v/>
      </c>
      <c r="P49" s="50" t="str">
        <f ca="1"/>
        <v/>
      </c>
      <c r="Q49" s="56" t="str">
        <f ca="1"/>
        <v/>
      </c>
      <c r="R49" s="54" t="str">
        <f ca="1"/>
        <v/>
      </c>
      <c r="S49" s="52" t="str">
        <f ca="1"/>
        <v/>
      </c>
      <c r="T49" s="65" t="str">
        <f ca="1"/>
        <v/>
      </c>
      <c r="U49" s="60" t="str">
        <f ca="1"/>
        <v/>
      </c>
      <c r="V49" s="68" t="str">
        <f ca="1"/>
        <v/>
      </c>
      <c r="W49" s="60" t="str">
        <f ca="1"/>
        <v/>
      </c>
      <c r="X49" s="41" t="str">
        <f ca="1"/>
        <v/>
      </c>
    </row>
    <row r="50" spans="9:24" x14ac:dyDescent="0.25">
      <c r="I50" s="46" t="str">
        <f ca="1"/>
        <v/>
      </c>
      <c r="J50" s="47" t="str">
        <f ca="1"/>
        <v/>
      </c>
      <c r="K50" s="47" t="str">
        <f ca="1"/>
        <v/>
      </c>
      <c r="L50" s="40" t="str">
        <f ca="1"/>
        <v/>
      </c>
      <c r="M50" s="52" t="str">
        <f ca="1"/>
        <v/>
      </c>
      <c r="N50" s="47" t="str">
        <f ca="1"/>
        <v/>
      </c>
      <c r="O50" s="60" t="str">
        <f ca="1"/>
        <v/>
      </c>
      <c r="P50" s="50" t="str">
        <f ca="1"/>
        <v/>
      </c>
      <c r="Q50" s="56" t="str">
        <f ca="1"/>
        <v/>
      </c>
      <c r="R50" s="54" t="str">
        <f ca="1"/>
        <v/>
      </c>
      <c r="S50" s="52" t="str">
        <f ca="1"/>
        <v/>
      </c>
      <c r="T50" s="65" t="str">
        <f ca="1"/>
        <v/>
      </c>
      <c r="U50" s="60" t="str">
        <f ca="1"/>
        <v/>
      </c>
      <c r="V50" s="68" t="str">
        <f ca="1"/>
        <v/>
      </c>
      <c r="W50" s="60" t="str">
        <f ca="1"/>
        <v/>
      </c>
      <c r="X50" s="41" t="str">
        <f ca="1"/>
        <v/>
      </c>
    </row>
    <row r="51" spans="9:24" x14ac:dyDescent="0.25">
      <c r="I51" s="48" t="str">
        <f ca="1"/>
        <v/>
      </c>
      <c r="J51" s="49" t="str">
        <f ca="1"/>
        <v/>
      </c>
      <c r="K51" s="49" t="str">
        <f ca="1"/>
        <v/>
      </c>
      <c r="L51" s="42" t="str">
        <f ca="1"/>
        <v/>
      </c>
      <c r="M51" s="53" t="str">
        <f ca="1"/>
        <v/>
      </c>
      <c r="N51" s="49" t="str">
        <f ca="1"/>
        <v/>
      </c>
      <c r="O51" s="61" t="str">
        <f ca="1"/>
        <v/>
      </c>
      <c r="P51" s="51" t="str">
        <f ca="1"/>
        <v/>
      </c>
      <c r="Q51" s="57" t="str">
        <f ca="1"/>
        <v/>
      </c>
      <c r="R51" s="55" t="str">
        <f ca="1"/>
        <v/>
      </c>
      <c r="S51" s="53" t="str">
        <f ca="1"/>
        <v/>
      </c>
      <c r="T51" s="66" t="str">
        <f ca="1"/>
        <v/>
      </c>
      <c r="U51" s="61" t="str">
        <f ca="1"/>
        <v/>
      </c>
      <c r="V51" s="69" t="str">
        <f ca="1"/>
        <v/>
      </c>
      <c r="W51" s="61" t="str">
        <f ca="1"/>
        <v/>
      </c>
      <c r="X51" s="43" t="str">
        <f ca="1"/>
        <v/>
      </c>
    </row>
  </sheetData>
  <dataValidations count="1">
    <dataValidation type="list" allowBlank="1" showInputMessage="1" showErrorMessage="1" sqref="C6">
      <formula1>"CAP,FLOOR"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2018-03-02T12:29:01Z</dcterms:created>
  <dcterms:modified xsi:type="dcterms:W3CDTF">2018-03-02T13:11:53Z</dcterms:modified>
</cp:coreProperties>
</file>