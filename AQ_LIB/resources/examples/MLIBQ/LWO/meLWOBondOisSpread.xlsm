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120" yWindow="135" windowWidth="20115" windowHeight="7485" activeTab="3"/>
  </bookViews>
  <sheets>
    <sheet name="Bond Template" sheetId="2" r:id="rId1"/>
    <sheet name="Market Data" sheetId="3" r:id="rId2"/>
    <sheet name="Create Bonds" sheetId="1" r:id="rId3"/>
    <sheet name="Asset Swap O-Spread" sheetId="4" r:id="rId4"/>
  </sheets>
  <calcPr calcId="145621" calcMode="manual" calcOnSave="0"/>
</workbook>
</file>

<file path=xl/calcChain.xml><?xml version="1.0" encoding="utf-8"?>
<calcChain xmlns="http://schemas.openxmlformats.org/spreadsheetml/2006/main">
  <c r="K15" i="1" l="1"/>
  <c r="K3" i="1"/>
  <c r="C2" i="2"/>
  <c r="F6" i="2"/>
  <c r="K11" i="1"/>
  <c r="K9" i="1"/>
  <c r="B3" i="3"/>
  <c r="K13" i="1"/>
  <c r="K18" i="1"/>
  <c r="K10" i="1"/>
  <c r="K7" i="1"/>
  <c r="K20" i="1"/>
  <c r="K17" i="1"/>
  <c r="F10" i="2"/>
  <c r="K19" i="1"/>
  <c r="K16" i="1"/>
  <c r="F8" i="2"/>
  <c r="K8" i="1"/>
  <c r="K6" i="1"/>
  <c r="K12" i="1"/>
  <c r="K4" i="1"/>
  <c r="K5" i="1"/>
  <c r="K14" i="1"/>
  <c r="F7" i="2"/>
  <c r="F5" i="2"/>
  <c r="F11" i="2"/>
  <c r="F9" i="2"/>
  <c r="B16" i="4" l="1"/>
  <c r="B7" i="4"/>
  <c r="B6" i="4"/>
  <c r="B14" i="4"/>
  <c r="B8" i="4"/>
  <c r="B10" i="4"/>
  <c r="B18" i="4"/>
  <c r="B21" i="4"/>
  <c r="B19" i="4"/>
  <c r="B22" i="4"/>
  <c r="B9" i="4"/>
  <c r="B12" i="4"/>
  <c r="B20" i="4"/>
  <c r="B15" i="4"/>
  <c r="C6" i="4"/>
  <c r="C19" i="4"/>
  <c r="C20" i="4"/>
  <c r="C8" i="4"/>
  <c r="C15" i="4"/>
  <c r="C18" i="4"/>
  <c r="C11" i="4"/>
  <c r="C21" i="4"/>
  <c r="C10" i="4"/>
  <c r="C7" i="4"/>
  <c r="C12" i="4"/>
  <c r="C14" i="4"/>
  <c r="C5" i="4"/>
  <c r="C13" i="4"/>
  <c r="C17" i="4"/>
  <c r="C9" i="4"/>
  <c r="C16" i="4"/>
  <c r="C22" i="4"/>
  <c r="B11" i="4"/>
  <c r="B13" i="4"/>
  <c r="B5" i="4"/>
  <c r="B17" i="4"/>
  <c r="F16" i="4"/>
  <c r="F19" i="4"/>
  <c r="F11" i="4"/>
  <c r="F6" i="4"/>
  <c r="F14" i="4"/>
  <c r="F12" i="4"/>
  <c r="F17" i="4"/>
  <c r="F8" i="4"/>
  <c r="F20" i="4"/>
  <c r="F7" i="4"/>
  <c r="F13" i="4"/>
  <c r="F10" i="4"/>
  <c r="F15" i="4"/>
  <c r="F18" i="4"/>
  <c r="F21" i="4"/>
  <c r="F22" i="4"/>
  <c r="F9" i="4"/>
  <c r="F5" i="4"/>
</calcChain>
</file>

<file path=xl/sharedStrings.xml><?xml version="1.0" encoding="utf-8"?>
<sst xmlns="http://schemas.openxmlformats.org/spreadsheetml/2006/main" count="178" uniqueCount="129">
  <si>
    <t>ISIN</t>
  </si>
  <si>
    <t>IssueDate</t>
  </si>
  <si>
    <t>FirstCouponDate</t>
  </si>
  <si>
    <t>LastCouponDate</t>
  </si>
  <si>
    <t>MaturityDate</t>
  </si>
  <si>
    <t>Coupon</t>
  </si>
  <si>
    <t>RollDay</t>
  </si>
  <si>
    <t>AccrualStartDate</t>
  </si>
  <si>
    <t>BondLVB</t>
  </si>
  <si>
    <t>BondType</t>
  </si>
  <si>
    <t>FIXED</t>
  </si>
  <si>
    <t>Currency</t>
  </si>
  <si>
    <t>EUR</t>
  </si>
  <si>
    <t>YieldType</t>
  </si>
  <si>
    <t>YIELD-TO-MATURITY</t>
  </si>
  <si>
    <t>IsCleanPrice</t>
  </si>
  <si>
    <t>BondQuoteConvention</t>
  </si>
  <si>
    <t>QUOTE_IN_32NDS</t>
  </si>
  <si>
    <t>ScheduleLVB</t>
  </si>
  <si>
    <t>PayReceive</t>
  </si>
  <si>
    <t>RECEIVE</t>
  </si>
  <si>
    <t>NotionalExchange</t>
  </si>
  <si>
    <t>START_AND_END</t>
  </si>
  <si>
    <t>FaceValue</t>
  </si>
  <si>
    <t>Frequency</t>
  </si>
  <si>
    <t>ANNUAL</t>
  </si>
  <si>
    <t>AccrualBusinessDayAdjustment</t>
  </si>
  <si>
    <t>NO_CHANGE</t>
  </si>
  <si>
    <t>AccrualCalendar</t>
  </si>
  <si>
    <t>TGT</t>
  </si>
  <si>
    <t>PaymentBusinessDayAdjustment</t>
  </si>
  <si>
    <t>PaymentCalendar</t>
  </si>
  <si>
    <t>PaymentLag</t>
  </si>
  <si>
    <t>0D</t>
  </si>
  <si>
    <t>DayCount</t>
  </si>
  <si>
    <t>ACT/ACT</t>
  </si>
  <si>
    <t>CalculationType</t>
  </si>
  <si>
    <t>TYPE60_GERMAN_FIXED_RATE_BONDS</t>
  </si>
  <si>
    <t>DE0001135341</t>
  </si>
  <si>
    <t>DE0001135358</t>
  </si>
  <si>
    <t>DE0001135374</t>
  </si>
  <si>
    <t>DE0001135382</t>
  </si>
  <si>
    <t>DE0001135390</t>
  </si>
  <si>
    <t>DE0001135408</t>
  </si>
  <si>
    <t>DE0001135416</t>
  </si>
  <si>
    <t>DE0001135424</t>
  </si>
  <si>
    <t>DE0001135440</t>
  </si>
  <si>
    <t>DE0001135457</t>
  </si>
  <si>
    <t>DE0001135465</t>
  </si>
  <si>
    <t>DE0001135473</t>
  </si>
  <si>
    <t>DE0001135499</t>
  </si>
  <si>
    <t>DE0001102309</t>
  </si>
  <si>
    <t>DE0001102317</t>
  </si>
  <si>
    <t>DE0001102325</t>
  </si>
  <si>
    <t>DE0001134922</t>
  </si>
  <si>
    <t>CreateBond</t>
  </si>
  <si>
    <t>DE0001135341 Govt</t>
  </si>
  <si>
    <t>DE0001135358 Govt</t>
  </si>
  <si>
    <t>DE0001135374 Govt</t>
  </si>
  <si>
    <t>DE0001135382 Govt</t>
  </si>
  <si>
    <t>DE0001135390 Govt</t>
  </si>
  <si>
    <t>DE0001135408 Govt</t>
  </si>
  <si>
    <t>DE0001135416 Govt</t>
  </si>
  <si>
    <t>DE0001135424 Govt</t>
  </si>
  <si>
    <t>DE0001135440 Govt</t>
  </si>
  <si>
    <t>DE0001135457 Govt</t>
  </si>
  <si>
    <t>DE0001135465 Govt</t>
  </si>
  <si>
    <t>DE0001135473 Govt</t>
  </si>
  <si>
    <t>DE0001135499 Govt</t>
  </si>
  <si>
    <t>DE0001102309 Govt</t>
  </si>
  <si>
    <t>DE0001102317 Govt</t>
  </si>
  <si>
    <t>DE0001102325 Govt</t>
  </si>
  <si>
    <t>DE0001134922 Govt</t>
  </si>
  <si>
    <t>BondDescription</t>
  </si>
  <si>
    <t>Create Bond</t>
  </si>
  <si>
    <t/>
  </si>
  <si>
    <t>Yield</t>
  </si>
  <si>
    <t>CleanPrice</t>
  </si>
  <si>
    <t>DirtyPrice</t>
  </si>
  <si>
    <t>AccruedDays</t>
  </si>
  <si>
    <t>AccruedInterest</t>
  </si>
  <si>
    <t>SettlementDate</t>
  </si>
  <si>
    <t>ModDuration</t>
  </si>
  <si>
    <t>DV01</t>
  </si>
  <si>
    <t>DE0001102333</t>
  </si>
  <si>
    <t>DE0001102333 Govt</t>
  </si>
  <si>
    <t>ON</t>
  </si>
  <si>
    <t>1W</t>
  </si>
  <si>
    <t>2W</t>
  </si>
  <si>
    <t>3W</t>
  </si>
  <si>
    <t>1M</t>
  </si>
  <si>
    <t>2M</t>
  </si>
  <si>
    <t>3M</t>
  </si>
  <si>
    <t>4M</t>
  </si>
  <si>
    <t>5M</t>
  </si>
  <si>
    <t>6M</t>
  </si>
  <si>
    <t>7M</t>
  </si>
  <si>
    <t>8M</t>
  </si>
  <si>
    <t>9M</t>
  </si>
  <si>
    <t>10M</t>
  </si>
  <si>
    <t>11M</t>
  </si>
  <si>
    <t>1Y</t>
  </si>
  <si>
    <t>18M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</si>
  <si>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</si>
  <si>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</si>
  <si>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</si>
  <si>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</si>
  <si>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</si>
  <si>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</si>
  <si>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</si>
  <si>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</si>
  <si>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</si>
  <si>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11Y</t>
  </si>
  <si>
    <t>12Y</t>
  </si>
  <si>
    <t>15Y</t>
  </si>
  <si>
    <t>20Y</t>
  </si>
  <si>
    <t>25Y</t>
  </si>
  <si>
    <t>30Y</t>
  </si>
  <si>
    <t>40Y</t>
  </si>
  <si>
    <t>50Y</t>
  </si>
  <si>
    <t>Tenor</t>
  </si>
  <si>
    <t>Rate</t>
  </si>
  <si>
    <t>OIS</t>
  </si>
  <si>
    <t>Create Market Data Object</t>
  </si>
  <si>
    <t>O-Spread</t>
  </si>
  <si>
    <t>Market Data Type</t>
  </si>
  <si>
    <t>BondObject</t>
  </si>
  <si>
    <t>OISParRates</t>
  </si>
  <si>
    <t>Asset Swap O-Spread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</si>
</sst>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ddd\,\ d\-mmm\-yy"/>
    <numFmt numFmtId="165" formatCode="0.000%"/>
    <numFmt numFmtId="166" formatCode="0.0000%"/>
    <numFmt numFmtId="167" formatCode="0.00000%"/>
    <numFmt numFmtId="168" formatCode="#,##0.000"/>
    <numFmt numFmtId="169" formatCode="#,##0.0000"/>
    <numFmt numFmtId="170" formatCode="0.00000E+0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006600"/>
      <name val="Calibri"/>
      <family val="2"/>
      <scheme val="minor"/>
    </font>
    <font>
      <b/>
      <sz val="11"/>
      <color rgb="FF0066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0" tint="-4.9989318521683403E-2"/>
        <bgColor indexed="64"/>
      </patternFill>
    </fill>
  </fills>
  <borders count="11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68">
    <xf numFmtId="0" fontId="0" fillId="0" borderId="0" xfId="0"/>
    <xf numFmtId="0" fontId="1" fillId="0" borderId="0" xfId="0" applyFont="1" applyFill="1" applyAlignment="1">
      <alignment horizontal="center" vertical="center"/>
    </xf>
    <xf numFmtId="0" fontId="1" fillId="0" borderId="0" xfId="0" applyFont="1" applyFill="1"/>
    <xf numFmtId="0" fontId="0" fillId="0" borderId="0" xfId="0" applyFill="1"/>
    <xf numFmtId="0" fontId="0" fillId="0" borderId="1" xfId="0" applyFill="1" applyBorder="1"/>
    <xf numFmtId="0" fontId="0" fillId="0" borderId="2" xfId="0" applyFill="1" applyBorder="1"/>
    <xf numFmtId="0" fontId="0" fillId="0" borderId="3" xfId="0" applyFill="1" applyBorder="1"/>
    <xf numFmtId="0" fontId="0" fillId="2" borderId="1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164" fontId="0" fillId="2" borderId="2" xfId="0" applyNumberFormat="1" applyFill="1" applyBorder="1" applyAlignment="1">
      <alignment horizontal="center" vertical="center"/>
    </xf>
    <xf numFmtId="164" fontId="0" fillId="2" borderId="3" xfId="0" applyNumberFormat="1" applyFill="1" applyBorder="1" applyAlignment="1">
      <alignment horizontal="center" vertical="center"/>
    </xf>
    <xf numFmtId="0" fontId="0" fillId="3" borderId="1" xfId="0" applyFill="1" applyBorder="1"/>
    <xf numFmtId="0" fontId="0" fillId="3" borderId="2" xfId="0" applyFont="1" applyFill="1" applyBorder="1"/>
    <xf numFmtId="0" fontId="0" fillId="3" borderId="2" xfId="0" applyFill="1" applyBorder="1"/>
    <xf numFmtId="0" fontId="0" fillId="3" borderId="3" xfId="0" applyFill="1" applyBorder="1"/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3" fontId="2" fillId="2" borderId="2" xfId="0" applyNumberFormat="1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0" fontId="1" fillId="0" borderId="0" xfId="0" applyFont="1"/>
    <xf numFmtId="0" fontId="4" fillId="0" borderId="0" xfId="0" applyFont="1" applyAlignment="1">
      <alignment horizontal="center" vertical="center"/>
    </xf>
    <xf numFmtId="164" fontId="2" fillId="2" borderId="2" xfId="0" applyNumberFormat="1" applyFont="1" applyFill="1" applyBorder="1" applyAlignment="1">
      <alignment horizontal="center" vertical="center"/>
    </xf>
    <xf numFmtId="165" fontId="2" fillId="2" borderId="2" xfId="0" applyNumberFormat="1" applyFont="1" applyFill="1" applyBorder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0" fontId="0" fillId="2" borderId="1" xfId="0" applyFont="1" applyFill="1" applyBorder="1" applyAlignment="1">
      <alignment horizontal="center" vertical="center"/>
    </xf>
    <xf numFmtId="0" fontId="0" fillId="2" borderId="2" xfId="0" applyFont="1" applyFill="1" applyBorder="1" applyAlignment="1">
      <alignment horizontal="center" vertical="center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4" fillId="3" borderId="2" xfId="0" applyFont="1" applyFill="1" applyBorder="1" applyAlignment="1">
      <alignment horizontal="center" vertical="center"/>
    </xf>
    <xf numFmtId="168" fontId="4" fillId="3" borderId="1" xfId="0" applyNumberFormat="1" applyFont="1" applyFill="1" applyBorder="1" applyAlignment="1">
      <alignment horizontal="center" vertical="center"/>
    </xf>
    <xf numFmtId="168" fontId="4" fillId="3" borderId="2" xfId="0" applyNumberFormat="1" applyFont="1" applyFill="1" applyBorder="1" applyAlignment="1">
      <alignment horizontal="center" vertical="center"/>
    </xf>
    <xf numFmtId="169" fontId="4" fillId="3" borderId="2" xfId="0" applyNumberFormat="1" applyFont="1" applyFill="1" applyBorder="1" applyAlignment="1">
      <alignment horizontal="center" vertical="center"/>
    </xf>
    <xf numFmtId="168" fontId="0" fillId="0" borderId="0" xfId="0" applyNumberFormat="1"/>
    <xf numFmtId="167" fontId="2" fillId="2" borderId="1" xfId="0" applyNumberFormat="1" applyFont="1" applyFill="1" applyBorder="1" applyAlignment="1">
      <alignment horizontal="center" vertical="center"/>
    </xf>
    <xf numFmtId="164" fontId="2" fillId="2" borderId="3" xfId="0" applyNumberFormat="1" applyFont="1" applyFill="1" applyBorder="1" applyAlignment="1">
      <alignment horizontal="center" vertical="center"/>
    </xf>
    <xf numFmtId="167" fontId="4" fillId="3" borderId="2" xfId="0" applyNumberFormat="1" applyFont="1" applyFill="1" applyBorder="1" applyAlignment="1">
      <alignment horizontal="center" vertical="center"/>
    </xf>
    <xf numFmtId="170" fontId="0" fillId="0" borderId="0" xfId="0" applyNumberFormat="1"/>
    <xf numFmtId="169" fontId="4" fillId="3" borderId="3" xfId="0" applyNumberFormat="1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166" fontId="2" fillId="2" borderId="8" xfId="0" applyNumberFormat="1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166" fontId="2" fillId="2" borderId="6" xfId="0" applyNumberFormat="1" applyFont="1" applyFill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166" fontId="2" fillId="2" borderId="10" xfId="0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2" borderId="4" xfId="0" applyFont="1" applyFill="1" applyBorder="1" applyAlignment="1">
      <alignment horizontal="center" vertical="center"/>
    </xf>
    <xf numFmtId="0" fontId="0" fillId="0" borderId="0" xfId="0" applyBorder="1"/>
    <xf numFmtId="0" fontId="0" fillId="0" borderId="0" xfId="0" applyBorder="1" applyAlignment="1">
      <alignment horizontal="center" vertical="center"/>
    </xf>
    <xf numFmtId="0" fontId="3" fillId="3" borderId="5" xfId="0" applyFont="1" applyFill="1" applyBorder="1"/>
    <xf numFmtId="168" fontId="4" fillId="3" borderId="6" xfId="0" applyNumberFormat="1" applyFont="1" applyFill="1" applyBorder="1" applyAlignment="1">
      <alignment horizontal="center" vertical="center"/>
    </xf>
    <xf numFmtId="0" fontId="3" fillId="3" borderId="7" xfId="0" applyFont="1" applyFill="1" applyBorder="1"/>
    <xf numFmtId="168" fontId="4" fillId="3" borderId="8" xfId="0" applyNumberFormat="1" applyFont="1" applyFill="1" applyBorder="1" applyAlignment="1">
      <alignment horizontal="center" vertical="center"/>
    </xf>
    <xf numFmtId="0" fontId="3" fillId="3" borderId="9" xfId="0" applyFont="1" applyFill="1" applyBorder="1"/>
    <xf numFmtId="168" fontId="4" fillId="3" borderId="10" xfId="0" applyNumberFormat="1" applyFont="1" applyFill="1" applyBorder="1" applyAlignment="1">
      <alignment horizontal="center" vertical="center"/>
    </xf>
    <xf numFmtId="164" fontId="0" fillId="2" borderId="5" xfId="0" applyNumberFormat="1" applyFill="1" applyBorder="1" applyAlignment="1">
      <alignment horizontal="center" vertical="center"/>
    </xf>
    <xf numFmtId="165" fontId="0" fillId="2" borderId="6" xfId="0" applyNumberFormat="1" applyFill="1" applyBorder="1" applyAlignment="1">
      <alignment horizontal="center" vertical="center"/>
    </xf>
    <xf numFmtId="164" fontId="0" fillId="2" borderId="7" xfId="0" applyNumberFormat="1" applyFill="1" applyBorder="1" applyAlignment="1">
      <alignment horizontal="center" vertical="center"/>
    </xf>
    <xf numFmtId="165" fontId="0" fillId="2" borderId="8" xfId="0" applyNumberFormat="1" applyFill="1" applyBorder="1" applyAlignment="1">
      <alignment horizontal="center" vertical="center"/>
    </xf>
    <xf numFmtId="164" fontId="0" fillId="2" borderId="9" xfId="0" applyNumberFormat="1" applyFill="1" applyBorder="1" applyAlignment="1">
      <alignment horizontal="center" vertical="center"/>
    </xf>
    <xf numFmtId="165" fontId="0" fillId="2" borderId="10" xfId="0" applyNumberFormat="1" applyFill="1" applyBorder="1" applyAlignment="1">
      <alignment horizontal="center" vertical="center"/>
    </xf>
    <xf numFmtId="0" fontId="3" fillId="3" borderId="6" xfId="0" applyFont="1" applyFill="1" applyBorder="1"/>
    <xf numFmtId="0" fontId="3" fillId="3" borderId="8" xfId="0" applyFont="1" applyFill="1" applyBorder="1"/>
    <xf numFmtId="0" fontId="3" fillId="3" borderId="10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CC"/>
      <color rgb="FF0066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G31"/>
  <sheetViews>
    <sheetView showGridLines="0" zoomScaleNormal="100" workbookViewId="0"/>
  </sheetViews>
  <sheetFormatPr defaultRowHeight="15" x14ac:dyDescent="0.25"/>
  <cols>
    <col min="2" max="2" width="31" bestFit="1" customWidth="1"/>
    <col min="3" max="3" width="35.5703125" bestFit="1" customWidth="1"/>
    <col min="5" max="5" width="15.28515625" bestFit="1" customWidth="1"/>
    <col min="6" max="6" width="16.140625" style="20" customWidth="1"/>
    <col min="7" max="7" width="11.28515625" bestFit="1" customWidth="1"/>
  </cols>
  <sheetData>
    <row r="2" spans="2:7" x14ac:dyDescent="0.25">
      <c r="B2" s="23" t="s">
        <v>74</v>
      </c>
      <c r="C2" s="27" t="str">
        <f ca="1">_xll.meLWOBondCreate(C6,B5:C11,B14:C31)</f>
        <v>DE0001135440@3:6</v>
      </c>
      <c r="E2" s="30" t="s">
        <v>76</v>
      </c>
      <c r="F2" s="38">
        <v>-4.1893E-3</v>
      </c>
    </row>
    <row r="3" spans="2:7" x14ac:dyDescent="0.25">
      <c r="E3" s="32" t="s">
        <v>81</v>
      </c>
      <c r="F3" s="39">
        <v>42937</v>
      </c>
    </row>
    <row r="4" spans="2:7" x14ac:dyDescent="0.25">
      <c r="B4" s="2" t="s">
        <v>8</v>
      </c>
      <c r="C4" s="3"/>
      <c r="E4" s="23"/>
    </row>
    <row r="5" spans="2:7" x14ac:dyDescent="0.25">
      <c r="B5" s="4" t="s">
        <v>73</v>
      </c>
      <c r="C5" s="28" t="s">
        <v>64</v>
      </c>
      <c r="E5" s="30" t="s">
        <v>78</v>
      </c>
      <c r="F5" s="34">
        <f ca="1">_xll.meLWOBondDirtyPrice($C$2,$F$3,$F$2)</f>
        <v>114.80826938292851</v>
      </c>
    </row>
    <row r="6" spans="2:7" x14ac:dyDescent="0.25">
      <c r="B6" s="5" t="s">
        <v>0</v>
      </c>
      <c r="C6" s="29" t="s">
        <v>46</v>
      </c>
      <c r="E6" s="31" t="s">
        <v>79</v>
      </c>
      <c r="F6" s="33">
        <f ca="1">_xll.meLWOBondAccruedInterestDays($C$2,$F$3)</f>
        <v>17</v>
      </c>
    </row>
    <row r="7" spans="2:7" x14ac:dyDescent="0.25">
      <c r="B7" s="5" t="s">
        <v>9</v>
      </c>
      <c r="C7" s="8" t="s">
        <v>10</v>
      </c>
      <c r="E7" s="31" t="s">
        <v>80</v>
      </c>
      <c r="F7" s="35">
        <f ca="1">_xll.meLWOBondAccruedInterest($C$2,$F$3)</f>
        <v>0.15136986301369865</v>
      </c>
    </row>
    <row r="8" spans="2:7" x14ac:dyDescent="0.25">
      <c r="B8" s="5" t="s">
        <v>11</v>
      </c>
      <c r="C8" s="8" t="s">
        <v>12</v>
      </c>
      <c r="E8" s="31" t="s">
        <v>77</v>
      </c>
      <c r="F8" s="35">
        <f ca="1">_xll.meLWOBondCleanPrice($C$2,$F$3,$F$2,)</f>
        <v>114.65689951991482</v>
      </c>
      <c r="G8" s="37"/>
    </row>
    <row r="9" spans="2:7" x14ac:dyDescent="0.25">
      <c r="B9" s="5" t="s">
        <v>13</v>
      </c>
      <c r="C9" s="9" t="s">
        <v>14</v>
      </c>
      <c r="E9" s="31" t="s">
        <v>76</v>
      </c>
      <c r="F9" s="40">
        <f ca="1">_xll.meLWOBondYield($C$2,$F$3,$F$8)</f>
        <v>-4.1892999999998924E-3</v>
      </c>
      <c r="G9" s="41"/>
    </row>
    <row r="10" spans="2:7" x14ac:dyDescent="0.25">
      <c r="B10" s="5" t="s">
        <v>15</v>
      </c>
      <c r="C10" s="9" t="b">
        <v>1</v>
      </c>
      <c r="E10" s="31" t="s">
        <v>82</v>
      </c>
      <c r="F10" s="36">
        <f ca="1">_xll.meLWOBondModifiedDuration($C$2,$F$3,$F$2)</f>
        <v>3.7983286374432035E-4</v>
      </c>
    </row>
    <row r="11" spans="2:7" x14ac:dyDescent="0.25">
      <c r="B11" s="6" t="s">
        <v>16</v>
      </c>
      <c r="C11" s="10" t="s">
        <v>17</v>
      </c>
      <c r="E11" s="32" t="s">
        <v>83</v>
      </c>
      <c r="F11" s="42">
        <f ca="1">_xll.meLWOBondDV01($C$2,$F$3,$F$2)</f>
        <v>4.360795374124711E-2</v>
      </c>
    </row>
    <row r="12" spans="2:7" x14ac:dyDescent="0.25">
      <c r="B12" s="3"/>
      <c r="C12" s="3"/>
    </row>
    <row r="13" spans="2:7" x14ac:dyDescent="0.25">
      <c r="B13" s="2" t="s">
        <v>18</v>
      </c>
      <c r="C13" s="3"/>
    </row>
    <row r="14" spans="2:7" x14ac:dyDescent="0.25">
      <c r="B14" s="11" t="s">
        <v>19</v>
      </c>
      <c r="C14" s="15" t="s">
        <v>20</v>
      </c>
    </row>
    <row r="15" spans="2:7" x14ac:dyDescent="0.25">
      <c r="B15" s="12" t="s">
        <v>21</v>
      </c>
      <c r="C15" s="16" t="s">
        <v>22</v>
      </c>
    </row>
    <row r="16" spans="2:7" x14ac:dyDescent="0.25">
      <c r="B16" s="13" t="s">
        <v>23</v>
      </c>
      <c r="C16" s="17">
        <v>100</v>
      </c>
    </row>
    <row r="17" spans="2:3" x14ac:dyDescent="0.25">
      <c r="B17" s="13" t="s">
        <v>24</v>
      </c>
      <c r="C17" s="16" t="s">
        <v>25</v>
      </c>
    </row>
    <row r="18" spans="2:3" x14ac:dyDescent="0.25">
      <c r="B18" s="13" t="s">
        <v>1</v>
      </c>
      <c r="C18" s="25">
        <v>40662</v>
      </c>
    </row>
    <row r="19" spans="2:3" x14ac:dyDescent="0.25">
      <c r="B19" s="13" t="s">
        <v>2</v>
      </c>
      <c r="C19" s="25">
        <v>41094</v>
      </c>
    </row>
    <row r="20" spans="2:3" x14ac:dyDescent="0.25">
      <c r="B20" s="13" t="s">
        <v>3</v>
      </c>
      <c r="C20" s="25">
        <v>44016</v>
      </c>
    </row>
    <row r="21" spans="2:3" x14ac:dyDescent="0.25">
      <c r="B21" s="13" t="s">
        <v>4</v>
      </c>
      <c r="C21" s="25">
        <v>44381</v>
      </c>
    </row>
    <row r="22" spans="2:3" x14ac:dyDescent="0.25">
      <c r="B22" s="13" t="s">
        <v>5</v>
      </c>
      <c r="C22" s="26">
        <v>3.2500000000000001E-2</v>
      </c>
    </row>
    <row r="23" spans="2:3" x14ac:dyDescent="0.25">
      <c r="B23" s="13" t="s">
        <v>6</v>
      </c>
      <c r="C23" s="16" t="s">
        <v>75</v>
      </c>
    </row>
    <row r="24" spans="2:3" x14ac:dyDescent="0.25">
      <c r="B24" s="13" t="s">
        <v>7</v>
      </c>
      <c r="C24" s="25">
        <v>40662</v>
      </c>
    </row>
    <row r="25" spans="2:3" x14ac:dyDescent="0.25">
      <c r="B25" s="13" t="s">
        <v>26</v>
      </c>
      <c r="C25" s="16" t="s">
        <v>27</v>
      </c>
    </row>
    <row r="26" spans="2:3" x14ac:dyDescent="0.25">
      <c r="B26" s="13" t="s">
        <v>28</v>
      </c>
      <c r="C26" s="16" t="s">
        <v>29</v>
      </c>
    </row>
    <row r="27" spans="2:3" x14ac:dyDescent="0.25">
      <c r="B27" s="13" t="s">
        <v>30</v>
      </c>
      <c r="C27" s="16" t="s">
        <v>27</v>
      </c>
    </row>
    <row r="28" spans="2:3" x14ac:dyDescent="0.25">
      <c r="B28" s="13" t="s">
        <v>31</v>
      </c>
      <c r="C28" s="16" t="s">
        <v>29</v>
      </c>
    </row>
    <row r="29" spans="2:3" x14ac:dyDescent="0.25">
      <c r="B29" s="13" t="s">
        <v>32</v>
      </c>
      <c r="C29" s="16" t="s">
        <v>33</v>
      </c>
    </row>
    <row r="30" spans="2:3" x14ac:dyDescent="0.25">
      <c r="B30" s="13" t="s">
        <v>34</v>
      </c>
      <c r="C30" s="16" t="s">
        <v>35</v>
      </c>
    </row>
    <row r="31" spans="2:3" x14ac:dyDescent="0.25">
      <c r="B31" s="14" t="s">
        <v>36</v>
      </c>
      <c r="C31" s="18" t="s">
        <v>37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C42"/>
  <sheetViews>
    <sheetView showGridLines="0" workbookViewId="0"/>
  </sheetViews>
  <sheetFormatPr defaultRowHeight="15" x14ac:dyDescent="0.25"/>
  <cols>
    <col min="2" max="2" width="24.85546875" bestFit="1" customWidth="1"/>
    <col min="3" max="3" width="15.7109375" customWidth="1"/>
  </cols>
  <sheetData>
    <row r="2" spans="2:3" x14ac:dyDescent="0.25">
      <c r="B2" s="49" t="s">
        <v>123</v>
      </c>
    </row>
    <row r="3" spans="2:3" x14ac:dyDescent="0.25">
      <c r="B3" s="27" t="str">
        <f ca="1">_xll.meLWOCurveMarketDataCreate("OIS_MKT_DATA",$B$6,$B$9:$C$42)</f>
        <v>OIS_MKT_DATA@6:6</v>
      </c>
    </row>
    <row r="4" spans="2:3" x14ac:dyDescent="0.25">
      <c r="B4" s="20"/>
    </row>
    <row r="5" spans="2:3" x14ac:dyDescent="0.25">
      <c r="B5" s="52" t="s">
        <v>125</v>
      </c>
      <c r="C5" s="51"/>
    </row>
    <row r="6" spans="2:3" x14ac:dyDescent="0.25">
      <c r="B6" s="50" t="s">
        <v>122</v>
      </c>
    </row>
    <row r="8" spans="2:3" x14ac:dyDescent="0.25">
      <c r="B8" t="s">
        <v>120</v>
      </c>
      <c r="C8" t="s">
        <v>121</v>
      </c>
    </row>
    <row r="9" spans="2:3" x14ac:dyDescent="0.25">
      <c r="B9" s="43" t="s">
        <v>86</v>
      </c>
      <c r="C9" s="46">
        <v>-3.5449999999999995E-3</v>
      </c>
    </row>
    <row r="10" spans="2:3" x14ac:dyDescent="0.25">
      <c r="B10" s="45" t="s">
        <v>87</v>
      </c>
      <c r="C10" s="44">
        <v>-3.5449999999999995E-3</v>
      </c>
    </row>
    <row r="11" spans="2:3" x14ac:dyDescent="0.25">
      <c r="B11" s="45" t="s">
        <v>88</v>
      </c>
      <c r="C11" s="44">
        <v>-3.5649999999999996E-3</v>
      </c>
    </row>
    <row r="12" spans="2:3" x14ac:dyDescent="0.25">
      <c r="B12" s="45" t="s">
        <v>89</v>
      </c>
      <c r="C12" s="44">
        <v>-3.5749999999999996E-3</v>
      </c>
    </row>
    <row r="13" spans="2:3" x14ac:dyDescent="0.25">
      <c r="B13" s="45" t="s">
        <v>90</v>
      </c>
      <c r="C13" s="44">
        <v>-3.5849999999999996E-3</v>
      </c>
    </row>
    <row r="14" spans="2:3" x14ac:dyDescent="0.25">
      <c r="B14" s="45" t="s">
        <v>91</v>
      </c>
      <c r="C14" s="44">
        <v>-3.5849999999999996E-3</v>
      </c>
    </row>
    <row r="15" spans="2:3" x14ac:dyDescent="0.25">
      <c r="B15" s="45" t="s">
        <v>92</v>
      </c>
      <c r="C15" s="44">
        <v>-3.5849999999999996E-3</v>
      </c>
    </row>
    <row r="16" spans="2:3" x14ac:dyDescent="0.25">
      <c r="B16" s="45" t="s">
        <v>93</v>
      </c>
      <c r="C16" s="44">
        <v>-3.5799999999999998E-3</v>
      </c>
    </row>
    <row r="17" spans="2:3" x14ac:dyDescent="0.25">
      <c r="B17" s="45" t="s">
        <v>94</v>
      </c>
      <c r="C17" s="44">
        <v>-3.5699999999999998E-3</v>
      </c>
    </row>
    <row r="18" spans="2:3" x14ac:dyDescent="0.25">
      <c r="B18" s="45" t="s">
        <v>95</v>
      </c>
      <c r="C18" s="44">
        <v>-3.6049999999999997E-3</v>
      </c>
    </row>
    <row r="19" spans="2:3" x14ac:dyDescent="0.25">
      <c r="B19" s="45" t="s">
        <v>96</v>
      </c>
      <c r="C19" s="44">
        <v>-3.5649999999999996E-3</v>
      </c>
    </row>
    <row r="20" spans="2:3" x14ac:dyDescent="0.25">
      <c r="B20" s="45" t="s">
        <v>97</v>
      </c>
      <c r="C20" s="44">
        <v>-3.555E-3</v>
      </c>
    </row>
    <row r="21" spans="2:3" x14ac:dyDescent="0.25">
      <c r="B21" s="45" t="s">
        <v>98</v>
      </c>
      <c r="C21" s="44">
        <v>-3.5299999999999997E-3</v>
      </c>
    </row>
    <row r="22" spans="2:3" x14ac:dyDescent="0.25">
      <c r="B22" s="45" t="s">
        <v>99</v>
      </c>
      <c r="C22" s="44">
        <v>-3.5199999999999997E-3</v>
      </c>
    </row>
    <row r="23" spans="2:3" x14ac:dyDescent="0.25">
      <c r="B23" s="45" t="s">
        <v>100</v>
      </c>
      <c r="C23" s="44">
        <v>-3.4999999999999996E-3</v>
      </c>
    </row>
    <row r="24" spans="2:3" x14ac:dyDescent="0.25">
      <c r="B24" s="45" t="s">
        <v>101</v>
      </c>
      <c r="C24" s="44">
        <v>-3.46E-3</v>
      </c>
    </row>
    <row r="25" spans="2:3" x14ac:dyDescent="0.25">
      <c r="B25" s="45" t="s">
        <v>102</v>
      </c>
      <c r="C25" s="44">
        <v>-3.235E-3</v>
      </c>
    </row>
    <row r="26" spans="2:3" x14ac:dyDescent="0.25">
      <c r="B26" s="45" t="s">
        <v>103</v>
      </c>
      <c r="C26" s="44">
        <v>-2.8549999999999999E-3</v>
      </c>
    </row>
    <row r="27" spans="2:3" x14ac:dyDescent="0.25">
      <c r="B27" s="45" t="s">
        <v>104</v>
      </c>
      <c r="C27" s="44">
        <v>-1.8700000000000001E-3</v>
      </c>
    </row>
    <row r="28" spans="2:3" x14ac:dyDescent="0.25">
      <c r="B28" s="45" t="s">
        <v>105</v>
      </c>
      <c r="C28" s="44">
        <v>-6.8999999999999997E-4</v>
      </c>
    </row>
    <row r="29" spans="2:3" x14ac:dyDescent="0.25">
      <c r="B29" s="45" t="s">
        <v>106</v>
      </c>
      <c r="C29" s="44">
        <v>5.8E-4</v>
      </c>
    </row>
    <row r="30" spans="2:3" x14ac:dyDescent="0.25">
      <c r="B30" s="45" t="s">
        <v>107</v>
      </c>
      <c r="C30" s="44">
        <v>1.8800000000000002E-3</v>
      </c>
    </row>
    <row r="31" spans="2:3" x14ac:dyDescent="0.25">
      <c r="B31" s="45" t="s">
        <v>108</v>
      </c>
      <c r="C31" s="44">
        <v>3.1900000000000001E-3</v>
      </c>
    </row>
    <row r="32" spans="2:3" x14ac:dyDescent="0.25">
      <c r="B32" s="45" t="s">
        <v>109</v>
      </c>
      <c r="C32" s="44">
        <v>4.4650000000000002E-3</v>
      </c>
    </row>
    <row r="33" spans="2:3" x14ac:dyDescent="0.25">
      <c r="B33" s="45" t="s">
        <v>110</v>
      </c>
      <c r="C33" s="44">
        <v>5.7349999999999996E-3</v>
      </c>
    </row>
    <row r="34" spans="2:3" x14ac:dyDescent="0.25">
      <c r="B34" s="45" t="s">
        <v>111</v>
      </c>
      <c r="C34" s="44">
        <v>6.8950000000000001E-3</v>
      </c>
    </row>
    <row r="35" spans="2:3" x14ac:dyDescent="0.25">
      <c r="B35" s="45" t="s">
        <v>112</v>
      </c>
      <c r="C35" s="44">
        <v>7.9649999999999999E-3</v>
      </c>
    </row>
    <row r="36" spans="2:3" x14ac:dyDescent="0.25">
      <c r="B36" s="45" t="s">
        <v>113</v>
      </c>
      <c r="C36" s="44">
        <v>8.9049999999999997E-3</v>
      </c>
    </row>
    <row r="37" spans="2:3" x14ac:dyDescent="0.25">
      <c r="B37" s="45" t="s">
        <v>114</v>
      </c>
      <c r="C37" s="44">
        <v>1.1099999999999999E-2</v>
      </c>
    </row>
    <row r="38" spans="2:3" x14ac:dyDescent="0.25">
      <c r="B38" s="45" t="s">
        <v>115</v>
      </c>
      <c r="C38" s="44">
        <v>1.3075E-2</v>
      </c>
    </row>
    <row r="39" spans="2:3" x14ac:dyDescent="0.25">
      <c r="B39" s="45" t="s">
        <v>116</v>
      </c>
      <c r="C39" s="44">
        <v>1.3939999999999999E-2</v>
      </c>
    </row>
    <row r="40" spans="2:3" x14ac:dyDescent="0.25">
      <c r="B40" s="45" t="s">
        <v>117</v>
      </c>
      <c r="C40" s="44">
        <v>1.4355E-2</v>
      </c>
    </row>
    <row r="41" spans="2:3" x14ac:dyDescent="0.25">
      <c r="B41" s="45" t="s">
        <v>118</v>
      </c>
      <c r="C41" s="44">
        <v>1.455E-2</v>
      </c>
    </row>
    <row r="42" spans="2:3" x14ac:dyDescent="0.25">
      <c r="B42" s="47" t="s">
        <v>119</v>
      </c>
      <c r="C42" s="48">
        <v>1.427E-2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N20"/>
  <sheetViews>
    <sheetView showGridLines="0" workbookViewId="0"/>
  </sheetViews>
  <sheetFormatPr defaultRowHeight="15" x14ac:dyDescent="0.25"/>
  <cols>
    <col min="2" max="2" width="20.140625" customWidth="1"/>
    <col min="3" max="3" width="14.7109375" style="20" customWidth="1"/>
    <col min="4" max="7" width="15.7109375" style="20" customWidth="1"/>
    <col min="8" max="9" width="10.7109375" style="20" customWidth="1"/>
    <col min="10" max="10" width="15.7109375" style="20" customWidth="1"/>
    <col min="11" max="11" width="20" style="20" bestFit="1" customWidth="1"/>
    <col min="13" max="13" width="31" bestFit="1" customWidth="1"/>
    <col min="14" max="14" width="35.5703125" bestFit="1" customWidth="1"/>
  </cols>
  <sheetData>
    <row r="2" spans="2:14" x14ac:dyDescent="0.25">
      <c r="B2" s="23" t="s">
        <v>73</v>
      </c>
      <c r="C2" s="1" t="s">
        <v>0</v>
      </c>
      <c r="D2" s="1" t="s">
        <v>1</v>
      </c>
      <c r="E2" s="1" t="s">
        <v>2</v>
      </c>
      <c r="F2" s="1" t="s">
        <v>3</v>
      </c>
      <c r="G2" s="1" t="s">
        <v>4</v>
      </c>
      <c r="H2" s="1" t="s">
        <v>5</v>
      </c>
      <c r="I2" s="1" t="s">
        <v>6</v>
      </c>
      <c r="J2" s="1" t="s">
        <v>7</v>
      </c>
      <c r="K2" s="1" t="s">
        <v>55</v>
      </c>
      <c r="M2" s="2" t="s">
        <v>8</v>
      </c>
      <c r="N2" s="3"/>
    </row>
    <row r="3" spans="2:14" x14ac:dyDescent="0.25">
      <c r="B3" t="s">
        <v>56</v>
      </c>
      <c r="C3" s="20" t="s">
        <v>38</v>
      </c>
      <c r="D3" s="21">
        <v>39402</v>
      </c>
      <c r="E3" s="21">
        <v>39817</v>
      </c>
      <c r="F3" s="21">
        <v>42739</v>
      </c>
      <c r="G3" s="21">
        <v>43104</v>
      </c>
      <c r="H3" s="22">
        <v>0.04</v>
      </c>
      <c r="J3" s="21">
        <v>39402</v>
      </c>
      <c r="K3" s="24" t="str">
        <f ca="1">_xll.meLWOBondCreate(C3,_xll.meUtilityLVBFromMultipleKeysValues($B$2:$C$2,B3:C3,,$M$3:$M$7,$N$3:$N$7),_xll.meUtilityLVBFromMultipleKeysValues($D$2:$J$2,D3:J3,,$M$10:$M$20,$N$10:$N$20),,TRUE)</f>
        <v>DE0001135341@2:6</v>
      </c>
      <c r="M3" s="4" t="s">
        <v>9</v>
      </c>
      <c r="N3" s="7" t="s">
        <v>10</v>
      </c>
    </row>
    <row r="4" spans="2:14" x14ac:dyDescent="0.25">
      <c r="B4" t="s">
        <v>57</v>
      </c>
      <c r="C4" s="20" t="s">
        <v>39</v>
      </c>
      <c r="D4" s="21">
        <v>39598</v>
      </c>
      <c r="E4" s="21">
        <v>39998</v>
      </c>
      <c r="F4" s="21">
        <v>42920</v>
      </c>
      <c r="G4" s="21">
        <v>43285</v>
      </c>
      <c r="H4" s="22">
        <v>4.2500000000000003E-2</v>
      </c>
      <c r="J4" s="21">
        <v>39598</v>
      </c>
      <c r="K4" s="24" t="str">
        <f ca="1">_xll.meLWOBondCreate(C4,_xll.meUtilityLVBFromMultipleKeysValues($B$2:$C$2,B4:C4,,$M$3:$M$7,$N$3:$N$7),_xll.meUtilityLVBFromMultipleKeysValues($D$2:$J$2,D4:J4,,$M$10:$M$20,$N$10:$N$20),,TRUE)</f>
        <v>DE0001135358@18:6</v>
      </c>
      <c r="M4" s="5" t="s">
        <v>11</v>
      </c>
      <c r="N4" s="8" t="s">
        <v>12</v>
      </c>
    </row>
    <row r="5" spans="2:14" x14ac:dyDescent="0.25">
      <c r="B5" t="s">
        <v>58</v>
      </c>
      <c r="C5" s="20" t="s">
        <v>40</v>
      </c>
      <c r="D5" s="21">
        <v>39766</v>
      </c>
      <c r="E5" s="21">
        <v>40182</v>
      </c>
      <c r="F5" s="21">
        <v>43104</v>
      </c>
      <c r="G5" s="21">
        <v>43469</v>
      </c>
      <c r="H5" s="22">
        <v>3.7499999999999999E-2</v>
      </c>
      <c r="J5" s="21">
        <v>39766</v>
      </c>
      <c r="K5" s="24" t="str">
        <f ca="1">_xll.meLWOBondCreate(C5,_xll.meUtilityLVBFromMultipleKeysValues($B$2:$C$2,B5:C5,,$M$3:$M$7,$N$3:$N$7),_xll.meUtilityLVBFromMultipleKeysValues($D$2:$J$2,D5:J5,,$M$10:$M$20,$N$10:$N$20),,TRUE)</f>
        <v>DE0001135374@19:6</v>
      </c>
      <c r="M5" s="5" t="s">
        <v>13</v>
      </c>
      <c r="N5" s="9" t="s">
        <v>14</v>
      </c>
    </row>
    <row r="6" spans="2:14" x14ac:dyDescent="0.25">
      <c r="B6" t="s">
        <v>59</v>
      </c>
      <c r="C6" s="20" t="s">
        <v>41</v>
      </c>
      <c r="D6" s="21">
        <v>39955</v>
      </c>
      <c r="E6" s="21">
        <v>40363</v>
      </c>
      <c r="F6" s="21">
        <v>43285</v>
      </c>
      <c r="G6" s="21">
        <v>43650</v>
      </c>
      <c r="H6" s="22">
        <v>3.5000000000000003E-2</v>
      </c>
      <c r="J6" s="21">
        <v>39955</v>
      </c>
      <c r="K6" s="24" t="str">
        <f ca="1">_xll.meLWOBondCreate(C6,_xll.meUtilityLVBFromMultipleKeysValues($B$2:$C$2,B6:C6,,$M$3:$M$7,$N$3:$N$7),_xll.meUtilityLVBFromMultipleKeysValues($D$2:$J$2,D6:J6,,$M$10:$M$20,$N$10:$N$20),,TRUE)</f>
        <v>DE0001135382@16:6</v>
      </c>
      <c r="M6" s="5" t="s">
        <v>15</v>
      </c>
      <c r="N6" s="9" t="b">
        <v>1</v>
      </c>
    </row>
    <row r="7" spans="2:14" x14ac:dyDescent="0.25">
      <c r="B7" t="s">
        <v>60</v>
      </c>
      <c r="C7" s="20" t="s">
        <v>42</v>
      </c>
      <c r="D7" s="21">
        <v>40130</v>
      </c>
      <c r="E7" s="21">
        <v>40547</v>
      </c>
      <c r="F7" s="21">
        <v>43469</v>
      </c>
      <c r="G7" s="21">
        <v>43834</v>
      </c>
      <c r="H7" s="22">
        <v>3.2500000000000001E-2</v>
      </c>
      <c r="J7" s="21">
        <v>40130</v>
      </c>
      <c r="K7" s="24" t="str">
        <f ca="1">_xll.meLWOBondCreate(C7,_xll.meUtilityLVBFromMultipleKeysValues($B$2:$C$2,B7:C7,,$M$3:$M$7,$N$3:$N$7),_xll.meUtilityLVBFromMultipleKeysValues($D$2:$J$2,D7:J7,,$M$10:$M$20,$N$10:$N$20),,TRUE)</f>
        <v>DE0001135390@10:6</v>
      </c>
      <c r="M7" s="6" t="s">
        <v>16</v>
      </c>
      <c r="N7" s="10" t="s">
        <v>17</v>
      </c>
    </row>
    <row r="8" spans="2:14" x14ac:dyDescent="0.25">
      <c r="B8" t="s">
        <v>61</v>
      </c>
      <c r="C8" s="20" t="s">
        <v>43</v>
      </c>
      <c r="D8" s="21">
        <v>40298</v>
      </c>
      <c r="E8" s="21">
        <v>40728</v>
      </c>
      <c r="F8" s="21">
        <v>43650</v>
      </c>
      <c r="G8" s="21">
        <v>44016</v>
      </c>
      <c r="H8" s="22">
        <v>0.03</v>
      </c>
      <c r="J8" s="21">
        <v>40298</v>
      </c>
      <c r="K8" s="24" t="str">
        <f ca="1">_xll.meLWOBondCreate(C8,_xll.meUtilityLVBFromMultipleKeysValues($B$2:$C$2,B8:C8,,$M$3:$M$7,$N$3:$N$7),_xll.meUtilityLVBFromMultipleKeysValues($D$2:$J$2,D8:J8,,$M$10:$M$20,$N$10:$N$20),,TRUE)</f>
        <v>DE0001135408@15:6</v>
      </c>
      <c r="M8" s="3"/>
      <c r="N8" s="3"/>
    </row>
    <row r="9" spans="2:14" x14ac:dyDescent="0.25">
      <c r="B9" t="s">
        <v>62</v>
      </c>
      <c r="C9" s="20" t="s">
        <v>44</v>
      </c>
      <c r="D9" s="21">
        <v>40410</v>
      </c>
      <c r="E9" s="21">
        <v>40790</v>
      </c>
      <c r="F9" s="21">
        <v>43712</v>
      </c>
      <c r="G9" s="21">
        <v>44078</v>
      </c>
      <c r="H9" s="22">
        <v>2.2499999999999999E-2</v>
      </c>
      <c r="J9" s="21">
        <v>40410</v>
      </c>
      <c r="K9" s="24" t="str">
        <f ca="1">_xll.meLWOBondCreate(C9,_xll.meUtilityLVBFromMultipleKeysValues($B$2:$C$2,B9:C9,,$M$3:$M$7,$N$3:$N$7),_xll.meUtilityLVBFromMultipleKeysValues($D$2:$J$2,D9:J9,,$M$10:$M$20,$N$10:$N$20),,TRUE)</f>
        <v>DE0001135416@5:6</v>
      </c>
      <c r="M9" s="2" t="s">
        <v>18</v>
      </c>
      <c r="N9" s="3"/>
    </row>
    <row r="10" spans="2:14" x14ac:dyDescent="0.25">
      <c r="B10" t="s">
        <v>63</v>
      </c>
      <c r="C10" s="20" t="s">
        <v>45</v>
      </c>
      <c r="D10" s="21">
        <v>40508</v>
      </c>
      <c r="E10" s="21">
        <v>40912</v>
      </c>
      <c r="F10" s="21">
        <v>43834</v>
      </c>
      <c r="G10" s="21">
        <v>44200</v>
      </c>
      <c r="H10" s="22">
        <v>2.5000000000000001E-2</v>
      </c>
      <c r="J10" s="21">
        <v>40508</v>
      </c>
      <c r="K10" s="24" t="str">
        <f ca="1">_xll.meLWOBondCreate(C10,_xll.meUtilityLVBFromMultipleKeysValues($B$2:$C$2,B10:C10,,$M$3:$M$7,$N$3:$N$7),_xll.meUtilityLVBFromMultipleKeysValues($D$2:$J$2,D10:J10,,$M$10:$M$20,$N$10:$N$20),,TRUE)</f>
        <v>DE0001135424@9:6</v>
      </c>
      <c r="M10" s="11" t="s">
        <v>19</v>
      </c>
      <c r="N10" s="15" t="s">
        <v>20</v>
      </c>
    </row>
    <row r="11" spans="2:14" x14ac:dyDescent="0.25">
      <c r="B11" t="s">
        <v>64</v>
      </c>
      <c r="C11" s="20" t="s">
        <v>46</v>
      </c>
      <c r="D11" s="21">
        <v>40662</v>
      </c>
      <c r="E11" s="21">
        <v>41094</v>
      </c>
      <c r="F11" s="21">
        <v>44016</v>
      </c>
      <c r="G11" s="21">
        <v>44381</v>
      </c>
      <c r="H11" s="22">
        <v>3.2500000000000001E-2</v>
      </c>
      <c r="J11" s="21">
        <v>40662</v>
      </c>
      <c r="K11" s="24" t="str">
        <f ca="1">_xll.meLWOBondCreate(C11,_xll.meUtilityLVBFromMultipleKeysValues($B$2:$C$2,B11:C11,,$M$3:$M$7,$N$3:$N$7),_xll.meUtilityLVBFromMultipleKeysValues($D$2:$J$2,D11:J11,,$M$10:$M$20,$N$10:$N$20),,TRUE)</f>
        <v>DE0001135440@4:6</v>
      </c>
      <c r="M11" s="12" t="s">
        <v>21</v>
      </c>
      <c r="N11" s="16" t="s">
        <v>22</v>
      </c>
    </row>
    <row r="12" spans="2:14" x14ac:dyDescent="0.25">
      <c r="B12" t="s">
        <v>65</v>
      </c>
      <c r="C12" s="20" t="s">
        <v>47</v>
      </c>
      <c r="D12" s="21">
        <v>40781</v>
      </c>
      <c r="E12" s="21">
        <v>41156</v>
      </c>
      <c r="F12" s="21">
        <v>44078</v>
      </c>
      <c r="G12" s="21">
        <v>44443</v>
      </c>
      <c r="H12" s="22">
        <v>2.2499999999999999E-2</v>
      </c>
      <c r="J12" s="21">
        <v>40781</v>
      </c>
      <c r="K12" s="24" t="str">
        <f ca="1">_xll.meLWOBondCreate(C12,_xll.meUtilityLVBFromMultipleKeysValues($B$2:$C$2,B12:C12,,$M$3:$M$7,$N$3:$N$7),_xll.meUtilityLVBFromMultipleKeysValues($D$2:$J$2,D12:J12,,$M$10:$M$20,$N$10:$N$20),,TRUE)</f>
        <v>DE0001135457@17:6</v>
      </c>
      <c r="M12" s="13" t="s">
        <v>23</v>
      </c>
      <c r="N12" s="17">
        <v>1000000</v>
      </c>
    </row>
    <row r="13" spans="2:14" x14ac:dyDescent="0.25">
      <c r="B13" t="s">
        <v>66</v>
      </c>
      <c r="C13" s="20" t="s">
        <v>48</v>
      </c>
      <c r="D13" s="21">
        <v>40872</v>
      </c>
      <c r="E13" s="21">
        <v>41278</v>
      </c>
      <c r="F13" s="21">
        <v>44200</v>
      </c>
      <c r="G13" s="21">
        <v>44565</v>
      </c>
      <c r="H13" s="22">
        <v>0.02</v>
      </c>
      <c r="J13" s="21">
        <v>40872</v>
      </c>
      <c r="K13" s="24" t="str">
        <f ca="1">_xll.meLWOBondCreate(C13,_xll.meUtilityLVBFromMultipleKeysValues($B$2:$C$2,B13:C13,,$M$3:$M$7,$N$3:$N$7),_xll.meUtilityLVBFromMultipleKeysValues($D$2:$J$2,D13:J13,,$M$10:$M$20,$N$10:$N$20),,TRUE)</f>
        <v>DE0001135465@7:6</v>
      </c>
      <c r="M13" s="13" t="s">
        <v>24</v>
      </c>
      <c r="N13" s="16" t="s">
        <v>25</v>
      </c>
    </row>
    <row r="14" spans="2:14" x14ac:dyDescent="0.25">
      <c r="B14" t="s">
        <v>67</v>
      </c>
      <c r="C14" s="20" t="s">
        <v>49</v>
      </c>
      <c r="D14" s="21">
        <v>41012</v>
      </c>
      <c r="E14" s="21">
        <v>41459</v>
      </c>
      <c r="F14" s="21">
        <v>44381</v>
      </c>
      <c r="G14" s="21">
        <v>44746</v>
      </c>
      <c r="H14" s="22">
        <v>1.7500000000000002E-2</v>
      </c>
      <c r="J14" s="21">
        <v>41012</v>
      </c>
      <c r="K14" s="24" t="str">
        <f ca="1">_xll.meLWOBondCreate(C14,_xll.meUtilityLVBFromMultipleKeysValues($B$2:$C$2,B14:C14,,$M$3:$M$7,$N$3:$N$7),_xll.meUtilityLVBFromMultipleKeysValues($D$2:$J$2,D14:J14,,$M$10:$M$20,$N$10:$N$20),,TRUE)</f>
        <v>DE0001135473@20:6</v>
      </c>
      <c r="M14" s="13" t="s">
        <v>26</v>
      </c>
      <c r="N14" s="19" t="s">
        <v>27</v>
      </c>
    </row>
    <row r="15" spans="2:14" x14ac:dyDescent="0.25">
      <c r="B15" t="s">
        <v>68</v>
      </c>
      <c r="C15" s="20" t="s">
        <v>50</v>
      </c>
      <c r="D15" s="21">
        <v>41159</v>
      </c>
      <c r="E15" s="21">
        <v>41521</v>
      </c>
      <c r="F15" s="21">
        <v>44443</v>
      </c>
      <c r="G15" s="21">
        <v>44808</v>
      </c>
      <c r="H15" s="22">
        <v>1.4999999999999999E-2</v>
      </c>
      <c r="J15" s="21">
        <v>41156</v>
      </c>
      <c r="K15" s="24" t="str">
        <f ca="1">_xll.meLWOBondCreate(C15,_xll.meUtilityLVBFromMultipleKeysValues($B$2:$C$2,B15:C15,,$M$3:$M$7,$N$3:$N$7),_xll.meUtilityLVBFromMultipleKeysValues($D$2:$J$2,D15:J15,,$M$10:$M$20,$N$10:$N$20),,TRUE)</f>
        <v>DE0001135499@1:6</v>
      </c>
      <c r="M15" s="13" t="s">
        <v>28</v>
      </c>
      <c r="N15" s="16" t="s">
        <v>29</v>
      </c>
    </row>
    <row r="16" spans="2:14" x14ac:dyDescent="0.25">
      <c r="B16" t="s">
        <v>69</v>
      </c>
      <c r="C16" s="20" t="s">
        <v>51</v>
      </c>
      <c r="D16" s="21">
        <v>41292</v>
      </c>
      <c r="E16" s="21">
        <v>41685</v>
      </c>
      <c r="F16" s="21">
        <v>44607</v>
      </c>
      <c r="G16" s="21">
        <v>44972</v>
      </c>
      <c r="H16" s="22">
        <v>1.4999999999999999E-2</v>
      </c>
      <c r="J16" s="21">
        <v>41292</v>
      </c>
      <c r="K16" s="24" t="str">
        <f ca="1">_xll.meLWOBondCreate(C16,_xll.meUtilityLVBFromMultipleKeysValues($B$2:$C$2,B16:C16,,$M$3:$M$7,$N$3:$N$7),_xll.meUtilityLVBFromMultipleKeysValues($D$2:$J$2,D16:J16,,$M$10:$M$20,$N$10:$N$20),,TRUE)</f>
        <v>DE0001102309@14:6</v>
      </c>
      <c r="M16" s="13" t="s">
        <v>30</v>
      </c>
      <c r="N16" s="16" t="s">
        <v>27</v>
      </c>
    </row>
    <row r="17" spans="2:14" x14ac:dyDescent="0.25">
      <c r="B17" t="s">
        <v>70</v>
      </c>
      <c r="C17" s="20" t="s">
        <v>52</v>
      </c>
      <c r="D17" s="21">
        <v>41418</v>
      </c>
      <c r="E17" s="21">
        <v>41774</v>
      </c>
      <c r="F17" s="21">
        <v>44696</v>
      </c>
      <c r="G17" s="21">
        <v>45061</v>
      </c>
      <c r="H17" s="22">
        <v>1.4999999999999999E-2</v>
      </c>
      <c r="J17" s="21">
        <v>41409</v>
      </c>
      <c r="K17" s="24" t="str">
        <f ca="1">_xll.meLWOBondCreate(C17,_xll.meUtilityLVBFromMultipleKeysValues($B$2:$C$2,B17:C17,,$M$3:$M$7,$N$3:$N$7),_xll.meUtilityLVBFromMultipleKeysValues($D$2:$J$2,D17:J17,,$M$10:$M$20,$N$10:$N$20),,TRUE)</f>
        <v>DE0001102317@12:6</v>
      </c>
      <c r="M17" s="13" t="s">
        <v>31</v>
      </c>
      <c r="N17" s="16" t="s">
        <v>29</v>
      </c>
    </row>
    <row r="18" spans="2:14" x14ac:dyDescent="0.25">
      <c r="B18" t="s">
        <v>71</v>
      </c>
      <c r="C18" s="20" t="s">
        <v>53</v>
      </c>
      <c r="D18" s="21">
        <v>41530</v>
      </c>
      <c r="E18" s="21">
        <v>41866</v>
      </c>
      <c r="F18" s="21">
        <v>44788</v>
      </c>
      <c r="G18" s="21">
        <v>45153</v>
      </c>
      <c r="H18" s="22">
        <v>0.02</v>
      </c>
      <c r="J18" s="21">
        <v>41501</v>
      </c>
      <c r="K18" s="24" t="str">
        <f ca="1">_xll.meLWOBondCreate(C18,_xll.meUtilityLVBFromMultipleKeysValues($B$2:$C$2,B18:C18,,$M$3:$M$7,$N$3:$N$7),_xll.meUtilityLVBFromMultipleKeysValues($D$2:$J$2,D18:J18,,$M$10:$M$20,$N$10:$N$20),,TRUE)</f>
        <v>DE0001102325@8:6</v>
      </c>
      <c r="M18" s="13" t="s">
        <v>32</v>
      </c>
      <c r="N18" s="16" t="s">
        <v>33</v>
      </c>
    </row>
    <row r="19" spans="2:14" x14ac:dyDescent="0.25">
      <c r="B19" t="s">
        <v>72</v>
      </c>
      <c r="C19" s="20" t="s">
        <v>54</v>
      </c>
      <c r="D19" s="21">
        <v>34338</v>
      </c>
      <c r="E19" s="21">
        <v>34703</v>
      </c>
      <c r="F19" s="21">
        <v>44930</v>
      </c>
      <c r="G19" s="21">
        <v>45295</v>
      </c>
      <c r="H19" s="22">
        <v>6.25E-2</v>
      </c>
      <c r="J19" s="21">
        <v>34338</v>
      </c>
      <c r="K19" s="24" t="str">
        <f ca="1">_xll.meLWOBondCreate(C19,_xll.meUtilityLVBFromMultipleKeysValues($B$2:$C$2,B19:C19,,$M$3:$M$7,$N$3:$N$7),_xll.meUtilityLVBFromMultipleKeysValues($D$2:$J$2,D19:J19,,$M$10:$M$20,$N$10:$N$20),,TRUE)</f>
        <v>DE0001134922@13:6</v>
      </c>
      <c r="M19" s="13" t="s">
        <v>34</v>
      </c>
      <c r="N19" s="16" t="s">
        <v>35</v>
      </c>
    </row>
    <row r="20" spans="2:14" x14ac:dyDescent="0.25">
      <c r="B20" t="s">
        <v>85</v>
      </c>
      <c r="C20" s="20" t="s">
        <v>84</v>
      </c>
      <c r="D20" s="21">
        <v>41670</v>
      </c>
      <c r="E20" s="21">
        <v>42050</v>
      </c>
      <c r="F20" s="21">
        <v>44972</v>
      </c>
      <c r="G20" s="21">
        <v>45337</v>
      </c>
      <c r="H20" s="22">
        <v>1.7500000000000002E-2</v>
      </c>
      <c r="I20" s="20" t="s">
        <v>75</v>
      </c>
      <c r="J20" s="21">
        <v>41670</v>
      </c>
      <c r="K20" s="24" t="str">
        <f ca="1">_xll.meLWOBondCreate(C20,_xll.meUtilityLVBFromMultipleKeysValues($B$2:$C$2,B20:C20,,$M$3:$M$7,$N$3:$N$7),_xll.meUtilityLVBFromMultipleKeysValues($D$2:$J$2,D20:J20,,$M$10:$M$20,$N$10:$N$20),,TRUE)</f>
        <v>DE0001102333@11:6</v>
      </c>
      <c r="M20" s="14" t="s">
        <v>36</v>
      </c>
      <c r="N20" s="18" t="s">
        <v>37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F22"/>
  <sheetViews>
    <sheetView showGridLines="0" tabSelected="1" workbookViewId="0"/>
  </sheetViews>
  <sheetFormatPr defaultRowHeight="15" x14ac:dyDescent="0.25"/>
  <cols>
    <col min="2" max="2" width="20.42578125" customWidth="1"/>
    <col min="3" max="3" width="22" customWidth="1"/>
    <col min="4" max="4" width="20.42578125" style="20" customWidth="1"/>
    <col min="5" max="5" width="15.7109375" style="20" customWidth="1"/>
    <col min="6" max="6" width="15.7109375" customWidth="1"/>
  </cols>
  <sheetData>
    <row r="2" spans="2:6" x14ac:dyDescent="0.25">
      <c r="B2" s="23" t="s">
        <v>128</v>
      </c>
    </row>
    <row r="4" spans="2:6" x14ac:dyDescent="0.25">
      <c r="B4" t="s">
        <v>126</v>
      </c>
      <c r="C4" t="s">
        <v>127</v>
      </c>
      <c r="D4" s="20" t="s">
        <v>81</v>
      </c>
      <c r="E4" s="20" t="s">
        <v>76</v>
      </c>
      <c r="F4" s="20" t="s">
        <v>124</v>
      </c>
    </row>
    <row r="5" spans="2:6" x14ac:dyDescent="0.25">
      <c r="B5" s="53" t="str">
        <f ca="1">'Create Bonds'!K3</f>
        <v>DE0001135341@2:6</v>
      </c>
      <c r="C5" s="65" t="str">
        <f ca="1">'Market Data'!$B$3</f>
        <v>OIS_MKT_DATA@6:6</v>
      </c>
      <c r="D5" s="59">
        <v>42937</v>
      </c>
      <c r="E5" s="60">
        <v>-7.1299213269265197E-3</v>
      </c>
      <c r="F5" s="54">
        <f ca="1">_xll.meLWOBondOisSpread(B5,C5,D5,E5)</f>
        <v>-35.441148753136162</v>
      </c>
    </row>
    <row r="6" spans="2:6" x14ac:dyDescent="0.25">
      <c r="B6" s="55" t="str">
        <f ca="1">'Create Bonds'!K4</f>
        <v>DE0001135358@18:6</v>
      </c>
      <c r="C6" s="66" t="str">
        <f ca="1">'Market Data'!$B$3</f>
        <v>OIS_MKT_DATA@6:6</v>
      </c>
      <c r="D6" s="61">
        <v>42937</v>
      </c>
      <c r="E6" s="62">
        <v>-6.9265594936305909E-3</v>
      </c>
      <c r="F6" s="56">
        <f ca="1">_xll.meLWOBondOisSpread(B6,C6,D6,E6)</f>
        <v>-34.438928269639234</v>
      </c>
    </row>
    <row r="7" spans="2:6" x14ac:dyDescent="0.25">
      <c r="B7" s="55" t="str">
        <f ca="1">'Create Bonds'!K5</f>
        <v>DE0001135374@19:6</v>
      </c>
      <c r="C7" s="66" t="str">
        <f ca="1">'Market Data'!$B$3</f>
        <v>OIS_MKT_DATA@6:6</v>
      </c>
      <c r="D7" s="61">
        <v>42937</v>
      </c>
      <c r="E7" s="62">
        <v>-7.0545114849169602E-3</v>
      </c>
      <c r="F7" s="56">
        <f ca="1">_xll.meLWOBondOisSpread(B7,C7,D7,E7)</f>
        <v>-37.987234414386997</v>
      </c>
    </row>
    <row r="8" spans="2:6" x14ac:dyDescent="0.25">
      <c r="B8" s="55" t="str">
        <f ca="1">'Create Bonds'!K6</f>
        <v>DE0001135382@16:6</v>
      </c>
      <c r="C8" s="66" t="str">
        <f ca="1">'Market Data'!$B$3</f>
        <v>OIS_MKT_DATA@6:6</v>
      </c>
      <c r="D8" s="61">
        <v>42937</v>
      </c>
      <c r="E8" s="62">
        <v>-6.7538607614446066E-3</v>
      </c>
      <c r="F8" s="56">
        <f ca="1">_xll.meLWOBondOisSpread(B8,C8,D8,E8)</f>
        <v>-38.631701537098039</v>
      </c>
    </row>
    <row r="9" spans="2:6" x14ac:dyDescent="0.25">
      <c r="B9" s="55" t="str">
        <f ca="1">'Create Bonds'!K7</f>
        <v>DE0001135390@10:6</v>
      </c>
      <c r="C9" s="66" t="str">
        <f ca="1">'Market Data'!$B$3</f>
        <v>OIS_MKT_DATA@6:6</v>
      </c>
      <c r="D9" s="61">
        <v>42937</v>
      </c>
      <c r="E9" s="62">
        <v>-6.1211304645661492E-3</v>
      </c>
      <c r="F9" s="56">
        <f ca="1">_xll.meLWOBondOisSpread(B9,C9,D9,E9)</f>
        <v>-37.155703552765324</v>
      </c>
    </row>
    <row r="10" spans="2:6" x14ac:dyDescent="0.25">
      <c r="B10" s="55" t="str">
        <f ca="1">'Create Bonds'!K8</f>
        <v>DE0001135408@15:6</v>
      </c>
      <c r="C10" s="66" t="str">
        <f ca="1">'Market Data'!$B$3</f>
        <v>OIS_MKT_DATA@6:6</v>
      </c>
      <c r="D10" s="61">
        <v>42937</v>
      </c>
      <c r="E10" s="62">
        <v>-5.5910697808720065E-3</v>
      </c>
      <c r="F10" s="56">
        <f ca="1">_xll.meLWOBondOisSpread(B10,C10,D10,E10)</f>
        <v>-36.753184147517914</v>
      </c>
    </row>
    <row r="11" spans="2:6" x14ac:dyDescent="0.25">
      <c r="B11" s="55" t="str">
        <f ca="1">'Create Bonds'!K9</f>
        <v>DE0001135416@5:6</v>
      </c>
      <c r="C11" s="66" t="str">
        <f ca="1">'Market Data'!$B$3</f>
        <v>OIS_MKT_DATA@6:6</v>
      </c>
      <c r="D11" s="61">
        <v>42937</v>
      </c>
      <c r="E11" s="62">
        <v>-5.4245825971861684E-3</v>
      </c>
      <c r="F11" s="56">
        <f ca="1">_xll.meLWOBondOisSpread(B11,C11,D11,E11)</f>
        <v>-37.000620492409645</v>
      </c>
    </row>
    <row r="12" spans="2:6" x14ac:dyDescent="0.25">
      <c r="B12" s="55" t="str">
        <f ca="1">'Create Bonds'!K10</f>
        <v>DE0001135424@9:6</v>
      </c>
      <c r="C12" s="66" t="str">
        <f ca="1">'Market Data'!$B$3</f>
        <v>OIS_MKT_DATA@6:6</v>
      </c>
      <c r="D12" s="61">
        <v>42937</v>
      </c>
      <c r="E12" s="62">
        <v>-4.7856115413850552E-3</v>
      </c>
      <c r="F12" s="56">
        <f ca="1">_xll.meLWOBondOisSpread(B12,C12,D12,E12)</f>
        <v>-34.55501952343964</v>
      </c>
    </row>
    <row r="13" spans="2:6" x14ac:dyDescent="0.25">
      <c r="B13" s="55" t="str">
        <f ca="1">'Create Bonds'!K11</f>
        <v>DE0001135440@4:6</v>
      </c>
      <c r="C13" s="66" t="str">
        <f ca="1">'Market Data'!$B$3</f>
        <v>OIS_MKT_DATA@6:6</v>
      </c>
      <c r="D13" s="61">
        <v>42937</v>
      </c>
      <c r="E13" s="62">
        <v>-4.1892970829792778E-3</v>
      </c>
      <c r="F13" s="56">
        <f ca="1">_xll.meLWOBondOisSpread(B13,C13,D13,E13)</f>
        <v>-34.443381788696918</v>
      </c>
    </row>
    <row r="14" spans="2:6" x14ac:dyDescent="0.25">
      <c r="B14" s="55" t="str">
        <f ca="1">'Create Bonds'!K12</f>
        <v>DE0001135457@17:6</v>
      </c>
      <c r="C14" s="66" t="str">
        <f ca="1">'Market Data'!$B$3</f>
        <v>OIS_MKT_DATA@6:6</v>
      </c>
      <c r="D14" s="61">
        <v>42937</v>
      </c>
      <c r="E14" s="62">
        <v>-3.9144663135555844E-3</v>
      </c>
      <c r="F14" s="56">
        <f ca="1">_xll.meLWOBondOisSpread(B14,C14,D14,E14)</f>
        <v>-33.810416560213334</v>
      </c>
    </row>
    <row r="15" spans="2:6" x14ac:dyDescent="0.25">
      <c r="B15" s="55" t="str">
        <f ca="1">'Create Bonds'!K13</f>
        <v>DE0001135465@7:6</v>
      </c>
      <c r="C15" s="66" t="str">
        <f ca="1">'Market Data'!$B$3</f>
        <v>OIS_MKT_DATA@6:6</v>
      </c>
      <c r="D15" s="61">
        <v>42937</v>
      </c>
      <c r="E15" s="62">
        <v>-3.3405983259858769E-3</v>
      </c>
      <c r="F15" s="56">
        <f ca="1">_xll.meLWOBondOisSpread(B15,C15,D15,E15)</f>
        <v>-32.31666819136565</v>
      </c>
    </row>
    <row r="16" spans="2:6" x14ac:dyDescent="0.25">
      <c r="B16" s="55" t="str">
        <f ca="1">'Create Bonds'!K14</f>
        <v>DE0001135473@20:6</v>
      </c>
      <c r="C16" s="66" t="str">
        <f ca="1">'Market Data'!$B$3</f>
        <v>OIS_MKT_DATA@6:6</v>
      </c>
      <c r="D16" s="61">
        <v>42937</v>
      </c>
      <c r="E16" s="62">
        <v>-2.5807022643193648E-3</v>
      </c>
      <c r="F16" s="56">
        <f ca="1">_xll.meLWOBondOisSpread(B16,C16,D16,E16)</f>
        <v>-31.015515793878535</v>
      </c>
    </row>
    <row r="17" spans="2:6" x14ac:dyDescent="0.25">
      <c r="B17" s="55" t="str">
        <f ca="1">'Create Bonds'!K15</f>
        <v>DE0001135499@1:6</v>
      </c>
      <c r="C17" s="66" t="str">
        <f ca="1">'Market Data'!$B$3</f>
        <v>OIS_MKT_DATA@6:6</v>
      </c>
      <c r="D17" s="61">
        <v>42937</v>
      </c>
      <c r="E17" s="62">
        <v>-2.279694631385248E-3</v>
      </c>
      <c r="F17" s="56">
        <f ca="1">_xll.meLWOBondOisSpread(B17,C17,D17,E17)</f>
        <v>-30.1996860398799</v>
      </c>
    </row>
    <row r="18" spans="2:6" x14ac:dyDescent="0.25">
      <c r="B18" s="55" t="str">
        <f ca="1">'Create Bonds'!K16</f>
        <v>DE0001102309@14:6</v>
      </c>
      <c r="C18" s="66" t="str">
        <f ca="1">'Market Data'!$B$3</f>
        <v>OIS_MKT_DATA@6:6</v>
      </c>
      <c r="D18" s="61">
        <v>42937</v>
      </c>
      <c r="E18" s="62">
        <v>-1.4884264673594985E-3</v>
      </c>
      <c r="F18" s="56">
        <f ca="1">_xll.meLWOBondOisSpread(B18,C18,D18,E18)</f>
        <v>-28.128100290033359</v>
      </c>
    </row>
    <row r="19" spans="2:6" x14ac:dyDescent="0.25">
      <c r="B19" s="55" t="str">
        <f ca="1">'Create Bonds'!K17</f>
        <v>DE0001102317@12:6</v>
      </c>
      <c r="C19" s="66" t="str">
        <f ca="1">'Market Data'!$B$3</f>
        <v>OIS_MKT_DATA@6:6</v>
      </c>
      <c r="D19" s="61">
        <v>42937</v>
      </c>
      <c r="E19" s="62">
        <v>-1.186930067672404E-3</v>
      </c>
      <c r="F19" s="56">
        <f ca="1">_xll.meLWOBondOisSpread(B19,C19,D19,E19)</f>
        <v>-28.282999306860987</v>
      </c>
    </row>
    <row r="20" spans="2:6" x14ac:dyDescent="0.25">
      <c r="B20" s="55" t="str">
        <f ca="1">'Create Bonds'!K18</f>
        <v>DE0001102325@8:6</v>
      </c>
      <c r="C20" s="66" t="str">
        <f ca="1">'Market Data'!$B$3</f>
        <v>OIS_MKT_DATA@6:6</v>
      </c>
      <c r="D20" s="61">
        <v>42937</v>
      </c>
      <c r="E20" s="62">
        <v>-8.0558083122603665E-4</v>
      </c>
      <c r="F20" s="56">
        <f ca="1">_xll.meLWOBondOisSpread(B20,C20,D20,E20)</f>
        <v>-27.750617055429771</v>
      </c>
    </row>
    <row r="21" spans="2:6" x14ac:dyDescent="0.25">
      <c r="B21" s="55" t="str">
        <f ca="1">'Create Bonds'!K19</f>
        <v>DE0001134922@13:6</v>
      </c>
      <c r="C21" s="66" t="str">
        <f ca="1">'Market Data'!$B$3</f>
        <v>OIS_MKT_DATA@6:6</v>
      </c>
      <c r="D21" s="61">
        <v>42937</v>
      </c>
      <c r="E21" s="62">
        <v>-3.2322638866075069E-4</v>
      </c>
      <c r="F21" s="56">
        <f ca="1">_xll.meLWOBondOisSpread(B21,C21,D21,E21)</f>
        <v>-28.009586290979094</v>
      </c>
    </row>
    <row r="22" spans="2:6" x14ac:dyDescent="0.25">
      <c r="B22" s="57" t="str">
        <f ca="1">'Create Bonds'!K20</f>
        <v>DE0001102333@11:6</v>
      </c>
      <c r="C22" s="67" t="str">
        <f ca="1">'Market Data'!$B$3</f>
        <v>OIS_MKT_DATA@6:6</v>
      </c>
      <c r="D22" s="63">
        <v>42937</v>
      </c>
      <c r="E22" s="64">
        <v>-2.0293942082488407E-4</v>
      </c>
      <c r="F22" s="58">
        <f ca="1">_xll.meLWOBondOisSpread(B22,C22,D22,E22)</f>
        <v>-28.309995301145015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Bond Template</vt:lpstr>
      <vt:lpstr>Market Data</vt:lpstr>
      <vt:lpstr>Create Bonds</vt:lpstr>
      <vt:lpstr>Asset Swap O-Spread</vt:lpstr>
    </vt:vector>
  </TitlesOfParts>
  <Company>Mizuho International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Burgess</dc:creator>
  <cp:lastModifiedBy>Nicholas Burgess</cp:lastModifiedBy>
  <dcterms:created xsi:type="dcterms:W3CDTF">2017-07-21T11:14:21Z</dcterms:created>
  <dcterms:modified xsi:type="dcterms:W3CDTF">2017-07-21T13:45:33Z</dcterms:modified>
</cp:coreProperties>
</file>