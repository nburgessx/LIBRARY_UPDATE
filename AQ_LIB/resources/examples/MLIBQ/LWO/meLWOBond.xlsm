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45" windowWidth="16275" windowHeight="7485"/>
  </bookViews>
  <sheets>
    <sheet name="Bond Objects" sheetId="7" r:id="rId1"/>
    <sheet name="Bond Schedules" sheetId="1" r:id="rId2"/>
    <sheet name="Bond Cashflows" sheetId="4" r:id="rId3"/>
    <sheet name="Bond Pricing" sheetId="6" r:id="rId4"/>
  </sheets>
  <definedNames>
    <definedName name="_xlnm._FilterDatabase" localSheetId="3" hidden="1">'Bond Pricing'!$B$6:$G$6</definedName>
    <definedName name="BondObjectHandle">'Bond Objects'!$C$3</definedName>
    <definedName name="Periodicity">'Bond Pricing'!$C$3</definedName>
    <definedName name="PricingStartDate">'Bond Pricing'!$C$2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7" i="6" l="1"/>
  <c r="B8" i="6"/>
  <c r="H7" i="7"/>
  <c r="C3" i="7"/>
  <c r="B7" i="4" a="1"/>
  <c r="H4" i="7"/>
  <c r="H13" i="7" a="1"/>
  <c r="Q15" i="4"/>
  <c r="H10" i="7"/>
  <c r="Q13" i="4"/>
  <c r="B3" i="1" a="1"/>
  <c r="Q12" i="4"/>
  <c r="Q14" i="4"/>
  <c r="C2" i="7" l="1"/>
  <c r="G7" i="4"/>
  <c r="F12" i="4"/>
  <c r="E17" i="4"/>
  <c r="D22" i="4"/>
  <c r="C27" i="4"/>
  <c r="B32" i="4"/>
  <c r="D11" i="4"/>
  <c r="C16" i="4"/>
  <c r="B21" i="4"/>
  <c r="N25" i="4"/>
  <c r="M30" i="4"/>
  <c r="E12" i="4"/>
  <c r="M18" i="4"/>
  <c r="H25" i="4"/>
  <c r="N31" i="4"/>
  <c r="H12" i="4"/>
  <c r="N18" i="4"/>
  <c r="I25" i="4"/>
  <c r="M10" i="4"/>
  <c r="N10" i="4"/>
  <c r="I17" i="4"/>
  <c r="D24" i="4"/>
  <c r="J30" i="4"/>
  <c r="N11" i="4"/>
  <c r="G18" i="4"/>
  <c r="B25" i="4"/>
  <c r="J31" i="4"/>
  <c r="B12" i="4"/>
  <c r="J18" i="4"/>
  <c r="C25" i="4"/>
  <c r="K31" i="4"/>
  <c r="C12" i="4"/>
  <c r="K18" i="4"/>
  <c r="D25" i="4"/>
  <c r="L31" i="4"/>
  <c r="D12" i="4"/>
  <c r="L18" i="4"/>
  <c r="G25" i="4"/>
  <c r="M31" i="4"/>
  <c r="N32" i="4"/>
  <c r="G22" i="4"/>
  <c r="E18" i="4"/>
  <c r="K20" i="4"/>
  <c r="B8" i="4"/>
  <c r="K27" i="4"/>
  <c r="J32" i="4"/>
  <c r="K16" i="4"/>
  <c r="H31" i="4"/>
  <c r="J19" i="4"/>
  <c r="M19" i="4"/>
  <c r="F18" i="4"/>
  <c r="F19" i="4"/>
  <c r="G19" i="4"/>
  <c r="H19" i="4"/>
  <c r="I19" i="4"/>
  <c r="M28" i="4"/>
  <c r="J8" i="4"/>
  <c r="I13" i="4"/>
  <c r="H18" i="4"/>
  <c r="G23" i="4"/>
  <c r="F28" i="4"/>
  <c r="H7" i="4"/>
  <c r="G12" i="4"/>
  <c r="F17" i="4"/>
  <c r="E22" i="4"/>
  <c r="D27" i="4"/>
  <c r="C32" i="4"/>
  <c r="N13" i="4"/>
  <c r="I20" i="4"/>
  <c r="B27" i="4"/>
  <c r="F7" i="4"/>
  <c r="B14" i="4"/>
  <c r="J20" i="4"/>
  <c r="B28" i="4"/>
  <c r="C14" i="4"/>
  <c r="J12" i="4"/>
  <c r="E19" i="4"/>
  <c r="K25" i="4"/>
  <c r="F32" i="4"/>
  <c r="H13" i="4"/>
  <c r="C20" i="4"/>
  <c r="K26" i="4"/>
  <c r="B7" i="4"/>
  <c r="K13" i="4"/>
  <c r="D20" i="4"/>
  <c r="L26" i="4"/>
  <c r="C7" i="4"/>
  <c r="L13" i="4"/>
  <c r="E20" i="4"/>
  <c r="M26" i="4"/>
  <c r="D7" i="4"/>
  <c r="M13" i="4"/>
  <c r="H20" i="4"/>
  <c r="N26" i="4"/>
  <c r="E7" i="4"/>
  <c r="C10" i="4"/>
  <c r="I16" i="4"/>
  <c r="F31" i="4"/>
  <c r="E13" i="4"/>
  <c r="H32" i="4"/>
  <c r="M24" i="4"/>
  <c r="E9" i="4"/>
  <c r="D14" i="4"/>
  <c r="C19" i="4"/>
  <c r="B24" i="4"/>
  <c r="N28" i="4"/>
  <c r="C8" i="4"/>
  <c r="B13" i="4"/>
  <c r="N17" i="4"/>
  <c r="M22" i="4"/>
  <c r="L27" i="4"/>
  <c r="K32" i="4"/>
  <c r="K14" i="4"/>
  <c r="F21" i="4"/>
  <c r="N27" i="4"/>
  <c r="F8" i="4"/>
  <c r="N14" i="4"/>
  <c r="G21" i="4"/>
  <c r="K29" i="4"/>
  <c r="L15" i="4"/>
  <c r="G13" i="4"/>
  <c r="B20" i="4"/>
  <c r="J26" i="4"/>
  <c r="L7" i="4"/>
  <c r="G14" i="4"/>
  <c r="M20" i="4"/>
  <c r="H27" i="4"/>
  <c r="M7" i="4"/>
  <c r="H14" i="4"/>
  <c r="C21" i="4"/>
  <c r="I27" i="4"/>
  <c r="N7" i="4"/>
  <c r="I14" i="4"/>
  <c r="D21" i="4"/>
  <c r="J27" i="4"/>
  <c r="D8" i="4"/>
  <c r="J14" i="4"/>
  <c r="E21" i="4"/>
  <c r="M27" i="4"/>
  <c r="E8" i="4"/>
  <c r="J11" i="4"/>
  <c r="D23" i="4"/>
  <c r="B19" i="4"/>
  <c r="L22" i="4"/>
  <c r="I12" i="4"/>
  <c r="L25" i="4"/>
  <c r="C26" i="4"/>
  <c r="L32" i="4"/>
  <c r="M9" i="4"/>
  <c r="L14" i="4"/>
  <c r="K19" i="4"/>
  <c r="J24" i="4"/>
  <c r="I29" i="4"/>
  <c r="K8" i="4"/>
  <c r="J13" i="4"/>
  <c r="I18" i="4"/>
  <c r="H23" i="4"/>
  <c r="G28" i="4"/>
  <c r="I7" i="4"/>
  <c r="J15" i="4"/>
  <c r="C22" i="4"/>
  <c r="K28" i="4"/>
  <c r="C9" i="4"/>
  <c r="K15" i="4"/>
  <c r="F22" i="4"/>
  <c r="E31" i="4"/>
  <c r="K7" i="4"/>
  <c r="F14" i="4"/>
  <c r="L20" i="4"/>
  <c r="G27" i="4"/>
  <c r="I8" i="4"/>
  <c r="D15" i="4"/>
  <c r="L21" i="4"/>
  <c r="E28" i="4"/>
  <c r="L8" i="4"/>
  <c r="E15" i="4"/>
  <c r="M21" i="4"/>
  <c r="H28" i="4"/>
  <c r="M8" i="4"/>
  <c r="F15" i="4"/>
  <c r="N21" i="4"/>
  <c r="I28" i="4"/>
  <c r="N8" i="4"/>
  <c r="I15" i="4"/>
  <c r="B22" i="4"/>
  <c r="J28" i="4"/>
  <c r="B9" i="4"/>
  <c r="F13" i="4"/>
  <c r="L29" i="4"/>
  <c r="J25" i="4"/>
  <c r="N12" i="4"/>
  <c r="E26" i="4"/>
  <c r="N24" i="4"/>
  <c r="G32" i="4"/>
  <c r="I32" i="4"/>
  <c r="F27" i="4"/>
  <c r="H10" i="4"/>
  <c r="G15" i="4"/>
  <c r="F20" i="4"/>
  <c r="E25" i="4"/>
  <c r="D30" i="4"/>
  <c r="F9" i="4"/>
  <c r="E14" i="4"/>
  <c r="D19" i="4"/>
  <c r="C24" i="4"/>
  <c r="B29" i="4"/>
  <c r="L9" i="4"/>
  <c r="G16" i="4"/>
  <c r="B23" i="4"/>
  <c r="H29" i="4"/>
  <c r="B10" i="4"/>
  <c r="H16" i="4"/>
  <c r="C23" i="4"/>
  <c r="D32" i="4"/>
  <c r="H8" i="4"/>
  <c r="C15" i="4"/>
  <c r="K21" i="4"/>
  <c r="D28" i="4"/>
  <c r="H9" i="4"/>
  <c r="N15" i="4"/>
  <c r="I22" i="4"/>
  <c r="D29" i="4"/>
  <c r="I9" i="4"/>
  <c r="D16" i="4"/>
  <c r="J22" i="4"/>
  <c r="E29" i="4"/>
  <c r="J9" i="4"/>
  <c r="E16" i="4"/>
  <c r="K22" i="4"/>
  <c r="F29" i="4"/>
  <c r="K9" i="4"/>
  <c r="F16" i="4"/>
  <c r="N22" i="4"/>
  <c r="G29" i="4"/>
  <c r="E27" i="4"/>
  <c r="B15" i="4"/>
  <c r="H17" i="4"/>
  <c r="E32" i="4"/>
  <c r="C11" i="4"/>
  <c r="B16" i="4"/>
  <c r="N20" i="4"/>
  <c r="M25" i="4"/>
  <c r="L30" i="4"/>
  <c r="N9" i="4"/>
  <c r="M14" i="4"/>
  <c r="L19" i="4"/>
  <c r="K24" i="4"/>
  <c r="J29" i="4"/>
  <c r="K10" i="4"/>
  <c r="D17" i="4"/>
  <c r="L23" i="4"/>
  <c r="G30" i="4"/>
  <c r="L10" i="4"/>
  <c r="G17" i="4"/>
  <c r="M23" i="4"/>
  <c r="J7" i="4"/>
  <c r="G9" i="4"/>
  <c r="M15" i="4"/>
  <c r="H22" i="4"/>
  <c r="C29" i="4"/>
  <c r="E10" i="4"/>
  <c r="M16" i="4"/>
  <c r="F23" i="4"/>
  <c r="N29" i="4"/>
  <c r="F10" i="4"/>
  <c r="N16" i="4"/>
  <c r="I23" i="4"/>
  <c r="B30" i="4"/>
  <c r="G10" i="4"/>
  <c r="B17" i="4"/>
  <c r="J23" i="4"/>
  <c r="C30" i="4"/>
  <c r="J10" i="4"/>
  <c r="C17" i="4"/>
  <c r="K23" i="4"/>
  <c r="F30" i="4"/>
  <c r="L28" i="4"/>
  <c r="H21" i="4"/>
  <c r="N23" i="4"/>
  <c r="N19" i="4"/>
  <c r="J21" i="4"/>
  <c r="M32" i="4"/>
  <c r="M11" i="4"/>
  <c r="K12" i="4"/>
  <c r="B26" i="4"/>
  <c r="D26" i="4"/>
  <c r="K11" i="4"/>
  <c r="J16" i="4"/>
  <c r="I21" i="4"/>
  <c r="H26" i="4"/>
  <c r="G31" i="4"/>
  <c r="I10" i="4"/>
  <c r="H15" i="4"/>
  <c r="G20" i="4"/>
  <c r="F25" i="4"/>
  <c r="E30" i="4"/>
  <c r="H11" i="4"/>
  <c r="C18" i="4"/>
  <c r="I24" i="4"/>
  <c r="D31" i="4"/>
  <c r="I11" i="4"/>
  <c r="D18" i="4"/>
  <c r="L24" i="4"/>
  <c r="D9" i="4"/>
  <c r="D10" i="4"/>
  <c r="L16" i="4"/>
  <c r="E23" i="4"/>
  <c r="M29" i="4"/>
  <c r="B11" i="4"/>
  <c r="J17" i="4"/>
  <c r="E24" i="4"/>
  <c r="K30" i="4"/>
  <c r="E11" i="4"/>
  <c r="K17" i="4"/>
  <c r="F24" i="4"/>
  <c r="N30" i="4"/>
  <c r="F11" i="4"/>
  <c r="L17" i="4"/>
  <c r="G24" i="4"/>
  <c r="B31" i="4"/>
  <c r="G11" i="4"/>
  <c r="B18" i="4"/>
  <c r="H24" i="4"/>
  <c r="C31" i="4"/>
  <c r="H30" i="4"/>
  <c r="C28" i="4"/>
  <c r="I30" i="4"/>
  <c r="G26" i="4"/>
  <c r="M17" i="4"/>
  <c r="L11" i="4"/>
  <c r="I26" i="4"/>
  <c r="D13" i="4"/>
  <c r="F26" i="4"/>
  <c r="I31" i="4"/>
  <c r="L12" i="4"/>
  <c r="M12" i="4"/>
  <c r="C13" i="4"/>
  <c r="G8" i="4"/>
  <c r="H27" i="7"/>
  <c r="H15" i="7"/>
  <c r="H21" i="7"/>
  <c r="H22" i="7"/>
  <c r="H14" i="7"/>
  <c r="H19" i="7"/>
  <c r="H23" i="7"/>
  <c r="H17" i="7"/>
  <c r="H13" i="7"/>
  <c r="H18" i="7"/>
  <c r="H25" i="7"/>
  <c r="H20" i="7"/>
  <c r="H26" i="7"/>
  <c r="H28" i="7"/>
  <c r="H31" i="7"/>
  <c r="H16" i="7"/>
  <c r="H29" i="7"/>
  <c r="H24" i="7"/>
  <c r="H30" i="7"/>
  <c r="G16" i="1"/>
  <c r="F22" i="1"/>
  <c r="E17" i="1"/>
  <c r="G8" i="1"/>
  <c r="J27" i="1"/>
  <c r="J26" i="1"/>
  <c r="B19" i="1"/>
  <c r="F13" i="1"/>
  <c r="K26" i="1"/>
  <c r="E5" i="1"/>
  <c r="F17" i="1"/>
  <c r="I8" i="1"/>
  <c r="H25" i="1"/>
  <c r="C5" i="1"/>
  <c r="I23" i="1"/>
  <c r="H16" i="1"/>
  <c r="C10" i="1"/>
  <c r="F9" i="1"/>
  <c r="B24" i="1"/>
  <c r="B8" i="1"/>
  <c r="G3" i="1"/>
  <c r="J3" i="1"/>
  <c r="E16" i="1"/>
  <c r="F21" i="1"/>
  <c r="J9" i="1"/>
  <c r="E7" i="1"/>
  <c r="F14" i="1"/>
  <c r="L21" i="1"/>
  <c r="C7" i="1"/>
  <c r="G27" i="1"/>
  <c r="L17" i="1"/>
  <c r="G18" i="1"/>
  <c r="G5" i="1"/>
  <c r="I6" i="1"/>
  <c r="F12" i="1"/>
  <c r="J15" i="1"/>
  <c r="G23" i="1"/>
  <c r="H24" i="1"/>
  <c r="B11" i="1"/>
  <c r="K7" i="1"/>
  <c r="K20" i="1"/>
  <c r="I21" i="1"/>
  <c r="M3" i="1"/>
  <c r="L16" i="1"/>
  <c r="K25" i="1"/>
  <c r="H5" i="1"/>
  <c r="E3" i="1"/>
  <c r="J22" i="1"/>
  <c r="H7" i="1"/>
  <c r="F23" i="1"/>
  <c r="J17" i="1"/>
  <c r="B27" i="1"/>
  <c r="M21" i="1"/>
  <c r="C25" i="1"/>
  <c r="E11" i="1"/>
  <c r="N17" i="1"/>
  <c r="I17" i="1"/>
  <c r="N16" i="1"/>
  <c r="K10" i="1"/>
  <c r="E22" i="1"/>
  <c r="M25" i="1"/>
  <c r="E15" i="1"/>
  <c r="K22" i="1"/>
  <c r="K18" i="1"/>
  <c r="D16" i="1"/>
  <c r="H26" i="1"/>
  <c r="N22" i="1"/>
  <c r="K19" i="1"/>
  <c r="G22" i="1"/>
  <c r="N24" i="1"/>
  <c r="I20" i="1"/>
  <c r="I27" i="1"/>
  <c r="F18" i="1"/>
  <c r="L26" i="1"/>
  <c r="F25" i="1"/>
  <c r="G21" i="1"/>
  <c r="N12" i="1"/>
  <c r="K6" i="1"/>
  <c r="I22" i="1"/>
  <c r="I25" i="1"/>
  <c r="M23" i="1"/>
  <c r="E4" i="1"/>
  <c r="F16" i="1"/>
  <c r="J21" i="1"/>
  <c r="F4" i="1"/>
  <c r="C14" i="1"/>
  <c r="M10" i="1"/>
  <c r="M19" i="1"/>
  <c r="G12" i="1"/>
  <c r="M18" i="1"/>
  <c r="E26" i="1"/>
  <c r="C22" i="1"/>
  <c r="I12" i="1"/>
  <c r="D21" i="1"/>
  <c r="I15" i="1"/>
  <c r="G20" i="1"/>
  <c r="E20" i="1"/>
  <c r="M16" i="1"/>
  <c r="D20" i="1"/>
  <c r="N20" i="1"/>
  <c r="I14" i="1"/>
  <c r="B10" i="1"/>
  <c r="N10" i="1"/>
  <c r="L20" i="1"/>
  <c r="F5" i="1"/>
  <c r="N23" i="1"/>
  <c r="K3" i="1"/>
  <c r="I3" i="1"/>
  <c r="D27" i="1"/>
  <c r="D5" i="1"/>
  <c r="M12" i="1"/>
  <c r="G10" i="1"/>
  <c r="H10" i="1"/>
  <c r="J7" i="1"/>
  <c r="J11" i="1"/>
  <c r="E13" i="1"/>
  <c r="M24" i="1"/>
  <c r="M4" i="1"/>
  <c r="I4" i="1"/>
  <c r="M13" i="1"/>
  <c r="B26" i="1"/>
  <c r="C18" i="1"/>
  <c r="F26" i="1"/>
  <c r="N14" i="1"/>
  <c r="H21" i="1"/>
  <c r="H3" i="1"/>
  <c r="C15" i="1"/>
  <c r="J8" i="1"/>
  <c r="K24" i="1"/>
  <c r="D9" i="1"/>
  <c r="L11" i="1"/>
  <c r="B9" i="1"/>
  <c r="L9" i="1"/>
  <c r="N13" i="1"/>
  <c r="H23" i="1"/>
  <c r="C26" i="1"/>
  <c r="H9" i="1"/>
  <c r="C4" i="1"/>
  <c r="M9" i="1"/>
  <c r="C8" i="1"/>
  <c r="N19" i="1"/>
  <c r="M15" i="1"/>
  <c r="B15" i="1"/>
  <c r="D25" i="1"/>
  <c r="D19" i="1"/>
  <c r="E25" i="1"/>
  <c r="C27" i="1"/>
  <c r="F6" i="1"/>
  <c r="H17" i="1"/>
  <c r="L19" i="1"/>
  <c r="L6" i="1"/>
  <c r="J24" i="1"/>
  <c r="K16" i="1"/>
  <c r="J20" i="1"/>
  <c r="D18" i="1"/>
  <c r="L5" i="1"/>
  <c r="I26" i="1"/>
  <c r="I10" i="1"/>
  <c r="L15" i="1"/>
  <c r="B12" i="1"/>
  <c r="B18" i="1"/>
  <c r="M22" i="1"/>
  <c r="L25" i="1"/>
  <c r="G24" i="1"/>
  <c r="M5" i="1"/>
  <c r="B25" i="1"/>
  <c r="H14" i="1"/>
  <c r="L12" i="1"/>
  <c r="I5" i="1"/>
  <c r="D15" i="1"/>
  <c r="L27" i="1"/>
  <c r="M8" i="1"/>
  <c r="M17" i="1"/>
  <c r="H22" i="1"/>
  <c r="C11" i="1"/>
  <c r="N5" i="1"/>
  <c r="N26" i="1"/>
  <c r="M20" i="1"/>
  <c r="B4" i="1"/>
  <c r="N27" i="1"/>
  <c r="I18" i="1"/>
  <c r="B16" i="1"/>
  <c r="C12" i="1"/>
  <c r="D22" i="1"/>
  <c r="H18" i="1"/>
  <c r="D24" i="1"/>
  <c r="N3" i="1"/>
  <c r="F8" i="1"/>
  <c r="I9" i="1"/>
  <c r="N7" i="1"/>
  <c r="G6" i="1"/>
  <c r="B7" i="1"/>
  <c r="H12" i="1"/>
  <c r="G19" i="1"/>
  <c r="F27" i="1"/>
  <c r="K21" i="1"/>
  <c r="M26" i="1"/>
  <c r="J10" i="1"/>
  <c r="D3" i="1"/>
  <c r="H27" i="1"/>
  <c r="N4" i="1"/>
  <c r="C23" i="1"/>
  <c r="K12" i="1"/>
  <c r="M27" i="1"/>
  <c r="E12" i="1"/>
  <c r="C9" i="1"/>
  <c r="J5" i="1"/>
  <c r="N25" i="1"/>
  <c r="K14" i="1"/>
  <c r="K13" i="1"/>
  <c r="I19" i="1"/>
  <c r="D7" i="1"/>
  <c r="L23" i="1"/>
  <c r="N11" i="1"/>
  <c r="C6" i="1"/>
  <c r="I11" i="1"/>
  <c r="E14" i="1"/>
  <c r="J14" i="1"/>
  <c r="K9" i="1"/>
  <c r="K5" i="1"/>
  <c r="C21" i="1"/>
  <c r="E19" i="1"/>
  <c r="K23" i="1"/>
  <c r="D23" i="1"/>
  <c r="I24" i="1"/>
  <c r="E8" i="1"/>
  <c r="E9" i="1"/>
  <c r="K17" i="1"/>
  <c r="D11" i="1"/>
  <c r="L14" i="1"/>
  <c r="G25" i="1"/>
  <c r="B3" i="1"/>
  <c r="B23" i="1"/>
  <c r="M11" i="1"/>
  <c r="J6" i="1"/>
  <c r="J4" i="1"/>
  <c r="K15" i="1"/>
  <c r="L8" i="1"/>
  <c r="F10" i="1"/>
  <c r="M14" i="1"/>
  <c r="D10" i="1"/>
  <c r="K27" i="1"/>
  <c r="L13" i="1"/>
  <c r="D17" i="1"/>
  <c r="B22" i="1"/>
  <c r="C16" i="1"/>
  <c r="G11" i="1"/>
  <c r="J12" i="1"/>
  <c r="E18" i="1"/>
  <c r="B21" i="1"/>
  <c r="H13" i="1"/>
  <c r="F11" i="1"/>
  <c r="E23" i="1"/>
  <c r="F3" i="1"/>
  <c r="B14" i="1"/>
  <c r="H15" i="1"/>
  <c r="D12" i="1"/>
  <c r="C19" i="1"/>
  <c r="F20" i="1"/>
  <c r="B20" i="1"/>
  <c r="K8" i="1"/>
  <c r="L3" i="1"/>
  <c r="B17" i="1"/>
  <c r="H20" i="1"/>
  <c r="E24" i="1"/>
  <c r="C24" i="1"/>
  <c r="J19" i="1"/>
  <c r="G4" i="1"/>
  <c r="C13" i="1"/>
  <c r="D13" i="1"/>
  <c r="J13" i="1"/>
  <c r="G17" i="1"/>
  <c r="G13" i="1"/>
  <c r="E10" i="1"/>
  <c r="G26" i="1"/>
  <c r="B6" i="1"/>
  <c r="F24" i="1"/>
  <c r="B13" i="1"/>
  <c r="D8" i="1"/>
  <c r="L18" i="1"/>
  <c r="N15" i="1"/>
  <c r="E21" i="1"/>
  <c r="H4" i="1"/>
  <c r="L24" i="1"/>
  <c r="L4" i="1"/>
  <c r="D6" i="1"/>
  <c r="C20" i="1"/>
  <c r="D26" i="1"/>
  <c r="M7" i="1"/>
  <c r="G9" i="1"/>
  <c r="J23" i="1"/>
  <c r="N6" i="1"/>
  <c r="E27" i="1"/>
  <c r="K11" i="1"/>
  <c r="D14" i="1"/>
  <c r="I7" i="1"/>
  <c r="L7" i="1"/>
  <c r="N8" i="1"/>
  <c r="N21" i="1"/>
  <c r="L22" i="1"/>
  <c r="E6" i="1"/>
  <c r="I13" i="1"/>
  <c r="M6" i="1"/>
  <c r="C3" i="1"/>
  <c r="G15" i="1"/>
  <c r="N18" i="1"/>
  <c r="C17" i="1"/>
  <c r="G7" i="1"/>
  <c r="F19" i="1"/>
  <c r="H11" i="1"/>
  <c r="L10" i="1"/>
  <c r="N9" i="1"/>
  <c r="K4" i="1"/>
  <c r="H19" i="1"/>
  <c r="H8" i="1"/>
  <c r="J25" i="1"/>
  <c r="J18" i="1"/>
  <c r="B5" i="1"/>
  <c r="G14" i="1"/>
  <c r="F7" i="1"/>
  <c r="D4" i="1"/>
  <c r="H6" i="1"/>
  <c r="I16" i="1"/>
  <c r="F15" i="1"/>
  <c r="J16" i="1"/>
  <c r="E4" i="7" a="1"/>
  <c r="B9" i="6"/>
  <c r="Q9" i="4" l="1"/>
  <c r="Q7" i="4" s="1"/>
  <c r="F7" i="7"/>
  <c r="E8" i="7"/>
  <c r="E5" i="7"/>
  <c r="F9" i="7"/>
  <c r="E14" i="7"/>
  <c r="F18" i="7"/>
  <c r="E23" i="7"/>
  <c r="F11" i="7"/>
  <c r="F13" i="7"/>
  <c r="E18" i="7"/>
  <c r="F22" i="7"/>
  <c r="E27" i="7"/>
  <c r="F15" i="7"/>
  <c r="E16" i="7"/>
  <c r="E13" i="7"/>
  <c r="F17" i="7"/>
  <c r="E22" i="7"/>
  <c r="F26" i="7"/>
  <c r="E31" i="7"/>
  <c r="F19" i="7"/>
  <c r="E20" i="7"/>
  <c r="E17" i="7"/>
  <c r="F21" i="7"/>
  <c r="E26" i="7"/>
  <c r="F30" i="7"/>
  <c r="F4" i="7"/>
  <c r="F23" i="7"/>
  <c r="E24" i="7"/>
  <c r="E21" i="7"/>
  <c r="F25" i="7"/>
  <c r="E30" i="7"/>
  <c r="E7" i="7"/>
  <c r="F8" i="7"/>
  <c r="F27" i="7"/>
  <c r="E28" i="7"/>
  <c r="E25" i="7"/>
  <c r="F29" i="7"/>
  <c r="F6" i="7"/>
  <c r="E11" i="7"/>
  <c r="F12" i="7"/>
  <c r="F31" i="7"/>
  <c r="F16" i="7"/>
  <c r="E29" i="7"/>
  <c r="E6" i="7"/>
  <c r="F10" i="7"/>
  <c r="E15" i="7"/>
  <c r="F20" i="7"/>
  <c r="E9" i="7"/>
  <c r="E4" i="7"/>
  <c r="F24" i="7"/>
  <c r="F5" i="7"/>
  <c r="E10" i="7"/>
  <c r="F14" i="7"/>
  <c r="E19" i="7"/>
  <c r="F28" i="7"/>
  <c r="E12" i="7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H7" i="6" a="1"/>
  <c r="K7" i="6" a="1"/>
  <c r="D7" i="6" a="1"/>
  <c r="J7" i="6" a="1"/>
  <c r="F7" i="6" a="1"/>
  <c r="L7" i="6" a="1"/>
  <c r="E7" i="6" a="1"/>
  <c r="H231" i="6" l="1"/>
  <c r="H220" i="6"/>
  <c r="H229" i="6"/>
  <c r="H69" i="6"/>
  <c r="H239" i="6"/>
  <c r="H228" i="6"/>
  <c r="H242" i="6"/>
  <c r="H120" i="6"/>
  <c r="H247" i="6"/>
  <c r="H236" i="6"/>
  <c r="H254" i="6"/>
  <c r="H171" i="6"/>
  <c r="H207" i="6"/>
  <c r="H196" i="6"/>
  <c r="H190" i="6"/>
  <c r="H235" i="6"/>
  <c r="H151" i="6"/>
  <c r="H140" i="6"/>
  <c r="H101" i="6"/>
  <c r="H56" i="6"/>
  <c r="H255" i="6"/>
  <c r="H53" i="6"/>
  <c r="H10" i="6"/>
  <c r="H249" i="6"/>
  <c r="H230" i="6"/>
  <c r="H22" i="6"/>
  <c r="H57" i="6"/>
  <c r="H258" i="6"/>
  <c r="H123" i="6"/>
  <c r="H31" i="6"/>
  <c r="H221" i="6"/>
  <c r="H212" i="6"/>
  <c r="H136" i="6"/>
  <c r="H198" i="6"/>
  <c r="H149" i="6"/>
  <c r="H250" i="6"/>
  <c r="H162" i="6"/>
  <c r="H109" i="6"/>
  <c r="H98" i="6"/>
  <c r="H45" i="6"/>
  <c r="H8" i="6"/>
  <c r="H122" i="6"/>
  <c r="H205" i="6"/>
  <c r="H85" i="6"/>
  <c r="H67" i="6"/>
  <c r="H124" i="6"/>
  <c r="H165" i="6"/>
  <c r="H210" i="6"/>
  <c r="H130" i="6"/>
  <c r="H191" i="6"/>
  <c r="H63" i="6"/>
  <c r="H156" i="6"/>
  <c r="H164" i="6"/>
  <c r="H172" i="6"/>
  <c r="H132" i="6"/>
  <c r="H76" i="6"/>
  <c r="H13" i="6"/>
  <c r="H21" i="6"/>
  <c r="H134" i="6"/>
  <c r="H33" i="6"/>
  <c r="H34" i="6"/>
  <c r="H80" i="6"/>
  <c r="H224" i="6"/>
  <c r="H41" i="6"/>
  <c r="H46" i="6"/>
  <c r="H93" i="6"/>
  <c r="H26" i="6"/>
  <c r="H49" i="6"/>
  <c r="H59" i="6"/>
  <c r="H106" i="6"/>
  <c r="H128" i="6"/>
  <c r="H9" i="6"/>
  <c r="H260" i="6"/>
  <c r="H42" i="6"/>
  <c r="H70" i="6"/>
  <c r="H215" i="6"/>
  <c r="H204" i="6"/>
  <c r="H203" i="6"/>
  <c r="H261" i="6"/>
  <c r="H153" i="6"/>
  <c r="H222" i="6"/>
  <c r="H11" i="6"/>
  <c r="H148" i="6"/>
  <c r="H94" i="6"/>
  <c r="H62" i="6"/>
  <c r="H217" i="6"/>
  <c r="H179" i="6"/>
  <c r="H125" i="6"/>
  <c r="H199" i="6"/>
  <c r="H168" i="6"/>
  <c r="H187" i="6"/>
  <c r="H97" i="6"/>
  <c r="H182" i="6"/>
  <c r="H105" i="6"/>
  <c r="H195" i="6"/>
  <c r="H113" i="6"/>
  <c r="H208" i="6"/>
  <c r="H73" i="6"/>
  <c r="H144" i="6"/>
  <c r="H17" i="6"/>
  <c r="H54" i="6"/>
  <c r="H60" i="6"/>
  <c r="H29" i="6"/>
  <c r="H19" i="6"/>
  <c r="H43" i="6"/>
  <c r="H121" i="6"/>
  <c r="H214" i="6"/>
  <c r="H114" i="6"/>
  <c r="H61" i="6"/>
  <c r="H188" i="6"/>
  <c r="H107" i="6"/>
  <c r="H133" i="6"/>
  <c r="H158" i="6"/>
  <c r="H30" i="6"/>
  <c r="H104" i="6"/>
  <c r="H65" i="6"/>
  <c r="H180" i="6"/>
  <c r="H51" i="6"/>
  <c r="H161" i="6"/>
  <c r="H238" i="6"/>
  <c r="H38" i="6"/>
  <c r="H256" i="6"/>
  <c r="H169" i="6"/>
  <c r="H251" i="6"/>
  <c r="H64" i="6"/>
  <c r="H58" i="6"/>
  <c r="H177" i="6"/>
  <c r="H264" i="6"/>
  <c r="H90" i="6"/>
  <c r="H160" i="6"/>
  <c r="H137" i="6"/>
  <c r="H200" i="6"/>
  <c r="H246" i="6"/>
  <c r="H102" i="6"/>
  <c r="H81" i="6"/>
  <c r="H110" i="6"/>
  <c r="H157" i="6"/>
  <c r="H96" i="6"/>
  <c r="H244" i="6"/>
  <c r="H95" i="6"/>
  <c r="H115" i="6"/>
  <c r="H112" i="6"/>
  <c r="H127" i="6"/>
  <c r="H141" i="6"/>
  <c r="H72" i="6"/>
  <c r="H7" i="6"/>
  <c r="H170" i="6"/>
  <c r="H20" i="6"/>
  <c r="H211" i="6"/>
  <c r="H216" i="6"/>
  <c r="H225" i="6"/>
  <c r="H74" i="6"/>
  <c r="H243" i="6"/>
  <c r="H237" i="6"/>
  <c r="H233" i="6"/>
  <c r="H86" i="6"/>
  <c r="H14" i="6"/>
  <c r="H77" i="6"/>
  <c r="H241" i="6"/>
  <c r="H99" i="6"/>
  <c r="H40" i="6"/>
  <c r="H83" i="6"/>
  <c r="H201" i="6"/>
  <c r="H35" i="6"/>
  <c r="H166" i="6"/>
  <c r="H197" i="6"/>
  <c r="H145" i="6"/>
  <c r="H213" i="6"/>
  <c r="H259" i="6"/>
  <c r="H154" i="6"/>
  <c r="H226" i="6"/>
  <c r="H263" i="6"/>
  <c r="H25" i="6"/>
  <c r="H232" i="6"/>
  <c r="H91" i="6"/>
  <c r="H234" i="6"/>
  <c r="H126" i="6"/>
  <c r="H139" i="6"/>
  <c r="H152" i="6"/>
  <c r="H88" i="6"/>
  <c r="H253" i="6"/>
  <c r="H252" i="6"/>
  <c r="H135" i="6"/>
  <c r="H178" i="6"/>
  <c r="H39" i="6"/>
  <c r="H28" i="6"/>
  <c r="H176" i="6"/>
  <c r="H194" i="6"/>
  <c r="H47" i="6"/>
  <c r="H36" i="6"/>
  <c r="H189" i="6"/>
  <c r="H219" i="6"/>
  <c r="H55" i="6"/>
  <c r="H44" i="6"/>
  <c r="H202" i="6"/>
  <c r="H245" i="6"/>
  <c r="H15" i="6"/>
  <c r="H265" i="6"/>
  <c r="H138" i="6"/>
  <c r="H117" i="6"/>
  <c r="H146" i="6"/>
  <c r="H209" i="6"/>
  <c r="H48" i="6"/>
  <c r="H192" i="6"/>
  <c r="H248" i="6"/>
  <c r="H227" i="6"/>
  <c r="H185" i="6"/>
  <c r="H262" i="6"/>
  <c r="H131" i="6"/>
  <c r="H193" i="6"/>
  <c r="H173" i="6"/>
  <c r="H75" i="6"/>
  <c r="H89" i="6"/>
  <c r="H184" i="6"/>
  <c r="H174" i="6"/>
  <c r="H223" i="6"/>
  <c r="H27" i="6"/>
  <c r="H103" i="6"/>
  <c r="H92" i="6"/>
  <c r="H24" i="6"/>
  <c r="H155" i="6"/>
  <c r="H111" i="6"/>
  <c r="H100" i="6"/>
  <c r="H37" i="6"/>
  <c r="H181" i="6"/>
  <c r="H119" i="6"/>
  <c r="H108" i="6"/>
  <c r="H50" i="6"/>
  <c r="H206" i="6"/>
  <c r="H79" i="6"/>
  <c r="H68" i="6"/>
  <c r="H240" i="6"/>
  <c r="H78" i="6"/>
  <c r="H23" i="6"/>
  <c r="H12" i="6"/>
  <c r="H150" i="6"/>
  <c r="H142" i="6"/>
  <c r="H186" i="6"/>
  <c r="H16" i="6"/>
  <c r="H84" i="6"/>
  <c r="H159" i="6"/>
  <c r="H66" i="6"/>
  <c r="H116" i="6"/>
  <c r="H32" i="6"/>
  <c r="H118" i="6"/>
  <c r="H257" i="6"/>
  <c r="H147" i="6"/>
  <c r="H163" i="6"/>
  <c r="H129" i="6"/>
  <c r="H18" i="6"/>
  <c r="H167" i="6"/>
  <c r="H175" i="6"/>
  <c r="H183" i="6"/>
  <c r="H143" i="6"/>
  <c r="H87" i="6"/>
  <c r="H71" i="6"/>
  <c r="H82" i="6"/>
  <c r="H218" i="6"/>
  <c r="H52" i="6"/>
  <c r="J98" i="6"/>
  <c r="J253" i="6"/>
  <c r="J29" i="6"/>
  <c r="J240" i="6"/>
  <c r="J55" i="6"/>
  <c r="J202" i="6"/>
  <c r="J239" i="6"/>
  <c r="J229" i="6"/>
  <c r="J223" i="6"/>
  <c r="J211" i="6"/>
  <c r="J262" i="6"/>
  <c r="J129" i="6"/>
  <c r="J194" i="6"/>
  <c r="J54" i="6"/>
  <c r="J199" i="6"/>
  <c r="J9" i="6"/>
  <c r="J136" i="6"/>
  <c r="J97" i="6"/>
  <c r="J11" i="6"/>
  <c r="J110" i="6"/>
  <c r="J228" i="6"/>
  <c r="J111" i="6"/>
  <c r="J26" i="6"/>
  <c r="J40" i="6"/>
  <c r="J166" i="6"/>
  <c r="J116" i="6"/>
  <c r="J58" i="6"/>
  <c r="J244" i="6"/>
  <c r="J31" i="6"/>
  <c r="J36" i="6"/>
  <c r="J185" i="6"/>
  <c r="J47" i="6"/>
  <c r="J212" i="6"/>
  <c r="J195" i="6"/>
  <c r="J68" i="6"/>
  <c r="J252" i="6"/>
  <c r="J87" i="6"/>
  <c r="J12" i="6"/>
  <c r="J172" i="6"/>
  <c r="J251" i="6"/>
  <c r="J109" i="6"/>
  <c r="J127" i="6"/>
  <c r="J221" i="6"/>
  <c r="J79" i="6"/>
  <c r="J184" i="6"/>
  <c r="J160" i="6"/>
  <c r="J84" i="6"/>
  <c r="J168" i="6"/>
  <c r="J142" i="6"/>
  <c r="J108" i="6"/>
  <c r="J8" i="6"/>
  <c r="J143" i="6"/>
  <c r="J234" i="6"/>
  <c r="J157" i="6"/>
  <c r="J181" i="6"/>
  <c r="J81" i="6"/>
  <c r="J99" i="6"/>
  <c r="J62" i="6"/>
  <c r="J175" i="6"/>
  <c r="J80" i="6"/>
  <c r="J250" i="6"/>
  <c r="J169" i="6"/>
  <c r="J48" i="6"/>
  <c r="J24" i="6"/>
  <c r="J123" i="6"/>
  <c r="J144" i="6"/>
  <c r="J230" i="6"/>
  <c r="J128" i="6"/>
  <c r="J171" i="6"/>
  <c r="J135" i="6"/>
  <c r="J37" i="6"/>
  <c r="J176" i="6"/>
  <c r="J50" i="6"/>
  <c r="J20" i="6"/>
  <c r="J42" i="6"/>
  <c r="J210" i="6"/>
  <c r="J134" i="6"/>
  <c r="J165" i="6"/>
  <c r="J205" i="6"/>
  <c r="J219" i="6"/>
  <c r="J27" i="6"/>
  <c r="J67" i="6"/>
  <c r="J259" i="6"/>
  <c r="J63" i="6"/>
  <c r="J192" i="6"/>
  <c r="J41" i="6"/>
  <c r="J21" i="6"/>
  <c r="J146" i="6"/>
  <c r="J46" i="6"/>
  <c r="J156" i="6"/>
  <c r="J187" i="6"/>
  <c r="J217" i="6"/>
  <c r="J115" i="6"/>
  <c r="J183" i="6"/>
  <c r="J132" i="6"/>
  <c r="J65" i="6"/>
  <c r="J125" i="6"/>
  <c r="J163" i="6"/>
  <c r="J119" i="6"/>
  <c r="J122" i="6"/>
  <c r="J180" i="6"/>
  <c r="J203" i="6"/>
  <c r="J179" i="6"/>
  <c r="J153" i="6"/>
  <c r="J226" i="6"/>
  <c r="J82" i="6"/>
  <c r="J118" i="6"/>
  <c r="J196" i="6"/>
  <c r="J162" i="6"/>
  <c r="J76" i="6"/>
  <c r="J66" i="6"/>
  <c r="J225" i="6"/>
  <c r="J23" i="6"/>
  <c r="J130" i="6"/>
  <c r="J61" i="6"/>
  <c r="J18" i="6"/>
  <c r="J96" i="6"/>
  <c r="J102" i="6"/>
  <c r="J214" i="6"/>
  <c r="J215" i="6"/>
  <c r="J15" i="6"/>
  <c r="J238" i="6"/>
  <c r="J38" i="6"/>
  <c r="J178" i="6"/>
  <c r="J245" i="6"/>
  <c r="J167" i="6"/>
  <c r="J117" i="6"/>
  <c r="J236" i="6"/>
  <c r="J56" i="6"/>
  <c r="J133" i="6"/>
  <c r="J106" i="6"/>
  <c r="J94" i="6"/>
  <c r="J138" i="6"/>
  <c r="J85" i="6"/>
  <c r="J265" i="6"/>
  <c r="J124" i="6"/>
  <c r="J263" i="6"/>
  <c r="J247" i="6"/>
  <c r="J120" i="6"/>
  <c r="J200" i="6"/>
  <c r="J174" i="6"/>
  <c r="J33" i="6"/>
  <c r="J83" i="6"/>
  <c r="J201" i="6"/>
  <c r="J150" i="6"/>
  <c r="J152" i="6"/>
  <c r="J264" i="6"/>
  <c r="J246" i="6"/>
  <c r="J75" i="6"/>
  <c r="J213" i="6"/>
  <c r="J197" i="6"/>
  <c r="J149" i="6"/>
  <c r="J69" i="6"/>
  <c r="J232" i="6"/>
  <c r="J216" i="6"/>
  <c r="J70" i="6"/>
  <c r="J112" i="6"/>
  <c r="J209" i="6"/>
  <c r="J10" i="6"/>
  <c r="J148" i="6"/>
  <c r="J73" i="6"/>
  <c r="J177" i="6"/>
  <c r="J188" i="6"/>
  <c r="J43" i="6"/>
  <c r="J164" i="6"/>
  <c r="J121" i="6"/>
  <c r="J220" i="6"/>
  <c r="J89" i="6"/>
  <c r="J88" i="6"/>
  <c r="J51" i="6"/>
  <c r="J190" i="6"/>
  <c r="J71" i="6"/>
  <c r="J7" i="6"/>
  <c r="J243" i="6"/>
  <c r="J13" i="6"/>
  <c r="J257" i="6"/>
  <c r="J72" i="6"/>
  <c r="J101" i="6"/>
  <c r="J78" i="6"/>
  <c r="J145" i="6"/>
  <c r="J44" i="6"/>
  <c r="J260" i="6"/>
  <c r="J141" i="6"/>
  <c r="J91" i="6"/>
  <c r="J77" i="6"/>
  <c r="J104" i="6"/>
  <c r="J17" i="6"/>
  <c r="J242" i="6"/>
  <c r="J193" i="6"/>
  <c r="J25" i="6"/>
  <c r="J53" i="6"/>
  <c r="J198" i="6"/>
  <c r="J139" i="6"/>
  <c r="J173" i="6"/>
  <c r="J137" i="6"/>
  <c r="J231" i="6"/>
  <c r="J45" i="6"/>
  <c r="J30" i="6"/>
  <c r="J233" i="6"/>
  <c r="J93" i="6"/>
  <c r="J222" i="6"/>
  <c r="J161" i="6"/>
  <c r="J95" i="6"/>
  <c r="J256" i="6"/>
  <c r="J258" i="6"/>
  <c r="J155" i="6"/>
  <c r="J255" i="6"/>
  <c r="J105" i="6"/>
  <c r="J154" i="6"/>
  <c r="J35" i="6"/>
  <c r="J92" i="6"/>
  <c r="J107" i="6"/>
  <c r="J227" i="6"/>
  <c r="J64" i="6"/>
  <c r="J140" i="6"/>
  <c r="J224" i="6"/>
  <c r="J170" i="6"/>
  <c r="J114" i="6"/>
  <c r="J249" i="6"/>
  <c r="J182" i="6"/>
  <c r="J90" i="6"/>
  <c r="J39" i="6"/>
  <c r="J158" i="6"/>
  <c r="J60" i="6"/>
  <c r="J218" i="6"/>
  <c r="J151" i="6"/>
  <c r="J241" i="6"/>
  <c r="J34" i="6"/>
  <c r="J126" i="6"/>
  <c r="J131" i="6"/>
  <c r="J59" i="6"/>
  <c r="J103" i="6"/>
  <c r="J74" i="6"/>
  <c r="J189" i="6"/>
  <c r="J206" i="6"/>
  <c r="J19" i="6"/>
  <c r="J86" i="6"/>
  <c r="J22" i="6"/>
  <c r="J207" i="6"/>
  <c r="J28" i="6"/>
  <c r="J208" i="6"/>
  <c r="J147" i="6"/>
  <c r="J237" i="6"/>
  <c r="J235" i="6"/>
  <c r="J52" i="6"/>
  <c r="J49" i="6"/>
  <c r="J113" i="6"/>
  <c r="J100" i="6"/>
  <c r="J248" i="6"/>
  <c r="J254" i="6"/>
  <c r="J32" i="6"/>
  <c r="J204" i="6"/>
  <c r="J261" i="6"/>
  <c r="J159" i="6"/>
  <c r="J186" i="6"/>
  <c r="J14" i="6"/>
  <c r="J16" i="6"/>
  <c r="J57" i="6"/>
  <c r="J191" i="6"/>
  <c r="K49" i="6"/>
  <c r="K206" i="6"/>
  <c r="K198" i="6"/>
  <c r="K111" i="6"/>
  <c r="K256" i="6"/>
  <c r="K126" i="6"/>
  <c r="K219" i="6"/>
  <c r="K109" i="6"/>
  <c r="K200" i="6"/>
  <c r="K37" i="6"/>
  <c r="K141" i="6"/>
  <c r="K119" i="6"/>
  <c r="K168" i="6"/>
  <c r="K154" i="6"/>
  <c r="K91" i="6"/>
  <c r="K231" i="6"/>
  <c r="K9" i="6"/>
  <c r="K239" i="6"/>
  <c r="K169" i="6"/>
  <c r="K152" i="6"/>
  <c r="K63" i="6"/>
  <c r="K34" i="6"/>
  <c r="K153" i="6"/>
  <c r="K94" i="6"/>
  <c r="K224" i="6"/>
  <c r="K175" i="6"/>
  <c r="K240" i="6"/>
  <c r="K197" i="6"/>
  <c r="K66" i="6"/>
  <c r="K74" i="6"/>
  <c r="K51" i="6"/>
  <c r="K204" i="6"/>
  <c r="K113" i="6"/>
  <c r="K188" i="6"/>
  <c r="K189" i="6"/>
  <c r="K71" i="6"/>
  <c r="K57" i="6"/>
  <c r="K218" i="6"/>
  <c r="K230" i="6"/>
  <c r="K173" i="6"/>
  <c r="K264" i="6"/>
  <c r="K140" i="6"/>
  <c r="K229" i="6"/>
  <c r="K148" i="6"/>
  <c r="K232" i="6"/>
  <c r="K87" i="6"/>
  <c r="K187" i="6"/>
  <c r="K254" i="6"/>
  <c r="K137" i="6"/>
  <c r="K19" i="6"/>
  <c r="K12" i="6"/>
  <c r="K17" i="6"/>
  <c r="K251" i="6"/>
  <c r="K107" i="6"/>
  <c r="K18" i="6"/>
  <c r="K183" i="6"/>
  <c r="K89" i="6"/>
  <c r="K93" i="6"/>
  <c r="K105" i="6"/>
  <c r="K157" i="6"/>
  <c r="K86" i="6"/>
  <c r="K125" i="6"/>
  <c r="K155" i="6"/>
  <c r="K209" i="6"/>
  <c r="K56" i="6"/>
  <c r="K42" i="6"/>
  <c r="K223" i="6"/>
  <c r="K28" i="6"/>
  <c r="K7" i="6"/>
  <c r="K249" i="6"/>
  <c r="K212" i="6"/>
  <c r="K22" i="6"/>
  <c r="K150" i="6"/>
  <c r="K193" i="6"/>
  <c r="K211" i="6"/>
  <c r="K20" i="6"/>
  <c r="K194" i="6"/>
  <c r="K161" i="6"/>
  <c r="K79" i="6"/>
  <c r="K133" i="6"/>
  <c r="K149" i="6"/>
  <c r="K151" i="6"/>
  <c r="K181" i="6"/>
  <c r="K178" i="6"/>
  <c r="K138" i="6"/>
  <c r="K167" i="6"/>
  <c r="K263" i="6"/>
  <c r="K54" i="6"/>
  <c r="K135" i="6"/>
  <c r="K76" i="6"/>
  <c r="K222" i="6"/>
  <c r="K101" i="6"/>
  <c r="K31" i="6"/>
  <c r="K165" i="6"/>
  <c r="K190" i="6"/>
  <c r="K21" i="6"/>
  <c r="K214" i="6"/>
  <c r="K120" i="6"/>
  <c r="K106" i="6"/>
  <c r="K13" i="6"/>
  <c r="K166" i="6"/>
  <c r="K64" i="6"/>
  <c r="K50" i="6"/>
  <c r="K255" i="6"/>
  <c r="K39" i="6"/>
  <c r="K8" i="6"/>
  <c r="K257" i="6"/>
  <c r="K244" i="6"/>
  <c r="K75" i="6"/>
  <c r="K205" i="6"/>
  <c r="K225" i="6"/>
  <c r="K108" i="6"/>
  <c r="K171" i="6"/>
  <c r="K236" i="6"/>
  <c r="K262" i="6"/>
  <c r="K110" i="6"/>
  <c r="K14" i="6"/>
  <c r="K164" i="6"/>
  <c r="K213" i="6"/>
  <c r="K32" i="6"/>
  <c r="K123" i="6"/>
  <c r="K41" i="6"/>
  <c r="K260" i="6"/>
  <c r="K35" i="6"/>
  <c r="K156" i="6"/>
  <c r="K60" i="6"/>
  <c r="K238" i="6"/>
  <c r="K15" i="6"/>
  <c r="K201" i="6"/>
  <c r="K73" i="6"/>
  <c r="K180" i="6"/>
  <c r="K61" i="6"/>
  <c r="K179" i="6"/>
  <c r="K182" i="6"/>
  <c r="K242" i="6"/>
  <c r="K99" i="6"/>
  <c r="K103" i="6"/>
  <c r="K46" i="6"/>
  <c r="K118" i="6"/>
  <c r="K10" i="6"/>
  <c r="K170" i="6"/>
  <c r="K245" i="6"/>
  <c r="K92" i="6"/>
  <c r="K142" i="6"/>
  <c r="K62" i="6"/>
  <c r="K95" i="6"/>
  <c r="K177" i="6"/>
  <c r="K202" i="6"/>
  <c r="K121" i="6"/>
  <c r="K221" i="6"/>
  <c r="K65" i="6"/>
  <c r="K252" i="6"/>
  <c r="K33" i="6"/>
  <c r="K131" i="6"/>
  <c r="K265" i="6"/>
  <c r="K196" i="6"/>
  <c r="K55" i="6"/>
  <c r="K146" i="6"/>
  <c r="K217" i="6"/>
  <c r="K233" i="6"/>
  <c r="K67" i="6"/>
  <c r="K158" i="6"/>
  <c r="K241" i="6"/>
  <c r="K235" i="6"/>
  <c r="K185" i="6"/>
  <c r="K234" i="6"/>
  <c r="K129" i="6"/>
  <c r="K253" i="6"/>
  <c r="K97" i="6"/>
  <c r="K132" i="6"/>
  <c r="K130" i="6"/>
  <c r="K191" i="6"/>
  <c r="K139" i="6"/>
  <c r="K174" i="6"/>
  <c r="K82" i="6"/>
  <c r="K98" i="6"/>
  <c r="K216" i="6"/>
  <c r="K247" i="6"/>
  <c r="K44" i="6"/>
  <c r="K27" i="6"/>
  <c r="K122" i="6"/>
  <c r="K104" i="6"/>
  <c r="K258" i="6"/>
  <c r="K36" i="6"/>
  <c r="K160" i="6"/>
  <c r="K163" i="6"/>
  <c r="K80" i="6"/>
  <c r="K30" i="6"/>
  <c r="K184" i="6"/>
  <c r="K70" i="6"/>
  <c r="K127" i="6"/>
  <c r="K228" i="6"/>
  <c r="K26" i="6"/>
  <c r="K16" i="6"/>
  <c r="K24" i="6"/>
  <c r="K25" i="6"/>
  <c r="K134" i="6"/>
  <c r="K81" i="6"/>
  <c r="K68" i="6"/>
  <c r="K248" i="6"/>
  <c r="K172" i="6"/>
  <c r="K210" i="6"/>
  <c r="K47" i="6"/>
  <c r="K90" i="6"/>
  <c r="K144" i="6"/>
  <c r="K145" i="6"/>
  <c r="K77" i="6"/>
  <c r="K226" i="6"/>
  <c r="K88" i="6"/>
  <c r="K11" i="6"/>
  <c r="K128" i="6"/>
  <c r="K83" i="6"/>
  <c r="K38" i="6"/>
  <c r="K186" i="6"/>
  <c r="K45" i="6"/>
  <c r="K29" i="6"/>
  <c r="K261" i="6"/>
  <c r="K112" i="6"/>
  <c r="K78" i="6"/>
  <c r="K115" i="6"/>
  <c r="K85" i="6"/>
  <c r="K159" i="6"/>
  <c r="K84" i="6"/>
  <c r="K147" i="6"/>
  <c r="K136" i="6"/>
  <c r="K176" i="6"/>
  <c r="K69" i="6"/>
  <c r="K143" i="6"/>
  <c r="K72" i="6"/>
  <c r="K195" i="6"/>
  <c r="K124" i="6"/>
  <c r="K237" i="6"/>
  <c r="K116" i="6"/>
  <c r="K227" i="6"/>
  <c r="K203" i="6"/>
  <c r="K40" i="6"/>
  <c r="K207" i="6"/>
  <c r="K58" i="6"/>
  <c r="K117" i="6"/>
  <c r="K102" i="6"/>
  <c r="K246" i="6"/>
  <c r="K192" i="6"/>
  <c r="K53" i="6"/>
  <c r="K52" i="6"/>
  <c r="K199" i="6"/>
  <c r="K250" i="6"/>
  <c r="K59" i="6"/>
  <c r="K114" i="6"/>
  <c r="K43" i="6"/>
  <c r="K100" i="6"/>
  <c r="K162" i="6"/>
  <c r="K208" i="6"/>
  <c r="K23" i="6"/>
  <c r="K215" i="6"/>
  <c r="K259" i="6"/>
  <c r="K96" i="6"/>
  <c r="K243" i="6"/>
  <c r="K220" i="6"/>
  <c r="K48" i="6"/>
  <c r="D23" i="6"/>
  <c r="D145" i="6"/>
  <c r="D174" i="6"/>
  <c r="D200" i="6"/>
  <c r="D229" i="6"/>
  <c r="D103" i="6"/>
  <c r="D225" i="6"/>
  <c r="D254" i="6"/>
  <c r="D45" i="6"/>
  <c r="D80" i="6"/>
  <c r="D33" i="6"/>
  <c r="D69" i="6"/>
  <c r="D204" i="6"/>
  <c r="D162" i="6"/>
  <c r="D167" i="6"/>
  <c r="D40" i="6"/>
  <c r="D14" i="6"/>
  <c r="D234" i="6"/>
  <c r="D172" i="6"/>
  <c r="D62" i="6"/>
  <c r="D24" i="6"/>
  <c r="D72" i="6"/>
  <c r="D25" i="6"/>
  <c r="D262" i="6"/>
  <c r="D212" i="6"/>
  <c r="D19" i="6"/>
  <c r="D98" i="6"/>
  <c r="D17" i="6"/>
  <c r="D198" i="6"/>
  <c r="D206" i="6"/>
  <c r="D220" i="6"/>
  <c r="D32" i="6"/>
  <c r="D113" i="6"/>
  <c r="D87" i="6"/>
  <c r="D209" i="6"/>
  <c r="D238" i="6"/>
  <c r="D264" i="6"/>
  <c r="D41" i="6"/>
  <c r="D44" i="6"/>
  <c r="D29" i="6"/>
  <c r="D140" i="6"/>
  <c r="D120" i="6"/>
  <c r="D150" i="6"/>
  <c r="D109" i="6"/>
  <c r="D141" i="6"/>
  <c r="D20" i="6"/>
  <c r="D163" i="6"/>
  <c r="D48" i="6"/>
  <c r="D213" i="6"/>
  <c r="D37" i="6"/>
  <c r="D15" i="6"/>
  <c r="D226" i="6"/>
  <c r="D199" i="6"/>
  <c r="D201" i="6"/>
  <c r="D207" i="6"/>
  <c r="D170" i="6"/>
  <c r="D75" i="6"/>
  <c r="D135" i="6"/>
  <c r="D258" i="6"/>
  <c r="D16" i="6"/>
  <c r="D93" i="6"/>
  <c r="D131" i="6"/>
  <c r="D259" i="6"/>
  <c r="D164" i="6"/>
  <c r="D210" i="6"/>
  <c r="D151" i="6"/>
  <c r="D28" i="6"/>
  <c r="D8" i="6"/>
  <c r="D105" i="6"/>
  <c r="D83" i="6"/>
  <c r="D116" i="6"/>
  <c r="D73" i="6"/>
  <c r="D106" i="6"/>
  <c r="D63" i="6"/>
  <c r="D185" i="6"/>
  <c r="D214" i="6"/>
  <c r="D176" i="6"/>
  <c r="D205" i="6"/>
  <c r="D160" i="6"/>
  <c r="D196" i="6"/>
  <c r="D203" i="6"/>
  <c r="D142" i="6"/>
  <c r="D59" i="6"/>
  <c r="D11" i="6"/>
  <c r="D227" i="6"/>
  <c r="D85" i="6"/>
  <c r="D124" i="6"/>
  <c r="D146" i="6"/>
  <c r="D111" i="6"/>
  <c r="D94" i="6"/>
  <c r="D263" i="6"/>
  <c r="D108" i="6"/>
  <c r="D175" i="6"/>
  <c r="D260" i="6"/>
  <c r="D191" i="6"/>
  <c r="D239" i="6"/>
  <c r="D130" i="6"/>
  <c r="D99" i="6"/>
  <c r="D54" i="6"/>
  <c r="D88" i="6"/>
  <c r="D31" i="6"/>
  <c r="D153" i="6"/>
  <c r="D182" i="6"/>
  <c r="D144" i="6"/>
  <c r="D173" i="6"/>
  <c r="D127" i="6"/>
  <c r="D249" i="6"/>
  <c r="D49" i="6"/>
  <c r="D240" i="6"/>
  <c r="D9" i="6"/>
  <c r="D101" i="6"/>
  <c r="D126" i="6"/>
  <c r="D84" i="6"/>
  <c r="D156" i="6"/>
  <c r="D42" i="6"/>
  <c r="D216" i="6"/>
  <c r="D10" i="6"/>
  <c r="D235" i="6"/>
  <c r="D61" i="6"/>
  <c r="D179" i="6"/>
  <c r="D118" i="6"/>
  <c r="D114" i="6"/>
  <c r="D171" i="6"/>
  <c r="D147" i="6"/>
  <c r="D231" i="6"/>
  <c r="D122" i="6"/>
  <c r="D132" i="6"/>
  <c r="D148" i="6"/>
  <c r="D81" i="6"/>
  <c r="D251" i="6"/>
  <c r="D157" i="6"/>
  <c r="D217" i="6"/>
  <c r="D208" i="6"/>
  <c r="D22" i="6"/>
  <c r="D188" i="6"/>
  <c r="D89" i="6"/>
  <c r="D255" i="6"/>
  <c r="D194" i="6"/>
  <c r="D137" i="6"/>
  <c r="D121" i="6"/>
  <c r="D180" i="6"/>
  <c r="D90" i="6"/>
  <c r="D215" i="6"/>
  <c r="D155" i="6"/>
  <c r="D104" i="6"/>
  <c r="D248" i="6"/>
  <c r="D30" i="6"/>
  <c r="D92" i="6"/>
  <c r="D71" i="6"/>
  <c r="D38" i="6"/>
  <c r="D245" i="6"/>
  <c r="D247" i="6"/>
  <c r="D55" i="6"/>
  <c r="D152" i="6"/>
  <c r="D112" i="6"/>
  <c r="D136" i="6"/>
  <c r="D257" i="6"/>
  <c r="D96" i="6"/>
  <c r="D27" i="6"/>
  <c r="D221" i="6"/>
  <c r="D18" i="6"/>
  <c r="D13" i="6"/>
  <c r="D100" i="6"/>
  <c r="D7" i="6"/>
  <c r="D158" i="6"/>
  <c r="D242" i="6"/>
  <c r="D195" i="6"/>
  <c r="D50" i="6"/>
  <c r="D250" i="6"/>
  <c r="D117" i="6"/>
  <c r="D223" i="6"/>
  <c r="D66" i="6"/>
  <c r="D243" i="6"/>
  <c r="D202" i="6"/>
  <c r="D253" i="6"/>
  <c r="D97" i="6"/>
  <c r="D168" i="6"/>
  <c r="D222" i="6"/>
  <c r="D244" i="6"/>
  <c r="D79" i="6"/>
  <c r="D178" i="6"/>
  <c r="D119" i="6"/>
  <c r="D190" i="6"/>
  <c r="D110" i="6"/>
  <c r="D70" i="6"/>
  <c r="D236" i="6"/>
  <c r="D107" i="6"/>
  <c r="D165" i="6"/>
  <c r="D161" i="6"/>
  <c r="D232" i="6"/>
  <c r="D12" i="6"/>
  <c r="D68" i="6"/>
  <c r="D21" i="6"/>
  <c r="D143" i="6"/>
  <c r="D166" i="6"/>
  <c r="D91" i="6"/>
  <c r="D139" i="6"/>
  <c r="D211" i="6"/>
  <c r="D169" i="6"/>
  <c r="D177" i="6"/>
  <c r="D115" i="6"/>
  <c r="D53" i="6"/>
  <c r="D128" i="6"/>
  <c r="D95" i="6"/>
  <c r="D246" i="6"/>
  <c r="D237" i="6"/>
  <c r="D60" i="6"/>
  <c r="D56" i="6"/>
  <c r="D265" i="6"/>
  <c r="D218" i="6"/>
  <c r="D183" i="6"/>
  <c r="D159" i="6"/>
  <c r="D230" i="6"/>
  <c r="D34" i="6"/>
  <c r="D46" i="6"/>
  <c r="D138" i="6"/>
  <c r="D26" i="6"/>
  <c r="D187" i="6"/>
  <c r="D228" i="6"/>
  <c r="D39" i="6"/>
  <c r="D86" i="6"/>
  <c r="D77" i="6"/>
  <c r="D241" i="6"/>
  <c r="D192" i="6"/>
  <c r="D36" i="6"/>
  <c r="D123" i="6"/>
  <c r="D51" i="6"/>
  <c r="D133" i="6"/>
  <c r="D129" i="6"/>
  <c r="D189" i="6"/>
  <c r="D52" i="6"/>
  <c r="D67" i="6"/>
  <c r="D57" i="6"/>
  <c r="D35" i="6"/>
  <c r="D233" i="6"/>
  <c r="D186" i="6"/>
  <c r="D82" i="6"/>
  <c r="D154" i="6"/>
  <c r="D224" i="6"/>
  <c r="D256" i="6"/>
  <c r="D64" i="6"/>
  <c r="D252" i="6"/>
  <c r="D125" i="6"/>
  <c r="D197" i="6"/>
  <c r="D193" i="6"/>
  <c r="D134" i="6"/>
  <c r="D184" i="6"/>
  <c r="D219" i="6"/>
  <c r="D76" i="6"/>
  <c r="D58" i="6"/>
  <c r="D149" i="6"/>
  <c r="D47" i="6"/>
  <c r="D78" i="6"/>
  <c r="D43" i="6"/>
  <c r="D181" i="6"/>
  <c r="D74" i="6"/>
  <c r="D261" i="6"/>
  <c r="D102" i="6"/>
  <c r="D65" i="6"/>
  <c r="L7" i="6"/>
  <c r="L15" i="6"/>
  <c r="L23" i="6"/>
  <c r="L31" i="6"/>
  <c r="L39" i="6"/>
  <c r="L47" i="6"/>
  <c r="L55" i="6"/>
  <c r="L63" i="6"/>
  <c r="L71" i="6"/>
  <c r="L79" i="6"/>
  <c r="L87" i="6"/>
  <c r="L95" i="6"/>
  <c r="L103" i="6"/>
  <c r="L111" i="6"/>
  <c r="L119" i="6"/>
  <c r="L127" i="6"/>
  <c r="L135" i="6"/>
  <c r="L143" i="6"/>
  <c r="L151" i="6"/>
  <c r="L159" i="6"/>
  <c r="L167" i="6"/>
  <c r="L175" i="6"/>
  <c r="L183" i="6"/>
  <c r="L191" i="6"/>
  <c r="L199" i="6"/>
  <c r="L207" i="6"/>
  <c r="L215" i="6"/>
  <c r="L223" i="6"/>
  <c r="L231" i="6"/>
  <c r="L239" i="6"/>
  <c r="L247" i="6"/>
  <c r="L255" i="6"/>
  <c r="L263" i="6"/>
  <c r="L8" i="6"/>
  <c r="L16" i="6"/>
  <c r="L24" i="6"/>
  <c r="L32" i="6"/>
  <c r="L40" i="6"/>
  <c r="L48" i="6"/>
  <c r="L56" i="6"/>
  <c r="L64" i="6"/>
  <c r="L72" i="6"/>
  <c r="L80" i="6"/>
  <c r="L88" i="6"/>
  <c r="L96" i="6"/>
  <c r="L104" i="6"/>
  <c r="L112" i="6"/>
  <c r="L120" i="6"/>
  <c r="L128" i="6"/>
  <c r="L136" i="6"/>
  <c r="L144" i="6"/>
  <c r="L152" i="6"/>
  <c r="L160" i="6"/>
  <c r="L168" i="6"/>
  <c r="L176" i="6"/>
  <c r="L184" i="6"/>
  <c r="L192" i="6"/>
  <c r="L200" i="6"/>
  <c r="L208" i="6"/>
  <c r="L216" i="6"/>
  <c r="L224" i="6"/>
  <c r="L232" i="6"/>
  <c r="L240" i="6"/>
  <c r="L248" i="6"/>
  <c r="L256" i="6"/>
  <c r="L264" i="6"/>
  <c r="L9" i="6"/>
  <c r="L17" i="6"/>
  <c r="L25" i="6"/>
  <c r="L33" i="6"/>
  <c r="L41" i="6"/>
  <c r="L49" i="6"/>
  <c r="L57" i="6"/>
  <c r="L65" i="6"/>
  <c r="L73" i="6"/>
  <c r="L81" i="6"/>
  <c r="L89" i="6"/>
  <c r="L97" i="6"/>
  <c r="L105" i="6"/>
  <c r="L113" i="6"/>
  <c r="L121" i="6"/>
  <c r="L129" i="6"/>
  <c r="L137" i="6"/>
  <c r="L145" i="6"/>
  <c r="L153" i="6"/>
  <c r="L10" i="6"/>
  <c r="L18" i="6"/>
  <c r="L26" i="6"/>
  <c r="L34" i="6"/>
  <c r="L42" i="6"/>
  <c r="L50" i="6"/>
  <c r="L58" i="6"/>
  <c r="L66" i="6"/>
  <c r="L74" i="6"/>
  <c r="L82" i="6"/>
  <c r="L90" i="6"/>
  <c r="L98" i="6"/>
  <c r="L106" i="6"/>
  <c r="L114" i="6"/>
  <c r="L122" i="6"/>
  <c r="L130" i="6"/>
  <c r="L138" i="6"/>
  <c r="L146" i="6"/>
  <c r="L154" i="6"/>
  <c r="L162" i="6"/>
  <c r="L170" i="6"/>
  <c r="L178" i="6"/>
  <c r="L186" i="6"/>
  <c r="L194" i="6"/>
  <c r="L202" i="6"/>
  <c r="L210" i="6"/>
  <c r="L218" i="6"/>
  <c r="L226" i="6"/>
  <c r="L234" i="6"/>
  <c r="L242" i="6"/>
  <c r="L250" i="6"/>
  <c r="L258" i="6"/>
  <c r="L11" i="6"/>
  <c r="L19" i="6"/>
  <c r="L27" i="6"/>
  <c r="L35" i="6"/>
  <c r="L43" i="6"/>
  <c r="L51" i="6"/>
  <c r="L59" i="6"/>
  <c r="L67" i="6"/>
  <c r="L75" i="6"/>
  <c r="L83" i="6"/>
  <c r="L91" i="6"/>
  <c r="L99" i="6"/>
  <c r="L107" i="6"/>
  <c r="L115" i="6"/>
  <c r="L123" i="6"/>
  <c r="L131" i="6"/>
  <c r="L139" i="6"/>
  <c r="L147" i="6"/>
  <c r="L155" i="6"/>
  <c r="L163" i="6"/>
  <c r="L171" i="6"/>
  <c r="L179" i="6"/>
  <c r="L187" i="6"/>
  <c r="L195" i="6"/>
  <c r="L203" i="6"/>
  <c r="L211" i="6"/>
  <c r="L219" i="6"/>
  <c r="L227" i="6"/>
  <c r="L235" i="6"/>
  <c r="L243" i="6"/>
  <c r="L251" i="6"/>
  <c r="L259" i="6"/>
  <c r="L12" i="6"/>
  <c r="L30" i="6"/>
  <c r="L53" i="6"/>
  <c r="L76" i="6"/>
  <c r="L94" i="6"/>
  <c r="L117" i="6"/>
  <c r="L140" i="6"/>
  <c r="L158" i="6"/>
  <c r="L174" i="6"/>
  <c r="L190" i="6"/>
  <c r="L206" i="6"/>
  <c r="L222" i="6"/>
  <c r="L238" i="6"/>
  <c r="L254" i="6"/>
  <c r="L13" i="6"/>
  <c r="L36" i="6"/>
  <c r="L54" i="6"/>
  <c r="L77" i="6"/>
  <c r="L100" i="6"/>
  <c r="L118" i="6"/>
  <c r="L141" i="6"/>
  <c r="L161" i="6"/>
  <c r="L177" i="6"/>
  <c r="L193" i="6"/>
  <c r="L209" i="6"/>
  <c r="L225" i="6"/>
  <c r="L241" i="6"/>
  <c r="L257" i="6"/>
  <c r="L102" i="6"/>
  <c r="L148" i="6"/>
  <c r="L181" i="6"/>
  <c r="L213" i="6"/>
  <c r="L229" i="6"/>
  <c r="L261" i="6"/>
  <c r="L21" i="6"/>
  <c r="L62" i="6"/>
  <c r="L126" i="6"/>
  <c r="L166" i="6"/>
  <c r="L214" i="6"/>
  <c r="L246" i="6"/>
  <c r="L68" i="6"/>
  <c r="L132" i="6"/>
  <c r="L185" i="6"/>
  <c r="L233" i="6"/>
  <c r="L46" i="6"/>
  <c r="L133" i="6"/>
  <c r="L188" i="6"/>
  <c r="L236" i="6"/>
  <c r="L29" i="6"/>
  <c r="L93" i="6"/>
  <c r="L157" i="6"/>
  <c r="L205" i="6"/>
  <c r="L253" i="6"/>
  <c r="L14" i="6"/>
  <c r="L37" i="6"/>
  <c r="L60" i="6"/>
  <c r="L78" i="6"/>
  <c r="L101" i="6"/>
  <c r="L124" i="6"/>
  <c r="L142" i="6"/>
  <c r="L164" i="6"/>
  <c r="L180" i="6"/>
  <c r="L196" i="6"/>
  <c r="L212" i="6"/>
  <c r="L228" i="6"/>
  <c r="L244" i="6"/>
  <c r="L260" i="6"/>
  <c r="L38" i="6"/>
  <c r="L84" i="6"/>
  <c r="L125" i="6"/>
  <c r="L197" i="6"/>
  <c r="L245" i="6"/>
  <c r="L44" i="6"/>
  <c r="L85" i="6"/>
  <c r="L149" i="6"/>
  <c r="L198" i="6"/>
  <c r="L262" i="6"/>
  <c r="L45" i="6"/>
  <c r="L109" i="6"/>
  <c r="L169" i="6"/>
  <c r="L217" i="6"/>
  <c r="L265" i="6"/>
  <c r="L69" i="6"/>
  <c r="L110" i="6"/>
  <c r="L172" i="6"/>
  <c r="L220" i="6"/>
  <c r="L52" i="6"/>
  <c r="L116" i="6"/>
  <c r="L173" i="6"/>
  <c r="L221" i="6"/>
  <c r="L20" i="6"/>
  <c r="L61" i="6"/>
  <c r="L165" i="6"/>
  <c r="L108" i="6"/>
  <c r="L182" i="6"/>
  <c r="L230" i="6"/>
  <c r="L22" i="6"/>
  <c r="L86" i="6"/>
  <c r="L150" i="6"/>
  <c r="L201" i="6"/>
  <c r="L249" i="6"/>
  <c r="L28" i="6"/>
  <c r="L92" i="6"/>
  <c r="L156" i="6"/>
  <c r="L204" i="6"/>
  <c r="L252" i="6"/>
  <c r="L70" i="6"/>
  <c r="L134" i="6"/>
  <c r="L189" i="6"/>
  <c r="L237" i="6"/>
  <c r="F71" i="6"/>
  <c r="I71" i="6" s="1"/>
  <c r="F172" i="6"/>
  <c r="F42" i="6"/>
  <c r="I42" i="6" s="1"/>
  <c r="F125" i="6"/>
  <c r="F15" i="6"/>
  <c r="F100" i="6"/>
  <c r="F224" i="6"/>
  <c r="F232" i="6"/>
  <c r="I232" i="6" s="1"/>
  <c r="F165" i="6"/>
  <c r="I165" i="6" s="1"/>
  <c r="F21" i="6"/>
  <c r="F160" i="6"/>
  <c r="I160" i="6" s="1"/>
  <c r="F96" i="6"/>
  <c r="F78" i="6"/>
  <c r="F35" i="6"/>
  <c r="F107" i="6"/>
  <c r="F231" i="6"/>
  <c r="F199" i="6"/>
  <c r="F44" i="6"/>
  <c r="F117" i="6"/>
  <c r="F249" i="6"/>
  <c r="F135" i="6"/>
  <c r="F245" i="6"/>
  <c r="F129" i="6"/>
  <c r="F19" i="6"/>
  <c r="F79" i="6"/>
  <c r="I79" i="6" s="1"/>
  <c r="F181" i="6"/>
  <c r="I181" i="6" s="1"/>
  <c r="F54" i="6"/>
  <c r="F146" i="6"/>
  <c r="F23" i="6"/>
  <c r="F110" i="6"/>
  <c r="F233" i="6"/>
  <c r="I233" i="6" s="1"/>
  <c r="F250" i="6"/>
  <c r="I250" i="6" s="1"/>
  <c r="F239" i="6"/>
  <c r="I239" i="6" s="1"/>
  <c r="F58" i="6"/>
  <c r="F187" i="6"/>
  <c r="I187" i="6" s="1"/>
  <c r="F158" i="6"/>
  <c r="F99" i="6"/>
  <c r="F69" i="6"/>
  <c r="F196" i="6"/>
  <c r="I196" i="6" s="1"/>
  <c r="F177" i="6"/>
  <c r="I177" i="6" s="1"/>
  <c r="F180" i="6"/>
  <c r="I180" i="6" s="1"/>
  <c r="F190" i="6"/>
  <c r="F228" i="6"/>
  <c r="F211" i="6"/>
  <c r="F208" i="6"/>
  <c r="F130" i="6"/>
  <c r="F164" i="6"/>
  <c r="F72" i="6"/>
  <c r="F223" i="6"/>
  <c r="I223" i="6" s="1"/>
  <c r="F66" i="6"/>
  <c r="F91" i="6"/>
  <c r="F225" i="6"/>
  <c r="F85" i="6"/>
  <c r="I85" i="6" s="1"/>
  <c r="F20" i="6"/>
  <c r="F34" i="6"/>
  <c r="F179" i="6"/>
  <c r="I179" i="6" s="1"/>
  <c r="F226" i="6"/>
  <c r="I226" i="6" s="1"/>
  <c r="F29" i="6"/>
  <c r="F46" i="6"/>
  <c r="I46" i="6" s="1"/>
  <c r="F188" i="6"/>
  <c r="F263" i="6"/>
  <c r="I263" i="6" s="1"/>
  <c r="F254" i="6"/>
  <c r="I254" i="6" s="1"/>
  <c r="F52" i="6"/>
  <c r="I52" i="6" s="1"/>
  <c r="F136" i="6"/>
  <c r="F141" i="6"/>
  <c r="I141" i="6" s="1"/>
  <c r="F198" i="6"/>
  <c r="F237" i="6"/>
  <c r="I237" i="6" s="1"/>
  <c r="F229" i="6"/>
  <c r="I229" i="6" s="1"/>
  <c r="F244" i="6"/>
  <c r="I244" i="6" s="1"/>
  <c r="F139" i="6"/>
  <c r="F173" i="6"/>
  <c r="I173" i="6" s="1"/>
  <c r="F92" i="6"/>
  <c r="I92" i="6" s="1"/>
  <c r="F241" i="6"/>
  <c r="I241" i="6" s="1"/>
  <c r="F93" i="6"/>
  <c r="F123" i="6"/>
  <c r="F252" i="6"/>
  <c r="F147" i="6"/>
  <c r="F102" i="6"/>
  <c r="F133" i="6"/>
  <c r="F261" i="6"/>
  <c r="I261" i="6" s="1"/>
  <c r="F168" i="6"/>
  <c r="F154" i="6"/>
  <c r="F204" i="6"/>
  <c r="F81" i="6"/>
  <c r="F64" i="6"/>
  <c r="F264" i="6"/>
  <c r="F109" i="6"/>
  <c r="I109" i="6" s="1"/>
  <c r="F218" i="6"/>
  <c r="F221" i="6"/>
  <c r="I221" i="6" s="1"/>
  <c r="F227" i="6"/>
  <c r="F240" i="6"/>
  <c r="F59" i="6"/>
  <c r="F26" i="6"/>
  <c r="I26" i="6" s="1"/>
  <c r="F246" i="6"/>
  <c r="I246" i="6" s="1"/>
  <c r="F106" i="6"/>
  <c r="I106" i="6" s="1"/>
  <c r="F30" i="6"/>
  <c r="F77" i="6"/>
  <c r="I77" i="6" s="1"/>
  <c r="F169" i="6"/>
  <c r="I169" i="6" s="1"/>
  <c r="F182" i="6"/>
  <c r="F152" i="6"/>
  <c r="I152" i="6" s="1"/>
  <c r="F214" i="6"/>
  <c r="I214" i="6" s="1"/>
  <c r="F203" i="6"/>
  <c r="F209" i="6"/>
  <c r="F48" i="6"/>
  <c r="I48" i="6" s="1"/>
  <c r="F207" i="6"/>
  <c r="I207" i="6" s="1"/>
  <c r="F143" i="6"/>
  <c r="F140" i="6"/>
  <c r="I140" i="6" s="1"/>
  <c r="F87" i="6"/>
  <c r="F67" i="6"/>
  <c r="F47" i="6"/>
  <c r="I47" i="6" s="1"/>
  <c r="F260" i="6"/>
  <c r="F55" i="6"/>
  <c r="F18" i="6"/>
  <c r="F124" i="6"/>
  <c r="F197" i="6"/>
  <c r="F24" i="6"/>
  <c r="F41" i="6"/>
  <c r="F84" i="6"/>
  <c r="F105" i="6"/>
  <c r="I105" i="6" s="1"/>
  <c r="F127" i="6"/>
  <c r="I127" i="6" s="1"/>
  <c r="F116" i="6"/>
  <c r="I116" i="6" s="1"/>
  <c r="F219" i="6"/>
  <c r="F103" i="6"/>
  <c r="I103" i="6" s="1"/>
  <c r="F112" i="6"/>
  <c r="F88" i="6"/>
  <c r="I88" i="6" s="1"/>
  <c r="F183" i="6"/>
  <c r="I183" i="6" s="1"/>
  <c r="F121" i="6"/>
  <c r="F49" i="6"/>
  <c r="I49" i="6" s="1"/>
  <c r="F57" i="6"/>
  <c r="I57" i="6" s="1"/>
  <c r="F216" i="6"/>
  <c r="F151" i="6"/>
  <c r="I151" i="6" s="1"/>
  <c r="F150" i="6"/>
  <c r="F111" i="6"/>
  <c r="F98" i="6"/>
  <c r="F119" i="6"/>
  <c r="F108" i="6"/>
  <c r="I108" i="6" s="1"/>
  <c r="F31" i="6"/>
  <c r="I31" i="6" s="1"/>
  <c r="F50" i="6"/>
  <c r="F185" i="6"/>
  <c r="F251" i="6"/>
  <c r="F17" i="6"/>
  <c r="I17" i="6" s="1"/>
  <c r="F126" i="6"/>
  <c r="F157" i="6"/>
  <c r="F258" i="6"/>
  <c r="I258" i="6" s="1"/>
  <c r="F178" i="6"/>
  <c r="I178" i="6" s="1"/>
  <c r="F22" i="6"/>
  <c r="F256" i="6"/>
  <c r="I256" i="6" s="1"/>
  <c r="F259" i="6"/>
  <c r="F51" i="6"/>
  <c r="F65" i="6"/>
  <c r="F8" i="6"/>
  <c r="F220" i="6"/>
  <c r="I220" i="6" s="1"/>
  <c r="F61" i="6"/>
  <c r="I61" i="6" s="1"/>
  <c r="F175" i="6"/>
  <c r="F265" i="6"/>
  <c r="F39" i="6"/>
  <c r="F63" i="6"/>
  <c r="I63" i="6" s="1"/>
  <c r="F144" i="6"/>
  <c r="I144" i="6" s="1"/>
  <c r="F43" i="6"/>
  <c r="F171" i="6"/>
  <c r="I171" i="6" s="1"/>
  <c r="F148" i="6"/>
  <c r="I148" i="6" s="1"/>
  <c r="F56" i="6"/>
  <c r="F213" i="6"/>
  <c r="F149" i="6"/>
  <c r="I149" i="6" s="1"/>
  <c r="F191" i="6"/>
  <c r="F166" i="6"/>
  <c r="I166" i="6" s="1"/>
  <c r="F89" i="6"/>
  <c r="F94" i="6"/>
  <c r="I94" i="6" s="1"/>
  <c r="F242" i="6"/>
  <c r="I242" i="6" s="1"/>
  <c r="F75" i="6"/>
  <c r="F163" i="6"/>
  <c r="F212" i="6"/>
  <c r="F162" i="6"/>
  <c r="F235" i="6"/>
  <c r="F128" i="6"/>
  <c r="F7" i="6"/>
  <c r="F40" i="6"/>
  <c r="F156" i="6"/>
  <c r="F247" i="6"/>
  <c r="I247" i="6" s="1"/>
  <c r="F230" i="6"/>
  <c r="F257" i="6"/>
  <c r="F83" i="6"/>
  <c r="F13" i="6"/>
  <c r="F132" i="6"/>
  <c r="I132" i="6" s="1"/>
  <c r="F113" i="6"/>
  <c r="I113" i="6" s="1"/>
  <c r="F186" i="6"/>
  <c r="F159" i="6"/>
  <c r="I159" i="6" s="1"/>
  <c r="F25" i="6"/>
  <c r="F189" i="6"/>
  <c r="F62" i="6"/>
  <c r="I62" i="6" s="1"/>
  <c r="F217" i="6"/>
  <c r="I217" i="6" s="1"/>
  <c r="F74" i="6"/>
  <c r="F76" i="6"/>
  <c r="I76" i="6" s="1"/>
  <c r="F142" i="6"/>
  <c r="F174" i="6"/>
  <c r="F131" i="6"/>
  <c r="F14" i="6"/>
  <c r="F101" i="6"/>
  <c r="I101" i="6" s="1"/>
  <c r="F86" i="6"/>
  <c r="I86" i="6" s="1"/>
  <c r="F33" i="6"/>
  <c r="I33" i="6" s="1"/>
  <c r="F45" i="6"/>
  <c r="I45" i="6" s="1"/>
  <c r="F253" i="6"/>
  <c r="F53" i="6"/>
  <c r="F90" i="6"/>
  <c r="F68" i="6"/>
  <c r="F201" i="6"/>
  <c r="I201" i="6" s="1"/>
  <c r="F36" i="6"/>
  <c r="I36" i="6" s="1"/>
  <c r="F234" i="6"/>
  <c r="F236" i="6"/>
  <c r="F11" i="6"/>
  <c r="F138" i="6"/>
  <c r="F155" i="6"/>
  <c r="F37" i="6"/>
  <c r="F205" i="6"/>
  <c r="I205" i="6" s="1"/>
  <c r="F28" i="6"/>
  <c r="F114" i="6"/>
  <c r="I114" i="6" s="1"/>
  <c r="F70" i="6"/>
  <c r="I70" i="6" s="1"/>
  <c r="F60" i="6"/>
  <c r="F16" i="6"/>
  <c r="F38" i="6"/>
  <c r="F115" i="6"/>
  <c r="F192" i="6"/>
  <c r="F27" i="6"/>
  <c r="F145" i="6"/>
  <c r="I145" i="6" s="1"/>
  <c r="F222" i="6"/>
  <c r="F118" i="6"/>
  <c r="F255" i="6"/>
  <c r="F95" i="6"/>
  <c r="F215" i="6"/>
  <c r="I215" i="6" s="1"/>
  <c r="F206" i="6"/>
  <c r="I206" i="6" s="1"/>
  <c r="F73" i="6"/>
  <c r="F122" i="6"/>
  <c r="F202" i="6"/>
  <c r="I202" i="6" s="1"/>
  <c r="F134" i="6"/>
  <c r="I134" i="6" s="1"/>
  <c r="F195" i="6"/>
  <c r="F82" i="6"/>
  <c r="F248" i="6"/>
  <c r="F238" i="6"/>
  <c r="F184" i="6"/>
  <c r="I184" i="6" s="1"/>
  <c r="F243" i="6"/>
  <c r="F10" i="6"/>
  <c r="I10" i="6" s="1"/>
  <c r="F80" i="6"/>
  <c r="F120" i="6"/>
  <c r="F262" i="6"/>
  <c r="F176" i="6"/>
  <c r="I176" i="6" s="1"/>
  <c r="F153" i="6"/>
  <c r="F200" i="6"/>
  <c r="I200" i="6" s="1"/>
  <c r="F194" i="6"/>
  <c r="I194" i="6" s="1"/>
  <c r="F161" i="6"/>
  <c r="I161" i="6" s="1"/>
  <c r="F170" i="6"/>
  <c r="I170" i="6" s="1"/>
  <c r="F9" i="6"/>
  <c r="F167" i="6"/>
  <c r="I167" i="6" s="1"/>
  <c r="F210" i="6"/>
  <c r="F97" i="6"/>
  <c r="F32" i="6"/>
  <c r="I32" i="6" s="1"/>
  <c r="F193" i="6"/>
  <c r="F104" i="6"/>
  <c r="I104" i="6" s="1"/>
  <c r="F12" i="6"/>
  <c r="I12" i="6" s="1"/>
  <c r="F137" i="6"/>
  <c r="I137" i="6" s="1"/>
  <c r="E210" i="6"/>
  <c r="E56" i="6"/>
  <c r="E35" i="6"/>
  <c r="E198" i="6"/>
  <c r="E218" i="6"/>
  <c r="E65" i="6"/>
  <c r="E53" i="6"/>
  <c r="E223" i="6"/>
  <c r="E226" i="6"/>
  <c r="E75" i="6"/>
  <c r="E71" i="6"/>
  <c r="E88" i="6"/>
  <c r="E186" i="6"/>
  <c r="E29" i="6"/>
  <c r="E45" i="6"/>
  <c r="E245" i="6"/>
  <c r="E130" i="6"/>
  <c r="E159" i="6"/>
  <c r="E209" i="6"/>
  <c r="E228" i="6"/>
  <c r="E187" i="6"/>
  <c r="E225" i="6"/>
  <c r="E135" i="6"/>
  <c r="E237" i="6"/>
  <c r="E181" i="6"/>
  <c r="E106" i="6"/>
  <c r="E36" i="6"/>
  <c r="E47" i="6"/>
  <c r="E73" i="6"/>
  <c r="E169" i="6"/>
  <c r="E193" i="6"/>
  <c r="E163" i="6"/>
  <c r="E256" i="6"/>
  <c r="E126" i="6"/>
  <c r="E107" i="6"/>
  <c r="E171" i="6"/>
  <c r="E264" i="6"/>
  <c r="E142" i="6"/>
  <c r="E150" i="6"/>
  <c r="E179" i="6"/>
  <c r="E24" i="6"/>
  <c r="E158" i="6"/>
  <c r="E182" i="6"/>
  <c r="E139" i="6"/>
  <c r="E232" i="6"/>
  <c r="E72" i="6"/>
  <c r="E238" i="6"/>
  <c r="E78" i="6"/>
  <c r="E176" i="6"/>
  <c r="E254" i="6"/>
  <c r="E231" i="6"/>
  <c r="E43" i="6"/>
  <c r="E251" i="6"/>
  <c r="E165" i="6"/>
  <c r="E51" i="6"/>
  <c r="E100" i="6"/>
  <c r="E28" i="6"/>
  <c r="E185" i="6"/>
  <c r="E16" i="6"/>
  <c r="E82" i="6"/>
  <c r="E8" i="6"/>
  <c r="E50" i="6"/>
  <c r="E227" i="6"/>
  <c r="E132" i="6"/>
  <c r="E244" i="6"/>
  <c r="E58" i="6"/>
  <c r="E235" i="6"/>
  <c r="E148" i="6"/>
  <c r="E255" i="6"/>
  <c r="E66" i="6"/>
  <c r="E243" i="6"/>
  <c r="E164" i="6"/>
  <c r="E21" i="6"/>
  <c r="E26" i="6"/>
  <c r="E203" i="6"/>
  <c r="E79" i="6"/>
  <c r="E205" i="6"/>
  <c r="E262" i="6"/>
  <c r="E147" i="6"/>
  <c r="E240" i="6"/>
  <c r="E91" i="6"/>
  <c r="E263" i="6"/>
  <c r="E99" i="6"/>
  <c r="E18" i="6"/>
  <c r="E157" i="6"/>
  <c r="E219" i="6"/>
  <c r="E145" i="6"/>
  <c r="E20" i="6"/>
  <c r="E31" i="6"/>
  <c r="E54" i="6"/>
  <c r="E11" i="6"/>
  <c r="E12" i="6"/>
  <c r="E175" i="6"/>
  <c r="E156" i="6"/>
  <c r="E32" i="6"/>
  <c r="E133" i="6"/>
  <c r="E118" i="6"/>
  <c r="E191" i="6"/>
  <c r="E214" i="6"/>
  <c r="E250" i="6"/>
  <c r="E62" i="6"/>
  <c r="E206" i="6"/>
  <c r="E92" i="6"/>
  <c r="E217" i="6"/>
  <c r="E101" i="6"/>
  <c r="E14" i="6"/>
  <c r="E113" i="6"/>
  <c r="E167" i="6"/>
  <c r="E202" i="6"/>
  <c r="E44" i="6"/>
  <c r="E160" i="6"/>
  <c r="E109" i="6"/>
  <c r="E114" i="6"/>
  <c r="E128" i="6"/>
  <c r="E30" i="6"/>
  <c r="E105" i="6"/>
  <c r="E247" i="6"/>
  <c r="E22" i="6"/>
  <c r="E144" i="6"/>
  <c r="E199" i="6"/>
  <c r="E69" i="6"/>
  <c r="E197" i="6"/>
  <c r="E34" i="6"/>
  <c r="E38" i="6"/>
  <c r="E70" i="6"/>
  <c r="E93" i="6"/>
  <c r="E195" i="6"/>
  <c r="E143" i="6"/>
  <c r="E178" i="6"/>
  <c r="E131" i="6"/>
  <c r="E94" i="6"/>
  <c r="E89" i="6"/>
  <c r="E257" i="6"/>
  <c r="E77" i="6"/>
  <c r="E192" i="6"/>
  <c r="E81" i="6"/>
  <c r="E46" i="6"/>
  <c r="E189" i="6"/>
  <c r="E95" i="6"/>
  <c r="E208" i="6"/>
  <c r="E161" i="6"/>
  <c r="E9" i="6"/>
  <c r="E125" i="6"/>
  <c r="E98" i="6"/>
  <c r="E111" i="6"/>
  <c r="E166" i="6"/>
  <c r="E108" i="6"/>
  <c r="E120" i="6"/>
  <c r="E152" i="6"/>
  <c r="E123" i="6"/>
  <c r="E64" i="6"/>
  <c r="E222" i="6"/>
  <c r="E87" i="6"/>
  <c r="E184" i="6"/>
  <c r="E146" i="6"/>
  <c r="E246" i="6"/>
  <c r="E253" i="6"/>
  <c r="E119" i="6"/>
  <c r="E112" i="6"/>
  <c r="E162" i="6"/>
  <c r="E7" i="6"/>
  <c r="E103" i="6"/>
  <c r="E83" i="6"/>
  <c r="E241" i="6"/>
  <c r="E59" i="6"/>
  <c r="E97" i="6"/>
  <c r="E15" i="6"/>
  <c r="E174" i="6"/>
  <c r="E61" i="6"/>
  <c r="E116" i="6"/>
  <c r="E216" i="6"/>
  <c r="E224" i="6"/>
  <c r="E265" i="6"/>
  <c r="E248" i="6"/>
  <c r="E259" i="6"/>
  <c r="E23" i="6"/>
  <c r="E67" i="6"/>
  <c r="E188" i="6"/>
  <c r="E149" i="6"/>
  <c r="E151" i="6"/>
  <c r="E194" i="6"/>
  <c r="E140" i="6"/>
  <c r="E190" i="6"/>
  <c r="E233" i="6"/>
  <c r="E229" i="6"/>
  <c r="E196" i="6"/>
  <c r="E86" i="6"/>
  <c r="E204" i="6"/>
  <c r="E211" i="6"/>
  <c r="E201" i="6"/>
  <c r="E84" i="6"/>
  <c r="E122" i="6"/>
  <c r="E60" i="6"/>
  <c r="E96" i="6"/>
  <c r="E13" i="6"/>
  <c r="E137" i="6"/>
  <c r="E261" i="6"/>
  <c r="E102" i="6"/>
  <c r="E258" i="6"/>
  <c r="E10" i="6"/>
  <c r="E252" i="6"/>
  <c r="E27" i="6"/>
  <c r="E40" i="6"/>
  <c r="E57" i="6"/>
  <c r="E37" i="6"/>
  <c r="E124" i="6"/>
  <c r="E168" i="6"/>
  <c r="E68" i="6"/>
  <c r="E121" i="6"/>
  <c r="E52" i="6"/>
  <c r="E260" i="6"/>
  <c r="E141" i="6"/>
  <c r="E180" i="6"/>
  <c r="E110" i="6"/>
  <c r="E154" i="6"/>
  <c r="E48" i="6"/>
  <c r="E17" i="6"/>
  <c r="E207" i="6"/>
  <c r="E19" i="6"/>
  <c r="E242" i="6"/>
  <c r="E42" i="6"/>
  <c r="E220" i="6"/>
  <c r="E170" i="6"/>
  <c r="E234" i="6"/>
  <c r="E117" i="6"/>
  <c r="E183" i="6"/>
  <c r="E41" i="6"/>
  <c r="E153" i="6"/>
  <c r="E129" i="6"/>
  <c r="E221" i="6"/>
  <c r="E249" i="6"/>
  <c r="E215" i="6"/>
  <c r="E25" i="6"/>
  <c r="E39" i="6"/>
  <c r="E76" i="6"/>
  <c r="E33" i="6"/>
  <c r="E213" i="6"/>
  <c r="E236" i="6"/>
  <c r="E136" i="6"/>
  <c r="E115" i="6"/>
  <c r="E90" i="6"/>
  <c r="E85" i="6"/>
  <c r="E80" i="6"/>
  <c r="E212" i="6"/>
  <c r="E230" i="6"/>
  <c r="E239" i="6"/>
  <c r="E177" i="6"/>
  <c r="E173" i="6"/>
  <c r="E200" i="6"/>
  <c r="E55" i="6"/>
  <c r="E49" i="6"/>
  <c r="E172" i="6"/>
  <c r="E63" i="6"/>
  <c r="E138" i="6"/>
  <c r="E74" i="6"/>
  <c r="E134" i="6"/>
  <c r="E155" i="6"/>
  <c r="E127" i="6"/>
  <c r="E104" i="6"/>
  <c r="I89" i="6" l="1"/>
  <c r="I34" i="6"/>
  <c r="I164" i="6"/>
  <c r="I22" i="6"/>
  <c r="I193" i="6"/>
  <c r="I243" i="6"/>
  <c r="I122" i="6"/>
  <c r="I7" i="6"/>
  <c r="I55" i="6"/>
  <c r="I30" i="6"/>
  <c r="I218" i="6"/>
  <c r="I136" i="6"/>
  <c r="I72" i="6"/>
  <c r="I231" i="6"/>
  <c r="I66" i="6"/>
  <c r="I236" i="6"/>
  <c r="I73" i="6"/>
  <c r="I27" i="6"/>
  <c r="I28" i="6"/>
  <c r="I13" i="6"/>
  <c r="I43" i="6"/>
  <c r="I8" i="6"/>
  <c r="I157" i="6"/>
  <c r="I119" i="6"/>
  <c r="I121" i="6"/>
  <c r="I260" i="6"/>
  <c r="I209" i="6"/>
  <c r="I129" i="6"/>
  <c r="I40" i="6"/>
  <c r="I168" i="6"/>
  <c r="I83" i="6"/>
  <c r="I126" i="6"/>
  <c r="I139" i="6"/>
  <c r="I130" i="6"/>
  <c r="I154" i="6"/>
  <c r="I198" i="6"/>
  <c r="I21" i="6"/>
  <c r="I222" i="6"/>
  <c r="I18" i="6"/>
  <c r="I199" i="6"/>
  <c r="I191" i="6"/>
  <c r="I208" i="6"/>
  <c r="I23" i="6"/>
  <c r="I78" i="6"/>
  <c r="I11" i="6"/>
  <c r="I93" i="6"/>
  <c r="I44" i="6"/>
  <c r="I82" i="6"/>
  <c r="I38" i="6"/>
  <c r="I90" i="6"/>
  <c r="I131" i="6"/>
  <c r="I230" i="6"/>
  <c r="I39" i="6"/>
  <c r="I259" i="6"/>
  <c r="I158" i="6"/>
  <c r="I146" i="6"/>
  <c r="I96" i="6"/>
  <c r="I97" i="6"/>
  <c r="I192" i="6"/>
  <c r="I65" i="6"/>
  <c r="I20" i="6"/>
  <c r="I69" i="6"/>
  <c r="I245" i="6"/>
  <c r="I35" i="6"/>
  <c r="I74" i="6"/>
  <c r="I19" i="6"/>
  <c r="I128" i="6"/>
  <c r="I133" i="6"/>
  <c r="I107" i="6"/>
  <c r="I224" i="6"/>
  <c r="I153" i="6"/>
  <c r="I102" i="6"/>
  <c r="I110" i="6"/>
  <c r="I115" i="6"/>
  <c r="I14" i="6"/>
  <c r="I162" i="6"/>
  <c r="I51" i="6"/>
  <c r="I41" i="6"/>
  <c r="I147" i="6"/>
  <c r="I262" i="6"/>
  <c r="I95" i="6"/>
  <c r="I155" i="6"/>
  <c r="I25" i="6"/>
  <c r="I212" i="6"/>
  <c r="I251" i="6"/>
  <c r="I150" i="6"/>
  <c r="I112" i="6"/>
  <c r="I24" i="6"/>
  <c r="I87" i="6"/>
  <c r="I59" i="6"/>
  <c r="I81" i="6"/>
  <c r="I252" i="6"/>
  <c r="I188" i="6"/>
  <c r="I225" i="6"/>
  <c r="I211" i="6"/>
  <c r="I249" i="6"/>
  <c r="I125" i="6"/>
  <c r="I238" i="6"/>
  <c r="I235" i="6"/>
  <c r="I98" i="6"/>
  <c r="I84" i="6"/>
  <c r="I100" i="6"/>
  <c r="I68" i="6"/>
  <c r="I257" i="6"/>
  <c r="I111" i="6"/>
  <c r="I99" i="6"/>
  <c r="I9" i="6"/>
  <c r="I120" i="6"/>
  <c r="I195" i="6"/>
  <c r="I255" i="6"/>
  <c r="I16" i="6"/>
  <c r="I138" i="6"/>
  <c r="I53" i="6"/>
  <c r="I174" i="6"/>
  <c r="I163" i="6"/>
  <c r="I213" i="6"/>
  <c r="I265" i="6"/>
  <c r="I185" i="6"/>
  <c r="I197" i="6"/>
  <c r="I182" i="6"/>
  <c r="I240" i="6"/>
  <c r="I204" i="6"/>
  <c r="I123" i="6"/>
  <c r="I91" i="6"/>
  <c r="I228" i="6"/>
  <c r="I54" i="6"/>
  <c r="I117" i="6"/>
  <c r="I234" i="6"/>
  <c r="I203" i="6"/>
  <c r="I264" i="6"/>
  <c r="I210" i="6"/>
  <c r="I248" i="6"/>
  <c r="I37" i="6"/>
  <c r="I189" i="6"/>
  <c r="I67" i="6"/>
  <c r="I64" i="6"/>
  <c r="I135" i="6"/>
  <c r="I15" i="6"/>
  <c r="I80" i="6"/>
  <c r="I118" i="6"/>
  <c r="I60" i="6"/>
  <c r="I253" i="6"/>
  <c r="I142" i="6"/>
  <c r="I186" i="6"/>
  <c r="I156" i="6"/>
  <c r="I75" i="6"/>
  <c r="I56" i="6"/>
  <c r="I175" i="6"/>
  <c r="I50" i="6"/>
  <c r="I216" i="6"/>
  <c r="I219" i="6"/>
  <c r="I124" i="6"/>
  <c r="I143" i="6"/>
  <c r="I227" i="6"/>
  <c r="I29" i="6"/>
  <c r="I190" i="6"/>
  <c r="I58" i="6"/>
  <c r="I172" i="6"/>
  <c r="G7" i="6" a="1"/>
  <c r="G225" i="6" l="1"/>
  <c r="G243" i="6"/>
  <c r="G242" i="6"/>
  <c r="G257" i="6"/>
  <c r="G91" i="6"/>
  <c r="G236" i="6"/>
  <c r="G188" i="6"/>
  <c r="G152" i="6"/>
  <c r="G251" i="6"/>
  <c r="G76" i="6"/>
  <c r="G20" i="6"/>
  <c r="G64" i="6"/>
  <c r="G10" i="6"/>
  <c r="G140" i="6"/>
  <c r="G106" i="6"/>
  <c r="G175" i="6"/>
  <c r="G43" i="6"/>
  <c r="G260" i="6"/>
  <c r="G228" i="6"/>
  <c r="G247" i="6"/>
  <c r="G216" i="6"/>
  <c r="G23" i="6"/>
  <c r="G93" i="6"/>
  <c r="G218" i="6"/>
  <c r="G82" i="6"/>
  <c r="G99" i="6"/>
  <c r="G48" i="6"/>
  <c r="G79" i="6"/>
  <c r="G182" i="6"/>
  <c r="G55" i="6"/>
  <c r="G146" i="6"/>
  <c r="G221" i="6"/>
  <c r="G17" i="6"/>
  <c r="G81" i="6"/>
  <c r="G128" i="6"/>
  <c r="G235" i="6"/>
  <c r="G227" i="6"/>
  <c r="G54" i="6"/>
  <c r="G65" i="6"/>
  <c r="G60" i="6"/>
  <c r="G90" i="6"/>
  <c r="G171" i="6"/>
  <c r="G40" i="6"/>
  <c r="G191" i="6"/>
  <c r="G112" i="6"/>
  <c r="G210" i="6"/>
  <c r="G67" i="6"/>
  <c r="G246" i="6"/>
  <c r="G232" i="6"/>
  <c r="G41" i="6"/>
  <c r="G149" i="6"/>
  <c r="G38" i="6"/>
  <c r="G173" i="6"/>
  <c r="G57" i="6"/>
  <c r="G180" i="6"/>
  <c r="G198" i="6"/>
  <c r="G183" i="6"/>
  <c r="G80" i="6"/>
  <c r="G134" i="6"/>
  <c r="G259" i="6"/>
  <c r="G135" i="6"/>
  <c r="G241" i="6"/>
  <c r="G97" i="6"/>
  <c r="G254" i="6"/>
  <c r="G45" i="6"/>
  <c r="G196" i="6"/>
  <c r="G24" i="6"/>
  <c r="G147" i="6"/>
  <c r="G137" i="6"/>
  <c r="G30" i="6"/>
  <c r="G62" i="6"/>
  <c r="G61" i="6"/>
  <c r="G83" i="6"/>
  <c r="G56" i="6"/>
  <c r="G244" i="6"/>
  <c r="G226" i="6"/>
  <c r="G139" i="6"/>
  <c r="G115" i="6"/>
  <c r="G110" i="6"/>
  <c r="G98" i="6"/>
  <c r="G13" i="6"/>
  <c r="G116" i="6"/>
  <c r="G68" i="6"/>
  <c r="G29" i="6"/>
  <c r="G151" i="6"/>
  <c r="G193" i="6"/>
  <c r="G264" i="6"/>
  <c r="G142" i="6"/>
  <c r="G50" i="6"/>
  <c r="G159" i="6"/>
  <c r="G230" i="6"/>
  <c r="G209" i="6"/>
  <c r="G189" i="6"/>
  <c r="G121" i="6"/>
  <c r="G238" i="6"/>
  <c r="G70" i="6"/>
  <c r="G18" i="6"/>
  <c r="G165" i="6"/>
  <c r="G133" i="6"/>
  <c r="G21" i="6"/>
  <c r="G69" i="6"/>
  <c r="G214" i="6"/>
  <c r="G96" i="6"/>
  <c r="G19" i="6"/>
  <c r="G72" i="6"/>
  <c r="G239" i="6"/>
  <c r="G73" i="6"/>
  <c r="G265" i="6"/>
  <c r="G12" i="6"/>
  <c r="G39" i="6"/>
  <c r="G190" i="6"/>
  <c r="G217" i="6"/>
  <c r="G222" i="6"/>
  <c r="G145" i="6"/>
  <c r="G7" i="6"/>
  <c r="G120" i="6"/>
  <c r="G131" i="6"/>
  <c r="G150" i="6"/>
  <c r="G203" i="6"/>
  <c r="G86" i="6"/>
  <c r="G129" i="6"/>
  <c r="G8" i="6"/>
  <c r="G75" i="6"/>
  <c r="G201" i="6"/>
  <c r="G14" i="6"/>
  <c r="G164" i="6"/>
  <c r="G224" i="6"/>
  <c r="G132" i="6"/>
  <c r="G181" i="6"/>
  <c r="G263" i="6"/>
  <c r="G47" i="6"/>
  <c r="G113" i="6"/>
  <c r="G25" i="6"/>
  <c r="G63" i="6"/>
  <c r="G15" i="6"/>
  <c r="G154" i="6"/>
  <c r="G22" i="6"/>
  <c r="G28" i="6"/>
  <c r="G258" i="6"/>
  <c r="G104" i="6"/>
  <c r="G204" i="6"/>
  <c r="G167" i="6"/>
  <c r="G170" i="6"/>
  <c r="G85" i="6"/>
  <c r="G124" i="6"/>
  <c r="G186" i="6"/>
  <c r="G205" i="6"/>
  <c r="G156" i="6"/>
  <c r="G143" i="6"/>
  <c r="G114" i="6"/>
  <c r="G77" i="6"/>
  <c r="G119" i="6"/>
  <c r="G36" i="6"/>
  <c r="G223" i="6"/>
  <c r="G148" i="6"/>
  <c r="G261" i="6"/>
  <c r="G177" i="6"/>
  <c r="G109" i="6"/>
  <c r="G44" i="6"/>
  <c r="G200" i="6"/>
  <c r="G229" i="6"/>
  <c r="G166" i="6"/>
  <c r="G95" i="6"/>
  <c r="G249" i="6"/>
  <c r="G153" i="6"/>
  <c r="G125" i="6"/>
  <c r="G202" i="6"/>
  <c r="G26" i="6"/>
  <c r="G208" i="6"/>
  <c r="G213" i="6"/>
  <c r="G215" i="6"/>
  <c r="G34" i="6"/>
  <c r="G107" i="6"/>
  <c r="G192" i="6"/>
  <c r="G155" i="6"/>
  <c r="G9" i="6"/>
  <c r="G219" i="6"/>
  <c r="G211" i="6"/>
  <c r="G187" i="6"/>
  <c r="G89" i="6"/>
  <c r="G33" i="6"/>
  <c r="G118" i="6"/>
  <c r="G87" i="6"/>
  <c r="G136" i="6"/>
  <c r="G157" i="6"/>
  <c r="G42" i="6"/>
  <c r="G179" i="6"/>
  <c r="G51" i="6"/>
  <c r="G194" i="6"/>
  <c r="G46" i="6"/>
  <c r="G32" i="6"/>
  <c r="G197" i="6"/>
  <c r="G16" i="6"/>
  <c r="G37" i="6"/>
  <c r="G163" i="6"/>
  <c r="G141" i="6"/>
  <c r="G184" i="6"/>
  <c r="G233" i="6"/>
  <c r="G74" i="6"/>
  <c r="G262" i="6"/>
  <c r="G122" i="6"/>
  <c r="G127" i="6"/>
  <c r="G161" i="6"/>
  <c r="G117" i="6"/>
  <c r="G240" i="6"/>
  <c r="G35" i="6"/>
  <c r="G195" i="6"/>
  <c r="G144" i="6"/>
  <c r="G162" i="6"/>
  <c r="G53" i="6"/>
  <c r="G176" i="6"/>
  <c r="G172" i="6"/>
  <c r="G231" i="6"/>
  <c r="G237" i="6"/>
  <c r="G174" i="6"/>
  <c r="G84" i="6"/>
  <c r="G105" i="6"/>
  <c r="G111" i="6"/>
  <c r="G256" i="6"/>
  <c r="G52" i="6"/>
  <c r="G100" i="6"/>
  <c r="G207" i="6"/>
  <c r="G168" i="6"/>
  <c r="G49" i="6"/>
  <c r="G252" i="6"/>
  <c r="G160" i="6"/>
  <c r="G248" i="6"/>
  <c r="G250" i="6"/>
  <c r="G178" i="6"/>
  <c r="G185" i="6"/>
  <c r="G27" i="6"/>
  <c r="G31" i="6"/>
  <c r="G102" i="6"/>
  <c r="G88" i="6"/>
  <c r="G169" i="6"/>
  <c r="G253" i="6"/>
  <c r="G78" i="6"/>
  <c r="G92" i="6"/>
  <c r="G255" i="6"/>
  <c r="G103" i="6"/>
  <c r="G126" i="6"/>
  <c r="G59" i="6"/>
  <c r="G130" i="6"/>
  <c r="G11" i="6"/>
  <c r="G66" i="6"/>
  <c r="G101" i="6"/>
  <c r="G199" i="6"/>
  <c r="G94" i="6"/>
  <c r="G220" i="6"/>
  <c r="G138" i="6"/>
  <c r="G212" i="6"/>
  <c r="G206" i="6"/>
  <c r="G234" i="6"/>
  <c r="G245" i="6"/>
  <c r="G71" i="6"/>
  <c r="G158" i="6"/>
  <c r="G58" i="6"/>
  <c r="G108" i="6"/>
  <c r="G123" i="6"/>
</calcChain>
</file>

<file path=xl/sharedStrings.xml><?xml version="1.0" encoding="utf-8"?>
<sst xmlns="http://schemas.openxmlformats.org/spreadsheetml/2006/main" count="177" uniqueCount="75">
  <si>
    <t>PayReceive</t>
  </si>
  <si>
    <t>MaturityDate</t>
  </si>
  <si>
    <t>Frequency</t>
  </si>
  <si>
    <t>MOD_FOLLOWING</t>
  </si>
  <si>
    <t>DayCount</t>
  </si>
  <si>
    <t>AccrualBusinessDayAdjustment</t>
  </si>
  <si>
    <t>AccrualCalendar</t>
  </si>
  <si>
    <t>PaymentBusinessDayAdjustment</t>
  </si>
  <si>
    <t>PaymentCalendar</t>
  </si>
  <si>
    <t>PaymentLag</t>
  </si>
  <si>
    <t>ISIN</t>
  </si>
  <si>
    <t>US912828U246</t>
  </si>
  <si>
    <t>BondLVB</t>
  </si>
  <si>
    <t>Semi-Annual</t>
  </si>
  <si>
    <t>NYB</t>
  </si>
  <si>
    <t>0D</t>
  </si>
  <si>
    <t>meLWOBondCreate</t>
  </si>
  <si>
    <t>ACT/ACT</t>
  </si>
  <si>
    <t>BondType</t>
  </si>
  <si>
    <t>FIXED</t>
  </si>
  <si>
    <t xml:space="preserve"> </t>
  </si>
  <si>
    <t>CalculationType</t>
  </si>
  <si>
    <t>Currency</t>
  </si>
  <si>
    <t>USD</t>
  </si>
  <si>
    <t>YieldType</t>
  </si>
  <si>
    <t>ScheduleLVB</t>
  </si>
  <si>
    <t>YIELD-TO-MATURITY</t>
  </si>
  <si>
    <t>IsCleanPrice</t>
  </si>
  <si>
    <t>Coupon</t>
  </si>
  <si>
    <t>BondDescription</t>
  </si>
  <si>
    <t>UST 2% 15-11-2026</t>
  </si>
  <si>
    <t>FaceValue</t>
  </si>
  <si>
    <t>USTREASURY</t>
  </si>
  <si>
    <t>FirstCouponDate</t>
  </si>
  <si>
    <t>TYPE1_STREET_CONVENTION</t>
  </si>
  <si>
    <t>HandleName</t>
  </si>
  <si>
    <t>LastCouponDate</t>
  </si>
  <si>
    <t>LWO Save</t>
  </si>
  <si>
    <t>LWO Load</t>
  </si>
  <si>
    <t>LWO Display</t>
  </si>
  <si>
    <t>LWO Exists</t>
  </si>
  <si>
    <t>LWO List</t>
  </si>
  <si>
    <t>RECEIVE</t>
  </si>
  <si>
    <t>LWO Display Schedule</t>
  </si>
  <si>
    <t>LWO Display Cashflows</t>
  </si>
  <si>
    <t>NotionalExchange</t>
  </si>
  <si>
    <t>START_AND_END</t>
  </si>
  <si>
    <t>SettlementDate</t>
  </si>
  <si>
    <t>BondYield</t>
  </si>
  <si>
    <t>+/-</t>
  </si>
  <si>
    <t>QUOTE_IN_32NDS</t>
  </si>
  <si>
    <t>BondQuoteConvention</t>
  </si>
  <si>
    <t>MLIB</t>
  </si>
  <si>
    <t>Bloomberg</t>
  </si>
  <si>
    <t>Yield</t>
  </si>
  <si>
    <t>DirtyPrice</t>
  </si>
  <si>
    <t>Cashflow Schedule Dirty Bond Price</t>
  </si>
  <si>
    <t>Periodicity</t>
  </si>
  <si>
    <t>StartDate</t>
  </si>
  <si>
    <t>Dirty Price</t>
  </si>
  <si>
    <t>Accrued Days</t>
  </si>
  <si>
    <t>Accrued Interest</t>
  </si>
  <si>
    <t>Clean Price</t>
  </si>
  <si>
    <t>CleanPrice</t>
  </si>
  <si>
    <t>AccruedInterest</t>
  </si>
  <si>
    <t>MLIB Bond Prices</t>
  </si>
  <si>
    <t>1W</t>
  </si>
  <si>
    <t>ACCRUALSTARTDATE</t>
  </si>
  <si>
    <t>ISSUEDATE</t>
  </si>
  <si>
    <t>NO_CHANGE</t>
  </si>
  <si>
    <t>Price</t>
  </si>
  <si>
    <t>DV01</t>
  </si>
  <si>
    <t>Numerical</t>
  </si>
  <si>
    <t>Modified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</si>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</sst>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ddd\,\ d\-mmm\-yy"/>
    <numFmt numFmtId="165" formatCode="#,##0.0000"/>
    <numFmt numFmtId="166" formatCode="0.000000%"/>
    <numFmt numFmtId="167" formatCode="#,##0.000000"/>
    <numFmt numFmtId="168" formatCode="_-* #,##0_-;\-* #,##0_-;_-* &quot;-&quot;??_-;_-@_-"/>
    <numFmt numFmtId="169" formatCode="0.000000"/>
    <numFmt numFmtId="170" formatCode="0.0000%"/>
    <numFmt numFmtId="171" formatCode="#,##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0" fontId="2" fillId="0" borderId="0" xfId="0" applyFont="1" applyFill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 applyAlignment="1">
      <alignment horizontal="center" vertical="center"/>
    </xf>
    <xf numFmtId="0" fontId="0" fillId="2" borderId="2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5" fontId="0" fillId="3" borderId="1" xfId="0" applyNumberForma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3" fontId="2" fillId="2" borderId="0" xfId="0" applyNumberFormat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3" fontId="2" fillId="2" borderId="10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2" borderId="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0" borderId="0" xfId="0" applyFont="1"/>
    <xf numFmtId="0" fontId="0" fillId="2" borderId="3" xfId="0" applyFill="1" applyBorder="1"/>
    <xf numFmtId="164" fontId="0" fillId="3" borderId="3" xfId="0" applyNumberFormat="1" applyFill="1" applyBorder="1" applyAlignment="1">
      <alignment horizontal="center" vertical="center"/>
    </xf>
    <xf numFmtId="10" fontId="0" fillId="3" borderId="2" xfId="0" applyNumberFormat="1" applyFill="1" applyBorder="1" applyAlignment="1">
      <alignment horizontal="center" vertical="center"/>
    </xf>
    <xf numFmtId="0" fontId="0" fillId="2" borderId="12" xfId="0" applyFill="1" applyBorder="1"/>
    <xf numFmtId="0" fontId="0" fillId="3" borderId="1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15" fontId="2" fillId="2" borderId="7" xfId="0" applyNumberFormat="1" applyFont="1" applyFill="1" applyBorder="1" applyAlignment="1">
      <alignment horizontal="center" vertical="center"/>
    </xf>
    <xf numFmtId="15" fontId="2" fillId="2" borderId="0" xfId="0" applyNumberFormat="1" applyFont="1" applyFill="1" applyBorder="1" applyAlignment="1">
      <alignment horizontal="center" vertical="center"/>
    </xf>
    <xf numFmtId="4" fontId="2" fillId="2" borderId="0" xfId="0" applyNumberFormat="1" applyFont="1" applyFill="1" applyBorder="1" applyAlignment="1">
      <alignment horizontal="center" vertical="center"/>
    </xf>
    <xf numFmtId="10" fontId="2" fillId="2" borderId="0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/>
    </xf>
    <xf numFmtId="15" fontId="2" fillId="2" borderId="10" xfId="0" applyNumberFormat="1" applyFont="1" applyFill="1" applyBorder="1" applyAlignment="1">
      <alignment horizontal="center" vertical="center"/>
    </xf>
    <xf numFmtId="4" fontId="2" fillId="2" borderId="10" xfId="0" applyNumberFormat="1" applyFont="1" applyFill="1" applyBorder="1" applyAlignment="1">
      <alignment horizontal="center" vertical="center"/>
    </xf>
    <xf numFmtId="10" fontId="2" fillId="2" borderId="10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3" fontId="2" fillId="2" borderId="8" xfId="0" applyNumberFormat="1" applyFont="1" applyFill="1" applyBorder="1" applyAlignment="1">
      <alignment horizontal="center" vertical="center"/>
    </xf>
    <xf numFmtId="15" fontId="2" fillId="2" borderId="8" xfId="0" applyNumberFormat="1" applyFont="1" applyFill="1" applyBorder="1" applyAlignment="1">
      <alignment horizontal="center" vertical="center"/>
    </xf>
    <xf numFmtId="10" fontId="2" fillId="2" borderId="8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/>
    </xf>
    <xf numFmtId="4" fontId="2" fillId="2" borderId="5" xfId="0" applyNumberFormat="1" applyFont="1" applyFill="1" applyBorder="1" applyAlignment="1">
      <alignment horizontal="center" vertical="center"/>
    </xf>
    <xf numFmtId="15" fontId="2" fillId="2" borderId="4" xfId="0" applyNumberFormat="1" applyFont="1" applyFill="1" applyBorder="1" applyAlignment="1">
      <alignment horizontal="center" vertical="center"/>
    </xf>
    <xf numFmtId="15" fontId="2" fillId="2" borderId="5" xfId="0" applyNumberFormat="1" applyFont="1" applyFill="1" applyBorder="1" applyAlignment="1">
      <alignment horizontal="center" vertical="center"/>
    </xf>
    <xf numFmtId="3" fontId="2" fillId="2" borderId="5" xfId="0" applyNumberFormat="1" applyFont="1" applyFill="1" applyBorder="1" applyAlignment="1">
      <alignment horizontal="center" vertical="center"/>
    </xf>
    <xf numFmtId="10" fontId="2" fillId="2" borderId="5" xfId="0" applyNumberFormat="1" applyFont="1" applyFill="1" applyBorder="1" applyAlignment="1">
      <alignment horizontal="center" vertical="center"/>
    </xf>
    <xf numFmtId="3" fontId="2" fillId="2" borderId="6" xfId="0" applyNumberFormat="1" applyFont="1" applyFill="1" applyBorder="1" applyAlignment="1">
      <alignment horizontal="center" vertical="center"/>
    </xf>
    <xf numFmtId="3" fontId="2" fillId="2" borderId="11" xfId="0" applyNumberFormat="1" applyFont="1" applyFill="1" applyBorder="1" applyAlignment="1">
      <alignment horizontal="center" vertical="center"/>
    </xf>
    <xf numFmtId="167" fontId="2" fillId="2" borderId="5" xfId="0" applyNumberFormat="1" applyFont="1" applyFill="1" applyBorder="1" applyAlignment="1">
      <alignment horizontal="center" vertical="center"/>
    </xf>
    <xf numFmtId="167" fontId="2" fillId="2" borderId="0" xfId="0" applyNumberFormat="1" applyFont="1" applyFill="1" applyBorder="1" applyAlignment="1">
      <alignment horizontal="center" vertical="center"/>
    </xf>
    <xf numFmtId="167" fontId="2" fillId="2" borderId="10" xfId="0" applyNumberFormat="1" applyFont="1" applyFill="1" applyBorder="1" applyAlignment="1">
      <alignment horizontal="center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3" borderId="3" xfId="0" applyNumberFormat="1" applyFill="1" applyBorder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quotePrefix="1"/>
    <xf numFmtId="16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10" fontId="2" fillId="2" borderId="11" xfId="0" applyNumberFormat="1" applyFont="1" applyFill="1" applyBorder="1" applyAlignment="1">
      <alignment horizontal="center" vertical="center"/>
    </xf>
    <xf numFmtId="167" fontId="0" fillId="0" borderId="0" xfId="0" applyNumberForma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left" vertical="center"/>
    </xf>
    <xf numFmtId="164" fontId="0" fillId="3" borderId="1" xfId="0" applyNumberFormat="1" applyFill="1" applyBorder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70" fontId="0" fillId="3" borderId="0" xfId="0" applyNumberFormat="1" applyFill="1" applyAlignment="1">
      <alignment horizontal="center" vertical="center"/>
    </xf>
    <xf numFmtId="167" fontId="2" fillId="2" borderId="0" xfId="0" applyNumberFormat="1" applyFont="1" applyFill="1" applyAlignment="1">
      <alignment horizontal="center" vertical="center"/>
    </xf>
    <xf numFmtId="10" fontId="0" fillId="0" borderId="0" xfId="0" applyNumberFormat="1"/>
    <xf numFmtId="4" fontId="0" fillId="0" borderId="0" xfId="0" applyNumberFormat="1"/>
    <xf numFmtId="165" fontId="0" fillId="0" borderId="0" xfId="0" applyNumberFormat="1"/>
    <xf numFmtId="171" fontId="0" fillId="0" borderId="0" xfId="0" applyNumberFormat="1"/>
    <xf numFmtId="4" fontId="0" fillId="0" borderId="0" xfId="0" applyNumberFormat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70" fontId="2" fillId="2" borderId="0" xfId="0" applyNumberFormat="1" applyFont="1" applyFill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5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Bond Clean &amp; Dirty Prices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'Bond Pricing'!$D$6</c:f>
              <c:strCache>
                <c:ptCount val="1"/>
                <c:pt idx="0">
                  <c:v>DirtyPrice</c:v>
                </c:pt>
              </c:strCache>
            </c:strRef>
          </c:tx>
          <c:marker>
            <c:symbol val="x"/>
            <c:size val="4"/>
          </c:marker>
          <c:cat>
            <c:numRef>
              <c:f>'Bond Pricing'!$B$7:$B$265</c:f>
              <c:numCache>
                <c:formatCode>ddd\,\ d\-mmm\-yy</c:formatCode>
                <c:ptCount val="259"/>
                <c:pt idx="0">
                  <c:v>42787</c:v>
                </c:pt>
                <c:pt idx="1">
                  <c:v>42794</c:v>
                </c:pt>
                <c:pt idx="2">
                  <c:v>42801</c:v>
                </c:pt>
                <c:pt idx="3">
                  <c:v>42808</c:v>
                </c:pt>
                <c:pt idx="4">
                  <c:v>42815</c:v>
                </c:pt>
                <c:pt idx="5">
                  <c:v>42822</c:v>
                </c:pt>
                <c:pt idx="6">
                  <c:v>42829</c:v>
                </c:pt>
                <c:pt idx="7">
                  <c:v>42836</c:v>
                </c:pt>
                <c:pt idx="8">
                  <c:v>42843</c:v>
                </c:pt>
                <c:pt idx="9">
                  <c:v>42850</c:v>
                </c:pt>
                <c:pt idx="10">
                  <c:v>42857</c:v>
                </c:pt>
                <c:pt idx="11">
                  <c:v>42864</c:v>
                </c:pt>
                <c:pt idx="12">
                  <c:v>42871</c:v>
                </c:pt>
                <c:pt idx="13">
                  <c:v>42878</c:v>
                </c:pt>
                <c:pt idx="14">
                  <c:v>42885</c:v>
                </c:pt>
                <c:pt idx="15">
                  <c:v>42892</c:v>
                </c:pt>
                <c:pt idx="16">
                  <c:v>42899</c:v>
                </c:pt>
                <c:pt idx="17">
                  <c:v>42906</c:v>
                </c:pt>
                <c:pt idx="18">
                  <c:v>42913</c:v>
                </c:pt>
                <c:pt idx="19">
                  <c:v>42921</c:v>
                </c:pt>
                <c:pt idx="20">
                  <c:v>42928</c:v>
                </c:pt>
                <c:pt idx="21">
                  <c:v>42935</c:v>
                </c:pt>
                <c:pt idx="22">
                  <c:v>42942</c:v>
                </c:pt>
                <c:pt idx="23">
                  <c:v>42949</c:v>
                </c:pt>
                <c:pt idx="24">
                  <c:v>42956</c:v>
                </c:pt>
                <c:pt idx="25">
                  <c:v>42963</c:v>
                </c:pt>
                <c:pt idx="26">
                  <c:v>42970</c:v>
                </c:pt>
                <c:pt idx="27">
                  <c:v>42977</c:v>
                </c:pt>
                <c:pt idx="28">
                  <c:v>42984</c:v>
                </c:pt>
                <c:pt idx="29">
                  <c:v>42991</c:v>
                </c:pt>
                <c:pt idx="30">
                  <c:v>42998</c:v>
                </c:pt>
                <c:pt idx="31">
                  <c:v>43005</c:v>
                </c:pt>
                <c:pt idx="32">
                  <c:v>43012</c:v>
                </c:pt>
                <c:pt idx="33">
                  <c:v>43019</c:v>
                </c:pt>
                <c:pt idx="34">
                  <c:v>43026</c:v>
                </c:pt>
                <c:pt idx="35">
                  <c:v>43033</c:v>
                </c:pt>
                <c:pt idx="36">
                  <c:v>43040</c:v>
                </c:pt>
                <c:pt idx="37">
                  <c:v>43047</c:v>
                </c:pt>
                <c:pt idx="38">
                  <c:v>43054</c:v>
                </c:pt>
                <c:pt idx="39">
                  <c:v>43061</c:v>
                </c:pt>
                <c:pt idx="40">
                  <c:v>43068</c:v>
                </c:pt>
                <c:pt idx="41">
                  <c:v>43075</c:v>
                </c:pt>
                <c:pt idx="42">
                  <c:v>43082</c:v>
                </c:pt>
                <c:pt idx="43">
                  <c:v>43089</c:v>
                </c:pt>
                <c:pt idx="44">
                  <c:v>43096</c:v>
                </c:pt>
                <c:pt idx="45">
                  <c:v>43103</c:v>
                </c:pt>
                <c:pt idx="46">
                  <c:v>43110</c:v>
                </c:pt>
                <c:pt idx="47">
                  <c:v>43117</c:v>
                </c:pt>
                <c:pt idx="48">
                  <c:v>43124</c:v>
                </c:pt>
                <c:pt idx="49">
                  <c:v>43131</c:v>
                </c:pt>
                <c:pt idx="50">
                  <c:v>43138</c:v>
                </c:pt>
                <c:pt idx="51">
                  <c:v>43145</c:v>
                </c:pt>
                <c:pt idx="52">
                  <c:v>43152</c:v>
                </c:pt>
                <c:pt idx="53">
                  <c:v>43159</c:v>
                </c:pt>
                <c:pt idx="54">
                  <c:v>43166</c:v>
                </c:pt>
                <c:pt idx="55">
                  <c:v>43173</c:v>
                </c:pt>
                <c:pt idx="56">
                  <c:v>43180</c:v>
                </c:pt>
                <c:pt idx="57">
                  <c:v>43187</c:v>
                </c:pt>
                <c:pt idx="58">
                  <c:v>43194</c:v>
                </c:pt>
                <c:pt idx="59">
                  <c:v>43201</c:v>
                </c:pt>
                <c:pt idx="60">
                  <c:v>43208</c:v>
                </c:pt>
                <c:pt idx="61">
                  <c:v>43215</c:v>
                </c:pt>
                <c:pt idx="62">
                  <c:v>43222</c:v>
                </c:pt>
                <c:pt idx="63">
                  <c:v>43229</c:v>
                </c:pt>
                <c:pt idx="64">
                  <c:v>43236</c:v>
                </c:pt>
                <c:pt idx="65">
                  <c:v>43243</c:v>
                </c:pt>
                <c:pt idx="66">
                  <c:v>43250</c:v>
                </c:pt>
                <c:pt idx="67">
                  <c:v>43257</c:v>
                </c:pt>
                <c:pt idx="68">
                  <c:v>43264</c:v>
                </c:pt>
                <c:pt idx="69">
                  <c:v>43271</c:v>
                </c:pt>
                <c:pt idx="70">
                  <c:v>43278</c:v>
                </c:pt>
                <c:pt idx="71">
                  <c:v>43286</c:v>
                </c:pt>
                <c:pt idx="72">
                  <c:v>43293</c:v>
                </c:pt>
                <c:pt idx="73">
                  <c:v>43300</c:v>
                </c:pt>
                <c:pt idx="74">
                  <c:v>43307</c:v>
                </c:pt>
                <c:pt idx="75">
                  <c:v>43314</c:v>
                </c:pt>
                <c:pt idx="76">
                  <c:v>43321</c:v>
                </c:pt>
                <c:pt idx="77">
                  <c:v>43328</c:v>
                </c:pt>
                <c:pt idx="78">
                  <c:v>43335</c:v>
                </c:pt>
                <c:pt idx="79">
                  <c:v>43342</c:v>
                </c:pt>
                <c:pt idx="80">
                  <c:v>43349</c:v>
                </c:pt>
                <c:pt idx="81">
                  <c:v>43356</c:v>
                </c:pt>
                <c:pt idx="82">
                  <c:v>43363</c:v>
                </c:pt>
                <c:pt idx="83">
                  <c:v>43370</c:v>
                </c:pt>
                <c:pt idx="84">
                  <c:v>43377</c:v>
                </c:pt>
                <c:pt idx="85">
                  <c:v>43384</c:v>
                </c:pt>
                <c:pt idx="86">
                  <c:v>43391</c:v>
                </c:pt>
                <c:pt idx="87">
                  <c:v>43398</c:v>
                </c:pt>
                <c:pt idx="88">
                  <c:v>43405</c:v>
                </c:pt>
                <c:pt idx="89">
                  <c:v>43412</c:v>
                </c:pt>
                <c:pt idx="90">
                  <c:v>43419</c:v>
                </c:pt>
                <c:pt idx="91">
                  <c:v>43427</c:v>
                </c:pt>
                <c:pt idx="92">
                  <c:v>43434</c:v>
                </c:pt>
                <c:pt idx="93">
                  <c:v>43441</c:v>
                </c:pt>
                <c:pt idx="94">
                  <c:v>43448</c:v>
                </c:pt>
                <c:pt idx="95">
                  <c:v>43455</c:v>
                </c:pt>
                <c:pt idx="96">
                  <c:v>43462</c:v>
                </c:pt>
                <c:pt idx="97">
                  <c:v>43469</c:v>
                </c:pt>
                <c:pt idx="98">
                  <c:v>43476</c:v>
                </c:pt>
                <c:pt idx="99">
                  <c:v>43483</c:v>
                </c:pt>
                <c:pt idx="100">
                  <c:v>43490</c:v>
                </c:pt>
                <c:pt idx="101">
                  <c:v>43497</c:v>
                </c:pt>
                <c:pt idx="102">
                  <c:v>43504</c:v>
                </c:pt>
                <c:pt idx="103">
                  <c:v>43511</c:v>
                </c:pt>
                <c:pt idx="104">
                  <c:v>43518</c:v>
                </c:pt>
                <c:pt idx="105">
                  <c:v>43525</c:v>
                </c:pt>
                <c:pt idx="106">
                  <c:v>43532</c:v>
                </c:pt>
                <c:pt idx="107">
                  <c:v>43539</c:v>
                </c:pt>
                <c:pt idx="108">
                  <c:v>43546</c:v>
                </c:pt>
                <c:pt idx="109">
                  <c:v>43553</c:v>
                </c:pt>
                <c:pt idx="110">
                  <c:v>43560</c:v>
                </c:pt>
                <c:pt idx="111">
                  <c:v>43567</c:v>
                </c:pt>
                <c:pt idx="112">
                  <c:v>43574</c:v>
                </c:pt>
                <c:pt idx="113">
                  <c:v>43581</c:v>
                </c:pt>
                <c:pt idx="114">
                  <c:v>43588</c:v>
                </c:pt>
                <c:pt idx="115">
                  <c:v>43595</c:v>
                </c:pt>
                <c:pt idx="116">
                  <c:v>43602</c:v>
                </c:pt>
                <c:pt idx="117">
                  <c:v>43609</c:v>
                </c:pt>
                <c:pt idx="118">
                  <c:v>43616</c:v>
                </c:pt>
                <c:pt idx="119">
                  <c:v>43623</c:v>
                </c:pt>
                <c:pt idx="120">
                  <c:v>43630</c:v>
                </c:pt>
                <c:pt idx="121">
                  <c:v>43637</c:v>
                </c:pt>
                <c:pt idx="122">
                  <c:v>43644</c:v>
                </c:pt>
                <c:pt idx="123">
                  <c:v>43651</c:v>
                </c:pt>
                <c:pt idx="124">
                  <c:v>43658</c:v>
                </c:pt>
                <c:pt idx="125">
                  <c:v>43665</c:v>
                </c:pt>
                <c:pt idx="126">
                  <c:v>43672</c:v>
                </c:pt>
                <c:pt idx="127">
                  <c:v>43679</c:v>
                </c:pt>
                <c:pt idx="128">
                  <c:v>43686</c:v>
                </c:pt>
                <c:pt idx="129">
                  <c:v>43693</c:v>
                </c:pt>
                <c:pt idx="130">
                  <c:v>43700</c:v>
                </c:pt>
                <c:pt idx="131">
                  <c:v>43707</c:v>
                </c:pt>
                <c:pt idx="132">
                  <c:v>43714</c:v>
                </c:pt>
                <c:pt idx="133">
                  <c:v>43721</c:v>
                </c:pt>
                <c:pt idx="134">
                  <c:v>43728</c:v>
                </c:pt>
                <c:pt idx="135">
                  <c:v>43735</c:v>
                </c:pt>
                <c:pt idx="136">
                  <c:v>43742</c:v>
                </c:pt>
                <c:pt idx="137">
                  <c:v>43749</c:v>
                </c:pt>
                <c:pt idx="138">
                  <c:v>43756</c:v>
                </c:pt>
                <c:pt idx="139">
                  <c:v>43763</c:v>
                </c:pt>
                <c:pt idx="140">
                  <c:v>43770</c:v>
                </c:pt>
                <c:pt idx="141">
                  <c:v>43777</c:v>
                </c:pt>
                <c:pt idx="142">
                  <c:v>43784</c:v>
                </c:pt>
                <c:pt idx="143">
                  <c:v>43791</c:v>
                </c:pt>
                <c:pt idx="144">
                  <c:v>43798</c:v>
                </c:pt>
                <c:pt idx="145">
                  <c:v>43805</c:v>
                </c:pt>
                <c:pt idx="146">
                  <c:v>43812</c:v>
                </c:pt>
                <c:pt idx="147">
                  <c:v>43819</c:v>
                </c:pt>
                <c:pt idx="148">
                  <c:v>43826</c:v>
                </c:pt>
                <c:pt idx="149">
                  <c:v>43833</c:v>
                </c:pt>
                <c:pt idx="150">
                  <c:v>43840</c:v>
                </c:pt>
                <c:pt idx="151">
                  <c:v>43847</c:v>
                </c:pt>
                <c:pt idx="152">
                  <c:v>43854</c:v>
                </c:pt>
                <c:pt idx="153">
                  <c:v>43861</c:v>
                </c:pt>
                <c:pt idx="154">
                  <c:v>43868</c:v>
                </c:pt>
                <c:pt idx="155">
                  <c:v>43875</c:v>
                </c:pt>
                <c:pt idx="156">
                  <c:v>43882</c:v>
                </c:pt>
                <c:pt idx="157">
                  <c:v>43889</c:v>
                </c:pt>
                <c:pt idx="158">
                  <c:v>43896</c:v>
                </c:pt>
                <c:pt idx="159">
                  <c:v>43903</c:v>
                </c:pt>
                <c:pt idx="160">
                  <c:v>43910</c:v>
                </c:pt>
                <c:pt idx="161">
                  <c:v>43917</c:v>
                </c:pt>
                <c:pt idx="162">
                  <c:v>43924</c:v>
                </c:pt>
                <c:pt idx="163">
                  <c:v>43931</c:v>
                </c:pt>
                <c:pt idx="164">
                  <c:v>43938</c:v>
                </c:pt>
                <c:pt idx="165">
                  <c:v>43945</c:v>
                </c:pt>
                <c:pt idx="166">
                  <c:v>43952</c:v>
                </c:pt>
                <c:pt idx="167">
                  <c:v>43959</c:v>
                </c:pt>
                <c:pt idx="168">
                  <c:v>43966</c:v>
                </c:pt>
                <c:pt idx="169">
                  <c:v>43973</c:v>
                </c:pt>
                <c:pt idx="170">
                  <c:v>43980</c:v>
                </c:pt>
                <c:pt idx="171">
                  <c:v>43987</c:v>
                </c:pt>
                <c:pt idx="172">
                  <c:v>43994</c:v>
                </c:pt>
                <c:pt idx="173">
                  <c:v>44001</c:v>
                </c:pt>
                <c:pt idx="174">
                  <c:v>44008</c:v>
                </c:pt>
                <c:pt idx="175">
                  <c:v>44015</c:v>
                </c:pt>
                <c:pt idx="176">
                  <c:v>44022</c:v>
                </c:pt>
                <c:pt idx="177">
                  <c:v>44029</c:v>
                </c:pt>
                <c:pt idx="178">
                  <c:v>44036</c:v>
                </c:pt>
                <c:pt idx="179">
                  <c:v>44043</c:v>
                </c:pt>
                <c:pt idx="180">
                  <c:v>44050</c:v>
                </c:pt>
                <c:pt idx="181">
                  <c:v>44057</c:v>
                </c:pt>
                <c:pt idx="182">
                  <c:v>44064</c:v>
                </c:pt>
                <c:pt idx="183">
                  <c:v>44071</c:v>
                </c:pt>
                <c:pt idx="184">
                  <c:v>44078</c:v>
                </c:pt>
                <c:pt idx="185">
                  <c:v>44085</c:v>
                </c:pt>
                <c:pt idx="186">
                  <c:v>44092</c:v>
                </c:pt>
                <c:pt idx="187">
                  <c:v>44099</c:v>
                </c:pt>
                <c:pt idx="188">
                  <c:v>44106</c:v>
                </c:pt>
                <c:pt idx="189">
                  <c:v>44113</c:v>
                </c:pt>
                <c:pt idx="190">
                  <c:v>44120</c:v>
                </c:pt>
                <c:pt idx="191">
                  <c:v>44127</c:v>
                </c:pt>
                <c:pt idx="192">
                  <c:v>44134</c:v>
                </c:pt>
                <c:pt idx="193">
                  <c:v>44141</c:v>
                </c:pt>
                <c:pt idx="194">
                  <c:v>44148</c:v>
                </c:pt>
                <c:pt idx="195">
                  <c:v>44155</c:v>
                </c:pt>
                <c:pt idx="196">
                  <c:v>44162</c:v>
                </c:pt>
                <c:pt idx="197">
                  <c:v>44169</c:v>
                </c:pt>
                <c:pt idx="198">
                  <c:v>44176</c:v>
                </c:pt>
                <c:pt idx="199">
                  <c:v>44183</c:v>
                </c:pt>
                <c:pt idx="200">
                  <c:v>44193</c:v>
                </c:pt>
                <c:pt idx="201">
                  <c:v>44200</c:v>
                </c:pt>
                <c:pt idx="202">
                  <c:v>44207</c:v>
                </c:pt>
                <c:pt idx="203">
                  <c:v>44215</c:v>
                </c:pt>
                <c:pt idx="204">
                  <c:v>44222</c:v>
                </c:pt>
                <c:pt idx="205">
                  <c:v>44229</c:v>
                </c:pt>
                <c:pt idx="206">
                  <c:v>44236</c:v>
                </c:pt>
                <c:pt idx="207">
                  <c:v>44243</c:v>
                </c:pt>
                <c:pt idx="208">
                  <c:v>44250</c:v>
                </c:pt>
                <c:pt idx="209">
                  <c:v>44257</c:v>
                </c:pt>
                <c:pt idx="210">
                  <c:v>44264</c:v>
                </c:pt>
                <c:pt idx="211">
                  <c:v>44271</c:v>
                </c:pt>
                <c:pt idx="212">
                  <c:v>44278</c:v>
                </c:pt>
                <c:pt idx="213">
                  <c:v>44285</c:v>
                </c:pt>
                <c:pt idx="214">
                  <c:v>44292</c:v>
                </c:pt>
                <c:pt idx="215">
                  <c:v>44299</c:v>
                </c:pt>
                <c:pt idx="216">
                  <c:v>44306</c:v>
                </c:pt>
                <c:pt idx="217">
                  <c:v>44313</c:v>
                </c:pt>
                <c:pt idx="218">
                  <c:v>44320</c:v>
                </c:pt>
                <c:pt idx="219">
                  <c:v>44327</c:v>
                </c:pt>
                <c:pt idx="220">
                  <c:v>44334</c:v>
                </c:pt>
                <c:pt idx="221">
                  <c:v>44341</c:v>
                </c:pt>
                <c:pt idx="222">
                  <c:v>44348</c:v>
                </c:pt>
                <c:pt idx="223">
                  <c:v>44355</c:v>
                </c:pt>
                <c:pt idx="224">
                  <c:v>44362</c:v>
                </c:pt>
                <c:pt idx="225">
                  <c:v>44369</c:v>
                </c:pt>
                <c:pt idx="226">
                  <c:v>44376</c:v>
                </c:pt>
                <c:pt idx="227">
                  <c:v>44383</c:v>
                </c:pt>
                <c:pt idx="228">
                  <c:v>44390</c:v>
                </c:pt>
                <c:pt idx="229">
                  <c:v>44397</c:v>
                </c:pt>
                <c:pt idx="230">
                  <c:v>44404</c:v>
                </c:pt>
                <c:pt idx="231">
                  <c:v>44411</c:v>
                </c:pt>
                <c:pt idx="232">
                  <c:v>44418</c:v>
                </c:pt>
                <c:pt idx="233">
                  <c:v>44425</c:v>
                </c:pt>
                <c:pt idx="234">
                  <c:v>44432</c:v>
                </c:pt>
                <c:pt idx="235">
                  <c:v>44439</c:v>
                </c:pt>
                <c:pt idx="236">
                  <c:v>44446</c:v>
                </c:pt>
                <c:pt idx="237">
                  <c:v>44453</c:v>
                </c:pt>
                <c:pt idx="238">
                  <c:v>44460</c:v>
                </c:pt>
                <c:pt idx="239">
                  <c:v>44467</c:v>
                </c:pt>
                <c:pt idx="240">
                  <c:v>44474</c:v>
                </c:pt>
                <c:pt idx="241">
                  <c:v>44481</c:v>
                </c:pt>
                <c:pt idx="242">
                  <c:v>44488</c:v>
                </c:pt>
                <c:pt idx="243">
                  <c:v>44495</c:v>
                </c:pt>
                <c:pt idx="244">
                  <c:v>44502</c:v>
                </c:pt>
                <c:pt idx="245">
                  <c:v>44509</c:v>
                </c:pt>
                <c:pt idx="246">
                  <c:v>44516</c:v>
                </c:pt>
                <c:pt idx="247">
                  <c:v>44523</c:v>
                </c:pt>
                <c:pt idx="248">
                  <c:v>44530</c:v>
                </c:pt>
                <c:pt idx="249">
                  <c:v>44537</c:v>
                </c:pt>
                <c:pt idx="250">
                  <c:v>44544</c:v>
                </c:pt>
                <c:pt idx="251">
                  <c:v>44551</c:v>
                </c:pt>
                <c:pt idx="252">
                  <c:v>44558</c:v>
                </c:pt>
                <c:pt idx="253">
                  <c:v>44565</c:v>
                </c:pt>
                <c:pt idx="254">
                  <c:v>44572</c:v>
                </c:pt>
                <c:pt idx="255">
                  <c:v>44579</c:v>
                </c:pt>
                <c:pt idx="256">
                  <c:v>44586</c:v>
                </c:pt>
                <c:pt idx="257">
                  <c:v>44593</c:v>
                </c:pt>
                <c:pt idx="258">
                  <c:v>44600</c:v>
                </c:pt>
              </c:numCache>
            </c:numRef>
          </c:cat>
          <c:val>
            <c:numRef>
              <c:f>'Bond Pricing'!$D$7:$D$265</c:f>
              <c:numCache>
                <c:formatCode>#,##0.000000</c:formatCode>
                <c:ptCount val="259"/>
                <c:pt idx="0">
                  <c:v>96.808721308634176</c:v>
                </c:pt>
                <c:pt idx="1">
                  <c:v>96.854002652503382</c:v>
                </c:pt>
                <c:pt idx="2">
                  <c:v>96.899305176283562</c:v>
                </c:pt>
                <c:pt idx="3">
                  <c:v>96.944628889881486</c:v>
                </c:pt>
                <c:pt idx="4">
                  <c:v>96.989973803208443</c:v>
                </c:pt>
                <c:pt idx="5">
                  <c:v>97.035339926180413</c:v>
                </c:pt>
                <c:pt idx="6">
                  <c:v>97.080727268717979</c:v>
                </c:pt>
                <c:pt idx="7">
                  <c:v>97.126135840746443</c:v>
                </c:pt>
                <c:pt idx="8">
                  <c:v>97.171565652195653</c:v>
                </c:pt>
                <c:pt idx="9">
                  <c:v>97.217016713000163</c:v>
                </c:pt>
                <c:pt idx="10">
                  <c:v>97.262489033099115</c:v>
                </c:pt>
                <c:pt idx="11">
                  <c:v>97.307982622436384</c:v>
                </c:pt>
                <c:pt idx="12">
                  <c:v>96.353325735953845</c:v>
                </c:pt>
                <c:pt idx="13">
                  <c:v>96.397659094081021</c:v>
                </c:pt>
                <c:pt idx="14">
                  <c:v>96.442012850535178</c:v>
                </c:pt>
                <c:pt idx="15">
                  <c:v>96.486387014701819</c:v>
                </c:pt>
                <c:pt idx="16">
                  <c:v>96.53078159597078</c:v>
                </c:pt>
                <c:pt idx="17">
                  <c:v>96.575196603736231</c:v>
                </c:pt>
                <c:pt idx="18">
                  <c:v>96.619632047396692</c:v>
                </c:pt>
                <c:pt idx="19">
                  <c:v>96.670440447187019</c:v>
                </c:pt>
                <c:pt idx="20">
                  <c:v>96.714919713719055</c:v>
                </c:pt>
                <c:pt idx="21">
                  <c:v>96.759419445712311</c:v>
                </c:pt>
                <c:pt idx="22">
                  <c:v>96.80393965258321</c:v>
                </c:pt>
                <c:pt idx="23">
                  <c:v>96.848480343752513</c:v>
                </c:pt>
                <c:pt idx="24">
                  <c:v>96.89304152864527</c:v>
                </c:pt>
                <c:pt idx="25">
                  <c:v>96.937623216690923</c:v>
                </c:pt>
                <c:pt idx="26">
                  <c:v>96.982225417323207</c:v>
                </c:pt>
                <c:pt idx="27">
                  <c:v>97.026848139980231</c:v>
                </c:pt>
                <c:pt idx="28">
                  <c:v>97.071491394104413</c:v>
                </c:pt>
                <c:pt idx="29">
                  <c:v>97.11615518914256</c:v>
                </c:pt>
                <c:pt idx="30">
                  <c:v>97.160839534545786</c:v>
                </c:pt>
                <c:pt idx="31">
                  <c:v>97.205544439769582</c:v>
                </c:pt>
                <c:pt idx="32">
                  <c:v>97.25026991427373</c:v>
                </c:pt>
                <c:pt idx="33">
                  <c:v>97.295015967522474</c:v>
                </c:pt>
                <c:pt idx="34">
                  <c:v>97.339782608984322</c:v>
                </c:pt>
                <c:pt idx="35">
                  <c:v>97.384569848132145</c:v>
                </c:pt>
                <c:pt idx="36">
                  <c:v>97.429377694443247</c:v>
                </c:pt>
                <c:pt idx="37">
                  <c:v>97.47420615739918</c:v>
                </c:pt>
                <c:pt idx="38">
                  <c:v>96.519055246485948</c:v>
                </c:pt>
                <c:pt idx="39">
                  <c:v>96.564201101853797</c:v>
                </c:pt>
                <c:pt idx="40">
                  <c:v>96.6093680737592</c:v>
                </c:pt>
                <c:pt idx="41">
                  <c:v>96.654556172079253</c:v>
                </c:pt>
                <c:pt idx="42">
                  <c:v>96.699765406695619</c:v>
                </c:pt>
                <c:pt idx="43">
                  <c:v>96.744995787494588</c:v>
                </c:pt>
                <c:pt idx="44">
                  <c:v>96.790247324367058</c:v>
                </c:pt>
                <c:pt idx="45">
                  <c:v>96.835520027208631</c:v>
                </c:pt>
                <c:pt idx="46">
                  <c:v>96.880813905919467</c:v>
                </c:pt>
                <c:pt idx="47">
                  <c:v>96.926128970404363</c:v>
                </c:pt>
                <c:pt idx="48">
                  <c:v>96.971465230572761</c:v>
                </c:pt>
                <c:pt idx="49">
                  <c:v>97.016822696338735</c:v>
                </c:pt>
                <c:pt idx="50">
                  <c:v>97.062201377621022</c:v>
                </c:pt>
                <c:pt idx="51">
                  <c:v>97.10760128434292</c:v>
                </c:pt>
                <c:pt idx="52">
                  <c:v>97.153022426432486</c:v>
                </c:pt>
                <c:pt idx="53">
                  <c:v>97.198464813822341</c:v>
                </c:pt>
                <c:pt idx="54">
                  <c:v>97.243928456449737</c:v>
                </c:pt>
                <c:pt idx="55">
                  <c:v>97.289413364256632</c:v>
                </c:pt>
                <c:pt idx="56">
                  <c:v>97.334919547189614</c:v>
                </c:pt>
                <c:pt idx="57">
                  <c:v>97.380447015199891</c:v>
                </c:pt>
                <c:pt idx="58">
                  <c:v>97.425995778243376</c:v>
                </c:pt>
                <c:pt idx="59">
                  <c:v>97.47156584628064</c:v>
                </c:pt>
                <c:pt idx="60">
                  <c:v>97.517157229276819</c:v>
                </c:pt>
                <c:pt idx="61">
                  <c:v>97.562769937201836</c:v>
                </c:pt>
                <c:pt idx="62">
                  <c:v>97.608403980030204</c:v>
                </c:pt>
                <c:pt idx="63">
                  <c:v>97.654059367741098</c:v>
                </c:pt>
                <c:pt idx="64">
                  <c:v>96.699563978188024</c:v>
                </c:pt>
                <c:pt idx="65">
                  <c:v>96.744056644817249</c:v>
                </c:pt>
                <c:pt idx="66">
                  <c:v>96.788569783073257</c:v>
                </c:pt>
                <c:pt idx="67">
                  <c:v>96.833103402375286</c:v>
                </c:pt>
                <c:pt idx="68">
                  <c:v>96.877657512146953</c:v>
                </c:pt>
                <c:pt idx="69">
                  <c:v>96.922232121816137</c:v>
                </c:pt>
                <c:pt idx="70">
                  <c:v>96.966827240815107</c:v>
                </c:pt>
                <c:pt idx="71">
                  <c:v>97.017818216670136</c:v>
                </c:pt>
                <c:pt idx="72">
                  <c:v>97.062457316014843</c:v>
                </c:pt>
                <c:pt idx="73">
                  <c:v>97.107116954361786</c:v>
                </c:pt>
                <c:pt idx="74">
                  <c:v>97.151797141161282</c:v>
                </c:pt>
                <c:pt idx="75">
                  <c:v>97.196497885867913</c:v>
                </c:pt>
                <c:pt idx="76">
                  <c:v>97.241219197940637</c:v>
                </c:pt>
                <c:pt idx="77">
                  <c:v>97.285961086842747</c:v>
                </c:pt>
                <c:pt idx="78">
                  <c:v>97.330723562041854</c:v>
                </c:pt>
                <c:pt idx="79">
                  <c:v>97.375506633010048</c:v>
                </c:pt>
                <c:pt idx="80">
                  <c:v>97.420310309223652</c:v>
                </c:pt>
                <c:pt idx="81">
                  <c:v>97.465134600163381</c:v>
                </c:pt>
                <c:pt idx="82">
                  <c:v>97.509979515314342</c:v>
                </c:pt>
                <c:pt idx="83">
                  <c:v>97.554845064166003</c:v>
                </c:pt>
                <c:pt idx="84">
                  <c:v>97.599731256212166</c:v>
                </c:pt>
                <c:pt idx="85">
                  <c:v>97.644638100951042</c:v>
                </c:pt>
                <c:pt idx="86">
                  <c:v>97.689565607885172</c:v>
                </c:pt>
                <c:pt idx="87">
                  <c:v>97.734513786521475</c:v>
                </c:pt>
                <c:pt idx="88">
                  <c:v>97.779482646371292</c:v>
                </c:pt>
                <c:pt idx="89">
                  <c:v>97.824472196950282</c:v>
                </c:pt>
                <c:pt idx="90">
                  <c:v>96.869482447778495</c:v>
                </c:pt>
                <c:pt idx="91">
                  <c:v>96.92126676538183</c:v>
                </c:pt>
                <c:pt idx="92">
                  <c:v>96.966600751300817</c:v>
                </c:pt>
                <c:pt idx="93">
                  <c:v>97.011955941753612</c:v>
                </c:pt>
                <c:pt idx="94">
                  <c:v>97.057332346658455</c:v>
                </c:pt>
                <c:pt idx="95">
                  <c:v>97.102729975938203</c:v>
                </c:pt>
                <c:pt idx="96">
                  <c:v>97.148148839520331</c:v>
                </c:pt>
                <c:pt idx="97">
                  <c:v>97.193588947336991</c:v>
                </c:pt>
                <c:pt idx="98">
                  <c:v>97.239050309324966</c:v>
                </c:pt>
                <c:pt idx="99">
                  <c:v>97.284532935425688</c:v>
                </c:pt>
                <c:pt idx="100">
                  <c:v>97.330036835585233</c:v>
                </c:pt>
                <c:pt idx="101">
                  <c:v>97.375562019754369</c:v>
                </c:pt>
                <c:pt idx="102">
                  <c:v>97.421108497888426</c:v>
                </c:pt>
                <c:pt idx="103">
                  <c:v>97.466676279947535</c:v>
                </c:pt>
                <c:pt idx="104">
                  <c:v>97.51226537589632</c:v>
                </c:pt>
                <c:pt idx="105">
                  <c:v>97.557875795704192</c:v>
                </c:pt>
                <c:pt idx="106">
                  <c:v>97.603507549345153</c:v>
                </c:pt>
                <c:pt idx="107">
                  <c:v>97.64916064679791</c:v>
                </c:pt>
                <c:pt idx="108">
                  <c:v>97.694835098045829</c:v>
                </c:pt>
                <c:pt idx="109">
                  <c:v>97.740530913076952</c:v>
                </c:pt>
                <c:pt idx="110">
                  <c:v>97.78624810188397</c:v>
                </c:pt>
                <c:pt idx="111">
                  <c:v>97.831986674464218</c:v>
                </c:pt>
                <c:pt idx="112">
                  <c:v>97.877746640819851</c:v>
                </c:pt>
                <c:pt idx="113">
                  <c:v>97.923528010957511</c:v>
                </c:pt>
                <c:pt idx="114">
                  <c:v>97.969330794888634</c:v>
                </c:pt>
                <c:pt idx="115">
                  <c:v>98.015155002629328</c:v>
                </c:pt>
                <c:pt idx="116">
                  <c:v>97.060655588757072</c:v>
                </c:pt>
                <c:pt idx="117">
                  <c:v>97.105314398107012</c:v>
                </c:pt>
                <c:pt idx="118">
                  <c:v>97.149993755528058</c:v>
                </c:pt>
                <c:pt idx="119">
                  <c:v>97.194693670474635</c:v>
                </c:pt>
                <c:pt idx="120">
                  <c:v>97.239414152405516</c:v>
                </c:pt>
                <c:pt idx="121">
                  <c:v>97.284155210783808</c:v>
                </c:pt>
                <c:pt idx="122">
                  <c:v>97.328916855077011</c:v>
                </c:pt>
                <c:pt idx="123">
                  <c:v>97.373699094756944</c:v>
                </c:pt>
                <c:pt idx="124">
                  <c:v>97.418501939299802</c:v>
                </c:pt>
                <c:pt idx="125">
                  <c:v>97.463325398186143</c:v>
                </c:pt>
                <c:pt idx="126">
                  <c:v>97.508169480900889</c:v>
                </c:pt>
                <c:pt idx="127">
                  <c:v>97.553034196933297</c:v>
                </c:pt>
                <c:pt idx="128">
                  <c:v>97.59791955577704</c:v>
                </c:pt>
                <c:pt idx="129">
                  <c:v>97.642825566930085</c:v>
                </c:pt>
                <c:pt idx="130">
                  <c:v>97.687752239894863</c:v>
                </c:pt>
                <c:pt idx="131">
                  <c:v>97.732699584178135</c:v>
                </c:pt>
                <c:pt idx="132">
                  <c:v>97.777667609290987</c:v>
                </c:pt>
                <c:pt idx="133">
                  <c:v>97.822656324748948</c:v>
                </c:pt>
                <c:pt idx="134">
                  <c:v>97.867665740071885</c:v>
                </c:pt>
                <c:pt idx="135">
                  <c:v>97.912695864784098</c:v>
                </c:pt>
                <c:pt idx="136">
                  <c:v>97.957746708414206</c:v>
                </c:pt>
                <c:pt idx="137">
                  <c:v>98.002818280495234</c:v>
                </c:pt>
                <c:pt idx="138">
                  <c:v>98.047910590564626</c:v>
                </c:pt>
                <c:pt idx="139">
                  <c:v>98.093023648164163</c:v>
                </c:pt>
                <c:pt idx="140">
                  <c:v>98.138157462840041</c:v>
                </c:pt>
                <c:pt idx="141">
                  <c:v>98.183312044142852</c:v>
                </c:pt>
                <c:pt idx="142">
                  <c:v>97.228487401627589</c:v>
                </c:pt>
                <c:pt idx="143">
                  <c:v>97.273715151529316</c:v>
                </c:pt>
                <c:pt idx="144">
                  <c:v>97.318963940011585</c:v>
                </c:pt>
                <c:pt idx="145">
                  <c:v>97.364233776860871</c:v>
                </c:pt>
                <c:pt idx="146">
                  <c:v>97.409524671868255</c:v>
                </c:pt>
                <c:pt idx="147">
                  <c:v>97.454836634829363</c:v>
                </c:pt>
                <c:pt idx="148">
                  <c:v>97.500169675544342</c:v>
                </c:pt>
                <c:pt idx="149">
                  <c:v>97.545523803817957</c:v>
                </c:pt>
                <c:pt idx="150">
                  <c:v>97.590899029459479</c:v>
                </c:pt>
                <c:pt idx="151">
                  <c:v>97.636295362282766</c:v>
                </c:pt>
                <c:pt idx="152">
                  <c:v>97.681712812106255</c:v>
                </c:pt>
                <c:pt idx="153">
                  <c:v>97.727151388752944</c:v>
                </c:pt>
                <c:pt idx="154">
                  <c:v>97.772611102050348</c:v>
                </c:pt>
                <c:pt idx="155">
                  <c:v>97.818091961830632</c:v>
                </c:pt>
                <c:pt idx="156">
                  <c:v>97.86359397793052</c:v>
                </c:pt>
                <c:pt idx="157">
                  <c:v>97.909117160191229</c:v>
                </c:pt>
                <c:pt idx="158">
                  <c:v>97.954661518458678</c:v>
                </c:pt>
                <c:pt idx="159">
                  <c:v>98.000227062583249</c:v>
                </c:pt>
                <c:pt idx="160">
                  <c:v>98.045813802420028</c:v>
                </c:pt>
                <c:pt idx="161">
                  <c:v>98.091421747828562</c:v>
                </c:pt>
                <c:pt idx="162">
                  <c:v>98.137050908673046</c:v>
                </c:pt>
                <c:pt idx="163">
                  <c:v>98.182701294822294</c:v>
                </c:pt>
                <c:pt idx="164">
                  <c:v>98.228372916149652</c:v>
                </c:pt>
                <c:pt idx="165">
                  <c:v>98.274065782533086</c:v>
                </c:pt>
                <c:pt idx="166">
                  <c:v>98.319779903855149</c:v>
                </c:pt>
                <c:pt idx="167">
                  <c:v>98.365515290003003</c:v>
                </c:pt>
                <c:pt idx="168">
                  <c:v>97.411271950868411</c:v>
                </c:pt>
                <c:pt idx="169">
                  <c:v>97.456092083147553</c:v>
                </c:pt>
                <c:pt idx="170">
                  <c:v>97.500932837724477</c:v>
                </c:pt>
                <c:pt idx="171">
                  <c:v>97.545794224087786</c:v>
                </c:pt>
                <c:pt idx="172">
                  <c:v>97.590676251730372</c:v>
                </c:pt>
                <c:pt idx="173">
                  <c:v>97.635578930149563</c:v>
                </c:pt>
                <c:pt idx="174">
                  <c:v>97.680502268847036</c:v>
                </c:pt>
                <c:pt idx="175">
                  <c:v>97.725446277328857</c:v>
                </c:pt>
                <c:pt idx="176">
                  <c:v>97.770410965105413</c:v>
                </c:pt>
                <c:pt idx="177">
                  <c:v>97.815396341691539</c:v>
                </c:pt>
                <c:pt idx="178">
                  <c:v>97.860402416606391</c:v>
                </c:pt>
                <c:pt idx="179">
                  <c:v>97.905429199373557</c:v>
                </c:pt>
                <c:pt idx="180">
                  <c:v>97.950476699520934</c:v>
                </c:pt>
                <c:pt idx="181">
                  <c:v>97.995544926580848</c:v>
                </c:pt>
                <c:pt idx="182">
                  <c:v>98.040633890090049</c:v>
                </c:pt>
                <c:pt idx="183">
                  <c:v>98.085743599589591</c:v>
                </c:pt>
                <c:pt idx="184">
                  <c:v>98.130874064625004</c:v>
                </c:pt>
                <c:pt idx="185">
                  <c:v>98.176025294746111</c:v>
                </c:pt>
                <c:pt idx="186">
                  <c:v>98.221197299507253</c:v>
                </c:pt>
                <c:pt idx="187">
                  <c:v>98.266390088467048</c:v>
                </c:pt>
                <c:pt idx="188">
                  <c:v>98.311603671188578</c:v>
                </c:pt>
                <c:pt idx="189">
                  <c:v>98.356838057239301</c:v>
                </c:pt>
                <c:pt idx="190">
                  <c:v>98.402093256191108</c:v>
                </c:pt>
                <c:pt idx="191">
                  <c:v>98.447369277620254</c:v>
                </c:pt>
                <c:pt idx="192">
                  <c:v>98.492666131107427</c:v>
                </c:pt>
                <c:pt idx="193">
                  <c:v>98.537983826237706</c:v>
                </c:pt>
                <c:pt idx="194">
                  <c:v>98.583322372600605</c:v>
                </c:pt>
                <c:pt idx="195">
                  <c:v>97.628884836412226</c:v>
                </c:pt>
                <c:pt idx="196">
                  <c:v>97.674549803845792</c:v>
                </c:pt>
                <c:pt idx="197">
                  <c:v>97.72023613062656</c:v>
                </c:pt>
                <c:pt idx="198">
                  <c:v>97.7659438267452</c:v>
                </c:pt>
                <c:pt idx="199">
                  <c:v>97.811672902197003</c:v>
                </c:pt>
                <c:pt idx="200">
                  <c:v>97.877037259266785</c:v>
                </c:pt>
                <c:pt idx="201">
                  <c:v>97.92281829759807</c:v>
                </c:pt>
                <c:pt idx="202">
                  <c:v>97.968620749567634</c:v>
                </c:pt>
                <c:pt idx="203">
                  <c:v>98.020992642591722</c:v>
                </c:pt>
                <c:pt idx="204">
                  <c:v>98.06684101466243</c:v>
                </c:pt>
                <c:pt idx="205">
                  <c:v>98.112710831866124</c:v>
                </c:pt>
                <c:pt idx="206">
                  <c:v>98.158602104233537</c:v>
                </c:pt>
                <c:pt idx="207">
                  <c:v>98.204514841800133</c:v>
                </c:pt>
                <c:pt idx="208">
                  <c:v>98.250449054606037</c:v>
                </c:pt>
                <c:pt idx="209">
                  <c:v>98.296404752696091</c:v>
                </c:pt>
                <c:pt idx="210">
                  <c:v>98.342381946119815</c:v>
                </c:pt>
                <c:pt idx="211">
                  <c:v>98.388380644931487</c:v>
                </c:pt>
                <c:pt idx="212">
                  <c:v>98.434400859189992</c:v>
                </c:pt>
                <c:pt idx="213">
                  <c:v>98.480442598958987</c:v>
                </c:pt>
                <c:pt idx="214">
                  <c:v>98.526505874306849</c:v>
                </c:pt>
                <c:pt idx="215">
                  <c:v>98.572590695306616</c:v>
                </c:pt>
                <c:pt idx="216">
                  <c:v>98.618697072036028</c:v>
                </c:pt>
                <c:pt idx="217">
                  <c:v>98.66482501457763</c:v>
                </c:pt>
                <c:pt idx="218">
                  <c:v>98.710974533018586</c:v>
                </c:pt>
                <c:pt idx="219">
                  <c:v>98.757145637450819</c:v>
                </c:pt>
                <c:pt idx="220">
                  <c:v>97.802818322837652</c:v>
                </c:pt>
                <c:pt idx="221">
                  <c:v>97.847818610450304</c:v>
                </c:pt>
                <c:pt idx="222">
                  <c:v>97.89283960325244</c:v>
                </c:pt>
                <c:pt idx="223">
                  <c:v>97.937881310770763</c:v>
                </c:pt>
                <c:pt idx="224">
                  <c:v>97.982943742536392</c:v>
                </c:pt>
                <c:pt idx="225">
                  <c:v>98.028026908084797</c:v>
                </c:pt>
                <c:pt idx="226">
                  <c:v>98.073130816955839</c:v>
                </c:pt>
                <c:pt idx="227">
                  <c:v>98.118255478693797</c:v>
                </c:pt>
                <c:pt idx="228">
                  <c:v>98.1634009028473</c:v>
                </c:pt>
                <c:pt idx="229">
                  <c:v>98.208567098969411</c:v>
                </c:pt>
                <c:pt idx="230">
                  <c:v>98.253754076617554</c:v>
                </c:pt>
                <c:pt idx="231">
                  <c:v>98.298961845353588</c:v>
                </c:pt>
                <c:pt idx="232">
                  <c:v>98.344190414743721</c:v>
                </c:pt>
                <c:pt idx="233">
                  <c:v>98.389439794358623</c:v>
                </c:pt>
                <c:pt idx="234">
                  <c:v>98.434709993773325</c:v>
                </c:pt>
                <c:pt idx="235">
                  <c:v>98.480001022567251</c:v>
                </c:pt>
                <c:pt idx="236">
                  <c:v>98.525312890324301</c:v>
                </c:pt>
                <c:pt idx="237">
                  <c:v>98.570645606632695</c:v>
                </c:pt>
                <c:pt idx="238">
                  <c:v>98.61599918108513</c:v>
                </c:pt>
                <c:pt idx="239">
                  <c:v>98.661373623278706</c:v>
                </c:pt>
                <c:pt idx="240">
                  <c:v>98.706768942814932</c:v>
                </c:pt>
                <c:pt idx="241">
                  <c:v>98.752185149299692</c:v>
                </c:pt>
                <c:pt idx="242">
                  <c:v>98.797622252343359</c:v>
                </c:pt>
                <c:pt idx="243">
                  <c:v>98.843080261560715</c:v>
                </c:pt>
                <c:pt idx="244">
                  <c:v>98.888559186570902</c:v>
                </c:pt>
                <c:pt idx="245">
                  <c:v>98.934059036997596</c:v>
                </c:pt>
                <c:pt idx="246">
                  <c:v>97.979620824685327</c:v>
                </c:pt>
                <c:pt idx="247">
                  <c:v>98.025449845488026</c:v>
                </c:pt>
                <c:pt idx="248">
                  <c:v>98.071300302372293</c:v>
                </c:pt>
                <c:pt idx="249">
                  <c:v>98.117172205364724</c:v>
                </c:pt>
                <c:pt idx="250">
                  <c:v>98.163065564496492</c:v>
                </c:pt>
                <c:pt idx="251">
                  <c:v>98.2089803898035</c:v>
                </c:pt>
                <c:pt idx="252">
                  <c:v>98.254916691326315</c:v>
                </c:pt>
                <c:pt idx="253">
                  <c:v>98.300874479110263</c:v>
                </c:pt>
                <c:pt idx="254">
                  <c:v>98.346853763205345</c:v>
                </c:pt>
                <c:pt idx="255">
                  <c:v>98.392854553666226</c:v>
                </c:pt>
                <c:pt idx="256">
                  <c:v>98.438876860552298</c:v>
                </c:pt>
                <c:pt idx="257">
                  <c:v>98.484920693927691</c:v>
                </c:pt>
                <c:pt idx="258">
                  <c:v>98.530986063861192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'Bond Pricing'!$F$6</c:f>
              <c:strCache>
                <c:ptCount val="1"/>
                <c:pt idx="0">
                  <c:v>CleanPrice</c:v>
                </c:pt>
              </c:strCache>
            </c:strRef>
          </c:tx>
          <c:marker>
            <c:symbol val="x"/>
            <c:size val="4"/>
          </c:marker>
          <c:cat>
            <c:numRef>
              <c:f>'Bond Pricing'!$B$7:$B$265</c:f>
              <c:numCache>
                <c:formatCode>ddd\,\ d\-mmm\-yy</c:formatCode>
                <c:ptCount val="259"/>
                <c:pt idx="0">
                  <c:v>42787</c:v>
                </c:pt>
                <c:pt idx="1">
                  <c:v>42794</c:v>
                </c:pt>
                <c:pt idx="2">
                  <c:v>42801</c:v>
                </c:pt>
                <c:pt idx="3">
                  <c:v>42808</c:v>
                </c:pt>
                <c:pt idx="4">
                  <c:v>42815</c:v>
                </c:pt>
                <c:pt idx="5">
                  <c:v>42822</c:v>
                </c:pt>
                <c:pt idx="6">
                  <c:v>42829</c:v>
                </c:pt>
                <c:pt idx="7">
                  <c:v>42836</c:v>
                </c:pt>
                <c:pt idx="8">
                  <c:v>42843</c:v>
                </c:pt>
                <c:pt idx="9">
                  <c:v>42850</c:v>
                </c:pt>
                <c:pt idx="10">
                  <c:v>42857</c:v>
                </c:pt>
                <c:pt idx="11">
                  <c:v>42864</c:v>
                </c:pt>
                <c:pt idx="12">
                  <c:v>42871</c:v>
                </c:pt>
                <c:pt idx="13">
                  <c:v>42878</c:v>
                </c:pt>
                <c:pt idx="14">
                  <c:v>42885</c:v>
                </c:pt>
                <c:pt idx="15">
                  <c:v>42892</c:v>
                </c:pt>
                <c:pt idx="16">
                  <c:v>42899</c:v>
                </c:pt>
                <c:pt idx="17">
                  <c:v>42906</c:v>
                </c:pt>
                <c:pt idx="18">
                  <c:v>42913</c:v>
                </c:pt>
                <c:pt idx="19">
                  <c:v>42921</c:v>
                </c:pt>
                <c:pt idx="20">
                  <c:v>42928</c:v>
                </c:pt>
                <c:pt idx="21">
                  <c:v>42935</c:v>
                </c:pt>
                <c:pt idx="22">
                  <c:v>42942</c:v>
                </c:pt>
                <c:pt idx="23">
                  <c:v>42949</c:v>
                </c:pt>
                <c:pt idx="24">
                  <c:v>42956</c:v>
                </c:pt>
                <c:pt idx="25">
                  <c:v>42963</c:v>
                </c:pt>
                <c:pt idx="26">
                  <c:v>42970</c:v>
                </c:pt>
                <c:pt idx="27">
                  <c:v>42977</c:v>
                </c:pt>
                <c:pt idx="28">
                  <c:v>42984</c:v>
                </c:pt>
                <c:pt idx="29">
                  <c:v>42991</c:v>
                </c:pt>
                <c:pt idx="30">
                  <c:v>42998</c:v>
                </c:pt>
                <c:pt idx="31">
                  <c:v>43005</c:v>
                </c:pt>
                <c:pt idx="32">
                  <c:v>43012</c:v>
                </c:pt>
                <c:pt idx="33">
                  <c:v>43019</c:v>
                </c:pt>
                <c:pt idx="34">
                  <c:v>43026</c:v>
                </c:pt>
                <c:pt idx="35">
                  <c:v>43033</c:v>
                </c:pt>
                <c:pt idx="36">
                  <c:v>43040</c:v>
                </c:pt>
                <c:pt idx="37">
                  <c:v>43047</c:v>
                </c:pt>
                <c:pt idx="38">
                  <c:v>43054</c:v>
                </c:pt>
                <c:pt idx="39">
                  <c:v>43061</c:v>
                </c:pt>
                <c:pt idx="40">
                  <c:v>43068</c:v>
                </c:pt>
                <c:pt idx="41">
                  <c:v>43075</c:v>
                </c:pt>
                <c:pt idx="42">
                  <c:v>43082</c:v>
                </c:pt>
                <c:pt idx="43">
                  <c:v>43089</c:v>
                </c:pt>
                <c:pt idx="44">
                  <c:v>43096</c:v>
                </c:pt>
                <c:pt idx="45">
                  <c:v>43103</c:v>
                </c:pt>
                <c:pt idx="46">
                  <c:v>43110</c:v>
                </c:pt>
                <c:pt idx="47">
                  <c:v>43117</c:v>
                </c:pt>
                <c:pt idx="48">
                  <c:v>43124</c:v>
                </c:pt>
                <c:pt idx="49">
                  <c:v>43131</c:v>
                </c:pt>
                <c:pt idx="50">
                  <c:v>43138</c:v>
                </c:pt>
                <c:pt idx="51">
                  <c:v>43145</c:v>
                </c:pt>
                <c:pt idx="52">
                  <c:v>43152</c:v>
                </c:pt>
                <c:pt idx="53">
                  <c:v>43159</c:v>
                </c:pt>
                <c:pt idx="54">
                  <c:v>43166</c:v>
                </c:pt>
                <c:pt idx="55">
                  <c:v>43173</c:v>
                </c:pt>
                <c:pt idx="56">
                  <c:v>43180</c:v>
                </c:pt>
                <c:pt idx="57">
                  <c:v>43187</c:v>
                </c:pt>
                <c:pt idx="58">
                  <c:v>43194</c:v>
                </c:pt>
                <c:pt idx="59">
                  <c:v>43201</c:v>
                </c:pt>
                <c:pt idx="60">
                  <c:v>43208</c:v>
                </c:pt>
                <c:pt idx="61">
                  <c:v>43215</c:v>
                </c:pt>
                <c:pt idx="62">
                  <c:v>43222</c:v>
                </c:pt>
                <c:pt idx="63">
                  <c:v>43229</c:v>
                </c:pt>
                <c:pt idx="64">
                  <c:v>43236</c:v>
                </c:pt>
                <c:pt idx="65">
                  <c:v>43243</c:v>
                </c:pt>
                <c:pt idx="66">
                  <c:v>43250</c:v>
                </c:pt>
                <c:pt idx="67">
                  <c:v>43257</c:v>
                </c:pt>
                <c:pt idx="68">
                  <c:v>43264</c:v>
                </c:pt>
                <c:pt idx="69">
                  <c:v>43271</c:v>
                </c:pt>
                <c:pt idx="70">
                  <c:v>43278</c:v>
                </c:pt>
                <c:pt idx="71">
                  <c:v>43286</c:v>
                </c:pt>
                <c:pt idx="72">
                  <c:v>43293</c:v>
                </c:pt>
                <c:pt idx="73">
                  <c:v>43300</c:v>
                </c:pt>
                <c:pt idx="74">
                  <c:v>43307</c:v>
                </c:pt>
                <c:pt idx="75">
                  <c:v>43314</c:v>
                </c:pt>
                <c:pt idx="76">
                  <c:v>43321</c:v>
                </c:pt>
                <c:pt idx="77">
                  <c:v>43328</c:v>
                </c:pt>
                <c:pt idx="78">
                  <c:v>43335</c:v>
                </c:pt>
                <c:pt idx="79">
                  <c:v>43342</c:v>
                </c:pt>
                <c:pt idx="80">
                  <c:v>43349</c:v>
                </c:pt>
                <c:pt idx="81">
                  <c:v>43356</c:v>
                </c:pt>
                <c:pt idx="82">
                  <c:v>43363</c:v>
                </c:pt>
                <c:pt idx="83">
                  <c:v>43370</c:v>
                </c:pt>
                <c:pt idx="84">
                  <c:v>43377</c:v>
                </c:pt>
                <c:pt idx="85">
                  <c:v>43384</c:v>
                </c:pt>
                <c:pt idx="86">
                  <c:v>43391</c:v>
                </c:pt>
                <c:pt idx="87">
                  <c:v>43398</c:v>
                </c:pt>
                <c:pt idx="88">
                  <c:v>43405</c:v>
                </c:pt>
                <c:pt idx="89">
                  <c:v>43412</c:v>
                </c:pt>
                <c:pt idx="90">
                  <c:v>43419</c:v>
                </c:pt>
                <c:pt idx="91">
                  <c:v>43427</c:v>
                </c:pt>
                <c:pt idx="92">
                  <c:v>43434</c:v>
                </c:pt>
                <c:pt idx="93">
                  <c:v>43441</c:v>
                </c:pt>
                <c:pt idx="94">
                  <c:v>43448</c:v>
                </c:pt>
                <c:pt idx="95">
                  <c:v>43455</c:v>
                </c:pt>
                <c:pt idx="96">
                  <c:v>43462</c:v>
                </c:pt>
                <c:pt idx="97">
                  <c:v>43469</c:v>
                </c:pt>
                <c:pt idx="98">
                  <c:v>43476</c:v>
                </c:pt>
                <c:pt idx="99">
                  <c:v>43483</c:v>
                </c:pt>
                <c:pt idx="100">
                  <c:v>43490</c:v>
                </c:pt>
                <c:pt idx="101">
                  <c:v>43497</c:v>
                </c:pt>
                <c:pt idx="102">
                  <c:v>43504</c:v>
                </c:pt>
                <c:pt idx="103">
                  <c:v>43511</c:v>
                </c:pt>
                <c:pt idx="104">
                  <c:v>43518</c:v>
                </c:pt>
                <c:pt idx="105">
                  <c:v>43525</c:v>
                </c:pt>
                <c:pt idx="106">
                  <c:v>43532</c:v>
                </c:pt>
                <c:pt idx="107">
                  <c:v>43539</c:v>
                </c:pt>
                <c:pt idx="108">
                  <c:v>43546</c:v>
                </c:pt>
                <c:pt idx="109">
                  <c:v>43553</c:v>
                </c:pt>
                <c:pt idx="110">
                  <c:v>43560</c:v>
                </c:pt>
                <c:pt idx="111">
                  <c:v>43567</c:v>
                </c:pt>
                <c:pt idx="112">
                  <c:v>43574</c:v>
                </c:pt>
                <c:pt idx="113">
                  <c:v>43581</c:v>
                </c:pt>
                <c:pt idx="114">
                  <c:v>43588</c:v>
                </c:pt>
                <c:pt idx="115">
                  <c:v>43595</c:v>
                </c:pt>
                <c:pt idx="116">
                  <c:v>43602</c:v>
                </c:pt>
                <c:pt idx="117">
                  <c:v>43609</c:v>
                </c:pt>
                <c:pt idx="118">
                  <c:v>43616</c:v>
                </c:pt>
                <c:pt idx="119">
                  <c:v>43623</c:v>
                </c:pt>
                <c:pt idx="120">
                  <c:v>43630</c:v>
                </c:pt>
                <c:pt idx="121">
                  <c:v>43637</c:v>
                </c:pt>
                <c:pt idx="122">
                  <c:v>43644</c:v>
                </c:pt>
                <c:pt idx="123">
                  <c:v>43651</c:v>
                </c:pt>
                <c:pt idx="124">
                  <c:v>43658</c:v>
                </c:pt>
                <c:pt idx="125">
                  <c:v>43665</c:v>
                </c:pt>
                <c:pt idx="126">
                  <c:v>43672</c:v>
                </c:pt>
                <c:pt idx="127">
                  <c:v>43679</c:v>
                </c:pt>
                <c:pt idx="128">
                  <c:v>43686</c:v>
                </c:pt>
                <c:pt idx="129">
                  <c:v>43693</c:v>
                </c:pt>
                <c:pt idx="130">
                  <c:v>43700</c:v>
                </c:pt>
                <c:pt idx="131">
                  <c:v>43707</c:v>
                </c:pt>
                <c:pt idx="132">
                  <c:v>43714</c:v>
                </c:pt>
                <c:pt idx="133">
                  <c:v>43721</c:v>
                </c:pt>
                <c:pt idx="134">
                  <c:v>43728</c:v>
                </c:pt>
                <c:pt idx="135">
                  <c:v>43735</c:v>
                </c:pt>
                <c:pt idx="136">
                  <c:v>43742</c:v>
                </c:pt>
                <c:pt idx="137">
                  <c:v>43749</c:v>
                </c:pt>
                <c:pt idx="138">
                  <c:v>43756</c:v>
                </c:pt>
                <c:pt idx="139">
                  <c:v>43763</c:v>
                </c:pt>
                <c:pt idx="140">
                  <c:v>43770</c:v>
                </c:pt>
                <c:pt idx="141">
                  <c:v>43777</c:v>
                </c:pt>
                <c:pt idx="142">
                  <c:v>43784</c:v>
                </c:pt>
                <c:pt idx="143">
                  <c:v>43791</c:v>
                </c:pt>
                <c:pt idx="144">
                  <c:v>43798</c:v>
                </c:pt>
                <c:pt idx="145">
                  <c:v>43805</c:v>
                </c:pt>
                <c:pt idx="146">
                  <c:v>43812</c:v>
                </c:pt>
                <c:pt idx="147">
                  <c:v>43819</c:v>
                </c:pt>
                <c:pt idx="148">
                  <c:v>43826</c:v>
                </c:pt>
                <c:pt idx="149">
                  <c:v>43833</c:v>
                </c:pt>
                <c:pt idx="150">
                  <c:v>43840</c:v>
                </c:pt>
                <c:pt idx="151">
                  <c:v>43847</c:v>
                </c:pt>
                <c:pt idx="152">
                  <c:v>43854</c:v>
                </c:pt>
                <c:pt idx="153">
                  <c:v>43861</c:v>
                </c:pt>
                <c:pt idx="154">
                  <c:v>43868</c:v>
                </c:pt>
                <c:pt idx="155">
                  <c:v>43875</c:v>
                </c:pt>
                <c:pt idx="156">
                  <c:v>43882</c:v>
                </c:pt>
                <c:pt idx="157">
                  <c:v>43889</c:v>
                </c:pt>
                <c:pt idx="158">
                  <c:v>43896</c:v>
                </c:pt>
                <c:pt idx="159">
                  <c:v>43903</c:v>
                </c:pt>
                <c:pt idx="160">
                  <c:v>43910</c:v>
                </c:pt>
                <c:pt idx="161">
                  <c:v>43917</c:v>
                </c:pt>
                <c:pt idx="162">
                  <c:v>43924</c:v>
                </c:pt>
                <c:pt idx="163">
                  <c:v>43931</c:v>
                </c:pt>
                <c:pt idx="164">
                  <c:v>43938</c:v>
                </c:pt>
                <c:pt idx="165">
                  <c:v>43945</c:v>
                </c:pt>
                <c:pt idx="166">
                  <c:v>43952</c:v>
                </c:pt>
                <c:pt idx="167">
                  <c:v>43959</c:v>
                </c:pt>
                <c:pt idx="168">
                  <c:v>43966</c:v>
                </c:pt>
                <c:pt idx="169">
                  <c:v>43973</c:v>
                </c:pt>
                <c:pt idx="170">
                  <c:v>43980</c:v>
                </c:pt>
                <c:pt idx="171">
                  <c:v>43987</c:v>
                </c:pt>
                <c:pt idx="172">
                  <c:v>43994</c:v>
                </c:pt>
                <c:pt idx="173">
                  <c:v>44001</c:v>
                </c:pt>
                <c:pt idx="174">
                  <c:v>44008</c:v>
                </c:pt>
                <c:pt idx="175">
                  <c:v>44015</c:v>
                </c:pt>
                <c:pt idx="176">
                  <c:v>44022</c:v>
                </c:pt>
                <c:pt idx="177">
                  <c:v>44029</c:v>
                </c:pt>
                <c:pt idx="178">
                  <c:v>44036</c:v>
                </c:pt>
                <c:pt idx="179">
                  <c:v>44043</c:v>
                </c:pt>
                <c:pt idx="180">
                  <c:v>44050</c:v>
                </c:pt>
                <c:pt idx="181">
                  <c:v>44057</c:v>
                </c:pt>
                <c:pt idx="182">
                  <c:v>44064</c:v>
                </c:pt>
                <c:pt idx="183">
                  <c:v>44071</c:v>
                </c:pt>
                <c:pt idx="184">
                  <c:v>44078</c:v>
                </c:pt>
                <c:pt idx="185">
                  <c:v>44085</c:v>
                </c:pt>
                <c:pt idx="186">
                  <c:v>44092</c:v>
                </c:pt>
                <c:pt idx="187">
                  <c:v>44099</c:v>
                </c:pt>
                <c:pt idx="188">
                  <c:v>44106</c:v>
                </c:pt>
                <c:pt idx="189">
                  <c:v>44113</c:v>
                </c:pt>
                <c:pt idx="190">
                  <c:v>44120</c:v>
                </c:pt>
                <c:pt idx="191">
                  <c:v>44127</c:v>
                </c:pt>
                <c:pt idx="192">
                  <c:v>44134</c:v>
                </c:pt>
                <c:pt idx="193">
                  <c:v>44141</c:v>
                </c:pt>
                <c:pt idx="194">
                  <c:v>44148</c:v>
                </c:pt>
                <c:pt idx="195">
                  <c:v>44155</c:v>
                </c:pt>
                <c:pt idx="196">
                  <c:v>44162</c:v>
                </c:pt>
                <c:pt idx="197">
                  <c:v>44169</c:v>
                </c:pt>
                <c:pt idx="198">
                  <c:v>44176</c:v>
                </c:pt>
                <c:pt idx="199">
                  <c:v>44183</c:v>
                </c:pt>
                <c:pt idx="200">
                  <c:v>44193</c:v>
                </c:pt>
                <c:pt idx="201">
                  <c:v>44200</c:v>
                </c:pt>
                <c:pt idx="202">
                  <c:v>44207</c:v>
                </c:pt>
                <c:pt idx="203">
                  <c:v>44215</c:v>
                </c:pt>
                <c:pt idx="204">
                  <c:v>44222</c:v>
                </c:pt>
                <c:pt idx="205">
                  <c:v>44229</c:v>
                </c:pt>
                <c:pt idx="206">
                  <c:v>44236</c:v>
                </c:pt>
                <c:pt idx="207">
                  <c:v>44243</c:v>
                </c:pt>
                <c:pt idx="208">
                  <c:v>44250</c:v>
                </c:pt>
                <c:pt idx="209">
                  <c:v>44257</c:v>
                </c:pt>
                <c:pt idx="210">
                  <c:v>44264</c:v>
                </c:pt>
                <c:pt idx="211">
                  <c:v>44271</c:v>
                </c:pt>
                <c:pt idx="212">
                  <c:v>44278</c:v>
                </c:pt>
                <c:pt idx="213">
                  <c:v>44285</c:v>
                </c:pt>
                <c:pt idx="214">
                  <c:v>44292</c:v>
                </c:pt>
                <c:pt idx="215">
                  <c:v>44299</c:v>
                </c:pt>
                <c:pt idx="216">
                  <c:v>44306</c:v>
                </c:pt>
                <c:pt idx="217">
                  <c:v>44313</c:v>
                </c:pt>
                <c:pt idx="218">
                  <c:v>44320</c:v>
                </c:pt>
                <c:pt idx="219">
                  <c:v>44327</c:v>
                </c:pt>
                <c:pt idx="220">
                  <c:v>44334</c:v>
                </c:pt>
                <c:pt idx="221">
                  <c:v>44341</c:v>
                </c:pt>
                <c:pt idx="222">
                  <c:v>44348</c:v>
                </c:pt>
                <c:pt idx="223">
                  <c:v>44355</c:v>
                </c:pt>
                <c:pt idx="224">
                  <c:v>44362</c:v>
                </c:pt>
                <c:pt idx="225">
                  <c:v>44369</c:v>
                </c:pt>
                <c:pt idx="226">
                  <c:v>44376</c:v>
                </c:pt>
                <c:pt idx="227">
                  <c:v>44383</c:v>
                </c:pt>
                <c:pt idx="228">
                  <c:v>44390</c:v>
                </c:pt>
                <c:pt idx="229">
                  <c:v>44397</c:v>
                </c:pt>
                <c:pt idx="230">
                  <c:v>44404</c:v>
                </c:pt>
                <c:pt idx="231">
                  <c:v>44411</c:v>
                </c:pt>
                <c:pt idx="232">
                  <c:v>44418</c:v>
                </c:pt>
                <c:pt idx="233">
                  <c:v>44425</c:v>
                </c:pt>
                <c:pt idx="234">
                  <c:v>44432</c:v>
                </c:pt>
                <c:pt idx="235">
                  <c:v>44439</c:v>
                </c:pt>
                <c:pt idx="236">
                  <c:v>44446</c:v>
                </c:pt>
                <c:pt idx="237">
                  <c:v>44453</c:v>
                </c:pt>
                <c:pt idx="238">
                  <c:v>44460</c:v>
                </c:pt>
                <c:pt idx="239">
                  <c:v>44467</c:v>
                </c:pt>
                <c:pt idx="240">
                  <c:v>44474</c:v>
                </c:pt>
                <c:pt idx="241">
                  <c:v>44481</c:v>
                </c:pt>
                <c:pt idx="242">
                  <c:v>44488</c:v>
                </c:pt>
                <c:pt idx="243">
                  <c:v>44495</c:v>
                </c:pt>
                <c:pt idx="244">
                  <c:v>44502</c:v>
                </c:pt>
                <c:pt idx="245">
                  <c:v>44509</c:v>
                </c:pt>
                <c:pt idx="246">
                  <c:v>44516</c:v>
                </c:pt>
                <c:pt idx="247">
                  <c:v>44523</c:v>
                </c:pt>
                <c:pt idx="248">
                  <c:v>44530</c:v>
                </c:pt>
                <c:pt idx="249">
                  <c:v>44537</c:v>
                </c:pt>
                <c:pt idx="250">
                  <c:v>44544</c:v>
                </c:pt>
                <c:pt idx="251">
                  <c:v>44551</c:v>
                </c:pt>
                <c:pt idx="252">
                  <c:v>44558</c:v>
                </c:pt>
                <c:pt idx="253">
                  <c:v>44565</c:v>
                </c:pt>
                <c:pt idx="254">
                  <c:v>44572</c:v>
                </c:pt>
                <c:pt idx="255">
                  <c:v>44579</c:v>
                </c:pt>
                <c:pt idx="256">
                  <c:v>44586</c:v>
                </c:pt>
                <c:pt idx="257">
                  <c:v>44593</c:v>
                </c:pt>
                <c:pt idx="258">
                  <c:v>44600</c:v>
                </c:pt>
              </c:numCache>
            </c:numRef>
          </c:cat>
          <c:val>
            <c:numRef>
              <c:f>'Bond Pricing'!$F$7:$F$265</c:f>
              <c:numCache>
                <c:formatCode>#,##0.000000</c:formatCode>
                <c:ptCount val="259"/>
                <c:pt idx="0">
                  <c:v>96.267284844545784</c:v>
                </c:pt>
                <c:pt idx="1">
                  <c:v>96.273892155265813</c:v>
                </c:pt>
                <c:pt idx="2">
                  <c:v>96.280520645896829</c:v>
                </c:pt>
                <c:pt idx="3">
                  <c:v>96.287170326345574</c:v>
                </c:pt>
                <c:pt idx="4">
                  <c:v>96.293841206523354</c:v>
                </c:pt>
                <c:pt idx="5">
                  <c:v>96.30053329634616</c:v>
                </c:pt>
                <c:pt idx="6">
                  <c:v>96.307246605734548</c:v>
                </c:pt>
                <c:pt idx="7">
                  <c:v>96.313981144613848</c:v>
                </c:pt>
                <c:pt idx="8">
                  <c:v>96.320736922913881</c:v>
                </c:pt>
                <c:pt idx="9">
                  <c:v>96.327513950569227</c:v>
                </c:pt>
                <c:pt idx="10">
                  <c:v>96.334312237519001</c:v>
                </c:pt>
                <c:pt idx="11">
                  <c:v>96.341131793707106</c:v>
                </c:pt>
                <c:pt idx="12">
                  <c:v>96.347890953345143</c:v>
                </c:pt>
                <c:pt idx="13">
                  <c:v>96.354180833211458</c:v>
                </c:pt>
                <c:pt idx="14">
                  <c:v>96.360491111404741</c:v>
                </c:pt>
                <c:pt idx="15">
                  <c:v>96.366821797310521</c:v>
                </c:pt>
                <c:pt idx="16">
                  <c:v>96.373172900318608</c:v>
                </c:pt>
                <c:pt idx="17">
                  <c:v>96.379544429823184</c:v>
                </c:pt>
                <c:pt idx="18">
                  <c:v>96.385936395222785</c:v>
                </c:pt>
                <c:pt idx="19">
                  <c:v>96.393266534143535</c:v>
                </c:pt>
                <c:pt idx="20">
                  <c:v>96.399702322414711</c:v>
                </c:pt>
                <c:pt idx="21">
                  <c:v>96.406158576147092</c:v>
                </c:pt>
                <c:pt idx="22">
                  <c:v>96.412635304757117</c:v>
                </c:pt>
                <c:pt idx="23">
                  <c:v>96.41913251766556</c:v>
                </c:pt>
                <c:pt idx="24">
                  <c:v>96.425650224297442</c:v>
                </c:pt>
                <c:pt idx="25">
                  <c:v>96.432188434082221</c:v>
                </c:pt>
                <c:pt idx="26">
                  <c:v>96.438747156453644</c:v>
                </c:pt>
                <c:pt idx="27">
                  <c:v>96.445326400849794</c:v>
                </c:pt>
                <c:pt idx="28">
                  <c:v>96.451926176713116</c:v>
                </c:pt>
                <c:pt idx="29">
                  <c:v>96.458546493490388</c:v>
                </c:pt>
                <c:pt idx="30">
                  <c:v>96.46518736063274</c:v>
                </c:pt>
                <c:pt idx="31">
                  <c:v>96.471848787595675</c:v>
                </c:pt>
                <c:pt idx="32">
                  <c:v>96.478530783838949</c:v>
                </c:pt>
                <c:pt idx="33">
                  <c:v>96.485233358826818</c:v>
                </c:pt>
                <c:pt idx="34">
                  <c:v>96.491956522027806</c:v>
                </c:pt>
                <c:pt idx="35">
                  <c:v>96.498700282914754</c:v>
                </c:pt>
                <c:pt idx="36">
                  <c:v>96.505464650964981</c:v>
                </c:pt>
                <c:pt idx="37">
                  <c:v>96.512249635660055</c:v>
                </c:pt>
                <c:pt idx="38">
                  <c:v>96.519055246485948</c:v>
                </c:pt>
                <c:pt idx="39">
                  <c:v>96.525527068704619</c:v>
                </c:pt>
                <c:pt idx="40">
                  <c:v>96.532020007460858</c:v>
                </c:pt>
                <c:pt idx="41">
                  <c:v>96.538534072631734</c:v>
                </c:pt>
                <c:pt idx="42">
                  <c:v>96.545069274098935</c:v>
                </c:pt>
                <c:pt idx="43">
                  <c:v>96.551625621748727</c:v>
                </c:pt>
                <c:pt idx="44">
                  <c:v>96.558203125472033</c:v>
                </c:pt>
                <c:pt idx="45">
                  <c:v>96.564801795164428</c:v>
                </c:pt>
                <c:pt idx="46">
                  <c:v>96.571421640726101</c:v>
                </c:pt>
                <c:pt idx="47">
                  <c:v>96.578062672061819</c:v>
                </c:pt>
                <c:pt idx="48">
                  <c:v>96.584724899081053</c:v>
                </c:pt>
                <c:pt idx="49">
                  <c:v>96.591408331697849</c:v>
                </c:pt>
                <c:pt idx="50">
                  <c:v>96.598112979830972</c:v>
                </c:pt>
                <c:pt idx="51">
                  <c:v>96.604838853403692</c:v>
                </c:pt>
                <c:pt idx="52">
                  <c:v>96.611585962344094</c:v>
                </c:pt>
                <c:pt idx="53">
                  <c:v>96.618354316584771</c:v>
                </c:pt>
                <c:pt idx="54">
                  <c:v>96.625143926063004</c:v>
                </c:pt>
                <c:pt idx="55">
                  <c:v>96.63195480072072</c:v>
                </c:pt>
                <c:pt idx="56">
                  <c:v>96.638786950504524</c:v>
                </c:pt>
                <c:pt idx="57">
                  <c:v>96.645640385365638</c:v>
                </c:pt>
                <c:pt idx="58">
                  <c:v>96.652515115259945</c:v>
                </c:pt>
                <c:pt idx="59">
                  <c:v>96.659411150148046</c:v>
                </c:pt>
                <c:pt idx="60">
                  <c:v>96.666328499995046</c:v>
                </c:pt>
                <c:pt idx="61">
                  <c:v>96.673267174770899</c:v>
                </c:pt>
                <c:pt idx="62">
                  <c:v>96.680227184450089</c:v>
                </c:pt>
                <c:pt idx="63">
                  <c:v>96.68720853901182</c:v>
                </c:pt>
                <c:pt idx="64">
                  <c:v>96.694129195579322</c:v>
                </c:pt>
                <c:pt idx="65">
                  <c:v>96.700578383947686</c:v>
                </c:pt>
                <c:pt idx="66">
                  <c:v>96.70704804394282</c:v>
                </c:pt>
                <c:pt idx="67">
                  <c:v>96.713538184983989</c:v>
                </c:pt>
                <c:pt idx="68">
                  <c:v>96.720048816494781</c:v>
                </c:pt>
                <c:pt idx="69">
                  <c:v>96.72657994790309</c:v>
                </c:pt>
                <c:pt idx="70">
                  <c:v>96.7331315886412</c:v>
                </c:pt>
                <c:pt idx="71">
                  <c:v>96.740644303626652</c:v>
                </c:pt>
                <c:pt idx="72">
                  <c:v>96.747239924710499</c:v>
                </c:pt>
                <c:pt idx="73">
                  <c:v>96.753856084796567</c:v>
                </c:pt>
                <c:pt idx="74">
                  <c:v>96.760492793335189</c:v>
                </c:pt>
                <c:pt idx="75">
                  <c:v>96.76715005978096</c:v>
                </c:pt>
                <c:pt idx="76">
                  <c:v>96.773827893592809</c:v>
                </c:pt>
                <c:pt idx="77">
                  <c:v>96.780526304234044</c:v>
                </c:pt>
                <c:pt idx="78">
                  <c:v>96.787245301172291</c:v>
                </c:pt>
                <c:pt idx="79">
                  <c:v>96.79398489387961</c:v>
                </c:pt>
                <c:pt idx="80">
                  <c:v>96.800745091832354</c:v>
                </c:pt>
                <c:pt idx="81">
                  <c:v>96.807525904511209</c:v>
                </c:pt>
                <c:pt idx="82">
                  <c:v>96.814327341401295</c:v>
                </c:pt>
                <c:pt idx="83">
                  <c:v>96.821149411992096</c:v>
                </c:pt>
                <c:pt idx="84">
                  <c:v>96.827992125777385</c:v>
                </c:pt>
                <c:pt idx="85">
                  <c:v>96.834855492255386</c:v>
                </c:pt>
                <c:pt idx="86">
                  <c:v>96.841739520928655</c:v>
                </c:pt>
                <c:pt idx="87">
                  <c:v>96.848644221304085</c:v>
                </c:pt>
                <c:pt idx="88">
                  <c:v>96.855569602893027</c:v>
                </c:pt>
                <c:pt idx="89">
                  <c:v>96.862515675211156</c:v>
                </c:pt>
                <c:pt idx="90">
                  <c:v>96.869482447778495</c:v>
                </c:pt>
                <c:pt idx="91">
                  <c:v>96.87706787035421</c:v>
                </c:pt>
                <c:pt idx="92">
                  <c:v>96.883727823124019</c:v>
                </c:pt>
                <c:pt idx="93">
                  <c:v>96.890408980427651</c:v>
                </c:pt>
                <c:pt idx="94">
                  <c:v>96.897111352183316</c:v>
                </c:pt>
                <c:pt idx="95">
                  <c:v>96.9038349483139</c:v>
                </c:pt>
                <c:pt idx="96">
                  <c:v>96.91057977874685</c:v>
                </c:pt>
                <c:pt idx="97">
                  <c:v>96.917345853414332</c:v>
                </c:pt>
                <c:pt idx="98">
                  <c:v>96.924133182253144</c:v>
                </c:pt>
                <c:pt idx="99">
                  <c:v>96.930941775204687</c:v>
                </c:pt>
                <c:pt idx="100">
                  <c:v>96.937771642215068</c:v>
                </c:pt>
                <c:pt idx="101">
                  <c:v>96.944622793235027</c:v>
                </c:pt>
                <c:pt idx="102">
                  <c:v>96.95149523821992</c:v>
                </c:pt>
                <c:pt idx="103">
                  <c:v>96.958388987129851</c:v>
                </c:pt>
                <c:pt idx="104">
                  <c:v>96.965304049929472</c:v>
                </c:pt>
                <c:pt idx="105">
                  <c:v>96.972240436588166</c:v>
                </c:pt>
                <c:pt idx="106">
                  <c:v>96.979198157079963</c:v>
                </c:pt>
                <c:pt idx="107">
                  <c:v>96.986177221383542</c:v>
                </c:pt>
                <c:pt idx="108">
                  <c:v>96.993177639482298</c:v>
                </c:pt>
                <c:pt idx="109">
                  <c:v>97.000199421364243</c:v>
                </c:pt>
                <c:pt idx="110">
                  <c:v>97.007242577022097</c:v>
                </c:pt>
                <c:pt idx="111">
                  <c:v>97.014307116453168</c:v>
                </c:pt>
                <c:pt idx="112">
                  <c:v>97.021393049659636</c:v>
                </c:pt>
                <c:pt idx="113">
                  <c:v>97.028500386648119</c:v>
                </c:pt>
                <c:pt idx="114">
                  <c:v>97.035629137430064</c:v>
                </c:pt>
                <c:pt idx="115">
                  <c:v>97.042779312021594</c:v>
                </c:pt>
                <c:pt idx="116">
                  <c:v>97.049786023539681</c:v>
                </c:pt>
                <c:pt idx="117">
                  <c:v>97.056401354628747</c:v>
                </c:pt>
                <c:pt idx="118">
                  <c:v>97.063037233788933</c:v>
                </c:pt>
                <c:pt idx="119">
                  <c:v>97.069693670474635</c:v>
                </c:pt>
                <c:pt idx="120">
                  <c:v>97.076370674144641</c:v>
                </c:pt>
                <c:pt idx="121">
                  <c:v>97.083068254262074</c:v>
                </c:pt>
                <c:pt idx="122">
                  <c:v>97.089786420294402</c:v>
                </c:pt>
                <c:pt idx="123">
                  <c:v>97.09652518171346</c:v>
                </c:pt>
                <c:pt idx="124">
                  <c:v>97.103284547995457</c:v>
                </c:pt>
                <c:pt idx="125">
                  <c:v>97.110064528620924</c:v>
                </c:pt>
                <c:pt idx="126">
                  <c:v>97.116865133074796</c:v>
                </c:pt>
                <c:pt idx="127">
                  <c:v>97.123686370846343</c:v>
                </c:pt>
                <c:pt idx="128">
                  <c:v>97.130528251429212</c:v>
                </c:pt>
                <c:pt idx="129">
                  <c:v>97.137390784321383</c:v>
                </c:pt>
                <c:pt idx="130">
                  <c:v>97.1442739790253</c:v>
                </c:pt>
                <c:pt idx="131">
                  <c:v>97.151177845047698</c:v>
                </c:pt>
                <c:pt idx="132">
                  <c:v>97.158102391899689</c:v>
                </c:pt>
                <c:pt idx="133">
                  <c:v>97.165047629096776</c:v>
                </c:pt>
                <c:pt idx="134">
                  <c:v>97.172013566158839</c:v>
                </c:pt>
                <c:pt idx="135">
                  <c:v>97.179000212610191</c:v>
                </c:pt>
                <c:pt idx="136">
                  <c:v>97.186007577979424</c:v>
                </c:pt>
                <c:pt idx="137">
                  <c:v>97.193035671799578</c:v>
                </c:pt>
                <c:pt idx="138">
                  <c:v>97.20008450360811</c:v>
                </c:pt>
                <c:pt idx="139">
                  <c:v>97.207154082946772</c:v>
                </c:pt>
                <c:pt idx="140">
                  <c:v>97.214244419361776</c:v>
                </c:pt>
                <c:pt idx="141">
                  <c:v>97.221355522403726</c:v>
                </c:pt>
                <c:pt idx="142">
                  <c:v>97.228487401627589</c:v>
                </c:pt>
                <c:pt idx="143">
                  <c:v>97.235253613067783</c:v>
                </c:pt>
                <c:pt idx="144">
                  <c:v>97.242040863088505</c:v>
                </c:pt>
                <c:pt idx="145">
                  <c:v>97.248849161476258</c:v>
                </c:pt>
                <c:pt idx="146">
                  <c:v>97.255678518022094</c:v>
                </c:pt>
                <c:pt idx="147">
                  <c:v>97.262528942521669</c:v>
                </c:pt>
                <c:pt idx="148">
                  <c:v>97.269400444775115</c:v>
                </c:pt>
                <c:pt idx="149">
                  <c:v>97.276293034587184</c:v>
                </c:pt>
                <c:pt idx="150">
                  <c:v>97.283206721767172</c:v>
                </c:pt>
                <c:pt idx="151">
                  <c:v>97.290141516128926</c:v>
                </c:pt>
                <c:pt idx="152">
                  <c:v>97.297097427490868</c:v>
                </c:pt>
                <c:pt idx="153">
                  <c:v>97.304074465676024</c:v>
                </c:pt>
                <c:pt idx="154">
                  <c:v>97.311072640511881</c:v>
                </c:pt>
                <c:pt idx="155">
                  <c:v>97.318091961830632</c:v>
                </c:pt>
                <c:pt idx="156">
                  <c:v>97.325132439468987</c:v>
                </c:pt>
                <c:pt idx="157">
                  <c:v>97.332194083268149</c:v>
                </c:pt>
                <c:pt idx="158">
                  <c:v>97.339276903074065</c:v>
                </c:pt>
                <c:pt idx="159">
                  <c:v>97.346380908737089</c:v>
                </c:pt>
                <c:pt idx="160">
                  <c:v>97.353506110112335</c:v>
                </c:pt>
                <c:pt idx="161">
                  <c:v>97.360652517059336</c:v>
                </c:pt>
                <c:pt idx="162">
                  <c:v>97.367820139442273</c:v>
                </c:pt>
                <c:pt idx="163">
                  <c:v>97.375008987129988</c:v>
                </c:pt>
                <c:pt idx="164">
                  <c:v>97.382219069995813</c:v>
                </c:pt>
                <c:pt idx="165">
                  <c:v>97.389450397917699</c:v>
                </c:pt>
                <c:pt idx="166">
                  <c:v>97.39670298077823</c:v>
                </c:pt>
                <c:pt idx="167">
                  <c:v>97.403976828464536</c:v>
                </c:pt>
                <c:pt idx="168">
                  <c:v>97.411271950868411</c:v>
                </c:pt>
                <c:pt idx="169">
                  <c:v>97.418048604886678</c:v>
                </c:pt>
                <c:pt idx="170">
                  <c:v>97.424845881202742</c:v>
                </c:pt>
                <c:pt idx="171">
                  <c:v>97.431663789305176</c:v>
                </c:pt>
                <c:pt idx="172">
                  <c:v>97.438502338686888</c:v>
                </c:pt>
                <c:pt idx="173">
                  <c:v>97.445361538845219</c:v>
                </c:pt>
                <c:pt idx="174">
                  <c:v>97.452241399281817</c:v>
                </c:pt>
                <c:pt idx="175">
                  <c:v>97.459141929502763</c:v>
                </c:pt>
                <c:pt idx="176">
                  <c:v>97.466063139018459</c:v>
                </c:pt>
                <c:pt idx="177">
                  <c:v>97.473005037343711</c:v>
                </c:pt>
                <c:pt idx="178">
                  <c:v>97.479967633997688</c:v>
                </c:pt>
                <c:pt idx="179">
                  <c:v>97.486950938503995</c:v>
                </c:pt>
                <c:pt idx="180">
                  <c:v>97.493954960390496</c:v>
                </c:pt>
                <c:pt idx="181">
                  <c:v>97.500979709189551</c:v>
                </c:pt>
                <c:pt idx="182">
                  <c:v>97.508025194437877</c:v>
                </c:pt>
                <c:pt idx="183">
                  <c:v>97.515091425676545</c:v>
                </c:pt>
                <c:pt idx="184">
                  <c:v>97.522178412451098</c:v>
                </c:pt>
                <c:pt idx="185">
                  <c:v>97.52928616431133</c:v>
                </c:pt>
                <c:pt idx="186">
                  <c:v>97.536414690811597</c:v>
                </c:pt>
                <c:pt idx="187">
                  <c:v>97.543564001510532</c:v>
                </c:pt>
                <c:pt idx="188">
                  <c:v>97.550734105971188</c:v>
                </c:pt>
                <c:pt idx="189">
                  <c:v>97.557925013761036</c:v>
                </c:pt>
                <c:pt idx="190">
                  <c:v>97.565136734451983</c:v>
                </c:pt>
                <c:pt idx="191">
                  <c:v>97.572369277620254</c:v>
                </c:pt>
                <c:pt idx="192">
                  <c:v>97.579622652846552</c:v>
                </c:pt>
                <c:pt idx="193">
                  <c:v>97.586896869715972</c:v>
                </c:pt>
                <c:pt idx="194">
                  <c:v>97.594191937817996</c:v>
                </c:pt>
                <c:pt idx="195">
                  <c:v>97.60126052701996</c:v>
                </c:pt>
                <c:pt idx="196">
                  <c:v>97.608251461304363</c:v>
                </c:pt>
                <c:pt idx="197">
                  <c:v>97.615263754935953</c:v>
                </c:pt>
                <c:pt idx="198">
                  <c:v>97.622297417905415</c:v>
                </c:pt>
                <c:pt idx="199">
                  <c:v>97.629352460208054</c:v>
                </c:pt>
                <c:pt idx="200">
                  <c:v>97.639468198493304</c:v>
                </c:pt>
                <c:pt idx="201">
                  <c:v>97.646575203675411</c:v>
                </c:pt>
                <c:pt idx="202">
                  <c:v>97.653703622495811</c:v>
                </c:pt>
                <c:pt idx="203">
                  <c:v>97.661876620492279</c:v>
                </c:pt>
                <c:pt idx="204">
                  <c:v>97.669050959413809</c:v>
                </c:pt>
                <c:pt idx="205">
                  <c:v>97.67624674346834</c:v>
                </c:pt>
                <c:pt idx="206">
                  <c:v>97.683463982686575</c:v>
                </c:pt>
                <c:pt idx="207">
                  <c:v>97.690702687104007</c:v>
                </c:pt>
                <c:pt idx="208">
                  <c:v>97.697962866760733</c:v>
                </c:pt>
                <c:pt idx="209">
                  <c:v>97.705244531701609</c:v>
                </c:pt>
                <c:pt idx="210">
                  <c:v>97.71254769197617</c:v>
                </c:pt>
                <c:pt idx="211">
                  <c:v>97.719872357638664</c:v>
                </c:pt>
                <c:pt idx="212">
                  <c:v>97.727218538748005</c:v>
                </c:pt>
                <c:pt idx="213">
                  <c:v>97.734586245367822</c:v>
                </c:pt>
                <c:pt idx="214">
                  <c:v>97.741975487566521</c:v>
                </c:pt>
                <c:pt idx="215">
                  <c:v>97.749386275417109</c:v>
                </c:pt>
                <c:pt idx="216">
                  <c:v>97.756818618997357</c:v>
                </c:pt>
                <c:pt idx="217">
                  <c:v>97.764272528389782</c:v>
                </c:pt>
                <c:pt idx="218">
                  <c:v>97.771748013681574</c:v>
                </c:pt>
                <c:pt idx="219">
                  <c:v>97.779245084964629</c:v>
                </c:pt>
                <c:pt idx="220">
                  <c:v>97.786513975011559</c:v>
                </c:pt>
                <c:pt idx="221">
                  <c:v>97.79347078436335</c:v>
                </c:pt>
                <c:pt idx="222">
                  <c:v>97.800448298904612</c:v>
                </c:pt>
                <c:pt idx="223">
                  <c:v>97.80744652816206</c:v>
                </c:pt>
                <c:pt idx="224">
                  <c:v>97.814465481666829</c:v>
                </c:pt>
                <c:pt idx="225">
                  <c:v>97.82150516895436</c:v>
                </c:pt>
                <c:pt idx="226">
                  <c:v>97.828565599564541</c:v>
                </c:pt>
                <c:pt idx="227">
                  <c:v>97.835646783041625</c:v>
                </c:pt>
                <c:pt idx="228">
                  <c:v>97.842748728934254</c:v>
                </c:pt>
                <c:pt idx="229">
                  <c:v>97.849871446795504</c:v>
                </c:pt>
                <c:pt idx="230">
                  <c:v>97.857014946182773</c:v>
                </c:pt>
                <c:pt idx="231">
                  <c:v>97.864179236657932</c:v>
                </c:pt>
                <c:pt idx="232">
                  <c:v>97.871364327787205</c:v>
                </c:pt>
                <c:pt idx="233">
                  <c:v>97.878570229141232</c:v>
                </c:pt>
                <c:pt idx="234">
                  <c:v>97.88579695029506</c:v>
                </c:pt>
                <c:pt idx="235">
                  <c:v>97.893044500828125</c:v>
                </c:pt>
                <c:pt idx="236">
                  <c:v>97.900312890324301</c:v>
                </c:pt>
                <c:pt idx="237">
                  <c:v>97.907602128371821</c:v>
                </c:pt>
                <c:pt idx="238">
                  <c:v>97.914912224563395</c:v>
                </c:pt>
                <c:pt idx="239">
                  <c:v>97.922243188496097</c:v>
                </c:pt>
                <c:pt idx="240">
                  <c:v>97.929595029771448</c:v>
                </c:pt>
                <c:pt idx="241">
                  <c:v>97.936967757995347</c:v>
                </c:pt>
                <c:pt idx="242">
                  <c:v>97.944361382778141</c:v>
                </c:pt>
                <c:pt idx="243">
                  <c:v>97.951775913734622</c:v>
                </c:pt>
                <c:pt idx="244">
                  <c:v>97.959211360483948</c:v>
                </c:pt>
                <c:pt idx="245">
                  <c:v>97.966667732649768</c:v>
                </c:pt>
                <c:pt idx="246">
                  <c:v>97.974095962806871</c:v>
                </c:pt>
                <c:pt idx="247">
                  <c:v>97.981250950460407</c:v>
                </c:pt>
                <c:pt idx="248">
                  <c:v>97.988427374195496</c:v>
                </c:pt>
                <c:pt idx="249">
                  <c:v>97.995625244038763</c:v>
                </c:pt>
                <c:pt idx="250">
                  <c:v>98.002844570021352</c:v>
                </c:pt>
                <c:pt idx="251">
                  <c:v>98.010085362179197</c:v>
                </c:pt>
                <c:pt idx="252">
                  <c:v>98.017347630552834</c:v>
                </c:pt>
                <c:pt idx="253">
                  <c:v>98.024631385187604</c:v>
                </c:pt>
                <c:pt idx="254">
                  <c:v>98.031936636133523</c:v>
                </c:pt>
                <c:pt idx="255">
                  <c:v>98.039263393445225</c:v>
                </c:pt>
                <c:pt idx="256">
                  <c:v>98.046611667182134</c:v>
                </c:pt>
                <c:pt idx="257">
                  <c:v>98.053981467408349</c:v>
                </c:pt>
                <c:pt idx="258">
                  <c:v>98.061372804192686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07104"/>
        <c:axId val="415008640"/>
      </c:lineChart>
      <c:dateAx>
        <c:axId val="41500710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en-US"/>
          </a:p>
        </c:txPr>
        <c:crossAx val="415008640"/>
        <c:crosses val="autoZero"/>
        <c:auto val="1"/>
        <c:lblOffset val="100"/>
        <c:baseTimeUnit val="months"/>
      </c:dateAx>
      <c:valAx>
        <c:axId val="41500864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4150071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3048427253217728E-2"/>
          <c:y val="0.67205032446484025"/>
          <c:w val="8.5009169212643163E-2"/>
          <c:h val="0.1119940399645458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33</xdr:row>
      <xdr:rowOff>0</xdr:rowOff>
    </xdr:from>
    <xdr:to>
      <xdr:col>12</xdr:col>
      <xdr:colOff>125645</xdr:colOff>
      <xdr:row>75</xdr:row>
      <xdr:rowOff>115433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6096000"/>
          <a:ext cx="13032020" cy="81164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600074</xdr:colOff>
      <xdr:row>33</xdr:row>
      <xdr:rowOff>45667</xdr:rowOff>
    </xdr:from>
    <xdr:to>
      <xdr:col>14</xdr:col>
      <xdr:colOff>9524</xdr:colOff>
      <xdr:row>76</xdr:row>
      <xdr:rowOff>105908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4" y="6332167"/>
          <a:ext cx="13249275" cy="82517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5</xdr:row>
      <xdr:rowOff>176212</xdr:rowOff>
    </xdr:from>
    <xdr:to>
      <xdr:col>34</xdr:col>
      <xdr:colOff>495300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114300</xdr:colOff>
      <xdr:row>41</xdr:row>
      <xdr:rowOff>82299</xdr:rowOff>
    </xdr:from>
    <xdr:to>
      <xdr:col>34</xdr:col>
      <xdr:colOff>411395</xdr:colOff>
      <xdr:row>84</xdr:row>
      <xdr:rowOff>48758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10650" y="7892799"/>
          <a:ext cx="13098695" cy="81579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00"/>
  <sheetViews>
    <sheetView showGridLines="0" tabSelected="1" workbookViewId="0"/>
  </sheetViews>
  <sheetFormatPr defaultRowHeight="15" x14ac:dyDescent="0.25"/>
  <cols>
    <col min="2" max="2" width="27.5703125" customWidth="1"/>
    <col min="3" max="3" width="27" customWidth="1"/>
    <col min="5" max="5" width="34.140625" bestFit="1" customWidth="1"/>
    <col min="6" max="6" width="27" bestFit="1" customWidth="1"/>
    <col min="8" max="8" width="23" customWidth="1"/>
  </cols>
  <sheetData>
    <row r="2" spans="2:8" x14ac:dyDescent="0.25">
      <c r="C2" t="str">
        <f ca="1">BondObjectHandle</f>
        <v>USTREASURY@1:1</v>
      </c>
    </row>
    <row r="3" spans="2:8" x14ac:dyDescent="0.25">
      <c r="B3" s="1" t="s">
        <v>16</v>
      </c>
      <c r="C3" s="2" t="str">
        <f ca="1">_xll.meLWOBondCreate(C4,B7:C13,B16:C32,TRUE)</f>
        <v>USTREASURY@1:1</v>
      </c>
      <c r="D3" t="s">
        <v>20</v>
      </c>
      <c r="E3" s="1" t="s">
        <v>39</v>
      </c>
      <c r="H3" s="1" t="s">
        <v>37</v>
      </c>
    </row>
    <row r="4" spans="2:8" x14ac:dyDescent="0.25">
      <c r="B4" s="24" t="s">
        <v>35</v>
      </c>
      <c r="C4" s="25" t="s">
        <v>32</v>
      </c>
      <c r="E4" s="38" t="str">
        <f t="array" aca="1" ref="E4:F31" ca="1">_xll.meUtilityResize(_xll.meLWOBondDisplay(C3),30,10)</f>
        <v>BONDDESCRIPTION</v>
      </c>
      <c r="F4" s="12" t="str">
        <f ca="1"/>
        <v>UST 2% 15-11-2026</v>
      </c>
      <c r="H4" s="28" t="str">
        <f ca="1">_xll.meLWOSave(C3,"BOND","C:\Temp\Bond")</f>
        <v>BOND Object named USTREASURY@1 was written to file C:\TEMP\BOND.JSON</v>
      </c>
    </row>
    <row r="5" spans="2:8" x14ac:dyDescent="0.25">
      <c r="E5" s="39" t="str">
        <f ca="1"/>
        <v>BONDTYPE</v>
      </c>
      <c r="F5" s="14" t="str">
        <f ca="1"/>
        <v>FIXED</v>
      </c>
    </row>
    <row r="6" spans="2:8" x14ac:dyDescent="0.25">
      <c r="B6" s="1" t="s">
        <v>12</v>
      </c>
      <c r="E6" s="39" t="str">
        <f ca="1"/>
        <v>PAYRECEIVE</v>
      </c>
      <c r="F6" s="14" t="str">
        <f ca="1"/>
        <v>RECEIVE</v>
      </c>
      <c r="H6" s="1" t="s">
        <v>38</v>
      </c>
    </row>
    <row r="7" spans="2:8" x14ac:dyDescent="0.25">
      <c r="B7" s="3" t="s">
        <v>29</v>
      </c>
      <c r="C7" s="4" t="s">
        <v>30</v>
      </c>
      <c r="E7" s="39" t="str">
        <f ca="1"/>
        <v>BONDQUOTECONVENTION</v>
      </c>
      <c r="F7" s="14" t="str">
        <f ca="1"/>
        <v>QUOTE_IN_32NDS</v>
      </c>
      <c r="H7" s="28" t="str">
        <f ca="1">_xll.meLWOLoad("C:\Temp\Bond.json")</f>
        <v>USTREASURY@1:0</v>
      </c>
    </row>
    <row r="8" spans="2:8" x14ac:dyDescent="0.25">
      <c r="B8" s="5" t="s">
        <v>18</v>
      </c>
      <c r="C8" s="6" t="s">
        <v>19</v>
      </c>
      <c r="E8" s="39" t="str">
        <f ca="1"/>
        <v>YIELDTYPE</v>
      </c>
      <c r="F8" s="14" t="str">
        <f ca="1"/>
        <v>YIELD-TO-MATURITY</v>
      </c>
    </row>
    <row r="9" spans="2:8" x14ac:dyDescent="0.25">
      <c r="B9" s="5" t="s">
        <v>22</v>
      </c>
      <c r="C9" s="6" t="s">
        <v>23</v>
      </c>
      <c r="E9" s="39" t="str">
        <f ca="1"/>
        <v>CURRENCY</v>
      </c>
      <c r="F9" s="14" t="str">
        <f ca="1"/>
        <v>USD</v>
      </c>
      <c r="H9" s="1" t="s">
        <v>40</v>
      </c>
    </row>
    <row r="10" spans="2:8" x14ac:dyDescent="0.25">
      <c r="B10" s="5" t="s">
        <v>10</v>
      </c>
      <c r="C10" s="8" t="s">
        <v>11</v>
      </c>
      <c r="E10" s="39" t="str">
        <f ca="1"/>
        <v>ISIN</v>
      </c>
      <c r="F10" s="14" t="str">
        <f ca="1"/>
        <v>US912828U246</v>
      </c>
      <c r="H10" s="29" t="b">
        <f ca="1">_xll.meLWOExists(C3,"BOND")</f>
        <v>1</v>
      </c>
    </row>
    <row r="11" spans="2:8" x14ac:dyDescent="0.25">
      <c r="B11" s="5" t="s">
        <v>24</v>
      </c>
      <c r="C11" s="9" t="s">
        <v>26</v>
      </c>
      <c r="E11" s="39" t="str">
        <f ca="1"/>
        <v>ISCLEANPRICE</v>
      </c>
      <c r="F11" s="14" t="str">
        <f ca="1"/>
        <v>TRUE</v>
      </c>
    </row>
    <row r="12" spans="2:8" x14ac:dyDescent="0.25">
      <c r="B12" s="5" t="s">
        <v>27</v>
      </c>
      <c r="C12" s="9" t="b">
        <v>1</v>
      </c>
      <c r="E12" s="39" t="str">
        <f ca="1"/>
        <v>COUPON</v>
      </c>
      <c r="F12" s="42">
        <f ca="1"/>
        <v>0.02</v>
      </c>
      <c r="H12" s="64" t="s">
        <v>41</v>
      </c>
    </row>
    <row r="13" spans="2:8" x14ac:dyDescent="0.25">
      <c r="B13" s="21" t="s">
        <v>51</v>
      </c>
      <c r="C13" s="22" t="s">
        <v>50</v>
      </c>
      <c r="E13" s="39" t="str">
        <f ca="1"/>
        <v>NOTIONALEXCHANGE</v>
      </c>
      <c r="F13" s="40" t="str">
        <f ca="1"/>
        <v>START_AND_END</v>
      </c>
      <c r="H13" s="65" t="str">
        <f t="array" aca="1" ref="H13:H31" ca="1">_xll.meUtilityResize(_xll.meLWOList("BOND"),20,1)</f>
        <v>USTREASURY@1</v>
      </c>
    </row>
    <row r="14" spans="2:8" x14ac:dyDescent="0.25">
      <c r="E14" s="39" t="str">
        <f ca="1"/>
        <v>FACEVALUE</v>
      </c>
      <c r="F14" s="41">
        <f ca="1"/>
        <v>1000000</v>
      </c>
      <c r="H14" s="66" t="str">
        <f ca="1"/>
        <v/>
      </c>
    </row>
    <row r="15" spans="2:8" x14ac:dyDescent="0.25">
      <c r="B15" s="1" t="s">
        <v>25</v>
      </c>
      <c r="E15" s="39" t="str">
        <f ca="1"/>
        <v>ISSUEDATE</v>
      </c>
      <c r="F15" s="40">
        <f ca="1"/>
        <v>42689</v>
      </c>
      <c r="H15" s="66" t="str">
        <f ca="1"/>
        <v/>
      </c>
    </row>
    <row r="16" spans="2:8" x14ac:dyDescent="0.25">
      <c r="B16" s="3" t="s">
        <v>0</v>
      </c>
      <c r="C16" s="4" t="s">
        <v>42</v>
      </c>
      <c r="E16" s="39" t="str">
        <f ca="1"/>
        <v>MATURITYDATE</v>
      </c>
      <c r="F16" s="40">
        <f ca="1"/>
        <v>46341</v>
      </c>
      <c r="H16" s="66" t="str">
        <f ca="1"/>
        <v/>
      </c>
    </row>
    <row r="17" spans="2:8" x14ac:dyDescent="0.25">
      <c r="B17" s="17" t="s">
        <v>45</v>
      </c>
      <c r="C17" s="6" t="s">
        <v>46</v>
      </c>
      <c r="E17" s="39" t="str">
        <f ca="1"/>
        <v>ACCRUALSTARTDATE</v>
      </c>
      <c r="F17" s="41">
        <f ca="1"/>
        <v>42689</v>
      </c>
      <c r="H17" s="67" t="str">
        <f ca="1"/>
        <v/>
      </c>
    </row>
    <row r="18" spans="2:8" x14ac:dyDescent="0.25">
      <c r="B18" s="5" t="s">
        <v>31</v>
      </c>
      <c r="C18" s="8">
        <v>1000000</v>
      </c>
      <c r="E18" s="39" t="str">
        <f ca="1"/>
        <v>FIRSTCOUPONDATE</v>
      </c>
      <c r="F18" s="41" t="str">
        <f ca="1"/>
        <v/>
      </c>
      <c r="H18" s="67" t="str">
        <f ca="1"/>
        <v/>
      </c>
    </row>
    <row r="19" spans="2:8" x14ac:dyDescent="0.25">
      <c r="B19" s="5" t="s">
        <v>68</v>
      </c>
      <c r="C19" s="9">
        <v>42689</v>
      </c>
      <c r="E19" s="39" t="str">
        <f ca="1"/>
        <v>LASTCOUPONDATE</v>
      </c>
      <c r="F19" s="41" t="str">
        <f ca="1"/>
        <v/>
      </c>
      <c r="H19" s="67" t="str">
        <f ca="1"/>
        <v/>
      </c>
    </row>
    <row r="20" spans="2:8" x14ac:dyDescent="0.25">
      <c r="B20" s="5" t="s">
        <v>67</v>
      </c>
      <c r="C20" s="9">
        <v>42689</v>
      </c>
      <c r="E20" s="39" t="str">
        <f ca="1"/>
        <v>FREQUENCY</v>
      </c>
      <c r="F20" s="41" t="str">
        <f ca="1"/>
        <v>Semi-Annual</v>
      </c>
      <c r="H20" s="67" t="str">
        <f ca="1"/>
        <v/>
      </c>
    </row>
    <row r="21" spans="2:8" x14ac:dyDescent="0.25">
      <c r="B21" s="5" t="s">
        <v>33</v>
      </c>
      <c r="C21" s="9"/>
      <c r="E21" s="39" t="str">
        <f ca="1"/>
        <v>ACCRUALBUSINESSDAYADJUSTMENT</v>
      </c>
      <c r="F21" s="41" t="str">
        <f ca="1"/>
        <v>MOD_FOLLOWING</v>
      </c>
      <c r="H21" s="67" t="str">
        <f ca="1"/>
        <v/>
      </c>
    </row>
    <row r="22" spans="2:8" x14ac:dyDescent="0.25">
      <c r="B22" s="5" t="s">
        <v>36</v>
      </c>
      <c r="C22" s="9"/>
      <c r="E22" s="39" t="str">
        <f ca="1"/>
        <v>ACCRUALCALENDAR</v>
      </c>
      <c r="F22" s="42" t="str">
        <f ca="1"/>
        <v>NYB</v>
      </c>
      <c r="H22" s="67" t="str">
        <f ca="1"/>
        <v/>
      </c>
    </row>
    <row r="23" spans="2:8" x14ac:dyDescent="0.25">
      <c r="B23" s="5" t="s">
        <v>1</v>
      </c>
      <c r="C23" s="9">
        <v>46341</v>
      </c>
      <c r="E23" s="39" t="str">
        <f ca="1"/>
        <v>PAYMENTBUSINESSDAYADJUSTMENT</v>
      </c>
      <c r="F23" s="42" t="str">
        <f ca="1"/>
        <v>NO_CHANGE</v>
      </c>
      <c r="H23" s="67" t="str">
        <f ca="1"/>
        <v/>
      </c>
    </row>
    <row r="24" spans="2:8" x14ac:dyDescent="0.25">
      <c r="B24" s="5" t="s">
        <v>28</v>
      </c>
      <c r="C24" s="23">
        <v>0.02</v>
      </c>
      <c r="E24" s="39" t="str">
        <f ca="1"/>
        <v>PAYMENTCALENDAR</v>
      </c>
      <c r="F24" s="42" t="str">
        <f ca="1"/>
        <v>NYB</v>
      </c>
      <c r="H24" s="67" t="str">
        <f ca="1"/>
        <v/>
      </c>
    </row>
    <row r="25" spans="2:8" x14ac:dyDescent="0.25">
      <c r="B25" s="5" t="s">
        <v>2</v>
      </c>
      <c r="C25" s="6" t="s">
        <v>13</v>
      </c>
      <c r="E25" s="39" t="str">
        <f ca="1"/>
        <v>PAYMENTLAG</v>
      </c>
      <c r="F25" s="42" t="str">
        <f ca="1"/>
        <v>0D</v>
      </c>
      <c r="H25" s="67" t="str">
        <f ca="1"/>
        <v/>
      </c>
    </row>
    <row r="26" spans="2:8" x14ac:dyDescent="0.25">
      <c r="B26" s="5" t="s">
        <v>5</v>
      </c>
      <c r="C26" s="6" t="s">
        <v>3</v>
      </c>
      <c r="E26" s="39" t="str">
        <f ca="1"/>
        <v>DAYCOUNT</v>
      </c>
      <c r="F26" s="42" t="str">
        <f ca="1"/>
        <v>ACT/ACT</v>
      </c>
      <c r="H26" s="67" t="str">
        <f ca="1"/>
        <v/>
      </c>
    </row>
    <row r="27" spans="2:8" x14ac:dyDescent="0.25">
      <c r="B27" s="5" t="s">
        <v>6</v>
      </c>
      <c r="C27" s="6" t="s">
        <v>14</v>
      </c>
      <c r="E27" s="39" t="str">
        <f ca="1"/>
        <v>CALCULATIONTYPE</v>
      </c>
      <c r="F27" s="42" t="str">
        <f ca="1"/>
        <v>TYPE1_STREET_CONVENTION</v>
      </c>
      <c r="H27" s="67" t="str">
        <f ca="1"/>
        <v/>
      </c>
    </row>
    <row r="28" spans="2:8" x14ac:dyDescent="0.25">
      <c r="B28" s="5" t="s">
        <v>7</v>
      </c>
      <c r="C28" s="6" t="s">
        <v>69</v>
      </c>
      <c r="E28" s="39" t="str">
        <f ca="1"/>
        <v/>
      </c>
      <c r="F28" s="42" t="str">
        <f ca="1"/>
        <v/>
      </c>
      <c r="H28" s="67" t="str">
        <f ca="1"/>
        <v/>
      </c>
    </row>
    <row r="29" spans="2:8" x14ac:dyDescent="0.25">
      <c r="B29" s="5" t="s">
        <v>8</v>
      </c>
      <c r="C29" s="6" t="s">
        <v>14</v>
      </c>
      <c r="E29" s="39" t="str">
        <f ca="1"/>
        <v/>
      </c>
      <c r="F29" s="42" t="str">
        <f ca="1"/>
        <v/>
      </c>
      <c r="H29" s="67" t="str">
        <f ca="1"/>
        <v/>
      </c>
    </row>
    <row r="30" spans="2:8" x14ac:dyDescent="0.25">
      <c r="B30" s="5" t="s">
        <v>9</v>
      </c>
      <c r="C30" s="6" t="s">
        <v>15</v>
      </c>
      <c r="E30" s="39" t="str">
        <f ca="1"/>
        <v/>
      </c>
      <c r="F30" s="42" t="str">
        <f ca="1"/>
        <v/>
      </c>
      <c r="H30" s="67" t="str">
        <f ca="1"/>
        <v/>
      </c>
    </row>
    <row r="31" spans="2:8" x14ac:dyDescent="0.25">
      <c r="B31" s="5" t="s">
        <v>4</v>
      </c>
      <c r="C31" s="6" t="s">
        <v>17</v>
      </c>
      <c r="E31" s="43" t="str">
        <f ca="1"/>
        <v/>
      </c>
      <c r="F31" s="69" t="str">
        <f ca="1"/>
        <v/>
      </c>
      <c r="H31" s="68" t="str">
        <f ca="1"/>
        <v/>
      </c>
    </row>
    <row r="32" spans="2:8" x14ac:dyDescent="0.25">
      <c r="B32" s="21" t="s">
        <v>21</v>
      </c>
      <c r="C32" s="7" t="s">
        <v>34</v>
      </c>
      <c r="D32" t="s">
        <v>20</v>
      </c>
    </row>
    <row r="36" spans="1:4" x14ac:dyDescent="0.25">
      <c r="D36" t="s">
        <v>20</v>
      </c>
    </row>
    <row r="47" spans="1:4" x14ac:dyDescent="0.25">
      <c r="A47" s="28"/>
    </row>
    <row r="62" spans="1:1" x14ac:dyDescent="0.25">
      <c r="A62" t="s">
        <v>20</v>
      </c>
    </row>
    <row r="63" spans="1:1" x14ac:dyDescent="0.25">
      <c r="A63" t="s">
        <v>20</v>
      </c>
    </row>
    <row r="64" spans="1:1" x14ac:dyDescent="0.25">
      <c r="A64" t="s">
        <v>20</v>
      </c>
    </row>
    <row r="71" spans="1:3" x14ac:dyDescent="0.25">
      <c r="A71" t="s">
        <v>20</v>
      </c>
    </row>
    <row r="72" spans="1:3" x14ac:dyDescent="0.25">
      <c r="A72" t="s">
        <v>20</v>
      </c>
    </row>
    <row r="73" spans="1:3" x14ac:dyDescent="0.25">
      <c r="A73" t="s">
        <v>20</v>
      </c>
    </row>
    <row r="74" spans="1:3" x14ac:dyDescent="0.25">
      <c r="A74" t="s">
        <v>20</v>
      </c>
    </row>
    <row r="75" spans="1:3" x14ac:dyDescent="0.25">
      <c r="A75" t="s">
        <v>20</v>
      </c>
    </row>
    <row r="76" spans="1:3" x14ac:dyDescent="0.25">
      <c r="A76" t="s">
        <v>20</v>
      </c>
    </row>
    <row r="77" spans="1:3" x14ac:dyDescent="0.25">
      <c r="A77" t="s">
        <v>20</v>
      </c>
    </row>
    <row r="78" spans="1:3" x14ac:dyDescent="0.25">
      <c r="A78" t="s">
        <v>20</v>
      </c>
    </row>
    <row r="79" spans="1:3" x14ac:dyDescent="0.25">
      <c r="A79" t="s">
        <v>20</v>
      </c>
    </row>
    <row r="80" spans="1:3" x14ac:dyDescent="0.25">
      <c r="A80" t="s">
        <v>20</v>
      </c>
      <c r="B80" s="26"/>
      <c r="C80" s="27"/>
    </row>
    <row r="81" spans="1:3" x14ac:dyDescent="0.25">
      <c r="A81" t="s">
        <v>20</v>
      </c>
      <c r="B81" s="26"/>
      <c r="C81" s="56"/>
    </row>
    <row r="82" spans="1:3" x14ac:dyDescent="0.25">
      <c r="A82" t="s">
        <v>20</v>
      </c>
      <c r="B82" s="26"/>
      <c r="C82" s="55"/>
    </row>
    <row r="83" spans="1:3" x14ac:dyDescent="0.25">
      <c r="A83" t="s">
        <v>20</v>
      </c>
      <c r="B83" s="26"/>
      <c r="C83" s="27"/>
    </row>
    <row r="84" spans="1:3" x14ac:dyDescent="0.25">
      <c r="A84" t="s">
        <v>20</v>
      </c>
    </row>
    <row r="85" spans="1:3" x14ac:dyDescent="0.25">
      <c r="A85" t="s">
        <v>20</v>
      </c>
    </row>
    <row r="86" spans="1:3" x14ac:dyDescent="0.25">
      <c r="A86" t="s">
        <v>20</v>
      </c>
    </row>
    <row r="87" spans="1:3" x14ac:dyDescent="0.25">
      <c r="A87" t="s">
        <v>20</v>
      </c>
    </row>
    <row r="88" spans="1:3" x14ac:dyDescent="0.25">
      <c r="A88" t="s">
        <v>20</v>
      </c>
    </row>
    <row r="89" spans="1:3" x14ac:dyDescent="0.25">
      <c r="A89" t="s">
        <v>20</v>
      </c>
    </row>
    <row r="90" spans="1:3" x14ac:dyDescent="0.25">
      <c r="A90" t="s">
        <v>20</v>
      </c>
    </row>
    <row r="91" spans="1:3" x14ac:dyDescent="0.25">
      <c r="A91" t="s">
        <v>20</v>
      </c>
    </row>
    <row r="92" spans="1:3" x14ac:dyDescent="0.25">
      <c r="A92" t="s">
        <v>20</v>
      </c>
    </row>
    <row r="93" spans="1:3" x14ac:dyDescent="0.25">
      <c r="A93" t="s">
        <v>20</v>
      </c>
    </row>
    <row r="94" spans="1:3" x14ac:dyDescent="0.25">
      <c r="A94" t="s">
        <v>20</v>
      </c>
    </row>
    <row r="95" spans="1:3" x14ac:dyDescent="0.25">
      <c r="A95" t="s">
        <v>20</v>
      </c>
    </row>
    <row r="96" spans="1:3" x14ac:dyDescent="0.25">
      <c r="A96" t="s">
        <v>20</v>
      </c>
    </row>
    <row r="97" spans="1:1" x14ac:dyDescent="0.25">
      <c r="A97" t="s">
        <v>20</v>
      </c>
    </row>
    <row r="98" spans="1:1" x14ac:dyDescent="0.25">
      <c r="A98" t="s">
        <v>20</v>
      </c>
    </row>
    <row r="99" spans="1:1" x14ac:dyDescent="0.25">
      <c r="A99" t="s">
        <v>20</v>
      </c>
    </row>
    <row r="100" spans="1:1" x14ac:dyDescent="0.25">
      <c r="A100" t="s">
        <v>20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46"/>
  <sheetViews>
    <sheetView showGridLines="0" workbookViewId="0">
      <selection activeCell="E46" sqref="E46"/>
    </sheetView>
  </sheetViews>
  <sheetFormatPr defaultRowHeight="15" x14ac:dyDescent="0.25"/>
  <cols>
    <col min="2" max="2" width="13.42578125" customWidth="1"/>
    <col min="3" max="3" width="10.7109375" bestFit="1" customWidth="1"/>
    <col min="4" max="4" width="11.5703125" bestFit="1" customWidth="1"/>
    <col min="5" max="5" width="19.5703125" bestFit="1" customWidth="1"/>
    <col min="6" max="6" width="13.140625" bestFit="1" customWidth="1"/>
    <col min="8" max="8" width="17.28515625" bestFit="1" customWidth="1"/>
    <col min="9" max="9" width="9" bestFit="1" customWidth="1"/>
    <col min="10" max="10" width="9.85546875" bestFit="1" customWidth="1"/>
  </cols>
  <sheetData>
    <row r="2" spans="2:14" x14ac:dyDescent="0.25">
      <c r="B2" s="1" t="s">
        <v>43</v>
      </c>
    </row>
    <row r="3" spans="2:14" x14ac:dyDescent="0.25">
      <c r="B3" s="45" t="str">
        <f t="array" aca="1" ref="B3:N27" ca="1">_xll.meUtilityResize(_xll.meLWOBondDisplaySchedule(BondObjectHandle,TRUE),50,50)</f>
        <v>AccrualStart</v>
      </c>
      <c r="C3" s="46" t="str">
        <f ca="1"/>
        <v>AccrualEnd</v>
      </c>
      <c r="D3" s="47" t="str">
        <f ca="1"/>
        <v>AccrualDays</v>
      </c>
      <c r="E3" s="44" t="str">
        <f ca="1"/>
        <v>AccrualYearFractions</v>
      </c>
      <c r="F3" s="46" t="str">
        <f ca="1"/>
        <v>PaymentDate</v>
      </c>
      <c r="G3" s="47" t="str">
        <f ca="1"/>
        <v>Notional</v>
      </c>
      <c r="H3" s="47" t="str">
        <f ca="1"/>
        <v>NotionalExchange</v>
      </c>
      <c r="I3" s="44" t="str">
        <f ca="1"/>
        <v>Leverage</v>
      </c>
      <c r="J3" s="48" t="str">
        <f ca="1"/>
        <v>FixedRate</v>
      </c>
      <c r="K3" s="11" t="str">
        <f ca="1"/>
        <v/>
      </c>
      <c r="L3" s="11" t="str">
        <f ca="1"/>
        <v/>
      </c>
      <c r="M3" s="11" t="str">
        <f ca="1"/>
        <v/>
      </c>
      <c r="N3" s="12" t="str">
        <f ca="1"/>
        <v/>
      </c>
    </row>
    <row r="4" spans="2:14" x14ac:dyDescent="0.25">
      <c r="B4" s="30" t="str">
        <f ca="1"/>
        <v/>
      </c>
      <c r="C4" s="31" t="str">
        <f ca="1"/>
        <v/>
      </c>
      <c r="D4" s="18" t="str">
        <f ca="1"/>
        <v/>
      </c>
      <c r="E4" s="32" t="str">
        <f ca="1"/>
        <v/>
      </c>
      <c r="F4" s="31">
        <f ca="1"/>
        <v>42689</v>
      </c>
      <c r="G4" s="13" t="str">
        <f ca="1"/>
        <v/>
      </c>
      <c r="H4" s="13">
        <f ca="1"/>
        <v>-1000000</v>
      </c>
      <c r="I4" s="32">
        <f ca="1"/>
        <v>1</v>
      </c>
      <c r="J4" s="33" t="str">
        <f ca="1"/>
        <v/>
      </c>
      <c r="K4" s="18" t="str">
        <f ca="1"/>
        <v/>
      </c>
      <c r="L4" s="18" t="str">
        <f ca="1"/>
        <v/>
      </c>
      <c r="M4" s="18" t="str">
        <f ca="1"/>
        <v/>
      </c>
      <c r="N4" s="14" t="str">
        <f ca="1"/>
        <v/>
      </c>
    </row>
    <row r="5" spans="2:14" x14ac:dyDescent="0.25">
      <c r="B5" s="30">
        <f ca="1"/>
        <v>42689</v>
      </c>
      <c r="C5" s="31">
        <f ca="1"/>
        <v>42870</v>
      </c>
      <c r="D5" s="18">
        <f ca="1"/>
        <v>181</v>
      </c>
      <c r="E5" s="32">
        <f ca="1"/>
        <v>0.5</v>
      </c>
      <c r="F5" s="31">
        <f ca="1"/>
        <v>42870</v>
      </c>
      <c r="G5" s="13">
        <f ca="1"/>
        <v>1000000</v>
      </c>
      <c r="H5" s="13">
        <f ca="1"/>
        <v>0</v>
      </c>
      <c r="I5" s="32">
        <f ca="1"/>
        <v>1</v>
      </c>
      <c r="J5" s="33">
        <f ca="1"/>
        <v>0.02</v>
      </c>
      <c r="K5" s="18" t="str">
        <f ca="1"/>
        <v/>
      </c>
      <c r="L5" s="18" t="str">
        <f ca="1"/>
        <v/>
      </c>
      <c r="M5" s="18" t="str">
        <f ca="1"/>
        <v/>
      </c>
      <c r="N5" s="14" t="str">
        <f ca="1"/>
        <v/>
      </c>
    </row>
    <row r="6" spans="2:14" x14ac:dyDescent="0.25">
      <c r="B6" s="30">
        <f ca="1"/>
        <v>42870</v>
      </c>
      <c r="C6" s="31">
        <f ca="1"/>
        <v>43054</v>
      </c>
      <c r="D6" s="18">
        <f ca="1"/>
        <v>184</v>
      </c>
      <c r="E6" s="32">
        <f ca="1"/>
        <v>0.5</v>
      </c>
      <c r="F6" s="31">
        <f ca="1"/>
        <v>43054</v>
      </c>
      <c r="G6" s="13">
        <f ca="1"/>
        <v>1000000</v>
      </c>
      <c r="H6" s="13">
        <f ca="1"/>
        <v>0</v>
      </c>
      <c r="I6" s="32">
        <f ca="1"/>
        <v>1</v>
      </c>
      <c r="J6" s="33">
        <f ca="1"/>
        <v>0.02</v>
      </c>
      <c r="K6" s="18" t="str">
        <f ca="1"/>
        <v/>
      </c>
      <c r="L6" s="18" t="str">
        <f ca="1"/>
        <v/>
      </c>
      <c r="M6" s="18" t="str">
        <f ca="1"/>
        <v/>
      </c>
      <c r="N6" s="14" t="str">
        <f ca="1"/>
        <v/>
      </c>
    </row>
    <row r="7" spans="2:14" x14ac:dyDescent="0.25">
      <c r="B7" s="30">
        <f ca="1"/>
        <v>43054</v>
      </c>
      <c r="C7" s="31">
        <f ca="1"/>
        <v>43235</v>
      </c>
      <c r="D7" s="18">
        <f ca="1"/>
        <v>181</v>
      </c>
      <c r="E7" s="32">
        <f ca="1"/>
        <v>0.5</v>
      </c>
      <c r="F7" s="31">
        <f ca="1"/>
        <v>43235</v>
      </c>
      <c r="G7" s="13">
        <f ca="1"/>
        <v>1000000</v>
      </c>
      <c r="H7" s="13">
        <f ca="1"/>
        <v>0</v>
      </c>
      <c r="I7" s="32">
        <f ca="1"/>
        <v>1</v>
      </c>
      <c r="J7" s="33">
        <f ca="1"/>
        <v>0.02</v>
      </c>
      <c r="K7" s="18" t="str">
        <f ca="1"/>
        <v/>
      </c>
      <c r="L7" s="18" t="str">
        <f ca="1"/>
        <v/>
      </c>
      <c r="M7" s="18" t="str">
        <f ca="1"/>
        <v/>
      </c>
      <c r="N7" s="14" t="str">
        <f ca="1"/>
        <v/>
      </c>
    </row>
    <row r="8" spans="2:14" x14ac:dyDescent="0.25">
      <c r="B8" s="30">
        <f ca="1"/>
        <v>43235</v>
      </c>
      <c r="C8" s="31">
        <f ca="1"/>
        <v>43419</v>
      </c>
      <c r="D8" s="18">
        <f ca="1"/>
        <v>184</v>
      </c>
      <c r="E8" s="32">
        <f ca="1"/>
        <v>0.5</v>
      </c>
      <c r="F8" s="31">
        <f ca="1"/>
        <v>43419</v>
      </c>
      <c r="G8" s="13">
        <f ca="1"/>
        <v>1000000</v>
      </c>
      <c r="H8" s="13">
        <f ca="1"/>
        <v>0</v>
      </c>
      <c r="I8" s="32">
        <f ca="1"/>
        <v>1</v>
      </c>
      <c r="J8" s="33">
        <f ca="1"/>
        <v>0.02</v>
      </c>
      <c r="K8" s="18" t="str">
        <f ca="1"/>
        <v/>
      </c>
      <c r="L8" s="18" t="str">
        <f ca="1"/>
        <v/>
      </c>
      <c r="M8" s="18" t="str">
        <f ca="1"/>
        <v/>
      </c>
      <c r="N8" s="14" t="str">
        <f ca="1"/>
        <v/>
      </c>
    </row>
    <row r="9" spans="2:14" x14ac:dyDescent="0.25">
      <c r="B9" s="30">
        <f ca="1"/>
        <v>43419</v>
      </c>
      <c r="C9" s="31">
        <f ca="1"/>
        <v>43600</v>
      </c>
      <c r="D9" s="18">
        <f ca="1"/>
        <v>181</v>
      </c>
      <c r="E9" s="32">
        <f ca="1"/>
        <v>0.5</v>
      </c>
      <c r="F9" s="31">
        <f ca="1"/>
        <v>43600</v>
      </c>
      <c r="G9" s="13">
        <f ca="1"/>
        <v>1000000</v>
      </c>
      <c r="H9" s="13">
        <f ca="1"/>
        <v>0</v>
      </c>
      <c r="I9" s="32">
        <f ca="1"/>
        <v>1</v>
      </c>
      <c r="J9" s="33">
        <f ca="1"/>
        <v>0.02</v>
      </c>
      <c r="K9" s="18" t="str">
        <f ca="1"/>
        <v/>
      </c>
      <c r="L9" s="18" t="str">
        <f ca="1"/>
        <v/>
      </c>
      <c r="M9" s="18" t="str">
        <f ca="1"/>
        <v/>
      </c>
      <c r="N9" s="14" t="str">
        <f ca="1"/>
        <v/>
      </c>
    </row>
    <row r="10" spans="2:14" x14ac:dyDescent="0.25">
      <c r="B10" s="30">
        <f ca="1"/>
        <v>43600</v>
      </c>
      <c r="C10" s="31">
        <f ca="1"/>
        <v>43784</v>
      </c>
      <c r="D10" s="18">
        <f ca="1"/>
        <v>184</v>
      </c>
      <c r="E10" s="32">
        <f ca="1"/>
        <v>0.5</v>
      </c>
      <c r="F10" s="31">
        <f ca="1"/>
        <v>43784</v>
      </c>
      <c r="G10" s="13">
        <f ca="1"/>
        <v>1000000</v>
      </c>
      <c r="H10" s="13">
        <f ca="1"/>
        <v>0</v>
      </c>
      <c r="I10" s="32">
        <f ca="1"/>
        <v>1</v>
      </c>
      <c r="J10" s="33">
        <f ca="1"/>
        <v>0.02</v>
      </c>
      <c r="K10" s="18" t="str">
        <f ca="1"/>
        <v/>
      </c>
      <c r="L10" s="18" t="str">
        <f ca="1"/>
        <v/>
      </c>
      <c r="M10" s="18" t="str">
        <f ca="1"/>
        <v/>
      </c>
      <c r="N10" s="14" t="str">
        <f ca="1"/>
        <v/>
      </c>
    </row>
    <row r="11" spans="2:14" x14ac:dyDescent="0.25">
      <c r="B11" s="30">
        <f ca="1"/>
        <v>43784</v>
      </c>
      <c r="C11" s="31">
        <f ca="1"/>
        <v>43966</v>
      </c>
      <c r="D11" s="18">
        <f ca="1"/>
        <v>182</v>
      </c>
      <c r="E11" s="32">
        <f ca="1"/>
        <v>0.5</v>
      </c>
      <c r="F11" s="31">
        <f ca="1"/>
        <v>43966</v>
      </c>
      <c r="G11" s="13">
        <f ca="1"/>
        <v>1000000</v>
      </c>
      <c r="H11" s="13">
        <f ca="1"/>
        <v>0</v>
      </c>
      <c r="I11" s="32">
        <f ca="1"/>
        <v>1</v>
      </c>
      <c r="J11" s="33">
        <f ca="1"/>
        <v>0.02</v>
      </c>
      <c r="K11" s="18" t="str">
        <f ca="1"/>
        <v/>
      </c>
      <c r="L11" s="18" t="str">
        <f ca="1"/>
        <v/>
      </c>
      <c r="M11" s="18" t="str">
        <f ca="1"/>
        <v/>
      </c>
      <c r="N11" s="14" t="str">
        <f ca="1"/>
        <v/>
      </c>
    </row>
    <row r="12" spans="2:14" x14ac:dyDescent="0.25">
      <c r="B12" s="30">
        <f ca="1"/>
        <v>43966</v>
      </c>
      <c r="C12" s="31">
        <f ca="1"/>
        <v>44151</v>
      </c>
      <c r="D12" s="18">
        <f ca="1"/>
        <v>185</v>
      </c>
      <c r="E12" s="32">
        <f ca="1"/>
        <v>0.5</v>
      </c>
      <c r="F12" s="31">
        <f ca="1"/>
        <v>44150</v>
      </c>
      <c r="G12" s="13">
        <f ca="1"/>
        <v>1000000</v>
      </c>
      <c r="H12" s="13">
        <f ca="1"/>
        <v>0</v>
      </c>
      <c r="I12" s="32">
        <f ca="1"/>
        <v>1</v>
      </c>
      <c r="J12" s="33">
        <f ca="1"/>
        <v>0.02</v>
      </c>
      <c r="K12" s="18" t="str">
        <f ca="1"/>
        <v/>
      </c>
      <c r="L12" s="18" t="str">
        <f ca="1"/>
        <v/>
      </c>
      <c r="M12" s="18" t="str">
        <f ca="1"/>
        <v/>
      </c>
      <c r="N12" s="14" t="str">
        <f ca="1"/>
        <v/>
      </c>
    </row>
    <row r="13" spans="2:14" x14ac:dyDescent="0.25">
      <c r="B13" s="30">
        <f ca="1"/>
        <v>44151</v>
      </c>
      <c r="C13" s="31">
        <f ca="1"/>
        <v>44333</v>
      </c>
      <c r="D13" s="18">
        <f ca="1"/>
        <v>182</v>
      </c>
      <c r="E13" s="32">
        <f ca="1"/>
        <v>0.5</v>
      </c>
      <c r="F13" s="31">
        <f ca="1"/>
        <v>44331</v>
      </c>
      <c r="G13" s="13">
        <f ca="1"/>
        <v>1000000</v>
      </c>
      <c r="H13" s="13">
        <f ca="1"/>
        <v>0</v>
      </c>
      <c r="I13" s="32">
        <f ca="1"/>
        <v>1</v>
      </c>
      <c r="J13" s="33">
        <f ca="1"/>
        <v>0.02</v>
      </c>
      <c r="K13" s="18" t="str">
        <f ca="1"/>
        <v/>
      </c>
      <c r="L13" s="18" t="str">
        <f ca="1"/>
        <v/>
      </c>
      <c r="M13" s="18" t="str">
        <f ca="1"/>
        <v/>
      </c>
      <c r="N13" s="14" t="str">
        <f ca="1"/>
        <v/>
      </c>
    </row>
    <row r="14" spans="2:14" x14ac:dyDescent="0.25">
      <c r="B14" s="30">
        <f ca="1"/>
        <v>44333</v>
      </c>
      <c r="C14" s="31">
        <f ca="1"/>
        <v>44515</v>
      </c>
      <c r="D14" s="18">
        <f ca="1"/>
        <v>182</v>
      </c>
      <c r="E14" s="32">
        <f ca="1"/>
        <v>0.5</v>
      </c>
      <c r="F14" s="31">
        <f ca="1"/>
        <v>44515</v>
      </c>
      <c r="G14" s="13">
        <f ca="1"/>
        <v>1000000</v>
      </c>
      <c r="H14" s="13">
        <f ca="1"/>
        <v>0</v>
      </c>
      <c r="I14" s="32">
        <f ca="1"/>
        <v>1</v>
      </c>
      <c r="J14" s="33">
        <f ca="1"/>
        <v>0.02</v>
      </c>
      <c r="K14" s="18" t="str">
        <f ca="1"/>
        <v/>
      </c>
      <c r="L14" s="18" t="str">
        <f ca="1"/>
        <v/>
      </c>
      <c r="M14" s="18" t="str">
        <f ca="1"/>
        <v/>
      </c>
      <c r="N14" s="14" t="str">
        <f ca="1"/>
        <v/>
      </c>
    </row>
    <row r="15" spans="2:14" x14ac:dyDescent="0.25">
      <c r="B15" s="30">
        <f ca="1"/>
        <v>44515</v>
      </c>
      <c r="C15" s="31">
        <f ca="1"/>
        <v>44697</v>
      </c>
      <c r="D15" s="18">
        <f ca="1"/>
        <v>182</v>
      </c>
      <c r="E15" s="32">
        <f ca="1"/>
        <v>0.5</v>
      </c>
      <c r="F15" s="31">
        <f ca="1"/>
        <v>44696</v>
      </c>
      <c r="G15" s="13">
        <f ca="1"/>
        <v>1000000</v>
      </c>
      <c r="H15" s="13">
        <f ca="1"/>
        <v>0</v>
      </c>
      <c r="I15" s="32">
        <f ca="1"/>
        <v>1</v>
      </c>
      <c r="J15" s="33">
        <f ca="1"/>
        <v>0.02</v>
      </c>
      <c r="K15" s="18" t="str">
        <f ca="1"/>
        <v/>
      </c>
      <c r="L15" s="18" t="str">
        <f ca="1"/>
        <v/>
      </c>
      <c r="M15" s="18" t="str">
        <f ca="1"/>
        <v/>
      </c>
      <c r="N15" s="14" t="str">
        <f ca="1"/>
        <v/>
      </c>
    </row>
    <row r="16" spans="2:14" x14ac:dyDescent="0.25">
      <c r="B16" s="30">
        <f ca="1"/>
        <v>44697</v>
      </c>
      <c r="C16" s="31">
        <f ca="1"/>
        <v>44880</v>
      </c>
      <c r="D16" s="18">
        <f ca="1"/>
        <v>183</v>
      </c>
      <c r="E16" s="32">
        <f ca="1"/>
        <v>0.5</v>
      </c>
      <c r="F16" s="31">
        <f ca="1"/>
        <v>44880</v>
      </c>
      <c r="G16" s="13">
        <f ca="1"/>
        <v>1000000</v>
      </c>
      <c r="H16" s="13">
        <f ca="1"/>
        <v>0</v>
      </c>
      <c r="I16" s="32">
        <f ca="1"/>
        <v>1</v>
      </c>
      <c r="J16" s="33">
        <f ca="1"/>
        <v>0.02</v>
      </c>
      <c r="K16" s="18" t="str">
        <f ca="1"/>
        <v/>
      </c>
      <c r="L16" s="18" t="str">
        <f ca="1"/>
        <v/>
      </c>
      <c r="M16" s="18" t="str">
        <f ca="1"/>
        <v/>
      </c>
      <c r="N16" s="14" t="str">
        <f ca="1"/>
        <v/>
      </c>
    </row>
    <row r="17" spans="2:14" x14ac:dyDescent="0.25">
      <c r="B17" s="30">
        <f ca="1"/>
        <v>44880</v>
      </c>
      <c r="C17" s="31">
        <f ca="1"/>
        <v>45061</v>
      </c>
      <c r="D17" s="18">
        <f ca="1"/>
        <v>181</v>
      </c>
      <c r="E17" s="32">
        <f ca="1"/>
        <v>0.5</v>
      </c>
      <c r="F17" s="31">
        <f ca="1"/>
        <v>45061</v>
      </c>
      <c r="G17" s="13">
        <f ca="1"/>
        <v>1000000</v>
      </c>
      <c r="H17" s="13">
        <f ca="1"/>
        <v>0</v>
      </c>
      <c r="I17" s="32">
        <f ca="1"/>
        <v>1</v>
      </c>
      <c r="J17" s="33">
        <f ca="1"/>
        <v>0.02</v>
      </c>
      <c r="K17" s="18" t="str">
        <f ca="1"/>
        <v/>
      </c>
      <c r="L17" s="18" t="str">
        <f ca="1"/>
        <v/>
      </c>
      <c r="M17" s="18" t="str">
        <f ca="1"/>
        <v/>
      </c>
      <c r="N17" s="14" t="str">
        <f ca="1"/>
        <v/>
      </c>
    </row>
    <row r="18" spans="2:14" x14ac:dyDescent="0.25">
      <c r="B18" s="30">
        <f ca="1"/>
        <v>45061</v>
      </c>
      <c r="C18" s="31">
        <f ca="1"/>
        <v>45245</v>
      </c>
      <c r="D18" s="18">
        <f ca="1"/>
        <v>184</v>
      </c>
      <c r="E18" s="32">
        <f ca="1"/>
        <v>0.5</v>
      </c>
      <c r="F18" s="31">
        <f ca="1"/>
        <v>45245</v>
      </c>
      <c r="G18" s="13">
        <f ca="1"/>
        <v>1000000</v>
      </c>
      <c r="H18" s="13">
        <f ca="1"/>
        <v>0</v>
      </c>
      <c r="I18" s="32">
        <f ca="1"/>
        <v>1</v>
      </c>
      <c r="J18" s="33">
        <f ca="1"/>
        <v>0.02</v>
      </c>
      <c r="K18" s="18" t="str">
        <f ca="1"/>
        <v/>
      </c>
      <c r="L18" s="18" t="str">
        <f ca="1"/>
        <v/>
      </c>
      <c r="M18" s="18" t="str">
        <f ca="1"/>
        <v/>
      </c>
      <c r="N18" s="14" t="str">
        <f ca="1"/>
        <v/>
      </c>
    </row>
    <row r="19" spans="2:14" x14ac:dyDescent="0.25">
      <c r="B19" s="30">
        <f ca="1"/>
        <v>45245</v>
      </c>
      <c r="C19" s="31">
        <f ca="1"/>
        <v>45427</v>
      </c>
      <c r="D19" s="18">
        <f ca="1"/>
        <v>182</v>
      </c>
      <c r="E19" s="32">
        <f ca="1"/>
        <v>0.5</v>
      </c>
      <c r="F19" s="31">
        <f ca="1"/>
        <v>45427</v>
      </c>
      <c r="G19" s="13">
        <f ca="1"/>
        <v>1000000</v>
      </c>
      <c r="H19" s="13">
        <f ca="1"/>
        <v>0</v>
      </c>
      <c r="I19" s="32">
        <f ca="1"/>
        <v>1</v>
      </c>
      <c r="J19" s="33">
        <f ca="1"/>
        <v>0.02</v>
      </c>
      <c r="K19" s="18" t="str">
        <f ca="1"/>
        <v/>
      </c>
      <c r="L19" s="18" t="str">
        <f ca="1"/>
        <v/>
      </c>
      <c r="M19" s="18" t="str">
        <f ca="1"/>
        <v/>
      </c>
      <c r="N19" s="14" t="str">
        <f ca="1"/>
        <v/>
      </c>
    </row>
    <row r="20" spans="2:14" x14ac:dyDescent="0.25">
      <c r="B20" s="30">
        <f ca="1"/>
        <v>45427</v>
      </c>
      <c r="C20" s="31">
        <f ca="1"/>
        <v>45611</v>
      </c>
      <c r="D20" s="18">
        <f ca="1"/>
        <v>184</v>
      </c>
      <c r="E20" s="32">
        <f ca="1"/>
        <v>0.5</v>
      </c>
      <c r="F20" s="31">
        <f ca="1"/>
        <v>45611</v>
      </c>
      <c r="G20" s="13">
        <f ca="1"/>
        <v>1000000</v>
      </c>
      <c r="H20" s="13">
        <f ca="1"/>
        <v>0</v>
      </c>
      <c r="I20" s="32">
        <f ca="1"/>
        <v>1</v>
      </c>
      <c r="J20" s="33">
        <f ca="1"/>
        <v>0.02</v>
      </c>
      <c r="K20" s="18" t="str">
        <f ca="1"/>
        <v/>
      </c>
      <c r="L20" s="18" t="str">
        <f ca="1"/>
        <v/>
      </c>
      <c r="M20" s="18" t="str">
        <f ca="1"/>
        <v/>
      </c>
      <c r="N20" s="14" t="str">
        <f ca="1"/>
        <v/>
      </c>
    </row>
    <row r="21" spans="2:14" x14ac:dyDescent="0.25">
      <c r="B21" s="30">
        <f ca="1"/>
        <v>45611</v>
      </c>
      <c r="C21" s="31">
        <f ca="1"/>
        <v>45792</v>
      </c>
      <c r="D21" s="18">
        <f ca="1"/>
        <v>181</v>
      </c>
      <c r="E21" s="32">
        <f ca="1"/>
        <v>0.5</v>
      </c>
      <c r="F21" s="31">
        <f ca="1"/>
        <v>45792</v>
      </c>
      <c r="G21" s="13">
        <f ca="1"/>
        <v>1000000</v>
      </c>
      <c r="H21" s="13">
        <f ca="1"/>
        <v>0</v>
      </c>
      <c r="I21" s="32">
        <f ca="1"/>
        <v>1</v>
      </c>
      <c r="J21" s="33">
        <f ca="1"/>
        <v>0.02</v>
      </c>
      <c r="K21" s="18" t="str">
        <f ca="1"/>
        <v/>
      </c>
      <c r="L21" s="18" t="str">
        <f ca="1"/>
        <v/>
      </c>
      <c r="M21" s="18" t="str">
        <f ca="1"/>
        <v/>
      </c>
      <c r="N21" s="14" t="str">
        <f ca="1"/>
        <v/>
      </c>
    </row>
    <row r="22" spans="2:14" x14ac:dyDescent="0.25">
      <c r="B22" s="30">
        <f ca="1"/>
        <v>45792</v>
      </c>
      <c r="C22" s="31">
        <f ca="1"/>
        <v>45978</v>
      </c>
      <c r="D22" s="18">
        <f ca="1"/>
        <v>186</v>
      </c>
      <c r="E22" s="32">
        <f ca="1"/>
        <v>0.5</v>
      </c>
      <c r="F22" s="31">
        <f ca="1"/>
        <v>45976</v>
      </c>
      <c r="G22" s="13">
        <f ca="1"/>
        <v>1000000</v>
      </c>
      <c r="H22" s="13">
        <f ca="1"/>
        <v>0</v>
      </c>
      <c r="I22" s="32">
        <f ca="1"/>
        <v>1</v>
      </c>
      <c r="J22" s="33">
        <f ca="1"/>
        <v>0.02</v>
      </c>
      <c r="K22" s="18" t="str">
        <f ca="1"/>
        <v/>
      </c>
      <c r="L22" s="18" t="str">
        <f ca="1"/>
        <v/>
      </c>
      <c r="M22" s="18" t="str">
        <f ca="1"/>
        <v/>
      </c>
      <c r="N22" s="14" t="str">
        <f ca="1"/>
        <v/>
      </c>
    </row>
    <row r="23" spans="2:14" x14ac:dyDescent="0.25">
      <c r="B23" s="30">
        <f ca="1"/>
        <v>45978</v>
      </c>
      <c r="C23" s="31">
        <f ca="1"/>
        <v>46157</v>
      </c>
      <c r="D23" s="18">
        <f ca="1"/>
        <v>179</v>
      </c>
      <c r="E23" s="32">
        <f ca="1"/>
        <v>0.5</v>
      </c>
      <c r="F23" s="31">
        <f ca="1"/>
        <v>46157</v>
      </c>
      <c r="G23" s="13">
        <f ca="1"/>
        <v>1000000</v>
      </c>
      <c r="H23" s="13">
        <f ca="1"/>
        <v>0</v>
      </c>
      <c r="I23" s="32">
        <f ca="1"/>
        <v>1</v>
      </c>
      <c r="J23" s="33">
        <f ca="1"/>
        <v>0.02</v>
      </c>
      <c r="K23" s="18" t="str">
        <f ca="1"/>
        <v/>
      </c>
      <c r="L23" s="18" t="str">
        <f ca="1"/>
        <v/>
      </c>
      <c r="M23" s="18" t="str">
        <f ca="1"/>
        <v/>
      </c>
      <c r="N23" s="14" t="str">
        <f ca="1"/>
        <v/>
      </c>
    </row>
    <row r="24" spans="2:14" x14ac:dyDescent="0.25">
      <c r="B24" s="30">
        <f ca="1"/>
        <v>46157</v>
      </c>
      <c r="C24" s="31">
        <f ca="1"/>
        <v>46342</v>
      </c>
      <c r="D24" s="18">
        <f ca="1"/>
        <v>185</v>
      </c>
      <c r="E24" s="32">
        <f ca="1"/>
        <v>0.5</v>
      </c>
      <c r="F24" s="31">
        <f ca="1"/>
        <v>46341</v>
      </c>
      <c r="G24" s="13">
        <f ca="1"/>
        <v>1000000</v>
      </c>
      <c r="H24" s="13">
        <f ca="1"/>
        <v>1000000</v>
      </c>
      <c r="I24" s="32">
        <f ca="1"/>
        <v>1</v>
      </c>
      <c r="J24" s="33">
        <f ca="1"/>
        <v>0.02</v>
      </c>
      <c r="K24" s="18" t="str">
        <f ca="1"/>
        <v/>
      </c>
      <c r="L24" s="18" t="str">
        <f ca="1"/>
        <v/>
      </c>
      <c r="M24" s="18" t="str">
        <f ca="1"/>
        <v/>
      </c>
      <c r="N24" s="14" t="str">
        <f ca="1"/>
        <v/>
      </c>
    </row>
    <row r="25" spans="2:14" x14ac:dyDescent="0.25">
      <c r="B25" s="30" t="str">
        <f ca="1"/>
        <v/>
      </c>
      <c r="C25" s="31" t="str">
        <f ca="1"/>
        <v/>
      </c>
      <c r="D25" s="18" t="str">
        <f ca="1"/>
        <v/>
      </c>
      <c r="E25" s="32" t="str">
        <f ca="1"/>
        <v/>
      </c>
      <c r="F25" s="31" t="str">
        <f ca="1"/>
        <v/>
      </c>
      <c r="G25" s="13" t="str">
        <f ca="1"/>
        <v/>
      </c>
      <c r="H25" s="13" t="str">
        <f ca="1"/>
        <v/>
      </c>
      <c r="I25" s="32" t="str">
        <f ca="1"/>
        <v/>
      </c>
      <c r="J25" s="33" t="str">
        <f ca="1"/>
        <v/>
      </c>
      <c r="K25" s="18" t="str">
        <f ca="1"/>
        <v/>
      </c>
      <c r="L25" s="18" t="str">
        <f ca="1"/>
        <v/>
      </c>
      <c r="M25" s="18" t="str">
        <f ca="1"/>
        <v/>
      </c>
      <c r="N25" s="14" t="str">
        <f ca="1"/>
        <v/>
      </c>
    </row>
    <row r="26" spans="2:14" x14ac:dyDescent="0.25">
      <c r="B26" s="30" t="str">
        <f ca="1"/>
        <v/>
      </c>
      <c r="C26" s="31" t="str">
        <f ca="1"/>
        <v/>
      </c>
      <c r="D26" s="18" t="str">
        <f ca="1"/>
        <v/>
      </c>
      <c r="E26" s="32" t="str">
        <f ca="1"/>
        <v/>
      </c>
      <c r="F26" s="31" t="str">
        <f ca="1"/>
        <v/>
      </c>
      <c r="G26" s="13" t="str">
        <f ca="1"/>
        <v/>
      </c>
      <c r="H26" s="13" t="str">
        <f ca="1"/>
        <v/>
      </c>
      <c r="I26" s="32" t="str">
        <f ca="1"/>
        <v/>
      </c>
      <c r="J26" s="33" t="str">
        <f ca="1"/>
        <v/>
      </c>
      <c r="K26" s="18" t="str">
        <f ca="1"/>
        <v/>
      </c>
      <c r="L26" s="18" t="str">
        <f ca="1"/>
        <v/>
      </c>
      <c r="M26" s="18" t="str">
        <f ca="1"/>
        <v/>
      </c>
      <c r="N26" s="14" t="str">
        <f ca="1"/>
        <v/>
      </c>
    </row>
    <row r="27" spans="2:14" x14ac:dyDescent="0.25">
      <c r="B27" s="30" t="str">
        <f ca="1"/>
        <v/>
      </c>
      <c r="C27" s="31" t="str">
        <f ca="1"/>
        <v/>
      </c>
      <c r="D27" s="18" t="str">
        <f ca="1"/>
        <v/>
      </c>
      <c r="E27" s="32" t="str">
        <f ca="1"/>
        <v/>
      </c>
      <c r="F27" s="31" t="str">
        <f ca="1"/>
        <v/>
      </c>
      <c r="G27" s="13" t="str">
        <f ca="1"/>
        <v/>
      </c>
      <c r="H27" s="13" t="str">
        <f ca="1"/>
        <v/>
      </c>
      <c r="I27" s="32" t="str">
        <f ca="1"/>
        <v/>
      </c>
      <c r="J27" s="33" t="str">
        <f ca="1"/>
        <v/>
      </c>
      <c r="K27" s="18" t="str">
        <f ca="1"/>
        <v/>
      </c>
      <c r="L27" s="18" t="str">
        <f ca="1"/>
        <v/>
      </c>
      <c r="M27" s="18" t="str">
        <f ca="1"/>
        <v/>
      </c>
      <c r="N27" s="14" t="str">
        <f ca="1"/>
        <v/>
      </c>
    </row>
    <row r="28" spans="2:14" x14ac:dyDescent="0.25">
      <c r="B28" s="30"/>
      <c r="C28" s="31"/>
      <c r="D28" s="18"/>
      <c r="E28" s="32"/>
      <c r="F28" s="31"/>
      <c r="G28" s="13"/>
      <c r="H28" s="13"/>
      <c r="I28" s="32"/>
      <c r="J28" s="33"/>
      <c r="K28" s="18"/>
      <c r="L28" s="18"/>
      <c r="M28" s="18"/>
      <c r="N28" s="14"/>
    </row>
    <row r="29" spans="2:14" x14ac:dyDescent="0.25">
      <c r="B29" s="30"/>
      <c r="C29" s="31"/>
      <c r="D29" s="18"/>
      <c r="E29" s="32"/>
      <c r="F29" s="31"/>
      <c r="G29" s="13"/>
      <c r="H29" s="13"/>
      <c r="I29" s="32"/>
      <c r="J29" s="33"/>
      <c r="K29" s="18"/>
      <c r="L29" s="18"/>
      <c r="M29" s="18"/>
      <c r="N29" s="14"/>
    </row>
    <row r="30" spans="2:14" x14ac:dyDescent="0.25">
      <c r="B30" s="34"/>
      <c r="C30" s="35"/>
      <c r="D30" s="19"/>
      <c r="E30" s="36"/>
      <c r="F30" s="35"/>
      <c r="G30" s="15"/>
      <c r="H30" s="15"/>
      <c r="I30" s="36"/>
      <c r="J30" s="37"/>
      <c r="K30" s="19"/>
      <c r="L30" s="19"/>
      <c r="M30" s="19"/>
      <c r="N30" s="16"/>
    </row>
    <row r="46" spans="1:1" x14ac:dyDescent="0.25">
      <c r="A46" s="2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68"/>
  <sheetViews>
    <sheetView showGridLines="0" workbookViewId="0">
      <selection activeCell="S37" sqref="S37"/>
    </sheetView>
  </sheetViews>
  <sheetFormatPr defaultRowHeight="15" x14ac:dyDescent="0.25"/>
  <cols>
    <col min="2" max="2" width="18.5703125" customWidth="1"/>
    <col min="3" max="3" width="19" bestFit="1" customWidth="1"/>
    <col min="4" max="4" width="11.7109375" bestFit="1" customWidth="1"/>
    <col min="5" max="5" width="19.7109375" bestFit="1" customWidth="1"/>
    <col min="6" max="7" width="15.42578125" bestFit="1" customWidth="1"/>
    <col min="8" max="9" width="19.5703125" bestFit="1" customWidth="1"/>
    <col min="10" max="10" width="15.42578125" bestFit="1" customWidth="1"/>
    <col min="11" max="11" width="9.85546875" bestFit="1" customWidth="1"/>
    <col min="12" max="12" width="14.28515625" bestFit="1" customWidth="1"/>
    <col min="13" max="13" width="10.7109375" customWidth="1"/>
    <col min="14" max="15" width="9.140625" customWidth="1"/>
    <col min="16" max="16" width="17.5703125" bestFit="1" customWidth="1"/>
    <col min="17" max="17" width="11.7109375" bestFit="1" customWidth="1"/>
    <col min="18" max="18" width="9.5703125" bestFit="1" customWidth="1"/>
    <col min="20" max="20" width="13.7109375" bestFit="1" customWidth="1"/>
  </cols>
  <sheetData>
    <row r="2" spans="1:20" x14ac:dyDescent="0.25">
      <c r="B2" s="1" t="s">
        <v>44</v>
      </c>
    </row>
    <row r="3" spans="1:20" x14ac:dyDescent="0.25">
      <c r="B3" s="3" t="s">
        <v>47</v>
      </c>
      <c r="C3" s="10">
        <v>42787</v>
      </c>
    </row>
    <row r="4" spans="1:20" x14ac:dyDescent="0.25">
      <c r="B4" s="21" t="s">
        <v>48</v>
      </c>
      <c r="C4" s="57">
        <v>2.4330000000000001E-2</v>
      </c>
      <c r="Q4" s="54"/>
      <c r="T4" s="58"/>
    </row>
    <row r="5" spans="1:20" x14ac:dyDescent="0.25">
      <c r="Q5" s="54"/>
      <c r="T5" s="58"/>
    </row>
    <row r="6" spans="1:20" x14ac:dyDescent="0.25">
      <c r="P6" s="20" t="s">
        <v>56</v>
      </c>
      <c r="Q6" s="20"/>
      <c r="R6" s="20"/>
      <c r="T6" s="58"/>
    </row>
    <row r="7" spans="1:20" x14ac:dyDescent="0.25">
      <c r="B7" s="45" t="str">
        <f t="array" aca="1" ref="B7:N32" ca="1">_xll.meUtilityResize(_xll.meLWOBondDisplayCashflows(BondObjectHandle,$C$3,$C$4,TRUE),50,50)</f>
        <v>AccrualStart</v>
      </c>
      <c r="C7" s="46" t="str">
        <f ca="1"/>
        <v>AccrualEnd</v>
      </c>
      <c r="D7" s="11" t="str">
        <f ca="1"/>
        <v>AccrualDays</v>
      </c>
      <c r="E7" s="44" t="str">
        <f ca="1"/>
        <v>AccrualYearFractions</v>
      </c>
      <c r="F7" s="46" t="str">
        <f ca="1"/>
        <v>PaymentDate</v>
      </c>
      <c r="G7" s="47" t="str">
        <f ca="1"/>
        <v>Notional</v>
      </c>
      <c r="H7" s="44" t="str">
        <f ca="1"/>
        <v>NotionalExchange</v>
      </c>
      <c r="I7" s="44" t="str">
        <f ca="1"/>
        <v>Leverage</v>
      </c>
      <c r="J7" s="48" t="str">
        <f ca="1"/>
        <v>FixedRate</v>
      </c>
      <c r="K7" s="47" t="str">
        <f ca="1"/>
        <v>Coupon</v>
      </c>
      <c r="L7" s="51" t="str">
        <f ca="1"/>
        <v>DiscountFactor</v>
      </c>
      <c r="M7" s="47" t="str">
        <f ca="1"/>
        <v>CouponPV</v>
      </c>
      <c r="N7" s="49" t="str">
        <f ca="1"/>
        <v/>
      </c>
      <c r="P7" s="60" t="s">
        <v>49</v>
      </c>
      <c r="Q7" s="61">
        <f ca="1">Q9-Q8</f>
        <v>3.0863415645399073E-7</v>
      </c>
      <c r="R7" s="60"/>
      <c r="T7" s="58"/>
    </row>
    <row r="8" spans="1:20" x14ac:dyDescent="0.25">
      <c r="B8" s="30" t="str">
        <f ca="1"/>
        <v/>
      </c>
      <c r="C8" s="31" t="str">
        <f ca="1"/>
        <v/>
      </c>
      <c r="D8" s="18" t="str">
        <f ca="1"/>
        <v/>
      </c>
      <c r="E8" s="32" t="str">
        <f ca="1"/>
        <v/>
      </c>
      <c r="F8" s="31">
        <f ca="1"/>
        <v>42689</v>
      </c>
      <c r="G8" s="13" t="str">
        <f ca="1"/>
        <v/>
      </c>
      <c r="H8" s="32">
        <f ca="1"/>
        <v>-1000000</v>
      </c>
      <c r="I8" s="32">
        <f ca="1"/>
        <v>1</v>
      </c>
      <c r="J8" s="33" t="str">
        <f ca="1"/>
        <v/>
      </c>
      <c r="K8" s="13">
        <f ca="1"/>
        <v>-1000000</v>
      </c>
      <c r="L8" s="52">
        <f ca="1"/>
        <v>0</v>
      </c>
      <c r="M8" s="13">
        <f ca="1"/>
        <v>0</v>
      </c>
      <c r="N8" s="40" t="str">
        <f ca="1"/>
        <v/>
      </c>
      <c r="P8" t="s">
        <v>53</v>
      </c>
      <c r="Q8" s="59">
        <v>96.808721000000006</v>
      </c>
      <c r="T8" s="58"/>
    </row>
    <row r="9" spans="1:20" x14ac:dyDescent="0.25">
      <c r="B9" s="30">
        <f ca="1"/>
        <v>42689</v>
      </c>
      <c r="C9" s="31">
        <f ca="1"/>
        <v>42870</v>
      </c>
      <c r="D9" s="18">
        <f ca="1"/>
        <v>181</v>
      </c>
      <c r="E9" s="32">
        <f ca="1"/>
        <v>0.5</v>
      </c>
      <c r="F9" s="31">
        <f ca="1"/>
        <v>42870</v>
      </c>
      <c r="G9" s="13">
        <f ca="1"/>
        <v>1000000</v>
      </c>
      <c r="H9" s="32">
        <f ca="1"/>
        <v>0</v>
      </c>
      <c r="I9" s="32">
        <f ca="1"/>
        <v>1</v>
      </c>
      <c r="J9" s="33">
        <f ca="1"/>
        <v>0.02</v>
      </c>
      <c r="K9" s="13">
        <f ca="1"/>
        <v>10000</v>
      </c>
      <c r="L9" s="52">
        <f ca="1"/>
        <v>0.99447057651605997</v>
      </c>
      <c r="M9" s="13">
        <f ca="1"/>
        <v>9944.7057651605992</v>
      </c>
      <c r="N9" s="40" t="str">
        <f ca="1"/>
        <v/>
      </c>
      <c r="P9" t="s">
        <v>52</v>
      </c>
      <c r="Q9" s="61">
        <f ca="1">SUM(M8:M28)/1000000*100</f>
        <v>96.808721308634162</v>
      </c>
      <c r="T9" s="58"/>
    </row>
    <row r="10" spans="1:20" x14ac:dyDescent="0.25">
      <c r="B10" s="30">
        <f ca="1"/>
        <v>42870</v>
      </c>
      <c r="C10" s="31">
        <f ca="1"/>
        <v>43054</v>
      </c>
      <c r="D10" s="18">
        <f ca="1"/>
        <v>184</v>
      </c>
      <c r="E10" s="32">
        <f ca="1"/>
        <v>0.5</v>
      </c>
      <c r="F10" s="31">
        <f ca="1"/>
        <v>43054</v>
      </c>
      <c r="G10" s="13">
        <f ca="1"/>
        <v>1000000</v>
      </c>
      <c r="H10" s="32">
        <f ca="1"/>
        <v>0</v>
      </c>
      <c r="I10" s="32">
        <f ca="1"/>
        <v>1</v>
      </c>
      <c r="J10" s="33">
        <f ca="1"/>
        <v>0.02</v>
      </c>
      <c r="K10" s="13">
        <f ca="1"/>
        <v>10000</v>
      </c>
      <c r="L10" s="52">
        <f ca="1"/>
        <v>0.982518242100902</v>
      </c>
      <c r="M10" s="13">
        <f ca="1"/>
        <v>9825.1824210090199</v>
      </c>
      <c r="N10" s="40" t="str">
        <f ca="1"/>
        <v/>
      </c>
      <c r="Q10" s="54"/>
      <c r="T10" s="58"/>
    </row>
    <row r="11" spans="1:20" x14ac:dyDescent="0.25">
      <c r="B11" s="30">
        <f ca="1"/>
        <v>43054</v>
      </c>
      <c r="C11" s="31">
        <f ca="1"/>
        <v>43235</v>
      </c>
      <c r="D11" s="18">
        <f ca="1"/>
        <v>181</v>
      </c>
      <c r="E11" s="32">
        <f ca="1"/>
        <v>0.5</v>
      </c>
      <c r="F11" s="31">
        <f ca="1"/>
        <v>43235</v>
      </c>
      <c r="G11" s="13">
        <f ca="1"/>
        <v>1000000</v>
      </c>
      <c r="H11" s="32">
        <f ca="1"/>
        <v>0</v>
      </c>
      <c r="I11" s="32">
        <f ca="1"/>
        <v>1</v>
      </c>
      <c r="J11" s="33">
        <f ca="1"/>
        <v>0.02</v>
      </c>
      <c r="K11" s="13">
        <f ca="1"/>
        <v>10000</v>
      </c>
      <c r="L11" s="52">
        <f ca="1"/>
        <v>0.970709560299854</v>
      </c>
      <c r="M11" s="13">
        <f ca="1"/>
        <v>9707.0956029985391</v>
      </c>
      <c r="N11" s="40" t="str">
        <f ca="1"/>
        <v/>
      </c>
      <c r="P11" s="1" t="s">
        <v>65</v>
      </c>
      <c r="Q11" s="54"/>
      <c r="T11" s="58"/>
    </row>
    <row r="12" spans="1:20" x14ac:dyDescent="0.25">
      <c r="B12" s="30">
        <f ca="1"/>
        <v>43235</v>
      </c>
      <c r="C12" s="31">
        <f ca="1"/>
        <v>43419</v>
      </c>
      <c r="D12" s="18">
        <f ca="1"/>
        <v>184</v>
      </c>
      <c r="E12" s="32">
        <f ca="1"/>
        <v>0.5</v>
      </c>
      <c r="F12" s="31">
        <f ca="1"/>
        <v>43419</v>
      </c>
      <c r="G12" s="13">
        <f ca="1"/>
        <v>1000000</v>
      </c>
      <c r="H12" s="32">
        <f ca="1"/>
        <v>0</v>
      </c>
      <c r="I12" s="32">
        <f ca="1"/>
        <v>1</v>
      </c>
      <c r="J12" s="33">
        <f ca="1"/>
        <v>0.02</v>
      </c>
      <c r="K12" s="13">
        <f ca="1"/>
        <v>10000</v>
      </c>
      <c r="L12" s="52">
        <f ca="1"/>
        <v>0.959042804582113</v>
      </c>
      <c r="M12" s="13">
        <f ca="1"/>
        <v>9590.4280458211306</v>
      </c>
      <c r="N12" s="40" t="str">
        <f ca="1"/>
        <v/>
      </c>
      <c r="P12" t="s">
        <v>59</v>
      </c>
      <c r="Q12" s="62">
        <f ca="1">_xll.meLWOBondDirtyPrice(BondObjectHandle,$C$3,$C$4)</f>
        <v>96.808721308634176</v>
      </c>
      <c r="T12" s="58"/>
    </row>
    <row r="13" spans="1:20" x14ac:dyDescent="0.25">
      <c r="B13" s="30">
        <f ca="1"/>
        <v>43419</v>
      </c>
      <c r="C13" s="31">
        <f ca="1"/>
        <v>43600</v>
      </c>
      <c r="D13" s="18">
        <f ca="1"/>
        <v>181</v>
      </c>
      <c r="E13" s="32">
        <f ca="1"/>
        <v>0.5</v>
      </c>
      <c r="F13" s="31">
        <f ca="1"/>
        <v>43600</v>
      </c>
      <c r="G13" s="13">
        <f ca="1"/>
        <v>1000000</v>
      </c>
      <c r="H13" s="32">
        <f ca="1"/>
        <v>0</v>
      </c>
      <c r="I13" s="32">
        <f ca="1"/>
        <v>1</v>
      </c>
      <c r="J13" s="33">
        <f ca="1"/>
        <v>0.02</v>
      </c>
      <c r="K13" s="13">
        <f ca="1"/>
        <v>10000</v>
      </c>
      <c r="L13" s="52">
        <f ca="1"/>
        <v>0.94751626916768805</v>
      </c>
      <c r="M13" s="13">
        <f ca="1"/>
        <v>9475.1626916768801</v>
      </c>
      <c r="N13" s="40" t="str">
        <f ca="1"/>
        <v/>
      </c>
      <c r="P13" t="s">
        <v>60</v>
      </c>
      <c r="Q13" s="55">
        <f ca="1">_xll.meLWOBondAccruedInterestDays(BondObjectHandle,$C$3)</f>
        <v>98</v>
      </c>
      <c r="T13" s="58"/>
    </row>
    <row r="14" spans="1:20" x14ac:dyDescent="0.25">
      <c r="B14" s="30">
        <f ca="1"/>
        <v>43600</v>
      </c>
      <c r="C14" s="31">
        <f ca="1"/>
        <v>43784</v>
      </c>
      <c r="D14" s="18">
        <f ca="1"/>
        <v>184</v>
      </c>
      <c r="E14" s="32">
        <f ca="1"/>
        <v>0.5</v>
      </c>
      <c r="F14" s="31">
        <f ca="1"/>
        <v>43784</v>
      </c>
      <c r="G14" s="13">
        <f ca="1"/>
        <v>1000000</v>
      </c>
      <c r="H14" s="32">
        <f ca="1"/>
        <v>0</v>
      </c>
      <c r="I14" s="32">
        <f ca="1"/>
        <v>1</v>
      </c>
      <c r="J14" s="33">
        <f ca="1"/>
        <v>0.02</v>
      </c>
      <c r="K14" s="13">
        <f ca="1"/>
        <v>10000</v>
      </c>
      <c r="L14" s="52">
        <f ca="1"/>
        <v>0.93612826877800304</v>
      </c>
      <c r="M14" s="13">
        <f ca="1"/>
        <v>9361.2826877800308</v>
      </c>
      <c r="N14" s="40" t="str">
        <f ca="1"/>
        <v/>
      </c>
      <c r="P14" t="s">
        <v>61</v>
      </c>
      <c r="Q14" s="82">
        <f ca="1">_xll.meLWOBondAccruedInterest(BondObjectHandle,$C$3)</f>
        <v>5414.3646408839777</v>
      </c>
      <c r="T14" s="58"/>
    </row>
    <row r="15" spans="1:20" x14ac:dyDescent="0.25">
      <c r="A15" s="28"/>
      <c r="B15" s="30">
        <f ca="1"/>
        <v>43784</v>
      </c>
      <c r="C15" s="31">
        <f ca="1"/>
        <v>43966</v>
      </c>
      <c r="D15" s="18">
        <f ca="1"/>
        <v>182</v>
      </c>
      <c r="E15" s="32">
        <f ca="1"/>
        <v>0.5</v>
      </c>
      <c r="F15" s="31">
        <f ca="1"/>
        <v>43966</v>
      </c>
      <c r="G15" s="13">
        <f ca="1"/>
        <v>1000000</v>
      </c>
      <c r="H15" s="32">
        <f ca="1"/>
        <v>0</v>
      </c>
      <c r="I15" s="32">
        <f ca="1"/>
        <v>1</v>
      </c>
      <c r="J15" s="33">
        <f ca="1"/>
        <v>0.02</v>
      </c>
      <c r="K15" s="13">
        <f ca="1"/>
        <v>10000</v>
      </c>
      <c r="L15" s="52">
        <f ca="1"/>
        <v>0.92487713838949503</v>
      </c>
      <c r="M15" s="13">
        <f ca="1"/>
        <v>9248.7713838949494</v>
      </c>
      <c r="N15" s="40" t="str">
        <f ca="1"/>
        <v/>
      </c>
      <c r="P15" t="s">
        <v>62</v>
      </c>
      <c r="Q15" s="59">
        <f ca="1">_xll.meLWOBondCleanPrice(BondObjectHandle,$C$3,C4)</f>
        <v>96.267284844545784</v>
      </c>
      <c r="T15" s="58"/>
    </row>
    <row r="16" spans="1:20" x14ac:dyDescent="0.25">
      <c r="B16" s="30">
        <f ca="1"/>
        <v>43966</v>
      </c>
      <c r="C16" s="31">
        <f ca="1"/>
        <v>44151</v>
      </c>
      <c r="D16" s="18">
        <f ca="1"/>
        <v>185</v>
      </c>
      <c r="E16" s="32">
        <f ca="1"/>
        <v>0.5</v>
      </c>
      <c r="F16" s="31">
        <f ca="1"/>
        <v>44150</v>
      </c>
      <c r="G16" s="13">
        <f ca="1"/>
        <v>1000000</v>
      </c>
      <c r="H16" s="32">
        <f ca="1"/>
        <v>0</v>
      </c>
      <c r="I16" s="32">
        <f ca="1"/>
        <v>1</v>
      </c>
      <c r="J16" s="33">
        <f ca="1"/>
        <v>0.02</v>
      </c>
      <c r="K16" s="13">
        <f ca="1"/>
        <v>10000</v>
      </c>
      <c r="L16" s="52">
        <f ca="1"/>
        <v>0.91376123299016998</v>
      </c>
      <c r="M16" s="13">
        <f ca="1"/>
        <v>9137.6123299016999</v>
      </c>
      <c r="N16" s="40" t="str">
        <f ca="1"/>
        <v/>
      </c>
      <c r="Q16" s="54"/>
      <c r="T16" s="58"/>
    </row>
    <row r="17" spans="1:20" x14ac:dyDescent="0.25">
      <c r="B17" s="30">
        <f ca="1"/>
        <v>44151</v>
      </c>
      <c r="C17" s="31">
        <f ca="1"/>
        <v>44333</v>
      </c>
      <c r="D17" s="18">
        <f ca="1"/>
        <v>182</v>
      </c>
      <c r="E17" s="32">
        <f ca="1"/>
        <v>0.5</v>
      </c>
      <c r="F17" s="31">
        <f ca="1"/>
        <v>44331</v>
      </c>
      <c r="G17" s="13">
        <f ca="1"/>
        <v>1000000</v>
      </c>
      <c r="H17" s="32">
        <f ca="1"/>
        <v>0</v>
      </c>
      <c r="I17" s="32">
        <f ca="1"/>
        <v>1</v>
      </c>
      <c r="J17" s="33">
        <f ca="1"/>
        <v>0.02</v>
      </c>
      <c r="K17" s="13">
        <f ca="1"/>
        <v>10000</v>
      </c>
      <c r="L17" s="52">
        <f ca="1"/>
        <v>0.90277892733909004</v>
      </c>
      <c r="M17" s="13">
        <f ca="1"/>
        <v>9027.7892733908993</v>
      </c>
      <c r="N17" s="40" t="str">
        <f ca="1"/>
        <v/>
      </c>
      <c r="Q17" s="78"/>
      <c r="T17" s="58"/>
    </row>
    <row r="18" spans="1:20" x14ac:dyDescent="0.25">
      <c r="B18" s="30">
        <f ca="1"/>
        <v>44333</v>
      </c>
      <c r="C18" s="31">
        <f ca="1"/>
        <v>44515</v>
      </c>
      <c r="D18" s="18">
        <f ca="1"/>
        <v>182</v>
      </c>
      <c r="E18" s="32">
        <f ca="1"/>
        <v>0.5</v>
      </c>
      <c r="F18" s="31">
        <f ca="1"/>
        <v>44515</v>
      </c>
      <c r="G18" s="13">
        <f ca="1"/>
        <v>1000000</v>
      </c>
      <c r="H18" s="32">
        <f ca="1"/>
        <v>0</v>
      </c>
      <c r="I18" s="32">
        <f ca="1"/>
        <v>1</v>
      </c>
      <c r="J18" s="33">
        <f ca="1"/>
        <v>0.02</v>
      </c>
      <c r="K18" s="13">
        <f ca="1"/>
        <v>10000</v>
      </c>
      <c r="L18" s="52">
        <f ca="1"/>
        <v>0.89192861572874904</v>
      </c>
      <c r="M18" s="13">
        <f ca="1"/>
        <v>8919.2861572875008</v>
      </c>
      <c r="N18" s="40" t="str">
        <f ca="1"/>
        <v/>
      </c>
      <c r="T18" s="58"/>
    </row>
    <row r="19" spans="1:20" x14ac:dyDescent="0.25">
      <c r="B19" s="30">
        <f ca="1"/>
        <v>44515</v>
      </c>
      <c r="C19" s="31">
        <f ca="1"/>
        <v>44697</v>
      </c>
      <c r="D19" s="18">
        <f ca="1"/>
        <v>182</v>
      </c>
      <c r="E19" s="32">
        <f ca="1"/>
        <v>0.5</v>
      </c>
      <c r="F19" s="31">
        <f ca="1"/>
        <v>44696</v>
      </c>
      <c r="G19" s="13">
        <f ca="1"/>
        <v>1000000</v>
      </c>
      <c r="H19" s="32">
        <f ca="1"/>
        <v>0</v>
      </c>
      <c r="I19" s="32">
        <f ca="1"/>
        <v>1</v>
      </c>
      <c r="J19" s="33">
        <f ca="1"/>
        <v>0.02</v>
      </c>
      <c r="K19" s="13">
        <f ca="1"/>
        <v>10000</v>
      </c>
      <c r="L19" s="52">
        <f ca="1"/>
        <v>0.88120871175030702</v>
      </c>
      <c r="M19" s="13">
        <f ca="1"/>
        <v>8812.0871175030697</v>
      </c>
      <c r="N19" s="40" t="str">
        <f ca="1"/>
        <v/>
      </c>
      <c r="Q19" s="54"/>
      <c r="T19" s="58"/>
    </row>
    <row r="20" spans="1:20" x14ac:dyDescent="0.25">
      <c r="B20" s="30">
        <f ca="1"/>
        <v>44697</v>
      </c>
      <c r="C20" s="31">
        <f ca="1"/>
        <v>44880</v>
      </c>
      <c r="D20" s="18">
        <f ca="1"/>
        <v>183</v>
      </c>
      <c r="E20" s="32">
        <f ca="1"/>
        <v>0.5</v>
      </c>
      <c r="F20" s="31">
        <f ca="1"/>
        <v>44880</v>
      </c>
      <c r="G20" s="13">
        <f ca="1"/>
        <v>1000000</v>
      </c>
      <c r="H20" s="32">
        <f ca="1"/>
        <v>0</v>
      </c>
      <c r="I20" s="32">
        <f ca="1"/>
        <v>1</v>
      </c>
      <c r="J20" s="33">
        <f ca="1"/>
        <v>0.02</v>
      </c>
      <c r="K20" s="13">
        <f ca="1"/>
        <v>10000</v>
      </c>
      <c r="L20" s="52">
        <f ca="1"/>
        <v>0.870617648061637</v>
      </c>
      <c r="M20" s="13">
        <f ca="1"/>
        <v>8706.1764806163701</v>
      </c>
      <c r="N20" s="40" t="str">
        <f ca="1"/>
        <v/>
      </c>
      <c r="T20" s="58"/>
    </row>
    <row r="21" spans="1:20" x14ac:dyDescent="0.25">
      <c r="B21" s="30">
        <f ca="1"/>
        <v>44880</v>
      </c>
      <c r="C21" s="31">
        <f ca="1"/>
        <v>45061</v>
      </c>
      <c r="D21" s="18">
        <f ca="1"/>
        <v>181</v>
      </c>
      <c r="E21" s="32">
        <f ca="1"/>
        <v>0.5</v>
      </c>
      <c r="F21" s="31">
        <f ca="1"/>
        <v>45061</v>
      </c>
      <c r="G21" s="13">
        <f ca="1"/>
        <v>1000000</v>
      </c>
      <c r="H21" s="32">
        <f ca="1"/>
        <v>0</v>
      </c>
      <c r="I21" s="32">
        <f ca="1"/>
        <v>1</v>
      </c>
      <c r="J21" s="33">
        <f ca="1"/>
        <v>0.02</v>
      </c>
      <c r="K21" s="13">
        <f ca="1"/>
        <v>10000</v>
      </c>
      <c r="L21" s="52">
        <f ca="1"/>
        <v>0.86015387615817296</v>
      </c>
      <c r="M21" s="13">
        <f ca="1"/>
        <v>8601.5387615817308</v>
      </c>
      <c r="N21" s="40" t="str">
        <f ca="1"/>
        <v/>
      </c>
      <c r="Q21" s="80"/>
      <c r="T21" s="58"/>
    </row>
    <row r="22" spans="1:20" x14ac:dyDescent="0.25">
      <c r="B22" s="30">
        <f ca="1"/>
        <v>45061</v>
      </c>
      <c r="C22" s="31">
        <f ca="1"/>
        <v>45245</v>
      </c>
      <c r="D22" s="18">
        <f ca="1"/>
        <v>184</v>
      </c>
      <c r="E22" s="32">
        <f ca="1"/>
        <v>0.5</v>
      </c>
      <c r="F22" s="31">
        <f ca="1"/>
        <v>45245</v>
      </c>
      <c r="G22" s="13">
        <f ca="1"/>
        <v>1000000</v>
      </c>
      <c r="H22" s="32">
        <f ca="1"/>
        <v>0</v>
      </c>
      <c r="I22" s="32">
        <f ca="1"/>
        <v>1</v>
      </c>
      <c r="J22" s="33">
        <f ca="1"/>
        <v>0.02</v>
      </c>
      <c r="K22" s="13">
        <f ca="1"/>
        <v>10000</v>
      </c>
      <c r="L22" s="52">
        <f ca="1"/>
        <v>0.84981586614650095</v>
      </c>
      <c r="M22" s="13">
        <f ca="1"/>
        <v>8498.1586614650096</v>
      </c>
      <c r="N22" s="40" t="str">
        <f ca="1"/>
        <v/>
      </c>
      <c r="Q22" s="79"/>
      <c r="T22" s="58"/>
    </row>
    <row r="23" spans="1:20" x14ac:dyDescent="0.25">
      <c r="B23" s="30">
        <f ca="1"/>
        <v>45245</v>
      </c>
      <c r="C23" s="31">
        <f ca="1"/>
        <v>45427</v>
      </c>
      <c r="D23" s="18">
        <f ca="1"/>
        <v>182</v>
      </c>
      <c r="E23" s="32">
        <f ca="1"/>
        <v>0.5</v>
      </c>
      <c r="F23" s="31">
        <f ca="1"/>
        <v>45427</v>
      </c>
      <c r="G23" s="13">
        <f ca="1"/>
        <v>1000000</v>
      </c>
      <c r="H23" s="32">
        <f ca="1"/>
        <v>0</v>
      </c>
      <c r="I23" s="32">
        <f ca="1"/>
        <v>1</v>
      </c>
      <c r="J23" s="33">
        <f ca="1"/>
        <v>0.02</v>
      </c>
      <c r="K23" s="13">
        <f ca="1"/>
        <v>10000</v>
      </c>
      <c r="L23" s="52">
        <f ca="1"/>
        <v>0.83960210652067702</v>
      </c>
      <c r="M23" s="13">
        <f ca="1"/>
        <v>8396.0210652067708</v>
      </c>
      <c r="N23" s="40" t="str">
        <f ca="1"/>
        <v/>
      </c>
      <c r="Q23" s="54"/>
      <c r="R23" s="26"/>
      <c r="T23" s="58"/>
    </row>
    <row r="24" spans="1:20" x14ac:dyDescent="0.25">
      <c r="B24" s="30">
        <f ca="1"/>
        <v>45427</v>
      </c>
      <c r="C24" s="31">
        <f ca="1"/>
        <v>45611</v>
      </c>
      <c r="D24" s="18">
        <f ca="1"/>
        <v>184</v>
      </c>
      <c r="E24" s="32">
        <f ca="1"/>
        <v>0.5</v>
      </c>
      <c r="F24" s="31">
        <f ca="1"/>
        <v>45611</v>
      </c>
      <c r="G24" s="13">
        <f ca="1"/>
        <v>1000000</v>
      </c>
      <c r="H24" s="32">
        <f ca="1"/>
        <v>0</v>
      </c>
      <c r="I24" s="32">
        <f ca="1"/>
        <v>1</v>
      </c>
      <c r="J24" s="33">
        <f ca="1"/>
        <v>0.02</v>
      </c>
      <c r="K24" s="13">
        <f ca="1"/>
        <v>10000</v>
      </c>
      <c r="L24" s="52">
        <f ca="1"/>
        <v>0.82951110394123195</v>
      </c>
      <c r="M24" s="13">
        <f ca="1"/>
        <v>8295.1110394123207</v>
      </c>
      <c r="N24" s="40" t="str">
        <f ca="1"/>
        <v/>
      </c>
      <c r="Q24" s="81"/>
      <c r="R24" s="26"/>
      <c r="T24" s="58"/>
    </row>
    <row r="25" spans="1:20" x14ac:dyDescent="0.25">
      <c r="B25" s="30">
        <f ca="1"/>
        <v>45611</v>
      </c>
      <c r="C25" s="31">
        <f ca="1"/>
        <v>45792</v>
      </c>
      <c r="D25" s="18">
        <f ca="1"/>
        <v>181</v>
      </c>
      <c r="E25" s="32">
        <f ca="1"/>
        <v>0.5</v>
      </c>
      <c r="F25" s="31">
        <f ca="1"/>
        <v>45792</v>
      </c>
      <c r="G25" s="13">
        <f ca="1"/>
        <v>1000000</v>
      </c>
      <c r="H25" s="32">
        <f ca="1"/>
        <v>0</v>
      </c>
      <c r="I25" s="32">
        <f ca="1"/>
        <v>1</v>
      </c>
      <c r="J25" s="33">
        <f ca="1"/>
        <v>0.02</v>
      </c>
      <c r="K25" s="13">
        <f ca="1"/>
        <v>10000</v>
      </c>
      <c r="L25" s="52">
        <f ca="1"/>
        <v>0.81954138301683199</v>
      </c>
      <c r="M25" s="13">
        <f ca="1"/>
        <v>8195.4138301683197</v>
      </c>
      <c r="N25" s="40" t="str">
        <f ca="1"/>
        <v/>
      </c>
      <c r="Q25" s="70"/>
    </row>
    <row r="26" spans="1:20" x14ac:dyDescent="0.25">
      <c r="B26" s="30">
        <f ca="1"/>
        <v>45792</v>
      </c>
      <c r="C26" s="31">
        <f ca="1"/>
        <v>45978</v>
      </c>
      <c r="D26" s="18">
        <f ca="1"/>
        <v>186</v>
      </c>
      <c r="E26" s="32">
        <f ca="1"/>
        <v>0.5</v>
      </c>
      <c r="F26" s="31">
        <f ca="1"/>
        <v>45976</v>
      </c>
      <c r="G26" s="13">
        <f ca="1"/>
        <v>1000000</v>
      </c>
      <c r="H26" s="32">
        <f ca="1"/>
        <v>0</v>
      </c>
      <c r="I26" s="32">
        <f ca="1"/>
        <v>1</v>
      </c>
      <c r="J26" s="33">
        <f ca="1"/>
        <v>0.02</v>
      </c>
      <c r="K26" s="13">
        <f ca="1"/>
        <v>10000</v>
      </c>
      <c r="L26" s="52">
        <f ca="1"/>
        <v>0.80969148608856401</v>
      </c>
      <c r="M26" s="13">
        <f ca="1"/>
        <v>8096.9148608856403</v>
      </c>
      <c r="N26" s="40" t="str">
        <f ca="1"/>
        <v/>
      </c>
    </row>
    <row r="27" spans="1:20" x14ac:dyDescent="0.25">
      <c r="B27" s="30">
        <f ca="1"/>
        <v>45978</v>
      </c>
      <c r="C27" s="31">
        <f ca="1"/>
        <v>46157</v>
      </c>
      <c r="D27" s="18">
        <f ca="1"/>
        <v>179</v>
      </c>
      <c r="E27" s="32">
        <f ca="1"/>
        <v>0.5</v>
      </c>
      <c r="F27" s="31">
        <f ca="1"/>
        <v>46157</v>
      </c>
      <c r="G27" s="13">
        <f ca="1"/>
        <v>1000000</v>
      </c>
      <c r="H27" s="32">
        <f ca="1"/>
        <v>0</v>
      </c>
      <c r="I27" s="32">
        <f ca="1"/>
        <v>1</v>
      </c>
      <c r="J27" s="33">
        <f ca="1"/>
        <v>0.02</v>
      </c>
      <c r="K27" s="13">
        <f ca="1"/>
        <v>10000</v>
      </c>
      <c r="L27" s="52">
        <f ca="1"/>
        <v>0.79995997301681498</v>
      </c>
      <c r="M27" s="13">
        <f ca="1"/>
        <v>7999.59973016815</v>
      </c>
      <c r="N27" s="40" t="str">
        <f ca="1"/>
        <v/>
      </c>
    </row>
    <row r="28" spans="1:20" x14ac:dyDescent="0.25">
      <c r="B28" s="30">
        <f ca="1"/>
        <v>46157</v>
      </c>
      <c r="C28" s="31">
        <f ca="1"/>
        <v>46342</v>
      </c>
      <c r="D28" s="18">
        <f ca="1"/>
        <v>185</v>
      </c>
      <c r="E28" s="32">
        <f ca="1"/>
        <v>0.5</v>
      </c>
      <c r="F28" s="31">
        <f ca="1"/>
        <v>46341</v>
      </c>
      <c r="G28" s="13">
        <f ca="1"/>
        <v>1000000</v>
      </c>
      <c r="H28" s="32">
        <f ca="1"/>
        <v>1000000</v>
      </c>
      <c r="I28" s="32">
        <f ca="1"/>
        <v>1</v>
      </c>
      <c r="J28" s="33">
        <f ca="1"/>
        <v>0.02</v>
      </c>
      <c r="K28" s="13">
        <f ca="1"/>
        <v>1010000</v>
      </c>
      <c r="L28" s="52">
        <f ca="1"/>
        <v>0.79034542097070604</v>
      </c>
      <c r="M28" s="13">
        <f ca="1"/>
        <v>798248.87518041302</v>
      </c>
      <c r="N28" s="40" t="str">
        <f ca="1"/>
        <v/>
      </c>
    </row>
    <row r="29" spans="1:20" x14ac:dyDescent="0.25">
      <c r="B29" s="30" t="str">
        <f ca="1"/>
        <v/>
      </c>
      <c r="C29" s="31" t="str">
        <f ca="1"/>
        <v/>
      </c>
      <c r="D29" s="18" t="str">
        <f ca="1"/>
        <v/>
      </c>
      <c r="E29" s="32" t="str">
        <f ca="1"/>
        <v/>
      </c>
      <c r="F29" s="31" t="str">
        <f ca="1"/>
        <v/>
      </c>
      <c r="G29" s="13" t="str">
        <f ca="1"/>
        <v/>
      </c>
      <c r="H29" s="32" t="str">
        <f ca="1"/>
        <v/>
      </c>
      <c r="I29" s="32" t="str">
        <f ca="1"/>
        <v/>
      </c>
      <c r="J29" s="33" t="str">
        <f ca="1"/>
        <v/>
      </c>
      <c r="K29" s="13" t="str">
        <f ca="1"/>
        <v/>
      </c>
      <c r="L29" s="52" t="str">
        <f ca="1"/>
        <v/>
      </c>
      <c r="M29" s="13" t="str">
        <f ca="1"/>
        <v/>
      </c>
      <c r="N29" s="40" t="str">
        <f ca="1"/>
        <v/>
      </c>
    </row>
    <row r="30" spans="1:20" x14ac:dyDescent="0.25">
      <c r="A30" t="s">
        <v>20</v>
      </c>
      <c r="B30" s="30" t="str">
        <f ca="1"/>
        <v/>
      </c>
      <c r="C30" s="31" t="str">
        <f ca="1"/>
        <v/>
      </c>
      <c r="D30" s="18" t="str">
        <f ca="1"/>
        <v/>
      </c>
      <c r="E30" s="32" t="str">
        <f ca="1"/>
        <v/>
      </c>
      <c r="F30" s="31" t="str">
        <f ca="1"/>
        <v/>
      </c>
      <c r="G30" s="13" t="str">
        <f ca="1"/>
        <v/>
      </c>
      <c r="H30" s="32" t="str">
        <f ca="1"/>
        <v/>
      </c>
      <c r="I30" s="32" t="str">
        <f ca="1"/>
        <v/>
      </c>
      <c r="J30" s="33" t="str">
        <f ca="1"/>
        <v/>
      </c>
      <c r="K30" s="13" t="str">
        <f ca="1"/>
        <v/>
      </c>
      <c r="L30" s="52" t="str">
        <f ca="1"/>
        <v/>
      </c>
      <c r="M30" s="13" t="str">
        <f ca="1"/>
        <v/>
      </c>
      <c r="N30" s="40" t="str">
        <f ca="1"/>
        <v/>
      </c>
    </row>
    <row r="31" spans="1:20" x14ac:dyDescent="0.25">
      <c r="A31" t="s">
        <v>20</v>
      </c>
      <c r="B31" s="30" t="str">
        <f ca="1"/>
        <v/>
      </c>
      <c r="C31" s="31" t="str">
        <f ca="1"/>
        <v/>
      </c>
      <c r="D31" s="18" t="str">
        <f ca="1"/>
        <v/>
      </c>
      <c r="E31" s="32" t="str">
        <f ca="1"/>
        <v/>
      </c>
      <c r="F31" s="31" t="str">
        <f ca="1"/>
        <v/>
      </c>
      <c r="G31" s="13" t="str">
        <f ca="1"/>
        <v/>
      </c>
      <c r="H31" s="32" t="str">
        <f ca="1"/>
        <v/>
      </c>
      <c r="I31" s="32" t="str">
        <f ca="1"/>
        <v/>
      </c>
      <c r="J31" s="33" t="str">
        <f ca="1"/>
        <v/>
      </c>
      <c r="K31" s="13" t="str">
        <f ca="1"/>
        <v/>
      </c>
      <c r="L31" s="52" t="str">
        <f ca="1"/>
        <v/>
      </c>
      <c r="M31" s="13" t="str">
        <f ca="1"/>
        <v/>
      </c>
      <c r="N31" s="40" t="str">
        <f ca="1"/>
        <v/>
      </c>
    </row>
    <row r="32" spans="1:20" x14ac:dyDescent="0.25">
      <c r="A32" t="s">
        <v>20</v>
      </c>
      <c r="B32" s="34" t="str">
        <f ca="1"/>
        <v/>
      </c>
      <c r="C32" s="35" t="str">
        <f ca="1"/>
        <v/>
      </c>
      <c r="D32" s="19" t="str">
        <f ca="1"/>
        <v/>
      </c>
      <c r="E32" s="36" t="str">
        <f ca="1"/>
        <v/>
      </c>
      <c r="F32" s="35" t="str">
        <f ca="1"/>
        <v/>
      </c>
      <c r="G32" s="15" t="str">
        <f ca="1"/>
        <v/>
      </c>
      <c r="H32" s="36" t="str">
        <f ca="1"/>
        <v/>
      </c>
      <c r="I32" s="36" t="str">
        <f ca="1"/>
        <v/>
      </c>
      <c r="J32" s="37" t="str">
        <f ca="1"/>
        <v/>
      </c>
      <c r="K32" s="15" t="str">
        <f ca="1"/>
        <v/>
      </c>
      <c r="L32" s="53" t="str">
        <f ca="1"/>
        <v/>
      </c>
      <c r="M32" s="15" t="str">
        <f ca="1"/>
        <v/>
      </c>
      <c r="N32" s="50" t="str">
        <f ca="1"/>
        <v/>
      </c>
    </row>
    <row r="39" spans="1:12" x14ac:dyDescent="0.25">
      <c r="A39" t="s">
        <v>20</v>
      </c>
      <c r="L39" t="s">
        <v>20</v>
      </c>
    </row>
    <row r="40" spans="1:12" x14ac:dyDescent="0.25">
      <c r="A40" t="s">
        <v>20</v>
      </c>
      <c r="L40" t="s">
        <v>20</v>
      </c>
    </row>
    <row r="41" spans="1:12" x14ac:dyDescent="0.25">
      <c r="A41" t="s">
        <v>20</v>
      </c>
      <c r="L41" t="s">
        <v>20</v>
      </c>
    </row>
    <row r="42" spans="1:12" x14ac:dyDescent="0.25">
      <c r="A42" t="s">
        <v>20</v>
      </c>
      <c r="L42" t="s">
        <v>20</v>
      </c>
    </row>
    <row r="43" spans="1:12" x14ac:dyDescent="0.25">
      <c r="A43" t="s">
        <v>20</v>
      </c>
      <c r="L43" t="s">
        <v>20</v>
      </c>
    </row>
    <row r="44" spans="1:12" x14ac:dyDescent="0.25">
      <c r="A44" t="s">
        <v>20</v>
      </c>
      <c r="L44" t="s">
        <v>20</v>
      </c>
    </row>
    <row r="45" spans="1:12" x14ac:dyDescent="0.25">
      <c r="A45" t="s">
        <v>20</v>
      </c>
      <c r="L45" t="s">
        <v>20</v>
      </c>
    </row>
    <row r="46" spans="1:12" x14ac:dyDescent="0.25">
      <c r="A46" t="s">
        <v>20</v>
      </c>
      <c r="L46" t="s">
        <v>20</v>
      </c>
    </row>
    <row r="47" spans="1:12" x14ac:dyDescent="0.25">
      <c r="A47" t="s">
        <v>20</v>
      </c>
      <c r="L47" t="s">
        <v>20</v>
      </c>
    </row>
    <row r="48" spans="1:12" x14ac:dyDescent="0.25">
      <c r="A48" t="s">
        <v>20</v>
      </c>
      <c r="L48" t="s">
        <v>20</v>
      </c>
    </row>
    <row r="49" spans="1:12" x14ac:dyDescent="0.25">
      <c r="A49" t="s">
        <v>20</v>
      </c>
      <c r="L49" t="s">
        <v>20</v>
      </c>
    </row>
    <row r="50" spans="1:12" x14ac:dyDescent="0.25">
      <c r="A50" t="s">
        <v>20</v>
      </c>
      <c r="L50" t="s">
        <v>20</v>
      </c>
    </row>
    <row r="51" spans="1:12" x14ac:dyDescent="0.25">
      <c r="A51" t="s">
        <v>20</v>
      </c>
      <c r="L51" t="s">
        <v>20</v>
      </c>
    </row>
    <row r="52" spans="1:12" x14ac:dyDescent="0.25">
      <c r="A52" t="s">
        <v>20</v>
      </c>
      <c r="L52" t="s">
        <v>20</v>
      </c>
    </row>
    <row r="53" spans="1:12" x14ac:dyDescent="0.25">
      <c r="A53" t="s">
        <v>20</v>
      </c>
      <c r="L53" t="s">
        <v>20</v>
      </c>
    </row>
    <row r="54" spans="1:12" x14ac:dyDescent="0.25">
      <c r="A54" t="s">
        <v>20</v>
      </c>
      <c r="L54" t="s">
        <v>20</v>
      </c>
    </row>
    <row r="55" spans="1:12" x14ac:dyDescent="0.25">
      <c r="A55" t="s">
        <v>20</v>
      </c>
      <c r="L55" t="s">
        <v>20</v>
      </c>
    </row>
    <row r="56" spans="1:12" x14ac:dyDescent="0.25">
      <c r="A56" t="s">
        <v>20</v>
      </c>
      <c r="L56" t="s">
        <v>20</v>
      </c>
    </row>
    <row r="57" spans="1:12" x14ac:dyDescent="0.25">
      <c r="A57" t="s">
        <v>20</v>
      </c>
      <c r="L57" t="s">
        <v>20</v>
      </c>
    </row>
    <row r="58" spans="1:12" x14ac:dyDescent="0.25">
      <c r="A58" t="s">
        <v>20</v>
      </c>
      <c r="L58" t="s">
        <v>20</v>
      </c>
    </row>
    <row r="59" spans="1:12" x14ac:dyDescent="0.25">
      <c r="A59" t="s">
        <v>20</v>
      </c>
      <c r="L59" t="s">
        <v>20</v>
      </c>
    </row>
    <row r="60" spans="1:12" x14ac:dyDescent="0.25">
      <c r="A60" t="s">
        <v>20</v>
      </c>
      <c r="L60" t="s">
        <v>20</v>
      </c>
    </row>
    <row r="61" spans="1:12" x14ac:dyDescent="0.25">
      <c r="A61" t="s">
        <v>20</v>
      </c>
      <c r="L61" t="s">
        <v>20</v>
      </c>
    </row>
    <row r="62" spans="1:12" x14ac:dyDescent="0.25">
      <c r="A62" t="s">
        <v>20</v>
      </c>
      <c r="L62" t="s">
        <v>20</v>
      </c>
    </row>
    <row r="63" spans="1:12" x14ac:dyDescent="0.25">
      <c r="A63" t="s">
        <v>20</v>
      </c>
      <c r="L63" t="s">
        <v>20</v>
      </c>
    </row>
    <row r="64" spans="1:12" x14ac:dyDescent="0.25">
      <c r="A64" t="s">
        <v>20</v>
      </c>
      <c r="L64" t="s">
        <v>20</v>
      </c>
    </row>
    <row r="65" spans="1:12" x14ac:dyDescent="0.25">
      <c r="A65" t="s">
        <v>20</v>
      </c>
      <c r="L65" t="s">
        <v>20</v>
      </c>
    </row>
    <row r="66" spans="1:12" x14ac:dyDescent="0.25">
      <c r="A66" t="s">
        <v>20</v>
      </c>
      <c r="L66" t="s">
        <v>20</v>
      </c>
    </row>
    <row r="67" spans="1:12" x14ac:dyDescent="0.25">
      <c r="A67" t="s">
        <v>20</v>
      </c>
      <c r="L67" t="s">
        <v>20</v>
      </c>
    </row>
    <row r="68" spans="1:12" x14ac:dyDescent="0.25">
      <c r="A68" t="s">
        <v>20</v>
      </c>
      <c r="L68" t="s">
        <v>20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409"/>
  <sheetViews>
    <sheetView showGridLines="0" workbookViewId="0"/>
  </sheetViews>
  <sheetFormatPr defaultRowHeight="15" x14ac:dyDescent="0.25"/>
  <cols>
    <col min="2" max="2" width="16.42578125" style="71" customWidth="1"/>
    <col min="3" max="7" width="15.7109375" style="26" customWidth="1"/>
    <col min="9" max="9" width="9.5703125" bestFit="1" customWidth="1"/>
    <col min="10" max="10" width="10.42578125" customWidth="1"/>
    <col min="11" max="12" width="10.140625" customWidth="1"/>
    <col min="13" max="13" width="10.5703125" customWidth="1"/>
  </cols>
  <sheetData>
    <row r="2" spans="2:13" x14ac:dyDescent="0.25">
      <c r="B2" s="73" t="s">
        <v>58</v>
      </c>
      <c r="C2" s="74">
        <v>42787</v>
      </c>
    </row>
    <row r="3" spans="2:13" x14ac:dyDescent="0.25">
      <c r="B3" s="73" t="s">
        <v>57</v>
      </c>
      <c r="C3" s="7" t="s">
        <v>66</v>
      </c>
      <c r="G3" s="85"/>
    </row>
    <row r="5" spans="2:13" x14ac:dyDescent="0.25">
      <c r="G5" s="62"/>
      <c r="K5" s="63" t="s">
        <v>72</v>
      </c>
      <c r="L5" s="63" t="s">
        <v>73</v>
      </c>
      <c r="M5" s="86"/>
    </row>
    <row r="6" spans="2:13" x14ac:dyDescent="0.25">
      <c r="B6" s="72" t="s">
        <v>47</v>
      </c>
      <c r="C6" s="63" t="s">
        <v>54</v>
      </c>
      <c r="D6" s="63" t="s">
        <v>55</v>
      </c>
      <c r="E6" s="63" t="s">
        <v>64</v>
      </c>
      <c r="F6" s="63" t="s">
        <v>63</v>
      </c>
      <c r="G6" s="63" t="s">
        <v>54</v>
      </c>
      <c r="H6" s="63" t="s">
        <v>70</v>
      </c>
      <c r="I6" s="63"/>
      <c r="J6" s="63" t="s">
        <v>71</v>
      </c>
      <c r="K6" s="63" t="s">
        <v>71</v>
      </c>
      <c r="L6" s="63" t="s">
        <v>74</v>
      </c>
      <c r="M6" s="63"/>
    </row>
    <row r="7" spans="2:13" x14ac:dyDescent="0.25">
      <c r="B7" s="75">
        <f>PricingStartDate</f>
        <v>42787</v>
      </c>
      <c r="C7" s="76">
        <v>2.4330000000000001E-2</v>
      </c>
      <c r="D7" s="77">
        <f t="array" aca="1" ref="D7:D265" ca="1">_xll.meLWOBondDirtyPrice(BondObjectHandle,B7:B265,C7:C265)</f>
        <v>96.808721308634176</v>
      </c>
      <c r="E7" s="83">
        <f t="array" aca="1" ref="E7:E265" ca="1">_xll.meLWOBondAccruedInterest(BondObjectHandle,B7:B265)</f>
        <v>5414.3646408839777</v>
      </c>
      <c r="F7" s="77">
        <f t="array" aca="1" ref="F7:F265" ca="1">_xll.meLWOBondCleanPrice(BondObjectHandle,B7:B265,C7:C265)</f>
        <v>96.267284844545784</v>
      </c>
      <c r="G7" s="84">
        <f t="array" aca="1" ref="G7:G265" ca="1">_xll.meLWOBondYield(BondObjectHandle,B7:B265,H7:H265)</f>
        <v>2.4330000000011603E-2</v>
      </c>
      <c r="H7">
        <f t="array" aca="1" ref="H7:H265" ca="1">_xll.meLWOBondPrice(BondObjectHandle,B7:B265,C7:C265)</f>
        <v>96.267284844545784</v>
      </c>
      <c r="I7" t="b">
        <f ca="1">F7=H7</f>
        <v>1</v>
      </c>
      <c r="J7" s="60">
        <f t="array" aca="1" ref="J7:J265" ca="1">_xll.meLWOBondDV01(BondObjectHandle,B7:B265,C7:C265)</f>
        <v>843.61981099335094</v>
      </c>
      <c r="K7" s="60">
        <f t="array" aca="1" ref="K7:K265" ca="1">_xll.meLWOBondDV01Numerical(BondObjectHandle,B7:B265,C7:C265,0.01, "CENTRAL")</f>
        <v>843.61981111413786</v>
      </c>
      <c r="L7" s="60">
        <f t="array" aca="1" ref="L7:L265" ca="1">_xll.meLWOBondModifiedDuration(BondObjectHandle,B7:B265,C7:C265)</f>
        <v>8.7142955674811731</v>
      </c>
      <c r="M7" s="60"/>
    </row>
    <row r="8" spans="2:13" x14ac:dyDescent="0.25">
      <c r="B8" s="75">
        <f>_xll.meDateFromTenor(B7,Periodicity,"FOLLOWING","NYB")</f>
        <v>42794</v>
      </c>
      <c r="C8" s="76">
        <v>2.4330000000000001E-2</v>
      </c>
      <c r="D8" s="77">
        <f ca="1"/>
        <v>96.854002652503382</v>
      </c>
      <c r="E8" s="83">
        <f ca="1"/>
        <v>5801.1049723756905</v>
      </c>
      <c r="F8" s="77">
        <f ca="1"/>
        <v>96.273892155265813</v>
      </c>
      <c r="G8" s="84">
        <f ca="1"/>
        <v>2.4330000000011818E-2</v>
      </c>
      <c r="H8">
        <f ca="1"/>
        <v>96.273892155265813</v>
      </c>
      <c r="I8" t="b">
        <f t="shared" ref="I8:I71" ca="1" si="0">F8=H8</f>
        <v>1</v>
      </c>
      <c r="J8" s="60">
        <f ca="1"/>
        <v>842.16404815617489</v>
      </c>
      <c r="K8" s="60">
        <f ca="1"/>
        <v>842.16404827230917</v>
      </c>
      <c r="L8" s="60">
        <f ca="1"/>
        <v>8.695190958475143</v>
      </c>
      <c r="M8" s="60"/>
    </row>
    <row r="9" spans="2:13" x14ac:dyDescent="0.25">
      <c r="B9" s="75">
        <f>_xll.meDateFromTenor(B8,Periodicity,"FOLLOWING","NYB")</f>
        <v>42801</v>
      </c>
      <c r="C9" s="76">
        <v>2.4330000000000001E-2</v>
      </c>
      <c r="D9" s="77">
        <f ca="1"/>
        <v>96.899305176283562</v>
      </c>
      <c r="E9" s="83">
        <f ca="1"/>
        <v>6187.8453038674033</v>
      </c>
      <c r="F9" s="77">
        <f ca="1"/>
        <v>96.280520645896829</v>
      </c>
      <c r="G9" s="84">
        <f ca="1"/>
        <v>2.4330000000011898E-2</v>
      </c>
      <c r="H9">
        <f ca="1"/>
        <v>96.280520645896829</v>
      </c>
      <c r="I9" t="b">
        <f t="shared" ca="1" si="0"/>
        <v>1</v>
      </c>
      <c r="J9" s="60">
        <f ca="1"/>
        <v>840.70673891299589</v>
      </c>
      <c r="K9" s="60">
        <f ca="1"/>
        <v>840.70673904079729</v>
      </c>
      <c r="L9" s="60">
        <f ca="1"/>
        <v>8.6760863494691165</v>
      </c>
      <c r="M9" s="60"/>
    </row>
    <row r="10" spans="2:13" x14ac:dyDescent="0.25">
      <c r="B10" s="75">
        <f>_xll.meDateFromTenor(B9,Periodicity,"FOLLOWING","NYB")</f>
        <v>42808</v>
      </c>
      <c r="C10" s="76">
        <v>2.4330000000000001E-2</v>
      </c>
      <c r="D10" s="77">
        <f ca="1"/>
        <v>96.944628889881486</v>
      </c>
      <c r="E10" s="83">
        <f ca="1"/>
        <v>6574.5856353591162</v>
      </c>
      <c r="F10" s="77">
        <f ca="1"/>
        <v>96.287170326345574</v>
      </c>
      <c r="G10" s="84">
        <f ca="1"/>
        <v>2.4330000000011721E-2</v>
      </c>
      <c r="H10">
        <f ca="1"/>
        <v>96.287170326345574</v>
      </c>
      <c r="I10" t="b">
        <f t="shared" ca="1" si="0"/>
        <v>1</v>
      </c>
      <c r="J10" s="60">
        <f ca="1"/>
        <v>839.24788213567456</v>
      </c>
      <c r="K10" s="60">
        <f ca="1"/>
        <v>839.24788226141789</v>
      </c>
      <c r="L10" s="60">
        <f ca="1"/>
        <v>8.65698174046309</v>
      </c>
      <c r="M10" s="60"/>
    </row>
    <row r="11" spans="2:13" x14ac:dyDescent="0.25">
      <c r="B11" s="75">
        <f>_xll.meDateFromTenor(B10,Periodicity,"FOLLOWING","NYB")</f>
        <v>42815</v>
      </c>
      <c r="C11" s="76">
        <v>2.4330000000000001E-2</v>
      </c>
      <c r="D11" s="77">
        <f ca="1"/>
        <v>96.989973803208443</v>
      </c>
      <c r="E11" s="83">
        <f ca="1"/>
        <v>6961.325966850829</v>
      </c>
      <c r="F11" s="77">
        <f ca="1"/>
        <v>96.293841206523354</v>
      </c>
      <c r="G11" s="84">
        <f ca="1"/>
        <v>2.4330000000011582E-2</v>
      </c>
      <c r="H11">
        <f ca="1"/>
        <v>96.293841206523354</v>
      </c>
      <c r="I11" t="b">
        <f t="shared" ca="1" si="0"/>
        <v>1</v>
      </c>
      <c r="J11" s="60">
        <f ca="1"/>
        <v>837.78747669535369</v>
      </c>
      <c r="K11" s="60">
        <f ca="1"/>
        <v>837.7874768044079</v>
      </c>
      <c r="L11" s="60">
        <f ca="1"/>
        <v>8.6378771314570617</v>
      </c>
      <c r="M11" s="60"/>
    </row>
    <row r="12" spans="2:13" x14ac:dyDescent="0.25">
      <c r="B12" s="75">
        <f>_xll.meDateFromTenor(B11,Periodicity,"FOLLOWING","NYB")</f>
        <v>42822</v>
      </c>
      <c r="C12" s="76">
        <v>2.4330000000000001E-2</v>
      </c>
      <c r="D12" s="77">
        <f ca="1"/>
        <v>97.035339926180413</v>
      </c>
      <c r="E12" s="83">
        <f ca="1"/>
        <v>7348.0662983425418</v>
      </c>
      <c r="F12" s="77">
        <f ca="1"/>
        <v>96.30053329634616</v>
      </c>
      <c r="G12" s="84">
        <f ca="1"/>
        <v>2.4330000000011457E-2</v>
      </c>
      <c r="H12">
        <f ca="1"/>
        <v>96.30053329634616</v>
      </c>
      <c r="I12" t="b">
        <f t="shared" ca="1" si="0"/>
        <v>1</v>
      </c>
      <c r="J12" s="60">
        <f ca="1"/>
        <v>836.32552146245951</v>
      </c>
      <c r="K12" s="60">
        <f ca="1"/>
        <v>836.32552158263707</v>
      </c>
      <c r="L12" s="60">
        <f ca="1"/>
        <v>8.6187725224510334</v>
      </c>
      <c r="M12" s="60"/>
    </row>
    <row r="13" spans="2:13" x14ac:dyDescent="0.25">
      <c r="B13" s="75">
        <f>_xll.meDateFromTenor(B12,Periodicity,"FOLLOWING","NYB")</f>
        <v>42829</v>
      </c>
      <c r="C13" s="76">
        <v>2.4330000000000001E-2</v>
      </c>
      <c r="D13" s="77">
        <f ca="1"/>
        <v>97.080727268717979</v>
      </c>
      <c r="E13" s="83">
        <f ca="1"/>
        <v>7734.8066298342546</v>
      </c>
      <c r="F13" s="77">
        <f ca="1"/>
        <v>96.307246605734548</v>
      </c>
      <c r="G13" s="84">
        <f ca="1"/>
        <v>2.4330000000011707E-2</v>
      </c>
      <c r="H13">
        <f ca="1"/>
        <v>96.307246605734548</v>
      </c>
      <c r="I13" t="b">
        <f t="shared" ca="1" si="0"/>
        <v>1</v>
      </c>
      <c r="J13" s="60">
        <f ca="1"/>
        <v>834.86201530669996</v>
      </c>
      <c r="K13" s="60">
        <f ca="1"/>
        <v>834.86201542370952</v>
      </c>
      <c r="L13" s="60">
        <f ca="1"/>
        <v>8.5996679134450087</v>
      </c>
      <c r="M13" s="60"/>
    </row>
    <row r="14" spans="2:13" x14ac:dyDescent="0.25">
      <c r="B14" s="75">
        <f>_xll.meDateFromTenor(B13,Periodicity,"FOLLOWING","NYB")</f>
        <v>42836</v>
      </c>
      <c r="C14" s="76">
        <v>2.4330000000000001E-2</v>
      </c>
      <c r="D14" s="77">
        <f ca="1"/>
        <v>97.126135840746443</v>
      </c>
      <c r="E14" s="83">
        <f ca="1"/>
        <v>8121.5469613259675</v>
      </c>
      <c r="F14" s="77">
        <f ca="1"/>
        <v>96.313981144613848</v>
      </c>
      <c r="G14" s="84">
        <f ca="1"/>
        <v>2.4330000000011575E-2</v>
      </c>
      <c r="H14">
        <f ca="1"/>
        <v>96.313981144613848</v>
      </c>
      <c r="I14" t="b">
        <f t="shared" ca="1" si="0"/>
        <v>1</v>
      </c>
      <c r="J14" s="60">
        <f ca="1"/>
        <v>833.3969570970645</v>
      </c>
      <c r="K14" s="60">
        <f ca="1"/>
        <v>833.39695721917906</v>
      </c>
      <c r="L14" s="60">
        <f ca="1"/>
        <v>8.5805633044389804</v>
      </c>
      <c r="M14" s="60"/>
    </row>
    <row r="15" spans="2:13" x14ac:dyDescent="0.25">
      <c r="B15" s="75">
        <f>_xll.meDateFromTenor(B14,Periodicity,"FOLLOWING","NYB")</f>
        <v>42843</v>
      </c>
      <c r="C15" s="76">
        <v>2.4330000000000001E-2</v>
      </c>
      <c r="D15" s="77">
        <f ca="1"/>
        <v>97.171565652195653</v>
      </c>
      <c r="E15" s="83">
        <f ca="1"/>
        <v>8508.2872928176803</v>
      </c>
      <c r="F15" s="77">
        <f ca="1"/>
        <v>96.320736922913881</v>
      </c>
      <c r="G15" s="84">
        <f ca="1"/>
        <v>2.4330000000011547E-2</v>
      </c>
      <c r="H15">
        <f ca="1"/>
        <v>96.320736922913881</v>
      </c>
      <c r="I15" t="b">
        <f t="shared" ca="1" si="0"/>
        <v>1</v>
      </c>
      <c r="J15" s="60">
        <f ca="1"/>
        <v>831.93034570182442</v>
      </c>
      <c r="K15" s="60">
        <f ca="1"/>
        <v>831.9303458179661</v>
      </c>
      <c r="L15" s="60">
        <f ca="1"/>
        <v>8.5614586954329521</v>
      </c>
      <c r="M15" s="60"/>
    </row>
    <row r="16" spans="2:13" x14ac:dyDescent="0.25">
      <c r="B16" s="75">
        <f>_xll.meDateFromTenor(B15,Periodicity,"FOLLOWING","NYB")</f>
        <v>42850</v>
      </c>
      <c r="C16" s="76">
        <v>2.4330000000000001E-2</v>
      </c>
      <c r="D16" s="77">
        <f ca="1"/>
        <v>97.217016713000163</v>
      </c>
      <c r="E16" s="83">
        <f ca="1"/>
        <v>8895.0276243093922</v>
      </c>
      <c r="F16" s="77">
        <f ca="1"/>
        <v>96.327513950569227</v>
      </c>
      <c r="G16" s="84">
        <f ca="1"/>
        <v>2.4330000000011426E-2</v>
      </c>
      <c r="H16">
        <f ca="1"/>
        <v>96.327513950569227</v>
      </c>
      <c r="I16" t="b">
        <f t="shared" ca="1" si="0"/>
        <v>1</v>
      </c>
      <c r="J16" s="60">
        <f ca="1"/>
        <v>830.46217998853149</v>
      </c>
      <c r="K16" s="60">
        <f ca="1"/>
        <v>830.46218011162409</v>
      </c>
      <c r="L16" s="60">
        <f ca="1"/>
        <v>8.5423540864269238</v>
      </c>
      <c r="M16" s="60"/>
    </row>
    <row r="17" spans="2:13" x14ac:dyDescent="0.25">
      <c r="B17" s="75">
        <f>_xll.meDateFromTenor(B16,Periodicity,"FOLLOWING","NYB")</f>
        <v>42857</v>
      </c>
      <c r="C17" s="76">
        <v>2.4330000000000001E-2</v>
      </c>
      <c r="D17" s="77">
        <f ca="1"/>
        <v>97.262489033099115</v>
      </c>
      <c r="E17" s="83">
        <f ca="1"/>
        <v>9281.7679558011041</v>
      </c>
      <c r="F17" s="77">
        <f ca="1"/>
        <v>96.334312237519001</v>
      </c>
      <c r="G17" s="84">
        <f ca="1"/>
        <v>2.4330000000011336E-2</v>
      </c>
      <c r="H17">
        <f ca="1"/>
        <v>96.334312237519001</v>
      </c>
      <c r="I17" t="b">
        <f t="shared" ca="1" si="0"/>
        <v>1</v>
      </c>
      <c r="J17" s="60">
        <f ca="1"/>
        <v>828.99245882401783</v>
      </c>
      <c r="K17" s="60">
        <f ca="1"/>
        <v>828.99245894196827</v>
      </c>
      <c r="L17" s="60">
        <f ca="1"/>
        <v>8.5232494774208973</v>
      </c>
      <c r="M17" s="60"/>
    </row>
    <row r="18" spans="2:13" x14ac:dyDescent="0.25">
      <c r="B18" s="75">
        <f>_xll.meDateFromTenor(B17,Periodicity,"FOLLOWING","NYB")</f>
        <v>42864</v>
      </c>
      <c r="C18" s="76">
        <v>2.4330000000000001E-2</v>
      </c>
      <c r="D18" s="77">
        <f ca="1"/>
        <v>97.307982622436384</v>
      </c>
      <c r="E18" s="83">
        <f ca="1"/>
        <v>9668.5082872928178</v>
      </c>
      <c r="F18" s="77">
        <f ca="1"/>
        <v>96.341131793707106</v>
      </c>
      <c r="G18" s="84">
        <f ca="1"/>
        <v>2.4330000000011398E-2</v>
      </c>
      <c r="H18">
        <f ca="1"/>
        <v>96.341131793707106</v>
      </c>
      <c r="I18" t="b">
        <f t="shared" ca="1" si="0"/>
        <v>1</v>
      </c>
      <c r="J18" s="60">
        <f ca="1"/>
        <v>827.52118107439583</v>
      </c>
      <c r="K18" s="60">
        <f ca="1"/>
        <v>827.52118120765761</v>
      </c>
      <c r="L18" s="60">
        <f ca="1"/>
        <v>8.5041448684148708</v>
      </c>
      <c r="M18" s="60"/>
    </row>
    <row r="19" spans="2:13" x14ac:dyDescent="0.25">
      <c r="B19" s="75">
        <f>_xll.meDateFromTenor(B18,Periodicity,"FOLLOWING","NYB")</f>
        <v>42871</v>
      </c>
      <c r="C19" s="76">
        <v>2.4330000000000001E-2</v>
      </c>
      <c r="D19" s="77">
        <f ca="1"/>
        <v>96.353325735953845</v>
      </c>
      <c r="E19" s="83">
        <f ca="1"/>
        <v>54.347826086956523</v>
      </c>
      <c r="F19" s="77">
        <f ca="1"/>
        <v>96.347890953345143</v>
      </c>
      <c r="G19" s="84">
        <f ca="1"/>
        <v>2.4330000000011339E-2</v>
      </c>
      <c r="H19">
        <f ca="1"/>
        <v>96.347890953345143</v>
      </c>
      <c r="I19" t="b">
        <f t="shared" ca="1" si="0"/>
        <v>1</v>
      </c>
      <c r="J19" s="60">
        <f ca="1"/>
        <v>826.05446284120046</v>
      </c>
      <c r="K19" s="60">
        <f ca="1"/>
        <v>826.05446295502804</v>
      </c>
      <c r="L19" s="60">
        <f ca="1"/>
        <v>8.5731805989231322</v>
      </c>
      <c r="M19" s="60"/>
    </row>
    <row r="20" spans="2:13" x14ac:dyDescent="0.25">
      <c r="B20" s="75">
        <f>_xll.meDateFromTenor(B19,Periodicity,"FOLLOWING","NYB")</f>
        <v>42878</v>
      </c>
      <c r="C20" s="76">
        <v>2.4330000000000001E-2</v>
      </c>
      <c r="D20" s="77">
        <f ca="1"/>
        <v>96.397659094081021</v>
      </c>
      <c r="E20" s="83">
        <f ca="1"/>
        <v>434.78260869565219</v>
      </c>
      <c r="F20" s="77">
        <f ca="1"/>
        <v>96.354180833211458</v>
      </c>
      <c r="G20" s="84">
        <f ca="1"/>
        <v>2.4330000000010971E-2</v>
      </c>
      <c r="H20">
        <f ca="1"/>
        <v>96.354180833211458</v>
      </c>
      <c r="I20" t="b">
        <f t="shared" ca="1" si="0"/>
        <v>1</v>
      </c>
      <c r="J20" s="60">
        <f ca="1"/>
        <v>824.62292787327476</v>
      </c>
      <c r="K20" s="60">
        <f ca="1"/>
        <v>824.62292799334591</v>
      </c>
      <c r="L20" s="60">
        <f ca="1"/>
        <v>8.5543874781074223</v>
      </c>
      <c r="M20" s="60"/>
    </row>
    <row r="21" spans="2:13" x14ac:dyDescent="0.25">
      <c r="B21" s="75">
        <f>_xll.meDateFromTenor(B20,Periodicity,"FOLLOWING","NYB")</f>
        <v>42885</v>
      </c>
      <c r="C21" s="76">
        <v>2.4330000000000001E-2</v>
      </c>
      <c r="D21" s="77">
        <f ca="1"/>
        <v>96.442012850535178</v>
      </c>
      <c r="E21" s="83">
        <f ca="1"/>
        <v>815.21739130434787</v>
      </c>
      <c r="F21" s="77">
        <f ca="1"/>
        <v>96.360491111404741</v>
      </c>
      <c r="G21" s="84">
        <f ca="1"/>
        <v>2.4330000000011259E-2</v>
      </c>
      <c r="H21">
        <f ca="1"/>
        <v>96.360491111404741</v>
      </c>
      <c r="I21" t="b">
        <f t="shared" ca="1" si="0"/>
        <v>1</v>
      </c>
      <c r="J21" s="60">
        <f ca="1"/>
        <v>823.18990069288259</v>
      </c>
      <c r="K21" s="60">
        <f ca="1"/>
        <v>823.18990081375875</v>
      </c>
      <c r="L21" s="60">
        <f ca="1"/>
        <v>8.5355943572917088</v>
      </c>
      <c r="M21" s="60"/>
    </row>
    <row r="22" spans="2:13" x14ac:dyDescent="0.25">
      <c r="B22" s="75">
        <f>_xll.meDateFromTenor(B21,Periodicity,"FOLLOWING","NYB")</f>
        <v>42892</v>
      </c>
      <c r="C22" s="76">
        <v>2.4330000000000001E-2</v>
      </c>
      <c r="D22" s="77">
        <f ca="1"/>
        <v>96.486387014701819</v>
      </c>
      <c r="E22" s="83">
        <f ca="1"/>
        <v>1195.6521739130435</v>
      </c>
      <c r="F22" s="77">
        <f ca="1"/>
        <v>96.366821797310521</v>
      </c>
      <c r="G22" s="84">
        <f ca="1"/>
        <v>2.4330000000011193E-2</v>
      </c>
      <c r="H22">
        <f ca="1"/>
        <v>96.366821797310521</v>
      </c>
      <c r="I22" t="b">
        <f t="shared" ca="1" si="0"/>
        <v>1</v>
      </c>
      <c r="J22" s="60">
        <f ca="1"/>
        <v>821.75538022991418</v>
      </c>
      <c r="K22" s="60">
        <f ca="1"/>
        <v>821.7553803433475</v>
      </c>
      <c r="L22" s="60">
        <f ca="1"/>
        <v>8.5168012364759988</v>
      </c>
      <c r="M22" s="60"/>
    </row>
    <row r="23" spans="2:13" x14ac:dyDescent="0.25">
      <c r="B23" s="75">
        <f>_xll.meDateFromTenor(B22,Periodicity,"FOLLOWING","NYB")</f>
        <v>42899</v>
      </c>
      <c r="C23" s="76">
        <v>2.4330000000000001E-2</v>
      </c>
      <c r="D23" s="77">
        <f ca="1"/>
        <v>96.53078159597078</v>
      </c>
      <c r="E23" s="83">
        <f ca="1"/>
        <v>1576.0869565217392</v>
      </c>
      <c r="F23" s="77">
        <f ca="1"/>
        <v>96.373172900318608</v>
      </c>
      <c r="G23" s="84">
        <f ca="1"/>
        <v>2.4330000000011124E-2</v>
      </c>
      <c r="H23">
        <f ca="1"/>
        <v>96.373172900318608</v>
      </c>
      <c r="I23" t="b">
        <f t="shared" ca="1" si="0"/>
        <v>1</v>
      </c>
      <c r="J23" s="60">
        <f ca="1"/>
        <v>820.31936541359016</v>
      </c>
      <c r="K23" s="60">
        <f ca="1"/>
        <v>820.31936553761386</v>
      </c>
      <c r="L23" s="60">
        <f ca="1"/>
        <v>8.4980081156602854</v>
      </c>
      <c r="M23" s="60"/>
    </row>
    <row r="24" spans="2:13" x14ac:dyDescent="0.25">
      <c r="B24" s="75">
        <f>_xll.meDateFromTenor(B23,Periodicity,"FOLLOWING","NYB")</f>
        <v>42906</v>
      </c>
      <c r="C24" s="76">
        <v>2.4330000000000001E-2</v>
      </c>
      <c r="D24" s="77">
        <f ca="1"/>
        <v>96.575196603736231</v>
      </c>
      <c r="E24" s="83">
        <f ca="1"/>
        <v>1956.521739130435</v>
      </c>
      <c r="F24" s="77">
        <f ca="1"/>
        <v>96.379544429823184</v>
      </c>
      <c r="G24" s="84">
        <f ca="1"/>
        <v>2.4330000000011152E-2</v>
      </c>
      <c r="H24">
        <f ca="1"/>
        <v>96.379544429823184</v>
      </c>
      <c r="I24" t="b">
        <f t="shared" ca="1" si="0"/>
        <v>1</v>
      </c>
      <c r="J24" s="60">
        <f ca="1"/>
        <v>818.88185517246325</v>
      </c>
      <c r="K24" s="60">
        <f ca="1"/>
        <v>818.88185528811152</v>
      </c>
      <c r="L24" s="60">
        <f ca="1"/>
        <v>8.4792149948445754</v>
      </c>
      <c r="M24" s="60"/>
    </row>
    <row r="25" spans="2:13" x14ac:dyDescent="0.25">
      <c r="B25" s="75">
        <f>_xll.meDateFromTenor(B24,Periodicity,"FOLLOWING","NYB")</f>
        <v>42913</v>
      </c>
      <c r="C25" s="76">
        <v>2.4330000000000001E-2</v>
      </c>
      <c r="D25" s="77">
        <f ca="1"/>
        <v>96.619632047396692</v>
      </c>
      <c r="E25" s="83">
        <f ca="1"/>
        <v>2336.9565217391305</v>
      </c>
      <c r="F25" s="77">
        <f ca="1"/>
        <v>96.385936395222785</v>
      </c>
      <c r="G25" s="84">
        <f ca="1"/>
        <v>2.4330000000010971E-2</v>
      </c>
      <c r="H25">
        <f ca="1"/>
        <v>96.385936395222785</v>
      </c>
      <c r="I25" t="b">
        <f t="shared" ca="1" si="0"/>
        <v>1</v>
      </c>
      <c r="J25" s="60">
        <f ca="1"/>
        <v>817.44284843441517</v>
      </c>
      <c r="K25" s="60">
        <f ca="1"/>
        <v>817.44284856455351</v>
      </c>
      <c r="L25" s="60">
        <f ca="1"/>
        <v>8.4604218740288637</v>
      </c>
      <c r="M25" s="60"/>
    </row>
    <row r="26" spans="2:13" x14ac:dyDescent="0.25">
      <c r="B26" s="75">
        <f>_xll.meDateFromTenor(B25,Periodicity,"FOLLOWING","NYB")</f>
        <v>42921</v>
      </c>
      <c r="C26" s="76">
        <v>2.4330000000000001E-2</v>
      </c>
      <c r="D26" s="77">
        <f ca="1"/>
        <v>96.670440447187019</v>
      </c>
      <c r="E26" s="83">
        <f ca="1"/>
        <v>2771.7391304347825</v>
      </c>
      <c r="F26" s="77">
        <f ca="1"/>
        <v>96.393266534143535</v>
      </c>
      <c r="G26" s="84">
        <f ca="1"/>
        <v>2.4330000000010836E-2</v>
      </c>
      <c r="H26">
        <f ca="1"/>
        <v>96.393266534143535</v>
      </c>
      <c r="I26" t="b">
        <f t="shared" ca="1" si="0"/>
        <v>1</v>
      </c>
      <c r="J26" s="60">
        <f ca="1"/>
        <v>815.79643548380625</v>
      </c>
      <c r="K26" s="60">
        <f ca="1"/>
        <v>815.7964356101387</v>
      </c>
      <c r="L26" s="60">
        <f ca="1"/>
        <v>8.4389440216680516</v>
      </c>
      <c r="M26" s="60"/>
    </row>
    <row r="27" spans="2:13" x14ac:dyDescent="0.25">
      <c r="B27" s="75">
        <f>_xll.meDateFromTenor(B26,Periodicity,"FOLLOWING","NYB")</f>
        <v>42928</v>
      </c>
      <c r="C27" s="76">
        <v>2.4330000000000001E-2</v>
      </c>
      <c r="D27" s="77">
        <f ca="1"/>
        <v>96.714919713719055</v>
      </c>
      <c r="E27" s="83">
        <f ca="1"/>
        <v>3152.1739130434785</v>
      </c>
      <c r="F27" s="77">
        <f ca="1"/>
        <v>96.399702322414711</v>
      </c>
      <c r="G27" s="84">
        <f ca="1"/>
        <v>2.4330000000011107E-2</v>
      </c>
      <c r="H27">
        <f ca="1"/>
        <v>96.399702322414711</v>
      </c>
      <c r="I27" t="b">
        <f t="shared" ca="1" si="0"/>
        <v>1</v>
      </c>
      <c r="J27" s="60">
        <f ca="1"/>
        <v>814.35421835333307</v>
      </c>
      <c r="K27" s="60">
        <f ca="1"/>
        <v>814.35421846265388</v>
      </c>
      <c r="L27" s="60">
        <f ca="1"/>
        <v>8.4201509008523381</v>
      </c>
      <c r="M27" s="60"/>
    </row>
    <row r="28" spans="2:13" x14ac:dyDescent="0.25">
      <c r="B28" s="75">
        <f>_xll.meDateFromTenor(B27,Periodicity,"FOLLOWING","NYB")</f>
        <v>42935</v>
      </c>
      <c r="C28" s="76">
        <v>2.4330000000000001E-2</v>
      </c>
      <c r="D28" s="77">
        <f ca="1"/>
        <v>96.759419445712311</v>
      </c>
      <c r="E28" s="83">
        <f ca="1"/>
        <v>3532.608695652174</v>
      </c>
      <c r="F28" s="77">
        <f ca="1"/>
        <v>96.406158576147092</v>
      </c>
      <c r="G28" s="84">
        <f ca="1"/>
        <v>2.4330000000010683E-2</v>
      </c>
      <c r="H28">
        <f ca="1"/>
        <v>96.406158576147092</v>
      </c>
      <c r="I28" t="b">
        <f t="shared" ca="1" si="0"/>
        <v>1</v>
      </c>
      <c r="J28" s="60">
        <f ca="1"/>
        <v>812.9105013520624</v>
      </c>
      <c r="K28" s="60">
        <f ca="1"/>
        <v>812.91050146603527</v>
      </c>
      <c r="L28" s="60">
        <f ca="1"/>
        <v>8.4013577800366264</v>
      </c>
      <c r="M28" s="60"/>
    </row>
    <row r="29" spans="2:13" x14ac:dyDescent="0.25">
      <c r="B29" s="75">
        <f>_xll.meDateFromTenor(B28,Periodicity,"FOLLOWING","NYB")</f>
        <v>42942</v>
      </c>
      <c r="C29" s="76">
        <v>2.4330000000000001E-2</v>
      </c>
      <c r="D29" s="77">
        <f ca="1"/>
        <v>96.80393965258321</v>
      </c>
      <c r="E29" s="83">
        <f ca="1"/>
        <v>3913.04347826087</v>
      </c>
      <c r="F29" s="77">
        <f ca="1"/>
        <v>96.412635304757117</v>
      </c>
      <c r="G29" s="84">
        <f ca="1"/>
        <v>2.4330000000010839E-2</v>
      </c>
      <c r="H29">
        <f ca="1"/>
        <v>96.412635304757117</v>
      </c>
      <c r="I29" t="b">
        <f t="shared" ca="1" si="0"/>
        <v>1</v>
      </c>
      <c r="J29" s="60">
        <f ca="1"/>
        <v>811.46528340509838</v>
      </c>
      <c r="K29" s="60">
        <f ca="1"/>
        <v>811.46528352604707</v>
      </c>
      <c r="L29" s="60">
        <f ca="1"/>
        <v>8.3825646592209164</v>
      </c>
      <c r="M29" s="60"/>
    </row>
    <row r="30" spans="2:13" x14ac:dyDescent="0.25">
      <c r="B30" s="75">
        <f>_xll.meDateFromTenor(B29,Periodicity,"FOLLOWING","NYB")</f>
        <v>42949</v>
      </c>
      <c r="C30" s="76">
        <v>2.4330000000000001E-2</v>
      </c>
      <c r="D30" s="77">
        <f ca="1"/>
        <v>96.848480343752513</v>
      </c>
      <c r="E30" s="83">
        <f ca="1"/>
        <v>4293.478260869565</v>
      </c>
      <c r="F30" s="77">
        <f ca="1"/>
        <v>96.41913251766556</v>
      </c>
      <c r="G30" s="84">
        <f ca="1"/>
        <v>2.4330000000010663E-2</v>
      </c>
      <c r="H30">
        <f ca="1"/>
        <v>96.41913251766556</v>
      </c>
      <c r="I30" t="b">
        <f t="shared" ca="1" si="0"/>
        <v>1</v>
      </c>
      <c r="J30" s="60">
        <f ca="1"/>
        <v>810.01856343687302</v>
      </c>
      <c r="K30" s="60">
        <f ca="1"/>
        <v>810.01856354134804</v>
      </c>
      <c r="L30" s="60">
        <f ca="1"/>
        <v>8.3637715384052029</v>
      </c>
      <c r="M30" s="60"/>
    </row>
    <row r="31" spans="2:13" x14ac:dyDescent="0.25">
      <c r="B31" s="75">
        <f>_xll.meDateFromTenor(B30,Periodicity,"FOLLOWING","NYB")</f>
        <v>42956</v>
      </c>
      <c r="C31" s="76">
        <v>2.4330000000000001E-2</v>
      </c>
      <c r="D31" s="77">
        <f ca="1"/>
        <v>96.89304152864527</v>
      </c>
      <c r="E31" s="83">
        <f ca="1"/>
        <v>4673.913043478261</v>
      </c>
      <c r="F31" s="77">
        <f ca="1"/>
        <v>96.425650224297442</v>
      </c>
      <c r="G31" s="84">
        <f ca="1"/>
        <v>2.4330000000010916E-2</v>
      </c>
      <c r="H31">
        <f ca="1"/>
        <v>96.425650224297442</v>
      </c>
      <c r="I31" t="b">
        <f t="shared" ca="1" si="0"/>
        <v>1</v>
      </c>
      <c r="J31" s="60">
        <f ca="1"/>
        <v>808.57034037114715</v>
      </c>
      <c r="K31" s="60">
        <f ca="1"/>
        <v>808.57034048165121</v>
      </c>
      <c r="L31" s="60">
        <f ca="1"/>
        <v>8.344978417589493</v>
      </c>
      <c r="M31" s="60"/>
    </row>
    <row r="32" spans="2:13" x14ac:dyDescent="0.25">
      <c r="B32" s="75">
        <f>_xll.meDateFromTenor(B31,Periodicity,"FOLLOWING","NYB")</f>
        <v>42963</v>
      </c>
      <c r="C32" s="76">
        <v>2.4330000000000001E-2</v>
      </c>
      <c r="D32" s="77">
        <f ca="1"/>
        <v>96.937623216690923</v>
      </c>
      <c r="E32" s="83">
        <f ca="1"/>
        <v>5054.347826086957</v>
      </c>
      <c r="F32" s="77">
        <f ca="1"/>
        <v>96.432188434082221</v>
      </c>
      <c r="G32" s="84">
        <f ca="1"/>
        <v>2.4330000000010687E-2</v>
      </c>
      <c r="H32">
        <f ca="1"/>
        <v>96.432188434082221</v>
      </c>
      <c r="I32" t="b">
        <f t="shared" ca="1" si="0"/>
        <v>1</v>
      </c>
      <c r="J32" s="60">
        <f ca="1"/>
        <v>807.12061313100867</v>
      </c>
      <c r="K32" s="60">
        <f ca="1"/>
        <v>807.12061324561535</v>
      </c>
      <c r="L32" s="60">
        <f ca="1"/>
        <v>8.3261852967737813</v>
      </c>
      <c r="M32" s="60"/>
    </row>
    <row r="33" spans="2:13" x14ac:dyDescent="0.25">
      <c r="B33" s="75">
        <f>_xll.meDateFromTenor(B32,Periodicity,"FOLLOWING","NYB")</f>
        <v>42970</v>
      </c>
      <c r="C33" s="76">
        <v>2.4330000000000001E-2</v>
      </c>
      <c r="D33" s="77">
        <f ca="1"/>
        <v>96.982225417323207</v>
      </c>
      <c r="E33" s="83">
        <f ca="1"/>
        <v>5434.782608695652</v>
      </c>
      <c r="F33" s="77">
        <f ca="1"/>
        <v>96.438747156453644</v>
      </c>
      <c r="G33" s="84">
        <f ca="1"/>
        <v>2.4330000000010715E-2</v>
      </c>
      <c r="H33">
        <f ca="1"/>
        <v>96.438747156453644</v>
      </c>
      <c r="I33" t="b">
        <f t="shared" ca="1" si="0"/>
        <v>1</v>
      </c>
      <c r="J33" s="60">
        <f ca="1"/>
        <v>805.66938063887255</v>
      </c>
      <c r="K33" s="60">
        <f ca="1"/>
        <v>805.66938075321548</v>
      </c>
      <c r="L33" s="60">
        <f ca="1"/>
        <v>8.3073921759580696</v>
      </c>
      <c r="M33" s="60"/>
    </row>
    <row r="34" spans="2:13" x14ac:dyDescent="0.25">
      <c r="B34" s="75">
        <f>_xll.meDateFromTenor(B33,Periodicity,"FOLLOWING","NYB")</f>
        <v>42977</v>
      </c>
      <c r="C34" s="76">
        <v>2.4330000000000001E-2</v>
      </c>
      <c r="D34" s="77">
        <f ca="1"/>
        <v>97.026848139980231</v>
      </c>
      <c r="E34" s="83">
        <f ca="1"/>
        <v>5815.217391304348</v>
      </c>
      <c r="F34" s="77">
        <f ca="1"/>
        <v>96.445326400849794</v>
      </c>
      <c r="G34" s="84">
        <f ca="1"/>
        <v>2.4330000000010496E-2</v>
      </c>
      <c r="H34">
        <f ca="1"/>
        <v>96.445326400849794</v>
      </c>
      <c r="I34" t="b">
        <f t="shared" ca="1" si="0"/>
        <v>1</v>
      </c>
      <c r="J34" s="60">
        <f ca="1"/>
        <v>804.21664181648111</v>
      </c>
      <c r="K34" s="60">
        <f ca="1"/>
        <v>804.21664193153208</v>
      </c>
      <c r="L34" s="60">
        <f ca="1"/>
        <v>8.2885990551423578</v>
      </c>
      <c r="M34" s="60"/>
    </row>
    <row r="35" spans="2:13" x14ac:dyDescent="0.25">
      <c r="B35" s="75">
        <f>_xll.meDateFromTenor(B34,Periodicity,"FOLLOWING","NYB")</f>
        <v>42984</v>
      </c>
      <c r="C35" s="76">
        <v>2.4330000000000001E-2</v>
      </c>
      <c r="D35" s="77">
        <f ca="1"/>
        <v>97.071491394104413</v>
      </c>
      <c r="E35" s="83">
        <f ca="1"/>
        <v>6195.652173913043</v>
      </c>
      <c r="F35" s="77">
        <f ca="1"/>
        <v>96.451926176713116</v>
      </c>
      <c r="G35" s="84">
        <f ca="1"/>
        <v>2.4330000000010676E-2</v>
      </c>
      <c r="H35">
        <f ca="1"/>
        <v>96.451926176713116</v>
      </c>
      <c r="I35" t="b">
        <f t="shared" ca="1" si="0"/>
        <v>1</v>
      </c>
      <c r="J35" s="60">
        <f ca="1"/>
        <v>802.76239558490238</v>
      </c>
      <c r="K35" s="60">
        <f ca="1"/>
        <v>802.7623957005402</v>
      </c>
      <c r="L35" s="60">
        <f ca="1"/>
        <v>8.2698059343266443</v>
      </c>
      <c r="M35" s="60"/>
    </row>
    <row r="36" spans="2:13" x14ac:dyDescent="0.25">
      <c r="B36" s="75">
        <f>_xll.meDateFromTenor(B35,Periodicity,"FOLLOWING","NYB")</f>
        <v>42991</v>
      </c>
      <c r="C36" s="76">
        <v>2.4330000000000001E-2</v>
      </c>
      <c r="D36" s="77">
        <f ca="1"/>
        <v>97.11615518914256</v>
      </c>
      <c r="E36" s="83">
        <f ca="1"/>
        <v>6576.0869565217399</v>
      </c>
      <c r="F36" s="77">
        <f ca="1"/>
        <v>96.458546493490388</v>
      </c>
      <c r="G36" s="84">
        <f ca="1"/>
        <v>2.4330000000010555E-2</v>
      </c>
      <c r="H36">
        <f ca="1"/>
        <v>96.458546493490388</v>
      </c>
      <c r="I36" t="b">
        <f t="shared" ca="1" si="0"/>
        <v>1</v>
      </c>
      <c r="J36" s="60">
        <f ca="1"/>
        <v>801.30664086453157</v>
      </c>
      <c r="K36" s="60">
        <f ca="1"/>
        <v>801.30664098732041</v>
      </c>
      <c r="L36" s="60">
        <f ca="1"/>
        <v>8.2510128135109326</v>
      </c>
      <c r="M36" s="60"/>
    </row>
    <row r="37" spans="2:13" x14ac:dyDescent="0.25">
      <c r="B37" s="75">
        <f>_xll.meDateFromTenor(B36,Periodicity,"FOLLOWING","NYB")</f>
        <v>42998</v>
      </c>
      <c r="C37" s="76">
        <v>2.4330000000000001E-2</v>
      </c>
      <c r="D37" s="77">
        <f ca="1"/>
        <v>97.160839534545786</v>
      </c>
      <c r="E37" s="83">
        <f ca="1"/>
        <v>6956.521739130435</v>
      </c>
      <c r="F37" s="77">
        <f ca="1"/>
        <v>96.46518736063274</v>
      </c>
      <c r="G37" s="84">
        <f ca="1"/>
        <v>2.4330000000010517E-2</v>
      </c>
      <c r="H37">
        <f ca="1"/>
        <v>96.46518736063274</v>
      </c>
      <c r="I37" t="b">
        <f t="shared" ca="1" si="0"/>
        <v>1</v>
      </c>
      <c r="J37" s="60">
        <f ca="1"/>
        <v>799.8493765750884</v>
      </c>
      <c r="K37" s="60">
        <f ca="1"/>
        <v>799.84937669763667</v>
      </c>
      <c r="L37" s="60">
        <f ca="1"/>
        <v>8.2322196926952227</v>
      </c>
      <c r="M37" s="60"/>
    </row>
    <row r="38" spans="2:13" x14ac:dyDescent="0.25">
      <c r="B38" s="75">
        <f>_xll.meDateFromTenor(B37,Periodicity,"FOLLOWING","NYB")</f>
        <v>43005</v>
      </c>
      <c r="C38" s="76">
        <v>2.4330000000000001E-2</v>
      </c>
      <c r="D38" s="77">
        <f ca="1"/>
        <v>97.205544439769582</v>
      </c>
      <c r="E38" s="83">
        <f ca="1"/>
        <v>7336.9565217391309</v>
      </c>
      <c r="F38" s="77">
        <f ca="1"/>
        <v>96.471848787595675</v>
      </c>
      <c r="G38" s="84">
        <f ca="1"/>
        <v>2.4330000000010472E-2</v>
      </c>
      <c r="H38">
        <f ca="1"/>
        <v>96.471848787595675</v>
      </c>
      <c r="I38" t="b">
        <f t="shared" ca="1" si="0"/>
        <v>1</v>
      </c>
      <c r="J38" s="60">
        <f ca="1"/>
        <v>798.39060163561783</v>
      </c>
      <c r="K38" s="60">
        <f ca="1"/>
        <v>798.39060175146403</v>
      </c>
      <c r="L38" s="60">
        <f ca="1"/>
        <v>8.2134265718795074</v>
      </c>
      <c r="M38" s="60"/>
    </row>
    <row r="39" spans="2:13" x14ac:dyDescent="0.25">
      <c r="B39" s="75">
        <f>_xll.meDateFromTenor(B38,Periodicity,"FOLLOWING","NYB")</f>
        <v>43012</v>
      </c>
      <c r="C39" s="76">
        <v>2.4330000000000001E-2</v>
      </c>
      <c r="D39" s="77">
        <f ca="1"/>
        <v>97.25026991427373</v>
      </c>
      <c r="E39" s="83">
        <f ca="1"/>
        <v>7717.391304347826</v>
      </c>
      <c r="F39" s="77">
        <f ca="1"/>
        <v>96.478530783838949</v>
      </c>
      <c r="G39" s="84">
        <f ca="1"/>
        <v>2.4330000000010486E-2</v>
      </c>
      <c r="H39">
        <f ca="1"/>
        <v>96.478530783838949</v>
      </c>
      <c r="I39" t="b">
        <f t="shared" ca="1" si="0"/>
        <v>1</v>
      </c>
      <c r="J39" s="60">
        <f ca="1"/>
        <v>796.93031496449089</v>
      </c>
      <c r="K39" s="60">
        <f ca="1"/>
        <v>796.93031508298861</v>
      </c>
      <c r="L39" s="60">
        <f ca="1"/>
        <v>8.1946334510637993</v>
      </c>
      <c r="M39" s="60"/>
    </row>
    <row r="40" spans="2:13" x14ac:dyDescent="0.25">
      <c r="B40" s="75">
        <f>_xll.meDateFromTenor(B39,Periodicity,"FOLLOWING","NYB")</f>
        <v>43019</v>
      </c>
      <c r="C40" s="76">
        <v>2.4330000000000001E-2</v>
      </c>
      <c r="D40" s="77">
        <f ca="1"/>
        <v>97.295015967522474</v>
      </c>
      <c r="E40" s="83">
        <f ca="1"/>
        <v>8097.826086956522</v>
      </c>
      <c r="F40" s="77">
        <f ca="1"/>
        <v>96.485233358826818</v>
      </c>
      <c r="G40" s="84">
        <f ca="1"/>
        <v>2.4330000000010163E-2</v>
      </c>
      <c r="H40">
        <f ca="1"/>
        <v>96.485233358826818</v>
      </c>
      <c r="I40" t="b">
        <f t="shared" ca="1" si="0"/>
        <v>1</v>
      </c>
      <c r="J40" s="60">
        <f ca="1"/>
        <v>795.46851547940184</v>
      </c>
      <c r="K40" s="60">
        <f ca="1"/>
        <v>795.46851557665821</v>
      </c>
      <c r="L40" s="60">
        <f ca="1"/>
        <v>8.1758403302480875</v>
      </c>
      <c r="M40" s="60"/>
    </row>
    <row r="41" spans="2:13" x14ac:dyDescent="0.25">
      <c r="B41" s="75">
        <f>_xll.meDateFromTenor(B40,Periodicity,"FOLLOWING","NYB")</f>
        <v>43026</v>
      </c>
      <c r="C41" s="76">
        <v>2.4330000000000001E-2</v>
      </c>
      <c r="D41" s="77">
        <f ca="1"/>
        <v>97.339782608984322</v>
      </c>
      <c r="E41" s="83">
        <f ca="1"/>
        <v>8478.2608695652179</v>
      </c>
      <c r="F41" s="77">
        <f ca="1"/>
        <v>96.491956522027806</v>
      </c>
      <c r="G41" s="84">
        <f ca="1"/>
        <v>2.4330000000010329E-2</v>
      </c>
      <c r="H41">
        <f ca="1"/>
        <v>96.491956522027806</v>
      </c>
      <c r="I41" t="b">
        <f t="shared" ca="1" si="0"/>
        <v>1</v>
      </c>
      <c r="J41" s="60">
        <f ca="1"/>
        <v>794.00520209736953</v>
      </c>
      <c r="K41" s="60">
        <f ca="1"/>
        <v>794.0052022163967</v>
      </c>
      <c r="L41" s="60">
        <f ca="1"/>
        <v>8.157047209432374</v>
      </c>
      <c r="M41" s="60"/>
    </row>
    <row r="42" spans="2:13" x14ac:dyDescent="0.25">
      <c r="B42" s="75">
        <f>_xll.meDateFromTenor(B41,Periodicity,"FOLLOWING","NYB")</f>
        <v>43033</v>
      </c>
      <c r="C42" s="76">
        <v>2.4330000000000001E-2</v>
      </c>
      <c r="D42" s="77">
        <f ca="1"/>
        <v>97.384569848132145</v>
      </c>
      <c r="E42" s="83">
        <f ca="1"/>
        <v>8858.6956521739139</v>
      </c>
      <c r="F42" s="77">
        <f ca="1"/>
        <v>96.498700282914754</v>
      </c>
      <c r="G42" s="84">
        <f ca="1"/>
        <v>2.4330000000010229E-2</v>
      </c>
      <c r="H42">
        <f ca="1"/>
        <v>96.498700282914754</v>
      </c>
      <c r="I42" t="b">
        <f t="shared" ca="1" si="0"/>
        <v>1</v>
      </c>
      <c r="J42" s="60">
        <f ca="1"/>
        <v>792.54037373473648</v>
      </c>
      <c r="K42" s="60">
        <f ca="1"/>
        <v>792.54037385112485</v>
      </c>
      <c r="L42" s="60">
        <f ca="1"/>
        <v>8.1382540886166641</v>
      </c>
      <c r="M42" s="60"/>
    </row>
    <row r="43" spans="2:13" x14ac:dyDescent="0.25">
      <c r="B43" s="75">
        <f>_xll.meDateFromTenor(B42,Periodicity,"FOLLOWING","NYB")</f>
        <v>43040</v>
      </c>
      <c r="C43" s="76">
        <v>2.4330000000000001E-2</v>
      </c>
      <c r="D43" s="77">
        <f ca="1"/>
        <v>97.429377694443247</v>
      </c>
      <c r="E43" s="83">
        <f ca="1"/>
        <v>9239.1304347826081</v>
      </c>
      <c r="F43" s="77">
        <f ca="1"/>
        <v>96.505464650964981</v>
      </c>
      <c r="G43" s="84">
        <f ca="1"/>
        <v>2.4330000000010267E-2</v>
      </c>
      <c r="H43">
        <f ca="1"/>
        <v>96.505464650964981</v>
      </c>
      <c r="I43" t="b">
        <f t="shared" ca="1" si="0"/>
        <v>1</v>
      </c>
      <c r="J43" s="60">
        <f ca="1"/>
        <v>791.07402930716853</v>
      </c>
      <c r="K43" s="60">
        <f ca="1"/>
        <v>791.074029422134</v>
      </c>
      <c r="L43" s="60">
        <f ca="1"/>
        <v>8.1194609678009506</v>
      </c>
      <c r="M43" s="60"/>
    </row>
    <row r="44" spans="2:13" x14ac:dyDescent="0.25">
      <c r="B44" s="75">
        <f>_xll.meDateFromTenor(B43,Periodicity,"FOLLOWING","NYB")</f>
        <v>43047</v>
      </c>
      <c r="C44" s="76">
        <v>2.4330000000000001E-2</v>
      </c>
      <c r="D44" s="77">
        <f ca="1"/>
        <v>97.47420615739918</v>
      </c>
      <c r="E44" s="83">
        <f ca="1"/>
        <v>9619.565217391304</v>
      </c>
      <c r="F44" s="77">
        <f ca="1"/>
        <v>96.512249635660055</v>
      </c>
      <c r="G44" s="84">
        <f ca="1"/>
        <v>2.4330000000009996E-2</v>
      </c>
      <c r="H44">
        <f ca="1"/>
        <v>96.512249635660055</v>
      </c>
      <c r="I44" t="b">
        <f t="shared" ca="1" si="0"/>
        <v>1</v>
      </c>
      <c r="J44" s="60">
        <f ca="1"/>
        <v>789.60616772965432</v>
      </c>
      <c r="K44" s="60">
        <f ca="1"/>
        <v>789.60616784229376</v>
      </c>
      <c r="L44" s="60">
        <f ca="1"/>
        <v>8.1006678469852407</v>
      </c>
      <c r="M44" s="60"/>
    </row>
    <row r="45" spans="2:13" x14ac:dyDescent="0.25">
      <c r="B45" s="75">
        <f>_xll.meDateFromTenor(B44,Periodicity,"FOLLOWING","NYB")</f>
        <v>43054</v>
      </c>
      <c r="C45" s="76">
        <v>2.4330000000000001E-2</v>
      </c>
      <c r="D45" s="77">
        <f ca="1"/>
        <v>96.519055246485948</v>
      </c>
      <c r="E45" s="83">
        <f ca="1"/>
        <v>0</v>
      </c>
      <c r="F45" s="77">
        <f ca="1"/>
        <v>96.519055246485948</v>
      </c>
      <c r="G45" s="84">
        <f ca="1"/>
        <v>2.4330000000009969E-2</v>
      </c>
      <c r="H45">
        <f ca="1"/>
        <v>96.519055246485948</v>
      </c>
      <c r="I45" t="b">
        <f t="shared" ca="1" si="0"/>
        <v>1</v>
      </c>
      <c r="J45" s="60">
        <f ca="1"/>
        <v>788.13678791650477</v>
      </c>
      <c r="K45" s="60">
        <f ca="1"/>
        <v>788.13678802447373</v>
      </c>
      <c r="L45" s="60">
        <f ca="1"/>
        <v>8.1656081890130103</v>
      </c>
      <c r="M45" s="60"/>
    </row>
    <row r="46" spans="2:13" x14ac:dyDescent="0.25">
      <c r="B46" s="75">
        <f>_xll.meDateFromTenor(B45,Periodicity,"FOLLOWING","NYB")</f>
        <v>43061</v>
      </c>
      <c r="C46" s="76">
        <v>2.4330000000000001E-2</v>
      </c>
      <c r="D46" s="77">
        <f ca="1"/>
        <v>96.564201101853797</v>
      </c>
      <c r="E46" s="83">
        <f ca="1"/>
        <v>386.74033149171271</v>
      </c>
      <c r="F46" s="77">
        <f ca="1"/>
        <v>96.525527068704619</v>
      </c>
      <c r="G46" s="84">
        <f ca="1"/>
        <v>2.4330000000010114E-2</v>
      </c>
      <c r="H46">
        <f ca="1"/>
        <v>96.525527068704619</v>
      </c>
      <c r="I46" t="b">
        <f t="shared" ca="1" si="0"/>
        <v>1</v>
      </c>
      <c r="J46" s="60">
        <f ca="1"/>
        <v>786.66060997676618</v>
      </c>
      <c r="K46" s="60">
        <f ca="1"/>
        <v>786.66061008902932</v>
      </c>
      <c r="L46" s="60">
        <f ca="1"/>
        <v>8.146503580006982</v>
      </c>
      <c r="M46" s="60"/>
    </row>
    <row r="47" spans="2:13" x14ac:dyDescent="0.25">
      <c r="B47" s="75">
        <f>_xll.meDateFromTenor(B46,Periodicity,"FOLLOWING","NYB")</f>
        <v>43068</v>
      </c>
      <c r="C47" s="76">
        <v>2.4330000000000001E-2</v>
      </c>
      <c r="D47" s="77">
        <f ca="1"/>
        <v>96.6093680737592</v>
      </c>
      <c r="E47" s="83">
        <f ca="1"/>
        <v>773.48066298342542</v>
      </c>
      <c r="F47" s="77">
        <f ca="1"/>
        <v>96.532020007460858</v>
      </c>
      <c r="G47" s="84">
        <f ca="1"/>
        <v>2.433000000001E-2</v>
      </c>
      <c r="H47">
        <f ca="1"/>
        <v>96.532020007460858</v>
      </c>
      <c r="I47" t="b">
        <f t="shared" ca="1" si="0"/>
        <v>1</v>
      </c>
      <c r="J47" s="60">
        <f ca="1"/>
        <v>785.18287867172319</v>
      </c>
      <c r="K47" s="60">
        <f ca="1"/>
        <v>785.18287877926696</v>
      </c>
      <c r="L47" s="60">
        <f ca="1"/>
        <v>8.1273989710009573</v>
      </c>
      <c r="M47" s="60"/>
    </row>
    <row r="48" spans="2:13" x14ac:dyDescent="0.25">
      <c r="B48" s="75">
        <f>_xll.meDateFromTenor(B47,Periodicity,"FOLLOWING","NYB")</f>
        <v>43075</v>
      </c>
      <c r="C48" s="76">
        <v>2.4330000000000001E-2</v>
      </c>
      <c r="D48" s="77">
        <f ca="1"/>
        <v>96.654556172079253</v>
      </c>
      <c r="E48" s="83">
        <f ca="1"/>
        <v>1160.220994475138</v>
      </c>
      <c r="F48" s="77">
        <f ca="1"/>
        <v>96.538534072631734</v>
      </c>
      <c r="G48" s="84">
        <f ca="1"/>
        <v>2.4330000000009951E-2</v>
      </c>
      <c r="H48">
        <f ca="1"/>
        <v>96.538534072631734</v>
      </c>
      <c r="I48" t="b">
        <f t="shared" ca="1" si="0"/>
        <v>1</v>
      </c>
      <c r="J48" s="60">
        <f ca="1"/>
        <v>783.70359287119231</v>
      </c>
      <c r="K48" s="60">
        <f ca="1"/>
        <v>783.70359299384506</v>
      </c>
      <c r="L48" s="60">
        <f ca="1"/>
        <v>8.108294361994929</v>
      </c>
      <c r="M48" s="60"/>
    </row>
    <row r="49" spans="2:13" x14ac:dyDescent="0.25">
      <c r="B49" s="75">
        <f>_xll.meDateFromTenor(B48,Periodicity,"FOLLOWING","NYB")</f>
        <v>43082</v>
      </c>
      <c r="C49" s="76">
        <v>2.4330000000000001E-2</v>
      </c>
      <c r="D49" s="77">
        <f ca="1"/>
        <v>96.699765406695619</v>
      </c>
      <c r="E49" s="83">
        <f ca="1"/>
        <v>1546.9613259668508</v>
      </c>
      <c r="F49" s="77">
        <f ca="1"/>
        <v>96.545069274098935</v>
      </c>
      <c r="G49" s="84">
        <f ca="1"/>
        <v>2.4330000000009774E-2</v>
      </c>
      <c r="H49">
        <f ca="1"/>
        <v>96.545069274098935</v>
      </c>
      <c r="I49" t="b">
        <f t="shared" ca="1" si="0"/>
        <v>1</v>
      </c>
      <c r="J49" s="60">
        <f ca="1"/>
        <v>782.22275144427272</v>
      </c>
      <c r="K49" s="60">
        <f ca="1"/>
        <v>782.22275156036847</v>
      </c>
      <c r="L49" s="60">
        <f ca="1"/>
        <v>8.0891897529889008</v>
      </c>
      <c r="M49" s="60"/>
    </row>
    <row r="50" spans="2:13" x14ac:dyDescent="0.25">
      <c r="B50" s="75">
        <f>_xll.meDateFromTenor(B49,Periodicity,"FOLLOWING","NYB")</f>
        <v>43089</v>
      </c>
      <c r="C50" s="76">
        <v>2.4330000000000001E-2</v>
      </c>
      <c r="D50" s="77">
        <f ca="1"/>
        <v>96.744995787494588</v>
      </c>
      <c r="E50" s="83">
        <f ca="1"/>
        <v>1933.7016574585637</v>
      </c>
      <c r="F50" s="77">
        <f ca="1"/>
        <v>96.551625621748727</v>
      </c>
      <c r="G50" s="84">
        <f ca="1"/>
        <v>2.4330000000009705E-2</v>
      </c>
      <c r="H50">
        <f ca="1"/>
        <v>96.551625621748727</v>
      </c>
      <c r="I50" t="b">
        <f t="shared" ca="1" si="0"/>
        <v>1</v>
      </c>
      <c r="J50" s="60">
        <f ca="1"/>
        <v>780.74035325934562</v>
      </c>
      <c r="K50" s="60">
        <f ca="1"/>
        <v>780.74035337749581</v>
      </c>
      <c r="L50" s="60">
        <f ca="1"/>
        <v>8.0700851439828725</v>
      </c>
      <c r="M50" s="60"/>
    </row>
    <row r="51" spans="2:13" x14ac:dyDescent="0.25">
      <c r="B51" s="75">
        <f>_xll.meDateFromTenor(B50,Periodicity,"FOLLOWING","NYB")</f>
        <v>43096</v>
      </c>
      <c r="C51" s="76">
        <v>2.4330000000000001E-2</v>
      </c>
      <c r="D51" s="77">
        <f ca="1"/>
        <v>96.790247324367058</v>
      </c>
      <c r="E51" s="83">
        <f ca="1"/>
        <v>2320.441988950276</v>
      </c>
      <c r="F51" s="77">
        <f ca="1"/>
        <v>96.558203125472033</v>
      </c>
      <c r="G51" s="84">
        <f ca="1"/>
        <v>2.4330000000009837E-2</v>
      </c>
      <c r="H51">
        <f ca="1"/>
        <v>96.558203125472033</v>
      </c>
      <c r="I51" t="b">
        <f t="shared" ca="1" si="0"/>
        <v>1</v>
      </c>
      <c r="J51" s="60">
        <f ca="1"/>
        <v>779.25639718407388</v>
      </c>
      <c r="K51" s="60">
        <f ca="1"/>
        <v>779.25639729414786</v>
      </c>
      <c r="L51" s="60">
        <f ca="1"/>
        <v>8.050980534976846</v>
      </c>
      <c r="M51" s="60"/>
    </row>
    <row r="52" spans="2:13" x14ac:dyDescent="0.25">
      <c r="B52" s="75">
        <f>_xll.meDateFromTenor(B51,Periodicity,"FOLLOWING","NYB")</f>
        <v>43103</v>
      </c>
      <c r="C52" s="76">
        <v>2.4330000000000001E-2</v>
      </c>
      <c r="D52" s="77">
        <f ca="1"/>
        <v>96.835520027208631</v>
      </c>
      <c r="E52" s="83">
        <f ca="1"/>
        <v>2707.1823204419888</v>
      </c>
      <c r="F52" s="77">
        <f ca="1"/>
        <v>96.564801795164428</v>
      </c>
      <c r="G52" s="84">
        <f ca="1"/>
        <v>2.4330000000009518E-2</v>
      </c>
      <c r="H52">
        <f ca="1"/>
        <v>96.564801795164428</v>
      </c>
      <c r="I52" t="b">
        <f t="shared" ca="1" si="0"/>
        <v>1</v>
      </c>
      <c r="J52" s="60">
        <f ca="1"/>
        <v>777.77088208540204</v>
      </c>
      <c r="K52" s="60">
        <f ca="1"/>
        <v>777.77088220187807</v>
      </c>
      <c r="L52" s="60">
        <f ca="1"/>
        <v>8.0318759259708177</v>
      </c>
      <c r="M52" s="60"/>
    </row>
    <row r="53" spans="2:13" x14ac:dyDescent="0.25">
      <c r="B53" s="75">
        <f>_xll.meDateFromTenor(B52,Periodicity,"FOLLOWING","NYB")</f>
        <v>43110</v>
      </c>
      <c r="C53" s="76">
        <v>2.4330000000000001E-2</v>
      </c>
      <c r="D53" s="77">
        <f ca="1"/>
        <v>96.880813905919467</v>
      </c>
      <c r="E53" s="83">
        <f ca="1"/>
        <v>3093.9226519337017</v>
      </c>
      <c r="F53" s="77">
        <f ca="1"/>
        <v>96.571421640726101</v>
      </c>
      <c r="G53" s="84">
        <f ca="1"/>
        <v>2.4330000000009427E-2</v>
      </c>
      <c r="H53">
        <f ca="1"/>
        <v>96.571421640726101</v>
      </c>
      <c r="I53" t="b">
        <f t="shared" ca="1" si="0"/>
        <v>1</v>
      </c>
      <c r="J53" s="60">
        <f ca="1"/>
        <v>776.28380682955515</v>
      </c>
      <c r="K53" s="60">
        <f ca="1"/>
        <v>776.28380693539611</v>
      </c>
      <c r="L53" s="60">
        <f ca="1"/>
        <v>8.0127713169647912</v>
      </c>
      <c r="M53" s="60"/>
    </row>
    <row r="54" spans="2:13" x14ac:dyDescent="0.25">
      <c r="B54" s="75">
        <f>_xll.meDateFromTenor(B53,Periodicity,"FOLLOWING","NYB")</f>
        <v>43117</v>
      </c>
      <c r="C54" s="76">
        <v>2.4330000000000001E-2</v>
      </c>
      <c r="D54" s="77">
        <f ca="1"/>
        <v>96.926128970404363</v>
      </c>
      <c r="E54" s="83">
        <f ca="1"/>
        <v>3480.6629834254145</v>
      </c>
      <c r="F54" s="77">
        <f ca="1"/>
        <v>96.578062672061819</v>
      </c>
      <c r="G54" s="84">
        <f ca="1"/>
        <v>2.4330000000009688E-2</v>
      </c>
      <c r="H54">
        <f ca="1"/>
        <v>96.578062672061819</v>
      </c>
      <c r="I54" t="b">
        <f t="shared" ca="1" si="0"/>
        <v>1</v>
      </c>
      <c r="J54" s="60">
        <f ca="1"/>
        <v>774.79517028203873</v>
      </c>
      <c r="K54" s="60">
        <f ca="1"/>
        <v>774.79517037914991</v>
      </c>
      <c r="L54" s="60">
        <f ca="1"/>
        <v>7.9936667079587629</v>
      </c>
      <c r="M54" s="60"/>
    </row>
    <row r="55" spans="2:13" x14ac:dyDescent="0.25">
      <c r="B55" s="75">
        <f>_xll.meDateFromTenor(B54,Periodicity,"FOLLOWING","NYB")</f>
        <v>43124</v>
      </c>
      <c r="C55" s="76">
        <v>2.4330000000000001E-2</v>
      </c>
      <c r="D55" s="77">
        <f ca="1"/>
        <v>96.971465230572761</v>
      </c>
      <c r="E55" s="83">
        <f ca="1"/>
        <v>3867.4033149171273</v>
      </c>
      <c r="F55" s="77">
        <f ca="1"/>
        <v>96.584724899081053</v>
      </c>
      <c r="G55" s="84">
        <f ca="1"/>
        <v>2.4330000000009528E-2</v>
      </c>
      <c r="H55">
        <f ca="1"/>
        <v>96.584724899081053</v>
      </c>
      <c r="I55" t="b">
        <f t="shared" ca="1" si="0"/>
        <v>1</v>
      </c>
      <c r="J55" s="60">
        <f ca="1"/>
        <v>773.30497130763854</v>
      </c>
      <c r="K55" s="60">
        <f ca="1"/>
        <v>773.30497141048227</v>
      </c>
      <c r="L55" s="60">
        <f ca="1"/>
        <v>7.9745620989527355</v>
      </c>
      <c r="M55" s="60"/>
    </row>
    <row r="56" spans="2:13" x14ac:dyDescent="0.25">
      <c r="B56" s="75">
        <f>_xll.meDateFromTenor(B55,Periodicity,"FOLLOWING","NYB")</f>
        <v>43131</v>
      </c>
      <c r="C56" s="76">
        <v>2.4330000000000001E-2</v>
      </c>
      <c r="D56" s="77">
        <f ca="1"/>
        <v>97.016822696338735</v>
      </c>
      <c r="E56" s="83">
        <f ca="1"/>
        <v>4254.1436464088401</v>
      </c>
      <c r="F56" s="77">
        <f ca="1"/>
        <v>96.591408331697849</v>
      </c>
      <c r="G56" s="84">
        <f ca="1"/>
        <v>2.433000000000959E-2</v>
      </c>
      <c r="H56">
        <f ca="1"/>
        <v>96.591408331697849</v>
      </c>
      <c r="I56" t="b">
        <f t="shared" ca="1" si="0"/>
        <v>1</v>
      </c>
      <c r="J56" s="60">
        <f ca="1"/>
        <v>771.81320877041992</v>
      </c>
      <c r="K56" s="60">
        <f ca="1"/>
        <v>771.81320887120808</v>
      </c>
      <c r="L56" s="60">
        <f ca="1"/>
        <v>7.9554574899467099</v>
      </c>
      <c r="M56" s="60"/>
    </row>
    <row r="57" spans="2:13" x14ac:dyDescent="0.25">
      <c r="B57" s="75">
        <f>_xll.meDateFromTenor(B56,Periodicity,"FOLLOWING","NYB")</f>
        <v>43138</v>
      </c>
      <c r="C57" s="76">
        <v>2.4330000000000001E-2</v>
      </c>
      <c r="D57" s="77">
        <f ca="1"/>
        <v>97.062201377621022</v>
      </c>
      <c r="E57" s="83">
        <f ca="1"/>
        <v>4640.8839779005521</v>
      </c>
      <c r="F57" s="77">
        <f ca="1"/>
        <v>96.598112979830972</v>
      </c>
      <c r="G57" s="84">
        <f ca="1"/>
        <v>2.4330000000009205E-2</v>
      </c>
      <c r="H57">
        <f ca="1"/>
        <v>96.598112979830972</v>
      </c>
      <c r="I57" t="b">
        <f t="shared" ca="1" si="0"/>
        <v>1</v>
      </c>
      <c r="J57" s="60">
        <f ca="1"/>
        <v>770.3198815337272</v>
      </c>
      <c r="K57" s="60">
        <f ca="1"/>
        <v>770.31988163867015</v>
      </c>
      <c r="L57" s="60">
        <f ca="1"/>
        <v>7.9363528809406816</v>
      </c>
      <c r="M57" s="60"/>
    </row>
    <row r="58" spans="2:13" x14ac:dyDescent="0.25">
      <c r="B58" s="75">
        <f>_xll.meDateFromTenor(B57,Periodicity,"FOLLOWING","NYB")</f>
        <v>43145</v>
      </c>
      <c r="C58" s="76">
        <v>2.4330000000000001E-2</v>
      </c>
      <c r="D58" s="77">
        <f ca="1"/>
        <v>97.10760128434292</v>
      </c>
      <c r="E58" s="83">
        <f ca="1"/>
        <v>5027.6243093922658</v>
      </c>
      <c r="F58" s="77">
        <f ca="1"/>
        <v>96.604838853403692</v>
      </c>
      <c r="G58" s="84">
        <f ca="1"/>
        <v>2.4330000000009327E-2</v>
      </c>
      <c r="H58">
        <f ca="1"/>
        <v>96.604838853403692</v>
      </c>
      <c r="I58" t="b">
        <f t="shared" ca="1" si="0"/>
        <v>1</v>
      </c>
      <c r="J58" s="60">
        <f ca="1"/>
        <v>768.82498846018336</v>
      </c>
      <c r="K58" s="60">
        <f ca="1"/>
        <v>768.82498857600001</v>
      </c>
      <c r="L58" s="60">
        <f ca="1"/>
        <v>7.9172482719346542</v>
      </c>
      <c r="M58" s="60"/>
    </row>
    <row r="59" spans="2:13" x14ac:dyDescent="0.25">
      <c r="B59" s="75">
        <f>_xll.meDateFromTenor(B58,Periodicity,"FOLLOWING","NYB")</f>
        <v>43152</v>
      </c>
      <c r="C59" s="76">
        <v>2.4330000000000001E-2</v>
      </c>
      <c r="D59" s="77">
        <f ca="1"/>
        <v>97.153022426432486</v>
      </c>
      <c r="E59" s="83">
        <f ca="1"/>
        <v>5414.3646408839777</v>
      </c>
      <c r="F59" s="77">
        <f ca="1"/>
        <v>96.611585962344094</v>
      </c>
      <c r="G59" s="84">
        <f ca="1"/>
        <v>2.4330000000009521E-2</v>
      </c>
      <c r="H59">
        <f ca="1"/>
        <v>96.611585962344094</v>
      </c>
      <c r="I59" t="b">
        <f t="shared" ca="1" si="0"/>
        <v>1</v>
      </c>
      <c r="J59" s="60">
        <f ca="1"/>
        <v>767.32852841169051</v>
      </c>
      <c r="K59" s="60">
        <f ca="1"/>
        <v>767.32852851080213</v>
      </c>
      <c r="L59" s="60">
        <f ca="1"/>
        <v>7.8981436629286268</v>
      </c>
      <c r="M59" s="60"/>
    </row>
    <row r="60" spans="2:13" x14ac:dyDescent="0.25">
      <c r="B60" s="75">
        <f>_xll.meDateFromTenor(B59,Periodicity,"FOLLOWING","NYB")</f>
        <v>43159</v>
      </c>
      <c r="C60" s="76">
        <v>2.4330000000000001E-2</v>
      </c>
      <c r="D60" s="77">
        <f ca="1"/>
        <v>97.198464813822341</v>
      </c>
      <c r="E60" s="83">
        <f ca="1"/>
        <v>5801.1049723756905</v>
      </c>
      <c r="F60" s="77">
        <f ca="1"/>
        <v>96.618354316584771</v>
      </c>
      <c r="G60" s="84">
        <f ca="1"/>
        <v>2.4330000000009042E-2</v>
      </c>
      <c r="H60">
        <f ca="1"/>
        <v>96.618354316584771</v>
      </c>
      <c r="I60" t="b">
        <f t="shared" ca="1" si="0"/>
        <v>1</v>
      </c>
      <c r="J60" s="60">
        <f ca="1"/>
        <v>765.83050024942781</v>
      </c>
      <c r="K60" s="60">
        <f ca="1"/>
        <v>765.83050035594613</v>
      </c>
      <c r="L60" s="60">
        <f ca="1"/>
        <v>7.8790390539225994</v>
      </c>
      <c r="M60" s="60"/>
    </row>
    <row r="61" spans="2:13" x14ac:dyDescent="0.25">
      <c r="B61" s="75">
        <f>_xll.meDateFromTenor(B60,Periodicity,"FOLLOWING","NYB")</f>
        <v>43166</v>
      </c>
      <c r="C61" s="76">
        <v>2.4330000000000001E-2</v>
      </c>
      <c r="D61" s="77">
        <f ca="1"/>
        <v>97.243928456449737</v>
      </c>
      <c r="E61" s="83">
        <f ca="1"/>
        <v>6187.8453038674033</v>
      </c>
      <c r="F61" s="77">
        <f ca="1"/>
        <v>96.625143926063004</v>
      </c>
      <c r="G61" s="84">
        <f ca="1"/>
        <v>2.4330000000009382E-2</v>
      </c>
      <c r="H61">
        <f ca="1"/>
        <v>96.625143926063004</v>
      </c>
      <c r="I61" t="b">
        <f t="shared" ca="1" si="0"/>
        <v>1</v>
      </c>
      <c r="J61" s="60">
        <f ca="1"/>
        <v>764.33090283385206</v>
      </c>
      <c r="K61" s="60">
        <f ca="1"/>
        <v>764.33090294614192</v>
      </c>
      <c r="L61" s="60">
        <f ca="1"/>
        <v>7.859934444916572</v>
      </c>
      <c r="M61" s="60"/>
    </row>
    <row r="62" spans="2:13" x14ac:dyDescent="0.25">
      <c r="B62" s="75">
        <f>_xll.meDateFromTenor(B61,Periodicity,"FOLLOWING","NYB")</f>
        <v>43173</v>
      </c>
      <c r="C62" s="76">
        <v>2.4330000000000001E-2</v>
      </c>
      <c r="D62" s="77">
        <f ca="1"/>
        <v>97.289413364256632</v>
      </c>
      <c r="E62" s="83">
        <f ca="1"/>
        <v>6574.5856353591162</v>
      </c>
      <c r="F62" s="77">
        <f ca="1"/>
        <v>96.63195480072072</v>
      </c>
      <c r="G62" s="84">
        <f ca="1"/>
        <v>2.4330000000009351E-2</v>
      </c>
      <c r="H62">
        <f ca="1"/>
        <v>96.63195480072072</v>
      </c>
      <c r="I62" t="b">
        <f t="shared" ca="1" si="0"/>
        <v>1</v>
      </c>
      <c r="J62" s="60">
        <f ca="1"/>
        <v>762.82973502469747</v>
      </c>
      <c r="K62" s="60">
        <f ca="1"/>
        <v>762.82973513031027</v>
      </c>
      <c r="L62" s="60">
        <f ca="1"/>
        <v>7.8408298359105446</v>
      </c>
      <c r="M62" s="60"/>
    </row>
    <row r="63" spans="2:13" x14ac:dyDescent="0.25">
      <c r="B63" s="75">
        <f>_xll.meDateFromTenor(B62,Periodicity,"FOLLOWING","NYB")</f>
        <v>43180</v>
      </c>
      <c r="C63" s="76">
        <v>2.4330000000000001E-2</v>
      </c>
      <c r="D63" s="77">
        <f ca="1"/>
        <v>97.334919547189614</v>
      </c>
      <c r="E63" s="83">
        <f ca="1"/>
        <v>6961.325966850829</v>
      </c>
      <c r="F63" s="77">
        <f ca="1"/>
        <v>96.638786950504524</v>
      </c>
      <c r="G63" s="84">
        <f ca="1"/>
        <v>2.4330000000009278E-2</v>
      </c>
      <c r="H63">
        <f ca="1"/>
        <v>96.638786950504524</v>
      </c>
      <c r="I63" t="b">
        <f t="shared" ca="1" si="0"/>
        <v>1</v>
      </c>
      <c r="J63" s="60">
        <f ca="1"/>
        <v>761.32699568097462</v>
      </c>
      <c r="K63" s="60">
        <f ca="1"/>
        <v>761.32699577868823</v>
      </c>
      <c r="L63" s="60">
        <f ca="1"/>
        <v>7.8217252269045172</v>
      </c>
      <c r="M63" s="60"/>
    </row>
    <row r="64" spans="2:13" x14ac:dyDescent="0.25">
      <c r="B64" s="75">
        <f>_xll.meDateFromTenor(B63,Periodicity,"FOLLOWING","NYB")</f>
        <v>43187</v>
      </c>
      <c r="C64" s="76">
        <v>2.4330000000000001E-2</v>
      </c>
      <c r="D64" s="77">
        <f ca="1"/>
        <v>97.380447015199891</v>
      </c>
      <c r="E64" s="83">
        <f ca="1"/>
        <v>7348.0662983425418</v>
      </c>
      <c r="F64" s="77">
        <f ca="1"/>
        <v>96.645640385365638</v>
      </c>
      <c r="G64" s="84">
        <f ca="1"/>
        <v>2.4330000000009237E-2</v>
      </c>
      <c r="H64">
        <f ca="1"/>
        <v>96.645640385365638</v>
      </c>
      <c r="I64" t="b">
        <f t="shared" ca="1" si="0"/>
        <v>1</v>
      </c>
      <c r="J64" s="60">
        <f ca="1"/>
        <v>759.82268366097026</v>
      </c>
      <c r="K64" s="60">
        <f ca="1"/>
        <v>759.82268375440742</v>
      </c>
      <c r="L64" s="60">
        <f ca="1"/>
        <v>7.8026206178984916</v>
      </c>
      <c r="M64" s="60"/>
    </row>
    <row r="65" spans="2:13" x14ac:dyDescent="0.25">
      <c r="B65" s="75">
        <f>_xll.meDateFromTenor(B64,Periodicity,"FOLLOWING","NYB")</f>
        <v>43194</v>
      </c>
      <c r="C65" s="76">
        <v>2.4330000000000001E-2</v>
      </c>
      <c r="D65" s="77">
        <f ca="1"/>
        <v>97.425995778243376</v>
      </c>
      <c r="E65" s="83">
        <f ca="1"/>
        <v>7734.8066298342546</v>
      </c>
      <c r="F65" s="77">
        <f ca="1"/>
        <v>96.652515115259945</v>
      </c>
      <c r="G65" s="84">
        <f ca="1"/>
        <v>2.4330000000009209E-2</v>
      </c>
      <c r="H65">
        <f ca="1"/>
        <v>96.652515115259945</v>
      </c>
      <c r="I65" t="b">
        <f t="shared" ca="1" si="0"/>
        <v>1</v>
      </c>
      <c r="J65" s="60">
        <f ca="1"/>
        <v>758.31679782224705</v>
      </c>
      <c r="K65" s="60">
        <f ca="1"/>
        <v>758.31679792770501</v>
      </c>
      <c r="L65" s="60">
        <f ca="1"/>
        <v>7.7835160088924651</v>
      </c>
      <c r="M65" s="60"/>
    </row>
    <row r="66" spans="2:13" x14ac:dyDescent="0.25">
      <c r="B66" s="75">
        <f>_xll.meDateFromTenor(B65,Periodicity,"FOLLOWING","NYB")</f>
        <v>43201</v>
      </c>
      <c r="C66" s="76">
        <v>2.4330000000000001E-2</v>
      </c>
      <c r="D66" s="77">
        <f ca="1"/>
        <v>97.47156584628064</v>
      </c>
      <c r="E66" s="83">
        <f ca="1"/>
        <v>8121.5469613259675</v>
      </c>
      <c r="F66" s="77">
        <f ca="1"/>
        <v>96.659411150148046</v>
      </c>
      <c r="G66" s="84">
        <f ca="1"/>
        <v>2.4330000000009198E-2</v>
      </c>
      <c r="H66">
        <f ca="1"/>
        <v>96.659411150148046</v>
      </c>
      <c r="I66" t="b">
        <f t="shared" ca="1" si="0"/>
        <v>1</v>
      </c>
      <c r="J66" s="60">
        <f ca="1"/>
        <v>756.8093370216427</v>
      </c>
      <c r="K66" s="60">
        <f ca="1"/>
        <v>756.80933712618526</v>
      </c>
      <c r="L66" s="60">
        <f ca="1"/>
        <v>7.764411399886435</v>
      </c>
      <c r="M66" s="60"/>
    </row>
    <row r="67" spans="2:13" x14ac:dyDescent="0.25">
      <c r="B67" s="75">
        <f>_xll.meDateFromTenor(B66,Periodicity,"FOLLOWING","NYB")</f>
        <v>43208</v>
      </c>
      <c r="C67" s="76">
        <v>2.4330000000000001E-2</v>
      </c>
      <c r="D67" s="77">
        <f ca="1"/>
        <v>97.517157229276819</v>
      </c>
      <c r="E67" s="83">
        <f ca="1"/>
        <v>8508.2872928176803</v>
      </c>
      <c r="F67" s="77">
        <f ca="1"/>
        <v>96.666328499995046</v>
      </c>
      <c r="G67" s="84">
        <f ca="1"/>
        <v>2.4330000000008949E-2</v>
      </c>
      <c r="H67">
        <f ca="1"/>
        <v>96.666328499995046</v>
      </c>
      <c r="I67" t="b">
        <f t="shared" ca="1" si="0"/>
        <v>1</v>
      </c>
      <c r="J67" s="60">
        <f ca="1"/>
        <v>755.30030011527026</v>
      </c>
      <c r="K67" s="60">
        <f ca="1"/>
        <v>755.30030022719063</v>
      </c>
      <c r="L67" s="60">
        <f ca="1"/>
        <v>7.7453067908804085</v>
      </c>
      <c r="M67" s="60"/>
    </row>
    <row r="68" spans="2:13" x14ac:dyDescent="0.25">
      <c r="B68" s="75">
        <f>_xll.meDateFromTenor(B67,Periodicity,"FOLLOWING","NYB")</f>
        <v>43215</v>
      </c>
      <c r="C68" s="76">
        <v>2.4330000000000001E-2</v>
      </c>
      <c r="D68" s="77">
        <f ca="1"/>
        <v>97.562769937201836</v>
      </c>
      <c r="E68" s="83">
        <f ca="1"/>
        <v>8895.0276243093922</v>
      </c>
      <c r="F68" s="77">
        <f ca="1"/>
        <v>96.673267174770899</v>
      </c>
      <c r="G68" s="84">
        <f ca="1"/>
        <v>2.4330000000008747E-2</v>
      </c>
      <c r="H68">
        <f ca="1"/>
        <v>96.673267174770899</v>
      </c>
      <c r="I68" t="b">
        <f t="shared" ca="1" si="0"/>
        <v>1</v>
      </c>
      <c r="J68" s="60">
        <f ca="1"/>
        <v>753.78968595851711</v>
      </c>
      <c r="K68" s="60">
        <f ca="1"/>
        <v>753.78968607253682</v>
      </c>
      <c r="L68" s="60">
        <f ca="1"/>
        <v>7.7262021818743811</v>
      </c>
      <c r="M68" s="60"/>
    </row>
    <row r="69" spans="2:13" x14ac:dyDescent="0.25">
      <c r="B69" s="75">
        <f>_xll.meDateFromTenor(B68,Periodicity,"FOLLOWING","NYB")</f>
        <v>43222</v>
      </c>
      <c r="C69" s="76">
        <v>2.4330000000000001E-2</v>
      </c>
      <c r="D69" s="77">
        <f ca="1"/>
        <v>97.608403980030204</v>
      </c>
      <c r="E69" s="83">
        <f ca="1"/>
        <v>9281.7679558011041</v>
      </c>
      <c r="F69" s="77">
        <f ca="1"/>
        <v>96.680227184450089</v>
      </c>
      <c r="G69" s="84">
        <f ca="1"/>
        <v>2.4330000000008636E-2</v>
      </c>
      <c r="H69">
        <f ca="1"/>
        <v>96.680227184450089</v>
      </c>
      <c r="I69" t="b">
        <f t="shared" ca="1" si="0"/>
        <v>1</v>
      </c>
      <c r="J69" s="60">
        <f ca="1"/>
        <v>752.27749340604453</v>
      </c>
      <c r="K69" s="60">
        <f ca="1"/>
        <v>752.27749351114426</v>
      </c>
      <c r="L69" s="60">
        <f ca="1"/>
        <v>7.7070975728683537</v>
      </c>
      <c r="M69" s="60"/>
    </row>
    <row r="70" spans="2:13" x14ac:dyDescent="0.25">
      <c r="B70" s="75">
        <f>_xll.meDateFromTenor(B69,Periodicity,"FOLLOWING","NYB")</f>
        <v>43229</v>
      </c>
      <c r="C70" s="76">
        <v>2.4330000000000001E-2</v>
      </c>
      <c r="D70" s="77">
        <f ca="1"/>
        <v>97.654059367741098</v>
      </c>
      <c r="E70" s="83">
        <f ca="1"/>
        <v>9668.5082872928178</v>
      </c>
      <c r="F70" s="77">
        <f ca="1"/>
        <v>96.68720853901182</v>
      </c>
      <c r="G70" s="84">
        <f ca="1"/>
        <v>2.4330000000008688E-2</v>
      </c>
      <c r="H70">
        <f ca="1"/>
        <v>96.68720853901182</v>
      </c>
      <c r="I70" t="b">
        <f t="shared" ca="1" si="0"/>
        <v>1</v>
      </c>
      <c r="J70" s="60">
        <f ca="1"/>
        <v>750.76372131178744</v>
      </c>
      <c r="K70" s="60">
        <f ca="1"/>
        <v>750.76372142035541</v>
      </c>
      <c r="L70" s="60">
        <f ca="1"/>
        <v>7.6879929638623263</v>
      </c>
      <c r="M70" s="60"/>
    </row>
    <row r="71" spans="2:13" x14ac:dyDescent="0.25">
      <c r="B71" s="75">
        <f>_xll.meDateFromTenor(B70,Periodicity,"FOLLOWING","NYB")</f>
        <v>43236</v>
      </c>
      <c r="C71" s="76">
        <v>2.4330000000000001E-2</v>
      </c>
      <c r="D71" s="77">
        <f ca="1"/>
        <v>96.699563978188024</v>
      </c>
      <c r="E71" s="83">
        <f ca="1"/>
        <v>54.347826086956523</v>
      </c>
      <c r="F71" s="77">
        <f ca="1"/>
        <v>96.694129195579322</v>
      </c>
      <c r="G71" s="84">
        <f ca="1"/>
        <v>2.4330000000008775E-2</v>
      </c>
      <c r="H71">
        <f ca="1"/>
        <v>96.694129195579322</v>
      </c>
      <c r="I71" t="b">
        <f t="shared" ca="1" si="0"/>
        <v>1</v>
      </c>
      <c r="J71" s="60">
        <f ca="1"/>
        <v>749.25458482280419</v>
      </c>
      <c r="K71" s="60">
        <f ca="1"/>
        <v>749.25458493169117</v>
      </c>
      <c r="L71" s="60">
        <f ca="1"/>
        <v>7.7482726291486621</v>
      </c>
      <c r="M71" s="60"/>
    </row>
    <row r="72" spans="2:13" x14ac:dyDescent="0.25">
      <c r="B72" s="75">
        <f>_xll.meDateFromTenor(B71,Periodicity,"FOLLOWING","NYB")</f>
        <v>43243</v>
      </c>
      <c r="C72" s="76">
        <v>2.4330000000000001E-2</v>
      </c>
      <c r="D72" s="77">
        <f ca="1"/>
        <v>96.744056644817249</v>
      </c>
      <c r="E72" s="83">
        <f ca="1"/>
        <v>434.78260869565219</v>
      </c>
      <c r="F72" s="77">
        <f ca="1"/>
        <v>96.700578383947686</v>
      </c>
      <c r="G72" s="84">
        <f ca="1"/>
        <v>2.4330000000008626E-2</v>
      </c>
      <c r="H72">
        <f ca="1"/>
        <v>96.700578383947686</v>
      </c>
      <c r="I72" t="b">
        <f t="shared" ref="I72:I135" ca="1" si="1">F72=H72</f>
        <v>1</v>
      </c>
      <c r="J72" s="60">
        <f ca="1"/>
        <v>747.78120338911697</v>
      </c>
      <c r="K72" s="60">
        <f ca="1"/>
        <v>747.7812034863972</v>
      </c>
      <c r="L72" s="60">
        <f ca="1"/>
        <v>7.7294795083329486</v>
      </c>
      <c r="M72" s="60"/>
    </row>
    <row r="73" spans="2:13" x14ac:dyDescent="0.25">
      <c r="B73" s="75">
        <f>_xll.meDateFromTenor(B72,Periodicity,"FOLLOWING","NYB")</f>
        <v>43250</v>
      </c>
      <c r="C73" s="76">
        <v>2.4330000000000001E-2</v>
      </c>
      <c r="D73" s="77">
        <f ca="1"/>
        <v>96.788569783073257</v>
      </c>
      <c r="E73" s="83">
        <f ca="1"/>
        <v>815.21739130434787</v>
      </c>
      <c r="F73" s="77">
        <f ca="1"/>
        <v>96.70704804394282</v>
      </c>
      <c r="G73" s="84">
        <f ca="1"/>
        <v>2.4330000000008529E-2</v>
      </c>
      <c r="H73">
        <f ca="1"/>
        <v>96.70704804394282</v>
      </c>
      <c r="I73" t="b">
        <f t="shared" ca="1" si="1"/>
        <v>1</v>
      </c>
      <c r="J73" s="60">
        <f ca="1"/>
        <v>746.30630749360535</v>
      </c>
      <c r="K73" s="60">
        <f ca="1"/>
        <v>746.30630760452721</v>
      </c>
      <c r="L73" s="60">
        <f ca="1"/>
        <v>7.7106863875172396</v>
      </c>
      <c r="M73" s="60"/>
    </row>
    <row r="74" spans="2:13" x14ac:dyDescent="0.25">
      <c r="B74" s="75">
        <f>_xll.meDateFromTenor(B73,Periodicity,"FOLLOWING","NYB")</f>
        <v>43257</v>
      </c>
      <c r="C74" s="76">
        <v>2.4330000000000001E-2</v>
      </c>
      <c r="D74" s="77">
        <f ca="1"/>
        <v>96.833103402375286</v>
      </c>
      <c r="E74" s="83">
        <f ca="1"/>
        <v>1195.6521739130435</v>
      </c>
      <c r="F74" s="77">
        <f ca="1"/>
        <v>96.713538184983989</v>
      </c>
      <c r="G74" s="84">
        <f ca="1"/>
        <v>2.433000000000864E-2</v>
      </c>
      <c r="H74">
        <f ca="1"/>
        <v>96.713538184983989</v>
      </c>
      <c r="I74" t="b">
        <f t="shared" ca="1" si="1"/>
        <v>1</v>
      </c>
      <c r="J74" s="60">
        <f ca="1"/>
        <v>744.82989605454304</v>
      </c>
      <c r="K74" s="60">
        <f ca="1"/>
        <v>744.82989616342354</v>
      </c>
      <c r="L74" s="60">
        <f ca="1"/>
        <v>7.6918932667015252</v>
      </c>
      <c r="M74" s="60"/>
    </row>
    <row r="75" spans="2:13" x14ac:dyDescent="0.25">
      <c r="B75" s="75">
        <f>_xll.meDateFromTenor(B74,Periodicity,"FOLLOWING","NYB")</f>
        <v>43264</v>
      </c>
      <c r="C75" s="76">
        <v>2.4330000000000001E-2</v>
      </c>
      <c r="D75" s="77">
        <f ca="1"/>
        <v>96.877657512146953</v>
      </c>
      <c r="E75" s="83">
        <f ca="1"/>
        <v>1576.0869565217392</v>
      </c>
      <c r="F75" s="77">
        <f ca="1"/>
        <v>96.720048816494781</v>
      </c>
      <c r="G75" s="84">
        <f ca="1"/>
        <v>2.4330000000008505E-2</v>
      </c>
      <c r="H75">
        <f ca="1"/>
        <v>96.720048816494781</v>
      </c>
      <c r="I75" t="b">
        <f t="shared" ca="1" si="1"/>
        <v>1</v>
      </c>
      <c r="J75" s="60">
        <f ca="1"/>
        <v>743.35196798953064</v>
      </c>
      <c r="K75" s="60">
        <f ca="1"/>
        <v>743.35196810437765</v>
      </c>
      <c r="L75" s="60">
        <f ca="1"/>
        <v>7.6731001458858135</v>
      </c>
      <c r="M75" s="60"/>
    </row>
    <row r="76" spans="2:13" x14ac:dyDescent="0.25">
      <c r="B76" s="75">
        <f>_xll.meDateFromTenor(B75,Periodicity,"FOLLOWING","NYB")</f>
        <v>43271</v>
      </c>
      <c r="C76" s="76">
        <v>2.4330000000000001E-2</v>
      </c>
      <c r="D76" s="77">
        <f ca="1"/>
        <v>96.922232121816137</v>
      </c>
      <c r="E76" s="83">
        <f ca="1"/>
        <v>1956.521739130435</v>
      </c>
      <c r="F76" s="77">
        <f ca="1"/>
        <v>96.72657994790309</v>
      </c>
      <c r="G76" s="84">
        <f ca="1"/>
        <v>2.4330000000008314E-2</v>
      </c>
      <c r="H76">
        <f ca="1"/>
        <v>96.72657994790309</v>
      </c>
      <c r="I76" t="b">
        <f t="shared" ca="1" si="1"/>
        <v>1</v>
      </c>
      <c r="J76" s="60">
        <f ca="1"/>
        <v>741.87252221549238</v>
      </c>
      <c r="K76" s="60">
        <f ca="1"/>
        <v>741.87252231894252</v>
      </c>
      <c r="L76" s="60">
        <f ca="1"/>
        <v>7.6543070250701026</v>
      </c>
      <c r="M76" s="60"/>
    </row>
    <row r="77" spans="2:13" x14ac:dyDescent="0.25">
      <c r="B77" s="75">
        <f>_xll.meDateFromTenor(B76,Periodicity,"FOLLOWING","NYB")</f>
        <v>43278</v>
      </c>
      <c r="C77" s="76">
        <v>2.4330000000000001E-2</v>
      </c>
      <c r="D77" s="77">
        <f ca="1"/>
        <v>96.966827240815107</v>
      </c>
      <c r="E77" s="83">
        <f ca="1"/>
        <v>2336.9565217391305</v>
      </c>
      <c r="F77" s="77">
        <f ca="1"/>
        <v>96.7331315886412</v>
      </c>
      <c r="G77" s="84">
        <f ca="1"/>
        <v>2.4330000000008241E-2</v>
      </c>
      <c r="H77">
        <f ca="1"/>
        <v>96.7331315886412</v>
      </c>
      <c r="I77" t="b">
        <f t="shared" ca="1" si="1"/>
        <v>1</v>
      </c>
      <c r="J77" s="60">
        <f ca="1"/>
        <v>740.39155764867724</v>
      </c>
      <c r="K77" s="60">
        <f ca="1"/>
        <v>740.39155776262078</v>
      </c>
      <c r="L77" s="60">
        <f ca="1"/>
        <v>7.6355139042543918</v>
      </c>
      <c r="M77" s="60"/>
    </row>
    <row r="78" spans="2:13" x14ac:dyDescent="0.25">
      <c r="B78" s="75">
        <f>_xll.meDateFromTenor(B77,Periodicity,"FOLLOWING","NYB")</f>
        <v>43286</v>
      </c>
      <c r="C78" s="76">
        <v>2.4330000000000001E-2</v>
      </c>
      <c r="D78" s="77">
        <f ca="1"/>
        <v>97.017818216670136</v>
      </c>
      <c r="E78" s="83">
        <f ca="1"/>
        <v>2771.7391304347825</v>
      </c>
      <c r="F78" s="77">
        <f ca="1"/>
        <v>96.740644303626652</v>
      </c>
      <c r="G78" s="84">
        <f ca="1"/>
        <v>2.4330000000008269E-2</v>
      </c>
      <c r="H78">
        <f ca="1"/>
        <v>96.740644303626652</v>
      </c>
      <c r="I78" t="b">
        <f t="shared" ca="1" si="1"/>
        <v>1</v>
      </c>
      <c r="J78" s="60">
        <f ca="1"/>
        <v>738.69716557778406</v>
      </c>
      <c r="K78" s="60">
        <f ca="1"/>
        <v>738.69716568708543</v>
      </c>
      <c r="L78" s="60">
        <f ca="1"/>
        <v>7.6140360518935797</v>
      </c>
      <c r="M78" s="60"/>
    </row>
    <row r="79" spans="2:13" x14ac:dyDescent="0.25">
      <c r="B79" s="75">
        <f>_xll.meDateFromTenor(B78,Periodicity,"FOLLOWING","NYB")</f>
        <v>43293</v>
      </c>
      <c r="C79" s="76">
        <v>2.4330000000000001E-2</v>
      </c>
      <c r="D79" s="77">
        <f ca="1"/>
        <v>97.062457316014843</v>
      </c>
      <c r="E79" s="83">
        <f ca="1"/>
        <v>3152.1739130434785</v>
      </c>
      <c r="F79" s="77">
        <f ca="1"/>
        <v>96.747239924710499</v>
      </c>
      <c r="G79" s="84">
        <f ca="1"/>
        <v>2.4330000000008244E-2</v>
      </c>
      <c r="H79">
        <f ca="1"/>
        <v>96.747239924710499</v>
      </c>
      <c r="I79" t="b">
        <f t="shared" ca="1" si="1"/>
        <v>1</v>
      </c>
      <c r="J79" s="60">
        <f ca="1"/>
        <v>737.21294280250868</v>
      </c>
      <c r="K79" s="60">
        <f ca="1"/>
        <v>737.21294290862716</v>
      </c>
      <c r="L79" s="60">
        <f ca="1"/>
        <v>7.5952429310778644</v>
      </c>
      <c r="M79" s="60"/>
    </row>
    <row r="80" spans="2:13" x14ac:dyDescent="0.25">
      <c r="B80" s="75">
        <f>_xll.meDateFromTenor(B79,Periodicity,"FOLLOWING","NYB")</f>
        <v>43300</v>
      </c>
      <c r="C80" s="76">
        <v>2.4330000000000001E-2</v>
      </c>
      <c r="D80" s="77">
        <f ca="1"/>
        <v>97.107116954361786</v>
      </c>
      <c r="E80" s="83">
        <f ca="1"/>
        <v>3532.608695652174</v>
      </c>
      <c r="F80" s="77">
        <f ca="1"/>
        <v>96.753856084796567</v>
      </c>
      <c r="G80" s="84">
        <f ca="1"/>
        <v>2.4330000000008099E-2</v>
      </c>
      <c r="H80">
        <f ca="1"/>
        <v>96.753856084796567</v>
      </c>
      <c r="I80" t="b">
        <f t="shared" ca="1" si="1"/>
        <v>1</v>
      </c>
      <c r="J80" s="60">
        <f ca="1"/>
        <v>735.72719782397905</v>
      </c>
      <c r="K80" s="60">
        <f ca="1"/>
        <v>735.72719793446583</v>
      </c>
      <c r="L80" s="60">
        <f ca="1"/>
        <v>7.5764498102621527</v>
      </c>
      <c r="M80" s="60"/>
    </row>
    <row r="81" spans="2:13" x14ac:dyDescent="0.25">
      <c r="B81" s="75">
        <f>_xll.meDateFromTenor(B80,Periodicity,"FOLLOWING","NYB")</f>
        <v>43307</v>
      </c>
      <c r="C81" s="76">
        <v>2.4330000000000001E-2</v>
      </c>
      <c r="D81" s="77">
        <f ca="1"/>
        <v>97.151797141161282</v>
      </c>
      <c r="E81" s="83">
        <f ca="1"/>
        <v>3913.04347826087</v>
      </c>
      <c r="F81" s="77">
        <f ca="1"/>
        <v>96.760492793335189</v>
      </c>
      <c r="G81" s="84">
        <f ca="1"/>
        <v>2.4330000000008321E-2</v>
      </c>
      <c r="H81">
        <f ca="1"/>
        <v>96.760492793335189</v>
      </c>
      <c r="I81" t="b">
        <f t="shared" ca="1" si="1"/>
        <v>1</v>
      </c>
      <c r="J81" s="60">
        <f ca="1"/>
        <v>734.23992955564131</v>
      </c>
      <c r="K81" s="60">
        <f ca="1"/>
        <v>734.23992965615514</v>
      </c>
      <c r="L81" s="60">
        <f ca="1"/>
        <v>7.5576566894464419</v>
      </c>
      <c r="M81" s="60"/>
    </row>
    <row r="82" spans="2:13" x14ac:dyDescent="0.25">
      <c r="B82" s="75">
        <f>_xll.meDateFromTenor(B81,Periodicity,"FOLLOWING","NYB")</f>
        <v>43314</v>
      </c>
      <c r="C82" s="76">
        <v>2.4330000000000001E-2</v>
      </c>
      <c r="D82" s="77">
        <f ca="1"/>
        <v>97.196497885867913</v>
      </c>
      <c r="E82" s="83">
        <f ca="1"/>
        <v>4293.478260869565</v>
      </c>
      <c r="F82" s="77">
        <f ca="1"/>
        <v>96.76715005978096</v>
      </c>
      <c r="G82" s="84">
        <f ca="1"/>
        <v>2.4330000000008227E-2</v>
      </c>
      <c r="H82">
        <f ca="1"/>
        <v>96.76715005978096</v>
      </c>
      <c r="I82" t="b">
        <f t="shared" ca="1" si="1"/>
        <v>1</v>
      </c>
      <c r="J82" s="60">
        <f ca="1"/>
        <v>732.75113691026343</v>
      </c>
      <c r="K82" s="60">
        <f ca="1"/>
        <v>732.75113701498628</v>
      </c>
      <c r="L82" s="60">
        <f ca="1"/>
        <v>7.5388635686307301</v>
      </c>
      <c r="M82" s="60"/>
    </row>
    <row r="83" spans="2:13" x14ac:dyDescent="0.25">
      <c r="B83" s="75">
        <f>_xll.meDateFromTenor(B82,Periodicity,"FOLLOWING","NYB")</f>
        <v>43321</v>
      </c>
      <c r="C83" s="76">
        <v>2.4330000000000001E-2</v>
      </c>
      <c r="D83" s="77">
        <f ca="1"/>
        <v>97.241219197940637</v>
      </c>
      <c r="E83" s="83">
        <f ca="1"/>
        <v>4673.913043478261</v>
      </c>
      <c r="F83" s="77">
        <f ca="1"/>
        <v>96.773827893592809</v>
      </c>
      <c r="G83" s="84">
        <f ca="1"/>
        <v>2.4330000000008286E-2</v>
      </c>
      <c r="H83">
        <f ca="1"/>
        <v>96.773827893592809</v>
      </c>
      <c r="I83" t="b">
        <f t="shared" ca="1" si="1"/>
        <v>1</v>
      </c>
      <c r="J83" s="60">
        <f ca="1"/>
        <v>731.26081879993592</v>
      </c>
      <c r="K83" s="60">
        <f ca="1"/>
        <v>731.26081890961802</v>
      </c>
      <c r="L83" s="60">
        <f ca="1"/>
        <v>7.5200704478150193</v>
      </c>
      <c r="M83" s="60"/>
    </row>
    <row r="84" spans="2:13" x14ac:dyDescent="0.25">
      <c r="B84" s="75">
        <f>_xll.meDateFromTenor(B83,Periodicity,"FOLLOWING","NYB")</f>
        <v>43328</v>
      </c>
      <c r="C84" s="76">
        <v>2.4330000000000001E-2</v>
      </c>
      <c r="D84" s="77">
        <f ca="1"/>
        <v>97.285961086842747</v>
      </c>
      <c r="E84" s="83">
        <f ca="1"/>
        <v>5054.347826086957</v>
      </c>
      <c r="F84" s="77">
        <f ca="1"/>
        <v>96.780526304234044</v>
      </c>
      <c r="G84" s="84">
        <f ca="1"/>
        <v>2.4330000000008171E-2</v>
      </c>
      <c r="H84">
        <f ca="1"/>
        <v>96.780526304234044</v>
      </c>
      <c r="I84" t="b">
        <f t="shared" ca="1" si="1"/>
        <v>1</v>
      </c>
      <c r="J84" s="60">
        <f ca="1"/>
        <v>729.76897413607037</v>
      </c>
      <c r="K84" s="60">
        <f ca="1"/>
        <v>729.76897424581455</v>
      </c>
      <c r="L84" s="60">
        <f ca="1"/>
        <v>7.5012773269993067</v>
      </c>
      <c r="M84" s="60"/>
    </row>
    <row r="85" spans="2:13" x14ac:dyDescent="0.25">
      <c r="B85" s="75">
        <f>_xll.meDateFromTenor(B84,Periodicity,"FOLLOWING","NYB")</f>
        <v>43335</v>
      </c>
      <c r="C85" s="76">
        <v>2.4330000000000001E-2</v>
      </c>
      <c r="D85" s="77">
        <f ca="1"/>
        <v>97.330723562041854</v>
      </c>
      <c r="E85" s="83">
        <f ca="1"/>
        <v>5434.782608695652</v>
      </c>
      <c r="F85" s="77">
        <f ca="1"/>
        <v>96.787245301172291</v>
      </c>
      <c r="G85" s="84">
        <f ca="1"/>
        <v>2.4330000000008109E-2</v>
      </c>
      <c r="H85">
        <f ca="1"/>
        <v>96.787245301172291</v>
      </c>
      <c r="I85" t="b">
        <f t="shared" ca="1" si="1"/>
        <v>1</v>
      </c>
      <c r="J85" s="60">
        <f ca="1"/>
        <v>728.27560182939987</v>
      </c>
      <c r="K85" s="60">
        <f ca="1"/>
        <v>728.27560193644547</v>
      </c>
      <c r="L85" s="60">
        <f ca="1"/>
        <v>7.4824842061835968</v>
      </c>
      <c r="M85" s="60"/>
    </row>
    <row r="86" spans="2:13" x14ac:dyDescent="0.25">
      <c r="B86" s="75">
        <f>_xll.meDateFromTenor(B85,Periodicity,"FOLLOWING","NYB")</f>
        <v>43342</v>
      </c>
      <c r="C86" s="76">
        <v>2.4330000000000001E-2</v>
      </c>
      <c r="D86" s="77">
        <f ca="1"/>
        <v>97.375506633010048</v>
      </c>
      <c r="E86" s="83">
        <f ca="1"/>
        <v>5815.217391304348</v>
      </c>
      <c r="F86" s="77">
        <f ca="1"/>
        <v>96.79398489387961</v>
      </c>
      <c r="G86" s="84">
        <f ca="1"/>
        <v>2.4330000000007984E-2</v>
      </c>
      <c r="H86">
        <f ca="1"/>
        <v>96.79398489387961</v>
      </c>
      <c r="I86" t="b">
        <f t="shared" ca="1" si="1"/>
        <v>1</v>
      </c>
      <c r="J86" s="60">
        <f ca="1"/>
        <v>726.78070078997848</v>
      </c>
      <c r="K86" s="60">
        <f ca="1"/>
        <v>726.78070088727497</v>
      </c>
      <c r="L86" s="60">
        <f ca="1"/>
        <v>7.4636910853678851</v>
      </c>
      <c r="M86" s="60"/>
    </row>
    <row r="87" spans="2:13" x14ac:dyDescent="0.25">
      <c r="B87" s="75">
        <f>_xll.meDateFromTenor(B86,Periodicity,"FOLLOWING","NYB")</f>
        <v>43349</v>
      </c>
      <c r="C87" s="76">
        <v>2.4330000000000001E-2</v>
      </c>
      <c r="D87" s="77">
        <f ca="1"/>
        <v>97.420310309223652</v>
      </c>
      <c r="E87" s="83">
        <f ca="1"/>
        <v>6195.652173913043</v>
      </c>
      <c r="F87" s="77">
        <f ca="1"/>
        <v>96.800745091832354</v>
      </c>
      <c r="G87" s="84">
        <f ca="1"/>
        <v>2.4330000000007918E-2</v>
      </c>
      <c r="H87">
        <f ca="1"/>
        <v>96.800745091832354</v>
      </c>
      <c r="I87" t="b">
        <f t="shared" ca="1" si="1"/>
        <v>1</v>
      </c>
      <c r="J87" s="60">
        <f ca="1"/>
        <v>725.28426992718016</v>
      </c>
      <c r="K87" s="60">
        <f ca="1"/>
        <v>725.28427002538353</v>
      </c>
      <c r="L87" s="60">
        <f ca="1"/>
        <v>7.4448979645521725</v>
      </c>
      <c r="M87" s="60"/>
    </row>
    <row r="88" spans="2:13" x14ac:dyDescent="0.25">
      <c r="B88" s="75">
        <f>_xll.meDateFromTenor(B87,Periodicity,"FOLLOWING","NYB")</f>
        <v>43356</v>
      </c>
      <c r="C88" s="76">
        <v>2.4330000000000001E-2</v>
      </c>
      <c r="D88" s="77">
        <f ca="1"/>
        <v>97.465134600163381</v>
      </c>
      <c r="E88" s="83">
        <f ca="1"/>
        <v>6576.0869565217399</v>
      </c>
      <c r="F88" s="77">
        <f ca="1"/>
        <v>96.807525904511209</v>
      </c>
      <c r="G88" s="84">
        <f ca="1"/>
        <v>2.4330000000007904E-2</v>
      </c>
      <c r="H88">
        <f ca="1"/>
        <v>96.807525904511209</v>
      </c>
      <c r="I88" t="b">
        <f t="shared" ca="1" si="1"/>
        <v>1</v>
      </c>
      <c r="J88" s="60">
        <f ca="1"/>
        <v>723.78630814969938</v>
      </c>
      <c r="K88" s="60">
        <f ca="1"/>
        <v>723.78630824232448</v>
      </c>
      <c r="L88" s="60">
        <f ca="1"/>
        <v>7.4261048437364607</v>
      </c>
      <c r="M88" s="60"/>
    </row>
    <row r="89" spans="2:13" x14ac:dyDescent="0.25">
      <c r="B89" s="75">
        <f>_xll.meDateFromTenor(B88,Periodicity,"FOLLOWING","NYB")</f>
        <v>43363</v>
      </c>
      <c r="C89" s="76">
        <v>2.4330000000000001E-2</v>
      </c>
      <c r="D89" s="77">
        <f ca="1"/>
        <v>97.509979515314342</v>
      </c>
      <c r="E89" s="83">
        <f ca="1"/>
        <v>6956.521739130435</v>
      </c>
      <c r="F89" s="77">
        <f ca="1"/>
        <v>96.814327341401295</v>
      </c>
      <c r="G89" s="84">
        <f ca="1"/>
        <v>2.4330000000007811E-2</v>
      </c>
      <c r="H89">
        <f ca="1"/>
        <v>96.814327341401295</v>
      </c>
      <c r="I89" t="b">
        <f t="shared" ca="1" si="1"/>
        <v>1</v>
      </c>
      <c r="J89" s="60">
        <f ca="1"/>
        <v>722.28681436555007</v>
      </c>
      <c r="K89" s="60">
        <f ca="1"/>
        <v>722.28681446517828</v>
      </c>
      <c r="L89" s="60">
        <f ca="1"/>
        <v>7.4073117229207499</v>
      </c>
      <c r="M89" s="60"/>
    </row>
    <row r="90" spans="2:13" x14ac:dyDescent="0.25">
      <c r="B90" s="75">
        <f>_xll.meDateFromTenor(B89,Periodicity,"FOLLOWING","NYB")</f>
        <v>43370</v>
      </c>
      <c r="C90" s="76">
        <v>2.4330000000000001E-2</v>
      </c>
      <c r="D90" s="77">
        <f ca="1"/>
        <v>97.554845064166003</v>
      </c>
      <c r="E90" s="83">
        <f ca="1"/>
        <v>7336.9565217391309</v>
      </c>
      <c r="F90" s="77">
        <f ca="1"/>
        <v>96.821149411992096</v>
      </c>
      <c r="G90" s="84">
        <f ca="1"/>
        <v>2.4330000000007668E-2</v>
      </c>
      <c r="H90">
        <f ca="1"/>
        <v>96.821149411992096</v>
      </c>
      <c r="I90" t="b">
        <f t="shared" ca="1" si="1"/>
        <v>1</v>
      </c>
      <c r="J90" s="60">
        <f ca="1"/>
        <v>720.7857874820653</v>
      </c>
      <c r="K90" s="60">
        <f ca="1"/>
        <v>720.78578758549838</v>
      </c>
      <c r="L90" s="60">
        <f ca="1"/>
        <v>7.3885186021050373</v>
      </c>
      <c r="M90" s="60"/>
    </row>
    <row r="91" spans="2:13" x14ac:dyDescent="0.25">
      <c r="B91" s="75">
        <f>_xll.meDateFromTenor(B90,Periodicity,"FOLLOWING","NYB")</f>
        <v>43377</v>
      </c>
      <c r="C91" s="76">
        <v>2.4330000000000001E-2</v>
      </c>
      <c r="D91" s="77">
        <f ca="1"/>
        <v>97.599731256212166</v>
      </c>
      <c r="E91" s="83">
        <f ca="1"/>
        <v>7717.391304347826</v>
      </c>
      <c r="F91" s="77">
        <f ca="1"/>
        <v>96.827992125777385</v>
      </c>
      <c r="G91" s="84">
        <f ca="1"/>
        <v>2.4330000000007696E-2</v>
      </c>
      <c r="H91">
        <f ca="1"/>
        <v>96.827992125777385</v>
      </c>
      <c r="I91" t="b">
        <f t="shared" ca="1" si="1"/>
        <v>1</v>
      </c>
      <c r="J91" s="60">
        <f ca="1"/>
        <v>719.28322640589715</v>
      </c>
      <c r="K91" s="60">
        <f ca="1"/>
        <v>719.28322651615406</v>
      </c>
      <c r="L91" s="60">
        <f ca="1"/>
        <v>7.3697254812893265</v>
      </c>
      <c r="M91" s="60"/>
    </row>
    <row r="92" spans="2:13" x14ac:dyDescent="0.25">
      <c r="B92" s="75">
        <f>_xll.meDateFromTenor(B91,Periodicity,"FOLLOWING","NYB")</f>
        <v>43384</v>
      </c>
      <c r="C92" s="76">
        <v>2.4330000000000001E-2</v>
      </c>
      <c r="D92" s="77">
        <f ca="1"/>
        <v>97.644638100951042</v>
      </c>
      <c r="E92" s="83">
        <f ca="1"/>
        <v>8097.826086956522</v>
      </c>
      <c r="F92" s="77">
        <f ca="1"/>
        <v>96.834855492255386</v>
      </c>
      <c r="G92" s="84">
        <f ca="1"/>
        <v>2.4330000000007769E-2</v>
      </c>
      <c r="H92">
        <f ca="1"/>
        <v>96.834855492255386</v>
      </c>
      <c r="I92" t="b">
        <f t="shared" ca="1" si="1"/>
        <v>1</v>
      </c>
      <c r="J92" s="60">
        <f ca="1"/>
        <v>717.77913004301581</v>
      </c>
      <c r="K92" s="60">
        <f ca="1"/>
        <v>717.77913013448813</v>
      </c>
      <c r="L92" s="60">
        <f ca="1"/>
        <v>7.3509323604736139</v>
      </c>
      <c r="M92" s="60"/>
    </row>
    <row r="93" spans="2:13" x14ac:dyDescent="0.25">
      <c r="B93" s="75">
        <f>_xll.meDateFromTenor(B92,Periodicity,"FOLLOWING","NYB")</f>
        <v>43391</v>
      </c>
      <c r="C93" s="76">
        <v>2.4330000000000001E-2</v>
      </c>
      <c r="D93" s="77">
        <f ca="1"/>
        <v>97.689565607885172</v>
      </c>
      <c r="E93" s="83">
        <f ca="1"/>
        <v>8478.2608695652179</v>
      </c>
      <c r="F93" s="77">
        <f ca="1"/>
        <v>96.841739520928655</v>
      </c>
      <c r="G93" s="84">
        <f ca="1"/>
        <v>2.4330000000007377E-2</v>
      </c>
      <c r="H93">
        <f ca="1"/>
        <v>96.841739520928655</v>
      </c>
      <c r="I93" t="b">
        <f t="shared" ca="1" si="1"/>
        <v>1</v>
      </c>
      <c r="J93" s="60">
        <f ca="1"/>
        <v>716.27349729871003</v>
      </c>
      <c r="K93" s="60">
        <f ca="1"/>
        <v>716.27349741021351</v>
      </c>
      <c r="L93" s="60">
        <f ca="1"/>
        <v>7.332139239657903</v>
      </c>
      <c r="M93" s="60"/>
    </row>
    <row r="94" spans="2:13" x14ac:dyDescent="0.25">
      <c r="B94" s="75">
        <f>_xll.meDateFromTenor(B93,Periodicity,"FOLLOWING","NYB")</f>
        <v>43398</v>
      </c>
      <c r="C94" s="76">
        <v>2.4330000000000001E-2</v>
      </c>
      <c r="D94" s="77">
        <f ca="1"/>
        <v>97.734513786521475</v>
      </c>
      <c r="E94" s="83">
        <f ca="1"/>
        <v>8858.6956521739139</v>
      </c>
      <c r="F94" s="77">
        <f ca="1"/>
        <v>96.848644221304085</v>
      </c>
      <c r="G94" s="84">
        <f ca="1"/>
        <v>2.4330000000007544E-2</v>
      </c>
      <c r="H94">
        <f ca="1"/>
        <v>96.848644221304085</v>
      </c>
      <c r="I94" t="b">
        <f t="shared" ca="1" si="1"/>
        <v>1</v>
      </c>
      <c r="J94" s="60">
        <f ca="1"/>
        <v>714.76632707758552</v>
      </c>
      <c r="K94" s="60">
        <f ca="1"/>
        <v>714.76632716382926</v>
      </c>
      <c r="L94" s="60">
        <f ca="1"/>
        <v>7.3133461188421922</v>
      </c>
      <c r="M94" s="60"/>
    </row>
    <row r="95" spans="2:13" x14ac:dyDescent="0.25">
      <c r="B95" s="75">
        <f>_xll.meDateFromTenor(B94,Periodicity,"FOLLOWING","NYB")</f>
        <v>43405</v>
      </c>
      <c r="C95" s="76">
        <v>2.4330000000000001E-2</v>
      </c>
      <c r="D95" s="77">
        <f ca="1"/>
        <v>97.779482646371292</v>
      </c>
      <c r="E95" s="83">
        <f ca="1"/>
        <v>9239.1304347826081</v>
      </c>
      <c r="F95" s="77">
        <f ca="1"/>
        <v>96.855569602893027</v>
      </c>
      <c r="G95" s="84">
        <f ca="1"/>
        <v>2.4330000000007738E-2</v>
      </c>
      <c r="H95">
        <f ca="1"/>
        <v>96.855569602893027</v>
      </c>
      <c r="I95" t="b">
        <f t="shared" ca="1" si="1"/>
        <v>1</v>
      </c>
      <c r="J95" s="60">
        <f ca="1"/>
        <v>713.25761828356588</v>
      </c>
      <c r="K95" s="60">
        <f ca="1"/>
        <v>713.25761837925938</v>
      </c>
      <c r="L95" s="60">
        <f ca="1"/>
        <v>7.2945529980264796</v>
      </c>
      <c r="M95" s="60"/>
    </row>
    <row r="96" spans="2:13" x14ac:dyDescent="0.25">
      <c r="B96" s="75">
        <f>_xll.meDateFromTenor(B95,Periodicity,"FOLLOWING","NYB")</f>
        <v>43412</v>
      </c>
      <c r="C96" s="76">
        <v>2.4330000000000001E-2</v>
      </c>
      <c r="D96" s="77">
        <f ca="1"/>
        <v>97.824472196950282</v>
      </c>
      <c r="E96" s="83">
        <f ca="1"/>
        <v>9619.565217391304</v>
      </c>
      <c r="F96" s="77">
        <f ca="1"/>
        <v>96.862515675211156</v>
      </c>
      <c r="G96" s="84">
        <f ca="1"/>
        <v>2.4330000000007613E-2</v>
      </c>
      <c r="H96">
        <f ca="1"/>
        <v>96.862515675211156</v>
      </c>
      <c r="I96" t="b">
        <f t="shared" ca="1" si="1"/>
        <v>1</v>
      </c>
      <c r="J96" s="60">
        <f ca="1"/>
        <v>711.74736981989133</v>
      </c>
      <c r="K96" s="60">
        <f ca="1"/>
        <v>711.74736992674059</v>
      </c>
      <c r="L96" s="60">
        <f ca="1"/>
        <v>7.2757598772107697</v>
      </c>
      <c r="M96" s="60"/>
    </row>
    <row r="97" spans="2:13" x14ac:dyDescent="0.25">
      <c r="B97" s="75">
        <f>_xll.meDateFromTenor(B96,Periodicity,"FOLLOWING","NYB")</f>
        <v>43419</v>
      </c>
      <c r="C97" s="76">
        <v>2.4330000000000001E-2</v>
      </c>
      <c r="D97" s="77">
        <f ca="1"/>
        <v>96.869482447778495</v>
      </c>
      <c r="E97" s="83">
        <f ca="1"/>
        <v>0</v>
      </c>
      <c r="F97" s="77">
        <f ca="1"/>
        <v>96.869482447778495</v>
      </c>
      <c r="G97" s="84">
        <f ca="1"/>
        <v>2.4330000000007526E-2</v>
      </c>
      <c r="H97">
        <f ca="1"/>
        <v>96.869482447778495</v>
      </c>
      <c r="I97" t="b">
        <f t="shared" ca="1" si="1"/>
        <v>1</v>
      </c>
      <c r="J97" s="60">
        <f ca="1"/>
        <v>710.23558058911806</v>
      </c>
      <c r="K97" s="60">
        <f ca="1"/>
        <v>710.23558067651027</v>
      </c>
      <c r="L97" s="60">
        <f ca="1"/>
        <v>7.3318816477831392</v>
      </c>
      <c r="M97" s="60"/>
    </row>
    <row r="98" spans="2:13" x14ac:dyDescent="0.25">
      <c r="B98" s="75">
        <f>_xll.meDateFromTenor(B97,Periodicity,"FOLLOWING","NYB")</f>
        <v>43427</v>
      </c>
      <c r="C98" s="76">
        <v>2.4330000000000001E-2</v>
      </c>
      <c r="D98" s="77">
        <f ca="1"/>
        <v>96.92126676538183</v>
      </c>
      <c r="E98" s="83">
        <f ca="1"/>
        <v>441.98895027624309</v>
      </c>
      <c r="F98" s="77">
        <f ca="1"/>
        <v>96.87706787035421</v>
      </c>
      <c r="G98" s="84">
        <f ca="1"/>
        <v>2.4330000000007512E-2</v>
      </c>
      <c r="H98">
        <f ca="1"/>
        <v>96.87706787035421</v>
      </c>
      <c r="I98" t="b">
        <f t="shared" ca="1" si="1"/>
        <v>1</v>
      </c>
      <c r="J98" s="60">
        <f ca="1"/>
        <v>708.49909375594359</v>
      </c>
      <c r="K98" s="60">
        <f ca="1"/>
        <v>708.49909384662612</v>
      </c>
      <c r="L98" s="60">
        <f ca="1"/>
        <v>7.3100478089191059</v>
      </c>
      <c r="M98" s="60"/>
    </row>
    <row r="99" spans="2:13" x14ac:dyDescent="0.25">
      <c r="B99" s="75">
        <f>_xll.meDateFromTenor(B98,Periodicity,"FOLLOWING","NYB")</f>
        <v>43434</v>
      </c>
      <c r="C99" s="76">
        <v>2.4330000000000001E-2</v>
      </c>
      <c r="D99" s="77">
        <f ca="1"/>
        <v>96.966600751300817</v>
      </c>
      <c r="E99" s="83">
        <f ca="1"/>
        <v>828.72928176795574</v>
      </c>
      <c r="F99" s="77">
        <f ca="1"/>
        <v>96.883727823124019</v>
      </c>
      <c r="G99" s="84">
        <f ca="1"/>
        <v>2.4330000000007526E-2</v>
      </c>
      <c r="H99">
        <f ca="1"/>
        <v>96.883727823124019</v>
      </c>
      <c r="I99" t="b">
        <f t="shared" ca="1" si="1"/>
        <v>1</v>
      </c>
      <c r="J99" s="60">
        <f ca="1"/>
        <v>706.97797836638313</v>
      </c>
      <c r="K99" s="60">
        <f ca="1"/>
        <v>706.97797846719357</v>
      </c>
      <c r="L99" s="60">
        <f ca="1"/>
        <v>7.2909431999130785</v>
      </c>
      <c r="M99" s="60"/>
    </row>
    <row r="100" spans="2:13" x14ac:dyDescent="0.25">
      <c r="B100" s="75">
        <f>_xll.meDateFromTenor(B99,Periodicity,"FOLLOWING","NYB")</f>
        <v>43441</v>
      </c>
      <c r="C100" s="76">
        <v>2.4330000000000001E-2</v>
      </c>
      <c r="D100" s="77">
        <f ca="1"/>
        <v>97.011955941753612</v>
      </c>
      <c r="E100" s="83">
        <f ca="1"/>
        <v>1215.4696132596684</v>
      </c>
      <c r="F100" s="77">
        <f ca="1"/>
        <v>96.890408980427651</v>
      </c>
      <c r="G100" s="84">
        <f ca="1"/>
        <v>2.4330000000007339E-2</v>
      </c>
      <c r="H100">
        <f ca="1"/>
        <v>96.890408980427651</v>
      </c>
      <c r="I100" t="b">
        <f t="shared" ca="1" si="1"/>
        <v>1</v>
      </c>
      <c r="J100" s="60">
        <f ca="1"/>
        <v>705.45528499661862</v>
      </c>
      <c r="K100" s="60">
        <f ca="1"/>
        <v>705.45528509313715</v>
      </c>
      <c r="L100" s="60">
        <f ca="1"/>
        <v>7.271838590907052</v>
      </c>
      <c r="M100" s="60"/>
    </row>
    <row r="101" spans="2:13" x14ac:dyDescent="0.25">
      <c r="B101" s="75">
        <f>_xll.meDateFromTenor(B100,Periodicity,"FOLLOWING","NYB")</f>
        <v>43448</v>
      </c>
      <c r="C101" s="76">
        <v>2.4330000000000001E-2</v>
      </c>
      <c r="D101" s="77">
        <f ca="1"/>
        <v>97.057332346658455</v>
      </c>
      <c r="E101" s="83">
        <f ca="1"/>
        <v>1602.2099447513813</v>
      </c>
      <c r="F101" s="77">
        <f ca="1"/>
        <v>96.897111352183316</v>
      </c>
      <c r="G101" s="84">
        <f ca="1"/>
        <v>2.4330000000007176E-2</v>
      </c>
      <c r="H101">
        <f ca="1"/>
        <v>96.897111352183316</v>
      </c>
      <c r="I101" t="b">
        <f t="shared" ca="1" si="1"/>
        <v>1</v>
      </c>
      <c r="J101" s="60">
        <f ca="1"/>
        <v>703.9310125032714</v>
      </c>
      <c r="K101" s="60">
        <f ca="1"/>
        <v>703.93101259469393</v>
      </c>
      <c r="L101" s="60">
        <f ca="1"/>
        <v>7.2527339819010255</v>
      </c>
      <c r="M101" s="60"/>
    </row>
    <row r="102" spans="2:13" x14ac:dyDescent="0.25">
      <c r="B102" s="75">
        <f>_xll.meDateFromTenor(B101,Periodicity,"FOLLOWING","NYB")</f>
        <v>43455</v>
      </c>
      <c r="C102" s="76">
        <v>2.4330000000000001E-2</v>
      </c>
      <c r="D102" s="77">
        <f ca="1"/>
        <v>97.102729975938203</v>
      </c>
      <c r="E102" s="83">
        <f ca="1"/>
        <v>1988.9502762430939</v>
      </c>
      <c r="F102" s="77">
        <f ca="1"/>
        <v>96.9038349483139</v>
      </c>
      <c r="G102" s="84">
        <f ca="1"/>
        <v>2.4330000000007245E-2</v>
      </c>
      <c r="H102">
        <f ca="1"/>
        <v>96.9038349483139</v>
      </c>
      <c r="I102" t="b">
        <f t="shared" ca="1" si="1"/>
        <v>1</v>
      </c>
      <c r="J102" s="60">
        <f ca="1"/>
        <v>702.40515974223808</v>
      </c>
      <c r="K102" s="60">
        <f ca="1"/>
        <v>702.40515984210094</v>
      </c>
      <c r="L102" s="60">
        <f ca="1"/>
        <v>7.2336293728949972</v>
      </c>
      <c r="M102" s="60"/>
    </row>
    <row r="103" spans="2:13" x14ac:dyDescent="0.25">
      <c r="B103" s="75">
        <f>_xll.meDateFromTenor(B102,Periodicity,"FOLLOWING","NYB")</f>
        <v>43462</v>
      </c>
      <c r="C103" s="76">
        <v>2.4330000000000001E-2</v>
      </c>
      <c r="D103" s="77">
        <f ca="1"/>
        <v>97.148148839520331</v>
      </c>
      <c r="E103" s="83">
        <f ca="1"/>
        <v>2375.6906077348067</v>
      </c>
      <c r="F103" s="77">
        <f ca="1"/>
        <v>96.91057977874685</v>
      </c>
      <c r="G103" s="84">
        <f ca="1"/>
        <v>2.4330000000007179E-2</v>
      </c>
      <c r="H103">
        <f ca="1"/>
        <v>96.91057977874685</v>
      </c>
      <c r="I103" t="b">
        <f t="shared" ca="1" si="1"/>
        <v>1</v>
      </c>
      <c r="J103" s="60">
        <f ca="1"/>
        <v>700.87772556869095</v>
      </c>
      <c r="K103" s="60">
        <f ca="1"/>
        <v>700.87772567006823</v>
      </c>
      <c r="L103" s="60">
        <f ca="1"/>
        <v>7.2145247638889698</v>
      </c>
      <c r="M103" s="60"/>
    </row>
    <row r="104" spans="2:13" x14ac:dyDescent="0.25">
      <c r="B104" s="75">
        <f>_xll.meDateFromTenor(B103,Periodicity,"FOLLOWING","NYB")</f>
        <v>43469</v>
      </c>
      <c r="C104" s="76">
        <v>2.4330000000000001E-2</v>
      </c>
      <c r="D104" s="77">
        <f ca="1"/>
        <v>97.193588947336991</v>
      </c>
      <c r="E104" s="83">
        <f ca="1"/>
        <v>2762.4309392265195</v>
      </c>
      <c r="F104" s="77">
        <f ca="1"/>
        <v>96.917345853414332</v>
      </c>
      <c r="G104" s="84">
        <f ca="1"/>
        <v>2.4330000000007183E-2</v>
      </c>
      <c r="H104">
        <f ca="1"/>
        <v>96.917345853414332</v>
      </c>
      <c r="I104" t="b">
        <f t="shared" ca="1" si="1"/>
        <v>1</v>
      </c>
      <c r="J104" s="60">
        <f ca="1"/>
        <v>699.34870883707663</v>
      </c>
      <c r="K104" s="60">
        <f ca="1"/>
        <v>699.34870894172707</v>
      </c>
      <c r="L104" s="60">
        <f ca="1"/>
        <v>7.1954201548829433</v>
      </c>
      <c r="M104" s="60"/>
    </row>
    <row r="105" spans="2:13" x14ac:dyDescent="0.25">
      <c r="B105" s="75">
        <f>_xll.meDateFromTenor(B104,Periodicity,"FOLLOWING","NYB")</f>
        <v>43476</v>
      </c>
      <c r="C105" s="76">
        <v>2.4330000000000001E-2</v>
      </c>
      <c r="D105" s="77">
        <f ca="1"/>
        <v>97.239050309324966</v>
      </c>
      <c r="E105" s="83">
        <f ca="1"/>
        <v>3149.1712707182319</v>
      </c>
      <c r="F105" s="77">
        <f ca="1"/>
        <v>96.924133182253144</v>
      </c>
      <c r="G105" s="84">
        <f ca="1"/>
        <v>2.4330000000007054E-2</v>
      </c>
      <c r="H105">
        <f ca="1"/>
        <v>96.924133182253144</v>
      </c>
      <c r="I105" t="b">
        <f t="shared" ca="1" si="1"/>
        <v>1</v>
      </c>
      <c r="J105" s="60">
        <f ca="1"/>
        <v>697.81810840111621</v>
      </c>
      <c r="K105" s="60">
        <f ca="1"/>
        <v>697.81810849889314</v>
      </c>
      <c r="L105" s="60">
        <f ca="1"/>
        <v>7.176315545876915</v>
      </c>
      <c r="M105" s="60"/>
    </row>
    <row r="106" spans="2:13" x14ac:dyDescent="0.25">
      <c r="B106" s="75">
        <f>_xll.meDateFromTenor(B105,Periodicity,"FOLLOWING","NYB")</f>
        <v>43483</v>
      </c>
      <c r="C106" s="76">
        <v>2.4330000000000001E-2</v>
      </c>
      <c r="D106" s="77">
        <f ca="1"/>
        <v>97.284532935425688</v>
      </c>
      <c r="E106" s="83">
        <f ca="1"/>
        <v>3535.9116022099447</v>
      </c>
      <c r="F106" s="77">
        <f ca="1"/>
        <v>96.930941775204687</v>
      </c>
      <c r="G106" s="84">
        <f ca="1"/>
        <v>2.4330000000006971E-2</v>
      </c>
      <c r="H106">
        <f ca="1"/>
        <v>96.930941775204687</v>
      </c>
      <c r="I106" t="b">
        <f t="shared" ca="1" si="1"/>
        <v>1</v>
      </c>
      <c r="J106" s="60">
        <f ca="1"/>
        <v>696.28592311380498</v>
      </c>
      <c r="K106" s="60">
        <f ca="1"/>
        <v>696.28592321180338</v>
      </c>
      <c r="L106" s="60">
        <f ca="1"/>
        <v>7.1572109368708894</v>
      </c>
      <c r="M106" s="60"/>
    </row>
    <row r="107" spans="2:13" x14ac:dyDescent="0.25">
      <c r="B107" s="75">
        <f>_xll.meDateFromTenor(B106,Periodicity,"FOLLOWING","NYB")</f>
        <v>43490</v>
      </c>
      <c r="C107" s="76">
        <v>2.4330000000000001E-2</v>
      </c>
      <c r="D107" s="77">
        <f ca="1"/>
        <v>97.330036835585233</v>
      </c>
      <c r="E107" s="83">
        <f ca="1"/>
        <v>3922.6519337016575</v>
      </c>
      <c r="F107" s="77">
        <f ca="1"/>
        <v>96.937771642215068</v>
      </c>
      <c r="G107" s="84">
        <f ca="1"/>
        <v>2.4330000000006846E-2</v>
      </c>
      <c r="H107">
        <f ca="1"/>
        <v>96.937771642215068</v>
      </c>
      <c r="I107" t="b">
        <f t="shared" ca="1" si="1"/>
        <v>1</v>
      </c>
      <c r="J107" s="60">
        <f ca="1"/>
        <v>694.7521518274109</v>
      </c>
      <c r="K107" s="60">
        <f ca="1"/>
        <v>694.75215192227324</v>
      </c>
      <c r="L107" s="60">
        <f ca="1"/>
        <v>7.1381063278648602</v>
      </c>
      <c r="M107" s="60"/>
    </row>
    <row r="108" spans="2:13" x14ac:dyDescent="0.25">
      <c r="B108" s="75">
        <f>_xll.meDateFromTenor(B107,Periodicity,"FOLLOWING","NYB")</f>
        <v>43497</v>
      </c>
      <c r="C108" s="76">
        <v>2.4330000000000001E-2</v>
      </c>
      <c r="D108" s="77">
        <f ca="1"/>
        <v>97.375562019754369</v>
      </c>
      <c r="E108" s="83">
        <f ca="1"/>
        <v>4309.3922651933699</v>
      </c>
      <c r="F108" s="77">
        <f ca="1"/>
        <v>96.944622793235027</v>
      </c>
      <c r="G108" s="84">
        <f ca="1"/>
        <v>2.4330000000006777E-2</v>
      </c>
      <c r="H108">
        <f ca="1"/>
        <v>96.944622793235027</v>
      </c>
      <c r="I108" t="b">
        <f t="shared" ca="1" si="1"/>
        <v>1</v>
      </c>
      <c r="J108" s="60">
        <f ca="1"/>
        <v>693.21679339347622</v>
      </c>
      <c r="K108" s="60">
        <f ca="1"/>
        <v>693.21679347922316</v>
      </c>
      <c r="L108" s="60">
        <f ca="1"/>
        <v>7.1190017188588328</v>
      </c>
      <c r="M108" s="60"/>
    </row>
    <row r="109" spans="2:13" x14ac:dyDescent="0.25">
      <c r="B109" s="75">
        <f>_xll.meDateFromTenor(B108,Periodicity,"FOLLOWING","NYB")</f>
        <v>43504</v>
      </c>
      <c r="C109" s="76">
        <v>2.4330000000000001E-2</v>
      </c>
      <c r="D109" s="77">
        <f ca="1"/>
        <v>97.421108497888426</v>
      </c>
      <c r="E109" s="83">
        <f ca="1"/>
        <v>4696.1325966850827</v>
      </c>
      <c r="F109" s="77">
        <f ca="1"/>
        <v>96.95149523821992</v>
      </c>
      <c r="G109" s="84">
        <f ca="1"/>
        <v>2.4330000000006746E-2</v>
      </c>
      <c r="H109">
        <f ca="1"/>
        <v>96.95149523821992</v>
      </c>
      <c r="I109" t="b">
        <f t="shared" ca="1" si="1"/>
        <v>1</v>
      </c>
      <c r="J109" s="60">
        <f ca="1"/>
        <v>691.67984666281473</v>
      </c>
      <c r="K109" s="60">
        <f ca="1"/>
        <v>691.67984676710137</v>
      </c>
      <c r="L109" s="60">
        <f ca="1"/>
        <v>7.0998971098528063</v>
      </c>
      <c r="M109" s="60"/>
    </row>
    <row r="110" spans="2:13" x14ac:dyDescent="0.25">
      <c r="B110" s="75">
        <f>_xll.meDateFromTenor(B109,Periodicity,"FOLLOWING","NYB")</f>
        <v>43511</v>
      </c>
      <c r="C110" s="76">
        <v>2.4330000000000001E-2</v>
      </c>
      <c r="D110" s="77">
        <f ca="1"/>
        <v>97.466676279947535</v>
      </c>
      <c r="E110" s="83">
        <f ca="1"/>
        <v>5082.8729281767955</v>
      </c>
      <c r="F110" s="77">
        <f ca="1"/>
        <v>96.958388987129851</v>
      </c>
      <c r="G110" s="84">
        <f ca="1"/>
        <v>2.4330000000006662E-2</v>
      </c>
      <c r="H110">
        <f ca="1"/>
        <v>96.958388987129851</v>
      </c>
      <c r="I110" t="b">
        <f t="shared" ca="1" si="1"/>
        <v>1</v>
      </c>
      <c r="J110" s="60">
        <f ca="1"/>
        <v>690.14131048551315</v>
      </c>
      <c r="K110" s="60">
        <f ca="1"/>
        <v>690.14131057798511</v>
      </c>
      <c r="L110" s="60">
        <f ca="1"/>
        <v>7.0807925008467789</v>
      </c>
      <c r="M110" s="60"/>
    </row>
    <row r="111" spans="2:13" x14ac:dyDescent="0.25">
      <c r="B111" s="75">
        <f>_xll.meDateFromTenor(B110,Periodicity,"FOLLOWING","NYB")</f>
        <v>43518</v>
      </c>
      <c r="C111" s="76">
        <v>2.4330000000000001E-2</v>
      </c>
      <c r="D111" s="77">
        <f ca="1"/>
        <v>97.51226537589632</v>
      </c>
      <c r="E111" s="83">
        <f ca="1"/>
        <v>5469.6132596685084</v>
      </c>
      <c r="F111" s="77">
        <f ca="1"/>
        <v>96.965304049929472</v>
      </c>
      <c r="G111" s="84">
        <f ca="1"/>
        <v>2.4330000000006687E-2</v>
      </c>
      <c r="H111">
        <f ca="1"/>
        <v>96.965304049929472</v>
      </c>
      <c r="I111" t="b">
        <f t="shared" ca="1" si="1"/>
        <v>1</v>
      </c>
      <c r="J111" s="60">
        <f ca="1"/>
        <v>688.60118371092926</v>
      </c>
      <c r="K111" s="60">
        <f ca="1"/>
        <v>688.60118381053314</v>
      </c>
      <c r="L111" s="60">
        <f ca="1"/>
        <v>7.0616878918407524</v>
      </c>
      <c r="M111" s="60"/>
    </row>
    <row r="112" spans="2:13" x14ac:dyDescent="0.25">
      <c r="B112" s="75">
        <f>_xll.meDateFromTenor(B111,Periodicity,"FOLLOWING","NYB")</f>
        <v>43525</v>
      </c>
      <c r="C112" s="76">
        <v>2.4330000000000001E-2</v>
      </c>
      <c r="D112" s="77">
        <f ca="1"/>
        <v>97.557875795704192</v>
      </c>
      <c r="E112" s="83">
        <f ca="1"/>
        <v>5856.3535911602203</v>
      </c>
      <c r="F112" s="77">
        <f ca="1"/>
        <v>96.972240436588166</v>
      </c>
      <c r="G112" s="84">
        <f ca="1"/>
        <v>2.4330000000006645E-2</v>
      </c>
      <c r="H112">
        <f ca="1"/>
        <v>96.972240436588166</v>
      </c>
      <c r="I112" t="b">
        <f t="shared" ca="1" si="1"/>
        <v>1</v>
      </c>
      <c r="J112" s="60">
        <f ca="1"/>
        <v>687.05946518769269</v>
      </c>
      <c r="K112" s="60">
        <f ca="1"/>
        <v>687.05946528524453</v>
      </c>
      <c r="L112" s="60">
        <f ca="1"/>
        <v>7.0425832828347241</v>
      </c>
      <c r="M112" s="60"/>
    </row>
    <row r="113" spans="2:13" x14ac:dyDescent="0.25">
      <c r="B113" s="75">
        <f>_xll.meDateFromTenor(B112,Periodicity,"FOLLOWING","NYB")</f>
        <v>43532</v>
      </c>
      <c r="C113" s="76">
        <v>2.4330000000000001E-2</v>
      </c>
      <c r="D113" s="77">
        <f ca="1"/>
        <v>97.603507549345153</v>
      </c>
      <c r="E113" s="83">
        <f ca="1"/>
        <v>6243.0939226519331</v>
      </c>
      <c r="F113" s="77">
        <f ca="1"/>
        <v>96.979198157079963</v>
      </c>
      <c r="G113" s="84">
        <f ca="1"/>
        <v>2.4330000000006506E-2</v>
      </c>
      <c r="H113">
        <f ca="1"/>
        <v>96.979198157079963</v>
      </c>
      <c r="I113" t="b">
        <f t="shared" ca="1" si="1"/>
        <v>1</v>
      </c>
      <c r="J113" s="60">
        <f ca="1"/>
        <v>685.51615376370398</v>
      </c>
      <c r="K113" s="60">
        <f ca="1"/>
        <v>685.51615385814546</v>
      </c>
      <c r="L113" s="60">
        <f ca="1"/>
        <v>7.0234786738286976</v>
      </c>
      <c r="M113" s="60"/>
    </row>
    <row r="114" spans="2:13" x14ac:dyDescent="0.25">
      <c r="B114" s="75">
        <f>_xll.meDateFromTenor(B113,Periodicity,"FOLLOWING","NYB")</f>
        <v>43539</v>
      </c>
      <c r="C114" s="76">
        <v>2.4330000000000001E-2</v>
      </c>
      <c r="D114" s="77">
        <f ca="1"/>
        <v>97.64916064679791</v>
      </c>
      <c r="E114" s="83">
        <f ca="1"/>
        <v>6629.8342541436459</v>
      </c>
      <c r="F114" s="77">
        <f ca="1"/>
        <v>96.986177221383542</v>
      </c>
      <c r="G114" s="84">
        <f ca="1"/>
        <v>2.4330000000006759E-2</v>
      </c>
      <c r="H114">
        <f ca="1"/>
        <v>96.986177221383542</v>
      </c>
      <c r="I114" t="b">
        <f t="shared" ca="1" si="1"/>
        <v>1</v>
      </c>
      <c r="J114" s="60">
        <f ca="1"/>
        <v>683.9712482861338</v>
      </c>
      <c r="K114" s="60">
        <f ca="1"/>
        <v>683.97124838526213</v>
      </c>
      <c r="L114" s="60">
        <f ca="1"/>
        <v>7.0043740648226702</v>
      </c>
      <c r="M114" s="60"/>
    </row>
    <row r="115" spans="2:13" x14ac:dyDescent="0.25">
      <c r="B115" s="75">
        <f>_xll.meDateFromTenor(B114,Periodicity,"FOLLOWING","NYB")</f>
        <v>43546</v>
      </c>
      <c r="C115" s="76">
        <v>2.4330000000000001E-2</v>
      </c>
      <c r="D115" s="77">
        <f ca="1"/>
        <v>97.694835098045829</v>
      </c>
      <c r="E115" s="83">
        <f ca="1"/>
        <v>7016.5745856353587</v>
      </c>
      <c r="F115" s="77">
        <f ca="1"/>
        <v>96.993177639482298</v>
      </c>
      <c r="G115" s="84">
        <f ca="1"/>
        <v>2.4330000000006576E-2</v>
      </c>
      <c r="H115">
        <f ca="1"/>
        <v>96.993177639482298</v>
      </c>
      <c r="I115" t="b">
        <f t="shared" ca="1" si="1"/>
        <v>1</v>
      </c>
      <c r="J115" s="60">
        <f ca="1"/>
        <v>682.42474760142329</v>
      </c>
      <c r="K115" s="60">
        <f ca="1"/>
        <v>682.42474769419914</v>
      </c>
      <c r="L115" s="60">
        <f ca="1"/>
        <v>6.9852694558166437</v>
      </c>
      <c r="M115" s="60"/>
    </row>
    <row r="116" spans="2:13" x14ac:dyDescent="0.25">
      <c r="B116" s="75">
        <f>_xll.meDateFromTenor(B115,Periodicity,"FOLLOWING","NYB")</f>
        <v>43553</v>
      </c>
      <c r="C116" s="76">
        <v>2.4330000000000001E-2</v>
      </c>
      <c r="D116" s="77">
        <f ca="1"/>
        <v>97.740530913076952</v>
      </c>
      <c r="E116" s="83">
        <f ca="1"/>
        <v>7403.3149171270716</v>
      </c>
      <c r="F116" s="77">
        <f ca="1"/>
        <v>97.000199421364243</v>
      </c>
      <c r="G116" s="84">
        <f ca="1"/>
        <v>2.433000000000643E-2</v>
      </c>
      <c r="H116">
        <f ca="1"/>
        <v>97.000199421364243</v>
      </c>
      <c r="I116" t="b">
        <f t="shared" ca="1" si="1"/>
        <v>1</v>
      </c>
      <c r="J116" s="60">
        <f ca="1"/>
        <v>680.87665055528282</v>
      </c>
      <c r="K116" s="60">
        <f ca="1"/>
        <v>680.8766506551932</v>
      </c>
      <c r="L116" s="60">
        <f ca="1"/>
        <v>6.9661648468106145</v>
      </c>
      <c r="M116" s="60"/>
    </row>
    <row r="117" spans="2:13" x14ac:dyDescent="0.25">
      <c r="B117" s="75">
        <f>_xll.meDateFromTenor(B116,Periodicity,"FOLLOWING","NYB")</f>
        <v>43560</v>
      </c>
      <c r="C117" s="76">
        <v>2.4330000000000001E-2</v>
      </c>
      <c r="D117" s="77">
        <f ca="1"/>
        <v>97.78624810188397</v>
      </c>
      <c r="E117" s="83">
        <f ca="1"/>
        <v>7790.0552486187844</v>
      </c>
      <c r="F117" s="77">
        <f ca="1"/>
        <v>97.007242577022097</v>
      </c>
      <c r="G117" s="84">
        <f ca="1"/>
        <v>2.433000000000626E-2</v>
      </c>
      <c r="H117">
        <f ca="1"/>
        <v>97.007242577022097</v>
      </c>
      <c r="I117" t="b">
        <f t="shared" ca="1" si="1"/>
        <v>1</v>
      </c>
      <c r="J117" s="60">
        <f ca="1"/>
        <v>679.32695599269232</v>
      </c>
      <c r="K117" s="60">
        <f ca="1"/>
        <v>679.32695608163829</v>
      </c>
      <c r="L117" s="60">
        <f ca="1"/>
        <v>6.9470602378045863</v>
      </c>
      <c r="M117" s="60"/>
    </row>
    <row r="118" spans="2:13" x14ac:dyDescent="0.25">
      <c r="B118" s="75">
        <f>_xll.meDateFromTenor(B117,Periodicity,"FOLLOWING","NYB")</f>
        <v>43567</v>
      </c>
      <c r="C118" s="76">
        <v>2.4330000000000001E-2</v>
      </c>
      <c r="D118" s="77">
        <f ca="1"/>
        <v>97.831986674464218</v>
      </c>
      <c r="E118" s="83">
        <f ca="1"/>
        <v>8176.7955801104972</v>
      </c>
      <c r="F118" s="77">
        <f ca="1"/>
        <v>97.014307116453168</v>
      </c>
      <c r="G118" s="84">
        <f ca="1"/>
        <v>2.4330000000006343E-2</v>
      </c>
      <c r="H118">
        <f ca="1"/>
        <v>97.014307116453168</v>
      </c>
      <c r="I118" t="b">
        <f t="shared" ca="1" si="1"/>
        <v>1</v>
      </c>
      <c r="J118" s="60">
        <f ca="1"/>
        <v>677.77566275790025</v>
      </c>
      <c r="K118" s="60">
        <f ca="1"/>
        <v>677.77566285087676</v>
      </c>
      <c r="L118" s="60">
        <f ca="1"/>
        <v>6.9279556287985615</v>
      </c>
      <c r="M118" s="60"/>
    </row>
    <row r="119" spans="2:13" x14ac:dyDescent="0.25">
      <c r="B119" s="75">
        <f>_xll.meDateFromTenor(B118,Periodicity,"FOLLOWING","NYB")</f>
        <v>43574</v>
      </c>
      <c r="C119" s="76">
        <v>2.4330000000000001E-2</v>
      </c>
      <c r="D119" s="77">
        <f ca="1"/>
        <v>97.877746640819851</v>
      </c>
      <c r="E119" s="83">
        <f ca="1"/>
        <v>8563.53591160221</v>
      </c>
      <c r="F119" s="77">
        <f ca="1"/>
        <v>97.021393049659636</v>
      </c>
      <c r="G119" s="84">
        <f ca="1"/>
        <v>2.4330000000006506E-2</v>
      </c>
      <c r="H119">
        <f ca="1"/>
        <v>97.021393049659636</v>
      </c>
      <c r="I119" t="b">
        <f t="shared" ca="1" si="1"/>
        <v>1</v>
      </c>
      <c r="J119" s="60">
        <f ca="1"/>
        <v>676.22276969442339</v>
      </c>
      <c r="K119" s="60">
        <f ca="1"/>
        <v>676.22276977630224</v>
      </c>
      <c r="L119" s="60">
        <f ca="1"/>
        <v>6.9088510197925332</v>
      </c>
      <c r="M119" s="60"/>
    </row>
    <row r="120" spans="2:13" x14ac:dyDescent="0.25">
      <c r="B120" s="75">
        <f>_xll.meDateFromTenor(B119,Periodicity,"FOLLOWING","NYB")</f>
        <v>43581</v>
      </c>
      <c r="C120" s="76">
        <v>2.4330000000000001E-2</v>
      </c>
      <c r="D120" s="77">
        <f ca="1"/>
        <v>97.923528010957511</v>
      </c>
      <c r="E120" s="83">
        <f ca="1"/>
        <v>8950.2762430939238</v>
      </c>
      <c r="F120" s="77">
        <f ca="1"/>
        <v>97.028500386648119</v>
      </c>
      <c r="G120" s="84">
        <f ca="1"/>
        <v>2.43300000000061E-2</v>
      </c>
      <c r="H120">
        <f ca="1"/>
        <v>97.028500386648119</v>
      </c>
      <c r="I120" t="b">
        <f t="shared" ca="1" si="1"/>
        <v>1</v>
      </c>
      <c r="J120" s="60">
        <f ca="1"/>
        <v>674.66827564504638</v>
      </c>
      <c r="K120" s="60">
        <f ca="1"/>
        <v>674.66827574236265</v>
      </c>
      <c r="L120" s="60">
        <f ca="1"/>
        <v>6.8897464107865058</v>
      </c>
      <c r="M120" s="60"/>
    </row>
    <row r="121" spans="2:13" x14ac:dyDescent="0.25">
      <c r="B121" s="75">
        <f>_xll.meDateFromTenor(B120,Periodicity,"FOLLOWING","NYB")</f>
        <v>43588</v>
      </c>
      <c r="C121" s="76">
        <v>2.4330000000000001E-2</v>
      </c>
      <c r="D121" s="77">
        <f ca="1"/>
        <v>97.969330794888634</v>
      </c>
      <c r="E121" s="83">
        <f ca="1"/>
        <v>9337.0165745856357</v>
      </c>
      <c r="F121" s="77">
        <f ca="1"/>
        <v>97.035629137430064</v>
      </c>
      <c r="G121" s="84">
        <f ca="1"/>
        <v>2.4330000000006079E-2</v>
      </c>
      <c r="H121">
        <f ca="1"/>
        <v>97.035629137430064</v>
      </c>
      <c r="I121" t="b">
        <f t="shared" ca="1" si="1"/>
        <v>1</v>
      </c>
      <c r="J121" s="60">
        <f ca="1"/>
        <v>673.11217945182136</v>
      </c>
      <c r="K121" s="60">
        <f ca="1"/>
        <v>673.11217954113533</v>
      </c>
      <c r="L121" s="60">
        <f ca="1"/>
        <v>6.8706418017804785</v>
      </c>
      <c r="M121" s="60"/>
    </row>
    <row r="122" spans="2:13" x14ac:dyDescent="0.25">
      <c r="B122" s="75">
        <f>_xll.meDateFromTenor(B121,Periodicity,"FOLLOWING","NYB")</f>
        <v>43595</v>
      </c>
      <c r="C122" s="76">
        <v>2.4330000000000001E-2</v>
      </c>
      <c r="D122" s="77">
        <f ca="1"/>
        <v>98.015155002629328</v>
      </c>
      <c r="E122" s="83">
        <f ca="1"/>
        <v>9723.7569060773476</v>
      </c>
      <c r="F122" s="77">
        <f ca="1"/>
        <v>97.042779312021594</v>
      </c>
      <c r="G122" s="84">
        <f ca="1"/>
        <v>2.4330000000006232E-2</v>
      </c>
      <c r="H122">
        <f ca="1"/>
        <v>97.042779312021594</v>
      </c>
      <c r="I122" t="b">
        <f t="shared" ca="1" si="1"/>
        <v>1</v>
      </c>
      <c r="J122" s="60">
        <f ca="1"/>
        <v>671.55447995606778</v>
      </c>
      <c r="K122" s="60">
        <f ca="1"/>
        <v>671.55448004996276</v>
      </c>
      <c r="L122" s="60">
        <f ca="1"/>
        <v>6.8515371927744528</v>
      </c>
      <c r="M122" s="60"/>
    </row>
    <row r="123" spans="2:13" x14ac:dyDescent="0.25">
      <c r="B123" s="75">
        <f>_xll.meDateFromTenor(B122,Periodicity,"FOLLOWING","NYB")</f>
        <v>43602</v>
      </c>
      <c r="C123" s="76">
        <v>2.4330000000000001E-2</v>
      </c>
      <c r="D123" s="77">
        <f ca="1"/>
        <v>97.060655588757072</v>
      </c>
      <c r="E123" s="83">
        <f ca="1"/>
        <v>108.69565217391305</v>
      </c>
      <c r="F123" s="77">
        <f ca="1"/>
        <v>97.049786023539681</v>
      </c>
      <c r="G123" s="84">
        <f ca="1"/>
        <v>2.4330000000005951E-2</v>
      </c>
      <c r="H123">
        <f ca="1"/>
        <v>97.049786023539681</v>
      </c>
      <c r="I123" t="b">
        <f t="shared" ca="1" si="1"/>
        <v>1</v>
      </c>
      <c r="J123" s="60">
        <f ca="1"/>
        <v>670.00781372701135</v>
      </c>
      <c r="K123" s="60">
        <f ca="1"/>
        <v>670.00781382375851</v>
      </c>
      <c r="L123" s="60">
        <f ca="1"/>
        <v>6.9029805090727319</v>
      </c>
      <c r="M123" s="60"/>
    </row>
    <row r="124" spans="2:13" x14ac:dyDescent="0.25">
      <c r="B124" s="75">
        <f>_xll.meDateFromTenor(B123,Periodicity,"FOLLOWING","NYB")</f>
        <v>43609</v>
      </c>
      <c r="C124" s="76">
        <v>2.4330000000000001E-2</v>
      </c>
      <c r="D124" s="77">
        <f ca="1"/>
        <v>97.105314398107012</v>
      </c>
      <c r="E124" s="83">
        <f ca="1"/>
        <v>489.13043478260875</v>
      </c>
      <c r="F124" s="77">
        <f ca="1"/>
        <v>97.056401354628747</v>
      </c>
      <c r="G124" s="84">
        <f ca="1"/>
        <v>2.4330000000006242E-2</v>
      </c>
      <c r="H124">
        <f ca="1"/>
        <v>97.056401354628747</v>
      </c>
      <c r="I124" t="b">
        <f t="shared" ca="1" si="1"/>
        <v>1</v>
      </c>
      <c r="J124" s="60">
        <f ca="1"/>
        <v>668.49118071218106</v>
      </c>
      <c r="K124" s="60">
        <f ca="1"/>
        <v>668.49118080369851</v>
      </c>
      <c r="L124" s="60">
        <f ca="1"/>
        <v>6.8841873882570193</v>
      </c>
      <c r="M124" s="60"/>
    </row>
    <row r="125" spans="2:13" x14ac:dyDescent="0.25">
      <c r="B125" s="75">
        <f>_xll.meDateFromTenor(B124,Periodicity,"FOLLOWING","NYB")</f>
        <v>43616</v>
      </c>
      <c r="C125" s="76">
        <v>2.4330000000000001E-2</v>
      </c>
      <c r="D125" s="77">
        <f ca="1"/>
        <v>97.149993755528058</v>
      </c>
      <c r="E125" s="83">
        <f ca="1"/>
        <v>869.56521739130437</v>
      </c>
      <c r="F125" s="77">
        <f ca="1"/>
        <v>97.063037233788933</v>
      </c>
      <c r="G125" s="84">
        <f ca="1"/>
        <v>2.4330000000006138E-2</v>
      </c>
      <c r="H125">
        <f ca="1"/>
        <v>97.063037233788933</v>
      </c>
      <c r="I125" t="b">
        <f t="shared" ca="1" si="1"/>
        <v>1</v>
      </c>
      <c r="J125" s="60">
        <f ca="1"/>
        <v>666.97301021116118</v>
      </c>
      <c r="K125" s="60">
        <f ca="1"/>
        <v>666.97301031126688</v>
      </c>
      <c r="L125" s="60">
        <f ca="1"/>
        <v>6.8653942674413075</v>
      </c>
      <c r="M125" s="60"/>
    </row>
    <row r="126" spans="2:13" x14ac:dyDescent="0.25">
      <c r="B126" s="75">
        <f>_xll.meDateFromTenor(B125,Periodicity,"FOLLOWING","NYB")</f>
        <v>43623</v>
      </c>
      <c r="C126" s="76">
        <v>2.4330000000000001E-2</v>
      </c>
      <c r="D126" s="77">
        <f ca="1"/>
        <v>97.194693670474635</v>
      </c>
      <c r="E126" s="83">
        <f ca="1"/>
        <v>1250</v>
      </c>
      <c r="F126" s="77">
        <f ca="1"/>
        <v>97.069693670474635</v>
      </c>
      <c r="G126" s="84">
        <f ca="1"/>
        <v>2.4330000000006013E-2</v>
      </c>
      <c r="H126">
        <f ca="1"/>
        <v>97.069693670474635</v>
      </c>
      <c r="I126" t="b">
        <f t="shared" ca="1" si="1"/>
        <v>1</v>
      </c>
      <c r="J126" s="60">
        <f ca="1"/>
        <v>665.45330113019509</v>
      </c>
      <c r="K126" s="60">
        <f ca="1"/>
        <v>665.45330122380619</v>
      </c>
      <c r="L126" s="60">
        <f ca="1"/>
        <v>6.8466011466255949</v>
      </c>
      <c r="M126" s="60"/>
    </row>
    <row r="127" spans="2:13" x14ac:dyDescent="0.25">
      <c r="B127" s="75">
        <f>_xll.meDateFromTenor(B126,Periodicity,"FOLLOWING","NYB")</f>
        <v>43630</v>
      </c>
      <c r="C127" s="76">
        <v>2.4330000000000001E-2</v>
      </c>
      <c r="D127" s="77">
        <f ca="1"/>
        <v>97.239414152405516</v>
      </c>
      <c r="E127" s="83">
        <f ca="1"/>
        <v>1630.4347826086957</v>
      </c>
      <c r="F127" s="77">
        <f ca="1"/>
        <v>97.076370674144641</v>
      </c>
      <c r="G127" s="84">
        <f ca="1"/>
        <v>2.4330000000006052E-2</v>
      </c>
      <c r="H127">
        <f ca="1"/>
        <v>97.076370674144641</v>
      </c>
      <c r="I127" t="b">
        <f t="shared" ca="1" si="1"/>
        <v>1</v>
      </c>
      <c r="J127" s="60">
        <f ca="1"/>
        <v>663.93205237484563</v>
      </c>
      <c r="K127" s="60">
        <f ca="1"/>
        <v>663.93205246839671</v>
      </c>
      <c r="L127" s="60">
        <f ca="1"/>
        <v>6.8278080258098841</v>
      </c>
      <c r="M127" s="60"/>
    </row>
    <row r="128" spans="2:13" x14ac:dyDescent="0.25">
      <c r="B128" s="75">
        <f>_xll.meDateFromTenor(B127,Periodicity,"FOLLOWING","NYB")</f>
        <v>43637</v>
      </c>
      <c r="C128" s="76">
        <v>2.4330000000000001E-2</v>
      </c>
      <c r="D128" s="77">
        <f ca="1"/>
        <v>97.284155210783808</v>
      </c>
      <c r="E128" s="83">
        <f ca="1"/>
        <v>2010.8695652173913</v>
      </c>
      <c r="F128" s="77">
        <f ca="1"/>
        <v>97.083068254262074</v>
      </c>
      <c r="G128" s="84">
        <f ca="1"/>
        <v>2.4330000000005913E-2</v>
      </c>
      <c r="H128">
        <f ca="1"/>
        <v>97.083068254262074</v>
      </c>
      <c r="I128" t="b">
        <f t="shared" ca="1" si="1"/>
        <v>1</v>
      </c>
      <c r="J128" s="60">
        <f ca="1"/>
        <v>662.40926284999352</v>
      </c>
      <c r="K128" s="60">
        <f ca="1"/>
        <v>662.40926294369717</v>
      </c>
      <c r="L128" s="60">
        <f ca="1"/>
        <v>6.8090149049941733</v>
      </c>
      <c r="M128" s="60"/>
    </row>
    <row r="129" spans="2:13" x14ac:dyDescent="0.25">
      <c r="B129" s="75">
        <f>_xll.meDateFromTenor(B128,Periodicity,"FOLLOWING","NYB")</f>
        <v>43644</v>
      </c>
      <c r="C129" s="76">
        <v>2.4330000000000001E-2</v>
      </c>
      <c r="D129" s="77">
        <f ca="1"/>
        <v>97.328916855077011</v>
      </c>
      <c r="E129" s="83">
        <f ca="1"/>
        <v>2391.304347826087</v>
      </c>
      <c r="F129" s="77">
        <f ca="1"/>
        <v>97.089786420294402</v>
      </c>
      <c r="G129" s="84">
        <f ca="1"/>
        <v>2.4330000000005712E-2</v>
      </c>
      <c r="H129">
        <f ca="1"/>
        <v>97.089786420294402</v>
      </c>
      <c r="I129" t="b">
        <f t="shared" ca="1" si="1"/>
        <v>1</v>
      </c>
      <c r="J129" s="60">
        <f ca="1"/>
        <v>660.88493145983796</v>
      </c>
      <c r="K129" s="60">
        <f ca="1"/>
        <v>660.88493154836658</v>
      </c>
      <c r="L129" s="60">
        <f ca="1"/>
        <v>6.7902217841784598</v>
      </c>
      <c r="M129" s="60"/>
    </row>
    <row r="130" spans="2:13" x14ac:dyDescent="0.25">
      <c r="B130" s="75">
        <f>_xll.meDateFromTenor(B129,Periodicity,"FOLLOWING","NYB")</f>
        <v>43651</v>
      </c>
      <c r="C130" s="76">
        <v>2.4330000000000001E-2</v>
      </c>
      <c r="D130" s="77">
        <f ca="1"/>
        <v>97.373699094756944</v>
      </c>
      <c r="E130" s="83">
        <f ca="1"/>
        <v>2771.7391304347825</v>
      </c>
      <c r="F130" s="77">
        <f ca="1"/>
        <v>97.09652518171346</v>
      </c>
      <c r="G130" s="84">
        <f ca="1"/>
        <v>2.4330000000005989E-2</v>
      </c>
      <c r="H130">
        <f ca="1"/>
        <v>97.09652518171346</v>
      </c>
      <c r="I130" t="b">
        <f t="shared" ca="1" si="1"/>
        <v>1</v>
      </c>
      <c r="J130" s="60">
        <f ca="1"/>
        <v>659.35905710789643</v>
      </c>
      <c r="K130" s="60">
        <f ca="1"/>
        <v>659.35905719527443</v>
      </c>
      <c r="L130" s="60">
        <f ca="1"/>
        <v>6.7714286633627481</v>
      </c>
      <c r="M130" s="60"/>
    </row>
    <row r="131" spans="2:13" x14ac:dyDescent="0.25">
      <c r="B131" s="75">
        <f>_xll.meDateFromTenor(B130,Periodicity,"FOLLOWING","NYB")</f>
        <v>43658</v>
      </c>
      <c r="C131" s="76">
        <v>2.4330000000000001E-2</v>
      </c>
      <c r="D131" s="77">
        <f ca="1"/>
        <v>97.418501939299802</v>
      </c>
      <c r="E131" s="83">
        <f ca="1"/>
        <v>3152.1739130434785</v>
      </c>
      <c r="F131" s="77">
        <f ca="1"/>
        <v>97.103284547995457</v>
      </c>
      <c r="G131" s="84">
        <f ca="1"/>
        <v>2.4330000000005833E-2</v>
      </c>
      <c r="H131">
        <f ca="1"/>
        <v>97.103284547995457</v>
      </c>
      <c r="I131" t="b">
        <f t="shared" ca="1" si="1"/>
        <v>1</v>
      </c>
      <c r="J131" s="60">
        <f ca="1"/>
        <v>657.83163869700343</v>
      </c>
      <c r="K131" s="60">
        <f ca="1"/>
        <v>657.83163878307948</v>
      </c>
      <c r="L131" s="60">
        <f ca="1"/>
        <v>6.7526355425470381</v>
      </c>
      <c r="M131" s="60"/>
    </row>
    <row r="132" spans="2:13" x14ac:dyDescent="0.25">
      <c r="B132" s="75">
        <f>_xll.meDateFromTenor(B131,Periodicity,"FOLLOWING","NYB")</f>
        <v>43665</v>
      </c>
      <c r="C132" s="76">
        <v>2.4330000000000001E-2</v>
      </c>
      <c r="D132" s="77">
        <f ca="1"/>
        <v>97.463325398186143</v>
      </c>
      <c r="E132" s="83">
        <f ca="1"/>
        <v>3532.608695652174</v>
      </c>
      <c r="F132" s="77">
        <f ca="1"/>
        <v>97.110064528620924</v>
      </c>
      <c r="G132" s="84">
        <f ca="1"/>
        <v>2.4330000000005826E-2</v>
      </c>
      <c r="H132">
        <f ca="1"/>
        <v>97.110064528620924</v>
      </c>
      <c r="I132" t="b">
        <f t="shared" ca="1" si="1"/>
        <v>1</v>
      </c>
      <c r="J132" s="60">
        <f ca="1"/>
        <v>656.30267512931005</v>
      </c>
      <c r="K132" s="60">
        <f ca="1"/>
        <v>656.30267521044061</v>
      </c>
      <c r="L132" s="60">
        <f ca="1"/>
        <v>6.7338424217313264</v>
      </c>
      <c r="M132" s="60"/>
    </row>
    <row r="133" spans="2:13" x14ac:dyDescent="0.25">
      <c r="B133" s="75">
        <f>_xll.meDateFromTenor(B132,Periodicity,"FOLLOWING","NYB")</f>
        <v>43672</v>
      </c>
      <c r="C133" s="76">
        <v>2.4330000000000001E-2</v>
      </c>
      <c r="D133" s="77">
        <f ca="1"/>
        <v>97.508169480900889</v>
      </c>
      <c r="E133" s="83">
        <f ca="1"/>
        <v>3913.04347826087</v>
      </c>
      <c r="F133" s="77">
        <f ca="1"/>
        <v>97.116865133074796</v>
      </c>
      <c r="G133" s="84">
        <f ca="1"/>
        <v>2.4330000000005743E-2</v>
      </c>
      <c r="H133">
        <f ca="1"/>
        <v>97.116865133074796</v>
      </c>
      <c r="I133" t="b">
        <f t="shared" ca="1" si="1"/>
        <v>1</v>
      </c>
      <c r="J133" s="60">
        <f ca="1"/>
        <v>654.77216530628482</v>
      </c>
      <c r="K133" s="60">
        <f ca="1"/>
        <v>654.77216539733251</v>
      </c>
      <c r="L133" s="60">
        <f ca="1"/>
        <v>6.7150493009156147</v>
      </c>
      <c r="M133" s="60"/>
    </row>
    <row r="134" spans="2:13" x14ac:dyDescent="0.25">
      <c r="B134" s="75">
        <f>_xll.meDateFromTenor(B133,Periodicity,"FOLLOWING","NYB")</f>
        <v>43679</v>
      </c>
      <c r="C134" s="76">
        <v>2.4330000000000001E-2</v>
      </c>
      <c r="D134" s="77">
        <f ca="1"/>
        <v>97.553034196933297</v>
      </c>
      <c r="E134" s="83">
        <f ca="1"/>
        <v>4293.478260869565</v>
      </c>
      <c r="F134" s="77">
        <f ca="1"/>
        <v>97.123686370846343</v>
      </c>
      <c r="G134" s="84">
        <f ca="1"/>
        <v>2.4330000000005854E-2</v>
      </c>
      <c r="H134">
        <f ca="1"/>
        <v>97.123686370846343</v>
      </c>
      <c r="I134" t="b">
        <f t="shared" ca="1" si="1"/>
        <v>1</v>
      </c>
      <c r="J134" s="60">
        <f ca="1"/>
        <v>653.24010812871177</v>
      </c>
      <c r="K134" s="60">
        <f ca="1"/>
        <v>653.24010821399258</v>
      </c>
      <c r="L134" s="60">
        <f ca="1"/>
        <v>6.696256180099903</v>
      </c>
      <c r="M134" s="60"/>
    </row>
    <row r="135" spans="2:13" x14ac:dyDescent="0.25">
      <c r="B135" s="75">
        <f>_xll.meDateFromTenor(B134,Periodicity,"FOLLOWING","NYB")</f>
        <v>43686</v>
      </c>
      <c r="C135" s="76">
        <v>2.4330000000000001E-2</v>
      </c>
      <c r="D135" s="77">
        <f ca="1"/>
        <v>97.59791955577704</v>
      </c>
      <c r="E135" s="83">
        <f ca="1"/>
        <v>4673.913043478261</v>
      </c>
      <c r="F135" s="77">
        <f ca="1"/>
        <v>97.130528251429212</v>
      </c>
      <c r="G135" s="84">
        <f ca="1"/>
        <v>2.4330000000005757E-2</v>
      </c>
      <c r="H135">
        <f ca="1"/>
        <v>97.130528251429212</v>
      </c>
      <c r="I135" t="b">
        <f t="shared" ca="1" si="1"/>
        <v>1</v>
      </c>
      <c r="J135" s="60">
        <f ca="1"/>
        <v>651.70650249669131</v>
      </c>
      <c r="K135" s="60">
        <f ca="1"/>
        <v>651.70650258750118</v>
      </c>
      <c r="L135" s="60">
        <f ca="1"/>
        <v>6.6774630592841913</v>
      </c>
      <c r="M135" s="60"/>
    </row>
    <row r="136" spans="2:13" x14ac:dyDescent="0.25">
      <c r="B136" s="75">
        <f>_xll.meDateFromTenor(B135,Periodicity,"FOLLOWING","NYB")</f>
        <v>43693</v>
      </c>
      <c r="C136" s="76">
        <v>2.4330000000000001E-2</v>
      </c>
      <c r="D136" s="77">
        <f ca="1"/>
        <v>97.642825566930085</v>
      </c>
      <c r="E136" s="83">
        <f ca="1"/>
        <v>5054.347826086957</v>
      </c>
      <c r="F136" s="77">
        <f ca="1"/>
        <v>97.137390784321383</v>
      </c>
      <c r="G136" s="84">
        <f ca="1"/>
        <v>2.4330000000005497E-2</v>
      </c>
      <c r="H136">
        <f ca="1"/>
        <v>97.137390784321383</v>
      </c>
      <c r="I136" t="b">
        <f t="shared" ref="I136:I199" ca="1" si="2">F136=H136</f>
        <v>1</v>
      </c>
      <c r="J136" s="60">
        <f ca="1"/>
        <v>650.1713473096388</v>
      </c>
      <c r="K136" s="60">
        <f ca="1"/>
        <v>650.17134739520077</v>
      </c>
      <c r="L136" s="60">
        <f ca="1"/>
        <v>6.6586699384684795</v>
      </c>
      <c r="M136" s="60"/>
    </row>
    <row r="137" spans="2:13" x14ac:dyDescent="0.25">
      <c r="B137" s="75">
        <f>_xll.meDateFromTenor(B136,Periodicity,"FOLLOWING","NYB")</f>
        <v>43700</v>
      </c>
      <c r="C137" s="76">
        <v>2.4330000000000001E-2</v>
      </c>
      <c r="D137" s="77">
        <f ca="1"/>
        <v>97.687752239894863</v>
      </c>
      <c r="E137" s="83">
        <f ca="1"/>
        <v>5434.782608695652</v>
      </c>
      <c r="F137" s="77">
        <f ca="1"/>
        <v>97.1442739790253</v>
      </c>
      <c r="G137" s="84">
        <f ca="1"/>
        <v>2.433000000000568E-2</v>
      </c>
      <c r="H137">
        <f ca="1"/>
        <v>97.1442739790253</v>
      </c>
      <c r="I137" t="b">
        <f t="shared" ca="1" si="2"/>
        <v>1</v>
      </c>
      <c r="J137" s="60">
        <f ca="1"/>
        <v>648.63464146628519</v>
      </c>
      <c r="K137" s="60">
        <f ca="1"/>
        <v>648.63464154996097</v>
      </c>
      <c r="L137" s="60">
        <f ca="1"/>
        <v>6.6398768176527687</v>
      </c>
      <c r="M137" s="60"/>
    </row>
    <row r="138" spans="2:13" x14ac:dyDescent="0.25">
      <c r="B138" s="75">
        <f>_xll.meDateFromTenor(B137,Periodicity,"FOLLOWING","NYB")</f>
        <v>43707</v>
      </c>
      <c r="C138" s="76">
        <v>2.4330000000000001E-2</v>
      </c>
      <c r="D138" s="77">
        <f ca="1"/>
        <v>97.732699584178135</v>
      </c>
      <c r="E138" s="83">
        <f ca="1"/>
        <v>5815.217391304348</v>
      </c>
      <c r="F138" s="77">
        <f ca="1"/>
        <v>97.151177845047698</v>
      </c>
      <c r="G138" s="84">
        <f ca="1"/>
        <v>2.433000000000568E-2</v>
      </c>
      <c r="H138">
        <f ca="1"/>
        <v>97.151177845047698</v>
      </c>
      <c r="I138" t="b">
        <f t="shared" ca="1" si="2"/>
        <v>1</v>
      </c>
      <c r="J138" s="60">
        <f ca="1"/>
        <v>647.09638386467554</v>
      </c>
      <c r="K138" s="60">
        <f ca="1"/>
        <v>647.0963839575461</v>
      </c>
      <c r="L138" s="60">
        <f ca="1"/>
        <v>6.6210836968370561</v>
      </c>
      <c r="M138" s="60"/>
    </row>
    <row r="139" spans="2:13" x14ac:dyDescent="0.25">
      <c r="B139" s="75">
        <f>_xll.meDateFromTenor(B138,Periodicity,"FOLLOWING","NYB")</f>
        <v>43714</v>
      </c>
      <c r="C139" s="76">
        <v>2.4330000000000001E-2</v>
      </c>
      <c r="D139" s="77">
        <f ca="1"/>
        <v>97.777667609290987</v>
      </c>
      <c r="E139" s="83">
        <f ca="1"/>
        <v>6195.652173913043</v>
      </c>
      <c r="F139" s="77">
        <f ca="1"/>
        <v>97.158102391899689</v>
      </c>
      <c r="G139" s="84">
        <f ca="1"/>
        <v>2.4330000000005569E-2</v>
      </c>
      <c r="H139">
        <f ca="1"/>
        <v>97.158102391899689</v>
      </c>
      <c r="I139" t="b">
        <f t="shared" ca="1" si="2"/>
        <v>1</v>
      </c>
      <c r="J139" s="60">
        <f ca="1"/>
        <v>645.55657340216942</v>
      </c>
      <c r="K139" s="60">
        <f ca="1"/>
        <v>645.55657348108741</v>
      </c>
      <c r="L139" s="60">
        <f ca="1"/>
        <v>6.6022905760213453</v>
      </c>
      <c r="M139" s="60"/>
    </row>
    <row r="140" spans="2:13" x14ac:dyDescent="0.25">
      <c r="B140" s="75">
        <f>_xll.meDateFromTenor(B139,Periodicity,"FOLLOWING","NYB")</f>
        <v>43721</v>
      </c>
      <c r="C140" s="76">
        <v>2.4330000000000001E-2</v>
      </c>
      <c r="D140" s="77">
        <f ca="1"/>
        <v>97.822656324748948</v>
      </c>
      <c r="E140" s="83">
        <f ca="1"/>
        <v>6576.0869565217399</v>
      </c>
      <c r="F140" s="77">
        <f ca="1"/>
        <v>97.165047629096776</v>
      </c>
      <c r="G140" s="84">
        <f ca="1"/>
        <v>2.4330000000005549E-2</v>
      </c>
      <c r="H140">
        <f ca="1"/>
        <v>97.165047629096776</v>
      </c>
      <c r="I140" t="b">
        <f t="shared" ca="1" si="2"/>
        <v>1</v>
      </c>
      <c r="J140" s="60">
        <f ca="1"/>
        <v>644.01520897543992</v>
      </c>
      <c r="K140" s="60">
        <f ca="1"/>
        <v>644.01520906187659</v>
      </c>
      <c r="L140" s="60">
        <f ca="1"/>
        <v>6.5834974552056327</v>
      </c>
      <c r="M140" s="60"/>
    </row>
    <row r="141" spans="2:13" x14ac:dyDescent="0.25">
      <c r="B141" s="75">
        <f>_xll.meDateFromTenor(B140,Periodicity,"FOLLOWING","NYB")</f>
        <v>43728</v>
      </c>
      <c r="C141" s="76">
        <v>2.4330000000000001E-2</v>
      </c>
      <c r="D141" s="77">
        <f ca="1"/>
        <v>97.867665740071885</v>
      </c>
      <c r="E141" s="83">
        <f ca="1"/>
        <v>6956.521739130435</v>
      </c>
      <c r="F141" s="77">
        <f ca="1"/>
        <v>97.172013566158839</v>
      </c>
      <c r="G141" s="84">
        <f ca="1"/>
        <v>2.4330000000005316E-2</v>
      </c>
      <c r="H141">
        <f ca="1"/>
        <v>97.172013566158839</v>
      </c>
      <c r="I141" t="b">
        <f t="shared" ca="1" si="2"/>
        <v>1</v>
      </c>
      <c r="J141" s="60">
        <f ca="1"/>
        <v>642.47228948047393</v>
      </c>
      <c r="K141" s="60">
        <f ca="1"/>
        <v>642.47228957725599</v>
      </c>
      <c r="L141" s="60">
        <f ca="1"/>
        <v>6.5647043343899218</v>
      </c>
      <c r="M141" s="60"/>
    </row>
    <row r="142" spans="2:13" x14ac:dyDescent="0.25">
      <c r="B142" s="75">
        <f>_xll.meDateFromTenor(B141,Periodicity,"FOLLOWING","NYB")</f>
        <v>43735</v>
      </c>
      <c r="C142" s="76">
        <v>2.4330000000000001E-2</v>
      </c>
      <c r="D142" s="77">
        <f ca="1"/>
        <v>97.912695864784098</v>
      </c>
      <c r="E142" s="83">
        <f ca="1"/>
        <v>7336.9565217391309</v>
      </c>
      <c r="F142" s="77">
        <f ca="1"/>
        <v>97.179000212610191</v>
      </c>
      <c r="G142" s="84">
        <f ca="1"/>
        <v>2.433000000000533E-2</v>
      </c>
      <c r="H142">
        <f ca="1"/>
        <v>97.179000212610191</v>
      </c>
      <c r="I142" t="b">
        <f t="shared" ca="1" si="2"/>
        <v>1</v>
      </c>
      <c r="J142" s="60">
        <f ca="1"/>
        <v>640.92781381257146</v>
      </c>
      <c r="K142" s="60">
        <f ca="1"/>
        <v>640.92781391167352</v>
      </c>
      <c r="L142" s="60">
        <f ca="1"/>
        <v>6.5459112135742101</v>
      </c>
      <c r="M142" s="60"/>
    </row>
    <row r="143" spans="2:13" x14ac:dyDescent="0.25">
      <c r="B143" s="75">
        <f>_xll.meDateFromTenor(B142,Periodicity,"FOLLOWING","NYB")</f>
        <v>43742</v>
      </c>
      <c r="C143" s="76">
        <v>2.4330000000000001E-2</v>
      </c>
      <c r="D143" s="77">
        <f ca="1"/>
        <v>97.957746708414206</v>
      </c>
      <c r="E143" s="83">
        <f ca="1"/>
        <v>7717.391304347826</v>
      </c>
      <c r="F143" s="77">
        <f ca="1"/>
        <v>97.186007577979424</v>
      </c>
      <c r="G143" s="84">
        <f ca="1"/>
        <v>2.4330000000005327E-2</v>
      </c>
      <c r="H143">
        <f ca="1"/>
        <v>97.186007577979424</v>
      </c>
      <c r="I143" t="b">
        <f t="shared" ca="1" si="2"/>
        <v>1</v>
      </c>
      <c r="J143" s="60">
        <f ca="1"/>
        <v>639.38178086634434</v>
      </c>
      <c r="K143" s="60">
        <f ca="1"/>
        <v>639.38178095668263</v>
      </c>
      <c r="L143" s="60">
        <f ca="1"/>
        <v>6.5271180927584957</v>
      </c>
      <c r="M143" s="60"/>
    </row>
    <row r="144" spans="2:13" x14ac:dyDescent="0.25">
      <c r="B144" s="75">
        <f>_xll.meDateFromTenor(B143,Periodicity,"FOLLOWING","NYB")</f>
        <v>43749</v>
      </c>
      <c r="C144" s="76">
        <v>2.4330000000000001E-2</v>
      </c>
      <c r="D144" s="77">
        <f ca="1"/>
        <v>98.002818280495234</v>
      </c>
      <c r="E144" s="83">
        <f ca="1"/>
        <v>8097.826086956522</v>
      </c>
      <c r="F144" s="77">
        <f ca="1"/>
        <v>97.193035671799578</v>
      </c>
      <c r="G144" s="84">
        <f ca="1"/>
        <v>2.4330000000005347E-2</v>
      </c>
      <c r="H144">
        <f ca="1"/>
        <v>97.193035671799578</v>
      </c>
      <c r="I144" t="b">
        <f t="shared" ca="1" si="2"/>
        <v>1</v>
      </c>
      <c r="J144" s="60">
        <f ca="1"/>
        <v>637.83418953571811</v>
      </c>
      <c r="K144" s="60">
        <f ca="1"/>
        <v>637.83418963225802</v>
      </c>
      <c r="L144" s="60">
        <f ca="1"/>
        <v>6.5083249719427858</v>
      </c>
      <c r="M144" s="60"/>
    </row>
    <row r="145" spans="2:13" x14ac:dyDescent="0.25">
      <c r="B145" s="75">
        <f>_xll.meDateFromTenor(B144,Periodicity,"FOLLOWING","NYB")</f>
        <v>43756</v>
      </c>
      <c r="C145" s="76">
        <v>2.4330000000000001E-2</v>
      </c>
      <c r="D145" s="77">
        <f ca="1"/>
        <v>98.047910590564626</v>
      </c>
      <c r="E145" s="83">
        <f ca="1"/>
        <v>8478.2608695652179</v>
      </c>
      <c r="F145" s="77">
        <f ca="1"/>
        <v>97.20008450360811</v>
      </c>
      <c r="G145" s="84">
        <f ca="1"/>
        <v>2.4330000000005153E-2</v>
      </c>
      <c r="H145">
        <f ca="1"/>
        <v>97.20008450360811</v>
      </c>
      <c r="I145" t="b">
        <f t="shared" ca="1" si="2"/>
        <v>1</v>
      </c>
      <c r="J145" s="60">
        <f ca="1"/>
        <v>636.28503871392866</v>
      </c>
      <c r="K145" s="60">
        <f ca="1"/>
        <v>636.28503880863718</v>
      </c>
      <c r="L145" s="60">
        <f ca="1"/>
        <v>6.4895318511270732</v>
      </c>
      <c r="M145" s="60"/>
    </row>
    <row r="146" spans="2:13" x14ac:dyDescent="0.25">
      <c r="B146" s="75">
        <f>_xll.meDateFromTenor(B145,Periodicity,"FOLLOWING","NYB")</f>
        <v>43763</v>
      </c>
      <c r="C146" s="76">
        <v>2.4330000000000001E-2</v>
      </c>
      <c r="D146" s="77">
        <f ca="1"/>
        <v>98.093023648164163</v>
      </c>
      <c r="E146" s="83">
        <f ca="1"/>
        <v>8858.6956521739139</v>
      </c>
      <c r="F146" s="77">
        <f ca="1"/>
        <v>97.207154082946772</v>
      </c>
      <c r="G146" s="84">
        <f ca="1"/>
        <v>2.4330000000005115E-2</v>
      </c>
      <c r="H146">
        <f ca="1"/>
        <v>97.207154082946772</v>
      </c>
      <c r="I146" t="b">
        <f t="shared" ca="1" si="2"/>
        <v>1</v>
      </c>
      <c r="J146" s="60">
        <f ca="1"/>
        <v>634.73432729352419</v>
      </c>
      <c r="K146" s="60">
        <f ca="1"/>
        <v>634.73432737737301</v>
      </c>
      <c r="L146" s="60">
        <f ca="1"/>
        <v>6.4707387303113624</v>
      </c>
      <c r="M146" s="60"/>
    </row>
    <row r="147" spans="2:13" x14ac:dyDescent="0.25">
      <c r="B147" s="75">
        <f>_xll.meDateFromTenor(B146,Periodicity,"FOLLOWING","NYB")</f>
        <v>43770</v>
      </c>
      <c r="C147" s="76">
        <v>2.4330000000000001E-2</v>
      </c>
      <c r="D147" s="77">
        <f ca="1"/>
        <v>98.138157462840041</v>
      </c>
      <c r="E147" s="83">
        <f ca="1"/>
        <v>9239.1304347826081</v>
      </c>
      <c r="F147" s="77">
        <f ca="1"/>
        <v>97.214244419361776</v>
      </c>
      <c r="G147" s="84">
        <f ca="1"/>
        <v>2.4330000000005014E-2</v>
      </c>
      <c r="H147">
        <f ca="1"/>
        <v>97.214244419361776</v>
      </c>
      <c r="I147" t="b">
        <f t="shared" ca="1" si="2"/>
        <v>1</v>
      </c>
      <c r="J147" s="60">
        <f ca="1"/>
        <v>633.18205416636363</v>
      </c>
      <c r="K147" s="60">
        <f ca="1"/>
        <v>633.18205425133544</v>
      </c>
      <c r="L147" s="60">
        <f ca="1"/>
        <v>6.4519456094956507</v>
      </c>
      <c r="M147" s="60"/>
    </row>
    <row r="148" spans="2:13" x14ac:dyDescent="0.25">
      <c r="B148" s="75">
        <f>_xll.meDateFromTenor(B147,Periodicity,"FOLLOWING","NYB")</f>
        <v>43777</v>
      </c>
      <c r="C148" s="76">
        <v>2.4330000000000001E-2</v>
      </c>
      <c r="D148" s="77">
        <f ca="1"/>
        <v>98.183312044142852</v>
      </c>
      <c r="E148" s="83">
        <f ca="1"/>
        <v>9619.565217391304</v>
      </c>
      <c r="F148" s="77">
        <f ca="1"/>
        <v>97.221355522403726</v>
      </c>
      <c r="G148" s="84">
        <f ca="1"/>
        <v>2.4330000000005077E-2</v>
      </c>
      <c r="H148">
        <f ca="1"/>
        <v>97.221355522403726</v>
      </c>
      <c r="I148" t="b">
        <f t="shared" ca="1" si="2"/>
        <v>1</v>
      </c>
      <c r="J148" s="60">
        <f ca="1"/>
        <v>631.62821822361684</v>
      </c>
      <c r="K148" s="60">
        <f ca="1"/>
        <v>631.62821830786697</v>
      </c>
      <c r="L148" s="60">
        <f ca="1"/>
        <v>6.4331524886799416</v>
      </c>
      <c r="M148" s="60"/>
    </row>
    <row r="149" spans="2:13" x14ac:dyDescent="0.25">
      <c r="B149" s="75">
        <f>_xll.meDateFromTenor(B148,Periodicity,"FOLLOWING","NYB")</f>
        <v>43784</v>
      </c>
      <c r="C149" s="76">
        <v>2.4330000000000001E-2</v>
      </c>
      <c r="D149" s="77">
        <f ca="1"/>
        <v>97.228487401627589</v>
      </c>
      <c r="E149" s="83">
        <f ca="1"/>
        <v>0</v>
      </c>
      <c r="F149" s="77">
        <f ca="1"/>
        <v>97.228487401627589</v>
      </c>
      <c r="G149" s="84">
        <f ca="1"/>
        <v>2.4330000000005111E-2</v>
      </c>
      <c r="H149">
        <f ca="1"/>
        <v>97.228487401627589</v>
      </c>
      <c r="I149" t="b">
        <f t="shared" ca="1" si="2"/>
        <v>1</v>
      </c>
      <c r="J149" s="60">
        <f ca="1"/>
        <v>630.07281835576327</v>
      </c>
      <c r="K149" s="60">
        <f ca="1"/>
        <v>630.07281843852059</v>
      </c>
      <c r="L149" s="60">
        <f ca="1"/>
        <v>6.4803313842894976</v>
      </c>
      <c r="M149" s="60"/>
    </row>
    <row r="150" spans="2:13" x14ac:dyDescent="0.25">
      <c r="B150" s="75">
        <f>_xll.meDateFromTenor(B149,Periodicity,"FOLLOWING","NYB")</f>
        <v>43791</v>
      </c>
      <c r="C150" s="76">
        <v>2.4330000000000001E-2</v>
      </c>
      <c r="D150" s="77">
        <f ca="1"/>
        <v>97.273715151529316</v>
      </c>
      <c r="E150" s="83">
        <f ca="1"/>
        <v>384.61538461538464</v>
      </c>
      <c r="F150" s="77">
        <f ca="1"/>
        <v>97.235253613067783</v>
      </c>
      <c r="G150" s="84">
        <f ca="1"/>
        <v>2.4330000000005025E-2</v>
      </c>
      <c r="H150">
        <f ca="1"/>
        <v>97.235253613067783</v>
      </c>
      <c r="I150" t="b">
        <f t="shared" ca="1" si="2"/>
        <v>1</v>
      </c>
      <c r="J150" s="60">
        <f ca="1"/>
        <v>628.51774372711975</v>
      </c>
      <c r="K150" s="60">
        <f ca="1"/>
        <v>628.51774379879532</v>
      </c>
      <c r="L150" s="60">
        <f ca="1"/>
        <v>6.4613317456626236</v>
      </c>
      <c r="M150" s="60"/>
    </row>
    <row r="151" spans="2:13" x14ac:dyDescent="0.25">
      <c r="B151" s="75">
        <f>_xll.meDateFromTenor(B150,Periodicity,"FOLLOWING","NYB")</f>
        <v>43798</v>
      </c>
      <c r="C151" s="76">
        <v>2.4330000000000001E-2</v>
      </c>
      <c r="D151" s="77">
        <f ca="1"/>
        <v>97.318963940011585</v>
      </c>
      <c r="E151" s="83">
        <f ca="1"/>
        <v>769.23076923076928</v>
      </c>
      <c r="F151" s="77">
        <f ca="1"/>
        <v>97.242040863088505</v>
      </c>
      <c r="G151" s="84">
        <f ca="1"/>
        <v>2.4330000000004712E-2</v>
      </c>
      <c r="H151">
        <f ca="1"/>
        <v>97.242040863088505</v>
      </c>
      <c r="I151" t="b">
        <f t="shared" ca="1" si="2"/>
        <v>1</v>
      </c>
      <c r="J151" s="60">
        <f ca="1"/>
        <v>626.96108601419098</v>
      </c>
      <c r="K151" s="60">
        <f ca="1"/>
        <v>626.96108610538192</v>
      </c>
      <c r="L151" s="60">
        <f ca="1"/>
        <v>6.4423321070357495</v>
      </c>
      <c r="M151" s="60"/>
    </row>
    <row r="152" spans="2:13" x14ac:dyDescent="0.25">
      <c r="B152" s="75">
        <f>_xll.meDateFromTenor(B151,Periodicity,"FOLLOWING","NYB")</f>
        <v>43805</v>
      </c>
      <c r="C152" s="76">
        <v>2.4330000000000001E-2</v>
      </c>
      <c r="D152" s="77">
        <f ca="1"/>
        <v>97.364233776860871</v>
      </c>
      <c r="E152" s="83">
        <f ca="1"/>
        <v>1153.8461538461538</v>
      </c>
      <c r="F152" s="77">
        <f ca="1"/>
        <v>97.248849161476258</v>
      </c>
      <c r="G152" s="84">
        <f ca="1"/>
        <v>2.4330000000004737E-2</v>
      </c>
      <c r="H152">
        <f ca="1"/>
        <v>97.248849161476258</v>
      </c>
      <c r="I152" t="b">
        <f t="shared" ca="1" si="2"/>
        <v>1</v>
      </c>
      <c r="J152" s="60">
        <f ca="1"/>
        <v>625.4028440806627</v>
      </c>
      <c r="K152" s="60">
        <f ca="1"/>
        <v>625.40284416456859</v>
      </c>
      <c r="L152" s="60">
        <f ca="1"/>
        <v>6.4233324684088773</v>
      </c>
      <c r="M152" s="60"/>
    </row>
    <row r="153" spans="2:13" x14ac:dyDescent="0.25">
      <c r="B153" s="75">
        <f>_xll.meDateFromTenor(B152,Periodicity,"FOLLOWING","NYB")</f>
        <v>43812</v>
      </c>
      <c r="C153" s="76">
        <v>2.4330000000000001E-2</v>
      </c>
      <c r="D153" s="77">
        <f ca="1"/>
        <v>97.409524671868255</v>
      </c>
      <c r="E153" s="83">
        <f ca="1"/>
        <v>1538.4615384615386</v>
      </c>
      <c r="F153" s="77">
        <f ca="1"/>
        <v>97.255678518022094</v>
      </c>
      <c r="G153" s="84">
        <f ca="1"/>
        <v>2.4330000000004771E-2</v>
      </c>
      <c r="H153">
        <f ca="1"/>
        <v>97.255678518022094</v>
      </c>
      <c r="I153" t="b">
        <f t="shared" ca="1" si="2"/>
        <v>1</v>
      </c>
      <c r="J153" s="60">
        <f ca="1"/>
        <v>623.8430167895059</v>
      </c>
      <c r="K153" s="60">
        <f ca="1"/>
        <v>623.84301687501409</v>
      </c>
      <c r="L153" s="60">
        <f ca="1"/>
        <v>6.4043328297820032</v>
      </c>
      <c r="M153" s="60"/>
    </row>
    <row r="154" spans="2:13" x14ac:dyDescent="0.25">
      <c r="B154" s="75">
        <f>_xll.meDateFromTenor(B153,Periodicity,"FOLLOWING","NYB")</f>
        <v>43819</v>
      </c>
      <c r="C154" s="76">
        <v>2.4330000000000001E-2</v>
      </c>
      <c r="D154" s="77">
        <f ca="1"/>
        <v>97.454836634829363</v>
      </c>
      <c r="E154" s="83">
        <f ca="1"/>
        <v>1923.0769230769231</v>
      </c>
      <c r="F154" s="77">
        <f ca="1"/>
        <v>97.262528942521669</v>
      </c>
      <c r="G154" s="84">
        <f ca="1"/>
        <v>2.4330000000004834E-2</v>
      </c>
      <c r="H154">
        <f ca="1"/>
        <v>97.262528942521669</v>
      </c>
      <c r="I154" t="b">
        <f t="shared" ca="1" si="2"/>
        <v>1</v>
      </c>
      <c r="J154" s="60">
        <f ca="1"/>
        <v>622.28160300297679</v>
      </c>
      <c r="K154" s="60">
        <f ca="1"/>
        <v>622.28160308563918</v>
      </c>
      <c r="L154" s="60">
        <f ca="1"/>
        <v>6.3853331911551292</v>
      </c>
      <c r="M154" s="60"/>
    </row>
    <row r="155" spans="2:13" x14ac:dyDescent="0.25">
      <c r="B155" s="75">
        <f>_xll.meDateFromTenor(B154,Periodicity,"FOLLOWING","NYB")</f>
        <v>43826</v>
      </c>
      <c r="C155" s="76">
        <v>2.4330000000000001E-2</v>
      </c>
      <c r="D155" s="77">
        <f ca="1"/>
        <v>97.500169675544342</v>
      </c>
      <c r="E155" s="83">
        <f ca="1"/>
        <v>2307.6923076923076</v>
      </c>
      <c r="F155" s="77">
        <f ca="1"/>
        <v>97.269400444775115</v>
      </c>
      <c r="G155" s="84">
        <f ca="1"/>
        <v>2.4330000000004733E-2</v>
      </c>
      <c r="H155">
        <f ca="1"/>
        <v>97.269400444775115</v>
      </c>
      <c r="I155" t="b">
        <f t="shared" ca="1" si="2"/>
        <v>1</v>
      </c>
      <c r="J155" s="60">
        <f ca="1"/>
        <v>620.71860158261609</v>
      </c>
      <c r="K155" s="60">
        <f ca="1"/>
        <v>620.71860166668091</v>
      </c>
      <c r="L155" s="60">
        <f ca="1"/>
        <v>6.3663335525282578</v>
      </c>
      <c r="M155" s="60"/>
    </row>
    <row r="156" spans="2:13" x14ac:dyDescent="0.25">
      <c r="B156" s="75">
        <f>_xll.meDateFromTenor(B155,Periodicity,"FOLLOWING","NYB")</f>
        <v>43833</v>
      </c>
      <c r="C156" s="76">
        <v>2.4330000000000001E-2</v>
      </c>
      <c r="D156" s="77">
        <f ca="1"/>
        <v>97.545523803817957</v>
      </c>
      <c r="E156" s="83">
        <f ca="1"/>
        <v>2692.3076923076924</v>
      </c>
      <c r="F156" s="77">
        <f ca="1"/>
        <v>97.276293034587184</v>
      </c>
      <c r="G156" s="84">
        <f ca="1"/>
        <v>2.4330000000004716E-2</v>
      </c>
      <c r="H156">
        <f ca="1"/>
        <v>97.276293034587184</v>
      </c>
      <c r="I156" t="b">
        <f t="shared" ca="1" si="2"/>
        <v>1</v>
      </c>
      <c r="J156" s="60">
        <f ca="1"/>
        <v>619.15401138924835</v>
      </c>
      <c r="K156" s="60">
        <f ca="1"/>
        <v>619.15401148127091</v>
      </c>
      <c r="L156" s="60">
        <f ca="1"/>
        <v>6.3473339139013829</v>
      </c>
      <c r="M156" s="60"/>
    </row>
    <row r="157" spans="2:13" x14ac:dyDescent="0.25">
      <c r="B157" s="75">
        <f>_xll.meDateFromTenor(B156,Periodicity,"FOLLOWING","NYB")</f>
        <v>43840</v>
      </c>
      <c r="C157" s="76">
        <v>2.4330000000000001E-2</v>
      </c>
      <c r="D157" s="77">
        <f ca="1"/>
        <v>97.590899029459479</v>
      </c>
      <c r="E157" s="83">
        <f ca="1"/>
        <v>3076.9230769230771</v>
      </c>
      <c r="F157" s="77">
        <f ca="1"/>
        <v>97.283206721767172</v>
      </c>
      <c r="G157" s="84">
        <f ca="1"/>
        <v>2.4330000000004619E-2</v>
      </c>
      <c r="H157">
        <f ca="1"/>
        <v>97.283206721767172</v>
      </c>
      <c r="I157" t="b">
        <f t="shared" ca="1" si="2"/>
        <v>1</v>
      </c>
      <c r="J157" s="60">
        <f ca="1"/>
        <v>617.58783128298239</v>
      </c>
      <c r="K157" s="60">
        <f ca="1"/>
        <v>617.58783137122452</v>
      </c>
      <c r="L157" s="60">
        <f ca="1"/>
        <v>6.3283342752745106</v>
      </c>
      <c r="M157" s="60"/>
    </row>
    <row r="158" spans="2:13" x14ac:dyDescent="0.25">
      <c r="B158" s="75">
        <f>_xll.meDateFromTenor(B157,Periodicity,"FOLLOWING","NYB")</f>
        <v>43847</v>
      </c>
      <c r="C158" s="76">
        <v>2.4330000000000001E-2</v>
      </c>
      <c r="D158" s="77">
        <f ca="1"/>
        <v>97.636295362282766</v>
      </c>
      <c r="E158" s="83">
        <f ca="1"/>
        <v>3461.5384615384614</v>
      </c>
      <c r="F158" s="77">
        <f ca="1"/>
        <v>97.290141516128926</v>
      </c>
      <c r="G158" s="84">
        <f ca="1"/>
        <v>2.4330000000004882E-2</v>
      </c>
      <c r="H158">
        <f ca="1"/>
        <v>97.290141516128926</v>
      </c>
      <c r="I158" t="b">
        <f t="shared" ca="1" si="2"/>
        <v>1</v>
      </c>
      <c r="J158" s="60">
        <f ca="1"/>
        <v>616.02006012320965</v>
      </c>
      <c r="K158" s="60">
        <f ca="1"/>
        <v>616.02006022098976</v>
      </c>
      <c r="L158" s="60">
        <f ca="1"/>
        <v>6.3093346366476366</v>
      </c>
      <c r="M158" s="60"/>
    </row>
    <row r="159" spans="2:13" x14ac:dyDescent="0.25">
      <c r="B159" s="75">
        <f>_xll.meDateFromTenor(B158,Periodicity,"FOLLOWING","NYB")</f>
        <v>43854</v>
      </c>
      <c r="C159" s="76">
        <v>2.4330000000000001E-2</v>
      </c>
      <c r="D159" s="77">
        <f ca="1"/>
        <v>97.681712812106255</v>
      </c>
      <c r="E159" s="83">
        <f ca="1"/>
        <v>3846.1538461538462</v>
      </c>
      <c r="F159" s="77">
        <f ca="1"/>
        <v>97.297097427490868</v>
      </c>
      <c r="G159" s="84">
        <f ca="1"/>
        <v>2.4330000000004733E-2</v>
      </c>
      <c r="H159">
        <f ca="1"/>
        <v>97.297097427490868</v>
      </c>
      <c r="I159" t="b">
        <f t="shared" ca="1" si="2"/>
        <v>1</v>
      </c>
      <c r="J159" s="60">
        <f ca="1"/>
        <v>614.45069676860521</v>
      </c>
      <c r="K159" s="60">
        <f ca="1"/>
        <v>614.45069685106546</v>
      </c>
      <c r="L159" s="60">
        <f ca="1"/>
        <v>6.2903349980207635</v>
      </c>
      <c r="M159" s="60"/>
    </row>
    <row r="160" spans="2:13" x14ac:dyDescent="0.25">
      <c r="B160" s="75">
        <f>_xll.meDateFromTenor(B159,Periodicity,"FOLLOWING","NYB")</f>
        <v>43861</v>
      </c>
      <c r="C160" s="76">
        <v>2.4330000000000001E-2</v>
      </c>
      <c r="D160" s="77">
        <f ca="1"/>
        <v>97.727151388752944</v>
      </c>
      <c r="E160" s="83">
        <f ca="1"/>
        <v>4230.7692307692305</v>
      </c>
      <c r="F160" s="77">
        <f ca="1"/>
        <v>97.304074465676024</v>
      </c>
      <c r="G160" s="84">
        <f ca="1"/>
        <v>2.4330000000004431E-2</v>
      </c>
      <c r="H160">
        <f ca="1"/>
        <v>97.304074465676024</v>
      </c>
      <c r="I160" t="b">
        <f t="shared" ca="1" si="2"/>
        <v>1</v>
      </c>
      <c r="J160" s="60">
        <f ca="1"/>
        <v>612.87974007712592</v>
      </c>
      <c r="K160" s="60">
        <f ca="1"/>
        <v>612.87974016011049</v>
      </c>
      <c r="L160" s="60">
        <f ca="1"/>
        <v>6.2713353593938885</v>
      </c>
      <c r="M160" s="60"/>
    </row>
    <row r="161" spans="2:13" x14ac:dyDescent="0.25">
      <c r="B161" s="75">
        <f>_xll.meDateFromTenor(B160,Periodicity,"FOLLOWING","NYB")</f>
        <v>43868</v>
      </c>
      <c r="C161" s="76">
        <v>2.4330000000000001E-2</v>
      </c>
      <c r="D161" s="77">
        <f ca="1"/>
        <v>97.772611102050348</v>
      </c>
      <c r="E161" s="83">
        <f ca="1"/>
        <v>4615.3846153846152</v>
      </c>
      <c r="F161" s="77">
        <f ca="1"/>
        <v>97.311072640511881</v>
      </c>
      <c r="G161" s="84">
        <f ca="1"/>
        <v>2.4330000000004438E-2</v>
      </c>
      <c r="H161">
        <f ca="1"/>
        <v>97.311072640511881</v>
      </c>
      <c r="I161" t="b">
        <f t="shared" ca="1" si="2"/>
        <v>1</v>
      </c>
      <c r="J161" s="60">
        <f ca="1"/>
        <v>611.30718890601122</v>
      </c>
      <c r="K161" s="60">
        <f ca="1"/>
        <v>611.30718898994007</v>
      </c>
      <c r="L161" s="60">
        <f ca="1"/>
        <v>6.2523357207670172</v>
      </c>
      <c r="M161" s="60"/>
    </row>
    <row r="162" spans="2:13" x14ac:dyDescent="0.25">
      <c r="B162" s="75">
        <f>_xll.meDateFromTenor(B161,Periodicity,"FOLLOWING","NYB")</f>
        <v>43875</v>
      </c>
      <c r="C162" s="76">
        <v>2.4330000000000001E-2</v>
      </c>
      <c r="D162" s="77">
        <f ca="1"/>
        <v>97.818091961830632</v>
      </c>
      <c r="E162" s="83">
        <f ca="1"/>
        <v>5000</v>
      </c>
      <c r="F162" s="77">
        <f ca="1"/>
        <v>97.318091961830632</v>
      </c>
      <c r="G162" s="84">
        <f ca="1"/>
        <v>2.4330000000004744E-2</v>
      </c>
      <c r="H162">
        <f ca="1"/>
        <v>97.318091961830632</v>
      </c>
      <c r="I162" t="b">
        <f t="shared" ca="1" si="2"/>
        <v>1</v>
      </c>
      <c r="J162" s="60">
        <f ca="1"/>
        <v>609.73304211178174</v>
      </c>
      <c r="K162" s="60">
        <f ca="1"/>
        <v>609.73304218947533</v>
      </c>
      <c r="L162" s="60">
        <f ca="1"/>
        <v>6.2333360821401449</v>
      </c>
      <c r="M162" s="60"/>
    </row>
    <row r="163" spans="2:13" x14ac:dyDescent="0.25">
      <c r="B163" s="75">
        <f>_xll.meDateFromTenor(B162,Periodicity,"FOLLOWING","NYB")</f>
        <v>43882</v>
      </c>
      <c r="C163" s="76">
        <v>2.4330000000000001E-2</v>
      </c>
      <c r="D163" s="77">
        <f ca="1"/>
        <v>97.86359397793052</v>
      </c>
      <c r="E163" s="83">
        <f ca="1"/>
        <v>5384.6153846153848</v>
      </c>
      <c r="F163" s="77">
        <f ca="1"/>
        <v>97.325132439468987</v>
      </c>
      <c r="G163" s="84">
        <f ca="1"/>
        <v>2.4330000000004449E-2</v>
      </c>
      <c r="H163">
        <f ca="1"/>
        <v>97.325132439468987</v>
      </c>
      <c r="I163" t="b">
        <f t="shared" ca="1" si="2"/>
        <v>1</v>
      </c>
      <c r="J163" s="60">
        <f ca="1"/>
        <v>608.15729855023937</v>
      </c>
      <c r="K163" s="60">
        <f ca="1"/>
        <v>608.15729862895284</v>
      </c>
      <c r="L163" s="60">
        <f ca="1"/>
        <v>6.21433644351327</v>
      </c>
      <c r="M163" s="60"/>
    </row>
    <row r="164" spans="2:13" x14ac:dyDescent="0.25">
      <c r="B164" s="75">
        <f>_xll.meDateFromTenor(B163,Periodicity,"FOLLOWING","NYB")</f>
        <v>43889</v>
      </c>
      <c r="C164" s="76">
        <v>2.4330000000000001E-2</v>
      </c>
      <c r="D164" s="77">
        <f ca="1"/>
        <v>97.909117160191229</v>
      </c>
      <c r="E164" s="83">
        <f ca="1"/>
        <v>5769.2307692307686</v>
      </c>
      <c r="F164" s="77">
        <f ca="1"/>
        <v>97.332194083268149</v>
      </c>
      <c r="G164" s="84">
        <f ca="1"/>
        <v>2.4330000000004477E-2</v>
      </c>
      <c r="H164">
        <f ca="1"/>
        <v>97.332194083268149</v>
      </c>
      <c r="I164" t="b">
        <f t="shared" ca="1" si="2"/>
        <v>1</v>
      </c>
      <c r="J164" s="60">
        <f ca="1"/>
        <v>606.57995707646694</v>
      </c>
      <c r="K164" s="60">
        <f ca="1"/>
        <v>606.57995716439916</v>
      </c>
      <c r="L164" s="60">
        <f ca="1"/>
        <v>6.1953368048863959</v>
      </c>
      <c r="M164" s="60"/>
    </row>
    <row r="165" spans="2:13" x14ac:dyDescent="0.25">
      <c r="B165" s="75">
        <f>_xll.meDateFromTenor(B164,Periodicity,"FOLLOWING","NYB")</f>
        <v>43896</v>
      </c>
      <c r="C165" s="76">
        <v>2.4330000000000001E-2</v>
      </c>
      <c r="D165" s="77">
        <f ca="1"/>
        <v>97.954661518458678</v>
      </c>
      <c r="E165" s="83">
        <f ca="1"/>
        <v>6153.8461538461543</v>
      </c>
      <c r="F165" s="77">
        <f ca="1"/>
        <v>97.339276903074065</v>
      </c>
      <c r="G165" s="84">
        <f ca="1"/>
        <v>2.4330000000004508E-2</v>
      </c>
      <c r="H165">
        <f ca="1"/>
        <v>97.339276903074065</v>
      </c>
      <c r="I165" t="b">
        <f t="shared" ca="1" si="2"/>
        <v>1</v>
      </c>
      <c r="J165" s="60">
        <f ca="1"/>
        <v>605.00101654482785</v>
      </c>
      <c r="K165" s="60">
        <f ca="1"/>
        <v>605.00101662341876</v>
      </c>
      <c r="L165" s="60">
        <f ca="1"/>
        <v>6.1763371662595237</v>
      </c>
      <c r="M165" s="60"/>
    </row>
    <row r="166" spans="2:13" x14ac:dyDescent="0.25">
      <c r="B166" s="75">
        <f>_xll.meDateFromTenor(B165,Periodicity,"FOLLOWING","NYB")</f>
        <v>43903</v>
      </c>
      <c r="C166" s="76">
        <v>2.4330000000000001E-2</v>
      </c>
      <c r="D166" s="77">
        <f ca="1"/>
        <v>98.000227062583249</v>
      </c>
      <c r="E166" s="83">
        <f ca="1"/>
        <v>6538.4615384615381</v>
      </c>
      <c r="F166" s="77">
        <f ca="1"/>
        <v>97.346380908737089</v>
      </c>
      <c r="G166" s="84">
        <f ca="1"/>
        <v>2.4330000000004497E-2</v>
      </c>
      <c r="H166">
        <f ca="1"/>
        <v>97.346380908737089</v>
      </c>
      <c r="I166" t="b">
        <f t="shared" ca="1" si="2"/>
        <v>1</v>
      </c>
      <c r="J166" s="60">
        <f ca="1"/>
        <v>603.42047580896474</v>
      </c>
      <c r="K166" s="60">
        <f ca="1"/>
        <v>603.42047589045922</v>
      </c>
      <c r="L166" s="60">
        <f ca="1"/>
        <v>6.1573375276326505</v>
      </c>
      <c r="M166" s="60"/>
    </row>
    <row r="167" spans="2:13" x14ac:dyDescent="0.25">
      <c r="B167" s="75">
        <f>_xll.meDateFromTenor(B166,Periodicity,"FOLLOWING","NYB")</f>
        <v>43910</v>
      </c>
      <c r="C167" s="76">
        <v>2.4330000000000001E-2</v>
      </c>
      <c r="D167" s="77">
        <f ca="1"/>
        <v>98.045813802420028</v>
      </c>
      <c r="E167" s="83">
        <f ca="1"/>
        <v>6923.0769230769229</v>
      </c>
      <c r="F167" s="77">
        <f ca="1"/>
        <v>97.353506110112335</v>
      </c>
      <c r="G167" s="84">
        <f ca="1"/>
        <v>2.4330000000004379E-2</v>
      </c>
      <c r="H167">
        <f ca="1"/>
        <v>97.353506110112335</v>
      </c>
      <c r="I167" t="b">
        <f t="shared" ca="1" si="2"/>
        <v>1</v>
      </c>
      <c r="J167" s="60">
        <f ca="1"/>
        <v>601.83833372180038</v>
      </c>
      <c r="K167" s="60">
        <f ca="1"/>
        <v>601.8383338073362</v>
      </c>
      <c r="L167" s="60">
        <f ca="1"/>
        <v>6.1383378890057765</v>
      </c>
      <c r="M167" s="60"/>
    </row>
    <row r="168" spans="2:13" x14ac:dyDescent="0.25">
      <c r="B168" s="75">
        <f>_xll.meDateFromTenor(B167,Periodicity,"FOLLOWING","NYB")</f>
        <v>43917</v>
      </c>
      <c r="C168" s="76">
        <v>2.4330000000000001E-2</v>
      </c>
      <c r="D168" s="77">
        <f ca="1"/>
        <v>98.091421747828562</v>
      </c>
      <c r="E168" s="83">
        <f ca="1"/>
        <v>7307.6923076923076</v>
      </c>
      <c r="F168" s="77">
        <f ca="1"/>
        <v>97.360652517059336</v>
      </c>
      <c r="G168" s="84">
        <f ca="1"/>
        <v>2.4330000000004407E-2</v>
      </c>
      <c r="H168">
        <f ca="1"/>
        <v>97.360652517059336</v>
      </c>
      <c r="I168" t="b">
        <f t="shared" ca="1" si="2"/>
        <v>1</v>
      </c>
      <c r="J168" s="60">
        <f ca="1"/>
        <v>600.25458913553632</v>
      </c>
      <c r="K168" s="60">
        <f ca="1"/>
        <v>600.25458921586494</v>
      </c>
      <c r="L168" s="60">
        <f ca="1"/>
        <v>6.1193382503789033</v>
      </c>
      <c r="M168" s="60"/>
    </row>
    <row r="169" spans="2:13" x14ac:dyDescent="0.25">
      <c r="B169" s="75">
        <f>_xll.meDateFromTenor(B168,Periodicity,"FOLLOWING","NYB")</f>
        <v>43924</v>
      </c>
      <c r="C169" s="76">
        <v>2.4330000000000001E-2</v>
      </c>
      <c r="D169" s="77">
        <f ca="1"/>
        <v>98.137050908673046</v>
      </c>
      <c r="E169" s="83">
        <f ca="1"/>
        <v>7692.3076923076924</v>
      </c>
      <c r="F169" s="77">
        <f ca="1"/>
        <v>97.367820139442273</v>
      </c>
      <c r="G169" s="84">
        <f ca="1"/>
        <v>2.4330000000004081E-2</v>
      </c>
      <c r="H169">
        <f ca="1"/>
        <v>97.367820139442273</v>
      </c>
      <c r="I169" t="b">
        <f t="shared" ca="1" si="2"/>
        <v>1</v>
      </c>
      <c r="J169" s="60">
        <f ca="1"/>
        <v>598.66924090165287</v>
      </c>
      <c r="K169" s="60">
        <f ca="1"/>
        <v>598.66924097917706</v>
      </c>
      <c r="L169" s="60">
        <f ca="1"/>
        <v>6.1003386117520302</v>
      </c>
      <c r="M169" s="60"/>
    </row>
    <row r="170" spans="2:13" x14ac:dyDescent="0.25">
      <c r="B170" s="75">
        <f>_xll.meDateFromTenor(B169,Periodicity,"FOLLOWING","NYB")</f>
        <v>43931</v>
      </c>
      <c r="C170" s="76">
        <v>2.4330000000000001E-2</v>
      </c>
      <c r="D170" s="77">
        <f ca="1"/>
        <v>98.182701294822294</v>
      </c>
      <c r="E170" s="83">
        <f ca="1"/>
        <v>8076.9230769230771</v>
      </c>
      <c r="F170" s="77">
        <f ca="1"/>
        <v>97.375008987129988</v>
      </c>
      <c r="G170" s="84">
        <f ca="1"/>
        <v>2.4330000000004195E-2</v>
      </c>
      <c r="H170">
        <f ca="1"/>
        <v>97.375008987129988</v>
      </c>
      <c r="I170" t="b">
        <f t="shared" ca="1" si="2"/>
        <v>1</v>
      </c>
      <c r="J170" s="60">
        <f ca="1"/>
        <v>597.08228787090866</v>
      </c>
      <c r="K170" s="60">
        <f ca="1"/>
        <v>597.08228793908791</v>
      </c>
      <c r="L170" s="60">
        <f ca="1"/>
        <v>6.081338973125157</v>
      </c>
      <c r="M170" s="60"/>
    </row>
    <row r="171" spans="2:13" x14ac:dyDescent="0.25">
      <c r="B171" s="75">
        <f>_xll.meDateFromTenor(B170,Periodicity,"FOLLOWING","NYB")</f>
        <v>43938</v>
      </c>
      <c r="C171" s="76">
        <v>2.4330000000000001E-2</v>
      </c>
      <c r="D171" s="77">
        <f ca="1"/>
        <v>98.228372916149652</v>
      </c>
      <c r="E171" s="83">
        <f ca="1"/>
        <v>8461.538461538461</v>
      </c>
      <c r="F171" s="77">
        <f ca="1"/>
        <v>97.382219069995813</v>
      </c>
      <c r="G171" s="84">
        <f ca="1"/>
        <v>2.4330000000004202E-2</v>
      </c>
      <c r="H171">
        <f ca="1"/>
        <v>97.382219069995813</v>
      </c>
      <c r="I171" t="b">
        <f t="shared" ca="1" si="2"/>
        <v>1</v>
      </c>
      <c r="J171" s="60">
        <f ca="1"/>
        <v>595.49372889333983</v>
      </c>
      <c r="K171" s="60">
        <f ca="1"/>
        <v>595.49372898004538</v>
      </c>
      <c r="L171" s="60">
        <f ca="1"/>
        <v>6.062339334498283</v>
      </c>
      <c r="M171" s="60"/>
    </row>
    <row r="172" spans="2:13" x14ac:dyDescent="0.25">
      <c r="B172" s="75">
        <f>_xll.meDateFromTenor(B171,Periodicity,"FOLLOWING","NYB")</f>
        <v>43945</v>
      </c>
      <c r="C172" s="76">
        <v>2.4330000000000001E-2</v>
      </c>
      <c r="D172" s="77">
        <f ca="1"/>
        <v>98.274065782533086</v>
      </c>
      <c r="E172" s="83">
        <f ca="1"/>
        <v>8846.1538461538457</v>
      </c>
      <c r="F172" s="77">
        <f ca="1"/>
        <v>97.389450397917699</v>
      </c>
      <c r="G172" s="84">
        <f ca="1"/>
        <v>2.4330000000004098E-2</v>
      </c>
      <c r="H172">
        <f ca="1"/>
        <v>97.389450397917699</v>
      </c>
      <c r="I172" t="b">
        <f t="shared" ca="1" si="2"/>
        <v>1</v>
      </c>
      <c r="J172" s="60">
        <f ca="1"/>
        <v>593.90356281826041</v>
      </c>
      <c r="K172" s="60">
        <f ca="1"/>
        <v>593.90356290833768</v>
      </c>
      <c r="L172" s="60">
        <f ca="1"/>
        <v>6.0433396958714098</v>
      </c>
      <c r="M172" s="60"/>
    </row>
    <row r="173" spans="2:13" x14ac:dyDescent="0.25">
      <c r="B173" s="75">
        <f>_xll.meDateFromTenor(B172,Periodicity,"FOLLOWING","NYB")</f>
        <v>43952</v>
      </c>
      <c r="C173" s="76">
        <v>2.4330000000000001E-2</v>
      </c>
      <c r="D173" s="77">
        <f ca="1"/>
        <v>98.319779903855149</v>
      </c>
      <c r="E173" s="83">
        <f ca="1"/>
        <v>9230.7692307692305</v>
      </c>
      <c r="F173" s="77">
        <f ca="1"/>
        <v>97.39670298077823</v>
      </c>
      <c r="G173" s="84">
        <f ca="1"/>
        <v>2.4330000000004109E-2</v>
      </c>
      <c r="H173">
        <f ca="1"/>
        <v>97.39670298077823</v>
      </c>
      <c r="I173" t="b">
        <f t="shared" ca="1" si="2"/>
        <v>1</v>
      </c>
      <c r="J173" s="60">
        <f ca="1"/>
        <v>592.31178849426101</v>
      </c>
      <c r="K173" s="60">
        <f ca="1"/>
        <v>592.311788579991</v>
      </c>
      <c r="L173" s="60">
        <f ca="1"/>
        <v>6.0243400572445367</v>
      </c>
      <c r="M173" s="60"/>
    </row>
    <row r="174" spans="2:13" x14ac:dyDescent="0.25">
      <c r="B174" s="75">
        <f>_xll.meDateFromTenor(B173,Periodicity,"FOLLOWING","NYB")</f>
        <v>43959</v>
      </c>
      <c r="C174" s="76">
        <v>2.4330000000000001E-2</v>
      </c>
      <c r="D174" s="77">
        <f ca="1"/>
        <v>98.365515290003003</v>
      </c>
      <c r="E174" s="83">
        <f ca="1"/>
        <v>9615.3846153846152</v>
      </c>
      <c r="F174" s="77">
        <f ca="1"/>
        <v>97.403976828464536</v>
      </c>
      <c r="G174" s="84">
        <f ca="1"/>
        <v>2.4330000000004001E-2</v>
      </c>
      <c r="H174">
        <f ca="1"/>
        <v>97.403976828464536</v>
      </c>
      <c r="I174" t="b">
        <f t="shared" ca="1" si="2"/>
        <v>1</v>
      </c>
      <c r="J174" s="60">
        <f ca="1"/>
        <v>590.71840476920886</v>
      </c>
      <c r="K174" s="60">
        <f ca="1"/>
        <v>590.71840485103166</v>
      </c>
      <c r="L174" s="60">
        <f ca="1"/>
        <v>6.0053404186176635</v>
      </c>
      <c r="M174" s="60"/>
    </row>
    <row r="175" spans="2:13" x14ac:dyDescent="0.25">
      <c r="B175" s="75">
        <f>_xll.meDateFromTenor(B174,Periodicity,"FOLLOWING","NYB")</f>
        <v>43966</v>
      </c>
      <c r="C175" s="76">
        <v>2.4330000000000001E-2</v>
      </c>
      <c r="D175" s="77">
        <f ca="1"/>
        <v>97.411271950868411</v>
      </c>
      <c r="E175" s="83">
        <f ca="1"/>
        <v>0</v>
      </c>
      <c r="F175" s="77">
        <f ca="1"/>
        <v>97.411271950868411</v>
      </c>
      <c r="G175" s="84">
        <f ca="1"/>
        <v>2.4330000000004039E-2</v>
      </c>
      <c r="H175">
        <f ca="1"/>
        <v>97.411271950868411</v>
      </c>
      <c r="I175" t="b">
        <f t="shared" ca="1" si="2"/>
        <v>1</v>
      </c>
      <c r="J175" s="60">
        <f ca="1"/>
        <v>589.12341049024735</v>
      </c>
      <c r="K175" s="60">
        <f ca="1"/>
        <v>589.12341057748552</v>
      </c>
      <c r="L175" s="60">
        <f ca="1"/>
        <v>6.0477950722929181</v>
      </c>
      <c r="M175" s="60"/>
    </row>
    <row r="176" spans="2:13" x14ac:dyDescent="0.25">
      <c r="B176" s="75">
        <f>_xll.meDateFromTenor(B175,Periodicity,"FOLLOWING","NYB")</f>
        <v>43973</v>
      </c>
      <c r="C176" s="76">
        <v>2.4330000000000001E-2</v>
      </c>
      <c r="D176" s="77">
        <f ca="1"/>
        <v>97.456092083147553</v>
      </c>
      <c r="E176" s="83">
        <f ca="1"/>
        <v>380.43478260869568</v>
      </c>
      <c r="F176" s="77">
        <f ca="1"/>
        <v>97.418048604886678</v>
      </c>
      <c r="G176" s="84">
        <f ca="1"/>
        <v>2.4330000000004025E-2</v>
      </c>
      <c r="H176">
        <f ca="1"/>
        <v>97.418048604886678</v>
      </c>
      <c r="I176" t="b">
        <f t="shared" ca="1" si="2"/>
        <v>1</v>
      </c>
      <c r="J176" s="60">
        <f ca="1"/>
        <v>587.56296935263902</v>
      </c>
      <c r="K176" s="60">
        <f ca="1"/>
        <v>587.56296943585073</v>
      </c>
      <c r="L176" s="60">
        <f ca="1"/>
        <v>6.0290019514772073</v>
      </c>
      <c r="M176" s="60"/>
    </row>
    <row r="177" spans="2:13" x14ac:dyDescent="0.25">
      <c r="B177" s="75">
        <f>_xll.meDateFromTenor(B176,Periodicity,"FOLLOWING","NYB")</f>
        <v>43980</v>
      </c>
      <c r="C177" s="76">
        <v>2.4330000000000001E-2</v>
      </c>
      <c r="D177" s="77">
        <f ca="1"/>
        <v>97.500932837724477</v>
      </c>
      <c r="E177" s="83">
        <f ca="1"/>
        <v>760.86956521739137</v>
      </c>
      <c r="F177" s="77">
        <f ca="1"/>
        <v>97.424845881202742</v>
      </c>
      <c r="G177" s="84">
        <f ca="1"/>
        <v>2.4330000000004164E-2</v>
      </c>
      <c r="H177">
        <f ca="1"/>
        <v>97.424845881202742</v>
      </c>
      <c r="I177" t="b">
        <f t="shared" ca="1" si="2"/>
        <v>1</v>
      </c>
      <c r="J177" s="60">
        <f ca="1"/>
        <v>586.00096753902517</v>
      </c>
      <c r="K177" s="60">
        <f ca="1"/>
        <v>586.00096762262399</v>
      </c>
      <c r="L177" s="60">
        <f ca="1"/>
        <v>6.0102088306614965</v>
      </c>
      <c r="M177" s="60"/>
    </row>
    <row r="178" spans="2:13" x14ac:dyDescent="0.25">
      <c r="B178" s="75">
        <f>_xll.meDateFromTenor(B177,Periodicity,"FOLLOWING","NYB")</f>
        <v>43987</v>
      </c>
      <c r="C178" s="76">
        <v>2.4330000000000001E-2</v>
      </c>
      <c r="D178" s="77">
        <f ca="1"/>
        <v>97.545794224087786</v>
      </c>
      <c r="E178" s="83">
        <f ca="1"/>
        <v>1141.304347826087</v>
      </c>
      <c r="F178" s="77">
        <f ca="1"/>
        <v>97.431663789305176</v>
      </c>
      <c r="G178" s="84">
        <f ca="1"/>
        <v>2.4330000000003925E-2</v>
      </c>
      <c r="H178">
        <f ca="1"/>
        <v>97.431663789305176</v>
      </c>
      <c r="I178" t="b">
        <f t="shared" ca="1" si="2"/>
        <v>1</v>
      </c>
      <c r="J178" s="60">
        <f ca="1"/>
        <v>584.4374039435836</v>
      </c>
      <c r="K178" s="60">
        <f ca="1"/>
        <v>584.43740402225319</v>
      </c>
      <c r="L178" s="60">
        <f ca="1"/>
        <v>5.991415709845783</v>
      </c>
      <c r="M178" s="60"/>
    </row>
    <row r="179" spans="2:13" x14ac:dyDescent="0.25">
      <c r="B179" s="75">
        <f>_xll.meDateFromTenor(B178,Periodicity,"FOLLOWING","NYB")</f>
        <v>43994</v>
      </c>
      <c r="C179" s="76">
        <v>2.4330000000000001E-2</v>
      </c>
      <c r="D179" s="77">
        <f ca="1"/>
        <v>97.590676251730372</v>
      </c>
      <c r="E179" s="83">
        <f ca="1"/>
        <v>1521.7391304347827</v>
      </c>
      <c r="F179" s="77">
        <f ca="1"/>
        <v>97.438502338686888</v>
      </c>
      <c r="G179" s="84">
        <f ca="1"/>
        <v>2.4330000000003776E-2</v>
      </c>
      <c r="H179">
        <f ca="1"/>
        <v>97.438502338686888</v>
      </c>
      <c r="I179" t="b">
        <f t="shared" ca="1" si="2"/>
        <v>1</v>
      </c>
      <c r="J179" s="60">
        <f ca="1"/>
        <v>582.87227745980545</v>
      </c>
      <c r="K179" s="60">
        <f ca="1"/>
        <v>582.87227754050252</v>
      </c>
      <c r="L179" s="60">
        <f ca="1"/>
        <v>5.9726225890300721</v>
      </c>
      <c r="M179" s="60"/>
    </row>
    <row r="180" spans="2:13" x14ac:dyDescent="0.25">
      <c r="B180" s="75">
        <f>_xll.meDateFromTenor(B179,Periodicity,"FOLLOWING","NYB")</f>
        <v>44001</v>
      </c>
      <c r="C180" s="76">
        <v>2.4330000000000001E-2</v>
      </c>
      <c r="D180" s="77">
        <f ca="1"/>
        <v>97.635578930149563</v>
      </c>
      <c r="E180" s="83">
        <f ca="1"/>
        <v>1902.1739130434785</v>
      </c>
      <c r="F180" s="77">
        <f ca="1"/>
        <v>97.445361538845219</v>
      </c>
      <c r="G180" s="84">
        <f ca="1"/>
        <v>2.4330000000003762E-2</v>
      </c>
      <c r="H180">
        <f ca="1"/>
        <v>97.445361538845219</v>
      </c>
      <c r="I180" t="b">
        <f t="shared" ca="1" si="2"/>
        <v>1</v>
      </c>
      <c r="J180" s="60">
        <f ca="1"/>
        <v>581.30558698049344</v>
      </c>
      <c r="K180" s="60">
        <f ca="1"/>
        <v>581.30558705471447</v>
      </c>
      <c r="L180" s="60">
        <f ca="1"/>
        <v>5.9538294682143587</v>
      </c>
      <c r="M180" s="60"/>
    </row>
    <row r="181" spans="2:13" x14ac:dyDescent="0.25">
      <c r="B181" s="75">
        <f>_xll.meDateFromTenor(B180,Periodicity,"FOLLOWING","NYB")</f>
        <v>44008</v>
      </c>
      <c r="C181" s="76">
        <v>2.4330000000000001E-2</v>
      </c>
      <c r="D181" s="77">
        <f ca="1"/>
        <v>97.680502268847036</v>
      </c>
      <c r="E181" s="83">
        <f ca="1"/>
        <v>2282.608695652174</v>
      </c>
      <c r="F181" s="77">
        <f ca="1"/>
        <v>97.452241399281817</v>
      </c>
      <c r="G181" s="84">
        <f ca="1"/>
        <v>2.4330000000003703E-2</v>
      </c>
      <c r="H181">
        <f ca="1"/>
        <v>97.452241399281817</v>
      </c>
      <c r="I181" t="b">
        <f t="shared" ca="1" si="2"/>
        <v>1</v>
      </c>
      <c r="J181" s="60">
        <f ca="1"/>
        <v>579.73733139776334</v>
      </c>
      <c r="K181" s="60">
        <f ca="1"/>
        <v>579.73733148486417</v>
      </c>
      <c r="L181" s="60">
        <f ca="1"/>
        <v>5.9350363473986487</v>
      </c>
      <c r="M181" s="60"/>
    </row>
    <row r="182" spans="2:13" x14ac:dyDescent="0.25">
      <c r="B182" s="75">
        <f>_xll.meDateFromTenor(B181,Periodicity,"FOLLOWING","NYB")</f>
        <v>44015</v>
      </c>
      <c r="C182" s="76">
        <v>2.4330000000000001E-2</v>
      </c>
      <c r="D182" s="77">
        <f ca="1"/>
        <v>97.725446277328857</v>
      </c>
      <c r="E182" s="83">
        <f ca="1"/>
        <v>2663.04347826087</v>
      </c>
      <c r="F182" s="77">
        <f ca="1"/>
        <v>97.459141929502763</v>
      </c>
      <c r="G182" s="84">
        <f ca="1"/>
        <v>2.4330000000003703E-2</v>
      </c>
      <c r="H182">
        <f ca="1"/>
        <v>97.459141929502763</v>
      </c>
      <c r="I182" t="b">
        <f t="shared" ca="1" si="2"/>
        <v>1</v>
      </c>
      <c r="J182" s="60">
        <f ca="1"/>
        <v>578.16750960304148</v>
      </c>
      <c r="K182" s="60">
        <f ca="1"/>
        <v>578.1675096869775</v>
      </c>
      <c r="L182" s="60">
        <f ca="1"/>
        <v>5.9162432265829361</v>
      </c>
      <c r="M182" s="60"/>
    </row>
    <row r="183" spans="2:13" x14ac:dyDescent="0.25">
      <c r="B183" s="75">
        <f>_xll.meDateFromTenor(B182,Periodicity,"FOLLOWING","NYB")</f>
        <v>44022</v>
      </c>
      <c r="C183" s="76">
        <v>2.4330000000000001E-2</v>
      </c>
      <c r="D183" s="77">
        <f ca="1"/>
        <v>97.770410965105413</v>
      </c>
      <c r="E183" s="83">
        <f ca="1"/>
        <v>3043.4782608695655</v>
      </c>
      <c r="F183" s="77">
        <f ca="1"/>
        <v>97.466063139018459</v>
      </c>
      <c r="G183" s="84">
        <f ca="1"/>
        <v>2.4330000000003904E-2</v>
      </c>
      <c r="H183">
        <f ca="1"/>
        <v>97.466063139018459</v>
      </c>
      <c r="I183" t="b">
        <f t="shared" ca="1" si="2"/>
        <v>1</v>
      </c>
      <c r="J183" s="60">
        <f ca="1"/>
        <v>576.59612048706606</v>
      </c>
      <c r="K183" s="60">
        <f ca="1"/>
        <v>576.59612056681897</v>
      </c>
      <c r="L183" s="60">
        <f ca="1"/>
        <v>5.8974501057672262</v>
      </c>
      <c r="M183" s="60"/>
    </row>
    <row r="184" spans="2:13" x14ac:dyDescent="0.25">
      <c r="B184" s="75">
        <f>_xll.meDateFromTenor(B183,Periodicity,"FOLLOWING","NYB")</f>
        <v>44029</v>
      </c>
      <c r="C184" s="76">
        <v>2.4330000000000001E-2</v>
      </c>
      <c r="D184" s="77">
        <f ca="1"/>
        <v>97.815396341691539</v>
      </c>
      <c r="E184" s="83">
        <f ca="1"/>
        <v>3423.913043478261</v>
      </c>
      <c r="F184" s="77">
        <f ca="1"/>
        <v>97.473005037343711</v>
      </c>
      <c r="G184" s="84">
        <f ca="1"/>
        <v>2.4330000000003675E-2</v>
      </c>
      <c r="H184">
        <f ca="1"/>
        <v>97.473005037343711</v>
      </c>
      <c r="I184" t="b">
        <f t="shared" ca="1" si="2"/>
        <v>1</v>
      </c>
      <c r="J184" s="60">
        <f ca="1"/>
        <v>575.02316293988576</v>
      </c>
      <c r="K184" s="60">
        <f ca="1"/>
        <v>575.02316302304723</v>
      </c>
      <c r="L184" s="60">
        <f ca="1"/>
        <v>5.8786569849515145</v>
      </c>
      <c r="M184" s="60"/>
    </row>
    <row r="185" spans="2:13" x14ac:dyDescent="0.25">
      <c r="B185" s="75">
        <f>_xll.meDateFromTenor(B184,Periodicity,"FOLLOWING","NYB")</f>
        <v>44036</v>
      </c>
      <c r="C185" s="76">
        <v>2.4330000000000001E-2</v>
      </c>
      <c r="D185" s="77">
        <f ca="1"/>
        <v>97.860402416606391</v>
      </c>
      <c r="E185" s="83">
        <f ca="1"/>
        <v>3804.347826086957</v>
      </c>
      <c r="F185" s="77">
        <f ca="1"/>
        <v>97.479967633997688</v>
      </c>
      <c r="G185" s="84">
        <f ca="1"/>
        <v>2.4330000000003654E-2</v>
      </c>
      <c r="H185">
        <f ca="1"/>
        <v>97.479967633997688</v>
      </c>
      <c r="I185" t="b">
        <f t="shared" ca="1" si="2"/>
        <v>1</v>
      </c>
      <c r="J185" s="60">
        <f ca="1"/>
        <v>573.44863585085989</v>
      </c>
      <c r="K185" s="60">
        <f ca="1"/>
        <v>573.44863593300477</v>
      </c>
      <c r="L185" s="60">
        <f ca="1"/>
        <v>5.8598638641358036</v>
      </c>
      <c r="M185" s="60"/>
    </row>
    <row r="186" spans="2:13" x14ac:dyDescent="0.25">
      <c r="B186" s="75">
        <f>_xll.meDateFromTenor(B185,Periodicity,"FOLLOWING","NYB")</f>
        <v>44043</v>
      </c>
      <c r="C186" s="76">
        <v>2.4330000000000001E-2</v>
      </c>
      <c r="D186" s="77">
        <f ca="1"/>
        <v>97.905429199373557</v>
      </c>
      <c r="E186" s="83">
        <f ca="1"/>
        <v>4184.782608695652</v>
      </c>
      <c r="F186" s="77">
        <f ca="1"/>
        <v>97.486950938503995</v>
      </c>
      <c r="G186" s="84">
        <f ca="1"/>
        <v>2.4330000000003706E-2</v>
      </c>
      <c r="H186">
        <f ca="1"/>
        <v>97.486950938503995</v>
      </c>
      <c r="I186" t="b">
        <f t="shared" ca="1" si="2"/>
        <v>1</v>
      </c>
      <c r="J186" s="60">
        <f ca="1"/>
        <v>571.87253810865741</v>
      </c>
      <c r="K186" s="60">
        <f ca="1"/>
        <v>571.87253818113948</v>
      </c>
      <c r="L186" s="60">
        <f ca="1"/>
        <v>5.841070743320091</v>
      </c>
      <c r="M186" s="60"/>
    </row>
    <row r="187" spans="2:13" x14ac:dyDescent="0.25">
      <c r="B187" s="75">
        <f>_xll.meDateFromTenor(B186,Periodicity,"FOLLOWING","NYB")</f>
        <v>44050</v>
      </c>
      <c r="C187" s="76">
        <v>2.4330000000000001E-2</v>
      </c>
      <c r="D187" s="77">
        <f ca="1"/>
        <v>97.950476699520934</v>
      </c>
      <c r="E187" s="83">
        <f ca="1"/>
        <v>4565.217391304348</v>
      </c>
      <c r="F187" s="77">
        <f ca="1"/>
        <v>97.493954960390496</v>
      </c>
      <c r="G187" s="84">
        <f ca="1"/>
        <v>2.4330000000003755E-2</v>
      </c>
      <c r="H187">
        <f ca="1"/>
        <v>97.493954960390496</v>
      </c>
      <c r="I187" t="b">
        <f t="shared" ca="1" si="2"/>
        <v>1</v>
      </c>
      <c r="J187" s="60">
        <f ca="1"/>
        <v>570.29486860125724</v>
      </c>
      <c r="K187" s="60">
        <f ca="1"/>
        <v>570.29486867321555</v>
      </c>
      <c r="L187" s="60">
        <f ca="1"/>
        <v>5.8222776225043784</v>
      </c>
      <c r="M187" s="60"/>
    </row>
    <row r="188" spans="2:13" x14ac:dyDescent="0.25">
      <c r="B188" s="75">
        <f>_xll.meDateFromTenor(B187,Periodicity,"FOLLOWING","NYB")</f>
        <v>44057</v>
      </c>
      <c r="C188" s="76">
        <v>2.4330000000000001E-2</v>
      </c>
      <c r="D188" s="77">
        <f ca="1"/>
        <v>97.995544926580848</v>
      </c>
      <c r="E188" s="83">
        <f ca="1"/>
        <v>4945.652173913043</v>
      </c>
      <c r="F188" s="77">
        <f ca="1"/>
        <v>97.500979709189551</v>
      </c>
      <c r="G188" s="84">
        <f ca="1"/>
        <v>2.4330000000003411E-2</v>
      </c>
      <c r="H188">
        <f ca="1"/>
        <v>97.500979709189551</v>
      </c>
      <c r="I188" t="b">
        <f t="shared" ca="1" si="2"/>
        <v>1</v>
      </c>
      <c r="J188" s="60">
        <f ca="1"/>
        <v>568.7156262159474</v>
      </c>
      <c r="K188" s="60">
        <f ca="1"/>
        <v>568.71562629368088</v>
      </c>
      <c r="L188" s="60">
        <f ca="1"/>
        <v>5.8034845016886667</v>
      </c>
      <c r="M188" s="60"/>
    </row>
    <row r="189" spans="2:13" x14ac:dyDescent="0.25">
      <c r="B189" s="75">
        <f>_xll.meDateFromTenor(B188,Periodicity,"FOLLOWING","NYB")</f>
        <v>44064</v>
      </c>
      <c r="C189" s="76">
        <v>2.4330000000000001E-2</v>
      </c>
      <c r="D189" s="77">
        <f ca="1"/>
        <v>98.040633890090049</v>
      </c>
      <c r="E189" s="83">
        <f ca="1"/>
        <v>5326.0869565217399</v>
      </c>
      <c r="F189" s="77">
        <f ca="1"/>
        <v>97.508025194437877</v>
      </c>
      <c r="G189" s="84">
        <f ca="1"/>
        <v>2.433000000000355E-2</v>
      </c>
      <c r="H189">
        <f ca="1"/>
        <v>97.508025194437877</v>
      </c>
      <c r="I189" t="b">
        <f t="shared" ca="1" si="2"/>
        <v>1</v>
      </c>
      <c r="J189" s="60">
        <f ca="1"/>
        <v>567.13480983932482</v>
      </c>
      <c r="K189" s="60">
        <f ca="1"/>
        <v>567.13480991277265</v>
      </c>
      <c r="L189" s="60">
        <f ca="1"/>
        <v>5.784691380872955</v>
      </c>
      <c r="M189" s="60"/>
    </row>
    <row r="190" spans="2:13" x14ac:dyDescent="0.25">
      <c r="B190" s="75">
        <f>_xll.meDateFromTenor(B189,Periodicity,"FOLLOWING","NYB")</f>
        <v>44071</v>
      </c>
      <c r="C190" s="76">
        <v>2.4330000000000001E-2</v>
      </c>
      <c r="D190" s="77">
        <f ca="1"/>
        <v>98.085743599589591</v>
      </c>
      <c r="E190" s="83">
        <f ca="1"/>
        <v>5706.521739130435</v>
      </c>
      <c r="F190" s="77">
        <f ca="1"/>
        <v>97.515091425676545</v>
      </c>
      <c r="G190" s="84">
        <f ca="1"/>
        <v>2.433000000000337E-2</v>
      </c>
      <c r="H190">
        <f ca="1"/>
        <v>97.515091425676545</v>
      </c>
      <c r="I190" t="b">
        <f t="shared" ca="1" si="2"/>
        <v>1</v>
      </c>
      <c r="J190" s="60">
        <f ca="1"/>
        <v>565.55241835729453</v>
      </c>
      <c r="K190" s="60">
        <f ca="1"/>
        <v>565.55241842914938</v>
      </c>
      <c r="L190" s="60">
        <f ca="1"/>
        <v>5.7658982600572433</v>
      </c>
      <c r="M190" s="60"/>
    </row>
    <row r="191" spans="2:13" x14ac:dyDescent="0.25">
      <c r="B191" s="75">
        <f>_xll.meDateFromTenor(B190,Periodicity,"FOLLOWING","NYB")</f>
        <v>44078</v>
      </c>
      <c r="C191" s="76">
        <v>2.4330000000000001E-2</v>
      </c>
      <c r="D191" s="77">
        <f ca="1"/>
        <v>98.130874064625004</v>
      </c>
      <c r="E191" s="83">
        <f ca="1"/>
        <v>6086.9565217391309</v>
      </c>
      <c r="F191" s="77">
        <f ca="1"/>
        <v>97.522178412451098</v>
      </c>
      <c r="G191" s="84">
        <f ca="1"/>
        <v>2.4330000000003224E-2</v>
      </c>
      <c r="H191">
        <f ca="1"/>
        <v>97.522178412451098</v>
      </c>
      <c r="I191" t="b">
        <f t="shared" ca="1" si="2"/>
        <v>1</v>
      </c>
      <c r="J191" s="60">
        <f ca="1"/>
        <v>563.96845065507</v>
      </c>
      <c r="K191" s="60">
        <f ca="1"/>
        <v>563.96845073436441</v>
      </c>
      <c r="L191" s="60">
        <f ca="1"/>
        <v>5.7471051392415324</v>
      </c>
      <c r="M191" s="60"/>
    </row>
    <row r="192" spans="2:13" x14ac:dyDescent="0.25">
      <c r="B192" s="75">
        <f>_xll.meDateFromTenor(B191,Periodicity,"FOLLOWING","NYB")</f>
        <v>44085</v>
      </c>
      <c r="C192" s="76">
        <v>2.4330000000000001E-2</v>
      </c>
      <c r="D192" s="77">
        <f ca="1"/>
        <v>98.176025294746111</v>
      </c>
      <c r="E192" s="83">
        <f ca="1"/>
        <v>6467.391304347826</v>
      </c>
      <c r="F192" s="77">
        <f ca="1"/>
        <v>97.52928616431133</v>
      </c>
      <c r="G192" s="84">
        <f ca="1"/>
        <v>2.4330000000003533E-2</v>
      </c>
      <c r="H192">
        <f ca="1"/>
        <v>97.52928616431133</v>
      </c>
      <c r="I192" t="b">
        <f t="shared" ca="1" si="2"/>
        <v>1</v>
      </c>
      <c r="J192" s="60">
        <f ca="1"/>
        <v>562.38290561717167</v>
      </c>
      <c r="K192" s="60">
        <f ca="1"/>
        <v>562.38290569865501</v>
      </c>
      <c r="L192" s="60">
        <f ca="1"/>
        <v>5.7283120184258225</v>
      </c>
      <c r="M192" s="60"/>
    </row>
    <row r="193" spans="2:13" x14ac:dyDescent="0.25">
      <c r="B193" s="75">
        <f>_xll.meDateFromTenor(B192,Periodicity,"FOLLOWING","NYB")</f>
        <v>44092</v>
      </c>
      <c r="C193" s="76">
        <v>2.4330000000000001E-2</v>
      </c>
      <c r="D193" s="77">
        <f ca="1"/>
        <v>98.221197299507253</v>
      </c>
      <c r="E193" s="83">
        <f ca="1"/>
        <v>6847.826086956522</v>
      </c>
      <c r="F193" s="77">
        <f ca="1"/>
        <v>97.536414690811597</v>
      </c>
      <c r="G193" s="84">
        <f ca="1"/>
        <v>2.4330000000003574E-2</v>
      </c>
      <c r="H193">
        <f ca="1"/>
        <v>97.536414690811597</v>
      </c>
      <c r="I193" t="b">
        <f t="shared" ca="1" si="2"/>
        <v>1</v>
      </c>
      <c r="J193" s="60">
        <f ca="1"/>
        <v>560.79578212742763</v>
      </c>
      <c r="K193" s="60">
        <f ca="1"/>
        <v>560.7957822135744</v>
      </c>
      <c r="L193" s="60">
        <f ca="1"/>
        <v>5.709518897610109</v>
      </c>
      <c r="M193" s="60"/>
    </row>
    <row r="194" spans="2:13" x14ac:dyDescent="0.25">
      <c r="B194" s="75">
        <f>_xll.meDateFromTenor(B193,Periodicity,"FOLLOWING","NYB")</f>
        <v>44099</v>
      </c>
      <c r="C194" s="76">
        <v>2.4330000000000001E-2</v>
      </c>
      <c r="D194" s="77">
        <f ca="1"/>
        <v>98.266390088467048</v>
      </c>
      <c r="E194" s="83">
        <f ca="1"/>
        <v>7228.260869565217</v>
      </c>
      <c r="F194" s="77">
        <f ca="1"/>
        <v>97.543564001510532</v>
      </c>
      <c r="G194" s="84">
        <f ca="1"/>
        <v>2.4330000000003224E-2</v>
      </c>
      <c r="H194">
        <f ca="1"/>
        <v>97.543564001510532</v>
      </c>
      <c r="I194" t="b">
        <f t="shared" ca="1" si="2"/>
        <v>1</v>
      </c>
      <c r="J194" s="60">
        <f ca="1"/>
        <v>559.20707906897292</v>
      </c>
      <c r="K194" s="60">
        <f ca="1"/>
        <v>559.2070791422542</v>
      </c>
      <c r="L194" s="60">
        <f ca="1"/>
        <v>5.6907257767943973</v>
      </c>
      <c r="M194" s="60"/>
    </row>
    <row r="195" spans="2:13" x14ac:dyDescent="0.25">
      <c r="B195" s="75">
        <f>_xll.meDateFromTenor(B194,Periodicity,"FOLLOWING","NYB")</f>
        <v>44106</v>
      </c>
      <c r="C195" s="76">
        <v>2.4330000000000001E-2</v>
      </c>
      <c r="D195" s="77">
        <f ca="1"/>
        <v>98.311603671188578</v>
      </c>
      <c r="E195" s="83">
        <f ca="1"/>
        <v>7608.6956521739139</v>
      </c>
      <c r="F195" s="77">
        <f ca="1"/>
        <v>97.550734105971188</v>
      </c>
      <c r="G195" s="84">
        <f ca="1"/>
        <v>2.4330000000003089E-2</v>
      </c>
      <c r="H195">
        <f ca="1"/>
        <v>97.550734105971188</v>
      </c>
      <c r="I195" t="b">
        <f t="shared" ca="1" si="2"/>
        <v>1</v>
      </c>
      <c r="J195" s="60">
        <f ca="1"/>
        <v>557.61679532424853</v>
      </c>
      <c r="K195" s="60">
        <f ca="1"/>
        <v>557.61679539045861</v>
      </c>
      <c r="L195" s="60">
        <f ca="1"/>
        <v>5.6719326559786856</v>
      </c>
      <c r="M195" s="60"/>
    </row>
    <row r="196" spans="2:13" x14ac:dyDescent="0.25">
      <c r="B196" s="75">
        <f>_xll.meDateFromTenor(B195,Periodicity,"FOLLOWING","NYB")</f>
        <v>44113</v>
      </c>
      <c r="C196" s="76">
        <v>2.4330000000000001E-2</v>
      </c>
      <c r="D196" s="77">
        <f ca="1"/>
        <v>98.356838057239301</v>
      </c>
      <c r="E196" s="83">
        <f ca="1"/>
        <v>7989.130434782609</v>
      </c>
      <c r="F196" s="77">
        <f ca="1"/>
        <v>97.557925013761036</v>
      </c>
      <c r="G196" s="84">
        <f ca="1"/>
        <v>2.4330000000003175E-2</v>
      </c>
      <c r="H196">
        <f ca="1"/>
        <v>97.557925013761036</v>
      </c>
      <c r="I196" t="b">
        <f t="shared" ca="1" si="2"/>
        <v>1</v>
      </c>
      <c r="J196" s="60">
        <f ca="1"/>
        <v>556.02492977500174</v>
      </c>
      <c r="K196" s="60">
        <f ca="1"/>
        <v>556.02492984974094</v>
      </c>
      <c r="L196" s="60">
        <f ca="1"/>
        <v>5.6531395351629747</v>
      </c>
      <c r="M196" s="60"/>
    </row>
    <row r="197" spans="2:13" x14ac:dyDescent="0.25">
      <c r="B197" s="75">
        <f>_xll.meDateFromTenor(B196,Periodicity,"FOLLOWING","NYB")</f>
        <v>44120</v>
      </c>
      <c r="C197" s="76">
        <v>2.4330000000000001E-2</v>
      </c>
      <c r="D197" s="77">
        <f ca="1"/>
        <v>98.402093256191108</v>
      </c>
      <c r="E197" s="83">
        <f ca="1"/>
        <v>8369.565217391304</v>
      </c>
      <c r="F197" s="77">
        <f ca="1"/>
        <v>97.565136734451983</v>
      </c>
      <c r="G197" s="84">
        <f ca="1"/>
        <v>2.4330000000003366E-2</v>
      </c>
      <c r="H197">
        <f ca="1"/>
        <v>97.565136734451983</v>
      </c>
      <c r="I197" t="b">
        <f t="shared" ca="1" si="2"/>
        <v>1</v>
      </c>
      <c r="J197" s="60">
        <f ca="1"/>
        <v>554.43148130228531</v>
      </c>
      <c r="K197" s="60">
        <f ca="1"/>
        <v>554.43148136902198</v>
      </c>
      <c r="L197" s="60">
        <f ca="1"/>
        <v>5.6343464143472621</v>
      </c>
      <c r="M197" s="60"/>
    </row>
    <row r="198" spans="2:13" x14ac:dyDescent="0.25">
      <c r="B198" s="75">
        <f>_xll.meDateFromTenor(B197,Periodicity,"FOLLOWING","NYB")</f>
        <v>44127</v>
      </c>
      <c r="C198" s="76">
        <v>2.4330000000000001E-2</v>
      </c>
      <c r="D198" s="77">
        <f ca="1"/>
        <v>98.447369277620254</v>
      </c>
      <c r="E198" s="83">
        <f ca="1"/>
        <v>8750</v>
      </c>
      <c r="F198" s="77">
        <f ca="1"/>
        <v>97.572369277620254</v>
      </c>
      <c r="G198" s="84">
        <f ca="1"/>
        <v>2.4330000000002999E-2</v>
      </c>
      <c r="H198">
        <f ca="1"/>
        <v>97.572369277620254</v>
      </c>
      <c r="I198" t="b">
        <f t="shared" ca="1" si="2"/>
        <v>1</v>
      </c>
      <c r="J198" s="60">
        <f ca="1"/>
        <v>552.83644878645725</v>
      </c>
      <c r="K198" s="60">
        <f ca="1"/>
        <v>552.83644886117133</v>
      </c>
      <c r="L198" s="60">
        <f ca="1"/>
        <v>5.6155532935315513</v>
      </c>
      <c r="M198" s="60"/>
    </row>
    <row r="199" spans="2:13" x14ac:dyDescent="0.25">
      <c r="B199" s="75">
        <f>_xll.meDateFromTenor(B198,Periodicity,"FOLLOWING","NYB")</f>
        <v>44134</v>
      </c>
      <c r="C199" s="76">
        <v>2.4330000000000001E-2</v>
      </c>
      <c r="D199" s="77">
        <f ca="1"/>
        <v>98.492666131107427</v>
      </c>
      <c r="E199" s="83">
        <f ca="1"/>
        <v>9130.434782608696</v>
      </c>
      <c r="F199" s="77">
        <f ca="1"/>
        <v>97.579622652846552</v>
      </c>
      <c r="G199" s="84">
        <f ca="1"/>
        <v>2.4330000000003005E-2</v>
      </c>
      <c r="H199">
        <f ca="1"/>
        <v>97.579622652846552</v>
      </c>
      <c r="I199" t="b">
        <f t="shared" ca="1" si="2"/>
        <v>1</v>
      </c>
      <c r="J199" s="60">
        <f ca="1"/>
        <v>551.23983110718018</v>
      </c>
      <c r="K199" s="60">
        <f ca="1"/>
        <v>551.2398311822152</v>
      </c>
      <c r="L199" s="60">
        <f ca="1"/>
        <v>5.5967601727158378</v>
      </c>
      <c r="M199" s="60"/>
    </row>
    <row r="200" spans="2:13" x14ac:dyDescent="0.25">
      <c r="B200" s="75">
        <f>_xll.meDateFromTenor(B199,Periodicity,"FOLLOWING","NYB")</f>
        <v>44141</v>
      </c>
      <c r="C200" s="76">
        <v>2.4330000000000001E-2</v>
      </c>
      <c r="D200" s="77">
        <f ca="1"/>
        <v>98.537983826237706</v>
      </c>
      <c r="E200" s="83">
        <f ca="1"/>
        <v>9510.8695652173919</v>
      </c>
      <c r="F200" s="77">
        <f ca="1"/>
        <v>97.586896869715972</v>
      </c>
      <c r="G200" s="84">
        <f ca="1"/>
        <v>2.4330000000003019E-2</v>
      </c>
      <c r="H200">
        <f ca="1"/>
        <v>97.586896869715972</v>
      </c>
      <c r="I200" t="b">
        <f t="shared" ref="I200:I263" ca="1" si="3">F200=H200</f>
        <v>1</v>
      </c>
      <c r="J200" s="60">
        <f ca="1"/>
        <v>549.6416271434216</v>
      </c>
      <c r="K200" s="60">
        <f ca="1"/>
        <v>549.64162720949605</v>
      </c>
      <c r="L200" s="60">
        <f ca="1"/>
        <v>5.5779670519001279</v>
      </c>
      <c r="M200" s="60"/>
    </row>
    <row r="201" spans="2:13" x14ac:dyDescent="0.25">
      <c r="B201" s="75">
        <f>_xll.meDateFromTenor(B200,Periodicity,"FOLLOWING","NYB")</f>
        <v>44148</v>
      </c>
      <c r="C201" s="76">
        <v>2.4330000000000001E-2</v>
      </c>
      <c r="D201" s="77">
        <f ca="1"/>
        <v>98.583322372600605</v>
      </c>
      <c r="E201" s="83">
        <f ca="1"/>
        <v>9891.3043478260861</v>
      </c>
      <c r="F201" s="77">
        <f ca="1"/>
        <v>97.594191937817996</v>
      </c>
      <c r="G201" s="84">
        <f ca="1"/>
        <v>2.433000000000304E-2</v>
      </c>
      <c r="H201">
        <f ca="1"/>
        <v>97.594191937817996</v>
      </c>
      <c r="I201" t="b">
        <f t="shared" ca="1" si="3"/>
        <v>1</v>
      </c>
      <c r="J201" s="60">
        <f ca="1"/>
        <v>548.04183577345225</v>
      </c>
      <c r="K201" s="60">
        <f ca="1"/>
        <v>548.04183584877819</v>
      </c>
      <c r="L201" s="60">
        <f ca="1"/>
        <v>5.5591739310844153</v>
      </c>
      <c r="M201" s="60"/>
    </row>
    <row r="202" spans="2:13" x14ac:dyDescent="0.25">
      <c r="B202" s="75">
        <f>_xll.meDateFromTenor(B201,Periodicity,"FOLLOWING","NYB")</f>
        <v>44155</v>
      </c>
      <c r="C202" s="76">
        <v>2.4330000000000001E-2</v>
      </c>
      <c r="D202" s="77">
        <f ca="1"/>
        <v>97.628884836412226</v>
      </c>
      <c r="E202" s="83">
        <f ca="1"/>
        <v>276.24309392265189</v>
      </c>
      <c r="F202" s="77">
        <f ca="1"/>
        <v>97.60126052701996</v>
      </c>
      <c r="G202" s="84">
        <f ca="1"/>
        <v>2.4330000000002953E-2</v>
      </c>
      <c r="H202">
        <f ca="1"/>
        <v>97.60126052701996</v>
      </c>
      <c r="I202" t="b">
        <f t="shared" ca="1" si="3"/>
        <v>1</v>
      </c>
      <c r="J202" s="60">
        <f ca="1"/>
        <v>546.43513834370265</v>
      </c>
      <c r="K202" s="60">
        <f ca="1"/>
        <v>546.43513841767788</v>
      </c>
      <c r="L202" s="60">
        <f ca="1"/>
        <v>5.5970642219186866</v>
      </c>
      <c r="M202" s="60"/>
    </row>
    <row r="203" spans="2:13" x14ac:dyDescent="0.25">
      <c r="B203" s="75">
        <f>_xll.meDateFromTenor(B202,Periodicity,"FOLLOWING","NYB")</f>
        <v>44162</v>
      </c>
      <c r="C203" s="76">
        <v>2.4330000000000001E-2</v>
      </c>
      <c r="D203" s="77">
        <f ca="1"/>
        <v>97.674549803845792</v>
      </c>
      <c r="E203" s="83">
        <f ca="1"/>
        <v>662.98342541436466</v>
      </c>
      <c r="F203" s="77">
        <f ca="1"/>
        <v>97.608251461304363</v>
      </c>
      <c r="G203" s="84">
        <f ca="1"/>
        <v>2.4330000000002933E-2</v>
      </c>
      <c r="H203">
        <f ca="1"/>
        <v>97.608251461304363</v>
      </c>
      <c r="I203" t="b">
        <f t="shared" ca="1" si="3"/>
        <v>1</v>
      </c>
      <c r="J203" s="60">
        <f ca="1"/>
        <v>544.82469401527794</v>
      </c>
      <c r="K203" s="60">
        <f ca="1"/>
        <v>544.82469408867462</v>
      </c>
      <c r="L203" s="60">
        <f ca="1"/>
        <v>5.5779596129126592</v>
      </c>
      <c r="M203" s="60"/>
    </row>
    <row r="204" spans="2:13" x14ac:dyDescent="0.25">
      <c r="B204" s="75">
        <f>_xll.meDateFromTenor(B203,Periodicity,"FOLLOWING","NYB")</f>
        <v>44169</v>
      </c>
      <c r="C204" s="76">
        <v>2.4330000000000001E-2</v>
      </c>
      <c r="D204" s="77">
        <f ca="1"/>
        <v>97.72023613062656</v>
      </c>
      <c r="E204" s="83">
        <f ca="1"/>
        <v>1049.7237569060774</v>
      </c>
      <c r="F204" s="77">
        <f ca="1"/>
        <v>97.615263754935953</v>
      </c>
      <c r="G204" s="84">
        <f ca="1"/>
        <v>2.4330000000002867E-2</v>
      </c>
      <c r="H204">
        <f ca="1"/>
        <v>97.615263754935953</v>
      </c>
      <c r="I204" t="b">
        <f t="shared" ca="1" si="3"/>
        <v>1</v>
      </c>
      <c r="J204" s="60">
        <f ca="1"/>
        <v>543.21262359767115</v>
      </c>
      <c r="K204" s="60">
        <f ca="1"/>
        <v>543.21262366840972</v>
      </c>
      <c r="L204" s="60">
        <f ca="1"/>
        <v>5.5588550039066327</v>
      </c>
      <c r="M204" s="60"/>
    </row>
    <row r="205" spans="2:13" x14ac:dyDescent="0.25">
      <c r="B205" s="75">
        <f>_xll.meDateFromTenor(B204,Periodicity,"FOLLOWING","NYB")</f>
        <v>44176</v>
      </c>
      <c r="C205" s="76">
        <v>2.4330000000000001E-2</v>
      </c>
      <c r="D205" s="77">
        <f ca="1"/>
        <v>97.7659438267452</v>
      </c>
      <c r="E205" s="83">
        <f ca="1"/>
        <v>1436.46408839779</v>
      </c>
      <c r="F205" s="77">
        <f ca="1"/>
        <v>97.622297417905415</v>
      </c>
      <c r="G205" s="84">
        <f ca="1"/>
        <v>2.433000000000296E-2</v>
      </c>
      <c r="H205">
        <f ca="1"/>
        <v>97.622297417905415</v>
      </c>
      <c r="I205" t="b">
        <f t="shared" ca="1" si="3"/>
        <v>1</v>
      </c>
      <c r="J205" s="60">
        <f ca="1"/>
        <v>541.5989259220421</v>
      </c>
      <c r="K205" s="60">
        <f ca="1"/>
        <v>541.59892599159309</v>
      </c>
      <c r="L205" s="60">
        <f ca="1"/>
        <v>5.5397503949006053</v>
      </c>
      <c r="M205" s="60"/>
    </row>
    <row r="206" spans="2:13" x14ac:dyDescent="0.25">
      <c r="B206" s="75">
        <f>_xll.meDateFromTenor(B205,Periodicity,"FOLLOWING","NYB")</f>
        <v>44183</v>
      </c>
      <c r="C206" s="76">
        <v>2.4330000000000001E-2</v>
      </c>
      <c r="D206" s="77">
        <f ca="1"/>
        <v>97.811672902197003</v>
      </c>
      <c r="E206" s="83">
        <f ca="1"/>
        <v>1823.2044198895028</v>
      </c>
      <c r="F206" s="77">
        <f ca="1"/>
        <v>97.629352460208054</v>
      </c>
      <c r="G206" s="84">
        <f ca="1"/>
        <v>2.4330000000002645E-2</v>
      </c>
      <c r="H206">
        <f ca="1"/>
        <v>97.629352460208054</v>
      </c>
      <c r="I206" t="b">
        <f t="shared" ca="1" si="3"/>
        <v>1</v>
      </c>
      <c r="J206" s="60">
        <f ca="1"/>
        <v>539.98359981881265</v>
      </c>
      <c r="K206" s="60">
        <f ca="1"/>
        <v>539.98359989293476</v>
      </c>
      <c r="L206" s="60">
        <f ca="1"/>
        <v>5.520645785894577</v>
      </c>
      <c r="M206" s="60"/>
    </row>
    <row r="207" spans="2:13" x14ac:dyDescent="0.25">
      <c r="B207" s="75">
        <f>_xll.meDateFromTenor(B206,Periodicity,"FOLLOWING","NYB")</f>
        <v>44193</v>
      </c>
      <c r="C207" s="76">
        <v>2.4330000000000001E-2</v>
      </c>
      <c r="D207" s="77">
        <f ca="1"/>
        <v>97.877037259266785</v>
      </c>
      <c r="E207" s="83">
        <f ca="1"/>
        <v>2375.6906077348067</v>
      </c>
      <c r="F207" s="77">
        <f ca="1"/>
        <v>97.639468198493304</v>
      </c>
      <c r="G207" s="84">
        <f ca="1"/>
        <v>2.4330000000002745E-2</v>
      </c>
      <c r="H207">
        <f ca="1"/>
        <v>97.639468198493304</v>
      </c>
      <c r="I207" t="b">
        <f t="shared" ca="1" si="3"/>
        <v>1</v>
      </c>
      <c r="J207" s="60">
        <f ca="1"/>
        <v>537.6731639562081</v>
      </c>
      <c r="K207" s="60">
        <f ca="1"/>
        <v>537.67316403252596</v>
      </c>
      <c r="L207" s="60">
        <f ca="1"/>
        <v>5.4933534873145371</v>
      </c>
      <c r="M207" s="60"/>
    </row>
    <row r="208" spans="2:13" x14ac:dyDescent="0.25">
      <c r="B208" s="75">
        <f>_xll.meDateFromTenor(B207,Periodicity,"FOLLOWING","NYB")</f>
        <v>44200</v>
      </c>
      <c r="C208" s="76">
        <v>2.4330000000000001E-2</v>
      </c>
      <c r="D208" s="77">
        <f ca="1"/>
        <v>97.92281829759807</v>
      </c>
      <c r="E208" s="83">
        <f ca="1"/>
        <v>2762.4309392265195</v>
      </c>
      <c r="F208" s="77">
        <f ca="1"/>
        <v>97.646575203675411</v>
      </c>
      <c r="G208" s="84">
        <f ca="1"/>
        <v>2.4330000000002829E-2</v>
      </c>
      <c r="H208">
        <f ca="1"/>
        <v>97.646575203675411</v>
      </c>
      <c r="I208" t="b">
        <f t="shared" ca="1" si="3"/>
        <v>1</v>
      </c>
      <c r="J208" s="60">
        <f ca="1"/>
        <v>536.05387822643434</v>
      </c>
      <c r="K208" s="60">
        <f ca="1"/>
        <v>536.05387829946949</v>
      </c>
      <c r="L208" s="60">
        <f ca="1"/>
        <v>5.4742488783085106</v>
      </c>
      <c r="M208" s="60"/>
    </row>
    <row r="209" spans="2:13" x14ac:dyDescent="0.25">
      <c r="B209" s="75">
        <f>_xll.meDateFromTenor(B208,Periodicity,"FOLLOWING","NYB")</f>
        <v>44207</v>
      </c>
      <c r="C209" s="76">
        <v>2.4330000000000001E-2</v>
      </c>
      <c r="D209" s="77">
        <f ca="1"/>
        <v>97.968620749567634</v>
      </c>
      <c r="E209" s="83">
        <f ca="1"/>
        <v>3149.1712707182319</v>
      </c>
      <c r="F209" s="77">
        <f ca="1"/>
        <v>97.653703622495811</v>
      </c>
      <c r="G209" s="84">
        <f ca="1"/>
        <v>2.4330000000002884E-2</v>
      </c>
      <c r="H209">
        <f ca="1"/>
        <v>97.653703622495811</v>
      </c>
      <c r="I209" t="b">
        <f t="shared" ca="1" si="3"/>
        <v>1</v>
      </c>
      <c r="J209" s="60">
        <f ca="1"/>
        <v>534.43296005347224</v>
      </c>
      <c r="K209" s="60">
        <f ca="1"/>
        <v>534.43296013000452</v>
      </c>
      <c r="L209" s="60">
        <f ca="1"/>
        <v>5.4551442693024832</v>
      </c>
      <c r="M209" s="60"/>
    </row>
    <row r="210" spans="2:13" x14ac:dyDescent="0.25">
      <c r="B210" s="75">
        <f>_xll.meDateFromTenor(B209,Periodicity,"FOLLOWING","NYB")</f>
        <v>44215</v>
      </c>
      <c r="C210" s="76">
        <v>2.4330000000000001E-2</v>
      </c>
      <c r="D210" s="77">
        <f ca="1"/>
        <v>98.020992642591722</v>
      </c>
      <c r="E210" s="83">
        <f ca="1"/>
        <v>3591.1602209944754</v>
      </c>
      <c r="F210" s="77">
        <f ca="1"/>
        <v>97.661876620492279</v>
      </c>
      <c r="G210" s="84">
        <f ca="1"/>
        <v>2.4330000000002776E-2</v>
      </c>
      <c r="H210">
        <f ca="1"/>
        <v>97.661876620492279</v>
      </c>
      <c r="I210" t="b">
        <f t="shared" ca="1" si="3"/>
        <v>1</v>
      </c>
      <c r="J210" s="60">
        <f ca="1"/>
        <v>532.57848172692434</v>
      </c>
      <c r="K210" s="60">
        <f ca="1"/>
        <v>532.5784818026591</v>
      </c>
      <c r="L210" s="60">
        <f ca="1"/>
        <v>5.4333104304384516</v>
      </c>
      <c r="M210" s="60"/>
    </row>
    <row r="211" spans="2:13" x14ac:dyDescent="0.25">
      <c r="B211" s="75">
        <f>_xll.meDateFromTenor(B210,Periodicity,"FOLLOWING","NYB")</f>
        <v>44222</v>
      </c>
      <c r="C211" s="76">
        <v>2.4330000000000001E-2</v>
      </c>
      <c r="D211" s="77">
        <f ca="1"/>
        <v>98.06684101466243</v>
      </c>
      <c r="E211" s="83">
        <f ca="1"/>
        <v>3977.9005524861877</v>
      </c>
      <c r="F211" s="77">
        <f ca="1"/>
        <v>97.669050959413809</v>
      </c>
      <c r="G211" s="84">
        <f ca="1"/>
        <v>2.4330000000002804E-2</v>
      </c>
      <c r="H211">
        <f ca="1"/>
        <v>97.669050959413809</v>
      </c>
      <c r="I211" t="b">
        <f t="shared" ca="1" si="3"/>
        <v>1</v>
      </c>
      <c r="J211" s="60">
        <f ca="1"/>
        <v>530.95406151107341</v>
      </c>
      <c r="K211" s="60">
        <f ca="1"/>
        <v>530.95406158121239</v>
      </c>
      <c r="L211" s="60">
        <f ca="1"/>
        <v>5.4142058214324251</v>
      </c>
      <c r="M211" s="60"/>
    </row>
    <row r="212" spans="2:13" x14ac:dyDescent="0.25">
      <c r="B212" s="75">
        <f>_xll.meDateFromTenor(B211,Periodicity,"FOLLOWING","NYB")</f>
        <v>44229</v>
      </c>
      <c r="C212" s="76">
        <v>2.4330000000000001E-2</v>
      </c>
      <c r="D212" s="77">
        <f ca="1"/>
        <v>98.112710831866124</v>
      </c>
      <c r="E212" s="83">
        <f ca="1"/>
        <v>4364.6408839779006</v>
      </c>
      <c r="F212" s="77">
        <f ca="1"/>
        <v>97.67624674346834</v>
      </c>
      <c r="G212" s="84">
        <f ca="1"/>
        <v>2.4330000000002922E-2</v>
      </c>
      <c r="H212">
        <f ca="1"/>
        <v>97.67624674346834</v>
      </c>
      <c r="I212" t="b">
        <f t="shared" ca="1" si="3"/>
        <v>1</v>
      </c>
      <c r="J212" s="60">
        <f ca="1"/>
        <v>529.3280051634415</v>
      </c>
      <c r="K212" s="60">
        <f ca="1"/>
        <v>529.32800524985157</v>
      </c>
      <c r="L212" s="60">
        <f ca="1"/>
        <v>5.3951012124263977</v>
      </c>
      <c r="M212" s="60"/>
    </row>
    <row r="213" spans="2:13" x14ac:dyDescent="0.25">
      <c r="B213" s="75">
        <f>_xll.meDateFromTenor(B212,Periodicity,"FOLLOWING","NYB")</f>
        <v>44236</v>
      </c>
      <c r="C213" s="76">
        <v>2.4330000000000001E-2</v>
      </c>
      <c r="D213" s="77">
        <f ca="1"/>
        <v>98.158602104233537</v>
      </c>
      <c r="E213" s="83">
        <f ca="1"/>
        <v>4751.3812154696134</v>
      </c>
      <c r="F213" s="77">
        <f ca="1"/>
        <v>97.683463982686575</v>
      </c>
      <c r="G213" s="84">
        <f ca="1"/>
        <v>2.4330000000002718E-2</v>
      </c>
      <c r="H213">
        <f ca="1"/>
        <v>97.683463982686575</v>
      </c>
      <c r="I213" t="b">
        <f t="shared" ca="1" si="3"/>
        <v>1</v>
      </c>
      <c r="J213" s="60">
        <f ca="1"/>
        <v>527.7003115088512</v>
      </c>
      <c r="K213" s="60">
        <f ca="1"/>
        <v>527.70031158644304</v>
      </c>
      <c r="L213" s="60">
        <f ca="1"/>
        <v>5.3759966034203712</v>
      </c>
      <c r="M213" s="60"/>
    </row>
    <row r="214" spans="2:13" x14ac:dyDescent="0.25">
      <c r="B214" s="75">
        <f>_xll.meDateFromTenor(B213,Periodicity,"FOLLOWING","NYB")</f>
        <v>44243</v>
      </c>
      <c r="C214" s="76">
        <v>2.4330000000000001E-2</v>
      </c>
      <c r="D214" s="77">
        <f ca="1"/>
        <v>98.204514841800133</v>
      </c>
      <c r="E214" s="83">
        <f ca="1"/>
        <v>5138.1215469613262</v>
      </c>
      <c r="F214" s="77">
        <f ca="1"/>
        <v>97.690702687104007</v>
      </c>
      <c r="G214" s="84">
        <f ca="1"/>
        <v>2.4330000000002797E-2</v>
      </c>
      <c r="H214">
        <f ca="1"/>
        <v>97.690702687104007</v>
      </c>
      <c r="I214" t="b">
        <f t="shared" ca="1" si="3"/>
        <v>1</v>
      </c>
      <c r="J214" s="60">
        <f ca="1"/>
        <v>526.0709793713836</v>
      </c>
      <c r="K214" s="60">
        <f ca="1"/>
        <v>526.07097943280212</v>
      </c>
      <c r="L214" s="60">
        <f ca="1"/>
        <v>5.3568919944143421</v>
      </c>
      <c r="M214" s="60"/>
    </row>
    <row r="215" spans="2:13" x14ac:dyDescent="0.25">
      <c r="B215" s="75">
        <f>_xll.meDateFromTenor(B214,Periodicity,"FOLLOWING","NYB")</f>
        <v>44250</v>
      </c>
      <c r="C215" s="76">
        <v>2.4330000000000001E-2</v>
      </c>
      <c r="D215" s="77">
        <f ca="1"/>
        <v>98.250449054606037</v>
      </c>
      <c r="E215" s="83">
        <f ca="1"/>
        <v>5524.861878453039</v>
      </c>
      <c r="F215" s="77">
        <f ca="1"/>
        <v>97.697962866760733</v>
      </c>
      <c r="G215" s="84">
        <f ca="1"/>
        <v>2.4330000000002704E-2</v>
      </c>
      <c r="H215">
        <f ca="1"/>
        <v>97.697962866760733</v>
      </c>
      <c r="I215" t="b">
        <f t="shared" ca="1" si="3"/>
        <v>1</v>
      </c>
      <c r="J215" s="60">
        <f ca="1"/>
        <v>524.44000757437857</v>
      </c>
      <c r="K215" s="60">
        <f ca="1"/>
        <v>524.44000764495502</v>
      </c>
      <c r="L215" s="60">
        <f ca="1"/>
        <v>5.3377873854083164</v>
      </c>
      <c r="M215" s="60"/>
    </row>
    <row r="216" spans="2:13" x14ac:dyDescent="0.25">
      <c r="B216" s="75">
        <f>_xll.meDateFromTenor(B215,Periodicity,"FOLLOWING","NYB")</f>
        <v>44257</v>
      </c>
      <c r="C216" s="76">
        <v>2.4330000000000001E-2</v>
      </c>
      <c r="D216" s="77">
        <f ca="1"/>
        <v>98.296404752696091</v>
      </c>
      <c r="E216" s="83">
        <f ca="1"/>
        <v>5911.6022099447518</v>
      </c>
      <c r="F216" s="77">
        <f ca="1"/>
        <v>97.705244531701609</v>
      </c>
      <c r="G216" s="84">
        <f ca="1"/>
        <v>2.433000000000278E-2</v>
      </c>
      <c r="H216">
        <f ca="1"/>
        <v>97.705244531701609</v>
      </c>
      <c r="I216" t="b">
        <f t="shared" ca="1" si="3"/>
        <v>1</v>
      </c>
      <c r="J216" s="60">
        <f ca="1"/>
        <v>522.8073949404328</v>
      </c>
      <c r="K216" s="60">
        <f ca="1"/>
        <v>522.80739501497908</v>
      </c>
      <c r="L216" s="60">
        <f ca="1"/>
        <v>5.318682776402289</v>
      </c>
      <c r="M216" s="60"/>
    </row>
    <row r="217" spans="2:13" x14ac:dyDescent="0.25">
      <c r="B217" s="75">
        <f>_xll.meDateFromTenor(B216,Periodicity,"FOLLOWING","NYB")</f>
        <v>44264</v>
      </c>
      <c r="C217" s="76">
        <v>2.4330000000000001E-2</v>
      </c>
      <c r="D217" s="77">
        <f ca="1"/>
        <v>98.342381946119815</v>
      </c>
      <c r="E217" s="83">
        <f ca="1"/>
        <v>6298.3425414364638</v>
      </c>
      <c r="F217" s="77">
        <f ca="1"/>
        <v>97.71254769197617</v>
      </c>
      <c r="G217" s="84">
        <f ca="1"/>
        <v>2.4330000000002679E-2</v>
      </c>
      <c r="H217">
        <f ca="1"/>
        <v>97.71254769197617</v>
      </c>
      <c r="I217" t="b">
        <f t="shared" ca="1" si="3"/>
        <v>1</v>
      </c>
      <c r="J217" s="60">
        <f ca="1"/>
        <v>521.17314029140084</v>
      </c>
      <c r="K217" s="60">
        <f ca="1"/>
        <v>521.17314037047879</v>
      </c>
      <c r="L217" s="60">
        <f ca="1"/>
        <v>5.2995781673962616</v>
      </c>
      <c r="M217" s="60"/>
    </row>
    <row r="218" spans="2:13" x14ac:dyDescent="0.25">
      <c r="B218" s="75">
        <f>_xll.meDateFromTenor(B217,Periodicity,"FOLLOWING","NYB")</f>
        <v>44271</v>
      </c>
      <c r="C218" s="76">
        <v>2.4330000000000001E-2</v>
      </c>
      <c r="D218" s="77">
        <f ca="1"/>
        <v>98.388380644931487</v>
      </c>
      <c r="E218" s="83">
        <f ca="1"/>
        <v>6685.0828729281766</v>
      </c>
      <c r="F218" s="77">
        <f ca="1"/>
        <v>97.719872357638664</v>
      </c>
      <c r="G218" s="84">
        <f ca="1"/>
        <v>2.4330000000002273E-2</v>
      </c>
      <c r="H218">
        <f ca="1"/>
        <v>97.719872357638664</v>
      </c>
      <c r="I218" t="b">
        <f t="shared" ca="1" si="3"/>
        <v>1</v>
      </c>
      <c r="J218" s="60">
        <f ca="1"/>
        <v>519.53724244839418</v>
      </c>
      <c r="K218" s="60">
        <f ca="1"/>
        <v>519.53724251063693</v>
      </c>
      <c r="L218" s="60">
        <f ca="1"/>
        <v>5.2804735583902342</v>
      </c>
      <c r="M218" s="60"/>
    </row>
    <row r="219" spans="2:13" x14ac:dyDescent="0.25">
      <c r="B219" s="75">
        <f>_xll.meDateFromTenor(B218,Periodicity,"FOLLOWING","NYB")</f>
        <v>44278</v>
      </c>
      <c r="C219" s="76">
        <v>2.4330000000000001E-2</v>
      </c>
      <c r="D219" s="77">
        <f ca="1"/>
        <v>98.434400859189992</v>
      </c>
      <c r="E219" s="83">
        <f ca="1"/>
        <v>7071.8232044198894</v>
      </c>
      <c r="F219" s="77">
        <f ca="1"/>
        <v>97.727218538748005</v>
      </c>
      <c r="G219" s="84">
        <f ca="1"/>
        <v>2.4330000000002509E-2</v>
      </c>
      <c r="H219">
        <f ca="1"/>
        <v>97.727218538748005</v>
      </c>
      <c r="I219" t="b">
        <f t="shared" ca="1" si="3"/>
        <v>1</v>
      </c>
      <c r="J219" s="60">
        <f ca="1"/>
        <v>517.89970023178023</v>
      </c>
      <c r="K219" s="60">
        <f ca="1"/>
        <v>517.89970030569054</v>
      </c>
      <c r="L219" s="60">
        <f ca="1"/>
        <v>5.261368949384206</v>
      </c>
      <c r="M219" s="60"/>
    </row>
    <row r="220" spans="2:13" x14ac:dyDescent="0.25">
      <c r="B220" s="75">
        <f>_xll.meDateFromTenor(B219,Periodicity,"FOLLOWING","NYB")</f>
        <v>44285</v>
      </c>
      <c r="C220" s="76">
        <v>2.4330000000000001E-2</v>
      </c>
      <c r="D220" s="77">
        <f ca="1"/>
        <v>98.480442598958987</v>
      </c>
      <c r="E220" s="83">
        <f ca="1"/>
        <v>7458.5635359116022</v>
      </c>
      <c r="F220" s="77">
        <f ca="1"/>
        <v>97.734586245367822</v>
      </c>
      <c r="G220" s="84">
        <f ca="1"/>
        <v>2.4330000000002516E-2</v>
      </c>
      <c r="H220">
        <f ca="1"/>
        <v>97.734586245367822</v>
      </c>
      <c r="I220" t="b">
        <f t="shared" ca="1" si="3"/>
        <v>1</v>
      </c>
      <c r="J220" s="60">
        <f ca="1"/>
        <v>516.26051246118288</v>
      </c>
      <c r="K220" s="60">
        <f ca="1"/>
        <v>516.26051251929528</v>
      </c>
      <c r="L220" s="60">
        <f ca="1"/>
        <v>5.2422643403781795</v>
      </c>
      <c r="M220" s="60"/>
    </row>
    <row r="221" spans="2:13" x14ac:dyDescent="0.25">
      <c r="B221" s="75">
        <f>_xll.meDateFromTenor(B220,Periodicity,"FOLLOWING","NYB")</f>
        <v>44292</v>
      </c>
      <c r="C221" s="76">
        <v>2.4330000000000001E-2</v>
      </c>
      <c r="D221" s="77">
        <f ca="1"/>
        <v>98.526505874306849</v>
      </c>
      <c r="E221" s="83">
        <f ca="1"/>
        <v>7845.3038674033151</v>
      </c>
      <c r="F221" s="77">
        <f ca="1"/>
        <v>97.741975487566521</v>
      </c>
      <c r="G221" s="84">
        <f ca="1"/>
        <v>2.4330000000002575E-2</v>
      </c>
      <c r="H221">
        <f ca="1"/>
        <v>97.741975487566521</v>
      </c>
      <c r="I221" t="b">
        <f t="shared" ca="1" si="3"/>
        <v>1</v>
      </c>
      <c r="J221" s="60">
        <f ca="1"/>
        <v>514.61967795548128</v>
      </c>
      <c r="K221" s="60">
        <f ca="1"/>
        <v>514.61967802879371</v>
      </c>
      <c r="L221" s="60">
        <f ca="1"/>
        <v>5.2231597313721512</v>
      </c>
      <c r="M221" s="60"/>
    </row>
    <row r="222" spans="2:13" x14ac:dyDescent="0.25">
      <c r="B222" s="75">
        <f>_xll.meDateFromTenor(B221,Periodicity,"FOLLOWING","NYB")</f>
        <v>44299</v>
      </c>
      <c r="C222" s="76">
        <v>2.4330000000000001E-2</v>
      </c>
      <c r="D222" s="77">
        <f ca="1"/>
        <v>98.572590695306616</v>
      </c>
      <c r="E222" s="83">
        <f ca="1"/>
        <v>8232.0441988950279</v>
      </c>
      <c r="F222" s="77">
        <f ca="1"/>
        <v>97.749386275417109</v>
      </c>
      <c r="G222" s="84">
        <f ca="1"/>
        <v>2.4330000000002509E-2</v>
      </c>
      <c r="H222">
        <f ca="1"/>
        <v>97.749386275417109</v>
      </c>
      <c r="I222" t="b">
        <f t="shared" ca="1" si="3"/>
        <v>1</v>
      </c>
      <c r="J222" s="60">
        <f ca="1"/>
        <v>512.97719553280979</v>
      </c>
      <c r="K222" s="60">
        <f ca="1"/>
        <v>512.97719560494659</v>
      </c>
      <c r="L222" s="60">
        <f ca="1"/>
        <v>5.2040551223661247</v>
      </c>
      <c r="M222" s="60"/>
    </row>
    <row r="223" spans="2:13" x14ac:dyDescent="0.25">
      <c r="B223" s="75">
        <f>_xll.meDateFromTenor(B222,Periodicity,"FOLLOWING","NYB")</f>
        <v>44306</v>
      </c>
      <c r="C223" s="76">
        <v>2.4330000000000001E-2</v>
      </c>
      <c r="D223" s="77">
        <f ca="1"/>
        <v>98.618697072036028</v>
      </c>
      <c r="E223" s="83">
        <f ca="1"/>
        <v>8618.7845303867398</v>
      </c>
      <c r="F223" s="77">
        <f ca="1"/>
        <v>97.756818618997357</v>
      </c>
      <c r="G223" s="84">
        <f ca="1"/>
        <v>2.4330000000002502E-2</v>
      </c>
      <c r="H223">
        <f ca="1"/>
        <v>97.756818618997357</v>
      </c>
      <c r="I223" t="b">
        <f t="shared" ca="1" si="3"/>
        <v>1</v>
      </c>
      <c r="J223" s="60">
        <f ca="1"/>
        <v>511.33306401055717</v>
      </c>
      <c r="K223" s="60">
        <f ca="1"/>
        <v>511.3330640824642</v>
      </c>
      <c r="L223" s="60">
        <f ca="1"/>
        <v>5.1849505133600973</v>
      </c>
      <c r="M223" s="60"/>
    </row>
    <row r="224" spans="2:13" x14ac:dyDescent="0.25">
      <c r="B224" s="75">
        <f>_xll.meDateFromTenor(B223,Periodicity,"FOLLOWING","NYB")</f>
        <v>44313</v>
      </c>
      <c r="C224" s="76">
        <v>2.4330000000000001E-2</v>
      </c>
      <c r="D224" s="77">
        <f ca="1"/>
        <v>98.66482501457763</v>
      </c>
      <c r="E224" s="83">
        <f ca="1"/>
        <v>9005.5248618784535</v>
      </c>
      <c r="F224" s="77">
        <f ca="1"/>
        <v>97.764272528389782</v>
      </c>
      <c r="G224" s="84">
        <f ca="1"/>
        <v>2.433000000000244E-2</v>
      </c>
      <c r="H224">
        <f ca="1"/>
        <v>97.764272528389782</v>
      </c>
      <c r="I224" t="b">
        <f t="shared" ca="1" si="3"/>
        <v>1</v>
      </c>
      <c r="J224" s="60">
        <f ca="1"/>
        <v>509.68728220536684</v>
      </c>
      <c r="K224" s="60">
        <f ca="1"/>
        <v>509.6872822676346</v>
      </c>
      <c r="L224" s="60">
        <f ca="1"/>
        <v>5.1658459043540699</v>
      </c>
      <c r="M224" s="60"/>
    </row>
    <row r="225" spans="2:13" x14ac:dyDescent="0.25">
      <c r="B225" s="75">
        <f>_xll.meDateFromTenor(B224,Periodicity,"FOLLOWING","NYB")</f>
        <v>44320</v>
      </c>
      <c r="C225" s="76">
        <v>2.4330000000000001E-2</v>
      </c>
      <c r="D225" s="77">
        <f ca="1"/>
        <v>98.710974533018586</v>
      </c>
      <c r="E225" s="83">
        <f ca="1"/>
        <v>9392.2651933701654</v>
      </c>
      <c r="F225" s="77">
        <f ca="1"/>
        <v>97.771748013681574</v>
      </c>
      <c r="G225" s="84">
        <f ca="1"/>
        <v>2.4330000000002353E-2</v>
      </c>
      <c r="H225">
        <f ca="1"/>
        <v>97.771748013681574</v>
      </c>
      <c r="I225" t="b">
        <f t="shared" ca="1" si="3"/>
        <v>1</v>
      </c>
      <c r="J225" s="60">
        <f ca="1"/>
        <v>508.03984893313572</v>
      </c>
      <c r="K225" s="60">
        <f ca="1"/>
        <v>508.03984900227306</v>
      </c>
      <c r="L225" s="60">
        <f ca="1"/>
        <v>5.1467412953480425</v>
      </c>
      <c r="M225" s="60"/>
    </row>
    <row r="226" spans="2:13" x14ac:dyDescent="0.25">
      <c r="B226" s="75">
        <f>_xll.meDateFromTenor(B225,Periodicity,"FOLLOWING","NYB")</f>
        <v>44327</v>
      </c>
      <c r="C226" s="76">
        <v>2.4330000000000001E-2</v>
      </c>
      <c r="D226" s="77">
        <f ca="1"/>
        <v>98.757145637450819</v>
      </c>
      <c r="E226" s="83">
        <f ca="1"/>
        <v>9779.0055248618773</v>
      </c>
      <c r="F226" s="77">
        <f ca="1"/>
        <v>97.779245084964629</v>
      </c>
      <c r="G226" s="84">
        <f ca="1"/>
        <v>2.4330000000002589E-2</v>
      </c>
      <c r="H226">
        <f ca="1"/>
        <v>97.779245084964629</v>
      </c>
      <c r="I226" t="b">
        <f t="shared" ca="1" si="3"/>
        <v>1</v>
      </c>
      <c r="J226" s="60">
        <f ca="1"/>
        <v>506.39076300901411</v>
      </c>
      <c r="K226" s="60">
        <f ca="1"/>
        <v>506.3907630713515</v>
      </c>
      <c r="L226" s="60">
        <f ca="1"/>
        <v>5.1276366863420151</v>
      </c>
      <c r="M226" s="60"/>
    </row>
    <row r="227" spans="2:13" x14ac:dyDescent="0.25">
      <c r="B227" s="75">
        <f>_xll.meDateFromTenor(B226,Periodicity,"FOLLOWING","NYB")</f>
        <v>44334</v>
      </c>
      <c r="C227" s="76">
        <v>2.4330000000000001E-2</v>
      </c>
      <c r="D227" s="77">
        <f ca="1"/>
        <v>97.802818322837652</v>
      </c>
      <c r="E227" s="83">
        <f ca="1"/>
        <v>163.04347826086956</v>
      </c>
      <c r="F227" s="77">
        <f ca="1"/>
        <v>97.786513975011559</v>
      </c>
      <c r="G227" s="84">
        <f ca="1"/>
        <v>2.4330000000002218E-2</v>
      </c>
      <c r="H227">
        <f ca="1"/>
        <v>97.786513975011559</v>
      </c>
      <c r="I227" t="b">
        <f t="shared" ca="1" si="3"/>
        <v>1</v>
      </c>
      <c r="J227" s="60">
        <f ca="1"/>
        <v>504.75961944281153</v>
      </c>
      <c r="K227" s="60">
        <f ca="1"/>
        <v>504.75961950979803</v>
      </c>
      <c r="L227" s="60">
        <f ca="1"/>
        <v>5.1609925777051622</v>
      </c>
      <c r="M227" s="60"/>
    </row>
    <row r="228" spans="2:13" x14ac:dyDescent="0.25">
      <c r="B228" s="75">
        <f>_xll.meDateFromTenor(B227,Periodicity,"FOLLOWING","NYB")</f>
        <v>44341</v>
      </c>
      <c r="C228" s="76">
        <v>2.4330000000000001E-2</v>
      </c>
      <c r="D228" s="77">
        <f ca="1"/>
        <v>97.847818610450304</v>
      </c>
      <c r="E228" s="83">
        <f ca="1"/>
        <v>543.47826086956525</v>
      </c>
      <c r="F228" s="77">
        <f ca="1"/>
        <v>97.79347078436335</v>
      </c>
      <c r="G228" s="84">
        <f ca="1"/>
        <v>2.4330000000002416E-2</v>
      </c>
      <c r="H228">
        <f ca="1"/>
        <v>97.79347078436335</v>
      </c>
      <c r="I228" t="b">
        <f t="shared" ca="1" si="3"/>
        <v>1</v>
      </c>
      <c r="J228" s="60">
        <f ca="1"/>
        <v>503.15299971647488</v>
      </c>
      <c r="K228" s="60">
        <f ca="1"/>
        <v>503.15299977654604</v>
      </c>
      <c r="L228" s="60">
        <f ca="1"/>
        <v>5.1421994568894487</v>
      </c>
      <c r="M228" s="60"/>
    </row>
    <row r="229" spans="2:13" x14ac:dyDescent="0.25">
      <c r="B229" s="75">
        <f>_xll.meDateFromTenor(B228,Periodicity,"FOLLOWING","NYB")</f>
        <v>44348</v>
      </c>
      <c r="C229" s="76">
        <v>2.4330000000000001E-2</v>
      </c>
      <c r="D229" s="77">
        <f ca="1"/>
        <v>97.89283960325244</v>
      </c>
      <c r="E229" s="83">
        <f ca="1"/>
        <v>923.91304347826076</v>
      </c>
      <c r="F229" s="77">
        <f ca="1"/>
        <v>97.800448298904612</v>
      </c>
      <c r="G229" s="84">
        <f ca="1"/>
        <v>2.4330000000002263E-2</v>
      </c>
      <c r="H229">
        <f ca="1"/>
        <v>97.800448298904612</v>
      </c>
      <c r="I229" t="b">
        <f t="shared" ca="1" si="3"/>
        <v>1</v>
      </c>
      <c r="J229" s="60">
        <f ca="1"/>
        <v>501.54479467955383</v>
      </c>
      <c r="K229" s="60">
        <f ca="1"/>
        <v>501.54479474429081</v>
      </c>
      <c r="L229" s="60">
        <f ca="1"/>
        <v>5.1234063360737396</v>
      </c>
      <c r="M229" s="60"/>
    </row>
    <row r="230" spans="2:13" x14ac:dyDescent="0.25">
      <c r="B230" s="75">
        <f>_xll.meDateFromTenor(B229,Periodicity,"FOLLOWING","NYB")</f>
        <v>44355</v>
      </c>
      <c r="C230" s="76">
        <v>2.4330000000000001E-2</v>
      </c>
      <c r="D230" s="77">
        <f ca="1"/>
        <v>97.937881310770763</v>
      </c>
      <c r="E230" s="83">
        <f ca="1"/>
        <v>1304.3478260869565</v>
      </c>
      <c r="F230" s="77">
        <f ca="1"/>
        <v>97.80744652816206</v>
      </c>
      <c r="G230" s="84">
        <f ca="1"/>
        <v>2.4330000000002096E-2</v>
      </c>
      <c r="H230">
        <f ca="1"/>
        <v>97.80744652816206</v>
      </c>
      <c r="I230" t="b">
        <f t="shared" ca="1" si="3"/>
        <v>1</v>
      </c>
      <c r="J230" s="60">
        <f ca="1"/>
        <v>499.93500321333255</v>
      </c>
      <c r="K230" s="60">
        <f ca="1"/>
        <v>499.93500327616403</v>
      </c>
      <c r="L230" s="60">
        <f ca="1"/>
        <v>5.104613215258027</v>
      </c>
      <c r="M230" s="60"/>
    </row>
    <row r="231" spans="2:13" x14ac:dyDescent="0.25">
      <c r="B231" s="75">
        <f>_xll.meDateFromTenor(B230,Periodicity,"FOLLOWING","NYB")</f>
        <v>44362</v>
      </c>
      <c r="C231" s="76">
        <v>2.4330000000000001E-2</v>
      </c>
      <c r="D231" s="77">
        <f ca="1"/>
        <v>97.982943742536392</v>
      </c>
      <c r="E231" s="83">
        <f ca="1"/>
        <v>1684.7826086956522</v>
      </c>
      <c r="F231" s="77">
        <f ca="1"/>
        <v>97.814465481666829</v>
      </c>
      <c r="G231" s="84">
        <f ca="1"/>
        <v>2.4330000000002291E-2</v>
      </c>
      <c r="H231">
        <f ca="1"/>
        <v>97.814465481666829</v>
      </c>
      <c r="I231" t="b">
        <f t="shared" ca="1" si="3"/>
        <v>1</v>
      </c>
      <c r="J231" s="60">
        <f ca="1"/>
        <v>498.32362419840251</v>
      </c>
      <c r="K231" s="60">
        <f ca="1"/>
        <v>498.32362426371895</v>
      </c>
      <c r="L231" s="60">
        <f ca="1"/>
        <v>5.0858200944423153</v>
      </c>
      <c r="M231" s="60"/>
    </row>
    <row r="232" spans="2:13" x14ac:dyDescent="0.25">
      <c r="B232" s="75">
        <f>_xll.meDateFromTenor(B231,Periodicity,"FOLLOWING","NYB")</f>
        <v>44369</v>
      </c>
      <c r="C232" s="76">
        <v>2.4330000000000001E-2</v>
      </c>
      <c r="D232" s="77">
        <f ca="1"/>
        <v>98.028026908084797</v>
      </c>
      <c r="E232" s="83">
        <f ca="1"/>
        <v>2065.217391304348</v>
      </c>
      <c r="F232" s="77">
        <f ca="1"/>
        <v>97.82150516895436</v>
      </c>
      <c r="G232" s="84">
        <f ca="1"/>
        <v>2.4330000000002142E-2</v>
      </c>
      <c r="H232">
        <f ca="1"/>
        <v>97.82150516895436</v>
      </c>
      <c r="I232" t="b">
        <f t="shared" ca="1" si="3"/>
        <v>1</v>
      </c>
      <c r="J232" s="60">
        <f ca="1"/>
        <v>496.71065651466012</v>
      </c>
      <c r="K232" s="60">
        <f ca="1"/>
        <v>496.71065658429825</v>
      </c>
      <c r="L232" s="60">
        <f ca="1"/>
        <v>5.0670269736266027</v>
      </c>
      <c r="M232" s="60"/>
    </row>
    <row r="233" spans="2:13" x14ac:dyDescent="0.25">
      <c r="B233" s="75">
        <f>_xll.meDateFromTenor(B232,Periodicity,"FOLLOWING","NYB")</f>
        <v>44376</v>
      </c>
      <c r="C233" s="76">
        <v>2.4330000000000001E-2</v>
      </c>
      <c r="D233" s="77">
        <f ca="1"/>
        <v>98.073130816955839</v>
      </c>
      <c r="E233" s="83">
        <f ca="1"/>
        <v>2445.6521739130435</v>
      </c>
      <c r="F233" s="77">
        <f ca="1"/>
        <v>97.828565599564541</v>
      </c>
      <c r="G233" s="84">
        <f ca="1"/>
        <v>2.4330000000002339E-2</v>
      </c>
      <c r="H233">
        <f ca="1"/>
        <v>97.828565599564541</v>
      </c>
      <c r="I233" t="b">
        <f t="shared" ca="1" si="3"/>
        <v>1</v>
      </c>
      <c r="J233" s="60">
        <f ca="1"/>
        <v>495.09609904130758</v>
      </c>
      <c r="K233" s="60">
        <f ca="1"/>
        <v>495.09609911524416</v>
      </c>
      <c r="L233" s="60">
        <f ca="1"/>
        <v>5.0482338528108919</v>
      </c>
      <c r="M233" s="60"/>
    </row>
    <row r="234" spans="2:13" x14ac:dyDescent="0.25">
      <c r="B234" s="75">
        <f>_xll.meDateFromTenor(B233,Periodicity,"FOLLOWING","NYB")</f>
        <v>44383</v>
      </c>
      <c r="C234" s="76">
        <v>2.4330000000000001E-2</v>
      </c>
      <c r="D234" s="77">
        <f ca="1"/>
        <v>98.118255478693797</v>
      </c>
      <c r="E234" s="83">
        <f ca="1"/>
        <v>2826.086956521739</v>
      </c>
      <c r="F234" s="77">
        <f ca="1"/>
        <v>97.835646783041625</v>
      </c>
      <c r="G234" s="84">
        <f ca="1"/>
        <v>2.4330000000002062E-2</v>
      </c>
      <c r="H234">
        <f ca="1"/>
        <v>97.835646783041625</v>
      </c>
      <c r="I234" t="b">
        <f t="shared" ca="1" si="3"/>
        <v>1</v>
      </c>
      <c r="J234" s="60">
        <f ca="1"/>
        <v>493.47995065685177</v>
      </c>
      <c r="K234" s="60">
        <f ca="1"/>
        <v>493.47995071968847</v>
      </c>
      <c r="L234" s="60">
        <f ca="1"/>
        <v>5.0294407319951793</v>
      </c>
      <c r="M234" s="60"/>
    </row>
    <row r="235" spans="2:13" x14ac:dyDescent="0.25">
      <c r="B235" s="75">
        <f>_xll.meDateFromTenor(B234,Periodicity,"FOLLOWING","NYB")</f>
        <v>44390</v>
      </c>
      <c r="C235" s="76">
        <v>2.4330000000000001E-2</v>
      </c>
      <c r="D235" s="77">
        <f ca="1"/>
        <v>98.1634009028473</v>
      </c>
      <c r="E235" s="83">
        <f ca="1"/>
        <v>3206.5217391304345</v>
      </c>
      <c r="F235" s="77">
        <f ca="1"/>
        <v>97.842748728934254</v>
      </c>
      <c r="G235" s="84">
        <f ca="1"/>
        <v>2.4330000000002041E-2</v>
      </c>
      <c r="H235">
        <f ca="1"/>
        <v>97.842748728934254</v>
      </c>
      <c r="I235" t="b">
        <f t="shared" ca="1" si="3"/>
        <v>1</v>
      </c>
      <c r="J235" s="60">
        <f ca="1"/>
        <v>491.8622102391044</v>
      </c>
      <c r="K235" s="60">
        <f ca="1"/>
        <v>491.8622102962899</v>
      </c>
      <c r="L235" s="60">
        <f ca="1"/>
        <v>5.0106476111794693</v>
      </c>
      <c r="M235" s="60"/>
    </row>
    <row r="236" spans="2:13" x14ac:dyDescent="0.25">
      <c r="B236" s="75">
        <f>_xll.meDateFromTenor(B235,Periodicity,"FOLLOWING","NYB")</f>
        <v>44397</v>
      </c>
      <c r="C236" s="76">
        <v>2.4330000000000001E-2</v>
      </c>
      <c r="D236" s="77">
        <f ca="1"/>
        <v>98.208567098969411</v>
      </c>
      <c r="E236" s="83">
        <f ca="1"/>
        <v>3586.95652173913</v>
      </c>
      <c r="F236" s="77">
        <f ca="1"/>
        <v>97.849871446795504</v>
      </c>
      <c r="G236" s="84">
        <f ca="1"/>
        <v>2.4330000000002287E-2</v>
      </c>
      <c r="H236">
        <f ca="1"/>
        <v>97.849871446795504</v>
      </c>
      <c r="I236" t="b">
        <f t="shared" ca="1" si="3"/>
        <v>1</v>
      </c>
      <c r="J236" s="60">
        <f ca="1"/>
        <v>490.24287666518069</v>
      </c>
      <c r="K236" s="60">
        <f ca="1"/>
        <v>490.2428767294964</v>
      </c>
      <c r="L236" s="60">
        <f ca="1"/>
        <v>4.9918544903637558</v>
      </c>
      <c r="M236" s="60"/>
    </row>
    <row r="237" spans="2:13" x14ac:dyDescent="0.25">
      <c r="B237" s="75">
        <f>_xll.meDateFromTenor(B236,Periodicity,"FOLLOWING","NYB")</f>
        <v>44404</v>
      </c>
      <c r="C237" s="76">
        <v>2.4330000000000001E-2</v>
      </c>
      <c r="D237" s="77">
        <f ca="1"/>
        <v>98.253754076617554</v>
      </c>
      <c r="E237" s="83">
        <f ca="1"/>
        <v>3967.391304347826</v>
      </c>
      <c r="F237" s="77">
        <f ca="1"/>
        <v>97.857014946182773</v>
      </c>
      <c r="G237" s="84">
        <f ca="1"/>
        <v>2.4330000000002166E-2</v>
      </c>
      <c r="H237">
        <f ca="1"/>
        <v>97.857014946182773</v>
      </c>
      <c r="I237" t="b">
        <f t="shared" ca="1" si="3"/>
        <v>1</v>
      </c>
      <c r="J237" s="60">
        <f ca="1"/>
        <v>488.62194881150054</v>
      </c>
      <c r="K237" s="60">
        <f ca="1"/>
        <v>488.62194887533406</v>
      </c>
      <c r="L237" s="60">
        <f ca="1"/>
        <v>4.973061369548045</v>
      </c>
      <c r="M237" s="60"/>
    </row>
    <row r="238" spans="2:13" x14ac:dyDescent="0.25">
      <c r="B238" s="75">
        <f>_xll.meDateFromTenor(B237,Periodicity,"FOLLOWING","NYB")</f>
        <v>44411</v>
      </c>
      <c r="C238" s="76">
        <v>2.4330000000000001E-2</v>
      </c>
      <c r="D238" s="77">
        <f ca="1"/>
        <v>98.298961845353588</v>
      </c>
      <c r="E238" s="83">
        <f ca="1"/>
        <v>4347.826086956522</v>
      </c>
      <c r="F238" s="77">
        <f ca="1"/>
        <v>97.864179236657932</v>
      </c>
      <c r="G238" s="84">
        <f ca="1"/>
        <v>2.4330000000002031E-2</v>
      </c>
      <c r="H238">
        <f ca="1"/>
        <v>97.864179236657932</v>
      </c>
      <c r="I238" t="b">
        <f t="shared" ca="1" si="3"/>
        <v>1</v>
      </c>
      <c r="J238" s="60">
        <f ca="1"/>
        <v>486.99942555378641</v>
      </c>
      <c r="K238" s="60">
        <f ca="1"/>
        <v>486.99942561825077</v>
      </c>
      <c r="L238" s="60">
        <f ca="1"/>
        <v>4.9542682487323333</v>
      </c>
      <c r="M238" s="60"/>
    </row>
    <row r="239" spans="2:13" x14ac:dyDescent="0.25">
      <c r="B239" s="75">
        <f>_xll.meDateFromTenor(B238,Periodicity,"FOLLOWING","NYB")</f>
        <v>44418</v>
      </c>
      <c r="C239" s="76">
        <v>2.4330000000000001E-2</v>
      </c>
      <c r="D239" s="77">
        <f ca="1"/>
        <v>98.344190414743721</v>
      </c>
      <c r="E239" s="83">
        <f ca="1"/>
        <v>4728.260869565217</v>
      </c>
      <c r="F239" s="77">
        <f ca="1"/>
        <v>97.871364327787205</v>
      </c>
      <c r="G239" s="84">
        <f ca="1"/>
        <v>2.433000000000185E-2</v>
      </c>
      <c r="H239">
        <f ca="1"/>
        <v>97.871364327787205</v>
      </c>
      <c r="I239" t="b">
        <f t="shared" ca="1" si="3"/>
        <v>1</v>
      </c>
      <c r="J239" s="60">
        <f ca="1"/>
        <v>485.37530576706399</v>
      </c>
      <c r="K239" s="60">
        <f ca="1"/>
        <v>485.3753058284837</v>
      </c>
      <c r="L239" s="60">
        <f ca="1"/>
        <v>4.9354751279166234</v>
      </c>
      <c r="M239" s="60"/>
    </row>
    <row r="240" spans="2:13" x14ac:dyDescent="0.25">
      <c r="B240" s="75">
        <f>_xll.meDateFromTenor(B239,Periodicity,"FOLLOWING","NYB")</f>
        <v>44425</v>
      </c>
      <c r="C240" s="76">
        <v>2.4330000000000001E-2</v>
      </c>
      <c r="D240" s="77">
        <f ca="1"/>
        <v>98.389439794358623</v>
      </c>
      <c r="E240" s="83">
        <f ca="1"/>
        <v>5108.6956521739139</v>
      </c>
      <c r="F240" s="77">
        <f ca="1"/>
        <v>97.878570229141232</v>
      </c>
      <c r="G240" s="84">
        <f ca="1"/>
        <v>2.4330000000002152E-2</v>
      </c>
      <c r="H240">
        <f ca="1"/>
        <v>97.878570229141232</v>
      </c>
      <c r="I240" t="b">
        <f t="shared" ca="1" si="3"/>
        <v>1</v>
      </c>
      <c r="J240" s="60">
        <f ca="1"/>
        <v>483.74958832566136</v>
      </c>
      <c r="K240" s="60">
        <f ca="1"/>
        <v>483.74958839758619</v>
      </c>
      <c r="L240" s="60">
        <f ca="1"/>
        <v>4.9166820071009107</v>
      </c>
      <c r="M240" s="60"/>
    </row>
    <row r="241" spans="2:13" x14ac:dyDescent="0.25">
      <c r="B241" s="75">
        <f>_xll.meDateFromTenor(B240,Periodicity,"FOLLOWING","NYB")</f>
        <v>44432</v>
      </c>
      <c r="C241" s="76">
        <v>2.4330000000000001E-2</v>
      </c>
      <c r="D241" s="77">
        <f ca="1"/>
        <v>98.434709993773325</v>
      </c>
      <c r="E241" s="83">
        <f ca="1"/>
        <v>5489.130434782609</v>
      </c>
      <c r="F241" s="77">
        <f ca="1"/>
        <v>97.88579695029506</v>
      </c>
      <c r="G241" s="84">
        <f ca="1"/>
        <v>2.4330000000001857E-2</v>
      </c>
      <c r="H241">
        <f ca="1"/>
        <v>97.88579695029506</v>
      </c>
      <c r="I241" t="b">
        <f t="shared" ca="1" si="3"/>
        <v>1</v>
      </c>
      <c r="J241" s="60">
        <f ca="1"/>
        <v>482.12227210320896</v>
      </c>
      <c r="K241" s="60">
        <f ca="1"/>
        <v>482.12227216737347</v>
      </c>
      <c r="L241" s="60">
        <f ca="1"/>
        <v>4.897888886285199</v>
      </c>
      <c r="M241" s="60"/>
    </row>
    <row r="242" spans="2:13" x14ac:dyDescent="0.25">
      <c r="B242" s="75">
        <f>_xll.meDateFromTenor(B241,Periodicity,"FOLLOWING","NYB")</f>
        <v>44439</v>
      </c>
      <c r="C242" s="76">
        <v>2.4330000000000001E-2</v>
      </c>
      <c r="D242" s="77">
        <f ca="1"/>
        <v>98.480001022567251</v>
      </c>
      <c r="E242" s="83">
        <f ca="1"/>
        <v>5869.5652173913049</v>
      </c>
      <c r="F242" s="77">
        <f ca="1"/>
        <v>97.893044500828125</v>
      </c>
      <c r="G242" s="84">
        <f ca="1"/>
        <v>2.4330000000002149E-2</v>
      </c>
      <c r="H242">
        <f ca="1"/>
        <v>97.893044500828125</v>
      </c>
      <c r="I242" t="b">
        <f t="shared" ca="1" si="3"/>
        <v>1</v>
      </c>
      <c r="J242" s="60">
        <f ca="1"/>
        <v>480.49335597263865</v>
      </c>
      <c r="K242" s="60">
        <f ca="1"/>
        <v>480.49335604360971</v>
      </c>
      <c r="L242" s="60">
        <f ca="1"/>
        <v>4.8790957654694873</v>
      </c>
      <c r="M242" s="60"/>
    </row>
    <row r="243" spans="2:13" x14ac:dyDescent="0.25">
      <c r="B243" s="75">
        <f>_xll.meDateFromTenor(B242,Periodicity,"FOLLOWING","NYB")</f>
        <v>44446</v>
      </c>
      <c r="C243" s="76">
        <v>2.4330000000000001E-2</v>
      </c>
      <c r="D243" s="77">
        <f ca="1"/>
        <v>98.525312890324301</v>
      </c>
      <c r="E243" s="83">
        <f ca="1"/>
        <v>6250</v>
      </c>
      <c r="F243" s="77">
        <f ca="1"/>
        <v>97.900312890324301</v>
      </c>
      <c r="G243" s="84">
        <f ca="1"/>
        <v>2.4330000000002027E-2</v>
      </c>
      <c r="H243">
        <f ca="1"/>
        <v>97.900312890324301</v>
      </c>
      <c r="I243" t="b">
        <f t="shared" ca="1" si="3"/>
        <v>1</v>
      </c>
      <c r="J243" s="60">
        <f ca="1"/>
        <v>478.86283880618396</v>
      </c>
      <c r="K243" s="60">
        <f ca="1"/>
        <v>478.8628388752158</v>
      </c>
      <c r="L243" s="60">
        <f ca="1"/>
        <v>4.8603026446537756</v>
      </c>
      <c r="M243" s="60"/>
    </row>
    <row r="244" spans="2:13" x14ac:dyDescent="0.25">
      <c r="B244" s="75">
        <f>_xll.meDateFromTenor(B243,Periodicity,"FOLLOWING","NYB")</f>
        <v>44453</v>
      </c>
      <c r="C244" s="76">
        <v>2.4330000000000001E-2</v>
      </c>
      <c r="D244" s="77">
        <f ca="1"/>
        <v>98.570645606632695</v>
      </c>
      <c r="E244" s="83">
        <f ca="1"/>
        <v>6630.4347826086951</v>
      </c>
      <c r="F244" s="77">
        <f ca="1"/>
        <v>97.907602128371821</v>
      </c>
      <c r="G244" s="84">
        <f ca="1"/>
        <v>2.4330000000002076E-2</v>
      </c>
      <c r="H244">
        <f ca="1"/>
        <v>97.907602128371821</v>
      </c>
      <c r="I244" t="b">
        <f t="shared" ca="1" si="3"/>
        <v>1</v>
      </c>
      <c r="J244" s="60">
        <f ca="1"/>
        <v>477.23071947537886</v>
      </c>
      <c r="K244" s="60">
        <f ca="1"/>
        <v>477.23071954663959</v>
      </c>
      <c r="L244" s="60">
        <f ca="1"/>
        <v>4.8415095238380648</v>
      </c>
      <c r="M244" s="60"/>
    </row>
    <row r="245" spans="2:13" x14ac:dyDescent="0.25">
      <c r="B245" s="75">
        <f>_xll.meDateFromTenor(B244,Periodicity,"FOLLOWING","NYB")</f>
        <v>44460</v>
      </c>
      <c r="C245" s="76">
        <v>2.4330000000000001E-2</v>
      </c>
      <c r="D245" s="77">
        <f ca="1"/>
        <v>98.61599918108513</v>
      </c>
      <c r="E245" s="83">
        <f ca="1"/>
        <v>7010.869565217391</v>
      </c>
      <c r="F245" s="77">
        <f ca="1"/>
        <v>97.914912224563395</v>
      </c>
      <c r="G245" s="84">
        <f ca="1"/>
        <v>2.433000000000194E-2</v>
      </c>
      <c r="H245">
        <f ca="1"/>
        <v>97.914912224563395</v>
      </c>
      <c r="I245" t="b">
        <f t="shared" ca="1" si="3"/>
        <v>1</v>
      </c>
      <c r="J245" s="60">
        <f ca="1"/>
        <v>475.59699685105812</v>
      </c>
      <c r="K245" s="60">
        <f ca="1"/>
        <v>475.59699691390733</v>
      </c>
      <c r="L245" s="60">
        <f ca="1"/>
        <v>4.8227164030223522</v>
      </c>
      <c r="M245" s="60"/>
    </row>
    <row r="246" spans="2:13" x14ac:dyDescent="0.25">
      <c r="B246" s="75">
        <f>_xll.meDateFromTenor(B245,Periodicity,"FOLLOWING","NYB")</f>
        <v>44467</v>
      </c>
      <c r="C246" s="76">
        <v>2.4330000000000001E-2</v>
      </c>
      <c r="D246" s="77">
        <f ca="1"/>
        <v>98.661373623278706</v>
      </c>
      <c r="E246" s="83">
        <f ca="1"/>
        <v>7391.3043478260861</v>
      </c>
      <c r="F246" s="77">
        <f ca="1"/>
        <v>97.922243188496097</v>
      </c>
      <c r="G246" s="84">
        <f ca="1"/>
        <v>2.4330000000002013E-2</v>
      </c>
      <c r="H246">
        <f ca="1"/>
        <v>97.922243188496097</v>
      </c>
      <c r="I246" t="b">
        <f t="shared" ca="1" si="3"/>
        <v>1</v>
      </c>
      <c r="J246" s="60">
        <f ca="1"/>
        <v>473.96166980335676</v>
      </c>
      <c r="K246" s="60">
        <f ca="1"/>
        <v>473.96166986857219</v>
      </c>
      <c r="L246" s="60">
        <f ca="1"/>
        <v>4.8039232822066413</v>
      </c>
      <c r="M246" s="60"/>
    </row>
    <row r="247" spans="2:13" x14ac:dyDescent="0.25">
      <c r="B247" s="75">
        <f>_xll.meDateFromTenor(B246,Periodicity,"FOLLOWING","NYB")</f>
        <v>44474</v>
      </c>
      <c r="C247" s="76">
        <v>2.4330000000000001E-2</v>
      </c>
      <c r="D247" s="77">
        <f ca="1"/>
        <v>98.706768942814932</v>
      </c>
      <c r="E247" s="83">
        <f ca="1"/>
        <v>7771.739130434783</v>
      </c>
      <c r="F247" s="77">
        <f ca="1"/>
        <v>97.929595029771448</v>
      </c>
      <c r="G247" s="84">
        <f ca="1"/>
        <v>2.4330000000001815E-2</v>
      </c>
      <c r="H247">
        <f ca="1"/>
        <v>97.929595029771448</v>
      </c>
      <c r="I247" t="b">
        <f t="shared" ca="1" si="3"/>
        <v>1</v>
      </c>
      <c r="J247" s="60">
        <f ca="1"/>
        <v>472.32473720170913</v>
      </c>
      <c r="K247" s="60">
        <f ca="1"/>
        <v>472.32473726666052</v>
      </c>
      <c r="L247" s="60">
        <f ca="1"/>
        <v>4.7851301613909287</v>
      </c>
      <c r="M247" s="60"/>
    </row>
    <row r="248" spans="2:13" x14ac:dyDescent="0.25">
      <c r="B248" s="75">
        <f>_xll.meDateFromTenor(B247,Periodicity,"FOLLOWING","NYB")</f>
        <v>44481</v>
      </c>
      <c r="C248" s="76">
        <v>2.4330000000000001E-2</v>
      </c>
      <c r="D248" s="77">
        <f ca="1"/>
        <v>98.752185149299692</v>
      </c>
      <c r="E248" s="83">
        <f ca="1"/>
        <v>8152.173913043478</v>
      </c>
      <c r="F248" s="77">
        <f ca="1"/>
        <v>97.936967757995347</v>
      </c>
      <c r="G248" s="84">
        <f ca="1"/>
        <v>2.4330000000001666E-2</v>
      </c>
      <c r="H248">
        <f ca="1"/>
        <v>97.936967757995347</v>
      </c>
      <c r="I248" t="b">
        <f t="shared" ca="1" si="3"/>
        <v>1</v>
      </c>
      <c r="J248" s="60">
        <f ca="1"/>
        <v>470.68619791484906</v>
      </c>
      <c r="K248" s="60">
        <f ca="1"/>
        <v>470.68619797840933</v>
      </c>
      <c r="L248" s="60">
        <f ca="1"/>
        <v>4.7663370405752179</v>
      </c>
      <c r="M248" s="60"/>
    </row>
    <row r="249" spans="2:13" x14ac:dyDescent="0.25">
      <c r="B249" s="75">
        <f>_xll.meDateFromTenor(B248,Periodicity,"FOLLOWING","NYB")</f>
        <v>44488</v>
      </c>
      <c r="C249" s="76">
        <v>2.4330000000000001E-2</v>
      </c>
      <c r="D249" s="77">
        <f ca="1"/>
        <v>98.797622252343359</v>
      </c>
      <c r="E249" s="83">
        <f ca="1"/>
        <v>8532.608695652174</v>
      </c>
      <c r="F249" s="77">
        <f ca="1"/>
        <v>97.944361382778141</v>
      </c>
      <c r="G249" s="84">
        <f ca="1"/>
        <v>2.4330000000001895E-2</v>
      </c>
      <c r="H249">
        <f ca="1"/>
        <v>97.944361382778141</v>
      </c>
      <c r="I249" t="b">
        <f t="shared" ca="1" si="3"/>
        <v>1</v>
      </c>
      <c r="J249" s="60">
        <f ca="1"/>
        <v>469.04605081080916</v>
      </c>
      <c r="K249" s="60">
        <f ca="1"/>
        <v>469.04605088116108</v>
      </c>
      <c r="L249" s="60">
        <f ca="1"/>
        <v>4.7475439197595062</v>
      </c>
      <c r="M249" s="60"/>
    </row>
    <row r="250" spans="2:13" x14ac:dyDescent="0.25">
      <c r="B250" s="75">
        <f>_xll.meDateFromTenor(B249,Periodicity,"FOLLOWING","NYB")</f>
        <v>44495</v>
      </c>
      <c r="C250" s="76">
        <v>2.4330000000000001E-2</v>
      </c>
      <c r="D250" s="77">
        <f ca="1"/>
        <v>98.843080261560715</v>
      </c>
      <c r="E250" s="83">
        <f ca="1"/>
        <v>8913.04347826087</v>
      </c>
      <c r="F250" s="77">
        <f ca="1"/>
        <v>97.951775913734622</v>
      </c>
      <c r="G250" s="84">
        <f ca="1"/>
        <v>2.4330000000001812E-2</v>
      </c>
      <c r="H250">
        <f ca="1"/>
        <v>97.951775913734622</v>
      </c>
      <c r="I250" t="b">
        <f t="shared" ca="1" si="3"/>
        <v>1</v>
      </c>
      <c r="J250" s="60">
        <f ca="1"/>
        <v>467.40429475692076</v>
      </c>
      <c r="K250" s="60">
        <f ca="1"/>
        <v>467.40429482383655</v>
      </c>
      <c r="L250" s="60">
        <f ca="1"/>
        <v>4.7287507989437936</v>
      </c>
      <c r="M250" s="60"/>
    </row>
    <row r="251" spans="2:13" x14ac:dyDescent="0.25">
      <c r="B251" s="75">
        <f>_xll.meDateFromTenor(B250,Periodicity,"FOLLOWING","NYB")</f>
        <v>44502</v>
      </c>
      <c r="C251" s="76">
        <v>2.4330000000000001E-2</v>
      </c>
      <c r="D251" s="77">
        <f ca="1"/>
        <v>98.888559186570902</v>
      </c>
      <c r="E251" s="83">
        <f ca="1"/>
        <v>9293.4782608695659</v>
      </c>
      <c r="F251" s="77">
        <f ca="1"/>
        <v>97.959211360483948</v>
      </c>
      <c r="G251" s="84">
        <f ca="1"/>
        <v>2.4330000000001805E-2</v>
      </c>
      <c r="H251">
        <f ca="1"/>
        <v>97.959211360483948</v>
      </c>
      <c r="I251" t="b">
        <f t="shared" ca="1" si="3"/>
        <v>1</v>
      </c>
      <c r="J251" s="60">
        <f ca="1"/>
        <v>465.76092861981294</v>
      </c>
      <c r="K251" s="60">
        <f ca="1"/>
        <v>465.76092868377822</v>
      </c>
      <c r="L251" s="60">
        <f ca="1"/>
        <v>4.7099576781280827</v>
      </c>
      <c r="M251" s="60"/>
    </row>
    <row r="252" spans="2:13" x14ac:dyDescent="0.25">
      <c r="B252" s="75">
        <f>_xll.meDateFromTenor(B251,Periodicity,"FOLLOWING","NYB")</f>
        <v>44509</v>
      </c>
      <c r="C252" s="76">
        <v>2.4330000000000001E-2</v>
      </c>
      <c r="D252" s="77">
        <f ca="1"/>
        <v>98.934059036997596</v>
      </c>
      <c r="E252" s="83">
        <f ca="1"/>
        <v>9673.9130434782601</v>
      </c>
      <c r="F252" s="77">
        <f ca="1"/>
        <v>97.966667732649768</v>
      </c>
      <c r="G252" s="84">
        <f ca="1"/>
        <v>2.4330000000001593E-2</v>
      </c>
      <c r="H252">
        <f ca="1"/>
        <v>97.966667732649768</v>
      </c>
      <c r="I252" t="b">
        <f t="shared" ca="1" si="3"/>
        <v>1</v>
      </c>
      <c r="J252" s="60">
        <f ca="1"/>
        <v>464.11595126541278</v>
      </c>
      <c r="K252" s="60">
        <f ca="1"/>
        <v>464.11595131701233</v>
      </c>
      <c r="L252" s="60">
        <f ca="1"/>
        <v>4.691164557312371</v>
      </c>
      <c r="M252" s="60"/>
    </row>
    <row r="253" spans="2:13" x14ac:dyDescent="0.25">
      <c r="B253" s="75">
        <f>_xll.meDateFromTenor(B252,Periodicity,"FOLLOWING","NYB")</f>
        <v>44516</v>
      </c>
      <c r="C253" s="76">
        <v>2.4330000000000001E-2</v>
      </c>
      <c r="D253" s="77">
        <f ca="1"/>
        <v>97.979620824685327</v>
      </c>
      <c r="E253" s="83">
        <f ca="1"/>
        <v>55.248618784530386</v>
      </c>
      <c r="F253" s="77">
        <f ca="1"/>
        <v>97.974095962806871</v>
      </c>
      <c r="G253" s="84">
        <f ca="1"/>
        <v>2.4330000000001763E-2</v>
      </c>
      <c r="H253">
        <f ca="1"/>
        <v>97.974095962806871</v>
      </c>
      <c r="I253" t="b">
        <f t="shared" ca="1" si="3"/>
        <v>1</v>
      </c>
      <c r="J253" s="60">
        <f ca="1"/>
        <v>462.46819026512384</v>
      </c>
      <c r="K253" s="60">
        <f ca="1"/>
        <v>462.46819032802472</v>
      </c>
      <c r="L253" s="60">
        <f ca="1"/>
        <v>4.7200447028940529</v>
      </c>
      <c r="M253" s="60"/>
    </row>
    <row r="254" spans="2:13" x14ac:dyDescent="0.25">
      <c r="B254" s="75">
        <f>_xll.meDateFromTenor(B253,Periodicity,"FOLLOWING","NYB")</f>
        <v>44523</v>
      </c>
      <c r="C254" s="76">
        <v>2.4330000000000001E-2</v>
      </c>
      <c r="D254" s="77">
        <f ca="1"/>
        <v>98.025449845488026</v>
      </c>
      <c r="E254" s="83">
        <f ca="1"/>
        <v>441.98895027624309</v>
      </c>
      <c r="F254" s="77">
        <f ca="1"/>
        <v>97.981250950460407</v>
      </c>
      <c r="G254" s="84">
        <f ca="1"/>
        <v>2.4330000000001573E-2</v>
      </c>
      <c r="H254">
        <f ca="1"/>
        <v>97.981250950460407</v>
      </c>
      <c r="I254" t="b">
        <f t="shared" ca="1" si="3"/>
        <v>1</v>
      </c>
      <c r="J254" s="60">
        <f ca="1"/>
        <v>460.81176740006441</v>
      </c>
      <c r="K254" s="60">
        <f ca="1"/>
        <v>460.81176745360608</v>
      </c>
      <c r="L254" s="60">
        <f ca="1"/>
        <v>4.7009400938880255</v>
      </c>
      <c r="M254" s="60"/>
    </row>
    <row r="255" spans="2:13" x14ac:dyDescent="0.25">
      <c r="B255" s="75">
        <f>_xll.meDateFromTenor(B254,Periodicity,"FOLLOWING","NYB")</f>
        <v>44530</v>
      </c>
      <c r="C255" s="76">
        <v>2.4330000000000001E-2</v>
      </c>
      <c r="D255" s="77">
        <f ca="1"/>
        <v>98.071300302372293</v>
      </c>
      <c r="E255" s="83">
        <f ca="1"/>
        <v>828.72928176795574</v>
      </c>
      <c r="F255" s="77">
        <f ca="1"/>
        <v>97.988427374195496</v>
      </c>
      <c r="G255" s="84">
        <f ca="1"/>
        <v>2.4330000000001833E-2</v>
      </c>
      <c r="H255">
        <f ca="1"/>
        <v>97.988427374195496</v>
      </c>
      <c r="I255" t="b">
        <f t="shared" ca="1" si="3"/>
        <v>1</v>
      </c>
      <c r="J255" s="60">
        <f ca="1"/>
        <v>459.15369380416536</v>
      </c>
      <c r="K255" s="60">
        <f ca="1"/>
        <v>459.15369386051447</v>
      </c>
      <c r="L255" s="60">
        <f ca="1"/>
        <v>4.681835484881999</v>
      </c>
      <c r="M255" s="60"/>
    </row>
    <row r="256" spans="2:13" x14ac:dyDescent="0.25">
      <c r="B256" s="75">
        <f>_xll.meDateFromTenor(B255,Periodicity,"FOLLOWING","NYB")</f>
        <v>44537</v>
      </c>
      <c r="C256" s="76">
        <v>2.4330000000000001E-2</v>
      </c>
      <c r="D256" s="77">
        <f ca="1"/>
        <v>98.117172205364724</v>
      </c>
      <c r="E256" s="83">
        <f ca="1"/>
        <v>1215.4696132596684</v>
      </c>
      <c r="F256" s="77">
        <f ca="1"/>
        <v>97.995625244038763</v>
      </c>
      <c r="G256" s="84">
        <f ca="1"/>
        <v>2.4330000000001521E-2</v>
      </c>
      <c r="H256">
        <f ca="1"/>
        <v>97.995625244038763</v>
      </c>
      <c r="I256" t="b">
        <f t="shared" ca="1" si="3"/>
        <v>1</v>
      </c>
      <c r="J256" s="60">
        <f ca="1"/>
        <v>457.49396829559385</v>
      </c>
      <c r="K256" s="60">
        <f ca="1"/>
        <v>457.49396837635453</v>
      </c>
      <c r="L256" s="60">
        <f ca="1"/>
        <v>4.6627308758759725</v>
      </c>
      <c r="M256" s="60"/>
    </row>
    <row r="257" spans="2:13" x14ac:dyDescent="0.25">
      <c r="B257" s="75">
        <f>_xll.meDateFromTenor(B256,Periodicity,"FOLLOWING","NYB")</f>
        <v>44544</v>
      </c>
      <c r="C257" s="76">
        <v>2.4330000000000001E-2</v>
      </c>
      <c r="D257" s="77">
        <f ca="1"/>
        <v>98.163065564496492</v>
      </c>
      <c r="E257" s="83">
        <f ca="1"/>
        <v>1602.2099447513813</v>
      </c>
      <c r="F257" s="77">
        <f ca="1"/>
        <v>98.002844570021352</v>
      </c>
      <c r="G257" s="84">
        <f ca="1"/>
        <v>2.4330000000001677E-2</v>
      </c>
      <c r="H257">
        <f ca="1"/>
        <v>98.002844570021352</v>
      </c>
      <c r="I257" t="b">
        <f t="shared" ca="1" si="3"/>
        <v>1</v>
      </c>
      <c r="J257" s="60">
        <f ca="1"/>
        <v>455.83258969177251</v>
      </c>
      <c r="K257" s="60">
        <f ca="1"/>
        <v>455.83258974346558</v>
      </c>
      <c r="L257" s="60">
        <f ca="1"/>
        <v>4.6436262668699451</v>
      </c>
      <c r="M257" s="60"/>
    </row>
    <row r="258" spans="2:13" x14ac:dyDescent="0.25">
      <c r="B258" s="75">
        <f>_xll.meDateFromTenor(B257,Periodicity,"FOLLOWING","NYB")</f>
        <v>44551</v>
      </c>
      <c r="C258" s="76">
        <v>2.4330000000000001E-2</v>
      </c>
      <c r="D258" s="77">
        <f ca="1"/>
        <v>98.2089803898035</v>
      </c>
      <c r="E258" s="83">
        <f ca="1"/>
        <v>1988.9502762430939</v>
      </c>
      <c r="F258" s="77">
        <f ca="1"/>
        <v>98.010085362179197</v>
      </c>
      <c r="G258" s="84">
        <f ca="1"/>
        <v>2.4330000000001524E-2</v>
      </c>
      <c r="H258">
        <f ca="1"/>
        <v>98.010085362179197</v>
      </c>
      <c r="I258" t="b">
        <f t="shared" ca="1" si="3"/>
        <v>1</v>
      </c>
      <c r="J258" s="60">
        <f ca="1"/>
        <v>454.16955680937889</v>
      </c>
      <c r="K258" s="60">
        <f ca="1"/>
        <v>454.16955686050636</v>
      </c>
      <c r="L258" s="60">
        <f ca="1"/>
        <v>4.6245216578639159</v>
      </c>
      <c r="M258" s="60"/>
    </row>
    <row r="259" spans="2:13" x14ac:dyDescent="0.25">
      <c r="B259" s="75">
        <f>_xll.meDateFromTenor(B258,Periodicity,"FOLLOWING","NYB")</f>
        <v>44558</v>
      </c>
      <c r="C259" s="76">
        <v>2.4330000000000001E-2</v>
      </c>
      <c r="D259" s="77">
        <f ca="1"/>
        <v>98.254916691326315</v>
      </c>
      <c r="E259" s="83">
        <f ca="1"/>
        <v>2375.6906077348067</v>
      </c>
      <c r="F259" s="77">
        <f ca="1"/>
        <v>98.017347630552834</v>
      </c>
      <c r="G259" s="84">
        <f ca="1"/>
        <v>2.4330000000001517E-2</v>
      </c>
      <c r="H259">
        <f ca="1"/>
        <v>98.017347630552834</v>
      </c>
      <c r="I259" t="b">
        <f t="shared" ca="1" si="3"/>
        <v>1</v>
      </c>
      <c r="J259" s="60">
        <f ca="1"/>
        <v>452.5048684643458</v>
      </c>
      <c r="K259" s="60">
        <f ca="1"/>
        <v>452.50486852665966</v>
      </c>
      <c r="L259" s="60">
        <f ca="1"/>
        <v>4.6054170488578894</v>
      </c>
      <c r="M259" s="60"/>
    </row>
    <row r="260" spans="2:13" x14ac:dyDescent="0.25">
      <c r="B260" s="75">
        <f>_xll.meDateFromTenor(B259,Periodicity,"FOLLOWING","NYB")</f>
        <v>44565</v>
      </c>
      <c r="C260" s="76">
        <v>2.4330000000000001E-2</v>
      </c>
      <c r="D260" s="77">
        <f ca="1"/>
        <v>98.300874479110263</v>
      </c>
      <c r="E260" s="83">
        <f ca="1"/>
        <v>2762.4309392265195</v>
      </c>
      <c r="F260" s="77">
        <f ca="1"/>
        <v>98.024631385187604</v>
      </c>
      <c r="G260" s="84">
        <f ca="1"/>
        <v>2.4330000000001521E-2</v>
      </c>
      <c r="H260">
        <f ca="1"/>
        <v>98.024631385187604</v>
      </c>
      <c r="I260" t="b">
        <f t="shared" ca="1" si="3"/>
        <v>1</v>
      </c>
      <c r="J260" s="60">
        <f ca="1"/>
        <v>450.83852347185996</v>
      </c>
      <c r="K260" s="60">
        <f ca="1"/>
        <v>450.83852354110826</v>
      </c>
      <c r="L260" s="60">
        <f ca="1"/>
        <v>4.5863124398518638</v>
      </c>
      <c r="M260" s="60"/>
    </row>
    <row r="261" spans="2:13" x14ac:dyDescent="0.25">
      <c r="B261" s="75">
        <f>_xll.meDateFromTenor(B260,Periodicity,"FOLLOWING","NYB")</f>
        <v>44572</v>
      </c>
      <c r="C261" s="76">
        <v>2.4330000000000001E-2</v>
      </c>
      <c r="D261" s="77">
        <f ca="1"/>
        <v>98.346853763205345</v>
      </c>
      <c r="E261" s="83">
        <f ca="1"/>
        <v>3149.1712707182319</v>
      </c>
      <c r="F261" s="77">
        <f ca="1"/>
        <v>98.031936636133523</v>
      </c>
      <c r="G261" s="84">
        <f ca="1"/>
        <v>2.4330000000001586E-2</v>
      </c>
      <c r="H261">
        <f ca="1"/>
        <v>98.031936636133523</v>
      </c>
      <c r="I261" t="b">
        <f t="shared" ca="1" si="3"/>
        <v>1</v>
      </c>
      <c r="J261" s="60">
        <f ca="1"/>
        <v>449.17052064636164</v>
      </c>
      <c r="K261" s="60">
        <f ca="1"/>
        <v>449.17052071724584</v>
      </c>
      <c r="L261" s="60">
        <f ca="1"/>
        <v>4.5672078308458355</v>
      </c>
      <c r="M261" s="60"/>
    </row>
    <row r="262" spans="2:13" x14ac:dyDescent="0.25">
      <c r="B262" s="75">
        <f>_xll.meDateFromTenor(B261,Periodicity,"FOLLOWING","NYB")</f>
        <v>44579</v>
      </c>
      <c r="C262" s="76">
        <v>2.4330000000000001E-2</v>
      </c>
      <c r="D262" s="77">
        <f ca="1"/>
        <v>98.392854553666226</v>
      </c>
      <c r="E262" s="83">
        <f ca="1"/>
        <v>3535.9116022099447</v>
      </c>
      <c r="F262" s="77">
        <f ca="1"/>
        <v>98.039263393445225</v>
      </c>
      <c r="G262" s="84">
        <f ca="1"/>
        <v>2.4330000000001357E-2</v>
      </c>
      <c r="H262">
        <f ca="1"/>
        <v>98.039263393445225</v>
      </c>
      <c r="I262" t="b">
        <f t="shared" ca="1" si="3"/>
        <v>1</v>
      </c>
      <c r="J262" s="60">
        <f ca="1"/>
        <v>447.50085880154506</v>
      </c>
      <c r="K262" s="60">
        <f ca="1"/>
        <v>447.50085886136043</v>
      </c>
      <c r="L262" s="60">
        <f ca="1"/>
        <v>4.548103221839809</v>
      </c>
      <c r="M262" s="60"/>
    </row>
    <row r="263" spans="2:13" x14ac:dyDescent="0.25">
      <c r="B263" s="75">
        <f>_xll.meDateFromTenor(B262,Periodicity,"FOLLOWING","NYB")</f>
        <v>44586</v>
      </c>
      <c r="C263" s="76">
        <v>2.4330000000000001E-2</v>
      </c>
      <c r="D263" s="77">
        <f ca="1"/>
        <v>98.438876860552298</v>
      </c>
      <c r="E263" s="83">
        <f ca="1"/>
        <v>3922.6519337016575</v>
      </c>
      <c r="F263" s="77">
        <f ca="1"/>
        <v>98.046611667182134</v>
      </c>
      <c r="G263" s="84">
        <f ca="1"/>
        <v>2.4330000000001555E-2</v>
      </c>
      <c r="H263">
        <f ca="1"/>
        <v>98.046611667182134</v>
      </c>
      <c r="I263" t="b">
        <f t="shared" ca="1" si="3"/>
        <v>1</v>
      </c>
      <c r="J263" s="60">
        <f ca="1"/>
        <v>445.82953675035668</v>
      </c>
      <c r="K263" s="60">
        <f ca="1"/>
        <v>445.82953681526755</v>
      </c>
      <c r="L263" s="60">
        <f ca="1"/>
        <v>4.5289986128337807</v>
      </c>
      <c r="M263" s="60"/>
    </row>
    <row r="264" spans="2:13" x14ac:dyDescent="0.25">
      <c r="B264" s="75">
        <f>_xll.meDateFromTenor(B263,Periodicity,"FOLLOWING","NYB")</f>
        <v>44593</v>
      </c>
      <c r="C264" s="76">
        <v>2.4330000000000001E-2</v>
      </c>
      <c r="D264" s="77">
        <f ca="1"/>
        <v>98.484920693927691</v>
      </c>
      <c r="E264" s="83">
        <f ca="1"/>
        <v>4309.3922651933699</v>
      </c>
      <c r="F264" s="77">
        <f ca="1"/>
        <v>98.053981467408349</v>
      </c>
      <c r="G264" s="84">
        <f ca="1"/>
        <v>2.433000000000167E-2</v>
      </c>
      <c r="H264">
        <f ca="1"/>
        <v>98.053981467408349</v>
      </c>
      <c r="I264" t="b">
        <f t="shared" ref="I264:I265" ca="1" si="4">F264=H264</f>
        <v>1</v>
      </c>
      <c r="J264" s="60">
        <f ca="1"/>
        <v>444.15655330499629</v>
      </c>
      <c r="K264" s="60">
        <f ca="1"/>
        <v>444.15655335683368</v>
      </c>
      <c r="L264" s="60">
        <f ca="1"/>
        <v>4.5098940038277533</v>
      </c>
      <c r="M264" s="60"/>
    </row>
    <row r="265" spans="2:13" x14ac:dyDescent="0.25">
      <c r="B265" s="75">
        <f>_xll.meDateFromTenor(B264,Periodicity,"FOLLOWING","NYB")</f>
        <v>44600</v>
      </c>
      <c r="C265" s="76">
        <v>2.4330000000000001E-2</v>
      </c>
      <c r="D265" s="77">
        <f ca="1"/>
        <v>98.530986063861192</v>
      </c>
      <c r="E265" s="83">
        <f ca="1"/>
        <v>4696.1325966850827</v>
      </c>
      <c r="F265" s="77">
        <f ca="1"/>
        <v>98.061372804192686</v>
      </c>
      <c r="G265" s="84">
        <f ca="1"/>
        <v>2.43300000000015E-2</v>
      </c>
      <c r="H265">
        <f ca="1"/>
        <v>98.061372804192686</v>
      </c>
      <c r="I265" t="b">
        <f t="shared" ca="1" si="4"/>
        <v>1</v>
      </c>
      <c r="J265" s="60">
        <f ca="1"/>
        <v>442.48190727691519</v>
      </c>
      <c r="K265" s="60">
        <f ca="1"/>
        <v>442.48190734208487</v>
      </c>
      <c r="L265" s="60">
        <f ca="1"/>
        <v>4.4907893948217268</v>
      </c>
      <c r="M265" s="60"/>
    </row>
    <row r="274" spans="3:4" x14ac:dyDescent="0.25">
      <c r="C274" s="71"/>
      <c r="D274" s="71"/>
    </row>
    <row r="275" spans="3:4" x14ac:dyDescent="0.25">
      <c r="C275" s="71"/>
      <c r="D275" s="71"/>
    </row>
    <row r="276" spans="3:4" x14ac:dyDescent="0.25">
      <c r="C276" s="71"/>
      <c r="D276" s="71"/>
    </row>
    <row r="277" spans="3:4" x14ac:dyDescent="0.25">
      <c r="C277" s="71"/>
      <c r="D277" s="71"/>
    </row>
    <row r="278" spans="3:4" x14ac:dyDescent="0.25">
      <c r="C278" s="71"/>
      <c r="D278" s="71"/>
    </row>
    <row r="279" spans="3:4" x14ac:dyDescent="0.25">
      <c r="C279" s="71"/>
      <c r="D279" s="71"/>
    </row>
    <row r="280" spans="3:4" x14ac:dyDescent="0.25">
      <c r="C280" s="71"/>
      <c r="D280" s="71"/>
    </row>
    <row r="281" spans="3:4" x14ac:dyDescent="0.25">
      <c r="C281" s="71"/>
      <c r="D281" s="71"/>
    </row>
    <row r="282" spans="3:4" x14ac:dyDescent="0.25">
      <c r="C282" s="71"/>
      <c r="D282" s="71"/>
    </row>
    <row r="283" spans="3:4" x14ac:dyDescent="0.25">
      <c r="C283" s="71"/>
      <c r="D283" s="71"/>
    </row>
    <row r="284" spans="3:4" x14ac:dyDescent="0.25">
      <c r="C284" s="71"/>
      <c r="D284" s="71"/>
    </row>
    <row r="285" spans="3:4" x14ac:dyDescent="0.25">
      <c r="C285" s="71"/>
      <c r="D285" s="71"/>
    </row>
    <row r="286" spans="3:4" x14ac:dyDescent="0.25">
      <c r="C286" s="71"/>
      <c r="D286" s="71"/>
    </row>
    <row r="287" spans="3:4" x14ac:dyDescent="0.25">
      <c r="C287" s="71"/>
      <c r="D287" s="71"/>
    </row>
    <row r="288" spans="3:4" x14ac:dyDescent="0.25">
      <c r="C288" s="71"/>
      <c r="D288" s="71"/>
    </row>
    <row r="289" spans="3:4" x14ac:dyDescent="0.25">
      <c r="C289" s="71"/>
      <c r="D289" s="71"/>
    </row>
    <row r="290" spans="3:4" x14ac:dyDescent="0.25">
      <c r="C290" s="71"/>
      <c r="D290" s="71"/>
    </row>
    <row r="291" spans="3:4" x14ac:dyDescent="0.25">
      <c r="C291" s="71"/>
      <c r="D291" s="71"/>
    </row>
    <row r="292" spans="3:4" x14ac:dyDescent="0.25">
      <c r="C292" s="71"/>
      <c r="D292" s="71"/>
    </row>
    <row r="293" spans="3:4" x14ac:dyDescent="0.25">
      <c r="C293" s="71"/>
      <c r="D293" s="71"/>
    </row>
    <row r="294" spans="3:4" x14ac:dyDescent="0.25">
      <c r="C294" s="71"/>
      <c r="D294" s="71"/>
    </row>
    <row r="295" spans="3:4" x14ac:dyDescent="0.25">
      <c r="C295" s="71"/>
      <c r="D295" s="71"/>
    </row>
    <row r="296" spans="3:4" x14ac:dyDescent="0.25">
      <c r="C296" s="71"/>
      <c r="D296" s="71"/>
    </row>
    <row r="297" spans="3:4" x14ac:dyDescent="0.25">
      <c r="C297" s="71"/>
      <c r="D297" s="71"/>
    </row>
    <row r="298" spans="3:4" x14ac:dyDescent="0.25">
      <c r="C298" s="71"/>
      <c r="D298" s="71"/>
    </row>
    <row r="299" spans="3:4" x14ac:dyDescent="0.25">
      <c r="C299" s="71"/>
      <c r="D299" s="71"/>
    </row>
    <row r="300" spans="3:4" x14ac:dyDescent="0.25">
      <c r="C300" s="71"/>
      <c r="D300" s="71"/>
    </row>
    <row r="301" spans="3:4" x14ac:dyDescent="0.25">
      <c r="C301" s="71"/>
      <c r="D301" s="71"/>
    </row>
    <row r="302" spans="3:4" x14ac:dyDescent="0.25">
      <c r="C302" s="71"/>
      <c r="D302" s="71"/>
    </row>
    <row r="303" spans="3:4" x14ac:dyDescent="0.25">
      <c r="C303" s="71"/>
      <c r="D303" s="71"/>
    </row>
    <row r="304" spans="3:4" x14ac:dyDescent="0.25">
      <c r="C304" s="71"/>
      <c r="D304" s="71"/>
    </row>
    <row r="305" spans="3:4" x14ac:dyDescent="0.25">
      <c r="C305" s="71"/>
      <c r="D305" s="71"/>
    </row>
    <row r="306" spans="3:4" x14ac:dyDescent="0.25">
      <c r="C306" s="71"/>
      <c r="D306" s="71"/>
    </row>
    <row r="307" spans="3:4" x14ac:dyDescent="0.25">
      <c r="C307" s="71"/>
      <c r="D307" s="71"/>
    </row>
    <row r="308" spans="3:4" x14ac:dyDescent="0.25">
      <c r="C308" s="71"/>
      <c r="D308" s="71"/>
    </row>
    <row r="309" spans="3:4" x14ac:dyDescent="0.25">
      <c r="C309" s="71"/>
      <c r="D309" s="71"/>
    </row>
    <row r="310" spans="3:4" x14ac:dyDescent="0.25">
      <c r="C310" s="71"/>
      <c r="D310" s="71"/>
    </row>
    <row r="311" spans="3:4" x14ac:dyDescent="0.25">
      <c r="C311" s="71"/>
      <c r="D311" s="71"/>
    </row>
    <row r="312" spans="3:4" x14ac:dyDescent="0.25">
      <c r="C312" s="71"/>
      <c r="D312" s="71"/>
    </row>
    <row r="313" spans="3:4" x14ac:dyDescent="0.25">
      <c r="C313" s="71"/>
      <c r="D313" s="71"/>
    </row>
    <row r="314" spans="3:4" x14ac:dyDescent="0.25">
      <c r="C314" s="71"/>
      <c r="D314" s="71"/>
    </row>
    <row r="315" spans="3:4" x14ac:dyDescent="0.25">
      <c r="C315" s="71"/>
      <c r="D315" s="71"/>
    </row>
    <row r="316" spans="3:4" x14ac:dyDescent="0.25">
      <c r="C316" s="71"/>
      <c r="D316" s="71"/>
    </row>
    <row r="317" spans="3:4" x14ac:dyDescent="0.25">
      <c r="C317" s="71"/>
      <c r="D317" s="71"/>
    </row>
    <row r="318" spans="3:4" x14ac:dyDescent="0.25">
      <c r="C318" s="71"/>
      <c r="D318" s="71"/>
    </row>
    <row r="319" spans="3:4" x14ac:dyDescent="0.25">
      <c r="C319" s="71"/>
      <c r="D319" s="71"/>
    </row>
    <row r="320" spans="3:4" x14ac:dyDescent="0.25">
      <c r="C320" s="71"/>
      <c r="D320" s="71"/>
    </row>
    <row r="321" spans="3:4" x14ac:dyDescent="0.25">
      <c r="C321" s="71"/>
      <c r="D321" s="71"/>
    </row>
    <row r="322" spans="3:4" x14ac:dyDescent="0.25">
      <c r="C322" s="71"/>
      <c r="D322" s="71"/>
    </row>
    <row r="323" spans="3:4" x14ac:dyDescent="0.25">
      <c r="C323" s="71"/>
      <c r="D323" s="71"/>
    </row>
    <row r="324" spans="3:4" x14ac:dyDescent="0.25">
      <c r="C324" s="71"/>
      <c r="D324" s="71"/>
    </row>
    <row r="325" spans="3:4" x14ac:dyDescent="0.25">
      <c r="C325" s="71"/>
      <c r="D325" s="71"/>
    </row>
    <row r="326" spans="3:4" x14ac:dyDescent="0.25">
      <c r="C326" s="71"/>
      <c r="D326" s="71"/>
    </row>
    <row r="327" spans="3:4" x14ac:dyDescent="0.25">
      <c r="C327" s="71"/>
      <c r="D327" s="71"/>
    </row>
    <row r="328" spans="3:4" x14ac:dyDescent="0.25">
      <c r="C328" s="71"/>
      <c r="D328" s="71"/>
    </row>
    <row r="329" spans="3:4" x14ac:dyDescent="0.25">
      <c r="C329" s="71"/>
      <c r="D329" s="71"/>
    </row>
    <row r="330" spans="3:4" x14ac:dyDescent="0.25">
      <c r="C330" s="71"/>
      <c r="D330" s="71"/>
    </row>
    <row r="331" spans="3:4" x14ac:dyDescent="0.25">
      <c r="C331" s="71"/>
      <c r="D331" s="71"/>
    </row>
    <row r="332" spans="3:4" x14ac:dyDescent="0.25">
      <c r="C332" s="71"/>
      <c r="D332" s="71"/>
    </row>
    <row r="333" spans="3:4" x14ac:dyDescent="0.25">
      <c r="C333" s="71"/>
      <c r="D333" s="71"/>
    </row>
    <row r="334" spans="3:4" x14ac:dyDescent="0.25">
      <c r="C334" s="71"/>
      <c r="D334" s="71"/>
    </row>
    <row r="335" spans="3:4" x14ac:dyDescent="0.25">
      <c r="C335" s="71"/>
      <c r="D335" s="71"/>
    </row>
    <row r="336" spans="3:4" x14ac:dyDescent="0.25">
      <c r="C336" s="71"/>
      <c r="D336" s="71"/>
    </row>
    <row r="337" spans="3:4" x14ac:dyDescent="0.25">
      <c r="C337" s="71"/>
      <c r="D337" s="71"/>
    </row>
    <row r="338" spans="3:4" x14ac:dyDescent="0.25">
      <c r="C338" s="71"/>
      <c r="D338" s="71"/>
    </row>
    <row r="339" spans="3:4" x14ac:dyDescent="0.25">
      <c r="C339" s="71"/>
      <c r="D339" s="71"/>
    </row>
    <row r="340" spans="3:4" x14ac:dyDescent="0.25">
      <c r="C340" s="71"/>
      <c r="D340" s="71"/>
    </row>
    <row r="341" spans="3:4" x14ac:dyDescent="0.25">
      <c r="C341" s="71"/>
      <c r="D341" s="71"/>
    </row>
    <row r="342" spans="3:4" x14ac:dyDescent="0.25">
      <c r="C342" s="71"/>
      <c r="D342" s="71"/>
    </row>
    <row r="343" spans="3:4" x14ac:dyDescent="0.25">
      <c r="C343" s="71"/>
      <c r="D343" s="71"/>
    </row>
    <row r="344" spans="3:4" x14ac:dyDescent="0.25">
      <c r="C344" s="71"/>
      <c r="D344" s="71"/>
    </row>
    <row r="345" spans="3:4" x14ac:dyDescent="0.25">
      <c r="C345" s="71"/>
      <c r="D345" s="71"/>
    </row>
    <row r="346" spans="3:4" x14ac:dyDescent="0.25">
      <c r="C346" s="71"/>
      <c r="D346" s="71"/>
    </row>
    <row r="347" spans="3:4" x14ac:dyDescent="0.25">
      <c r="C347" s="71"/>
      <c r="D347" s="71"/>
    </row>
    <row r="348" spans="3:4" x14ac:dyDescent="0.25">
      <c r="C348" s="71"/>
      <c r="D348" s="71"/>
    </row>
    <row r="349" spans="3:4" x14ac:dyDescent="0.25">
      <c r="C349" s="71"/>
      <c r="D349" s="71"/>
    </row>
    <row r="350" spans="3:4" x14ac:dyDescent="0.25">
      <c r="C350" s="71"/>
      <c r="D350" s="71"/>
    </row>
    <row r="351" spans="3:4" x14ac:dyDescent="0.25">
      <c r="C351" s="71"/>
      <c r="D351" s="71"/>
    </row>
    <row r="352" spans="3:4" x14ac:dyDescent="0.25">
      <c r="C352" s="71"/>
      <c r="D352" s="71"/>
    </row>
    <row r="353" spans="3:4" x14ac:dyDescent="0.25">
      <c r="C353" s="71"/>
      <c r="D353" s="71"/>
    </row>
    <row r="354" spans="3:4" x14ac:dyDescent="0.25">
      <c r="C354" s="71"/>
      <c r="D354" s="71"/>
    </row>
    <row r="355" spans="3:4" x14ac:dyDescent="0.25">
      <c r="C355" s="71"/>
      <c r="D355" s="71"/>
    </row>
    <row r="356" spans="3:4" x14ac:dyDescent="0.25">
      <c r="C356" s="71"/>
      <c r="D356" s="71"/>
    </row>
    <row r="357" spans="3:4" x14ac:dyDescent="0.25">
      <c r="C357" s="71"/>
      <c r="D357" s="71"/>
    </row>
    <row r="358" spans="3:4" x14ac:dyDescent="0.25">
      <c r="C358" s="71"/>
      <c r="D358" s="71"/>
    </row>
    <row r="359" spans="3:4" x14ac:dyDescent="0.25">
      <c r="C359" s="71"/>
      <c r="D359" s="71"/>
    </row>
    <row r="360" spans="3:4" x14ac:dyDescent="0.25">
      <c r="C360" s="71"/>
      <c r="D360" s="71"/>
    </row>
    <row r="361" spans="3:4" x14ac:dyDescent="0.25">
      <c r="C361" s="71"/>
      <c r="D361" s="71"/>
    </row>
    <row r="362" spans="3:4" x14ac:dyDescent="0.25">
      <c r="C362" s="71"/>
      <c r="D362" s="71"/>
    </row>
    <row r="363" spans="3:4" x14ac:dyDescent="0.25">
      <c r="C363" s="71"/>
      <c r="D363" s="71"/>
    </row>
    <row r="364" spans="3:4" x14ac:dyDescent="0.25">
      <c r="C364" s="71"/>
      <c r="D364" s="71"/>
    </row>
    <row r="365" spans="3:4" x14ac:dyDescent="0.25">
      <c r="C365" s="71"/>
      <c r="D365" s="71"/>
    </row>
    <row r="366" spans="3:4" x14ac:dyDescent="0.25">
      <c r="C366" s="71"/>
      <c r="D366" s="71"/>
    </row>
    <row r="367" spans="3:4" x14ac:dyDescent="0.25">
      <c r="C367" s="71"/>
      <c r="D367" s="71"/>
    </row>
    <row r="368" spans="3:4" x14ac:dyDescent="0.25">
      <c r="C368" s="71"/>
      <c r="D368" s="71"/>
    </row>
    <row r="369" spans="3:4" x14ac:dyDescent="0.25">
      <c r="C369" s="71"/>
      <c r="D369" s="71"/>
    </row>
    <row r="370" spans="3:4" x14ac:dyDescent="0.25">
      <c r="C370" s="71"/>
      <c r="D370" s="71"/>
    </row>
    <row r="371" spans="3:4" x14ac:dyDescent="0.25">
      <c r="C371" s="71"/>
      <c r="D371" s="71"/>
    </row>
    <row r="372" spans="3:4" x14ac:dyDescent="0.25">
      <c r="C372" s="71"/>
      <c r="D372" s="71"/>
    </row>
    <row r="373" spans="3:4" x14ac:dyDescent="0.25">
      <c r="C373" s="71"/>
      <c r="D373" s="71"/>
    </row>
    <row r="374" spans="3:4" x14ac:dyDescent="0.25">
      <c r="C374" s="71"/>
      <c r="D374" s="71"/>
    </row>
    <row r="375" spans="3:4" x14ac:dyDescent="0.25">
      <c r="C375" s="71"/>
      <c r="D375" s="71"/>
    </row>
    <row r="376" spans="3:4" x14ac:dyDescent="0.25">
      <c r="C376" s="71"/>
      <c r="D376" s="71"/>
    </row>
    <row r="377" spans="3:4" x14ac:dyDescent="0.25">
      <c r="C377" s="71"/>
      <c r="D377" s="71"/>
    </row>
    <row r="378" spans="3:4" x14ac:dyDescent="0.25">
      <c r="C378" s="71"/>
      <c r="D378" s="71"/>
    </row>
    <row r="379" spans="3:4" x14ac:dyDescent="0.25">
      <c r="C379" s="71"/>
      <c r="D379" s="71"/>
    </row>
    <row r="380" spans="3:4" x14ac:dyDescent="0.25">
      <c r="C380" s="71"/>
      <c r="D380" s="71"/>
    </row>
    <row r="381" spans="3:4" x14ac:dyDescent="0.25">
      <c r="C381" s="71"/>
      <c r="D381" s="71"/>
    </row>
    <row r="382" spans="3:4" x14ac:dyDescent="0.25">
      <c r="C382" s="71"/>
      <c r="D382" s="71"/>
    </row>
    <row r="383" spans="3:4" x14ac:dyDescent="0.25">
      <c r="C383" s="71"/>
      <c r="D383" s="71"/>
    </row>
    <row r="384" spans="3:4" x14ac:dyDescent="0.25">
      <c r="C384" s="71"/>
      <c r="D384" s="71"/>
    </row>
    <row r="385" spans="3:4" x14ac:dyDescent="0.25">
      <c r="C385" s="71"/>
      <c r="D385" s="71"/>
    </row>
    <row r="386" spans="3:4" x14ac:dyDescent="0.25">
      <c r="C386" s="71"/>
      <c r="D386" s="71"/>
    </row>
    <row r="387" spans="3:4" x14ac:dyDescent="0.25">
      <c r="C387" s="71"/>
      <c r="D387" s="71"/>
    </row>
    <row r="388" spans="3:4" x14ac:dyDescent="0.25">
      <c r="C388" s="71"/>
      <c r="D388" s="71"/>
    </row>
    <row r="389" spans="3:4" x14ac:dyDescent="0.25">
      <c r="C389" s="71"/>
      <c r="D389" s="71"/>
    </row>
    <row r="390" spans="3:4" x14ac:dyDescent="0.25">
      <c r="C390" s="71"/>
      <c r="D390" s="71"/>
    </row>
    <row r="391" spans="3:4" x14ac:dyDescent="0.25">
      <c r="C391" s="71"/>
      <c r="D391" s="71"/>
    </row>
    <row r="392" spans="3:4" x14ac:dyDescent="0.25">
      <c r="C392" s="71"/>
      <c r="D392" s="71"/>
    </row>
    <row r="393" spans="3:4" x14ac:dyDescent="0.25">
      <c r="C393" s="71"/>
      <c r="D393" s="71"/>
    </row>
    <row r="394" spans="3:4" x14ac:dyDescent="0.25">
      <c r="C394" s="71"/>
      <c r="D394" s="71"/>
    </row>
    <row r="395" spans="3:4" x14ac:dyDescent="0.25">
      <c r="C395" s="71"/>
      <c r="D395" s="71"/>
    </row>
    <row r="396" spans="3:4" x14ac:dyDescent="0.25">
      <c r="C396" s="71"/>
      <c r="D396" s="71"/>
    </row>
    <row r="397" spans="3:4" x14ac:dyDescent="0.25">
      <c r="C397" s="71"/>
      <c r="D397" s="71"/>
    </row>
    <row r="398" spans="3:4" x14ac:dyDescent="0.25">
      <c r="C398" s="71"/>
      <c r="D398" s="71"/>
    </row>
    <row r="399" spans="3:4" x14ac:dyDescent="0.25">
      <c r="C399" s="71"/>
      <c r="D399" s="71"/>
    </row>
    <row r="400" spans="3:4" x14ac:dyDescent="0.25">
      <c r="C400" s="71"/>
      <c r="D400" s="71"/>
    </row>
    <row r="401" spans="3:4" x14ac:dyDescent="0.25">
      <c r="C401" s="71"/>
      <c r="D401" s="71"/>
    </row>
    <row r="402" spans="3:4" x14ac:dyDescent="0.25">
      <c r="C402" s="71"/>
      <c r="D402" s="71"/>
    </row>
    <row r="403" spans="3:4" x14ac:dyDescent="0.25">
      <c r="C403" s="71"/>
      <c r="D403" s="71"/>
    </row>
    <row r="404" spans="3:4" x14ac:dyDescent="0.25">
      <c r="C404" s="71"/>
      <c r="D404" s="71"/>
    </row>
    <row r="405" spans="3:4" x14ac:dyDescent="0.25">
      <c r="C405" s="71"/>
      <c r="D405" s="71"/>
    </row>
    <row r="406" spans="3:4" x14ac:dyDescent="0.25">
      <c r="C406" s="71"/>
      <c r="D406" s="71"/>
    </row>
    <row r="407" spans="3:4" x14ac:dyDescent="0.25">
      <c r="C407" s="71"/>
      <c r="D407" s="71"/>
    </row>
    <row r="408" spans="3:4" x14ac:dyDescent="0.25">
      <c r="C408" s="71"/>
      <c r="D408" s="71"/>
    </row>
    <row r="409" spans="3:4" x14ac:dyDescent="0.25">
      <c r="C409" s="71"/>
      <c r="D409" s="71"/>
    </row>
  </sheetData>
  <autoFilter ref="B6:G6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Bond Objects</vt:lpstr>
      <vt:lpstr>Bond Schedules</vt:lpstr>
      <vt:lpstr>Bond Cashflows</vt:lpstr>
      <vt:lpstr>Bond Pricing</vt:lpstr>
      <vt:lpstr>BondObjectHandle</vt:lpstr>
      <vt:lpstr>Periodicity</vt:lpstr>
      <vt:lpstr>PricingStartDate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Castleton Ian</cp:lastModifiedBy>
  <dcterms:created xsi:type="dcterms:W3CDTF">2017-01-23T16:07:42Z</dcterms:created>
  <dcterms:modified xsi:type="dcterms:W3CDTF">2017-05-02T15:03:10Z</dcterms:modified>
</cp:coreProperties>
</file>