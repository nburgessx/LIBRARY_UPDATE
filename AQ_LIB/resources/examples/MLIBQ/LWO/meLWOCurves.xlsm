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90" windowWidth="20700" windowHeight="11760" tabRatio="703" activeTab="4"/>
  </bookViews>
  <sheets>
    <sheet name="EUR OIS" sheetId="2" r:id="rId1"/>
    <sheet name="EUR SWAP 6ML" sheetId="3" r:id="rId2"/>
    <sheet name="EUR BASIS 3ML" sheetId="4" r:id="rId3"/>
    <sheet name="Swap Pricing" sheetId="21" r:id="rId4"/>
    <sheet name="LWO Curve Utilities" sheetId="23" r:id="rId5"/>
  </sheets>
  <functionGroups builtInGroupCount="17"/>
  <definedNames>
    <definedName name="COB">'EUR OIS'!$D$20</definedName>
    <definedName name="Curve.BuildProperties">'EUR OIS'!$C$20:$D$24</definedName>
    <definedName name="Curve.CollectionName">'EUR OIS'!$D$11</definedName>
    <definedName name="Curve.MarketDataTable">'EUR OIS'!$D$12</definedName>
    <definedName name="Curve.OISIndexName">'EUR OIS'!$D$13</definedName>
    <definedName name="FRA.Conventions">'EUR SWAP 6ML'!$C$51:$D$64</definedName>
    <definedName name="FRA.MarketDataX3">'EUR SWAP 6ML'!$F$52:$G$64</definedName>
    <definedName name="FRA.MarketDataX6">'EUR SWAP 6ML'!$I$52:$J$64</definedName>
    <definedName name="Futures.Conventions">'EUR SWAP 6ML'!$C$72:$D$85</definedName>
    <definedName name="Futures.MarketData">'EUR SWAP 6ML'!$F$73:$J$85</definedName>
    <definedName name="isEUR3MLLoaded">'EUR BASIS 3ML'!$E$8</definedName>
    <definedName name="isEUR6MLLoaded">'EUR SWAP 6ML'!$D$9</definedName>
    <definedName name="isEUROISLoaded">'EUR OIS'!$D$8</definedName>
    <definedName name="Libor.Conventions">'EUR SWAP 6ML'!$F$38:$G$43</definedName>
    <definedName name="Libor.MarketData">'EUR SWAP 6ML'!$I$39:$J$43</definedName>
    <definedName name="LiborOISBasis.Conventions">'EUR OIS'!$C$64:$D$89</definedName>
    <definedName name="LiborOISBasis.MarketData">'EUR OIS'!$F$65:$G$89</definedName>
    <definedName name="LiborSwap.Conventions">'EUR OIS'!$I$64:$J$89</definedName>
    <definedName name="LiborSwap.MarketData">'EUR OIS'!$L$65:$M$89</definedName>
    <definedName name="MoneyMarket.Conventions">'EUR SWAP 6ML'!$C$38:$D$43</definedName>
    <definedName name="OIS.Conventions">'EUR OIS'!$C$31:$D$57</definedName>
    <definedName name="OIS.FixingTable">'EUR OIS'!$L$32:$M$57</definedName>
    <definedName name="OIS.MarketData">'EUR OIS'!$F$32:$J$57</definedName>
    <definedName name="STDCurve.Buildproperties">'EUR SWAP 6ML'!$C$22:$D$31</definedName>
    <definedName name="STDCurve.CollectionName">'EUR SWAP 6ML'!$D$13</definedName>
    <definedName name="STDCurve.IndexName">'EUR SWAP 6ML'!$D$15</definedName>
    <definedName name="STDCurve.StaticDataTable">'EUR SWAP 6ML'!$D$14</definedName>
    <definedName name="Swap.Conventions">'EUR SWAP 6ML'!$C$93:$D$111</definedName>
    <definedName name="Swap.MarketData">'EUR SWAP 6ML'!$F$94:$H$111</definedName>
    <definedName name="TenorBasisCurve3M6M.BuildProperties">'EUR BASIS 3ML'!$D$21:$E$31</definedName>
    <definedName name="TenorBasisCurve3M6M.CollectionName">'EUR BASIS 3ML'!$E$12</definedName>
    <definedName name="TenorBasisCurve3M6M.IndexName">'EUR BASIS 3ML'!$E$14</definedName>
    <definedName name="TenorBasisCurve3M6M.StaticDataTable">'EUR BASIS 3ML'!$E$13</definedName>
    <definedName name="TenorBasisSwap3M6M.Conventions">'EUR BASIS 3ML'!$D$38:$E$80</definedName>
    <definedName name="TenorBasisSwap3M6M.MarketData">'EUR BASIS 3ML'!$G$39:$H$80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D32" i="23" l="1"/>
  <c r="D33" i="23"/>
  <c r="D34" i="23"/>
  <c r="D38" i="23"/>
  <c r="D7" i="2"/>
  <c r="D44" i="23"/>
  <c r="D43" i="23"/>
  <c r="B5" i="23" a="1"/>
  <c r="D42" i="23"/>
  <c r="B9" i="23" l="1"/>
  <c r="B12" i="23"/>
  <c r="B5" i="23"/>
  <c r="B13" i="23"/>
  <c r="B6" i="23"/>
  <c r="B14" i="23"/>
  <c r="B7" i="23"/>
  <c r="B15" i="23"/>
  <c r="B8" i="23"/>
  <c r="B16" i="23"/>
  <c r="B10" i="23"/>
  <c r="B11" i="23"/>
  <c r="X8" i="21"/>
  <c r="AS5" i="21" a="1"/>
  <c r="AT7" i="21" s="1"/>
  <c r="J20" i="23" a="1"/>
  <c r="K20" i="23" l="1"/>
  <c r="K24" i="23"/>
  <c r="K28" i="23"/>
  <c r="J21" i="23"/>
  <c r="J25" i="23"/>
  <c r="J29" i="23"/>
  <c r="K21" i="23"/>
  <c r="K25" i="23"/>
  <c r="K29" i="23"/>
  <c r="J22" i="23"/>
  <c r="J26" i="23"/>
  <c r="J30" i="23"/>
  <c r="K22" i="23"/>
  <c r="K26" i="23"/>
  <c r="K30" i="23"/>
  <c r="J23" i="23"/>
  <c r="J27" i="23"/>
  <c r="J31" i="23"/>
  <c r="K23" i="23"/>
  <c r="K27" i="23"/>
  <c r="K31" i="23"/>
  <c r="J20" i="23"/>
  <c r="J24" i="23"/>
  <c r="J28" i="23"/>
  <c r="D8" i="2"/>
  <c r="AS22" i="21"/>
  <c r="AS14" i="21"/>
  <c r="AS6" i="21"/>
  <c r="AT21" i="21"/>
  <c r="AT13" i="21"/>
  <c r="AT5" i="21"/>
  <c r="AS21" i="21"/>
  <c r="AS13" i="21"/>
  <c r="AS5" i="21"/>
  <c r="AT20" i="21"/>
  <c r="AT12" i="21"/>
  <c r="AS16" i="21"/>
  <c r="AS12" i="21"/>
  <c r="AS19" i="21"/>
  <c r="AS15" i="21"/>
  <c r="AS11" i="21"/>
  <c r="AS7" i="21"/>
  <c r="AT22" i="21"/>
  <c r="AT18" i="21"/>
  <c r="AT14" i="21"/>
  <c r="AT10" i="21"/>
  <c r="AT6" i="21"/>
  <c r="AS18" i="21"/>
  <c r="AS10" i="21"/>
  <c r="AT17" i="21"/>
  <c r="AT9" i="21"/>
  <c r="AS17" i="21"/>
  <c r="AS9" i="21"/>
  <c r="AT16" i="21"/>
  <c r="AT8" i="21"/>
  <c r="AS20" i="21"/>
  <c r="AS8" i="21"/>
  <c r="AT19" i="21"/>
  <c r="AT15" i="21"/>
  <c r="AT11" i="21"/>
  <c r="J5" i="23" a="1"/>
  <c r="D21" i="23"/>
  <c r="D20" i="23"/>
  <c r="D27" i="23"/>
  <c r="D5" i="23" a="1"/>
  <c r="D28" i="23"/>
  <c r="D22" i="23"/>
  <c r="D8" i="3"/>
  <c r="M24" i="23" l="1"/>
  <c r="M28" i="23"/>
  <c r="M25" i="23"/>
  <c r="M29" i="23"/>
  <c r="M22" i="23"/>
  <c r="M26" i="23"/>
  <c r="M30" i="23"/>
  <c r="M23" i="23"/>
  <c r="M27" i="23"/>
  <c r="M31" i="23"/>
  <c r="M21" i="23"/>
  <c r="J8" i="23"/>
  <c r="M8" i="23" s="1"/>
  <c r="J12" i="23"/>
  <c r="M12" i="23" s="1"/>
  <c r="J16" i="23"/>
  <c r="M16" i="23" s="1"/>
  <c r="K8" i="23"/>
  <c r="K12" i="23"/>
  <c r="K16" i="23"/>
  <c r="J5" i="23"/>
  <c r="J9" i="23"/>
  <c r="M9" i="23" s="1"/>
  <c r="J13" i="23"/>
  <c r="M13" i="23" s="1"/>
  <c r="K5" i="23"/>
  <c r="K9" i="23"/>
  <c r="K13" i="23"/>
  <c r="J6" i="23"/>
  <c r="M6" i="23" s="1"/>
  <c r="J10" i="23"/>
  <c r="M10" i="23" s="1"/>
  <c r="J14" i="23"/>
  <c r="M14" i="23" s="1"/>
  <c r="K6" i="23"/>
  <c r="K10" i="23"/>
  <c r="K14" i="23"/>
  <c r="J7" i="23"/>
  <c r="M7" i="23" s="1"/>
  <c r="J11" i="23"/>
  <c r="M11" i="23" s="1"/>
  <c r="J15" i="23"/>
  <c r="M15" i="23" s="1"/>
  <c r="K7" i="23"/>
  <c r="K11" i="23"/>
  <c r="K15" i="23"/>
  <c r="E5" i="23"/>
  <c r="E7" i="23"/>
  <c r="E9" i="23"/>
  <c r="E11" i="23"/>
  <c r="E13" i="23"/>
  <c r="E15" i="23"/>
  <c r="F5" i="23"/>
  <c r="F7" i="23"/>
  <c r="F9" i="23"/>
  <c r="F11" i="23"/>
  <c r="F13" i="23"/>
  <c r="F15" i="23"/>
  <c r="G6" i="23"/>
  <c r="G8" i="23"/>
  <c r="G10" i="23"/>
  <c r="G12" i="23"/>
  <c r="G14" i="23"/>
  <c r="G16" i="23"/>
  <c r="D6" i="23"/>
  <c r="D9" i="23"/>
  <c r="E12" i="23"/>
  <c r="G15" i="23"/>
  <c r="E6" i="23"/>
  <c r="G9" i="23"/>
  <c r="F12" i="23"/>
  <c r="D16" i="23"/>
  <c r="F6" i="23"/>
  <c r="E16" i="23"/>
  <c r="D10" i="23"/>
  <c r="D5" i="23"/>
  <c r="E8" i="23"/>
  <c r="G11" i="23"/>
  <c r="F14" i="23"/>
  <c r="G5" i="23"/>
  <c r="F8" i="23"/>
  <c r="D12" i="23"/>
  <c r="D15" i="23"/>
  <c r="D13" i="23"/>
  <c r="D14" i="23"/>
  <c r="D7" i="23"/>
  <c r="E14" i="23"/>
  <c r="G7" i="23"/>
  <c r="F16" i="23"/>
  <c r="E10" i="23"/>
  <c r="D11" i="23"/>
  <c r="D8" i="23"/>
  <c r="G13" i="23"/>
  <c r="F10" i="23"/>
  <c r="D9" i="3"/>
  <c r="M6" i="21"/>
  <c r="M7" i="21"/>
  <c r="M8" i="21"/>
  <c r="M9" i="21"/>
  <c r="M10" i="21"/>
  <c r="M11" i="21"/>
  <c r="M12" i="21"/>
  <c r="M13" i="21"/>
  <c r="M14" i="21"/>
  <c r="M15" i="21"/>
  <c r="M16" i="21"/>
  <c r="M17" i="21"/>
  <c r="M18" i="21"/>
  <c r="M19" i="21"/>
  <c r="M20" i="21"/>
  <c r="M21" i="21"/>
  <c r="M22" i="21"/>
  <c r="M23" i="21"/>
  <c r="M24" i="21"/>
  <c r="M25" i="21"/>
  <c r="D26" i="23"/>
  <c r="B19" i="21"/>
  <c r="B12" i="21"/>
  <c r="B24" i="21"/>
  <c r="B21" i="21"/>
  <c r="B22" i="21"/>
  <c r="B10" i="21"/>
  <c r="B18" i="21"/>
  <c r="B6" i="21"/>
  <c r="B7" i="21"/>
  <c r="B13" i="21"/>
  <c r="B14" i="21"/>
  <c r="B25" i="21"/>
  <c r="B11" i="21"/>
  <c r="B16" i="21"/>
  <c r="B8" i="21"/>
  <c r="B9" i="21"/>
  <c r="B17" i="21"/>
  <c r="B20" i="21"/>
  <c r="B23" i="21"/>
  <c r="B15" i="21"/>
  <c r="E7" i="4"/>
  <c r="E8" i="4" l="1"/>
  <c r="L13" i="21"/>
  <c r="L14" i="21"/>
  <c r="L12" i="21"/>
  <c r="L11" i="21"/>
  <c r="L18" i="21"/>
  <c r="L25" i="21"/>
  <c r="L9" i="21"/>
  <c r="L24" i="21"/>
  <c r="L16" i="21"/>
  <c r="L8" i="21"/>
  <c r="L22" i="21"/>
  <c r="L6" i="21"/>
  <c r="L21" i="21"/>
  <c r="L20" i="21"/>
  <c r="L19" i="21"/>
  <c r="L10" i="21"/>
  <c r="L17" i="21"/>
  <c r="L23" i="21"/>
  <c r="L15" i="21"/>
  <c r="L7" i="21"/>
  <c r="AU23" i="21"/>
  <c r="AU24" i="21"/>
  <c r="AU25" i="21"/>
  <c r="AM7" i="21" l="1"/>
  <c r="AM8" i="21"/>
  <c r="AM9" i="21"/>
  <c r="AM10" i="21"/>
  <c r="AM11" i="21"/>
  <c r="AM12" i="21"/>
  <c r="AM13" i="21"/>
  <c r="AM14" i="21"/>
  <c r="AM15" i="21"/>
  <c r="AM16" i="21"/>
  <c r="AM17" i="21"/>
  <c r="AM18" i="21"/>
  <c r="AM19" i="21"/>
  <c r="AM20" i="21"/>
  <c r="AM21" i="21"/>
  <c r="AM22" i="21"/>
  <c r="AM23" i="21"/>
  <c r="AM24" i="21"/>
  <c r="AM25" i="21"/>
  <c r="AM6" i="21"/>
  <c r="AN6" i="21"/>
  <c r="W6" i="21" l="1"/>
  <c r="AJ25" i="21" l="1"/>
  <c r="AK25" i="21" s="1"/>
  <c r="X25" i="21"/>
  <c r="W25" i="21"/>
  <c r="AN25" i="21"/>
  <c r="AJ24" i="21"/>
  <c r="AK24" i="21" s="1"/>
  <c r="X24" i="21"/>
  <c r="W24" i="21"/>
  <c r="AN24" i="21"/>
  <c r="AJ23" i="21"/>
  <c r="AK23" i="21" s="1"/>
  <c r="X23" i="21"/>
  <c r="W23" i="21"/>
  <c r="AN23" i="21"/>
  <c r="AJ22" i="21"/>
  <c r="AK22" i="21" s="1"/>
  <c r="X22" i="21"/>
  <c r="W22" i="21"/>
  <c r="AN22" i="21"/>
  <c r="AJ21" i="21"/>
  <c r="AK21" i="21" s="1"/>
  <c r="X21" i="21"/>
  <c r="W21" i="21"/>
  <c r="AN21" i="21"/>
  <c r="AJ20" i="21"/>
  <c r="AK20" i="21" s="1"/>
  <c r="X20" i="21"/>
  <c r="W20" i="21"/>
  <c r="AN20" i="21"/>
  <c r="AJ19" i="21"/>
  <c r="AK19" i="21" s="1"/>
  <c r="X19" i="21"/>
  <c r="W19" i="21"/>
  <c r="AN19" i="21"/>
  <c r="AJ18" i="21"/>
  <c r="AK18" i="21" s="1"/>
  <c r="X18" i="21"/>
  <c r="W18" i="21"/>
  <c r="AN18" i="21"/>
  <c r="AJ17" i="21"/>
  <c r="AK17" i="21" s="1"/>
  <c r="X17" i="21"/>
  <c r="W17" i="21"/>
  <c r="AN17" i="21"/>
  <c r="AJ16" i="21"/>
  <c r="AK16" i="21" s="1"/>
  <c r="X16" i="21"/>
  <c r="W16" i="21"/>
  <c r="AN16" i="21"/>
  <c r="AJ15" i="21"/>
  <c r="AK15" i="21" s="1"/>
  <c r="X15" i="21"/>
  <c r="W15" i="21"/>
  <c r="AN15" i="21"/>
  <c r="AJ14" i="21"/>
  <c r="AK14" i="21" s="1"/>
  <c r="X14" i="21"/>
  <c r="W14" i="21"/>
  <c r="AN14" i="21"/>
  <c r="AJ13" i="21"/>
  <c r="AK13" i="21" s="1"/>
  <c r="X13" i="21"/>
  <c r="W13" i="21"/>
  <c r="AN13" i="21"/>
  <c r="AJ12" i="21"/>
  <c r="AK12" i="21" s="1"/>
  <c r="X12" i="21"/>
  <c r="W12" i="21"/>
  <c r="AN12" i="21"/>
  <c r="AJ11" i="21"/>
  <c r="AK11" i="21" s="1"/>
  <c r="X11" i="21"/>
  <c r="W11" i="21"/>
  <c r="AN11" i="21"/>
  <c r="AJ10" i="21"/>
  <c r="AK10" i="21" s="1"/>
  <c r="X10" i="21"/>
  <c r="W10" i="21"/>
  <c r="AN10" i="21"/>
  <c r="AJ9" i="21"/>
  <c r="AK9" i="21" s="1"/>
  <c r="X9" i="21"/>
  <c r="W9" i="21"/>
  <c r="AN9" i="21"/>
  <c r="AJ8" i="21"/>
  <c r="AK8" i="21" s="1"/>
  <c r="W8" i="21"/>
  <c r="AN8" i="21"/>
  <c r="AJ7" i="21"/>
  <c r="AK7" i="21" s="1"/>
  <c r="X7" i="21"/>
  <c r="W7" i="21"/>
  <c r="AN7" i="21"/>
  <c r="AJ6" i="21"/>
  <c r="AK6" i="21" s="1"/>
  <c r="X6" i="21"/>
  <c r="AU20" i="21" l="1"/>
  <c r="AU19" i="21"/>
  <c r="AU22" i="21"/>
  <c r="AU21" i="21"/>
  <c r="T6" i="21"/>
  <c r="AD6" i="21"/>
  <c r="T8" i="21"/>
  <c r="AD8" i="21"/>
  <c r="AD7" i="21"/>
  <c r="AD16" i="21"/>
  <c r="T16" i="21"/>
  <c r="T15" i="21"/>
  <c r="AD15" i="21"/>
  <c r="T14" i="21"/>
  <c r="AD14" i="21"/>
  <c r="T25" i="21"/>
  <c r="AD25" i="21"/>
  <c r="T18" i="21"/>
  <c r="AD18" i="21"/>
  <c r="T17" i="21"/>
  <c r="AD17" i="21"/>
  <c r="AD13" i="21"/>
  <c r="AD24" i="21"/>
  <c r="T12" i="21"/>
  <c r="AD12" i="21"/>
  <c r="T23" i="21"/>
  <c r="AD23" i="21"/>
  <c r="T21" i="21"/>
  <c r="AD21" i="21"/>
  <c r="T22" i="21"/>
  <c r="AD22" i="21"/>
  <c r="AD11" i="21"/>
  <c r="T20" i="21"/>
  <c r="AD20" i="21"/>
  <c r="T9" i="21"/>
  <c r="AD9" i="21"/>
  <c r="T10" i="21"/>
  <c r="AD10" i="21"/>
  <c r="AD19" i="21"/>
  <c r="T7" i="21"/>
  <c r="T24" i="21"/>
  <c r="T13" i="21"/>
  <c r="T11" i="21"/>
  <c r="T19" i="21"/>
  <c r="AQ8" i="21"/>
  <c r="AQ15" i="21"/>
  <c r="AQ7" i="21"/>
  <c r="AO7" i="21"/>
  <c r="AQ6" i="21"/>
  <c r="AQ19" i="21"/>
  <c r="AQ10" i="21"/>
  <c r="AO17" i="21"/>
  <c r="AO25" i="21"/>
  <c r="AQ22" i="21"/>
  <c r="AP22" i="21"/>
  <c r="AO13" i="21"/>
  <c r="AQ16" i="21"/>
  <c r="AQ18" i="21"/>
  <c r="AO20" i="21"/>
  <c r="AO21" i="21"/>
  <c r="AO12" i="21"/>
  <c r="AP10" i="21"/>
  <c r="AQ17" i="21"/>
  <c r="AQ9" i="21"/>
  <c r="AO11" i="21"/>
  <c r="AP19" i="21"/>
  <c r="AP15" i="21"/>
  <c r="AQ13" i="21"/>
  <c r="AP11" i="21"/>
  <c r="AQ23" i="21"/>
  <c r="AO10" i="21"/>
  <c r="AP20" i="21"/>
  <c r="AQ24" i="21"/>
  <c r="AO19" i="21"/>
  <c r="AQ20" i="21"/>
  <c r="AO15" i="21"/>
  <c r="AP8" i="21"/>
  <c r="AP6" i="21"/>
  <c r="AQ21" i="21"/>
  <c r="AO8" i="21"/>
  <c r="AP13" i="21"/>
  <c r="AQ12" i="21"/>
  <c r="AP21" i="21"/>
  <c r="AP16" i="21"/>
  <c r="AO9" i="21"/>
  <c r="AP24" i="21"/>
  <c r="AP17" i="21"/>
  <c r="AP14" i="21"/>
  <c r="AO6" i="21"/>
  <c r="AP23" i="21"/>
  <c r="AQ14" i="21"/>
  <c r="AQ11" i="21"/>
  <c r="AP7" i="21"/>
  <c r="AO24" i="21"/>
  <c r="AO16" i="21"/>
  <c r="AO14" i="21"/>
  <c r="AP18" i="21"/>
  <c r="AP12" i="21"/>
  <c r="AO23" i="21"/>
  <c r="AP9" i="21"/>
  <c r="AO22" i="21"/>
  <c r="AO18" i="21"/>
  <c r="AQ25" i="21"/>
  <c r="AP25" i="21"/>
  <c r="AU7" i="21" l="1"/>
  <c r="AU6" i="21"/>
  <c r="C68" i="4"/>
  <c r="AU13" i="21" l="1"/>
  <c r="AU18" i="21"/>
  <c r="AU15" i="21"/>
  <c r="AU16" i="21"/>
  <c r="AU9" i="21"/>
  <c r="AU8" i="21"/>
  <c r="AU12" i="21"/>
  <c r="AU10" i="21"/>
  <c r="AU14" i="21"/>
  <c r="AU17" i="21"/>
  <c r="AU11" i="21"/>
  <c r="AP2" i="21"/>
  <c r="N21" i="23" l="1" a="1"/>
  <c r="N6" i="23" a="1"/>
  <c r="N16" i="23" l="1"/>
  <c r="O16" i="23" s="1"/>
  <c r="N12" i="23"/>
  <c r="O12" i="23" s="1"/>
  <c r="N13" i="23"/>
  <c r="O13" i="23" s="1"/>
  <c r="N15" i="23"/>
  <c r="O15" i="23" s="1"/>
  <c r="N7" i="23"/>
  <c r="O7" i="23" s="1"/>
  <c r="N10" i="23"/>
  <c r="O10" i="23" s="1"/>
  <c r="N11" i="23"/>
  <c r="O11" i="23" s="1"/>
  <c r="N9" i="23"/>
  <c r="O9" i="23" s="1"/>
  <c r="N8" i="23"/>
  <c r="O8" i="23" s="1"/>
  <c r="N14" i="23"/>
  <c r="O14" i="23" s="1"/>
  <c r="N6" i="23"/>
  <c r="O6" i="23" s="1"/>
  <c r="N23" i="23"/>
  <c r="O23" i="23" s="1"/>
  <c r="N31" i="23"/>
  <c r="O31" i="23" s="1"/>
  <c r="N25" i="23"/>
  <c r="O25" i="23" s="1"/>
  <c r="N29" i="23"/>
  <c r="O29" i="23" s="1"/>
  <c r="N28" i="23"/>
  <c r="O28" i="23" s="1"/>
  <c r="N30" i="23"/>
  <c r="O30" i="23" s="1"/>
  <c r="N24" i="23"/>
  <c r="O24" i="23" s="1"/>
  <c r="N22" i="23"/>
  <c r="O22" i="23" s="1"/>
  <c r="N27" i="23"/>
  <c r="O27" i="23" s="1"/>
  <c r="N21" i="23"/>
  <c r="O21" i="23" s="1"/>
  <c r="N26" i="23"/>
  <c r="O26" i="23" s="1"/>
</calcChain>
</file>

<file path=xl/comments1.xml><?xml version="1.0" encoding="utf-8"?>
<comments xmlns="http://schemas.openxmlformats.org/spreadsheetml/2006/main">
  <authors>
    <author>Nicholas Burgess</author>
  </authors>
  <commentList>
    <comment ref="D42" authorId="0">
      <text>
        <r>
          <rPr>
            <i/>
            <u/>
            <sz val="12"/>
            <color indexed="12"/>
            <rFont val="Tahoma"/>
            <family val="2"/>
          </rPr>
          <t>LongTerm</t>
        </r>
        <r>
          <rPr>
            <sz val="12"/>
            <color indexed="81"/>
            <rFont val="Tahoma"/>
            <family val="2"/>
          </rPr>
          <t xml:space="preserve">
Defines the first Libor-OIS Basis Instrument to be used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4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45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2.xml><?xml version="1.0" encoding="utf-8"?>
<comments xmlns="http://schemas.openxmlformats.org/spreadsheetml/2006/main">
  <authors>
    <author>Nicholas Burgess</author>
  </authors>
  <commentList>
    <comment ref="D24" authorId="0">
      <text>
        <r>
          <rPr>
            <u/>
            <sz val="12"/>
            <color indexed="12"/>
            <rFont val="Tahoma"/>
            <family val="2"/>
          </rPr>
          <t>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OIS Discount Curve</t>
        </r>
      </text>
    </comment>
    <comment ref="D25" authorId="0">
      <text>
        <r>
          <rPr>
            <u/>
            <sz val="12"/>
            <color indexed="12"/>
            <rFont val="Tahoma"/>
            <family val="2"/>
          </rPr>
          <t>YieldGen.Interpolation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target curve (i.e. for this Swap Curve)</t>
        </r>
      </text>
    </comment>
    <comment ref="D105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106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  <comment ref="D107" authorId="0">
      <text>
        <r>
          <rPr>
            <u/>
            <sz val="12"/>
            <color indexed="39"/>
            <rFont val="Tahoma"/>
            <family val="2"/>
          </rPr>
          <t>GradientEpsilon</t>
        </r>
        <r>
          <rPr>
            <sz val="12"/>
            <color indexed="81"/>
            <rFont val="Tahoma"/>
            <family val="2"/>
          </rPr>
          <t xml:space="preserve">
Swap Solver Gradient Precission Critereon
</t>
        </r>
      </text>
    </comment>
  </commentList>
</comments>
</file>

<file path=xl/comments3.xml><?xml version="1.0" encoding="utf-8"?>
<comments xmlns="http://schemas.openxmlformats.org/spreadsheetml/2006/main">
  <authors>
    <author>Nicholas Burgess</author>
  </authors>
  <commentList>
    <comment ref="E23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E75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E76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sharedStrings.xml><?xml version="1.0" encoding="utf-8"?>
<sst xmlns="http://schemas.openxmlformats.org/spreadsheetml/2006/main" count="1064" uniqueCount="282">
  <si>
    <t>Curve Names</t>
  </si>
  <si>
    <t>Calendar</t>
  </si>
  <si>
    <t>TGT</t>
  </si>
  <si>
    <t>calendar</t>
  </si>
  <si>
    <t xml:space="preserve"> </t>
  </si>
  <si>
    <t>OIS Conventions</t>
  </si>
  <si>
    <t>ACT/360</t>
  </si>
  <si>
    <t>daycount</t>
  </si>
  <si>
    <t>Use</t>
  </si>
  <si>
    <t>OIS</t>
  </si>
  <si>
    <t>AsOfDate</t>
  </si>
  <si>
    <t>Term</t>
  </si>
  <si>
    <t>Rate</t>
  </si>
  <si>
    <t>StartDate</t>
  </si>
  <si>
    <t>EndDate</t>
  </si>
  <si>
    <t>resetlag</t>
  </si>
  <si>
    <t>Currency</t>
  </si>
  <si>
    <t>EUR</t>
  </si>
  <si>
    <t>Daycount</t>
  </si>
  <si>
    <t>daycountfix</t>
  </si>
  <si>
    <t>30/360</t>
  </si>
  <si>
    <t>SlidingRule</t>
  </si>
  <si>
    <t>MOD_FOLLOWING</t>
  </si>
  <si>
    <t>slidingrule</t>
  </si>
  <si>
    <t>yieldgen.interpolation</t>
  </si>
  <si>
    <t>frequency</t>
  </si>
  <si>
    <t>Annual</t>
  </si>
  <si>
    <t>Frequency</t>
  </si>
  <si>
    <t>Quarterly</t>
  </si>
  <si>
    <t>frequencyfix</t>
  </si>
  <si>
    <t>2d</t>
  </si>
  <si>
    <t>iseomroll</t>
    <phoneticPr fontId="0"/>
  </si>
  <si>
    <t>eomday</t>
    <phoneticPr fontId="0"/>
  </si>
  <si>
    <t>generatemethod</t>
  </si>
  <si>
    <t>dailycompounding</t>
  </si>
  <si>
    <t>firstrate</t>
  </si>
  <si>
    <t>ShortMarket</t>
  </si>
  <si>
    <t/>
  </si>
  <si>
    <t>shorttermconvention</t>
  </si>
  <si>
    <t>arithmeticaverage</t>
  </si>
  <si>
    <t>longtermconvention</t>
  </si>
  <si>
    <t>LOBASIS</t>
  </si>
  <si>
    <t>longterm</t>
  </si>
  <si>
    <t>3Y</t>
  </si>
  <si>
    <t>longterm.generatemethod</t>
  </si>
  <si>
    <t>dailyaveraging</t>
  </si>
  <si>
    <t>ON</t>
  </si>
  <si>
    <t>2Y</t>
  </si>
  <si>
    <t>EUSF1A</t>
  </si>
  <si>
    <t>EUSF2A</t>
  </si>
  <si>
    <t>4Y</t>
  </si>
  <si>
    <t>EUSF3A</t>
  </si>
  <si>
    <t>5Y</t>
  </si>
  <si>
    <t>EUSF4A</t>
  </si>
  <si>
    <t>6Y</t>
  </si>
  <si>
    <t>EUSF5A</t>
  </si>
  <si>
    <t>7Y</t>
  </si>
  <si>
    <t>12M</t>
  </si>
  <si>
    <t>8Y</t>
  </si>
  <si>
    <t>18M</t>
  </si>
  <si>
    <t>9Y</t>
  </si>
  <si>
    <t>10Y</t>
  </si>
  <si>
    <t>11Y</t>
  </si>
  <si>
    <t>12Y</t>
  </si>
  <si>
    <t>15Y</t>
  </si>
  <si>
    <t>20Y</t>
  </si>
  <si>
    <t>25Y</t>
  </si>
  <si>
    <t>30Y</t>
  </si>
  <si>
    <t>40Y</t>
  </si>
  <si>
    <t>50Y</t>
  </si>
  <si>
    <t>Curve Build Properties</t>
  </si>
  <si>
    <t>Libor-OIS Tenor Basis Conventions</t>
  </si>
  <si>
    <t>OIS Par Rates</t>
  </si>
  <si>
    <t>Libor-OIS  Spreads</t>
  </si>
  <si>
    <t>OIS Fixing Table</t>
  </si>
  <si>
    <t>Date</t>
  </si>
  <si>
    <t>Libor Swap Conventions</t>
  </si>
  <si>
    <t>Libor Swap  Rates</t>
  </si>
  <si>
    <t>Libor-OIS Basis Swaps</t>
  </si>
  <si>
    <t>Overnight Indexed Swaps</t>
  </si>
  <si>
    <t>EURYC</t>
  </si>
  <si>
    <t>Interpolation Options</t>
  </si>
  <si>
    <t>fn_LinearInterpolation</t>
  </si>
  <si>
    <t>fn_StepInterpolation</t>
  </si>
  <si>
    <t>fn_MonotoneConvexInterpolation</t>
  </si>
  <si>
    <t>fn_SplineInterpolation</t>
  </si>
  <si>
    <t>fn_ConstrainedSplineInterpolation</t>
  </si>
  <si>
    <t>StaticDataTable</t>
  </si>
  <si>
    <t>CurveCollection</t>
  </si>
  <si>
    <t>IndexName(s)</t>
  </si>
  <si>
    <t>STD</t>
  </si>
  <si>
    <t>STD:EUR6ML</t>
  </si>
  <si>
    <t>interpolation</t>
  </si>
  <si>
    <t>isfutureuse</t>
  </si>
  <si>
    <t>isfrause</t>
  </si>
  <si>
    <t>dfcurvename</t>
  </si>
  <si>
    <t>Cash Instruments</t>
  </si>
  <si>
    <t>DayCount</t>
  </si>
  <si>
    <t>Slidingrule</t>
  </si>
  <si>
    <t>FOLLOWING</t>
  </si>
  <si>
    <t>Simple</t>
  </si>
  <si>
    <t>Resetlag</t>
  </si>
  <si>
    <t>IsEomRoll</t>
  </si>
  <si>
    <t>Libor Conventions</t>
  </si>
  <si>
    <t>6M</t>
  </si>
  <si>
    <t>FRA Instruments</t>
  </si>
  <si>
    <t>FRA Conventions</t>
  </si>
  <si>
    <t>ResetLag</t>
  </si>
  <si>
    <t>ApplyTension</t>
  </si>
  <si>
    <t>TensionGap</t>
  </si>
  <si>
    <t>2X8</t>
  </si>
  <si>
    <t>3X9</t>
  </si>
  <si>
    <t>4X10</t>
  </si>
  <si>
    <t>5X11</t>
  </si>
  <si>
    <t>6X12</t>
  </si>
  <si>
    <t>7X13</t>
  </si>
  <si>
    <t>8X14</t>
  </si>
  <si>
    <t>9X15</t>
  </si>
  <si>
    <t>10X16</t>
  </si>
  <si>
    <t>11X17</t>
  </si>
  <si>
    <t>12X18</t>
  </si>
  <si>
    <t>Futures Instruments</t>
  </si>
  <si>
    <t>Futures Conventions</t>
  </si>
  <si>
    <t>2</t>
  </si>
  <si>
    <t>Volatility</t>
  </si>
  <si>
    <t>Futures Data</t>
  </si>
  <si>
    <t>Swap Instruments</t>
  </si>
  <si>
    <t>Swap Conventions</t>
  </si>
  <si>
    <t>Swap Data</t>
  </si>
  <si>
    <t>DayCountFloat</t>
  </si>
  <si>
    <t>Semi-Annual</t>
  </si>
  <si>
    <t>FrequencyFloat</t>
  </si>
  <si>
    <t>Interpolation</t>
  </si>
  <si>
    <t>IsNewtonraphson</t>
  </si>
  <si>
    <t>issimultaneouseq</t>
  </si>
  <si>
    <t>Epsilon</t>
  </si>
  <si>
    <t>MaxLoop</t>
  </si>
  <si>
    <t>FRA Market Data X3</t>
  </si>
  <si>
    <t>FRA Market Data x6</t>
  </si>
  <si>
    <t>Term / Ticker</t>
  </si>
  <si>
    <t>3M6MBasis</t>
  </si>
  <si>
    <t>3M6MBasis:EUR3ML</t>
  </si>
  <si>
    <t>Tenor Basis Swaps</t>
  </si>
  <si>
    <t>MarketName</t>
  </si>
  <si>
    <t>EUR3M6MBASIS</t>
  </si>
  <si>
    <t>IsLeg1Spread</t>
  </si>
  <si>
    <t>Leg1cashlet.calendar</t>
  </si>
  <si>
    <t>Leg1cashlet.daycount</t>
  </si>
  <si>
    <t>Act/360</t>
  </si>
  <si>
    <t>Leg1cashlet.frequency</t>
  </si>
  <si>
    <t>Leg1cashlet.slidingrule</t>
  </si>
  <si>
    <t>Leg1cashlet.spotlag</t>
  </si>
  <si>
    <t>Leg1discount</t>
  </si>
  <si>
    <t>Leg1forecast</t>
  </si>
  <si>
    <t>Leg1index.accessary</t>
  </si>
  <si>
    <t>Leg1index.daycount</t>
  </si>
  <si>
    <t>Leg1index.fixing.calendar</t>
  </si>
  <si>
    <t>Leg1index.frequency</t>
  </si>
  <si>
    <t>Leg1index.payment.calendar</t>
  </si>
  <si>
    <t>Leg1index.resetlag</t>
  </si>
  <si>
    <t>Leg1index.slidingrule</t>
  </si>
  <si>
    <t>Leg2cashlet.calendar</t>
  </si>
  <si>
    <t>Leg2cashlet.daycount</t>
  </si>
  <si>
    <t>Leg2cashlet.frequency</t>
  </si>
  <si>
    <t>Leg2cashlet.slidingrule</t>
  </si>
  <si>
    <t>Leg2cashlet.spotlag</t>
  </si>
  <si>
    <t>Leg2discount</t>
  </si>
  <si>
    <t>Leg2forecast</t>
  </si>
  <si>
    <t>Leg2index.accessary</t>
  </si>
  <si>
    <t>3M</t>
  </si>
  <si>
    <t>Leg2index.daycount</t>
  </si>
  <si>
    <t>Leg2index.fixing.calendar</t>
  </si>
  <si>
    <t>Leg2index.frequency</t>
  </si>
  <si>
    <t>Leg2index.payment.calendar</t>
  </si>
  <si>
    <t>Leg2index.resetlag</t>
  </si>
  <si>
    <t>Leg2index.slidingrule</t>
  </si>
  <si>
    <t>Target</t>
  </si>
  <si>
    <t>Leg2Forecast</t>
  </si>
  <si>
    <t>fwdinterpolation</t>
  </si>
  <si>
    <t>isfwdinter</t>
  </si>
  <si>
    <t>issamegridindex</t>
  </si>
  <si>
    <t>spotrateterm</t>
  </si>
  <si>
    <t>isyieldspreadcalc</t>
  </si>
  <si>
    <t>1Y</t>
  </si>
  <si>
    <t>Tenor Basis Conventions ( 3 X 6 )</t>
  </si>
  <si>
    <t>1M</t>
  </si>
  <si>
    <r>
      <t>* These fixings are used in the tenor basis curves see '</t>
    </r>
    <r>
      <rPr>
        <sz val="11"/>
        <color rgb="FF0000FF"/>
        <rFont val="Calibri"/>
        <family val="2"/>
        <scheme val="minor"/>
      </rPr>
      <t>SpotRateTerm</t>
    </r>
    <r>
      <rPr>
        <sz val="11"/>
        <rFont val="Calibri"/>
        <family val="2"/>
        <scheme val="minor"/>
      </rPr>
      <t>'</t>
    </r>
  </si>
  <si>
    <t>Tenor Basis Spreads ( 3 X 6 )</t>
  </si>
  <si>
    <t>EUR6ML</t>
  </si>
  <si>
    <t>OIS:EUROIS:EURDF:EURDF_NOCSA</t>
  </si>
  <si>
    <t>Known Leg</t>
  </si>
  <si>
    <t>Leg2Forecast Unknown : 
STD is the initial guess</t>
  </si>
  <si>
    <t>Curve Loaded</t>
  </si>
  <si>
    <t>MonotoneConvex</t>
  </si>
  <si>
    <t>Notional</t>
  </si>
  <si>
    <t>PAYER</t>
  </si>
  <si>
    <t>0D</t>
  </si>
  <si>
    <t>ShortStart</t>
  </si>
  <si>
    <t>EUR Swaps</t>
  </si>
  <si>
    <t>PV</t>
  </si>
  <si>
    <t>CSA</t>
  </si>
  <si>
    <t>Par Rate</t>
  </si>
  <si>
    <t>Present Value</t>
  </si>
  <si>
    <t>PV01</t>
  </si>
  <si>
    <t>2D</t>
  </si>
  <si>
    <t>6ML</t>
  </si>
  <si>
    <t>NOCSA</t>
  </si>
  <si>
    <t>13Y</t>
  </si>
  <si>
    <t>14Y</t>
  </si>
  <si>
    <t>16Y</t>
  </si>
  <si>
    <t>17Y</t>
  </si>
  <si>
    <t>18Y</t>
  </si>
  <si>
    <t>19Y</t>
  </si>
  <si>
    <t>EUR Calibration Instruments</t>
  </si>
  <si>
    <t>+/- Bps</t>
  </si>
  <si>
    <t>meCurveCalibrateOIS</t>
  </si>
  <si>
    <t>meCurveCalibrateSwap</t>
  </si>
  <si>
    <t>meCurveCalibrateBasis</t>
  </si>
  <si>
    <t>PayerReceiver</t>
  </si>
  <si>
    <t>MaturityDate</t>
  </si>
  <si>
    <t>EffectiveDate</t>
  </si>
  <si>
    <t>EffectiveLag</t>
  </si>
  <si>
    <t>FixedRate</t>
  </si>
  <si>
    <t>ForecastCurve</t>
  </si>
  <si>
    <t>FloatFirstFixing</t>
  </si>
  <si>
    <t>FixedFrequency</t>
  </si>
  <si>
    <t>FixedDaycount</t>
  </si>
  <si>
    <t>FixedBusinessDayAdjustment</t>
  </si>
  <si>
    <t>FixedCalendar</t>
  </si>
  <si>
    <t>FixedFirstStubDate</t>
  </si>
  <si>
    <t>FixedLastStubDate</t>
  </si>
  <si>
    <t>FixedRollDay</t>
  </si>
  <si>
    <t>FixedPaymentLag</t>
  </si>
  <si>
    <t>FixedStubType</t>
  </si>
  <si>
    <t>Index</t>
  </si>
  <si>
    <t>FloatFrequency</t>
  </si>
  <si>
    <t>FloatDaycount</t>
  </si>
  <si>
    <t>FloatBusinessDayAdjustment</t>
  </si>
  <si>
    <t>FloatCalendar</t>
  </si>
  <si>
    <t>FloatFirstStubDate</t>
  </si>
  <si>
    <t>FloatLastStubDate</t>
  </si>
  <si>
    <t>FloatRollDay</t>
  </si>
  <si>
    <t>FloatFixingLag</t>
  </si>
  <si>
    <t>FloatLastFixing</t>
  </si>
  <si>
    <t>FloatPaymentLag</t>
  </si>
  <si>
    <t>FloatStubType</t>
  </si>
  <si>
    <t>DiscountCurve</t>
  </si>
  <si>
    <t>FloatSpread</t>
  </si>
  <si>
    <t>Maturity</t>
  </si>
  <si>
    <t>Libor Fixing Table</t>
  </si>
  <si>
    <t>Money Market O/N and T/N Conventions</t>
  </si>
  <si>
    <t>EomDay</t>
  </si>
  <si>
    <t>basis.interpolation</t>
  </si>
  <si>
    <t>isFwdBasis</t>
  </si>
  <si>
    <t>dfCurveName</t>
  </si>
  <si>
    <t>Save Folder</t>
  </si>
  <si>
    <t>C:\Temp\</t>
  </si>
  <si>
    <t>Enable</t>
  </si>
  <si>
    <t>PaymentDate</t>
  </si>
  <si>
    <t>LWO Curve Utilities</t>
  </si>
  <si>
    <t>FixingDate</t>
  </si>
  <si>
    <t>ForwardRate</t>
  </si>
  <si>
    <t>DiscountFractor</t>
  </si>
  <si>
    <t>Check</t>
  </si>
  <si>
    <t>CurveName</t>
  </si>
  <si>
    <r>
      <t>meLWOCurveSave</t>
    </r>
    <r>
      <rPr>
        <sz val="11"/>
        <rFont val="Calibri"/>
        <family val="2"/>
        <scheme val="minor"/>
      </rPr>
      <t>( curveName, filepath )</t>
    </r>
  </si>
  <si>
    <r>
      <t>meLWOCurveLoad</t>
    </r>
    <r>
      <rPr>
        <sz val="11"/>
        <rFont val="Calibri"/>
        <family val="2"/>
        <scheme val="minor"/>
      </rPr>
      <t>( curveName, filepath )</t>
    </r>
  </si>
  <si>
    <r>
      <t>meLWOCurveDelete</t>
    </r>
    <r>
      <rPr>
        <sz val="11"/>
        <rFont val="Calibri"/>
        <family val="2"/>
        <scheme val="minor"/>
      </rPr>
      <t>( curveName )</t>
    </r>
  </si>
  <si>
    <r>
      <t>meLWOCurveDeleteAll</t>
    </r>
    <r>
      <rPr>
        <sz val="11"/>
        <rFont val="Calibri"/>
        <family val="2"/>
        <scheme val="minor"/>
      </rPr>
      <t>()</t>
    </r>
  </si>
  <si>
    <r>
      <t>meLWOCurveDisplayDiscountFactors</t>
    </r>
    <r>
      <rPr>
        <sz val="11"/>
        <rFont val="Calibri"/>
        <family val="2"/>
        <scheme val="minor"/>
      </rPr>
      <t>( curveName )</t>
    </r>
  </si>
  <si>
    <r>
      <t>meLWOCurveDisplayForwardDates</t>
    </r>
    <r>
      <rPr>
        <sz val="11"/>
        <rFont val="Calibri"/>
        <family val="2"/>
        <scheme val="minor"/>
      </rPr>
      <t>( curveName )</t>
    </r>
  </si>
  <si>
    <r>
      <t>meLWOCurveDiscountFactors</t>
    </r>
    <r>
      <rPr>
        <sz val="11"/>
        <rFont val="Calibri"/>
        <family val="2"/>
        <scheme val="minor"/>
      </rPr>
      <t>( PaymentDates, CurveName )</t>
    </r>
  </si>
  <si>
    <r>
      <t>meLWOCurveForwardRates</t>
    </r>
    <r>
      <rPr>
        <sz val="11"/>
        <rFont val="Calibri"/>
        <family val="2"/>
        <scheme val="minor"/>
      </rPr>
      <t>( FixingDates, CurveName )</t>
    </r>
  </si>
  <si>
    <r>
      <t>meLWOCurveDisplay</t>
    </r>
    <r>
      <rPr>
        <sz val="11"/>
        <rFont val="Calibri"/>
        <family val="2"/>
        <scheme val="minor"/>
      </rPr>
      <t>( curveName )</t>
    </r>
  </si>
  <si>
    <r>
      <t>meLWOCurveList</t>
    </r>
    <r>
      <rPr>
        <sz val="11"/>
        <rFont val="Calibri"/>
        <family val="2"/>
        <scheme val="minor"/>
      </rPr>
      <t>()</t>
    </r>
  </si>
  <si>
    <t>EUR3ML_19FEB16</t>
  </si>
  <si>
    <t>EUR6ML_19FEB16</t>
  </si>
  <si>
    <t>EUROIS_19FEB16</t>
  </si>
  <si>
    <r>
      <t>meLWOExists</t>
    </r>
    <r>
      <rPr>
        <sz val="11"/>
        <rFont val="Calibri"/>
        <family val="2"/>
        <scheme val="minor"/>
      </rPr>
      <t>( objectName, objectType )</t>
    </r>
  </si>
  <si>
    <r>
      <t>meLWOCurveCreateSwap</t>
    </r>
    <r>
      <rPr>
        <sz val="11"/>
        <rFont val="Calibri"/>
        <family val="2"/>
        <scheme val="minor"/>
      </rPr>
      <t>(LWOCurveName, STDCurve.CollectionName,STDCurve.StaticDataTable,STDCurve.IndexName,STDCurve.Buildproperties,MoneyMarket.Conventions,Libor.Conventions,Libor.MarketData,Swap.</t>
    </r>
    <r>
      <rPr>
        <sz val="11"/>
        <color rgb="FF0000FF"/>
        <rFont val="Calibri"/>
        <family val="2"/>
        <scheme val="minor"/>
      </rPr>
      <t>Conventions,Swap.MarketData,FRA.Conventions,FRA.MarketDataX3,FRA.MarketDataX6,Futures.Conventions,Futures.MarketData)</t>
    </r>
  </si>
  <si>
    <r>
      <t>meLWOCurveCreateOIS</t>
    </r>
    <r>
      <rPr>
        <sz val="11"/>
        <rFont val="Calibri"/>
        <family val="2"/>
        <scheme val="minor"/>
      </rPr>
      <t>(LWOCurveName, Curve.CollectionName,Curve.MarketDataTable,Curve.OISIndexName,Curve.BuildProperties,OIS.Conventions,OIS.MarketData,OIS.FixingTable,LiborOISBasis.Conventions,Lib</t>
    </r>
    <r>
      <rPr>
        <sz val="11"/>
        <color rgb="FF0000FF"/>
        <rFont val="Calibri"/>
        <family val="2"/>
        <scheme val="minor"/>
      </rPr>
      <t>orOISBasis.MarketData,LiborSwap.Conventions,LiborSwap.MarketData)</t>
    </r>
  </si>
  <si>
    <r>
      <t>meCurveCalibrateBasis</t>
    </r>
    <r>
      <rPr>
        <sz val="11"/>
        <rFont val="Calibri"/>
        <family val="2"/>
        <scheme val="minor"/>
      </rPr>
      <t>(TenorBasisCurve3M6M.CollectionName,TenorBasisCurve3M6M.StaticDataTable,TenorBasisCurve3M6M.IndexName,TenorBasisCurve3M6M.BuildProp</t>
    </r>
    <r>
      <rPr>
        <sz val="11"/>
        <color rgb="FF0000FF"/>
        <rFont val="Calibri"/>
        <family val="2"/>
        <scheme val="minor"/>
      </rPr>
      <t>erties,TenorBasisSwap3M6M.Conventions,TenorBasisSwap3M6M.MarketData)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</si>
</sst>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41" formatCode="_-* #,##0_-;\-* #,##0_-;_-* &quot;-&quot;_-;_-@_-"/>
    <numFmt numFmtId="164" formatCode="0.000%"/>
    <numFmt numFmtId="165" formatCode="0.00000%"/>
    <numFmt numFmtId="166" formatCode="#,##0.0000"/>
    <numFmt numFmtId="167" formatCode="ddd\ d\-mmm\-yy"/>
    <numFmt numFmtId="168" formatCode="#,##0_ ;[Red]\-#,##0\ "/>
    <numFmt numFmtId="169" formatCode="0.00000%;[Red]\-0.00000%"/>
    <numFmt numFmtId="170" formatCode="#,##0.000"/>
    <numFmt numFmtId="171" formatCode="ddd\,\ dd\-mmm\-yy"/>
    <numFmt numFmtId="172" formatCode="#,##0.00000"/>
    <numFmt numFmtId="173" formatCode="#,##0.000000"/>
  </numFmts>
  <fonts count="2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rgb="FF006600"/>
      <name val="Calibri"/>
      <family val="2"/>
      <scheme val="minor"/>
    </font>
    <font>
      <sz val="11"/>
      <name val="Times New Roman"/>
      <family val="1"/>
    </font>
    <font>
      <b/>
      <sz val="11"/>
      <color rgb="FF006600"/>
      <name val="Calibri"/>
      <family val="2"/>
      <scheme val="minor"/>
    </font>
    <font>
      <i/>
      <sz val="11"/>
      <color rgb="FF0000FF"/>
      <name val="Calibri"/>
      <family val="2"/>
      <scheme val="minor"/>
    </font>
    <font>
      <i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2"/>
      <color indexed="81"/>
      <name val="Tahoma"/>
      <family val="2"/>
    </font>
    <font>
      <i/>
      <u/>
      <sz val="12"/>
      <color indexed="12"/>
      <name val="Tahoma"/>
      <family val="2"/>
    </font>
    <font>
      <sz val="11"/>
      <color theme="1"/>
      <name val="Calibri"/>
      <family val="2"/>
      <scheme val="minor"/>
    </font>
    <font>
      <u/>
      <sz val="12"/>
      <color indexed="12"/>
      <name val="Tahoma"/>
      <family val="2"/>
    </font>
    <font>
      <u/>
      <sz val="12"/>
      <color indexed="39"/>
      <name val="Tahoma"/>
      <family val="2"/>
    </font>
    <font>
      <sz val="20"/>
      <color rgb="FF0000FF"/>
      <name val="Calibri"/>
      <family val="2"/>
      <scheme val="minor"/>
    </font>
    <font>
      <sz val="20"/>
      <name val="Calibri"/>
      <family val="2"/>
      <scheme val="minor"/>
    </font>
    <font>
      <sz val="18"/>
      <name val="Calibri"/>
      <family val="2"/>
      <scheme val="minor"/>
    </font>
    <font>
      <sz val="18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dotted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dotted">
        <color theme="0" tint="-0.24994659260841701"/>
      </bottom>
      <diagonal/>
    </border>
    <border>
      <left/>
      <right style="thin">
        <color theme="0" tint="-0.24994659260841701"/>
      </right>
      <top style="dotted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dotted">
        <color theme="0" tint="-0.2499465926084170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</borders>
  <cellStyleXfs count="3">
    <xf numFmtId="0" fontId="0" fillId="0" borderId="0"/>
    <xf numFmtId="0" fontId="10" fillId="0" borderId="0">
      <alignment vertical="center"/>
    </xf>
    <xf numFmtId="41" fontId="18" fillId="0" borderId="0" applyFont="0" applyFill="0" applyBorder="0" applyAlignment="0" applyProtection="0"/>
  </cellStyleXfs>
  <cellXfs count="247">
    <xf numFmtId="0" fontId="0" fillId="0" borderId="0" xfId="0"/>
    <xf numFmtId="0" fontId="0" fillId="0" borderId="0" xfId="0" applyFill="1" applyBorder="1"/>
    <xf numFmtId="0" fontId="0" fillId="2" borderId="5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9" xfId="0" applyFill="1" applyBorder="1"/>
    <xf numFmtId="0" fontId="4" fillId="2" borderId="0" xfId="0" applyFont="1" applyFill="1" applyBorder="1"/>
    <xf numFmtId="0" fontId="0" fillId="2" borderId="0" xfId="0" applyFill="1" applyBorder="1"/>
    <xf numFmtId="0" fontId="0" fillId="2" borderId="10" xfId="0" applyFill="1" applyBorder="1"/>
    <xf numFmtId="0" fontId="8" fillId="2" borderId="0" xfId="0" applyFont="1" applyFill="1" applyBorder="1"/>
    <xf numFmtId="0" fontId="6" fillId="2" borderId="0" xfId="0" applyFont="1" applyFill="1" applyBorder="1"/>
    <xf numFmtId="0" fontId="0" fillId="2" borderId="14" xfId="0" applyFill="1" applyBorder="1"/>
    <xf numFmtId="0" fontId="0" fillId="2" borderId="12" xfId="0" applyFill="1" applyBorder="1"/>
    <xf numFmtId="0" fontId="0" fillId="2" borderId="13" xfId="0" applyFill="1" applyBorder="1"/>
    <xf numFmtId="0" fontId="0" fillId="0" borderId="5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9" xfId="0" applyFill="1" applyBorder="1"/>
    <xf numFmtId="0" fontId="0" fillId="0" borderId="10" xfId="0" applyFill="1" applyBorder="1"/>
    <xf numFmtId="164" fontId="9" fillId="0" borderId="0" xfId="0" applyNumberFormat="1" applyFont="1" applyFill="1" applyBorder="1" applyAlignment="1">
      <alignment horizontal="center" vertical="center"/>
    </xf>
    <xf numFmtId="15" fontId="9" fillId="0" borderId="0" xfId="0" applyNumberFormat="1" applyFont="1" applyFill="1" applyBorder="1" applyAlignment="1">
      <alignment horizontal="center" vertical="center"/>
    </xf>
    <xf numFmtId="0" fontId="0" fillId="0" borderId="14" xfId="0" applyFill="1" applyBorder="1"/>
    <xf numFmtId="0" fontId="0" fillId="0" borderId="13" xfId="0" applyFill="1" applyBorder="1"/>
    <xf numFmtId="0" fontId="0" fillId="0" borderId="12" xfId="0" applyFill="1" applyBorder="1"/>
    <xf numFmtId="0" fontId="9" fillId="0" borderId="9" xfId="0" applyFont="1" applyFill="1" applyBorder="1" applyAlignment="1">
      <alignment horizontal="center" vertical="center"/>
    </xf>
    <xf numFmtId="0" fontId="9" fillId="0" borderId="14" xfId="0" applyFont="1" applyFill="1" applyBorder="1" applyAlignment="1">
      <alignment horizontal="center" vertical="center"/>
    </xf>
    <xf numFmtId="164" fontId="9" fillId="0" borderId="12" xfId="0" applyNumberFormat="1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center"/>
    </xf>
    <xf numFmtId="0" fontId="6" fillId="0" borderId="4" xfId="0" applyFont="1" applyFill="1" applyBorder="1" applyAlignment="1">
      <alignment vertical="center"/>
    </xf>
    <xf numFmtId="0" fontId="6" fillId="0" borderId="4" xfId="0" applyFont="1" applyFill="1" applyBorder="1"/>
    <xf numFmtId="0" fontId="6" fillId="0" borderId="4" xfId="0" applyFont="1" applyFill="1" applyBorder="1" applyAlignment="1"/>
    <xf numFmtId="0" fontId="1" fillId="0" borderId="4" xfId="0" applyFont="1" applyFill="1" applyBorder="1" applyAlignment="1"/>
    <xf numFmtId="0" fontId="0" fillId="0" borderId="4" xfId="0" applyFont="1" applyFill="1" applyBorder="1"/>
    <xf numFmtId="0" fontId="0" fillId="0" borderId="11" xfId="0" applyFont="1" applyFill="1" applyBorder="1"/>
    <xf numFmtId="0" fontId="9" fillId="0" borderId="3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 vertical="center"/>
    </xf>
    <xf numFmtId="0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 applyAlignment="1"/>
    <xf numFmtId="11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/>
    <xf numFmtId="0" fontId="9" fillId="0" borderId="13" xfId="0" applyFont="1" applyFill="1" applyBorder="1"/>
    <xf numFmtId="15" fontId="9" fillId="0" borderId="10" xfId="0" applyNumberFormat="1" applyFont="1" applyFill="1" applyBorder="1" applyAlignment="1">
      <alignment horizontal="center" vertical="center"/>
    </xf>
    <xf numFmtId="15" fontId="9" fillId="0" borderId="12" xfId="0" applyNumberFormat="1" applyFont="1" applyFill="1" applyBorder="1" applyAlignment="1">
      <alignment horizontal="center" vertical="center"/>
    </xf>
    <xf numFmtId="15" fontId="9" fillId="0" borderId="13" xfId="0" applyNumberFormat="1" applyFont="1" applyFill="1" applyBorder="1" applyAlignment="1">
      <alignment horizontal="center" vertical="center"/>
    </xf>
    <xf numFmtId="0" fontId="6" fillId="0" borderId="11" xfId="0" applyFont="1" applyFill="1" applyBorder="1"/>
    <xf numFmtId="0" fontId="4" fillId="2" borderId="2" xfId="0" applyFont="1" applyFill="1" applyBorder="1"/>
    <xf numFmtId="0" fontId="5" fillId="2" borderId="2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7" fillId="2" borderId="12" xfId="0" applyFont="1" applyFill="1" applyBorder="1"/>
    <xf numFmtId="0" fontId="7" fillId="2" borderId="0" xfId="0" applyFont="1" applyFill="1" applyBorder="1"/>
    <xf numFmtId="0" fontId="2" fillId="2" borderId="0" xfId="0" applyFont="1" applyFill="1" applyBorder="1"/>
    <xf numFmtId="164" fontId="9" fillId="0" borderId="10" xfId="0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 vertical="center"/>
    </xf>
    <xf numFmtId="15" fontId="9" fillId="0" borderId="9" xfId="0" applyNumberFormat="1" applyFont="1" applyFill="1" applyBorder="1" applyAlignment="1">
      <alignment horizontal="center" vertical="center"/>
    </xf>
    <xf numFmtId="15" fontId="9" fillId="0" borderId="14" xfId="0" applyNumberFormat="1" applyFont="1" applyFill="1" applyBorder="1" applyAlignment="1">
      <alignment horizontal="center" vertical="center"/>
    </xf>
    <xf numFmtId="0" fontId="6" fillId="2" borderId="10" xfId="0" applyFont="1" applyFill="1" applyBorder="1"/>
    <xf numFmtId="0" fontId="5" fillId="0" borderId="0" xfId="0" applyFont="1"/>
    <xf numFmtId="0" fontId="3" fillId="2" borderId="12" xfId="0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vertical="center"/>
    </xf>
    <xf numFmtId="0" fontId="5" fillId="2" borderId="0" xfId="0" applyFont="1" applyFill="1" applyBorder="1" applyAlignment="1">
      <alignment horizontal="center" vertical="center"/>
    </xf>
    <xf numFmtId="0" fontId="12" fillId="0" borderId="0" xfId="0" applyFont="1"/>
    <xf numFmtId="0" fontId="14" fillId="2" borderId="2" xfId="0" applyFont="1" applyFill="1" applyBorder="1"/>
    <xf numFmtId="0" fontId="0" fillId="0" borderId="0" xfId="0" quotePrefix="1"/>
    <xf numFmtId="0" fontId="11" fillId="2" borderId="10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/>
    </xf>
    <xf numFmtId="0" fontId="9" fillId="0" borderId="13" xfId="0" applyFont="1" applyFill="1" applyBorder="1" applyAlignment="1">
      <alignment horizontal="center"/>
    </xf>
    <xf numFmtId="0" fontId="6" fillId="0" borderId="5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6" fillId="0" borderId="14" xfId="0" applyFont="1" applyFill="1" applyBorder="1" applyAlignment="1">
      <alignment horizontal="center" vertical="center"/>
    </xf>
    <xf numFmtId="10" fontId="9" fillId="0" borderId="10" xfId="0" applyNumberFormat="1" applyFont="1" applyFill="1" applyBorder="1" applyAlignment="1">
      <alignment horizontal="center" vertical="center"/>
    </xf>
    <xf numFmtId="165" fontId="9" fillId="0" borderId="3" xfId="0" applyNumberFormat="1" applyFont="1" applyFill="1" applyBorder="1" applyAlignment="1">
      <alignment horizontal="center" vertical="center"/>
    </xf>
    <xf numFmtId="165" fontId="9" fillId="0" borderId="10" xfId="0" applyNumberFormat="1" applyFont="1" applyFill="1" applyBorder="1" applyAlignment="1">
      <alignment horizontal="center" vertical="center"/>
    </xf>
    <xf numFmtId="165" fontId="9" fillId="0" borderId="13" xfId="0" applyNumberFormat="1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4" fontId="9" fillId="0" borderId="9" xfId="1" quotePrefix="1" applyNumberFormat="1" applyFont="1" applyFill="1" applyBorder="1" applyAlignment="1">
      <alignment horizontal="center" vertical="center"/>
    </xf>
    <xf numFmtId="15" fontId="9" fillId="0" borderId="0" xfId="1" quotePrefix="1" applyNumberFormat="1" applyFont="1" applyFill="1" applyBorder="1" applyAlignment="1">
      <alignment horizontal="center" vertical="center"/>
    </xf>
    <xf numFmtId="166" fontId="9" fillId="0" borderId="0" xfId="2" quotePrefix="1" applyNumberFormat="1" applyFont="1" applyFill="1" applyBorder="1" applyAlignment="1">
      <alignment horizontal="center" vertical="center"/>
    </xf>
    <xf numFmtId="164" fontId="9" fillId="0" borderId="10" xfId="2" quotePrefix="1" applyNumberFormat="1" applyFont="1" applyFill="1" applyBorder="1" applyAlignment="1">
      <alignment horizontal="center" vertical="center"/>
    </xf>
    <xf numFmtId="165" fontId="9" fillId="0" borderId="9" xfId="1" quotePrefix="1" applyNumberFormat="1" applyFont="1" applyFill="1" applyBorder="1" applyAlignment="1">
      <alignment horizontal="center" vertical="center"/>
    </xf>
    <xf numFmtId="165" fontId="9" fillId="0" borderId="9" xfId="1" applyNumberFormat="1" applyFont="1" applyFill="1" applyBorder="1" applyAlignment="1">
      <alignment horizontal="center" vertical="center"/>
    </xf>
    <xf numFmtId="15" fontId="9" fillId="0" borderId="0" xfId="1" applyNumberFormat="1" applyFont="1" applyFill="1" applyBorder="1" applyAlignment="1">
      <alignment horizontal="center" vertical="center"/>
    </xf>
    <xf numFmtId="166" fontId="9" fillId="0" borderId="0" xfId="2" applyNumberFormat="1" applyFont="1" applyFill="1" applyBorder="1" applyAlignment="1">
      <alignment horizontal="center" vertical="center"/>
    </xf>
    <xf numFmtId="164" fontId="9" fillId="0" borderId="10" xfId="2" applyNumberFormat="1" applyFont="1" applyFill="1" applyBorder="1" applyAlignment="1">
      <alignment horizontal="center" vertical="center"/>
    </xf>
    <xf numFmtId="0" fontId="9" fillId="0" borderId="9" xfId="1" applyFont="1" applyFill="1" applyBorder="1" applyAlignment="1">
      <alignment horizontal="center" vertical="center"/>
    </xf>
    <xf numFmtId="166" fontId="9" fillId="0" borderId="0" xfId="1" applyNumberFormat="1" applyFont="1" applyFill="1" applyBorder="1" applyAlignment="1">
      <alignment horizontal="center" vertical="center"/>
    </xf>
    <xf numFmtId="0" fontId="9" fillId="0" borderId="9" xfId="0" applyFont="1" applyFill="1" applyBorder="1" applyAlignment="1">
      <alignment horizontal="center"/>
    </xf>
    <xf numFmtId="15" fontId="9" fillId="0" borderId="0" xfId="0" applyNumberFormat="1" applyFont="1" applyFill="1" applyBorder="1" applyAlignment="1">
      <alignment horizontal="center"/>
    </xf>
    <xf numFmtId="164" fontId="9" fillId="0" borderId="10" xfId="0" applyNumberFormat="1" applyFont="1" applyFill="1" applyBorder="1" applyAlignment="1">
      <alignment horizontal="center"/>
    </xf>
    <xf numFmtId="0" fontId="9" fillId="0" borderId="14" xfId="0" applyFont="1" applyFill="1" applyBorder="1" applyAlignment="1">
      <alignment horizontal="center"/>
    </xf>
    <xf numFmtId="15" fontId="9" fillId="0" borderId="12" xfId="0" applyNumberFormat="1" applyFont="1" applyFill="1" applyBorder="1" applyAlignment="1">
      <alignment horizontal="center"/>
    </xf>
    <xf numFmtId="166" fontId="9" fillId="0" borderId="12" xfId="1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/>
    </xf>
    <xf numFmtId="0" fontId="0" fillId="2" borderId="12" xfId="0" applyFont="1" applyFill="1" applyBorder="1" applyAlignment="1">
      <alignment horizontal="center" vertical="center"/>
    </xf>
    <xf numFmtId="165" fontId="9" fillId="0" borderId="2" xfId="0" applyNumberFormat="1" applyFont="1" applyFill="1" applyBorder="1" applyAlignment="1">
      <alignment horizontal="center" vertical="center"/>
    </xf>
    <xf numFmtId="165" fontId="9" fillId="0" borderId="0" xfId="0" applyNumberFormat="1" applyFont="1" applyFill="1" applyBorder="1" applyAlignment="1">
      <alignment horizontal="center" vertical="center"/>
    </xf>
    <xf numFmtId="165" fontId="9" fillId="0" borderId="12" xfId="0" applyNumberFormat="1" applyFont="1" applyFill="1" applyBorder="1" applyAlignment="1">
      <alignment horizontal="center" vertical="center"/>
    </xf>
    <xf numFmtId="0" fontId="9" fillId="0" borderId="5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vertical="center"/>
    </xf>
    <xf numFmtId="0" fontId="9" fillId="0" borderId="4" xfId="0" applyFont="1" applyFill="1" applyBorder="1" applyAlignment="1">
      <alignment vertical="center"/>
    </xf>
    <xf numFmtId="0" fontId="9" fillId="0" borderId="11" xfId="0" applyFont="1" applyFill="1" applyBorder="1"/>
    <xf numFmtId="0" fontId="11" fillId="0" borderId="10" xfId="0" applyFont="1" applyFill="1" applyBorder="1" applyAlignment="1">
      <alignment horizontal="center" vertical="center"/>
    </xf>
    <xf numFmtId="3" fontId="9" fillId="0" borderId="10" xfId="0" applyNumberFormat="1" applyFont="1" applyFill="1" applyBorder="1" applyAlignment="1">
      <alignment horizontal="center" vertical="center"/>
    </xf>
    <xf numFmtId="15" fontId="9" fillId="0" borderId="1" xfId="0" applyNumberFormat="1" applyFont="1" applyFill="1" applyBorder="1" applyAlignment="1">
      <alignment horizontal="center" vertical="center"/>
    </xf>
    <xf numFmtId="0" fontId="9" fillId="0" borderId="4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left" vertical="center"/>
    </xf>
    <xf numFmtId="0" fontId="9" fillId="0" borderId="11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center" vertical="center"/>
    </xf>
    <xf numFmtId="0" fontId="6" fillId="0" borderId="16" xfId="0" applyFont="1" applyFill="1" applyBorder="1" applyAlignment="1">
      <alignment vertical="center"/>
    </xf>
    <xf numFmtId="0" fontId="9" fillId="0" borderId="18" xfId="0" applyFont="1" applyFill="1" applyBorder="1" applyAlignment="1">
      <alignment horizontal="center" vertical="center"/>
    </xf>
    <xf numFmtId="0" fontId="6" fillId="0" borderId="17" xfId="0" applyFont="1" applyFill="1" applyBorder="1" applyAlignment="1">
      <alignment vertical="center"/>
    </xf>
    <xf numFmtId="0" fontId="5" fillId="0" borderId="19" xfId="0" applyFont="1" applyFill="1" applyBorder="1" applyAlignment="1">
      <alignment horizontal="center" vertical="center"/>
    </xf>
    <xf numFmtId="0" fontId="11" fillId="2" borderId="16" xfId="0" applyFont="1" applyFill="1" applyBorder="1" applyAlignment="1">
      <alignment horizontal="center" vertical="center"/>
    </xf>
    <xf numFmtId="0" fontId="7" fillId="0" borderId="4" xfId="0" applyFont="1" applyFill="1" applyBorder="1" applyAlignment="1">
      <alignment vertical="center"/>
    </xf>
    <xf numFmtId="0" fontId="0" fillId="2" borderId="0" xfId="0" applyFont="1" applyFill="1" applyBorder="1"/>
    <xf numFmtId="0" fontId="0" fillId="2" borderId="0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3" fillId="0" borderId="0" xfId="0" applyFont="1"/>
    <xf numFmtId="0" fontId="24" fillId="0" borderId="0" xfId="0" applyFont="1" applyAlignment="1">
      <alignment horizontal="center" vertical="center"/>
    </xf>
    <xf numFmtId="3" fontId="0" fillId="0" borderId="0" xfId="0" applyNumberFormat="1"/>
    <xf numFmtId="0" fontId="0" fillId="3" borderId="20" xfId="0" applyNumberFormat="1" applyFill="1" applyBorder="1" applyAlignment="1">
      <alignment horizontal="center" vertical="top" wrapText="1"/>
    </xf>
    <xf numFmtId="0" fontId="0" fillId="3" borderId="21" xfId="0" applyNumberFormat="1" applyFill="1" applyBorder="1" applyAlignment="1">
      <alignment horizontal="center" vertical="top" wrapText="1"/>
    </xf>
    <xf numFmtId="0" fontId="0" fillId="3" borderId="21" xfId="0" applyNumberFormat="1" applyFill="1" applyBorder="1" applyAlignment="1">
      <alignment horizontal="center" vertical="center" wrapText="1"/>
    </xf>
    <xf numFmtId="0" fontId="0" fillId="3" borderId="22" xfId="0" applyNumberFormat="1" applyFill="1" applyBorder="1" applyAlignment="1">
      <alignment horizontal="center" vertical="center" wrapText="1"/>
    </xf>
    <xf numFmtId="0" fontId="8" fillId="0" borderId="0" xfId="0" applyFont="1"/>
    <xf numFmtId="0" fontId="0" fillId="0" borderId="0" xfId="0" quotePrefix="1" applyFont="1" applyFill="1" applyBorder="1" applyAlignment="1">
      <alignment horizontal="center" vertical="center"/>
    </xf>
    <xf numFmtId="3" fontId="0" fillId="0" borderId="0" xfId="0" applyNumberFormat="1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165" fontId="6" fillId="0" borderId="0" xfId="0" applyNumberFormat="1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0" fontId="9" fillId="2" borderId="0" xfId="0" applyFont="1" applyFill="1" applyBorder="1" applyAlignment="1">
      <alignment horizontal="center"/>
    </xf>
    <xf numFmtId="165" fontId="9" fillId="2" borderId="0" xfId="0" applyNumberFormat="1" applyFont="1" applyFill="1" applyBorder="1" applyAlignment="1">
      <alignment horizontal="center"/>
    </xf>
    <xf numFmtId="165" fontId="0" fillId="2" borderId="0" xfId="0" applyNumberFormat="1" applyFill="1" applyBorder="1" applyAlignment="1">
      <alignment horizontal="center"/>
    </xf>
    <xf numFmtId="0" fontId="0" fillId="0" borderId="0" xfId="0" applyFill="1" applyBorder="1" applyAlignment="1">
      <alignment horizontal="center" vertical="center"/>
    </xf>
    <xf numFmtId="3" fontId="0" fillId="0" borderId="26" xfId="0" applyNumberFormat="1" applyFill="1" applyBorder="1" applyAlignment="1">
      <alignment horizontal="center" vertical="center"/>
    </xf>
    <xf numFmtId="0" fontId="0" fillId="0" borderId="26" xfId="0" applyFill="1" applyBorder="1" applyAlignment="1">
      <alignment horizontal="center"/>
    </xf>
    <xf numFmtId="165" fontId="6" fillId="0" borderId="26" xfId="0" applyNumberFormat="1" applyFont="1" applyFill="1" applyBorder="1" applyAlignment="1">
      <alignment horizontal="center" vertical="center"/>
    </xf>
    <xf numFmtId="0" fontId="0" fillId="2" borderId="26" xfId="0" applyFill="1" applyBorder="1" applyAlignment="1">
      <alignment horizontal="center"/>
    </xf>
    <xf numFmtId="0" fontId="9" fillId="2" borderId="26" xfId="0" applyFont="1" applyFill="1" applyBorder="1" applyAlignment="1">
      <alignment horizontal="center"/>
    </xf>
    <xf numFmtId="165" fontId="9" fillId="2" borderId="26" xfId="0" applyNumberFormat="1" applyFont="1" applyFill="1" applyBorder="1" applyAlignment="1">
      <alignment horizontal="center"/>
    </xf>
    <xf numFmtId="165" fontId="0" fillId="2" borderId="26" xfId="0" applyNumberFormat="1" applyFill="1" applyBorder="1" applyAlignment="1">
      <alignment horizontal="center"/>
    </xf>
    <xf numFmtId="0" fontId="0" fillId="0" borderId="4" xfId="0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169" fontId="9" fillId="0" borderId="4" xfId="0" applyNumberFormat="1" applyFont="1" applyFill="1" applyBorder="1" applyAlignment="1">
      <alignment horizontal="center" vertical="center"/>
    </xf>
    <xf numFmtId="169" fontId="9" fillId="0" borderId="11" xfId="0" applyNumberFormat="1" applyFont="1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8" xfId="0" quotePrefix="1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170" fontId="9" fillId="0" borderId="4" xfId="0" applyNumberFormat="1" applyFont="1" applyFill="1" applyBorder="1" applyAlignment="1">
      <alignment horizontal="center" vertical="center"/>
    </xf>
    <xf numFmtId="0" fontId="12" fillId="0" borderId="0" xfId="0" applyFont="1"/>
    <xf numFmtId="0" fontId="13" fillId="0" borderId="15" xfId="0" applyFont="1" applyFill="1" applyBorder="1"/>
    <xf numFmtId="0" fontId="5" fillId="0" borderId="0" xfId="0" applyFont="1"/>
    <xf numFmtId="0" fontId="5" fillId="0" borderId="0" xfId="0" applyFont="1"/>
    <xf numFmtId="0" fontId="5" fillId="0" borderId="0" xfId="0" applyFont="1"/>
    <xf numFmtId="0" fontId="5" fillId="0" borderId="0" xfId="0" applyFont="1"/>
    <xf numFmtId="0" fontId="13" fillId="0" borderId="15" xfId="0" applyFont="1" applyFill="1" applyBorder="1"/>
    <xf numFmtId="0" fontId="0" fillId="2" borderId="0" xfId="0" applyFont="1" applyFill="1" applyBorder="1" applyAlignment="1">
      <alignment horizontal="center" vertical="center"/>
    </xf>
    <xf numFmtId="169" fontId="0" fillId="0" borderId="0" xfId="0" applyNumberFormat="1"/>
    <xf numFmtId="3" fontId="0" fillId="0" borderId="0" xfId="0" applyNumberFormat="1" applyFill="1" applyBorder="1" applyAlignment="1">
      <alignment horizontal="center"/>
    </xf>
    <xf numFmtId="167" fontId="6" fillId="0" borderId="0" xfId="0" applyNumberFormat="1" applyFont="1" applyFill="1" applyBorder="1" applyAlignment="1">
      <alignment horizontal="center" vertical="center"/>
    </xf>
    <xf numFmtId="0" fontId="0" fillId="2" borderId="0" xfId="0" quotePrefix="1" applyFill="1" applyBorder="1" applyAlignment="1">
      <alignment horizontal="center" vertical="center"/>
    </xf>
    <xf numFmtId="167" fontId="9" fillId="2" borderId="0" xfId="0" applyNumberFormat="1" applyFont="1" applyFill="1" applyBorder="1" applyAlignment="1">
      <alignment horizontal="center" vertical="center"/>
    </xf>
    <xf numFmtId="0" fontId="9" fillId="2" borderId="0" xfId="0" applyFont="1" applyFill="1" applyBorder="1" applyAlignment="1">
      <alignment horizontal="center" vertical="center"/>
    </xf>
    <xf numFmtId="0" fontId="6" fillId="2" borderId="0" xfId="0" quotePrefix="1" applyFont="1" applyFill="1" applyBorder="1" applyAlignment="1">
      <alignment horizontal="center" vertical="center"/>
    </xf>
    <xf numFmtId="165" fontId="9" fillId="2" borderId="0" xfId="0" applyNumberFormat="1" applyFont="1" applyFill="1" applyBorder="1" applyAlignment="1">
      <alignment horizontal="center" vertical="center"/>
    </xf>
    <xf numFmtId="165" fontId="6" fillId="2" borderId="0" xfId="0" applyNumberFormat="1" applyFont="1" applyFill="1" applyBorder="1" applyAlignment="1">
      <alignment horizontal="center" vertical="center"/>
    </xf>
    <xf numFmtId="4" fontId="9" fillId="2" borderId="0" xfId="0" applyNumberFormat="1" applyFont="1" applyFill="1" applyBorder="1" applyAlignment="1">
      <alignment horizontal="center" vertical="center"/>
    </xf>
    <xf numFmtId="168" fontId="9" fillId="3" borderId="0" xfId="0" applyNumberFormat="1" applyFont="1" applyFill="1" applyBorder="1" applyAlignment="1">
      <alignment horizontal="center" vertical="center"/>
    </xf>
    <xf numFmtId="3" fontId="9" fillId="3" borderId="23" xfId="0" applyNumberFormat="1" applyFont="1" applyFill="1" applyBorder="1" applyAlignment="1">
      <alignment horizontal="center" vertical="center"/>
    </xf>
    <xf numFmtId="167" fontId="6" fillId="0" borderId="26" xfId="0" applyNumberFormat="1" applyFont="1" applyFill="1" applyBorder="1" applyAlignment="1">
      <alignment horizontal="center" vertical="center"/>
    </xf>
    <xf numFmtId="4" fontId="9" fillId="2" borderId="26" xfId="0" applyNumberFormat="1" applyFont="1" applyFill="1" applyBorder="1" applyAlignment="1">
      <alignment horizontal="center" vertical="center"/>
    </xf>
    <xf numFmtId="167" fontId="9" fillId="3" borderId="24" xfId="0" applyNumberFormat="1" applyFont="1" applyFill="1" applyBorder="1" applyAlignment="1">
      <alignment horizontal="center" vertical="center"/>
    </xf>
    <xf numFmtId="169" fontId="9" fillId="2" borderId="23" xfId="0" applyNumberFormat="1" applyFont="1" applyFill="1" applyBorder="1" applyAlignment="1">
      <alignment horizontal="center" vertical="center"/>
    </xf>
    <xf numFmtId="169" fontId="9" fillId="2" borderId="23" xfId="0" applyNumberFormat="1" applyFont="1" applyFill="1" applyBorder="1" applyAlignment="1">
      <alignment horizontal="center"/>
    </xf>
    <xf numFmtId="167" fontId="9" fillId="3" borderId="25" xfId="0" applyNumberFormat="1" applyFont="1" applyFill="1" applyBorder="1" applyAlignment="1">
      <alignment horizontal="center" vertical="center"/>
    </xf>
    <xf numFmtId="169" fontId="9" fillId="2" borderId="27" xfId="0" applyNumberFormat="1" applyFont="1" applyFill="1" applyBorder="1" applyAlignment="1">
      <alignment horizontal="center"/>
    </xf>
    <xf numFmtId="0" fontId="0" fillId="3" borderId="22" xfId="0" applyNumberFormat="1" applyFill="1" applyBorder="1" applyAlignment="1">
      <alignment horizontal="center" vertical="top" wrapText="1"/>
    </xf>
    <xf numFmtId="0" fontId="0" fillId="3" borderId="20" xfId="0" applyNumberFormat="1" applyFill="1" applyBorder="1" applyAlignment="1">
      <alignment horizontal="center" vertical="center" wrapText="1"/>
    </xf>
    <xf numFmtId="169" fontId="9" fillId="3" borderId="24" xfId="0" applyNumberFormat="1" applyFont="1" applyFill="1" applyBorder="1" applyAlignment="1">
      <alignment horizontal="center" vertical="center"/>
    </xf>
    <xf numFmtId="170" fontId="9" fillId="0" borderId="11" xfId="0" applyNumberFormat="1" applyFont="1" applyFill="1" applyBorder="1" applyAlignment="1">
      <alignment horizontal="center" vertical="center"/>
    </xf>
    <xf numFmtId="167" fontId="0" fillId="0" borderId="0" xfId="0" quotePrefix="1" applyNumberFormat="1" applyFont="1" applyFill="1" applyBorder="1" applyAlignment="1">
      <alignment horizontal="center" vertical="center"/>
    </xf>
    <xf numFmtId="0" fontId="0" fillId="0" borderId="26" xfId="0" applyFill="1" applyBorder="1" applyAlignment="1">
      <alignment horizontal="center" vertical="center"/>
    </xf>
    <xf numFmtId="0" fontId="9" fillId="2" borderId="26" xfId="0" applyFont="1" applyFill="1" applyBorder="1" applyAlignment="1">
      <alignment horizontal="center" vertical="center"/>
    </xf>
    <xf numFmtId="0" fontId="11" fillId="0" borderId="15" xfId="0" applyFont="1" applyFill="1" applyBorder="1" applyAlignment="1">
      <alignment horizontal="center" vertical="center"/>
    </xf>
    <xf numFmtId="0" fontId="5" fillId="0" borderId="15" xfId="0" applyFont="1" applyBorder="1"/>
    <xf numFmtId="0" fontId="6" fillId="0" borderId="4" xfId="0" applyFont="1" applyFill="1" applyBorder="1" applyAlignment="1">
      <alignment horizontal="left" vertical="center"/>
    </xf>
    <xf numFmtId="0" fontId="9" fillId="2" borderId="1" xfId="0" applyFont="1" applyFill="1" applyBorder="1" applyAlignment="1">
      <alignment horizontal="center" vertical="center"/>
    </xf>
    <xf numFmtId="0" fontId="9" fillId="2" borderId="4" xfId="0" applyFont="1" applyFill="1" applyBorder="1" applyAlignment="1">
      <alignment horizontal="center" vertical="center"/>
    </xf>
    <xf numFmtId="0" fontId="9" fillId="2" borderId="11" xfId="0" applyFont="1" applyFill="1" applyBorder="1" applyAlignment="1">
      <alignment horizontal="center" vertical="center"/>
    </xf>
    <xf numFmtId="171" fontId="0" fillId="0" borderId="0" xfId="0" applyNumberFormat="1"/>
    <xf numFmtId="0" fontId="9" fillId="0" borderId="0" xfId="0" applyFont="1"/>
    <xf numFmtId="0" fontId="0" fillId="4" borderId="15" xfId="0" applyFill="1" applyBorder="1"/>
    <xf numFmtId="0" fontId="9" fillId="2" borderId="5" xfId="0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171" fontId="9" fillId="2" borderId="9" xfId="0" applyNumberFormat="1" applyFont="1" applyFill="1" applyBorder="1" applyAlignment="1">
      <alignment horizontal="center" vertical="center"/>
    </xf>
    <xf numFmtId="172" fontId="9" fillId="2" borderId="0" xfId="0" applyNumberFormat="1" applyFont="1" applyFill="1" applyBorder="1" applyAlignment="1">
      <alignment horizontal="center" vertical="center"/>
    </xf>
    <xf numFmtId="173" fontId="9" fillId="2" borderId="0" xfId="0" applyNumberFormat="1" applyFont="1" applyFill="1" applyBorder="1" applyAlignment="1">
      <alignment horizontal="center" vertical="center"/>
    </xf>
    <xf numFmtId="165" fontId="9" fillId="2" borderId="10" xfId="0" applyNumberFormat="1" applyFont="1" applyFill="1" applyBorder="1" applyAlignment="1">
      <alignment horizontal="center" vertical="center"/>
    </xf>
    <xf numFmtId="165" fontId="9" fillId="2" borderId="10" xfId="0" quotePrefix="1" applyNumberFormat="1" applyFont="1" applyFill="1" applyBorder="1" applyAlignment="1">
      <alignment horizontal="center" vertical="center"/>
    </xf>
    <xf numFmtId="171" fontId="9" fillId="2" borderId="14" xfId="0" applyNumberFormat="1" applyFont="1" applyFill="1" applyBorder="1" applyAlignment="1">
      <alignment horizontal="center" vertical="center"/>
    </xf>
    <xf numFmtId="172" fontId="9" fillId="2" borderId="12" xfId="0" applyNumberFormat="1" applyFont="1" applyFill="1" applyBorder="1" applyAlignment="1">
      <alignment horizontal="center" vertical="center"/>
    </xf>
    <xf numFmtId="173" fontId="9" fillId="2" borderId="12" xfId="0" applyNumberFormat="1" applyFont="1" applyFill="1" applyBorder="1" applyAlignment="1">
      <alignment horizontal="center" vertical="center"/>
    </xf>
    <xf numFmtId="165" fontId="9" fillId="2" borderId="13" xfId="0" applyNumberFormat="1" applyFont="1" applyFill="1" applyBorder="1" applyAlignment="1">
      <alignment horizontal="center" vertical="center"/>
    </xf>
    <xf numFmtId="0" fontId="0" fillId="4" borderId="15" xfId="0" applyFill="1" applyBorder="1" applyAlignment="1">
      <alignment vertical="center"/>
    </xf>
    <xf numFmtId="168" fontId="24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0" fontId="0" fillId="0" borderId="0" xfId="0" applyAlignment="1"/>
    <xf numFmtId="0" fontId="23" fillId="0" borderId="0" xfId="0" applyFont="1" applyAlignment="1"/>
    <xf numFmtId="0" fontId="5" fillId="0" borderId="0" xfId="0" applyFont="1" applyAlignment="1"/>
    <xf numFmtId="173" fontId="9" fillId="2" borderId="10" xfId="0" applyNumberFormat="1" applyFont="1" applyFill="1" applyBorder="1" applyAlignment="1">
      <alignment horizontal="center" vertical="center"/>
    </xf>
    <xf numFmtId="173" fontId="9" fillId="2" borderId="13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 applyBorder="1" applyAlignment="1"/>
    <xf numFmtId="0" fontId="6" fillId="5" borderId="12" xfId="0" applyFont="1" applyFill="1" applyBorder="1" applyAlignment="1">
      <alignment horizontal="center" vertical="center"/>
    </xf>
    <xf numFmtId="0" fontId="6" fillId="5" borderId="0" xfId="0" applyFont="1" applyFill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171" fontId="9" fillId="5" borderId="1" xfId="0" applyNumberFormat="1" applyFont="1" applyFill="1" applyBorder="1" applyAlignment="1">
      <alignment horizontal="center" vertical="center"/>
    </xf>
    <xf numFmtId="173" fontId="9" fillId="2" borderId="1" xfId="0" applyNumberFormat="1" applyFont="1" applyFill="1" applyBorder="1" applyAlignment="1">
      <alignment horizontal="center" vertical="center"/>
    </xf>
    <xf numFmtId="171" fontId="9" fillId="5" borderId="4" xfId="0" applyNumberFormat="1" applyFont="1" applyFill="1" applyBorder="1" applyAlignment="1">
      <alignment horizontal="center" vertical="center"/>
    </xf>
    <xf numFmtId="173" fontId="9" fillId="2" borderId="4" xfId="0" applyNumberFormat="1" applyFont="1" applyFill="1" applyBorder="1" applyAlignment="1">
      <alignment horizontal="center" vertical="center"/>
    </xf>
    <xf numFmtId="171" fontId="9" fillId="5" borderId="11" xfId="0" applyNumberFormat="1" applyFont="1" applyFill="1" applyBorder="1" applyAlignment="1">
      <alignment horizontal="center" vertical="center"/>
    </xf>
    <xf numFmtId="173" fontId="9" fillId="2" borderId="11" xfId="0" applyNumberFormat="1" applyFont="1" applyFill="1" applyBorder="1" applyAlignment="1">
      <alignment horizontal="center" vertical="center"/>
    </xf>
    <xf numFmtId="165" fontId="9" fillId="2" borderId="1" xfId="0" applyNumberFormat="1" applyFont="1" applyFill="1" applyBorder="1" applyAlignment="1">
      <alignment horizontal="center" vertical="center"/>
    </xf>
    <xf numFmtId="165" fontId="9" fillId="2" borderId="4" xfId="0" applyNumberFormat="1" applyFont="1" applyFill="1" applyBorder="1" applyAlignment="1">
      <alignment horizontal="center" vertical="center"/>
    </xf>
    <xf numFmtId="165" fontId="9" fillId="2" borderId="11" xfId="0" applyNumberFormat="1" applyFont="1" applyFill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vertical="center"/>
    </xf>
    <xf numFmtId="0" fontId="0" fillId="4" borderId="1" xfId="0" applyFill="1" applyBorder="1"/>
    <xf numFmtId="0" fontId="0" fillId="4" borderId="4" xfId="0" applyFill="1" applyBorder="1"/>
    <xf numFmtId="0" fontId="0" fillId="4" borderId="11" xfId="0" applyFill="1" applyBorder="1"/>
    <xf numFmtId="0" fontId="9" fillId="0" borderId="0" xfId="0" applyFont="1" applyAlignment="1">
      <alignment horizontal="left" vertical="center"/>
    </xf>
    <xf numFmtId="0" fontId="22" fillId="0" borderId="16" xfId="0" applyFont="1" applyFill="1" applyBorder="1" applyAlignment="1">
      <alignment horizontal="center" vertical="center" textRotation="90"/>
    </xf>
    <xf numFmtId="0" fontId="22" fillId="0" borderId="4" xfId="0" applyFont="1" applyBorder="1" applyAlignment="1">
      <alignment horizontal="center" vertical="center" textRotation="90"/>
    </xf>
    <xf numFmtId="0" fontId="22" fillId="0" borderId="17" xfId="0" applyFont="1" applyBorder="1" applyAlignment="1">
      <alignment horizontal="center" vertical="center" textRotation="90"/>
    </xf>
    <xf numFmtId="0" fontId="21" fillId="0" borderId="16" xfId="0" applyFont="1" applyFill="1" applyBorder="1" applyAlignment="1">
      <alignment horizontal="center" vertical="center" textRotation="90" wrapText="1"/>
    </xf>
    <xf numFmtId="0" fontId="21" fillId="0" borderId="4" xfId="0" applyFont="1" applyBorder="1" applyAlignment="1">
      <alignment horizontal="center" vertical="center" textRotation="90"/>
    </xf>
    <xf numFmtId="0" fontId="21" fillId="0" borderId="17" xfId="0" applyFont="1" applyBorder="1" applyAlignment="1">
      <alignment horizontal="center" vertical="center" textRotation="90"/>
    </xf>
    <xf numFmtId="0" fontId="22" fillId="0" borderId="16" xfId="0" applyFont="1" applyFill="1" applyBorder="1" applyAlignment="1">
      <alignment horizontal="center" vertical="center" textRotation="90" wrapText="1"/>
    </xf>
    <xf numFmtId="0" fontId="22" fillId="0" borderId="4" xfId="0" applyFont="1" applyBorder="1" applyAlignment="1">
      <alignment horizontal="center" vertical="center" textRotation="90" wrapText="1"/>
    </xf>
    <xf numFmtId="0" fontId="22" fillId="0" borderId="11" xfId="0" applyFont="1" applyBorder="1" applyAlignment="1">
      <alignment horizontal="center" vertical="center" textRotation="90" wrapText="1"/>
    </xf>
    <xf numFmtId="168" fontId="24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68" fontId="0" fillId="0" borderId="0" xfId="0" applyNumberFormat="1" applyAlignment="1">
      <alignment horizontal="center" vertical="center"/>
    </xf>
  </cellXfs>
  <cellStyles count="3">
    <cellStyle name="Comma [0]" xfId="2" builtinId="6"/>
    <cellStyle name="Normal" xfId="0" builtinId="0"/>
    <cellStyle name="標準_Input_OutPut20060417" xfId="1"/>
  </cellStyles>
  <dxfs count="0"/>
  <tableStyles count="0" defaultTableStyle="TableStyleMedium2" defaultPivotStyle="PivotStyleLight16"/>
  <colors>
    <mruColors>
      <color rgb="FFFFFFCC"/>
      <color rgb="FF0066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3"/>
  </sheetPr>
  <dimension ref="A2:N90"/>
  <sheetViews>
    <sheetView showGridLines="0" workbookViewId="0"/>
  </sheetViews>
  <sheetFormatPr defaultRowHeight="15" x14ac:dyDescent="0.25"/>
  <cols>
    <col min="1" max="1" width="10.7109375" customWidth="1"/>
    <col min="2" max="2" width="2.7109375" customWidth="1"/>
    <col min="3" max="3" width="25.140625" bestFit="1" customWidth="1"/>
    <col min="4" max="4" width="32.85546875" customWidth="1"/>
    <col min="5" max="5" width="10.7109375" customWidth="1"/>
    <col min="6" max="8" width="12.7109375" customWidth="1"/>
    <col min="9" max="9" width="15.7109375" customWidth="1"/>
    <col min="10" max="10" width="20.7109375" customWidth="1"/>
    <col min="11" max="11" width="12.7109375" customWidth="1"/>
    <col min="12" max="13" width="15.7109375" customWidth="1"/>
    <col min="14" max="14" width="2.7109375" customWidth="1"/>
  </cols>
  <sheetData>
    <row r="2" spans="2:14" x14ac:dyDescent="0.25">
      <c r="B2" s="156" t="s">
        <v>280</v>
      </c>
    </row>
    <row r="3" spans="2:14" x14ac:dyDescent="0.25">
      <c r="B3" s="61"/>
    </row>
    <row r="4" spans="2:14" x14ac:dyDescent="0.25">
      <c r="B4" s="61"/>
    </row>
    <row r="5" spans="2:14" x14ac:dyDescent="0.25">
      <c r="B5" s="151" t="s">
        <v>215</v>
      </c>
    </row>
    <row r="6" spans="2:14" x14ac:dyDescent="0.25">
      <c r="B6" s="2"/>
      <c r="C6" s="45"/>
      <c r="D6" s="46"/>
      <c r="E6" s="3"/>
      <c r="F6" s="3"/>
      <c r="G6" s="3"/>
      <c r="H6" s="3"/>
      <c r="I6" s="3"/>
      <c r="J6" s="3"/>
      <c r="K6" s="3"/>
      <c r="L6" s="3"/>
      <c r="M6" s="3"/>
      <c r="N6" s="4"/>
    </row>
    <row r="7" spans="2:14" x14ac:dyDescent="0.25">
      <c r="B7" s="5"/>
      <c r="C7" s="152" t="s">
        <v>215</v>
      </c>
      <c r="D7" s="185" t="str">
        <f ca="1">IF(NOW(),_xll.meLWOCurveCreateOIS("EUROIS_19FEB16",Curve.CollectionName,Curve.MarketDataTable,Curve.OISIndexName,Curve.BuildProperties,OIS.Conventions,OIS.MarketData,OIS.FixingTable,LiborOISBasis.Conventions,LiborOISBasis.MarketData,LiborSwap.Conventions,LiborSwap.MarketData),"Error Building OIS Curve")</f>
        <v>EUROIS_19FEB16:4</v>
      </c>
      <c r="E7" s="7" t="s">
        <v>4</v>
      </c>
      <c r="F7" s="7"/>
      <c r="G7" s="7"/>
      <c r="H7" s="7"/>
      <c r="I7" s="7"/>
      <c r="J7" s="7"/>
      <c r="K7" s="7"/>
      <c r="L7" s="7"/>
      <c r="M7" s="7"/>
      <c r="N7" s="8"/>
    </row>
    <row r="8" spans="2:14" x14ac:dyDescent="0.25">
      <c r="B8" s="5"/>
      <c r="C8" s="114" t="s">
        <v>192</v>
      </c>
      <c r="D8" s="115" t="b">
        <f ca="1">LEFT(D7,6)="EUROIS"</f>
        <v>1</v>
      </c>
      <c r="E8" s="7" t="s">
        <v>4</v>
      </c>
      <c r="F8" s="7"/>
      <c r="G8" s="7"/>
      <c r="H8" s="7"/>
      <c r="I8" s="7"/>
      <c r="J8" s="7"/>
      <c r="K8" s="7"/>
      <c r="L8" s="7"/>
      <c r="M8" s="7"/>
      <c r="N8" s="8"/>
    </row>
    <row r="9" spans="2:14" x14ac:dyDescent="0.25">
      <c r="B9" s="5"/>
      <c r="C9" s="6"/>
      <c r="D9" s="60"/>
      <c r="E9" s="7"/>
      <c r="F9" s="7"/>
      <c r="G9" s="7"/>
      <c r="H9" s="7"/>
      <c r="I9" s="7"/>
      <c r="J9" s="7"/>
      <c r="K9" s="7"/>
      <c r="L9" s="7"/>
      <c r="M9" s="7"/>
      <c r="N9" s="8"/>
    </row>
    <row r="10" spans="2:14" x14ac:dyDescent="0.25">
      <c r="B10" s="5"/>
      <c r="C10" s="48" t="s">
        <v>0</v>
      </c>
      <c r="D10" s="57"/>
      <c r="E10" s="7"/>
      <c r="F10" s="7"/>
      <c r="G10" s="7"/>
      <c r="H10" s="7"/>
      <c r="I10" s="7"/>
      <c r="J10" s="7"/>
      <c r="K10" s="7"/>
      <c r="L10" s="7"/>
      <c r="M10" s="7"/>
      <c r="N10" s="8"/>
    </row>
    <row r="11" spans="2:14" x14ac:dyDescent="0.25">
      <c r="B11" s="5"/>
      <c r="C11" s="27" t="s">
        <v>88</v>
      </c>
      <c r="D11" s="103" t="s">
        <v>80</v>
      </c>
      <c r="E11" s="7"/>
      <c r="F11" s="7"/>
      <c r="G11" s="7"/>
      <c r="H11" s="7"/>
      <c r="I11" s="7"/>
      <c r="J11" s="7"/>
      <c r="K11" s="7"/>
      <c r="L11" s="7"/>
      <c r="M11" s="7"/>
      <c r="N11" s="8"/>
    </row>
    <row r="12" spans="2:14" x14ac:dyDescent="0.25">
      <c r="B12" s="5"/>
      <c r="C12" s="28" t="s">
        <v>87</v>
      </c>
      <c r="D12" s="104" t="s">
        <v>9</v>
      </c>
      <c r="E12" s="7"/>
      <c r="F12" s="7"/>
      <c r="G12" s="7"/>
      <c r="H12" s="7"/>
      <c r="I12" s="7"/>
      <c r="J12" s="7"/>
      <c r="K12" s="7"/>
      <c r="L12" s="7"/>
      <c r="M12" s="7"/>
      <c r="N12" s="8"/>
    </row>
    <row r="13" spans="2:14" x14ac:dyDescent="0.25">
      <c r="B13" s="5"/>
      <c r="C13" s="59" t="s">
        <v>89</v>
      </c>
      <c r="D13" s="106" t="s">
        <v>189</v>
      </c>
      <c r="E13" s="7"/>
      <c r="F13" s="7"/>
      <c r="G13" s="7"/>
      <c r="H13" s="7" t="s">
        <v>4</v>
      </c>
      <c r="I13" s="7" t="s">
        <v>4</v>
      </c>
      <c r="J13" s="7" t="s">
        <v>4</v>
      </c>
      <c r="K13" s="7" t="s">
        <v>4</v>
      </c>
      <c r="L13" s="7" t="s">
        <v>4</v>
      </c>
      <c r="M13" s="7" t="s">
        <v>4</v>
      </c>
      <c r="N13" s="8" t="s">
        <v>4</v>
      </c>
    </row>
    <row r="14" spans="2:14" x14ac:dyDescent="0.25">
      <c r="B14" s="11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3"/>
    </row>
    <row r="17" spans="1:14" x14ac:dyDescent="0.25">
      <c r="B17" s="56" t="s">
        <v>70</v>
      </c>
    </row>
    <row r="18" spans="1:14" x14ac:dyDescent="0.25">
      <c r="B18" s="2"/>
      <c r="C18" s="45"/>
      <c r="D18" s="46"/>
      <c r="E18" s="3"/>
      <c r="F18" s="3"/>
      <c r="G18" s="3"/>
      <c r="H18" s="62"/>
      <c r="I18" s="3"/>
      <c r="J18" s="3"/>
      <c r="K18" s="3"/>
      <c r="L18" s="3"/>
      <c r="M18" s="3"/>
      <c r="N18" s="4"/>
    </row>
    <row r="19" spans="1:14" x14ac:dyDescent="0.25">
      <c r="B19" s="5"/>
      <c r="C19" s="48" t="s">
        <v>70</v>
      </c>
      <c r="D19" s="47"/>
      <c r="E19" s="7"/>
      <c r="F19" s="50" t="s">
        <v>81</v>
      </c>
      <c r="G19" s="7"/>
      <c r="H19" s="7"/>
      <c r="I19" s="7"/>
      <c r="J19" s="7"/>
      <c r="K19" s="7"/>
      <c r="L19" s="7"/>
      <c r="M19" s="7"/>
      <c r="N19" s="8"/>
    </row>
    <row r="20" spans="1:14" x14ac:dyDescent="0.25">
      <c r="B20" s="5"/>
      <c r="C20" s="27" t="s">
        <v>10</v>
      </c>
      <c r="D20" s="103">
        <v>42419</v>
      </c>
      <c r="E20" s="7"/>
      <c r="F20" s="14" t="s">
        <v>82</v>
      </c>
      <c r="G20" s="15"/>
      <c r="H20" s="16"/>
      <c r="I20" s="7"/>
      <c r="J20" s="7"/>
      <c r="K20" s="7"/>
      <c r="L20" s="7"/>
      <c r="M20" s="7"/>
      <c r="N20" s="8"/>
    </row>
    <row r="21" spans="1:14" x14ac:dyDescent="0.25">
      <c r="A21" s="28"/>
      <c r="B21" s="5"/>
      <c r="C21" s="28" t="s">
        <v>16</v>
      </c>
      <c r="D21" s="104" t="s">
        <v>17</v>
      </c>
      <c r="E21" s="7"/>
      <c r="F21" s="17" t="s">
        <v>83</v>
      </c>
      <c r="G21" s="1"/>
      <c r="H21" s="18"/>
      <c r="I21" s="7"/>
      <c r="J21" s="7"/>
      <c r="K21" s="7"/>
      <c r="L21" s="7"/>
      <c r="M21" s="7"/>
      <c r="N21" s="8"/>
    </row>
    <row r="22" spans="1:14" x14ac:dyDescent="0.25">
      <c r="B22" s="5"/>
      <c r="C22" s="28" t="s">
        <v>24</v>
      </c>
      <c r="D22" s="107" t="s">
        <v>84</v>
      </c>
      <c r="E22" s="7"/>
      <c r="F22" s="17" t="s">
        <v>84</v>
      </c>
      <c r="G22" s="1"/>
      <c r="H22" s="18"/>
      <c r="I22" s="7"/>
      <c r="J22" s="7"/>
      <c r="K22" s="7"/>
      <c r="L22" s="7"/>
      <c r="M22" s="7"/>
      <c r="N22" s="8"/>
    </row>
    <row r="23" spans="1:14" x14ac:dyDescent="0.25">
      <c r="B23" s="5"/>
      <c r="C23" s="29"/>
      <c r="D23" s="104"/>
      <c r="E23" s="7"/>
      <c r="F23" s="17" t="s">
        <v>85</v>
      </c>
      <c r="G23" s="1"/>
      <c r="H23" s="18"/>
      <c r="I23" s="7"/>
      <c r="J23" s="7"/>
      <c r="K23" s="7"/>
      <c r="L23" s="7"/>
      <c r="M23" s="7"/>
      <c r="N23" s="8"/>
    </row>
    <row r="24" spans="1:14" x14ac:dyDescent="0.25">
      <c r="B24" s="5"/>
      <c r="C24" s="44"/>
      <c r="D24" s="106"/>
      <c r="E24" s="7"/>
      <c r="F24" s="21" t="s">
        <v>86</v>
      </c>
      <c r="G24" s="23"/>
      <c r="H24" s="22"/>
      <c r="I24" s="7"/>
      <c r="J24" s="7"/>
      <c r="K24" s="7"/>
      <c r="L24" s="7"/>
      <c r="M24" s="7"/>
      <c r="N24" s="8"/>
    </row>
    <row r="25" spans="1:14" x14ac:dyDescent="0.25">
      <c r="B25" s="11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3"/>
    </row>
    <row r="27" spans="1:14" x14ac:dyDescent="0.25">
      <c r="F27" s="63"/>
    </row>
    <row r="28" spans="1:14" x14ac:dyDescent="0.25">
      <c r="B28" s="56" t="s">
        <v>79</v>
      </c>
    </row>
    <row r="29" spans="1:14" x14ac:dyDescent="0.25">
      <c r="B29" s="2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4"/>
    </row>
    <row r="30" spans="1:14" x14ac:dyDescent="0.25">
      <c r="B30" s="5"/>
      <c r="C30" s="49" t="s">
        <v>5</v>
      </c>
      <c r="D30" s="10"/>
      <c r="E30" s="10"/>
      <c r="F30" s="49" t="s">
        <v>72</v>
      </c>
      <c r="G30" s="10"/>
      <c r="H30" s="10"/>
      <c r="I30" s="10"/>
      <c r="J30" s="10"/>
      <c r="K30" s="10"/>
      <c r="L30" s="49" t="s">
        <v>74</v>
      </c>
      <c r="M30" s="10"/>
      <c r="N30" s="55"/>
    </row>
    <row r="31" spans="1:14" x14ac:dyDescent="0.25">
      <c r="B31" s="5"/>
      <c r="C31" s="27" t="s">
        <v>3</v>
      </c>
      <c r="D31" s="34" t="s">
        <v>2</v>
      </c>
      <c r="E31" s="7"/>
      <c r="F31" s="58" t="s">
        <v>11</v>
      </c>
      <c r="G31" s="58" t="s">
        <v>12</v>
      </c>
      <c r="H31" s="58" t="s">
        <v>13</v>
      </c>
      <c r="I31" s="58" t="s">
        <v>14</v>
      </c>
      <c r="J31" s="58" t="s">
        <v>8</v>
      </c>
      <c r="K31" s="10"/>
      <c r="L31" s="58" t="s">
        <v>75</v>
      </c>
      <c r="M31" s="58" t="s">
        <v>12</v>
      </c>
      <c r="N31" s="55"/>
    </row>
    <row r="32" spans="1:14" x14ac:dyDescent="0.25">
      <c r="B32" s="5"/>
      <c r="C32" s="28" t="s">
        <v>7</v>
      </c>
      <c r="D32" s="35" t="s">
        <v>6</v>
      </c>
      <c r="E32" s="9"/>
      <c r="F32" s="24" t="s">
        <v>46</v>
      </c>
      <c r="G32" s="19">
        <v>-2.4299999999999999E-3</v>
      </c>
      <c r="H32" s="20" t="s">
        <v>37</v>
      </c>
      <c r="I32" s="20" t="s">
        <v>37</v>
      </c>
      <c r="J32" s="41" t="b">
        <v>1</v>
      </c>
      <c r="K32" s="10"/>
      <c r="L32" s="53"/>
      <c r="M32" s="51"/>
      <c r="N32" s="55"/>
    </row>
    <row r="33" spans="2:14" x14ac:dyDescent="0.25">
      <c r="B33" s="5"/>
      <c r="C33" s="28" t="s">
        <v>25</v>
      </c>
      <c r="D33" s="35" t="s">
        <v>26</v>
      </c>
      <c r="E33" s="9"/>
      <c r="F33" s="24" t="s">
        <v>48</v>
      </c>
      <c r="G33" s="19">
        <v>-3.3900000000000002E-3</v>
      </c>
      <c r="H33" s="20">
        <v>42481</v>
      </c>
      <c r="I33" s="20">
        <v>42523</v>
      </c>
      <c r="J33" s="41" t="b">
        <v>1</v>
      </c>
      <c r="K33" s="10"/>
      <c r="L33" s="53"/>
      <c r="M33" s="51"/>
      <c r="N33" s="55"/>
    </row>
    <row r="34" spans="2:14" x14ac:dyDescent="0.25">
      <c r="B34" s="5"/>
      <c r="C34" s="28" t="s">
        <v>15</v>
      </c>
      <c r="D34" s="35" t="s">
        <v>30</v>
      </c>
      <c r="E34" s="9"/>
      <c r="F34" s="24" t="s">
        <v>49</v>
      </c>
      <c r="G34" s="19">
        <v>-3.5299999999999997E-3</v>
      </c>
      <c r="H34" s="20">
        <v>42523</v>
      </c>
      <c r="I34" s="20">
        <v>42572</v>
      </c>
      <c r="J34" s="41" t="b">
        <v>1</v>
      </c>
      <c r="K34" s="10"/>
      <c r="L34" s="53"/>
      <c r="M34" s="51"/>
      <c r="N34" s="55"/>
    </row>
    <row r="35" spans="2:14" x14ac:dyDescent="0.25">
      <c r="B35" s="5"/>
      <c r="C35" s="28" t="s">
        <v>23</v>
      </c>
      <c r="D35" s="35" t="s">
        <v>22</v>
      </c>
      <c r="E35" s="9"/>
      <c r="F35" s="24" t="s">
        <v>51</v>
      </c>
      <c r="G35" s="19">
        <v>-3.5699999999999998E-3</v>
      </c>
      <c r="H35" s="20">
        <v>42572</v>
      </c>
      <c r="I35" s="20">
        <v>42621</v>
      </c>
      <c r="J35" s="41" t="b">
        <v>1</v>
      </c>
      <c r="K35" s="10"/>
      <c r="L35" s="53"/>
      <c r="M35" s="51"/>
      <c r="N35" s="55"/>
    </row>
    <row r="36" spans="2:14" x14ac:dyDescent="0.25">
      <c r="B36" s="5"/>
      <c r="C36" s="29" t="s">
        <v>31</v>
      </c>
      <c r="D36" s="35" t="b">
        <v>1</v>
      </c>
      <c r="E36" s="9"/>
      <c r="F36" s="24" t="s">
        <v>53</v>
      </c>
      <c r="G36" s="19">
        <v>-3.7799999999999999E-3</v>
      </c>
      <c r="H36" s="20">
        <v>42621</v>
      </c>
      <c r="I36" s="20">
        <v>42663</v>
      </c>
      <c r="J36" s="41" t="b">
        <v>1</v>
      </c>
      <c r="K36" s="10"/>
      <c r="L36" s="53"/>
      <c r="M36" s="51"/>
      <c r="N36" s="55"/>
    </row>
    <row r="37" spans="2:14" x14ac:dyDescent="0.25">
      <c r="B37" s="5"/>
      <c r="C37" s="30" t="s">
        <v>32</v>
      </c>
      <c r="D37" s="36">
        <v>31</v>
      </c>
      <c r="E37" s="9"/>
      <c r="F37" s="24" t="s">
        <v>55</v>
      </c>
      <c r="G37" s="19">
        <v>-3.8600000000000001E-3</v>
      </c>
      <c r="H37" s="20">
        <v>42663</v>
      </c>
      <c r="I37" s="20">
        <v>42712</v>
      </c>
      <c r="J37" s="41" t="b">
        <v>1</v>
      </c>
      <c r="K37" s="10"/>
      <c r="L37" s="53"/>
      <c r="M37" s="51"/>
      <c r="N37" s="55"/>
    </row>
    <row r="38" spans="2:14" x14ac:dyDescent="0.25">
      <c r="B38" s="5"/>
      <c r="C38" s="28" t="s">
        <v>33</v>
      </c>
      <c r="D38" s="35" t="s">
        <v>34</v>
      </c>
      <c r="E38" s="9"/>
      <c r="F38" s="24" t="s">
        <v>57</v>
      </c>
      <c r="G38" s="19">
        <v>-3.6900000000000001E-3</v>
      </c>
      <c r="H38" s="20" t="s">
        <v>37</v>
      </c>
      <c r="I38" s="20" t="s">
        <v>37</v>
      </c>
      <c r="J38" s="41" t="b">
        <v>1</v>
      </c>
      <c r="K38" s="10"/>
      <c r="L38" s="53"/>
      <c r="M38" s="51"/>
      <c r="N38" s="55"/>
    </row>
    <row r="39" spans="2:14" x14ac:dyDescent="0.25">
      <c r="B39" s="5"/>
      <c r="C39" s="28" t="s">
        <v>35</v>
      </c>
      <c r="D39" s="35" t="s">
        <v>36</v>
      </c>
      <c r="E39" s="9"/>
      <c r="F39" s="24" t="s">
        <v>59</v>
      </c>
      <c r="G39" s="19">
        <v>-3.79E-3</v>
      </c>
      <c r="H39" s="20" t="s">
        <v>37</v>
      </c>
      <c r="I39" s="20" t="s">
        <v>37</v>
      </c>
      <c r="J39" s="41" t="b">
        <v>1</v>
      </c>
      <c r="K39" s="10"/>
      <c r="L39" s="53"/>
      <c r="M39" s="51"/>
      <c r="N39" s="55"/>
    </row>
    <row r="40" spans="2:14" x14ac:dyDescent="0.25">
      <c r="B40" s="5"/>
      <c r="C40" s="28" t="s">
        <v>38</v>
      </c>
      <c r="D40" s="35" t="s">
        <v>39</v>
      </c>
      <c r="E40" s="9"/>
      <c r="F40" s="24" t="s">
        <v>47</v>
      </c>
      <c r="G40" s="19">
        <v>-3.7699999999999999E-3</v>
      </c>
      <c r="H40" s="20" t="s">
        <v>37</v>
      </c>
      <c r="I40" s="20" t="s">
        <v>37</v>
      </c>
      <c r="J40" s="41" t="b">
        <v>1</v>
      </c>
      <c r="K40" s="10"/>
      <c r="L40" s="53"/>
      <c r="M40" s="51"/>
      <c r="N40" s="55"/>
    </row>
    <row r="41" spans="2:14" x14ac:dyDescent="0.25">
      <c r="B41" s="5"/>
      <c r="C41" s="28" t="s">
        <v>40</v>
      </c>
      <c r="D41" s="35" t="s">
        <v>41</v>
      </c>
      <c r="E41" s="9"/>
      <c r="F41" s="24" t="s">
        <v>43</v>
      </c>
      <c r="G41" s="19">
        <v>-3.4000000000000002E-3</v>
      </c>
      <c r="H41" s="20" t="s">
        <v>37</v>
      </c>
      <c r="I41" s="20" t="s">
        <v>37</v>
      </c>
      <c r="J41" s="41" t="b">
        <v>1</v>
      </c>
      <c r="K41" s="10"/>
      <c r="L41" s="53"/>
      <c r="M41" s="51"/>
      <c r="N41" s="55"/>
    </row>
    <row r="42" spans="2:14" x14ac:dyDescent="0.25">
      <c r="B42" s="5"/>
      <c r="C42" s="28" t="s">
        <v>42</v>
      </c>
      <c r="D42" s="35" t="s">
        <v>43</v>
      </c>
      <c r="E42" s="9"/>
      <c r="F42" s="24" t="s">
        <v>50</v>
      </c>
      <c r="G42" s="19">
        <v>-2.6900000000000001E-3</v>
      </c>
      <c r="H42" s="20" t="s">
        <v>37</v>
      </c>
      <c r="I42" s="20" t="s">
        <v>37</v>
      </c>
      <c r="J42" s="41" t="b">
        <v>1</v>
      </c>
      <c r="K42" s="10"/>
      <c r="L42" s="53"/>
      <c r="M42" s="51"/>
      <c r="N42" s="55"/>
    </row>
    <row r="43" spans="2:14" x14ac:dyDescent="0.25">
      <c r="B43" s="5"/>
      <c r="C43" s="29" t="s">
        <v>44</v>
      </c>
      <c r="D43" s="35" t="s">
        <v>45</v>
      </c>
      <c r="E43" s="9"/>
      <c r="F43" s="24" t="s">
        <v>52</v>
      </c>
      <c r="G43" s="19">
        <v>-1.7499999999999998E-3</v>
      </c>
      <c r="H43" s="20" t="s">
        <v>37</v>
      </c>
      <c r="I43" s="20" t="s">
        <v>37</v>
      </c>
      <c r="J43" s="41" t="b">
        <v>1</v>
      </c>
      <c r="K43" s="10"/>
      <c r="L43" s="53"/>
      <c r="M43" s="51"/>
      <c r="N43" s="55"/>
    </row>
    <row r="44" spans="2:14" x14ac:dyDescent="0.25">
      <c r="B44" s="5"/>
      <c r="C44" s="28" t="s">
        <v>135</v>
      </c>
      <c r="D44" s="38">
        <v>1E-10</v>
      </c>
      <c r="E44" s="9"/>
      <c r="F44" s="24" t="s">
        <v>54</v>
      </c>
      <c r="G44" s="19">
        <v>-6.4000000000000005E-4</v>
      </c>
      <c r="H44" s="20" t="s">
        <v>37</v>
      </c>
      <c r="I44" s="20" t="s">
        <v>37</v>
      </c>
      <c r="J44" s="41" t="b">
        <v>1</v>
      </c>
      <c r="K44" s="10"/>
      <c r="L44" s="53"/>
      <c r="M44" s="51"/>
      <c r="N44" s="55"/>
    </row>
    <row r="45" spans="2:14" x14ac:dyDescent="0.25">
      <c r="B45" s="5"/>
      <c r="C45" s="28" t="s">
        <v>136</v>
      </c>
      <c r="D45" s="102">
        <v>1000</v>
      </c>
      <c r="E45" s="9"/>
      <c r="F45" s="24" t="s">
        <v>56</v>
      </c>
      <c r="G45" s="19">
        <v>5.6999999999999998E-4</v>
      </c>
      <c r="H45" s="20" t="s">
        <v>37</v>
      </c>
      <c r="I45" s="20" t="s">
        <v>37</v>
      </c>
      <c r="J45" s="41" t="b">
        <v>1</v>
      </c>
      <c r="K45" s="10"/>
      <c r="L45" s="53"/>
      <c r="M45" s="51"/>
      <c r="N45" s="55"/>
    </row>
    <row r="46" spans="2:14" x14ac:dyDescent="0.25">
      <c r="B46" s="5"/>
      <c r="C46" s="31"/>
      <c r="D46" s="37"/>
      <c r="E46" s="9"/>
      <c r="F46" s="24" t="s">
        <v>58</v>
      </c>
      <c r="G46" s="19">
        <v>1.83E-3</v>
      </c>
      <c r="H46" s="20" t="s">
        <v>37</v>
      </c>
      <c r="I46" s="20" t="s">
        <v>37</v>
      </c>
      <c r="J46" s="41" t="b">
        <v>1</v>
      </c>
      <c r="K46" s="10"/>
      <c r="L46" s="53"/>
      <c r="M46" s="51"/>
      <c r="N46" s="55"/>
    </row>
    <row r="47" spans="2:14" x14ac:dyDescent="0.25">
      <c r="B47" s="5"/>
      <c r="C47" s="32"/>
      <c r="D47" s="35"/>
      <c r="E47" s="9"/>
      <c r="F47" s="24" t="s">
        <v>60</v>
      </c>
      <c r="G47" s="19">
        <v>3.0599999999999998E-3</v>
      </c>
      <c r="H47" s="20" t="s">
        <v>37</v>
      </c>
      <c r="I47" s="20" t="s">
        <v>37</v>
      </c>
      <c r="J47" s="41" t="b">
        <v>1</v>
      </c>
      <c r="K47" s="10"/>
      <c r="L47" s="53"/>
      <c r="M47" s="51"/>
      <c r="N47" s="55"/>
    </row>
    <row r="48" spans="2:14" x14ac:dyDescent="0.25">
      <c r="B48" s="5"/>
      <c r="C48" s="32"/>
      <c r="D48" s="39"/>
      <c r="E48" s="9"/>
      <c r="F48" s="24" t="s">
        <v>61</v>
      </c>
      <c r="G48" s="19">
        <v>4.1900000000000001E-3</v>
      </c>
      <c r="H48" s="20" t="s">
        <v>37</v>
      </c>
      <c r="I48" s="20" t="s">
        <v>37</v>
      </c>
      <c r="J48" s="41" t="b">
        <v>1</v>
      </c>
      <c r="K48" s="10"/>
      <c r="L48" s="53"/>
      <c r="M48" s="51"/>
      <c r="N48" s="55"/>
    </row>
    <row r="49" spans="2:14" x14ac:dyDescent="0.25">
      <c r="B49" s="5"/>
      <c r="C49" s="32"/>
      <c r="D49" s="39"/>
      <c r="E49" s="9"/>
      <c r="F49" s="24" t="s">
        <v>62</v>
      </c>
      <c r="G49" s="19">
        <v>5.2100000000000002E-3</v>
      </c>
      <c r="H49" s="20" t="s">
        <v>37</v>
      </c>
      <c r="I49" s="20" t="s">
        <v>37</v>
      </c>
      <c r="J49" s="41" t="b">
        <v>1</v>
      </c>
      <c r="K49" s="10"/>
      <c r="L49" s="53"/>
      <c r="M49" s="51"/>
      <c r="N49" s="55"/>
    </row>
    <row r="50" spans="2:14" x14ac:dyDescent="0.25">
      <c r="B50" s="5"/>
      <c r="C50" s="32"/>
      <c r="D50" s="39"/>
      <c r="E50" s="9"/>
      <c r="F50" s="24" t="s">
        <v>63</v>
      </c>
      <c r="G50" s="19">
        <v>6.0899999999999999E-3</v>
      </c>
      <c r="H50" s="20" t="s">
        <v>37</v>
      </c>
      <c r="I50" s="20" t="s">
        <v>37</v>
      </c>
      <c r="J50" s="41" t="b">
        <v>1</v>
      </c>
      <c r="K50" s="10"/>
      <c r="L50" s="53"/>
      <c r="M50" s="51"/>
      <c r="N50" s="55"/>
    </row>
    <row r="51" spans="2:14" x14ac:dyDescent="0.25">
      <c r="B51" s="5"/>
      <c r="C51" s="32"/>
      <c r="D51" s="39"/>
      <c r="E51" s="9"/>
      <c r="F51" s="24" t="s">
        <v>64</v>
      </c>
      <c r="G51" s="19">
        <v>8.1000000000000013E-3</v>
      </c>
      <c r="H51" s="20" t="s">
        <v>37</v>
      </c>
      <c r="I51" s="20" t="s">
        <v>37</v>
      </c>
      <c r="J51" s="41" t="b">
        <v>1</v>
      </c>
      <c r="K51" s="10"/>
      <c r="L51" s="53"/>
      <c r="M51" s="51"/>
      <c r="N51" s="55"/>
    </row>
    <row r="52" spans="2:14" x14ac:dyDescent="0.25">
      <c r="B52" s="5"/>
      <c r="C52" s="32"/>
      <c r="D52" s="39"/>
      <c r="E52" s="9"/>
      <c r="F52" s="24" t="s">
        <v>65</v>
      </c>
      <c r="G52" s="19">
        <v>9.75E-3</v>
      </c>
      <c r="H52" s="20" t="s">
        <v>37</v>
      </c>
      <c r="I52" s="20" t="s">
        <v>37</v>
      </c>
      <c r="J52" s="41" t="b">
        <v>1</v>
      </c>
      <c r="K52" s="10"/>
      <c r="L52" s="53"/>
      <c r="M52" s="51"/>
      <c r="N52" s="55"/>
    </row>
    <row r="53" spans="2:14" x14ac:dyDescent="0.25">
      <c r="B53" s="5"/>
      <c r="C53" s="32"/>
      <c r="D53" s="39"/>
      <c r="E53" s="9"/>
      <c r="F53" s="24" t="s">
        <v>66</v>
      </c>
      <c r="G53" s="19">
        <v>1.0329999999999999E-2</v>
      </c>
      <c r="H53" s="20" t="s">
        <v>37</v>
      </c>
      <c r="I53" s="20" t="s">
        <v>37</v>
      </c>
      <c r="J53" s="41" t="b">
        <v>1</v>
      </c>
      <c r="K53" s="10"/>
      <c r="L53" s="53"/>
      <c r="M53" s="51"/>
      <c r="N53" s="55"/>
    </row>
    <row r="54" spans="2:14" x14ac:dyDescent="0.25">
      <c r="B54" s="5"/>
      <c r="C54" s="32"/>
      <c r="D54" s="39"/>
      <c r="E54" s="9"/>
      <c r="F54" s="24" t="s">
        <v>67</v>
      </c>
      <c r="G54" s="19">
        <v>1.0529999999999999E-2</v>
      </c>
      <c r="H54" s="20" t="s">
        <v>37</v>
      </c>
      <c r="I54" s="20" t="s">
        <v>37</v>
      </c>
      <c r="J54" s="41" t="b">
        <v>1</v>
      </c>
      <c r="K54" s="10"/>
      <c r="L54" s="53"/>
      <c r="M54" s="51"/>
      <c r="N54" s="55"/>
    </row>
    <row r="55" spans="2:14" x14ac:dyDescent="0.25">
      <c r="B55" s="5"/>
      <c r="C55" s="32"/>
      <c r="D55" s="39"/>
      <c r="E55" s="9"/>
      <c r="F55" s="24" t="s">
        <v>68</v>
      </c>
      <c r="G55" s="19">
        <v>1.061E-2</v>
      </c>
      <c r="H55" s="20" t="s">
        <v>37</v>
      </c>
      <c r="I55" s="20" t="s">
        <v>37</v>
      </c>
      <c r="J55" s="41" t="b">
        <v>1</v>
      </c>
      <c r="K55" s="10"/>
      <c r="L55" s="53"/>
      <c r="M55" s="51"/>
      <c r="N55" s="55"/>
    </row>
    <row r="56" spans="2:14" x14ac:dyDescent="0.25">
      <c r="B56" s="5"/>
      <c r="C56" s="32"/>
      <c r="D56" s="39"/>
      <c r="E56" s="9"/>
      <c r="F56" s="24" t="s">
        <v>69</v>
      </c>
      <c r="G56" s="19">
        <v>1.01E-2</v>
      </c>
      <c r="H56" s="20" t="s">
        <v>37</v>
      </c>
      <c r="I56" s="20" t="s">
        <v>37</v>
      </c>
      <c r="J56" s="41" t="b">
        <v>1</v>
      </c>
      <c r="K56" s="10"/>
      <c r="L56" s="53"/>
      <c r="M56" s="51"/>
      <c r="N56" s="55"/>
    </row>
    <row r="57" spans="2:14" x14ac:dyDescent="0.25">
      <c r="B57" s="5"/>
      <c r="C57" s="33"/>
      <c r="D57" s="40"/>
      <c r="E57" s="9"/>
      <c r="F57" s="25"/>
      <c r="G57" s="26"/>
      <c r="H57" s="42"/>
      <c r="I57" s="42"/>
      <c r="J57" s="43"/>
      <c r="K57" s="10"/>
      <c r="L57" s="54"/>
      <c r="M57" s="52"/>
      <c r="N57" s="55"/>
    </row>
    <row r="58" spans="2:14" x14ac:dyDescent="0.25">
      <c r="B58" s="11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3"/>
    </row>
    <row r="61" spans="2:14" x14ac:dyDescent="0.25">
      <c r="B61" s="56" t="s">
        <v>78</v>
      </c>
    </row>
    <row r="62" spans="2:14" x14ac:dyDescent="0.25">
      <c r="B62" s="2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4"/>
    </row>
    <row r="63" spans="2:14" x14ac:dyDescent="0.25">
      <c r="B63" s="5"/>
      <c r="C63" s="49" t="s">
        <v>71</v>
      </c>
      <c r="D63" s="10"/>
      <c r="E63" s="10"/>
      <c r="F63" s="49" t="s">
        <v>73</v>
      </c>
      <c r="G63" s="10"/>
      <c r="H63" s="10"/>
      <c r="I63" s="49" t="s">
        <v>76</v>
      </c>
      <c r="J63" s="10"/>
      <c r="K63" s="10"/>
      <c r="L63" s="49" t="s">
        <v>77</v>
      </c>
      <c r="M63" s="10"/>
      <c r="N63" s="55"/>
    </row>
    <row r="64" spans="2:14" x14ac:dyDescent="0.25">
      <c r="B64" s="5"/>
      <c r="C64" s="27" t="s">
        <v>1</v>
      </c>
      <c r="D64" s="34" t="s">
        <v>2</v>
      </c>
      <c r="E64" s="7"/>
      <c r="F64" s="58" t="s">
        <v>11</v>
      </c>
      <c r="G64" s="58" t="s">
        <v>12</v>
      </c>
      <c r="H64" s="10"/>
      <c r="I64" s="27" t="s">
        <v>3</v>
      </c>
      <c r="J64" s="34" t="s">
        <v>2</v>
      </c>
      <c r="K64" s="10"/>
      <c r="L64" s="58" t="s">
        <v>11</v>
      </c>
      <c r="M64" s="58" t="s">
        <v>12</v>
      </c>
      <c r="N64" s="55"/>
    </row>
    <row r="65" spans="2:14" x14ac:dyDescent="0.25">
      <c r="B65" s="5"/>
      <c r="C65" s="28" t="s">
        <v>18</v>
      </c>
      <c r="D65" s="35" t="s">
        <v>6</v>
      </c>
      <c r="E65" s="9"/>
      <c r="F65" s="24" t="s">
        <v>47</v>
      </c>
      <c r="G65" s="51">
        <v>1.2600000000000001E-3</v>
      </c>
      <c r="H65" s="10"/>
      <c r="I65" s="28" t="s">
        <v>19</v>
      </c>
      <c r="J65" s="35" t="s">
        <v>20</v>
      </c>
      <c r="K65" s="10"/>
      <c r="L65" s="24" t="s">
        <v>47</v>
      </c>
      <c r="M65" s="51">
        <v>-2.5400000000000002E-3</v>
      </c>
      <c r="N65" s="55"/>
    </row>
    <row r="66" spans="2:14" x14ac:dyDescent="0.25">
      <c r="B66" s="5"/>
      <c r="C66" s="28" t="s">
        <v>27</v>
      </c>
      <c r="D66" s="35" t="s">
        <v>28</v>
      </c>
      <c r="E66" s="9"/>
      <c r="F66" s="24" t="s">
        <v>43</v>
      </c>
      <c r="G66" s="51">
        <v>1.2999999999999999E-3</v>
      </c>
      <c r="H66" s="10"/>
      <c r="I66" s="28" t="s">
        <v>29</v>
      </c>
      <c r="J66" s="35" t="s">
        <v>26</v>
      </c>
      <c r="K66" s="10"/>
      <c r="L66" s="24" t="s">
        <v>43</v>
      </c>
      <c r="M66" s="51">
        <v>-2.14E-3</v>
      </c>
      <c r="N66" s="55"/>
    </row>
    <row r="67" spans="2:14" x14ac:dyDescent="0.25">
      <c r="B67" s="5"/>
      <c r="C67" s="28" t="s">
        <v>21</v>
      </c>
      <c r="D67" s="35" t="s">
        <v>22</v>
      </c>
      <c r="E67" s="9"/>
      <c r="F67" s="24" t="s">
        <v>50</v>
      </c>
      <c r="G67" s="51">
        <v>1.32E-3</v>
      </c>
      <c r="H67" s="10"/>
      <c r="I67" s="28" t="s">
        <v>23</v>
      </c>
      <c r="J67" s="35" t="s">
        <v>22</v>
      </c>
      <c r="K67" s="10"/>
      <c r="L67" s="24" t="s">
        <v>50</v>
      </c>
      <c r="M67" s="51">
        <v>-1.4000000000000002E-3</v>
      </c>
      <c r="N67" s="55"/>
    </row>
    <row r="68" spans="2:14" x14ac:dyDescent="0.25">
      <c r="B68" s="5"/>
      <c r="C68" s="28"/>
      <c r="D68" s="35"/>
      <c r="E68" s="9"/>
      <c r="F68" s="24" t="s">
        <v>52</v>
      </c>
      <c r="G68" s="51">
        <v>1.34E-3</v>
      </c>
      <c r="H68" s="10"/>
      <c r="I68" s="28"/>
      <c r="J68" s="35"/>
      <c r="K68" s="10"/>
      <c r="L68" s="24" t="s">
        <v>52</v>
      </c>
      <c r="M68" s="51">
        <v>-4.2000000000000002E-4</v>
      </c>
      <c r="N68" s="55"/>
    </row>
    <row r="69" spans="2:14" x14ac:dyDescent="0.25">
      <c r="B69" s="5"/>
      <c r="C69" s="29"/>
      <c r="D69" s="35"/>
      <c r="E69" s="9"/>
      <c r="F69" s="24" t="s">
        <v>54</v>
      </c>
      <c r="G69" s="51">
        <v>1.33E-3</v>
      </c>
      <c r="H69" s="10"/>
      <c r="I69" s="29"/>
      <c r="J69" s="35"/>
      <c r="K69" s="10"/>
      <c r="L69" s="24" t="s">
        <v>54</v>
      </c>
      <c r="M69" s="51">
        <v>7.000000000000001E-4</v>
      </c>
      <c r="N69" s="55"/>
    </row>
    <row r="70" spans="2:14" x14ac:dyDescent="0.25">
      <c r="B70" s="5"/>
      <c r="C70" s="30"/>
      <c r="D70" s="36"/>
      <c r="E70" s="9"/>
      <c r="F70" s="24" t="s">
        <v>56</v>
      </c>
      <c r="G70" s="51">
        <v>1.32E-3</v>
      </c>
      <c r="H70" s="10"/>
      <c r="I70" s="30"/>
      <c r="J70" s="36"/>
      <c r="K70" s="10"/>
      <c r="L70" s="24" t="s">
        <v>56</v>
      </c>
      <c r="M70" s="51">
        <v>1.92E-3</v>
      </c>
      <c r="N70" s="55"/>
    </row>
    <row r="71" spans="2:14" x14ac:dyDescent="0.25">
      <c r="B71" s="5"/>
      <c r="C71" s="28"/>
      <c r="D71" s="35"/>
      <c r="E71" s="9"/>
      <c r="F71" s="24" t="s">
        <v>58</v>
      </c>
      <c r="G71" s="51">
        <v>1.31E-3</v>
      </c>
      <c r="H71" s="10"/>
      <c r="I71" s="28"/>
      <c r="J71" s="35"/>
      <c r="K71" s="10"/>
      <c r="L71" s="24" t="s">
        <v>58</v>
      </c>
      <c r="M71" s="51">
        <v>3.1900000000000001E-3</v>
      </c>
      <c r="N71" s="55"/>
    </row>
    <row r="72" spans="2:14" x14ac:dyDescent="0.25">
      <c r="B72" s="5"/>
      <c r="C72" s="28"/>
      <c r="D72" s="35"/>
      <c r="E72" s="9"/>
      <c r="F72" s="24" t="s">
        <v>60</v>
      </c>
      <c r="G72" s="51">
        <v>1.2999999999999999E-3</v>
      </c>
      <c r="H72" s="10"/>
      <c r="I72" s="28"/>
      <c r="J72" s="35"/>
      <c r="K72" s="10"/>
      <c r="L72" s="24" t="s">
        <v>60</v>
      </c>
      <c r="M72" s="51">
        <v>4.4299999999999999E-3</v>
      </c>
      <c r="N72" s="55"/>
    </row>
    <row r="73" spans="2:14" x14ac:dyDescent="0.25">
      <c r="B73" s="5"/>
      <c r="C73" s="28"/>
      <c r="D73" s="35"/>
      <c r="E73" s="9"/>
      <c r="F73" s="24" t="s">
        <v>61</v>
      </c>
      <c r="G73" s="51">
        <v>1.2800000000000001E-3</v>
      </c>
      <c r="H73" s="10"/>
      <c r="I73" s="28"/>
      <c r="J73" s="35"/>
      <c r="K73" s="10"/>
      <c r="L73" s="24" t="s">
        <v>61</v>
      </c>
      <c r="M73" s="51">
        <v>5.5500000000000002E-3</v>
      </c>
      <c r="N73" s="55"/>
    </row>
    <row r="74" spans="2:14" x14ac:dyDescent="0.25">
      <c r="B74" s="5"/>
      <c r="C74" s="28"/>
      <c r="D74" s="35"/>
      <c r="E74" s="9"/>
      <c r="F74" s="24" t="s">
        <v>62</v>
      </c>
      <c r="G74" s="51">
        <v>1.2699999999999999E-3</v>
      </c>
      <c r="H74" s="10"/>
      <c r="I74" s="28"/>
      <c r="J74" s="35"/>
      <c r="K74" s="10"/>
      <c r="L74" s="24" t="s">
        <v>62</v>
      </c>
      <c r="M74" s="51">
        <v>6.5700000000000003E-3</v>
      </c>
      <c r="N74" s="55"/>
    </row>
    <row r="75" spans="2:14" x14ac:dyDescent="0.25">
      <c r="B75" s="5"/>
      <c r="C75" s="28"/>
      <c r="D75" s="35"/>
      <c r="E75" s="9"/>
      <c r="F75" s="24" t="s">
        <v>63</v>
      </c>
      <c r="G75" s="51">
        <v>1.2600000000000001E-3</v>
      </c>
      <c r="H75" s="10"/>
      <c r="I75" s="28"/>
      <c r="J75" s="35"/>
      <c r="K75" s="10"/>
      <c r="L75" s="24" t="s">
        <v>63</v>
      </c>
      <c r="M75" s="51">
        <v>7.4599999999999996E-3</v>
      </c>
      <c r="N75" s="55"/>
    </row>
    <row r="76" spans="2:14" x14ac:dyDescent="0.25">
      <c r="B76" s="5"/>
      <c r="C76" s="29"/>
      <c r="D76" s="35"/>
      <c r="E76" s="9"/>
      <c r="F76" s="24" t="s">
        <v>64</v>
      </c>
      <c r="G76" s="51">
        <v>1.1900000000000001E-3</v>
      </c>
      <c r="H76" s="10"/>
      <c r="I76" s="29"/>
      <c r="J76" s="35"/>
      <c r="K76" s="10"/>
      <c r="L76" s="24" t="s">
        <v>64</v>
      </c>
      <c r="M76" s="51">
        <v>9.4199999999999996E-3</v>
      </c>
      <c r="N76" s="55"/>
    </row>
    <row r="77" spans="2:14" x14ac:dyDescent="0.25">
      <c r="B77" s="5"/>
      <c r="C77" s="31"/>
      <c r="D77" s="37"/>
      <c r="E77" s="9"/>
      <c r="F77" s="24" t="s">
        <v>65</v>
      </c>
      <c r="G77" s="51">
        <v>1.0400000000000001E-3</v>
      </c>
      <c r="H77" s="10"/>
      <c r="I77" s="31"/>
      <c r="J77" s="37"/>
      <c r="K77" s="10"/>
      <c r="L77" s="24" t="s">
        <v>65</v>
      </c>
      <c r="M77" s="51">
        <v>1.095E-2</v>
      </c>
      <c r="N77" s="55"/>
    </row>
    <row r="78" spans="2:14" x14ac:dyDescent="0.25">
      <c r="B78" s="5"/>
      <c r="C78" s="31"/>
      <c r="D78" s="38"/>
      <c r="E78" s="9"/>
      <c r="F78" s="24" t="s">
        <v>66</v>
      </c>
      <c r="G78" s="51">
        <v>9.1999999999999992E-4</v>
      </c>
      <c r="H78" s="10"/>
      <c r="I78" s="31"/>
      <c r="J78" s="38"/>
      <c r="K78" s="10"/>
      <c r="L78" s="24" t="s">
        <v>66</v>
      </c>
      <c r="M78" s="51">
        <v>1.142E-2</v>
      </c>
      <c r="N78" s="55"/>
    </row>
    <row r="79" spans="2:14" x14ac:dyDescent="0.25">
      <c r="B79" s="5"/>
      <c r="C79" s="31"/>
      <c r="D79" s="37"/>
      <c r="E79" s="9"/>
      <c r="F79" s="24" t="s">
        <v>67</v>
      </c>
      <c r="G79" s="51">
        <v>8.1999999999999998E-4</v>
      </c>
      <c r="H79" s="10"/>
      <c r="I79" s="31"/>
      <c r="J79" s="37"/>
      <c r="K79" s="10"/>
      <c r="L79" s="24" t="s">
        <v>67</v>
      </c>
      <c r="M79" s="51">
        <v>1.1519999999999999E-2</v>
      </c>
      <c r="N79" s="55"/>
    </row>
    <row r="80" spans="2:14" x14ac:dyDescent="0.25">
      <c r="B80" s="5"/>
      <c r="C80" s="32"/>
      <c r="D80" s="35"/>
      <c r="E80" s="9"/>
      <c r="F80" s="24" t="s">
        <v>68</v>
      </c>
      <c r="G80" s="51">
        <v>6.6E-4</v>
      </c>
      <c r="H80" s="10"/>
      <c r="I80" s="32"/>
      <c r="J80" s="35"/>
      <c r="K80" s="10"/>
      <c r="L80" s="24" t="s">
        <v>68</v>
      </c>
      <c r="M80" s="51">
        <v>1.1439999999999999E-2</v>
      </c>
      <c r="N80" s="55"/>
    </row>
    <row r="81" spans="2:14" x14ac:dyDescent="0.25">
      <c r="B81" s="5"/>
      <c r="C81" s="32"/>
      <c r="D81" s="39"/>
      <c r="E81" s="9"/>
      <c r="F81" s="24" t="s">
        <v>69</v>
      </c>
      <c r="G81" s="51">
        <v>5.6999999999999998E-4</v>
      </c>
      <c r="H81" s="10"/>
      <c r="I81" s="32"/>
      <c r="J81" s="39"/>
      <c r="K81" s="10"/>
      <c r="L81" s="24" t="s">
        <v>69</v>
      </c>
      <c r="M81" s="51">
        <v>1.0829999999999999E-2</v>
      </c>
      <c r="N81" s="55"/>
    </row>
    <row r="82" spans="2:14" x14ac:dyDescent="0.25">
      <c r="B82" s="5"/>
      <c r="C82" s="32"/>
      <c r="D82" s="39"/>
      <c r="E82" s="9"/>
      <c r="F82" s="24"/>
      <c r="G82" s="51"/>
      <c r="H82" s="10"/>
      <c r="I82" s="32"/>
      <c r="J82" s="39"/>
      <c r="K82" s="10"/>
      <c r="L82" s="24"/>
      <c r="M82" s="51"/>
      <c r="N82" s="55"/>
    </row>
    <row r="83" spans="2:14" x14ac:dyDescent="0.25">
      <c r="B83" s="5"/>
      <c r="C83" s="32"/>
      <c r="D83" s="39"/>
      <c r="E83" s="9"/>
      <c r="F83" s="24"/>
      <c r="G83" s="51"/>
      <c r="H83" s="10"/>
      <c r="I83" s="32"/>
      <c r="J83" s="39"/>
      <c r="K83" s="10"/>
      <c r="L83" s="24"/>
      <c r="M83" s="51"/>
      <c r="N83" s="55"/>
    </row>
    <row r="84" spans="2:14" x14ac:dyDescent="0.25">
      <c r="B84" s="5"/>
      <c r="C84" s="32"/>
      <c r="D84" s="39"/>
      <c r="E84" s="9"/>
      <c r="F84" s="24"/>
      <c r="G84" s="51"/>
      <c r="H84" s="10"/>
      <c r="I84" s="32"/>
      <c r="J84" s="39"/>
      <c r="K84" s="10"/>
      <c r="L84" s="24"/>
      <c r="M84" s="51"/>
      <c r="N84" s="55"/>
    </row>
    <row r="85" spans="2:14" x14ac:dyDescent="0.25">
      <c r="B85" s="5"/>
      <c r="C85" s="32"/>
      <c r="D85" s="39"/>
      <c r="E85" s="9"/>
      <c r="F85" s="24"/>
      <c r="G85" s="51"/>
      <c r="H85" s="10"/>
      <c r="I85" s="32"/>
      <c r="J85" s="39"/>
      <c r="K85" s="10"/>
      <c r="L85" s="24"/>
      <c r="M85" s="51"/>
      <c r="N85" s="55"/>
    </row>
    <row r="86" spans="2:14" x14ac:dyDescent="0.25">
      <c r="B86" s="5"/>
      <c r="C86" s="32"/>
      <c r="D86" s="39"/>
      <c r="E86" s="9"/>
      <c r="F86" s="24"/>
      <c r="G86" s="51"/>
      <c r="H86" s="10"/>
      <c r="I86" s="32"/>
      <c r="J86" s="39"/>
      <c r="K86" s="10"/>
      <c r="L86" s="24"/>
      <c r="M86" s="51"/>
      <c r="N86" s="55"/>
    </row>
    <row r="87" spans="2:14" x14ac:dyDescent="0.25">
      <c r="B87" s="5"/>
      <c r="C87" s="32"/>
      <c r="D87" s="39"/>
      <c r="E87" s="9"/>
      <c r="F87" s="24"/>
      <c r="G87" s="51"/>
      <c r="H87" s="10"/>
      <c r="I87" s="32"/>
      <c r="J87" s="39"/>
      <c r="K87" s="10"/>
      <c r="L87" s="24"/>
      <c r="M87" s="51"/>
      <c r="N87" s="55"/>
    </row>
    <row r="88" spans="2:14" x14ac:dyDescent="0.25">
      <c r="B88" s="5"/>
      <c r="C88" s="32"/>
      <c r="D88" s="39"/>
      <c r="E88" s="9"/>
      <c r="F88" s="24"/>
      <c r="G88" s="51"/>
      <c r="H88" s="10"/>
      <c r="I88" s="32"/>
      <c r="J88" s="39"/>
      <c r="K88" s="10"/>
      <c r="L88" s="24"/>
      <c r="M88" s="51"/>
      <c r="N88" s="55"/>
    </row>
    <row r="89" spans="2:14" x14ac:dyDescent="0.25">
      <c r="B89" s="5"/>
      <c r="C89" s="33"/>
      <c r="D89" s="40"/>
      <c r="E89" s="9"/>
      <c r="F89" s="25"/>
      <c r="G89" s="52"/>
      <c r="H89" s="10"/>
      <c r="I89" s="33"/>
      <c r="J89" s="40"/>
      <c r="K89" s="10"/>
      <c r="L89" s="25"/>
      <c r="M89" s="52"/>
      <c r="N89" s="55"/>
    </row>
    <row r="90" spans="2:14" x14ac:dyDescent="0.25"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3"/>
    </row>
  </sheetData>
  <dataValidations disablePrompts="1" count="1">
    <dataValidation type="list" allowBlank="1" showInputMessage="1" showErrorMessage="1" sqref="D22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3"/>
  </sheetPr>
  <dimension ref="B2:L113"/>
  <sheetViews>
    <sheetView showGridLines="0" workbookViewId="0"/>
  </sheetViews>
  <sheetFormatPr defaultRowHeight="15" x14ac:dyDescent="0.25"/>
  <cols>
    <col min="2" max="2" width="2.7109375" customWidth="1"/>
    <col min="3" max="3" width="24.28515625" customWidth="1"/>
    <col min="4" max="4" width="31.5703125" customWidth="1"/>
    <col min="6" max="7" width="18.7109375" customWidth="1"/>
    <col min="8" max="8" width="12.7109375" customWidth="1"/>
    <col min="9" max="11" width="18.7109375" customWidth="1"/>
    <col min="12" max="12" width="4.7109375" customWidth="1"/>
    <col min="14" max="15" width="15.7109375" customWidth="1"/>
  </cols>
  <sheetData>
    <row r="2" spans="2:12" x14ac:dyDescent="0.25">
      <c r="B2" s="153" t="s">
        <v>279</v>
      </c>
    </row>
    <row r="6" spans="2:12" x14ac:dyDescent="0.25">
      <c r="B6" s="154" t="s">
        <v>216</v>
      </c>
    </row>
    <row r="7" spans="2:12" x14ac:dyDescent="0.25">
      <c r="B7" s="2"/>
      <c r="C7" s="45"/>
      <c r="D7" s="46"/>
      <c r="E7" s="3"/>
      <c r="F7" s="3"/>
      <c r="G7" s="3"/>
      <c r="H7" s="3"/>
      <c r="I7" s="3"/>
      <c r="J7" s="3"/>
      <c r="K7" s="3"/>
      <c r="L7" s="4"/>
    </row>
    <row r="8" spans="2:12" x14ac:dyDescent="0.25">
      <c r="B8" s="5"/>
      <c r="C8" s="186" t="s">
        <v>216</v>
      </c>
      <c r="D8" s="185" t="str">
        <f ca="1">IF(AND(isEUROISLoaded,NOW()),_xll.meLWOCurveCreateSwap("EUR6ML_19FEB16",STDCurve.CollectionName,STDCurve.StaticDataTable,STDCurve.IndexName,STDCurve.Buildproperties,MoneyMarket.Conventions,Libor.Conventions,Libor.MarketData,Swap.Conventions,Swap.MarketData,FRA.Conventions,FRA.MarketDataX3,FRA.MarketDataX6,Futures.Conventions,Futures.MarketData,,),"Error Building Swap Curve")</f>
        <v>EUR6ML_19FEB16:5</v>
      </c>
      <c r="E8" s="7"/>
      <c r="F8" s="7"/>
      <c r="G8" s="7"/>
      <c r="H8" s="7"/>
      <c r="I8" s="7"/>
      <c r="J8" s="7"/>
      <c r="K8" s="7"/>
      <c r="L8" s="8"/>
    </row>
    <row r="9" spans="2:12" x14ac:dyDescent="0.25">
      <c r="B9" s="5"/>
      <c r="C9" s="114" t="s">
        <v>192</v>
      </c>
      <c r="D9" s="115" t="b">
        <f ca="1">LEFT(D8,6)="EUR6ML"</f>
        <v>1</v>
      </c>
      <c r="E9" s="7"/>
      <c r="F9" s="7"/>
      <c r="G9" s="7"/>
      <c r="H9" s="7"/>
      <c r="I9" s="7"/>
      <c r="J9" s="7"/>
      <c r="K9" s="7"/>
      <c r="L9" s="8"/>
    </row>
    <row r="10" spans="2:12" x14ac:dyDescent="0.25">
      <c r="B10" s="5"/>
      <c r="C10" s="7"/>
      <c r="D10" s="60"/>
      <c r="E10" s="7"/>
      <c r="F10" s="7"/>
      <c r="G10" s="7"/>
      <c r="H10" s="7"/>
      <c r="I10" s="7"/>
      <c r="J10" s="7"/>
      <c r="K10" s="7"/>
      <c r="L10" s="8"/>
    </row>
    <row r="11" spans="2:12" x14ac:dyDescent="0.25">
      <c r="B11" s="5"/>
      <c r="C11" s="6"/>
      <c r="D11" s="60"/>
      <c r="E11" s="7"/>
      <c r="F11" s="7"/>
      <c r="G11" s="7"/>
      <c r="H11" s="7"/>
      <c r="I11" s="7"/>
      <c r="J11" s="7"/>
      <c r="K11" s="7"/>
      <c r="L11" s="8"/>
    </row>
    <row r="12" spans="2:12" x14ac:dyDescent="0.25">
      <c r="B12" s="5"/>
      <c r="C12" s="48" t="s">
        <v>0</v>
      </c>
      <c r="D12" s="57"/>
      <c r="E12" s="7"/>
      <c r="F12" s="7"/>
      <c r="G12" s="7"/>
      <c r="H12" s="7"/>
      <c r="I12" s="7"/>
      <c r="J12" s="7"/>
      <c r="K12" s="7"/>
      <c r="L12" s="8"/>
    </row>
    <row r="13" spans="2:12" x14ac:dyDescent="0.25">
      <c r="B13" s="5"/>
      <c r="C13" s="27" t="s">
        <v>88</v>
      </c>
      <c r="D13" s="103" t="s">
        <v>80</v>
      </c>
      <c r="E13" s="7"/>
      <c r="F13" s="7"/>
      <c r="G13" s="7"/>
      <c r="H13" s="7"/>
      <c r="I13" s="7"/>
      <c r="J13" s="7"/>
      <c r="K13" s="7"/>
      <c r="L13" s="8"/>
    </row>
    <row r="14" spans="2:12" x14ac:dyDescent="0.25">
      <c r="B14" s="5"/>
      <c r="C14" s="28" t="s">
        <v>87</v>
      </c>
      <c r="D14" s="104" t="s">
        <v>90</v>
      </c>
      <c r="E14" s="7"/>
      <c r="F14" s="7"/>
      <c r="G14" s="7"/>
      <c r="H14" s="7"/>
      <c r="I14" s="7"/>
      <c r="J14" s="7"/>
      <c r="K14" s="7"/>
      <c r="L14" s="8"/>
    </row>
    <row r="15" spans="2:12" x14ac:dyDescent="0.25">
      <c r="B15" s="5"/>
      <c r="C15" s="59" t="s">
        <v>89</v>
      </c>
      <c r="D15" s="106" t="s">
        <v>91</v>
      </c>
      <c r="E15" s="7"/>
      <c r="F15" s="7"/>
      <c r="G15" s="7"/>
      <c r="H15" s="7" t="s">
        <v>4</v>
      </c>
      <c r="I15" s="7" t="s">
        <v>4</v>
      </c>
      <c r="J15" s="7" t="s">
        <v>4</v>
      </c>
      <c r="K15" s="7"/>
      <c r="L15" s="8" t="s">
        <v>4</v>
      </c>
    </row>
    <row r="16" spans="2:12" x14ac:dyDescent="0.25">
      <c r="B16" s="11"/>
      <c r="C16" s="12"/>
      <c r="D16" s="12"/>
      <c r="E16" s="12"/>
      <c r="F16" s="12"/>
      <c r="G16" s="12"/>
      <c r="H16" s="12"/>
      <c r="I16" s="12"/>
      <c r="J16" s="12"/>
      <c r="K16" s="12"/>
      <c r="L16" s="13"/>
    </row>
    <row r="19" spans="2:12" x14ac:dyDescent="0.25">
      <c r="B19" s="56" t="s">
        <v>70</v>
      </c>
    </row>
    <row r="20" spans="2:12" x14ac:dyDescent="0.25">
      <c r="B20" s="2"/>
      <c r="C20" s="45"/>
      <c r="D20" s="46"/>
      <c r="E20" s="3"/>
      <c r="F20" s="3"/>
      <c r="G20" s="3"/>
      <c r="H20" s="62"/>
      <c r="I20" s="3"/>
      <c r="J20" s="3"/>
      <c r="K20" s="3"/>
      <c r="L20" s="4"/>
    </row>
    <row r="21" spans="2:12" x14ac:dyDescent="0.25">
      <c r="B21" s="5"/>
      <c r="C21" s="48" t="s">
        <v>70</v>
      </c>
      <c r="D21" s="47"/>
      <c r="E21" s="7"/>
      <c r="F21" s="50" t="s">
        <v>81</v>
      </c>
      <c r="G21" s="7"/>
      <c r="H21" s="7"/>
      <c r="I21" s="7"/>
      <c r="J21" s="7"/>
      <c r="K21" s="7"/>
      <c r="L21" s="8"/>
    </row>
    <row r="22" spans="2:12" x14ac:dyDescent="0.25">
      <c r="B22" s="5"/>
      <c r="C22" s="27" t="s">
        <v>10</v>
      </c>
      <c r="D22" s="103">
        <v>42419</v>
      </c>
      <c r="E22" s="7"/>
      <c r="F22" s="14" t="s">
        <v>82</v>
      </c>
      <c r="G22" s="16"/>
      <c r="H22" s="7"/>
      <c r="I22" s="7"/>
      <c r="J22" s="7"/>
      <c r="K22" s="7"/>
      <c r="L22" s="8"/>
    </row>
    <row r="23" spans="2:12" x14ac:dyDescent="0.25">
      <c r="B23" s="5"/>
      <c r="C23" s="28" t="s">
        <v>16</v>
      </c>
      <c r="D23" s="104" t="s">
        <v>17</v>
      </c>
      <c r="E23" s="7"/>
      <c r="F23" s="17" t="s">
        <v>83</v>
      </c>
      <c r="G23" s="18"/>
      <c r="H23" s="7"/>
      <c r="I23" s="7"/>
      <c r="J23" s="7"/>
      <c r="K23" s="7"/>
      <c r="L23" s="8"/>
    </row>
    <row r="24" spans="2:12" x14ac:dyDescent="0.25">
      <c r="B24" s="5"/>
      <c r="C24" s="29" t="s">
        <v>92</v>
      </c>
      <c r="D24" s="105" t="s">
        <v>84</v>
      </c>
      <c r="E24" s="7"/>
      <c r="F24" s="17" t="s">
        <v>84</v>
      </c>
      <c r="G24" s="18"/>
      <c r="H24" s="7"/>
      <c r="I24" s="7"/>
      <c r="J24" s="7"/>
      <c r="K24" s="7"/>
      <c r="L24" s="8"/>
    </row>
    <row r="25" spans="2:12" x14ac:dyDescent="0.25">
      <c r="B25" s="5"/>
      <c r="C25" s="29" t="s">
        <v>24</v>
      </c>
      <c r="D25" s="105" t="s">
        <v>84</v>
      </c>
      <c r="E25" s="7"/>
      <c r="F25" s="17" t="s">
        <v>85</v>
      </c>
      <c r="G25" s="18"/>
      <c r="H25" s="7"/>
      <c r="I25" s="7"/>
      <c r="J25" s="7"/>
      <c r="K25" s="7"/>
      <c r="L25" s="8"/>
    </row>
    <row r="26" spans="2:12" x14ac:dyDescent="0.25">
      <c r="B26" s="5"/>
      <c r="C26" s="29" t="s">
        <v>94</v>
      </c>
      <c r="D26" s="104" t="b">
        <v>1</v>
      </c>
      <c r="E26" s="7"/>
      <c r="F26" s="17" t="s">
        <v>86</v>
      </c>
      <c r="G26" s="18"/>
      <c r="H26" s="7"/>
      <c r="I26" s="7"/>
      <c r="J26" s="7"/>
      <c r="K26" s="7"/>
      <c r="L26" s="8"/>
    </row>
    <row r="27" spans="2:12" x14ac:dyDescent="0.25">
      <c r="B27" s="5"/>
      <c r="C27" s="29" t="s">
        <v>93</v>
      </c>
      <c r="D27" s="104" t="b">
        <v>0</v>
      </c>
      <c r="E27" s="7"/>
      <c r="F27" s="17"/>
      <c r="G27" s="18"/>
      <c r="H27" s="7"/>
      <c r="I27" s="7"/>
      <c r="J27" s="7"/>
      <c r="K27" s="7"/>
      <c r="L27" s="8"/>
    </row>
    <row r="28" spans="2:12" x14ac:dyDescent="0.25">
      <c r="B28" s="5"/>
      <c r="C28" s="29" t="s">
        <v>27</v>
      </c>
      <c r="D28" s="104" t="s">
        <v>130</v>
      </c>
      <c r="E28" s="7"/>
      <c r="F28" s="17"/>
      <c r="G28" s="18"/>
      <c r="H28" s="7"/>
      <c r="I28" s="7"/>
      <c r="J28" s="7"/>
      <c r="K28" s="7"/>
      <c r="L28" s="8"/>
    </row>
    <row r="29" spans="2:12" x14ac:dyDescent="0.25">
      <c r="B29" s="5"/>
      <c r="C29" s="29" t="s">
        <v>95</v>
      </c>
      <c r="D29" s="104" t="s">
        <v>9</v>
      </c>
      <c r="E29" s="7"/>
      <c r="F29" s="17"/>
      <c r="G29" s="18"/>
      <c r="H29" s="7"/>
      <c r="I29" s="7"/>
      <c r="J29" s="7"/>
      <c r="K29" s="7"/>
      <c r="L29" s="8"/>
    </row>
    <row r="30" spans="2:12" x14ac:dyDescent="0.25">
      <c r="B30" s="5"/>
      <c r="C30" s="29"/>
      <c r="D30" s="104"/>
      <c r="E30" s="7"/>
      <c r="F30" s="17"/>
      <c r="G30" s="18"/>
      <c r="H30" s="7"/>
      <c r="I30" s="7"/>
      <c r="J30" s="7"/>
      <c r="K30" s="7"/>
      <c r="L30" s="8"/>
    </row>
    <row r="31" spans="2:12" x14ac:dyDescent="0.25">
      <c r="B31" s="5"/>
      <c r="C31" s="44"/>
      <c r="D31" s="106"/>
      <c r="E31" s="7"/>
      <c r="F31" s="21"/>
      <c r="G31" s="22"/>
      <c r="H31" s="7"/>
      <c r="I31" s="7"/>
      <c r="J31" s="7"/>
      <c r="K31" s="7"/>
      <c r="L31" s="8"/>
    </row>
    <row r="32" spans="2:12" x14ac:dyDescent="0.25">
      <c r="B32" s="11"/>
      <c r="C32" s="12"/>
      <c r="D32" s="12"/>
      <c r="E32" s="12"/>
      <c r="F32" s="12"/>
      <c r="G32" s="12"/>
      <c r="H32" s="12"/>
      <c r="I32" s="12"/>
      <c r="J32" s="12"/>
      <c r="K32" s="12"/>
      <c r="L32" s="13"/>
    </row>
    <row r="35" spans="2:12" x14ac:dyDescent="0.25">
      <c r="B35" s="56" t="s">
        <v>96</v>
      </c>
    </row>
    <row r="36" spans="2:12" x14ac:dyDescent="0.25">
      <c r="B36" s="2"/>
      <c r="C36" s="3"/>
      <c r="D36" s="3"/>
      <c r="E36" s="3"/>
      <c r="F36" s="3"/>
      <c r="G36" s="3"/>
      <c r="H36" s="3"/>
      <c r="I36" s="3"/>
      <c r="J36" s="3"/>
      <c r="K36" s="3"/>
      <c r="L36" s="4"/>
    </row>
    <row r="37" spans="2:12" x14ac:dyDescent="0.25">
      <c r="B37" s="5"/>
      <c r="C37" s="49" t="s">
        <v>250</v>
      </c>
      <c r="D37" s="10"/>
      <c r="E37" s="10"/>
      <c r="F37" s="49" t="s">
        <v>103</v>
      </c>
      <c r="G37" s="10"/>
      <c r="H37" s="10"/>
      <c r="I37" s="49" t="s">
        <v>249</v>
      </c>
      <c r="J37" s="10"/>
      <c r="K37" s="10"/>
      <c r="L37" s="55"/>
    </row>
    <row r="38" spans="2:12" x14ac:dyDescent="0.25">
      <c r="B38" s="5"/>
      <c r="C38" s="27" t="s">
        <v>1</v>
      </c>
      <c r="D38" s="34" t="s">
        <v>2</v>
      </c>
      <c r="E38" s="7"/>
      <c r="F38" s="27" t="s">
        <v>1</v>
      </c>
      <c r="G38" s="34" t="s">
        <v>2</v>
      </c>
      <c r="H38" s="10"/>
      <c r="I38" s="74" t="s">
        <v>11</v>
      </c>
      <c r="J38" s="74" t="s">
        <v>12</v>
      </c>
      <c r="K38" s="74"/>
      <c r="L38" s="55"/>
    </row>
    <row r="39" spans="2:12" x14ac:dyDescent="0.25">
      <c r="B39" s="5"/>
      <c r="C39" s="28" t="s">
        <v>97</v>
      </c>
      <c r="D39" s="35" t="s">
        <v>6</v>
      </c>
      <c r="E39" s="9"/>
      <c r="F39" s="30" t="s">
        <v>18</v>
      </c>
      <c r="G39" s="65" t="s">
        <v>6</v>
      </c>
      <c r="H39" s="10"/>
      <c r="I39" s="67" t="s">
        <v>185</v>
      </c>
      <c r="J39" s="71">
        <v>-2.8E-3</v>
      </c>
      <c r="K39" s="74"/>
      <c r="L39" s="55"/>
    </row>
    <row r="40" spans="2:12" x14ac:dyDescent="0.25">
      <c r="B40" s="5"/>
      <c r="C40" s="28" t="s">
        <v>98</v>
      </c>
      <c r="D40" s="35" t="s">
        <v>99</v>
      </c>
      <c r="E40" s="9"/>
      <c r="F40" s="29" t="s">
        <v>27</v>
      </c>
      <c r="G40" s="35" t="s">
        <v>100</v>
      </c>
      <c r="H40" s="10"/>
      <c r="I40" s="68" t="s">
        <v>169</v>
      </c>
      <c r="J40" s="72">
        <v>-2.2000000000000001E-3</v>
      </c>
      <c r="K40" s="74"/>
      <c r="L40" s="55"/>
    </row>
    <row r="41" spans="2:12" x14ac:dyDescent="0.25">
      <c r="B41" s="5"/>
      <c r="C41" s="28"/>
      <c r="D41" s="35"/>
      <c r="E41" s="9"/>
      <c r="F41" s="29" t="s">
        <v>101</v>
      </c>
      <c r="G41" s="65">
        <v>2</v>
      </c>
      <c r="H41" s="10"/>
      <c r="I41" s="68" t="s">
        <v>104</v>
      </c>
      <c r="J41" s="72">
        <v>-1.31E-3</v>
      </c>
      <c r="K41" s="74"/>
      <c r="L41" s="55"/>
    </row>
    <row r="42" spans="2:12" x14ac:dyDescent="0.25">
      <c r="B42" s="5"/>
      <c r="C42" s="28"/>
      <c r="D42" s="35"/>
      <c r="E42" s="9"/>
      <c r="F42" s="29" t="s">
        <v>21</v>
      </c>
      <c r="G42" s="65" t="s">
        <v>22</v>
      </c>
      <c r="H42" s="10"/>
      <c r="I42" s="68" t="s">
        <v>57</v>
      </c>
      <c r="J42" s="72">
        <v>-1E-4</v>
      </c>
      <c r="K42" s="74"/>
      <c r="L42" s="55"/>
    </row>
    <row r="43" spans="2:12" x14ac:dyDescent="0.25">
      <c r="B43" s="5"/>
      <c r="C43" s="33"/>
      <c r="D43" s="40"/>
      <c r="E43" s="9"/>
      <c r="F43" s="44"/>
      <c r="G43" s="66"/>
      <c r="H43" s="10"/>
      <c r="I43" s="69"/>
      <c r="J43" s="73"/>
      <c r="K43" s="74"/>
      <c r="L43" s="55"/>
    </row>
    <row r="44" spans="2:12" x14ac:dyDescent="0.25">
      <c r="B44" s="5"/>
      <c r="C44" s="9"/>
      <c r="D44" s="9"/>
      <c r="E44" s="9"/>
      <c r="F44" s="10"/>
      <c r="G44" s="10"/>
      <c r="H44" s="10"/>
      <c r="I44" s="10" t="s">
        <v>186</v>
      </c>
      <c r="J44" s="10"/>
      <c r="K44" s="10"/>
      <c r="L44" s="55"/>
    </row>
    <row r="45" spans="2:12" x14ac:dyDescent="0.25">
      <c r="B45" s="11"/>
      <c r="C45" s="12"/>
      <c r="D45" s="12"/>
      <c r="E45" s="12"/>
      <c r="F45" s="12"/>
      <c r="G45" s="12"/>
      <c r="H45" s="12"/>
      <c r="I45" s="12"/>
      <c r="J45" s="12"/>
      <c r="K45" s="12"/>
      <c r="L45" s="13"/>
    </row>
    <row r="48" spans="2:12" x14ac:dyDescent="0.25">
      <c r="B48" s="56" t="s">
        <v>105</v>
      </c>
    </row>
    <row r="49" spans="2:12" x14ac:dyDescent="0.25">
      <c r="B49" s="2"/>
      <c r="C49" s="3"/>
      <c r="D49" s="3"/>
      <c r="E49" s="3"/>
      <c r="F49" s="3"/>
      <c r="G49" s="3"/>
      <c r="H49" s="3"/>
      <c r="I49" s="3"/>
      <c r="J49" s="3"/>
      <c r="K49" s="3"/>
      <c r="L49" s="4"/>
    </row>
    <row r="50" spans="2:12" x14ac:dyDescent="0.25">
      <c r="B50" s="5"/>
      <c r="C50" s="49" t="s">
        <v>106</v>
      </c>
      <c r="D50" s="10"/>
      <c r="E50" s="10"/>
      <c r="F50" s="49" t="s">
        <v>137</v>
      </c>
      <c r="G50" s="10"/>
      <c r="H50" s="10"/>
      <c r="I50" s="49" t="s">
        <v>138</v>
      </c>
      <c r="J50" s="10"/>
      <c r="K50" s="10"/>
      <c r="L50" s="55"/>
    </row>
    <row r="51" spans="2:12" x14ac:dyDescent="0.25">
      <c r="B51" s="5"/>
      <c r="C51" s="27" t="s">
        <v>1</v>
      </c>
      <c r="D51" s="34" t="s">
        <v>2</v>
      </c>
      <c r="E51" s="7"/>
      <c r="F51" s="74" t="s">
        <v>11</v>
      </c>
      <c r="G51" s="74" t="s">
        <v>12</v>
      </c>
      <c r="H51" s="10"/>
      <c r="I51" s="74" t="s">
        <v>11</v>
      </c>
      <c r="J51" s="74" t="s">
        <v>12</v>
      </c>
      <c r="K51" s="74"/>
      <c r="L51" s="55"/>
    </row>
    <row r="52" spans="2:12" x14ac:dyDescent="0.25">
      <c r="B52" s="5"/>
      <c r="C52" s="28" t="s">
        <v>97</v>
      </c>
      <c r="D52" s="35" t="s">
        <v>6</v>
      </c>
      <c r="E52" s="9"/>
      <c r="F52" s="67"/>
      <c r="G52" s="71"/>
      <c r="H52" s="10"/>
      <c r="I52" s="67" t="s">
        <v>110</v>
      </c>
      <c r="J52" s="71">
        <v>-1.2900000000000001E-3</v>
      </c>
      <c r="K52" s="74"/>
      <c r="L52" s="55"/>
    </row>
    <row r="53" spans="2:12" x14ac:dyDescent="0.25">
      <c r="B53" s="5"/>
      <c r="C53" s="28" t="s">
        <v>107</v>
      </c>
      <c r="D53" s="35">
        <v>2</v>
      </c>
      <c r="E53" s="9"/>
      <c r="F53" s="68"/>
      <c r="G53" s="72"/>
      <c r="H53" s="10"/>
      <c r="I53" s="68" t="s">
        <v>111</v>
      </c>
      <c r="J53" s="72">
        <v>-1.2900000000000001E-3</v>
      </c>
      <c r="K53" s="74"/>
      <c r="L53" s="55"/>
    </row>
    <row r="54" spans="2:12" x14ac:dyDescent="0.25">
      <c r="B54" s="5"/>
      <c r="C54" s="28" t="s">
        <v>21</v>
      </c>
      <c r="D54" s="64" t="s">
        <v>22</v>
      </c>
      <c r="E54" s="9"/>
      <c r="F54" s="68"/>
      <c r="G54" s="72"/>
      <c r="H54" s="10"/>
      <c r="I54" s="68" t="s">
        <v>112</v>
      </c>
      <c r="J54" s="72">
        <v>-1.33E-3</v>
      </c>
      <c r="K54" s="74"/>
      <c r="L54" s="55"/>
    </row>
    <row r="55" spans="2:12" x14ac:dyDescent="0.25">
      <c r="B55" s="5"/>
      <c r="C55" s="28" t="s">
        <v>102</v>
      </c>
      <c r="D55" s="35" t="b">
        <v>0</v>
      </c>
      <c r="E55" s="9"/>
      <c r="F55" s="68"/>
      <c r="G55" s="72"/>
      <c r="H55" s="10"/>
      <c r="I55" s="68" t="s">
        <v>113</v>
      </c>
      <c r="J55" s="72">
        <v>-1.3900000000000002E-3</v>
      </c>
      <c r="K55" s="74"/>
      <c r="L55" s="55"/>
    </row>
    <row r="56" spans="2:12" x14ac:dyDescent="0.25">
      <c r="B56" s="5"/>
      <c r="C56" s="28" t="s">
        <v>108</v>
      </c>
      <c r="D56" s="35" t="b">
        <v>1</v>
      </c>
      <c r="E56" s="9"/>
      <c r="F56" s="68"/>
      <c r="G56" s="72"/>
      <c r="H56" s="10"/>
      <c r="I56" s="68" t="s">
        <v>114</v>
      </c>
      <c r="J56" s="72">
        <v>-1.4399999999999999E-3</v>
      </c>
      <c r="K56" s="74"/>
      <c r="L56" s="55"/>
    </row>
    <row r="57" spans="2:12" x14ac:dyDescent="0.25">
      <c r="B57" s="5"/>
      <c r="C57" s="28" t="s">
        <v>109</v>
      </c>
      <c r="D57" s="35">
        <v>2</v>
      </c>
      <c r="E57" s="9"/>
      <c r="F57" s="68"/>
      <c r="G57" s="72"/>
      <c r="H57" s="10"/>
      <c r="I57" s="68" t="s">
        <v>115</v>
      </c>
      <c r="J57" s="72">
        <v>-1.4399999999999999E-3</v>
      </c>
      <c r="K57" s="74"/>
      <c r="L57" s="55"/>
    </row>
    <row r="58" spans="2:12" x14ac:dyDescent="0.25">
      <c r="B58" s="5"/>
      <c r="C58" s="28"/>
      <c r="D58" s="35"/>
      <c r="E58" s="9"/>
      <c r="F58" s="68"/>
      <c r="G58" s="72"/>
      <c r="H58" s="10"/>
      <c r="I58" s="68" t="s">
        <v>116</v>
      </c>
      <c r="J58" s="72">
        <v>-1.4599999999999999E-3</v>
      </c>
      <c r="K58" s="74"/>
      <c r="L58" s="55"/>
    </row>
    <row r="59" spans="2:12" x14ac:dyDescent="0.25">
      <c r="B59" s="5"/>
      <c r="C59" s="28"/>
      <c r="D59" s="35"/>
      <c r="E59" s="9"/>
      <c r="F59" s="68"/>
      <c r="G59" s="72"/>
      <c r="H59" s="10"/>
      <c r="I59" s="68" t="s">
        <v>117</v>
      </c>
      <c r="J59" s="72">
        <v>-1.47E-3</v>
      </c>
      <c r="K59" s="74"/>
      <c r="L59" s="55"/>
    </row>
    <row r="60" spans="2:12" x14ac:dyDescent="0.25">
      <c r="B60" s="5"/>
      <c r="C60" s="28"/>
      <c r="D60" s="35"/>
      <c r="E60" s="9"/>
      <c r="F60" s="68"/>
      <c r="G60" s="72"/>
      <c r="H60" s="10"/>
      <c r="I60" s="68" t="s">
        <v>118</v>
      </c>
      <c r="J60" s="72">
        <v>-1.4599999999999999E-3</v>
      </c>
      <c r="K60" s="74"/>
      <c r="L60" s="55"/>
    </row>
    <row r="61" spans="2:12" x14ac:dyDescent="0.25">
      <c r="B61" s="5"/>
      <c r="C61" s="28"/>
      <c r="D61" s="35"/>
      <c r="E61" s="9"/>
      <c r="F61" s="68"/>
      <c r="G61" s="72"/>
      <c r="H61" s="10"/>
      <c r="I61" s="68" t="s">
        <v>119</v>
      </c>
      <c r="J61" s="72">
        <v>-1.4299999999999998E-3</v>
      </c>
      <c r="K61" s="74"/>
      <c r="L61" s="55"/>
    </row>
    <row r="62" spans="2:12" x14ac:dyDescent="0.25">
      <c r="B62" s="5"/>
      <c r="C62" s="28"/>
      <c r="D62" s="35"/>
      <c r="E62" s="9"/>
      <c r="F62" s="68"/>
      <c r="G62" s="72"/>
      <c r="H62" s="10"/>
      <c r="I62" s="68" t="s">
        <v>120</v>
      </c>
      <c r="J62" s="72">
        <v>-1.4099999999999998E-3</v>
      </c>
      <c r="K62" s="74"/>
      <c r="L62" s="55"/>
    </row>
    <row r="63" spans="2:12" x14ac:dyDescent="0.25">
      <c r="B63" s="5"/>
      <c r="C63" s="28"/>
      <c r="D63" s="35"/>
      <c r="E63" s="9"/>
      <c r="F63" s="68"/>
      <c r="G63" s="72"/>
      <c r="H63" s="10"/>
      <c r="I63" s="68"/>
      <c r="J63" s="72"/>
      <c r="K63" s="74"/>
      <c r="L63" s="55"/>
    </row>
    <row r="64" spans="2:12" x14ac:dyDescent="0.25">
      <c r="B64" s="5"/>
      <c r="C64" s="33"/>
      <c r="D64" s="40"/>
      <c r="E64" s="9"/>
      <c r="F64" s="69"/>
      <c r="G64" s="73"/>
      <c r="H64" s="10"/>
      <c r="I64" s="69"/>
      <c r="J64" s="73"/>
      <c r="K64" s="74"/>
      <c r="L64" s="55"/>
    </row>
    <row r="65" spans="2:12" x14ac:dyDescent="0.25">
      <c r="B65" s="5"/>
      <c r="C65" s="9"/>
      <c r="D65" s="9"/>
      <c r="E65" s="9"/>
      <c r="F65" s="10"/>
      <c r="G65" s="10"/>
      <c r="H65" s="10"/>
      <c r="I65" s="10"/>
      <c r="J65" s="10"/>
      <c r="K65" s="74"/>
      <c r="L65" s="55"/>
    </row>
    <row r="66" spans="2:12" x14ac:dyDescent="0.25"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3"/>
    </row>
    <row r="69" spans="2:12" x14ac:dyDescent="0.25">
      <c r="B69" s="56" t="s">
        <v>121</v>
      </c>
    </row>
    <row r="70" spans="2:12" x14ac:dyDescent="0.25">
      <c r="B70" s="2"/>
      <c r="C70" s="3"/>
      <c r="D70" s="3"/>
      <c r="E70" s="3"/>
      <c r="F70" s="3"/>
      <c r="G70" s="3"/>
      <c r="H70" s="3"/>
      <c r="I70" s="3"/>
      <c r="J70" s="3"/>
      <c r="K70" s="3"/>
      <c r="L70" s="4"/>
    </row>
    <row r="71" spans="2:12" x14ac:dyDescent="0.25">
      <c r="B71" s="5"/>
      <c r="C71" s="49" t="s">
        <v>122</v>
      </c>
      <c r="D71" s="10"/>
      <c r="E71" s="10"/>
      <c r="F71" s="49" t="s">
        <v>125</v>
      </c>
      <c r="G71" s="10"/>
      <c r="H71" s="10"/>
      <c r="I71" s="10"/>
      <c r="J71" s="10"/>
      <c r="K71" s="10"/>
      <c r="L71" s="55"/>
    </row>
    <row r="72" spans="2:12" x14ac:dyDescent="0.25">
      <c r="B72" s="5"/>
      <c r="C72" s="27"/>
      <c r="D72" s="34"/>
      <c r="E72" s="7"/>
      <c r="F72" s="93" t="s">
        <v>139</v>
      </c>
      <c r="G72" s="93" t="s">
        <v>13</v>
      </c>
      <c r="H72" s="93" t="s">
        <v>14</v>
      </c>
      <c r="I72" s="93" t="s">
        <v>12</v>
      </c>
      <c r="J72" s="93" t="s">
        <v>124</v>
      </c>
      <c r="K72" s="10"/>
      <c r="L72" s="55"/>
    </row>
    <row r="73" spans="2:12" x14ac:dyDescent="0.25">
      <c r="B73" s="5"/>
      <c r="C73" s="28"/>
      <c r="D73" s="35"/>
      <c r="E73" s="9"/>
      <c r="F73" s="75"/>
      <c r="G73" s="76"/>
      <c r="H73" s="76"/>
      <c r="I73" s="77"/>
      <c r="J73" s="78"/>
      <c r="K73" s="10"/>
      <c r="L73" s="55"/>
    </row>
    <row r="74" spans="2:12" x14ac:dyDescent="0.25">
      <c r="B74" s="5"/>
      <c r="C74" s="28"/>
      <c r="D74" s="35"/>
      <c r="E74" s="9"/>
      <c r="F74" s="79"/>
      <c r="G74" s="76"/>
      <c r="H74" s="76"/>
      <c r="I74" s="77"/>
      <c r="J74" s="78"/>
      <c r="K74" s="10"/>
      <c r="L74" s="55"/>
    </row>
    <row r="75" spans="2:12" x14ac:dyDescent="0.25">
      <c r="B75" s="5"/>
      <c r="C75" s="28"/>
      <c r="D75" s="101"/>
      <c r="E75" s="9"/>
      <c r="F75" s="80"/>
      <c r="G75" s="81"/>
      <c r="H75" s="81"/>
      <c r="I75" s="82"/>
      <c r="J75" s="83"/>
      <c r="K75" s="10"/>
      <c r="L75" s="55"/>
    </row>
    <row r="76" spans="2:12" x14ac:dyDescent="0.25">
      <c r="B76" s="5"/>
      <c r="C76" s="28"/>
      <c r="D76" s="70"/>
      <c r="E76" s="9"/>
      <c r="F76" s="80"/>
      <c r="G76" s="81"/>
      <c r="H76" s="81"/>
      <c r="I76" s="82"/>
      <c r="J76" s="83"/>
      <c r="K76" s="10"/>
      <c r="L76" s="55"/>
    </row>
    <row r="77" spans="2:12" x14ac:dyDescent="0.25">
      <c r="B77" s="5"/>
      <c r="C77" s="28"/>
      <c r="D77" s="35"/>
      <c r="E77" s="9"/>
      <c r="F77" s="80"/>
      <c r="G77" s="81"/>
      <c r="H77" s="81"/>
      <c r="I77" s="82"/>
      <c r="J77" s="83"/>
      <c r="K77" s="10"/>
      <c r="L77" s="55"/>
    </row>
    <row r="78" spans="2:12" x14ac:dyDescent="0.25">
      <c r="B78" s="5"/>
      <c r="C78" s="28"/>
      <c r="D78" s="35"/>
      <c r="E78" s="9"/>
      <c r="F78" s="80"/>
      <c r="G78" s="81"/>
      <c r="H78" s="81"/>
      <c r="I78" s="82"/>
      <c r="J78" s="83"/>
      <c r="K78" s="10"/>
      <c r="L78" s="55"/>
    </row>
    <row r="79" spans="2:12" x14ac:dyDescent="0.25">
      <c r="B79" s="5"/>
      <c r="C79" s="28"/>
      <c r="D79" s="35"/>
      <c r="E79" s="9"/>
      <c r="F79" s="80"/>
      <c r="G79" s="81"/>
      <c r="H79" s="81"/>
      <c r="I79" s="82"/>
      <c r="J79" s="83"/>
      <c r="K79" s="10"/>
      <c r="L79" s="55"/>
    </row>
    <row r="80" spans="2:12" x14ac:dyDescent="0.25">
      <c r="B80" s="5"/>
      <c r="C80" s="28"/>
      <c r="D80" s="35"/>
      <c r="E80" s="9"/>
      <c r="F80" s="80"/>
      <c r="G80" s="81"/>
      <c r="H80" s="81"/>
      <c r="I80" s="82"/>
      <c r="J80" s="83"/>
      <c r="K80" s="10"/>
      <c r="L80" s="55"/>
    </row>
    <row r="81" spans="2:12" x14ac:dyDescent="0.25">
      <c r="B81" s="5"/>
      <c r="C81" s="28"/>
      <c r="D81" s="35"/>
      <c r="E81" s="9"/>
      <c r="F81" s="80"/>
      <c r="G81" s="81"/>
      <c r="H81" s="81"/>
      <c r="I81" s="82"/>
      <c r="J81" s="83"/>
      <c r="K81" s="10"/>
      <c r="L81" s="55"/>
    </row>
    <row r="82" spans="2:12" x14ac:dyDescent="0.25">
      <c r="B82" s="5"/>
      <c r="C82" s="28"/>
      <c r="D82" s="35"/>
      <c r="E82" s="9"/>
      <c r="F82" s="84"/>
      <c r="G82" s="81"/>
      <c r="H82" s="81"/>
      <c r="I82" s="85"/>
      <c r="J82" s="83"/>
      <c r="K82" s="10"/>
      <c r="L82" s="55"/>
    </row>
    <row r="83" spans="2:12" x14ac:dyDescent="0.25">
      <c r="B83" s="5"/>
      <c r="C83" s="28"/>
      <c r="D83" s="35"/>
      <c r="E83" s="9"/>
      <c r="F83" s="86"/>
      <c r="G83" s="87"/>
      <c r="H83" s="87"/>
      <c r="I83" s="85"/>
      <c r="J83" s="88"/>
      <c r="K83" s="10"/>
      <c r="L83" s="55"/>
    </row>
    <row r="84" spans="2:12" x14ac:dyDescent="0.25">
      <c r="B84" s="5"/>
      <c r="C84" s="28"/>
      <c r="D84" s="35"/>
      <c r="E84" s="9"/>
      <c r="F84" s="86"/>
      <c r="G84" s="87"/>
      <c r="H84" s="87"/>
      <c r="I84" s="85"/>
      <c r="J84" s="88"/>
      <c r="K84" s="10"/>
      <c r="L84" s="55"/>
    </row>
    <row r="85" spans="2:12" x14ac:dyDescent="0.25">
      <c r="B85" s="5"/>
      <c r="C85" s="33"/>
      <c r="D85" s="40"/>
      <c r="E85" s="9"/>
      <c r="F85" s="89"/>
      <c r="G85" s="90"/>
      <c r="H85" s="90"/>
      <c r="I85" s="91"/>
      <c r="J85" s="92"/>
      <c r="K85" s="10"/>
      <c r="L85" s="55"/>
    </row>
    <row r="86" spans="2:12" x14ac:dyDescent="0.25">
      <c r="B86" s="5"/>
      <c r="C86" s="9"/>
      <c r="D86" s="9"/>
      <c r="E86" s="9"/>
      <c r="F86" s="10"/>
      <c r="G86" s="10"/>
      <c r="H86" s="10"/>
      <c r="I86" s="10"/>
      <c r="J86" s="10"/>
      <c r="K86" s="10"/>
      <c r="L86" s="55"/>
    </row>
    <row r="87" spans="2:12" x14ac:dyDescent="0.25"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3"/>
    </row>
    <row r="90" spans="2:12" x14ac:dyDescent="0.25">
      <c r="B90" s="56" t="s">
        <v>126</v>
      </c>
    </row>
    <row r="91" spans="2:12" x14ac:dyDescent="0.25">
      <c r="B91" s="2"/>
      <c r="C91" s="3"/>
      <c r="D91" s="3"/>
      <c r="E91" s="3"/>
      <c r="F91" s="3"/>
      <c r="G91" s="3"/>
      <c r="H91" s="3"/>
      <c r="I91" s="3"/>
      <c r="J91" s="3"/>
      <c r="K91" s="3"/>
      <c r="L91" s="4"/>
    </row>
    <row r="92" spans="2:12" x14ac:dyDescent="0.25">
      <c r="B92" s="5"/>
      <c r="C92" s="49" t="s">
        <v>127</v>
      </c>
      <c r="D92" s="10"/>
      <c r="E92" s="10"/>
      <c r="F92" s="49" t="s">
        <v>128</v>
      </c>
      <c r="G92" s="10"/>
      <c r="H92" s="10"/>
      <c r="I92" s="10"/>
      <c r="J92" s="10"/>
      <c r="K92" s="10"/>
      <c r="L92" s="55"/>
    </row>
    <row r="93" spans="2:12" x14ac:dyDescent="0.25">
      <c r="B93" s="5"/>
      <c r="C93" s="98" t="s">
        <v>1</v>
      </c>
      <c r="D93" s="34" t="s">
        <v>2</v>
      </c>
      <c r="E93" s="7"/>
      <c r="F93" s="74" t="s">
        <v>11</v>
      </c>
      <c r="G93" s="74" t="s">
        <v>12</v>
      </c>
      <c r="H93" s="74" t="s">
        <v>8</v>
      </c>
      <c r="I93" s="10"/>
      <c r="J93" s="10"/>
      <c r="K93" s="10"/>
      <c r="L93" s="55"/>
    </row>
    <row r="94" spans="2:12" x14ac:dyDescent="0.25">
      <c r="B94" s="5"/>
      <c r="C94" s="99" t="s">
        <v>97</v>
      </c>
      <c r="D94" s="35" t="s">
        <v>20</v>
      </c>
      <c r="E94" s="9"/>
      <c r="F94" s="97" t="s">
        <v>47</v>
      </c>
      <c r="G94" s="94">
        <v>-1.33E-3</v>
      </c>
      <c r="H94" s="71" t="b">
        <v>1</v>
      </c>
      <c r="I94" s="10"/>
      <c r="J94" s="10"/>
      <c r="K94" s="10"/>
      <c r="L94" s="55"/>
    </row>
    <row r="95" spans="2:12" x14ac:dyDescent="0.25">
      <c r="B95" s="5"/>
      <c r="C95" s="99" t="s">
        <v>129</v>
      </c>
      <c r="D95" s="35" t="s">
        <v>6</v>
      </c>
      <c r="E95" s="9"/>
      <c r="F95" s="24" t="s">
        <v>43</v>
      </c>
      <c r="G95" s="95">
        <v>-8.699999999999999E-4</v>
      </c>
      <c r="H95" s="72" t="b">
        <v>1</v>
      </c>
      <c r="I95" s="10"/>
      <c r="J95" s="10"/>
      <c r="K95" s="10"/>
      <c r="L95" s="55"/>
    </row>
    <row r="96" spans="2:12" x14ac:dyDescent="0.25">
      <c r="B96" s="5"/>
      <c r="C96" s="99" t="s">
        <v>27</v>
      </c>
      <c r="D96" s="35" t="s">
        <v>26</v>
      </c>
      <c r="E96" s="9"/>
      <c r="F96" s="24" t="s">
        <v>50</v>
      </c>
      <c r="G96" s="95">
        <v>-8.0000000000000007E-5</v>
      </c>
      <c r="H96" s="72" t="b">
        <v>1</v>
      </c>
      <c r="I96" s="10"/>
      <c r="J96" s="10"/>
      <c r="K96" s="10"/>
      <c r="L96" s="55"/>
    </row>
    <row r="97" spans="2:12" x14ac:dyDescent="0.25">
      <c r="B97" s="5"/>
      <c r="C97" s="99" t="s">
        <v>131</v>
      </c>
      <c r="D97" s="35" t="s">
        <v>130</v>
      </c>
      <c r="E97" s="9"/>
      <c r="F97" s="24" t="s">
        <v>52</v>
      </c>
      <c r="G97" s="95">
        <v>9.2999999999999995E-4</v>
      </c>
      <c r="H97" s="72" t="b">
        <v>1</v>
      </c>
      <c r="I97" s="10"/>
      <c r="J97" s="10"/>
      <c r="K97" s="10"/>
      <c r="L97" s="55"/>
    </row>
    <row r="98" spans="2:12" x14ac:dyDescent="0.25">
      <c r="B98" s="5"/>
      <c r="C98" s="99" t="s">
        <v>132</v>
      </c>
      <c r="D98" s="107" t="s">
        <v>84</v>
      </c>
      <c r="E98" s="9"/>
      <c r="F98" s="24" t="s">
        <v>54</v>
      </c>
      <c r="G98" s="95">
        <v>2.0200000000000001E-3</v>
      </c>
      <c r="H98" s="72" t="b">
        <v>1</v>
      </c>
      <c r="I98" s="10"/>
      <c r="J98" s="10"/>
      <c r="K98" s="10"/>
      <c r="L98" s="55"/>
    </row>
    <row r="99" spans="2:12" x14ac:dyDescent="0.25">
      <c r="B99" s="5"/>
      <c r="C99" s="99" t="s">
        <v>102</v>
      </c>
      <c r="D99" s="35" t="b">
        <v>1</v>
      </c>
      <c r="E99" s="9"/>
      <c r="F99" s="24" t="s">
        <v>56</v>
      </c>
      <c r="G99" s="95">
        <v>3.2100000000000002E-3</v>
      </c>
      <c r="H99" s="72" t="b">
        <v>1</v>
      </c>
      <c r="I99" s="10"/>
      <c r="J99" s="10"/>
      <c r="K99" s="10"/>
      <c r="L99" s="55"/>
    </row>
    <row r="100" spans="2:12" x14ac:dyDescent="0.25">
      <c r="B100" s="5"/>
      <c r="C100" s="99" t="s">
        <v>251</v>
      </c>
      <c r="D100" s="35">
        <v>31</v>
      </c>
      <c r="E100" s="9"/>
      <c r="F100" s="24" t="s">
        <v>58</v>
      </c>
      <c r="G100" s="95">
        <v>4.4400000000000004E-3</v>
      </c>
      <c r="H100" s="72" t="b">
        <v>1</v>
      </c>
      <c r="I100" s="10"/>
      <c r="J100" s="10"/>
      <c r="K100" s="10"/>
      <c r="L100" s="55"/>
    </row>
    <row r="101" spans="2:12" x14ac:dyDescent="0.25">
      <c r="B101" s="5"/>
      <c r="C101" s="99" t="s">
        <v>101</v>
      </c>
      <c r="D101" s="35">
        <v>2</v>
      </c>
      <c r="E101" s="9"/>
      <c r="F101" s="24" t="s">
        <v>60</v>
      </c>
      <c r="G101" s="95">
        <v>5.6100000000000004E-3</v>
      </c>
      <c r="H101" s="72" t="b">
        <v>1</v>
      </c>
      <c r="I101" s="10"/>
      <c r="J101" s="10"/>
      <c r="K101" s="10"/>
      <c r="L101" s="55"/>
    </row>
    <row r="102" spans="2:12" x14ac:dyDescent="0.25">
      <c r="B102" s="5"/>
      <c r="C102" s="99" t="s">
        <v>21</v>
      </c>
      <c r="D102" s="64" t="s">
        <v>22</v>
      </c>
      <c r="E102" s="9"/>
      <c r="F102" s="24" t="s">
        <v>61</v>
      </c>
      <c r="G102" s="95">
        <v>6.6700000000000006E-3</v>
      </c>
      <c r="H102" s="72" t="b">
        <v>1</v>
      </c>
      <c r="I102" s="10"/>
      <c r="J102" s="10"/>
      <c r="K102" s="10"/>
      <c r="L102" s="55"/>
    </row>
    <row r="103" spans="2:12" x14ac:dyDescent="0.25">
      <c r="B103" s="5"/>
      <c r="C103" s="99" t="s">
        <v>133</v>
      </c>
      <c r="D103" s="35" t="b">
        <v>1</v>
      </c>
      <c r="E103" s="9"/>
      <c r="F103" s="24" t="s">
        <v>62</v>
      </c>
      <c r="G103" s="95">
        <v>7.6300000000000005E-3</v>
      </c>
      <c r="H103" s="72" t="b">
        <v>1</v>
      </c>
      <c r="I103" s="10"/>
      <c r="J103" s="10"/>
      <c r="K103" s="10"/>
      <c r="L103" s="55"/>
    </row>
    <row r="104" spans="2:12" x14ac:dyDescent="0.25">
      <c r="B104" s="5"/>
      <c r="C104" s="99" t="s">
        <v>134</v>
      </c>
      <c r="D104" s="35" t="b">
        <v>1</v>
      </c>
      <c r="E104" s="9"/>
      <c r="F104" s="24" t="s">
        <v>63</v>
      </c>
      <c r="G104" s="95">
        <v>8.4700000000000001E-3</v>
      </c>
      <c r="H104" s="72" t="b">
        <v>1</v>
      </c>
      <c r="I104" s="10"/>
      <c r="J104" s="10"/>
      <c r="K104" s="10"/>
      <c r="L104" s="55"/>
    </row>
    <row r="105" spans="2:12" x14ac:dyDescent="0.25">
      <c r="B105" s="5"/>
      <c r="C105" s="99" t="s">
        <v>135</v>
      </c>
      <c r="D105" s="38">
        <v>1.0000000000000001E-9</v>
      </c>
      <c r="E105" s="9"/>
      <c r="F105" s="24" t="s">
        <v>64</v>
      </c>
      <c r="G105" s="95">
        <v>1.03E-2</v>
      </c>
      <c r="H105" s="72" t="b">
        <v>1</v>
      </c>
      <c r="I105" s="10"/>
      <c r="J105" s="10"/>
      <c r="K105" s="10"/>
      <c r="L105" s="55"/>
    </row>
    <row r="106" spans="2:12" x14ac:dyDescent="0.25">
      <c r="B106" s="5"/>
      <c r="C106" s="99" t="s">
        <v>136</v>
      </c>
      <c r="D106" s="102">
        <v>1000</v>
      </c>
      <c r="E106" s="9"/>
      <c r="F106" s="24" t="s">
        <v>65</v>
      </c>
      <c r="G106" s="95">
        <v>1.1659999999999998E-2</v>
      </c>
      <c r="H106" s="72" t="b">
        <v>1</v>
      </c>
      <c r="I106" s="10"/>
      <c r="J106" s="10"/>
      <c r="K106" s="10"/>
      <c r="L106" s="55"/>
    </row>
    <row r="107" spans="2:12" x14ac:dyDescent="0.25">
      <c r="B107" s="5"/>
      <c r="C107" s="99"/>
      <c r="D107" s="38"/>
      <c r="E107" s="9"/>
      <c r="F107" s="24" t="s">
        <v>66</v>
      </c>
      <c r="G107" s="95">
        <v>1.201E-2</v>
      </c>
      <c r="H107" s="72" t="b">
        <v>1</v>
      </c>
      <c r="I107" s="10"/>
      <c r="J107" s="10"/>
      <c r="K107" s="10"/>
      <c r="L107" s="55"/>
    </row>
    <row r="108" spans="2:12" x14ac:dyDescent="0.25">
      <c r="B108" s="5"/>
      <c r="C108" s="99"/>
      <c r="D108" s="35"/>
      <c r="E108" s="9"/>
      <c r="F108" s="24" t="s">
        <v>67</v>
      </c>
      <c r="G108" s="95">
        <v>1.204E-2</v>
      </c>
      <c r="H108" s="72" t="b">
        <v>1</v>
      </c>
      <c r="I108" s="10"/>
      <c r="J108" s="10"/>
      <c r="K108" s="10"/>
      <c r="L108" s="55"/>
    </row>
    <row r="109" spans="2:12" x14ac:dyDescent="0.25">
      <c r="B109" s="5"/>
      <c r="C109" s="99"/>
      <c r="D109" s="35"/>
      <c r="E109" s="9"/>
      <c r="F109" s="24" t="s">
        <v>68</v>
      </c>
      <c r="G109" s="95">
        <v>1.1859999999999999E-2</v>
      </c>
      <c r="H109" s="72" t="b">
        <v>1</v>
      </c>
      <c r="I109" s="10"/>
      <c r="J109" s="10"/>
      <c r="K109" s="10"/>
      <c r="L109" s="55"/>
    </row>
    <row r="110" spans="2:12" x14ac:dyDescent="0.25">
      <c r="B110" s="5"/>
      <c r="C110" s="99"/>
      <c r="D110" s="35"/>
      <c r="E110" s="9"/>
      <c r="F110" s="24" t="s">
        <v>69</v>
      </c>
      <c r="G110" s="95">
        <v>1.1200000000000002E-2</v>
      </c>
      <c r="H110" s="72" t="b">
        <v>1</v>
      </c>
      <c r="I110" s="10"/>
      <c r="J110" s="10"/>
      <c r="K110" s="10"/>
      <c r="L110" s="55"/>
    </row>
    <row r="111" spans="2:12" x14ac:dyDescent="0.25">
      <c r="B111" s="5"/>
      <c r="C111" s="100"/>
      <c r="D111" s="40"/>
      <c r="E111" s="9"/>
      <c r="F111" s="25"/>
      <c r="G111" s="96"/>
      <c r="H111" s="73"/>
      <c r="I111" s="10"/>
      <c r="J111" s="10"/>
      <c r="K111" s="10"/>
      <c r="L111" s="55"/>
    </row>
    <row r="112" spans="2:12" x14ac:dyDescent="0.25">
      <c r="B112" s="5"/>
      <c r="C112" s="9"/>
      <c r="D112" s="9"/>
      <c r="E112" s="9"/>
      <c r="F112" s="10"/>
      <c r="G112" s="10"/>
      <c r="H112" s="10"/>
      <c r="I112" s="10"/>
      <c r="J112" s="10"/>
      <c r="K112" s="10"/>
      <c r="L112" s="55"/>
    </row>
    <row r="113" spans="2:12" x14ac:dyDescent="0.25"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3"/>
    </row>
  </sheetData>
  <dataValidations disablePrompts="1" count="2">
    <dataValidation type="list" allowBlank="1" showInputMessage="1" showErrorMessage="1" sqref="D98 D24:D25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D54 D102 D75">
      <formula1>"FOLLOWING,MOD_FOLLOWING,PRECEDING,MOD_PRECEEDING,NO_CHANGE"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3"/>
  </sheetPr>
  <dimension ref="B2:J82"/>
  <sheetViews>
    <sheetView showGridLines="0" workbookViewId="0"/>
  </sheetViews>
  <sheetFormatPr defaultRowHeight="15" x14ac:dyDescent="0.25"/>
  <cols>
    <col min="2" max="2" width="2.7109375" customWidth="1"/>
    <col min="3" max="3" width="13" customWidth="1"/>
    <col min="4" max="4" width="32" customWidth="1"/>
    <col min="5" max="5" width="32.42578125" customWidth="1"/>
    <col min="7" max="9" width="20.7109375" customWidth="1"/>
    <col min="10" max="10" width="2.7109375" customWidth="1"/>
    <col min="11" max="15" width="20.7109375" customWidth="1"/>
    <col min="16" max="16" width="2.7109375" customWidth="1"/>
  </cols>
  <sheetData>
    <row r="2" spans="2:10" x14ac:dyDescent="0.25">
      <c r="B2" s="155" t="s">
        <v>281</v>
      </c>
    </row>
    <row r="5" spans="2:10" x14ac:dyDescent="0.25">
      <c r="B5" s="156" t="s">
        <v>217</v>
      </c>
      <c r="C5" s="56"/>
    </row>
    <row r="6" spans="2:10" x14ac:dyDescent="0.25">
      <c r="B6" s="2"/>
      <c r="C6" s="3"/>
      <c r="D6" s="45"/>
      <c r="E6" s="46"/>
      <c r="F6" s="3"/>
      <c r="G6" s="3"/>
      <c r="H6" s="3"/>
      <c r="I6" s="3"/>
      <c r="J6" s="4"/>
    </row>
    <row r="7" spans="2:10" x14ac:dyDescent="0.25">
      <c r="B7" s="5"/>
      <c r="C7" s="7"/>
      <c r="D7" s="157" t="s">
        <v>217</v>
      </c>
      <c r="E7" s="185" t="str">
        <f ca="1">IF(AND(isEUR6MLLoaded,NOW()),_xll.meLWOCurveCreateBasis("EUR3ML_19FEB16",TenorBasisCurve3M6M.CollectionName,TenorBasisCurve3M6M.StaticDataTable,TenorBasisCurve3M6M.IndexName,TenorBasisCurve3M6M.BuildProperties,TenorBasisSwap3M6M.Conventions,TenorBasisSwap3M6M.MarketData),"Error Building Tenor Basis Curve")</f>
        <v>EUR3ML_19FEB16:4</v>
      </c>
      <c r="F7" s="7"/>
      <c r="G7" s="7"/>
      <c r="H7" s="7"/>
      <c r="I7" s="7"/>
      <c r="J7" s="8"/>
    </row>
    <row r="8" spans="2:10" x14ac:dyDescent="0.25">
      <c r="B8" s="5"/>
      <c r="C8" s="7"/>
      <c r="D8" s="114" t="s">
        <v>192</v>
      </c>
      <c r="E8" s="158" t="b">
        <f ca="1">LEFT(E7,6)="EUR3ML"</f>
        <v>1</v>
      </c>
      <c r="F8" s="7"/>
      <c r="G8" s="7"/>
      <c r="H8" s="7"/>
      <c r="I8" s="7"/>
      <c r="J8" s="8"/>
    </row>
    <row r="9" spans="2:10" x14ac:dyDescent="0.25">
      <c r="B9" s="5"/>
      <c r="C9" s="7"/>
      <c r="D9" s="6"/>
      <c r="E9" s="60"/>
      <c r="F9" s="7"/>
      <c r="G9" s="7"/>
      <c r="H9" s="7"/>
      <c r="I9" s="7"/>
      <c r="J9" s="8"/>
    </row>
    <row r="10" spans="2:10" x14ac:dyDescent="0.25">
      <c r="B10" s="5"/>
      <c r="C10" s="7"/>
      <c r="D10" s="6" t="s">
        <v>4</v>
      </c>
      <c r="E10" s="60"/>
      <c r="F10" s="7"/>
      <c r="G10" s="7"/>
      <c r="H10" s="7"/>
      <c r="I10" s="7"/>
      <c r="J10" s="8"/>
    </row>
    <row r="11" spans="2:10" x14ac:dyDescent="0.25">
      <c r="B11" s="5"/>
      <c r="C11" s="7"/>
      <c r="D11" s="48" t="s">
        <v>0</v>
      </c>
      <c r="E11" s="57"/>
      <c r="F11" s="7"/>
      <c r="G11" s="7"/>
      <c r="H11" s="7"/>
      <c r="I11" s="7"/>
      <c r="J11" s="8"/>
    </row>
    <row r="12" spans="2:10" x14ac:dyDescent="0.25">
      <c r="B12" s="5"/>
      <c r="C12" s="7"/>
      <c r="D12" s="27" t="s">
        <v>88</v>
      </c>
      <c r="E12" s="103" t="s">
        <v>80</v>
      </c>
      <c r="F12" s="7"/>
      <c r="G12" s="7"/>
      <c r="H12" s="7"/>
      <c r="I12" s="7"/>
      <c r="J12" s="8"/>
    </row>
    <row r="13" spans="2:10" x14ac:dyDescent="0.25">
      <c r="B13" s="5"/>
      <c r="C13" s="7"/>
      <c r="D13" s="28" t="s">
        <v>87</v>
      </c>
      <c r="E13" s="104" t="s">
        <v>140</v>
      </c>
      <c r="F13" s="7"/>
      <c r="G13" s="7"/>
      <c r="H13" s="7"/>
      <c r="I13" s="7"/>
      <c r="J13" s="8"/>
    </row>
    <row r="14" spans="2:10" x14ac:dyDescent="0.25">
      <c r="B14" s="5"/>
      <c r="C14" s="7"/>
      <c r="D14" s="59" t="s">
        <v>89</v>
      </c>
      <c r="E14" s="106" t="s">
        <v>141</v>
      </c>
      <c r="F14" s="7"/>
      <c r="G14" s="7"/>
      <c r="H14" s="7"/>
      <c r="I14" s="7"/>
      <c r="J14" s="8" t="s">
        <v>4</v>
      </c>
    </row>
    <row r="15" spans="2:10" x14ac:dyDescent="0.25">
      <c r="B15" s="11"/>
      <c r="C15" s="12"/>
      <c r="D15" s="12"/>
      <c r="E15" s="12"/>
      <c r="F15" s="12"/>
      <c r="G15" s="12"/>
      <c r="H15" s="12"/>
      <c r="I15" s="12"/>
      <c r="J15" s="13"/>
    </row>
    <row r="18" spans="2:10" x14ac:dyDescent="0.25">
      <c r="B18" s="56" t="s">
        <v>70</v>
      </c>
      <c r="C18" s="56"/>
    </row>
    <row r="19" spans="2:10" x14ac:dyDescent="0.25">
      <c r="B19" s="2"/>
      <c r="C19" s="3"/>
      <c r="D19" s="45"/>
      <c r="E19" s="46"/>
      <c r="F19" s="3"/>
      <c r="G19" s="3"/>
      <c r="H19" s="3"/>
      <c r="I19" s="3"/>
      <c r="J19" s="4"/>
    </row>
    <row r="20" spans="2:10" x14ac:dyDescent="0.25">
      <c r="B20" s="5"/>
      <c r="C20" s="7"/>
      <c r="D20" s="48" t="s">
        <v>70</v>
      </c>
      <c r="E20" s="47"/>
      <c r="F20" s="7"/>
      <c r="G20" s="50" t="s">
        <v>81</v>
      </c>
      <c r="H20" s="7"/>
      <c r="I20" s="7"/>
      <c r="J20" s="8"/>
    </row>
    <row r="21" spans="2:10" x14ac:dyDescent="0.25">
      <c r="B21" s="5"/>
      <c r="C21" s="7"/>
      <c r="D21" s="27" t="s">
        <v>10</v>
      </c>
      <c r="E21" s="103">
        <v>42419</v>
      </c>
      <c r="F21" s="7"/>
      <c r="G21" s="14" t="s">
        <v>82</v>
      </c>
      <c r="H21" s="16"/>
      <c r="I21" s="7"/>
      <c r="J21" s="8"/>
    </row>
    <row r="22" spans="2:10" x14ac:dyDescent="0.25">
      <c r="B22" s="5"/>
      <c r="C22" s="7"/>
      <c r="D22" s="28" t="s">
        <v>16</v>
      </c>
      <c r="E22" s="104" t="s">
        <v>17</v>
      </c>
      <c r="F22" s="7"/>
      <c r="G22" s="17" t="s">
        <v>83</v>
      </c>
      <c r="H22" s="18"/>
      <c r="I22" s="7"/>
      <c r="J22" s="8"/>
    </row>
    <row r="23" spans="2:10" x14ac:dyDescent="0.25">
      <c r="B23" s="5"/>
      <c r="C23" s="7"/>
      <c r="D23" s="28" t="s">
        <v>252</v>
      </c>
      <c r="E23" s="107" t="s">
        <v>84</v>
      </c>
      <c r="F23" s="7"/>
      <c r="G23" s="17" t="s">
        <v>84</v>
      </c>
      <c r="H23" s="18"/>
      <c r="I23" s="7"/>
      <c r="J23" s="8"/>
    </row>
    <row r="24" spans="2:10" x14ac:dyDescent="0.25">
      <c r="B24" s="5"/>
      <c r="C24" s="7"/>
      <c r="D24" s="187" t="s">
        <v>253</v>
      </c>
      <c r="E24" s="104" t="b">
        <v>0</v>
      </c>
      <c r="F24" s="7"/>
      <c r="G24" s="17" t="s">
        <v>85</v>
      </c>
      <c r="H24" s="18"/>
      <c r="I24" s="7"/>
      <c r="J24" s="8"/>
    </row>
    <row r="25" spans="2:10" x14ac:dyDescent="0.25">
      <c r="B25" s="5"/>
      <c r="C25" s="7"/>
      <c r="D25" s="187" t="s">
        <v>254</v>
      </c>
      <c r="E25" s="104" t="s">
        <v>9</v>
      </c>
      <c r="F25" s="7"/>
      <c r="G25" s="17" t="s">
        <v>86</v>
      </c>
      <c r="H25" s="18"/>
      <c r="I25" s="7"/>
      <c r="J25" s="8"/>
    </row>
    <row r="26" spans="2:10" x14ac:dyDescent="0.25">
      <c r="B26" s="5"/>
      <c r="C26" s="7"/>
      <c r="D26" s="28"/>
      <c r="E26" s="104"/>
      <c r="F26" s="7"/>
      <c r="G26" s="17"/>
      <c r="H26" s="18"/>
      <c r="I26" s="7"/>
      <c r="J26" s="8"/>
    </row>
    <row r="27" spans="2:10" x14ac:dyDescent="0.25">
      <c r="B27" s="5"/>
      <c r="C27" s="7"/>
      <c r="D27" s="28"/>
      <c r="E27" s="104"/>
      <c r="F27" s="7"/>
      <c r="G27" s="17"/>
      <c r="H27" s="18"/>
      <c r="I27" s="7"/>
      <c r="J27" s="8"/>
    </row>
    <row r="28" spans="2:10" x14ac:dyDescent="0.25">
      <c r="B28" s="5"/>
      <c r="C28" s="7"/>
      <c r="D28" s="29"/>
      <c r="E28" s="104"/>
      <c r="F28" s="7"/>
      <c r="G28" s="17"/>
      <c r="H28" s="18"/>
      <c r="I28" s="7"/>
      <c r="J28" s="8"/>
    </row>
    <row r="29" spans="2:10" x14ac:dyDescent="0.25">
      <c r="B29" s="5"/>
      <c r="C29" s="7"/>
      <c r="D29" s="29"/>
      <c r="E29" s="104"/>
      <c r="F29" s="7"/>
      <c r="G29" s="17"/>
      <c r="H29" s="18"/>
      <c r="I29" s="7"/>
      <c r="J29" s="8"/>
    </row>
    <row r="30" spans="2:10" x14ac:dyDescent="0.25">
      <c r="B30" s="5"/>
      <c r="C30" s="7"/>
      <c r="D30" s="29"/>
      <c r="E30" s="104"/>
      <c r="F30" s="7"/>
      <c r="G30" s="17"/>
      <c r="H30" s="18"/>
      <c r="I30" s="7"/>
      <c r="J30" s="8"/>
    </row>
    <row r="31" spans="2:10" x14ac:dyDescent="0.25">
      <c r="B31" s="5"/>
      <c r="C31" s="7"/>
      <c r="D31" s="44"/>
      <c r="E31" s="106"/>
      <c r="F31" s="7"/>
      <c r="G31" s="21"/>
      <c r="H31" s="22"/>
      <c r="I31" s="7"/>
      <c r="J31" s="8"/>
    </row>
    <row r="32" spans="2:10" x14ac:dyDescent="0.25">
      <c r="B32" s="11"/>
      <c r="C32" s="12"/>
      <c r="D32" s="12"/>
      <c r="E32" s="12"/>
      <c r="F32" s="12"/>
      <c r="G32" s="12"/>
      <c r="H32" s="12"/>
      <c r="I32" s="12"/>
      <c r="J32" s="13"/>
    </row>
    <row r="35" spans="2:10" x14ac:dyDescent="0.25">
      <c r="B35" s="56" t="s">
        <v>142</v>
      </c>
      <c r="C35" s="56"/>
    </row>
    <row r="36" spans="2:10" x14ac:dyDescent="0.25">
      <c r="B36" s="2"/>
      <c r="C36" s="3"/>
      <c r="D36" s="3"/>
      <c r="E36" s="3"/>
      <c r="F36" s="3"/>
      <c r="G36" s="3"/>
      <c r="H36" s="3"/>
      <c r="I36" s="3"/>
      <c r="J36" s="4"/>
    </row>
    <row r="37" spans="2:10" x14ac:dyDescent="0.25">
      <c r="B37" s="5"/>
      <c r="C37" s="7"/>
      <c r="D37" s="49" t="s">
        <v>184</v>
      </c>
      <c r="E37" s="10"/>
      <c r="F37" s="10"/>
      <c r="G37" s="49" t="s">
        <v>187</v>
      </c>
      <c r="H37" s="10"/>
      <c r="I37" s="10"/>
      <c r="J37" s="55"/>
    </row>
    <row r="38" spans="2:10" x14ac:dyDescent="0.25">
      <c r="B38" s="5"/>
      <c r="C38" s="111"/>
      <c r="D38" s="27" t="s">
        <v>143</v>
      </c>
      <c r="E38" s="34" t="s">
        <v>144</v>
      </c>
      <c r="F38" s="7"/>
      <c r="G38" s="74" t="s">
        <v>11</v>
      </c>
      <c r="H38" s="74" t="s">
        <v>12</v>
      </c>
      <c r="I38" s="10"/>
      <c r="J38" s="55"/>
    </row>
    <row r="39" spans="2:10" x14ac:dyDescent="0.25">
      <c r="B39" s="5"/>
      <c r="C39" s="235" t="s">
        <v>190</v>
      </c>
      <c r="D39" s="108" t="s">
        <v>145</v>
      </c>
      <c r="E39" s="109" t="b">
        <v>0</v>
      </c>
      <c r="F39" s="9"/>
      <c r="G39" s="67" t="s">
        <v>183</v>
      </c>
      <c r="H39" s="71">
        <v>1.1300000000000001E-3</v>
      </c>
      <c r="I39" s="10"/>
      <c r="J39" s="55"/>
    </row>
    <row r="40" spans="2:10" x14ac:dyDescent="0.25">
      <c r="B40" s="5"/>
      <c r="C40" s="236"/>
      <c r="D40" s="28" t="s">
        <v>146</v>
      </c>
      <c r="E40" s="35" t="s">
        <v>2</v>
      </c>
      <c r="F40" s="9"/>
      <c r="G40" s="68" t="s">
        <v>47</v>
      </c>
      <c r="H40" s="72">
        <v>1.1925E-3</v>
      </c>
      <c r="I40" s="10"/>
      <c r="J40" s="55"/>
    </row>
    <row r="41" spans="2:10" x14ac:dyDescent="0.25">
      <c r="B41" s="5"/>
      <c r="C41" s="236"/>
      <c r="D41" s="28" t="s">
        <v>147</v>
      </c>
      <c r="E41" s="35" t="s">
        <v>148</v>
      </c>
      <c r="F41" s="9"/>
      <c r="G41" s="68" t="s">
        <v>43</v>
      </c>
      <c r="H41" s="72">
        <v>1.2425000000000001E-3</v>
      </c>
      <c r="I41" s="10"/>
      <c r="J41" s="55"/>
    </row>
    <row r="42" spans="2:10" x14ac:dyDescent="0.25">
      <c r="B42" s="5"/>
      <c r="C42" s="236"/>
      <c r="D42" s="28" t="s">
        <v>149</v>
      </c>
      <c r="E42" s="64" t="s">
        <v>130</v>
      </c>
      <c r="F42" s="9"/>
      <c r="G42" s="68" t="s">
        <v>50</v>
      </c>
      <c r="H42" s="72">
        <v>1.2975E-3</v>
      </c>
      <c r="I42" s="10"/>
      <c r="J42" s="55"/>
    </row>
    <row r="43" spans="2:10" x14ac:dyDescent="0.25">
      <c r="B43" s="5"/>
      <c r="C43" s="236"/>
      <c r="D43" s="28" t="s">
        <v>150</v>
      </c>
      <c r="E43" s="64" t="s">
        <v>22</v>
      </c>
      <c r="F43" s="9"/>
      <c r="G43" s="68" t="s">
        <v>52</v>
      </c>
      <c r="H43" s="72">
        <v>1.3324999999999999E-3</v>
      </c>
      <c r="I43" s="10"/>
      <c r="J43" s="55"/>
    </row>
    <row r="44" spans="2:10" x14ac:dyDescent="0.25">
      <c r="B44" s="5"/>
      <c r="C44" s="236"/>
      <c r="D44" s="28" t="s">
        <v>151</v>
      </c>
      <c r="E44" s="35" t="s">
        <v>123</v>
      </c>
      <c r="F44" s="9"/>
      <c r="G44" s="68" t="s">
        <v>54</v>
      </c>
      <c r="H44" s="72">
        <v>1.3074999999999999E-3</v>
      </c>
      <c r="I44" s="10"/>
      <c r="J44" s="55"/>
    </row>
    <row r="45" spans="2:10" x14ac:dyDescent="0.25">
      <c r="B45" s="5"/>
      <c r="C45" s="236"/>
      <c r="D45" s="28" t="s">
        <v>152</v>
      </c>
      <c r="E45" s="35" t="s">
        <v>9</v>
      </c>
      <c r="F45" s="9"/>
      <c r="G45" s="68" t="s">
        <v>56</v>
      </c>
      <c r="H45" s="72">
        <v>1.2725E-3</v>
      </c>
      <c r="I45" s="10"/>
      <c r="J45" s="55"/>
    </row>
    <row r="46" spans="2:10" x14ac:dyDescent="0.25">
      <c r="B46" s="5"/>
      <c r="C46" s="236"/>
      <c r="D46" s="28" t="s">
        <v>153</v>
      </c>
      <c r="E46" s="35" t="s">
        <v>188</v>
      </c>
      <c r="F46" s="9"/>
      <c r="G46" s="68" t="s">
        <v>58</v>
      </c>
      <c r="H46" s="72">
        <v>1.2275000000000001E-3</v>
      </c>
      <c r="I46" s="10"/>
      <c r="J46" s="55"/>
    </row>
    <row r="47" spans="2:10" x14ac:dyDescent="0.25">
      <c r="B47" s="5"/>
      <c r="C47" s="236"/>
      <c r="D47" s="28" t="s">
        <v>154</v>
      </c>
      <c r="E47" s="35" t="s">
        <v>104</v>
      </c>
      <c r="F47" s="9"/>
      <c r="G47" s="68" t="s">
        <v>60</v>
      </c>
      <c r="H47" s="72">
        <v>1.1675000000000001E-3</v>
      </c>
      <c r="I47" s="10"/>
      <c r="J47" s="55"/>
    </row>
    <row r="48" spans="2:10" x14ac:dyDescent="0.25">
      <c r="B48" s="5"/>
      <c r="C48" s="236"/>
      <c r="D48" s="28" t="s">
        <v>155</v>
      </c>
      <c r="E48" s="35" t="s">
        <v>148</v>
      </c>
      <c r="F48" s="9"/>
      <c r="G48" s="68" t="s">
        <v>61</v>
      </c>
      <c r="H48" s="72">
        <v>1.1025E-3</v>
      </c>
      <c r="I48" s="10"/>
      <c r="J48" s="55"/>
    </row>
    <row r="49" spans="2:10" x14ac:dyDescent="0.25">
      <c r="B49" s="5"/>
      <c r="C49" s="236"/>
      <c r="D49" s="28" t="s">
        <v>156</v>
      </c>
      <c r="E49" s="35" t="s">
        <v>2</v>
      </c>
      <c r="F49" s="9"/>
      <c r="G49" s="68" t="s">
        <v>62</v>
      </c>
      <c r="H49" s="72">
        <v>1.0425E-3</v>
      </c>
      <c r="I49" s="10"/>
      <c r="J49" s="55"/>
    </row>
    <row r="50" spans="2:10" x14ac:dyDescent="0.25">
      <c r="B50" s="5"/>
      <c r="C50" s="236"/>
      <c r="D50" s="28" t="s">
        <v>157</v>
      </c>
      <c r="E50" s="35" t="s">
        <v>100</v>
      </c>
      <c r="F50" s="9"/>
      <c r="G50" s="68" t="s">
        <v>63</v>
      </c>
      <c r="H50" s="72">
        <v>9.9250000000000011E-4</v>
      </c>
      <c r="I50" s="10"/>
      <c r="J50" s="55"/>
    </row>
    <row r="51" spans="2:10" x14ac:dyDescent="0.25">
      <c r="B51" s="5"/>
      <c r="C51" s="236"/>
      <c r="D51" s="28" t="s">
        <v>158</v>
      </c>
      <c r="E51" s="35" t="s">
        <v>2</v>
      </c>
      <c r="F51" s="9"/>
      <c r="G51" s="68" t="s">
        <v>64</v>
      </c>
      <c r="H51" s="72">
        <v>8.6249999999999999E-4</v>
      </c>
      <c r="I51" s="10"/>
      <c r="J51" s="55"/>
    </row>
    <row r="52" spans="2:10" x14ac:dyDescent="0.25">
      <c r="B52" s="5"/>
      <c r="C52" s="236"/>
      <c r="D52" s="28" t="s">
        <v>159</v>
      </c>
      <c r="E52" s="35" t="s">
        <v>123</v>
      </c>
      <c r="F52" s="9"/>
      <c r="G52" s="68" t="s">
        <v>65</v>
      </c>
      <c r="H52" s="72">
        <v>6.8749999999999996E-4</v>
      </c>
      <c r="I52" s="10"/>
      <c r="J52" s="55"/>
    </row>
    <row r="53" spans="2:10" x14ac:dyDescent="0.25">
      <c r="B53" s="5"/>
      <c r="C53" s="237"/>
      <c r="D53" s="110" t="s">
        <v>160</v>
      </c>
      <c r="E53" s="64" t="s">
        <v>22</v>
      </c>
      <c r="F53" s="9"/>
      <c r="G53" s="68" t="s">
        <v>66</v>
      </c>
      <c r="H53" s="72">
        <v>5.8250000000000001E-4</v>
      </c>
      <c r="I53" s="10"/>
      <c r="J53" s="55"/>
    </row>
    <row r="54" spans="2:10" x14ac:dyDescent="0.25">
      <c r="B54" s="5"/>
      <c r="C54" s="238" t="s">
        <v>191</v>
      </c>
      <c r="D54" s="108" t="s">
        <v>161</v>
      </c>
      <c r="E54" s="109" t="s">
        <v>2</v>
      </c>
      <c r="F54" s="9"/>
      <c r="G54" s="68" t="s">
        <v>67</v>
      </c>
      <c r="H54" s="72">
        <v>5.1250000000000004E-4</v>
      </c>
      <c r="I54" s="10"/>
      <c r="J54" s="55"/>
    </row>
    <row r="55" spans="2:10" x14ac:dyDescent="0.25">
      <c r="B55" s="5"/>
      <c r="C55" s="239"/>
      <c r="D55" s="28" t="s">
        <v>162</v>
      </c>
      <c r="E55" s="35" t="s">
        <v>148</v>
      </c>
      <c r="F55" s="9"/>
      <c r="G55" s="68"/>
      <c r="H55" s="72"/>
      <c r="I55" s="10"/>
      <c r="J55" s="55"/>
    </row>
    <row r="56" spans="2:10" x14ac:dyDescent="0.25">
      <c r="B56" s="5"/>
      <c r="C56" s="239"/>
      <c r="D56" s="28" t="s">
        <v>163</v>
      </c>
      <c r="E56" s="64" t="s">
        <v>28</v>
      </c>
      <c r="F56" s="9"/>
      <c r="G56" s="68"/>
      <c r="H56" s="72"/>
      <c r="I56" s="10"/>
      <c r="J56" s="55"/>
    </row>
    <row r="57" spans="2:10" x14ac:dyDescent="0.25">
      <c r="B57" s="5"/>
      <c r="C57" s="239"/>
      <c r="D57" s="28" t="s">
        <v>164</v>
      </c>
      <c r="E57" s="64" t="s">
        <v>22</v>
      </c>
      <c r="F57" s="9"/>
      <c r="G57" s="68"/>
      <c r="H57" s="72"/>
      <c r="I57" s="10"/>
      <c r="J57" s="55"/>
    </row>
    <row r="58" spans="2:10" x14ac:dyDescent="0.25">
      <c r="B58" s="5"/>
      <c r="C58" s="239"/>
      <c r="D58" s="28" t="s">
        <v>165</v>
      </c>
      <c r="E58" s="35" t="s">
        <v>123</v>
      </c>
      <c r="F58" s="9"/>
      <c r="G58" s="68"/>
      <c r="H58" s="72"/>
      <c r="I58" s="10"/>
      <c r="J58" s="55"/>
    </row>
    <row r="59" spans="2:10" x14ac:dyDescent="0.25">
      <c r="B59" s="5"/>
      <c r="C59" s="239"/>
      <c r="D59" s="28" t="s">
        <v>166</v>
      </c>
      <c r="E59" s="35" t="s">
        <v>9</v>
      </c>
      <c r="F59" s="9"/>
      <c r="G59" s="68"/>
      <c r="H59" s="72"/>
      <c r="I59" s="10"/>
      <c r="J59" s="55"/>
    </row>
    <row r="60" spans="2:10" x14ac:dyDescent="0.25">
      <c r="B60" s="5"/>
      <c r="C60" s="239"/>
      <c r="D60" s="28" t="s">
        <v>167</v>
      </c>
      <c r="E60" s="35" t="s">
        <v>90</v>
      </c>
      <c r="F60" s="9"/>
      <c r="G60" s="68"/>
      <c r="H60" s="72"/>
      <c r="I60" s="10"/>
      <c r="J60" s="55"/>
    </row>
    <row r="61" spans="2:10" x14ac:dyDescent="0.25">
      <c r="B61" s="5"/>
      <c r="C61" s="239"/>
      <c r="D61" s="28" t="s">
        <v>168</v>
      </c>
      <c r="E61" s="35" t="s">
        <v>169</v>
      </c>
      <c r="F61" s="9"/>
      <c r="G61" s="68"/>
      <c r="H61" s="72"/>
      <c r="I61" s="10"/>
      <c r="J61" s="55"/>
    </row>
    <row r="62" spans="2:10" x14ac:dyDescent="0.25">
      <c r="B62" s="5"/>
      <c r="C62" s="239"/>
      <c r="D62" s="28" t="s">
        <v>170</v>
      </c>
      <c r="E62" s="35" t="s">
        <v>148</v>
      </c>
      <c r="F62" s="9"/>
      <c r="G62" s="68"/>
      <c r="H62" s="72"/>
      <c r="I62" s="10"/>
      <c r="J62" s="55"/>
    </row>
    <row r="63" spans="2:10" x14ac:dyDescent="0.25">
      <c r="B63" s="5"/>
      <c r="C63" s="239"/>
      <c r="D63" s="28" t="s">
        <v>171</v>
      </c>
      <c r="E63" s="35" t="s">
        <v>2</v>
      </c>
      <c r="F63" s="9"/>
      <c r="G63" s="68"/>
      <c r="H63" s="72"/>
      <c r="I63" s="10"/>
      <c r="J63" s="55"/>
    </row>
    <row r="64" spans="2:10" x14ac:dyDescent="0.25">
      <c r="B64" s="5"/>
      <c r="C64" s="239"/>
      <c r="D64" s="28" t="s">
        <v>172</v>
      </c>
      <c r="E64" s="35" t="s">
        <v>100</v>
      </c>
      <c r="F64" s="9"/>
      <c r="G64" s="68"/>
      <c r="H64" s="72"/>
      <c r="I64" s="10"/>
      <c r="J64" s="55"/>
    </row>
    <row r="65" spans="2:10" x14ac:dyDescent="0.25">
      <c r="B65" s="5"/>
      <c r="C65" s="239"/>
      <c r="D65" s="28" t="s">
        <v>173</v>
      </c>
      <c r="E65" s="35" t="s">
        <v>2</v>
      </c>
      <c r="F65" s="9"/>
      <c r="G65" s="68"/>
      <c r="H65" s="72"/>
      <c r="I65" s="10"/>
      <c r="J65" s="55"/>
    </row>
    <row r="66" spans="2:10" x14ac:dyDescent="0.25">
      <c r="B66" s="5"/>
      <c r="C66" s="239"/>
      <c r="D66" s="28" t="s">
        <v>174</v>
      </c>
      <c r="E66" s="35" t="s">
        <v>123</v>
      </c>
      <c r="F66" s="9"/>
      <c r="G66" s="68"/>
      <c r="H66" s="72"/>
      <c r="I66" s="10"/>
      <c r="J66" s="55"/>
    </row>
    <row r="67" spans="2:10" x14ac:dyDescent="0.25">
      <c r="B67" s="5"/>
      <c r="C67" s="240"/>
      <c r="D67" s="110" t="s">
        <v>175</v>
      </c>
      <c r="E67" s="64" t="s">
        <v>22</v>
      </c>
      <c r="F67" s="9"/>
      <c r="G67" s="68"/>
      <c r="H67" s="72"/>
      <c r="I67" s="10"/>
      <c r="J67" s="55"/>
    </row>
    <row r="68" spans="2:10" x14ac:dyDescent="0.25">
      <c r="B68" s="5"/>
      <c r="C68" s="241" t="str">
        <f ca="1">"Solving For :"&amp;CHAR(32)&amp;$E$68</f>
        <v>Solving For : Leg2Forecast</v>
      </c>
      <c r="D68" s="113" t="s">
        <v>176</v>
      </c>
      <c r="E68" s="112" t="s">
        <v>177</v>
      </c>
      <c r="F68" s="9"/>
      <c r="G68" s="68"/>
      <c r="H68" s="72"/>
      <c r="I68" s="10"/>
      <c r="J68" s="55"/>
    </row>
    <row r="69" spans="2:10" x14ac:dyDescent="0.25">
      <c r="B69" s="5"/>
      <c r="C69" s="242"/>
      <c r="D69" s="28" t="s">
        <v>134</v>
      </c>
      <c r="E69" s="35" t="b">
        <v>1</v>
      </c>
      <c r="F69" s="9"/>
      <c r="G69" s="68"/>
      <c r="H69" s="72"/>
      <c r="I69" s="10"/>
      <c r="J69" s="55"/>
    </row>
    <row r="70" spans="2:10" x14ac:dyDescent="0.25">
      <c r="B70" s="5"/>
      <c r="C70" s="242"/>
      <c r="D70" s="28" t="s">
        <v>178</v>
      </c>
      <c r="E70" s="107" t="s">
        <v>84</v>
      </c>
      <c r="F70" s="9"/>
      <c r="G70" s="68"/>
      <c r="H70" s="72"/>
      <c r="I70" s="10"/>
      <c r="J70" s="55"/>
    </row>
    <row r="71" spans="2:10" x14ac:dyDescent="0.25">
      <c r="B71" s="5"/>
      <c r="C71" s="242"/>
      <c r="D71" s="28" t="s">
        <v>179</v>
      </c>
      <c r="E71" s="35" t="b">
        <v>1</v>
      </c>
      <c r="F71" s="9"/>
      <c r="G71" s="68"/>
      <c r="H71" s="72"/>
      <c r="I71" s="10"/>
      <c r="J71" s="55"/>
    </row>
    <row r="72" spans="2:10" x14ac:dyDescent="0.25">
      <c r="B72" s="5"/>
      <c r="C72" s="242"/>
      <c r="D72" s="28" t="s">
        <v>180</v>
      </c>
      <c r="E72" s="35" t="b">
        <v>1</v>
      </c>
      <c r="F72" s="9"/>
      <c r="G72" s="68"/>
      <c r="H72" s="72"/>
      <c r="I72" s="10"/>
      <c r="J72" s="55"/>
    </row>
    <row r="73" spans="2:10" x14ac:dyDescent="0.25">
      <c r="B73" s="5"/>
      <c r="C73" s="242"/>
      <c r="D73" s="28" t="s">
        <v>181</v>
      </c>
      <c r="E73" s="35" t="s">
        <v>169</v>
      </c>
      <c r="F73" s="9"/>
      <c r="G73" s="68"/>
      <c r="H73" s="72"/>
      <c r="I73" s="10"/>
      <c r="J73" s="55"/>
    </row>
    <row r="74" spans="2:10" x14ac:dyDescent="0.25">
      <c r="B74" s="5"/>
      <c r="C74" s="242"/>
      <c r="D74" s="28" t="s">
        <v>182</v>
      </c>
      <c r="E74" s="35" t="b">
        <v>0</v>
      </c>
      <c r="F74" s="9"/>
      <c r="G74" s="68"/>
      <c r="H74" s="72"/>
      <c r="I74" s="10"/>
      <c r="J74" s="55"/>
    </row>
    <row r="75" spans="2:10" x14ac:dyDescent="0.25">
      <c r="B75" s="5"/>
      <c r="C75" s="242"/>
      <c r="D75" s="28" t="s">
        <v>135</v>
      </c>
      <c r="E75" s="38">
        <v>1.0000000000000001E-9</v>
      </c>
      <c r="F75" s="9"/>
      <c r="G75" s="68"/>
      <c r="H75" s="72"/>
      <c r="I75" s="10"/>
      <c r="J75" s="55"/>
    </row>
    <row r="76" spans="2:10" x14ac:dyDescent="0.25">
      <c r="B76" s="5"/>
      <c r="C76" s="242"/>
      <c r="D76" s="28" t="s">
        <v>136</v>
      </c>
      <c r="E76" s="102">
        <v>1000</v>
      </c>
      <c r="F76" s="9"/>
      <c r="G76" s="68"/>
      <c r="H76" s="72"/>
      <c r="I76" s="10"/>
      <c r="J76" s="55"/>
    </row>
    <row r="77" spans="2:10" x14ac:dyDescent="0.25">
      <c r="B77" s="5"/>
      <c r="C77" s="242"/>
      <c r="D77" s="28"/>
      <c r="E77" s="35"/>
      <c r="F77" s="9"/>
      <c r="G77" s="68"/>
      <c r="H77" s="72"/>
      <c r="I77" s="10"/>
      <c r="J77" s="55"/>
    </row>
    <row r="78" spans="2:10" x14ac:dyDescent="0.25">
      <c r="B78" s="5"/>
      <c r="C78" s="242"/>
      <c r="D78" s="28"/>
      <c r="E78" s="35"/>
      <c r="F78" s="9"/>
      <c r="G78" s="68"/>
      <c r="H78" s="72"/>
      <c r="I78" s="10"/>
      <c r="J78" s="55"/>
    </row>
    <row r="79" spans="2:10" x14ac:dyDescent="0.25">
      <c r="B79" s="5"/>
      <c r="C79" s="242"/>
      <c r="D79" s="28"/>
      <c r="E79" s="35"/>
      <c r="F79" s="9"/>
      <c r="G79" s="68"/>
      <c r="H79" s="72"/>
      <c r="I79" s="10"/>
      <c r="J79" s="55"/>
    </row>
    <row r="80" spans="2:10" x14ac:dyDescent="0.25">
      <c r="B80" s="5"/>
      <c r="C80" s="243"/>
      <c r="D80" s="33"/>
      <c r="E80" s="40"/>
      <c r="F80" s="9"/>
      <c r="G80" s="69"/>
      <c r="H80" s="73"/>
      <c r="I80" s="10"/>
      <c r="J80" s="55"/>
    </row>
    <row r="81" spans="2:10" x14ac:dyDescent="0.25">
      <c r="B81" s="5"/>
      <c r="C81" s="7"/>
      <c r="D81" s="9"/>
      <c r="E81" s="9"/>
      <c r="F81" s="9"/>
      <c r="G81" s="10"/>
      <c r="H81" s="10"/>
      <c r="I81" s="10"/>
      <c r="J81" s="55"/>
    </row>
    <row r="82" spans="2:10" x14ac:dyDescent="0.25">
      <c r="B82" s="11"/>
      <c r="C82" s="12"/>
      <c r="D82" s="12"/>
      <c r="E82" s="12"/>
      <c r="F82" s="12"/>
      <c r="G82" s="12"/>
      <c r="H82" s="12"/>
      <c r="I82" s="12"/>
      <c r="J82" s="13"/>
    </row>
  </sheetData>
  <mergeCells count="3">
    <mergeCell ref="C39:C53"/>
    <mergeCell ref="C54:C67"/>
    <mergeCell ref="C68:C80"/>
  </mergeCells>
  <dataValidations count="4">
    <dataValidation type="list" allowBlank="1" showInputMessage="1" showErrorMessage="1" sqref="E70 E23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E41 E67 E57 E53 E43">
      <formula1>"FOLLOWING,MOD_FOLLOWING,PRECEDING,MOD_PRECEEDING,NO_CHANGE"</formula1>
    </dataValidation>
    <dataValidation type="list" allowBlank="1" showInputMessage="1" showErrorMessage="1" sqref="E42 E56">
      <formula1>"Annual,Semi-Annual,Quarterly,Monthly"</formula1>
    </dataValidation>
    <dataValidation type="list" allowBlank="1" showInputMessage="1" showErrorMessage="1" sqref="E24">
      <formula1>"TRUE,FALSE"</formula1>
    </dataValidation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3"/>
  </sheetPr>
  <dimension ref="A1:AU37"/>
  <sheetViews>
    <sheetView showGridLines="0" workbookViewId="0"/>
  </sheetViews>
  <sheetFormatPr defaultRowHeight="15" x14ac:dyDescent="0.25"/>
  <cols>
    <col min="2" max="2" width="15.7109375" customWidth="1"/>
    <col min="3" max="3" width="11.7109375" customWidth="1"/>
    <col min="5" max="5" width="8.5703125" customWidth="1"/>
    <col min="6" max="6" width="14.42578125" customWidth="1"/>
    <col min="7" max="7" width="10.5703125" customWidth="1"/>
    <col min="8" max="8" width="12.5703125" customWidth="1"/>
    <col min="9" max="9" width="11.42578125" customWidth="1"/>
    <col min="10" max="10" width="12.7109375" customWidth="1"/>
    <col min="11" max="11" width="9.7109375" customWidth="1"/>
    <col min="12" max="12" width="16" hidden="1" customWidth="1"/>
    <col min="13" max="13" width="14.5703125" hidden="1" customWidth="1"/>
    <col min="14" max="14" width="15.85546875" hidden="1" customWidth="1"/>
    <col min="15" max="15" width="9.140625" hidden="1" customWidth="1"/>
    <col min="16" max="16" width="17.42578125" hidden="1" customWidth="1"/>
    <col min="17" max="18" width="9.140625" hidden="1" customWidth="1"/>
    <col min="19" max="19" width="6.5703125" hidden="1" customWidth="1"/>
    <col min="20" max="21" width="9.140625" hidden="1" customWidth="1"/>
    <col min="22" max="23" width="10.7109375" hidden="1" customWidth="1"/>
    <col min="24" max="24" width="17.42578125" hidden="1" customWidth="1"/>
    <col min="25" max="25" width="8.5703125" hidden="1" customWidth="1"/>
    <col min="26" max="26" width="20.140625" hidden="1" customWidth="1"/>
    <col min="27" max="34" width="9.140625" hidden="1" customWidth="1"/>
    <col min="35" max="35" width="14.140625" hidden="1" customWidth="1"/>
    <col min="36" max="36" width="11.85546875" hidden="1" customWidth="1"/>
    <col min="37" max="37" width="16.140625" hidden="1" customWidth="1"/>
    <col min="38" max="38" width="17" hidden="1" customWidth="1"/>
    <col min="39" max="39" width="13" hidden="1" customWidth="1"/>
    <col min="40" max="40" width="10.5703125" hidden="1" customWidth="1"/>
    <col min="41" max="41" width="17.5703125" customWidth="1"/>
    <col min="42" max="42" width="17" customWidth="1"/>
    <col min="43" max="43" width="13.42578125" customWidth="1"/>
    <col min="45" max="47" width="15.7109375" customWidth="1"/>
  </cols>
  <sheetData>
    <row r="1" spans="1:47" x14ac:dyDescent="0.25">
      <c r="A1" s="118"/>
      <c r="B1" s="118"/>
    </row>
    <row r="2" spans="1:47" ht="23.25" x14ac:dyDescent="0.35">
      <c r="B2" s="119" t="s">
        <v>198</v>
      </c>
      <c r="C2" s="119"/>
      <c r="L2" s="119"/>
      <c r="AO2" s="120" t="s">
        <v>199</v>
      </c>
      <c r="AP2" s="244">
        <f ca="1">SUM($AP$6:$AP$25)</f>
        <v>-312916.50873000803</v>
      </c>
      <c r="AQ2" s="245"/>
      <c r="AS2" s="119" t="s">
        <v>213</v>
      </c>
    </row>
    <row r="3" spans="1:47" x14ac:dyDescent="0.25">
      <c r="AO3" s="117"/>
      <c r="AP3" s="246"/>
      <c r="AQ3" s="245"/>
    </row>
    <row r="4" spans="1:47" x14ac:dyDescent="0.25">
      <c r="AO4" s="159"/>
      <c r="AQ4" s="121"/>
      <c r="AR4" t="s">
        <v>4</v>
      </c>
    </row>
    <row r="5" spans="1:47" ht="33" customHeight="1" x14ac:dyDescent="0.25">
      <c r="B5" s="122" t="s">
        <v>220</v>
      </c>
      <c r="C5" s="123" t="s">
        <v>221</v>
      </c>
      <c r="D5" s="123" t="s">
        <v>16</v>
      </c>
      <c r="E5" s="123" t="s">
        <v>234</v>
      </c>
      <c r="F5" s="123" t="s">
        <v>248</v>
      </c>
      <c r="G5" s="123" t="s">
        <v>222</v>
      </c>
      <c r="H5" s="123" t="s">
        <v>247</v>
      </c>
      <c r="I5" s="123" t="s">
        <v>200</v>
      </c>
      <c r="J5" s="123" t="s">
        <v>194</v>
      </c>
      <c r="K5" s="123" t="s">
        <v>218</v>
      </c>
      <c r="L5" s="122" t="s">
        <v>220</v>
      </c>
      <c r="M5" s="123" t="s">
        <v>219</v>
      </c>
      <c r="N5" s="123" t="s">
        <v>225</v>
      </c>
      <c r="O5" s="123" t="s">
        <v>226</v>
      </c>
      <c r="P5" s="123" t="s">
        <v>227</v>
      </c>
      <c r="Q5" s="123" t="s">
        <v>228</v>
      </c>
      <c r="R5" s="123" t="s">
        <v>229</v>
      </c>
      <c r="S5" s="123" t="s">
        <v>230</v>
      </c>
      <c r="T5" s="123" t="s">
        <v>231</v>
      </c>
      <c r="U5" s="123" t="s">
        <v>232</v>
      </c>
      <c r="V5" s="123" t="s">
        <v>233</v>
      </c>
      <c r="W5" s="123" t="s">
        <v>223</v>
      </c>
      <c r="X5" s="123" t="s">
        <v>235</v>
      </c>
      <c r="Y5" s="123" t="s">
        <v>236</v>
      </c>
      <c r="Z5" s="123" t="s">
        <v>237</v>
      </c>
      <c r="AA5" s="123" t="s">
        <v>238</v>
      </c>
      <c r="AB5" s="123" t="s">
        <v>239</v>
      </c>
      <c r="AC5" s="123" t="s">
        <v>240</v>
      </c>
      <c r="AD5" s="123" t="s">
        <v>241</v>
      </c>
      <c r="AE5" s="123" t="s">
        <v>242</v>
      </c>
      <c r="AF5" s="123" t="s">
        <v>224</v>
      </c>
      <c r="AG5" s="123" t="s">
        <v>243</v>
      </c>
      <c r="AH5" s="123" t="s">
        <v>244</v>
      </c>
      <c r="AI5" s="123" t="s">
        <v>245</v>
      </c>
      <c r="AJ5" s="123" t="s">
        <v>88</v>
      </c>
      <c r="AK5" s="123" t="s">
        <v>246</v>
      </c>
      <c r="AL5" s="123" t="s">
        <v>132</v>
      </c>
      <c r="AM5" s="123" t="s">
        <v>247</v>
      </c>
      <c r="AN5" s="178" t="s">
        <v>222</v>
      </c>
      <c r="AO5" s="179" t="s">
        <v>201</v>
      </c>
      <c r="AP5" s="124" t="s">
        <v>202</v>
      </c>
      <c r="AQ5" s="125" t="s">
        <v>203</v>
      </c>
      <c r="AR5" t="s">
        <v>4</v>
      </c>
      <c r="AS5" s="147" t="str">
        <f t="array" ref="AS5:AT22">'EUR SWAP 6ML'!F93:G111</f>
        <v>Term</v>
      </c>
      <c r="AT5" s="149" t="str">
        <v>Rate</v>
      </c>
      <c r="AU5" s="148" t="s">
        <v>214</v>
      </c>
    </row>
    <row r="6" spans="1:47" x14ac:dyDescent="0.25">
      <c r="A6" s="126">
        <v>1</v>
      </c>
      <c r="B6" s="173">
        <f ca="1">IF(NOW(),_xll.meDateFromTenor(COB,$C6,$P6,$Q6))</f>
        <v>42423</v>
      </c>
      <c r="C6" s="182" t="s">
        <v>204</v>
      </c>
      <c r="D6" s="160" t="s">
        <v>17</v>
      </c>
      <c r="E6" s="130" t="s">
        <v>205</v>
      </c>
      <c r="F6" s="130" t="s">
        <v>183</v>
      </c>
      <c r="G6" s="130">
        <v>0.01</v>
      </c>
      <c r="H6" s="130">
        <v>0</v>
      </c>
      <c r="I6" s="161" t="s">
        <v>206</v>
      </c>
      <c r="J6" s="160">
        <v>1000000</v>
      </c>
      <c r="K6" s="129" t="s">
        <v>195</v>
      </c>
      <c r="L6" s="173">
        <f ca="1">B6</f>
        <v>42423</v>
      </c>
      <c r="M6" s="166" t="str">
        <f>F6</f>
        <v>1Y</v>
      </c>
      <c r="N6" s="116" t="s">
        <v>26</v>
      </c>
      <c r="O6" s="162" t="s">
        <v>20</v>
      </c>
      <c r="P6" s="116" t="s">
        <v>22</v>
      </c>
      <c r="Q6" s="116" t="s">
        <v>2</v>
      </c>
      <c r="R6" s="163"/>
      <c r="S6" s="163"/>
      <c r="T6" s="164">
        <f t="shared" ref="T6:T25" ca="1" si="0">IF($L6="","",DAY($L6))</f>
        <v>23</v>
      </c>
      <c r="U6" s="165" t="s">
        <v>196</v>
      </c>
      <c r="V6" s="162" t="s">
        <v>197</v>
      </c>
      <c r="W6" s="132" t="str">
        <f t="shared" ref="W6:W25" ca="1" si="1">$D6&amp;$E6</f>
        <v>EUR6ML</v>
      </c>
      <c r="X6" s="164" t="str">
        <f t="shared" ref="X6:X25" ca="1" si="2">IF($E6="1ML","Monthly",IF($E6="3ML","Quarterly",IF($E6="6ML","Semi-Annual","Annual")))</f>
        <v>Semi-Annual</v>
      </c>
      <c r="Y6" s="162" t="s">
        <v>6</v>
      </c>
      <c r="Z6" s="116" t="s">
        <v>22</v>
      </c>
      <c r="AA6" s="116" t="s">
        <v>2</v>
      </c>
      <c r="AB6" s="163"/>
      <c r="AC6" s="163"/>
      <c r="AD6" s="164">
        <f t="shared" ref="AD6:AD25" ca="1" si="3">IF($L6="","",DAY($L6))</f>
        <v>23</v>
      </c>
      <c r="AE6" s="165" t="s">
        <v>196</v>
      </c>
      <c r="AF6" s="166" t="s">
        <v>37</v>
      </c>
      <c r="AG6" s="167"/>
      <c r="AH6" s="165" t="s">
        <v>196</v>
      </c>
      <c r="AI6" s="162" t="s">
        <v>197</v>
      </c>
      <c r="AJ6" s="163" t="str">
        <f t="shared" ref="AJ6:AJ25" ca="1" si="4">D6&amp;"YC"</f>
        <v>EURYC</v>
      </c>
      <c r="AK6" s="132" t="str">
        <f t="shared" ref="AK6:AK25" ca="1" si="5">LEFT(AJ6,3)&amp;"DF_"&amp;I6</f>
        <v>EURDF_NOCSA</v>
      </c>
      <c r="AL6" s="131" t="s">
        <v>193</v>
      </c>
      <c r="AM6" s="168">
        <f t="shared" ref="AM6:AM25" ca="1" si="6">H6</f>
        <v>0</v>
      </c>
      <c r="AN6" s="174">
        <f t="shared" ref="AN6:AN25" ca="1" si="7">G6</f>
        <v>0.01</v>
      </c>
      <c r="AO6" s="180">
        <f ca="1">IF(NOW(),_xll.meProductSwapParRate(_xll.meUtilityLVBFromKeysValues($L$5:$AM$5,$L6:$AM6),FALSE))</f>
        <v>-1.3969484986246625E-3</v>
      </c>
      <c r="AP6" s="169">
        <f ca="1">IF(NOW(),_xll.meProductSwapPV(_xll.meUtilityLVBFromKeysValues($J$5:$AN$5,$J6:$AN6),FALSE))</f>
        <v>-11440.174035374806</v>
      </c>
      <c r="AQ6" s="170">
        <f ca="1">IF(NOW(),_xll.meProductSwapPV01(_xll.meUtilityLVBFromKeysValues($J$5:$AL$5,$J6:$AL6),FALSE))</f>
        <v>100.37927289708611</v>
      </c>
      <c r="AR6" t="s">
        <v>4</v>
      </c>
      <c r="AS6" s="143" t="str">
        <v>2Y</v>
      </c>
      <c r="AT6" s="145">
        <v>-1.33E-3</v>
      </c>
      <c r="AU6" s="150">
        <f ca="1">IF(ISNA(VLOOKUP(AS6,$M$6:$AO$25,29,0)),"-",(VLOOKUP(AS6,$M$6:$AO$25,29,0)-AT6)*10000)</f>
        <v>2.0569865255559705E-8</v>
      </c>
    </row>
    <row r="7" spans="1:47" x14ac:dyDescent="0.25">
      <c r="A7" s="126">
        <v>2</v>
      </c>
      <c r="B7" s="173">
        <f ca="1">IF(NOW(),_xll.meDateFromTenor(COB,$C7,$P7,$Q7))</f>
        <v>42423</v>
      </c>
      <c r="C7" s="127" t="s">
        <v>204</v>
      </c>
      <c r="D7" s="128" t="s">
        <v>17</v>
      </c>
      <c r="E7" s="130" t="s">
        <v>205</v>
      </c>
      <c r="F7" s="130" t="s">
        <v>47</v>
      </c>
      <c r="G7" s="130">
        <v>0.01</v>
      </c>
      <c r="H7" s="130">
        <v>0</v>
      </c>
      <c r="I7" s="161" t="s">
        <v>206</v>
      </c>
      <c r="J7" s="128">
        <v>1000000</v>
      </c>
      <c r="K7" s="129" t="s">
        <v>195</v>
      </c>
      <c r="L7" s="173">
        <f t="shared" ref="L7:L25" ca="1" si="8">B7</f>
        <v>42423</v>
      </c>
      <c r="M7" s="164" t="str">
        <f t="shared" ref="M7:M25" si="9">F7</f>
        <v>2Y</v>
      </c>
      <c r="N7" s="116" t="s">
        <v>26</v>
      </c>
      <c r="O7" s="116" t="s">
        <v>20</v>
      </c>
      <c r="P7" s="116" t="s">
        <v>22</v>
      </c>
      <c r="Q7" s="116" t="s">
        <v>2</v>
      </c>
      <c r="R7" s="131"/>
      <c r="S7" s="131"/>
      <c r="T7" s="132">
        <f t="shared" ca="1" si="0"/>
        <v>23</v>
      </c>
      <c r="U7" s="131" t="s">
        <v>196</v>
      </c>
      <c r="V7" s="131" t="s">
        <v>197</v>
      </c>
      <c r="W7" s="132" t="str">
        <f t="shared" ca="1" si="1"/>
        <v>EUR6ML</v>
      </c>
      <c r="X7" s="132" t="str">
        <f t="shared" ca="1" si="2"/>
        <v>Semi-Annual</v>
      </c>
      <c r="Y7" s="131" t="s">
        <v>6</v>
      </c>
      <c r="Z7" s="131" t="s">
        <v>22</v>
      </c>
      <c r="AA7" s="131" t="s">
        <v>2</v>
      </c>
      <c r="AB7" s="131"/>
      <c r="AC7" s="131"/>
      <c r="AD7" s="132">
        <f t="shared" ca="1" si="3"/>
        <v>23</v>
      </c>
      <c r="AE7" s="131" t="s">
        <v>196</v>
      </c>
      <c r="AF7" s="133" t="s">
        <v>37</v>
      </c>
      <c r="AG7" s="134"/>
      <c r="AH7" s="131" t="s">
        <v>196</v>
      </c>
      <c r="AI7" s="131" t="s">
        <v>197</v>
      </c>
      <c r="AJ7" s="132" t="str">
        <f t="shared" ca="1" si="4"/>
        <v>EURYC</v>
      </c>
      <c r="AK7" s="132" t="str">
        <f t="shared" ca="1" si="5"/>
        <v>EURDF_NOCSA</v>
      </c>
      <c r="AL7" s="131" t="s">
        <v>193</v>
      </c>
      <c r="AM7" s="168">
        <f t="shared" ca="1" si="6"/>
        <v>0</v>
      </c>
      <c r="AN7" s="174">
        <f t="shared" ca="1" si="7"/>
        <v>0.01</v>
      </c>
      <c r="AO7" s="180">
        <f ca="1">IF(NOW(),_xll.meProductSwapParRate(_xll.meUtilityLVBFromKeysValues($L$5:$AM$5,$L7:$AM7),FALSE))</f>
        <v>-1.3299999979430135E-3</v>
      </c>
      <c r="AP7" s="169">
        <f ca="1">IF(NOW(),_xll.meProductSwapPV(_xll.meUtilityLVBFromKeysValues($J$5:$AN$5,$J7:$AN7),FALSE))</f>
        <v>-22790.510191974474</v>
      </c>
      <c r="AQ7" s="170">
        <f ca="1">IF(NOW(),_xll.meProductSwapPV01(_xll.meUtilityLVBFromKeysValues($J$5:$AL$5,$J7:$AL7),FALSE))</f>
        <v>201.1518993478565</v>
      </c>
      <c r="AR7" t="s">
        <v>4</v>
      </c>
      <c r="AS7" s="143" t="str">
        <v>3Y</v>
      </c>
      <c r="AT7" s="145">
        <v>-8.699999999999999E-4</v>
      </c>
      <c r="AU7" s="150">
        <f ca="1">IF(ISNA(VLOOKUP(AS7,$M$6:$AO$25,29,0)),"-",(VLOOKUP(AS7,$M$6:$AO$25,29,0)-AT7)*10000)</f>
        <v>5.1372235458646553E-8</v>
      </c>
    </row>
    <row r="8" spans="1:47" x14ac:dyDescent="0.25">
      <c r="A8" s="126">
        <v>3</v>
      </c>
      <c r="B8" s="173">
        <f ca="1">IF(NOW(),_xll.meDateFromTenor(COB,$C8,$P8,$Q8))</f>
        <v>42423</v>
      </c>
      <c r="C8" s="127" t="s">
        <v>204</v>
      </c>
      <c r="D8" s="128" t="s">
        <v>17</v>
      </c>
      <c r="E8" s="130" t="s">
        <v>205</v>
      </c>
      <c r="F8" s="130" t="s">
        <v>43</v>
      </c>
      <c r="G8" s="130">
        <v>0.01</v>
      </c>
      <c r="H8" s="130">
        <v>0</v>
      </c>
      <c r="I8" s="161" t="s">
        <v>206</v>
      </c>
      <c r="J8" s="128">
        <v>1000000</v>
      </c>
      <c r="K8" s="129" t="s">
        <v>195</v>
      </c>
      <c r="L8" s="173">
        <f t="shared" ca="1" si="8"/>
        <v>42423</v>
      </c>
      <c r="M8" s="164" t="str">
        <f t="shared" si="9"/>
        <v>3Y</v>
      </c>
      <c r="N8" s="116" t="s">
        <v>26</v>
      </c>
      <c r="O8" s="116" t="s">
        <v>20</v>
      </c>
      <c r="P8" s="116" t="s">
        <v>22</v>
      </c>
      <c r="Q8" s="116" t="s">
        <v>2</v>
      </c>
      <c r="R8" s="131"/>
      <c r="S8" s="131"/>
      <c r="T8" s="132">
        <f t="shared" ca="1" si="0"/>
        <v>23</v>
      </c>
      <c r="U8" s="131" t="s">
        <v>196</v>
      </c>
      <c r="V8" s="131" t="s">
        <v>197</v>
      </c>
      <c r="W8" s="132" t="str">
        <f t="shared" ca="1" si="1"/>
        <v>EUR6ML</v>
      </c>
      <c r="X8" s="132" t="str">
        <f>IF($E8="1ML","Monthly",IF($E8="3ML","Quarterly",IF($E8="6ML","Semi-Annual","Annual")))</f>
        <v>Semi-Annual</v>
      </c>
      <c r="Y8" s="131" t="s">
        <v>6</v>
      </c>
      <c r="Z8" s="131" t="s">
        <v>22</v>
      </c>
      <c r="AA8" s="131" t="s">
        <v>2</v>
      </c>
      <c r="AB8" s="131"/>
      <c r="AC8" s="131"/>
      <c r="AD8" s="132">
        <f t="shared" ca="1" si="3"/>
        <v>23</v>
      </c>
      <c r="AE8" s="131" t="s">
        <v>196</v>
      </c>
      <c r="AF8" s="133" t="s">
        <v>37</v>
      </c>
      <c r="AG8" s="134"/>
      <c r="AH8" s="131" t="s">
        <v>196</v>
      </c>
      <c r="AI8" s="131" t="s">
        <v>197</v>
      </c>
      <c r="AJ8" s="132" t="str">
        <f t="shared" ca="1" si="4"/>
        <v>EURYC</v>
      </c>
      <c r="AK8" s="132" t="str">
        <f t="shared" ca="1" si="5"/>
        <v>EURDF_NOCSA</v>
      </c>
      <c r="AL8" s="131" t="s">
        <v>193</v>
      </c>
      <c r="AM8" s="168">
        <f t="shared" ca="1" si="6"/>
        <v>0</v>
      </c>
      <c r="AN8" s="174">
        <f t="shared" ca="1" si="7"/>
        <v>0.01</v>
      </c>
      <c r="AO8" s="180">
        <f ca="1">IF(NOW(),_xll.meProductSwapParRate(_xll.meUtilityLVBFromKeysValues($L$5:$AM$5,$L8:$AM8),FALSE))</f>
        <v>-8.6999999486277635E-4</v>
      </c>
      <c r="AP8" s="169">
        <f ca="1">IF(NOW(),_xll.meProductSwapPV(_xll.meUtilityLVBFromKeysValues($J$5:$AN$5,$J8:$AN8),FALSE))</f>
        <v>-32910.316551871612</v>
      </c>
      <c r="AQ8" s="170">
        <f ca="1">IF(NOW(),_xll.meProductSwapPV01(_xll.meUtilityLVBFromKeysValues($J$5:$AL$5,$J8:$AL8),FALSE))</f>
        <v>302.76280190823564</v>
      </c>
      <c r="AR8" t="s">
        <v>4</v>
      </c>
      <c r="AS8" s="143" t="str">
        <v>4Y</v>
      </c>
      <c r="AT8" s="145">
        <v>-8.0000000000000007E-5</v>
      </c>
      <c r="AU8" s="150">
        <f t="shared" ref="AU8:AU25" ca="1" si="10">IF(ISNA(VLOOKUP(AS8,$M$6:$AO$25,29,0)),"-",(VLOOKUP(AS8,$M$6:$AO$25,29,0)-AT8)*10000)</f>
        <v>-4.8060603348616671E-8</v>
      </c>
    </row>
    <row r="9" spans="1:47" x14ac:dyDescent="0.25">
      <c r="A9" s="126">
        <v>4</v>
      </c>
      <c r="B9" s="173">
        <f ca="1">IF(NOW(),_xll.meDateFromTenor(COB,$C9,$P9,$Q9))</f>
        <v>42423</v>
      </c>
      <c r="C9" s="135" t="s">
        <v>204</v>
      </c>
      <c r="D9" s="128" t="s">
        <v>17</v>
      </c>
      <c r="E9" s="130" t="s">
        <v>205</v>
      </c>
      <c r="F9" s="130" t="s">
        <v>50</v>
      </c>
      <c r="G9" s="130">
        <v>0.01</v>
      </c>
      <c r="H9" s="130">
        <v>0</v>
      </c>
      <c r="I9" s="161" t="s">
        <v>206</v>
      </c>
      <c r="J9" s="128">
        <v>1000000</v>
      </c>
      <c r="K9" s="129" t="s">
        <v>195</v>
      </c>
      <c r="L9" s="173">
        <f t="shared" ca="1" si="8"/>
        <v>42423</v>
      </c>
      <c r="M9" s="164" t="str">
        <f t="shared" si="9"/>
        <v>4Y</v>
      </c>
      <c r="N9" s="131" t="s">
        <v>26</v>
      </c>
      <c r="O9" s="131" t="s">
        <v>20</v>
      </c>
      <c r="P9" s="131" t="s">
        <v>22</v>
      </c>
      <c r="Q9" s="131" t="s">
        <v>2</v>
      </c>
      <c r="R9" s="131"/>
      <c r="S9" s="131"/>
      <c r="T9" s="132">
        <f t="shared" ca="1" si="0"/>
        <v>23</v>
      </c>
      <c r="U9" s="131" t="s">
        <v>196</v>
      </c>
      <c r="V9" s="131" t="s">
        <v>197</v>
      </c>
      <c r="W9" s="132" t="str">
        <f t="shared" ca="1" si="1"/>
        <v>EUR6ML</v>
      </c>
      <c r="X9" s="132" t="str">
        <f t="shared" ca="1" si="2"/>
        <v>Semi-Annual</v>
      </c>
      <c r="Y9" s="131" t="s">
        <v>6</v>
      </c>
      <c r="Z9" s="131" t="s">
        <v>22</v>
      </c>
      <c r="AA9" s="131" t="s">
        <v>2</v>
      </c>
      <c r="AB9" s="131"/>
      <c r="AC9" s="131"/>
      <c r="AD9" s="132">
        <f t="shared" ca="1" si="3"/>
        <v>23</v>
      </c>
      <c r="AE9" s="131" t="s">
        <v>196</v>
      </c>
      <c r="AF9" s="133" t="s">
        <v>37</v>
      </c>
      <c r="AG9" s="134"/>
      <c r="AH9" s="131" t="s">
        <v>196</v>
      </c>
      <c r="AI9" s="131" t="s">
        <v>197</v>
      </c>
      <c r="AJ9" s="132" t="str">
        <f t="shared" ca="1" si="4"/>
        <v>EURYC</v>
      </c>
      <c r="AK9" s="132" t="str">
        <f t="shared" ca="1" si="5"/>
        <v>EURDF_NOCSA</v>
      </c>
      <c r="AL9" s="131" t="s">
        <v>193</v>
      </c>
      <c r="AM9" s="168">
        <f t="shared" ca="1" si="6"/>
        <v>0</v>
      </c>
      <c r="AN9" s="175">
        <f t="shared" ca="1" si="7"/>
        <v>0.01</v>
      </c>
      <c r="AO9" s="180">
        <f ca="1">IF(NOW(),_xll.meProductSwapParRate(_xll.meUtilityLVBFromKeysValues($L$5:$AM$5,$L9:$AM9),FALSE))</f>
        <v>-8.0000004806060341E-5</v>
      </c>
      <c r="AP9" s="169">
        <f ca="1">IF(NOW(),_xll.meProductSwapPV(_xll.meUtilityLVBFromKeysValues($J$5:$AN$5,$J9:$AN9),FALSE))</f>
        <v>-40681.837291728094</v>
      </c>
      <c r="AQ9" s="170">
        <f ca="1">IF(NOW(),_xll.meProductSwapPV01(_xll.meUtilityLVBFromKeysValues($J$5:$AL$5,$J9:$AL9),FALSE))</f>
        <v>403.58965547947747</v>
      </c>
      <c r="AR9" t="s">
        <v>4</v>
      </c>
      <c r="AS9" s="143" t="str">
        <v>5Y</v>
      </c>
      <c r="AT9" s="145">
        <v>9.2999999999999995E-4</v>
      </c>
      <c r="AU9" s="150">
        <f t="shared" ca="1" si="10"/>
        <v>-1.2266548779331365E-7</v>
      </c>
    </row>
    <row r="10" spans="1:47" x14ac:dyDescent="0.25">
      <c r="A10" s="126">
        <v>5</v>
      </c>
      <c r="B10" s="173">
        <f ca="1">IF(NOW(),_xll.meDateFromTenor(COB,$C10,$P10,$Q10))</f>
        <v>42423</v>
      </c>
      <c r="C10" s="135" t="s">
        <v>204</v>
      </c>
      <c r="D10" s="128" t="s">
        <v>17</v>
      </c>
      <c r="E10" s="130" t="s">
        <v>205</v>
      </c>
      <c r="F10" s="130" t="s">
        <v>52</v>
      </c>
      <c r="G10" s="130">
        <v>0.01</v>
      </c>
      <c r="H10" s="130">
        <v>0</v>
      </c>
      <c r="I10" s="161" t="s">
        <v>206</v>
      </c>
      <c r="J10" s="128">
        <v>1000000</v>
      </c>
      <c r="K10" s="129" t="s">
        <v>195</v>
      </c>
      <c r="L10" s="173">
        <f t="shared" ca="1" si="8"/>
        <v>42423</v>
      </c>
      <c r="M10" s="164" t="str">
        <f t="shared" si="9"/>
        <v>5Y</v>
      </c>
      <c r="N10" s="131" t="s">
        <v>26</v>
      </c>
      <c r="O10" s="131" t="s">
        <v>20</v>
      </c>
      <c r="P10" s="131" t="s">
        <v>22</v>
      </c>
      <c r="Q10" s="131" t="s">
        <v>2</v>
      </c>
      <c r="R10" s="131"/>
      <c r="S10" s="131"/>
      <c r="T10" s="132">
        <f t="shared" ca="1" si="0"/>
        <v>23</v>
      </c>
      <c r="U10" s="131" t="s">
        <v>196</v>
      </c>
      <c r="V10" s="131" t="s">
        <v>197</v>
      </c>
      <c r="W10" s="132" t="str">
        <f t="shared" ca="1" si="1"/>
        <v>EUR6ML</v>
      </c>
      <c r="X10" s="132" t="str">
        <f t="shared" ca="1" si="2"/>
        <v>Semi-Annual</v>
      </c>
      <c r="Y10" s="131" t="s">
        <v>6</v>
      </c>
      <c r="Z10" s="131" t="s">
        <v>22</v>
      </c>
      <c r="AA10" s="131" t="s">
        <v>2</v>
      </c>
      <c r="AB10" s="131"/>
      <c r="AC10" s="131"/>
      <c r="AD10" s="132">
        <f t="shared" ca="1" si="3"/>
        <v>23</v>
      </c>
      <c r="AE10" s="131" t="s">
        <v>196</v>
      </c>
      <c r="AF10" s="133" t="s">
        <v>37</v>
      </c>
      <c r="AG10" s="134"/>
      <c r="AH10" s="131" t="s">
        <v>196</v>
      </c>
      <c r="AI10" s="131" t="s">
        <v>197</v>
      </c>
      <c r="AJ10" s="132" t="str">
        <f t="shared" ca="1" si="4"/>
        <v>EURYC</v>
      </c>
      <c r="AK10" s="132" t="str">
        <f t="shared" ca="1" si="5"/>
        <v>EURDF_NOCSA</v>
      </c>
      <c r="AL10" s="131" t="s">
        <v>193</v>
      </c>
      <c r="AM10" s="168">
        <f t="shared" ca="1" si="6"/>
        <v>0</v>
      </c>
      <c r="AN10" s="175">
        <f t="shared" ca="1" si="7"/>
        <v>0.01</v>
      </c>
      <c r="AO10" s="180">
        <f ca="1">IF(NOW(),_xll.meProductSwapParRate(_xll.meUtilityLVBFromKeysValues($L$5:$AM$5,$L10:$AM10),FALSE))</f>
        <v>9.2999998773345117E-4</v>
      </c>
      <c r="AP10" s="169">
        <f ca="1">IF(NOW(),_xll.meProductSwapPV(_xll.meUtilityLVBFromKeysValues($J$5:$AN$5,$J10:$AN10),FALSE))</f>
        <v>-45731.777114750228</v>
      </c>
      <c r="AQ10" s="170">
        <f ca="1">IF(NOW(),_xll.meProductSwapPV01(_xll.meUtilityLVBFromKeysValues($J$5:$AL$5,$J10:$AL10),FALSE))</f>
        <v>504.20922880817153</v>
      </c>
      <c r="AR10" t="s">
        <v>4</v>
      </c>
      <c r="AS10" s="143" t="str">
        <v>6Y</v>
      </c>
      <c r="AT10" s="145">
        <v>2.0200000000000001E-3</v>
      </c>
      <c r="AU10" s="150">
        <f t="shared" ca="1" si="10"/>
        <v>-2.2603425207934347E-7</v>
      </c>
    </row>
    <row r="11" spans="1:47" x14ac:dyDescent="0.25">
      <c r="A11" s="126">
        <v>6</v>
      </c>
      <c r="B11" s="173">
        <f ca="1">IF(NOW(),_xll.meDateFromTenor(COB,$C11,$P11,$Q11))</f>
        <v>42423</v>
      </c>
      <c r="C11" s="135" t="s">
        <v>204</v>
      </c>
      <c r="D11" s="128" t="s">
        <v>17</v>
      </c>
      <c r="E11" s="130" t="s">
        <v>205</v>
      </c>
      <c r="F11" s="130" t="s">
        <v>54</v>
      </c>
      <c r="G11" s="130">
        <v>0.01</v>
      </c>
      <c r="H11" s="130">
        <v>0</v>
      </c>
      <c r="I11" s="161" t="s">
        <v>206</v>
      </c>
      <c r="J11" s="128">
        <v>1000000</v>
      </c>
      <c r="K11" s="129" t="s">
        <v>195</v>
      </c>
      <c r="L11" s="173">
        <f t="shared" ca="1" si="8"/>
        <v>42423</v>
      </c>
      <c r="M11" s="164" t="str">
        <f t="shared" si="9"/>
        <v>6Y</v>
      </c>
      <c r="N11" s="131" t="s">
        <v>26</v>
      </c>
      <c r="O11" s="131" t="s">
        <v>20</v>
      </c>
      <c r="P11" s="131" t="s">
        <v>22</v>
      </c>
      <c r="Q11" s="131" t="s">
        <v>2</v>
      </c>
      <c r="R11" s="131"/>
      <c r="S11" s="131"/>
      <c r="T11" s="132">
        <f t="shared" ca="1" si="0"/>
        <v>23</v>
      </c>
      <c r="U11" s="131" t="s">
        <v>196</v>
      </c>
      <c r="V11" s="131" t="s">
        <v>197</v>
      </c>
      <c r="W11" s="132" t="str">
        <f t="shared" ca="1" si="1"/>
        <v>EUR6ML</v>
      </c>
      <c r="X11" s="132" t="str">
        <f t="shared" ca="1" si="2"/>
        <v>Semi-Annual</v>
      </c>
      <c r="Y11" s="131" t="s">
        <v>6</v>
      </c>
      <c r="Z11" s="131" t="s">
        <v>22</v>
      </c>
      <c r="AA11" s="131" t="s">
        <v>2</v>
      </c>
      <c r="AB11" s="131"/>
      <c r="AC11" s="131"/>
      <c r="AD11" s="132">
        <f t="shared" ca="1" si="3"/>
        <v>23</v>
      </c>
      <c r="AE11" s="131" t="s">
        <v>196</v>
      </c>
      <c r="AF11" s="133" t="s">
        <v>37</v>
      </c>
      <c r="AG11" s="134"/>
      <c r="AH11" s="131" t="s">
        <v>196</v>
      </c>
      <c r="AI11" s="131" t="s">
        <v>197</v>
      </c>
      <c r="AJ11" s="132" t="str">
        <f t="shared" ca="1" si="4"/>
        <v>EURYC</v>
      </c>
      <c r="AK11" s="132" t="str">
        <f t="shared" ca="1" si="5"/>
        <v>EURDF_NOCSA</v>
      </c>
      <c r="AL11" s="131" t="s">
        <v>193</v>
      </c>
      <c r="AM11" s="168">
        <f t="shared" ca="1" si="6"/>
        <v>0</v>
      </c>
      <c r="AN11" s="175">
        <f t="shared" ca="1" si="7"/>
        <v>0.01</v>
      </c>
      <c r="AO11" s="180">
        <f ca="1">IF(NOW(),_xll.meProductSwapParRate(_xll.meUtilityLVBFromKeysValues($L$5:$AM$5,$L11:$AM11),FALSE))</f>
        <v>2.0199999773965749E-3</v>
      </c>
      <c r="AP11" s="169">
        <f ca="1">IF(NOW(),_xll.meProductSwapPV(_xll.meUtilityLVBFromKeysValues($J$5:$AN$5,$J11:$AN11),FALSE))</f>
        <v>-48247.4504747268</v>
      </c>
      <c r="AQ11" s="170">
        <f ca="1">IF(NOW(),_xll.meProductSwapPV01(_xll.meUtilityLVBFromKeysValues($J$5:$AL$5,$J11:$AL11),FALSE))</f>
        <v>604.60464082788769</v>
      </c>
      <c r="AR11" t="s">
        <v>4</v>
      </c>
      <c r="AS11" s="143" t="str">
        <v>7Y</v>
      </c>
      <c r="AT11" s="145">
        <v>3.2100000000000002E-3</v>
      </c>
      <c r="AU11" s="150">
        <f t="shared" ca="1" si="10"/>
        <v>9.2650761195078868E-8</v>
      </c>
    </row>
    <row r="12" spans="1:47" x14ac:dyDescent="0.25">
      <c r="A12" s="126">
        <v>7</v>
      </c>
      <c r="B12" s="173">
        <f ca="1">IF(NOW(),_xll.meDateFromTenor(COB,$C12,$P12,$Q12))</f>
        <v>42423</v>
      </c>
      <c r="C12" s="135" t="s">
        <v>204</v>
      </c>
      <c r="D12" s="128" t="s">
        <v>17</v>
      </c>
      <c r="E12" s="130" t="s">
        <v>205</v>
      </c>
      <c r="F12" s="130" t="s">
        <v>56</v>
      </c>
      <c r="G12" s="130">
        <v>0.01</v>
      </c>
      <c r="H12" s="130">
        <v>0</v>
      </c>
      <c r="I12" s="161" t="s">
        <v>206</v>
      </c>
      <c r="J12" s="128">
        <v>1000000</v>
      </c>
      <c r="K12" s="129" t="s">
        <v>195</v>
      </c>
      <c r="L12" s="173">
        <f t="shared" ca="1" si="8"/>
        <v>42423</v>
      </c>
      <c r="M12" s="164" t="str">
        <f t="shared" si="9"/>
        <v>7Y</v>
      </c>
      <c r="N12" s="131" t="s">
        <v>26</v>
      </c>
      <c r="O12" s="131" t="s">
        <v>20</v>
      </c>
      <c r="P12" s="131" t="s">
        <v>22</v>
      </c>
      <c r="Q12" s="131" t="s">
        <v>2</v>
      </c>
      <c r="R12" s="131"/>
      <c r="S12" s="131"/>
      <c r="T12" s="132">
        <f t="shared" ca="1" si="0"/>
        <v>23</v>
      </c>
      <c r="U12" s="131" t="s">
        <v>196</v>
      </c>
      <c r="V12" s="131" t="s">
        <v>197</v>
      </c>
      <c r="W12" s="132" t="str">
        <f t="shared" ca="1" si="1"/>
        <v>EUR6ML</v>
      </c>
      <c r="X12" s="132" t="str">
        <f t="shared" ca="1" si="2"/>
        <v>Semi-Annual</v>
      </c>
      <c r="Y12" s="131" t="s">
        <v>6</v>
      </c>
      <c r="Z12" s="131" t="s">
        <v>22</v>
      </c>
      <c r="AA12" s="131" t="s">
        <v>2</v>
      </c>
      <c r="AB12" s="131"/>
      <c r="AC12" s="131"/>
      <c r="AD12" s="132">
        <f t="shared" ca="1" si="3"/>
        <v>23</v>
      </c>
      <c r="AE12" s="131" t="s">
        <v>196</v>
      </c>
      <c r="AF12" s="133" t="s">
        <v>37</v>
      </c>
      <c r="AG12" s="134"/>
      <c r="AH12" s="131" t="s">
        <v>196</v>
      </c>
      <c r="AI12" s="131" t="s">
        <v>197</v>
      </c>
      <c r="AJ12" s="132" t="str">
        <f t="shared" ca="1" si="4"/>
        <v>EURYC</v>
      </c>
      <c r="AK12" s="132" t="str">
        <f t="shared" ca="1" si="5"/>
        <v>EURDF_NOCSA</v>
      </c>
      <c r="AL12" s="131" t="s">
        <v>193</v>
      </c>
      <c r="AM12" s="168">
        <f t="shared" ca="1" si="6"/>
        <v>0</v>
      </c>
      <c r="AN12" s="175">
        <f t="shared" ca="1" si="7"/>
        <v>0.01</v>
      </c>
      <c r="AO12" s="180">
        <f ca="1">IF(NOW(),_xll.meProductSwapParRate(_xll.meUtilityLVBFromKeysValues($L$5:$AM$5,$L12:$AM12),FALSE))</f>
        <v>3.2100000092650763E-3</v>
      </c>
      <c r="AP12" s="169">
        <f ca="1">IF(NOW(),_xll.meProductSwapPV(_xll.meUtilityLVBFromKeysValues($J$5:$AN$5,$J12:$AN12),FALSE))</f>
        <v>-47815.098582904422</v>
      </c>
      <c r="AQ12" s="170">
        <f ca="1">IF(NOW(),_xll.meProductSwapPV01(_xll.meUtilityLVBFromKeysValues($J$5:$AL$5,$J12:$AL12),FALSE))</f>
        <v>704.19880188731929</v>
      </c>
      <c r="AR12" t="s">
        <v>4</v>
      </c>
      <c r="AS12" s="143" t="str">
        <v>8Y</v>
      </c>
      <c r="AT12" s="145">
        <v>4.4400000000000004E-3</v>
      </c>
      <c r="AU12" s="150">
        <f t="shared" ca="1" si="10"/>
        <v>1.0631796831805929E-6</v>
      </c>
    </row>
    <row r="13" spans="1:47" x14ac:dyDescent="0.25">
      <c r="A13" s="126">
        <v>8</v>
      </c>
      <c r="B13" s="173">
        <f ca="1">IF(NOW(),_xll.meDateFromTenor(COB,$C13,$P13,$Q13))</f>
        <v>42423</v>
      </c>
      <c r="C13" s="135" t="s">
        <v>204</v>
      </c>
      <c r="D13" s="128" t="s">
        <v>17</v>
      </c>
      <c r="E13" s="130" t="s">
        <v>205</v>
      </c>
      <c r="F13" s="130" t="s">
        <v>58</v>
      </c>
      <c r="G13" s="130">
        <v>0.01</v>
      </c>
      <c r="H13" s="130">
        <v>0</v>
      </c>
      <c r="I13" s="161" t="s">
        <v>206</v>
      </c>
      <c r="J13" s="128">
        <v>1000000</v>
      </c>
      <c r="K13" s="129" t="s">
        <v>195</v>
      </c>
      <c r="L13" s="173">
        <f t="shared" ca="1" si="8"/>
        <v>42423</v>
      </c>
      <c r="M13" s="164" t="str">
        <f t="shared" si="9"/>
        <v>8Y</v>
      </c>
      <c r="N13" s="131" t="s">
        <v>26</v>
      </c>
      <c r="O13" s="131" t="s">
        <v>20</v>
      </c>
      <c r="P13" s="131" t="s">
        <v>22</v>
      </c>
      <c r="Q13" s="131" t="s">
        <v>2</v>
      </c>
      <c r="R13" s="131"/>
      <c r="S13" s="131"/>
      <c r="T13" s="132">
        <f t="shared" ca="1" si="0"/>
        <v>23</v>
      </c>
      <c r="U13" s="131" t="s">
        <v>196</v>
      </c>
      <c r="V13" s="131" t="s">
        <v>197</v>
      </c>
      <c r="W13" s="132" t="str">
        <f t="shared" ca="1" si="1"/>
        <v>EUR6ML</v>
      </c>
      <c r="X13" s="132" t="str">
        <f t="shared" ca="1" si="2"/>
        <v>Semi-Annual</v>
      </c>
      <c r="Y13" s="131" t="s">
        <v>6</v>
      </c>
      <c r="Z13" s="131" t="s">
        <v>22</v>
      </c>
      <c r="AA13" s="131" t="s">
        <v>2</v>
      </c>
      <c r="AB13" s="131"/>
      <c r="AC13" s="131"/>
      <c r="AD13" s="132">
        <f t="shared" ca="1" si="3"/>
        <v>23</v>
      </c>
      <c r="AE13" s="131" t="s">
        <v>196</v>
      </c>
      <c r="AF13" s="133" t="s">
        <v>37</v>
      </c>
      <c r="AG13" s="134"/>
      <c r="AH13" s="131" t="s">
        <v>196</v>
      </c>
      <c r="AI13" s="131" t="s">
        <v>197</v>
      </c>
      <c r="AJ13" s="132" t="str">
        <f t="shared" ca="1" si="4"/>
        <v>EURYC</v>
      </c>
      <c r="AK13" s="132" t="str">
        <f t="shared" ca="1" si="5"/>
        <v>EURDF_NOCSA</v>
      </c>
      <c r="AL13" s="131" t="s">
        <v>193</v>
      </c>
      <c r="AM13" s="168">
        <f t="shared" ca="1" si="6"/>
        <v>0</v>
      </c>
      <c r="AN13" s="175">
        <f t="shared" ca="1" si="7"/>
        <v>0.01</v>
      </c>
      <c r="AO13" s="180">
        <f ca="1">IF(NOW(),_xll.meProductSwapParRate(_xll.meUtilityLVBFromKeysValues($L$5:$AM$5,$L13:$AM13),FALSE))</f>
        <v>4.4400001063179687E-3</v>
      </c>
      <c r="AP13" s="169">
        <f ca="1">IF(NOW(),_xll.meProductSwapPV(_xll.meUtilityLVBFromKeysValues($J$5:$AN$5,$J13:$AN13),FALSE))</f>
        <v>-44630.599790179454</v>
      </c>
      <c r="AQ13" s="170">
        <f ca="1">IF(NOW(),_xll.meProductSwapPV01(_xll.meUtilityLVBFromKeysValues($J$5:$AL$5,$J13:$AL13),FALSE))</f>
        <v>802.70864466911848</v>
      </c>
      <c r="AR13" t="s">
        <v>4</v>
      </c>
      <c r="AS13" s="143" t="str">
        <v>9Y</v>
      </c>
      <c r="AT13" s="145">
        <v>5.6100000000000004E-3</v>
      </c>
      <c r="AU13" s="150">
        <f t="shared" ca="1" si="10"/>
        <v>1.9356689081456713E-6</v>
      </c>
    </row>
    <row r="14" spans="1:47" x14ac:dyDescent="0.25">
      <c r="A14" s="126">
        <v>9</v>
      </c>
      <c r="B14" s="173">
        <f ca="1">IF(NOW(),_xll.meDateFromTenor(COB,$C14,$P14,$Q14))</f>
        <v>42423</v>
      </c>
      <c r="C14" s="135" t="s">
        <v>204</v>
      </c>
      <c r="D14" s="128" t="s">
        <v>17</v>
      </c>
      <c r="E14" s="130" t="s">
        <v>205</v>
      </c>
      <c r="F14" s="130" t="s">
        <v>60</v>
      </c>
      <c r="G14" s="130">
        <v>0.01</v>
      </c>
      <c r="H14" s="130">
        <v>0</v>
      </c>
      <c r="I14" s="161" t="s">
        <v>206</v>
      </c>
      <c r="J14" s="128">
        <v>1000000</v>
      </c>
      <c r="K14" s="129" t="s">
        <v>195</v>
      </c>
      <c r="L14" s="173">
        <f t="shared" ca="1" si="8"/>
        <v>42423</v>
      </c>
      <c r="M14" s="164" t="str">
        <f t="shared" si="9"/>
        <v>9Y</v>
      </c>
      <c r="N14" s="131" t="s">
        <v>26</v>
      </c>
      <c r="O14" s="131" t="s">
        <v>20</v>
      </c>
      <c r="P14" s="131" t="s">
        <v>22</v>
      </c>
      <c r="Q14" s="131" t="s">
        <v>2</v>
      </c>
      <c r="R14" s="131"/>
      <c r="S14" s="131"/>
      <c r="T14" s="132">
        <f t="shared" ca="1" si="0"/>
        <v>23</v>
      </c>
      <c r="U14" s="131" t="s">
        <v>196</v>
      </c>
      <c r="V14" s="131" t="s">
        <v>197</v>
      </c>
      <c r="W14" s="132" t="str">
        <f t="shared" ca="1" si="1"/>
        <v>EUR6ML</v>
      </c>
      <c r="X14" s="132" t="str">
        <f t="shared" ca="1" si="2"/>
        <v>Semi-Annual</v>
      </c>
      <c r="Y14" s="131" t="s">
        <v>6</v>
      </c>
      <c r="Z14" s="131" t="s">
        <v>22</v>
      </c>
      <c r="AA14" s="131" t="s">
        <v>2</v>
      </c>
      <c r="AB14" s="131"/>
      <c r="AC14" s="131"/>
      <c r="AD14" s="132">
        <f t="shared" ca="1" si="3"/>
        <v>23</v>
      </c>
      <c r="AE14" s="131" t="s">
        <v>196</v>
      </c>
      <c r="AF14" s="133" t="s">
        <v>37</v>
      </c>
      <c r="AG14" s="134"/>
      <c r="AH14" s="131" t="s">
        <v>196</v>
      </c>
      <c r="AI14" s="131" t="s">
        <v>197</v>
      </c>
      <c r="AJ14" s="132" t="str">
        <f t="shared" ca="1" si="4"/>
        <v>EURYC</v>
      </c>
      <c r="AK14" s="132" t="str">
        <f t="shared" ca="1" si="5"/>
        <v>EURDF_NOCSA</v>
      </c>
      <c r="AL14" s="131" t="s">
        <v>193</v>
      </c>
      <c r="AM14" s="168">
        <f t="shared" ca="1" si="6"/>
        <v>0</v>
      </c>
      <c r="AN14" s="175">
        <f t="shared" ca="1" si="7"/>
        <v>0.01</v>
      </c>
      <c r="AO14" s="180">
        <f ca="1">IF(NOW(),_xll.meProductSwapParRate(_xll.meUtilityLVBFromKeysValues($L$5:$AM$5,$L14:$AM14),FALSE))</f>
        <v>5.6100001935668912E-3</v>
      </c>
      <c r="AP14" s="169">
        <f ca="1">IF(NOW(),_xll.meProductSwapPV(_xll.meUtilityLVBFromKeysValues($J$5:$AN$5,$J14:$AN14),FALSE))</f>
        <v>-39518.01748383409</v>
      </c>
      <c r="AQ14" s="170">
        <f ca="1">IF(NOW(),_xll.meProductSwapPV01(_xll.meUtilityLVBFromKeysValues($J$5:$AL$5,$J14:$AL14),FALSE))</f>
        <v>900.18267030272671</v>
      </c>
      <c r="AR14" t="s">
        <v>4</v>
      </c>
      <c r="AS14" s="143" t="str">
        <v>10Y</v>
      </c>
      <c r="AT14" s="145">
        <v>6.6700000000000006E-3</v>
      </c>
      <c r="AU14" s="150">
        <f t="shared" ca="1" si="10"/>
        <v>3.4304033832283087E-6</v>
      </c>
    </row>
    <row r="15" spans="1:47" x14ac:dyDescent="0.25">
      <c r="A15" s="126">
        <v>10</v>
      </c>
      <c r="B15" s="173">
        <f ca="1">IF(NOW(),_xll.meDateFromTenor(COB,$C15,$P15,$Q15))</f>
        <v>42423</v>
      </c>
      <c r="C15" s="135" t="s">
        <v>204</v>
      </c>
      <c r="D15" s="128" t="s">
        <v>17</v>
      </c>
      <c r="E15" s="130" t="s">
        <v>205</v>
      </c>
      <c r="F15" s="130" t="s">
        <v>61</v>
      </c>
      <c r="G15" s="130">
        <v>0.01</v>
      </c>
      <c r="H15" s="130">
        <v>0</v>
      </c>
      <c r="I15" s="161" t="s">
        <v>206</v>
      </c>
      <c r="J15" s="128">
        <v>1000000</v>
      </c>
      <c r="K15" s="129" t="s">
        <v>195</v>
      </c>
      <c r="L15" s="173">
        <f t="shared" ca="1" si="8"/>
        <v>42423</v>
      </c>
      <c r="M15" s="164" t="str">
        <f t="shared" si="9"/>
        <v>10Y</v>
      </c>
      <c r="N15" s="131" t="s">
        <v>26</v>
      </c>
      <c r="O15" s="131" t="s">
        <v>20</v>
      </c>
      <c r="P15" s="131" t="s">
        <v>22</v>
      </c>
      <c r="Q15" s="131" t="s">
        <v>2</v>
      </c>
      <c r="R15" s="131"/>
      <c r="S15" s="131"/>
      <c r="T15" s="132">
        <f t="shared" ca="1" si="0"/>
        <v>23</v>
      </c>
      <c r="U15" s="131" t="s">
        <v>196</v>
      </c>
      <c r="V15" s="131" t="s">
        <v>197</v>
      </c>
      <c r="W15" s="132" t="str">
        <f t="shared" ca="1" si="1"/>
        <v>EUR6ML</v>
      </c>
      <c r="X15" s="132" t="str">
        <f t="shared" ca="1" si="2"/>
        <v>Semi-Annual</v>
      </c>
      <c r="Y15" s="131" t="s">
        <v>6</v>
      </c>
      <c r="Z15" s="131" t="s">
        <v>22</v>
      </c>
      <c r="AA15" s="131" t="s">
        <v>2</v>
      </c>
      <c r="AB15" s="131"/>
      <c r="AC15" s="131"/>
      <c r="AD15" s="132">
        <f t="shared" ca="1" si="3"/>
        <v>23</v>
      </c>
      <c r="AE15" s="131" t="s">
        <v>196</v>
      </c>
      <c r="AF15" s="133" t="s">
        <v>37</v>
      </c>
      <c r="AG15" s="134"/>
      <c r="AH15" s="131" t="s">
        <v>196</v>
      </c>
      <c r="AI15" s="131" t="s">
        <v>197</v>
      </c>
      <c r="AJ15" s="132" t="str">
        <f t="shared" ca="1" si="4"/>
        <v>EURYC</v>
      </c>
      <c r="AK15" s="132" t="str">
        <f t="shared" ca="1" si="5"/>
        <v>EURDF_NOCSA</v>
      </c>
      <c r="AL15" s="131" t="s">
        <v>193</v>
      </c>
      <c r="AM15" s="168">
        <f t="shared" ca="1" si="6"/>
        <v>0</v>
      </c>
      <c r="AN15" s="175">
        <f t="shared" ca="1" si="7"/>
        <v>0.01</v>
      </c>
      <c r="AO15" s="180">
        <f ca="1">IF(NOW(),_xll.meProductSwapParRate(_xll.meUtilityLVBFromKeysValues($L$5:$AM$5,$L15:$AM15),FALSE))</f>
        <v>6.6700003430403389E-3</v>
      </c>
      <c r="AP15" s="169">
        <f ca="1">IF(NOW(),_xll.meProductSwapPV(_xll.meUtilityLVBFromKeysValues($J$5:$AN$5,$J15:$AN15),FALSE))</f>
        <v>-33156.43197440754</v>
      </c>
      <c r="AQ15" s="170">
        <f ca="1">IF(NOW(),_xll.meProductSwapPV01(_xll.meUtilityLVBFromKeysValues($J$5:$AL$5,$J15:$AL15),FALSE))</f>
        <v>995.68875045109928</v>
      </c>
      <c r="AR15" t="s">
        <v>4</v>
      </c>
      <c r="AS15" s="143" t="str">
        <v>11Y</v>
      </c>
      <c r="AT15" s="145">
        <v>7.6300000000000005E-3</v>
      </c>
      <c r="AU15" s="150">
        <f t="shared" ca="1" si="10"/>
        <v>5.4717767296319497E-6</v>
      </c>
    </row>
    <row r="16" spans="1:47" x14ac:dyDescent="0.25">
      <c r="A16" s="126">
        <v>11</v>
      </c>
      <c r="B16" s="173">
        <f ca="1">IF(NOW(),_xll.meDateFromTenor(COB,$C16,$P16,$Q16))</f>
        <v>42423</v>
      </c>
      <c r="C16" s="135" t="s">
        <v>204</v>
      </c>
      <c r="D16" s="128" t="s">
        <v>17</v>
      </c>
      <c r="E16" s="130" t="s">
        <v>205</v>
      </c>
      <c r="F16" s="130" t="s">
        <v>62</v>
      </c>
      <c r="G16" s="130">
        <v>0.01</v>
      </c>
      <c r="H16" s="130">
        <v>0</v>
      </c>
      <c r="I16" s="161" t="s">
        <v>206</v>
      </c>
      <c r="J16" s="128">
        <v>1000000</v>
      </c>
      <c r="K16" s="129" t="s">
        <v>195</v>
      </c>
      <c r="L16" s="173">
        <f t="shared" ca="1" si="8"/>
        <v>42423</v>
      </c>
      <c r="M16" s="164" t="str">
        <f t="shared" si="9"/>
        <v>11Y</v>
      </c>
      <c r="N16" s="131" t="s">
        <v>26</v>
      </c>
      <c r="O16" s="131" t="s">
        <v>20</v>
      </c>
      <c r="P16" s="131" t="s">
        <v>22</v>
      </c>
      <c r="Q16" s="131" t="s">
        <v>2</v>
      </c>
      <c r="R16" s="131"/>
      <c r="S16" s="131"/>
      <c r="T16" s="132">
        <f t="shared" ca="1" si="0"/>
        <v>23</v>
      </c>
      <c r="U16" s="131" t="s">
        <v>196</v>
      </c>
      <c r="V16" s="131" t="s">
        <v>197</v>
      </c>
      <c r="W16" s="132" t="str">
        <f t="shared" ca="1" si="1"/>
        <v>EUR6ML</v>
      </c>
      <c r="X16" s="132" t="str">
        <f t="shared" ca="1" si="2"/>
        <v>Semi-Annual</v>
      </c>
      <c r="Y16" s="131" t="s">
        <v>6</v>
      </c>
      <c r="Z16" s="131" t="s">
        <v>22</v>
      </c>
      <c r="AA16" s="131" t="s">
        <v>2</v>
      </c>
      <c r="AB16" s="131"/>
      <c r="AC16" s="131"/>
      <c r="AD16" s="132">
        <f t="shared" ca="1" si="3"/>
        <v>23</v>
      </c>
      <c r="AE16" s="131" t="s">
        <v>196</v>
      </c>
      <c r="AF16" s="133" t="s">
        <v>37</v>
      </c>
      <c r="AG16" s="134"/>
      <c r="AH16" s="131" t="s">
        <v>196</v>
      </c>
      <c r="AI16" s="131" t="s">
        <v>197</v>
      </c>
      <c r="AJ16" s="132" t="str">
        <f t="shared" ca="1" si="4"/>
        <v>EURYC</v>
      </c>
      <c r="AK16" s="132" t="str">
        <f t="shared" ca="1" si="5"/>
        <v>EURDF_NOCSA</v>
      </c>
      <c r="AL16" s="131" t="s">
        <v>193</v>
      </c>
      <c r="AM16" s="168">
        <f t="shared" ca="1" si="6"/>
        <v>0</v>
      </c>
      <c r="AN16" s="175">
        <f t="shared" ca="1" si="7"/>
        <v>0.01</v>
      </c>
      <c r="AO16" s="180">
        <f ca="1">IF(NOW(),_xll.meProductSwapParRate(_xll.meUtilityLVBFromKeysValues($L$5:$AM$5,$L16:$AM16),FALSE))</f>
        <v>7.6300005471776735E-3</v>
      </c>
      <c r="AP16" s="169">
        <f ca="1">IF(NOW(),_xll.meProductSwapPV(_xll.meUtilityLVBFromKeysValues($J$5:$AN$5,$J16:$AN16),FALSE))</f>
        <v>-25831.525248800142</v>
      </c>
      <c r="AQ16" s="170">
        <f ca="1">IF(NOW(),_xll.meProductSwapPV01(_xll.meUtilityLVBFromKeysValues($J$5:$AL$5,$J16:$AL16),FALSE))</f>
        <v>1089.9380258522224</v>
      </c>
      <c r="AR16" t="s">
        <v>4</v>
      </c>
      <c r="AS16" s="143" t="str">
        <v>12Y</v>
      </c>
      <c r="AT16" s="145">
        <v>8.4700000000000001E-3</v>
      </c>
      <c r="AU16" s="150">
        <f t="shared" ca="1" si="10"/>
        <v>7.7640117598920533E-6</v>
      </c>
    </row>
    <row r="17" spans="1:47" x14ac:dyDescent="0.25">
      <c r="A17" s="126">
        <v>12</v>
      </c>
      <c r="B17" s="173">
        <f ca="1">IF(NOW(),_xll.meDateFromTenor(COB,$C17,$P17,$Q17))</f>
        <v>42423</v>
      </c>
      <c r="C17" s="135" t="s">
        <v>204</v>
      </c>
      <c r="D17" s="128" t="s">
        <v>17</v>
      </c>
      <c r="E17" s="130" t="s">
        <v>205</v>
      </c>
      <c r="F17" s="130" t="s">
        <v>63</v>
      </c>
      <c r="G17" s="130">
        <v>0.01</v>
      </c>
      <c r="H17" s="130">
        <v>0</v>
      </c>
      <c r="I17" s="161" t="s">
        <v>206</v>
      </c>
      <c r="J17" s="128">
        <v>1000000</v>
      </c>
      <c r="K17" s="129" t="s">
        <v>195</v>
      </c>
      <c r="L17" s="173">
        <f t="shared" ca="1" si="8"/>
        <v>42423</v>
      </c>
      <c r="M17" s="164" t="str">
        <f t="shared" si="9"/>
        <v>12Y</v>
      </c>
      <c r="N17" s="131" t="s">
        <v>26</v>
      </c>
      <c r="O17" s="131" t="s">
        <v>20</v>
      </c>
      <c r="P17" s="131" t="s">
        <v>22</v>
      </c>
      <c r="Q17" s="131" t="s">
        <v>2</v>
      </c>
      <c r="R17" s="131"/>
      <c r="S17" s="131"/>
      <c r="T17" s="132">
        <f t="shared" ca="1" si="0"/>
        <v>23</v>
      </c>
      <c r="U17" s="131" t="s">
        <v>196</v>
      </c>
      <c r="V17" s="131" t="s">
        <v>197</v>
      </c>
      <c r="W17" s="132" t="str">
        <f t="shared" ca="1" si="1"/>
        <v>EUR6ML</v>
      </c>
      <c r="X17" s="132" t="str">
        <f t="shared" ca="1" si="2"/>
        <v>Semi-Annual</v>
      </c>
      <c r="Y17" s="131" t="s">
        <v>6</v>
      </c>
      <c r="Z17" s="131" t="s">
        <v>22</v>
      </c>
      <c r="AA17" s="131" t="s">
        <v>2</v>
      </c>
      <c r="AB17" s="131"/>
      <c r="AC17" s="131"/>
      <c r="AD17" s="132">
        <f t="shared" ca="1" si="3"/>
        <v>23</v>
      </c>
      <c r="AE17" s="131" t="s">
        <v>196</v>
      </c>
      <c r="AF17" s="133" t="s">
        <v>37</v>
      </c>
      <c r="AG17" s="134"/>
      <c r="AH17" s="131" t="s">
        <v>196</v>
      </c>
      <c r="AI17" s="131" t="s">
        <v>197</v>
      </c>
      <c r="AJ17" s="132" t="str">
        <f t="shared" ca="1" si="4"/>
        <v>EURYC</v>
      </c>
      <c r="AK17" s="132" t="str">
        <f t="shared" ca="1" si="5"/>
        <v>EURDF_NOCSA</v>
      </c>
      <c r="AL17" s="131" t="s">
        <v>193</v>
      </c>
      <c r="AM17" s="168">
        <f t="shared" ca="1" si="6"/>
        <v>0</v>
      </c>
      <c r="AN17" s="175">
        <f t="shared" ca="1" si="7"/>
        <v>0.01</v>
      </c>
      <c r="AO17" s="180">
        <f ca="1">IF(NOW(),_xll.meProductSwapParRate(_xll.meUtilityLVBFromKeysValues($L$5:$AM$5,$L17:$AM17),FALSE))</f>
        <v>8.4700007764011761E-3</v>
      </c>
      <c r="AP17" s="169">
        <f ca="1">IF(NOW(),_xll.meProductSwapPV(_xll.meUtilityLVBFromKeysValues($J$5:$AN$5,$J17:$AN17),FALSE))</f>
        <v>-18094.288391075337</v>
      </c>
      <c r="AQ17" s="170">
        <f ca="1">IF(NOW(),_xll.meProductSwapPV01(_xll.meUtilityLVBFromKeysValues($J$5:$AL$5,$J17:$AL17),FALSE))</f>
        <v>1182.6338283044629</v>
      </c>
      <c r="AR17" t="s">
        <v>4</v>
      </c>
      <c r="AS17" s="143" t="str">
        <v>15Y</v>
      </c>
      <c r="AT17" s="145">
        <v>1.03E-2</v>
      </c>
      <c r="AU17" s="150">
        <f t="shared" ca="1" si="10"/>
        <v>8.275338123087117E-6</v>
      </c>
    </row>
    <row r="18" spans="1:47" x14ac:dyDescent="0.25">
      <c r="A18" s="126">
        <v>13</v>
      </c>
      <c r="B18" s="173">
        <f ca="1">IF(NOW(),_xll.meDateFromTenor(COB,$C18,$P18,$Q18))</f>
        <v>42423</v>
      </c>
      <c r="C18" s="135" t="s">
        <v>204</v>
      </c>
      <c r="D18" s="128" t="s">
        <v>17</v>
      </c>
      <c r="E18" s="130" t="s">
        <v>205</v>
      </c>
      <c r="F18" s="130" t="s">
        <v>207</v>
      </c>
      <c r="G18" s="130">
        <v>0.01</v>
      </c>
      <c r="H18" s="130">
        <v>0</v>
      </c>
      <c r="I18" s="161" t="s">
        <v>206</v>
      </c>
      <c r="J18" s="128">
        <v>1000000</v>
      </c>
      <c r="K18" s="129" t="s">
        <v>195</v>
      </c>
      <c r="L18" s="173">
        <f t="shared" ca="1" si="8"/>
        <v>42423</v>
      </c>
      <c r="M18" s="164" t="str">
        <f t="shared" si="9"/>
        <v>13Y</v>
      </c>
      <c r="N18" s="131" t="s">
        <v>26</v>
      </c>
      <c r="O18" s="131" t="s">
        <v>20</v>
      </c>
      <c r="P18" s="131" t="s">
        <v>22</v>
      </c>
      <c r="Q18" s="131" t="s">
        <v>2</v>
      </c>
      <c r="R18" s="131"/>
      <c r="S18" s="131"/>
      <c r="T18" s="132">
        <f t="shared" ca="1" si="0"/>
        <v>23</v>
      </c>
      <c r="U18" s="131" t="s">
        <v>196</v>
      </c>
      <c r="V18" s="131" t="s">
        <v>197</v>
      </c>
      <c r="W18" s="132" t="str">
        <f t="shared" ca="1" si="1"/>
        <v>EUR6ML</v>
      </c>
      <c r="X18" s="132" t="str">
        <f t="shared" ca="1" si="2"/>
        <v>Semi-Annual</v>
      </c>
      <c r="Y18" s="131" t="s">
        <v>6</v>
      </c>
      <c r="Z18" s="131" t="s">
        <v>22</v>
      </c>
      <c r="AA18" s="131" t="s">
        <v>2</v>
      </c>
      <c r="AB18" s="131"/>
      <c r="AC18" s="131"/>
      <c r="AD18" s="132">
        <f t="shared" ca="1" si="3"/>
        <v>23</v>
      </c>
      <c r="AE18" s="131" t="s">
        <v>196</v>
      </c>
      <c r="AF18" s="133" t="s">
        <v>37</v>
      </c>
      <c r="AG18" s="134"/>
      <c r="AH18" s="131" t="s">
        <v>196</v>
      </c>
      <c r="AI18" s="131" t="s">
        <v>197</v>
      </c>
      <c r="AJ18" s="132" t="str">
        <f t="shared" ca="1" si="4"/>
        <v>EURYC</v>
      </c>
      <c r="AK18" s="132" t="str">
        <f t="shared" ca="1" si="5"/>
        <v>EURDF_NOCSA</v>
      </c>
      <c r="AL18" s="131" t="s">
        <v>193</v>
      </c>
      <c r="AM18" s="168">
        <f t="shared" ca="1" si="6"/>
        <v>0</v>
      </c>
      <c r="AN18" s="175">
        <f t="shared" ca="1" si="7"/>
        <v>0.01</v>
      </c>
      <c r="AO18" s="180">
        <f ca="1">IF(NOW(),_xll.meProductSwapParRate(_xll.meUtilityLVBFromKeysValues($L$5:$AM$5,$L18:$AM18),FALSE))</f>
        <v>9.1775539730296757E-3</v>
      </c>
      <c r="AP18" s="169">
        <f ca="1">IF(NOW(),_xll.meProductSwapPV(_xll.meUtilityLVBFromKeysValues($J$5:$AN$5,$J18:$AN18),FALSE))</f>
        <v>-10476.173493060764</v>
      </c>
      <c r="AQ18" s="170">
        <f ca="1">IF(NOW(),_xll.meProductSwapPV01(_xll.meUtilityLVBFromKeysValues($J$5:$AL$5,$J18:$AL18),FALSE))</f>
        <v>1273.7824914362154</v>
      </c>
      <c r="AR18" t="s">
        <v>4</v>
      </c>
      <c r="AS18" s="143" t="str">
        <v>20Y</v>
      </c>
      <c r="AT18" s="145">
        <v>1.1659999999999998E-2</v>
      </c>
      <c r="AU18" s="150">
        <f t="shared" ca="1" si="10"/>
        <v>7.9995662351228791E-6</v>
      </c>
    </row>
    <row r="19" spans="1:47" x14ac:dyDescent="0.25">
      <c r="A19" s="126">
        <v>14</v>
      </c>
      <c r="B19" s="173">
        <f ca="1">IF(NOW(),_xll.meDateFromTenor(COB,$C19,$P19,$Q19))</f>
        <v>42423</v>
      </c>
      <c r="C19" s="135" t="s">
        <v>204</v>
      </c>
      <c r="D19" s="128" t="s">
        <v>17</v>
      </c>
      <c r="E19" s="130" t="s">
        <v>205</v>
      </c>
      <c r="F19" s="130" t="s">
        <v>208</v>
      </c>
      <c r="G19" s="130">
        <v>0.01</v>
      </c>
      <c r="H19" s="130">
        <v>0</v>
      </c>
      <c r="I19" s="161" t="s">
        <v>206</v>
      </c>
      <c r="J19" s="128">
        <v>1000000</v>
      </c>
      <c r="K19" s="129" t="s">
        <v>195</v>
      </c>
      <c r="L19" s="173">
        <f t="shared" ca="1" si="8"/>
        <v>42423</v>
      </c>
      <c r="M19" s="164" t="str">
        <f t="shared" si="9"/>
        <v>14Y</v>
      </c>
      <c r="N19" s="131" t="s">
        <v>26</v>
      </c>
      <c r="O19" s="131" t="s">
        <v>20</v>
      </c>
      <c r="P19" s="131" t="s">
        <v>22</v>
      </c>
      <c r="Q19" s="131" t="s">
        <v>2</v>
      </c>
      <c r="R19" s="131"/>
      <c r="S19" s="131"/>
      <c r="T19" s="132">
        <f t="shared" ca="1" si="0"/>
        <v>23</v>
      </c>
      <c r="U19" s="131" t="s">
        <v>196</v>
      </c>
      <c r="V19" s="131" t="s">
        <v>197</v>
      </c>
      <c r="W19" s="132" t="str">
        <f t="shared" ca="1" si="1"/>
        <v>EUR6ML</v>
      </c>
      <c r="X19" s="132" t="str">
        <f t="shared" ca="1" si="2"/>
        <v>Semi-Annual</v>
      </c>
      <c r="Y19" s="131" t="s">
        <v>6</v>
      </c>
      <c r="Z19" s="131" t="s">
        <v>22</v>
      </c>
      <c r="AA19" s="131" t="s">
        <v>2</v>
      </c>
      <c r="AB19" s="131"/>
      <c r="AC19" s="131"/>
      <c r="AD19" s="132">
        <f t="shared" ca="1" si="3"/>
        <v>23</v>
      </c>
      <c r="AE19" s="131" t="s">
        <v>196</v>
      </c>
      <c r="AF19" s="133" t="s">
        <v>37</v>
      </c>
      <c r="AG19" s="134"/>
      <c r="AH19" s="131" t="s">
        <v>196</v>
      </c>
      <c r="AI19" s="131" t="s">
        <v>197</v>
      </c>
      <c r="AJ19" s="132" t="str">
        <f t="shared" ca="1" si="4"/>
        <v>EURYC</v>
      </c>
      <c r="AK19" s="132" t="str">
        <f t="shared" ca="1" si="5"/>
        <v>EURDF_NOCSA</v>
      </c>
      <c r="AL19" s="131" t="s">
        <v>193</v>
      </c>
      <c r="AM19" s="168">
        <f t="shared" ca="1" si="6"/>
        <v>0</v>
      </c>
      <c r="AN19" s="175">
        <f t="shared" ca="1" si="7"/>
        <v>0.01</v>
      </c>
      <c r="AO19" s="180">
        <f ca="1">IF(NOW(),_xll.meProductSwapParRate(_xll.meUtilityLVBFromKeysValues($L$5:$AM$5,$L19:$AM19),FALSE))</f>
        <v>9.7836373454312352E-3</v>
      </c>
      <c r="AP19" s="169">
        <f ca="1">IF(NOW(),_xll.meProductSwapPV(_xll.meUtilityLVBFromKeysValues($J$5:$AN$5,$J19:$AN19),FALSE))</f>
        <v>-2950.972772441829</v>
      </c>
      <c r="AQ19" s="170">
        <f ca="1">IF(NOW(),_xll.meProductSwapPV01(_xll.meUtilityLVBFromKeysValues($J$5:$AL$5,$J19:$AL19),FALSE))</f>
        <v>1363.9011678440731</v>
      </c>
      <c r="AR19" t="s">
        <v>4</v>
      </c>
      <c r="AS19" s="143" t="str">
        <v>25Y</v>
      </c>
      <c r="AT19" s="145">
        <v>1.201E-2</v>
      </c>
      <c r="AU19" s="150" t="str">
        <f t="shared" ca="1" si="10"/>
        <v>-</v>
      </c>
    </row>
    <row r="20" spans="1:47" x14ac:dyDescent="0.25">
      <c r="A20" s="126">
        <v>15</v>
      </c>
      <c r="B20" s="173">
        <f ca="1">IF(NOW(),_xll.meDateFromTenor(COB,$C20,$P20,$Q20))</f>
        <v>42423</v>
      </c>
      <c r="C20" s="135" t="s">
        <v>204</v>
      </c>
      <c r="D20" s="128" t="s">
        <v>17</v>
      </c>
      <c r="E20" s="130" t="s">
        <v>205</v>
      </c>
      <c r="F20" s="130" t="s">
        <v>64</v>
      </c>
      <c r="G20" s="130">
        <v>0.01</v>
      </c>
      <c r="H20" s="130">
        <v>0</v>
      </c>
      <c r="I20" s="161" t="s">
        <v>206</v>
      </c>
      <c r="J20" s="128">
        <v>1000000</v>
      </c>
      <c r="K20" s="129" t="s">
        <v>195</v>
      </c>
      <c r="L20" s="173">
        <f t="shared" ca="1" si="8"/>
        <v>42423</v>
      </c>
      <c r="M20" s="164" t="str">
        <f t="shared" si="9"/>
        <v>15Y</v>
      </c>
      <c r="N20" s="131" t="s">
        <v>26</v>
      </c>
      <c r="O20" s="131" t="s">
        <v>20</v>
      </c>
      <c r="P20" s="131" t="s">
        <v>22</v>
      </c>
      <c r="Q20" s="131" t="s">
        <v>2</v>
      </c>
      <c r="R20" s="131"/>
      <c r="S20" s="131"/>
      <c r="T20" s="132">
        <f t="shared" ca="1" si="0"/>
        <v>23</v>
      </c>
      <c r="U20" s="131" t="s">
        <v>196</v>
      </c>
      <c r="V20" s="131" t="s">
        <v>197</v>
      </c>
      <c r="W20" s="132" t="str">
        <f t="shared" ca="1" si="1"/>
        <v>EUR6ML</v>
      </c>
      <c r="X20" s="132" t="str">
        <f t="shared" ca="1" si="2"/>
        <v>Semi-Annual</v>
      </c>
      <c r="Y20" s="131" t="s">
        <v>6</v>
      </c>
      <c r="Z20" s="131" t="s">
        <v>22</v>
      </c>
      <c r="AA20" s="131" t="s">
        <v>2</v>
      </c>
      <c r="AB20" s="131"/>
      <c r="AC20" s="131"/>
      <c r="AD20" s="132">
        <f t="shared" ca="1" si="3"/>
        <v>23</v>
      </c>
      <c r="AE20" s="131" t="s">
        <v>196</v>
      </c>
      <c r="AF20" s="133" t="s">
        <v>37</v>
      </c>
      <c r="AG20" s="134"/>
      <c r="AH20" s="131" t="s">
        <v>196</v>
      </c>
      <c r="AI20" s="131" t="s">
        <v>197</v>
      </c>
      <c r="AJ20" s="132" t="str">
        <f t="shared" ca="1" si="4"/>
        <v>EURYC</v>
      </c>
      <c r="AK20" s="132" t="str">
        <f t="shared" ca="1" si="5"/>
        <v>EURDF_NOCSA</v>
      </c>
      <c r="AL20" s="131" t="s">
        <v>193</v>
      </c>
      <c r="AM20" s="168">
        <f t="shared" ca="1" si="6"/>
        <v>0</v>
      </c>
      <c r="AN20" s="175">
        <f t="shared" ca="1" si="7"/>
        <v>0.01</v>
      </c>
      <c r="AO20" s="180">
        <f ca="1">IF(NOW(),_xll.meProductSwapParRate(_xll.meUtilityLVBFromKeysValues($L$5:$AM$5,$L20:$AM20),FALSE))</f>
        <v>1.0300000827533812E-2</v>
      </c>
      <c r="AP20" s="169">
        <f ca="1">IF(NOW(),_xll.meProductSwapPV(_xll.meUtilityLVBFromKeysValues($J$5:$AN$5,$J20:$AN20),FALSE))</f>
        <v>4355.2386149792173</v>
      </c>
      <c r="AQ20" s="170">
        <f ca="1">IF(NOW(),_xll.meProductSwapPV01(_xll.meUtilityLVBFromKeysValues($J$5:$AL$5,$J20:$AL20),FALSE))</f>
        <v>1451.742200440548</v>
      </c>
      <c r="AR20" t="s">
        <v>4</v>
      </c>
      <c r="AS20" s="143" t="str">
        <v>30Y</v>
      </c>
      <c r="AT20" s="145">
        <v>1.204E-2</v>
      </c>
      <c r="AU20" s="150" t="str">
        <f t="shared" ca="1" si="10"/>
        <v>-</v>
      </c>
    </row>
    <row r="21" spans="1:47" x14ac:dyDescent="0.25">
      <c r="A21" s="126">
        <v>16</v>
      </c>
      <c r="B21" s="173">
        <f ca="1">IF(NOW(),_xll.meDateFromTenor(COB,$C21,$P21,$Q21))</f>
        <v>42423</v>
      </c>
      <c r="C21" s="135" t="s">
        <v>204</v>
      </c>
      <c r="D21" s="128" t="s">
        <v>17</v>
      </c>
      <c r="E21" s="130" t="s">
        <v>205</v>
      </c>
      <c r="F21" s="130" t="s">
        <v>209</v>
      </c>
      <c r="G21" s="130">
        <v>0.01</v>
      </c>
      <c r="H21" s="130">
        <v>0</v>
      </c>
      <c r="I21" s="161" t="s">
        <v>206</v>
      </c>
      <c r="J21" s="128">
        <v>1000000</v>
      </c>
      <c r="K21" s="129" t="s">
        <v>195</v>
      </c>
      <c r="L21" s="173">
        <f t="shared" ca="1" si="8"/>
        <v>42423</v>
      </c>
      <c r="M21" s="164" t="str">
        <f t="shared" si="9"/>
        <v>16Y</v>
      </c>
      <c r="N21" s="131" t="s">
        <v>26</v>
      </c>
      <c r="O21" s="131" t="s">
        <v>20</v>
      </c>
      <c r="P21" s="131" t="s">
        <v>22</v>
      </c>
      <c r="Q21" s="131" t="s">
        <v>2</v>
      </c>
      <c r="R21" s="131"/>
      <c r="S21" s="131"/>
      <c r="T21" s="132">
        <f t="shared" ca="1" si="0"/>
        <v>23</v>
      </c>
      <c r="U21" s="131" t="s">
        <v>196</v>
      </c>
      <c r="V21" s="131" t="s">
        <v>197</v>
      </c>
      <c r="W21" s="132" t="str">
        <f t="shared" ca="1" si="1"/>
        <v>EUR6ML</v>
      </c>
      <c r="X21" s="132" t="str">
        <f t="shared" ca="1" si="2"/>
        <v>Semi-Annual</v>
      </c>
      <c r="Y21" s="131" t="s">
        <v>6</v>
      </c>
      <c r="Z21" s="131" t="s">
        <v>22</v>
      </c>
      <c r="AA21" s="131" t="s">
        <v>2</v>
      </c>
      <c r="AB21" s="131"/>
      <c r="AC21" s="131"/>
      <c r="AD21" s="132">
        <f t="shared" ca="1" si="3"/>
        <v>23</v>
      </c>
      <c r="AE21" s="131" t="s">
        <v>196</v>
      </c>
      <c r="AF21" s="133" t="s">
        <v>37</v>
      </c>
      <c r="AG21" s="134"/>
      <c r="AH21" s="131" t="s">
        <v>196</v>
      </c>
      <c r="AI21" s="131" t="s">
        <v>197</v>
      </c>
      <c r="AJ21" s="132" t="str">
        <f t="shared" ca="1" si="4"/>
        <v>EURYC</v>
      </c>
      <c r="AK21" s="132" t="str">
        <f t="shared" ca="1" si="5"/>
        <v>EURDF_NOCSA</v>
      </c>
      <c r="AL21" s="131" t="s">
        <v>193</v>
      </c>
      <c r="AM21" s="168">
        <f t="shared" ca="1" si="6"/>
        <v>0</v>
      </c>
      <c r="AN21" s="175">
        <f t="shared" ca="1" si="7"/>
        <v>0.01</v>
      </c>
      <c r="AO21" s="180">
        <f ca="1">IF(NOW(),_xll.meProductSwapParRate(_xll.meUtilityLVBFromKeysValues($L$5:$AM$5,$L21:$AM21),FALSE))</f>
        <v>1.0695998049129758E-2</v>
      </c>
      <c r="AP21" s="169">
        <f ca="1">IF(NOW(),_xll.meProductSwapPV(_xll.meUtilityLVBFromKeysValues($J$5:$AN$5,$J21:$AN21),FALSE))</f>
        <v>10705.13922046687</v>
      </c>
      <c r="AQ21" s="170">
        <f ca="1">IF(NOW(),_xll.meProductSwapPV01(_xll.meUtilityLVBFromKeysValues($J$5:$AL$5,$J21:$AL21),FALSE))</f>
        <v>1538.0990268366502</v>
      </c>
      <c r="AR21" t="s">
        <v>4</v>
      </c>
      <c r="AS21" s="143" t="str">
        <v>40Y</v>
      </c>
      <c r="AT21" s="145">
        <v>1.1859999999999999E-2</v>
      </c>
      <c r="AU21" s="150" t="str">
        <f t="shared" ca="1" si="10"/>
        <v>-</v>
      </c>
    </row>
    <row r="22" spans="1:47" x14ac:dyDescent="0.25">
      <c r="A22" s="126">
        <v>17</v>
      </c>
      <c r="B22" s="173">
        <f ca="1">IF(NOW(),_xll.meDateFromTenor(COB,$C22,$P22,$Q22))</f>
        <v>42423</v>
      </c>
      <c r="C22" s="135" t="s">
        <v>204</v>
      </c>
      <c r="D22" s="128" t="s">
        <v>17</v>
      </c>
      <c r="E22" s="130" t="s">
        <v>205</v>
      </c>
      <c r="F22" s="130" t="s">
        <v>210</v>
      </c>
      <c r="G22" s="130">
        <v>0.01</v>
      </c>
      <c r="H22" s="130">
        <v>0</v>
      </c>
      <c r="I22" s="161" t="s">
        <v>206</v>
      </c>
      <c r="J22" s="128">
        <v>1000000</v>
      </c>
      <c r="K22" s="129" t="s">
        <v>195</v>
      </c>
      <c r="L22" s="173">
        <f t="shared" ca="1" si="8"/>
        <v>42423</v>
      </c>
      <c r="M22" s="164" t="str">
        <f t="shared" si="9"/>
        <v>17Y</v>
      </c>
      <c r="N22" s="131" t="s">
        <v>26</v>
      </c>
      <c r="O22" s="131" t="s">
        <v>20</v>
      </c>
      <c r="P22" s="131" t="s">
        <v>22</v>
      </c>
      <c r="Q22" s="131" t="s">
        <v>2</v>
      </c>
      <c r="R22" s="131"/>
      <c r="S22" s="131"/>
      <c r="T22" s="132">
        <f t="shared" ca="1" si="0"/>
        <v>23</v>
      </c>
      <c r="U22" s="131" t="s">
        <v>196</v>
      </c>
      <c r="V22" s="131" t="s">
        <v>197</v>
      </c>
      <c r="W22" s="132" t="str">
        <f t="shared" ca="1" si="1"/>
        <v>EUR6ML</v>
      </c>
      <c r="X22" s="132" t="str">
        <f t="shared" ca="1" si="2"/>
        <v>Semi-Annual</v>
      </c>
      <c r="Y22" s="131" t="s">
        <v>6</v>
      </c>
      <c r="Z22" s="131" t="s">
        <v>22</v>
      </c>
      <c r="AA22" s="131" t="s">
        <v>2</v>
      </c>
      <c r="AB22" s="131"/>
      <c r="AC22" s="131"/>
      <c r="AD22" s="132">
        <f t="shared" ca="1" si="3"/>
        <v>23</v>
      </c>
      <c r="AE22" s="131" t="s">
        <v>196</v>
      </c>
      <c r="AF22" s="133" t="s">
        <v>37</v>
      </c>
      <c r="AG22" s="134"/>
      <c r="AH22" s="131" t="s">
        <v>196</v>
      </c>
      <c r="AI22" s="131" t="s">
        <v>197</v>
      </c>
      <c r="AJ22" s="132" t="str">
        <f t="shared" ca="1" si="4"/>
        <v>EURYC</v>
      </c>
      <c r="AK22" s="132" t="str">
        <f t="shared" ca="1" si="5"/>
        <v>EURDF_NOCSA</v>
      </c>
      <c r="AL22" s="131" t="s">
        <v>193</v>
      </c>
      <c r="AM22" s="168">
        <f t="shared" ca="1" si="6"/>
        <v>0</v>
      </c>
      <c r="AN22" s="175">
        <f t="shared" ca="1" si="7"/>
        <v>0.01</v>
      </c>
      <c r="AO22" s="180">
        <f ca="1">IF(NOW(),_xll.meProductSwapParRate(_xll.meUtilityLVBFromKeysValues($L$5:$AM$5,$L22:$AM22),FALSE))</f>
        <v>1.1020698744596345E-2</v>
      </c>
      <c r="AP22" s="169">
        <f ca="1">IF(NOW(),_xll.meProductSwapPV(_xll.meUtilityLVBFromKeysValues($J$5:$AN$5,$J22:$AN22),FALSE))</f>
        <v>16569.145965342312</v>
      </c>
      <c r="AQ22" s="170">
        <f ca="1">IF(NOW(),_xll.meProductSwapPV01(_xll.meUtilityLVBFromKeysValues($J$5:$AL$5,$J22:$AL22),FALSE))</f>
        <v>1623.3140339459235</v>
      </c>
      <c r="AR22" t="s">
        <v>4</v>
      </c>
      <c r="AS22" s="143" t="str">
        <v>50Y</v>
      </c>
      <c r="AT22" s="145">
        <v>1.1200000000000002E-2</v>
      </c>
      <c r="AU22" s="150" t="str">
        <f t="shared" ca="1" si="10"/>
        <v>-</v>
      </c>
    </row>
    <row r="23" spans="1:47" x14ac:dyDescent="0.25">
      <c r="A23" s="126">
        <v>18</v>
      </c>
      <c r="B23" s="173">
        <f ca="1">IF(NOW(),_xll.meDateFromTenor(COB,$C23,$P23,$Q23))</f>
        <v>42423</v>
      </c>
      <c r="C23" s="135" t="s">
        <v>204</v>
      </c>
      <c r="D23" s="128" t="s">
        <v>17</v>
      </c>
      <c r="E23" s="130" t="s">
        <v>205</v>
      </c>
      <c r="F23" s="130" t="s">
        <v>211</v>
      </c>
      <c r="G23" s="130">
        <v>0.01</v>
      </c>
      <c r="H23" s="130">
        <v>0</v>
      </c>
      <c r="I23" s="161" t="s">
        <v>206</v>
      </c>
      <c r="J23" s="128">
        <v>1000000</v>
      </c>
      <c r="K23" s="129" t="s">
        <v>195</v>
      </c>
      <c r="L23" s="173">
        <f t="shared" ca="1" si="8"/>
        <v>42423</v>
      </c>
      <c r="M23" s="164" t="str">
        <f t="shared" si="9"/>
        <v>18Y</v>
      </c>
      <c r="N23" s="131" t="s">
        <v>26</v>
      </c>
      <c r="O23" s="131" t="s">
        <v>20</v>
      </c>
      <c r="P23" s="131" t="s">
        <v>22</v>
      </c>
      <c r="Q23" s="131" t="s">
        <v>2</v>
      </c>
      <c r="R23" s="131"/>
      <c r="S23" s="131"/>
      <c r="T23" s="132">
        <f t="shared" ca="1" si="0"/>
        <v>23</v>
      </c>
      <c r="U23" s="131" t="s">
        <v>196</v>
      </c>
      <c r="V23" s="131" t="s">
        <v>197</v>
      </c>
      <c r="W23" s="132" t="str">
        <f t="shared" ca="1" si="1"/>
        <v>EUR6ML</v>
      </c>
      <c r="X23" s="132" t="str">
        <f t="shared" ca="1" si="2"/>
        <v>Semi-Annual</v>
      </c>
      <c r="Y23" s="131" t="s">
        <v>6</v>
      </c>
      <c r="Z23" s="131" t="s">
        <v>22</v>
      </c>
      <c r="AA23" s="131" t="s">
        <v>2</v>
      </c>
      <c r="AB23" s="131"/>
      <c r="AC23" s="131"/>
      <c r="AD23" s="132">
        <f t="shared" ca="1" si="3"/>
        <v>23</v>
      </c>
      <c r="AE23" s="131" t="s">
        <v>196</v>
      </c>
      <c r="AF23" s="133" t="s">
        <v>37</v>
      </c>
      <c r="AG23" s="134"/>
      <c r="AH23" s="131" t="s">
        <v>196</v>
      </c>
      <c r="AI23" s="131" t="s">
        <v>197</v>
      </c>
      <c r="AJ23" s="132" t="str">
        <f t="shared" ca="1" si="4"/>
        <v>EURYC</v>
      </c>
      <c r="AK23" s="132" t="str">
        <f t="shared" ca="1" si="5"/>
        <v>EURDF_NOCSA</v>
      </c>
      <c r="AL23" s="131" t="s">
        <v>193</v>
      </c>
      <c r="AM23" s="168">
        <f t="shared" ca="1" si="6"/>
        <v>0</v>
      </c>
      <c r="AN23" s="175">
        <f t="shared" ca="1" si="7"/>
        <v>0.01</v>
      </c>
      <c r="AO23" s="180">
        <f ca="1">IF(NOW(),_xll.meProductSwapParRate(_xll.meUtilityLVBFromKeysValues($L$5:$AM$5,$L23:$AM23),FALSE))</f>
        <v>1.1283541206727072E-2</v>
      </c>
      <c r="AP23" s="169">
        <f ca="1">IF(NOW(),_xll.meProductSwapPV(_xll.meUtilityLVBFromKeysValues($J$5:$AN$5,$J23:$AN23),FALSE))</f>
        <v>21913.111789975294</v>
      </c>
      <c r="AQ23" s="170">
        <f ca="1">IF(NOW(),_xll.meProductSwapPV01(_xll.meUtilityLVBFromKeysValues($J$5:$AL$5,$J23:$AL23),FALSE))</f>
        <v>1707.2386671443126</v>
      </c>
      <c r="AR23" t="s">
        <v>4</v>
      </c>
      <c r="AS23" s="143"/>
      <c r="AT23" s="145"/>
      <c r="AU23" s="150" t="str">
        <f t="shared" si="10"/>
        <v>-</v>
      </c>
    </row>
    <row r="24" spans="1:47" x14ac:dyDescent="0.25">
      <c r="A24" s="126">
        <v>19</v>
      </c>
      <c r="B24" s="173">
        <f ca="1">IF(NOW(),_xll.meDateFromTenor(COB,$C24,$P24,$Q24))</f>
        <v>42423</v>
      </c>
      <c r="C24" s="135" t="s">
        <v>204</v>
      </c>
      <c r="D24" s="128" t="s">
        <v>17</v>
      </c>
      <c r="E24" s="130" t="s">
        <v>205</v>
      </c>
      <c r="F24" s="130" t="s">
        <v>212</v>
      </c>
      <c r="G24" s="130">
        <v>0.01</v>
      </c>
      <c r="H24" s="130">
        <v>0</v>
      </c>
      <c r="I24" s="161" t="s">
        <v>206</v>
      </c>
      <c r="J24" s="128">
        <v>1000000</v>
      </c>
      <c r="K24" s="129" t="s">
        <v>195</v>
      </c>
      <c r="L24" s="173">
        <f t="shared" ca="1" si="8"/>
        <v>42423</v>
      </c>
      <c r="M24" s="164" t="str">
        <f t="shared" si="9"/>
        <v>19Y</v>
      </c>
      <c r="N24" s="131" t="s">
        <v>26</v>
      </c>
      <c r="O24" s="131" t="s">
        <v>20</v>
      </c>
      <c r="P24" s="131" t="s">
        <v>22</v>
      </c>
      <c r="Q24" s="131" t="s">
        <v>2</v>
      </c>
      <c r="R24" s="131"/>
      <c r="S24" s="131"/>
      <c r="T24" s="132">
        <f t="shared" ca="1" si="0"/>
        <v>23</v>
      </c>
      <c r="U24" s="131" t="s">
        <v>196</v>
      </c>
      <c r="V24" s="131" t="s">
        <v>197</v>
      </c>
      <c r="W24" s="132" t="str">
        <f t="shared" ca="1" si="1"/>
        <v>EUR6ML</v>
      </c>
      <c r="X24" s="132" t="str">
        <f t="shared" ca="1" si="2"/>
        <v>Semi-Annual</v>
      </c>
      <c r="Y24" s="131" t="s">
        <v>6</v>
      </c>
      <c r="Z24" s="131" t="s">
        <v>22</v>
      </c>
      <c r="AA24" s="131" t="s">
        <v>2</v>
      </c>
      <c r="AB24" s="131"/>
      <c r="AC24" s="131"/>
      <c r="AD24" s="132">
        <f t="shared" ca="1" si="3"/>
        <v>23</v>
      </c>
      <c r="AE24" s="131" t="s">
        <v>196</v>
      </c>
      <c r="AF24" s="133" t="s">
        <v>37</v>
      </c>
      <c r="AG24" s="134"/>
      <c r="AH24" s="131" t="s">
        <v>196</v>
      </c>
      <c r="AI24" s="131" t="s">
        <v>197</v>
      </c>
      <c r="AJ24" s="132" t="str">
        <f t="shared" ca="1" si="4"/>
        <v>EURYC</v>
      </c>
      <c r="AK24" s="132" t="str">
        <f t="shared" ca="1" si="5"/>
        <v>EURDF_NOCSA</v>
      </c>
      <c r="AL24" s="131" t="s">
        <v>193</v>
      </c>
      <c r="AM24" s="168">
        <f t="shared" ca="1" si="6"/>
        <v>0</v>
      </c>
      <c r="AN24" s="175">
        <f t="shared" ca="1" si="7"/>
        <v>0.01</v>
      </c>
      <c r="AO24" s="180">
        <f ca="1">IF(NOW(),_xll.meProductSwapParRate(_xll.meUtilityLVBFromKeysValues($L$5:$AM$5,$L24:$AM24),FALSE))</f>
        <v>1.1494068656978699E-2</v>
      </c>
      <c r="AP24" s="169">
        <f ca="1">IF(NOW(),_xll.meProductSwapPV(_xll.meUtilityLVBFromKeysValues($J$5:$AN$5,$J24:$AN24),FALSE))</f>
        <v>26742.864967922193</v>
      </c>
      <c r="AQ24" s="170">
        <f ca="1">IF(NOW(),_xll.meProductSwapPV01(_xll.meUtilityLVBFromKeysValues($J$5:$AL$5,$J24:$AL24),FALSE))</f>
        <v>1789.9354787350637</v>
      </c>
      <c r="AR24" t="s">
        <v>4</v>
      </c>
      <c r="AS24" s="143"/>
      <c r="AT24" s="145"/>
      <c r="AU24" s="150" t="str">
        <f t="shared" si="10"/>
        <v>-</v>
      </c>
    </row>
    <row r="25" spans="1:47" x14ac:dyDescent="0.25">
      <c r="A25" s="126">
        <v>20</v>
      </c>
      <c r="B25" s="176">
        <f ca="1">IF(NOW(),_xll.meDateFromTenor(COB,$C25,$P25,$Q25))</f>
        <v>42423</v>
      </c>
      <c r="C25" s="183" t="s">
        <v>204</v>
      </c>
      <c r="D25" s="136" t="s">
        <v>17</v>
      </c>
      <c r="E25" s="138" t="s">
        <v>205</v>
      </c>
      <c r="F25" s="138" t="s">
        <v>65</v>
      </c>
      <c r="G25" s="138">
        <v>0.01</v>
      </c>
      <c r="H25" s="138">
        <v>0</v>
      </c>
      <c r="I25" s="171" t="s">
        <v>206</v>
      </c>
      <c r="J25" s="136">
        <v>1000000</v>
      </c>
      <c r="K25" s="137" t="s">
        <v>195</v>
      </c>
      <c r="L25" s="176">
        <f t="shared" ca="1" si="8"/>
        <v>42423</v>
      </c>
      <c r="M25" s="184" t="str">
        <f t="shared" si="9"/>
        <v>20Y</v>
      </c>
      <c r="N25" s="139" t="s">
        <v>26</v>
      </c>
      <c r="O25" s="139" t="s">
        <v>20</v>
      </c>
      <c r="P25" s="139" t="s">
        <v>22</v>
      </c>
      <c r="Q25" s="139" t="s">
        <v>2</v>
      </c>
      <c r="R25" s="139"/>
      <c r="S25" s="139"/>
      <c r="T25" s="140">
        <f t="shared" ca="1" si="0"/>
        <v>23</v>
      </c>
      <c r="U25" s="139" t="s">
        <v>196</v>
      </c>
      <c r="V25" s="139" t="s">
        <v>197</v>
      </c>
      <c r="W25" s="140" t="str">
        <f t="shared" ca="1" si="1"/>
        <v>EUR6ML</v>
      </c>
      <c r="X25" s="140" t="str">
        <f t="shared" ca="1" si="2"/>
        <v>Semi-Annual</v>
      </c>
      <c r="Y25" s="139" t="s">
        <v>6</v>
      </c>
      <c r="Z25" s="139" t="s">
        <v>22</v>
      </c>
      <c r="AA25" s="139" t="s">
        <v>2</v>
      </c>
      <c r="AB25" s="139"/>
      <c r="AC25" s="139"/>
      <c r="AD25" s="140">
        <f t="shared" ca="1" si="3"/>
        <v>23</v>
      </c>
      <c r="AE25" s="139" t="s">
        <v>196</v>
      </c>
      <c r="AF25" s="141" t="s">
        <v>37</v>
      </c>
      <c r="AG25" s="142"/>
      <c r="AH25" s="139" t="s">
        <v>196</v>
      </c>
      <c r="AI25" s="139" t="s">
        <v>197</v>
      </c>
      <c r="AJ25" s="140" t="str">
        <f t="shared" ca="1" si="4"/>
        <v>EURYC</v>
      </c>
      <c r="AK25" s="140" t="str">
        <f t="shared" ca="1" si="5"/>
        <v>EURDF_NOCSA</v>
      </c>
      <c r="AL25" s="139" t="s">
        <v>193</v>
      </c>
      <c r="AM25" s="172">
        <f t="shared" ca="1" si="6"/>
        <v>0</v>
      </c>
      <c r="AN25" s="177">
        <f t="shared" ca="1" si="7"/>
        <v>0.01</v>
      </c>
      <c r="AO25" s="180">
        <f ca="1">IF(NOW(),_xll.meProductSwapParRate(_xll.meUtilityLVBFromKeysValues($L$5:$AM$5,$L25:$AM25),FALSE))</f>
        <v>1.1660000799956622E-2</v>
      </c>
      <c r="AP25" s="169">
        <f ca="1">IF(NOW(),_xll.meProductSwapPV(_xll.meUtilityLVBFromKeysValues($J$5:$AN$5,$J25:$AN25),FALSE))</f>
        <v>31073.16410843558</v>
      </c>
      <c r="AQ25" s="170">
        <f ca="1">IF(NOW(),_xll.meProductSwapPV01(_xll.meUtilityLVBFromKeysValues($J$5:$AL$5,$J25:$AL25),FALSE))</f>
        <v>1871.8764538696353</v>
      </c>
      <c r="AR25" t="s">
        <v>4</v>
      </c>
      <c r="AS25" s="144"/>
      <c r="AT25" s="146"/>
      <c r="AU25" s="181" t="str">
        <f t="shared" si="10"/>
        <v>-</v>
      </c>
    </row>
    <row r="26" spans="1:47" x14ac:dyDescent="0.25">
      <c r="AO26" s="159"/>
    </row>
    <row r="27" spans="1:47" x14ac:dyDescent="0.25">
      <c r="AO27" s="159"/>
    </row>
    <row r="37" spans="7:7" x14ac:dyDescent="0.25">
      <c r="G37" s="63"/>
    </row>
  </sheetData>
  <mergeCells count="2">
    <mergeCell ref="AP2:AQ2"/>
    <mergeCell ref="AP3:AQ3"/>
  </mergeCells>
  <dataValidations count="8">
    <dataValidation type="list" allowBlank="1" showInputMessage="1" showErrorMessage="1" sqref="E6:F25">
      <formula1>"1ML,3ML,6ML,12ML"</formula1>
    </dataValidation>
    <dataValidation type="list" allowBlank="1" showInputMessage="1" showErrorMessage="1" sqref="AA6 Q6">
      <formula1>"TGT,NYB:LNB,LNB,TKB:LNB"</formula1>
    </dataValidation>
    <dataValidation type="list" allowBlank="1" showInputMessage="1" showErrorMessage="1" sqref="V6 AI6">
      <formula1>"None,ShortStart,ShortEnd,LongStart,LongEnd"</formula1>
    </dataValidation>
    <dataValidation type="list" allowBlank="1" showInputMessage="1" showErrorMessage="1" sqref="O6 Y6">
      <formula1>"30/360,ACT/360,ACT/365"</formula1>
    </dataValidation>
    <dataValidation type="list" allowBlank="1" showInputMessage="1" showErrorMessage="1" sqref="N6 X6">
      <formula1>"Annual,Semi-Annual,Quarterly,Monthly"</formula1>
    </dataValidation>
    <dataValidation type="list" allowBlank="1" showInputMessage="1" showErrorMessage="1" sqref="Z6 P6">
      <formula1>"MOD_FOLLOWING,FOLLOWING,MOD_PRECEDING,PRECEDING,NO_CHANGE"</formula1>
    </dataValidation>
    <dataValidation type="list" allowBlank="1" showInputMessage="1" showErrorMessage="1" sqref="K6:K25">
      <formula1>"PAYER,RECEIVER"</formula1>
    </dataValidation>
    <dataValidation type="list" allowBlank="1" showInputMessage="1" showErrorMessage="1" sqref="I6:I25">
      <formula1>"NOCSA,EURCSA,GBPCSA"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3"/>
  </sheetPr>
  <dimension ref="A1:P44"/>
  <sheetViews>
    <sheetView showGridLines="0" tabSelected="1" workbookViewId="0"/>
  </sheetViews>
  <sheetFormatPr defaultRowHeight="15" x14ac:dyDescent="0.25"/>
  <cols>
    <col min="2" max="2" width="26.140625" customWidth="1"/>
    <col min="3" max="3" width="9.140625" customWidth="1"/>
    <col min="4" max="4" width="17" customWidth="1"/>
    <col min="5" max="5" width="12" bestFit="1" customWidth="1"/>
    <col min="6" max="6" width="15" bestFit="1" customWidth="1"/>
    <col min="7" max="7" width="12.7109375" bestFit="1" customWidth="1"/>
    <col min="8" max="8" width="12.7109375" customWidth="1"/>
    <col min="9" max="9" width="9.140625" customWidth="1"/>
    <col min="10" max="11" width="22.7109375" customWidth="1"/>
    <col min="12" max="12" width="9.140625" customWidth="1"/>
    <col min="13" max="14" width="22.7109375" customWidth="1"/>
    <col min="15" max="15" width="9.140625" style="215"/>
  </cols>
  <sheetData>
    <row r="1" spans="1:16" s="210" customFormat="1" x14ac:dyDescent="0.25">
      <c r="A1" s="118"/>
      <c r="B1" s="118"/>
      <c r="O1" s="215"/>
    </row>
    <row r="2" spans="1:16" s="210" customFormat="1" ht="23.25" x14ac:dyDescent="0.35">
      <c r="B2" s="211" t="s">
        <v>259</v>
      </c>
      <c r="C2" s="211"/>
      <c r="K2" s="120"/>
      <c r="L2" s="207"/>
      <c r="M2" s="208"/>
      <c r="O2" s="215"/>
    </row>
    <row r="3" spans="1:16" s="210" customFormat="1" x14ac:dyDescent="0.25">
      <c r="K3" s="208"/>
      <c r="L3" s="209"/>
      <c r="M3" s="208"/>
      <c r="O3" s="215"/>
    </row>
    <row r="4" spans="1:16" s="210" customFormat="1" x14ac:dyDescent="0.25">
      <c r="B4" s="212" t="s">
        <v>274</v>
      </c>
      <c r="D4" s="212" t="s">
        <v>273</v>
      </c>
      <c r="J4" s="212" t="s">
        <v>269</v>
      </c>
      <c r="M4" s="212" t="s">
        <v>271</v>
      </c>
      <c r="O4" s="215"/>
    </row>
    <row r="5" spans="1:16" x14ac:dyDescent="0.25">
      <c r="B5" s="188" t="str">
        <f t="array" aca="1" ref="B5:B16" ca="1">_xll.meLWOCurveList()</f>
        <v>EUR3ML_19FEB16</v>
      </c>
      <c r="C5" t="s">
        <v>4</v>
      </c>
      <c r="D5" s="194" t="str">
        <f t="array" aca="1" ref="D5:G16" ca="1">_xll.meLWOCurveDisplay(B5)</f>
        <v>Date</v>
      </c>
      <c r="E5" s="195" t="str">
        <f ca="1"/>
        <v>YearFraction</v>
      </c>
      <c r="F5" s="195" t="str">
        <f ca="1"/>
        <v>DiscountFractor</v>
      </c>
      <c r="G5" s="196" t="str">
        <f ca="1"/>
        <v>ForwardRate</v>
      </c>
      <c r="H5" s="210" t="s">
        <v>4</v>
      </c>
      <c r="I5" t="s">
        <v>4</v>
      </c>
      <c r="J5" s="194" t="str">
        <f t="array" aca="1" ref="J5:K16" ca="1">_xll.meLWOCurveDisplayDiscountFactors(B5)</f>
        <v>PaymentDate</v>
      </c>
      <c r="K5" s="196" t="str">
        <f ca="1"/>
        <v>DiscountFractor</v>
      </c>
      <c r="L5" t="s">
        <v>4</v>
      </c>
      <c r="M5" s="217" t="s">
        <v>258</v>
      </c>
      <c r="N5" s="217" t="s">
        <v>262</v>
      </c>
      <c r="O5" s="218" t="s">
        <v>263</v>
      </c>
      <c r="P5" t="s">
        <v>4</v>
      </c>
    </row>
    <row r="6" spans="1:16" x14ac:dyDescent="0.25">
      <c r="B6" s="189" t="str">
        <f ca="1"/>
        <v>EUR6ML_19FEB16</v>
      </c>
      <c r="C6" t="s">
        <v>4</v>
      </c>
      <c r="D6" s="197">
        <f ca="1"/>
        <v>42419</v>
      </c>
      <c r="E6" s="198">
        <f ca="1"/>
        <v>0</v>
      </c>
      <c r="F6" s="199">
        <f ca="1"/>
        <v>1</v>
      </c>
      <c r="G6" s="200">
        <f ca="1"/>
        <v>-2.4774328475774222E-3</v>
      </c>
      <c r="H6" s="210" t="s">
        <v>4</v>
      </c>
      <c r="I6" t="s">
        <v>4</v>
      </c>
      <c r="J6" s="197">
        <f ca="1"/>
        <v>42419</v>
      </c>
      <c r="K6" s="213">
        <f ca="1"/>
        <v>1</v>
      </c>
      <c r="L6" t="s">
        <v>4</v>
      </c>
      <c r="M6" s="220">
        <f t="shared" ref="M6:M16" ca="1" si="0">J6</f>
        <v>42419</v>
      </c>
      <c r="N6" s="221">
        <f t="array" aca="1" ref="N6:N16" ca="1">_xll.meLWOCurveDiscountFactors(B5,J6:J16)</f>
        <v>1</v>
      </c>
      <c r="O6" s="219" t="str">
        <f t="shared" ref="O6:O16" ca="1" si="1">IF(N6=K6,"OK","#Error")</f>
        <v>OK</v>
      </c>
      <c r="P6" t="s">
        <v>4</v>
      </c>
    </row>
    <row r="7" spans="1:16" x14ac:dyDescent="0.25">
      <c r="B7" s="189" t="str">
        <f ca="1"/>
        <v>EUROIS_19FEB16</v>
      </c>
      <c r="C7" t="s">
        <v>4</v>
      </c>
      <c r="D7" s="197">
        <f ca="1"/>
        <v>42420</v>
      </c>
      <c r="E7" s="198">
        <f ca="1"/>
        <v>2.732240437158362E-3</v>
      </c>
      <c r="F7" s="199">
        <f ca="1"/>
        <v>1.0000068691402422</v>
      </c>
      <c r="G7" s="201">
        <f ca="1"/>
        <v>-2.4774285006988728E-3</v>
      </c>
      <c r="H7" s="210" t="s">
        <v>4</v>
      </c>
      <c r="I7" t="s">
        <v>4</v>
      </c>
      <c r="J7" s="197">
        <f ca="1"/>
        <v>42420</v>
      </c>
      <c r="K7" s="213">
        <f ca="1"/>
        <v>1.0000068691402422</v>
      </c>
      <c r="L7" t="s">
        <v>4</v>
      </c>
      <c r="M7" s="222">
        <f t="shared" ca="1" si="0"/>
        <v>42420</v>
      </c>
      <c r="N7" s="223">
        <f ca="1"/>
        <v>1.0000068691402442</v>
      </c>
      <c r="O7" s="219" t="str">
        <f t="shared" ca="1" si="1"/>
        <v>OK</v>
      </c>
      <c r="P7" t="s">
        <v>4</v>
      </c>
    </row>
    <row r="8" spans="1:16" x14ac:dyDescent="0.25">
      <c r="B8" s="189" t="e">
        <f ca="1"/>
        <v>#N/A</v>
      </c>
      <c r="C8" t="s">
        <v>4</v>
      </c>
      <c r="D8" s="197">
        <f ca="1"/>
        <v>42421</v>
      </c>
      <c r="E8" s="198">
        <f ca="1"/>
        <v>5.464480874316946E-3</v>
      </c>
      <c r="F8" s="199">
        <f ca="1"/>
        <v>1.0000137429695635</v>
      </c>
      <c r="G8" s="200">
        <f ca="1"/>
        <v>-2.4774258925717436E-3</v>
      </c>
      <c r="H8" s="216" t="s">
        <v>4</v>
      </c>
      <c r="I8" t="s">
        <v>4</v>
      </c>
      <c r="J8" s="197">
        <f ca="1"/>
        <v>42421</v>
      </c>
      <c r="K8" s="213">
        <f ca="1"/>
        <v>1.0000137429695635</v>
      </c>
      <c r="L8" t="s">
        <v>4</v>
      </c>
      <c r="M8" s="222">
        <f t="shared" ca="1" si="0"/>
        <v>42421</v>
      </c>
      <c r="N8" s="223">
        <f ca="1"/>
        <v>1.0000137429695677</v>
      </c>
      <c r="O8" s="219" t="str">
        <f t="shared" ca="1" si="1"/>
        <v>OK</v>
      </c>
      <c r="P8" t="s">
        <v>4</v>
      </c>
    </row>
    <row r="9" spans="1:16" x14ac:dyDescent="0.25">
      <c r="B9" s="189" t="e">
        <f ca="1"/>
        <v>#N/A</v>
      </c>
      <c r="C9" t="s">
        <v>4</v>
      </c>
      <c r="D9" s="197">
        <f ca="1"/>
        <v>42422</v>
      </c>
      <c r="E9" s="198">
        <f ca="1"/>
        <v>8.1967213114753079E-3</v>
      </c>
      <c r="F9" s="199">
        <f ca="1"/>
        <v>1.000020616798885</v>
      </c>
      <c r="G9" s="200">
        <f ca="1"/>
        <v>-2.4774267619474535E-3</v>
      </c>
      <c r="H9" s="216" t="s">
        <v>4</v>
      </c>
      <c r="I9" t="s">
        <v>4</v>
      </c>
      <c r="J9" s="197">
        <f ca="1"/>
        <v>42422</v>
      </c>
      <c r="K9" s="213">
        <f ca="1"/>
        <v>1.000020616798885</v>
      </c>
      <c r="L9" t="s">
        <v>4</v>
      </c>
      <c r="M9" s="222">
        <f t="shared" ca="1" si="0"/>
        <v>42422</v>
      </c>
      <c r="N9" s="223">
        <f ca="1"/>
        <v>1.0000206167988908</v>
      </c>
      <c r="O9" s="219" t="str">
        <f t="shared" ca="1" si="1"/>
        <v>OK</v>
      </c>
      <c r="P9" t="s">
        <v>4</v>
      </c>
    </row>
    <row r="10" spans="1:16" x14ac:dyDescent="0.25">
      <c r="B10" s="189" t="e">
        <f ca="1"/>
        <v>#N/A</v>
      </c>
      <c r="C10" t="s">
        <v>4</v>
      </c>
      <c r="D10" s="197">
        <f ca="1"/>
        <v>42423</v>
      </c>
      <c r="E10" s="198">
        <f ca="1"/>
        <v>1.0928961748633892E-2</v>
      </c>
      <c r="F10" s="199">
        <f ca="1"/>
        <v>1.0000274906282238</v>
      </c>
      <c r="G10" s="200">
        <f ca="1"/>
        <v>-2.4774328475774222E-3</v>
      </c>
      <c r="H10" s="216" t="s">
        <v>4</v>
      </c>
      <c r="I10" t="s">
        <v>4</v>
      </c>
      <c r="J10" s="197">
        <f ca="1"/>
        <v>42423</v>
      </c>
      <c r="K10" s="213">
        <f ca="1"/>
        <v>1.0000274906282238</v>
      </c>
      <c r="L10" t="s">
        <v>4</v>
      </c>
      <c r="M10" s="222">
        <f t="shared" ca="1" si="0"/>
        <v>42423</v>
      </c>
      <c r="N10" s="223">
        <f ca="1"/>
        <v>1.0000274906282316</v>
      </c>
      <c r="O10" s="219" t="str">
        <f t="shared" ca="1" si="1"/>
        <v>OK</v>
      </c>
      <c r="P10" t="s">
        <v>4</v>
      </c>
    </row>
    <row r="11" spans="1:16" x14ac:dyDescent="0.25">
      <c r="B11" s="189" t="e">
        <f ca="1"/>
        <v>#N/A</v>
      </c>
      <c r="C11" t="s">
        <v>4</v>
      </c>
      <c r="D11" s="197">
        <f ca="1"/>
        <v>42424</v>
      </c>
      <c r="E11" s="198">
        <f ca="1"/>
        <v>1.3661202185792254E-2</v>
      </c>
      <c r="F11" s="199">
        <f ca="1"/>
        <v>1.0000343647255021</v>
      </c>
      <c r="G11" s="200">
        <f ca="1"/>
        <v>-2.4774455631387669E-3</v>
      </c>
      <c r="H11" s="216" t="s">
        <v>4</v>
      </c>
      <c r="I11" t="s">
        <v>4</v>
      </c>
      <c r="J11" s="197">
        <f ca="1"/>
        <v>42424</v>
      </c>
      <c r="K11" s="213">
        <f ca="1"/>
        <v>1.0000343647255021</v>
      </c>
      <c r="L11" t="s">
        <v>4</v>
      </c>
      <c r="M11" s="222">
        <f t="shared" ca="1" si="0"/>
        <v>42424</v>
      </c>
      <c r="N11" s="223">
        <f ca="1"/>
        <v>1.0000343647255121</v>
      </c>
      <c r="O11" s="219" t="str">
        <f t="shared" ca="1" si="1"/>
        <v>OK</v>
      </c>
      <c r="P11" t="s">
        <v>4</v>
      </c>
    </row>
    <row r="12" spans="1:16" x14ac:dyDescent="0.25">
      <c r="B12" s="189" t="e">
        <f ca="1"/>
        <v>#N/A</v>
      </c>
      <c r="C12" t="s">
        <v>4</v>
      </c>
      <c r="D12" s="197">
        <f ca="1"/>
        <v>42425</v>
      </c>
      <c r="E12" s="198">
        <f ca="1"/>
        <v>1.6393442622950838E-2</v>
      </c>
      <c r="F12" s="199">
        <f ca="1"/>
        <v>1.0000412393514955</v>
      </c>
      <c r="G12" s="200">
        <f ca="1"/>
        <v>-2.4774651126292964E-3</v>
      </c>
      <c r="H12" s="216" t="s">
        <v>4</v>
      </c>
      <c r="I12" t="s">
        <v>4</v>
      </c>
      <c r="J12" s="197">
        <f ca="1"/>
        <v>42425</v>
      </c>
      <c r="K12" s="213">
        <f ca="1"/>
        <v>1.0000412393514955</v>
      </c>
      <c r="L12" t="s">
        <v>4</v>
      </c>
      <c r="M12" s="222">
        <f t="shared" ca="1" si="0"/>
        <v>42425</v>
      </c>
      <c r="N12" s="223">
        <f ca="1"/>
        <v>1.0000412393515072</v>
      </c>
      <c r="O12" s="219" t="str">
        <f t="shared" ca="1" si="1"/>
        <v>OK</v>
      </c>
      <c r="P12" t="s">
        <v>4</v>
      </c>
    </row>
    <row r="13" spans="1:16" x14ac:dyDescent="0.25">
      <c r="B13" s="189" t="e">
        <f ca="1"/>
        <v>#N/A</v>
      </c>
      <c r="C13" t="s">
        <v>4</v>
      </c>
      <c r="D13" s="197">
        <f ca="1"/>
        <v>42426</v>
      </c>
      <c r="E13" s="198">
        <f ca="1"/>
        <v>1.91256830601092E-2</v>
      </c>
      <c r="F13" s="199">
        <f ca="1"/>
        <v>1.0000481145082716</v>
      </c>
      <c r="G13" s="200">
        <f ca="1"/>
        <v>-2.4774914202814677E-3</v>
      </c>
      <c r="H13" s="216" t="s">
        <v>4</v>
      </c>
      <c r="I13" t="s">
        <v>4</v>
      </c>
      <c r="J13" s="197">
        <f ca="1"/>
        <v>42426</v>
      </c>
      <c r="K13" s="213">
        <f ca="1"/>
        <v>1.0000481145082716</v>
      </c>
      <c r="L13" t="s">
        <v>4</v>
      </c>
      <c r="M13" s="222">
        <f t="shared" ca="1" si="0"/>
        <v>42426</v>
      </c>
      <c r="N13" s="223">
        <f ca="1"/>
        <v>1.0000481145082849</v>
      </c>
      <c r="O13" s="219" t="str">
        <f t="shared" ca="1" si="1"/>
        <v>OK</v>
      </c>
      <c r="P13" t="s">
        <v>4</v>
      </c>
    </row>
    <row r="14" spans="1:16" x14ac:dyDescent="0.25">
      <c r="B14" s="189" t="e">
        <f ca="1"/>
        <v>#N/A</v>
      </c>
      <c r="C14" t="s">
        <v>4</v>
      </c>
      <c r="D14" s="197">
        <f ca="1"/>
        <v>42427</v>
      </c>
      <c r="E14" s="198">
        <f ca="1"/>
        <v>2.1857923497267784E-2</v>
      </c>
      <c r="F14" s="199">
        <f ca="1"/>
        <v>1.0000549901978975</v>
      </c>
      <c r="G14" s="200">
        <f ca="1"/>
        <v>-2.4775244103277388E-3</v>
      </c>
      <c r="H14" s="216" t="s">
        <v>4</v>
      </c>
      <c r="I14" t="s">
        <v>4</v>
      </c>
      <c r="J14" s="197">
        <f ca="1"/>
        <v>42427</v>
      </c>
      <c r="K14" s="213">
        <f ca="1"/>
        <v>1.0000549901978975</v>
      </c>
      <c r="L14" t="s">
        <v>4</v>
      </c>
      <c r="M14" s="222">
        <f t="shared" ca="1" si="0"/>
        <v>42427</v>
      </c>
      <c r="N14" s="223">
        <f ca="1"/>
        <v>1.000054990197913</v>
      </c>
      <c r="O14" s="219" t="str">
        <f t="shared" ca="1" si="1"/>
        <v>OK</v>
      </c>
      <c r="P14" t="s">
        <v>4</v>
      </c>
    </row>
    <row r="15" spans="1:16" x14ac:dyDescent="0.25">
      <c r="B15" s="189" t="e">
        <f ca="1"/>
        <v>#N/A</v>
      </c>
      <c r="C15" t="s">
        <v>4</v>
      </c>
      <c r="D15" s="197">
        <f ca="1"/>
        <v>42428</v>
      </c>
      <c r="E15" s="198">
        <f ca="1"/>
        <v>2.4590163934426146E-2</v>
      </c>
      <c r="F15" s="199">
        <f ca="1"/>
        <v>1.000061866422441</v>
      </c>
      <c r="G15" s="200">
        <f ca="1"/>
        <v>-2.4775640070005666E-3</v>
      </c>
      <c r="H15" s="216" t="s">
        <v>4</v>
      </c>
      <c r="I15" t="s">
        <v>4</v>
      </c>
      <c r="J15" s="197">
        <f ca="1"/>
        <v>42428</v>
      </c>
      <c r="K15" s="213">
        <f ca="1"/>
        <v>1.000061866422441</v>
      </c>
      <c r="L15" t="s">
        <v>4</v>
      </c>
      <c r="M15" s="222">
        <f t="shared" ca="1" si="0"/>
        <v>42428</v>
      </c>
      <c r="N15" s="223">
        <f ca="1"/>
        <v>1.0000618664224583</v>
      </c>
      <c r="O15" s="219" t="str">
        <f t="shared" ca="1" si="1"/>
        <v>OK</v>
      </c>
      <c r="P15" t="s">
        <v>4</v>
      </c>
    </row>
    <row r="16" spans="1:16" x14ac:dyDescent="0.25">
      <c r="B16" s="190" t="e">
        <f ca="1"/>
        <v>#N/A</v>
      </c>
      <c r="C16" t="s">
        <v>4</v>
      </c>
      <c r="D16" s="202">
        <f ca="1"/>
        <v>42429</v>
      </c>
      <c r="E16" s="203">
        <f ca="1"/>
        <v>2.732240437158473E-2</v>
      </c>
      <c r="F16" s="204">
        <f ca="1"/>
        <v>1.0000687431839694</v>
      </c>
      <c r="G16" s="205">
        <f ca="1"/>
        <v>-2.4776101345324094E-3</v>
      </c>
      <c r="H16" s="216" t="s">
        <v>4</v>
      </c>
      <c r="I16" t="s">
        <v>4</v>
      </c>
      <c r="J16" s="202">
        <f ca="1"/>
        <v>42429</v>
      </c>
      <c r="K16" s="214">
        <f ca="1"/>
        <v>1.0000687431839694</v>
      </c>
      <c r="L16" t="s">
        <v>4</v>
      </c>
      <c r="M16" s="224">
        <f t="shared" ca="1" si="0"/>
        <v>42429</v>
      </c>
      <c r="N16" s="225">
        <f ca="1"/>
        <v>1.0000687431839888</v>
      </c>
      <c r="O16" s="219" t="str">
        <f t="shared" ca="1" si="1"/>
        <v>OK</v>
      </c>
      <c r="P16" t="s">
        <v>4</v>
      </c>
    </row>
    <row r="17" spans="2:16" x14ac:dyDescent="0.25">
      <c r="H17" s="210"/>
      <c r="I17" t="s">
        <v>4</v>
      </c>
      <c r="L17" t="s">
        <v>4</v>
      </c>
      <c r="O17" s="219"/>
      <c r="P17" t="s">
        <v>4</v>
      </c>
    </row>
    <row r="18" spans="2:16" x14ac:dyDescent="0.25">
      <c r="D18" s="191"/>
      <c r="H18" s="210"/>
      <c r="I18" t="s">
        <v>4</v>
      </c>
      <c r="L18" t="s">
        <v>4</v>
      </c>
      <c r="O18" s="219"/>
      <c r="P18" t="s">
        <v>4</v>
      </c>
    </row>
    <row r="19" spans="2:16" x14ac:dyDescent="0.25">
      <c r="B19" s="229" t="s">
        <v>255</v>
      </c>
      <c r="D19" s="156" t="s">
        <v>265</v>
      </c>
      <c r="H19" s="210"/>
      <c r="I19" t="s">
        <v>4</v>
      </c>
      <c r="J19" s="212" t="s">
        <v>270</v>
      </c>
      <c r="K19" s="210"/>
      <c r="L19" t="s">
        <v>4</v>
      </c>
      <c r="M19" s="212" t="s">
        <v>272</v>
      </c>
      <c r="N19" s="210"/>
      <c r="O19" s="219"/>
      <c r="P19" t="s">
        <v>4</v>
      </c>
    </row>
    <row r="20" spans="2:16" x14ac:dyDescent="0.25">
      <c r="B20" s="193" t="s">
        <v>256</v>
      </c>
      <c r="D20" s="192" t="str">
        <f ca="1">_xll.meLWOCurveSave(B5,$B$20&amp;B5)</f>
        <v>Curve EUR3ML_19FEB16 was written to file C:\TEMP\EUR3ML_19FEB16.JSON</v>
      </c>
      <c r="H20" s="210"/>
      <c r="I20" t="s">
        <v>4</v>
      </c>
      <c r="J20" s="194" t="str">
        <f t="array" aca="1" ref="J20:K31" ca="1">_xll.meLWOCurveDisplayForwardRates(B5)</f>
        <v>FixingDate</v>
      </c>
      <c r="K20" s="196" t="str">
        <f ca="1"/>
        <v>ForwardRate</v>
      </c>
      <c r="L20" t="s">
        <v>4</v>
      </c>
      <c r="M20" s="217" t="s">
        <v>260</v>
      </c>
      <c r="N20" s="217" t="s">
        <v>261</v>
      </c>
      <c r="O20" s="218" t="s">
        <v>263</v>
      </c>
      <c r="P20" t="s">
        <v>4</v>
      </c>
    </row>
    <row r="21" spans="2:16" x14ac:dyDescent="0.25">
      <c r="D21" s="192" t="str">
        <f ca="1">_xll.meLWOCurveSave(B6,$B$20&amp;B6)</f>
        <v>Curve EUR6ML_19FEB16 was written to file C:\TEMP\EUR6ML_19FEB16.JSON</v>
      </c>
      <c r="H21" s="210"/>
      <c r="I21" t="s">
        <v>4</v>
      </c>
      <c r="J21" s="197">
        <f ca="1"/>
        <v>42419</v>
      </c>
      <c r="K21" s="200">
        <f ca="1"/>
        <v>-2.4774328475774222E-3</v>
      </c>
      <c r="L21" t="s">
        <v>4</v>
      </c>
      <c r="M21" s="220">
        <f t="shared" ref="M21:M31" ca="1" si="2">J21</f>
        <v>42419</v>
      </c>
      <c r="N21" s="226">
        <f t="array" aca="1" ref="N21:N31" ca="1">_xll.meLWOCurveForwardRates(B5,J21:J31)</f>
        <v>-2.477432848156649E-3</v>
      </c>
      <c r="O21" s="219" t="str">
        <f t="shared" ref="O21:O31" ca="1" si="3">IF(N21=K21,"OK","#Error")</f>
        <v>OK</v>
      </c>
      <c r="P21" t="s">
        <v>4</v>
      </c>
    </row>
    <row r="22" spans="2:16" x14ac:dyDescent="0.25">
      <c r="D22" s="192" t="str">
        <f ca="1">_xll.meLWOCurveSave(B7,$B$20&amp;B7)</f>
        <v>Curve EUROIS_19FEB16 was written to file C:\TEMP\EUROIS_19FEB16.JSON</v>
      </c>
      <c r="H22" s="210"/>
      <c r="I22" t="s">
        <v>4</v>
      </c>
      <c r="J22" s="197">
        <f ca="1"/>
        <v>42420</v>
      </c>
      <c r="K22" s="200">
        <f ca="1"/>
        <v>-2.4774285006988728E-3</v>
      </c>
      <c r="L22" t="s">
        <v>4</v>
      </c>
      <c r="M22" s="222">
        <f t="shared" ca="1" si="2"/>
        <v>42420</v>
      </c>
      <c r="N22" s="227">
        <f ca="1"/>
        <v>-2.4774285012781568E-3</v>
      </c>
      <c r="O22" s="219" t="str">
        <f t="shared" ca="1" si="3"/>
        <v>OK</v>
      </c>
      <c r="P22" t="s">
        <v>4</v>
      </c>
    </row>
    <row r="23" spans="2:16" x14ac:dyDescent="0.25">
      <c r="H23" s="210"/>
      <c r="I23" t="s">
        <v>4</v>
      </c>
      <c r="J23" s="197">
        <f ca="1"/>
        <v>42421</v>
      </c>
      <c r="K23" s="200">
        <f ca="1"/>
        <v>-2.4774258925717436E-3</v>
      </c>
      <c r="L23" t="s">
        <v>4</v>
      </c>
      <c r="M23" s="222">
        <f t="shared" ca="1" si="2"/>
        <v>42421</v>
      </c>
      <c r="N23" s="227">
        <f ca="1"/>
        <v>-2.4774258931510619E-3</v>
      </c>
      <c r="O23" s="219" t="str">
        <f t="shared" ca="1" si="3"/>
        <v>OK</v>
      </c>
      <c r="P23" t="s">
        <v>4</v>
      </c>
    </row>
    <row r="24" spans="2:16" x14ac:dyDescent="0.25">
      <c r="H24" s="210"/>
      <c r="I24" t="s">
        <v>4</v>
      </c>
      <c r="J24" s="197">
        <f ca="1"/>
        <v>42422</v>
      </c>
      <c r="K24" s="200">
        <f ca="1"/>
        <v>-2.4774267619474535E-3</v>
      </c>
      <c r="L24" t="s">
        <v>4</v>
      </c>
      <c r="M24" s="222">
        <f t="shared" ca="1" si="2"/>
        <v>42422</v>
      </c>
      <c r="N24" s="227">
        <f ca="1"/>
        <v>-2.4774267625267601E-3</v>
      </c>
      <c r="O24" s="219" t="str">
        <f t="shared" ca="1" si="3"/>
        <v>OK</v>
      </c>
      <c r="P24" t="s">
        <v>4</v>
      </c>
    </row>
    <row r="25" spans="2:16" x14ac:dyDescent="0.25">
      <c r="B25" s="230" t="s">
        <v>257</v>
      </c>
      <c r="D25" s="156" t="s">
        <v>266</v>
      </c>
      <c r="H25" s="210"/>
      <c r="I25" t="s">
        <v>4</v>
      </c>
      <c r="J25" s="197">
        <f ca="1"/>
        <v>42423</v>
      </c>
      <c r="K25" s="200">
        <f ca="1"/>
        <v>-2.4774328475774222E-3</v>
      </c>
      <c r="L25" t="s">
        <v>4</v>
      </c>
      <c r="M25" s="222">
        <f t="shared" ca="1" si="2"/>
        <v>42423</v>
      </c>
      <c r="N25" s="227">
        <f ca="1"/>
        <v>-2.477432848156649E-3</v>
      </c>
      <c r="O25" s="219" t="str">
        <f t="shared" ca="1" si="3"/>
        <v>OK</v>
      </c>
      <c r="P25" t="s">
        <v>4</v>
      </c>
    </row>
    <row r="26" spans="2:16" x14ac:dyDescent="0.25">
      <c r="B26" s="206" t="b">
        <v>1</v>
      </c>
      <c r="D26" s="192" t="str">
        <f ca="1">IF($B$26,_xll.meLWOCurveLoad($B$20&amp;B5),"Disabled")</f>
        <v>EUR3ML_19FEB16:3</v>
      </c>
      <c r="H26" s="210"/>
      <c r="I26" t="s">
        <v>4</v>
      </c>
      <c r="J26" s="197">
        <f ca="1"/>
        <v>42424</v>
      </c>
      <c r="K26" s="200">
        <f ca="1"/>
        <v>-2.4774455631387669E-3</v>
      </c>
      <c r="L26" t="s">
        <v>4</v>
      </c>
      <c r="M26" s="222">
        <f t="shared" ca="1" si="2"/>
        <v>42424</v>
      </c>
      <c r="N26" s="227">
        <f ca="1"/>
        <v>-2.4774455637178268E-3</v>
      </c>
      <c r="O26" s="219" t="str">
        <f t="shared" ca="1" si="3"/>
        <v>OK</v>
      </c>
      <c r="P26" t="s">
        <v>4</v>
      </c>
    </row>
    <row r="27" spans="2:16" x14ac:dyDescent="0.25">
      <c r="D27" s="192" t="str">
        <f ca="1">IF($B$26,_xll.meLWOCurveLoad($B$20&amp;B6),"Disabled")</f>
        <v>EUR6ML_19FEB16:4</v>
      </c>
      <c r="H27" s="210"/>
      <c r="I27" t="s">
        <v>4</v>
      </c>
      <c r="J27" s="197">
        <f ca="1"/>
        <v>42425</v>
      </c>
      <c r="K27" s="200">
        <f ca="1"/>
        <v>-2.4774651126292964E-3</v>
      </c>
      <c r="L27" t="s">
        <v>4</v>
      </c>
      <c r="M27" s="222">
        <f t="shared" ca="1" si="2"/>
        <v>42425</v>
      </c>
      <c r="N27" s="227">
        <f ca="1"/>
        <v>-2.477465113208099E-3</v>
      </c>
      <c r="O27" s="219" t="str">
        <f t="shared" ca="1" si="3"/>
        <v>OK</v>
      </c>
      <c r="P27" t="s">
        <v>4</v>
      </c>
    </row>
    <row r="28" spans="2:16" x14ac:dyDescent="0.25">
      <c r="D28" s="192" t="str">
        <f ca="1">IF($B$26,_xll.meLWOCurveLoad($B$20&amp;B7),"Disabled")</f>
        <v>EUROIS_19FEB16:5</v>
      </c>
      <c r="H28" s="210"/>
      <c r="I28" t="s">
        <v>4</v>
      </c>
      <c r="J28" s="197">
        <f ca="1"/>
        <v>42426</v>
      </c>
      <c r="K28" s="200">
        <f ca="1"/>
        <v>-2.4774914202814677E-3</v>
      </c>
      <c r="L28" t="s">
        <v>4</v>
      </c>
      <c r="M28" s="222">
        <f t="shared" ca="1" si="2"/>
        <v>42426</v>
      </c>
      <c r="N28" s="227">
        <f ca="1"/>
        <v>-2.4774914208599251E-3</v>
      </c>
      <c r="O28" s="219" t="str">
        <f t="shared" ca="1" si="3"/>
        <v>OK</v>
      </c>
      <c r="P28" t="s">
        <v>4</v>
      </c>
    </row>
    <row r="29" spans="2:16" x14ac:dyDescent="0.25">
      <c r="H29" s="210"/>
      <c r="I29" t="s">
        <v>4</v>
      </c>
      <c r="J29" s="197">
        <f ca="1"/>
        <v>42427</v>
      </c>
      <c r="K29" s="200">
        <f ca="1"/>
        <v>-2.4775244103277388E-3</v>
      </c>
      <c r="L29" t="s">
        <v>4</v>
      </c>
      <c r="M29" s="222">
        <f t="shared" ca="1" si="2"/>
        <v>42427</v>
      </c>
      <c r="N29" s="227">
        <f ca="1"/>
        <v>-2.477524410905763E-3</v>
      </c>
      <c r="O29" s="219" t="str">
        <f t="shared" ca="1" si="3"/>
        <v>OK</v>
      </c>
      <c r="P29" t="s">
        <v>4</v>
      </c>
    </row>
    <row r="30" spans="2:16" x14ac:dyDescent="0.25">
      <c r="H30" s="210"/>
      <c r="I30" t="s">
        <v>4</v>
      </c>
      <c r="J30" s="197">
        <f ca="1"/>
        <v>42428</v>
      </c>
      <c r="K30" s="200">
        <f ca="1"/>
        <v>-2.4775640070005666E-3</v>
      </c>
      <c r="L30" t="s">
        <v>4</v>
      </c>
      <c r="M30" s="222">
        <f t="shared" ca="1" si="2"/>
        <v>42428</v>
      </c>
      <c r="N30" s="227">
        <f ca="1"/>
        <v>-2.4775640075780712E-3</v>
      </c>
      <c r="O30" s="219" t="str">
        <f t="shared" ca="1" si="3"/>
        <v>OK</v>
      </c>
      <c r="P30" t="s">
        <v>4</v>
      </c>
    </row>
    <row r="31" spans="2:16" x14ac:dyDescent="0.25">
      <c r="B31" s="230" t="s">
        <v>257</v>
      </c>
      <c r="D31" s="156" t="s">
        <v>267</v>
      </c>
      <c r="H31" s="210"/>
      <c r="I31" t="s">
        <v>4</v>
      </c>
      <c r="J31" s="202">
        <f ca="1"/>
        <v>42429</v>
      </c>
      <c r="K31" s="205">
        <f ca="1"/>
        <v>-2.4776101345324094E-3</v>
      </c>
      <c r="L31" t="s">
        <v>4</v>
      </c>
      <c r="M31" s="224">
        <f t="shared" ca="1" si="2"/>
        <v>42429</v>
      </c>
      <c r="N31" s="228">
        <f ca="1"/>
        <v>-2.4776101351093086E-3</v>
      </c>
      <c r="O31" s="219" t="str">
        <f t="shared" ca="1" si="3"/>
        <v>OK</v>
      </c>
      <c r="P31" t="s">
        <v>4</v>
      </c>
    </row>
    <row r="32" spans="2:16" x14ac:dyDescent="0.25">
      <c r="B32" s="206" t="b">
        <v>0</v>
      </c>
      <c r="D32" s="192" t="str">
        <f>IF($B$32,_xll.meLWOCurveDelete(B5),"Disabled")</f>
        <v>Disabled</v>
      </c>
      <c r="H32" s="210"/>
      <c r="I32" t="s">
        <v>4</v>
      </c>
    </row>
    <row r="33" spans="2:9" x14ac:dyDescent="0.25">
      <c r="D33" s="192" t="str">
        <f>IF($B$32,_xll.meLWOCurveDelete(B6),"Disabled")</f>
        <v>Disabled</v>
      </c>
      <c r="H33" s="210"/>
      <c r="I33" t="s">
        <v>4</v>
      </c>
    </row>
    <row r="34" spans="2:9" x14ac:dyDescent="0.25">
      <c r="D34" s="192" t="str">
        <f>IF($B$32,_xll.meLWOCurveDelete(B7),"Disabled")</f>
        <v>Disabled</v>
      </c>
      <c r="H34" s="210"/>
      <c r="I34" t="s">
        <v>4</v>
      </c>
    </row>
    <row r="35" spans="2:9" x14ac:dyDescent="0.25">
      <c r="H35" s="210"/>
      <c r="I35" t="s">
        <v>4</v>
      </c>
    </row>
    <row r="36" spans="2:9" x14ac:dyDescent="0.25">
      <c r="H36" s="210"/>
    </row>
    <row r="37" spans="2:9" x14ac:dyDescent="0.25">
      <c r="B37" s="230" t="s">
        <v>257</v>
      </c>
      <c r="D37" s="156" t="s">
        <v>268</v>
      </c>
      <c r="H37" s="210"/>
    </row>
    <row r="38" spans="2:9" x14ac:dyDescent="0.25">
      <c r="B38" s="206" t="b">
        <v>0</v>
      </c>
      <c r="D38" s="192" t="str">
        <f>IF($B$38,_xll.meLWOCurveDeleteAll(),"Disabled")</f>
        <v>Disabled</v>
      </c>
      <c r="H38" s="210"/>
    </row>
    <row r="39" spans="2:9" x14ac:dyDescent="0.25">
      <c r="H39" s="210"/>
    </row>
    <row r="41" spans="2:9" x14ac:dyDescent="0.25">
      <c r="B41" t="s">
        <v>264</v>
      </c>
      <c r="D41" s="156" t="s">
        <v>278</v>
      </c>
    </row>
    <row r="42" spans="2:9" x14ac:dyDescent="0.25">
      <c r="B42" s="231" t="s">
        <v>275</v>
      </c>
      <c r="D42" s="234" t="b">
        <f ca="1">_xll.meLWOExists(B42,"CURVE")</f>
        <v>1</v>
      </c>
    </row>
    <row r="43" spans="2:9" x14ac:dyDescent="0.25">
      <c r="B43" s="232" t="s">
        <v>276</v>
      </c>
      <c r="D43" s="234" t="b">
        <f ca="1">_xll.meLWOExists(B43,"CURVE")</f>
        <v>1</v>
      </c>
    </row>
    <row r="44" spans="2:9" x14ac:dyDescent="0.25">
      <c r="B44" s="233" t="s">
        <v>277</v>
      </c>
      <c r="D44" s="234" t="b">
        <f ca="1">_xll.meLWOExists(B44,"CURVE")</f>
        <v>1</v>
      </c>
    </row>
  </sheetData>
  <dataValidations disablePrompts="1" count="1">
    <dataValidation type="list" allowBlank="1" showInputMessage="1" showErrorMessage="1" sqref="B26 B32 B38">
      <formula1>"TRUE,FALSE"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35</vt:i4>
      </vt:variant>
    </vt:vector>
  </HeadingPairs>
  <TitlesOfParts>
    <vt:vector size="40" baseType="lpstr">
      <vt:lpstr>EUR OIS</vt:lpstr>
      <vt:lpstr>EUR SWAP 6ML</vt:lpstr>
      <vt:lpstr>EUR BASIS 3ML</vt:lpstr>
      <vt:lpstr>Swap Pricing</vt:lpstr>
      <vt:lpstr>LWO Curve Utilities</vt:lpstr>
      <vt:lpstr>COB</vt:lpstr>
      <vt:lpstr>Curve.BuildProperties</vt:lpstr>
      <vt:lpstr>Curve.CollectionName</vt:lpstr>
      <vt:lpstr>Curve.MarketDataTable</vt:lpstr>
      <vt:lpstr>Curve.OISIndexName</vt:lpstr>
      <vt:lpstr>FRA.Conventions</vt:lpstr>
      <vt:lpstr>FRA.MarketDataX3</vt:lpstr>
      <vt:lpstr>FRA.MarketDataX6</vt:lpstr>
      <vt:lpstr>Futures.Conventions</vt:lpstr>
      <vt:lpstr>Futures.MarketData</vt:lpstr>
      <vt:lpstr>isEUR3MLLoaded</vt:lpstr>
      <vt:lpstr>isEUR6MLLoaded</vt:lpstr>
      <vt:lpstr>isEUROISLoaded</vt:lpstr>
      <vt:lpstr>Libor.Conventions</vt:lpstr>
      <vt:lpstr>Libor.MarketData</vt:lpstr>
      <vt:lpstr>LiborOISBasis.Conventions</vt:lpstr>
      <vt:lpstr>LiborOISBasis.MarketData</vt:lpstr>
      <vt:lpstr>LiborSwap.Conventions</vt:lpstr>
      <vt:lpstr>LiborSwap.MarketData</vt:lpstr>
      <vt:lpstr>MoneyMarket.Conventions</vt:lpstr>
      <vt:lpstr>OIS.Conventions</vt:lpstr>
      <vt:lpstr>OIS.FixingTable</vt:lpstr>
      <vt:lpstr>OIS.MarketData</vt:lpstr>
      <vt:lpstr>STDCurve.Buildproperties</vt:lpstr>
      <vt:lpstr>STDCurve.CollectionName</vt:lpstr>
      <vt:lpstr>STDCurve.IndexName</vt:lpstr>
      <vt:lpstr>STDCurve.StaticDataTable</vt:lpstr>
      <vt:lpstr>Swap.Conventions</vt:lpstr>
      <vt:lpstr>Swap.MarketData</vt:lpstr>
      <vt:lpstr>TenorBasisCurve3M6M.BuildProperties</vt:lpstr>
      <vt:lpstr>TenorBasisCurve3M6M.CollectionName</vt:lpstr>
      <vt:lpstr>TenorBasisCurve3M6M.IndexName</vt:lpstr>
      <vt:lpstr>TenorBasisCurve3M6M.StaticDataTable</vt:lpstr>
      <vt:lpstr>TenorBasisSwap3M6M.Conventions</vt:lpstr>
      <vt:lpstr>TenorBasisSwap3M6M.MarketData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2016-03-11T11:47:18Z</dcterms:created>
  <dcterms:modified xsi:type="dcterms:W3CDTF">2016-10-18T10:24:12Z</dcterms:modified>
</cp:coreProperties>
</file>