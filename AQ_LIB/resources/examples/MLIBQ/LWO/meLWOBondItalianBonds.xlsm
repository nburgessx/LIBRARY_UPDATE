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65" windowWidth="16275" windowHeight="7365" activeTab="2"/>
  </bookViews>
  <sheets>
    <sheet name="ItalianType523" sheetId="8" r:id="rId1"/>
    <sheet name="ItalianType527" sheetId="9" r:id="rId2"/>
    <sheet name="ItalianType529" sheetId="10" r:id="rId3"/>
  </sheets>
  <definedNames>
    <definedName name="BondObjectHandle" localSheetId="2">#REF!</definedName>
    <definedName name="BondObjectHandle">#REF!</definedName>
    <definedName name="Periodicity" localSheetId="2">#REF!</definedName>
    <definedName name="Periodicity">#REF!</definedName>
    <definedName name="PricingStartDate" localSheetId="2">#REF!</definedName>
    <definedName name="PricingStartDate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40" i="10" l="1"/>
  <c r="K40" i="10"/>
  <c r="I42" i="10"/>
  <c r="C4" i="10"/>
  <c r="J39" i="9"/>
  <c r="C4" i="9"/>
  <c r="J39" i="8"/>
  <c r="I42" i="8"/>
  <c r="I41" i="8"/>
  <c r="I40" i="8"/>
  <c r="I39" i="8"/>
  <c r="H49" i="8" a="1"/>
  <c r="H49" i="8"/>
  <c r="I49" i="8"/>
  <c r="J49" i="8"/>
  <c r="K49" i="8"/>
  <c r="L49" i="8"/>
  <c r="M49" i="8"/>
  <c r="N49" i="8"/>
  <c r="O49" i="8"/>
  <c r="P49" i="8"/>
  <c r="Q49" i="8"/>
  <c r="R49" i="8"/>
  <c r="S49" i="8"/>
  <c r="H50" i="8"/>
  <c r="I50" i="8"/>
  <c r="J50" i="8"/>
  <c r="K50" i="8"/>
  <c r="L50" i="8"/>
  <c r="M50" i="8"/>
  <c r="N50" i="8"/>
  <c r="O50" i="8"/>
  <c r="P50" i="8"/>
  <c r="Q50" i="8"/>
  <c r="R50" i="8"/>
  <c r="S50" i="8"/>
  <c r="H51" i="8"/>
  <c r="I51" i="8"/>
  <c r="J51" i="8"/>
  <c r="K51" i="8"/>
  <c r="L51" i="8"/>
  <c r="M51" i="8"/>
  <c r="N51" i="8"/>
  <c r="O51" i="8"/>
  <c r="P51" i="8"/>
  <c r="Q51" i="8"/>
  <c r="R51" i="8"/>
  <c r="S51" i="8"/>
  <c r="H52" i="8"/>
  <c r="I52" i="8"/>
  <c r="J52" i="8"/>
  <c r="K52" i="8"/>
  <c r="L52" i="8"/>
  <c r="M52" i="8"/>
  <c r="N52" i="8"/>
  <c r="O52" i="8"/>
  <c r="P52" i="8"/>
  <c r="Q52" i="8"/>
  <c r="R52" i="8"/>
  <c r="S52" i="8"/>
  <c r="H53" i="8"/>
  <c r="I53" i="8"/>
  <c r="J53" i="8"/>
  <c r="K53" i="8"/>
  <c r="L53" i="8"/>
  <c r="M53" i="8"/>
  <c r="N53" i="8"/>
  <c r="O53" i="8"/>
  <c r="P53" i="8"/>
  <c r="Q53" i="8"/>
  <c r="R53" i="8"/>
  <c r="S53" i="8"/>
  <c r="H54" i="8"/>
  <c r="I54" i="8"/>
  <c r="J54" i="8"/>
  <c r="K54" i="8"/>
  <c r="L54" i="8"/>
  <c r="M54" i="8"/>
  <c r="N54" i="8"/>
  <c r="O54" i="8"/>
  <c r="P54" i="8"/>
  <c r="Q54" i="8"/>
  <c r="R54" i="8"/>
  <c r="S54" i="8"/>
  <c r="H55" i="8"/>
  <c r="I55" i="8"/>
  <c r="J55" i="8"/>
  <c r="K55" i="8"/>
  <c r="L55" i="8"/>
  <c r="M55" i="8"/>
  <c r="N55" i="8"/>
  <c r="O55" i="8"/>
  <c r="P55" i="8"/>
  <c r="Q55" i="8"/>
  <c r="R55" i="8"/>
  <c r="S55" i="8"/>
  <c r="H56" i="8"/>
  <c r="I56" i="8"/>
  <c r="J56" i="8"/>
  <c r="K56" i="8"/>
  <c r="L56" i="8"/>
  <c r="M56" i="8"/>
  <c r="N56" i="8"/>
  <c r="O56" i="8"/>
  <c r="P56" i="8"/>
  <c r="Q56" i="8"/>
  <c r="R56" i="8"/>
  <c r="S56" i="8"/>
  <c r="H57" i="8"/>
  <c r="I57" i="8"/>
  <c r="J57" i="8"/>
  <c r="K57" i="8"/>
  <c r="L57" i="8"/>
  <c r="M57" i="8"/>
  <c r="N57" i="8"/>
  <c r="O57" i="8"/>
  <c r="P57" i="8"/>
  <c r="Q57" i="8"/>
  <c r="R57" i="8"/>
  <c r="S57" i="8"/>
  <c r="H58" i="8"/>
  <c r="I58" i="8"/>
  <c r="J58" i="8"/>
  <c r="K58" i="8"/>
  <c r="L58" i="8"/>
  <c r="M58" i="8"/>
  <c r="N58" i="8"/>
  <c r="O58" i="8"/>
  <c r="P58" i="8"/>
  <c r="Q58" i="8"/>
  <c r="R58" i="8"/>
  <c r="S58" i="8"/>
  <c r="H59" i="8"/>
  <c r="I59" i="8"/>
  <c r="J59" i="8"/>
  <c r="K59" i="8"/>
  <c r="L59" i="8"/>
  <c r="M59" i="8"/>
  <c r="N59" i="8"/>
  <c r="O59" i="8"/>
  <c r="P59" i="8"/>
  <c r="Q59" i="8"/>
  <c r="R59" i="8"/>
  <c r="S59" i="8"/>
  <c r="H60" i="8"/>
  <c r="I60" i="8"/>
  <c r="J60" i="8"/>
  <c r="K60" i="8"/>
  <c r="L60" i="8"/>
  <c r="M60" i="8"/>
  <c r="N60" i="8"/>
  <c r="O60" i="8"/>
  <c r="P60" i="8"/>
  <c r="Q60" i="8"/>
  <c r="R60" i="8"/>
  <c r="S60" i="8"/>
  <c r="H61" i="8"/>
  <c r="I61" i="8"/>
  <c r="J61" i="8"/>
  <c r="K61" i="8"/>
  <c r="L61" i="8"/>
  <c r="M61" i="8"/>
  <c r="N61" i="8"/>
  <c r="O61" i="8"/>
  <c r="P61" i="8"/>
  <c r="Q61" i="8"/>
  <c r="R61" i="8"/>
  <c r="S61" i="8"/>
  <c r="I46" i="8"/>
  <c r="C4" i="8"/>
  <c r="E47" i="10" a="1"/>
  <c r="I46" i="10"/>
  <c r="C3" i="10"/>
  <c r="I39" i="10"/>
  <c r="I46" i="9"/>
  <c r="C3" i="9"/>
  <c r="I39" i="9" s="1"/>
  <c r="H49" i="9" a="1"/>
  <c r="I40" i="9"/>
  <c r="B38" i="9" a="1"/>
  <c r="E47" i="9" a="1"/>
  <c r="E44" i="9"/>
  <c r="C3" i="8"/>
  <c r="B38" i="8" a="1"/>
  <c r="I42" i="9"/>
  <c r="I41" i="9"/>
  <c r="E44" i="10"/>
  <c r="I41" i="10"/>
  <c r="H49" i="10" a="1"/>
  <c r="B38" i="10" a="1"/>
  <c r="C65" i="10" l="1"/>
  <c r="C61" i="10"/>
  <c r="C57" i="10"/>
  <c r="C53" i="10"/>
  <c r="C49" i="10"/>
  <c r="C45" i="10"/>
  <c r="C41" i="10"/>
  <c r="C63" i="10"/>
  <c r="C59" i="10"/>
  <c r="C55" i="10"/>
  <c r="C51" i="10"/>
  <c r="C47" i="10"/>
  <c r="C43" i="10"/>
  <c r="C39" i="10"/>
  <c r="B63" i="10"/>
  <c r="B59" i="10"/>
  <c r="B55" i="10"/>
  <c r="B51" i="10"/>
  <c r="B47" i="10"/>
  <c r="B43" i="10"/>
  <c r="B39" i="10"/>
  <c r="C62" i="10"/>
  <c r="C58" i="10"/>
  <c r="C54" i="10"/>
  <c r="C50" i="10"/>
  <c r="B64" i="10"/>
  <c r="B56" i="10"/>
  <c r="B48" i="10"/>
  <c r="B41" i="10"/>
  <c r="B62" i="10"/>
  <c r="B54" i="10"/>
  <c r="C46" i="10"/>
  <c r="C40" i="10"/>
  <c r="B61" i="10"/>
  <c r="B53" i="10"/>
  <c r="B46" i="10"/>
  <c r="B40" i="10"/>
  <c r="C52" i="10"/>
  <c r="B45" i="10"/>
  <c r="C38" i="10"/>
  <c r="B60" i="10"/>
  <c r="C44" i="10"/>
  <c r="B58" i="10"/>
  <c r="B50" i="10"/>
  <c r="B44" i="10"/>
  <c r="B65" i="10"/>
  <c r="B49" i="10"/>
  <c r="C60" i="10"/>
  <c r="B52" i="10"/>
  <c r="B38" i="10"/>
  <c r="B57" i="10"/>
  <c r="C42" i="10"/>
  <c r="C64" i="10"/>
  <c r="C56" i="10"/>
  <c r="C48" i="10"/>
  <c r="B42" i="10"/>
  <c r="S61" i="10"/>
  <c r="K61" i="10"/>
  <c r="O60" i="10"/>
  <c r="S59" i="10"/>
  <c r="K59" i="10"/>
  <c r="O58" i="10"/>
  <c r="S57" i="10"/>
  <c r="K57" i="10"/>
  <c r="O56" i="10"/>
  <c r="S55" i="10"/>
  <c r="K55" i="10"/>
  <c r="O54" i="10"/>
  <c r="S53" i="10"/>
  <c r="K53" i="10"/>
  <c r="O52" i="10"/>
  <c r="S51" i="10"/>
  <c r="K51" i="10"/>
  <c r="O50" i="10"/>
  <c r="S49" i="10"/>
  <c r="K49" i="10"/>
  <c r="R61" i="10"/>
  <c r="J61" i="10"/>
  <c r="N60" i="10"/>
  <c r="R59" i="10"/>
  <c r="J59" i="10"/>
  <c r="N58" i="10"/>
  <c r="R57" i="10"/>
  <c r="J57" i="10"/>
  <c r="N56" i="10"/>
  <c r="R55" i="10"/>
  <c r="J55" i="10"/>
  <c r="N54" i="10"/>
  <c r="R53" i="10"/>
  <c r="J53" i="10"/>
  <c r="N52" i="10"/>
  <c r="R51" i="10"/>
  <c r="J51" i="10"/>
  <c r="N50" i="10"/>
  <c r="R49" i="10"/>
  <c r="J49" i="10"/>
  <c r="O61" i="10"/>
  <c r="S60" i="10"/>
  <c r="K60" i="10"/>
  <c r="O59" i="10"/>
  <c r="S58" i="10"/>
  <c r="K58" i="10"/>
  <c r="O57" i="10"/>
  <c r="S56" i="10"/>
  <c r="K56" i="10"/>
  <c r="O55" i="10"/>
  <c r="S54" i="10"/>
  <c r="K54" i="10"/>
  <c r="O53" i="10"/>
  <c r="S52" i="10"/>
  <c r="K52" i="10"/>
  <c r="O51" i="10"/>
  <c r="S50" i="10"/>
  <c r="K50" i="10"/>
  <c r="O49" i="10"/>
  <c r="N61" i="10"/>
  <c r="R60" i="10"/>
  <c r="J60" i="10"/>
  <c r="N59" i="10"/>
  <c r="R58" i="10"/>
  <c r="J58" i="10"/>
  <c r="N57" i="10"/>
  <c r="R56" i="10"/>
  <c r="J56" i="10"/>
  <c r="N55" i="10"/>
  <c r="R54" i="10"/>
  <c r="J54" i="10"/>
  <c r="N53" i="10"/>
  <c r="R52" i="10"/>
  <c r="J52" i="10"/>
  <c r="N51" i="10"/>
  <c r="R50" i="10"/>
  <c r="J50" i="10"/>
  <c r="N49" i="10"/>
  <c r="M61" i="10"/>
  <c r="Q60" i="10"/>
  <c r="I60" i="10"/>
  <c r="M59" i="10"/>
  <c r="Q58" i="10"/>
  <c r="I58" i="10"/>
  <c r="M57" i="10"/>
  <c r="Q56" i="10"/>
  <c r="I56" i="10"/>
  <c r="M55" i="10"/>
  <c r="Q54" i="10"/>
  <c r="I54" i="10"/>
  <c r="M53" i="10"/>
  <c r="Q52" i="10"/>
  <c r="I52" i="10"/>
  <c r="M51" i="10"/>
  <c r="Q50" i="10"/>
  <c r="I50" i="10"/>
  <c r="M49" i="10"/>
  <c r="Q61" i="10"/>
  <c r="H60" i="10"/>
  <c r="L58" i="10"/>
  <c r="M56" i="10"/>
  <c r="P54" i="10"/>
  <c r="H53" i="10"/>
  <c r="I51" i="10"/>
  <c r="L49" i="10"/>
  <c r="P61" i="10"/>
  <c r="Q59" i="10"/>
  <c r="H58" i="10"/>
  <c r="L56" i="10"/>
  <c r="M54" i="10"/>
  <c r="P52" i="10"/>
  <c r="H51" i="10"/>
  <c r="I49" i="10"/>
  <c r="L61" i="10"/>
  <c r="P59" i="10"/>
  <c r="Q57" i="10"/>
  <c r="H56" i="10"/>
  <c r="L54" i="10"/>
  <c r="M52" i="10"/>
  <c r="P50" i="10"/>
  <c r="H49" i="10"/>
  <c r="I61" i="10"/>
  <c r="L59" i="10"/>
  <c r="P57" i="10"/>
  <c r="Q55" i="10"/>
  <c r="H54" i="10"/>
  <c r="L52" i="10"/>
  <c r="M50" i="10"/>
  <c r="H61" i="10"/>
  <c r="L57" i="10"/>
  <c r="P55" i="10"/>
  <c r="H52" i="10"/>
  <c r="H59" i="10"/>
  <c r="L55" i="10"/>
  <c r="Q51" i="10"/>
  <c r="P58" i="10"/>
  <c r="Q49" i="10"/>
  <c r="I59" i="10"/>
  <c r="Q53" i="10"/>
  <c r="L50" i="10"/>
  <c r="P60" i="10"/>
  <c r="I57" i="10"/>
  <c r="P53" i="10"/>
  <c r="H50" i="10"/>
  <c r="M60" i="10"/>
  <c r="H57" i="10"/>
  <c r="I55" i="10"/>
  <c r="L53" i="10"/>
  <c r="P51" i="10"/>
  <c r="L60" i="10"/>
  <c r="M58" i="10"/>
  <c r="P56" i="10"/>
  <c r="H55" i="10"/>
  <c r="I53" i="10"/>
  <c r="L51" i="10"/>
  <c r="P49" i="10"/>
  <c r="E62" i="10"/>
  <c r="E54" i="10"/>
  <c r="E61" i="10"/>
  <c r="E53" i="10"/>
  <c r="E58" i="10"/>
  <c r="E50" i="10"/>
  <c r="E65" i="10"/>
  <c r="E57" i="10"/>
  <c r="E49" i="10"/>
  <c r="E64" i="10"/>
  <c r="E56" i="10"/>
  <c r="E48" i="10"/>
  <c r="E51" i="10"/>
  <c r="E47" i="10"/>
  <c r="E63" i="10"/>
  <c r="E60" i="10"/>
  <c r="E59" i="10"/>
  <c r="E52" i="10"/>
  <c r="E55" i="10"/>
  <c r="E61" i="9"/>
  <c r="E53" i="9"/>
  <c r="E58" i="9"/>
  <c r="E50" i="9"/>
  <c r="E65" i="9"/>
  <c r="E57" i="9"/>
  <c r="E49" i="9"/>
  <c r="E54" i="9"/>
  <c r="E64" i="9"/>
  <c r="E56" i="9"/>
  <c r="E48" i="9"/>
  <c r="E63" i="9"/>
  <c r="E55" i="9"/>
  <c r="E47" i="9"/>
  <c r="E62" i="9"/>
  <c r="E52" i="9"/>
  <c r="E51" i="9"/>
  <c r="E60" i="9"/>
  <c r="E59" i="9"/>
  <c r="B65" i="9"/>
  <c r="B61" i="9"/>
  <c r="B57" i="9"/>
  <c r="B53" i="9"/>
  <c r="B49" i="9"/>
  <c r="B45" i="9"/>
  <c r="B41" i="9"/>
  <c r="C63" i="9"/>
  <c r="C59" i="9"/>
  <c r="C55" i="9"/>
  <c r="C51" i="9"/>
  <c r="C47" i="9"/>
  <c r="C43" i="9"/>
  <c r="C39" i="9"/>
  <c r="B63" i="9"/>
  <c r="B59" i="9"/>
  <c r="B55" i="9"/>
  <c r="B51" i="9"/>
  <c r="B47" i="9"/>
  <c r="B43" i="9"/>
  <c r="B39" i="9"/>
  <c r="B50" i="9"/>
  <c r="C65" i="9"/>
  <c r="C61" i="9"/>
  <c r="C57" i="9"/>
  <c r="C53" i="9"/>
  <c r="C49" i="9"/>
  <c r="C45" i="9"/>
  <c r="C41" i="9"/>
  <c r="C62" i="9"/>
  <c r="C58" i="9"/>
  <c r="C54" i="9"/>
  <c r="C50" i="9"/>
  <c r="C46" i="9"/>
  <c r="C42" i="9"/>
  <c r="C38" i="9"/>
  <c r="B62" i="9"/>
  <c r="B58" i="9"/>
  <c r="B54" i="9"/>
  <c r="B46" i="9"/>
  <c r="B42" i="9"/>
  <c r="B38" i="9"/>
  <c r="B60" i="9"/>
  <c r="B44" i="9"/>
  <c r="C56" i="9"/>
  <c r="C40" i="9"/>
  <c r="B56" i="9"/>
  <c r="B40" i="9"/>
  <c r="C64" i="9"/>
  <c r="C48" i="9"/>
  <c r="B64" i="9"/>
  <c r="B48" i="9"/>
  <c r="C60" i="9"/>
  <c r="C44" i="9"/>
  <c r="C52" i="9"/>
  <c r="B52" i="9"/>
  <c r="R61" i="9"/>
  <c r="J61" i="9"/>
  <c r="N60" i="9"/>
  <c r="R59" i="9"/>
  <c r="J59" i="9"/>
  <c r="N58" i="9"/>
  <c r="R57" i="9"/>
  <c r="J57" i="9"/>
  <c r="N56" i="9"/>
  <c r="R55" i="9"/>
  <c r="J55" i="9"/>
  <c r="N54" i="9"/>
  <c r="R53" i="9"/>
  <c r="J53" i="9"/>
  <c r="N52" i="9"/>
  <c r="R51" i="9"/>
  <c r="J51" i="9"/>
  <c r="N50" i="9"/>
  <c r="R49" i="9"/>
  <c r="J49" i="9"/>
  <c r="O61" i="9"/>
  <c r="S60" i="9"/>
  <c r="K60" i="9"/>
  <c r="O59" i="9"/>
  <c r="S58" i="9"/>
  <c r="K58" i="9"/>
  <c r="O57" i="9"/>
  <c r="S56" i="9"/>
  <c r="K56" i="9"/>
  <c r="O55" i="9"/>
  <c r="S54" i="9"/>
  <c r="K54" i="9"/>
  <c r="O53" i="9"/>
  <c r="S52" i="9"/>
  <c r="K52" i="9"/>
  <c r="O51" i="9"/>
  <c r="S50" i="9"/>
  <c r="K50" i="9"/>
  <c r="O49" i="9"/>
  <c r="N61" i="9"/>
  <c r="R60" i="9"/>
  <c r="J60" i="9"/>
  <c r="N59" i="9"/>
  <c r="R58" i="9"/>
  <c r="J58" i="9"/>
  <c r="N57" i="9"/>
  <c r="R56" i="9"/>
  <c r="J56" i="9"/>
  <c r="N55" i="9"/>
  <c r="R54" i="9"/>
  <c r="J54" i="9"/>
  <c r="N53" i="9"/>
  <c r="R52" i="9"/>
  <c r="J52" i="9"/>
  <c r="N51" i="9"/>
  <c r="R50" i="9"/>
  <c r="J50" i="9"/>
  <c r="N49" i="9"/>
  <c r="S61" i="9"/>
  <c r="O60" i="9"/>
  <c r="S59" i="9"/>
  <c r="O58" i="9"/>
  <c r="K57" i="9"/>
  <c r="S55" i="9"/>
  <c r="O54" i="9"/>
  <c r="K53" i="9"/>
  <c r="S51" i="9"/>
  <c r="O50" i="9"/>
  <c r="K49" i="9"/>
  <c r="I61" i="9"/>
  <c r="I59" i="9"/>
  <c r="Q57" i="9"/>
  <c r="M56" i="9"/>
  <c r="I55" i="9"/>
  <c r="M61" i="9"/>
  <c r="Q60" i="9"/>
  <c r="I60" i="9"/>
  <c r="M59" i="9"/>
  <c r="Q58" i="9"/>
  <c r="I58" i="9"/>
  <c r="M57" i="9"/>
  <c r="Q56" i="9"/>
  <c r="I56" i="9"/>
  <c r="M55" i="9"/>
  <c r="Q54" i="9"/>
  <c r="I54" i="9"/>
  <c r="M53" i="9"/>
  <c r="Q52" i="9"/>
  <c r="I52" i="9"/>
  <c r="M51" i="9"/>
  <c r="Q50" i="9"/>
  <c r="I50" i="9"/>
  <c r="M49" i="9"/>
  <c r="L61" i="9"/>
  <c r="P60" i="9"/>
  <c r="H60" i="9"/>
  <c r="L59" i="9"/>
  <c r="P58" i="9"/>
  <c r="H58" i="9"/>
  <c r="L57" i="9"/>
  <c r="P56" i="9"/>
  <c r="H56" i="9"/>
  <c r="L55" i="9"/>
  <c r="P54" i="9"/>
  <c r="H54" i="9"/>
  <c r="L53" i="9"/>
  <c r="P52" i="9"/>
  <c r="H52" i="9"/>
  <c r="L51" i="9"/>
  <c r="P50" i="9"/>
  <c r="H50" i="9"/>
  <c r="L49" i="9"/>
  <c r="K61" i="9"/>
  <c r="K59" i="9"/>
  <c r="S57" i="9"/>
  <c r="O56" i="9"/>
  <c r="K55" i="9"/>
  <c r="S53" i="9"/>
  <c r="O52" i="9"/>
  <c r="K51" i="9"/>
  <c r="S49" i="9"/>
  <c r="Q61" i="9"/>
  <c r="Q59" i="9"/>
  <c r="M58" i="9"/>
  <c r="I57" i="9"/>
  <c r="Q55" i="9"/>
  <c r="M54" i="9"/>
  <c r="P57" i="9"/>
  <c r="I53" i="9"/>
  <c r="M50" i="9"/>
  <c r="P61" i="9"/>
  <c r="H57" i="9"/>
  <c r="H53" i="9"/>
  <c r="L50" i="9"/>
  <c r="H61" i="9"/>
  <c r="L56" i="9"/>
  <c r="M52" i="9"/>
  <c r="Q49" i="9"/>
  <c r="M60" i="9"/>
  <c r="L52" i="9"/>
  <c r="P49" i="9"/>
  <c r="H55" i="9"/>
  <c r="P59" i="9"/>
  <c r="L54" i="9"/>
  <c r="P51" i="9"/>
  <c r="H49" i="9"/>
  <c r="H59" i="9"/>
  <c r="Q53" i="9"/>
  <c r="I51" i="9"/>
  <c r="L58" i="9"/>
  <c r="P53" i="9"/>
  <c r="H51" i="9"/>
  <c r="P55" i="9"/>
  <c r="L60" i="9"/>
  <c r="Q51" i="9"/>
  <c r="I49" i="9"/>
  <c r="B38" i="8"/>
  <c r="B42" i="8"/>
  <c r="B46" i="8"/>
  <c r="B50" i="8"/>
  <c r="B54" i="8"/>
  <c r="B58" i="8"/>
  <c r="B62" i="8"/>
  <c r="C38" i="8"/>
  <c r="C42" i="8"/>
  <c r="C46" i="8"/>
  <c r="C50" i="8"/>
  <c r="C54" i="8"/>
  <c r="C58" i="8"/>
  <c r="C62" i="8"/>
  <c r="B43" i="8"/>
  <c r="B47" i="8"/>
  <c r="B51" i="8"/>
  <c r="B55" i="8"/>
  <c r="B59" i="8"/>
  <c r="B63" i="8"/>
  <c r="C39" i="8"/>
  <c r="C43" i="8"/>
  <c r="C47" i="8"/>
  <c r="C51" i="8"/>
  <c r="C55" i="8"/>
  <c r="C59" i="8"/>
  <c r="C63" i="8"/>
  <c r="B40" i="8"/>
  <c r="B44" i="8"/>
  <c r="B48" i="8"/>
  <c r="B52" i="8"/>
  <c r="B56" i="8"/>
  <c r="B60" i="8"/>
  <c r="B64" i="8"/>
  <c r="C40" i="8"/>
  <c r="C44" i="8"/>
  <c r="C48" i="8"/>
  <c r="C52" i="8"/>
  <c r="C56" i="8"/>
  <c r="C60" i="8"/>
  <c r="C64" i="8"/>
  <c r="B41" i="8"/>
  <c r="B45" i="8"/>
  <c r="B49" i="8"/>
  <c r="B53" i="8"/>
  <c r="B57" i="8"/>
  <c r="B61" i="8"/>
  <c r="B65" i="8"/>
  <c r="C41" i="8"/>
  <c r="C45" i="8"/>
  <c r="C49" i="8"/>
  <c r="C53" i="8"/>
  <c r="C57" i="8"/>
  <c r="C61" i="8"/>
  <c r="C65" i="8"/>
  <c r="B39" i="8"/>
  <c r="E44" i="8"/>
  <c r="E47" i="8" a="1"/>
  <c r="E65" i="8" l="1"/>
  <c r="E57" i="8"/>
  <c r="E49" i="8"/>
  <c r="E63" i="8"/>
  <c r="E54" i="8"/>
  <c r="E52" i="8"/>
  <c r="E62" i="8"/>
  <c r="E53" i="8"/>
  <c r="E61" i="8"/>
  <c r="E58" i="8"/>
  <c r="E48" i="8"/>
  <c r="E47" i="8"/>
  <c r="E64" i="8"/>
  <c r="E60" i="8"/>
  <c r="E59" i="8"/>
  <c r="E55" i="8"/>
  <c r="E51" i="8"/>
  <c r="E56" i="8"/>
  <c r="E50" i="8"/>
</calcChain>
</file>

<file path=xl/sharedStrings.xml><?xml version="1.0" encoding="utf-8"?>
<sst xmlns="http://schemas.openxmlformats.org/spreadsheetml/2006/main" count="290" uniqueCount="72">
  <si>
    <t>PayReceive</t>
  </si>
  <si>
    <t>MaturityDate</t>
  </si>
  <si>
    <t>Frequency</t>
  </si>
  <si>
    <t>MOD_FOLLOWING</t>
  </si>
  <si>
    <t>DayCount</t>
  </si>
  <si>
    <t>AccrualBusinessDayAdjustment</t>
  </si>
  <si>
    <t>AccrualCalendar</t>
  </si>
  <si>
    <t>PaymentBusinessDayAdjustment</t>
  </si>
  <si>
    <t>PaymentCalendar</t>
  </si>
  <si>
    <t>PaymentLag</t>
  </si>
  <si>
    <t>ISIN</t>
  </si>
  <si>
    <t>BondLVB</t>
  </si>
  <si>
    <t>Semi-Annual</t>
  </si>
  <si>
    <t>0D</t>
  </si>
  <si>
    <t>meLWOBondCreate</t>
  </si>
  <si>
    <t>BondType</t>
  </si>
  <si>
    <t>FIXED</t>
  </si>
  <si>
    <t xml:space="preserve"> </t>
  </si>
  <si>
    <t>CalculationType</t>
  </si>
  <si>
    <t>Currency</t>
  </si>
  <si>
    <t>YieldType</t>
  </si>
  <si>
    <t>ScheduleLVB</t>
  </si>
  <si>
    <t>YIELD-TO-MATURITY</t>
  </si>
  <si>
    <t>IsCleanPrice</t>
  </si>
  <si>
    <t>Coupon</t>
  </si>
  <si>
    <t>BondDescription</t>
  </si>
  <si>
    <t>FaceValue</t>
  </si>
  <si>
    <t>IssueDate</t>
  </si>
  <si>
    <t>FirstCouponDate</t>
  </si>
  <si>
    <t>HandleName</t>
  </si>
  <si>
    <t>LastCouponDate</t>
  </si>
  <si>
    <t>LWO Save</t>
  </si>
  <si>
    <t>LWO Load</t>
  </si>
  <si>
    <t>LWO Display</t>
  </si>
  <si>
    <t>LWO Exists</t>
  </si>
  <si>
    <t>LWO List</t>
  </si>
  <si>
    <t>RECEIVE</t>
  </si>
  <si>
    <t>LWO Display Cashflows</t>
  </si>
  <si>
    <t>NotionalExchange</t>
  </si>
  <si>
    <t>START_AND_END</t>
  </si>
  <si>
    <t>SettlementDate</t>
  </si>
  <si>
    <t>QUOTE_IN_32NDS</t>
  </si>
  <si>
    <t>BondQuoteConvention</t>
  </si>
  <si>
    <t>Dirty Price</t>
  </si>
  <si>
    <t>Accrued Days</t>
  </si>
  <si>
    <t>Accrued Interest</t>
  </si>
  <si>
    <t>Clean Price</t>
  </si>
  <si>
    <t>BB</t>
  </si>
  <si>
    <t>NO_CHANGE</t>
  </si>
  <si>
    <t>=meLWOSave(C3,"BOND","C:\Temp\Bond")</t>
  </si>
  <si>
    <t>=meLWOLoad("C:\Temp\Bond.json")</t>
  </si>
  <si>
    <t>ACT/ACT</t>
  </si>
  <si>
    <t>ACT/360</t>
  </si>
  <si>
    <t>ACT/365</t>
  </si>
  <si>
    <t>EK3526614 Govt</t>
  </si>
  <si>
    <t>IT0005030504</t>
  </si>
  <si>
    <t>EUR</t>
  </si>
  <si>
    <t>TGT</t>
  </si>
  <si>
    <t>YieldFrequency</t>
  </si>
  <si>
    <t>Annual</t>
  </si>
  <si>
    <t>TaxRate</t>
  </si>
  <si>
    <t>TYPE523</t>
  </si>
  <si>
    <t>IssuePrice</t>
  </si>
  <si>
    <t>AccrualStartDate</t>
  </si>
  <si>
    <t xml:space="preserve">MLIB </t>
  </si>
  <si>
    <t>AN1045482 Govt</t>
  </si>
  <si>
    <t>IT0005248395</t>
  </si>
  <si>
    <t>TYPE527</t>
  </si>
  <si>
    <t>AL4007319 Govt</t>
  </si>
  <si>
    <t>IT0005221285</t>
  </si>
  <si>
    <t>TYPE529</t>
  </si>
  <si>
    <t>Quoted Bond Yield (True Yield)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</si>
</sst>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1" formatCode="_-* #,##0_-;\-* #,##0_-;_-* &quot;-&quot;_-;_-@_-"/>
    <numFmt numFmtId="43" formatCode="_-* #,##0.00_-;\-* #,##0.00_-;_-* &quot;-&quot;??_-;_-@_-"/>
    <numFmt numFmtId="164" formatCode="ddd\,\ d\-mmm\-yy"/>
    <numFmt numFmtId="165" formatCode="#,##0.0000"/>
    <numFmt numFmtId="166" formatCode="0.000000%"/>
    <numFmt numFmtId="167" formatCode="#,##0.000000"/>
    <numFmt numFmtId="168" formatCode="0.000000"/>
    <numFmt numFmtId="169" formatCode="#,##0.00000000000"/>
    <numFmt numFmtId="170" formatCode="0.00000000"/>
    <numFmt numFmtId="171" formatCode="0.0000000000000"/>
    <numFmt numFmtId="172" formatCode="0.00000000000000"/>
    <numFmt numFmtId="173" formatCode="0.000000000000000"/>
    <numFmt numFmtId="179" formatCode="0.000%"/>
    <numFmt numFmtId="180" formatCode="_(&quot;$&quot;* #,##0_);_(&quot;$&quot;* \(#,##0\);_(&quot;$&quot;* &quot;-&quot;_);_(@_)"/>
    <numFmt numFmtId="181" formatCode="_(&quot;$&quot;* #,##0.00_);_(&quot;$&quot;* \(#,##0.00\);_(&quot;$&quot;* &quot;-&quot;??_);_(@_)"/>
    <numFmt numFmtId="182" formatCode="dd/m/yy"/>
    <numFmt numFmtId="183" formatCode="dd\-mmm\-yy;dd\-mmm\-yy;"/>
    <numFmt numFmtId="184" formatCode="_ * #,##0_ ;_ * \-#,##0_ ;_ * &quot;-&quot;_ ;_ @_ "/>
    <numFmt numFmtId="185" formatCode="_(* #,##0.00_);_(* \(#,##0.00\);_(* &quot;-&quot;??_);_(@_)"/>
    <numFmt numFmtId="189" formatCode="0.0000000%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Times New Roman"/>
      <family val="1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b/>
      <sz val="11"/>
      <color indexed="9"/>
      <name val="Calibri"/>
      <family val="2"/>
    </font>
  </fonts>
  <fills count="6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rgb="FF4F81BD"/>
        <bgColor indexed="64"/>
      </patternFill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110">
    <xf numFmtId="0" fontId="0" fillId="0" borderId="0"/>
    <xf numFmtId="0" fontId="6" fillId="0" borderId="0" applyNumberFormat="0" applyFill="0" applyBorder="0" applyAlignment="0" applyProtection="0"/>
    <xf numFmtId="0" fontId="7" fillId="0" borderId="12" applyNumberFormat="0" applyFill="0" applyAlignment="0" applyProtection="0"/>
    <xf numFmtId="0" fontId="8" fillId="0" borderId="13" applyNumberFormat="0" applyFill="0" applyAlignment="0" applyProtection="0"/>
    <xf numFmtId="0" fontId="9" fillId="0" borderId="14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15" applyNumberFormat="0" applyAlignment="0" applyProtection="0"/>
    <xf numFmtId="0" fontId="14" fillId="9" borderId="16" applyNumberFormat="0" applyAlignment="0" applyProtection="0"/>
    <xf numFmtId="0" fontId="15" fillId="9" borderId="15" applyNumberFormat="0" applyAlignment="0" applyProtection="0"/>
    <xf numFmtId="0" fontId="16" fillId="0" borderId="17" applyNumberFormat="0" applyFill="0" applyAlignment="0" applyProtection="0"/>
    <xf numFmtId="0" fontId="17" fillId="10" borderId="18" applyNumberFormat="0" applyAlignment="0" applyProtection="0"/>
    <xf numFmtId="0" fontId="18" fillId="0" borderId="0" applyNumberFormat="0" applyFill="0" applyBorder="0" applyAlignment="0" applyProtection="0"/>
    <xf numFmtId="0" fontId="4" fillId="11" borderId="19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20" applyNumberFormat="0" applyFill="0" applyAlignment="0" applyProtection="0"/>
    <xf numFmtId="0" fontId="20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20" fillId="35" borderId="0" applyNumberFormat="0" applyBorder="0" applyAlignment="0" applyProtection="0"/>
    <xf numFmtId="0" fontId="21" fillId="0" borderId="0"/>
    <xf numFmtId="0" fontId="27" fillId="39" borderId="0" applyNumberFormat="0" applyFont="0" applyBorder="0" applyAlignment="0" applyProtection="0"/>
    <xf numFmtId="0" fontId="25" fillId="0" borderId="0">
      <alignment vertical="center"/>
    </xf>
    <xf numFmtId="43" fontId="22" fillId="0" borderId="0" applyFont="0" applyFill="0" applyBorder="0" applyAlignment="0" applyProtection="0"/>
    <xf numFmtId="0" fontId="28" fillId="0" borderId="0">
      <alignment vertical="center"/>
    </xf>
    <xf numFmtId="41" fontId="22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0" fontId="24" fillId="37" borderId="22" applyNumberFormat="0" applyFont="0" applyBorder="0" applyAlignment="0">
      <alignment horizontal="centerContinuous"/>
    </xf>
    <xf numFmtId="0" fontId="26" fillId="0" borderId="0">
      <alignment vertical="center"/>
    </xf>
    <xf numFmtId="9" fontId="22" fillId="0" borderId="0" applyFont="0" applyFill="0" applyBorder="0" applyAlignment="0" applyProtection="0"/>
    <xf numFmtId="0" fontId="23" fillId="36" borderId="21" applyNumberFormat="0" applyFont="0" applyBorder="0" applyAlignment="0" applyProtection="0">
      <alignment horizontal="centerContinuous"/>
    </xf>
    <xf numFmtId="38" fontId="26" fillId="0" borderId="0" applyFont="0" applyFill="0" applyBorder="0" applyAlignment="0" applyProtection="0">
      <alignment vertical="center"/>
    </xf>
    <xf numFmtId="18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6" fillId="0" borderId="0">
      <alignment vertical="center"/>
    </xf>
    <xf numFmtId="180" fontId="22" fillId="0" borderId="0" applyFont="0" applyFill="0" applyBorder="0" applyAlignment="0" applyProtection="0"/>
    <xf numFmtId="0" fontId="22" fillId="0" borderId="0"/>
    <xf numFmtId="179" fontId="29" fillId="40" borderId="0"/>
    <xf numFmtId="0" fontId="30" fillId="41" borderId="0" applyNumberFormat="0" applyBorder="0" applyAlignment="0">
      <alignment horizontal="center"/>
    </xf>
    <xf numFmtId="0" fontId="31" fillId="42" borderId="26">
      <alignment horizontal="center"/>
      <protection locked="0"/>
    </xf>
    <xf numFmtId="0" fontId="32" fillId="43" borderId="0" applyNumberFormat="0" applyFont="0" applyBorder="0" applyAlignment="0" applyProtection="0"/>
    <xf numFmtId="2" fontId="22" fillId="44" borderId="24" applyNumberFormat="0" applyBorder="0">
      <alignment horizontal="right" vertical="center"/>
    </xf>
    <xf numFmtId="2" fontId="33" fillId="45" borderId="27" applyBorder="0">
      <alignment horizontal="left" vertical="center"/>
    </xf>
    <xf numFmtId="10" fontId="34" fillId="38" borderId="0" applyBorder="0">
      <alignment horizontal="right"/>
      <protection locked="0"/>
    </xf>
    <xf numFmtId="15" fontId="34" fillId="38" borderId="23" applyBorder="0">
      <alignment horizontal="center"/>
      <protection locked="0"/>
    </xf>
    <xf numFmtId="15" fontId="34" fillId="38" borderId="0" applyBorder="0">
      <alignment horizontal="left"/>
      <protection locked="0"/>
    </xf>
    <xf numFmtId="2" fontId="35" fillId="46" borderId="27" applyNumberFormat="0">
      <alignment horizontal="center" vertical="center"/>
    </xf>
    <xf numFmtId="182" fontId="36" fillId="47" borderId="22" applyBorder="0">
      <alignment horizontal="left"/>
      <protection locked="0"/>
    </xf>
    <xf numFmtId="182" fontId="36" fillId="47" borderId="28" applyBorder="0">
      <alignment horizontal="right"/>
      <protection locked="0"/>
    </xf>
    <xf numFmtId="180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37" fillId="48" borderId="0" applyNumberFormat="0" applyFont="0" applyBorder="0" applyAlignment="0" applyProtection="0"/>
    <xf numFmtId="0" fontId="37" fillId="49" borderId="0" applyNumberFormat="0" applyFont="0" applyBorder="0" applyAlignment="0" applyProtection="0"/>
    <xf numFmtId="0" fontId="37" fillId="50" borderId="0" applyNumberFormat="0" applyFont="0" applyBorder="0" applyAlignment="0" applyProtection="0">
      <alignment horizontal="center"/>
    </xf>
    <xf numFmtId="0" fontId="37" fillId="51" borderId="29" applyNumberFormat="0" applyFont="0" applyBorder="0" applyAlignment="0" applyProtection="0"/>
    <xf numFmtId="0" fontId="37" fillId="52" borderId="29" applyNumberFormat="0" applyFont="0" applyBorder="0" applyAlignment="0"/>
    <xf numFmtId="0" fontId="37" fillId="53" borderId="29" applyNumberFormat="0" applyFont="0" applyBorder="0" applyAlignment="0"/>
    <xf numFmtId="0" fontId="27" fillId="54" borderId="0" applyNumberFormat="0" applyFont="0" applyBorder="0" applyAlignment="0" applyProtection="0">
      <alignment horizontal="center"/>
      <protection hidden="1"/>
    </xf>
    <xf numFmtId="0" fontId="22" fillId="39" borderId="0" applyNumberFormat="0" applyFont="0" applyBorder="0" applyAlignment="0" applyProtection="0">
      <protection hidden="1"/>
    </xf>
    <xf numFmtId="0" fontId="22" fillId="55" borderId="0" applyNumberFormat="0" applyFont="0" applyBorder="0" applyAlignment="0" applyProtection="0">
      <protection hidden="1"/>
    </xf>
    <xf numFmtId="0" fontId="22" fillId="56" borderId="0" applyNumberFormat="0" applyFont="0" applyBorder="0" applyAlignment="0" applyProtection="0">
      <protection hidden="1"/>
    </xf>
    <xf numFmtId="0" fontId="22" fillId="57" borderId="0" applyNumberFormat="0" applyFont="0" applyBorder="0" applyAlignment="0" applyProtection="0">
      <protection hidden="1"/>
    </xf>
    <xf numFmtId="0" fontId="22" fillId="58" borderId="0" applyNumberFormat="0" applyFont="0" applyBorder="0" applyAlignment="0" applyProtection="0">
      <protection hidden="1"/>
    </xf>
    <xf numFmtId="0" fontId="22" fillId="59" borderId="0" applyNumberFormat="0" applyFont="0" applyBorder="0" applyAlignment="0" applyProtection="0">
      <protection hidden="1"/>
    </xf>
    <xf numFmtId="183" fontId="38" fillId="0" borderId="25" applyBorder="0">
      <alignment horizontal="center"/>
      <protection locked="0"/>
    </xf>
    <xf numFmtId="0" fontId="22" fillId="0" borderId="0">
      <alignment horizontal="left" wrapText="1"/>
    </xf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84" fontId="22" fillId="0" borderId="0" applyFont="0" applyFill="0" applyBorder="0" applyAlignment="0" applyProtection="0"/>
    <xf numFmtId="0" fontId="26" fillId="0" borderId="0">
      <alignment vertical="center"/>
    </xf>
    <xf numFmtId="0" fontId="39" fillId="0" borderId="0">
      <alignment vertical="center"/>
    </xf>
    <xf numFmtId="0" fontId="25" fillId="0" borderId="0">
      <alignment vertical="center"/>
    </xf>
    <xf numFmtId="38" fontId="25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  <xf numFmtId="0" fontId="40" fillId="60" borderId="0"/>
    <xf numFmtId="185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/>
    <xf numFmtId="2" fontId="21" fillId="44" borderId="24" applyNumberFormat="0" applyBorder="0">
      <alignment horizontal="right" vertical="center"/>
    </xf>
    <xf numFmtId="0" fontId="21" fillId="39" borderId="0" applyNumberFormat="0" applyFont="0" applyBorder="0" applyAlignment="0" applyProtection="0">
      <protection hidden="1"/>
    </xf>
    <xf numFmtId="0" fontId="21" fillId="55" borderId="0" applyNumberFormat="0" applyFont="0" applyBorder="0" applyAlignment="0" applyProtection="0">
      <protection hidden="1"/>
    </xf>
    <xf numFmtId="0" fontId="21" fillId="56" borderId="0" applyNumberFormat="0" applyFont="0" applyBorder="0" applyAlignment="0" applyProtection="0">
      <protection hidden="1"/>
    </xf>
    <xf numFmtId="0" fontId="21" fillId="57" borderId="0" applyNumberFormat="0" applyFont="0" applyBorder="0" applyAlignment="0" applyProtection="0">
      <protection hidden="1"/>
    </xf>
    <xf numFmtId="0" fontId="21" fillId="58" borderId="0" applyNumberFormat="0" applyFont="0" applyBorder="0" applyAlignment="0" applyProtection="0">
      <protection hidden="1"/>
    </xf>
    <xf numFmtId="0" fontId="21" fillId="59" borderId="0" applyNumberFormat="0" applyFont="0" applyBorder="0" applyAlignment="0" applyProtection="0">
      <protection hidden="1"/>
    </xf>
    <xf numFmtId="0" fontId="21" fillId="0" borderId="0">
      <alignment horizontal="left" wrapText="1"/>
    </xf>
    <xf numFmtId="0" fontId="21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 applyFill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/>
    <xf numFmtId="0" fontId="0" fillId="3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15" fontId="0" fillId="3" borderId="1" xfId="0" applyNumberForma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3" fontId="2" fillId="2" borderId="0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2" borderId="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3" fillId="0" borderId="0" xfId="0" applyFont="1"/>
    <xf numFmtId="0" fontId="0" fillId="2" borderId="3" xfId="0" applyFill="1" applyBorder="1"/>
    <xf numFmtId="0" fontId="0" fillId="2" borderId="11" xfId="0" applyFill="1" applyBorder="1"/>
    <xf numFmtId="0" fontId="0" fillId="3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15" fontId="2" fillId="2" borderId="7" xfId="0" applyNumberFormat="1" applyFont="1" applyFill="1" applyBorder="1" applyAlignment="1">
      <alignment horizontal="center" vertical="center"/>
    </xf>
    <xf numFmtId="15" fontId="2" fillId="2" borderId="0" xfId="0" applyNumberFormat="1" applyFont="1" applyFill="1" applyBorder="1" applyAlignment="1">
      <alignment horizontal="center" vertical="center"/>
    </xf>
    <xf numFmtId="4" fontId="2" fillId="2" borderId="0" xfId="0" applyNumberFormat="1" applyFont="1" applyFill="1" applyBorder="1" applyAlignment="1">
      <alignment horizontal="center" vertical="center"/>
    </xf>
    <xf numFmtId="10" fontId="2" fillId="2" borderId="0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3" fontId="2" fillId="2" borderId="8" xfId="0" applyNumberFormat="1" applyFont="1" applyFill="1" applyBorder="1" applyAlignment="1">
      <alignment horizontal="center" vertical="center"/>
    </xf>
    <xf numFmtId="15" fontId="2" fillId="2" borderId="8" xfId="0" applyNumberFormat="1" applyFont="1" applyFill="1" applyBorder="1" applyAlignment="1">
      <alignment horizontal="center" vertical="center"/>
    </xf>
    <xf numFmtId="10" fontId="2" fillId="2" borderId="8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/>
    </xf>
    <xf numFmtId="4" fontId="2" fillId="2" borderId="5" xfId="0" applyNumberFormat="1" applyFont="1" applyFill="1" applyBorder="1" applyAlignment="1">
      <alignment horizontal="center" vertical="center"/>
    </xf>
    <xf numFmtId="15" fontId="2" fillId="2" borderId="4" xfId="0" applyNumberFormat="1" applyFont="1" applyFill="1" applyBorder="1" applyAlignment="1">
      <alignment horizontal="center" vertical="center"/>
    </xf>
    <xf numFmtId="15" fontId="2" fillId="2" borderId="5" xfId="0" applyNumberFormat="1" applyFont="1" applyFill="1" applyBorder="1" applyAlignment="1">
      <alignment horizontal="center" vertical="center"/>
    </xf>
    <xf numFmtId="3" fontId="2" fillId="2" borderId="5" xfId="0" applyNumberFormat="1" applyFont="1" applyFill="1" applyBorder="1" applyAlignment="1">
      <alignment horizontal="center" vertical="center"/>
    </xf>
    <xf numFmtId="10" fontId="2" fillId="2" borderId="5" xfId="0" applyNumberFormat="1" applyFont="1" applyFill="1" applyBorder="1" applyAlignment="1">
      <alignment horizontal="center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quotePrefix="1"/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10" fontId="2" fillId="2" borderId="10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9" fontId="2" fillId="2" borderId="0" xfId="0" applyNumberFormat="1" applyFont="1" applyFill="1" applyBorder="1" applyAlignment="1">
      <alignment horizontal="center" vertical="center"/>
    </xf>
    <xf numFmtId="15" fontId="0" fillId="0" borderId="0" xfId="0" applyNumberFormat="1"/>
    <xf numFmtId="170" fontId="0" fillId="0" borderId="0" xfId="0" applyNumberFormat="1"/>
    <xf numFmtId="0" fontId="2" fillId="0" borderId="0" xfId="0" quotePrefix="1" applyFont="1"/>
    <xf numFmtId="0" fontId="0" fillId="4" borderId="2" xfId="0" applyFill="1" applyBorder="1" applyAlignment="1">
      <alignment horizontal="center" vertical="center"/>
    </xf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5" fontId="0" fillId="0" borderId="0" xfId="0" applyNumberFormat="1"/>
    <xf numFmtId="189" fontId="0" fillId="3" borderId="3" xfId="0" applyNumberForma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/>
    <xf numFmtId="0" fontId="0" fillId="4" borderId="3" xfId="0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3" fontId="0" fillId="3" borderId="2" xfId="0" applyNumberForma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10" fontId="0" fillId="4" borderId="2" xfId="0" applyNumberFormat="1" applyFill="1" applyBorder="1" applyAlignment="1">
      <alignment horizontal="center" vertical="center"/>
    </xf>
    <xf numFmtId="10" fontId="0" fillId="3" borderId="2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2" borderId="8" xfId="0" applyNumberFormat="1" applyFont="1" applyFill="1" applyBorder="1" applyAlignment="1">
      <alignment horizontal="center" vertical="center"/>
    </xf>
    <xf numFmtId="0" fontId="0" fillId="4" borderId="2" xfId="0" applyFont="1" applyFill="1" applyBorder="1"/>
    <xf numFmtId="0" fontId="0" fillId="0" borderId="0" xfId="0"/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0" xfId="0" applyFill="1"/>
  </cellXfs>
  <cellStyles count="110">
    <cellStyle name="=C:\WINNT35\SYSTEM32\COMMAND.COM" xfId="46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ckground" xfId="43"/>
    <cellStyle name="Bad" xfId="7" builtinId="27" customBuiltin="1"/>
    <cellStyle name="blp_column_header" xfId="96"/>
    <cellStyle name="calc" xfId="59"/>
    <cellStyle name="Calculation" xfId="11" builtinId="22" customBuiltin="1"/>
    <cellStyle name="Check Cell" xfId="13" builtinId="23" customBuiltin="1"/>
    <cellStyle name="Comma [0] 2" xfId="53"/>
    <cellStyle name="Comma [0] 3" xfId="94"/>
    <cellStyle name="Comma 2" xfId="55"/>
    <cellStyle name="Comma 2 2" xfId="99"/>
    <cellStyle name="Comma 3" xfId="97"/>
    <cellStyle name="Data" xfId="52"/>
    <cellStyle name="Data2" xfId="60"/>
    <cellStyle name="Data5" xfId="61"/>
    <cellStyle name="Explanatory Text" xfId="16" builtinId="53" customBuiltin="1"/>
    <cellStyle name="Good" xfId="6" builtinId="26" customBuiltin="1"/>
    <cellStyle name="Header" xfId="49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dden" xfId="62"/>
    <cellStyle name="Input" xfId="9" builtinId="20" customBuiltin="1"/>
    <cellStyle name="InputDataRow" xfId="63"/>
    <cellStyle name="InputDataRow 2" xfId="101"/>
    <cellStyle name="InputLabelRow" xfId="64"/>
    <cellStyle name="InputPc2Right" xfId="65"/>
    <cellStyle name="InputShortText" xfId="66"/>
    <cellStyle name="InputTextLeft" xfId="67"/>
    <cellStyle name="IntermediateLabelColumn" xfId="68"/>
    <cellStyle name="LabelLeft" xfId="69"/>
    <cellStyle name="LabelRight" xfId="70"/>
    <cellStyle name="Linked Cell" xfId="12" builtinId="24" customBuiltin="1"/>
    <cellStyle name="Milliers [0]_Open&amp;Close" xfId="47"/>
    <cellStyle name="Milliers_Open&amp;Close" xfId="45"/>
    <cellStyle name="Mon?taire [0]_Open&amp;Close" xfId="71"/>
    <cellStyle name="Mon?taire_Open&amp;Close" xfId="72"/>
    <cellStyle name="Monétaire [0]_Open&amp;Close" xfId="57"/>
    <cellStyle name="Monétaire_Open&amp;Close" xfId="54"/>
    <cellStyle name="Neutral" xfId="8" builtinId="28" customBuiltin="1"/>
    <cellStyle name="Normal" xfId="0" builtinId="0"/>
    <cellStyle name="Normal 2" xfId="42"/>
    <cellStyle name="Normal 2 2" xfId="58"/>
    <cellStyle name="Normal 2 2 2" xfId="100"/>
    <cellStyle name="Normal 3" xfId="50"/>
    <cellStyle name="Normal 4" xfId="93"/>
    <cellStyle name="Normal 5" xfId="109"/>
    <cellStyle name="Note" xfId="15" builtinId="10" customBuiltin="1"/>
    <cellStyle name="Output" xfId="10" builtinId="21" customBuiltin="1"/>
    <cellStyle name="Page 1" xfId="73"/>
    <cellStyle name="Page 2" xfId="74"/>
    <cellStyle name="Page 3" xfId="75"/>
    <cellStyle name="Page 4" xfId="76"/>
    <cellStyle name="Page 5" xfId="77"/>
    <cellStyle name="Page 6" xfId="78"/>
    <cellStyle name="Page 7" xfId="79"/>
    <cellStyle name="Page1" xfId="80"/>
    <cellStyle name="Page1 2" xfId="102"/>
    <cellStyle name="Page2" xfId="81"/>
    <cellStyle name="Page2 2" xfId="103"/>
    <cellStyle name="Page3" xfId="82"/>
    <cellStyle name="Page3 2" xfId="104"/>
    <cellStyle name="Page4" xfId="83"/>
    <cellStyle name="Page4 2" xfId="105"/>
    <cellStyle name="Page5" xfId="84"/>
    <cellStyle name="Page5 2" xfId="106"/>
    <cellStyle name="Page6" xfId="85"/>
    <cellStyle name="Page6 2" xfId="107"/>
    <cellStyle name="Percent 2" xfId="51"/>
    <cellStyle name="Percent 2 2" xfId="98"/>
    <cellStyle name="Percent 3" xfId="48"/>
    <cellStyle name="Percent 4" xfId="95"/>
    <cellStyle name="ResultDateCenter" xfId="86"/>
    <cellStyle name="Style 1" xfId="87"/>
    <cellStyle name="Style 1 2" xfId="108"/>
    <cellStyle name="Title" xfId="1" builtinId="15" customBuiltin="1"/>
    <cellStyle name="Total" xfId="17" builtinId="25" customBuiltin="1"/>
    <cellStyle name="Warning Text" xfId="14" builtinId="11" customBuiltin="1"/>
    <cellStyle name="パーセント 2" xfId="88"/>
    <cellStyle name="桁区切り 2" xfId="89"/>
    <cellStyle name="桁区切り_DegitalOption_test" xfId="90"/>
    <cellStyle name="標準 2" xfId="91"/>
    <cellStyle name="標準 3" xfId="92"/>
    <cellStyle name="標準 4" xfId="44"/>
    <cellStyle name="標準_examplePortfolio" xfId="56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19051</xdr:colOff>
      <xdr:row>3</xdr:row>
      <xdr:rowOff>0</xdr:rowOff>
    </xdr:from>
    <xdr:to>
      <xdr:col>10</xdr:col>
      <xdr:colOff>1371601</xdr:colOff>
      <xdr:row>30</xdr:row>
      <xdr:rowOff>109693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1" y="571500"/>
          <a:ext cx="8705850" cy="52531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1285875</xdr:colOff>
      <xdr:row>3</xdr:row>
      <xdr:rowOff>1</xdr:rowOff>
    </xdr:from>
    <xdr:to>
      <xdr:col>11</xdr:col>
      <xdr:colOff>47625</xdr:colOff>
      <xdr:row>28</xdr:row>
      <xdr:rowOff>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43650" y="571501"/>
          <a:ext cx="8820150" cy="476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1266824</xdr:colOff>
      <xdr:row>4</xdr:row>
      <xdr:rowOff>28576</xdr:rowOff>
    </xdr:from>
    <xdr:to>
      <xdr:col>11</xdr:col>
      <xdr:colOff>95249</xdr:colOff>
      <xdr:row>28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599" y="790576"/>
          <a:ext cx="8886825" cy="4581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05"/>
  <sheetViews>
    <sheetView topLeftCell="A16" workbookViewId="0">
      <selection activeCell="K45" sqref="K45"/>
    </sheetView>
  </sheetViews>
  <sheetFormatPr defaultRowHeight="15"/>
  <cols>
    <col min="2" max="2" width="27.5703125" customWidth="1"/>
    <col min="3" max="3" width="39.140625" customWidth="1"/>
    <col min="4" max="4" width="19.5703125" customWidth="1"/>
    <col min="5" max="5" width="20.85546875" customWidth="1"/>
    <col min="6" max="6" width="27" bestFit="1" customWidth="1"/>
    <col min="8" max="8" width="28.140625" customWidth="1"/>
    <col min="9" max="9" width="11.140625" bestFit="1" customWidth="1"/>
    <col min="10" max="10" width="14" customWidth="1"/>
    <col min="11" max="11" width="21" customWidth="1"/>
    <col min="12" max="12" width="17.140625" customWidth="1"/>
    <col min="13" max="13" width="19.42578125" customWidth="1"/>
    <col min="14" max="14" width="17.5703125" customWidth="1"/>
    <col min="15" max="15" width="13" customWidth="1"/>
    <col min="16" max="16" width="11.5703125" customWidth="1"/>
    <col min="17" max="17" width="9.85546875" bestFit="1" customWidth="1"/>
    <col min="18" max="18" width="14.28515625" bestFit="1" customWidth="1"/>
    <col min="19" max="19" width="13.28515625" customWidth="1"/>
    <col min="20" max="20" width="17.42578125" customWidth="1"/>
    <col min="21" max="21" width="13" customWidth="1"/>
    <col min="22" max="22" width="15" customWidth="1"/>
    <col min="23" max="23" width="24.28515625" customWidth="1"/>
    <col min="24" max="24" width="18.85546875" customWidth="1"/>
    <col min="25" max="25" width="21.5703125" customWidth="1"/>
    <col min="26" max="26" width="19.7109375" customWidth="1"/>
    <col min="27" max="28" width="22" customWidth="1"/>
    <col min="29" max="29" width="15.5703125" customWidth="1"/>
  </cols>
  <sheetData>
    <row r="1" spans="2:10">
      <c r="H1" s="14"/>
      <c r="I1" s="14"/>
      <c r="J1" s="14"/>
    </row>
    <row r="2" spans="2:10">
      <c r="H2" s="41"/>
      <c r="I2" s="42"/>
      <c r="J2" s="41"/>
    </row>
    <row r="3" spans="2:10">
      <c r="B3" s="1" t="s">
        <v>14</v>
      </c>
      <c r="C3" s="2" t="str">
        <f ca="1">_xll.meLWOBondCreate(C4,B7:C13,B16:C35,TRUE)</f>
        <v>EK3526614 GOVT@1:0</v>
      </c>
      <c r="D3" t="s">
        <v>17</v>
      </c>
      <c r="I3" s="40"/>
    </row>
    <row r="4" spans="2:10">
      <c r="B4" s="16" t="s">
        <v>29</v>
      </c>
      <c r="C4" s="17" t="str">
        <f ca="1">C7</f>
        <v>EK3526614 Govt</v>
      </c>
      <c r="I4" s="42"/>
    </row>
    <row r="5" spans="2:10">
      <c r="I5" s="37"/>
    </row>
    <row r="6" spans="2:10">
      <c r="B6" s="1" t="s">
        <v>11</v>
      </c>
    </row>
    <row r="7" spans="2:10">
      <c r="B7" s="5" t="s">
        <v>25</v>
      </c>
      <c r="C7" s="6" t="s">
        <v>54</v>
      </c>
    </row>
    <row r="8" spans="2:10">
      <c r="B8" s="5" t="s">
        <v>15</v>
      </c>
      <c r="C8" s="6" t="s">
        <v>16</v>
      </c>
    </row>
    <row r="9" spans="2:10">
      <c r="B9" s="5" t="s">
        <v>19</v>
      </c>
      <c r="C9" s="6" t="s">
        <v>56</v>
      </c>
    </row>
    <row r="10" spans="2:10">
      <c r="B10" s="5" t="s">
        <v>10</v>
      </c>
      <c r="C10" s="6" t="s">
        <v>55</v>
      </c>
    </row>
    <row r="11" spans="2:10">
      <c r="B11" s="5" t="s">
        <v>20</v>
      </c>
      <c r="C11" s="6" t="s">
        <v>22</v>
      </c>
    </row>
    <row r="12" spans="2:10">
      <c r="B12" s="5" t="s">
        <v>23</v>
      </c>
      <c r="C12" s="6" t="b">
        <v>1</v>
      </c>
    </row>
    <row r="13" spans="2:10">
      <c r="B13" s="5" t="s">
        <v>42</v>
      </c>
      <c r="C13" s="6" t="s">
        <v>41</v>
      </c>
    </row>
    <row r="15" spans="2:10">
      <c r="B15" s="1" t="s">
        <v>21</v>
      </c>
    </row>
    <row r="16" spans="2:10">
      <c r="B16" s="3" t="s">
        <v>0</v>
      </c>
      <c r="C16" s="4" t="s">
        <v>36</v>
      </c>
    </row>
    <row r="17" spans="2:4">
      <c r="B17" s="12" t="s">
        <v>38</v>
      </c>
      <c r="C17" s="6" t="s">
        <v>39</v>
      </c>
    </row>
    <row r="18" spans="2:4">
      <c r="B18" s="12" t="s">
        <v>26</v>
      </c>
      <c r="C18" s="65">
        <v>1000000</v>
      </c>
    </row>
    <row r="19" spans="2:4">
      <c r="B19" s="12" t="s">
        <v>27</v>
      </c>
      <c r="C19" s="7">
        <v>41821</v>
      </c>
    </row>
    <row r="20" spans="2:4">
      <c r="B20" s="12" t="s">
        <v>63</v>
      </c>
      <c r="C20" s="66">
        <v>41821</v>
      </c>
      <c r="D20" s="61"/>
    </row>
    <row r="21" spans="2:4">
      <c r="B21" s="12" t="s">
        <v>28</v>
      </c>
      <c r="C21" s="7">
        <v>41852</v>
      </c>
      <c r="D21" s="59"/>
    </row>
    <row r="22" spans="2:4">
      <c r="B22" s="12" t="s">
        <v>30</v>
      </c>
      <c r="C22" s="7">
        <v>43497</v>
      </c>
    </row>
    <row r="23" spans="2:4">
      <c r="B23" s="12" t="s">
        <v>1</v>
      </c>
      <c r="C23" s="7">
        <v>43678</v>
      </c>
    </row>
    <row r="24" spans="2:4">
      <c r="B24" s="12" t="s">
        <v>24</v>
      </c>
      <c r="C24" s="68">
        <v>1.4999999999999999E-2</v>
      </c>
    </row>
    <row r="25" spans="2:4">
      <c r="B25" s="12" t="s">
        <v>2</v>
      </c>
      <c r="C25" s="6" t="s">
        <v>12</v>
      </c>
    </row>
    <row r="26" spans="2:4">
      <c r="B26" s="71" t="s">
        <v>58</v>
      </c>
      <c r="C26" s="55" t="s">
        <v>59</v>
      </c>
    </row>
    <row r="27" spans="2:4">
      <c r="B27" s="71" t="s">
        <v>60</v>
      </c>
      <c r="C27" s="67">
        <v>0.125</v>
      </c>
    </row>
    <row r="28" spans="2:4">
      <c r="B28" s="71" t="s">
        <v>62</v>
      </c>
      <c r="C28" s="55">
        <v>100.74</v>
      </c>
    </row>
    <row r="29" spans="2:4">
      <c r="B29" s="12" t="s">
        <v>5</v>
      </c>
      <c r="C29" s="6" t="s">
        <v>3</v>
      </c>
      <c r="D29" s="72"/>
    </row>
    <row r="30" spans="2:4">
      <c r="B30" s="12" t="s">
        <v>6</v>
      </c>
      <c r="C30" s="64" t="s">
        <v>57</v>
      </c>
      <c r="D30" s="72"/>
    </row>
    <row r="31" spans="2:4">
      <c r="B31" s="12" t="s">
        <v>7</v>
      </c>
      <c r="C31" s="6" t="s">
        <v>48</v>
      </c>
      <c r="D31" s="72"/>
    </row>
    <row r="32" spans="2:4">
      <c r="B32" s="12" t="s">
        <v>8</v>
      </c>
      <c r="C32" s="64" t="s">
        <v>57</v>
      </c>
      <c r="D32" s="72"/>
    </row>
    <row r="33" spans="1:30">
      <c r="B33" s="12" t="s">
        <v>9</v>
      </c>
      <c r="C33" s="6" t="s">
        <v>13</v>
      </c>
    </row>
    <row r="34" spans="1:30">
      <c r="B34" s="12" t="s">
        <v>4</v>
      </c>
      <c r="C34" s="6" t="s">
        <v>51</v>
      </c>
    </row>
    <row r="35" spans="1:30">
      <c r="B35" s="12" t="s">
        <v>18</v>
      </c>
      <c r="C35" s="63" t="s">
        <v>61</v>
      </c>
      <c r="Z35" s="5"/>
      <c r="AA35" s="6"/>
    </row>
    <row r="36" spans="1:30">
      <c r="X36" s="53"/>
    </row>
    <row r="37" spans="1:30">
      <c r="B37" s="1" t="s">
        <v>33</v>
      </c>
      <c r="E37" s="1" t="s">
        <v>31</v>
      </c>
    </row>
    <row r="38" spans="1:30">
      <c r="B38" s="26" t="str">
        <f t="array" aca="1" ref="B38:C65" ca="1">_xll.meUtilityResize(_xll.meLWOBondDisplay(C3),30,10)</f>
        <v>BONDDESCRIPTION</v>
      </c>
      <c r="C38" s="9" t="str">
        <f ca="1"/>
        <v>EK3526614 Govt</v>
      </c>
      <c r="E38" s="54" t="s">
        <v>49</v>
      </c>
      <c r="I38" s="69" t="s">
        <v>64</v>
      </c>
      <c r="J38" s="69" t="s">
        <v>47</v>
      </c>
    </row>
    <row r="39" spans="1:30">
      <c r="B39" s="27" t="str">
        <f ca="1"/>
        <v>BONDTYPE</v>
      </c>
      <c r="C39" s="11" t="str">
        <f ca="1"/>
        <v>FIXED</v>
      </c>
      <c r="H39" t="s">
        <v>43</v>
      </c>
      <c r="I39" s="43">
        <f ca="1">_xll.meLWOBondDirtyPrice($C$3,$I$46,$I$47)</f>
        <v>101.5665342675978</v>
      </c>
      <c r="J39" s="40">
        <f ca="1">1015665.34*100/1000000</f>
        <v>101.566534</v>
      </c>
      <c r="Y39" s="57"/>
    </row>
    <row r="40" spans="1:30">
      <c r="B40" s="27" t="str">
        <f ca="1"/>
        <v>PAYRECEIVE</v>
      </c>
      <c r="C40" s="11" t="str">
        <f ca="1"/>
        <v>RECEIVE</v>
      </c>
      <c r="E40" s="1" t="s">
        <v>32</v>
      </c>
      <c r="H40" t="s">
        <v>44</v>
      </c>
      <c r="I40" s="38">
        <f ca="1">_xll.meLWOBondAccruedInterestDays($C$3,$I$46)</f>
        <v>118</v>
      </c>
      <c r="J40" s="18">
        <v>118</v>
      </c>
      <c r="Y40" s="57"/>
    </row>
    <row r="41" spans="1:30">
      <c r="B41" s="27" t="str">
        <f ca="1"/>
        <v>BONDQUOTECONVENTION</v>
      </c>
      <c r="C41" s="11" t="str">
        <f ca="1"/>
        <v>QUOTE_IN_32NDS</v>
      </c>
      <c r="E41" s="54" t="s">
        <v>50</v>
      </c>
      <c r="H41" t="s">
        <v>45</v>
      </c>
      <c r="I41" s="50">
        <f ca="1">_xll.meLWOBondAccruedInterest($C$3,$I$46)</f>
        <v>4889.5</v>
      </c>
      <c r="J41" s="50">
        <v>4889.5</v>
      </c>
    </row>
    <row r="42" spans="1:30">
      <c r="B42" s="27" t="str">
        <f ca="1"/>
        <v>YIELDTYPE</v>
      </c>
      <c r="C42" s="11" t="str">
        <f ca="1"/>
        <v>YIELD-TO-MATURITY</v>
      </c>
      <c r="H42" t="s">
        <v>46</v>
      </c>
      <c r="I42" s="40">
        <f ca="1">_xll.meLWOBondCleanPrice($C$3,$I$46,$I$47)</f>
        <v>101.0775842675978</v>
      </c>
      <c r="J42" s="40">
        <v>101.077584</v>
      </c>
      <c r="Z42" s="58"/>
    </row>
    <row r="43" spans="1:30">
      <c r="B43" s="27" t="str">
        <f ca="1"/>
        <v>CURRENCY</v>
      </c>
      <c r="C43" s="11" t="str">
        <f ca="1"/>
        <v>EUR</v>
      </c>
      <c r="E43" s="1" t="s">
        <v>34</v>
      </c>
      <c r="Z43" s="56"/>
      <c r="AA43" s="56"/>
      <c r="AB43" s="56"/>
      <c r="AD43" s="57"/>
    </row>
    <row r="44" spans="1:30">
      <c r="B44" s="27" t="str">
        <f ca="1"/>
        <v>ISIN</v>
      </c>
      <c r="C44" s="11" t="str">
        <f ca="1"/>
        <v>IT0005030504</v>
      </c>
      <c r="E44" s="21" t="b">
        <f ca="1">_xll.meLWOExists(C3,"BOND")</f>
        <v>1</v>
      </c>
    </row>
    <row r="45" spans="1:30">
      <c r="B45" s="27" t="str">
        <f ca="1"/>
        <v>ISCLEANPRICE</v>
      </c>
      <c r="C45" s="11" t="str">
        <f ca="1"/>
        <v>TRUE</v>
      </c>
      <c r="H45" s="1" t="s">
        <v>37</v>
      </c>
    </row>
    <row r="46" spans="1:30">
      <c r="B46" s="27" t="str">
        <f ca="1"/>
        <v>COUPON</v>
      </c>
      <c r="C46" s="30">
        <f ca="1"/>
        <v>1.4999999999999999E-2</v>
      </c>
      <c r="E46" s="44" t="s">
        <v>35</v>
      </c>
      <c r="H46" s="3" t="s">
        <v>40</v>
      </c>
      <c r="I46" s="8">
        <f ca="1">_xll.meDateFromTenor(TODAY(),"2D",C29,C30)</f>
        <v>42885</v>
      </c>
      <c r="L46" s="37"/>
    </row>
    <row r="47" spans="1:30">
      <c r="A47" s="20"/>
      <c r="B47" s="27" t="str">
        <f ca="1"/>
        <v>NOTIONALEXCHANGE</v>
      </c>
      <c r="C47" s="28" t="str">
        <f ca="1"/>
        <v>START_AND_END</v>
      </c>
      <c r="E47" s="45" t="str">
        <f t="array" aca="1" ref="E47:E65" ca="1">_xll.meUtilityResize(_xll.meLWOList("BOND"),20,1)</f>
        <v>EI6037572 GOVT@1</v>
      </c>
      <c r="H47" s="15" t="s">
        <v>71</v>
      </c>
      <c r="I47" s="60">
        <v>0.01</v>
      </c>
    </row>
    <row r="48" spans="1:30">
      <c r="B48" s="27" t="str">
        <f ca="1"/>
        <v>FACEVALUE</v>
      </c>
      <c r="C48" s="70">
        <f ca="1"/>
        <v>1000000</v>
      </c>
      <c r="E48" s="46" t="str">
        <f ca="1"/>
        <v>EK3526614 GOVT@1</v>
      </c>
    </row>
    <row r="49" spans="1:25">
      <c r="B49" s="27" t="str">
        <f ca="1"/>
        <v>ISSUEDATE</v>
      </c>
      <c r="C49" s="29">
        <f ca="1"/>
        <v>41821</v>
      </c>
      <c r="E49" s="46" t="str">
        <f ca="1"/>
        <v/>
      </c>
      <c r="H49" s="33" t="str">
        <f t="array" aca="1" ref="H49:S61" ca="1">_xll.meLWOBondDisplayCashflows($C$3,$I$46,$I$47,TRUE)</f>
        <v>AccrualStart</v>
      </c>
      <c r="I49" s="34" t="str">
        <f ca="1"/>
        <v>AccrualEnd</v>
      </c>
      <c r="J49" s="35" t="str">
        <f ca="1"/>
        <v>AccrualYearFractions</v>
      </c>
      <c r="K49" s="32" t="str">
        <f ca="1"/>
        <v>TrueYieldYearFractions</v>
      </c>
      <c r="L49" s="34" t="str">
        <f ca="1"/>
        <v>PaymentDate</v>
      </c>
      <c r="M49" s="35" t="str">
        <f ca="1"/>
        <v>Notional</v>
      </c>
      <c r="N49" s="35" t="str">
        <f ca="1"/>
        <v>NotionalExchange</v>
      </c>
      <c r="O49" s="32" t="str">
        <f ca="1"/>
        <v>Leverage</v>
      </c>
      <c r="P49" s="36" t="str">
        <f ca="1"/>
        <v>FixedRate</v>
      </c>
      <c r="Q49" s="33" t="str">
        <f ca="1"/>
        <v>Coupon</v>
      </c>
      <c r="R49" s="34" t="str">
        <f ca="1"/>
        <v>DiscountFactor</v>
      </c>
      <c r="S49" s="35" t="str">
        <f ca="1"/>
        <v>CouponPV</v>
      </c>
      <c r="Y49" s="52"/>
    </row>
    <row r="50" spans="1:25">
      <c r="B50" s="27" t="str">
        <f ca="1"/>
        <v>TAXRATE</v>
      </c>
      <c r="C50" s="30">
        <f ca="1"/>
        <v>0.125</v>
      </c>
      <c r="E50" s="46" t="str">
        <f ca="1"/>
        <v/>
      </c>
      <c r="H50" s="22" t="str">
        <f ca="1"/>
        <v/>
      </c>
      <c r="I50" s="23" t="str">
        <f ca="1"/>
        <v/>
      </c>
      <c r="J50" s="13" t="str">
        <f ca="1"/>
        <v/>
      </c>
      <c r="K50" s="24" t="str">
        <f ca="1"/>
        <v/>
      </c>
      <c r="L50" s="23">
        <f ca="1"/>
        <v>41821</v>
      </c>
      <c r="M50" s="10" t="str">
        <f ca="1"/>
        <v/>
      </c>
      <c r="N50" s="10">
        <f ca="1"/>
        <v>-1000000</v>
      </c>
      <c r="O50" s="24">
        <f ca="1"/>
        <v>1</v>
      </c>
      <c r="P50" s="25" t="str">
        <f ca="1"/>
        <v/>
      </c>
      <c r="Q50" s="10">
        <f ca="1"/>
        <v>-1000000</v>
      </c>
      <c r="R50" s="51">
        <f ca="1"/>
        <v>0</v>
      </c>
      <c r="S50" s="10">
        <f ca="1"/>
        <v>0</v>
      </c>
      <c r="Y50" s="52"/>
    </row>
    <row r="51" spans="1:25">
      <c r="B51" s="27" t="str">
        <f ca="1"/>
        <v>MATURITYDATE</v>
      </c>
      <c r="C51" s="29">
        <f ca="1"/>
        <v>43678</v>
      </c>
      <c r="E51" s="47" t="str">
        <f ca="1"/>
        <v/>
      </c>
      <c r="H51" s="22">
        <f ca="1"/>
        <v>41821</v>
      </c>
      <c r="I51" s="23">
        <f ca="1"/>
        <v>41852</v>
      </c>
      <c r="J51" s="13">
        <f ca="1"/>
        <v>8.5635359116022103E-2</v>
      </c>
      <c r="K51" s="24">
        <f ca="1"/>
        <v>0.5</v>
      </c>
      <c r="L51" s="23">
        <f ca="1"/>
        <v>41852</v>
      </c>
      <c r="M51" s="10">
        <f ca="1"/>
        <v>1000000</v>
      </c>
      <c r="N51" s="10">
        <f ca="1"/>
        <v>0</v>
      </c>
      <c r="O51" s="24">
        <f ca="1"/>
        <v>1</v>
      </c>
      <c r="P51" s="25">
        <f ca="1"/>
        <v>1.4999999999999999E-2</v>
      </c>
      <c r="Q51" s="10">
        <f ca="1"/>
        <v>1284.5303867403316</v>
      </c>
      <c r="R51" s="51">
        <f ca="1"/>
        <v>0</v>
      </c>
      <c r="S51" s="10">
        <f ca="1"/>
        <v>0</v>
      </c>
      <c r="T51" s="73"/>
      <c r="U51" s="73"/>
      <c r="Y51" s="52"/>
    </row>
    <row r="52" spans="1:25">
      <c r="B52" s="27" t="str">
        <f ca="1"/>
        <v>ACCRUALSTARTDATE</v>
      </c>
      <c r="C52" s="29">
        <f ca="1"/>
        <v>41821</v>
      </c>
      <c r="E52" s="47" t="str">
        <f ca="1"/>
        <v/>
      </c>
      <c r="H52" s="22">
        <f ca="1"/>
        <v>41852</v>
      </c>
      <c r="I52" s="23">
        <f ca="1"/>
        <v>42037</v>
      </c>
      <c r="J52" s="13">
        <f ca="1"/>
        <v>0.5</v>
      </c>
      <c r="K52" s="24">
        <f ca="1"/>
        <v>0.50271739130434778</v>
      </c>
      <c r="L52" s="23">
        <f ca="1"/>
        <v>42036</v>
      </c>
      <c r="M52" s="10">
        <f ca="1"/>
        <v>1000000</v>
      </c>
      <c r="N52" s="10">
        <f ca="1"/>
        <v>0</v>
      </c>
      <c r="O52" s="24">
        <f ca="1"/>
        <v>1</v>
      </c>
      <c r="P52" s="25">
        <f ca="1"/>
        <v>1.4999999999999999E-2</v>
      </c>
      <c r="Q52" s="10">
        <f ca="1"/>
        <v>7500</v>
      </c>
      <c r="R52" s="51">
        <f ca="1"/>
        <v>0</v>
      </c>
      <c r="S52" s="10">
        <f ca="1"/>
        <v>0</v>
      </c>
      <c r="T52" s="73"/>
      <c r="U52" s="73"/>
      <c r="Y52" s="52"/>
    </row>
    <row r="53" spans="1:25">
      <c r="B53" s="27" t="str">
        <f ca="1"/>
        <v>FIRSTCOUPONDATE</v>
      </c>
      <c r="C53" s="29">
        <f ca="1"/>
        <v>41852</v>
      </c>
      <c r="E53" s="47" t="str">
        <f ca="1"/>
        <v/>
      </c>
      <c r="H53" s="22">
        <f ca="1"/>
        <v>42037</v>
      </c>
      <c r="I53" s="23">
        <f ca="1"/>
        <v>42219</v>
      </c>
      <c r="J53" s="13">
        <f ca="1"/>
        <v>0.5</v>
      </c>
      <c r="K53" s="24">
        <f ca="1"/>
        <v>0.50276243093922657</v>
      </c>
      <c r="L53" s="23">
        <f ca="1"/>
        <v>42217</v>
      </c>
      <c r="M53" s="10">
        <f ca="1"/>
        <v>1000000</v>
      </c>
      <c r="N53" s="10">
        <f ca="1"/>
        <v>0</v>
      </c>
      <c r="O53" s="24">
        <f ca="1"/>
        <v>1</v>
      </c>
      <c r="P53" s="25">
        <f ca="1"/>
        <v>1.4999999999999999E-2</v>
      </c>
      <c r="Q53" s="10">
        <f ca="1"/>
        <v>7500</v>
      </c>
      <c r="R53" s="51">
        <f ca="1"/>
        <v>0</v>
      </c>
      <c r="S53" s="10">
        <f ca="1"/>
        <v>0</v>
      </c>
      <c r="T53" s="73"/>
      <c r="U53" s="73"/>
    </row>
    <row r="54" spans="1:25">
      <c r="B54" s="27" t="str">
        <f ca="1"/>
        <v>LASTCOUPONDATE</v>
      </c>
      <c r="C54" s="29">
        <f ca="1"/>
        <v>43497</v>
      </c>
      <c r="E54" s="47" t="str">
        <f ca="1"/>
        <v/>
      </c>
      <c r="H54" s="22">
        <f ca="1"/>
        <v>42219</v>
      </c>
      <c r="I54" s="23">
        <f ca="1"/>
        <v>42401</v>
      </c>
      <c r="J54" s="13">
        <f ca="1"/>
        <v>0.5</v>
      </c>
      <c r="K54" s="24">
        <f ca="1"/>
        <v>0.49456521739130432</v>
      </c>
      <c r="L54" s="23">
        <f ca="1"/>
        <v>42401</v>
      </c>
      <c r="M54" s="10">
        <f ca="1"/>
        <v>1000000</v>
      </c>
      <c r="N54" s="10">
        <f ca="1"/>
        <v>0</v>
      </c>
      <c r="O54" s="24">
        <f ca="1"/>
        <v>1</v>
      </c>
      <c r="P54" s="25">
        <f ca="1"/>
        <v>1.4999999999999999E-2</v>
      </c>
      <c r="Q54" s="10">
        <f ca="1"/>
        <v>7500</v>
      </c>
      <c r="R54" s="51">
        <f ca="1"/>
        <v>0</v>
      </c>
      <c r="S54" s="10">
        <f ca="1"/>
        <v>0</v>
      </c>
      <c r="T54" s="73"/>
      <c r="U54" s="73"/>
    </row>
    <row r="55" spans="1:25">
      <c r="B55" s="27" t="str">
        <f ca="1"/>
        <v>FREQUENCY</v>
      </c>
      <c r="C55" s="29" t="str">
        <f ca="1"/>
        <v>Semi-Annual</v>
      </c>
      <c r="E55" s="47" t="str">
        <f ca="1"/>
        <v/>
      </c>
      <c r="H55" s="22">
        <f ca="1"/>
        <v>42401</v>
      </c>
      <c r="I55" s="23">
        <f ca="1"/>
        <v>42583</v>
      </c>
      <c r="J55" s="13">
        <f ca="1"/>
        <v>0.5</v>
      </c>
      <c r="K55" s="24">
        <f ca="1"/>
        <v>0.5</v>
      </c>
      <c r="L55" s="23">
        <f ca="1"/>
        <v>42583</v>
      </c>
      <c r="M55" s="10">
        <f ca="1"/>
        <v>1000000</v>
      </c>
      <c r="N55" s="10">
        <f ca="1"/>
        <v>0</v>
      </c>
      <c r="O55" s="24">
        <f ca="1"/>
        <v>1</v>
      </c>
      <c r="P55" s="25">
        <f ca="1"/>
        <v>1.4999999999999999E-2</v>
      </c>
      <c r="Q55" s="10">
        <f ca="1"/>
        <v>7500</v>
      </c>
      <c r="R55" s="51">
        <f ca="1"/>
        <v>0</v>
      </c>
      <c r="S55" s="10">
        <f ca="1"/>
        <v>0</v>
      </c>
      <c r="T55" s="73"/>
      <c r="U55" s="73"/>
    </row>
    <row r="56" spans="1:25">
      <c r="B56" s="27" t="str">
        <f ca="1"/>
        <v>ACCRUALBUSINESSDAYADJUSTMENT</v>
      </c>
      <c r="C56" s="30" t="str">
        <f ca="1"/>
        <v>MOD_FOLLOWING</v>
      </c>
      <c r="E56" s="47" t="str">
        <f ca="1"/>
        <v/>
      </c>
      <c r="H56" s="22">
        <f ca="1"/>
        <v>42583</v>
      </c>
      <c r="I56" s="23">
        <f ca="1"/>
        <v>42767</v>
      </c>
      <c r="J56" s="13">
        <f ca="1"/>
        <v>0.5</v>
      </c>
      <c r="K56" s="24">
        <f ca="1"/>
        <v>0.5</v>
      </c>
      <c r="L56" s="23">
        <f ca="1"/>
        <v>42767</v>
      </c>
      <c r="M56" s="10">
        <f ca="1"/>
        <v>1000000</v>
      </c>
      <c r="N56" s="10">
        <f ca="1"/>
        <v>0</v>
      </c>
      <c r="O56" s="24">
        <f ca="1"/>
        <v>1</v>
      </c>
      <c r="P56" s="25">
        <f ca="1"/>
        <v>1.4999999999999999E-2</v>
      </c>
      <c r="Q56" s="10">
        <f ca="1"/>
        <v>7500</v>
      </c>
      <c r="R56" s="51">
        <f ca="1"/>
        <v>0</v>
      </c>
      <c r="S56" s="10">
        <f ca="1"/>
        <v>0</v>
      </c>
      <c r="T56" s="73"/>
      <c r="U56" s="73"/>
    </row>
    <row r="57" spans="1:25">
      <c r="B57" s="27" t="str">
        <f ca="1"/>
        <v>YIELDFREQUENCY</v>
      </c>
      <c r="C57" s="30" t="str">
        <f ca="1"/>
        <v>Annual</v>
      </c>
      <c r="E57" s="47" t="str">
        <f ca="1"/>
        <v/>
      </c>
      <c r="H57" s="22">
        <f ca="1"/>
        <v>42767</v>
      </c>
      <c r="I57" s="23">
        <f ca="1"/>
        <v>42948</v>
      </c>
      <c r="J57" s="13">
        <f ca="1"/>
        <v>0.5</v>
      </c>
      <c r="K57" s="24">
        <f ca="1"/>
        <v>0.5</v>
      </c>
      <c r="L57" s="23">
        <f ca="1"/>
        <v>42948</v>
      </c>
      <c r="M57" s="10">
        <f ca="1"/>
        <v>1000000</v>
      </c>
      <c r="N57" s="10">
        <f ca="1"/>
        <v>0</v>
      </c>
      <c r="O57" s="24">
        <f ca="1"/>
        <v>1</v>
      </c>
      <c r="P57" s="25">
        <f ca="1"/>
        <v>1.4999999999999999E-2</v>
      </c>
      <c r="Q57" s="10">
        <f ca="1"/>
        <v>7500</v>
      </c>
      <c r="R57" s="51">
        <f ca="1"/>
        <v>0.99826981109187063</v>
      </c>
      <c r="S57" s="10">
        <f ca="1"/>
        <v>7487.0235831890295</v>
      </c>
      <c r="T57" s="73"/>
      <c r="U57" s="73"/>
    </row>
    <row r="58" spans="1:25">
      <c r="B58" s="27" t="str">
        <f ca="1"/>
        <v>ISSUEPRICE</v>
      </c>
      <c r="C58" s="70">
        <f ca="1"/>
        <v>100.74</v>
      </c>
      <c r="E58" s="47" t="str">
        <f ca="1"/>
        <v/>
      </c>
      <c r="H58" s="22">
        <f ca="1"/>
        <v>42948</v>
      </c>
      <c r="I58" s="23">
        <f ca="1"/>
        <v>43132</v>
      </c>
      <c r="J58" s="13">
        <f ca="1"/>
        <v>0.5</v>
      </c>
      <c r="K58" s="24">
        <f ca="1"/>
        <v>0.5</v>
      </c>
      <c r="L58" s="23">
        <f ca="1"/>
        <v>43132</v>
      </c>
      <c r="M58" s="10">
        <f ca="1"/>
        <v>1000000</v>
      </c>
      <c r="N58" s="10">
        <f ca="1"/>
        <v>0</v>
      </c>
      <c r="O58" s="24">
        <f ca="1"/>
        <v>1</v>
      </c>
      <c r="P58" s="25">
        <f ca="1"/>
        <v>1.4999999999999999E-2</v>
      </c>
      <c r="Q58" s="10">
        <f ca="1"/>
        <v>7500</v>
      </c>
      <c r="R58" s="51">
        <f ca="1"/>
        <v>0.9933155879003116</v>
      </c>
      <c r="S58" s="10">
        <f ca="1"/>
        <v>7449.8669092523369</v>
      </c>
      <c r="T58" s="73"/>
      <c r="U58" s="73"/>
    </row>
    <row r="59" spans="1:25">
      <c r="B59" s="27" t="str">
        <f ca="1"/>
        <v>ACCRUALCALENDAR</v>
      </c>
      <c r="C59" s="30" t="str">
        <f ca="1"/>
        <v>TGT</v>
      </c>
      <c r="E59" s="47" t="str">
        <f ca="1"/>
        <v/>
      </c>
      <c r="H59" s="22">
        <f ca="1"/>
        <v>43132</v>
      </c>
      <c r="I59" s="23">
        <f ca="1"/>
        <v>43313</v>
      </c>
      <c r="J59" s="13">
        <f ca="1"/>
        <v>0.5</v>
      </c>
      <c r="K59" s="24">
        <f ca="1"/>
        <v>0.5</v>
      </c>
      <c r="L59" s="23">
        <f ca="1"/>
        <v>43313</v>
      </c>
      <c r="M59" s="10">
        <f ca="1"/>
        <v>1000000</v>
      </c>
      <c r="N59" s="10">
        <f ca="1"/>
        <v>0</v>
      </c>
      <c r="O59" s="24">
        <f ca="1"/>
        <v>1</v>
      </c>
      <c r="P59" s="25">
        <f ca="1"/>
        <v>1.4999999999999999E-2</v>
      </c>
      <c r="Q59" s="10">
        <f ca="1"/>
        <v>7500</v>
      </c>
      <c r="R59" s="51">
        <f ca="1"/>
        <v>0.98838595157610964</v>
      </c>
      <c r="S59" s="10">
        <f ca="1"/>
        <v>7412.8946368208226</v>
      </c>
      <c r="T59" s="73"/>
      <c r="U59" s="73"/>
    </row>
    <row r="60" spans="1:25">
      <c r="B60" s="27" t="str">
        <f ca="1"/>
        <v>PAYMENTBUSINESSDAYADJUSTMENT</v>
      </c>
      <c r="C60" s="30" t="str">
        <f ca="1"/>
        <v>NO_CHANGE</v>
      </c>
      <c r="E60" s="47" t="str">
        <f ca="1"/>
        <v/>
      </c>
      <c r="H60" s="22">
        <f ca="1"/>
        <v>43313</v>
      </c>
      <c r="I60" s="23">
        <f ca="1"/>
        <v>43497</v>
      </c>
      <c r="J60" s="13">
        <f ca="1"/>
        <v>0.5</v>
      </c>
      <c r="K60" s="24">
        <f ca="1"/>
        <v>0.5</v>
      </c>
      <c r="L60" s="23">
        <f ca="1"/>
        <v>43497</v>
      </c>
      <c r="M60" s="10">
        <f ca="1"/>
        <v>1000000</v>
      </c>
      <c r="N60" s="10">
        <f ca="1"/>
        <v>0</v>
      </c>
      <c r="O60" s="24">
        <f ca="1"/>
        <v>1</v>
      </c>
      <c r="P60" s="25">
        <f ca="1"/>
        <v>1.4999999999999999E-2</v>
      </c>
      <c r="Q60" s="10">
        <f ca="1"/>
        <v>7500</v>
      </c>
      <c r="R60" s="51">
        <f ca="1"/>
        <v>0.98348078009931861</v>
      </c>
      <c r="S60" s="10">
        <f ca="1"/>
        <v>7376.1058507448897</v>
      </c>
      <c r="T60" s="73"/>
      <c r="U60" s="73"/>
    </row>
    <row r="61" spans="1:25">
      <c r="B61" s="27" t="str">
        <f ca="1"/>
        <v>PAYMENTCALENDAR</v>
      </c>
      <c r="C61" s="30" t="str">
        <f ca="1"/>
        <v>TGT</v>
      </c>
      <c r="E61" s="47" t="str">
        <f ca="1"/>
        <v/>
      </c>
      <c r="H61" s="22">
        <f ca="1"/>
        <v>43497</v>
      </c>
      <c r="I61" s="23">
        <f ca="1"/>
        <v>43678</v>
      </c>
      <c r="J61" s="13">
        <f ca="1"/>
        <v>0.5</v>
      </c>
      <c r="K61" s="24">
        <f ca="1"/>
        <v>0.5</v>
      </c>
      <c r="L61" s="23">
        <f ca="1"/>
        <v>43678</v>
      </c>
      <c r="M61" s="10">
        <f ca="1"/>
        <v>1000000</v>
      </c>
      <c r="N61" s="10">
        <f ca="1"/>
        <v>1000000</v>
      </c>
      <c r="O61" s="24">
        <f ca="1"/>
        <v>1</v>
      </c>
      <c r="P61" s="25">
        <f ca="1"/>
        <v>1.4999999999999999E-2</v>
      </c>
      <c r="Q61" s="10">
        <f ca="1"/>
        <v>1007500</v>
      </c>
      <c r="R61" s="51">
        <f ca="1"/>
        <v>0.97859995205555428</v>
      </c>
      <c r="S61" s="10">
        <f ca="1"/>
        <v>985939.45169597096</v>
      </c>
      <c r="T61" s="73"/>
      <c r="U61" s="73"/>
    </row>
    <row r="62" spans="1:25">
      <c r="A62" t="s">
        <v>17</v>
      </c>
      <c r="B62" s="27" t="str">
        <f ca="1"/>
        <v>PAYMENTLAG</v>
      </c>
      <c r="C62" s="30" t="str">
        <f ca="1"/>
        <v>0D</v>
      </c>
      <c r="E62" s="47" t="str">
        <f ca="1"/>
        <v/>
      </c>
      <c r="H62" s="22"/>
      <c r="I62" s="23"/>
      <c r="J62" s="13"/>
      <c r="K62" s="24"/>
      <c r="L62" s="23"/>
      <c r="M62" s="10"/>
      <c r="N62" s="10"/>
      <c r="O62" s="24"/>
      <c r="P62" s="25"/>
      <c r="Q62" s="10"/>
      <c r="R62" s="51"/>
      <c r="S62" s="10"/>
      <c r="T62" s="73"/>
      <c r="U62" s="73"/>
    </row>
    <row r="63" spans="1:25">
      <c r="A63" t="s">
        <v>17</v>
      </c>
      <c r="B63" s="27" t="str">
        <f ca="1"/>
        <v>DAYCOUNT</v>
      </c>
      <c r="C63" s="30" t="str">
        <f ca="1"/>
        <v>ACT/ACT</v>
      </c>
      <c r="E63" s="47" t="str">
        <f ca="1"/>
        <v/>
      </c>
      <c r="Q63" s="73"/>
      <c r="R63" s="73"/>
      <c r="S63" s="73"/>
      <c r="T63" s="73"/>
      <c r="U63" s="73"/>
    </row>
    <row r="64" spans="1:25">
      <c r="A64" t="s">
        <v>17</v>
      </c>
      <c r="B64" s="27" t="str">
        <f ca="1"/>
        <v>CALCULATIONTYPE</v>
      </c>
      <c r="C64" s="30" t="str">
        <f ca="1"/>
        <v>TYPE523</v>
      </c>
      <c r="E64" s="47" t="str">
        <f ca="1"/>
        <v/>
      </c>
      <c r="P64" s="73"/>
      <c r="Q64" s="73"/>
      <c r="R64" s="73"/>
      <c r="S64" s="73"/>
      <c r="T64" s="73"/>
      <c r="U64" s="73"/>
    </row>
    <row r="65" spans="1:21">
      <c r="B65" s="31" t="str">
        <f ca="1"/>
        <v/>
      </c>
      <c r="C65" s="49" t="str">
        <f ca="1"/>
        <v/>
      </c>
      <c r="E65" s="48" t="str">
        <f ca="1"/>
        <v/>
      </c>
      <c r="P65" s="73"/>
      <c r="Q65" s="73"/>
      <c r="R65" s="73"/>
      <c r="S65" s="73"/>
      <c r="T65" s="73"/>
      <c r="U65" s="73"/>
    </row>
    <row r="66" spans="1:21">
      <c r="P66" s="73"/>
      <c r="Q66" s="73"/>
      <c r="R66" s="73"/>
      <c r="S66" s="73"/>
      <c r="T66" s="73"/>
      <c r="U66" s="73"/>
    </row>
    <row r="67" spans="1:21"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</row>
    <row r="68" spans="1:21"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</row>
    <row r="69" spans="1:21"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</row>
    <row r="70" spans="1:21"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</row>
    <row r="71" spans="1:21">
      <c r="A71" t="s">
        <v>17</v>
      </c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</row>
    <row r="72" spans="1:21">
      <c r="A72" t="s">
        <v>17</v>
      </c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</row>
    <row r="73" spans="1:21">
      <c r="A73" t="s">
        <v>17</v>
      </c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</row>
    <row r="74" spans="1:21">
      <c r="A74" t="s">
        <v>17</v>
      </c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</row>
    <row r="75" spans="1:21">
      <c r="A75" t="s">
        <v>17</v>
      </c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</row>
    <row r="76" spans="1:21">
      <c r="A76" t="s">
        <v>17</v>
      </c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</row>
    <row r="77" spans="1:21">
      <c r="A77" t="s">
        <v>17</v>
      </c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</row>
    <row r="78" spans="1:21">
      <c r="A78" t="s">
        <v>17</v>
      </c>
      <c r="H78" s="62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</row>
    <row r="79" spans="1:21">
      <c r="A79" t="s">
        <v>17</v>
      </c>
      <c r="H79" s="62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</row>
    <row r="80" spans="1:21">
      <c r="A80" t="s">
        <v>17</v>
      </c>
      <c r="G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</row>
    <row r="81" spans="1:21">
      <c r="A81" t="s">
        <v>17</v>
      </c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</row>
    <row r="82" spans="1:21">
      <c r="A82" t="s">
        <v>17</v>
      </c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</row>
    <row r="83" spans="1:21">
      <c r="A83" t="s">
        <v>17</v>
      </c>
      <c r="B83" s="18"/>
      <c r="C83" s="19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</row>
    <row r="84" spans="1:21">
      <c r="A84" t="s">
        <v>17</v>
      </c>
      <c r="B84" s="18"/>
      <c r="C84" s="39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</row>
    <row r="85" spans="1:21">
      <c r="A85" t="s">
        <v>17</v>
      </c>
      <c r="B85" s="18"/>
      <c r="C85" s="38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</row>
    <row r="86" spans="1:21">
      <c r="A86" t="s">
        <v>17</v>
      </c>
      <c r="B86" s="18"/>
      <c r="C86" s="19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</row>
    <row r="87" spans="1:21">
      <c r="A87" t="s">
        <v>17</v>
      </c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</row>
    <row r="88" spans="1:21">
      <c r="A88" t="s">
        <v>17</v>
      </c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</row>
    <row r="89" spans="1:21">
      <c r="A89" t="s">
        <v>17</v>
      </c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</row>
    <row r="90" spans="1:21">
      <c r="A90" t="s">
        <v>17</v>
      </c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</row>
    <row r="91" spans="1:21">
      <c r="A91" t="s">
        <v>17</v>
      </c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</row>
    <row r="92" spans="1:21">
      <c r="A92" t="s">
        <v>17</v>
      </c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</row>
    <row r="93" spans="1:21">
      <c r="A93" t="s">
        <v>17</v>
      </c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</row>
    <row r="94" spans="1:21">
      <c r="A94" t="s">
        <v>17</v>
      </c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</row>
    <row r="95" spans="1:21">
      <c r="A95" t="s">
        <v>17</v>
      </c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</row>
    <row r="96" spans="1:21">
      <c r="A96" t="s">
        <v>17</v>
      </c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</row>
    <row r="97" spans="1:21">
      <c r="A97" t="s">
        <v>17</v>
      </c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</row>
    <row r="98" spans="1:21">
      <c r="A98" t="s">
        <v>17</v>
      </c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</row>
    <row r="99" spans="1:21">
      <c r="A99" t="s">
        <v>17</v>
      </c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</row>
    <row r="100" spans="1:21">
      <c r="A100" t="s">
        <v>17</v>
      </c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</row>
    <row r="101" spans="1:21"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</row>
    <row r="102" spans="1:21"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</row>
    <row r="103" spans="1:21"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</row>
    <row r="104" spans="1:21"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</row>
    <row r="105" spans="1:21">
      <c r="J105" s="73"/>
      <c r="K105" s="73"/>
      <c r="L105" s="73"/>
      <c r="M105" s="73"/>
      <c r="N105" s="73"/>
      <c r="P105" s="73"/>
      <c r="Q105" s="73"/>
      <c r="R105" s="73"/>
      <c r="S105" s="73"/>
      <c r="T105" s="73"/>
      <c r="U105" s="7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00"/>
  <sheetViews>
    <sheetView topLeftCell="B19" workbookViewId="0">
      <selection activeCell="H47" sqref="H47"/>
    </sheetView>
  </sheetViews>
  <sheetFormatPr defaultRowHeight="15"/>
  <cols>
    <col min="1" max="1" width="9.140625" style="73"/>
    <col min="2" max="2" width="27.5703125" style="73" customWidth="1"/>
    <col min="3" max="3" width="39.140625" style="73" customWidth="1"/>
    <col min="4" max="4" width="19.5703125" style="73" customWidth="1"/>
    <col min="5" max="5" width="20.85546875" style="73" customWidth="1"/>
    <col min="6" max="6" width="27" style="73" bestFit="1" customWidth="1"/>
    <col min="7" max="7" width="9.140625" style="73"/>
    <col min="8" max="8" width="28.140625" style="73" customWidth="1"/>
    <col min="9" max="9" width="11.140625" style="73" bestFit="1" customWidth="1"/>
    <col min="10" max="10" width="14" style="73" customWidth="1"/>
    <col min="11" max="11" width="21" style="73" customWidth="1"/>
    <col min="12" max="12" width="17.140625" style="73" customWidth="1"/>
    <col min="13" max="13" width="19.42578125" style="73" customWidth="1"/>
    <col min="14" max="14" width="17.5703125" style="73" customWidth="1"/>
    <col min="15" max="15" width="13" style="73" customWidth="1"/>
    <col min="16" max="16" width="11.5703125" style="73" customWidth="1"/>
    <col min="17" max="17" width="9.85546875" style="73" bestFit="1" customWidth="1"/>
    <col min="18" max="18" width="14.28515625" style="73" bestFit="1" customWidth="1"/>
    <col min="19" max="19" width="13.28515625" style="73" customWidth="1"/>
    <col min="20" max="20" width="17.42578125" style="73" customWidth="1"/>
    <col min="21" max="21" width="13" style="73" customWidth="1"/>
    <col min="22" max="22" width="15" style="73" customWidth="1"/>
    <col min="23" max="23" width="24.28515625" style="73" customWidth="1"/>
    <col min="24" max="24" width="18.85546875" style="73" customWidth="1"/>
    <col min="25" max="25" width="21.5703125" style="73" customWidth="1"/>
    <col min="26" max="26" width="19.7109375" style="73" customWidth="1"/>
    <col min="27" max="28" width="22" style="73" customWidth="1"/>
    <col min="29" max="29" width="15.5703125" style="73" customWidth="1"/>
    <col min="30" max="16384" width="9.140625" style="73"/>
  </cols>
  <sheetData>
    <row r="1" spans="2:10">
      <c r="H1" s="14"/>
      <c r="I1" s="14"/>
      <c r="J1" s="14"/>
    </row>
    <row r="2" spans="2:10">
      <c r="H2" s="41"/>
      <c r="I2" s="42"/>
      <c r="J2" s="41"/>
    </row>
    <row r="3" spans="2:10">
      <c r="B3" s="1" t="s">
        <v>14</v>
      </c>
      <c r="C3" s="74" t="str">
        <f ca="1">_xll.meLWOBondCreate(C4,B7:C13,B16:C35,TRUE)</f>
        <v>AN1045482 GOVT@2:5</v>
      </c>
      <c r="D3" s="73" t="s">
        <v>17</v>
      </c>
      <c r="I3" s="40"/>
    </row>
    <row r="4" spans="2:10">
      <c r="B4" s="16" t="s">
        <v>29</v>
      </c>
      <c r="C4" s="17" t="str">
        <f ca="1">C7</f>
        <v>AN1045482 Govt</v>
      </c>
      <c r="I4" s="42"/>
    </row>
    <row r="5" spans="2:10">
      <c r="I5" s="37"/>
    </row>
    <row r="6" spans="2:10">
      <c r="B6" s="1" t="s">
        <v>11</v>
      </c>
    </row>
    <row r="7" spans="2:10">
      <c r="B7" s="5" t="s">
        <v>25</v>
      </c>
      <c r="C7" s="6" t="s">
        <v>65</v>
      </c>
    </row>
    <row r="8" spans="2:10">
      <c r="B8" s="5" t="s">
        <v>15</v>
      </c>
      <c r="C8" s="6" t="s">
        <v>16</v>
      </c>
    </row>
    <row r="9" spans="2:10">
      <c r="B9" s="5" t="s">
        <v>19</v>
      </c>
      <c r="C9" s="6" t="s">
        <v>56</v>
      </c>
    </row>
    <row r="10" spans="2:10">
      <c r="B10" s="5" t="s">
        <v>10</v>
      </c>
      <c r="C10" s="6" t="s">
        <v>66</v>
      </c>
    </row>
    <row r="11" spans="2:10">
      <c r="B11" s="5" t="s">
        <v>20</v>
      </c>
      <c r="C11" s="6" t="s">
        <v>22</v>
      </c>
    </row>
    <row r="12" spans="2:10">
      <c r="B12" s="5" t="s">
        <v>23</v>
      </c>
      <c r="C12" s="6" t="b">
        <v>1</v>
      </c>
    </row>
    <row r="13" spans="2:10">
      <c r="B13" s="5" t="s">
        <v>42</v>
      </c>
      <c r="C13" s="6" t="s">
        <v>41</v>
      </c>
    </row>
    <row r="15" spans="2:10">
      <c r="B15" s="1" t="s">
        <v>21</v>
      </c>
    </row>
    <row r="16" spans="2:10">
      <c r="B16" s="3" t="s">
        <v>0</v>
      </c>
      <c r="C16" s="4" t="s">
        <v>36</v>
      </c>
    </row>
    <row r="17" spans="2:4">
      <c r="B17" s="12" t="s">
        <v>38</v>
      </c>
      <c r="C17" s="6" t="s">
        <v>39</v>
      </c>
    </row>
    <row r="18" spans="2:4">
      <c r="B18" s="12" t="s">
        <v>26</v>
      </c>
      <c r="C18" s="65">
        <v>1000000</v>
      </c>
    </row>
    <row r="19" spans="2:4">
      <c r="B19" s="12" t="s">
        <v>27</v>
      </c>
      <c r="C19" s="7">
        <v>42838</v>
      </c>
    </row>
    <row r="20" spans="2:4">
      <c r="B20" s="12" t="s">
        <v>63</v>
      </c>
      <c r="C20" s="66"/>
      <c r="D20" s="75"/>
    </row>
    <row r="21" spans="2:4">
      <c r="B21" s="12" t="s">
        <v>28</v>
      </c>
      <c r="C21" s="7"/>
      <c r="D21" s="59"/>
    </row>
    <row r="22" spans="2:4">
      <c r="B22" s="12" t="s">
        <v>30</v>
      </c>
      <c r="C22" s="7"/>
    </row>
    <row r="23" spans="2:4">
      <c r="B23" s="12" t="s">
        <v>1</v>
      </c>
      <c r="C23" s="7">
        <v>43203</v>
      </c>
    </row>
    <row r="24" spans="2:4">
      <c r="B24" s="12" t="s">
        <v>24</v>
      </c>
      <c r="C24" s="68">
        <v>0</v>
      </c>
    </row>
    <row r="25" spans="2:4">
      <c r="B25" s="12" t="s">
        <v>2</v>
      </c>
      <c r="C25" s="6" t="s">
        <v>59</v>
      </c>
    </row>
    <row r="26" spans="2:4">
      <c r="B26" s="71" t="s">
        <v>58</v>
      </c>
      <c r="C26" s="55" t="s">
        <v>59</v>
      </c>
    </row>
    <row r="27" spans="2:4">
      <c r="B27" s="71"/>
      <c r="C27" s="67"/>
    </row>
    <row r="28" spans="2:4">
      <c r="B28" s="71"/>
      <c r="C28" s="55"/>
    </row>
    <row r="29" spans="2:4">
      <c r="B29" s="12" t="s">
        <v>5</v>
      </c>
      <c r="C29" s="6" t="s">
        <v>3</v>
      </c>
    </row>
    <row r="30" spans="2:4">
      <c r="B30" s="12" t="s">
        <v>6</v>
      </c>
      <c r="C30" s="64" t="s">
        <v>57</v>
      </c>
    </row>
    <row r="31" spans="2:4">
      <c r="B31" s="12" t="s">
        <v>7</v>
      </c>
      <c r="C31" s="6" t="s">
        <v>48</v>
      </c>
    </row>
    <row r="32" spans="2:4">
      <c r="B32" s="12" t="s">
        <v>8</v>
      </c>
      <c r="C32" s="64" t="s">
        <v>57</v>
      </c>
    </row>
    <row r="33" spans="1:30">
      <c r="B33" s="12" t="s">
        <v>9</v>
      </c>
      <c r="C33" s="6" t="s">
        <v>13</v>
      </c>
    </row>
    <row r="34" spans="1:30">
      <c r="B34" s="12" t="s">
        <v>4</v>
      </c>
      <c r="C34" s="6" t="s">
        <v>52</v>
      </c>
    </row>
    <row r="35" spans="1:30">
      <c r="B35" s="12" t="s">
        <v>18</v>
      </c>
      <c r="C35" s="63" t="s">
        <v>67</v>
      </c>
      <c r="Z35" s="5"/>
      <c r="AA35" s="6"/>
    </row>
    <row r="36" spans="1:30">
      <c r="X36" s="53"/>
    </row>
    <row r="37" spans="1:30">
      <c r="B37" s="1" t="s">
        <v>33</v>
      </c>
      <c r="E37" s="1" t="s">
        <v>31</v>
      </c>
    </row>
    <row r="38" spans="1:30">
      <c r="B38" s="26" t="str">
        <f t="array" aca="1" ref="B38:C65" ca="1">_xll.meUtilityResize(_xll.meLWOBondDisplay(C3),30,10)</f>
        <v>BONDDESCRIPTION</v>
      </c>
      <c r="C38" s="9" t="str">
        <f ca="1"/>
        <v>AN1045482 Govt</v>
      </c>
      <c r="E38" s="54" t="s">
        <v>49</v>
      </c>
      <c r="I38" s="69" t="s">
        <v>64</v>
      </c>
      <c r="J38" s="69" t="s">
        <v>47</v>
      </c>
    </row>
    <row r="39" spans="1:30">
      <c r="B39" s="27" t="str">
        <f ca="1"/>
        <v>BONDTYPE</v>
      </c>
      <c r="C39" s="11" t="str">
        <f ca="1"/>
        <v>FIXED</v>
      </c>
      <c r="H39" s="73" t="s">
        <v>43</v>
      </c>
      <c r="I39" s="43">
        <f ca="1">_xll.meLWOBondDirtyPrice($C$3,$I$46,$I$47)</f>
        <v>99.124401123409882</v>
      </c>
      <c r="J39" s="40">
        <f ca="1">991244.01*100/1000000</f>
        <v>99.124401000000006</v>
      </c>
      <c r="Y39" s="57"/>
    </row>
    <row r="40" spans="1:30">
      <c r="B40" s="27" t="str">
        <f ca="1"/>
        <v>PAYRECEIVE</v>
      </c>
      <c r="C40" s="11" t="str">
        <f ca="1"/>
        <v>RECEIVE</v>
      </c>
      <c r="E40" s="1" t="s">
        <v>32</v>
      </c>
      <c r="H40" s="73" t="s">
        <v>44</v>
      </c>
      <c r="I40" s="38">
        <f ca="1">_xll.meLWOBondAccruedInterestDays($C$3,$I$46)</f>
        <v>47</v>
      </c>
      <c r="J40" s="18">
        <v>47</v>
      </c>
      <c r="Y40" s="57"/>
    </row>
    <row r="41" spans="1:30">
      <c r="B41" s="27" t="str">
        <f ca="1"/>
        <v>BONDQUOTECONVENTION</v>
      </c>
      <c r="C41" s="11" t="str">
        <f ca="1"/>
        <v>QUOTE_IN_32NDS</v>
      </c>
      <c r="E41" s="54" t="s">
        <v>50</v>
      </c>
      <c r="H41" s="73" t="s">
        <v>45</v>
      </c>
      <c r="I41" s="50">
        <f ca="1">_xll.meLWOBondAccruedInterest($C$3,$I$46)</f>
        <v>0</v>
      </c>
      <c r="J41" s="50">
        <v>0</v>
      </c>
    </row>
    <row r="42" spans="1:30">
      <c r="B42" s="27" t="str">
        <f ca="1"/>
        <v>YIELDTYPE</v>
      </c>
      <c r="C42" s="11" t="str">
        <f ca="1"/>
        <v>YIELD-TO-MATURITY</v>
      </c>
      <c r="H42" s="73" t="s">
        <v>46</v>
      </c>
      <c r="I42" s="40">
        <f ca="1">_xll.meLWOBondCleanPrice($C$3,$I$46,$I$47)</f>
        <v>99.124401123409882</v>
      </c>
      <c r="J42" s="40">
        <v>99.124401000000006</v>
      </c>
      <c r="Z42" s="58"/>
    </row>
    <row r="43" spans="1:30">
      <c r="B43" s="27" t="str">
        <f ca="1"/>
        <v>CURRENCY</v>
      </c>
      <c r="C43" s="11" t="str">
        <f ca="1"/>
        <v>EUR</v>
      </c>
      <c r="E43" s="1" t="s">
        <v>34</v>
      </c>
      <c r="Z43" s="56"/>
      <c r="AA43" s="56"/>
      <c r="AB43" s="56"/>
      <c r="AD43" s="57"/>
    </row>
    <row r="44" spans="1:30">
      <c r="B44" s="27" t="str">
        <f ca="1"/>
        <v>ISIN</v>
      </c>
      <c r="C44" s="11" t="str">
        <f ca="1"/>
        <v>IT0005248395</v>
      </c>
      <c r="E44" s="21" t="b">
        <f ca="1">_xll.meLWOExists(C3,"BOND")</f>
        <v>1</v>
      </c>
    </row>
    <row r="45" spans="1:30">
      <c r="B45" s="27" t="str">
        <f ca="1"/>
        <v>ISCLEANPRICE</v>
      </c>
      <c r="C45" s="11" t="str">
        <f ca="1"/>
        <v>TRUE</v>
      </c>
      <c r="H45" s="1" t="s">
        <v>37</v>
      </c>
    </row>
    <row r="46" spans="1:30">
      <c r="B46" s="27" t="str">
        <f ca="1"/>
        <v>COUPON</v>
      </c>
      <c r="C46" s="30">
        <f ca="1"/>
        <v>0</v>
      </c>
      <c r="E46" s="44" t="s">
        <v>35</v>
      </c>
      <c r="H46" s="3" t="s">
        <v>40</v>
      </c>
      <c r="I46" s="8">
        <f ca="1">_xll.meDateFromTenor(TODAY(),"2D",C29,C30)</f>
        <v>42885</v>
      </c>
      <c r="L46" s="37"/>
    </row>
    <row r="47" spans="1:30">
      <c r="A47" s="20"/>
      <c r="B47" s="27" t="str">
        <f ca="1"/>
        <v>NOTIONALEXCHANGE</v>
      </c>
      <c r="C47" s="28" t="str">
        <f ca="1"/>
        <v>START_AND_END</v>
      </c>
      <c r="E47" s="45" t="str">
        <f t="array" aca="1" ref="E47:E65" ca="1">_xll.meUtilityResize(_xll.meLWOList("BOND"),20,1)</f>
        <v>AN1045482 GOVT@2</v>
      </c>
      <c r="H47" s="15" t="s">
        <v>71</v>
      </c>
      <c r="I47" s="60">
        <v>0.01</v>
      </c>
    </row>
    <row r="48" spans="1:30">
      <c r="B48" s="27" t="str">
        <f ca="1"/>
        <v>FACEVALUE</v>
      </c>
      <c r="C48" s="70">
        <f ca="1"/>
        <v>1000000</v>
      </c>
      <c r="E48" s="46" t="str">
        <f ca="1"/>
        <v>EI6037572 GOVT@1</v>
      </c>
    </row>
    <row r="49" spans="1:25">
      <c r="B49" s="27" t="str">
        <f ca="1"/>
        <v>ISSUEDATE</v>
      </c>
      <c r="C49" s="29">
        <f ca="1"/>
        <v>42838</v>
      </c>
      <c r="E49" s="46" t="str">
        <f ca="1"/>
        <v>EK3526614 GOVT@1</v>
      </c>
      <c r="H49" s="33" t="str">
        <f t="array" aca="1" ref="H49:S61" ca="1">_xll.meLWOBondDisplayCashflows($C$3,$I$46,$I$47,TRUE)</f>
        <v>AccrualStart</v>
      </c>
      <c r="I49" s="34" t="str">
        <f ca="1"/>
        <v>AccrualEnd</v>
      </c>
      <c r="J49" s="35" t="str">
        <f ca="1"/>
        <v>AccrualYearFractions</v>
      </c>
      <c r="K49" s="32" t="str">
        <f ca="1"/>
        <v>TrueYieldYearFractions</v>
      </c>
      <c r="L49" s="34" t="str">
        <f ca="1"/>
        <v>PaymentDate</v>
      </c>
      <c r="M49" s="35" t="str">
        <f ca="1"/>
        <v>Notional</v>
      </c>
      <c r="N49" s="35" t="str">
        <f ca="1"/>
        <v>NotionalExchange</v>
      </c>
      <c r="O49" s="32" t="str">
        <f ca="1"/>
        <v>Leverage</v>
      </c>
      <c r="P49" s="36" t="str">
        <f ca="1"/>
        <v>FixedRate</v>
      </c>
      <c r="Q49" s="33" t="str">
        <f ca="1"/>
        <v>Coupon</v>
      </c>
      <c r="R49" s="34" t="str">
        <f ca="1"/>
        <v>DiscountFactor</v>
      </c>
      <c r="S49" s="35" t="str">
        <f ca="1"/>
        <v>CouponPV</v>
      </c>
      <c r="Y49" s="59"/>
    </row>
    <row r="50" spans="1:25">
      <c r="B50" s="27" t="str">
        <f ca="1"/>
        <v>MATURITYDATE</v>
      </c>
      <c r="C50" s="30">
        <f ca="1"/>
        <v>43203</v>
      </c>
      <c r="E50" s="46" t="str">
        <f ca="1"/>
        <v/>
      </c>
      <c r="H50" s="22" t="str">
        <f ca="1"/>
        <v/>
      </c>
      <c r="I50" s="23" t="str">
        <f ca="1"/>
        <v/>
      </c>
      <c r="J50" s="13" t="str">
        <f ca="1"/>
        <v/>
      </c>
      <c r="K50" s="24" t="str">
        <f ca="1"/>
        <v/>
      </c>
      <c r="L50" s="23">
        <f ca="1"/>
        <v>42838</v>
      </c>
      <c r="M50" s="10" t="str">
        <f ca="1"/>
        <v/>
      </c>
      <c r="N50" s="10">
        <f ca="1"/>
        <v>-1000000</v>
      </c>
      <c r="O50" s="24">
        <f ca="1"/>
        <v>1</v>
      </c>
      <c r="P50" s="25" t="str">
        <f ca="1"/>
        <v/>
      </c>
      <c r="Q50" s="10">
        <f ca="1"/>
        <v>-1000000</v>
      </c>
      <c r="R50" s="51">
        <f ca="1"/>
        <v>0</v>
      </c>
      <c r="S50" s="10">
        <f ca="1"/>
        <v>0</v>
      </c>
      <c r="Y50" s="59"/>
    </row>
    <row r="51" spans="1:25">
      <c r="B51" s="27" t="str">
        <f ca="1"/>
        <v>ACCRUALSTARTDATE</v>
      </c>
      <c r="C51" s="29" t="str">
        <f ca="1"/>
        <v/>
      </c>
      <c r="E51" s="47" t="str">
        <f ca="1"/>
        <v/>
      </c>
      <c r="H51" s="22">
        <f ca="1"/>
        <v>42838</v>
      </c>
      <c r="I51" s="23">
        <f ca="1"/>
        <v>43203</v>
      </c>
      <c r="J51" s="13">
        <f ca="1"/>
        <v>1</v>
      </c>
      <c r="K51" s="24">
        <f ca="1"/>
        <v>1.0138888888888888</v>
      </c>
      <c r="L51" s="23">
        <f ca="1"/>
        <v>43203</v>
      </c>
      <c r="M51" s="10">
        <f ca="1"/>
        <v>1000000</v>
      </c>
      <c r="N51" s="10">
        <f ca="1"/>
        <v>1000000</v>
      </c>
      <c r="O51" s="24">
        <f ca="1"/>
        <v>1</v>
      </c>
      <c r="P51" s="25">
        <f ca="1"/>
        <v>0</v>
      </c>
      <c r="Q51" s="10">
        <f ca="1"/>
        <v>1000000</v>
      </c>
      <c r="R51" s="51">
        <f ca="1"/>
        <v>0.99124401123409889</v>
      </c>
      <c r="S51" s="10">
        <f ca="1"/>
        <v>991244.01123409893</v>
      </c>
      <c r="Y51" s="59"/>
    </row>
    <row r="52" spans="1:25">
      <c r="B52" s="27" t="str">
        <f ca="1"/>
        <v>FIRSTCOUPONDATE</v>
      </c>
      <c r="C52" s="29" t="str">
        <f ca="1"/>
        <v/>
      </c>
      <c r="E52" s="47" t="str">
        <f ca="1"/>
        <v/>
      </c>
      <c r="H52" s="22" t="e">
        <f ca="1"/>
        <v>#N/A</v>
      </c>
      <c r="I52" s="23" t="e">
        <f ca="1"/>
        <v>#N/A</v>
      </c>
      <c r="J52" s="13" t="e">
        <f ca="1"/>
        <v>#N/A</v>
      </c>
      <c r="K52" s="24" t="e">
        <f ca="1"/>
        <v>#N/A</v>
      </c>
      <c r="L52" s="23" t="e">
        <f ca="1"/>
        <v>#N/A</v>
      </c>
      <c r="M52" s="10" t="e">
        <f ca="1"/>
        <v>#N/A</v>
      </c>
      <c r="N52" s="10" t="e">
        <f ca="1"/>
        <v>#N/A</v>
      </c>
      <c r="O52" s="24" t="e">
        <f ca="1"/>
        <v>#N/A</v>
      </c>
      <c r="P52" s="25" t="e">
        <f ca="1"/>
        <v>#N/A</v>
      </c>
      <c r="Q52" s="10" t="e">
        <f ca="1"/>
        <v>#N/A</v>
      </c>
      <c r="R52" s="51" t="e">
        <f ca="1"/>
        <v>#N/A</v>
      </c>
      <c r="S52" s="10" t="e">
        <f ca="1"/>
        <v>#N/A</v>
      </c>
      <c r="Y52" s="59"/>
    </row>
    <row r="53" spans="1:25">
      <c r="B53" s="27" t="str">
        <f ca="1"/>
        <v>LASTCOUPONDATE</v>
      </c>
      <c r="C53" s="29" t="str">
        <f ca="1"/>
        <v/>
      </c>
      <c r="E53" s="47" t="str">
        <f ca="1"/>
        <v/>
      </c>
      <c r="H53" s="22" t="e">
        <f ca="1"/>
        <v>#N/A</v>
      </c>
      <c r="I53" s="23" t="e">
        <f ca="1"/>
        <v>#N/A</v>
      </c>
      <c r="J53" s="13" t="e">
        <f ca="1"/>
        <v>#N/A</v>
      </c>
      <c r="K53" s="24" t="e">
        <f ca="1"/>
        <v>#N/A</v>
      </c>
      <c r="L53" s="23" t="e">
        <f ca="1"/>
        <v>#N/A</v>
      </c>
      <c r="M53" s="10" t="e">
        <f ca="1"/>
        <v>#N/A</v>
      </c>
      <c r="N53" s="10" t="e">
        <f ca="1"/>
        <v>#N/A</v>
      </c>
      <c r="O53" s="24" t="e">
        <f ca="1"/>
        <v>#N/A</v>
      </c>
      <c r="P53" s="25" t="e">
        <f ca="1"/>
        <v>#N/A</v>
      </c>
      <c r="Q53" s="10" t="e">
        <f ca="1"/>
        <v>#N/A</v>
      </c>
      <c r="R53" s="51" t="e">
        <f ca="1"/>
        <v>#N/A</v>
      </c>
      <c r="S53" s="10" t="e">
        <f ca="1"/>
        <v>#N/A</v>
      </c>
    </row>
    <row r="54" spans="1:25">
      <c r="B54" s="27" t="str">
        <f ca="1"/>
        <v>FREQUENCY</v>
      </c>
      <c r="C54" s="29" t="str">
        <f ca="1"/>
        <v>Annual</v>
      </c>
      <c r="E54" s="47" t="str">
        <f ca="1"/>
        <v/>
      </c>
      <c r="H54" s="22" t="e">
        <f ca="1"/>
        <v>#N/A</v>
      </c>
      <c r="I54" s="23" t="e">
        <f ca="1"/>
        <v>#N/A</v>
      </c>
      <c r="J54" s="13" t="e">
        <f ca="1"/>
        <v>#N/A</v>
      </c>
      <c r="K54" s="24" t="e">
        <f ca="1"/>
        <v>#N/A</v>
      </c>
      <c r="L54" s="23" t="e">
        <f ca="1"/>
        <v>#N/A</v>
      </c>
      <c r="M54" s="10" t="e">
        <f ca="1"/>
        <v>#N/A</v>
      </c>
      <c r="N54" s="10" t="e">
        <f ca="1"/>
        <v>#N/A</v>
      </c>
      <c r="O54" s="24" t="e">
        <f ca="1"/>
        <v>#N/A</v>
      </c>
      <c r="P54" s="25" t="e">
        <f ca="1"/>
        <v>#N/A</v>
      </c>
      <c r="Q54" s="10" t="e">
        <f ca="1"/>
        <v>#N/A</v>
      </c>
      <c r="R54" s="51" t="e">
        <f ca="1"/>
        <v>#N/A</v>
      </c>
      <c r="S54" s="10" t="e">
        <f ca="1"/>
        <v>#N/A</v>
      </c>
    </row>
    <row r="55" spans="1:25">
      <c r="B55" s="27" t="str">
        <f ca="1"/>
        <v>ACCRUALBUSINESSDAYADJUSTMENT</v>
      </c>
      <c r="C55" s="29" t="str">
        <f ca="1"/>
        <v>MOD_FOLLOWING</v>
      </c>
      <c r="E55" s="47" t="str">
        <f ca="1"/>
        <v/>
      </c>
      <c r="H55" s="22" t="e">
        <f ca="1"/>
        <v>#N/A</v>
      </c>
      <c r="I55" s="23" t="e">
        <f ca="1"/>
        <v>#N/A</v>
      </c>
      <c r="J55" s="13" t="e">
        <f ca="1"/>
        <v>#N/A</v>
      </c>
      <c r="K55" s="24" t="e">
        <f ca="1"/>
        <v>#N/A</v>
      </c>
      <c r="L55" s="23" t="e">
        <f ca="1"/>
        <v>#N/A</v>
      </c>
      <c r="M55" s="10" t="e">
        <f ca="1"/>
        <v>#N/A</v>
      </c>
      <c r="N55" s="10" t="e">
        <f ca="1"/>
        <v>#N/A</v>
      </c>
      <c r="O55" s="24" t="e">
        <f ca="1"/>
        <v>#N/A</v>
      </c>
      <c r="P55" s="25" t="e">
        <f ca="1"/>
        <v>#N/A</v>
      </c>
      <c r="Q55" s="10" t="e">
        <f ca="1"/>
        <v>#N/A</v>
      </c>
      <c r="R55" s="51" t="e">
        <f ca="1"/>
        <v>#N/A</v>
      </c>
      <c r="S55" s="10" t="e">
        <f ca="1"/>
        <v>#N/A</v>
      </c>
    </row>
    <row r="56" spans="1:25">
      <c r="B56" s="27" t="str">
        <f ca="1"/>
        <v>YIELDFREQUENCY</v>
      </c>
      <c r="C56" s="30" t="str">
        <f ca="1"/>
        <v>Annual</v>
      </c>
      <c r="E56" s="47" t="str">
        <f ca="1"/>
        <v/>
      </c>
      <c r="H56" s="22" t="e">
        <f ca="1"/>
        <v>#N/A</v>
      </c>
      <c r="I56" s="23" t="e">
        <f ca="1"/>
        <v>#N/A</v>
      </c>
      <c r="J56" s="13" t="e">
        <f ca="1"/>
        <v>#N/A</v>
      </c>
      <c r="K56" s="24" t="e">
        <f ca="1"/>
        <v>#N/A</v>
      </c>
      <c r="L56" s="23" t="e">
        <f ca="1"/>
        <v>#N/A</v>
      </c>
      <c r="M56" s="10" t="e">
        <f ca="1"/>
        <v>#N/A</v>
      </c>
      <c r="N56" s="10" t="e">
        <f ca="1"/>
        <v>#N/A</v>
      </c>
      <c r="O56" s="24" t="e">
        <f ca="1"/>
        <v>#N/A</v>
      </c>
      <c r="P56" s="25" t="e">
        <f ca="1"/>
        <v>#N/A</v>
      </c>
      <c r="Q56" s="10" t="e">
        <f ca="1"/>
        <v>#N/A</v>
      </c>
      <c r="R56" s="51" t="e">
        <f ca="1"/>
        <v>#N/A</v>
      </c>
      <c r="S56" s="10" t="e">
        <f ca="1"/>
        <v>#N/A</v>
      </c>
    </row>
    <row r="57" spans="1:25">
      <c r="B57" s="27" t="str">
        <f ca="1"/>
        <v>ACCRUALCALENDAR</v>
      </c>
      <c r="C57" s="30" t="str">
        <f ca="1"/>
        <v>TGT</v>
      </c>
      <c r="E57" s="47" t="str">
        <f ca="1"/>
        <v/>
      </c>
      <c r="H57" s="22" t="e">
        <f ca="1"/>
        <v>#N/A</v>
      </c>
      <c r="I57" s="23" t="e">
        <f ca="1"/>
        <v>#N/A</v>
      </c>
      <c r="J57" s="13" t="e">
        <f ca="1"/>
        <v>#N/A</v>
      </c>
      <c r="K57" s="24" t="e">
        <f ca="1"/>
        <v>#N/A</v>
      </c>
      <c r="L57" s="23" t="e">
        <f ca="1"/>
        <v>#N/A</v>
      </c>
      <c r="M57" s="10" t="e">
        <f ca="1"/>
        <v>#N/A</v>
      </c>
      <c r="N57" s="10" t="e">
        <f ca="1"/>
        <v>#N/A</v>
      </c>
      <c r="O57" s="24" t="e">
        <f ca="1"/>
        <v>#N/A</v>
      </c>
      <c r="P57" s="25" t="e">
        <f ca="1"/>
        <v>#N/A</v>
      </c>
      <c r="Q57" s="10" t="e">
        <f ca="1"/>
        <v>#N/A</v>
      </c>
      <c r="R57" s="51" t="e">
        <f ca="1"/>
        <v>#N/A</v>
      </c>
      <c r="S57" s="10" t="e">
        <f ca="1"/>
        <v>#N/A</v>
      </c>
    </row>
    <row r="58" spans="1:25">
      <c r="B58" s="27" t="str">
        <f ca="1"/>
        <v>PAYMENTBUSINESSDAYADJUSTMENT</v>
      </c>
      <c r="C58" s="70" t="str">
        <f ca="1"/>
        <v>NO_CHANGE</v>
      </c>
      <c r="E58" s="47" t="str">
        <f ca="1"/>
        <v/>
      </c>
      <c r="H58" s="22" t="e">
        <f ca="1"/>
        <v>#N/A</v>
      </c>
      <c r="I58" s="23" t="e">
        <f ca="1"/>
        <v>#N/A</v>
      </c>
      <c r="J58" s="13" t="e">
        <f ca="1"/>
        <v>#N/A</v>
      </c>
      <c r="K58" s="24" t="e">
        <f ca="1"/>
        <v>#N/A</v>
      </c>
      <c r="L58" s="23" t="e">
        <f ca="1"/>
        <v>#N/A</v>
      </c>
      <c r="M58" s="10" t="e">
        <f ca="1"/>
        <v>#N/A</v>
      </c>
      <c r="N58" s="10" t="e">
        <f ca="1"/>
        <v>#N/A</v>
      </c>
      <c r="O58" s="24" t="e">
        <f ca="1"/>
        <v>#N/A</v>
      </c>
      <c r="P58" s="25" t="e">
        <f ca="1"/>
        <v>#N/A</v>
      </c>
      <c r="Q58" s="10" t="e">
        <f ca="1"/>
        <v>#N/A</v>
      </c>
      <c r="R58" s="51" t="e">
        <f ca="1"/>
        <v>#N/A</v>
      </c>
      <c r="S58" s="10" t="e">
        <f ca="1"/>
        <v>#N/A</v>
      </c>
    </row>
    <row r="59" spans="1:25">
      <c r="B59" s="27" t="str">
        <f ca="1"/>
        <v>PAYMENTCALENDAR</v>
      </c>
      <c r="C59" s="30" t="str">
        <f ca="1"/>
        <v>TGT</v>
      </c>
      <c r="E59" s="47" t="str">
        <f ca="1"/>
        <v/>
      </c>
      <c r="H59" s="22" t="e">
        <f ca="1"/>
        <v>#N/A</v>
      </c>
      <c r="I59" s="23" t="e">
        <f ca="1"/>
        <v>#N/A</v>
      </c>
      <c r="J59" s="13" t="e">
        <f ca="1"/>
        <v>#N/A</v>
      </c>
      <c r="K59" s="24" t="e">
        <f ca="1"/>
        <v>#N/A</v>
      </c>
      <c r="L59" s="23" t="e">
        <f ca="1"/>
        <v>#N/A</v>
      </c>
      <c r="M59" s="10" t="e">
        <f ca="1"/>
        <v>#N/A</v>
      </c>
      <c r="N59" s="10" t="e">
        <f ca="1"/>
        <v>#N/A</v>
      </c>
      <c r="O59" s="24" t="e">
        <f ca="1"/>
        <v>#N/A</v>
      </c>
      <c r="P59" s="25" t="e">
        <f ca="1"/>
        <v>#N/A</v>
      </c>
      <c r="Q59" s="10" t="e">
        <f ca="1"/>
        <v>#N/A</v>
      </c>
      <c r="R59" s="51" t="e">
        <f ca="1"/>
        <v>#N/A</v>
      </c>
      <c r="S59" s="10" t="e">
        <f ca="1"/>
        <v>#N/A</v>
      </c>
    </row>
    <row r="60" spans="1:25">
      <c r="B60" s="27" t="str">
        <f ca="1"/>
        <v>PAYMENTLAG</v>
      </c>
      <c r="C60" s="30" t="str">
        <f ca="1"/>
        <v>0D</v>
      </c>
      <c r="E60" s="47" t="str">
        <f ca="1"/>
        <v/>
      </c>
      <c r="H60" s="22" t="e">
        <f ca="1"/>
        <v>#N/A</v>
      </c>
      <c r="I60" s="23" t="e">
        <f ca="1"/>
        <v>#N/A</v>
      </c>
      <c r="J60" s="13" t="e">
        <f ca="1"/>
        <v>#N/A</v>
      </c>
      <c r="K60" s="24" t="e">
        <f ca="1"/>
        <v>#N/A</v>
      </c>
      <c r="L60" s="23" t="e">
        <f ca="1"/>
        <v>#N/A</v>
      </c>
      <c r="M60" s="10" t="e">
        <f ca="1"/>
        <v>#N/A</v>
      </c>
      <c r="N60" s="10" t="e">
        <f ca="1"/>
        <v>#N/A</v>
      </c>
      <c r="O60" s="24" t="e">
        <f ca="1"/>
        <v>#N/A</v>
      </c>
      <c r="P60" s="25" t="e">
        <f ca="1"/>
        <v>#N/A</v>
      </c>
      <c r="Q60" s="10" t="e">
        <f ca="1"/>
        <v>#N/A</v>
      </c>
      <c r="R60" s="51" t="e">
        <f ca="1"/>
        <v>#N/A</v>
      </c>
      <c r="S60" s="10" t="e">
        <f ca="1"/>
        <v>#N/A</v>
      </c>
    </row>
    <row r="61" spans="1:25">
      <c r="B61" s="27" t="str">
        <f ca="1"/>
        <v>DAYCOUNT</v>
      </c>
      <c r="C61" s="30" t="str">
        <f ca="1"/>
        <v>ACT/360</v>
      </c>
      <c r="E61" s="47" t="str">
        <f ca="1"/>
        <v/>
      </c>
      <c r="H61" s="22" t="e">
        <f ca="1"/>
        <v>#N/A</v>
      </c>
      <c r="I61" s="23" t="e">
        <f ca="1"/>
        <v>#N/A</v>
      </c>
      <c r="J61" s="13" t="e">
        <f ca="1"/>
        <v>#N/A</v>
      </c>
      <c r="K61" s="24" t="e">
        <f ca="1"/>
        <v>#N/A</v>
      </c>
      <c r="L61" s="23" t="e">
        <f ca="1"/>
        <v>#N/A</v>
      </c>
      <c r="M61" s="10" t="e">
        <f ca="1"/>
        <v>#N/A</v>
      </c>
      <c r="N61" s="10" t="e">
        <f ca="1"/>
        <v>#N/A</v>
      </c>
      <c r="O61" s="24" t="e">
        <f ca="1"/>
        <v>#N/A</v>
      </c>
      <c r="P61" s="25" t="e">
        <f ca="1"/>
        <v>#N/A</v>
      </c>
      <c r="Q61" s="10" t="e">
        <f ca="1"/>
        <v>#N/A</v>
      </c>
      <c r="R61" s="51" t="e">
        <f ca="1"/>
        <v>#N/A</v>
      </c>
      <c r="S61" s="10" t="e">
        <f ca="1"/>
        <v>#N/A</v>
      </c>
    </row>
    <row r="62" spans="1:25">
      <c r="A62" s="73" t="s">
        <v>17</v>
      </c>
      <c r="B62" s="27" t="str">
        <f ca="1"/>
        <v>CALCULATIONTYPE</v>
      </c>
      <c r="C62" s="30" t="str">
        <f ca="1"/>
        <v>TYPE527</v>
      </c>
      <c r="E62" s="47" t="str">
        <f ca="1"/>
        <v/>
      </c>
      <c r="H62" s="22"/>
      <c r="I62" s="23"/>
      <c r="J62" s="13"/>
      <c r="K62" s="24"/>
      <c r="L62" s="23"/>
      <c r="M62" s="10"/>
      <c r="N62" s="10"/>
      <c r="O62" s="24"/>
      <c r="P62" s="25"/>
      <c r="Q62" s="10"/>
      <c r="R62" s="51"/>
      <c r="S62" s="10"/>
    </row>
    <row r="63" spans="1:25">
      <c r="A63" s="73" t="s">
        <v>17</v>
      </c>
      <c r="B63" s="27" t="str">
        <f ca="1"/>
        <v/>
      </c>
      <c r="C63" s="30" t="str">
        <f ca="1"/>
        <v/>
      </c>
      <c r="E63" s="47" t="str">
        <f ca="1"/>
        <v/>
      </c>
    </row>
    <row r="64" spans="1:25">
      <c r="A64" s="73" t="s">
        <v>17</v>
      </c>
      <c r="B64" s="27" t="str">
        <f ca="1"/>
        <v/>
      </c>
      <c r="C64" s="30" t="str">
        <f ca="1"/>
        <v/>
      </c>
      <c r="E64" s="47" t="str">
        <f ca="1"/>
        <v/>
      </c>
    </row>
    <row r="65" spans="1:8">
      <c r="B65" s="31" t="str">
        <f ca="1"/>
        <v/>
      </c>
      <c r="C65" s="49" t="str">
        <f ca="1"/>
        <v/>
      </c>
      <c r="E65" s="48" t="str">
        <f ca="1"/>
        <v/>
      </c>
    </row>
    <row r="71" spans="1:8">
      <c r="A71" s="73" t="s">
        <v>17</v>
      </c>
    </row>
    <row r="72" spans="1:8">
      <c r="A72" s="73" t="s">
        <v>17</v>
      </c>
    </row>
    <row r="73" spans="1:8">
      <c r="A73" s="73" t="s">
        <v>17</v>
      </c>
    </row>
    <row r="74" spans="1:8">
      <c r="A74" s="73" t="s">
        <v>17</v>
      </c>
    </row>
    <row r="75" spans="1:8">
      <c r="A75" s="73" t="s">
        <v>17</v>
      </c>
    </row>
    <row r="76" spans="1:8">
      <c r="A76" s="73" t="s">
        <v>17</v>
      </c>
    </row>
    <row r="77" spans="1:8">
      <c r="A77" s="73" t="s">
        <v>17</v>
      </c>
    </row>
    <row r="78" spans="1:8">
      <c r="A78" s="73" t="s">
        <v>17</v>
      </c>
      <c r="H78" s="62"/>
    </row>
    <row r="79" spans="1:8">
      <c r="A79" s="73" t="s">
        <v>17</v>
      </c>
      <c r="H79" s="62"/>
    </row>
    <row r="80" spans="1:8">
      <c r="A80" s="73" t="s">
        <v>17</v>
      </c>
    </row>
    <row r="81" spans="1:3">
      <c r="A81" s="73" t="s">
        <v>17</v>
      </c>
    </row>
    <row r="82" spans="1:3">
      <c r="A82" s="73" t="s">
        <v>17</v>
      </c>
    </row>
    <row r="83" spans="1:3">
      <c r="A83" s="73" t="s">
        <v>17</v>
      </c>
      <c r="B83" s="18"/>
      <c r="C83" s="19"/>
    </row>
    <row r="84" spans="1:3">
      <c r="A84" s="73" t="s">
        <v>17</v>
      </c>
      <c r="B84" s="18"/>
      <c r="C84" s="39"/>
    </row>
    <row r="85" spans="1:3">
      <c r="A85" s="73" t="s">
        <v>17</v>
      </c>
      <c r="B85" s="18"/>
      <c r="C85" s="38"/>
    </row>
    <row r="86" spans="1:3">
      <c r="A86" s="73" t="s">
        <v>17</v>
      </c>
      <c r="B86" s="18"/>
      <c r="C86" s="19"/>
    </row>
    <row r="87" spans="1:3">
      <c r="A87" s="73" t="s">
        <v>17</v>
      </c>
    </row>
    <row r="88" spans="1:3">
      <c r="A88" s="73" t="s">
        <v>17</v>
      </c>
    </row>
    <row r="89" spans="1:3">
      <c r="A89" s="73" t="s">
        <v>17</v>
      </c>
    </row>
    <row r="90" spans="1:3">
      <c r="A90" s="73" t="s">
        <v>17</v>
      </c>
    </row>
    <row r="91" spans="1:3">
      <c r="A91" s="73" t="s">
        <v>17</v>
      </c>
    </row>
    <row r="92" spans="1:3">
      <c r="A92" s="73" t="s">
        <v>17</v>
      </c>
    </row>
    <row r="93" spans="1:3">
      <c r="A93" s="73" t="s">
        <v>17</v>
      </c>
    </row>
    <row r="94" spans="1:3">
      <c r="A94" s="73" t="s">
        <v>17</v>
      </c>
    </row>
    <row r="95" spans="1:3">
      <c r="A95" s="73" t="s">
        <v>17</v>
      </c>
    </row>
    <row r="96" spans="1:3">
      <c r="A96" s="73" t="s">
        <v>17</v>
      </c>
    </row>
    <row r="97" spans="1:1">
      <c r="A97" s="73" t="s">
        <v>17</v>
      </c>
    </row>
    <row r="98" spans="1:1">
      <c r="A98" s="73" t="s">
        <v>17</v>
      </c>
    </row>
    <row r="99" spans="1:1">
      <c r="A99" s="73" t="s">
        <v>17</v>
      </c>
    </row>
    <row r="100" spans="1:1">
      <c r="A100" s="73" t="s">
        <v>17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00"/>
  <sheetViews>
    <sheetView tabSelected="1" topLeftCell="B10" workbookViewId="0">
      <selection activeCell="I44" sqref="I44"/>
    </sheetView>
  </sheetViews>
  <sheetFormatPr defaultRowHeight="15"/>
  <cols>
    <col min="1" max="1" width="9.140625" style="73"/>
    <col min="2" max="2" width="27.5703125" style="73" customWidth="1"/>
    <col min="3" max="3" width="39.140625" style="73" customWidth="1"/>
    <col min="4" max="4" width="19.5703125" style="73" customWidth="1"/>
    <col min="5" max="5" width="20.85546875" style="73" customWidth="1"/>
    <col min="6" max="6" width="27" style="73" bestFit="1" customWidth="1"/>
    <col min="7" max="7" width="9.140625" style="73"/>
    <col min="8" max="8" width="28.140625" style="73" customWidth="1"/>
    <col min="9" max="9" width="11.140625" style="73" bestFit="1" customWidth="1"/>
    <col min="10" max="10" width="14" style="73" customWidth="1"/>
    <col min="11" max="11" width="21" style="73" customWidth="1"/>
    <col min="12" max="12" width="17.140625" style="73" customWidth="1"/>
    <col min="13" max="13" width="19.42578125" style="73" customWidth="1"/>
    <col min="14" max="14" width="17.5703125" style="73" customWidth="1"/>
    <col min="15" max="15" width="13" style="73" customWidth="1"/>
    <col min="16" max="16" width="11.5703125" style="73" customWidth="1"/>
    <col min="17" max="17" width="9.85546875" style="73" bestFit="1" customWidth="1"/>
    <col min="18" max="18" width="14.28515625" style="73" bestFit="1" customWidth="1"/>
    <col min="19" max="19" width="13.28515625" style="73" customWidth="1"/>
    <col min="20" max="20" width="17.42578125" style="73" customWidth="1"/>
    <col min="21" max="21" width="13" style="73" customWidth="1"/>
    <col min="22" max="22" width="15" style="73" customWidth="1"/>
    <col min="23" max="23" width="24.28515625" style="73" customWidth="1"/>
    <col min="24" max="24" width="18.85546875" style="73" customWidth="1"/>
    <col min="25" max="25" width="21.5703125" style="73" customWidth="1"/>
    <col min="26" max="26" width="19.7109375" style="73" customWidth="1"/>
    <col min="27" max="28" width="22" style="73" customWidth="1"/>
    <col min="29" max="29" width="15.5703125" style="73" customWidth="1"/>
    <col min="30" max="16384" width="9.140625" style="73"/>
  </cols>
  <sheetData>
    <row r="1" spans="2:10">
      <c r="H1" s="14"/>
      <c r="I1" s="14"/>
      <c r="J1" s="14"/>
    </row>
    <row r="2" spans="2:10">
      <c r="H2" s="41"/>
      <c r="I2" s="42"/>
      <c r="J2" s="41"/>
    </row>
    <row r="3" spans="2:10">
      <c r="B3" s="1" t="s">
        <v>14</v>
      </c>
      <c r="C3" s="74" t="str">
        <f ca="1">_xll.meLWOBondCreate(C4,B7:C13,B16:C35,TRUE)</f>
        <v>AL4007319 GOVT@3:0</v>
      </c>
      <c r="D3" s="73" t="s">
        <v>17</v>
      </c>
      <c r="I3" s="40"/>
    </row>
    <row r="4" spans="2:10">
      <c r="B4" s="16" t="s">
        <v>29</v>
      </c>
      <c r="C4" s="17" t="str">
        <f ca="1">C7</f>
        <v>AL4007319 Govt</v>
      </c>
      <c r="I4" s="42"/>
    </row>
    <row r="5" spans="2:10">
      <c r="I5" s="37"/>
    </row>
    <row r="6" spans="2:10">
      <c r="B6" s="1" t="s">
        <v>11</v>
      </c>
    </row>
    <row r="7" spans="2:10">
      <c r="B7" s="5" t="s">
        <v>25</v>
      </c>
      <c r="C7" s="6" t="s">
        <v>68</v>
      </c>
    </row>
    <row r="8" spans="2:10">
      <c r="B8" s="5" t="s">
        <v>15</v>
      </c>
      <c r="C8" s="6" t="s">
        <v>16</v>
      </c>
    </row>
    <row r="9" spans="2:10">
      <c r="B9" s="5" t="s">
        <v>19</v>
      </c>
      <c r="C9" s="6" t="s">
        <v>56</v>
      </c>
    </row>
    <row r="10" spans="2:10">
      <c r="B10" s="5" t="s">
        <v>10</v>
      </c>
      <c r="C10" s="6" t="s">
        <v>69</v>
      </c>
    </row>
    <row r="11" spans="2:10">
      <c r="B11" s="5" t="s">
        <v>20</v>
      </c>
      <c r="C11" s="6" t="s">
        <v>22</v>
      </c>
    </row>
    <row r="12" spans="2:10">
      <c r="B12" s="5" t="s">
        <v>23</v>
      </c>
      <c r="C12" s="6" t="b">
        <v>1</v>
      </c>
    </row>
    <row r="13" spans="2:10">
      <c r="B13" s="5" t="s">
        <v>42</v>
      </c>
      <c r="C13" s="6" t="s">
        <v>41</v>
      </c>
    </row>
    <row r="15" spans="2:10">
      <c r="B15" s="1" t="s">
        <v>21</v>
      </c>
    </row>
    <row r="16" spans="2:10">
      <c r="B16" s="3" t="s">
        <v>0</v>
      </c>
      <c r="C16" s="4" t="s">
        <v>36</v>
      </c>
    </row>
    <row r="17" spans="2:4">
      <c r="B17" s="12" t="s">
        <v>38</v>
      </c>
      <c r="C17" s="6" t="s">
        <v>39</v>
      </c>
    </row>
    <row r="18" spans="2:4">
      <c r="B18" s="12" t="s">
        <v>26</v>
      </c>
      <c r="C18" s="65">
        <v>1000000</v>
      </c>
    </row>
    <row r="19" spans="2:4">
      <c r="B19" s="12" t="s">
        <v>27</v>
      </c>
      <c r="C19" s="7">
        <v>42703</v>
      </c>
    </row>
    <row r="20" spans="2:4">
      <c r="B20" s="12" t="s">
        <v>63</v>
      </c>
      <c r="C20" s="66"/>
      <c r="D20" s="75"/>
    </row>
    <row r="21" spans="2:4">
      <c r="B21" s="12" t="s">
        <v>28</v>
      </c>
      <c r="C21" s="7"/>
      <c r="D21" s="59"/>
    </row>
    <row r="22" spans="2:4">
      <c r="B22" s="12" t="s">
        <v>30</v>
      </c>
      <c r="C22" s="7"/>
    </row>
    <row r="23" spans="2:4">
      <c r="B23" s="12" t="s">
        <v>1</v>
      </c>
      <c r="C23" s="7">
        <v>43462</v>
      </c>
    </row>
    <row r="24" spans="2:4">
      <c r="B24" s="12" t="s">
        <v>24</v>
      </c>
      <c r="C24" s="68">
        <v>0</v>
      </c>
    </row>
    <row r="25" spans="2:4">
      <c r="B25" s="12" t="s">
        <v>2</v>
      </c>
      <c r="C25" s="6" t="s">
        <v>59</v>
      </c>
    </row>
    <row r="26" spans="2:4">
      <c r="B26" s="71" t="s">
        <v>58</v>
      </c>
      <c r="C26" s="55" t="s">
        <v>59</v>
      </c>
    </row>
    <row r="27" spans="2:4">
      <c r="B27" s="71"/>
      <c r="C27" s="67"/>
    </row>
    <row r="28" spans="2:4">
      <c r="B28" s="71"/>
      <c r="C28" s="55"/>
    </row>
    <row r="29" spans="2:4">
      <c r="B29" s="12" t="s">
        <v>5</v>
      </c>
      <c r="C29" s="6" t="s">
        <v>3</v>
      </c>
    </row>
    <row r="30" spans="2:4">
      <c r="B30" s="12" t="s">
        <v>6</v>
      </c>
      <c r="C30" s="64" t="s">
        <v>57</v>
      </c>
    </row>
    <row r="31" spans="2:4">
      <c r="B31" s="12" t="s">
        <v>7</v>
      </c>
      <c r="C31" s="6" t="s">
        <v>48</v>
      </c>
    </row>
    <row r="32" spans="2:4">
      <c r="B32" s="12" t="s">
        <v>8</v>
      </c>
      <c r="C32" s="64" t="s">
        <v>57</v>
      </c>
    </row>
    <row r="33" spans="1:30">
      <c r="B33" s="12" t="s">
        <v>9</v>
      </c>
      <c r="C33" s="6" t="s">
        <v>13</v>
      </c>
    </row>
    <row r="34" spans="1:30">
      <c r="B34" s="12" t="s">
        <v>4</v>
      </c>
      <c r="C34" s="6" t="s">
        <v>53</v>
      </c>
    </row>
    <row r="35" spans="1:30">
      <c r="B35" s="12" t="s">
        <v>18</v>
      </c>
      <c r="C35" s="63" t="s">
        <v>70</v>
      </c>
      <c r="Z35" s="5"/>
      <c r="AA35" s="6"/>
    </row>
    <row r="36" spans="1:30">
      <c r="X36" s="53"/>
    </row>
    <row r="37" spans="1:30">
      <c r="B37" s="1" t="s">
        <v>33</v>
      </c>
      <c r="E37" s="1" t="s">
        <v>31</v>
      </c>
    </row>
    <row r="38" spans="1:30">
      <c r="B38" s="26" t="str">
        <f t="array" aca="1" ref="B38:C65" ca="1">_xll.meUtilityResize(_xll.meLWOBondDisplay(C3),30,10)</f>
        <v>BONDDESCRIPTION</v>
      </c>
      <c r="C38" s="9" t="str">
        <f ca="1"/>
        <v>AL4007319 Govt</v>
      </c>
      <c r="E38" s="54" t="s">
        <v>49</v>
      </c>
      <c r="I38" s="69" t="s">
        <v>64</v>
      </c>
      <c r="J38" s="69" t="s">
        <v>47</v>
      </c>
    </row>
    <row r="39" spans="1:30">
      <c r="B39" s="27" t="str">
        <f ca="1"/>
        <v>BONDTYPE</v>
      </c>
      <c r="C39" s="11" t="str">
        <f ca="1"/>
        <v>FIXED</v>
      </c>
      <c r="H39" s="73" t="s">
        <v>43</v>
      </c>
      <c r="I39" s="43">
        <f ca="1">_xll.meLWOBondDirtyPrice($C$3,$I$46,$I$47)</f>
        <v>98.439336453940399</v>
      </c>
      <c r="J39" s="40">
        <v>98.439335999999997</v>
      </c>
      <c r="Y39" s="57"/>
    </row>
    <row r="40" spans="1:30">
      <c r="B40" s="27" t="str">
        <f ca="1"/>
        <v>PAYRECEIVE</v>
      </c>
      <c r="C40" s="11" t="str">
        <f ca="1"/>
        <v>RECEIVE</v>
      </c>
      <c r="E40" s="1" t="s">
        <v>32</v>
      </c>
      <c r="H40" s="73" t="s">
        <v>44</v>
      </c>
      <c r="I40" s="38">
        <f ca="1">_xll.meLWOBondAccruedInterestDays($C$3,I46)</f>
        <v>153</v>
      </c>
      <c r="J40" s="18">
        <v>182</v>
      </c>
      <c r="K40" s="73">
        <f ca="1">L52-I46</f>
        <v>212</v>
      </c>
      <c r="Y40" s="57"/>
    </row>
    <row r="41" spans="1:30">
      <c r="B41" s="27" t="str">
        <f ca="1"/>
        <v>BONDQUOTECONVENTION</v>
      </c>
      <c r="C41" s="11" t="str">
        <f ca="1"/>
        <v>QUOTE_IN_32NDS</v>
      </c>
      <c r="E41" s="54" t="s">
        <v>50</v>
      </c>
      <c r="H41" s="73" t="s">
        <v>45</v>
      </c>
      <c r="I41" s="50">
        <f ca="1">_xll.meLWOBondAccruedInterest($C$3,$I$46)</f>
        <v>0</v>
      </c>
      <c r="J41" s="50">
        <v>0</v>
      </c>
    </row>
    <row r="42" spans="1:30">
      <c r="B42" s="27" t="str">
        <f ca="1"/>
        <v>YIELDTYPE</v>
      </c>
      <c r="C42" s="11" t="str">
        <f ca="1"/>
        <v>YIELD-TO-MATURITY</v>
      </c>
      <c r="H42" s="73" t="s">
        <v>46</v>
      </c>
      <c r="I42" s="40">
        <f ca="1">_xll.meLWOBondCleanPrice($C$3,$I$46,$I$47)</f>
        <v>98.439336453940399</v>
      </c>
      <c r="J42" s="40">
        <v>98.439335999999997</v>
      </c>
      <c r="Z42" s="58"/>
    </row>
    <row r="43" spans="1:30">
      <c r="B43" s="27" t="str">
        <f ca="1"/>
        <v>CURRENCY</v>
      </c>
      <c r="C43" s="11" t="str">
        <f ca="1"/>
        <v>EUR</v>
      </c>
      <c r="E43" s="1" t="s">
        <v>34</v>
      </c>
      <c r="Z43" s="56"/>
      <c r="AA43" s="56"/>
      <c r="AB43" s="56"/>
      <c r="AD43" s="57"/>
    </row>
    <row r="44" spans="1:30">
      <c r="B44" s="27" t="str">
        <f ca="1"/>
        <v>ISIN</v>
      </c>
      <c r="C44" s="11" t="str">
        <f ca="1"/>
        <v>IT0005221285</v>
      </c>
      <c r="E44" s="21" t="b">
        <f ca="1">_xll.meLWOExists(C3,"BOND")</f>
        <v>1</v>
      </c>
    </row>
    <row r="45" spans="1:30">
      <c r="B45" s="27" t="str">
        <f ca="1"/>
        <v>ISCLEANPRICE</v>
      </c>
      <c r="C45" s="11" t="str">
        <f ca="1"/>
        <v>TRUE</v>
      </c>
      <c r="H45" s="1" t="s">
        <v>37</v>
      </c>
    </row>
    <row r="46" spans="1:30">
      <c r="B46" s="27" t="str">
        <f ca="1"/>
        <v>COUPON</v>
      </c>
      <c r="C46" s="30">
        <f ca="1"/>
        <v>0</v>
      </c>
      <c r="E46" s="44" t="s">
        <v>35</v>
      </c>
      <c r="H46" s="3" t="s">
        <v>40</v>
      </c>
      <c r="I46" s="8">
        <f ca="1">_xll.meDateFromTenor(TODAY(),"2D",C29,C30)</f>
        <v>42885</v>
      </c>
      <c r="L46" s="37"/>
    </row>
    <row r="47" spans="1:30">
      <c r="A47" s="20"/>
      <c r="B47" s="27" t="str">
        <f ca="1"/>
        <v>NOTIONALEXCHANGE</v>
      </c>
      <c r="C47" s="28" t="str">
        <f ca="1"/>
        <v>START_AND_END</v>
      </c>
      <c r="E47" s="45" t="str">
        <f t="array" aca="1" ref="E47:E65" ca="1">_xll.meUtilityResize(_xll.meLWOList("BOND"),20,1)</f>
        <v>AN1045482 GOVT@2</v>
      </c>
      <c r="H47" s="15" t="s">
        <v>71</v>
      </c>
      <c r="I47" s="60">
        <v>0.01</v>
      </c>
    </row>
    <row r="48" spans="1:30">
      <c r="B48" s="27" t="str">
        <f ca="1"/>
        <v>FACEVALUE</v>
      </c>
      <c r="C48" s="70">
        <f ca="1"/>
        <v>1000000</v>
      </c>
      <c r="E48" s="46" t="str">
        <f ca="1"/>
        <v>EI6037572 GOVT@1</v>
      </c>
    </row>
    <row r="49" spans="1:25">
      <c r="B49" s="27" t="str">
        <f ca="1"/>
        <v>ISSUEDATE</v>
      </c>
      <c r="C49" s="29">
        <f ca="1"/>
        <v>42703</v>
      </c>
      <c r="E49" s="46" t="str">
        <f ca="1"/>
        <v>EK3526614 GOVT@1</v>
      </c>
      <c r="H49" s="33" t="str">
        <f t="array" aca="1" ref="H49:S61" ca="1">_xll.meLWOBondDisplayCashflows($C$3,$I$46,$I$47,TRUE)</f>
        <v>AccrualStart</v>
      </c>
      <c r="I49" s="34" t="str">
        <f ca="1"/>
        <v>AccrualEnd</v>
      </c>
      <c r="J49" s="35" t="str">
        <f ca="1"/>
        <v>AccrualYearFractions</v>
      </c>
      <c r="K49" s="32" t="str">
        <f ca="1"/>
        <v>TrueYieldYearFractions</v>
      </c>
      <c r="L49" s="34" t="str">
        <f ca="1"/>
        <v>PaymentDate</v>
      </c>
      <c r="M49" s="35" t="str">
        <f ca="1"/>
        <v>Notional</v>
      </c>
      <c r="N49" s="35" t="str">
        <f ca="1"/>
        <v>NotionalExchange</v>
      </c>
      <c r="O49" s="32" t="str">
        <f ca="1"/>
        <v>Leverage</v>
      </c>
      <c r="P49" s="36" t="str">
        <f ca="1"/>
        <v>FixedRate</v>
      </c>
      <c r="Q49" s="33" t="str">
        <f ca="1"/>
        <v>Coupon</v>
      </c>
      <c r="R49" s="34" t="str">
        <f ca="1"/>
        <v>DiscountFactor</v>
      </c>
      <c r="S49" s="35" t="str">
        <f ca="1"/>
        <v>CouponPV</v>
      </c>
      <c r="Y49" s="59"/>
    </row>
    <row r="50" spans="1:25">
      <c r="B50" s="27" t="str">
        <f ca="1"/>
        <v>MATURITYDATE</v>
      </c>
      <c r="C50" s="30">
        <f ca="1"/>
        <v>43462</v>
      </c>
      <c r="E50" s="46" t="str">
        <f ca="1"/>
        <v/>
      </c>
      <c r="H50" s="22" t="str">
        <f ca="1"/>
        <v/>
      </c>
      <c r="I50" s="23" t="str">
        <f ca="1"/>
        <v/>
      </c>
      <c r="J50" s="13" t="str">
        <f ca="1"/>
        <v/>
      </c>
      <c r="K50" s="24" t="str">
        <f ca="1"/>
        <v/>
      </c>
      <c r="L50" s="23">
        <f ca="1"/>
        <v>42703</v>
      </c>
      <c r="M50" s="10" t="str">
        <f ca="1"/>
        <v/>
      </c>
      <c r="N50" s="10">
        <f ca="1"/>
        <v>-1000000</v>
      </c>
      <c r="O50" s="24">
        <f ca="1"/>
        <v>1</v>
      </c>
      <c r="P50" s="25" t="str">
        <f ca="1"/>
        <v/>
      </c>
      <c r="Q50" s="10">
        <f ca="1"/>
        <v>-1000000</v>
      </c>
      <c r="R50" s="51">
        <f ca="1"/>
        <v>0</v>
      </c>
      <c r="S50" s="10">
        <f ca="1"/>
        <v>0</v>
      </c>
      <c r="Y50" s="59"/>
    </row>
    <row r="51" spans="1:25">
      <c r="B51" s="27" t="str">
        <f ca="1"/>
        <v>ACCRUALSTARTDATE</v>
      </c>
      <c r="C51" s="29" t="str">
        <f ca="1"/>
        <v/>
      </c>
      <c r="E51" s="47" t="str">
        <f ca="1"/>
        <v/>
      </c>
      <c r="H51" s="22">
        <f ca="1"/>
        <v>42703</v>
      </c>
      <c r="I51" s="23">
        <f ca="1"/>
        <v>42732</v>
      </c>
      <c r="J51" s="13">
        <f ca="1"/>
        <v>7.9452054794520555E-2</v>
      </c>
      <c r="K51" s="24">
        <f ca="1"/>
        <v>7.9452054794520555E-2</v>
      </c>
      <c r="L51" s="23">
        <f ca="1"/>
        <v>42732</v>
      </c>
      <c r="M51" s="10">
        <f ca="1"/>
        <v>1000000</v>
      </c>
      <c r="N51" s="10">
        <f ca="1"/>
        <v>0</v>
      </c>
      <c r="O51" s="24">
        <f ca="1"/>
        <v>1</v>
      </c>
      <c r="P51" s="25">
        <f ca="1"/>
        <v>0</v>
      </c>
      <c r="Q51" s="10">
        <f ca="1"/>
        <v>0</v>
      </c>
      <c r="R51" s="51">
        <f ca="1"/>
        <v>0</v>
      </c>
      <c r="S51" s="10">
        <f ca="1"/>
        <v>0</v>
      </c>
      <c r="Y51" s="59"/>
    </row>
    <row r="52" spans="1:25">
      <c r="B52" s="27" t="str">
        <f ca="1"/>
        <v>FIRSTCOUPONDATE</v>
      </c>
      <c r="C52" s="29" t="str">
        <f ca="1"/>
        <v/>
      </c>
      <c r="E52" s="47" t="str">
        <f ca="1"/>
        <v/>
      </c>
      <c r="H52" s="22">
        <f ca="1"/>
        <v>42732</v>
      </c>
      <c r="I52" s="23">
        <f ca="1"/>
        <v>43097</v>
      </c>
      <c r="J52" s="13">
        <f ca="1"/>
        <v>1</v>
      </c>
      <c r="K52" s="24">
        <f ca="1"/>
        <v>1</v>
      </c>
      <c r="L52" s="23">
        <f ca="1"/>
        <v>43097</v>
      </c>
      <c r="M52" s="10">
        <f ca="1"/>
        <v>1000000</v>
      </c>
      <c r="N52" s="10">
        <f ca="1"/>
        <v>0</v>
      </c>
      <c r="O52" s="24">
        <f ca="1"/>
        <v>1</v>
      </c>
      <c r="P52" s="25">
        <f ca="1"/>
        <v>0</v>
      </c>
      <c r="Q52" s="10">
        <f ca="1"/>
        <v>0</v>
      </c>
      <c r="R52" s="51">
        <f ca="1"/>
        <v>0.994237298184798</v>
      </c>
      <c r="S52" s="10">
        <f ca="1"/>
        <v>0</v>
      </c>
      <c r="Y52" s="59"/>
    </row>
    <row r="53" spans="1:25">
      <c r="B53" s="27" t="str">
        <f ca="1"/>
        <v>LASTCOUPONDATE</v>
      </c>
      <c r="C53" s="29" t="str">
        <f ca="1"/>
        <v/>
      </c>
      <c r="E53" s="47" t="str">
        <f ca="1"/>
        <v/>
      </c>
      <c r="H53" s="22">
        <f ca="1"/>
        <v>43097</v>
      </c>
      <c r="I53" s="23">
        <f ca="1"/>
        <v>43462</v>
      </c>
      <c r="J53" s="13">
        <f ca="1"/>
        <v>1</v>
      </c>
      <c r="K53" s="24">
        <f ca="1"/>
        <v>1</v>
      </c>
      <c r="L53" s="23">
        <f ca="1"/>
        <v>43462</v>
      </c>
      <c r="M53" s="10">
        <f ca="1"/>
        <v>1000000</v>
      </c>
      <c r="N53" s="10">
        <f ca="1"/>
        <v>1000000</v>
      </c>
      <c r="O53" s="24">
        <f ca="1"/>
        <v>1</v>
      </c>
      <c r="P53" s="25">
        <f ca="1"/>
        <v>0</v>
      </c>
      <c r="Q53" s="10">
        <f ca="1"/>
        <v>1000000</v>
      </c>
      <c r="R53" s="51">
        <f ca="1"/>
        <v>0.98439336453940396</v>
      </c>
      <c r="S53" s="10">
        <f ca="1"/>
        <v>984393.36453940393</v>
      </c>
    </row>
    <row r="54" spans="1:25">
      <c r="B54" s="27" t="str">
        <f ca="1"/>
        <v>FREQUENCY</v>
      </c>
      <c r="C54" s="29" t="str">
        <f ca="1"/>
        <v>Annual</v>
      </c>
      <c r="E54" s="47" t="str">
        <f ca="1"/>
        <v/>
      </c>
      <c r="H54" s="22" t="e">
        <f ca="1"/>
        <v>#N/A</v>
      </c>
      <c r="I54" s="23" t="e">
        <f ca="1"/>
        <v>#N/A</v>
      </c>
      <c r="J54" s="13" t="e">
        <f ca="1"/>
        <v>#N/A</v>
      </c>
      <c r="K54" s="24" t="e">
        <f ca="1"/>
        <v>#N/A</v>
      </c>
      <c r="L54" s="23" t="e">
        <f ca="1"/>
        <v>#N/A</v>
      </c>
      <c r="M54" s="10" t="e">
        <f ca="1"/>
        <v>#N/A</v>
      </c>
      <c r="N54" s="10" t="e">
        <f ca="1"/>
        <v>#N/A</v>
      </c>
      <c r="O54" s="24" t="e">
        <f ca="1"/>
        <v>#N/A</v>
      </c>
      <c r="P54" s="25" t="e">
        <f ca="1"/>
        <v>#N/A</v>
      </c>
      <c r="Q54" s="10" t="e">
        <f ca="1"/>
        <v>#N/A</v>
      </c>
      <c r="R54" s="51" t="e">
        <f ca="1"/>
        <v>#N/A</v>
      </c>
      <c r="S54" s="10" t="e">
        <f ca="1"/>
        <v>#N/A</v>
      </c>
    </row>
    <row r="55" spans="1:25">
      <c r="B55" s="27" t="str">
        <f ca="1"/>
        <v>ACCRUALBUSINESSDAYADJUSTMENT</v>
      </c>
      <c r="C55" s="29" t="str">
        <f ca="1"/>
        <v>MOD_FOLLOWING</v>
      </c>
      <c r="E55" s="47" t="str">
        <f ca="1"/>
        <v/>
      </c>
      <c r="H55" s="22" t="e">
        <f ca="1"/>
        <v>#N/A</v>
      </c>
      <c r="I55" s="23" t="e">
        <f ca="1"/>
        <v>#N/A</v>
      </c>
      <c r="J55" s="13" t="e">
        <f ca="1"/>
        <v>#N/A</v>
      </c>
      <c r="K55" s="24" t="e">
        <f ca="1"/>
        <v>#N/A</v>
      </c>
      <c r="L55" s="23" t="e">
        <f ca="1"/>
        <v>#N/A</v>
      </c>
      <c r="M55" s="10" t="e">
        <f ca="1"/>
        <v>#N/A</v>
      </c>
      <c r="N55" s="10" t="e">
        <f ca="1"/>
        <v>#N/A</v>
      </c>
      <c r="O55" s="24" t="e">
        <f ca="1"/>
        <v>#N/A</v>
      </c>
      <c r="P55" s="25" t="e">
        <f ca="1"/>
        <v>#N/A</v>
      </c>
      <c r="Q55" s="10" t="e">
        <f ca="1"/>
        <v>#N/A</v>
      </c>
      <c r="R55" s="51" t="e">
        <f ca="1"/>
        <v>#N/A</v>
      </c>
      <c r="S55" s="10" t="e">
        <f ca="1"/>
        <v>#N/A</v>
      </c>
    </row>
    <row r="56" spans="1:25">
      <c r="B56" s="27" t="str">
        <f ca="1"/>
        <v>YIELDFREQUENCY</v>
      </c>
      <c r="C56" s="30" t="str">
        <f ca="1"/>
        <v>Annual</v>
      </c>
      <c r="E56" s="47" t="str">
        <f ca="1"/>
        <v/>
      </c>
      <c r="H56" s="22" t="e">
        <f ca="1"/>
        <v>#N/A</v>
      </c>
      <c r="I56" s="23" t="e">
        <f ca="1"/>
        <v>#N/A</v>
      </c>
      <c r="J56" s="13" t="e">
        <f ca="1"/>
        <v>#N/A</v>
      </c>
      <c r="K56" s="24" t="e">
        <f ca="1"/>
        <v>#N/A</v>
      </c>
      <c r="L56" s="23" t="e">
        <f ca="1"/>
        <v>#N/A</v>
      </c>
      <c r="M56" s="10" t="e">
        <f ca="1"/>
        <v>#N/A</v>
      </c>
      <c r="N56" s="10" t="e">
        <f ca="1"/>
        <v>#N/A</v>
      </c>
      <c r="O56" s="24" t="e">
        <f ca="1"/>
        <v>#N/A</v>
      </c>
      <c r="P56" s="25" t="e">
        <f ca="1"/>
        <v>#N/A</v>
      </c>
      <c r="Q56" s="10" t="e">
        <f ca="1"/>
        <v>#N/A</v>
      </c>
      <c r="R56" s="51" t="e">
        <f ca="1"/>
        <v>#N/A</v>
      </c>
      <c r="S56" s="10" t="e">
        <f ca="1"/>
        <v>#N/A</v>
      </c>
    </row>
    <row r="57" spans="1:25">
      <c r="B57" s="27" t="str">
        <f ca="1"/>
        <v>ACCRUALCALENDAR</v>
      </c>
      <c r="C57" s="30" t="str">
        <f ca="1"/>
        <v>TGT</v>
      </c>
      <c r="E57" s="47" t="str">
        <f ca="1"/>
        <v/>
      </c>
      <c r="H57" s="22" t="e">
        <f ca="1"/>
        <v>#N/A</v>
      </c>
      <c r="I57" s="23" t="e">
        <f ca="1"/>
        <v>#N/A</v>
      </c>
      <c r="J57" s="13" t="e">
        <f ca="1"/>
        <v>#N/A</v>
      </c>
      <c r="K57" s="24" t="e">
        <f ca="1"/>
        <v>#N/A</v>
      </c>
      <c r="L57" s="23" t="e">
        <f ca="1"/>
        <v>#N/A</v>
      </c>
      <c r="M57" s="10" t="e">
        <f ca="1"/>
        <v>#N/A</v>
      </c>
      <c r="N57" s="10" t="e">
        <f ca="1"/>
        <v>#N/A</v>
      </c>
      <c r="O57" s="24" t="e">
        <f ca="1"/>
        <v>#N/A</v>
      </c>
      <c r="P57" s="25" t="e">
        <f ca="1"/>
        <v>#N/A</v>
      </c>
      <c r="Q57" s="10" t="e">
        <f ca="1"/>
        <v>#N/A</v>
      </c>
      <c r="R57" s="51" t="e">
        <f ca="1"/>
        <v>#N/A</v>
      </c>
      <c r="S57" s="10" t="e">
        <f ca="1"/>
        <v>#N/A</v>
      </c>
    </row>
    <row r="58" spans="1:25">
      <c r="B58" s="27" t="str">
        <f ca="1"/>
        <v>PAYMENTBUSINESSDAYADJUSTMENT</v>
      </c>
      <c r="C58" s="70" t="str">
        <f ca="1"/>
        <v>NO_CHANGE</v>
      </c>
      <c r="E58" s="47" t="str">
        <f ca="1"/>
        <v/>
      </c>
      <c r="H58" s="22" t="e">
        <f ca="1"/>
        <v>#N/A</v>
      </c>
      <c r="I58" s="23" t="e">
        <f ca="1"/>
        <v>#N/A</v>
      </c>
      <c r="J58" s="13" t="e">
        <f ca="1"/>
        <v>#N/A</v>
      </c>
      <c r="K58" s="24" t="e">
        <f ca="1"/>
        <v>#N/A</v>
      </c>
      <c r="L58" s="23" t="e">
        <f ca="1"/>
        <v>#N/A</v>
      </c>
      <c r="M58" s="10" t="e">
        <f ca="1"/>
        <v>#N/A</v>
      </c>
      <c r="N58" s="10" t="e">
        <f ca="1"/>
        <v>#N/A</v>
      </c>
      <c r="O58" s="24" t="e">
        <f ca="1"/>
        <v>#N/A</v>
      </c>
      <c r="P58" s="25" t="e">
        <f ca="1"/>
        <v>#N/A</v>
      </c>
      <c r="Q58" s="10" t="e">
        <f ca="1"/>
        <v>#N/A</v>
      </c>
      <c r="R58" s="51" t="e">
        <f ca="1"/>
        <v>#N/A</v>
      </c>
      <c r="S58" s="10" t="e">
        <f ca="1"/>
        <v>#N/A</v>
      </c>
    </row>
    <row r="59" spans="1:25">
      <c r="B59" s="27" t="str">
        <f ca="1"/>
        <v>PAYMENTCALENDAR</v>
      </c>
      <c r="C59" s="30" t="str">
        <f ca="1"/>
        <v>TGT</v>
      </c>
      <c r="E59" s="47" t="str">
        <f ca="1"/>
        <v/>
      </c>
      <c r="H59" s="22" t="e">
        <f ca="1"/>
        <v>#N/A</v>
      </c>
      <c r="I59" s="23" t="e">
        <f ca="1"/>
        <v>#N/A</v>
      </c>
      <c r="J59" s="13" t="e">
        <f ca="1"/>
        <v>#N/A</v>
      </c>
      <c r="K59" s="24" t="e">
        <f ca="1"/>
        <v>#N/A</v>
      </c>
      <c r="L59" s="23" t="e">
        <f ca="1"/>
        <v>#N/A</v>
      </c>
      <c r="M59" s="10" t="e">
        <f ca="1"/>
        <v>#N/A</v>
      </c>
      <c r="N59" s="10" t="e">
        <f ca="1"/>
        <v>#N/A</v>
      </c>
      <c r="O59" s="24" t="e">
        <f ca="1"/>
        <v>#N/A</v>
      </c>
      <c r="P59" s="25" t="e">
        <f ca="1"/>
        <v>#N/A</v>
      </c>
      <c r="Q59" s="10" t="e">
        <f ca="1"/>
        <v>#N/A</v>
      </c>
      <c r="R59" s="51" t="e">
        <f ca="1"/>
        <v>#N/A</v>
      </c>
      <c r="S59" s="10" t="e">
        <f ca="1"/>
        <v>#N/A</v>
      </c>
    </row>
    <row r="60" spans="1:25">
      <c r="B60" s="27" t="str">
        <f ca="1"/>
        <v>PAYMENTLAG</v>
      </c>
      <c r="C60" s="30" t="str">
        <f ca="1"/>
        <v>0D</v>
      </c>
      <c r="E60" s="47" t="str">
        <f ca="1"/>
        <v/>
      </c>
      <c r="H60" s="22" t="e">
        <f ca="1"/>
        <v>#N/A</v>
      </c>
      <c r="I60" s="23" t="e">
        <f ca="1"/>
        <v>#N/A</v>
      </c>
      <c r="J60" s="13" t="e">
        <f ca="1"/>
        <v>#N/A</v>
      </c>
      <c r="K60" s="24" t="e">
        <f ca="1"/>
        <v>#N/A</v>
      </c>
      <c r="L60" s="23" t="e">
        <f ca="1"/>
        <v>#N/A</v>
      </c>
      <c r="M60" s="10" t="e">
        <f ca="1"/>
        <v>#N/A</v>
      </c>
      <c r="N60" s="10" t="e">
        <f ca="1"/>
        <v>#N/A</v>
      </c>
      <c r="O60" s="24" t="e">
        <f ca="1"/>
        <v>#N/A</v>
      </c>
      <c r="P60" s="25" t="e">
        <f ca="1"/>
        <v>#N/A</v>
      </c>
      <c r="Q60" s="10" t="e">
        <f ca="1"/>
        <v>#N/A</v>
      </c>
      <c r="R60" s="51" t="e">
        <f ca="1"/>
        <v>#N/A</v>
      </c>
      <c r="S60" s="10" t="e">
        <f ca="1"/>
        <v>#N/A</v>
      </c>
    </row>
    <row r="61" spans="1:25">
      <c r="B61" s="27" t="str">
        <f ca="1"/>
        <v>DAYCOUNT</v>
      </c>
      <c r="C61" s="30" t="str">
        <f ca="1"/>
        <v>ACT/365</v>
      </c>
      <c r="E61" s="47" t="str">
        <f ca="1"/>
        <v/>
      </c>
      <c r="H61" s="22" t="e">
        <f ca="1"/>
        <v>#N/A</v>
      </c>
      <c r="I61" s="23" t="e">
        <f ca="1"/>
        <v>#N/A</v>
      </c>
      <c r="J61" s="13" t="e">
        <f ca="1"/>
        <v>#N/A</v>
      </c>
      <c r="K61" s="24" t="e">
        <f ca="1"/>
        <v>#N/A</v>
      </c>
      <c r="L61" s="23" t="e">
        <f ca="1"/>
        <v>#N/A</v>
      </c>
      <c r="M61" s="10" t="e">
        <f ca="1"/>
        <v>#N/A</v>
      </c>
      <c r="N61" s="10" t="e">
        <f ca="1"/>
        <v>#N/A</v>
      </c>
      <c r="O61" s="24" t="e">
        <f ca="1"/>
        <v>#N/A</v>
      </c>
      <c r="P61" s="25" t="e">
        <f ca="1"/>
        <v>#N/A</v>
      </c>
      <c r="Q61" s="10" t="e">
        <f ca="1"/>
        <v>#N/A</v>
      </c>
      <c r="R61" s="51" t="e">
        <f ca="1"/>
        <v>#N/A</v>
      </c>
      <c r="S61" s="10" t="e">
        <f ca="1"/>
        <v>#N/A</v>
      </c>
    </row>
    <row r="62" spans="1:25">
      <c r="A62" s="73" t="s">
        <v>17</v>
      </c>
      <c r="B62" s="27" t="str">
        <f ca="1"/>
        <v>CALCULATIONTYPE</v>
      </c>
      <c r="C62" s="30" t="str">
        <f ca="1"/>
        <v>TYPE529</v>
      </c>
      <c r="E62" s="47" t="str">
        <f ca="1"/>
        <v/>
      </c>
      <c r="H62" s="22"/>
      <c r="I62" s="23"/>
      <c r="J62" s="13"/>
      <c r="K62" s="24"/>
      <c r="L62" s="23"/>
      <c r="M62" s="10"/>
      <c r="N62" s="10"/>
      <c r="O62" s="24"/>
      <c r="P62" s="25"/>
      <c r="Q62" s="10"/>
      <c r="R62" s="51"/>
      <c r="S62" s="10"/>
    </row>
    <row r="63" spans="1:25">
      <c r="A63" s="73" t="s">
        <v>17</v>
      </c>
      <c r="B63" s="27" t="str">
        <f ca="1"/>
        <v/>
      </c>
      <c r="C63" s="30" t="str">
        <f ca="1"/>
        <v/>
      </c>
      <c r="E63" s="47" t="str">
        <f ca="1"/>
        <v/>
      </c>
    </row>
    <row r="64" spans="1:25">
      <c r="A64" s="73" t="s">
        <v>17</v>
      </c>
      <c r="B64" s="27" t="str">
        <f ca="1"/>
        <v/>
      </c>
      <c r="C64" s="30" t="str">
        <f ca="1"/>
        <v/>
      </c>
      <c r="E64" s="47" t="str">
        <f ca="1"/>
        <v/>
      </c>
    </row>
    <row r="65" spans="1:8">
      <c r="B65" s="31" t="str">
        <f ca="1"/>
        <v/>
      </c>
      <c r="C65" s="49" t="str">
        <f ca="1"/>
        <v/>
      </c>
      <c r="E65" s="48" t="str">
        <f ca="1"/>
        <v/>
      </c>
    </row>
    <row r="71" spans="1:8">
      <c r="A71" s="73" t="s">
        <v>17</v>
      </c>
    </row>
    <row r="72" spans="1:8">
      <c r="A72" s="73" t="s">
        <v>17</v>
      </c>
    </row>
    <row r="73" spans="1:8">
      <c r="A73" s="73" t="s">
        <v>17</v>
      </c>
    </row>
    <row r="74" spans="1:8">
      <c r="A74" s="73" t="s">
        <v>17</v>
      </c>
    </row>
    <row r="75" spans="1:8">
      <c r="A75" s="73" t="s">
        <v>17</v>
      </c>
    </row>
    <row r="76" spans="1:8">
      <c r="A76" s="73" t="s">
        <v>17</v>
      </c>
    </row>
    <row r="77" spans="1:8">
      <c r="A77" s="73" t="s">
        <v>17</v>
      </c>
    </row>
    <row r="78" spans="1:8">
      <c r="A78" s="73" t="s">
        <v>17</v>
      </c>
      <c r="H78" s="62"/>
    </row>
    <row r="79" spans="1:8">
      <c r="A79" s="73" t="s">
        <v>17</v>
      </c>
      <c r="H79" s="62"/>
    </row>
    <row r="80" spans="1:8">
      <c r="A80" s="73" t="s">
        <v>17</v>
      </c>
    </row>
    <row r="81" spans="1:3">
      <c r="A81" s="73" t="s">
        <v>17</v>
      </c>
    </row>
    <row r="82" spans="1:3">
      <c r="A82" s="73" t="s">
        <v>17</v>
      </c>
    </row>
    <row r="83" spans="1:3">
      <c r="A83" s="73" t="s">
        <v>17</v>
      </c>
      <c r="B83" s="18"/>
      <c r="C83" s="19"/>
    </row>
    <row r="84" spans="1:3">
      <c r="A84" s="73" t="s">
        <v>17</v>
      </c>
      <c r="B84" s="18"/>
      <c r="C84" s="39"/>
    </row>
    <row r="85" spans="1:3">
      <c r="A85" s="73" t="s">
        <v>17</v>
      </c>
      <c r="B85" s="18"/>
      <c r="C85" s="38"/>
    </row>
    <row r="86" spans="1:3">
      <c r="A86" s="73" t="s">
        <v>17</v>
      </c>
      <c r="B86" s="18"/>
      <c r="C86" s="19"/>
    </row>
    <row r="87" spans="1:3">
      <c r="A87" s="73" t="s">
        <v>17</v>
      </c>
    </row>
    <row r="88" spans="1:3">
      <c r="A88" s="73" t="s">
        <v>17</v>
      </c>
    </row>
    <row r="89" spans="1:3">
      <c r="A89" s="73" t="s">
        <v>17</v>
      </c>
    </row>
    <row r="90" spans="1:3">
      <c r="A90" s="73" t="s">
        <v>17</v>
      </c>
    </row>
    <row r="91" spans="1:3">
      <c r="A91" s="73" t="s">
        <v>17</v>
      </c>
    </row>
    <row r="92" spans="1:3">
      <c r="A92" s="73" t="s">
        <v>17</v>
      </c>
    </row>
    <row r="93" spans="1:3">
      <c r="A93" s="73" t="s">
        <v>17</v>
      </c>
    </row>
    <row r="94" spans="1:3">
      <c r="A94" s="73" t="s">
        <v>17</v>
      </c>
    </row>
    <row r="95" spans="1:3">
      <c r="A95" s="73" t="s">
        <v>17</v>
      </c>
    </row>
    <row r="96" spans="1:3">
      <c r="A96" s="73" t="s">
        <v>17</v>
      </c>
    </row>
    <row r="97" spans="1:1">
      <c r="A97" s="73" t="s">
        <v>17</v>
      </c>
    </row>
    <row r="98" spans="1:1">
      <c r="A98" s="73" t="s">
        <v>17</v>
      </c>
    </row>
    <row r="99" spans="1:1">
      <c r="A99" s="73" t="s">
        <v>17</v>
      </c>
    </row>
    <row r="100" spans="1:1">
      <c r="A100" s="73" t="s">
        <v>17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ItalianType523</vt:lpstr>
      <vt:lpstr>ItalianType527</vt:lpstr>
      <vt:lpstr>ItalianType529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cp:lastPrinted>2017-05-26T09:16:12Z</cp:lastPrinted>
  <dcterms:created xsi:type="dcterms:W3CDTF">2017-01-23T16:07:42Z</dcterms:created>
  <dcterms:modified xsi:type="dcterms:W3CDTF">2017-05-26T09:50:54Z</dcterms:modified>
</cp:coreProperties>
</file>