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eets\"/>
    </mc:Choice>
  </mc:AlternateContent>
  <bookViews>
    <workbookView xWindow="0" yWindow="0" windowWidth="20460" windowHeight="7095" activeTab="1"/>
  </bookViews>
  <sheets>
    <sheet name="FRA USD" sheetId="3" r:id="rId1"/>
    <sheet name="FRA USD BrokenDate" sheetId="4" r:id="rId2"/>
  </sheets>
  <externalReferences>
    <externalReference r:id="rId3"/>
    <externalReference r:id="rId4"/>
  </externalReferences>
  <definedNames>
    <definedName name="AsOfDate">'[1]EUR VNS Schedules'!$C$10</definedName>
    <definedName name="BasisConv1x3">'[1]USD Curve Config'!$BM$9:$BN$78</definedName>
    <definedName name="BasisConv3x12">'[1]USD Curve Config'!$BS$9:$BT$78</definedName>
    <definedName name="BasisConv3x6">'[1]USD Curve Config'!$BG$9:$BH$78</definedName>
    <definedName name="BasisData1x3">'[1]USD Curve Config'!$BP$9:$BQ$78</definedName>
    <definedName name="BasisData3x12">'[1]USD Curve Config'!$BV$9:$BW$78</definedName>
    <definedName name="BasisData3x6">'[1]USD Curve Config'!$BJ$9:$BK$78</definedName>
    <definedName name="COB">[1]Settings!$C$2</definedName>
    <definedName name="ConstForwardFXEURCSA">'[1]USD Curve Config'!$CK$8:$CL$78</definedName>
    <definedName name="ConstForwardFXGBPCSA">'[1]USD Curve Config'!$CN$8:$CO$78</definedName>
    <definedName name="ConstForwardFXJPYCSA">'[1]USD Curve Config'!$CQ$8:$CR$78</definedName>
    <definedName name="ConstForwardFXProperties">'[1]USD Curve Config'!$CH$8:$CI$78</definedName>
    <definedName name="CurveEnablement.EUR">[1]Settings!$G$4</definedName>
    <definedName name="CurveEnablement.GBP">[1]Settings!$G$6</definedName>
    <definedName name="CurveEnablement.JPY">[1]Settings!$G$7</definedName>
    <definedName name="CurveEnablement.USD">[1]Settings!$G$5</definedName>
    <definedName name="CurveErrorsNativeCSAEUR">'[1]Multi-Curves'!$M$21</definedName>
    <definedName name="CurveErrorsNativeCSAGBP">'[1]Multi-Curves'!$M$32</definedName>
    <definedName name="CurveErrorsNativeCSAJPY">'[1]Multi-Curves'!$M$43</definedName>
    <definedName name="CurveErrorsNativeCSAUSD">'[1]Multi-Curves'!$M$10</definedName>
    <definedName name="Data.XccyBasis.EUR">'[1]Instrument Data'!$AO$120:$AR$219</definedName>
    <definedName name="Data.XccyBasis.GBP">'[1]Instrument Data'!$AO$227:$AR$326</definedName>
    <definedName name="Data.XccyBasis.JPY">'[1]Instrument Data'!$AO$334:$AR$433</definedName>
    <definedName name="Data.XccyBasis.USD">'[1]Instrument Data'!$AO$13:$AR$112</definedName>
    <definedName name="EffectiveLag">'[1]EUR VNS Schedules'!$C$11</definedName>
    <definedName name="EURBusinessDayAdjustment">'[1]Standard Swap Pricing'!$B$148</definedName>
    <definedName name="EURFixingCalendar">'[1]Standard Swap Pricing'!$B$149</definedName>
    <definedName name="ForwardCharts.TensionGap">'[1]Forward Charts'!$C$13</definedName>
    <definedName name="ForwardCurves.CurveID">'[1]Forward Charts'!$C$5</definedName>
    <definedName name="ForwardCurves.Data">'[1]Forward Charts'!$E$6:OFFSET('[1]Forward Charts'!$E$6,'[1]Forward Charts'!$B$20-1,0),'[1]Forward Charts'!$F$6:OFFSET('[1]Forward Charts'!$F$6,'[1]Forward Charts'!$B$20-1,1)</definedName>
    <definedName name="ForwardCurves.Dates">'[1]Forward Charts'!$E$6:OFFSET('[1]Forward Charts'!$E$6,'[1]Forward Charts'!$B$20-1,0)</definedName>
    <definedName name="ForwardCurves.DisplayYears">'[1]Forward Charts'!$C$9</definedName>
    <definedName name="ForwardCurves.Periodicity">'[1]Forward Charts'!$C$8</definedName>
    <definedName name="ForwardCurves.Values">'[1]Forward Charts'!$F$6:OFFSET('[1]Forward Charts'!$F$6,'[1]Forward Charts'!$E$25-1,0)</definedName>
    <definedName name="FRAConv">'[1]USD Curve Config'!$AN$6:$AO$12</definedName>
    <definedName name="FRADatax3">'[1]USD Curve Config'!$AN$16:$AO$25</definedName>
    <definedName name="FRADatax6">'[1]USD Curve Config'!$AN$29:$AO$78</definedName>
    <definedName name="FuturesConv">'[1]USD Curve Config'!$AQ$6:$AR$12</definedName>
    <definedName name="FuturesData">'[1]USD Curve Config'!$AQ$16:$AU$78</definedName>
    <definedName name="FwdFXConstCurveNamesCombinedEUR">'[1]USD Curve Config'!$C$14</definedName>
    <definedName name="FwdFXConstCurveNamesCombinedGBP">'[1]USD Curve Config'!$C$15</definedName>
    <definedName name="FwdFXConstCurveNamesCombinedJPY">'[1]USD Curve Config'!$C$16</definedName>
    <definedName name="GBPAccrualCalendar">'[1]Standard Swap Pricing'!$B$166</definedName>
    <definedName name="GBPBusinessDayAdjustment">'[1]Standard Swap Pricing'!$B$164</definedName>
    <definedName name="Instruments.OIS.EUR">[1]Instruments!$B$120:$H$219</definedName>
    <definedName name="Instruments.OIS.GBP">[1]Instruments!$B$227:$H$326</definedName>
    <definedName name="Instruments.OIS.JPY">[1]Instruments!$B$334:$H$433</definedName>
    <definedName name="Instruments.OIS.USD">[1]Instruments!$B$13:$H$112</definedName>
    <definedName name="Instruments.Swaps.EUR">[1]Instruments!$J$120:$P$219</definedName>
    <definedName name="Instruments.Swaps.GBP">[1]Instruments!$J$227:$P$326</definedName>
    <definedName name="Instruments.Swaps.JPY">[1]Instruments!$J$334:$P$433</definedName>
    <definedName name="Instruments.Swaps.USD">[1]Instruments!$J$13:$P$112</definedName>
    <definedName name="Instruments.TenorBasis1.EUR">[1]Instruments!$R$120:$X$219</definedName>
    <definedName name="Instruments.TenorBasis1.GBP">[1]Instruments!$R$227:$X$326</definedName>
    <definedName name="Instruments.TenorBasis1.JPY">[1]Instruments!$R$334:$X$433</definedName>
    <definedName name="Instruments.TenorBasis1.USD">[1]Instruments!$R$13:$X$112</definedName>
    <definedName name="Instruments.TenorBasis2.EUR">[1]Instruments!$Z$120:$AF$219</definedName>
    <definedName name="Instruments.TenorBasis2.GBP">[1]Instruments!$Z$227:$AF$326</definedName>
    <definedName name="Instruments.TenorBasis2.JPY">[1]Instruments!$Z$334:$AF$433</definedName>
    <definedName name="Instruments.TenorBasis2.USD">[1]Instruments!$Z$13:$AF$112</definedName>
    <definedName name="Instruments.TenorBasis3.EUR">[1]Instruments!$AH$120:$AN$219</definedName>
    <definedName name="Instruments.TenorBasis3.GBP">[1]Instruments!$AH$227:$AN$326</definedName>
    <definedName name="Instruments.TenorBasis3.JPY">[1]Instruments!$AH$334:$AN$433</definedName>
    <definedName name="Instruments.TenorBasis3.USD">[1]Instruments!$AH$13:$AN$112</definedName>
    <definedName name="Instruments.XccyBasis.EUR">[1]Instruments!$AP$120:$AV$219</definedName>
    <definedName name="Instruments.XccyBasis.GBP">[1]Instruments!$AP$227:$AV$326</definedName>
    <definedName name="Instruments.XccyBasis.JPY">[1]Instruments!$AP$334:$AV$433</definedName>
    <definedName name="Instruments.XccyBasis.USD">[1]Instruments!$AP$13:$AV$112</definedName>
    <definedName name="JPYAccrualCalendar">'[1]Standard Swap Pricing'!$B$174</definedName>
    <definedName name="JPYBusinessDayAdjustment">'[1]Standard Swap Pricing'!$B$172</definedName>
    <definedName name="Leg1Keys">'[1]EUR Tenor Basis'!$N$5:$AQ$5</definedName>
    <definedName name="Leg2Keys">'[1]EUR Tenor Basis'!$AS$5:$BX$5</definedName>
    <definedName name="LiborConv">'[1]USD Curve Config'!$AK$15:$AL$25</definedName>
    <definedName name="LiborData">'[1]USD Curve Config'!$AK$29:$AL$78</definedName>
    <definedName name="MaturityDate">'[1]EUR VNS Schedules'!$C$12</definedName>
    <definedName name="MoneyMarketData">'[1]USD Curve Config'!$AK$8:$AL$12</definedName>
    <definedName name="OISConv">'[1]USD Curve Config'!$J$8:$K$24</definedName>
    <definedName name="OISCurveNamesCombined">'[1]USD Curve Config'!$C$8</definedName>
    <definedName name="OISHistoricalRates">'[1]USD Curve Config'!$S$9:$T$78</definedName>
    <definedName name="OISRates">'[1]USD Curve Config'!$M$9:$Q$78</definedName>
    <definedName name="Settings.FrequencyLookupTable">[1]Settings!$B$206:$C$210</definedName>
    <definedName name="Settings.UseForwards">[1]Settings!$C$10</definedName>
    <definedName name="StaticData.Today">'[2]Static Data'!$B$2</definedName>
    <definedName name="SwapCurveNamesCombined">'[1]USD Curve Config'!$C$9</definedName>
    <definedName name="SwapsConv">'[1]USD Curve Config'!$AW$8:$AX$78</definedName>
    <definedName name="SwapsData">'[1]USD Curve Config'!$AZ$9:$BB$78</definedName>
    <definedName name="TenorBasis1x3CurveNamesCombined">'[1]USD Curve Config'!$C$11</definedName>
    <definedName name="TenorBasis3x12CurveNamesCombined">'[1]USD Curve Config'!$C$12</definedName>
    <definedName name="TenorBasis3x6CurveNamesCombined">'[1]USD Curve Config'!$C$10</definedName>
    <definedName name="USDAccrualCalendar">'[1]Standard Swap Pricing'!$B$158</definedName>
    <definedName name="USDBusinessDayAdjustment">'[1]Standard Swap Pricing'!$B$156</definedName>
    <definedName name="YieldCurvePropertiesOIS">'[1]USD Curve Config'!$G$8:$H$24</definedName>
    <definedName name="YieldCurvePropertiesSTD">'[1]USD Curve Config'!$AH$8:$AI$78</definedName>
    <definedName name="YieldCurvePropertiesTenorBasis">'[1]USD Curve Config'!$BD$8:$BE$78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34" i="3"/>
  <c r="B33" i="3"/>
  <c r="B33" i="4"/>
  <c r="B4" i="3"/>
  <c r="B5" i="3"/>
  <c r="B12" i="3"/>
  <c r="B13" i="3"/>
  <c r="B35" i="3"/>
  <c r="A40" i="4" l="1" a="1"/>
  <c r="B34" i="4"/>
  <c r="B5" i="4"/>
  <c r="B35" i="4"/>
  <c r="C25" i="4"/>
  <c r="A39" i="3" a="1"/>
  <c r="H40" i="4" l="1"/>
  <c r="C41" i="4"/>
  <c r="K41" i="4"/>
  <c r="F42" i="4"/>
  <c r="A43" i="4"/>
  <c r="I43" i="4"/>
  <c r="D40" i="4"/>
  <c r="G41" i="4"/>
  <c r="B42" i="4"/>
  <c r="E43" i="4"/>
  <c r="B41" i="4"/>
  <c r="H43" i="4"/>
  <c r="A40" i="4"/>
  <c r="I40" i="4"/>
  <c r="D41" i="4"/>
  <c r="L41" i="4"/>
  <c r="G42" i="4"/>
  <c r="B43" i="4"/>
  <c r="J43" i="4"/>
  <c r="F41" i="4"/>
  <c r="D43" i="4"/>
  <c r="L40" i="4"/>
  <c r="J42" i="4"/>
  <c r="M43" i="4"/>
  <c r="I41" i="4"/>
  <c r="L42" i="4"/>
  <c r="J41" i="4"/>
  <c r="B40" i="4"/>
  <c r="J40" i="4"/>
  <c r="E41" i="4"/>
  <c r="M41" i="4"/>
  <c r="H42" i="4"/>
  <c r="C43" i="4"/>
  <c r="K43" i="4"/>
  <c r="C40" i="4"/>
  <c r="K40" i="4"/>
  <c r="A42" i="4"/>
  <c r="I42" i="4"/>
  <c r="L43" i="4"/>
  <c r="A41" i="4"/>
  <c r="G43" i="4"/>
  <c r="D42" i="4"/>
  <c r="E42" i="4"/>
  <c r="E40" i="4"/>
  <c r="M40" i="4"/>
  <c r="H41" i="4"/>
  <c r="C42" i="4"/>
  <c r="K42" i="4"/>
  <c r="F43" i="4"/>
  <c r="F40" i="4"/>
  <c r="G40" i="4"/>
  <c r="M42" i="4"/>
  <c r="D39" i="3"/>
  <c r="L39" i="3"/>
  <c r="G40" i="3"/>
  <c r="B41" i="3"/>
  <c r="J41" i="3"/>
  <c r="E42" i="3"/>
  <c r="M42" i="3"/>
  <c r="I42" i="3"/>
  <c r="E39" i="3"/>
  <c r="M39" i="3"/>
  <c r="H40" i="3"/>
  <c r="C41" i="3"/>
  <c r="K41" i="3"/>
  <c r="F42" i="3"/>
  <c r="C40" i="3"/>
  <c r="F39" i="3"/>
  <c r="A40" i="3"/>
  <c r="I40" i="3"/>
  <c r="D41" i="3"/>
  <c r="L41" i="3"/>
  <c r="G42" i="3"/>
  <c r="G39" i="3"/>
  <c r="B40" i="3"/>
  <c r="J40" i="3"/>
  <c r="M41" i="3"/>
  <c r="H42" i="3"/>
  <c r="E41" i="3"/>
  <c r="A42" i="3"/>
  <c r="H39" i="3"/>
  <c r="F41" i="3"/>
  <c r="A39" i="3"/>
  <c r="I39" i="3"/>
  <c r="D40" i="3"/>
  <c r="L40" i="3"/>
  <c r="G41" i="3"/>
  <c r="B42" i="3"/>
  <c r="J42" i="3"/>
  <c r="B39" i="3"/>
  <c r="J39" i="3"/>
  <c r="E40" i="3"/>
  <c r="M40" i="3"/>
  <c r="H41" i="3"/>
  <c r="C42" i="3"/>
  <c r="K42" i="3"/>
  <c r="K40" i="3"/>
  <c r="C39" i="3"/>
  <c r="K39" i="3"/>
  <c r="F40" i="3"/>
  <c r="A41" i="3"/>
  <c r="I41" i="3"/>
  <c r="D42" i="3"/>
  <c r="L42" i="3"/>
</calcChain>
</file>

<file path=xl/sharedStrings.xml><?xml version="1.0" encoding="utf-8"?>
<sst xmlns="http://schemas.openxmlformats.org/spreadsheetml/2006/main" count="118" uniqueCount="63">
  <si>
    <t>meLWOFraDisplayCashflows</t>
  </si>
  <si>
    <t>Notional</t>
  </si>
  <si>
    <t>meLWOFraRate</t>
  </si>
  <si>
    <t>meLWOFraPV</t>
  </si>
  <si>
    <t>meLWOFraCreate</t>
  </si>
  <si>
    <t>fraName</t>
  </si>
  <si>
    <t>Regular</t>
  </si>
  <si>
    <t>FraStyle</t>
  </si>
  <si>
    <t>None</t>
  </si>
  <si>
    <t>StubType</t>
  </si>
  <si>
    <t>LastStubDate</t>
  </si>
  <si>
    <t>FirstStubDate</t>
  </si>
  <si>
    <t>2D</t>
  </si>
  <si>
    <t>FixingLag</t>
  </si>
  <si>
    <t>NORMAL</t>
  </si>
  <si>
    <t>RollDay</t>
  </si>
  <si>
    <t>AccrualCalendar</t>
  </si>
  <si>
    <t>MOD_FOLLOWING</t>
  </si>
  <si>
    <t>AccrualBusinessDayAdjustment</t>
  </si>
  <si>
    <t>ACT/360</t>
  </si>
  <si>
    <t>Daycount</t>
  </si>
  <si>
    <t>LastFixing</t>
  </si>
  <si>
    <t>FirstFixing</t>
  </si>
  <si>
    <t>NATURAL</t>
  </si>
  <si>
    <t>LastStubCurveIndex</t>
  </si>
  <si>
    <t>FirstStubCurveIndex</t>
  </si>
  <si>
    <t>StrikeRate</t>
  </si>
  <si>
    <t>Currency</t>
  </si>
  <si>
    <t>DiscountCurve</t>
  </si>
  <si>
    <t>ForecastCurve</t>
  </si>
  <si>
    <t>PAY</t>
  </si>
  <si>
    <t>BUY</t>
  </si>
  <si>
    <t>MaturityDate</t>
  </si>
  <si>
    <t>RECEIVE</t>
  </si>
  <si>
    <t>SELL</t>
  </si>
  <si>
    <t>EffectiveDate</t>
  </si>
  <si>
    <t>Index</t>
  </si>
  <si>
    <t>Quarterly</t>
  </si>
  <si>
    <t>Frequency</t>
  </si>
  <si>
    <t>5M</t>
  </si>
  <si>
    <t xml:space="preserve">starting from </t>
  </si>
  <si>
    <t>PayReceive</t>
  </si>
  <si>
    <t>2M</t>
  </si>
  <si>
    <t>Leg1:FRA</t>
  </si>
  <si>
    <t>LegType</t>
  </si>
  <si>
    <t>NO_CHANGE</t>
  </si>
  <si>
    <t>BusinessDayAdj for MaturityDt</t>
  </si>
  <si>
    <t>ValuationDate</t>
  </si>
  <si>
    <t>CurveDate</t>
  </si>
  <si>
    <t>CurveCollection</t>
  </si>
  <si>
    <t>'Notional*accrualYearFraction*(LiborRate-FraStrikeRate)/(1+ accrualYearFraction*LiborRate)</t>
  </si>
  <si>
    <t>FRA_USD</t>
  </si>
  <si>
    <t>NYB:LNB</t>
  </si>
  <si>
    <t>USD</t>
  </si>
  <si>
    <t>USDOIS</t>
  </si>
  <si>
    <t>USD3ML</t>
  </si>
  <si>
    <t>USDYC</t>
  </si>
  <si>
    <t>Natural</t>
  </si>
  <si>
    <t>FRA_USD_Stub</t>
  </si>
  <si>
    <t>mandatory</t>
  </si>
  <si>
    <t>BrokenDated</t>
  </si>
  <si>
    <t>0D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</si>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</sst>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"/>
    <numFmt numFmtId="165" formatCode="0.0000000%"/>
    <numFmt numFmtId="166" formatCode="0.000000%"/>
    <numFmt numFmtId="167" formatCode="0.00000%"/>
    <numFmt numFmtId="168" formatCode="ddd\,\ d\-mmm\-yy"/>
    <numFmt numFmtId="169" formatCode="ddd\ d\-mmm\-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indexed="9"/>
      <name val="Calibri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4F81BD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3" borderId="0"/>
    <xf numFmtId="0" fontId="6" fillId="0" borderId="0">
      <alignment vertical="center"/>
    </xf>
  </cellStyleXfs>
  <cellXfs count="46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2" borderId="2" xfId="0" applyNumberForma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0" fillId="2" borderId="3" xfId="0" applyNumberFormat="1" applyFill="1" applyBorder="1" applyAlignment="1">
      <alignment horizontal="left" vertical="center" wrapText="1"/>
    </xf>
    <xf numFmtId="0" fontId="5" fillId="0" borderId="0" xfId="2" applyNumberFormat="1" applyFont="1" applyFill="1" applyBorder="1" applyAlignment="1" applyProtection="1"/>
    <xf numFmtId="3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0" fontId="0" fillId="0" borderId="0" xfId="0" quotePrefix="1" applyFill="1"/>
    <xf numFmtId="169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0" fontId="0" fillId="0" borderId="0" xfId="0" applyNumberFormat="1" applyFill="1"/>
    <xf numFmtId="0" fontId="0" fillId="0" borderId="0" xfId="0" applyNumberFormat="1" applyFill="1" applyBorder="1" applyAlignment="1">
      <alignment horizontal="left" vertical="center" wrapText="1"/>
    </xf>
    <xf numFmtId="2" fontId="0" fillId="0" borderId="0" xfId="0" applyNumberFormat="1" applyFill="1"/>
    <xf numFmtId="2" fontId="3" fillId="0" borderId="1" xfId="0" applyNumberFormat="1" applyFont="1" applyFill="1" applyBorder="1" applyAlignment="1">
      <alignment horizontal="center" vertical="center"/>
    </xf>
    <xf numFmtId="3" fontId="0" fillId="0" borderId="0" xfId="0" applyNumberFormat="1" applyFill="1"/>
    <xf numFmtId="167" fontId="0" fillId="0" borderId="0" xfId="1" applyNumberFormat="1" applyFont="1" applyFill="1"/>
    <xf numFmtId="166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67" fontId="0" fillId="0" borderId="0" xfId="0" applyNumberFormat="1" applyFill="1"/>
    <xf numFmtId="167" fontId="0" fillId="0" borderId="0" xfId="0" applyNumberFormat="1" applyFill="1" applyAlignment="1">
      <alignment horizontal="center"/>
    </xf>
    <xf numFmtId="4" fontId="0" fillId="0" borderId="0" xfId="0" applyNumberFormat="1" applyFill="1"/>
    <xf numFmtId="165" fontId="0" fillId="0" borderId="0" xfId="1" applyNumberFormat="1" applyFont="1" applyFill="1"/>
    <xf numFmtId="0" fontId="0" fillId="2" borderId="0" xfId="0" applyFill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3" fontId="0" fillId="2" borderId="3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2" fillId="0" borderId="0" xfId="0" applyFont="1" applyFill="1"/>
    <xf numFmtId="0" fontId="0" fillId="2" borderId="0" xfId="0" quotePrefix="1" applyFill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0" xfId="0" applyFont="1" applyFill="1" applyBorder="1"/>
  </cellXfs>
  <cellStyles count="4">
    <cellStyle name="blp_column_header" xfId="2"/>
    <cellStyle name="Normal" xfId="0" builtinId="0"/>
    <cellStyle name="Percent" xfId="1" builtinId="5"/>
    <cellStyle name="標準_Input_OutPut2006041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wapsPricerV2.1_FRA_v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rkP/1.3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Forward Charts"/>
      <sheetName val="EUR OIS"/>
      <sheetName val="USD OIS"/>
      <sheetName val="GBP OIS"/>
      <sheetName val="JPY OIS"/>
      <sheetName val="FixingTables"/>
      <sheetName val="EUR Swaps"/>
      <sheetName val="USD Swaps"/>
      <sheetName val="GBP Swaps"/>
      <sheetName val="JPY Swaps"/>
      <sheetName val="EUR Swap Cashflows"/>
      <sheetName val="USD Swap Cashflows"/>
      <sheetName val="GBP Swap Cashflows"/>
      <sheetName val="JPY Swap Cashflows"/>
      <sheetName val="EUR Asset Swaps"/>
      <sheetName val="USD Asset Swaps"/>
      <sheetName val="GBP Asset Swaps"/>
      <sheetName val="JPY Asset Swaps"/>
      <sheetName val="EUR ASW Cashflows"/>
      <sheetName val="USD ASW Cashflows"/>
      <sheetName val="GBP ASW Cashflows"/>
      <sheetName val="JPY ASW Cashflows"/>
      <sheetName val="EUR Tenor Basis"/>
      <sheetName val="USD Tenor Basis"/>
      <sheetName val="GBP Tenor Basis"/>
      <sheetName val="JPY Tenor Basis"/>
      <sheetName val="EUR VNS Schedules"/>
      <sheetName val="EUR VNS"/>
      <sheetName val="USD VNS Schedules"/>
      <sheetName val="USD VNS"/>
      <sheetName val="GBP VNS Schedules"/>
      <sheetName val="GBP VNS"/>
      <sheetName val="JPY VNS Schedules"/>
      <sheetName val="JPY VNS"/>
      <sheetName val="Standard Swap Pricing"/>
      <sheetName val="EUR IMM Swaps"/>
      <sheetName val="USD IMM Swaps"/>
      <sheetName val="EUR Custom Swap"/>
      <sheetName val="EUR Cashflows"/>
      <sheetName val="USD Custom Swap"/>
      <sheetName val="USD Cashflows"/>
      <sheetName val="EUR XCCY"/>
      <sheetName val="EUR XCCY Structure"/>
      <sheetName val="EUR 6ML FRAs"/>
      <sheetName val="FRA EUR"/>
      <sheetName val="FRA USD"/>
      <sheetName val="FRA USD BrokenDate"/>
      <sheetName val="FUTURE USD"/>
    </sheetNames>
    <sheetDataSet>
      <sheetData sheetId="0" refreshError="1">
        <row r="2">
          <cell r="C2">
            <v>43077</v>
          </cell>
        </row>
        <row r="4">
          <cell r="G4" t="b">
            <v>1</v>
          </cell>
        </row>
        <row r="5">
          <cell r="G5" t="b">
            <v>1</v>
          </cell>
        </row>
        <row r="6">
          <cell r="G6" t="b">
            <v>1</v>
          </cell>
        </row>
        <row r="7">
          <cell r="G7" t="b">
            <v>1</v>
          </cell>
        </row>
        <row r="10">
          <cell r="C10" t="b">
            <v>0</v>
          </cell>
        </row>
        <row r="206">
          <cell r="B206">
            <v>0</v>
          </cell>
          <cell r="C206" t="str">
            <v>ZeroCpn</v>
          </cell>
        </row>
        <row r="207">
          <cell r="B207">
            <v>1</v>
          </cell>
          <cell r="C207" t="str">
            <v>Annual</v>
          </cell>
        </row>
        <row r="208">
          <cell r="B208">
            <v>2</v>
          </cell>
          <cell r="C208" t="str">
            <v>Semi-Annual</v>
          </cell>
        </row>
        <row r="209">
          <cell r="B209">
            <v>4</v>
          </cell>
          <cell r="C209" t="str">
            <v>Quarterly</v>
          </cell>
        </row>
        <row r="210">
          <cell r="B210">
            <v>12</v>
          </cell>
          <cell r="C210" t="str">
            <v>Monthly</v>
          </cell>
        </row>
      </sheetData>
      <sheetData sheetId="1" refreshError="1">
        <row r="13">
          <cell r="B13" t="str">
            <v>FEDL01 BGN Index</v>
          </cell>
          <cell r="C13" t="str">
            <v>FEDL01</v>
          </cell>
          <cell r="D13" t="str">
            <v>BGN</v>
          </cell>
          <cell r="E13" t="str">
            <v>Index</v>
          </cell>
          <cell r="F13" t="str">
            <v>OIS</v>
          </cell>
          <cell r="G13" t="str">
            <v>ON</v>
          </cell>
          <cell r="H13" t="b">
            <v>1</v>
          </cell>
          <cell r="J13" t="str">
            <v>US0003M  ICUS Index</v>
          </cell>
          <cell r="K13" t="str">
            <v xml:space="preserve">US0003M </v>
          </cell>
          <cell r="L13" t="str">
            <v>ICUS</v>
          </cell>
          <cell r="M13" t="str">
            <v>Index</v>
          </cell>
          <cell r="N13" t="str">
            <v>CASH</v>
          </cell>
          <cell r="O13" t="str">
            <v>3M</v>
          </cell>
          <cell r="P13" t="b">
            <v>1</v>
          </cell>
          <cell r="R13" t="str">
            <v>USBC1 ICPL Curncy</v>
          </cell>
          <cell r="S13" t="str">
            <v>USBC1</v>
          </cell>
          <cell r="T13" t="str">
            <v>ICPL</v>
          </cell>
          <cell r="U13" t="str">
            <v>Curncy</v>
          </cell>
          <cell r="V13" t="str">
            <v>TENOR-BASIS</v>
          </cell>
          <cell r="W13" t="str">
            <v>1Y</v>
          </cell>
          <cell r="X13" t="b">
            <v>1</v>
          </cell>
          <cell r="Z13" t="str">
            <v>USBA1 CMPN Curncy</v>
          </cell>
          <cell r="AA13" t="str">
            <v>USBA1</v>
          </cell>
          <cell r="AB13" t="str">
            <v>CMPN</v>
          </cell>
          <cell r="AC13" t="str">
            <v>Curncy</v>
          </cell>
          <cell r="AD13" t="str">
            <v>TENOR-BASIS</v>
          </cell>
          <cell r="AE13" t="str">
            <v>1Y</v>
          </cell>
          <cell r="AF13" t="b">
            <v>1</v>
          </cell>
          <cell r="AH13" t="str">
            <v>USBL1 PREB Curncy</v>
          </cell>
          <cell r="AI13" t="str">
            <v>USBL1</v>
          </cell>
          <cell r="AJ13" t="str">
            <v>PREB</v>
          </cell>
          <cell r="AK13" t="str">
            <v>Curncy</v>
          </cell>
          <cell r="AL13" t="str">
            <v>TENOR-BASIS</v>
          </cell>
          <cell r="AM13" t="str">
            <v>1Y</v>
          </cell>
          <cell r="AN13" t="b">
            <v>1</v>
          </cell>
          <cell r="AP13" t="str">
            <v xml:space="preserve">  </v>
          </cell>
        </row>
        <row r="14">
          <cell r="B14" t="str">
            <v>FF1 COMB Comdty</v>
          </cell>
          <cell r="C14" t="str">
            <v>FF1</v>
          </cell>
          <cell r="D14" t="str">
            <v>COMB</v>
          </cell>
          <cell r="E14" t="str">
            <v>Comdty</v>
          </cell>
          <cell r="F14" t="str">
            <v>FED FUTURE</v>
          </cell>
          <cell r="G14" t="str">
            <v>FFZ7</v>
          </cell>
          <cell r="H14" t="b">
            <v>0</v>
          </cell>
          <cell r="J14" t="str">
            <v>ED1  COMB Comdty</v>
          </cell>
          <cell r="K14" t="str">
            <v xml:space="preserve">ED1 </v>
          </cell>
          <cell r="L14" t="str">
            <v>COMB</v>
          </cell>
          <cell r="M14" t="str">
            <v>Comdty</v>
          </cell>
          <cell r="N14" t="str">
            <v>FUTURE</v>
          </cell>
          <cell r="O14" t="str">
            <v xml:space="preserve">ED1 </v>
          </cell>
          <cell r="P14" t="b">
            <v>1</v>
          </cell>
          <cell r="R14" t="str">
            <v>USBC2 ICPL Curncy</v>
          </cell>
          <cell r="S14" t="str">
            <v>USBC2</v>
          </cell>
          <cell r="T14" t="str">
            <v>ICPL</v>
          </cell>
          <cell r="U14" t="str">
            <v>Curncy</v>
          </cell>
          <cell r="V14" t="str">
            <v>TENOR-BASIS</v>
          </cell>
          <cell r="W14" t="str">
            <v>2Y</v>
          </cell>
          <cell r="X14" t="b">
            <v>1</v>
          </cell>
          <cell r="Z14" t="str">
            <v>USBA2 CMPN Curncy</v>
          </cell>
          <cell r="AA14" t="str">
            <v>USBA2</v>
          </cell>
          <cell r="AB14" t="str">
            <v>CMPN</v>
          </cell>
          <cell r="AC14" t="str">
            <v>Curncy</v>
          </cell>
          <cell r="AD14" t="str">
            <v>TENOR-BASIS</v>
          </cell>
          <cell r="AE14" t="str">
            <v>2Y</v>
          </cell>
          <cell r="AF14" t="b">
            <v>1</v>
          </cell>
          <cell r="AH14" t="str">
            <v>USBL2 PREB Curncy</v>
          </cell>
          <cell r="AI14" t="str">
            <v>USBL2</v>
          </cell>
          <cell r="AJ14" t="str">
            <v>PREB</v>
          </cell>
          <cell r="AK14" t="str">
            <v>Curncy</v>
          </cell>
          <cell r="AL14" t="str">
            <v>TENOR-BASIS</v>
          </cell>
          <cell r="AM14" t="str">
            <v>2Y</v>
          </cell>
          <cell r="AN14" t="b">
            <v>1</v>
          </cell>
          <cell r="AP14" t="str">
            <v xml:space="preserve">  </v>
          </cell>
        </row>
        <row r="15">
          <cell r="B15" t="str">
            <v>FF2 COMB Comdty</v>
          </cell>
          <cell r="C15" t="str">
            <v>FF2</v>
          </cell>
          <cell r="D15" t="str">
            <v>COMB</v>
          </cell>
          <cell r="E15" t="str">
            <v>Comdty</v>
          </cell>
          <cell r="F15" t="str">
            <v>FED FUTURE</v>
          </cell>
          <cell r="G15" t="str">
            <v>FFF8</v>
          </cell>
          <cell r="H15" t="b">
            <v>0</v>
          </cell>
          <cell r="J15" t="str">
            <v>ED2 COMB Comdty</v>
          </cell>
          <cell r="K15" t="str">
            <v>ED2</v>
          </cell>
          <cell r="L15" t="str">
            <v>COMB</v>
          </cell>
          <cell r="M15" t="str">
            <v>Comdty</v>
          </cell>
          <cell r="N15" t="str">
            <v>FUTURE</v>
          </cell>
          <cell r="O15" t="str">
            <v>ED2</v>
          </cell>
          <cell r="P15" t="b">
            <v>1</v>
          </cell>
          <cell r="R15" t="str">
            <v>USBC3 ICPL Curncy</v>
          </cell>
          <cell r="S15" t="str">
            <v>USBC3</v>
          </cell>
          <cell r="T15" t="str">
            <v>ICPL</v>
          </cell>
          <cell r="U15" t="str">
            <v>Curncy</v>
          </cell>
          <cell r="V15" t="str">
            <v>TENOR-BASIS</v>
          </cell>
          <cell r="W15" t="str">
            <v>3Y</v>
          </cell>
          <cell r="X15" t="b">
            <v>1</v>
          </cell>
          <cell r="Z15" t="str">
            <v>USBA3 CMPN Curncy</v>
          </cell>
          <cell r="AA15" t="str">
            <v>USBA3</v>
          </cell>
          <cell r="AB15" t="str">
            <v>CMPN</v>
          </cell>
          <cell r="AC15" t="str">
            <v>Curncy</v>
          </cell>
          <cell r="AD15" t="str">
            <v>TENOR-BASIS</v>
          </cell>
          <cell r="AE15" t="str">
            <v>3Y</v>
          </cell>
          <cell r="AF15" t="b">
            <v>1</v>
          </cell>
          <cell r="AH15" t="str">
            <v>USBL3 PREB Curncy</v>
          </cell>
          <cell r="AI15" t="str">
            <v>USBL3</v>
          </cell>
          <cell r="AJ15" t="str">
            <v>PREB</v>
          </cell>
          <cell r="AK15" t="str">
            <v>Curncy</v>
          </cell>
          <cell r="AL15" t="str">
            <v>TENOR-BASIS</v>
          </cell>
          <cell r="AM15" t="str">
            <v>3Y</v>
          </cell>
          <cell r="AN15" t="b">
            <v>1</v>
          </cell>
          <cell r="AP15" t="str">
            <v xml:space="preserve">  </v>
          </cell>
        </row>
        <row r="16">
          <cell r="B16" t="str">
            <v>FF3 COMB Comdty</v>
          </cell>
          <cell r="C16" t="str">
            <v>FF3</v>
          </cell>
          <cell r="D16" t="str">
            <v>COMB</v>
          </cell>
          <cell r="E16" t="str">
            <v>Comdty</v>
          </cell>
          <cell r="F16" t="str">
            <v>FED FUTURE</v>
          </cell>
          <cell r="G16" t="str">
            <v>FFG8</v>
          </cell>
          <cell r="H16" t="b">
            <v>0</v>
          </cell>
          <cell r="J16" t="str">
            <v>ED3 COMB Comdty</v>
          </cell>
          <cell r="K16" t="str">
            <v>ED3</v>
          </cell>
          <cell r="L16" t="str">
            <v>COMB</v>
          </cell>
          <cell r="M16" t="str">
            <v>Comdty</v>
          </cell>
          <cell r="N16" t="str">
            <v>FUTURE</v>
          </cell>
          <cell r="O16" t="str">
            <v>ED3</v>
          </cell>
          <cell r="P16" t="b">
            <v>1</v>
          </cell>
          <cell r="R16" t="str">
            <v>USBC4 ICPL Curncy</v>
          </cell>
          <cell r="S16" t="str">
            <v>USBC4</v>
          </cell>
          <cell r="T16" t="str">
            <v>ICPL</v>
          </cell>
          <cell r="U16" t="str">
            <v>Curncy</v>
          </cell>
          <cell r="V16" t="str">
            <v>TENOR-BASIS</v>
          </cell>
          <cell r="W16" t="str">
            <v>4Y</v>
          </cell>
          <cell r="X16" t="b">
            <v>1</v>
          </cell>
          <cell r="Z16" t="str">
            <v>USBA4 CMPN Curncy</v>
          </cell>
          <cell r="AA16" t="str">
            <v>USBA4</v>
          </cell>
          <cell r="AB16" t="str">
            <v>CMPN</v>
          </cell>
          <cell r="AC16" t="str">
            <v>Curncy</v>
          </cell>
          <cell r="AD16" t="str">
            <v>TENOR-BASIS</v>
          </cell>
          <cell r="AE16" t="str">
            <v>4Y</v>
          </cell>
          <cell r="AF16" t="b">
            <v>1</v>
          </cell>
          <cell r="AH16" t="str">
            <v>USBL4 PREB Curncy</v>
          </cell>
          <cell r="AI16" t="str">
            <v>USBL4</v>
          </cell>
          <cell r="AJ16" t="str">
            <v>PREB</v>
          </cell>
          <cell r="AK16" t="str">
            <v>Curncy</v>
          </cell>
          <cell r="AL16" t="str">
            <v>TENOR-BASIS</v>
          </cell>
          <cell r="AM16" t="str">
            <v>4Y</v>
          </cell>
          <cell r="AN16" t="b">
            <v>1</v>
          </cell>
          <cell r="AP16" t="str">
            <v xml:space="preserve">  </v>
          </cell>
        </row>
        <row r="17">
          <cell r="B17" t="str">
            <v>FF4 COMB Comdty</v>
          </cell>
          <cell r="C17" t="str">
            <v>FF4</v>
          </cell>
          <cell r="D17" t="str">
            <v>COMB</v>
          </cell>
          <cell r="E17" t="str">
            <v>Comdty</v>
          </cell>
          <cell r="F17" t="str">
            <v>FED FUTURE</v>
          </cell>
          <cell r="G17" t="str">
            <v>FFH8</v>
          </cell>
          <cell r="H17" t="b">
            <v>0</v>
          </cell>
          <cell r="J17" t="str">
            <v>ED4  COMB Comdty</v>
          </cell>
          <cell r="K17" t="str">
            <v xml:space="preserve">ED4 </v>
          </cell>
          <cell r="L17" t="str">
            <v>COMB</v>
          </cell>
          <cell r="M17" t="str">
            <v>Comdty</v>
          </cell>
          <cell r="N17" t="str">
            <v>FUTURE</v>
          </cell>
          <cell r="O17" t="str">
            <v xml:space="preserve">ED4 </v>
          </cell>
          <cell r="P17" t="b">
            <v>1</v>
          </cell>
          <cell r="R17" t="str">
            <v>USBC5 ICPL Curncy</v>
          </cell>
          <cell r="S17" t="str">
            <v>USBC5</v>
          </cell>
          <cell r="T17" t="str">
            <v>ICPL</v>
          </cell>
          <cell r="U17" t="str">
            <v>Curncy</v>
          </cell>
          <cell r="V17" t="str">
            <v>TENOR-BASIS</v>
          </cell>
          <cell r="W17" t="str">
            <v>5Y</v>
          </cell>
          <cell r="X17" t="b">
            <v>1</v>
          </cell>
          <cell r="Z17" t="str">
            <v>USBA5 CMPN Curncy</v>
          </cell>
          <cell r="AA17" t="str">
            <v>USBA5</v>
          </cell>
          <cell r="AB17" t="str">
            <v>CMPN</v>
          </cell>
          <cell r="AC17" t="str">
            <v>Curncy</v>
          </cell>
          <cell r="AD17" t="str">
            <v>TENOR-BASIS</v>
          </cell>
          <cell r="AE17" t="str">
            <v>5Y</v>
          </cell>
          <cell r="AF17" t="b">
            <v>1</v>
          </cell>
          <cell r="AH17" t="str">
            <v>USBL5 PREB Curncy</v>
          </cell>
          <cell r="AI17" t="str">
            <v>USBL5</v>
          </cell>
          <cell r="AJ17" t="str">
            <v>PREB</v>
          </cell>
          <cell r="AK17" t="str">
            <v>Curncy</v>
          </cell>
          <cell r="AL17" t="str">
            <v>TENOR-BASIS</v>
          </cell>
          <cell r="AM17" t="str">
            <v>5Y</v>
          </cell>
          <cell r="AN17" t="b">
            <v>1</v>
          </cell>
          <cell r="AP17" t="str">
            <v xml:space="preserve">  </v>
          </cell>
        </row>
        <row r="18">
          <cell r="B18" t="str">
            <v>FF5 COMB Comdty</v>
          </cell>
          <cell r="C18" t="str">
            <v>FF5</v>
          </cell>
          <cell r="D18" t="str">
            <v>COMB</v>
          </cell>
          <cell r="E18" t="str">
            <v>Comdty</v>
          </cell>
          <cell r="F18" t="str">
            <v>FED FUTURE</v>
          </cell>
          <cell r="G18" t="str">
            <v>FFJ8</v>
          </cell>
          <cell r="H18" t="b">
            <v>0</v>
          </cell>
          <cell r="J18" t="str">
            <v>ED5  COMB Comdty</v>
          </cell>
          <cell r="K18" t="str">
            <v xml:space="preserve">ED5 </v>
          </cell>
          <cell r="L18" t="str">
            <v>COMB</v>
          </cell>
          <cell r="M18" t="str">
            <v>Comdty</v>
          </cell>
          <cell r="N18" t="str">
            <v>FUTURE</v>
          </cell>
          <cell r="O18" t="str">
            <v xml:space="preserve">ED5 </v>
          </cell>
          <cell r="P18" t="b">
            <v>1</v>
          </cell>
          <cell r="R18" t="str">
            <v>USBC6 ICPL Curncy</v>
          </cell>
          <cell r="S18" t="str">
            <v>USBC6</v>
          </cell>
          <cell r="T18" t="str">
            <v>ICPL</v>
          </cell>
          <cell r="U18" t="str">
            <v>Curncy</v>
          </cell>
          <cell r="V18" t="str">
            <v>TENOR-BASIS</v>
          </cell>
          <cell r="W18" t="str">
            <v>6Y</v>
          </cell>
          <cell r="X18" t="b">
            <v>1</v>
          </cell>
          <cell r="Z18" t="str">
            <v>USBA6 CMPN Curncy</v>
          </cell>
          <cell r="AA18" t="str">
            <v>USBA6</v>
          </cell>
          <cell r="AB18" t="str">
            <v>CMPN</v>
          </cell>
          <cell r="AC18" t="str">
            <v>Curncy</v>
          </cell>
          <cell r="AD18" t="str">
            <v>TENOR-BASIS</v>
          </cell>
          <cell r="AE18" t="str">
            <v>6Y</v>
          </cell>
          <cell r="AF18" t="b">
            <v>1</v>
          </cell>
          <cell r="AH18" t="str">
            <v>USBL7 PREB Curncy</v>
          </cell>
          <cell r="AI18" t="str">
            <v>USBL7</v>
          </cell>
          <cell r="AJ18" t="str">
            <v>PREB</v>
          </cell>
          <cell r="AK18" t="str">
            <v>Curncy</v>
          </cell>
          <cell r="AL18" t="str">
            <v>TENOR-BASIS</v>
          </cell>
          <cell r="AM18" t="str">
            <v>7Y</v>
          </cell>
          <cell r="AN18" t="b">
            <v>1</v>
          </cell>
          <cell r="AP18" t="str">
            <v xml:space="preserve">  </v>
          </cell>
        </row>
        <row r="19">
          <cell r="B19" t="str">
            <v>FF6 COMB Comdty</v>
          </cell>
          <cell r="C19" t="str">
            <v>FF6</v>
          </cell>
          <cell r="D19" t="str">
            <v>COMB</v>
          </cell>
          <cell r="E19" t="str">
            <v>Comdty</v>
          </cell>
          <cell r="F19" t="str">
            <v>FED FUTURE</v>
          </cell>
          <cell r="G19" t="str">
            <v>FFK8</v>
          </cell>
          <cell r="H19" t="b">
            <v>0</v>
          </cell>
          <cell r="J19" t="str">
            <v>ED6  COMB Comdty</v>
          </cell>
          <cell r="K19" t="str">
            <v xml:space="preserve">ED6 </v>
          </cell>
          <cell r="L19" t="str">
            <v>COMB</v>
          </cell>
          <cell r="M19" t="str">
            <v>Comdty</v>
          </cell>
          <cell r="N19" t="str">
            <v>FUTURE</v>
          </cell>
          <cell r="O19" t="str">
            <v xml:space="preserve">ED6 </v>
          </cell>
          <cell r="P19" t="b">
            <v>1</v>
          </cell>
          <cell r="R19" t="str">
            <v>USBC7 ICPL Curncy</v>
          </cell>
          <cell r="S19" t="str">
            <v>USBC7</v>
          </cell>
          <cell r="T19" t="str">
            <v>ICPL</v>
          </cell>
          <cell r="U19" t="str">
            <v>Curncy</v>
          </cell>
          <cell r="V19" t="str">
            <v>TENOR-BASIS</v>
          </cell>
          <cell r="W19" t="str">
            <v>7Y</v>
          </cell>
          <cell r="X19" t="b">
            <v>1</v>
          </cell>
          <cell r="Z19" t="str">
            <v>USBA7 CMPN Curncy</v>
          </cell>
          <cell r="AA19" t="str">
            <v>USBA7</v>
          </cell>
          <cell r="AB19" t="str">
            <v>CMPN</v>
          </cell>
          <cell r="AC19" t="str">
            <v>Curncy</v>
          </cell>
          <cell r="AD19" t="str">
            <v>TENOR-BASIS</v>
          </cell>
          <cell r="AE19" t="str">
            <v>7Y</v>
          </cell>
          <cell r="AF19" t="b">
            <v>1</v>
          </cell>
          <cell r="AH19" t="str">
            <v>USBL10 PREB Curncy</v>
          </cell>
          <cell r="AI19" t="str">
            <v>USBL10</v>
          </cell>
          <cell r="AJ19" t="str">
            <v>PREB</v>
          </cell>
          <cell r="AK19" t="str">
            <v>Curncy</v>
          </cell>
          <cell r="AL19" t="str">
            <v>TENOR-BASIS</v>
          </cell>
          <cell r="AM19" t="str">
            <v>10Y</v>
          </cell>
          <cell r="AN19" t="b">
            <v>1</v>
          </cell>
          <cell r="AP19" t="str">
            <v xml:space="preserve">  </v>
          </cell>
        </row>
        <row r="20">
          <cell r="B20" t="str">
            <v>FF7 COMB Comdty</v>
          </cell>
          <cell r="C20" t="str">
            <v>FF7</v>
          </cell>
          <cell r="D20" t="str">
            <v>COMB</v>
          </cell>
          <cell r="E20" t="str">
            <v>Comdty</v>
          </cell>
          <cell r="F20" t="str">
            <v>FED FUTURE</v>
          </cell>
          <cell r="G20" t="str">
            <v>FFM8</v>
          </cell>
          <cell r="H20" t="b">
            <v>0</v>
          </cell>
          <cell r="J20" t="str">
            <v>ED7  COMB Comdty</v>
          </cell>
          <cell r="K20" t="str">
            <v xml:space="preserve">ED7 </v>
          </cell>
          <cell r="L20" t="str">
            <v>COMB</v>
          </cell>
          <cell r="M20" t="str">
            <v>Comdty</v>
          </cell>
          <cell r="N20" t="str">
            <v>FUTURE</v>
          </cell>
          <cell r="O20" t="str">
            <v xml:space="preserve">ED7 </v>
          </cell>
          <cell r="P20" t="b">
            <v>1</v>
          </cell>
          <cell r="R20" t="str">
            <v>USBC8 ICPL Curncy</v>
          </cell>
          <cell r="S20" t="str">
            <v>USBC8</v>
          </cell>
          <cell r="T20" t="str">
            <v>ICPL</v>
          </cell>
          <cell r="U20" t="str">
            <v>Curncy</v>
          </cell>
          <cell r="V20" t="str">
            <v>TENOR-BASIS</v>
          </cell>
          <cell r="W20" t="str">
            <v>8Y</v>
          </cell>
          <cell r="X20" t="b">
            <v>1</v>
          </cell>
          <cell r="Z20" t="str">
            <v>USBA8 CMPN Curncy</v>
          </cell>
          <cell r="AA20" t="str">
            <v>USBA8</v>
          </cell>
          <cell r="AB20" t="str">
            <v>CMPN</v>
          </cell>
          <cell r="AC20" t="str">
            <v>Curncy</v>
          </cell>
          <cell r="AD20" t="str">
            <v>TENOR-BASIS</v>
          </cell>
          <cell r="AE20" t="str">
            <v>8Y</v>
          </cell>
          <cell r="AF20" t="b">
            <v>1</v>
          </cell>
          <cell r="AH20" t="str">
            <v>USBL12 PREB Curncy</v>
          </cell>
          <cell r="AI20" t="str">
            <v>USBL12</v>
          </cell>
          <cell r="AJ20" t="str">
            <v>PREB</v>
          </cell>
          <cell r="AK20" t="str">
            <v>Curncy</v>
          </cell>
          <cell r="AL20" t="str">
            <v>TENOR-BASIS</v>
          </cell>
          <cell r="AM20" t="str">
            <v>12Y</v>
          </cell>
          <cell r="AN20" t="b">
            <v>1</v>
          </cell>
          <cell r="AP20" t="str">
            <v xml:space="preserve">  </v>
          </cell>
        </row>
        <row r="21">
          <cell r="B21" t="str">
            <v>FF8 COMB Comdty</v>
          </cell>
          <cell r="C21" t="str">
            <v>FF8</v>
          </cell>
          <cell r="D21" t="str">
            <v>COMB</v>
          </cell>
          <cell r="E21" t="str">
            <v>Comdty</v>
          </cell>
          <cell r="F21" t="str">
            <v>FED FUTURE</v>
          </cell>
          <cell r="G21" t="str">
            <v>FFN8</v>
          </cell>
          <cell r="H21" t="b">
            <v>0</v>
          </cell>
          <cell r="J21" t="str">
            <v>ED8  COMB Comdty</v>
          </cell>
          <cell r="K21" t="str">
            <v xml:space="preserve">ED8 </v>
          </cell>
          <cell r="L21" t="str">
            <v>COMB</v>
          </cell>
          <cell r="M21" t="str">
            <v>Comdty</v>
          </cell>
          <cell r="N21" t="str">
            <v>FUTURE</v>
          </cell>
          <cell r="O21" t="str">
            <v xml:space="preserve">ED8 </v>
          </cell>
          <cell r="P21" t="b">
            <v>1</v>
          </cell>
          <cell r="R21" t="str">
            <v>USBC9 ICPL Curncy</v>
          </cell>
          <cell r="S21" t="str">
            <v>USBC9</v>
          </cell>
          <cell r="T21" t="str">
            <v>ICPL</v>
          </cell>
          <cell r="U21" t="str">
            <v>Curncy</v>
          </cell>
          <cell r="V21" t="str">
            <v>TENOR-BASIS</v>
          </cell>
          <cell r="W21" t="str">
            <v>9Y</v>
          </cell>
          <cell r="X21" t="b">
            <v>1</v>
          </cell>
          <cell r="Z21" t="str">
            <v>USBA9 CMPN Curncy</v>
          </cell>
          <cell r="AA21" t="str">
            <v>USBA9</v>
          </cell>
          <cell r="AB21" t="str">
            <v>CMPN</v>
          </cell>
          <cell r="AC21" t="str">
            <v>Curncy</v>
          </cell>
          <cell r="AD21" t="str">
            <v>TENOR-BASIS</v>
          </cell>
          <cell r="AE21" t="str">
            <v>9Y</v>
          </cell>
          <cell r="AF21" t="b">
            <v>1</v>
          </cell>
          <cell r="AH21" t="str">
            <v>USBL15 PREB Curncy</v>
          </cell>
          <cell r="AI21" t="str">
            <v>USBL15</v>
          </cell>
          <cell r="AJ21" t="str">
            <v>PREB</v>
          </cell>
          <cell r="AK21" t="str">
            <v>Curncy</v>
          </cell>
          <cell r="AL21" t="str">
            <v>TENOR-BASIS</v>
          </cell>
          <cell r="AM21" t="str">
            <v>15Y</v>
          </cell>
          <cell r="AN21" t="b">
            <v>1</v>
          </cell>
          <cell r="AP21" t="str">
            <v xml:space="preserve">  </v>
          </cell>
        </row>
        <row r="22">
          <cell r="B22" t="str">
            <v>FF9 COMB Comdty</v>
          </cell>
          <cell r="C22" t="str">
            <v>FF9</v>
          </cell>
          <cell r="D22" t="str">
            <v>COMB</v>
          </cell>
          <cell r="E22" t="str">
            <v>Comdty</v>
          </cell>
          <cell r="F22" t="str">
            <v>FED FUTURE</v>
          </cell>
          <cell r="G22" t="str">
            <v>FFQ8</v>
          </cell>
          <cell r="H22" t="b">
            <v>0</v>
          </cell>
          <cell r="J22" t="str">
            <v>ED9 COMB Comdty</v>
          </cell>
          <cell r="K22" t="str">
            <v>ED9</v>
          </cell>
          <cell r="L22" t="str">
            <v>COMB</v>
          </cell>
          <cell r="M22" t="str">
            <v>Comdty</v>
          </cell>
          <cell r="N22" t="str">
            <v>FUTURE</v>
          </cell>
          <cell r="O22" t="str">
            <v>ED9</v>
          </cell>
          <cell r="P22" t="b">
            <v>1</v>
          </cell>
          <cell r="R22" t="str">
            <v>USBC10 ICPL Curncy</v>
          </cell>
          <cell r="S22" t="str">
            <v>USBC10</v>
          </cell>
          <cell r="T22" t="str">
            <v>ICPL</v>
          </cell>
          <cell r="U22" t="str">
            <v>Curncy</v>
          </cell>
          <cell r="V22" t="str">
            <v>TENOR-BASIS</v>
          </cell>
          <cell r="W22" t="str">
            <v>10Y</v>
          </cell>
          <cell r="X22" t="b">
            <v>1</v>
          </cell>
          <cell r="Z22" t="str">
            <v>USBA10 CMPN Curncy</v>
          </cell>
          <cell r="AA22" t="str">
            <v>USBA10</v>
          </cell>
          <cell r="AB22" t="str">
            <v>CMPN</v>
          </cell>
          <cell r="AC22" t="str">
            <v>Curncy</v>
          </cell>
          <cell r="AD22" t="str">
            <v>TENOR-BASIS</v>
          </cell>
          <cell r="AE22" t="str">
            <v>10Y</v>
          </cell>
          <cell r="AF22" t="b">
            <v>1</v>
          </cell>
          <cell r="AH22" t="str">
            <v>USBL20 PREB Curncy</v>
          </cell>
          <cell r="AI22" t="str">
            <v>USBL20</v>
          </cell>
          <cell r="AJ22" t="str">
            <v>PREB</v>
          </cell>
          <cell r="AK22" t="str">
            <v>Curncy</v>
          </cell>
          <cell r="AL22" t="str">
            <v>TENOR-BASIS</v>
          </cell>
          <cell r="AM22" t="str">
            <v>20Y</v>
          </cell>
          <cell r="AN22" t="b">
            <v>1</v>
          </cell>
          <cell r="AP22" t="str">
            <v xml:space="preserve">  </v>
          </cell>
        </row>
        <row r="23">
          <cell r="B23" t="str">
            <v>FF10 COMB Comdty</v>
          </cell>
          <cell r="C23" t="str">
            <v>FF10</v>
          </cell>
          <cell r="D23" t="str">
            <v>COMB</v>
          </cell>
          <cell r="E23" t="str">
            <v>Comdty</v>
          </cell>
          <cell r="F23" t="str">
            <v>FED FUTURE</v>
          </cell>
          <cell r="G23" t="str">
            <v>FFU8</v>
          </cell>
          <cell r="H23" t="b">
            <v>0</v>
          </cell>
          <cell r="J23" t="str">
            <v>ED10  COMB Comdty</v>
          </cell>
          <cell r="K23" t="str">
            <v xml:space="preserve">ED10 </v>
          </cell>
          <cell r="L23" t="str">
            <v>COMB</v>
          </cell>
          <cell r="M23" t="str">
            <v>Comdty</v>
          </cell>
          <cell r="N23" t="str">
            <v>FUTURE</v>
          </cell>
          <cell r="O23" t="str">
            <v xml:space="preserve">ED10 </v>
          </cell>
          <cell r="P23" t="b">
            <v>1</v>
          </cell>
          <cell r="R23" t="str">
            <v>USBC12 ICPL Curncy</v>
          </cell>
          <cell r="S23" t="str">
            <v>USBC12</v>
          </cell>
          <cell r="T23" t="str">
            <v>ICPL</v>
          </cell>
          <cell r="U23" t="str">
            <v>Curncy</v>
          </cell>
          <cell r="V23" t="str">
            <v>TENOR-BASIS</v>
          </cell>
          <cell r="W23" t="str">
            <v>12Y</v>
          </cell>
          <cell r="X23" t="b">
            <v>1</v>
          </cell>
          <cell r="Z23" t="str">
            <v>USBA12 CMPN Curncy</v>
          </cell>
          <cell r="AA23" t="str">
            <v>USBA12</v>
          </cell>
          <cell r="AB23" t="str">
            <v>CMPN</v>
          </cell>
          <cell r="AC23" t="str">
            <v>Curncy</v>
          </cell>
          <cell r="AD23" t="str">
            <v>TENOR-BASIS</v>
          </cell>
          <cell r="AE23" t="str">
            <v>12Y</v>
          </cell>
          <cell r="AF23" t="b">
            <v>1</v>
          </cell>
          <cell r="AH23" t="str">
            <v>USBL25 PREB Curncy</v>
          </cell>
          <cell r="AI23" t="str">
            <v>USBL25</v>
          </cell>
          <cell r="AJ23" t="str">
            <v>PREB</v>
          </cell>
          <cell r="AK23" t="str">
            <v>Curncy</v>
          </cell>
          <cell r="AL23" t="str">
            <v>TENOR-BASIS</v>
          </cell>
          <cell r="AM23" t="str">
            <v>25Y</v>
          </cell>
          <cell r="AN23" t="b">
            <v>1</v>
          </cell>
          <cell r="AP23" t="str">
            <v xml:space="preserve">  </v>
          </cell>
        </row>
        <row r="24">
          <cell r="B24" t="str">
            <v>FF11 COMB Comdty</v>
          </cell>
          <cell r="C24" t="str">
            <v>FF11</v>
          </cell>
          <cell r="D24" t="str">
            <v>COMB</v>
          </cell>
          <cell r="E24" t="str">
            <v>Comdty</v>
          </cell>
          <cell r="F24" t="str">
            <v>FED FUTURE</v>
          </cell>
          <cell r="G24" t="str">
            <v>FFV8</v>
          </cell>
          <cell r="H24" t="b">
            <v>0</v>
          </cell>
          <cell r="J24" t="str">
            <v>ED11  COMB Comdty</v>
          </cell>
          <cell r="K24" t="str">
            <v xml:space="preserve">ED11 </v>
          </cell>
          <cell r="L24" t="str">
            <v>COMB</v>
          </cell>
          <cell r="M24" t="str">
            <v>Comdty</v>
          </cell>
          <cell r="N24" t="str">
            <v>FUTURE</v>
          </cell>
          <cell r="O24" t="str">
            <v xml:space="preserve">ED11 </v>
          </cell>
          <cell r="P24" t="b">
            <v>1</v>
          </cell>
          <cell r="R24" t="str">
            <v>USBC15 ICPL Curncy</v>
          </cell>
          <cell r="S24" t="str">
            <v>USBC15</v>
          </cell>
          <cell r="T24" t="str">
            <v>ICPL</v>
          </cell>
          <cell r="U24" t="str">
            <v>Curncy</v>
          </cell>
          <cell r="V24" t="str">
            <v>TENOR-BASIS</v>
          </cell>
          <cell r="W24" t="str">
            <v>15Y</v>
          </cell>
          <cell r="X24" t="b">
            <v>1</v>
          </cell>
          <cell r="Z24" t="str">
            <v>USBA15 CMPN Curncy</v>
          </cell>
          <cell r="AA24" t="str">
            <v>USBA15</v>
          </cell>
          <cell r="AB24" t="str">
            <v>CMPN</v>
          </cell>
          <cell r="AC24" t="str">
            <v>Curncy</v>
          </cell>
          <cell r="AD24" t="str">
            <v>TENOR-BASIS</v>
          </cell>
          <cell r="AE24" t="str">
            <v>15Y</v>
          </cell>
          <cell r="AF24" t="b">
            <v>1</v>
          </cell>
          <cell r="AH24" t="str">
            <v>USBL30 PREB Curncy</v>
          </cell>
          <cell r="AI24" t="str">
            <v>USBL30</v>
          </cell>
          <cell r="AJ24" t="str">
            <v>PREB</v>
          </cell>
          <cell r="AK24" t="str">
            <v>Curncy</v>
          </cell>
          <cell r="AL24" t="str">
            <v>TENOR-BASIS</v>
          </cell>
          <cell r="AM24" t="str">
            <v>30Y</v>
          </cell>
          <cell r="AN24" t="b">
            <v>1</v>
          </cell>
          <cell r="AP24" t="str">
            <v xml:space="preserve">  </v>
          </cell>
        </row>
        <row r="25">
          <cell r="B25" t="str">
            <v>FF12 COMB Comdty</v>
          </cell>
          <cell r="C25" t="str">
            <v>FF12</v>
          </cell>
          <cell r="D25" t="str">
            <v>COMB</v>
          </cell>
          <cell r="E25" t="str">
            <v>Comdty</v>
          </cell>
          <cell r="F25" t="str">
            <v>FED FUTURE</v>
          </cell>
          <cell r="G25" t="str">
            <v>FFX8</v>
          </cell>
          <cell r="H25" t="b">
            <v>0</v>
          </cell>
          <cell r="J25" t="str">
            <v>ED12  COMB Comdty</v>
          </cell>
          <cell r="K25" t="str">
            <v xml:space="preserve">ED12 </v>
          </cell>
          <cell r="L25" t="str">
            <v>COMB</v>
          </cell>
          <cell r="M25" t="str">
            <v>Comdty</v>
          </cell>
          <cell r="N25" t="str">
            <v>FUTURE</v>
          </cell>
          <cell r="O25" t="str">
            <v xml:space="preserve">ED12 </v>
          </cell>
          <cell r="P25" t="b">
            <v>1</v>
          </cell>
          <cell r="R25" t="str">
            <v>USBC20 ICPL Curncy</v>
          </cell>
          <cell r="S25" t="str">
            <v>USBC20</v>
          </cell>
          <cell r="T25" t="str">
            <v>ICPL</v>
          </cell>
          <cell r="U25" t="str">
            <v>Curncy</v>
          </cell>
          <cell r="V25" t="str">
            <v>TENOR-BASIS</v>
          </cell>
          <cell r="W25" t="str">
            <v>20Y</v>
          </cell>
          <cell r="X25" t="b">
            <v>1</v>
          </cell>
          <cell r="Z25" t="str">
            <v>USBA20 CMPN Curncy</v>
          </cell>
          <cell r="AA25" t="str">
            <v>USBA20</v>
          </cell>
          <cell r="AB25" t="str">
            <v>CMPN</v>
          </cell>
          <cell r="AC25" t="str">
            <v>Curncy</v>
          </cell>
          <cell r="AD25" t="str">
            <v>TENOR-BASIS</v>
          </cell>
          <cell r="AE25" t="str">
            <v>20Y</v>
          </cell>
          <cell r="AF25" t="b">
            <v>1</v>
          </cell>
          <cell r="AH25" t="str">
            <v xml:space="preserve">  </v>
          </cell>
          <cell r="AP25" t="str">
            <v xml:space="preserve">  </v>
          </cell>
        </row>
        <row r="26">
          <cell r="B26" t="str">
            <v>USSO1Z CMPN Curncy</v>
          </cell>
          <cell r="C26" t="str">
            <v>USSO1Z</v>
          </cell>
          <cell r="D26" t="str">
            <v>CMPN</v>
          </cell>
          <cell r="E26" t="str">
            <v>Curncy</v>
          </cell>
          <cell r="F26" t="str">
            <v>OIS</v>
          </cell>
          <cell r="G26" t="str">
            <v>1W</v>
          </cell>
          <cell r="H26" t="b">
            <v>0</v>
          </cell>
          <cell r="J26" t="str">
            <v>ED13  COMB Comdty</v>
          </cell>
          <cell r="K26" t="str">
            <v xml:space="preserve">ED13 </v>
          </cell>
          <cell r="L26" t="str">
            <v>COMB</v>
          </cell>
          <cell r="M26" t="str">
            <v>Comdty</v>
          </cell>
          <cell r="N26" t="str">
            <v>FUTURE</v>
          </cell>
          <cell r="O26" t="str">
            <v xml:space="preserve">ED13 </v>
          </cell>
          <cell r="P26" t="b">
            <v>0</v>
          </cell>
          <cell r="R26" t="str">
            <v>USBC25 ICPL Curncy</v>
          </cell>
          <cell r="S26" t="str">
            <v>USBC25</v>
          </cell>
          <cell r="T26" t="str">
            <v>ICPL</v>
          </cell>
          <cell r="U26" t="str">
            <v>Curncy</v>
          </cell>
          <cell r="V26" t="str">
            <v>TENOR-BASIS</v>
          </cell>
          <cell r="W26" t="str">
            <v>25Y</v>
          </cell>
          <cell r="X26" t="b">
            <v>1</v>
          </cell>
          <cell r="Z26" t="str">
            <v>USBA25 CMPN Curncy</v>
          </cell>
          <cell r="AA26" t="str">
            <v>USBA25</v>
          </cell>
          <cell r="AB26" t="str">
            <v>CMPN</v>
          </cell>
          <cell r="AC26" t="str">
            <v>Curncy</v>
          </cell>
          <cell r="AD26" t="str">
            <v>TENOR-BASIS</v>
          </cell>
          <cell r="AE26" t="str">
            <v>25Y</v>
          </cell>
          <cell r="AF26" t="b">
            <v>1</v>
          </cell>
          <cell r="AH26" t="str">
            <v xml:space="preserve">  </v>
          </cell>
          <cell r="AP26" t="str">
            <v xml:space="preserve">  </v>
          </cell>
        </row>
        <row r="27">
          <cell r="B27" t="str">
            <v>USSO2Z CMPN Curncy</v>
          </cell>
          <cell r="C27" t="str">
            <v>USSO2Z</v>
          </cell>
          <cell r="D27" t="str">
            <v>CMPN</v>
          </cell>
          <cell r="E27" t="str">
            <v>Curncy</v>
          </cell>
          <cell r="F27" t="str">
            <v>OIS</v>
          </cell>
          <cell r="G27" t="str">
            <v>2W</v>
          </cell>
          <cell r="H27" t="b">
            <v>0</v>
          </cell>
          <cell r="J27" t="str">
            <v>ED14  COMB Comdty</v>
          </cell>
          <cell r="K27" t="str">
            <v xml:space="preserve">ED14 </v>
          </cell>
          <cell r="L27" t="str">
            <v>COMB</v>
          </cell>
          <cell r="M27" t="str">
            <v>Comdty</v>
          </cell>
          <cell r="N27" t="str">
            <v>FUTURE</v>
          </cell>
          <cell r="O27" t="str">
            <v xml:space="preserve">ED14 </v>
          </cell>
          <cell r="P27" t="b">
            <v>0</v>
          </cell>
          <cell r="R27" t="str">
            <v>USBC30 ICPL Curncy</v>
          </cell>
          <cell r="S27" t="str">
            <v>USBC30</v>
          </cell>
          <cell r="T27" t="str">
            <v>ICPL</v>
          </cell>
          <cell r="U27" t="str">
            <v>Curncy</v>
          </cell>
          <cell r="V27" t="str">
            <v>TENOR-BASIS</v>
          </cell>
          <cell r="W27" t="str">
            <v>30Y</v>
          </cell>
          <cell r="X27" t="b">
            <v>1</v>
          </cell>
          <cell r="Z27" t="str">
            <v>USBA30 CMPN Curncy</v>
          </cell>
          <cell r="AA27" t="str">
            <v>USBA30</v>
          </cell>
          <cell r="AB27" t="str">
            <v>CMPN</v>
          </cell>
          <cell r="AC27" t="str">
            <v>Curncy</v>
          </cell>
          <cell r="AD27" t="str">
            <v>TENOR-BASIS</v>
          </cell>
          <cell r="AE27" t="str">
            <v>30Y</v>
          </cell>
          <cell r="AF27" t="b">
            <v>1</v>
          </cell>
          <cell r="AH27" t="str">
            <v xml:space="preserve">  </v>
          </cell>
          <cell r="AP27" t="str">
            <v xml:space="preserve">  </v>
          </cell>
        </row>
        <row r="28">
          <cell r="B28" t="str">
            <v>USSO3Z CMPN Curncy</v>
          </cell>
          <cell r="C28" t="str">
            <v>USSO3Z</v>
          </cell>
          <cell r="D28" t="str">
            <v>CMPN</v>
          </cell>
          <cell r="E28" t="str">
            <v>Curncy</v>
          </cell>
          <cell r="F28" t="str">
            <v>OIS</v>
          </cell>
          <cell r="G28" t="str">
            <v>3W</v>
          </cell>
          <cell r="H28" t="b">
            <v>0</v>
          </cell>
          <cell r="J28" t="str">
            <v>ED15  COMB Comdty</v>
          </cell>
          <cell r="K28" t="str">
            <v xml:space="preserve">ED15 </v>
          </cell>
          <cell r="L28" t="str">
            <v>COMB</v>
          </cell>
          <cell r="M28" t="str">
            <v>Comdty</v>
          </cell>
          <cell r="N28" t="str">
            <v>FUTURE</v>
          </cell>
          <cell r="O28" t="str">
            <v xml:space="preserve">ED15 </v>
          </cell>
          <cell r="P28" t="b">
            <v>0</v>
          </cell>
          <cell r="R28" t="str">
            <v xml:space="preserve">  </v>
          </cell>
          <cell r="Z28" t="str">
            <v xml:space="preserve">  </v>
          </cell>
          <cell r="AH28" t="str">
            <v xml:space="preserve">  </v>
          </cell>
          <cell r="AP28" t="str">
            <v xml:space="preserve">  </v>
          </cell>
        </row>
        <row r="29">
          <cell r="B29" t="str">
            <v>USSOA CMPN Curncy</v>
          </cell>
          <cell r="C29" t="str">
            <v>USSOA</v>
          </cell>
          <cell r="D29" t="str">
            <v>CMPN</v>
          </cell>
          <cell r="E29" t="str">
            <v>Curncy</v>
          </cell>
          <cell r="F29" t="str">
            <v>OIS</v>
          </cell>
          <cell r="G29" t="str">
            <v>1M</v>
          </cell>
          <cell r="H29" t="b">
            <v>0</v>
          </cell>
          <cell r="J29" t="str">
            <v>ED16  COMB Comdty</v>
          </cell>
          <cell r="K29" t="str">
            <v xml:space="preserve">ED16 </v>
          </cell>
          <cell r="L29" t="str">
            <v>COMB</v>
          </cell>
          <cell r="M29" t="str">
            <v>Comdty</v>
          </cell>
          <cell r="N29" t="str">
            <v>FUTURE</v>
          </cell>
          <cell r="O29" t="str">
            <v xml:space="preserve">ED16 </v>
          </cell>
          <cell r="P29" t="b">
            <v>0</v>
          </cell>
          <cell r="R29" t="str">
            <v xml:space="preserve">  </v>
          </cell>
          <cell r="Z29" t="str">
            <v xml:space="preserve">  </v>
          </cell>
          <cell r="AH29" t="str">
            <v xml:space="preserve">  </v>
          </cell>
          <cell r="AP29" t="str">
            <v xml:space="preserve">  </v>
          </cell>
        </row>
        <row r="30">
          <cell r="B30" t="str">
            <v>USSOB CMPN Curncy</v>
          </cell>
          <cell r="C30" t="str">
            <v>USSOB</v>
          </cell>
          <cell r="D30" t="str">
            <v>CMPN</v>
          </cell>
          <cell r="E30" t="str">
            <v>Curncy</v>
          </cell>
          <cell r="F30" t="str">
            <v>OIS</v>
          </cell>
          <cell r="G30" t="str">
            <v>2M</v>
          </cell>
          <cell r="H30" t="b">
            <v>0</v>
          </cell>
          <cell r="J30" t="str">
            <v>USSWAP4 BGN Curncy</v>
          </cell>
          <cell r="K30" t="str">
            <v>USSWAP4</v>
          </cell>
          <cell r="L30" t="str">
            <v>BGN</v>
          </cell>
          <cell r="M30" t="str">
            <v>Curncy</v>
          </cell>
          <cell r="N30" t="str">
            <v>SWAP</v>
          </cell>
          <cell r="O30" t="str">
            <v>4Y</v>
          </cell>
          <cell r="P30" t="b">
            <v>0</v>
          </cell>
          <cell r="R30" t="str">
            <v xml:space="preserve">  </v>
          </cell>
          <cell r="Z30" t="str">
            <v xml:space="preserve">  </v>
          </cell>
          <cell r="AH30" t="str">
            <v xml:space="preserve">  </v>
          </cell>
          <cell r="AP30" t="str">
            <v xml:space="preserve">  </v>
          </cell>
        </row>
        <row r="31">
          <cell r="B31" t="str">
            <v>USSOC CMPN Curncy</v>
          </cell>
          <cell r="C31" t="str">
            <v>USSOC</v>
          </cell>
          <cell r="D31" t="str">
            <v>CMPN</v>
          </cell>
          <cell r="E31" t="str">
            <v>Curncy</v>
          </cell>
          <cell r="F31" t="str">
            <v>OIS</v>
          </cell>
          <cell r="G31" t="str">
            <v>3M</v>
          </cell>
          <cell r="H31" t="b">
            <v>0</v>
          </cell>
          <cell r="J31" t="str">
            <v>USSWAP5 BGN Curncy</v>
          </cell>
          <cell r="K31" t="str">
            <v>USSWAP5</v>
          </cell>
          <cell r="L31" t="str">
            <v>BGN</v>
          </cell>
          <cell r="M31" t="str">
            <v>Curncy</v>
          </cell>
          <cell r="N31" t="str">
            <v>SWAP</v>
          </cell>
          <cell r="O31" t="str">
            <v>5Y</v>
          </cell>
          <cell r="P31" t="b">
            <v>1</v>
          </cell>
          <cell r="R31" t="str">
            <v xml:space="preserve">  </v>
          </cell>
          <cell r="Z31" t="str">
            <v xml:space="preserve">  </v>
          </cell>
          <cell r="AH31" t="str">
            <v xml:space="preserve">  </v>
          </cell>
          <cell r="AP31" t="str">
            <v xml:space="preserve">  </v>
          </cell>
        </row>
        <row r="32">
          <cell r="B32" t="str">
            <v>USSOD CMPN Curncy</v>
          </cell>
          <cell r="C32" t="str">
            <v>USSOD</v>
          </cell>
          <cell r="D32" t="str">
            <v>CMPN</v>
          </cell>
          <cell r="E32" t="str">
            <v>Curncy</v>
          </cell>
          <cell r="F32" t="str">
            <v>OIS</v>
          </cell>
          <cell r="G32" t="str">
            <v>4M</v>
          </cell>
          <cell r="H32" t="b">
            <v>0</v>
          </cell>
          <cell r="J32" t="str">
            <v>USSW6 BGN Curncy</v>
          </cell>
          <cell r="K32" t="str">
            <v>USSW6</v>
          </cell>
          <cell r="L32" t="str">
            <v>BGN</v>
          </cell>
          <cell r="M32" t="str">
            <v>Curncy</v>
          </cell>
          <cell r="N32" t="str">
            <v>SWAP</v>
          </cell>
          <cell r="O32" t="str">
            <v>6Y</v>
          </cell>
          <cell r="P32" t="b">
            <v>0</v>
          </cell>
          <cell r="R32" t="str">
            <v xml:space="preserve">  </v>
          </cell>
          <cell r="Z32" t="str">
            <v xml:space="preserve">  </v>
          </cell>
          <cell r="AH32" t="str">
            <v xml:space="preserve">  </v>
          </cell>
          <cell r="AP32" t="str">
            <v xml:space="preserve">  </v>
          </cell>
        </row>
        <row r="33">
          <cell r="B33" t="str">
            <v>USSOE CMPN Curncy</v>
          </cell>
          <cell r="C33" t="str">
            <v>USSOE</v>
          </cell>
          <cell r="D33" t="str">
            <v>CMPN</v>
          </cell>
          <cell r="E33" t="str">
            <v>Curncy</v>
          </cell>
          <cell r="F33" t="str">
            <v>OIS</v>
          </cell>
          <cell r="G33" t="str">
            <v>5M</v>
          </cell>
          <cell r="H33" t="b">
            <v>0</v>
          </cell>
          <cell r="J33" t="str">
            <v>USSWAP7 BGN Curncy</v>
          </cell>
          <cell r="K33" t="str">
            <v>USSWAP7</v>
          </cell>
          <cell r="L33" t="str">
            <v>BGN</v>
          </cell>
          <cell r="M33" t="str">
            <v>Curncy</v>
          </cell>
          <cell r="N33" t="str">
            <v>SWAP</v>
          </cell>
          <cell r="O33" t="str">
            <v>7Y</v>
          </cell>
          <cell r="P33" t="b">
            <v>1</v>
          </cell>
          <cell r="R33" t="str">
            <v xml:space="preserve">  </v>
          </cell>
          <cell r="Z33" t="str">
            <v xml:space="preserve">  </v>
          </cell>
          <cell r="AH33" t="str">
            <v xml:space="preserve">  </v>
          </cell>
          <cell r="AP33" t="str">
            <v xml:space="preserve">  </v>
          </cell>
        </row>
        <row r="34">
          <cell r="B34" t="str">
            <v>USSOF CMPN Curncy</v>
          </cell>
          <cell r="C34" t="str">
            <v>USSOF</v>
          </cell>
          <cell r="D34" t="str">
            <v>CMPN</v>
          </cell>
          <cell r="E34" t="str">
            <v>Curncy</v>
          </cell>
          <cell r="F34" t="str">
            <v>OIS</v>
          </cell>
          <cell r="G34" t="str">
            <v>6M</v>
          </cell>
          <cell r="H34" t="b">
            <v>0</v>
          </cell>
          <cell r="J34" t="str">
            <v>USSW8 BGN Curncy</v>
          </cell>
          <cell r="K34" t="str">
            <v>USSW8</v>
          </cell>
          <cell r="L34" t="str">
            <v>BGN</v>
          </cell>
          <cell r="M34" t="str">
            <v>Curncy</v>
          </cell>
          <cell r="N34" t="str">
            <v>SWAP</v>
          </cell>
          <cell r="O34" t="str">
            <v>8Y</v>
          </cell>
          <cell r="P34" t="b">
            <v>0</v>
          </cell>
          <cell r="R34" t="str">
            <v xml:space="preserve">  </v>
          </cell>
          <cell r="Z34" t="str">
            <v xml:space="preserve">  </v>
          </cell>
          <cell r="AH34" t="str">
            <v xml:space="preserve">  </v>
          </cell>
          <cell r="AP34" t="str">
            <v xml:space="preserve">  </v>
          </cell>
        </row>
        <row r="35">
          <cell r="B35" t="str">
            <v>USSOI CMPN Curncy</v>
          </cell>
          <cell r="C35" t="str">
            <v>USSOI</v>
          </cell>
          <cell r="D35" t="str">
            <v>CMPN</v>
          </cell>
          <cell r="E35" t="str">
            <v>Curncy</v>
          </cell>
          <cell r="F35" t="str">
            <v>OIS</v>
          </cell>
          <cell r="G35" t="str">
            <v>9M</v>
          </cell>
          <cell r="H35" t="b">
            <v>0</v>
          </cell>
          <cell r="J35" t="str">
            <v>USSW9 BGN Curncy</v>
          </cell>
          <cell r="K35" t="str">
            <v>USSW9</v>
          </cell>
          <cell r="L35" t="str">
            <v>BGN</v>
          </cell>
          <cell r="M35" t="str">
            <v>Curncy</v>
          </cell>
          <cell r="N35" t="str">
            <v>SWAP</v>
          </cell>
          <cell r="O35" t="str">
            <v>9Y</v>
          </cell>
          <cell r="P35" t="b">
            <v>0</v>
          </cell>
          <cell r="R35" t="str">
            <v xml:space="preserve">  </v>
          </cell>
          <cell r="Z35" t="str">
            <v xml:space="preserve">  </v>
          </cell>
          <cell r="AH35" t="str">
            <v xml:space="preserve">  </v>
          </cell>
          <cell r="AP35" t="str">
            <v xml:space="preserve">  </v>
          </cell>
        </row>
        <row r="36">
          <cell r="B36" t="str">
            <v>USSO1 CMPN Curncy</v>
          </cell>
          <cell r="C36" t="str">
            <v>USSO1</v>
          </cell>
          <cell r="D36" t="str">
            <v>CMPN</v>
          </cell>
          <cell r="E36" t="str">
            <v>Curncy</v>
          </cell>
          <cell r="F36" t="str">
            <v>OIS</v>
          </cell>
          <cell r="G36" t="str">
            <v>12M</v>
          </cell>
          <cell r="H36" t="b">
            <v>1</v>
          </cell>
          <cell r="J36" t="str">
            <v>USSWAP10 BGN Curncy</v>
          </cell>
          <cell r="K36" t="str">
            <v>USSWAP10</v>
          </cell>
          <cell r="L36" t="str">
            <v>BGN</v>
          </cell>
          <cell r="M36" t="str">
            <v>Curncy</v>
          </cell>
          <cell r="N36" t="str">
            <v>SWAP</v>
          </cell>
          <cell r="O36" t="str">
            <v>10Y</v>
          </cell>
          <cell r="P36" t="b">
            <v>1</v>
          </cell>
          <cell r="R36" t="str">
            <v xml:space="preserve">  </v>
          </cell>
          <cell r="Z36" t="str">
            <v xml:space="preserve">  </v>
          </cell>
          <cell r="AH36" t="str">
            <v xml:space="preserve">  </v>
          </cell>
          <cell r="AP36" t="str">
            <v xml:space="preserve">  </v>
          </cell>
        </row>
        <row r="37">
          <cell r="B37" t="str">
            <v>USSO1F CMPN Curncy</v>
          </cell>
          <cell r="C37" t="str">
            <v>USSO1F</v>
          </cell>
          <cell r="D37" t="str">
            <v>CMPN</v>
          </cell>
          <cell r="E37" t="str">
            <v>Curncy</v>
          </cell>
          <cell r="F37" t="str">
            <v>OIS</v>
          </cell>
          <cell r="G37" t="str">
            <v>18M</v>
          </cell>
          <cell r="H37" t="b">
            <v>0</v>
          </cell>
          <cell r="J37" t="str">
            <v>USSWAP11 BGN Curncy</v>
          </cell>
          <cell r="K37" t="str">
            <v>USSWAP11</v>
          </cell>
          <cell r="L37" t="str">
            <v>BGN</v>
          </cell>
          <cell r="M37" t="str">
            <v>Curncy</v>
          </cell>
          <cell r="N37" t="str">
            <v>SWAP</v>
          </cell>
          <cell r="O37" t="str">
            <v>11Y</v>
          </cell>
          <cell r="P37" t="b">
            <v>1</v>
          </cell>
          <cell r="R37" t="str">
            <v xml:space="preserve">  </v>
          </cell>
          <cell r="Z37" t="str">
            <v xml:space="preserve">  </v>
          </cell>
          <cell r="AH37" t="str">
            <v xml:space="preserve">  </v>
          </cell>
          <cell r="AP37" t="str">
            <v xml:space="preserve">  </v>
          </cell>
        </row>
        <row r="38">
          <cell r="B38" t="str">
            <v>USSO2 CMPN Curncy</v>
          </cell>
          <cell r="C38" t="str">
            <v>USSO2</v>
          </cell>
          <cell r="D38" t="str">
            <v>CMPN</v>
          </cell>
          <cell r="E38" t="str">
            <v>Curncy</v>
          </cell>
          <cell r="F38" t="str">
            <v>OIS</v>
          </cell>
          <cell r="G38" t="str">
            <v>2Y</v>
          </cell>
          <cell r="H38" t="b">
            <v>1</v>
          </cell>
          <cell r="J38" t="str">
            <v>USSWAP12 BGN Curncy</v>
          </cell>
          <cell r="K38" t="str">
            <v>USSWAP12</v>
          </cell>
          <cell r="L38" t="str">
            <v>BGN</v>
          </cell>
          <cell r="M38" t="str">
            <v>Curncy</v>
          </cell>
          <cell r="N38" t="str">
            <v>SWAP</v>
          </cell>
          <cell r="O38" t="str">
            <v>12Y</v>
          </cell>
          <cell r="P38" t="b">
            <v>1</v>
          </cell>
          <cell r="R38" t="str">
            <v xml:space="preserve">  </v>
          </cell>
          <cell r="Z38" t="str">
            <v xml:space="preserve">  </v>
          </cell>
          <cell r="AH38" t="str">
            <v xml:space="preserve">  </v>
          </cell>
          <cell r="AP38" t="str">
            <v xml:space="preserve">  </v>
          </cell>
        </row>
        <row r="39">
          <cell r="B39" t="str">
            <v>USSO3 CMPN Curncy</v>
          </cell>
          <cell r="C39" t="str">
            <v>USSO3</v>
          </cell>
          <cell r="D39" t="str">
            <v>CMPN</v>
          </cell>
          <cell r="E39" t="str">
            <v>Curncy</v>
          </cell>
          <cell r="F39" t="str">
            <v>OIS</v>
          </cell>
          <cell r="G39" t="str">
            <v>3Y</v>
          </cell>
          <cell r="H39" t="b">
            <v>1</v>
          </cell>
          <cell r="J39" t="str">
            <v>USSWAP15 BGN Curncy</v>
          </cell>
          <cell r="K39" t="str">
            <v>USSWAP15</v>
          </cell>
          <cell r="L39" t="str">
            <v>BGN</v>
          </cell>
          <cell r="M39" t="str">
            <v>Curncy</v>
          </cell>
          <cell r="N39" t="str">
            <v>SWAP</v>
          </cell>
          <cell r="O39" t="str">
            <v>15Y</v>
          </cell>
          <cell r="P39" t="b">
            <v>1</v>
          </cell>
          <cell r="R39" t="str">
            <v xml:space="preserve">  </v>
          </cell>
          <cell r="Z39" t="str">
            <v xml:space="preserve">  </v>
          </cell>
          <cell r="AH39" t="str">
            <v xml:space="preserve">  </v>
          </cell>
          <cell r="AP39" t="str">
            <v xml:space="preserve">  </v>
          </cell>
        </row>
        <row r="40">
          <cell r="B40" t="str">
            <v>USSO4 CMPN Curncy</v>
          </cell>
          <cell r="C40" t="str">
            <v>USSO4</v>
          </cell>
          <cell r="D40" t="str">
            <v>CMPN</v>
          </cell>
          <cell r="E40" t="str">
            <v>Curncy</v>
          </cell>
          <cell r="F40" t="str">
            <v>OIS</v>
          </cell>
          <cell r="G40" t="str">
            <v>4Y</v>
          </cell>
          <cell r="H40" t="b">
            <v>1</v>
          </cell>
          <cell r="J40" t="str">
            <v>USSWAP20 BGN Curncy</v>
          </cell>
          <cell r="K40" t="str">
            <v>USSWAP20</v>
          </cell>
          <cell r="L40" t="str">
            <v>BGN</v>
          </cell>
          <cell r="M40" t="str">
            <v>Curncy</v>
          </cell>
          <cell r="N40" t="str">
            <v>SWAP</v>
          </cell>
          <cell r="O40" t="str">
            <v>20Y</v>
          </cell>
          <cell r="P40" t="b">
            <v>1</v>
          </cell>
          <cell r="R40" t="str">
            <v xml:space="preserve">  </v>
          </cell>
          <cell r="Z40" t="str">
            <v xml:space="preserve">  </v>
          </cell>
          <cell r="AH40" t="str">
            <v xml:space="preserve">  </v>
          </cell>
          <cell r="AP40" t="str">
            <v xml:space="preserve">  </v>
          </cell>
        </row>
        <row r="41">
          <cell r="B41" t="str">
            <v>USSO5 CMPN Curncy</v>
          </cell>
          <cell r="C41" t="str">
            <v>USSO5</v>
          </cell>
          <cell r="D41" t="str">
            <v>CMPN</v>
          </cell>
          <cell r="E41" t="str">
            <v>Curncy</v>
          </cell>
          <cell r="F41" t="str">
            <v>OIS</v>
          </cell>
          <cell r="G41" t="str">
            <v>5Y</v>
          </cell>
          <cell r="H41" t="b">
            <v>1</v>
          </cell>
          <cell r="J41" t="str">
            <v>USSWAP25 BGN Curncy</v>
          </cell>
          <cell r="K41" t="str">
            <v>USSWAP25</v>
          </cell>
          <cell r="L41" t="str">
            <v>BGN</v>
          </cell>
          <cell r="M41" t="str">
            <v>Curncy</v>
          </cell>
          <cell r="N41" t="str">
            <v>SWAP</v>
          </cell>
          <cell r="O41" t="str">
            <v>25Y</v>
          </cell>
          <cell r="P41" t="b">
            <v>1</v>
          </cell>
          <cell r="R41" t="str">
            <v xml:space="preserve">  </v>
          </cell>
          <cell r="Z41" t="str">
            <v xml:space="preserve">  </v>
          </cell>
          <cell r="AH41" t="str">
            <v xml:space="preserve">  </v>
          </cell>
          <cell r="AP41" t="str">
            <v xml:space="preserve">  </v>
          </cell>
        </row>
        <row r="42">
          <cell r="B42" t="str">
            <v>USSO6 CMPN Curncy</v>
          </cell>
          <cell r="C42" t="str">
            <v>USSO6</v>
          </cell>
          <cell r="D42" t="str">
            <v>CMPN</v>
          </cell>
          <cell r="E42" t="str">
            <v>Curncy</v>
          </cell>
          <cell r="F42" t="str">
            <v>OIS</v>
          </cell>
          <cell r="G42" t="str">
            <v>6Y</v>
          </cell>
          <cell r="H42" t="b">
            <v>1</v>
          </cell>
          <cell r="J42" t="str">
            <v>USSWAP30 BGN Curncy</v>
          </cell>
          <cell r="K42" t="str">
            <v>USSWAP30</v>
          </cell>
          <cell r="L42" t="str">
            <v>BGN</v>
          </cell>
          <cell r="M42" t="str">
            <v>Curncy</v>
          </cell>
          <cell r="N42" t="str">
            <v>SWAP</v>
          </cell>
          <cell r="O42" t="str">
            <v>30Y</v>
          </cell>
          <cell r="P42" t="b">
            <v>1</v>
          </cell>
          <cell r="R42" t="str">
            <v xml:space="preserve">  </v>
          </cell>
          <cell r="Z42" t="str">
            <v xml:space="preserve">  </v>
          </cell>
          <cell r="AH42" t="str">
            <v xml:space="preserve">  </v>
          </cell>
          <cell r="AP42" t="str">
            <v xml:space="preserve">  </v>
          </cell>
        </row>
        <row r="43">
          <cell r="B43" t="str">
            <v>USSO7 CMPN Curncy</v>
          </cell>
          <cell r="C43" t="str">
            <v>USSO7</v>
          </cell>
          <cell r="D43" t="str">
            <v>CMPN</v>
          </cell>
          <cell r="E43" t="str">
            <v>Curncy</v>
          </cell>
          <cell r="F43" t="str">
            <v>OIS</v>
          </cell>
          <cell r="G43" t="str">
            <v>7Y</v>
          </cell>
          <cell r="H43" t="b">
            <v>1</v>
          </cell>
          <cell r="J43" t="str">
            <v>USSWAP40 BGN Curncy</v>
          </cell>
          <cell r="K43" t="str">
            <v>USSWAP40</v>
          </cell>
          <cell r="L43" t="str">
            <v>BGN</v>
          </cell>
          <cell r="M43" t="str">
            <v>Curncy</v>
          </cell>
          <cell r="N43" t="str">
            <v>SWAP</v>
          </cell>
          <cell r="O43" t="str">
            <v>40Y</v>
          </cell>
          <cell r="P43" t="b">
            <v>1</v>
          </cell>
          <cell r="R43" t="str">
            <v xml:space="preserve">  </v>
          </cell>
          <cell r="Z43" t="str">
            <v xml:space="preserve">  </v>
          </cell>
          <cell r="AH43" t="str">
            <v xml:space="preserve">  </v>
          </cell>
          <cell r="AP43" t="str">
            <v xml:space="preserve">  </v>
          </cell>
        </row>
        <row r="44">
          <cell r="B44" t="str">
            <v>USSO10 CMPN Curncy</v>
          </cell>
          <cell r="C44" t="str">
            <v>USSO10</v>
          </cell>
          <cell r="D44" t="str">
            <v>CMPN</v>
          </cell>
          <cell r="E44" t="str">
            <v>Curncy</v>
          </cell>
          <cell r="F44" t="str">
            <v>OIS</v>
          </cell>
          <cell r="G44" t="str">
            <v>10Y</v>
          </cell>
          <cell r="H44" t="b">
            <v>1</v>
          </cell>
          <cell r="J44" t="str">
            <v xml:space="preserve">  </v>
          </cell>
          <cell r="R44" t="str">
            <v xml:space="preserve">  </v>
          </cell>
          <cell r="Z44" t="str">
            <v xml:space="preserve">  </v>
          </cell>
          <cell r="AH44" t="str">
            <v xml:space="preserve">  </v>
          </cell>
          <cell r="AP44" t="str">
            <v xml:space="preserve">  </v>
          </cell>
        </row>
        <row r="45">
          <cell r="B45" t="str">
            <v>USSO12 CMPN Curncy</v>
          </cell>
          <cell r="C45" t="str">
            <v>USSO12</v>
          </cell>
          <cell r="D45" t="str">
            <v>CMPN</v>
          </cell>
          <cell r="E45" t="str">
            <v>Curncy</v>
          </cell>
          <cell r="F45" t="str">
            <v>OIS</v>
          </cell>
          <cell r="G45" t="str">
            <v>12Y</v>
          </cell>
          <cell r="H45" t="b">
            <v>1</v>
          </cell>
          <cell r="J45" t="str">
            <v xml:space="preserve">  </v>
          </cell>
          <cell r="R45" t="str">
            <v xml:space="preserve">  </v>
          </cell>
          <cell r="Z45" t="str">
            <v xml:space="preserve">  </v>
          </cell>
          <cell r="AH45" t="str">
            <v xml:space="preserve">  </v>
          </cell>
          <cell r="AP45" t="str">
            <v xml:space="preserve">  </v>
          </cell>
        </row>
        <row r="46">
          <cell r="B46" t="str">
            <v>USSO15 CMPN Curncy</v>
          </cell>
          <cell r="C46" t="str">
            <v>USSO15</v>
          </cell>
          <cell r="D46" t="str">
            <v>CMPN</v>
          </cell>
          <cell r="E46" t="str">
            <v>Curncy</v>
          </cell>
          <cell r="F46" t="str">
            <v>OIS</v>
          </cell>
          <cell r="G46" t="str">
            <v>15Y</v>
          </cell>
          <cell r="H46" t="b">
            <v>1</v>
          </cell>
          <cell r="J46" t="str">
            <v xml:space="preserve">  </v>
          </cell>
          <cell r="R46" t="str">
            <v xml:space="preserve">  </v>
          </cell>
          <cell r="Z46" t="str">
            <v xml:space="preserve">  </v>
          </cell>
          <cell r="AH46" t="str">
            <v xml:space="preserve">  </v>
          </cell>
          <cell r="AP46" t="str">
            <v xml:space="preserve">  </v>
          </cell>
        </row>
        <row r="47">
          <cell r="B47" t="str">
            <v>USSO20 CMPN Curncy</v>
          </cell>
          <cell r="C47" t="str">
            <v>USSO20</v>
          </cell>
          <cell r="D47" t="str">
            <v>CMPN</v>
          </cell>
          <cell r="E47" t="str">
            <v>Curncy</v>
          </cell>
          <cell r="F47" t="str">
            <v>OIS</v>
          </cell>
          <cell r="G47" t="str">
            <v>20Y</v>
          </cell>
          <cell r="H47" t="b">
            <v>1</v>
          </cell>
          <cell r="J47" t="str">
            <v xml:space="preserve">  </v>
          </cell>
          <cell r="R47" t="str">
            <v xml:space="preserve">  </v>
          </cell>
          <cell r="Z47" t="str">
            <v xml:space="preserve">  </v>
          </cell>
          <cell r="AH47" t="str">
            <v xml:space="preserve">  </v>
          </cell>
          <cell r="AP47" t="str">
            <v xml:space="preserve">  </v>
          </cell>
        </row>
        <row r="48">
          <cell r="B48" t="str">
            <v>USSO25 CMPN Curncy</v>
          </cell>
          <cell r="C48" t="str">
            <v>USSO25</v>
          </cell>
          <cell r="D48" t="str">
            <v>CMPN</v>
          </cell>
          <cell r="E48" t="str">
            <v>Curncy</v>
          </cell>
          <cell r="F48" t="str">
            <v>OIS</v>
          </cell>
          <cell r="G48" t="str">
            <v>25Y</v>
          </cell>
          <cell r="H48" t="b">
            <v>1</v>
          </cell>
          <cell r="J48" t="str">
            <v xml:space="preserve">  </v>
          </cell>
          <cell r="R48" t="str">
            <v xml:space="preserve">  </v>
          </cell>
          <cell r="Z48" t="str">
            <v xml:space="preserve">  </v>
          </cell>
          <cell r="AH48" t="str">
            <v xml:space="preserve">  </v>
          </cell>
          <cell r="AP48" t="str">
            <v xml:space="preserve">  </v>
          </cell>
        </row>
        <row r="49">
          <cell r="B49" t="str">
            <v>USSO30 CMPN Curncy</v>
          </cell>
          <cell r="C49" t="str">
            <v>USSO30</v>
          </cell>
          <cell r="D49" t="str">
            <v>CMPN</v>
          </cell>
          <cell r="E49" t="str">
            <v>Curncy</v>
          </cell>
          <cell r="F49" t="str">
            <v>OIS</v>
          </cell>
          <cell r="G49" t="str">
            <v>30Y</v>
          </cell>
          <cell r="H49" t="b">
            <v>1</v>
          </cell>
          <cell r="J49" t="str">
            <v xml:space="preserve">  </v>
          </cell>
          <cell r="R49" t="str">
            <v xml:space="preserve">  </v>
          </cell>
          <cell r="Z49" t="str">
            <v xml:space="preserve">  </v>
          </cell>
          <cell r="AH49" t="str">
            <v xml:space="preserve">  </v>
          </cell>
          <cell r="AP49" t="str">
            <v xml:space="preserve">  </v>
          </cell>
        </row>
        <row r="50">
          <cell r="B50" t="str">
            <v>USBG2 BGN Curncy</v>
          </cell>
          <cell r="C50" t="str">
            <v>USBG2</v>
          </cell>
          <cell r="D50" t="str">
            <v>BGN</v>
          </cell>
          <cell r="E50" t="str">
            <v>Curncy</v>
          </cell>
          <cell r="F50" t="str">
            <v>LIBOR-OIS BASIS</v>
          </cell>
          <cell r="G50" t="str">
            <v>2Y</v>
          </cell>
          <cell r="H50" t="b">
            <v>1</v>
          </cell>
          <cell r="J50" t="str">
            <v xml:space="preserve">  </v>
          </cell>
          <cell r="R50" t="str">
            <v xml:space="preserve">  </v>
          </cell>
          <cell r="Z50" t="str">
            <v xml:space="preserve">  </v>
          </cell>
          <cell r="AH50" t="str">
            <v xml:space="preserve">  </v>
          </cell>
          <cell r="AP50" t="str">
            <v xml:space="preserve">  </v>
          </cell>
        </row>
        <row r="51">
          <cell r="B51" t="str">
            <v>USBG3 BGN Curncy</v>
          </cell>
          <cell r="C51" t="str">
            <v>USBG3</v>
          </cell>
          <cell r="D51" t="str">
            <v>BGN</v>
          </cell>
          <cell r="E51" t="str">
            <v>Curncy</v>
          </cell>
          <cell r="F51" t="str">
            <v>LIBOR-OIS BASIS</v>
          </cell>
          <cell r="G51" t="str">
            <v>3Y</v>
          </cell>
          <cell r="H51" t="b">
            <v>1</v>
          </cell>
          <cell r="J51" t="str">
            <v xml:space="preserve">  </v>
          </cell>
          <cell r="R51" t="str">
            <v xml:space="preserve">  </v>
          </cell>
          <cell r="Z51" t="str">
            <v xml:space="preserve">  </v>
          </cell>
          <cell r="AH51" t="str">
            <v xml:space="preserve">  </v>
          </cell>
          <cell r="AP51" t="str">
            <v xml:space="preserve">  </v>
          </cell>
        </row>
        <row r="52">
          <cell r="B52" t="str">
            <v>USBG4 BGN Curncy</v>
          </cell>
          <cell r="C52" t="str">
            <v>USBG4</v>
          </cell>
          <cell r="D52" t="str">
            <v>BGN</v>
          </cell>
          <cell r="E52" t="str">
            <v>Curncy</v>
          </cell>
          <cell r="F52" t="str">
            <v>LIBOR-OIS BASIS</v>
          </cell>
          <cell r="G52" t="str">
            <v>4Y</v>
          </cell>
          <cell r="H52" t="b">
            <v>1</v>
          </cell>
          <cell r="J52" t="str">
            <v xml:space="preserve">  </v>
          </cell>
          <cell r="R52" t="str">
            <v xml:space="preserve">  </v>
          </cell>
          <cell r="Z52" t="str">
            <v xml:space="preserve">  </v>
          </cell>
          <cell r="AH52" t="str">
            <v xml:space="preserve">  </v>
          </cell>
          <cell r="AP52" t="str">
            <v xml:space="preserve">  </v>
          </cell>
        </row>
        <row r="53">
          <cell r="B53" t="str">
            <v>USBG5 BGN Curncy</v>
          </cell>
          <cell r="C53" t="str">
            <v>USBG5</v>
          </cell>
          <cell r="D53" t="str">
            <v>BGN</v>
          </cell>
          <cell r="E53" t="str">
            <v>Curncy</v>
          </cell>
          <cell r="F53" t="str">
            <v>LIBOR-OIS BASIS</v>
          </cell>
          <cell r="G53" t="str">
            <v>5Y</v>
          </cell>
          <cell r="H53" t="b">
            <v>1</v>
          </cell>
          <cell r="J53" t="str">
            <v xml:space="preserve">  </v>
          </cell>
          <cell r="R53" t="str">
            <v xml:space="preserve">  </v>
          </cell>
          <cell r="Z53" t="str">
            <v xml:space="preserve">  </v>
          </cell>
          <cell r="AH53" t="str">
            <v xml:space="preserve">  </v>
          </cell>
          <cell r="AP53" t="str">
            <v xml:space="preserve">  </v>
          </cell>
        </row>
        <row r="54">
          <cell r="B54" t="str">
            <v>USBG6 BGN Curncy</v>
          </cell>
          <cell r="C54" t="str">
            <v>USBG6</v>
          </cell>
          <cell r="D54" t="str">
            <v>BGN</v>
          </cell>
          <cell r="E54" t="str">
            <v>Curncy</v>
          </cell>
          <cell r="F54" t="str">
            <v>LIBOR-OIS BASIS</v>
          </cell>
          <cell r="G54" t="str">
            <v>6Y</v>
          </cell>
          <cell r="H54" t="b">
            <v>1</v>
          </cell>
          <cell r="J54" t="str">
            <v xml:space="preserve">  </v>
          </cell>
          <cell r="R54" t="str">
            <v xml:space="preserve">  </v>
          </cell>
          <cell r="Z54" t="str">
            <v xml:space="preserve">  </v>
          </cell>
          <cell r="AH54" t="str">
            <v xml:space="preserve">  </v>
          </cell>
          <cell r="AP54" t="str">
            <v xml:space="preserve">  </v>
          </cell>
        </row>
        <row r="55">
          <cell r="B55" t="str">
            <v>USBG7 BGN Curncy</v>
          </cell>
          <cell r="C55" t="str">
            <v>USBG7</v>
          </cell>
          <cell r="D55" t="str">
            <v>BGN</v>
          </cell>
          <cell r="E55" t="str">
            <v>Curncy</v>
          </cell>
          <cell r="F55" t="str">
            <v>LIBOR-OIS BASIS</v>
          </cell>
          <cell r="G55" t="str">
            <v>7Y</v>
          </cell>
          <cell r="H55" t="b">
            <v>1</v>
          </cell>
          <cell r="J55" t="str">
            <v xml:space="preserve">  </v>
          </cell>
          <cell r="R55" t="str">
            <v xml:space="preserve">  </v>
          </cell>
          <cell r="Z55" t="str">
            <v xml:space="preserve">  </v>
          </cell>
          <cell r="AH55" t="str">
            <v xml:space="preserve">  </v>
          </cell>
          <cell r="AP55" t="str">
            <v xml:space="preserve">  </v>
          </cell>
        </row>
        <row r="56">
          <cell r="B56" t="str">
            <v>USBG10 BGN Curncy</v>
          </cell>
          <cell r="C56" t="str">
            <v>USBG10</v>
          </cell>
          <cell r="D56" t="str">
            <v>BGN</v>
          </cell>
          <cell r="E56" t="str">
            <v>Curncy</v>
          </cell>
          <cell r="F56" t="str">
            <v>LIBOR-OIS BASIS</v>
          </cell>
          <cell r="G56" t="str">
            <v>10Y</v>
          </cell>
          <cell r="H56" t="b">
            <v>1</v>
          </cell>
          <cell r="J56" t="str">
            <v xml:space="preserve">  </v>
          </cell>
          <cell r="R56" t="str">
            <v xml:space="preserve">  </v>
          </cell>
          <cell r="Z56" t="str">
            <v xml:space="preserve">  </v>
          </cell>
          <cell r="AH56" t="str">
            <v xml:space="preserve">  </v>
          </cell>
          <cell r="AP56" t="str">
            <v xml:space="preserve">  </v>
          </cell>
        </row>
        <row r="57">
          <cell r="B57" t="str">
            <v>USBG12 BGN Curncy</v>
          </cell>
          <cell r="C57" t="str">
            <v>USBG12</v>
          </cell>
          <cell r="D57" t="str">
            <v>BGN</v>
          </cell>
          <cell r="E57" t="str">
            <v>Curncy</v>
          </cell>
          <cell r="F57" t="str">
            <v>LIBOR-OIS BASIS</v>
          </cell>
          <cell r="G57" t="str">
            <v>12Y</v>
          </cell>
          <cell r="H57" t="b">
            <v>1</v>
          </cell>
          <cell r="J57" t="str">
            <v xml:space="preserve">  </v>
          </cell>
          <cell r="R57" t="str">
            <v xml:space="preserve">  </v>
          </cell>
          <cell r="Z57" t="str">
            <v xml:space="preserve">  </v>
          </cell>
          <cell r="AH57" t="str">
            <v xml:space="preserve">  </v>
          </cell>
          <cell r="AP57" t="str">
            <v xml:space="preserve">  </v>
          </cell>
        </row>
        <row r="58">
          <cell r="B58" t="str">
            <v>USBG15 BGN Curncy</v>
          </cell>
          <cell r="C58" t="str">
            <v>USBG15</v>
          </cell>
          <cell r="D58" t="str">
            <v>BGN</v>
          </cell>
          <cell r="E58" t="str">
            <v>Curncy</v>
          </cell>
          <cell r="F58" t="str">
            <v>LIBOR-OIS BASIS</v>
          </cell>
          <cell r="G58" t="str">
            <v>15Y</v>
          </cell>
          <cell r="H58" t="b">
            <v>1</v>
          </cell>
          <cell r="J58" t="str">
            <v xml:space="preserve">  </v>
          </cell>
          <cell r="R58" t="str">
            <v xml:space="preserve">  </v>
          </cell>
          <cell r="Z58" t="str">
            <v xml:space="preserve">  </v>
          </cell>
          <cell r="AH58" t="str">
            <v xml:space="preserve">  </v>
          </cell>
          <cell r="AP58" t="str">
            <v xml:space="preserve">  </v>
          </cell>
        </row>
        <row r="59">
          <cell r="B59" t="str">
            <v>USBG20 BGN Curncy</v>
          </cell>
          <cell r="C59" t="str">
            <v>USBG20</v>
          </cell>
          <cell r="D59" t="str">
            <v>BGN</v>
          </cell>
          <cell r="E59" t="str">
            <v>Curncy</v>
          </cell>
          <cell r="F59" t="str">
            <v>LIBOR-OIS BASIS</v>
          </cell>
          <cell r="G59" t="str">
            <v>20Y</v>
          </cell>
          <cell r="H59" t="b">
            <v>1</v>
          </cell>
          <cell r="J59" t="str">
            <v xml:space="preserve">  </v>
          </cell>
          <cell r="R59" t="str">
            <v xml:space="preserve">  </v>
          </cell>
          <cell r="Z59" t="str">
            <v xml:space="preserve">  </v>
          </cell>
          <cell r="AH59" t="str">
            <v xml:space="preserve">  </v>
          </cell>
          <cell r="AP59" t="str">
            <v xml:space="preserve">  </v>
          </cell>
        </row>
        <row r="60">
          <cell r="B60" t="str">
            <v>USBG25 BGN Curncy</v>
          </cell>
          <cell r="C60" t="str">
            <v>USBG25</v>
          </cell>
          <cell r="D60" t="str">
            <v>BGN</v>
          </cell>
          <cell r="E60" t="str">
            <v>Curncy</v>
          </cell>
          <cell r="F60" t="str">
            <v>LIBOR-OIS BASIS</v>
          </cell>
          <cell r="G60" t="str">
            <v>25Y</v>
          </cell>
          <cell r="H60" t="b">
            <v>1</v>
          </cell>
          <cell r="J60" t="str">
            <v xml:space="preserve">  </v>
          </cell>
          <cell r="R60" t="str">
            <v xml:space="preserve">  </v>
          </cell>
          <cell r="Z60" t="str">
            <v xml:space="preserve">  </v>
          </cell>
          <cell r="AH60" t="str">
            <v xml:space="preserve">  </v>
          </cell>
          <cell r="AP60" t="str">
            <v xml:space="preserve">  </v>
          </cell>
        </row>
        <row r="61">
          <cell r="B61" t="str">
            <v>USBG30 BGN Curncy</v>
          </cell>
          <cell r="C61" t="str">
            <v>USBG30</v>
          </cell>
          <cell r="D61" t="str">
            <v>BGN</v>
          </cell>
          <cell r="E61" t="str">
            <v>Curncy</v>
          </cell>
          <cell r="F61" t="str">
            <v>LIBOR-OIS BASIS</v>
          </cell>
          <cell r="G61" t="str">
            <v>30Y</v>
          </cell>
          <cell r="H61" t="b">
            <v>1</v>
          </cell>
          <cell r="J61" t="str">
            <v xml:space="preserve">  </v>
          </cell>
          <cell r="R61" t="str">
            <v xml:space="preserve">  </v>
          </cell>
          <cell r="Z61" t="str">
            <v xml:space="preserve">  </v>
          </cell>
          <cell r="AH61" t="str">
            <v xml:space="preserve">  </v>
          </cell>
          <cell r="AP61" t="str">
            <v xml:space="preserve">  </v>
          </cell>
        </row>
        <row r="62">
          <cell r="B62" t="str">
            <v>USSWAP2 BGN Curncy</v>
          </cell>
          <cell r="C62" t="str">
            <v>USSWAP2</v>
          </cell>
          <cell r="D62" t="str">
            <v>BGN</v>
          </cell>
          <cell r="E62" t="str">
            <v>Curncy</v>
          </cell>
          <cell r="F62" t="str">
            <v>SWAP</v>
          </cell>
          <cell r="G62" t="str">
            <v>2Y</v>
          </cell>
          <cell r="H62" t="b">
            <v>1</v>
          </cell>
          <cell r="J62" t="str">
            <v xml:space="preserve">  </v>
          </cell>
          <cell r="R62" t="str">
            <v xml:space="preserve">  </v>
          </cell>
          <cell r="Z62" t="str">
            <v xml:space="preserve">  </v>
          </cell>
          <cell r="AH62" t="str">
            <v xml:space="preserve">  </v>
          </cell>
          <cell r="AP62" t="str">
            <v xml:space="preserve">  </v>
          </cell>
        </row>
        <row r="63">
          <cell r="B63" t="str">
            <v>USSWAP3 BGN Curncy</v>
          </cell>
          <cell r="C63" t="str">
            <v>USSWAP3</v>
          </cell>
          <cell r="D63" t="str">
            <v>BGN</v>
          </cell>
          <cell r="E63" t="str">
            <v>Curncy</v>
          </cell>
          <cell r="F63" t="str">
            <v>SWAP</v>
          </cell>
          <cell r="G63" t="str">
            <v>3Y</v>
          </cell>
          <cell r="H63" t="b">
            <v>1</v>
          </cell>
          <cell r="J63" t="str">
            <v xml:space="preserve">  </v>
          </cell>
          <cell r="R63" t="str">
            <v xml:space="preserve">  </v>
          </cell>
          <cell r="Z63" t="str">
            <v xml:space="preserve">  </v>
          </cell>
          <cell r="AH63" t="str">
            <v xml:space="preserve">  </v>
          </cell>
          <cell r="AP63" t="str">
            <v xml:space="preserve">  </v>
          </cell>
        </row>
        <row r="64">
          <cell r="B64" t="str">
            <v>USSWAP4 BGN Curncy</v>
          </cell>
          <cell r="C64" t="str">
            <v>USSWAP4</v>
          </cell>
          <cell r="D64" t="str">
            <v>BGN</v>
          </cell>
          <cell r="E64" t="str">
            <v>Curncy</v>
          </cell>
          <cell r="F64" t="str">
            <v>SWAP</v>
          </cell>
          <cell r="G64" t="str">
            <v>4Y</v>
          </cell>
          <cell r="H64" t="b">
            <v>1</v>
          </cell>
          <cell r="J64" t="str">
            <v xml:space="preserve">  </v>
          </cell>
          <cell r="R64" t="str">
            <v xml:space="preserve">  </v>
          </cell>
          <cell r="Z64" t="str">
            <v xml:space="preserve">  </v>
          </cell>
          <cell r="AH64" t="str">
            <v xml:space="preserve">  </v>
          </cell>
          <cell r="AP64" t="str">
            <v xml:space="preserve">  </v>
          </cell>
        </row>
        <row r="65">
          <cell r="B65" t="str">
            <v>USSWAP5 BGN Curncy</v>
          </cell>
          <cell r="C65" t="str">
            <v>USSWAP5</v>
          </cell>
          <cell r="D65" t="str">
            <v>BGN</v>
          </cell>
          <cell r="E65" t="str">
            <v>Curncy</v>
          </cell>
          <cell r="F65" t="str">
            <v>SWAP</v>
          </cell>
          <cell r="G65" t="str">
            <v>5Y</v>
          </cell>
          <cell r="H65" t="b">
            <v>1</v>
          </cell>
          <cell r="J65" t="str">
            <v xml:space="preserve">  </v>
          </cell>
          <cell r="R65" t="str">
            <v xml:space="preserve">  </v>
          </cell>
          <cell r="Z65" t="str">
            <v xml:space="preserve">  </v>
          </cell>
          <cell r="AH65" t="str">
            <v xml:space="preserve">  </v>
          </cell>
          <cell r="AP65" t="str">
            <v xml:space="preserve">  </v>
          </cell>
        </row>
        <row r="66">
          <cell r="B66" t="str">
            <v>USSWAP6 BGN Curncy</v>
          </cell>
          <cell r="C66" t="str">
            <v>USSWAP6</v>
          </cell>
          <cell r="D66" t="str">
            <v>BGN</v>
          </cell>
          <cell r="E66" t="str">
            <v>Curncy</v>
          </cell>
          <cell r="F66" t="str">
            <v>SWAP</v>
          </cell>
          <cell r="G66" t="str">
            <v>6Y</v>
          </cell>
          <cell r="H66" t="b">
            <v>1</v>
          </cell>
          <cell r="J66" t="str">
            <v xml:space="preserve">  </v>
          </cell>
          <cell r="R66" t="str">
            <v xml:space="preserve">  </v>
          </cell>
          <cell r="Z66" t="str">
            <v xml:space="preserve">  </v>
          </cell>
          <cell r="AH66" t="str">
            <v xml:space="preserve">  </v>
          </cell>
          <cell r="AP66" t="str">
            <v xml:space="preserve">  </v>
          </cell>
        </row>
        <row r="67">
          <cell r="B67" t="str">
            <v>USSWAP7 BGN Curncy</v>
          </cell>
          <cell r="C67" t="str">
            <v>USSWAP7</v>
          </cell>
          <cell r="D67" t="str">
            <v>BGN</v>
          </cell>
          <cell r="E67" t="str">
            <v>Curncy</v>
          </cell>
          <cell r="F67" t="str">
            <v>SWAP</v>
          </cell>
          <cell r="G67" t="str">
            <v>7Y</v>
          </cell>
          <cell r="H67" t="b">
            <v>1</v>
          </cell>
          <cell r="J67" t="str">
            <v xml:space="preserve">  </v>
          </cell>
          <cell r="R67" t="str">
            <v xml:space="preserve">  </v>
          </cell>
          <cell r="Z67" t="str">
            <v xml:space="preserve">  </v>
          </cell>
          <cell r="AH67" t="str">
            <v xml:space="preserve">  </v>
          </cell>
          <cell r="AP67" t="str">
            <v xml:space="preserve">  </v>
          </cell>
        </row>
        <row r="68">
          <cell r="B68" t="str">
            <v>USSWAP10 BGN Curncy</v>
          </cell>
          <cell r="C68" t="str">
            <v>USSWAP10</v>
          </cell>
          <cell r="D68" t="str">
            <v>BGN</v>
          </cell>
          <cell r="E68" t="str">
            <v>Curncy</v>
          </cell>
          <cell r="F68" t="str">
            <v>SWAP</v>
          </cell>
          <cell r="G68" t="str">
            <v>10Y</v>
          </cell>
          <cell r="H68" t="b">
            <v>1</v>
          </cell>
          <cell r="J68" t="str">
            <v xml:space="preserve">  </v>
          </cell>
          <cell r="R68" t="str">
            <v xml:space="preserve">  </v>
          </cell>
          <cell r="Z68" t="str">
            <v xml:space="preserve">  </v>
          </cell>
          <cell r="AH68" t="str">
            <v xml:space="preserve">  </v>
          </cell>
          <cell r="AP68" t="str">
            <v xml:space="preserve">  </v>
          </cell>
        </row>
        <row r="69">
          <cell r="B69" t="str">
            <v>USSWAP12 BGN Curncy</v>
          </cell>
          <cell r="C69" t="str">
            <v>USSWAP12</v>
          </cell>
          <cell r="D69" t="str">
            <v>BGN</v>
          </cell>
          <cell r="E69" t="str">
            <v>Curncy</v>
          </cell>
          <cell r="F69" t="str">
            <v>SWAP</v>
          </cell>
          <cell r="G69" t="str">
            <v>12Y</v>
          </cell>
          <cell r="H69" t="b">
            <v>1</v>
          </cell>
          <cell r="J69" t="str">
            <v xml:space="preserve">  </v>
          </cell>
          <cell r="R69" t="str">
            <v xml:space="preserve">  </v>
          </cell>
          <cell r="Z69" t="str">
            <v xml:space="preserve">  </v>
          </cell>
          <cell r="AH69" t="str">
            <v xml:space="preserve">  </v>
          </cell>
          <cell r="AP69" t="str">
            <v xml:space="preserve">  </v>
          </cell>
        </row>
        <row r="70">
          <cell r="B70" t="str">
            <v>USSWAP15 BGN Curncy</v>
          </cell>
          <cell r="C70" t="str">
            <v>USSWAP15</v>
          </cell>
          <cell r="D70" t="str">
            <v>BGN</v>
          </cell>
          <cell r="E70" t="str">
            <v>Curncy</v>
          </cell>
          <cell r="F70" t="str">
            <v>SWAP</v>
          </cell>
          <cell r="G70" t="str">
            <v>15Y</v>
          </cell>
          <cell r="H70" t="b">
            <v>1</v>
          </cell>
          <cell r="J70" t="str">
            <v xml:space="preserve">  </v>
          </cell>
          <cell r="R70" t="str">
            <v xml:space="preserve">  </v>
          </cell>
          <cell r="Z70" t="str">
            <v xml:space="preserve">  </v>
          </cell>
          <cell r="AH70" t="str">
            <v xml:space="preserve">  </v>
          </cell>
          <cell r="AP70" t="str">
            <v xml:space="preserve">  </v>
          </cell>
        </row>
        <row r="71">
          <cell r="B71" t="str">
            <v>USSWAP20 BGN Curncy</v>
          </cell>
          <cell r="C71" t="str">
            <v>USSWAP20</v>
          </cell>
          <cell r="D71" t="str">
            <v>BGN</v>
          </cell>
          <cell r="E71" t="str">
            <v>Curncy</v>
          </cell>
          <cell r="F71" t="str">
            <v>SWAP</v>
          </cell>
          <cell r="G71" t="str">
            <v>20Y</v>
          </cell>
          <cell r="H71" t="b">
            <v>1</v>
          </cell>
          <cell r="J71" t="str">
            <v xml:space="preserve">  </v>
          </cell>
          <cell r="R71" t="str">
            <v xml:space="preserve">  </v>
          </cell>
          <cell r="Z71" t="str">
            <v xml:space="preserve">  </v>
          </cell>
          <cell r="AH71" t="str">
            <v xml:space="preserve">  </v>
          </cell>
          <cell r="AP71" t="str">
            <v xml:space="preserve">  </v>
          </cell>
        </row>
        <row r="72">
          <cell r="B72" t="str">
            <v>USSWAP25 BGN Curncy</v>
          </cell>
          <cell r="C72" t="str">
            <v>USSWAP25</v>
          </cell>
          <cell r="D72" t="str">
            <v>BGN</v>
          </cell>
          <cell r="E72" t="str">
            <v>Curncy</v>
          </cell>
          <cell r="F72" t="str">
            <v>SWAP</v>
          </cell>
          <cell r="G72" t="str">
            <v>25Y</v>
          </cell>
          <cell r="H72" t="b">
            <v>1</v>
          </cell>
          <cell r="J72" t="str">
            <v xml:space="preserve">  </v>
          </cell>
          <cell r="R72" t="str">
            <v xml:space="preserve">  </v>
          </cell>
          <cell r="Z72" t="str">
            <v xml:space="preserve">  </v>
          </cell>
          <cell r="AH72" t="str">
            <v xml:space="preserve">  </v>
          </cell>
          <cell r="AP72" t="str">
            <v xml:space="preserve">  </v>
          </cell>
        </row>
        <row r="73">
          <cell r="B73" t="str">
            <v>USSWAP30 BGN Curncy</v>
          </cell>
          <cell r="C73" t="str">
            <v>USSWAP30</v>
          </cell>
          <cell r="D73" t="str">
            <v>BGN</v>
          </cell>
          <cell r="E73" t="str">
            <v>Curncy</v>
          </cell>
          <cell r="F73" t="str">
            <v>SWAP</v>
          </cell>
          <cell r="G73" t="str">
            <v>30Y</v>
          </cell>
          <cell r="H73" t="b">
            <v>1</v>
          </cell>
          <cell r="J73" t="str">
            <v xml:space="preserve">  </v>
          </cell>
          <cell r="R73" t="str">
            <v xml:space="preserve">  </v>
          </cell>
          <cell r="Z73" t="str">
            <v xml:space="preserve">  </v>
          </cell>
          <cell r="AH73" t="str">
            <v xml:space="preserve">  </v>
          </cell>
          <cell r="AP73" t="str">
            <v xml:space="preserve">  </v>
          </cell>
        </row>
        <row r="74">
          <cell r="B74" t="str">
            <v xml:space="preserve">  </v>
          </cell>
          <cell r="J74" t="str">
            <v xml:space="preserve">  </v>
          </cell>
          <cell r="R74" t="str">
            <v xml:space="preserve">  </v>
          </cell>
          <cell r="Z74" t="str">
            <v xml:space="preserve">  </v>
          </cell>
          <cell r="AH74" t="str">
            <v xml:space="preserve">  </v>
          </cell>
          <cell r="AP74" t="str">
            <v xml:space="preserve">  </v>
          </cell>
        </row>
        <row r="75">
          <cell r="B75" t="str">
            <v xml:space="preserve">  </v>
          </cell>
          <cell r="J75" t="str">
            <v xml:space="preserve">  </v>
          </cell>
          <cell r="R75" t="str">
            <v xml:space="preserve">  </v>
          </cell>
          <cell r="Z75" t="str">
            <v xml:space="preserve">  </v>
          </cell>
          <cell r="AH75" t="str">
            <v xml:space="preserve">  </v>
          </cell>
          <cell r="AP75" t="str">
            <v xml:space="preserve">  </v>
          </cell>
        </row>
        <row r="76">
          <cell r="B76" t="str">
            <v xml:space="preserve">  </v>
          </cell>
          <cell r="J76" t="str">
            <v xml:space="preserve">  </v>
          </cell>
          <cell r="R76" t="str">
            <v xml:space="preserve">  </v>
          </cell>
          <cell r="Z76" t="str">
            <v xml:space="preserve">  </v>
          </cell>
          <cell r="AH76" t="str">
            <v xml:space="preserve">  </v>
          </cell>
          <cell r="AP76" t="str">
            <v xml:space="preserve">  </v>
          </cell>
        </row>
        <row r="77">
          <cell r="B77" t="str">
            <v xml:space="preserve">  </v>
          </cell>
          <cell r="J77" t="str">
            <v xml:space="preserve">  </v>
          </cell>
          <cell r="R77" t="str">
            <v xml:space="preserve">  </v>
          </cell>
          <cell r="Z77" t="str">
            <v xml:space="preserve">  </v>
          </cell>
          <cell r="AH77" t="str">
            <v xml:space="preserve">  </v>
          </cell>
          <cell r="AP77" t="str">
            <v xml:space="preserve">  </v>
          </cell>
        </row>
        <row r="78">
          <cell r="B78" t="str">
            <v xml:space="preserve">  </v>
          </cell>
          <cell r="J78" t="str">
            <v xml:space="preserve">  </v>
          </cell>
          <cell r="R78" t="str">
            <v xml:space="preserve">  </v>
          </cell>
          <cell r="Z78" t="str">
            <v xml:space="preserve">  </v>
          </cell>
          <cell r="AH78" t="str">
            <v xml:space="preserve">  </v>
          </cell>
          <cell r="AP78" t="str">
            <v xml:space="preserve">  </v>
          </cell>
        </row>
        <row r="79">
          <cell r="B79" t="str">
            <v xml:space="preserve">  </v>
          </cell>
          <cell r="J79" t="str">
            <v xml:space="preserve">  </v>
          </cell>
          <cell r="R79" t="str">
            <v xml:space="preserve">  </v>
          </cell>
          <cell r="Z79" t="str">
            <v xml:space="preserve">  </v>
          </cell>
          <cell r="AH79" t="str">
            <v xml:space="preserve">  </v>
          </cell>
          <cell r="AP79" t="str">
            <v xml:space="preserve">  </v>
          </cell>
        </row>
        <row r="80">
          <cell r="B80" t="str">
            <v xml:space="preserve">  </v>
          </cell>
          <cell r="J80" t="str">
            <v xml:space="preserve">  </v>
          </cell>
          <cell r="R80" t="str">
            <v xml:space="preserve">  </v>
          </cell>
          <cell r="Z80" t="str">
            <v xml:space="preserve">  </v>
          </cell>
          <cell r="AH80" t="str">
            <v xml:space="preserve">  </v>
          </cell>
          <cell r="AP80" t="str">
            <v xml:space="preserve">  </v>
          </cell>
        </row>
        <row r="81">
          <cell r="B81" t="str">
            <v xml:space="preserve">  </v>
          </cell>
          <cell r="J81" t="str">
            <v xml:space="preserve">  </v>
          </cell>
          <cell r="R81" t="str">
            <v xml:space="preserve">  </v>
          </cell>
          <cell r="Z81" t="str">
            <v xml:space="preserve">  </v>
          </cell>
          <cell r="AH81" t="str">
            <v xml:space="preserve">  </v>
          </cell>
          <cell r="AP81" t="str">
            <v xml:space="preserve">  </v>
          </cell>
        </row>
        <row r="82">
          <cell r="B82" t="str">
            <v xml:space="preserve">  </v>
          </cell>
          <cell r="J82" t="str">
            <v xml:space="preserve">  </v>
          </cell>
          <cell r="R82" t="str">
            <v xml:space="preserve">  </v>
          </cell>
          <cell r="Z82" t="str">
            <v xml:space="preserve">  </v>
          </cell>
          <cell r="AH82" t="str">
            <v xml:space="preserve">  </v>
          </cell>
          <cell r="AP82" t="str">
            <v xml:space="preserve">  </v>
          </cell>
        </row>
        <row r="83">
          <cell r="B83" t="str">
            <v xml:space="preserve">  </v>
          </cell>
          <cell r="J83" t="str">
            <v xml:space="preserve">  </v>
          </cell>
          <cell r="R83" t="str">
            <v xml:space="preserve">  </v>
          </cell>
          <cell r="Z83" t="str">
            <v xml:space="preserve">  </v>
          </cell>
          <cell r="AH83" t="str">
            <v xml:space="preserve">  </v>
          </cell>
          <cell r="AP83" t="str">
            <v xml:space="preserve">  </v>
          </cell>
        </row>
        <row r="84">
          <cell r="B84" t="str">
            <v xml:space="preserve">  </v>
          </cell>
          <cell r="J84" t="str">
            <v xml:space="preserve">  </v>
          </cell>
          <cell r="R84" t="str">
            <v xml:space="preserve">  </v>
          </cell>
          <cell r="Z84" t="str">
            <v xml:space="preserve">  </v>
          </cell>
          <cell r="AH84" t="str">
            <v xml:space="preserve">  </v>
          </cell>
          <cell r="AP84" t="str">
            <v xml:space="preserve">  </v>
          </cell>
        </row>
        <row r="85">
          <cell r="B85" t="str">
            <v xml:space="preserve">  </v>
          </cell>
          <cell r="J85" t="str">
            <v xml:space="preserve">  </v>
          </cell>
          <cell r="R85" t="str">
            <v xml:space="preserve">  </v>
          </cell>
          <cell r="Z85" t="str">
            <v xml:space="preserve">  </v>
          </cell>
          <cell r="AH85" t="str">
            <v xml:space="preserve">  </v>
          </cell>
          <cell r="AP85" t="str">
            <v xml:space="preserve">  </v>
          </cell>
        </row>
        <row r="86">
          <cell r="B86" t="str">
            <v xml:space="preserve">  </v>
          </cell>
          <cell r="J86" t="str">
            <v xml:space="preserve">  </v>
          </cell>
          <cell r="R86" t="str">
            <v xml:space="preserve">  </v>
          </cell>
          <cell r="Z86" t="str">
            <v xml:space="preserve">  </v>
          </cell>
          <cell r="AH86" t="str">
            <v xml:space="preserve">  </v>
          </cell>
          <cell r="AP86" t="str">
            <v xml:space="preserve">  </v>
          </cell>
        </row>
        <row r="87">
          <cell r="B87" t="str">
            <v xml:space="preserve">  </v>
          </cell>
          <cell r="J87" t="str">
            <v xml:space="preserve">  </v>
          </cell>
          <cell r="R87" t="str">
            <v xml:space="preserve">  </v>
          </cell>
          <cell r="Z87" t="str">
            <v xml:space="preserve">  </v>
          </cell>
          <cell r="AH87" t="str">
            <v xml:space="preserve">  </v>
          </cell>
          <cell r="AP87" t="str">
            <v xml:space="preserve">  </v>
          </cell>
        </row>
        <row r="88">
          <cell r="B88" t="str">
            <v xml:space="preserve">  </v>
          </cell>
          <cell r="J88" t="str">
            <v xml:space="preserve">  </v>
          </cell>
          <cell r="R88" t="str">
            <v xml:space="preserve">  </v>
          </cell>
          <cell r="Z88" t="str">
            <v xml:space="preserve">  </v>
          </cell>
          <cell r="AH88" t="str">
            <v xml:space="preserve">  </v>
          </cell>
          <cell r="AP88" t="str">
            <v xml:space="preserve">  </v>
          </cell>
        </row>
        <row r="89">
          <cell r="B89" t="str">
            <v xml:space="preserve">  </v>
          </cell>
          <cell r="J89" t="str">
            <v xml:space="preserve">  </v>
          </cell>
          <cell r="R89" t="str">
            <v xml:space="preserve">  </v>
          </cell>
          <cell r="Z89" t="str">
            <v xml:space="preserve">  </v>
          </cell>
          <cell r="AH89" t="str">
            <v xml:space="preserve">  </v>
          </cell>
          <cell r="AP89" t="str">
            <v xml:space="preserve">  </v>
          </cell>
        </row>
        <row r="90">
          <cell r="B90" t="str">
            <v xml:space="preserve">  </v>
          </cell>
          <cell r="J90" t="str">
            <v xml:space="preserve">  </v>
          </cell>
          <cell r="R90" t="str">
            <v xml:space="preserve">  </v>
          </cell>
          <cell r="Z90" t="str">
            <v xml:space="preserve">  </v>
          </cell>
          <cell r="AH90" t="str">
            <v xml:space="preserve">  </v>
          </cell>
          <cell r="AP90" t="str">
            <v xml:space="preserve">  </v>
          </cell>
        </row>
        <row r="91">
          <cell r="B91" t="str">
            <v xml:space="preserve">  </v>
          </cell>
          <cell r="J91" t="str">
            <v xml:space="preserve">  </v>
          </cell>
          <cell r="R91" t="str">
            <v xml:space="preserve">  </v>
          </cell>
          <cell r="Z91" t="str">
            <v xml:space="preserve">  </v>
          </cell>
          <cell r="AH91" t="str">
            <v xml:space="preserve">  </v>
          </cell>
          <cell r="AP91" t="str">
            <v xml:space="preserve">  </v>
          </cell>
        </row>
        <row r="92">
          <cell r="B92" t="str">
            <v xml:space="preserve">  </v>
          </cell>
          <cell r="J92" t="str">
            <v xml:space="preserve">  </v>
          </cell>
          <cell r="R92" t="str">
            <v xml:space="preserve">  </v>
          </cell>
          <cell r="Z92" t="str">
            <v xml:space="preserve">  </v>
          </cell>
          <cell r="AH92" t="str">
            <v xml:space="preserve">  </v>
          </cell>
          <cell r="AP92" t="str">
            <v xml:space="preserve">  </v>
          </cell>
        </row>
        <row r="93">
          <cell r="B93" t="str">
            <v xml:space="preserve">  </v>
          </cell>
          <cell r="J93" t="str">
            <v xml:space="preserve">  </v>
          </cell>
          <cell r="R93" t="str">
            <v xml:space="preserve">  </v>
          </cell>
          <cell r="Z93" t="str">
            <v xml:space="preserve">  </v>
          </cell>
          <cell r="AH93" t="str">
            <v xml:space="preserve">  </v>
          </cell>
          <cell r="AP93" t="str">
            <v xml:space="preserve">  </v>
          </cell>
        </row>
        <row r="94">
          <cell r="B94" t="str">
            <v xml:space="preserve">  </v>
          </cell>
          <cell r="J94" t="str">
            <v xml:space="preserve">  </v>
          </cell>
          <cell r="R94" t="str">
            <v xml:space="preserve">  </v>
          </cell>
          <cell r="Z94" t="str">
            <v xml:space="preserve">  </v>
          </cell>
          <cell r="AH94" t="str">
            <v xml:space="preserve">  </v>
          </cell>
          <cell r="AP94" t="str">
            <v xml:space="preserve">  </v>
          </cell>
        </row>
        <row r="95">
          <cell r="B95" t="str">
            <v xml:space="preserve">  </v>
          </cell>
          <cell r="J95" t="str">
            <v xml:space="preserve">  </v>
          </cell>
          <cell r="R95" t="str">
            <v xml:space="preserve">  </v>
          </cell>
          <cell r="Z95" t="str">
            <v xml:space="preserve">  </v>
          </cell>
          <cell r="AH95" t="str">
            <v xml:space="preserve">  </v>
          </cell>
          <cell r="AP95" t="str">
            <v xml:space="preserve">  </v>
          </cell>
        </row>
        <row r="96">
          <cell r="B96" t="str">
            <v xml:space="preserve">  </v>
          </cell>
          <cell r="J96" t="str">
            <v xml:space="preserve">  </v>
          </cell>
          <cell r="R96" t="str">
            <v xml:space="preserve">  </v>
          </cell>
          <cell r="Z96" t="str">
            <v xml:space="preserve">  </v>
          </cell>
          <cell r="AH96" t="str">
            <v xml:space="preserve">  </v>
          </cell>
          <cell r="AP96" t="str">
            <v xml:space="preserve">  </v>
          </cell>
        </row>
        <row r="97">
          <cell r="B97" t="str">
            <v xml:space="preserve">  </v>
          </cell>
          <cell r="J97" t="str">
            <v xml:space="preserve">  </v>
          </cell>
          <cell r="R97" t="str">
            <v xml:space="preserve">  </v>
          </cell>
          <cell r="Z97" t="str">
            <v xml:space="preserve">  </v>
          </cell>
          <cell r="AH97" t="str">
            <v xml:space="preserve">  </v>
          </cell>
          <cell r="AP97" t="str">
            <v xml:space="preserve">  </v>
          </cell>
        </row>
        <row r="98">
          <cell r="B98" t="str">
            <v xml:space="preserve">  </v>
          </cell>
          <cell r="J98" t="str">
            <v xml:space="preserve">  </v>
          </cell>
          <cell r="R98" t="str">
            <v xml:space="preserve">  </v>
          </cell>
          <cell r="Z98" t="str">
            <v xml:space="preserve">  </v>
          </cell>
          <cell r="AH98" t="str">
            <v xml:space="preserve">  </v>
          </cell>
          <cell r="AP98" t="str">
            <v xml:space="preserve">  </v>
          </cell>
        </row>
        <row r="99">
          <cell r="B99" t="str">
            <v xml:space="preserve">  </v>
          </cell>
          <cell r="J99" t="str">
            <v xml:space="preserve">  </v>
          </cell>
          <cell r="R99" t="str">
            <v xml:space="preserve">  </v>
          </cell>
          <cell r="Z99" t="str">
            <v xml:space="preserve">  </v>
          </cell>
          <cell r="AH99" t="str">
            <v xml:space="preserve">  </v>
          </cell>
          <cell r="AP99" t="str">
            <v xml:space="preserve">  </v>
          </cell>
        </row>
        <row r="100">
          <cell r="B100" t="str">
            <v xml:space="preserve">  </v>
          </cell>
          <cell r="J100" t="str">
            <v xml:space="preserve">  </v>
          </cell>
          <cell r="R100" t="str">
            <v xml:space="preserve">  </v>
          </cell>
          <cell r="Z100" t="str">
            <v xml:space="preserve">  </v>
          </cell>
          <cell r="AH100" t="str">
            <v xml:space="preserve">  </v>
          </cell>
          <cell r="AP100" t="str">
            <v xml:space="preserve">  </v>
          </cell>
        </row>
        <row r="101">
          <cell r="B101" t="str">
            <v xml:space="preserve">  </v>
          </cell>
          <cell r="J101" t="str">
            <v xml:space="preserve">  </v>
          </cell>
          <cell r="R101" t="str">
            <v xml:space="preserve">  </v>
          </cell>
          <cell r="Z101" t="str">
            <v xml:space="preserve">  </v>
          </cell>
          <cell r="AH101" t="str">
            <v xml:space="preserve">  </v>
          </cell>
          <cell r="AP101" t="str">
            <v xml:space="preserve">  </v>
          </cell>
        </row>
        <row r="102">
          <cell r="B102" t="str">
            <v xml:space="preserve">  </v>
          </cell>
          <cell r="J102" t="str">
            <v xml:space="preserve">  </v>
          </cell>
          <cell r="R102" t="str">
            <v xml:space="preserve">  </v>
          </cell>
          <cell r="Z102" t="str">
            <v xml:space="preserve">  </v>
          </cell>
          <cell r="AH102" t="str">
            <v xml:space="preserve">  </v>
          </cell>
          <cell r="AP102" t="str">
            <v xml:space="preserve">  </v>
          </cell>
        </row>
        <row r="103">
          <cell r="B103" t="str">
            <v xml:space="preserve">  </v>
          </cell>
          <cell r="J103" t="str">
            <v xml:space="preserve">  </v>
          </cell>
          <cell r="R103" t="str">
            <v xml:space="preserve">  </v>
          </cell>
          <cell r="Z103" t="str">
            <v xml:space="preserve">  </v>
          </cell>
          <cell r="AH103" t="str">
            <v xml:space="preserve">  </v>
          </cell>
          <cell r="AP103" t="str">
            <v xml:space="preserve">  </v>
          </cell>
        </row>
        <row r="104">
          <cell r="B104" t="str">
            <v xml:space="preserve">  </v>
          </cell>
          <cell r="J104" t="str">
            <v xml:space="preserve">  </v>
          </cell>
          <cell r="R104" t="str">
            <v xml:space="preserve">  </v>
          </cell>
          <cell r="Z104" t="str">
            <v xml:space="preserve">  </v>
          </cell>
          <cell r="AH104" t="str">
            <v xml:space="preserve">  </v>
          </cell>
          <cell r="AP104" t="str">
            <v xml:space="preserve">  </v>
          </cell>
        </row>
        <row r="105">
          <cell r="B105" t="str">
            <v xml:space="preserve">  </v>
          </cell>
          <cell r="J105" t="str">
            <v xml:space="preserve">  </v>
          </cell>
          <cell r="R105" t="str">
            <v xml:space="preserve">  </v>
          </cell>
          <cell r="Z105" t="str">
            <v xml:space="preserve">  </v>
          </cell>
          <cell r="AH105" t="str">
            <v xml:space="preserve">  </v>
          </cell>
          <cell r="AP105" t="str">
            <v xml:space="preserve">  </v>
          </cell>
        </row>
        <row r="106">
          <cell r="B106" t="str">
            <v xml:space="preserve">  </v>
          </cell>
          <cell r="J106" t="str">
            <v xml:space="preserve">  </v>
          </cell>
          <cell r="R106" t="str">
            <v xml:space="preserve">  </v>
          </cell>
          <cell r="Z106" t="str">
            <v xml:space="preserve">  </v>
          </cell>
          <cell r="AH106" t="str">
            <v xml:space="preserve">  </v>
          </cell>
          <cell r="AP106" t="str">
            <v xml:space="preserve">  </v>
          </cell>
        </row>
        <row r="107">
          <cell r="B107" t="str">
            <v xml:space="preserve">  </v>
          </cell>
          <cell r="J107" t="str">
            <v xml:space="preserve">  </v>
          </cell>
          <cell r="R107" t="str">
            <v xml:space="preserve">  </v>
          </cell>
          <cell r="Z107" t="str">
            <v xml:space="preserve">  </v>
          </cell>
          <cell r="AH107" t="str">
            <v xml:space="preserve">  </v>
          </cell>
          <cell r="AP107" t="str">
            <v xml:space="preserve">  </v>
          </cell>
        </row>
        <row r="108">
          <cell r="B108" t="str">
            <v xml:space="preserve">  </v>
          </cell>
          <cell r="J108" t="str">
            <v xml:space="preserve">  </v>
          </cell>
          <cell r="R108" t="str">
            <v xml:space="preserve">  </v>
          </cell>
          <cell r="Z108" t="str">
            <v xml:space="preserve">  </v>
          </cell>
          <cell r="AH108" t="str">
            <v xml:space="preserve">  </v>
          </cell>
          <cell r="AP108" t="str">
            <v xml:space="preserve">  </v>
          </cell>
        </row>
        <row r="109">
          <cell r="B109" t="str">
            <v xml:space="preserve">  </v>
          </cell>
          <cell r="J109" t="str">
            <v xml:space="preserve">  </v>
          </cell>
          <cell r="R109" t="str">
            <v xml:space="preserve">  </v>
          </cell>
          <cell r="Z109" t="str">
            <v xml:space="preserve">  </v>
          </cell>
          <cell r="AH109" t="str">
            <v xml:space="preserve">  </v>
          </cell>
          <cell r="AP109" t="str">
            <v xml:space="preserve">  </v>
          </cell>
        </row>
        <row r="110">
          <cell r="B110" t="str">
            <v xml:space="preserve">  </v>
          </cell>
          <cell r="J110" t="str">
            <v xml:space="preserve">  </v>
          </cell>
          <cell r="R110" t="str">
            <v xml:space="preserve">  </v>
          </cell>
          <cell r="Z110" t="str">
            <v xml:space="preserve">  </v>
          </cell>
          <cell r="AH110" t="str">
            <v xml:space="preserve">  </v>
          </cell>
          <cell r="AP110" t="str">
            <v xml:space="preserve">  </v>
          </cell>
        </row>
        <row r="111">
          <cell r="B111" t="str">
            <v xml:space="preserve">  </v>
          </cell>
          <cell r="J111" t="str">
            <v xml:space="preserve">  </v>
          </cell>
          <cell r="R111" t="str">
            <v xml:space="preserve">  </v>
          </cell>
          <cell r="Z111" t="str">
            <v xml:space="preserve">  </v>
          </cell>
          <cell r="AH111" t="str">
            <v xml:space="preserve">  </v>
          </cell>
          <cell r="AP111" t="str">
            <v xml:space="preserve">  </v>
          </cell>
        </row>
        <row r="112">
          <cell r="B112" t="str">
            <v xml:space="preserve">  </v>
          </cell>
          <cell r="J112" t="str">
            <v xml:space="preserve">  </v>
          </cell>
          <cell r="R112" t="str">
            <v xml:space="preserve">  </v>
          </cell>
          <cell r="Z112" t="str">
            <v xml:space="preserve">  </v>
          </cell>
          <cell r="AH112" t="str">
            <v xml:space="preserve">  </v>
          </cell>
          <cell r="AP112" t="str">
            <v xml:space="preserve">  </v>
          </cell>
        </row>
        <row r="120">
          <cell r="B120" t="str">
            <v>EONIA ICPL Index</v>
          </cell>
          <cell r="C120" t="str">
            <v>EONIA</v>
          </cell>
          <cell r="D120" t="str">
            <v>ICPL</v>
          </cell>
          <cell r="E120" t="str">
            <v>Index</v>
          </cell>
          <cell r="F120" t="str">
            <v>OIS</v>
          </cell>
          <cell r="G120" t="str">
            <v>ON</v>
          </cell>
          <cell r="H120" t="b">
            <v>1</v>
          </cell>
          <cell r="J120" t="str">
            <v>EUR006M ICPL Index</v>
          </cell>
          <cell r="K120" t="str">
            <v>EUR006M</v>
          </cell>
          <cell r="L120" t="str">
            <v>ICPL</v>
          </cell>
          <cell r="M120" t="str">
            <v>Index</v>
          </cell>
          <cell r="N120" t="str">
            <v>CASH</v>
          </cell>
          <cell r="O120" t="str">
            <v>6M</v>
          </cell>
          <cell r="P120" t="b">
            <v>1</v>
          </cell>
          <cell r="R120" t="str">
            <v>EUBSV1 CMPN Curncy</v>
          </cell>
          <cell r="S120" t="str">
            <v>EUBSV1</v>
          </cell>
          <cell r="T120" t="str">
            <v>CMPN</v>
          </cell>
          <cell r="U120" t="str">
            <v>Curncy</v>
          </cell>
          <cell r="V120" t="str">
            <v>TENOR-BASIS</v>
          </cell>
          <cell r="W120" t="str">
            <v>1Y</v>
          </cell>
          <cell r="X120" t="b">
            <v>1</v>
          </cell>
          <cell r="Z120" t="str">
            <v>EUBSA1 TRPU Curncy</v>
          </cell>
          <cell r="AA120" t="str">
            <v>EUBSA1</v>
          </cell>
          <cell r="AB120" t="str">
            <v>TRPU</v>
          </cell>
          <cell r="AC120" t="str">
            <v>Curncy</v>
          </cell>
          <cell r="AD120" t="str">
            <v>TENOR-BASIS</v>
          </cell>
          <cell r="AE120" t="str">
            <v>1Y</v>
          </cell>
          <cell r="AF120" t="b">
            <v>1</v>
          </cell>
          <cell r="AH120" t="str">
            <v>EUBSS1 ICPL Curncy</v>
          </cell>
          <cell r="AI120" t="str">
            <v>EUBSS1</v>
          </cell>
          <cell r="AJ120" t="str">
            <v>ICPL</v>
          </cell>
          <cell r="AK120" t="str">
            <v>Curncy</v>
          </cell>
          <cell r="AL120" t="str">
            <v>TENOR-BASIS</v>
          </cell>
          <cell r="AM120" t="str">
            <v>1Y</v>
          </cell>
          <cell r="AN120" t="b">
            <v>1</v>
          </cell>
          <cell r="AP120" t="str">
            <v>EUBS1 ICPL Curncy</v>
          </cell>
          <cell r="AQ120" t="str">
            <v>EUBS1</v>
          </cell>
          <cell r="AR120" t="str">
            <v>ICPL</v>
          </cell>
          <cell r="AS120" t="str">
            <v>Curncy</v>
          </cell>
          <cell r="AT120" t="str">
            <v>XCCY-BASIS</v>
          </cell>
          <cell r="AU120" t="str">
            <v>1Y</v>
          </cell>
          <cell r="AV120" t="b">
            <v>1</v>
          </cell>
        </row>
        <row r="121">
          <cell r="B121" t="str">
            <v>EUSF1A ICPL Curncy</v>
          </cell>
          <cell r="C121" t="str">
            <v>EUSF1A</v>
          </cell>
          <cell r="D121" t="str">
            <v>ICPL</v>
          </cell>
          <cell r="E121" t="str">
            <v>Curncy</v>
          </cell>
          <cell r="F121" t="str">
            <v>ECB SWAP</v>
          </cell>
          <cell r="G121" t="str">
            <v>EUSF1A</v>
          </cell>
          <cell r="H121" t="b">
            <v>1</v>
          </cell>
          <cell r="J121" t="str">
            <v>EUFR0AG ICPL Curncy</v>
          </cell>
          <cell r="K121" t="str">
            <v>EUFR0AG</v>
          </cell>
          <cell r="L121" t="str">
            <v>ICPL</v>
          </cell>
          <cell r="M121" t="str">
            <v>Curncy</v>
          </cell>
          <cell r="N121" t="str">
            <v>FRA</v>
          </cell>
          <cell r="O121" t="str">
            <v>1X7</v>
          </cell>
          <cell r="P121" t="b">
            <v>0</v>
          </cell>
          <cell r="R121" t="str">
            <v>EUBSV2 CMPN Curncy</v>
          </cell>
          <cell r="S121" t="str">
            <v>EUBSV2</v>
          </cell>
          <cell r="T121" t="str">
            <v>CMPN</v>
          </cell>
          <cell r="U121" t="str">
            <v>Curncy</v>
          </cell>
          <cell r="V121" t="str">
            <v>TENOR-BASIS</v>
          </cell>
          <cell r="W121" t="str">
            <v>2Y</v>
          </cell>
          <cell r="X121" t="b">
            <v>1</v>
          </cell>
          <cell r="Z121" t="str">
            <v>EUBSA2 TRPU Curncy</v>
          </cell>
          <cell r="AA121" t="str">
            <v>EUBSA2</v>
          </cell>
          <cell r="AB121" t="str">
            <v>TRPU</v>
          </cell>
          <cell r="AC121" t="str">
            <v>Curncy</v>
          </cell>
          <cell r="AD121" t="str">
            <v>TENOR-BASIS</v>
          </cell>
          <cell r="AE121" t="str">
            <v>2Y</v>
          </cell>
          <cell r="AF121" t="b">
            <v>1</v>
          </cell>
          <cell r="AH121" t="str">
            <v>EUBSS2 ICPL Curncy</v>
          </cell>
          <cell r="AI121" t="str">
            <v>EUBSS2</v>
          </cell>
          <cell r="AJ121" t="str">
            <v>ICPL</v>
          </cell>
          <cell r="AK121" t="str">
            <v>Curncy</v>
          </cell>
          <cell r="AL121" t="str">
            <v>TENOR-BASIS</v>
          </cell>
          <cell r="AM121" t="str">
            <v>2Y</v>
          </cell>
          <cell r="AN121" t="b">
            <v>1</v>
          </cell>
          <cell r="AP121" t="str">
            <v>EUBS2 ICPL Curncy</v>
          </cell>
          <cell r="AQ121" t="str">
            <v>EUBS2</v>
          </cell>
          <cell r="AR121" t="str">
            <v>ICPL</v>
          </cell>
          <cell r="AS121" t="str">
            <v>Curncy</v>
          </cell>
          <cell r="AT121" t="str">
            <v>XCCY-BASIS</v>
          </cell>
          <cell r="AU121" t="str">
            <v>2Y</v>
          </cell>
          <cell r="AV121" t="b">
            <v>1</v>
          </cell>
        </row>
        <row r="122">
          <cell r="B122" t="str">
            <v>EUSF2A ICPL Curncy</v>
          </cell>
          <cell r="C122" t="str">
            <v>EUSF2A</v>
          </cell>
          <cell r="D122" t="str">
            <v>ICPL</v>
          </cell>
          <cell r="E122" t="str">
            <v>Curncy</v>
          </cell>
          <cell r="F122" t="str">
            <v>ECB SWAP</v>
          </cell>
          <cell r="G122" t="str">
            <v>EUSF2A</v>
          </cell>
          <cell r="H122" t="b">
            <v>1</v>
          </cell>
          <cell r="J122" t="str">
            <v>EUFR0BH ICPL Curncy</v>
          </cell>
          <cell r="K122" t="str">
            <v>EUFR0BH</v>
          </cell>
          <cell r="L122" t="str">
            <v>ICPL</v>
          </cell>
          <cell r="M122" t="str">
            <v>Curncy</v>
          </cell>
          <cell r="N122" t="str">
            <v>FRA</v>
          </cell>
          <cell r="O122" t="str">
            <v>2X8</v>
          </cell>
          <cell r="P122" t="b">
            <v>1</v>
          </cell>
          <cell r="R122" t="str">
            <v>EUBSV3 CMPN Curncy</v>
          </cell>
          <cell r="S122" t="str">
            <v>EUBSV3</v>
          </cell>
          <cell r="T122" t="str">
            <v>CMPN</v>
          </cell>
          <cell r="U122" t="str">
            <v>Curncy</v>
          </cell>
          <cell r="V122" t="str">
            <v>TENOR-BASIS</v>
          </cell>
          <cell r="W122" t="str">
            <v>3Y</v>
          </cell>
          <cell r="X122" t="b">
            <v>1</v>
          </cell>
          <cell r="Z122" t="str">
            <v>EUBSA3 TRPU Curncy</v>
          </cell>
          <cell r="AA122" t="str">
            <v>EUBSA3</v>
          </cell>
          <cell r="AB122" t="str">
            <v>TRPU</v>
          </cell>
          <cell r="AC122" t="str">
            <v>Curncy</v>
          </cell>
          <cell r="AD122" t="str">
            <v>TENOR-BASIS</v>
          </cell>
          <cell r="AE122" t="str">
            <v>3Y</v>
          </cell>
          <cell r="AF122" t="b">
            <v>1</v>
          </cell>
          <cell r="AH122" t="str">
            <v>EUBSS3 ICPL Curncy</v>
          </cell>
          <cell r="AI122" t="str">
            <v>EUBSS3</v>
          </cell>
          <cell r="AJ122" t="str">
            <v>ICPL</v>
          </cell>
          <cell r="AK122" t="str">
            <v>Curncy</v>
          </cell>
          <cell r="AL122" t="str">
            <v>TENOR-BASIS</v>
          </cell>
          <cell r="AM122" t="str">
            <v>3Y</v>
          </cell>
          <cell r="AN122" t="b">
            <v>1</v>
          </cell>
          <cell r="AP122" t="str">
            <v>EUBS3 ICPL Curncy</v>
          </cell>
          <cell r="AQ122" t="str">
            <v>EUBS3</v>
          </cell>
          <cell r="AR122" t="str">
            <v>ICPL</v>
          </cell>
          <cell r="AS122" t="str">
            <v>Curncy</v>
          </cell>
          <cell r="AT122" t="str">
            <v>XCCY-BASIS</v>
          </cell>
          <cell r="AU122" t="str">
            <v>3Y</v>
          </cell>
          <cell r="AV122" t="b">
            <v>1</v>
          </cell>
        </row>
        <row r="123">
          <cell r="B123" t="str">
            <v>EUSF3A ICPL Curncy</v>
          </cell>
          <cell r="C123" t="str">
            <v>EUSF3A</v>
          </cell>
          <cell r="D123" t="str">
            <v>ICPL</v>
          </cell>
          <cell r="E123" t="str">
            <v>Curncy</v>
          </cell>
          <cell r="F123" t="str">
            <v>ECB SWAP</v>
          </cell>
          <cell r="G123" t="str">
            <v>EUSF3A</v>
          </cell>
          <cell r="H123" t="b">
            <v>1</v>
          </cell>
          <cell r="J123" t="str">
            <v>EUFR0CI ICPL Curncy</v>
          </cell>
          <cell r="K123" t="str">
            <v>EUFR0CI</v>
          </cell>
          <cell r="L123" t="str">
            <v>ICPL</v>
          </cell>
          <cell r="M123" t="str">
            <v>Curncy</v>
          </cell>
          <cell r="N123" t="str">
            <v>FRA</v>
          </cell>
          <cell r="O123" t="str">
            <v>3X9</v>
          </cell>
          <cell r="P123" t="b">
            <v>1</v>
          </cell>
          <cell r="R123" t="str">
            <v>EUBSV4 CMPN Curncy</v>
          </cell>
          <cell r="S123" t="str">
            <v>EUBSV4</v>
          </cell>
          <cell r="T123" t="str">
            <v>CMPN</v>
          </cell>
          <cell r="U123" t="str">
            <v>Curncy</v>
          </cell>
          <cell r="V123" t="str">
            <v>TENOR-BASIS</v>
          </cell>
          <cell r="W123" t="str">
            <v>4Y</v>
          </cell>
          <cell r="X123" t="b">
            <v>1</v>
          </cell>
          <cell r="Z123" t="str">
            <v>EUBSA4 TRPU Curncy</v>
          </cell>
          <cell r="AA123" t="str">
            <v>EUBSA4</v>
          </cell>
          <cell r="AB123" t="str">
            <v>TRPU</v>
          </cell>
          <cell r="AC123" t="str">
            <v>Curncy</v>
          </cell>
          <cell r="AD123" t="str">
            <v>TENOR-BASIS</v>
          </cell>
          <cell r="AE123" t="str">
            <v>4Y</v>
          </cell>
          <cell r="AF123" t="b">
            <v>1</v>
          </cell>
          <cell r="AH123" t="str">
            <v>EUBSS4 ICPL Curncy</v>
          </cell>
          <cell r="AI123" t="str">
            <v>EUBSS4</v>
          </cell>
          <cell r="AJ123" t="str">
            <v>ICPL</v>
          </cell>
          <cell r="AK123" t="str">
            <v>Curncy</v>
          </cell>
          <cell r="AL123" t="str">
            <v>TENOR-BASIS</v>
          </cell>
          <cell r="AM123" t="str">
            <v>4Y</v>
          </cell>
          <cell r="AN123" t="b">
            <v>1</v>
          </cell>
          <cell r="AP123" t="str">
            <v>EUBS4 ICPL Curncy</v>
          </cell>
          <cell r="AQ123" t="str">
            <v>EUBS4</v>
          </cell>
          <cell r="AR123" t="str">
            <v>ICPL</v>
          </cell>
          <cell r="AS123" t="str">
            <v>Curncy</v>
          </cell>
          <cell r="AT123" t="str">
            <v>XCCY-BASIS</v>
          </cell>
          <cell r="AU123" t="str">
            <v>4Y</v>
          </cell>
          <cell r="AV123" t="b">
            <v>1</v>
          </cell>
        </row>
        <row r="124">
          <cell r="B124" t="str">
            <v>EUSF4A ICPL Curncy</v>
          </cell>
          <cell r="C124" t="str">
            <v>EUSF4A</v>
          </cell>
          <cell r="D124" t="str">
            <v>ICPL</v>
          </cell>
          <cell r="E124" t="str">
            <v>Curncy</v>
          </cell>
          <cell r="F124" t="str">
            <v>ECB SWAP</v>
          </cell>
          <cell r="G124" t="str">
            <v>EUSF4A</v>
          </cell>
          <cell r="H124" t="b">
            <v>1</v>
          </cell>
          <cell r="J124" t="str">
            <v>EUFR0DJ ICPL Curncy</v>
          </cell>
          <cell r="K124" t="str">
            <v>EUFR0DJ</v>
          </cell>
          <cell r="L124" t="str">
            <v>ICPL</v>
          </cell>
          <cell r="M124" t="str">
            <v>Curncy</v>
          </cell>
          <cell r="N124" t="str">
            <v>FRA</v>
          </cell>
          <cell r="O124" t="str">
            <v>4X10</v>
          </cell>
          <cell r="P124" t="b">
            <v>1</v>
          </cell>
          <cell r="R124" t="str">
            <v>EUBSV5 CMPN Curncy</v>
          </cell>
          <cell r="S124" t="str">
            <v>EUBSV5</v>
          </cell>
          <cell r="T124" t="str">
            <v>CMPN</v>
          </cell>
          <cell r="U124" t="str">
            <v>Curncy</v>
          </cell>
          <cell r="V124" t="str">
            <v>TENOR-BASIS</v>
          </cell>
          <cell r="W124" t="str">
            <v>5Y</v>
          </cell>
          <cell r="X124" t="b">
            <v>1</v>
          </cell>
          <cell r="Z124" t="str">
            <v>EUBSA5 TRPU Curncy</v>
          </cell>
          <cell r="AA124" t="str">
            <v>EUBSA5</v>
          </cell>
          <cell r="AB124" t="str">
            <v>TRPU</v>
          </cell>
          <cell r="AC124" t="str">
            <v>Curncy</v>
          </cell>
          <cell r="AD124" t="str">
            <v>TENOR-BASIS</v>
          </cell>
          <cell r="AE124" t="str">
            <v>5Y</v>
          </cell>
          <cell r="AF124" t="b">
            <v>1</v>
          </cell>
          <cell r="AH124" t="str">
            <v>EUBSS5 ICPL Curncy</v>
          </cell>
          <cell r="AI124" t="str">
            <v>EUBSS5</v>
          </cell>
          <cell r="AJ124" t="str">
            <v>ICPL</v>
          </cell>
          <cell r="AK124" t="str">
            <v>Curncy</v>
          </cell>
          <cell r="AL124" t="str">
            <v>TENOR-BASIS</v>
          </cell>
          <cell r="AM124" t="str">
            <v>5Y</v>
          </cell>
          <cell r="AN124" t="b">
            <v>1</v>
          </cell>
          <cell r="AP124" t="str">
            <v>EUBS5 ICPL Curncy</v>
          </cell>
          <cell r="AQ124" t="str">
            <v>EUBS5</v>
          </cell>
          <cell r="AR124" t="str">
            <v>ICPL</v>
          </cell>
          <cell r="AS124" t="str">
            <v>Curncy</v>
          </cell>
          <cell r="AT124" t="str">
            <v>XCCY-BASIS</v>
          </cell>
          <cell r="AU124" t="str">
            <v>5Y</v>
          </cell>
          <cell r="AV124" t="b">
            <v>1</v>
          </cell>
        </row>
        <row r="125">
          <cell r="B125" t="str">
            <v>EUSF5A ICPL Curncy</v>
          </cell>
          <cell r="C125" t="str">
            <v>EUSF5A</v>
          </cell>
          <cell r="D125" t="str">
            <v>ICPL</v>
          </cell>
          <cell r="E125" t="str">
            <v>Curncy</v>
          </cell>
          <cell r="F125" t="str">
            <v>ECB SWAP</v>
          </cell>
          <cell r="G125" t="str">
            <v>EUSF5A</v>
          </cell>
          <cell r="H125" t="b">
            <v>0</v>
          </cell>
          <cell r="J125" t="str">
            <v>EUFR0EK ICPL Curncy</v>
          </cell>
          <cell r="K125" t="str">
            <v>EUFR0EK</v>
          </cell>
          <cell r="L125" t="str">
            <v>ICPL</v>
          </cell>
          <cell r="M125" t="str">
            <v>Curncy</v>
          </cell>
          <cell r="N125" t="str">
            <v>FRA</v>
          </cell>
          <cell r="O125" t="str">
            <v>5X11</v>
          </cell>
          <cell r="P125" t="b">
            <v>1</v>
          </cell>
          <cell r="R125" t="str">
            <v>EUBSV6 CMPN Curncy</v>
          </cell>
          <cell r="S125" t="str">
            <v>EUBSV6</v>
          </cell>
          <cell r="T125" t="str">
            <v>CMPN</v>
          </cell>
          <cell r="U125" t="str">
            <v>Curncy</v>
          </cell>
          <cell r="V125" t="str">
            <v>TENOR-BASIS</v>
          </cell>
          <cell r="W125" t="str">
            <v>6Y</v>
          </cell>
          <cell r="X125" t="b">
            <v>1</v>
          </cell>
          <cell r="Z125" t="str">
            <v>EUBSA6 TRPU Curncy</v>
          </cell>
          <cell r="AA125" t="str">
            <v>EUBSA6</v>
          </cell>
          <cell r="AB125" t="str">
            <v>TRPU</v>
          </cell>
          <cell r="AC125" t="str">
            <v>Curncy</v>
          </cell>
          <cell r="AD125" t="str">
            <v>TENOR-BASIS</v>
          </cell>
          <cell r="AE125" t="str">
            <v>6Y</v>
          </cell>
          <cell r="AF125" t="b">
            <v>1</v>
          </cell>
          <cell r="AH125" t="str">
            <v>EUBSS6 ICPL Curncy</v>
          </cell>
          <cell r="AI125" t="str">
            <v>EUBSS6</v>
          </cell>
          <cell r="AJ125" t="str">
            <v>ICPL</v>
          </cell>
          <cell r="AK125" t="str">
            <v>Curncy</v>
          </cell>
          <cell r="AL125" t="str">
            <v>TENOR-BASIS</v>
          </cell>
          <cell r="AM125" t="str">
            <v>6Y</v>
          </cell>
          <cell r="AN125" t="b">
            <v>1</v>
          </cell>
          <cell r="AP125" t="str">
            <v>EUBS6 ICPL Curncy</v>
          </cell>
          <cell r="AQ125" t="str">
            <v>EUBS6</v>
          </cell>
          <cell r="AR125" t="str">
            <v>ICPL</v>
          </cell>
          <cell r="AS125" t="str">
            <v>Curncy</v>
          </cell>
          <cell r="AT125" t="str">
            <v>XCCY-BASIS</v>
          </cell>
          <cell r="AU125" t="str">
            <v>6Y</v>
          </cell>
          <cell r="AV125" t="b">
            <v>1</v>
          </cell>
        </row>
        <row r="126">
          <cell r="B126" t="str">
            <v>EUSF6A ICPL Curncy</v>
          </cell>
          <cell r="C126" t="str">
            <v>EUSF6A</v>
          </cell>
          <cell r="D126" t="str">
            <v>ICPL</v>
          </cell>
          <cell r="E126" t="str">
            <v>Curncy</v>
          </cell>
          <cell r="F126" t="str">
            <v>ECB SWAP</v>
          </cell>
          <cell r="G126" t="str">
            <v>EUSF6A</v>
          </cell>
          <cell r="H126" t="b">
            <v>0</v>
          </cell>
          <cell r="J126" t="str">
            <v>EUFR0F1 ICPL Curncy</v>
          </cell>
          <cell r="K126" t="str">
            <v>EUFR0F1</v>
          </cell>
          <cell r="L126" t="str">
            <v>ICPL</v>
          </cell>
          <cell r="M126" t="str">
            <v>Curncy</v>
          </cell>
          <cell r="N126" t="str">
            <v>FRA</v>
          </cell>
          <cell r="O126" t="str">
            <v>6X12</v>
          </cell>
          <cell r="P126" t="b">
            <v>1</v>
          </cell>
          <cell r="R126" t="str">
            <v>EUBSV7 CMPN Curncy</v>
          </cell>
          <cell r="S126" t="str">
            <v>EUBSV7</v>
          </cell>
          <cell r="T126" t="str">
            <v>CMPN</v>
          </cell>
          <cell r="U126" t="str">
            <v>Curncy</v>
          </cell>
          <cell r="V126" t="str">
            <v>TENOR-BASIS</v>
          </cell>
          <cell r="W126" t="str">
            <v>7Y</v>
          </cell>
          <cell r="X126" t="b">
            <v>1</v>
          </cell>
          <cell r="Z126" t="str">
            <v>EUBSA7 TRPU Curncy</v>
          </cell>
          <cell r="AA126" t="str">
            <v>EUBSA7</v>
          </cell>
          <cell r="AB126" t="str">
            <v>TRPU</v>
          </cell>
          <cell r="AC126" t="str">
            <v>Curncy</v>
          </cell>
          <cell r="AD126" t="str">
            <v>TENOR-BASIS</v>
          </cell>
          <cell r="AE126" t="str">
            <v>7Y</v>
          </cell>
          <cell r="AF126" t="b">
            <v>1</v>
          </cell>
          <cell r="AH126" t="str">
            <v>EUBSS7 ICPL Curncy</v>
          </cell>
          <cell r="AI126" t="str">
            <v>EUBSS7</v>
          </cell>
          <cell r="AJ126" t="str">
            <v>ICPL</v>
          </cell>
          <cell r="AK126" t="str">
            <v>Curncy</v>
          </cell>
          <cell r="AL126" t="str">
            <v>TENOR-BASIS</v>
          </cell>
          <cell r="AM126" t="str">
            <v>7Y</v>
          </cell>
          <cell r="AN126" t="b">
            <v>1</v>
          </cell>
          <cell r="AP126" t="str">
            <v>EUBS7 ICPL Curncy</v>
          </cell>
          <cell r="AQ126" t="str">
            <v>EUBS7</v>
          </cell>
          <cell r="AR126" t="str">
            <v>ICPL</v>
          </cell>
          <cell r="AS126" t="str">
            <v>Curncy</v>
          </cell>
          <cell r="AT126" t="str">
            <v>XCCY-BASIS</v>
          </cell>
          <cell r="AU126" t="str">
            <v>7Y</v>
          </cell>
          <cell r="AV126" t="b">
            <v>1</v>
          </cell>
        </row>
        <row r="127">
          <cell r="B127" t="str">
            <v>EUSF7A ICPL Curncy</v>
          </cell>
          <cell r="C127" t="str">
            <v>EUSF7A</v>
          </cell>
          <cell r="D127" t="str">
            <v>ICPL</v>
          </cell>
          <cell r="E127" t="str">
            <v>Curncy</v>
          </cell>
          <cell r="F127" t="str">
            <v>ECB SWAP</v>
          </cell>
          <cell r="G127" t="str">
            <v>EUSF7A</v>
          </cell>
          <cell r="H127" t="b">
            <v>0</v>
          </cell>
          <cell r="J127" t="str">
            <v>EUFR0G1A ICPL Curncy</v>
          </cell>
          <cell r="K127" t="str">
            <v>EUFR0G1A</v>
          </cell>
          <cell r="L127" t="str">
            <v>ICPL</v>
          </cell>
          <cell r="M127" t="str">
            <v>Curncy</v>
          </cell>
          <cell r="N127" t="str">
            <v>FRA</v>
          </cell>
          <cell r="O127" t="str">
            <v>7X13</v>
          </cell>
          <cell r="P127" t="b">
            <v>1</v>
          </cell>
          <cell r="R127" t="str">
            <v>EUBSV8 CMPN Curncy</v>
          </cell>
          <cell r="S127" t="str">
            <v>EUBSV8</v>
          </cell>
          <cell r="T127" t="str">
            <v>CMPN</v>
          </cell>
          <cell r="U127" t="str">
            <v>Curncy</v>
          </cell>
          <cell r="V127" t="str">
            <v>TENOR-BASIS</v>
          </cell>
          <cell r="W127" t="str">
            <v>8Y</v>
          </cell>
          <cell r="X127" t="b">
            <v>1</v>
          </cell>
          <cell r="Z127" t="str">
            <v>EUBSA8 TRPU Curncy</v>
          </cell>
          <cell r="AA127" t="str">
            <v>EUBSA8</v>
          </cell>
          <cell r="AB127" t="str">
            <v>TRPU</v>
          </cell>
          <cell r="AC127" t="str">
            <v>Curncy</v>
          </cell>
          <cell r="AD127" t="str">
            <v>TENOR-BASIS</v>
          </cell>
          <cell r="AE127" t="str">
            <v>8Y</v>
          </cell>
          <cell r="AF127" t="b">
            <v>1</v>
          </cell>
          <cell r="AH127" t="str">
            <v>EUBSS8 ICPL Curncy</v>
          </cell>
          <cell r="AI127" t="str">
            <v>EUBSS8</v>
          </cell>
          <cell r="AJ127" t="str">
            <v>ICPL</v>
          </cell>
          <cell r="AK127" t="str">
            <v>Curncy</v>
          </cell>
          <cell r="AL127" t="str">
            <v>TENOR-BASIS</v>
          </cell>
          <cell r="AM127" t="str">
            <v>8Y</v>
          </cell>
          <cell r="AN127" t="b">
            <v>1</v>
          </cell>
          <cell r="AP127" t="str">
            <v>EUBS8 ICPL Curncy</v>
          </cell>
          <cell r="AQ127" t="str">
            <v>EUBS8</v>
          </cell>
          <cell r="AR127" t="str">
            <v>ICPL</v>
          </cell>
          <cell r="AS127" t="str">
            <v>Curncy</v>
          </cell>
          <cell r="AT127" t="str">
            <v>XCCY-BASIS</v>
          </cell>
          <cell r="AU127" t="str">
            <v>8Y</v>
          </cell>
          <cell r="AV127" t="b">
            <v>1</v>
          </cell>
        </row>
        <row r="128">
          <cell r="B128" t="str">
            <v>EUSF8A ICPL Curncy</v>
          </cell>
          <cell r="C128" t="str">
            <v>EUSF8A</v>
          </cell>
          <cell r="D128" t="str">
            <v>ICPL</v>
          </cell>
          <cell r="E128" t="str">
            <v>Curncy</v>
          </cell>
          <cell r="F128" t="str">
            <v>ECB SWAP</v>
          </cell>
          <cell r="G128" t="str">
            <v>EUSF8A</v>
          </cell>
          <cell r="H128" t="b">
            <v>0</v>
          </cell>
          <cell r="J128" t="str">
            <v>EUFR0H1B ICPL Curncy</v>
          </cell>
          <cell r="K128" t="str">
            <v>EUFR0H1B</v>
          </cell>
          <cell r="L128" t="str">
            <v>ICPL</v>
          </cell>
          <cell r="M128" t="str">
            <v>Curncy</v>
          </cell>
          <cell r="N128" t="str">
            <v>FRA</v>
          </cell>
          <cell r="O128" t="str">
            <v>8X14</v>
          </cell>
          <cell r="P128" t="b">
            <v>1</v>
          </cell>
          <cell r="R128" t="str">
            <v>EUBSV9 CMPN Curncy</v>
          </cell>
          <cell r="S128" t="str">
            <v>EUBSV9</v>
          </cell>
          <cell r="T128" t="str">
            <v>CMPN</v>
          </cell>
          <cell r="U128" t="str">
            <v>Curncy</v>
          </cell>
          <cell r="V128" t="str">
            <v>TENOR-BASIS</v>
          </cell>
          <cell r="W128" t="str">
            <v>9Y</v>
          </cell>
          <cell r="X128" t="b">
            <v>1</v>
          </cell>
          <cell r="Z128" t="str">
            <v>EUBSA9 TRPU Curncy</v>
          </cell>
          <cell r="AA128" t="str">
            <v>EUBSA9</v>
          </cell>
          <cell r="AB128" t="str">
            <v>TRPU</v>
          </cell>
          <cell r="AC128" t="str">
            <v>Curncy</v>
          </cell>
          <cell r="AD128" t="str">
            <v>TENOR-BASIS</v>
          </cell>
          <cell r="AE128" t="str">
            <v>9Y</v>
          </cell>
          <cell r="AF128" t="b">
            <v>1</v>
          </cell>
          <cell r="AH128" t="str">
            <v>EUBSS9 ICPL Curncy</v>
          </cell>
          <cell r="AI128" t="str">
            <v>EUBSS9</v>
          </cell>
          <cell r="AJ128" t="str">
            <v>ICPL</v>
          </cell>
          <cell r="AK128" t="str">
            <v>Curncy</v>
          </cell>
          <cell r="AL128" t="str">
            <v>TENOR-BASIS</v>
          </cell>
          <cell r="AM128" t="str">
            <v>9Y</v>
          </cell>
          <cell r="AN128" t="b">
            <v>1</v>
          </cell>
          <cell r="AP128" t="str">
            <v>EUBS9 ICPL Curncy</v>
          </cell>
          <cell r="AQ128" t="str">
            <v>EUBS9</v>
          </cell>
          <cell r="AR128" t="str">
            <v>ICPL</v>
          </cell>
          <cell r="AS128" t="str">
            <v>Curncy</v>
          </cell>
          <cell r="AT128" t="str">
            <v>XCCY-BASIS</v>
          </cell>
          <cell r="AU128" t="str">
            <v>9Y</v>
          </cell>
          <cell r="AV128" t="b">
            <v>1</v>
          </cell>
        </row>
        <row r="129">
          <cell r="B129" t="str">
            <v>EUSF9A ICPL Curncy</v>
          </cell>
          <cell r="C129" t="str">
            <v>EUSF9A</v>
          </cell>
          <cell r="D129" t="str">
            <v>ICPL</v>
          </cell>
          <cell r="E129" t="str">
            <v>Curncy</v>
          </cell>
          <cell r="F129" t="str">
            <v>ECB SWAP</v>
          </cell>
          <cell r="G129" t="str">
            <v>EUSF9A</v>
          </cell>
          <cell r="H129" t="b">
            <v>0</v>
          </cell>
          <cell r="J129" t="str">
            <v>EUFR0I1C ICPL Curncy</v>
          </cell>
          <cell r="K129" t="str">
            <v>EUFR0I1C</v>
          </cell>
          <cell r="L129" t="str">
            <v>ICPL</v>
          </cell>
          <cell r="M129" t="str">
            <v>Curncy</v>
          </cell>
          <cell r="N129" t="str">
            <v>FRA</v>
          </cell>
          <cell r="O129" t="str">
            <v>9X15</v>
          </cell>
          <cell r="P129" t="b">
            <v>1</v>
          </cell>
          <cell r="R129" t="str">
            <v>EUBSV10 CMPN Curncy</v>
          </cell>
          <cell r="S129" t="str">
            <v>EUBSV10</v>
          </cell>
          <cell r="T129" t="str">
            <v>CMPN</v>
          </cell>
          <cell r="U129" t="str">
            <v>Curncy</v>
          </cell>
          <cell r="V129" t="str">
            <v>TENOR-BASIS</v>
          </cell>
          <cell r="W129" t="str">
            <v>10Y</v>
          </cell>
          <cell r="X129" t="b">
            <v>1</v>
          </cell>
          <cell r="Z129" t="str">
            <v>EUBSA10 TRPU Curncy</v>
          </cell>
          <cell r="AA129" t="str">
            <v>EUBSA10</v>
          </cell>
          <cell r="AB129" t="str">
            <v>TRPU</v>
          </cell>
          <cell r="AC129" t="str">
            <v>Curncy</v>
          </cell>
          <cell r="AD129" t="str">
            <v>TENOR-BASIS</v>
          </cell>
          <cell r="AE129" t="str">
            <v>10Y</v>
          </cell>
          <cell r="AF129" t="b">
            <v>1</v>
          </cell>
          <cell r="AH129" t="str">
            <v>EUBSS10 ICPL Curncy</v>
          </cell>
          <cell r="AI129" t="str">
            <v>EUBSS10</v>
          </cell>
          <cell r="AJ129" t="str">
            <v>ICPL</v>
          </cell>
          <cell r="AK129" t="str">
            <v>Curncy</v>
          </cell>
          <cell r="AL129" t="str">
            <v>TENOR-BASIS</v>
          </cell>
          <cell r="AM129" t="str">
            <v>10Y</v>
          </cell>
          <cell r="AN129" t="b">
            <v>1</v>
          </cell>
          <cell r="AP129" t="str">
            <v>EUBS10 ICPL Curncy</v>
          </cell>
          <cell r="AQ129" t="str">
            <v>EUBS10</v>
          </cell>
          <cell r="AR129" t="str">
            <v>ICPL</v>
          </cell>
          <cell r="AS129" t="str">
            <v>Curncy</v>
          </cell>
          <cell r="AT129" t="str">
            <v>XCCY-BASIS</v>
          </cell>
          <cell r="AU129" t="str">
            <v>10Y</v>
          </cell>
          <cell r="AV129" t="b">
            <v>1</v>
          </cell>
        </row>
        <row r="130">
          <cell r="B130" t="str">
            <v>EUSF10A ICPL Curncy</v>
          </cell>
          <cell r="C130" t="str">
            <v>EUSF10A</v>
          </cell>
          <cell r="D130" t="str">
            <v>ICPL</v>
          </cell>
          <cell r="E130" t="str">
            <v>Curncy</v>
          </cell>
          <cell r="F130" t="str">
            <v>ECB SWAP</v>
          </cell>
          <cell r="G130" t="str">
            <v>EUSF10A</v>
          </cell>
          <cell r="H130" t="b">
            <v>0</v>
          </cell>
          <cell r="J130" t="str">
            <v>EUFR0J1D ICPL Curncy</v>
          </cell>
          <cell r="K130" t="str">
            <v>EUFR0J1D</v>
          </cell>
          <cell r="L130" t="str">
            <v>ICPL</v>
          </cell>
          <cell r="M130" t="str">
            <v>Curncy</v>
          </cell>
          <cell r="N130" t="str">
            <v>FRA</v>
          </cell>
          <cell r="O130" t="str">
            <v>10X16</v>
          </cell>
          <cell r="P130" t="b">
            <v>1</v>
          </cell>
          <cell r="R130" t="str">
            <v>EUBSV11 CMPN Curncy</v>
          </cell>
          <cell r="S130" t="str">
            <v>EUBSV11</v>
          </cell>
          <cell r="T130" t="str">
            <v>CMPN</v>
          </cell>
          <cell r="U130" t="str">
            <v>Curncy</v>
          </cell>
          <cell r="V130" t="str">
            <v>TENOR-BASIS</v>
          </cell>
          <cell r="W130" t="str">
            <v>11Y</v>
          </cell>
          <cell r="X130" t="b">
            <v>1</v>
          </cell>
          <cell r="Z130" t="str">
            <v>EUBSA11 TRPU Curncy</v>
          </cell>
          <cell r="AA130" t="str">
            <v>EUBSA11</v>
          </cell>
          <cell r="AB130" t="str">
            <v>TRPU</v>
          </cell>
          <cell r="AC130" t="str">
            <v>Curncy</v>
          </cell>
          <cell r="AD130" t="str">
            <v>TENOR-BASIS</v>
          </cell>
          <cell r="AE130" t="str">
            <v>11Y</v>
          </cell>
          <cell r="AF130" t="b">
            <v>1</v>
          </cell>
          <cell r="AH130" t="str">
            <v>EUBSS11 ICPL Curncy</v>
          </cell>
          <cell r="AI130" t="str">
            <v>EUBSS11</v>
          </cell>
          <cell r="AJ130" t="str">
            <v>ICPL</v>
          </cell>
          <cell r="AK130" t="str">
            <v>Curncy</v>
          </cell>
          <cell r="AL130" t="str">
            <v>TENOR-BASIS</v>
          </cell>
          <cell r="AM130" t="str">
            <v>11Y</v>
          </cell>
          <cell r="AN130" t="b">
            <v>1</v>
          </cell>
          <cell r="AP130" t="str">
            <v>EUBS11 ICPL Curncy</v>
          </cell>
          <cell r="AQ130" t="str">
            <v>EUBS11</v>
          </cell>
          <cell r="AR130" t="str">
            <v>ICPL</v>
          </cell>
          <cell r="AS130" t="str">
            <v>Curncy</v>
          </cell>
          <cell r="AT130" t="str">
            <v>XCCY-BASIS</v>
          </cell>
          <cell r="AU130" t="str">
            <v>11Y</v>
          </cell>
          <cell r="AV130" t="b">
            <v>1</v>
          </cell>
        </row>
        <row r="131">
          <cell r="B131" t="str">
            <v>EUSF11A ICPL Curncy</v>
          </cell>
          <cell r="C131" t="str">
            <v>EUSF11A</v>
          </cell>
          <cell r="D131" t="str">
            <v>ICPL</v>
          </cell>
          <cell r="E131" t="str">
            <v>Curncy</v>
          </cell>
          <cell r="F131" t="str">
            <v>ECB SWAP</v>
          </cell>
          <cell r="G131" t="str">
            <v>EUSF11A</v>
          </cell>
          <cell r="H131" t="b">
            <v>0</v>
          </cell>
          <cell r="J131" t="str">
            <v>EUFR0K1E ICPL Curncy</v>
          </cell>
          <cell r="K131" t="str">
            <v>EUFR0K1E</v>
          </cell>
          <cell r="L131" t="str">
            <v>ICPL</v>
          </cell>
          <cell r="M131" t="str">
            <v>Curncy</v>
          </cell>
          <cell r="N131" t="str">
            <v>FRA</v>
          </cell>
          <cell r="O131" t="str">
            <v>11X17</v>
          </cell>
          <cell r="P131" t="b">
            <v>1</v>
          </cell>
          <cell r="R131" t="str">
            <v>EUBSV12 CMPN Curncy</v>
          </cell>
          <cell r="S131" t="str">
            <v>EUBSV12</v>
          </cell>
          <cell r="T131" t="str">
            <v>CMPN</v>
          </cell>
          <cell r="U131" t="str">
            <v>Curncy</v>
          </cell>
          <cell r="V131" t="str">
            <v>TENOR-BASIS</v>
          </cell>
          <cell r="W131" t="str">
            <v>12Y</v>
          </cell>
          <cell r="X131" t="b">
            <v>1</v>
          </cell>
          <cell r="Z131" t="str">
            <v>EUBSA12 TRPU Curncy</v>
          </cell>
          <cell r="AA131" t="str">
            <v>EUBSA12</v>
          </cell>
          <cell r="AB131" t="str">
            <v>TRPU</v>
          </cell>
          <cell r="AC131" t="str">
            <v>Curncy</v>
          </cell>
          <cell r="AD131" t="str">
            <v>TENOR-BASIS</v>
          </cell>
          <cell r="AE131" t="str">
            <v>12Y</v>
          </cell>
          <cell r="AF131" t="b">
            <v>1</v>
          </cell>
          <cell r="AH131" t="str">
            <v>EUBSS12 ICPL Curncy</v>
          </cell>
          <cell r="AI131" t="str">
            <v>EUBSS12</v>
          </cell>
          <cell r="AJ131" t="str">
            <v>ICPL</v>
          </cell>
          <cell r="AK131" t="str">
            <v>Curncy</v>
          </cell>
          <cell r="AL131" t="str">
            <v>TENOR-BASIS</v>
          </cell>
          <cell r="AM131" t="str">
            <v>12Y</v>
          </cell>
          <cell r="AN131" t="b">
            <v>1</v>
          </cell>
          <cell r="AP131" t="str">
            <v>EUBS12 ICPL Curncy</v>
          </cell>
          <cell r="AQ131" t="str">
            <v>EUBS12</v>
          </cell>
          <cell r="AR131" t="str">
            <v>ICPL</v>
          </cell>
          <cell r="AS131" t="str">
            <v>Curncy</v>
          </cell>
          <cell r="AT131" t="str">
            <v>XCCY-BASIS</v>
          </cell>
          <cell r="AU131" t="str">
            <v>12Y</v>
          </cell>
          <cell r="AV131" t="b">
            <v>1</v>
          </cell>
        </row>
        <row r="132">
          <cell r="B132" t="str">
            <v>EUSF12A ICPL Curncy</v>
          </cell>
          <cell r="C132" t="str">
            <v>EUSF12A</v>
          </cell>
          <cell r="D132" t="str">
            <v>ICPL</v>
          </cell>
          <cell r="E132" t="str">
            <v>Curncy</v>
          </cell>
          <cell r="F132" t="str">
            <v>ECB SWAP</v>
          </cell>
          <cell r="G132" t="str">
            <v>EUSF12A</v>
          </cell>
          <cell r="H132" t="b">
            <v>0</v>
          </cell>
          <cell r="J132" t="str">
            <v>EUFR011F ICPL Curncy</v>
          </cell>
          <cell r="K132" t="str">
            <v>EUFR011F</v>
          </cell>
          <cell r="L132" t="str">
            <v>ICPL</v>
          </cell>
          <cell r="M132" t="str">
            <v>Curncy</v>
          </cell>
          <cell r="N132" t="str">
            <v>FRA</v>
          </cell>
          <cell r="O132" t="str">
            <v>12X18</v>
          </cell>
          <cell r="P132" t="b">
            <v>1</v>
          </cell>
          <cell r="R132" t="str">
            <v>EUBSV13 CMPN Curncy</v>
          </cell>
          <cell r="S132" t="str">
            <v>EUBSV13</v>
          </cell>
          <cell r="T132" t="str">
            <v>CMPN</v>
          </cell>
          <cell r="U132" t="str">
            <v>Curncy</v>
          </cell>
          <cell r="V132" t="str">
            <v>TENOR-BASIS</v>
          </cell>
          <cell r="W132" t="str">
            <v>13Y</v>
          </cell>
          <cell r="X132" t="b">
            <v>1</v>
          </cell>
          <cell r="Z132" t="str">
            <v>EUBSA15 TRPU Curncy</v>
          </cell>
          <cell r="AA132" t="str">
            <v>EUBSA15</v>
          </cell>
          <cell r="AB132" t="str">
            <v>TRPU</v>
          </cell>
          <cell r="AC132" t="str">
            <v>Curncy</v>
          </cell>
          <cell r="AD132" t="str">
            <v>TENOR-BASIS</v>
          </cell>
          <cell r="AE132" t="str">
            <v>15Y</v>
          </cell>
          <cell r="AF132" t="b">
            <v>1</v>
          </cell>
          <cell r="AH132" t="str">
            <v>EUBSS15 ICPL Curncy</v>
          </cell>
          <cell r="AI132" t="str">
            <v>EUBSS15</v>
          </cell>
          <cell r="AJ132" t="str">
            <v>ICPL</v>
          </cell>
          <cell r="AK132" t="str">
            <v>Curncy</v>
          </cell>
          <cell r="AL132" t="str">
            <v>TENOR-BASIS</v>
          </cell>
          <cell r="AM132" t="str">
            <v>15Y</v>
          </cell>
          <cell r="AN132" t="b">
            <v>1</v>
          </cell>
          <cell r="AP132" t="str">
            <v>EUBS13 ICPL Curncy</v>
          </cell>
          <cell r="AQ132" t="str">
            <v>EUBS13</v>
          </cell>
          <cell r="AR132" t="str">
            <v>ICPL</v>
          </cell>
          <cell r="AS132" t="str">
            <v>Curncy</v>
          </cell>
          <cell r="AT132" t="str">
            <v>XCCY-BASIS</v>
          </cell>
          <cell r="AU132" t="str">
            <v>13Y</v>
          </cell>
          <cell r="AV132" t="b">
            <v>1</v>
          </cell>
        </row>
        <row r="133">
          <cell r="B133" t="str">
            <v>EUSWE1Z ICPL Curncy</v>
          </cell>
          <cell r="C133" t="str">
            <v>EUSWE1Z</v>
          </cell>
          <cell r="D133" t="str">
            <v>ICPL</v>
          </cell>
          <cell r="E133" t="str">
            <v>Curncy</v>
          </cell>
          <cell r="F133" t="str">
            <v>OIS</v>
          </cell>
          <cell r="G133" t="str">
            <v>1W</v>
          </cell>
          <cell r="H133" t="b">
            <v>0</v>
          </cell>
          <cell r="J133" t="str">
            <v>EUSA2 MHIS Curncy</v>
          </cell>
          <cell r="K133" t="str">
            <v>EUSA2</v>
          </cell>
          <cell r="L133" t="str">
            <v>MHIS</v>
          </cell>
          <cell r="M133" t="str">
            <v>Curncy</v>
          </cell>
          <cell r="N133" t="str">
            <v>SWAP</v>
          </cell>
          <cell r="O133" t="str">
            <v>2Y</v>
          </cell>
          <cell r="P133" t="b">
            <v>1</v>
          </cell>
          <cell r="R133" t="str">
            <v>EUBSV14 CMPN Curncy</v>
          </cell>
          <cell r="S133" t="str">
            <v>EUBSV14</v>
          </cell>
          <cell r="T133" t="str">
            <v>CMPN</v>
          </cell>
          <cell r="U133" t="str">
            <v>Curncy</v>
          </cell>
          <cell r="V133" t="str">
            <v>TENOR-BASIS</v>
          </cell>
          <cell r="W133" t="str">
            <v>14Y</v>
          </cell>
          <cell r="X133" t="b">
            <v>1</v>
          </cell>
          <cell r="Z133" t="str">
            <v>EUBSA20 TRPU Curncy</v>
          </cell>
          <cell r="AA133" t="str">
            <v>EUBSA20</v>
          </cell>
          <cell r="AB133" t="str">
            <v>TRPU</v>
          </cell>
          <cell r="AC133" t="str">
            <v>Curncy</v>
          </cell>
          <cell r="AD133" t="str">
            <v>TENOR-BASIS</v>
          </cell>
          <cell r="AE133" t="str">
            <v>20Y</v>
          </cell>
          <cell r="AF133" t="b">
            <v>1</v>
          </cell>
          <cell r="AH133" t="str">
            <v>EUBSS20 ICPL Curncy</v>
          </cell>
          <cell r="AI133" t="str">
            <v>EUBSS20</v>
          </cell>
          <cell r="AJ133" t="str">
            <v>ICPL</v>
          </cell>
          <cell r="AK133" t="str">
            <v>Curncy</v>
          </cell>
          <cell r="AL133" t="str">
            <v>TENOR-BASIS</v>
          </cell>
          <cell r="AM133" t="str">
            <v>20Y</v>
          </cell>
          <cell r="AN133" t="b">
            <v>1</v>
          </cell>
          <cell r="AP133" t="str">
            <v>EUBS14 ICPL Curncy</v>
          </cell>
          <cell r="AQ133" t="str">
            <v>EUBS14</v>
          </cell>
          <cell r="AR133" t="str">
            <v>ICPL</v>
          </cell>
          <cell r="AS133" t="str">
            <v>Curncy</v>
          </cell>
          <cell r="AT133" t="str">
            <v>XCCY-BASIS</v>
          </cell>
          <cell r="AU133" t="str">
            <v>14Y</v>
          </cell>
          <cell r="AV133" t="b">
            <v>1</v>
          </cell>
        </row>
        <row r="134">
          <cell r="B134" t="str">
            <v>EUSWE2Z ICPL Curncy</v>
          </cell>
          <cell r="C134" t="str">
            <v>EUSWE2Z</v>
          </cell>
          <cell r="D134" t="str">
            <v>ICPL</v>
          </cell>
          <cell r="E134" t="str">
            <v>Curncy</v>
          </cell>
          <cell r="F134" t="str">
            <v>OIS</v>
          </cell>
          <cell r="G134" t="str">
            <v>2W</v>
          </cell>
          <cell r="H134" t="b">
            <v>0</v>
          </cell>
          <cell r="J134" t="str">
            <v>EUSA3 MHIS Curncy</v>
          </cell>
          <cell r="K134" t="str">
            <v>EUSA3</v>
          </cell>
          <cell r="L134" t="str">
            <v>MHIS</v>
          </cell>
          <cell r="M134" t="str">
            <v>Curncy</v>
          </cell>
          <cell r="N134" t="str">
            <v>SWAP</v>
          </cell>
          <cell r="O134" t="str">
            <v>3Y</v>
          </cell>
          <cell r="P134" t="b">
            <v>1</v>
          </cell>
          <cell r="R134" t="str">
            <v>EUBSV15 CMPN Curncy</v>
          </cell>
          <cell r="S134" t="str">
            <v>EUBSV15</v>
          </cell>
          <cell r="T134" t="str">
            <v>CMPN</v>
          </cell>
          <cell r="U134" t="str">
            <v>Curncy</v>
          </cell>
          <cell r="V134" t="str">
            <v>TENOR-BASIS</v>
          </cell>
          <cell r="W134" t="str">
            <v>15Y</v>
          </cell>
          <cell r="X134" t="b">
            <v>1</v>
          </cell>
          <cell r="Z134" t="str">
            <v>EUBSA25 TRPU Curncy</v>
          </cell>
          <cell r="AA134" t="str">
            <v>EUBSA25</v>
          </cell>
          <cell r="AB134" t="str">
            <v>TRPU</v>
          </cell>
          <cell r="AC134" t="str">
            <v>Curncy</v>
          </cell>
          <cell r="AD134" t="str">
            <v>TENOR-BASIS</v>
          </cell>
          <cell r="AE134" t="str">
            <v>25Y</v>
          </cell>
          <cell r="AF134" t="b">
            <v>1</v>
          </cell>
          <cell r="AH134" t="str">
            <v>EUBSS25 ICPL Curncy</v>
          </cell>
          <cell r="AI134" t="str">
            <v>EUBSS25</v>
          </cell>
          <cell r="AJ134" t="str">
            <v>ICPL</v>
          </cell>
          <cell r="AK134" t="str">
            <v>Curncy</v>
          </cell>
          <cell r="AL134" t="str">
            <v>TENOR-BASIS</v>
          </cell>
          <cell r="AM134" t="str">
            <v>25Y</v>
          </cell>
          <cell r="AN134" t="b">
            <v>1</v>
          </cell>
          <cell r="AP134" t="str">
            <v>EUBS15 ICPL Curncy</v>
          </cell>
          <cell r="AQ134" t="str">
            <v>EUBS15</v>
          </cell>
          <cell r="AR134" t="str">
            <v>ICPL</v>
          </cell>
          <cell r="AS134" t="str">
            <v>Curncy</v>
          </cell>
          <cell r="AT134" t="str">
            <v>XCCY-BASIS</v>
          </cell>
          <cell r="AU134" t="str">
            <v>15Y</v>
          </cell>
          <cell r="AV134" t="b">
            <v>1</v>
          </cell>
        </row>
        <row r="135">
          <cell r="B135" t="str">
            <v>EUSWEA ICPL Curncy</v>
          </cell>
          <cell r="C135" t="str">
            <v>EUSWEA</v>
          </cell>
          <cell r="D135" t="str">
            <v>ICPL</v>
          </cell>
          <cell r="E135" t="str">
            <v>Curncy</v>
          </cell>
          <cell r="F135" t="str">
            <v>OIS</v>
          </cell>
          <cell r="G135" t="str">
            <v>1M</v>
          </cell>
          <cell r="H135" t="b">
            <v>0</v>
          </cell>
          <cell r="J135" t="str">
            <v>EUSA4 MHIS Curncy</v>
          </cell>
          <cell r="K135" t="str">
            <v>EUSA4</v>
          </cell>
          <cell r="L135" t="str">
            <v>MHIS</v>
          </cell>
          <cell r="M135" t="str">
            <v>Curncy</v>
          </cell>
          <cell r="N135" t="str">
            <v>SWAP</v>
          </cell>
          <cell r="O135" t="str">
            <v>4Y</v>
          </cell>
          <cell r="P135" t="b">
            <v>1</v>
          </cell>
          <cell r="R135" t="str">
            <v>EUBSV20 CMPN Curncy</v>
          </cell>
          <cell r="S135" t="str">
            <v>EUBSV20</v>
          </cell>
          <cell r="T135" t="str">
            <v>CMPN</v>
          </cell>
          <cell r="U135" t="str">
            <v>Curncy</v>
          </cell>
          <cell r="V135" t="str">
            <v>TENOR-BASIS</v>
          </cell>
          <cell r="W135" t="str">
            <v>20Y</v>
          </cell>
          <cell r="X135" t="b">
            <v>1</v>
          </cell>
          <cell r="Z135" t="str">
            <v>EUBSA30 TRPU Curncy</v>
          </cell>
          <cell r="AA135" t="str">
            <v>EUBSA30</v>
          </cell>
          <cell r="AB135" t="str">
            <v>TRPU</v>
          </cell>
          <cell r="AC135" t="str">
            <v>Curncy</v>
          </cell>
          <cell r="AD135" t="str">
            <v>TENOR-BASIS</v>
          </cell>
          <cell r="AE135" t="str">
            <v>30Y</v>
          </cell>
          <cell r="AF135" t="b">
            <v>1</v>
          </cell>
          <cell r="AH135" t="str">
            <v>EUBSS30 ICPL Curncy</v>
          </cell>
          <cell r="AI135" t="str">
            <v>EUBSS30</v>
          </cell>
          <cell r="AJ135" t="str">
            <v>ICPL</v>
          </cell>
          <cell r="AK135" t="str">
            <v>Curncy</v>
          </cell>
          <cell r="AL135" t="str">
            <v>TENOR-BASIS</v>
          </cell>
          <cell r="AM135" t="str">
            <v>30Y</v>
          </cell>
          <cell r="AN135" t="b">
            <v>1</v>
          </cell>
          <cell r="AP135" t="str">
            <v>EUBS20 ICPL Curncy</v>
          </cell>
          <cell r="AQ135" t="str">
            <v>EUBS20</v>
          </cell>
          <cell r="AR135" t="str">
            <v>ICPL</v>
          </cell>
          <cell r="AS135" t="str">
            <v>Curncy</v>
          </cell>
          <cell r="AT135" t="str">
            <v>XCCY-BASIS</v>
          </cell>
          <cell r="AU135" t="str">
            <v>20Y</v>
          </cell>
          <cell r="AV135" t="b">
            <v>1</v>
          </cell>
        </row>
        <row r="136">
          <cell r="B136" t="str">
            <v>EUSWEB ICPL Curncy</v>
          </cell>
          <cell r="C136" t="str">
            <v>EUSWEB</v>
          </cell>
          <cell r="D136" t="str">
            <v>ICPL</v>
          </cell>
          <cell r="E136" t="str">
            <v>Curncy</v>
          </cell>
          <cell r="F136" t="str">
            <v>OIS</v>
          </cell>
          <cell r="G136" t="str">
            <v>2M</v>
          </cell>
          <cell r="H136" t="b">
            <v>0</v>
          </cell>
          <cell r="J136" t="str">
            <v>EUSA5 MHIS Curncy</v>
          </cell>
          <cell r="K136" t="str">
            <v>EUSA5</v>
          </cell>
          <cell r="L136" t="str">
            <v>MHIS</v>
          </cell>
          <cell r="M136" t="str">
            <v>Curncy</v>
          </cell>
          <cell r="N136" t="str">
            <v>SWAP</v>
          </cell>
          <cell r="O136" t="str">
            <v>5Y</v>
          </cell>
          <cell r="P136" t="b">
            <v>1</v>
          </cell>
          <cell r="R136" t="str">
            <v>EUBSV25 CMPN Curncy</v>
          </cell>
          <cell r="S136" t="str">
            <v>EUBSV25</v>
          </cell>
          <cell r="T136" t="str">
            <v>CMPN</v>
          </cell>
          <cell r="U136" t="str">
            <v>Curncy</v>
          </cell>
          <cell r="V136" t="str">
            <v>TENOR-BASIS</v>
          </cell>
          <cell r="W136" t="str">
            <v>25Y</v>
          </cell>
          <cell r="X136" t="b">
            <v>1</v>
          </cell>
          <cell r="Z136" t="str">
            <v xml:space="preserve">  </v>
          </cell>
          <cell r="AH136" t="str">
            <v xml:space="preserve">  </v>
          </cell>
          <cell r="AP136" t="str">
            <v>EUBS25 ICPL Curncy</v>
          </cell>
          <cell r="AQ136" t="str">
            <v>EUBS25</v>
          </cell>
          <cell r="AR136" t="str">
            <v>ICPL</v>
          </cell>
          <cell r="AS136" t="str">
            <v>Curncy</v>
          </cell>
          <cell r="AT136" t="str">
            <v>XCCY-BASIS</v>
          </cell>
          <cell r="AU136" t="str">
            <v>25Y</v>
          </cell>
          <cell r="AV136" t="b">
            <v>1</v>
          </cell>
        </row>
        <row r="137">
          <cell r="B137" t="str">
            <v>EUSWEC ICPL Curncy</v>
          </cell>
          <cell r="C137" t="str">
            <v>EUSWEC</v>
          </cell>
          <cell r="D137" t="str">
            <v>ICPL</v>
          </cell>
          <cell r="E137" t="str">
            <v>Curncy</v>
          </cell>
          <cell r="F137" t="str">
            <v>OIS</v>
          </cell>
          <cell r="G137" t="str">
            <v>3M</v>
          </cell>
          <cell r="H137" t="b">
            <v>0</v>
          </cell>
          <cell r="J137" t="str">
            <v>EUSA6 MHIS Curncy</v>
          </cell>
          <cell r="K137" t="str">
            <v>EUSA6</v>
          </cell>
          <cell r="L137" t="str">
            <v>MHIS</v>
          </cell>
          <cell r="M137" t="str">
            <v>Curncy</v>
          </cell>
          <cell r="N137" t="str">
            <v>SWAP</v>
          </cell>
          <cell r="O137" t="str">
            <v>6Y</v>
          </cell>
          <cell r="P137" t="b">
            <v>1</v>
          </cell>
          <cell r="R137" t="str">
            <v>EUBSV30 CMPN Curncy</v>
          </cell>
          <cell r="S137" t="str">
            <v>EUBSV30</v>
          </cell>
          <cell r="T137" t="str">
            <v>CMPN</v>
          </cell>
          <cell r="U137" t="str">
            <v>Curncy</v>
          </cell>
          <cell r="V137" t="str">
            <v>TENOR-BASIS</v>
          </cell>
          <cell r="W137" t="str">
            <v>30Y</v>
          </cell>
          <cell r="X137" t="b">
            <v>1</v>
          </cell>
          <cell r="Z137" t="str">
            <v xml:space="preserve">  </v>
          </cell>
          <cell r="AH137" t="str">
            <v xml:space="preserve">  </v>
          </cell>
          <cell r="AP137" t="str">
            <v>EUBS30 ICPL Curncy</v>
          </cell>
          <cell r="AQ137" t="str">
            <v>EUBS30</v>
          </cell>
          <cell r="AR137" t="str">
            <v>ICPL</v>
          </cell>
          <cell r="AS137" t="str">
            <v>Curncy</v>
          </cell>
          <cell r="AT137" t="str">
            <v>XCCY-BASIS</v>
          </cell>
          <cell r="AU137" t="str">
            <v>30Y</v>
          </cell>
          <cell r="AV137" t="b">
            <v>1</v>
          </cell>
        </row>
        <row r="138">
          <cell r="B138" t="str">
            <v>EUSWED ICPL Curncy</v>
          </cell>
          <cell r="C138" t="str">
            <v>EUSWED</v>
          </cell>
          <cell r="D138" t="str">
            <v>ICPL</v>
          </cell>
          <cell r="E138" t="str">
            <v>Curncy</v>
          </cell>
          <cell r="F138" t="str">
            <v>OIS</v>
          </cell>
          <cell r="G138" t="str">
            <v>4M</v>
          </cell>
          <cell r="H138" t="b">
            <v>0</v>
          </cell>
          <cell r="J138" t="str">
            <v>EUSA7 MHIS Curncy</v>
          </cell>
          <cell r="K138" t="str">
            <v>EUSA7</v>
          </cell>
          <cell r="L138" t="str">
            <v>MHIS</v>
          </cell>
          <cell r="M138" t="str">
            <v>Curncy</v>
          </cell>
          <cell r="N138" t="str">
            <v>SWAP</v>
          </cell>
          <cell r="O138" t="str">
            <v>7Y</v>
          </cell>
          <cell r="P138" t="b">
            <v>1</v>
          </cell>
          <cell r="R138" t="str">
            <v xml:space="preserve">  </v>
          </cell>
          <cell r="Z138" t="str">
            <v xml:space="preserve">  </v>
          </cell>
          <cell r="AH138" t="str">
            <v xml:space="preserve">  </v>
          </cell>
          <cell r="AP138" t="str">
            <v xml:space="preserve">  </v>
          </cell>
        </row>
        <row r="139">
          <cell r="B139" t="str">
            <v>EUSWEE ICPL Curncy</v>
          </cell>
          <cell r="C139" t="str">
            <v>EUSWEE</v>
          </cell>
          <cell r="D139" t="str">
            <v>ICPL</v>
          </cell>
          <cell r="E139" t="str">
            <v>Curncy</v>
          </cell>
          <cell r="F139" t="str">
            <v>OIS</v>
          </cell>
          <cell r="G139" t="str">
            <v>5M</v>
          </cell>
          <cell r="H139" t="b">
            <v>0</v>
          </cell>
          <cell r="J139" t="str">
            <v>EUSA8 MHIS Curncy</v>
          </cell>
          <cell r="K139" t="str">
            <v>EUSA8</v>
          </cell>
          <cell r="L139" t="str">
            <v>MHIS</v>
          </cell>
          <cell r="M139" t="str">
            <v>Curncy</v>
          </cell>
          <cell r="N139" t="str">
            <v>SWAP</v>
          </cell>
          <cell r="O139" t="str">
            <v>8Y</v>
          </cell>
          <cell r="P139" t="b">
            <v>1</v>
          </cell>
          <cell r="R139" t="str">
            <v xml:space="preserve">  </v>
          </cell>
          <cell r="Z139" t="str">
            <v xml:space="preserve">  </v>
          </cell>
          <cell r="AH139" t="str">
            <v xml:space="preserve">  </v>
          </cell>
          <cell r="AP139" t="str">
            <v xml:space="preserve">  </v>
          </cell>
        </row>
        <row r="140">
          <cell r="B140" t="str">
            <v>EUSWEF ICPL Curncy</v>
          </cell>
          <cell r="C140" t="str">
            <v>EUSWEF</v>
          </cell>
          <cell r="D140" t="str">
            <v>ICPL</v>
          </cell>
          <cell r="E140" t="str">
            <v>Curncy</v>
          </cell>
          <cell r="F140" t="str">
            <v>OIS</v>
          </cell>
          <cell r="G140" t="str">
            <v>6M</v>
          </cell>
          <cell r="H140" t="b">
            <v>0</v>
          </cell>
          <cell r="J140" t="str">
            <v>EUSA9 MHIS Curncy</v>
          </cell>
          <cell r="K140" t="str">
            <v>EUSA9</v>
          </cell>
          <cell r="L140" t="str">
            <v>MHIS</v>
          </cell>
          <cell r="M140" t="str">
            <v>Curncy</v>
          </cell>
          <cell r="N140" t="str">
            <v>SWAP</v>
          </cell>
          <cell r="O140" t="str">
            <v>9Y</v>
          </cell>
          <cell r="P140" t="b">
            <v>1</v>
          </cell>
          <cell r="R140" t="str">
            <v xml:space="preserve">  </v>
          </cell>
          <cell r="Z140" t="str">
            <v xml:space="preserve">  </v>
          </cell>
          <cell r="AH140" t="str">
            <v xml:space="preserve">  </v>
          </cell>
          <cell r="AP140" t="str">
            <v xml:space="preserve">  </v>
          </cell>
        </row>
        <row r="141">
          <cell r="B141" t="str">
            <v>EUSWEG ICPL Curncy</v>
          </cell>
          <cell r="C141" t="str">
            <v>EUSWEG</v>
          </cell>
          <cell r="D141" t="str">
            <v>ICPL</v>
          </cell>
          <cell r="E141" t="str">
            <v>Curncy</v>
          </cell>
          <cell r="F141" t="str">
            <v>OIS</v>
          </cell>
          <cell r="G141" t="str">
            <v>7M</v>
          </cell>
          <cell r="H141" t="b">
            <v>0</v>
          </cell>
          <cell r="J141" t="str">
            <v>EUSA10 MHIS Curncy</v>
          </cell>
          <cell r="K141" t="str">
            <v>EUSA10</v>
          </cell>
          <cell r="L141" t="str">
            <v>MHIS</v>
          </cell>
          <cell r="M141" t="str">
            <v>Curncy</v>
          </cell>
          <cell r="N141" t="str">
            <v>SWAP</v>
          </cell>
          <cell r="O141" t="str">
            <v>10Y</v>
          </cell>
          <cell r="P141" t="b">
            <v>1</v>
          </cell>
          <cell r="R141" t="str">
            <v xml:space="preserve">  </v>
          </cell>
          <cell r="Z141" t="str">
            <v xml:space="preserve">  </v>
          </cell>
          <cell r="AH141" t="str">
            <v xml:space="preserve">  </v>
          </cell>
          <cell r="AP141" t="str">
            <v xml:space="preserve">  </v>
          </cell>
        </row>
        <row r="142">
          <cell r="B142" t="str">
            <v>EUSWEH ICPL Curncy</v>
          </cell>
          <cell r="C142" t="str">
            <v>EUSWEH</v>
          </cell>
          <cell r="D142" t="str">
            <v>ICPL</v>
          </cell>
          <cell r="E142" t="str">
            <v>Curncy</v>
          </cell>
          <cell r="F142" t="str">
            <v>OIS</v>
          </cell>
          <cell r="G142" t="str">
            <v>8M</v>
          </cell>
          <cell r="H142" t="b">
            <v>0</v>
          </cell>
          <cell r="J142" t="str">
            <v>EUSA11 MHIS Curncy</v>
          </cell>
          <cell r="K142" t="str">
            <v>EUSA11</v>
          </cell>
          <cell r="L142" t="str">
            <v>MHIS</v>
          </cell>
          <cell r="M142" t="str">
            <v>Curncy</v>
          </cell>
          <cell r="N142" t="str">
            <v>SWAP</v>
          </cell>
          <cell r="O142" t="str">
            <v>11Y</v>
          </cell>
          <cell r="P142" t="b">
            <v>1</v>
          </cell>
          <cell r="R142" t="str">
            <v xml:space="preserve">  </v>
          </cell>
          <cell r="Z142" t="str">
            <v xml:space="preserve">  </v>
          </cell>
          <cell r="AH142" t="str">
            <v xml:space="preserve">  </v>
          </cell>
          <cell r="AP142" t="str">
            <v xml:space="preserve">  </v>
          </cell>
        </row>
        <row r="143">
          <cell r="B143" t="str">
            <v>EUSWEI ICPL Curncy</v>
          </cell>
          <cell r="C143" t="str">
            <v>EUSWEI</v>
          </cell>
          <cell r="D143" t="str">
            <v>ICPL</v>
          </cell>
          <cell r="E143" t="str">
            <v>Curncy</v>
          </cell>
          <cell r="F143" t="str">
            <v>OIS</v>
          </cell>
          <cell r="G143" t="str">
            <v>9M</v>
          </cell>
          <cell r="H143" t="b">
            <v>0</v>
          </cell>
          <cell r="J143" t="str">
            <v>EUSA12 MHIS Curncy</v>
          </cell>
          <cell r="K143" t="str">
            <v>EUSA12</v>
          </cell>
          <cell r="L143" t="str">
            <v>MHIS</v>
          </cell>
          <cell r="M143" t="str">
            <v>Curncy</v>
          </cell>
          <cell r="N143" t="str">
            <v>SWAP</v>
          </cell>
          <cell r="O143" t="str">
            <v>12Y</v>
          </cell>
          <cell r="P143" t="b">
            <v>1</v>
          </cell>
          <cell r="R143" t="str">
            <v xml:space="preserve">  </v>
          </cell>
          <cell r="Z143" t="str">
            <v xml:space="preserve">  </v>
          </cell>
          <cell r="AH143" t="str">
            <v xml:space="preserve">  </v>
          </cell>
          <cell r="AP143" t="str">
            <v xml:space="preserve">  </v>
          </cell>
        </row>
        <row r="144">
          <cell r="B144" t="str">
            <v>EUSWEJ ICPL Curncy</v>
          </cell>
          <cell r="C144" t="str">
            <v>EUSWEJ</v>
          </cell>
          <cell r="D144" t="str">
            <v>ICPL</v>
          </cell>
          <cell r="E144" t="str">
            <v>Curncy</v>
          </cell>
          <cell r="F144" t="str">
            <v>OIS</v>
          </cell>
          <cell r="G144" t="str">
            <v>10M</v>
          </cell>
          <cell r="H144" t="b">
            <v>0</v>
          </cell>
          <cell r="J144" t="str">
            <v>EUSA15 MHIS Curncy</v>
          </cell>
          <cell r="K144" t="str">
            <v>EUSA15</v>
          </cell>
          <cell r="L144" t="str">
            <v>MHIS</v>
          </cell>
          <cell r="M144" t="str">
            <v>Curncy</v>
          </cell>
          <cell r="N144" t="str">
            <v>SWAP</v>
          </cell>
          <cell r="O144" t="str">
            <v>15Y</v>
          </cell>
          <cell r="P144" t="b">
            <v>1</v>
          </cell>
          <cell r="R144" t="str">
            <v xml:space="preserve">  </v>
          </cell>
          <cell r="Z144" t="str">
            <v xml:space="preserve">  </v>
          </cell>
          <cell r="AH144" t="str">
            <v xml:space="preserve">  </v>
          </cell>
          <cell r="AP144" t="str">
            <v xml:space="preserve">  </v>
          </cell>
        </row>
        <row r="145">
          <cell r="B145" t="str">
            <v>EUSWEK ICPL Curncy</v>
          </cell>
          <cell r="C145" t="str">
            <v>EUSWEK</v>
          </cell>
          <cell r="D145" t="str">
            <v>ICPL</v>
          </cell>
          <cell r="E145" t="str">
            <v>Curncy</v>
          </cell>
          <cell r="F145" t="str">
            <v>OIS</v>
          </cell>
          <cell r="G145" t="str">
            <v>11M</v>
          </cell>
          <cell r="H145" t="b">
            <v>0</v>
          </cell>
          <cell r="J145" t="str">
            <v>EUSA20 MHIS Curncy</v>
          </cell>
          <cell r="K145" t="str">
            <v>EUSA20</v>
          </cell>
          <cell r="L145" t="str">
            <v>MHIS</v>
          </cell>
          <cell r="M145" t="str">
            <v>Curncy</v>
          </cell>
          <cell r="N145" t="str">
            <v>SWAP</v>
          </cell>
          <cell r="O145" t="str">
            <v>20Y</v>
          </cell>
          <cell r="P145" t="b">
            <v>1</v>
          </cell>
          <cell r="R145" t="str">
            <v xml:space="preserve">  </v>
          </cell>
          <cell r="Z145" t="str">
            <v xml:space="preserve">  </v>
          </cell>
          <cell r="AH145" t="str">
            <v xml:space="preserve">  </v>
          </cell>
          <cell r="AP145" t="str">
            <v xml:space="preserve">  </v>
          </cell>
        </row>
        <row r="146">
          <cell r="B146" t="str">
            <v>EUSWE1 ICPL Curncy</v>
          </cell>
          <cell r="C146" t="str">
            <v>EUSWE1</v>
          </cell>
          <cell r="D146" t="str">
            <v>ICPL</v>
          </cell>
          <cell r="E146" t="str">
            <v>Curncy</v>
          </cell>
          <cell r="F146" t="str">
            <v>OIS</v>
          </cell>
          <cell r="G146" t="str">
            <v>12M</v>
          </cell>
          <cell r="H146" t="b">
            <v>1</v>
          </cell>
          <cell r="J146" t="str">
            <v>EUSA25 MHIS Curncy</v>
          </cell>
          <cell r="K146" t="str">
            <v>EUSA25</v>
          </cell>
          <cell r="L146" t="str">
            <v>MHIS</v>
          </cell>
          <cell r="M146" t="str">
            <v>Curncy</v>
          </cell>
          <cell r="N146" t="str">
            <v>SWAP</v>
          </cell>
          <cell r="O146" t="str">
            <v>25Y</v>
          </cell>
          <cell r="P146" t="b">
            <v>1</v>
          </cell>
          <cell r="R146" t="str">
            <v xml:space="preserve">  </v>
          </cell>
          <cell r="Z146" t="str">
            <v xml:space="preserve">  </v>
          </cell>
          <cell r="AH146" t="str">
            <v xml:space="preserve">  </v>
          </cell>
          <cell r="AP146" t="str">
            <v xml:space="preserve">  </v>
          </cell>
        </row>
        <row r="147">
          <cell r="B147" t="str">
            <v>EUSWE1F ICPL Curncy</v>
          </cell>
          <cell r="C147" t="str">
            <v>EUSWE1F</v>
          </cell>
          <cell r="D147" t="str">
            <v>ICPL</v>
          </cell>
          <cell r="E147" t="str">
            <v>Curncy</v>
          </cell>
          <cell r="F147" t="str">
            <v>OIS</v>
          </cell>
          <cell r="G147" t="str">
            <v>18M</v>
          </cell>
          <cell r="H147" t="b">
            <v>1</v>
          </cell>
          <cell r="J147" t="str">
            <v>EUSA30 MHIS Curncy</v>
          </cell>
          <cell r="K147" t="str">
            <v>EUSA30</v>
          </cell>
          <cell r="L147" t="str">
            <v>MHIS</v>
          </cell>
          <cell r="M147" t="str">
            <v>Curncy</v>
          </cell>
          <cell r="N147" t="str">
            <v>SWAP</v>
          </cell>
          <cell r="O147" t="str">
            <v>30Y</v>
          </cell>
          <cell r="P147" t="b">
            <v>1</v>
          </cell>
          <cell r="R147" t="str">
            <v xml:space="preserve">  </v>
          </cell>
          <cell r="Z147" t="str">
            <v xml:space="preserve">  </v>
          </cell>
          <cell r="AH147" t="str">
            <v xml:space="preserve">  </v>
          </cell>
          <cell r="AP147" t="str">
            <v xml:space="preserve">  </v>
          </cell>
        </row>
        <row r="148">
          <cell r="B148" t="str">
            <v>EUSWE2 ICPL Curncy</v>
          </cell>
          <cell r="C148" t="str">
            <v>EUSWE2</v>
          </cell>
          <cell r="D148" t="str">
            <v>ICPL</v>
          </cell>
          <cell r="E148" t="str">
            <v>Curncy</v>
          </cell>
          <cell r="F148" t="str">
            <v>OIS</v>
          </cell>
          <cell r="G148" t="str">
            <v>2Y</v>
          </cell>
          <cell r="H148" t="b">
            <v>1</v>
          </cell>
          <cell r="J148" t="str">
            <v>EUSA40 MHIS Curncy</v>
          </cell>
          <cell r="K148" t="str">
            <v>EUSA40</v>
          </cell>
          <cell r="L148" t="str">
            <v>MHIS</v>
          </cell>
          <cell r="M148" t="str">
            <v>Curncy</v>
          </cell>
          <cell r="N148" t="str">
            <v>SWAP</v>
          </cell>
          <cell r="O148" t="str">
            <v>40Y</v>
          </cell>
          <cell r="P148" t="b">
            <v>1</v>
          </cell>
          <cell r="R148" t="str">
            <v xml:space="preserve">  </v>
          </cell>
          <cell r="Z148" t="str">
            <v xml:space="preserve">  </v>
          </cell>
          <cell r="AH148" t="str">
            <v xml:space="preserve">  </v>
          </cell>
          <cell r="AP148" t="str">
            <v xml:space="preserve">  </v>
          </cell>
        </row>
        <row r="149">
          <cell r="B149" t="str">
            <v>EUSWE2F ICPL Curncy</v>
          </cell>
          <cell r="C149" t="str">
            <v>EUSWE2F</v>
          </cell>
          <cell r="D149" t="str">
            <v>ICPL</v>
          </cell>
          <cell r="E149" t="str">
            <v>Curncy</v>
          </cell>
          <cell r="F149" t="str">
            <v>OIS</v>
          </cell>
          <cell r="G149" t="str">
            <v>30M</v>
          </cell>
          <cell r="H149" t="b">
            <v>0</v>
          </cell>
          <cell r="J149" t="str">
            <v>EUSA50 MHIS Curncy</v>
          </cell>
          <cell r="K149" t="str">
            <v>EUSA50</v>
          </cell>
          <cell r="L149" t="str">
            <v>MHIS</v>
          </cell>
          <cell r="M149" t="str">
            <v>Curncy</v>
          </cell>
          <cell r="N149" t="str">
            <v>SWAP</v>
          </cell>
          <cell r="O149" t="str">
            <v>50Y</v>
          </cell>
          <cell r="P149" t="b">
            <v>1</v>
          </cell>
          <cell r="R149" t="str">
            <v xml:space="preserve">  </v>
          </cell>
          <cell r="Z149" t="str">
            <v xml:space="preserve">  </v>
          </cell>
          <cell r="AH149" t="str">
            <v xml:space="preserve">  </v>
          </cell>
          <cell r="AP149" t="str">
            <v xml:space="preserve">  </v>
          </cell>
        </row>
        <row r="150">
          <cell r="B150" t="str">
            <v>EUSWE3 ICPL Curncy</v>
          </cell>
          <cell r="C150" t="str">
            <v>EUSWE3</v>
          </cell>
          <cell r="D150" t="str">
            <v>ICPL</v>
          </cell>
          <cell r="E150" t="str">
            <v>Curncy</v>
          </cell>
          <cell r="F150" t="str">
            <v>OIS</v>
          </cell>
          <cell r="G150" t="str">
            <v>3Y</v>
          </cell>
          <cell r="H150" t="b">
            <v>1</v>
          </cell>
          <cell r="J150" t="str">
            <v xml:space="preserve">  </v>
          </cell>
          <cell r="R150" t="str">
            <v xml:space="preserve">  </v>
          </cell>
          <cell r="Z150" t="str">
            <v xml:space="preserve">  </v>
          </cell>
          <cell r="AH150" t="str">
            <v xml:space="preserve">  </v>
          </cell>
          <cell r="AP150" t="str">
            <v xml:space="preserve">  </v>
          </cell>
        </row>
        <row r="151">
          <cell r="B151" t="str">
            <v>EUSWE4 ICPL Curncy</v>
          </cell>
          <cell r="C151" t="str">
            <v>EUSWE4</v>
          </cell>
          <cell r="D151" t="str">
            <v>ICPL</v>
          </cell>
          <cell r="E151" t="str">
            <v>Curncy</v>
          </cell>
          <cell r="F151" t="str">
            <v>OIS</v>
          </cell>
          <cell r="G151" t="str">
            <v>4Y</v>
          </cell>
          <cell r="H151" t="b">
            <v>1</v>
          </cell>
          <cell r="J151" t="str">
            <v xml:space="preserve">  </v>
          </cell>
          <cell r="R151" t="str">
            <v xml:space="preserve">  </v>
          </cell>
          <cell r="Z151" t="str">
            <v xml:space="preserve">  </v>
          </cell>
          <cell r="AH151" t="str">
            <v xml:space="preserve">  </v>
          </cell>
          <cell r="AP151" t="str">
            <v xml:space="preserve">  </v>
          </cell>
        </row>
        <row r="152">
          <cell r="B152" t="str">
            <v>EUSWE5 ICPL Curncy</v>
          </cell>
          <cell r="C152" t="str">
            <v>EUSWE5</v>
          </cell>
          <cell r="D152" t="str">
            <v>ICPL</v>
          </cell>
          <cell r="E152" t="str">
            <v>Curncy</v>
          </cell>
          <cell r="F152" t="str">
            <v>OIS</v>
          </cell>
          <cell r="G152" t="str">
            <v>5Y</v>
          </cell>
          <cell r="H152" t="b">
            <v>1</v>
          </cell>
          <cell r="J152" t="str">
            <v xml:space="preserve">  </v>
          </cell>
          <cell r="R152" t="str">
            <v xml:space="preserve">  </v>
          </cell>
          <cell r="Z152" t="str">
            <v xml:space="preserve">  </v>
          </cell>
          <cell r="AH152" t="str">
            <v xml:space="preserve">  </v>
          </cell>
          <cell r="AP152" t="str">
            <v xml:space="preserve">  </v>
          </cell>
        </row>
        <row r="153">
          <cell r="B153" t="str">
            <v>EUSWE6 ICPL Curncy</v>
          </cell>
          <cell r="C153" t="str">
            <v>EUSWE6</v>
          </cell>
          <cell r="D153" t="str">
            <v>ICPL</v>
          </cell>
          <cell r="E153" t="str">
            <v>Curncy</v>
          </cell>
          <cell r="F153" t="str">
            <v>OIS</v>
          </cell>
          <cell r="G153" t="str">
            <v>6Y</v>
          </cell>
          <cell r="H153" t="b">
            <v>1</v>
          </cell>
          <cell r="J153" t="str">
            <v xml:space="preserve">  </v>
          </cell>
          <cell r="R153" t="str">
            <v xml:space="preserve">  </v>
          </cell>
          <cell r="Z153" t="str">
            <v xml:space="preserve">  </v>
          </cell>
          <cell r="AH153" t="str">
            <v xml:space="preserve">  </v>
          </cell>
          <cell r="AP153" t="str">
            <v xml:space="preserve">  </v>
          </cell>
        </row>
        <row r="154">
          <cell r="B154" t="str">
            <v>EUSWE7 ICPL Curncy</v>
          </cell>
          <cell r="C154" t="str">
            <v>EUSWE7</v>
          </cell>
          <cell r="D154" t="str">
            <v>ICPL</v>
          </cell>
          <cell r="E154" t="str">
            <v>Curncy</v>
          </cell>
          <cell r="F154" t="str">
            <v>OIS</v>
          </cell>
          <cell r="G154" t="str">
            <v>7Y</v>
          </cell>
          <cell r="H154" t="b">
            <v>1</v>
          </cell>
          <cell r="J154" t="str">
            <v xml:space="preserve">  </v>
          </cell>
          <cell r="R154" t="str">
            <v xml:space="preserve">  </v>
          </cell>
          <cell r="Z154" t="str">
            <v xml:space="preserve">  </v>
          </cell>
          <cell r="AH154" t="str">
            <v xml:space="preserve">  </v>
          </cell>
          <cell r="AP154" t="str">
            <v xml:space="preserve">  </v>
          </cell>
        </row>
        <row r="155">
          <cell r="B155" t="str">
            <v>EUSWE8 ICPL Curncy</v>
          </cell>
          <cell r="C155" t="str">
            <v>EUSWE8</v>
          </cell>
          <cell r="D155" t="str">
            <v>ICPL</v>
          </cell>
          <cell r="E155" t="str">
            <v>Curncy</v>
          </cell>
          <cell r="F155" t="str">
            <v>OIS</v>
          </cell>
          <cell r="G155" t="str">
            <v>8Y</v>
          </cell>
          <cell r="H155" t="b">
            <v>1</v>
          </cell>
          <cell r="J155" t="str">
            <v xml:space="preserve">  </v>
          </cell>
          <cell r="R155" t="str">
            <v xml:space="preserve">  </v>
          </cell>
          <cell r="Z155" t="str">
            <v xml:space="preserve">  </v>
          </cell>
          <cell r="AH155" t="str">
            <v xml:space="preserve">  </v>
          </cell>
          <cell r="AP155" t="str">
            <v xml:space="preserve">  </v>
          </cell>
        </row>
        <row r="156">
          <cell r="B156" t="str">
            <v>EUSWE9 ICPL Curncy</v>
          </cell>
          <cell r="C156" t="str">
            <v>EUSWE9</v>
          </cell>
          <cell r="D156" t="str">
            <v>ICPL</v>
          </cell>
          <cell r="E156" t="str">
            <v>Curncy</v>
          </cell>
          <cell r="F156" t="str">
            <v>OIS</v>
          </cell>
          <cell r="G156" t="str">
            <v>9Y</v>
          </cell>
          <cell r="H156" t="b">
            <v>1</v>
          </cell>
          <cell r="J156" t="str">
            <v xml:space="preserve">  </v>
          </cell>
          <cell r="R156" t="str">
            <v xml:space="preserve">  </v>
          </cell>
          <cell r="Z156" t="str">
            <v xml:space="preserve">  </v>
          </cell>
          <cell r="AH156" t="str">
            <v xml:space="preserve">  </v>
          </cell>
          <cell r="AP156" t="str">
            <v xml:space="preserve">  </v>
          </cell>
        </row>
        <row r="157">
          <cell r="B157" t="str">
            <v>EUSWE10 ICPL Curncy</v>
          </cell>
          <cell r="C157" t="str">
            <v>EUSWE10</v>
          </cell>
          <cell r="D157" t="str">
            <v>ICPL</v>
          </cell>
          <cell r="E157" t="str">
            <v>Curncy</v>
          </cell>
          <cell r="F157" t="str">
            <v>OIS</v>
          </cell>
          <cell r="G157" t="str">
            <v>10Y</v>
          </cell>
          <cell r="H157" t="b">
            <v>1</v>
          </cell>
          <cell r="J157" t="str">
            <v xml:space="preserve">  </v>
          </cell>
          <cell r="R157" t="str">
            <v xml:space="preserve">  </v>
          </cell>
          <cell r="Z157" t="str">
            <v xml:space="preserve">  </v>
          </cell>
          <cell r="AH157" t="str">
            <v xml:space="preserve">  </v>
          </cell>
          <cell r="AP157" t="str">
            <v xml:space="preserve">  </v>
          </cell>
        </row>
        <row r="158">
          <cell r="B158" t="str">
            <v>EUSWE11 ICPL Curncy</v>
          </cell>
          <cell r="C158" t="str">
            <v>EUSWE11</v>
          </cell>
          <cell r="D158" t="str">
            <v>ICPL</v>
          </cell>
          <cell r="E158" t="str">
            <v>Curncy</v>
          </cell>
          <cell r="F158" t="str">
            <v>OIS</v>
          </cell>
          <cell r="G158" t="str">
            <v>11Y</v>
          </cell>
          <cell r="H158" t="b">
            <v>1</v>
          </cell>
          <cell r="J158" t="str">
            <v xml:space="preserve">  </v>
          </cell>
          <cell r="R158" t="str">
            <v xml:space="preserve">  </v>
          </cell>
          <cell r="Z158" t="str">
            <v xml:space="preserve">  </v>
          </cell>
          <cell r="AH158" t="str">
            <v xml:space="preserve">  </v>
          </cell>
          <cell r="AP158" t="str">
            <v xml:space="preserve">  </v>
          </cell>
        </row>
        <row r="159">
          <cell r="B159" t="str">
            <v>EUSWE12 ICPL Curncy</v>
          </cell>
          <cell r="C159" t="str">
            <v>EUSWE12</v>
          </cell>
          <cell r="D159" t="str">
            <v>ICPL</v>
          </cell>
          <cell r="E159" t="str">
            <v>Curncy</v>
          </cell>
          <cell r="F159" t="str">
            <v>OIS</v>
          </cell>
          <cell r="G159" t="str">
            <v>12Y</v>
          </cell>
          <cell r="H159" t="b">
            <v>1</v>
          </cell>
          <cell r="J159" t="str">
            <v xml:space="preserve">  </v>
          </cell>
          <cell r="R159" t="str">
            <v xml:space="preserve">  </v>
          </cell>
          <cell r="Z159" t="str">
            <v xml:space="preserve">  </v>
          </cell>
          <cell r="AH159" t="str">
            <v xml:space="preserve">  </v>
          </cell>
          <cell r="AP159" t="str">
            <v xml:space="preserve">  </v>
          </cell>
        </row>
        <row r="160">
          <cell r="B160" t="str">
            <v>EUSWE15 ICPL Curncy</v>
          </cell>
          <cell r="C160" t="str">
            <v>EUSWE15</v>
          </cell>
          <cell r="D160" t="str">
            <v>ICPL</v>
          </cell>
          <cell r="E160" t="str">
            <v>Curncy</v>
          </cell>
          <cell r="F160" t="str">
            <v>OIS</v>
          </cell>
          <cell r="G160" t="str">
            <v>15Y</v>
          </cell>
          <cell r="H160" t="b">
            <v>1</v>
          </cell>
          <cell r="J160" t="str">
            <v xml:space="preserve">  </v>
          </cell>
          <cell r="R160" t="str">
            <v xml:space="preserve">  </v>
          </cell>
          <cell r="Z160" t="str">
            <v xml:space="preserve">  </v>
          </cell>
          <cell r="AH160" t="str">
            <v xml:space="preserve">  </v>
          </cell>
          <cell r="AP160" t="str">
            <v xml:space="preserve">  </v>
          </cell>
        </row>
        <row r="161">
          <cell r="B161" t="str">
            <v>EUSWE20 ICPL Curncy</v>
          </cell>
          <cell r="C161" t="str">
            <v>EUSWE20</v>
          </cell>
          <cell r="D161" t="str">
            <v>ICPL</v>
          </cell>
          <cell r="E161" t="str">
            <v>Curncy</v>
          </cell>
          <cell r="F161" t="str">
            <v>OIS</v>
          </cell>
          <cell r="G161" t="str">
            <v>20Y</v>
          </cell>
          <cell r="H161" t="b">
            <v>1</v>
          </cell>
          <cell r="J161" t="str">
            <v xml:space="preserve">  </v>
          </cell>
          <cell r="R161" t="str">
            <v xml:space="preserve">  </v>
          </cell>
          <cell r="Z161" t="str">
            <v xml:space="preserve">  </v>
          </cell>
          <cell r="AH161" t="str">
            <v xml:space="preserve">  </v>
          </cell>
          <cell r="AP161" t="str">
            <v xml:space="preserve">  </v>
          </cell>
        </row>
        <row r="162">
          <cell r="B162" t="str">
            <v>EUSWE25 ICPL Curncy</v>
          </cell>
          <cell r="C162" t="str">
            <v>EUSWE25</v>
          </cell>
          <cell r="D162" t="str">
            <v>ICPL</v>
          </cell>
          <cell r="E162" t="str">
            <v>Curncy</v>
          </cell>
          <cell r="F162" t="str">
            <v>OIS</v>
          </cell>
          <cell r="G162" t="str">
            <v>25Y</v>
          </cell>
          <cell r="H162" t="b">
            <v>1</v>
          </cell>
          <cell r="J162" t="str">
            <v xml:space="preserve">  </v>
          </cell>
          <cell r="R162" t="str">
            <v xml:space="preserve">  </v>
          </cell>
          <cell r="Z162" t="str">
            <v xml:space="preserve">  </v>
          </cell>
          <cell r="AH162" t="str">
            <v xml:space="preserve">  </v>
          </cell>
          <cell r="AP162" t="str">
            <v xml:space="preserve">  </v>
          </cell>
        </row>
        <row r="163">
          <cell r="B163" t="str">
            <v>EUSWE30 ICPL Curncy</v>
          </cell>
          <cell r="C163" t="str">
            <v>EUSWE30</v>
          </cell>
          <cell r="D163" t="str">
            <v>ICPL</v>
          </cell>
          <cell r="E163" t="str">
            <v>Curncy</v>
          </cell>
          <cell r="F163" t="str">
            <v>OIS</v>
          </cell>
          <cell r="G163" t="str">
            <v>30Y</v>
          </cell>
          <cell r="H163" t="b">
            <v>1</v>
          </cell>
          <cell r="J163" t="str">
            <v xml:space="preserve">  </v>
          </cell>
          <cell r="R163" t="str">
            <v xml:space="preserve">  </v>
          </cell>
          <cell r="Z163" t="str">
            <v xml:space="preserve">  </v>
          </cell>
          <cell r="AH163" t="str">
            <v xml:space="preserve">  </v>
          </cell>
          <cell r="AP163" t="str">
            <v xml:space="preserve">  </v>
          </cell>
        </row>
        <row r="164">
          <cell r="B164" t="str">
            <v>EUSWE35 ICPL Curncy</v>
          </cell>
          <cell r="C164" t="str">
            <v>EUSWE35</v>
          </cell>
          <cell r="D164" t="str">
            <v>ICPL</v>
          </cell>
          <cell r="E164" t="str">
            <v>Curncy</v>
          </cell>
          <cell r="F164" t="str">
            <v>OIS</v>
          </cell>
          <cell r="G164" t="str">
            <v>35Y</v>
          </cell>
          <cell r="H164" t="b">
            <v>1</v>
          </cell>
          <cell r="J164" t="str">
            <v xml:space="preserve">  </v>
          </cell>
          <cell r="R164" t="str">
            <v xml:space="preserve">  </v>
          </cell>
          <cell r="Z164" t="str">
            <v xml:space="preserve">  </v>
          </cell>
          <cell r="AH164" t="str">
            <v xml:space="preserve">  </v>
          </cell>
          <cell r="AP164" t="str">
            <v xml:space="preserve">  </v>
          </cell>
        </row>
        <row r="165">
          <cell r="B165" t="str">
            <v>EUSWE40 ICPL Curncy</v>
          </cell>
          <cell r="C165" t="str">
            <v>EUSWE40</v>
          </cell>
          <cell r="D165" t="str">
            <v>ICPL</v>
          </cell>
          <cell r="E165" t="str">
            <v>Curncy</v>
          </cell>
          <cell r="F165" t="str">
            <v>OIS</v>
          </cell>
          <cell r="G165" t="str">
            <v>40Y</v>
          </cell>
          <cell r="H165" t="b">
            <v>1</v>
          </cell>
          <cell r="J165" t="str">
            <v xml:space="preserve">  </v>
          </cell>
          <cell r="R165" t="str">
            <v xml:space="preserve">  </v>
          </cell>
          <cell r="Z165" t="str">
            <v xml:space="preserve">  </v>
          </cell>
          <cell r="AH165" t="str">
            <v xml:space="preserve">  </v>
          </cell>
          <cell r="AP165" t="str">
            <v xml:space="preserve">  </v>
          </cell>
        </row>
        <row r="166">
          <cell r="B166" t="str">
            <v>EUSWE50 ICPL Curncy</v>
          </cell>
          <cell r="C166" t="str">
            <v>EUSWE50</v>
          </cell>
          <cell r="D166" t="str">
            <v>ICPL</v>
          </cell>
          <cell r="E166" t="str">
            <v>Curncy</v>
          </cell>
          <cell r="F166" t="str">
            <v>OIS</v>
          </cell>
          <cell r="G166" t="str">
            <v>50Y</v>
          </cell>
          <cell r="H166" t="b">
            <v>1</v>
          </cell>
          <cell r="J166" t="str">
            <v xml:space="preserve">  </v>
          </cell>
          <cell r="R166" t="str">
            <v xml:space="preserve">  </v>
          </cell>
          <cell r="Z166" t="str">
            <v xml:space="preserve">  </v>
          </cell>
          <cell r="AH166" t="str">
            <v xml:space="preserve">  </v>
          </cell>
          <cell r="AP166" t="str">
            <v xml:space="preserve">  </v>
          </cell>
        </row>
        <row r="167">
          <cell r="B167" t="str">
            <v>EOBSVC2 ICPL Curncy</v>
          </cell>
          <cell r="C167" t="str">
            <v>EOBSVC2</v>
          </cell>
          <cell r="D167" t="str">
            <v>ICPL</v>
          </cell>
          <cell r="E167" t="str">
            <v>Curncy</v>
          </cell>
          <cell r="F167" t="str">
            <v>LIBOR-OIS BASIS</v>
          </cell>
          <cell r="G167" t="str">
            <v>2Y</v>
          </cell>
          <cell r="H167" t="b">
            <v>1</v>
          </cell>
          <cell r="J167" t="str">
            <v xml:space="preserve">  </v>
          </cell>
          <cell r="R167" t="str">
            <v xml:space="preserve">  </v>
          </cell>
          <cell r="Z167" t="str">
            <v xml:space="preserve">  </v>
          </cell>
          <cell r="AH167" t="str">
            <v xml:space="preserve">  </v>
          </cell>
          <cell r="AP167" t="str">
            <v xml:space="preserve">  </v>
          </cell>
        </row>
        <row r="168">
          <cell r="B168" t="str">
            <v>EOBSVC3 ICPL Curncy</v>
          </cell>
          <cell r="C168" t="str">
            <v>EOBSVC3</v>
          </cell>
          <cell r="D168" t="str">
            <v>ICPL</v>
          </cell>
          <cell r="E168" t="str">
            <v>Curncy</v>
          </cell>
          <cell r="F168" t="str">
            <v>LIBOR-OIS BASIS</v>
          </cell>
          <cell r="G168" t="str">
            <v>3Y</v>
          </cell>
          <cell r="H168" t="b">
            <v>1</v>
          </cell>
          <cell r="J168" t="str">
            <v xml:space="preserve">  </v>
          </cell>
          <cell r="R168" t="str">
            <v xml:space="preserve">  </v>
          </cell>
          <cell r="Z168" t="str">
            <v xml:space="preserve">  </v>
          </cell>
          <cell r="AH168" t="str">
            <v xml:space="preserve">  </v>
          </cell>
          <cell r="AP168" t="str">
            <v xml:space="preserve">  </v>
          </cell>
        </row>
        <row r="169">
          <cell r="B169" t="str">
            <v>EOBSVC4 ICPL Curncy</v>
          </cell>
          <cell r="C169" t="str">
            <v>EOBSVC4</v>
          </cell>
          <cell r="D169" t="str">
            <v>ICPL</v>
          </cell>
          <cell r="E169" t="str">
            <v>Curncy</v>
          </cell>
          <cell r="F169" t="str">
            <v>LIBOR-OIS BASIS</v>
          </cell>
          <cell r="G169" t="str">
            <v>4Y</v>
          </cell>
          <cell r="H169" t="b">
            <v>1</v>
          </cell>
          <cell r="J169" t="str">
            <v xml:space="preserve">  </v>
          </cell>
          <cell r="R169" t="str">
            <v xml:space="preserve">  </v>
          </cell>
          <cell r="Z169" t="str">
            <v xml:space="preserve">  </v>
          </cell>
          <cell r="AH169" t="str">
            <v xml:space="preserve">  </v>
          </cell>
          <cell r="AP169" t="str">
            <v xml:space="preserve">  </v>
          </cell>
        </row>
        <row r="170">
          <cell r="B170" t="str">
            <v>EOBSVC5 ICPL Curncy</v>
          </cell>
          <cell r="C170" t="str">
            <v>EOBSVC5</v>
          </cell>
          <cell r="D170" t="str">
            <v>ICPL</v>
          </cell>
          <cell r="E170" t="str">
            <v>Curncy</v>
          </cell>
          <cell r="F170" t="str">
            <v>LIBOR-OIS BASIS</v>
          </cell>
          <cell r="G170" t="str">
            <v>5Y</v>
          </cell>
          <cell r="H170" t="b">
            <v>1</v>
          </cell>
          <cell r="J170" t="str">
            <v xml:space="preserve">  </v>
          </cell>
          <cell r="R170" t="str">
            <v xml:space="preserve">  </v>
          </cell>
          <cell r="Z170" t="str">
            <v xml:space="preserve">  </v>
          </cell>
          <cell r="AH170" t="str">
            <v xml:space="preserve">  </v>
          </cell>
          <cell r="AP170" t="str">
            <v xml:space="preserve">  </v>
          </cell>
        </row>
        <row r="171">
          <cell r="B171" t="str">
            <v>EOBSVC6 ICPL Curncy</v>
          </cell>
          <cell r="C171" t="str">
            <v>EOBSVC6</v>
          </cell>
          <cell r="D171" t="str">
            <v>ICPL</v>
          </cell>
          <cell r="E171" t="str">
            <v>Curncy</v>
          </cell>
          <cell r="F171" t="str">
            <v>LIBOR-OIS BASIS</v>
          </cell>
          <cell r="G171" t="str">
            <v>6Y</v>
          </cell>
          <cell r="H171" t="b">
            <v>1</v>
          </cell>
          <cell r="J171" t="str">
            <v xml:space="preserve">  </v>
          </cell>
          <cell r="R171" t="str">
            <v xml:space="preserve">  </v>
          </cell>
          <cell r="Z171" t="str">
            <v xml:space="preserve">  </v>
          </cell>
          <cell r="AH171" t="str">
            <v xml:space="preserve">  </v>
          </cell>
          <cell r="AP171" t="str">
            <v xml:space="preserve">  </v>
          </cell>
        </row>
        <row r="172">
          <cell r="B172" t="str">
            <v>EOBSVC7 ICPL Curncy</v>
          </cell>
          <cell r="C172" t="str">
            <v>EOBSVC7</v>
          </cell>
          <cell r="D172" t="str">
            <v>ICPL</v>
          </cell>
          <cell r="E172" t="str">
            <v>Curncy</v>
          </cell>
          <cell r="F172" t="str">
            <v>LIBOR-OIS BASIS</v>
          </cell>
          <cell r="G172" t="str">
            <v>7Y</v>
          </cell>
          <cell r="H172" t="b">
            <v>1</v>
          </cell>
          <cell r="J172" t="str">
            <v xml:space="preserve">  </v>
          </cell>
          <cell r="R172" t="str">
            <v xml:space="preserve">  </v>
          </cell>
          <cell r="Z172" t="str">
            <v xml:space="preserve">  </v>
          </cell>
          <cell r="AH172" t="str">
            <v xml:space="preserve">  </v>
          </cell>
          <cell r="AP172" t="str">
            <v xml:space="preserve">  </v>
          </cell>
        </row>
        <row r="173">
          <cell r="B173" t="str">
            <v>EOBSVC8 ICPL Curncy</v>
          </cell>
          <cell r="C173" t="str">
            <v>EOBSVC8</v>
          </cell>
          <cell r="D173" t="str">
            <v>ICPL</v>
          </cell>
          <cell r="E173" t="str">
            <v>Curncy</v>
          </cell>
          <cell r="F173" t="str">
            <v>LIBOR-OIS BASIS</v>
          </cell>
          <cell r="G173" t="str">
            <v>8Y</v>
          </cell>
          <cell r="H173" t="b">
            <v>1</v>
          </cell>
          <cell r="J173" t="str">
            <v xml:space="preserve">  </v>
          </cell>
          <cell r="R173" t="str">
            <v xml:space="preserve">  </v>
          </cell>
          <cell r="Z173" t="str">
            <v xml:space="preserve">  </v>
          </cell>
          <cell r="AH173" t="str">
            <v xml:space="preserve">  </v>
          </cell>
          <cell r="AP173" t="str">
            <v xml:space="preserve">  </v>
          </cell>
        </row>
        <row r="174">
          <cell r="B174" t="str">
            <v>EOBSVC9 ICPL Curncy</v>
          </cell>
          <cell r="C174" t="str">
            <v>EOBSVC9</v>
          </cell>
          <cell r="D174" t="str">
            <v>ICPL</v>
          </cell>
          <cell r="E174" t="str">
            <v>Curncy</v>
          </cell>
          <cell r="F174" t="str">
            <v>LIBOR-OIS BASIS</v>
          </cell>
          <cell r="G174" t="str">
            <v>9Y</v>
          </cell>
          <cell r="H174" t="b">
            <v>1</v>
          </cell>
          <cell r="J174" t="str">
            <v xml:space="preserve">  </v>
          </cell>
          <cell r="R174" t="str">
            <v xml:space="preserve">  </v>
          </cell>
          <cell r="Z174" t="str">
            <v xml:space="preserve">  </v>
          </cell>
          <cell r="AH174" t="str">
            <v xml:space="preserve">  </v>
          </cell>
          <cell r="AP174" t="str">
            <v xml:space="preserve">  </v>
          </cell>
        </row>
        <row r="175">
          <cell r="B175" t="str">
            <v>EOBSVC10 ICPL Curncy</v>
          </cell>
          <cell r="C175" t="str">
            <v>EOBSVC10</v>
          </cell>
          <cell r="D175" t="str">
            <v>ICPL</v>
          </cell>
          <cell r="E175" t="str">
            <v>Curncy</v>
          </cell>
          <cell r="F175" t="str">
            <v>LIBOR-OIS BASIS</v>
          </cell>
          <cell r="G175" t="str">
            <v>10Y</v>
          </cell>
          <cell r="H175" t="b">
            <v>1</v>
          </cell>
          <cell r="J175" t="str">
            <v xml:space="preserve">  </v>
          </cell>
          <cell r="R175" t="str">
            <v xml:space="preserve">  </v>
          </cell>
          <cell r="Z175" t="str">
            <v xml:space="preserve">  </v>
          </cell>
          <cell r="AH175" t="str">
            <v xml:space="preserve">  </v>
          </cell>
          <cell r="AP175" t="str">
            <v xml:space="preserve">  </v>
          </cell>
        </row>
        <row r="176">
          <cell r="B176" t="str">
            <v>EOBSVC11 ICPL Curncy</v>
          </cell>
          <cell r="C176" t="str">
            <v>EOBSVC11</v>
          </cell>
          <cell r="D176" t="str">
            <v>ICPL</v>
          </cell>
          <cell r="E176" t="str">
            <v>Curncy</v>
          </cell>
          <cell r="F176" t="str">
            <v>LIBOR-OIS BASIS</v>
          </cell>
          <cell r="G176" t="str">
            <v>11Y</v>
          </cell>
          <cell r="H176" t="b">
            <v>1</v>
          </cell>
          <cell r="J176" t="str">
            <v xml:space="preserve">  </v>
          </cell>
          <cell r="R176" t="str">
            <v xml:space="preserve">  </v>
          </cell>
          <cell r="Z176" t="str">
            <v xml:space="preserve">  </v>
          </cell>
          <cell r="AH176" t="str">
            <v xml:space="preserve">  </v>
          </cell>
          <cell r="AP176" t="str">
            <v xml:space="preserve">  </v>
          </cell>
        </row>
        <row r="177">
          <cell r="B177" t="str">
            <v>EOBSVC12 ICPL Curncy</v>
          </cell>
          <cell r="C177" t="str">
            <v>EOBSVC12</v>
          </cell>
          <cell r="D177" t="str">
            <v>ICPL</v>
          </cell>
          <cell r="E177" t="str">
            <v>Curncy</v>
          </cell>
          <cell r="F177" t="str">
            <v>LIBOR-OIS BASIS</v>
          </cell>
          <cell r="G177" t="str">
            <v>12Y</v>
          </cell>
          <cell r="H177" t="b">
            <v>1</v>
          </cell>
          <cell r="J177" t="str">
            <v xml:space="preserve">  </v>
          </cell>
          <cell r="R177" t="str">
            <v xml:space="preserve">  </v>
          </cell>
          <cell r="Z177" t="str">
            <v xml:space="preserve">  </v>
          </cell>
          <cell r="AH177" t="str">
            <v xml:space="preserve">  </v>
          </cell>
          <cell r="AP177" t="str">
            <v xml:space="preserve">  </v>
          </cell>
        </row>
        <row r="178">
          <cell r="B178" t="str">
            <v>EOBSVC15 ICPL Curncy</v>
          </cell>
          <cell r="C178" t="str">
            <v>EOBSVC15</v>
          </cell>
          <cell r="D178" t="str">
            <v>ICPL</v>
          </cell>
          <cell r="E178" t="str">
            <v>Curncy</v>
          </cell>
          <cell r="F178" t="str">
            <v>LIBOR-OIS BASIS</v>
          </cell>
          <cell r="G178" t="str">
            <v>15Y</v>
          </cell>
          <cell r="H178" t="b">
            <v>1</v>
          </cell>
          <cell r="J178" t="str">
            <v xml:space="preserve">  </v>
          </cell>
          <cell r="R178" t="str">
            <v xml:space="preserve">  </v>
          </cell>
          <cell r="Z178" t="str">
            <v xml:space="preserve">  </v>
          </cell>
          <cell r="AH178" t="str">
            <v xml:space="preserve">  </v>
          </cell>
          <cell r="AP178" t="str">
            <v xml:space="preserve">  </v>
          </cell>
        </row>
        <row r="179">
          <cell r="B179" t="str">
            <v>EOBSVC20 ICPL Curncy</v>
          </cell>
          <cell r="C179" t="str">
            <v>EOBSVC20</v>
          </cell>
          <cell r="D179" t="str">
            <v>ICPL</v>
          </cell>
          <cell r="E179" t="str">
            <v>Curncy</v>
          </cell>
          <cell r="F179" t="str">
            <v>LIBOR-OIS BASIS</v>
          </cell>
          <cell r="G179" t="str">
            <v>20Y</v>
          </cell>
          <cell r="H179" t="b">
            <v>1</v>
          </cell>
          <cell r="J179" t="str">
            <v xml:space="preserve">  </v>
          </cell>
          <cell r="R179" t="str">
            <v xml:space="preserve">  </v>
          </cell>
          <cell r="Z179" t="str">
            <v xml:space="preserve">  </v>
          </cell>
          <cell r="AH179" t="str">
            <v xml:space="preserve">  </v>
          </cell>
          <cell r="AP179" t="str">
            <v xml:space="preserve">  </v>
          </cell>
        </row>
        <row r="180">
          <cell r="B180" t="str">
            <v>EOBSVC25 ICPL Curncy</v>
          </cell>
          <cell r="C180" t="str">
            <v>EOBSVC25</v>
          </cell>
          <cell r="D180" t="str">
            <v>ICPL</v>
          </cell>
          <cell r="E180" t="str">
            <v>Curncy</v>
          </cell>
          <cell r="F180" t="str">
            <v>LIBOR-OIS BASIS</v>
          </cell>
          <cell r="G180" t="str">
            <v>25Y</v>
          </cell>
          <cell r="H180" t="b">
            <v>1</v>
          </cell>
          <cell r="J180" t="str">
            <v xml:space="preserve">  </v>
          </cell>
          <cell r="R180" t="str">
            <v xml:space="preserve">  </v>
          </cell>
          <cell r="Z180" t="str">
            <v xml:space="preserve">  </v>
          </cell>
          <cell r="AH180" t="str">
            <v xml:space="preserve">  </v>
          </cell>
          <cell r="AP180" t="str">
            <v xml:space="preserve">  </v>
          </cell>
        </row>
        <row r="181">
          <cell r="B181" t="str">
            <v>EOBSVC30 ICPL Curncy</v>
          </cell>
          <cell r="C181" t="str">
            <v>EOBSVC30</v>
          </cell>
          <cell r="D181" t="str">
            <v>ICPL</v>
          </cell>
          <cell r="E181" t="str">
            <v>Curncy</v>
          </cell>
          <cell r="F181" t="str">
            <v>LIBOR-OIS BASIS</v>
          </cell>
          <cell r="G181" t="str">
            <v>30Y</v>
          </cell>
          <cell r="H181" t="b">
            <v>1</v>
          </cell>
          <cell r="J181" t="str">
            <v xml:space="preserve">  </v>
          </cell>
          <cell r="R181" t="str">
            <v xml:space="preserve">  </v>
          </cell>
          <cell r="Z181" t="str">
            <v xml:space="preserve">  </v>
          </cell>
          <cell r="AH181" t="str">
            <v xml:space="preserve">  </v>
          </cell>
          <cell r="AP181" t="str">
            <v xml:space="preserve">  </v>
          </cell>
        </row>
        <row r="182">
          <cell r="B182" t="str">
            <v>EOBSVC40 ICPL Curncy</v>
          </cell>
          <cell r="C182" t="str">
            <v>EOBSVC40</v>
          </cell>
          <cell r="D182" t="str">
            <v>ICPL</v>
          </cell>
          <cell r="E182" t="str">
            <v>Curncy</v>
          </cell>
          <cell r="F182" t="str">
            <v>LIBOR-OIS BASIS</v>
          </cell>
          <cell r="G182" t="str">
            <v>40Y</v>
          </cell>
          <cell r="H182" t="b">
            <v>1</v>
          </cell>
          <cell r="J182" t="str">
            <v xml:space="preserve">  </v>
          </cell>
          <cell r="R182" t="str">
            <v xml:space="preserve">  </v>
          </cell>
          <cell r="Z182" t="str">
            <v xml:space="preserve">  </v>
          </cell>
          <cell r="AH182" t="str">
            <v xml:space="preserve">  </v>
          </cell>
          <cell r="AP182" t="str">
            <v xml:space="preserve">  </v>
          </cell>
        </row>
        <row r="183">
          <cell r="B183" t="str">
            <v>EOBSVC50 ICPL Curncy</v>
          </cell>
          <cell r="C183" t="str">
            <v>EOBSVC50</v>
          </cell>
          <cell r="D183" t="str">
            <v>ICPL</v>
          </cell>
          <cell r="E183" t="str">
            <v>Curncy</v>
          </cell>
          <cell r="F183" t="str">
            <v>LIBOR-OIS BASIS</v>
          </cell>
          <cell r="G183" t="str">
            <v>50Y</v>
          </cell>
          <cell r="H183" t="b">
            <v>1</v>
          </cell>
          <cell r="J183" t="str">
            <v xml:space="preserve">  </v>
          </cell>
          <cell r="R183" t="str">
            <v xml:space="preserve">  </v>
          </cell>
          <cell r="Z183" t="str">
            <v xml:space="preserve">  </v>
          </cell>
          <cell r="AH183" t="str">
            <v xml:space="preserve">  </v>
          </cell>
          <cell r="AP183" t="str">
            <v xml:space="preserve">  </v>
          </cell>
        </row>
        <row r="184">
          <cell r="B184" t="str">
            <v>EUSW2V3 MHIS Curncy</v>
          </cell>
          <cell r="C184" t="str">
            <v>EUSW2V3</v>
          </cell>
          <cell r="D184" t="str">
            <v>MHIS</v>
          </cell>
          <cell r="E184" t="str">
            <v>Curncy</v>
          </cell>
          <cell r="F184" t="str">
            <v>SWAP</v>
          </cell>
          <cell r="G184" t="str">
            <v>2Y</v>
          </cell>
          <cell r="H184" t="b">
            <v>1</v>
          </cell>
          <cell r="J184" t="str">
            <v xml:space="preserve">  </v>
          </cell>
          <cell r="R184" t="str">
            <v xml:space="preserve">  </v>
          </cell>
          <cell r="Z184" t="str">
            <v xml:space="preserve">  </v>
          </cell>
          <cell r="AH184" t="str">
            <v xml:space="preserve">  </v>
          </cell>
          <cell r="AP184" t="str">
            <v xml:space="preserve">  </v>
          </cell>
        </row>
        <row r="185">
          <cell r="B185" t="str">
            <v>EUSW3V3 MHIS Curncy</v>
          </cell>
          <cell r="C185" t="str">
            <v>EUSW3V3</v>
          </cell>
          <cell r="D185" t="str">
            <v>MHIS</v>
          </cell>
          <cell r="E185" t="str">
            <v>Curncy</v>
          </cell>
          <cell r="F185" t="str">
            <v>SWAP</v>
          </cell>
          <cell r="G185" t="str">
            <v>3Y</v>
          </cell>
          <cell r="H185" t="b">
            <v>1</v>
          </cell>
          <cell r="J185" t="str">
            <v xml:space="preserve">  </v>
          </cell>
          <cell r="R185" t="str">
            <v xml:space="preserve">  </v>
          </cell>
          <cell r="Z185" t="str">
            <v xml:space="preserve">  </v>
          </cell>
          <cell r="AH185" t="str">
            <v xml:space="preserve">  </v>
          </cell>
          <cell r="AP185" t="str">
            <v xml:space="preserve">  </v>
          </cell>
        </row>
        <row r="186">
          <cell r="B186" t="str">
            <v>EUSW4V3 MHIS Curncy</v>
          </cell>
          <cell r="C186" t="str">
            <v>EUSW4V3</v>
          </cell>
          <cell r="D186" t="str">
            <v>MHIS</v>
          </cell>
          <cell r="E186" t="str">
            <v>Curncy</v>
          </cell>
          <cell r="F186" t="str">
            <v>SWAP</v>
          </cell>
          <cell r="G186" t="str">
            <v>4Y</v>
          </cell>
          <cell r="H186" t="b">
            <v>1</v>
          </cell>
          <cell r="J186" t="str">
            <v xml:space="preserve">  </v>
          </cell>
          <cell r="R186" t="str">
            <v xml:space="preserve">  </v>
          </cell>
          <cell r="Z186" t="str">
            <v xml:space="preserve">  </v>
          </cell>
          <cell r="AH186" t="str">
            <v xml:space="preserve">  </v>
          </cell>
          <cell r="AP186" t="str">
            <v xml:space="preserve">  </v>
          </cell>
        </row>
        <row r="187">
          <cell r="B187" t="str">
            <v>EUSW5V3 MHIS Curncy</v>
          </cell>
          <cell r="C187" t="str">
            <v>EUSW5V3</v>
          </cell>
          <cell r="D187" t="str">
            <v>MHIS</v>
          </cell>
          <cell r="E187" t="str">
            <v>Curncy</v>
          </cell>
          <cell r="F187" t="str">
            <v>SWAP</v>
          </cell>
          <cell r="G187" t="str">
            <v>5Y</v>
          </cell>
          <cell r="H187" t="b">
            <v>1</v>
          </cell>
          <cell r="J187" t="str">
            <v xml:space="preserve">  </v>
          </cell>
          <cell r="R187" t="str">
            <v xml:space="preserve">  </v>
          </cell>
          <cell r="Z187" t="str">
            <v xml:space="preserve">  </v>
          </cell>
          <cell r="AH187" t="str">
            <v xml:space="preserve">  </v>
          </cell>
          <cell r="AP187" t="str">
            <v xml:space="preserve">  </v>
          </cell>
        </row>
        <row r="188">
          <cell r="B188" t="str">
            <v>EUSW6V3 MHIS Curncy</v>
          </cell>
          <cell r="C188" t="str">
            <v>EUSW6V3</v>
          </cell>
          <cell r="D188" t="str">
            <v>MHIS</v>
          </cell>
          <cell r="E188" t="str">
            <v>Curncy</v>
          </cell>
          <cell r="F188" t="str">
            <v>SWAP</v>
          </cell>
          <cell r="G188" t="str">
            <v>6Y</v>
          </cell>
          <cell r="H188" t="b">
            <v>1</v>
          </cell>
          <cell r="J188" t="str">
            <v xml:space="preserve">  </v>
          </cell>
          <cell r="R188" t="str">
            <v xml:space="preserve">  </v>
          </cell>
          <cell r="Z188" t="str">
            <v xml:space="preserve">  </v>
          </cell>
          <cell r="AH188" t="str">
            <v xml:space="preserve">  </v>
          </cell>
          <cell r="AP188" t="str">
            <v xml:space="preserve">  </v>
          </cell>
        </row>
        <row r="189">
          <cell r="B189" t="str">
            <v>EUSW7V3 MHIS Curncy</v>
          </cell>
          <cell r="C189" t="str">
            <v>EUSW7V3</v>
          </cell>
          <cell r="D189" t="str">
            <v>MHIS</v>
          </cell>
          <cell r="E189" t="str">
            <v>Curncy</v>
          </cell>
          <cell r="F189" t="str">
            <v>SWAP</v>
          </cell>
          <cell r="G189" t="str">
            <v>7Y</v>
          </cell>
          <cell r="H189" t="b">
            <v>1</v>
          </cell>
          <cell r="J189" t="str">
            <v xml:space="preserve">  </v>
          </cell>
          <cell r="R189" t="str">
            <v xml:space="preserve">  </v>
          </cell>
          <cell r="Z189" t="str">
            <v xml:space="preserve">  </v>
          </cell>
          <cell r="AH189" t="str">
            <v xml:space="preserve">  </v>
          </cell>
          <cell r="AP189" t="str">
            <v xml:space="preserve">  </v>
          </cell>
        </row>
        <row r="190">
          <cell r="B190" t="str">
            <v>EUSW8V3 MHIS Curncy</v>
          </cell>
          <cell r="C190" t="str">
            <v>EUSW8V3</v>
          </cell>
          <cell r="D190" t="str">
            <v>MHIS</v>
          </cell>
          <cell r="E190" t="str">
            <v>Curncy</v>
          </cell>
          <cell r="F190" t="str">
            <v>SWAP</v>
          </cell>
          <cell r="G190" t="str">
            <v>8Y</v>
          </cell>
          <cell r="H190" t="b">
            <v>1</v>
          </cell>
          <cell r="J190" t="str">
            <v xml:space="preserve">  </v>
          </cell>
          <cell r="R190" t="str">
            <v xml:space="preserve">  </v>
          </cell>
          <cell r="Z190" t="str">
            <v xml:space="preserve">  </v>
          </cell>
          <cell r="AH190" t="str">
            <v xml:space="preserve">  </v>
          </cell>
          <cell r="AP190" t="str">
            <v xml:space="preserve">  </v>
          </cell>
        </row>
        <row r="191">
          <cell r="B191" t="str">
            <v>EUSW9V3 MHIS Curncy</v>
          </cell>
          <cell r="C191" t="str">
            <v>EUSW9V3</v>
          </cell>
          <cell r="D191" t="str">
            <v>MHIS</v>
          </cell>
          <cell r="E191" t="str">
            <v>Curncy</v>
          </cell>
          <cell r="F191" t="str">
            <v>SWAP</v>
          </cell>
          <cell r="G191" t="str">
            <v>9Y</v>
          </cell>
          <cell r="H191" t="b">
            <v>1</v>
          </cell>
          <cell r="J191" t="str">
            <v xml:space="preserve">  </v>
          </cell>
          <cell r="R191" t="str">
            <v xml:space="preserve">  </v>
          </cell>
          <cell r="Z191" t="str">
            <v xml:space="preserve">  </v>
          </cell>
          <cell r="AH191" t="str">
            <v xml:space="preserve">  </v>
          </cell>
          <cell r="AP191" t="str">
            <v xml:space="preserve">  </v>
          </cell>
        </row>
        <row r="192">
          <cell r="B192" t="str">
            <v>EUSW10V3 MHIS Curncy</v>
          </cell>
          <cell r="C192" t="str">
            <v>EUSW10V3</v>
          </cell>
          <cell r="D192" t="str">
            <v>MHIS</v>
          </cell>
          <cell r="E192" t="str">
            <v>Curncy</v>
          </cell>
          <cell r="F192" t="str">
            <v>SWAP</v>
          </cell>
          <cell r="G192" t="str">
            <v>10Y</v>
          </cell>
          <cell r="H192" t="b">
            <v>1</v>
          </cell>
          <cell r="J192" t="str">
            <v xml:space="preserve">  </v>
          </cell>
          <cell r="R192" t="str">
            <v xml:space="preserve">  </v>
          </cell>
          <cell r="Z192" t="str">
            <v xml:space="preserve">  </v>
          </cell>
          <cell r="AH192" t="str">
            <v xml:space="preserve">  </v>
          </cell>
          <cell r="AP192" t="str">
            <v xml:space="preserve">  </v>
          </cell>
        </row>
        <row r="193">
          <cell r="B193" t="str">
            <v>EUSW11V3 MHIS Curncy</v>
          </cell>
          <cell r="C193" t="str">
            <v>EUSW11V3</v>
          </cell>
          <cell r="D193" t="str">
            <v>MHIS</v>
          </cell>
          <cell r="E193" t="str">
            <v>Curncy</v>
          </cell>
          <cell r="F193" t="str">
            <v>SWAP</v>
          </cell>
          <cell r="G193" t="str">
            <v>11Y</v>
          </cell>
          <cell r="H193" t="b">
            <v>1</v>
          </cell>
          <cell r="J193" t="str">
            <v xml:space="preserve">  </v>
          </cell>
          <cell r="R193" t="str">
            <v xml:space="preserve">  </v>
          </cell>
          <cell r="Z193" t="str">
            <v xml:space="preserve">  </v>
          </cell>
          <cell r="AH193" t="str">
            <v xml:space="preserve">  </v>
          </cell>
          <cell r="AP193" t="str">
            <v xml:space="preserve">  </v>
          </cell>
        </row>
        <row r="194">
          <cell r="B194" t="str">
            <v>EUSW12V3 MHIS Curncy</v>
          </cell>
          <cell r="C194" t="str">
            <v>EUSW12V3</v>
          </cell>
          <cell r="D194" t="str">
            <v>MHIS</v>
          </cell>
          <cell r="E194" t="str">
            <v>Curncy</v>
          </cell>
          <cell r="F194" t="str">
            <v>SWAP</v>
          </cell>
          <cell r="G194" t="str">
            <v>12Y</v>
          </cell>
          <cell r="H194" t="b">
            <v>1</v>
          </cell>
          <cell r="J194" t="str">
            <v xml:space="preserve">  </v>
          </cell>
          <cell r="R194" t="str">
            <v xml:space="preserve">  </v>
          </cell>
          <cell r="Z194" t="str">
            <v xml:space="preserve">  </v>
          </cell>
          <cell r="AH194" t="str">
            <v xml:space="preserve">  </v>
          </cell>
          <cell r="AP194" t="str">
            <v xml:space="preserve">  </v>
          </cell>
        </row>
        <row r="195">
          <cell r="B195" t="str">
            <v>EUSW15V3 MHIS Curncy</v>
          </cell>
          <cell r="C195" t="str">
            <v>EUSW15V3</v>
          </cell>
          <cell r="D195" t="str">
            <v>MHIS</v>
          </cell>
          <cell r="E195" t="str">
            <v>Curncy</v>
          </cell>
          <cell r="F195" t="str">
            <v>SWAP</v>
          </cell>
          <cell r="G195" t="str">
            <v>15Y</v>
          </cell>
          <cell r="H195" t="b">
            <v>1</v>
          </cell>
          <cell r="J195" t="str">
            <v xml:space="preserve">  </v>
          </cell>
          <cell r="R195" t="str">
            <v xml:space="preserve">  </v>
          </cell>
          <cell r="Z195" t="str">
            <v xml:space="preserve">  </v>
          </cell>
          <cell r="AH195" t="str">
            <v xml:space="preserve">  </v>
          </cell>
          <cell r="AP195" t="str">
            <v xml:space="preserve">  </v>
          </cell>
        </row>
        <row r="196">
          <cell r="B196" t="str">
            <v>EUSW20V3 MHIS Curncy</v>
          </cell>
          <cell r="C196" t="str">
            <v>EUSW20V3</v>
          </cell>
          <cell r="D196" t="str">
            <v>MHIS</v>
          </cell>
          <cell r="E196" t="str">
            <v>Curncy</v>
          </cell>
          <cell r="F196" t="str">
            <v>SWAP</v>
          </cell>
          <cell r="G196" t="str">
            <v>20Y</v>
          </cell>
          <cell r="H196" t="b">
            <v>1</v>
          </cell>
          <cell r="J196" t="str">
            <v xml:space="preserve">  </v>
          </cell>
          <cell r="R196" t="str">
            <v xml:space="preserve">  </v>
          </cell>
          <cell r="Z196" t="str">
            <v xml:space="preserve">  </v>
          </cell>
          <cell r="AH196" t="str">
            <v xml:space="preserve">  </v>
          </cell>
          <cell r="AP196" t="str">
            <v xml:space="preserve">  </v>
          </cell>
        </row>
        <row r="197">
          <cell r="B197" t="str">
            <v>EUSW25V3 MHIS Curncy</v>
          </cell>
          <cell r="C197" t="str">
            <v>EUSW25V3</v>
          </cell>
          <cell r="D197" t="str">
            <v>MHIS</v>
          </cell>
          <cell r="E197" t="str">
            <v>Curncy</v>
          </cell>
          <cell r="F197" t="str">
            <v>SWAP</v>
          </cell>
          <cell r="G197" t="str">
            <v>25Y</v>
          </cell>
          <cell r="H197" t="b">
            <v>1</v>
          </cell>
          <cell r="J197" t="str">
            <v xml:space="preserve">  </v>
          </cell>
          <cell r="R197" t="str">
            <v xml:space="preserve">  </v>
          </cell>
          <cell r="Z197" t="str">
            <v xml:space="preserve">  </v>
          </cell>
          <cell r="AH197" t="str">
            <v xml:space="preserve">  </v>
          </cell>
          <cell r="AP197" t="str">
            <v xml:space="preserve">  </v>
          </cell>
        </row>
        <row r="198">
          <cell r="B198" t="str">
            <v>EUSW30V3 MHIS Curncy</v>
          </cell>
          <cell r="C198" t="str">
            <v>EUSW30V3</v>
          </cell>
          <cell r="D198" t="str">
            <v>MHIS</v>
          </cell>
          <cell r="E198" t="str">
            <v>Curncy</v>
          </cell>
          <cell r="F198" t="str">
            <v>SWAP</v>
          </cell>
          <cell r="G198" t="str">
            <v>30Y</v>
          </cell>
          <cell r="H198" t="b">
            <v>1</v>
          </cell>
          <cell r="J198" t="str">
            <v xml:space="preserve">  </v>
          </cell>
          <cell r="R198" t="str">
            <v xml:space="preserve">  </v>
          </cell>
          <cell r="Z198" t="str">
            <v xml:space="preserve">  </v>
          </cell>
          <cell r="AH198" t="str">
            <v xml:space="preserve">  </v>
          </cell>
          <cell r="AP198" t="str">
            <v xml:space="preserve">  </v>
          </cell>
        </row>
        <row r="199">
          <cell r="B199" t="str">
            <v>EUSW40V3 MHIS Curncy</v>
          </cell>
          <cell r="C199" t="str">
            <v>EUSW40V3</v>
          </cell>
          <cell r="D199" t="str">
            <v>MHIS</v>
          </cell>
          <cell r="E199" t="str">
            <v>Curncy</v>
          </cell>
          <cell r="F199" t="str">
            <v>SWAP</v>
          </cell>
          <cell r="G199" t="str">
            <v>40Y</v>
          </cell>
          <cell r="H199" t="b">
            <v>1</v>
          </cell>
          <cell r="J199" t="str">
            <v xml:space="preserve">  </v>
          </cell>
          <cell r="R199" t="str">
            <v xml:space="preserve">  </v>
          </cell>
          <cell r="Z199" t="str">
            <v xml:space="preserve">  </v>
          </cell>
          <cell r="AH199" t="str">
            <v xml:space="preserve">  </v>
          </cell>
          <cell r="AP199" t="str">
            <v xml:space="preserve">  </v>
          </cell>
        </row>
        <row r="200">
          <cell r="B200" t="str">
            <v>EUSW50V3 MHIS Curncy</v>
          </cell>
          <cell r="C200" t="str">
            <v>EUSW50V3</v>
          </cell>
          <cell r="D200" t="str">
            <v>MHIS</v>
          </cell>
          <cell r="E200" t="str">
            <v>Curncy</v>
          </cell>
          <cell r="F200" t="str">
            <v>SWAP</v>
          </cell>
          <cell r="G200" t="str">
            <v>50Y</v>
          </cell>
          <cell r="H200" t="b">
            <v>1</v>
          </cell>
          <cell r="J200" t="str">
            <v xml:space="preserve">  </v>
          </cell>
          <cell r="R200" t="str">
            <v xml:space="preserve">  </v>
          </cell>
          <cell r="Z200" t="str">
            <v xml:space="preserve">  </v>
          </cell>
          <cell r="AH200" t="str">
            <v xml:space="preserve">  </v>
          </cell>
          <cell r="AP200" t="str">
            <v xml:space="preserve">  </v>
          </cell>
        </row>
        <row r="201">
          <cell r="B201" t="str">
            <v xml:space="preserve">  </v>
          </cell>
          <cell r="J201" t="str">
            <v xml:space="preserve">  </v>
          </cell>
          <cell r="R201" t="str">
            <v xml:space="preserve">  </v>
          </cell>
          <cell r="Z201" t="str">
            <v xml:space="preserve">  </v>
          </cell>
          <cell r="AH201" t="str">
            <v xml:space="preserve">  </v>
          </cell>
          <cell r="AP201" t="str">
            <v xml:space="preserve">  </v>
          </cell>
        </row>
        <row r="202">
          <cell r="B202" t="str">
            <v xml:space="preserve">  </v>
          </cell>
          <cell r="J202" t="str">
            <v xml:space="preserve">  </v>
          </cell>
          <cell r="R202" t="str">
            <v xml:space="preserve">  </v>
          </cell>
          <cell r="Z202" t="str">
            <v xml:space="preserve">  </v>
          </cell>
          <cell r="AH202" t="str">
            <v xml:space="preserve">  </v>
          </cell>
          <cell r="AP202" t="str">
            <v xml:space="preserve">  </v>
          </cell>
        </row>
        <row r="203">
          <cell r="B203" t="str">
            <v xml:space="preserve">  </v>
          </cell>
          <cell r="J203" t="str">
            <v xml:space="preserve">  </v>
          </cell>
          <cell r="R203" t="str">
            <v xml:space="preserve">  </v>
          </cell>
          <cell r="Z203" t="str">
            <v xml:space="preserve">  </v>
          </cell>
          <cell r="AH203" t="str">
            <v xml:space="preserve">  </v>
          </cell>
          <cell r="AP203" t="str">
            <v xml:space="preserve">  </v>
          </cell>
        </row>
        <row r="204">
          <cell r="B204" t="str">
            <v xml:space="preserve">  </v>
          </cell>
          <cell r="J204" t="str">
            <v xml:space="preserve">  </v>
          </cell>
          <cell r="R204" t="str">
            <v xml:space="preserve">  </v>
          </cell>
          <cell r="Z204" t="str">
            <v xml:space="preserve">  </v>
          </cell>
          <cell r="AH204" t="str">
            <v xml:space="preserve">  </v>
          </cell>
          <cell r="AP204" t="str">
            <v xml:space="preserve">  </v>
          </cell>
        </row>
        <row r="205">
          <cell r="B205" t="str">
            <v xml:space="preserve">  </v>
          </cell>
          <cell r="J205" t="str">
            <v xml:space="preserve">  </v>
          </cell>
          <cell r="R205" t="str">
            <v xml:space="preserve">  </v>
          </cell>
          <cell r="Z205" t="str">
            <v xml:space="preserve">  </v>
          </cell>
          <cell r="AH205" t="str">
            <v xml:space="preserve">  </v>
          </cell>
          <cell r="AP205" t="str">
            <v xml:space="preserve">  </v>
          </cell>
        </row>
        <row r="206">
          <cell r="B206" t="str">
            <v xml:space="preserve">  </v>
          </cell>
          <cell r="J206" t="str">
            <v xml:space="preserve">  </v>
          </cell>
          <cell r="R206" t="str">
            <v xml:space="preserve">  </v>
          </cell>
          <cell r="Z206" t="str">
            <v xml:space="preserve">  </v>
          </cell>
          <cell r="AH206" t="str">
            <v xml:space="preserve">  </v>
          </cell>
          <cell r="AP206" t="str">
            <v xml:space="preserve">  </v>
          </cell>
        </row>
        <row r="207">
          <cell r="B207" t="str">
            <v xml:space="preserve">  </v>
          </cell>
          <cell r="J207" t="str">
            <v xml:space="preserve">  </v>
          </cell>
          <cell r="R207" t="str">
            <v xml:space="preserve">  </v>
          </cell>
          <cell r="Z207" t="str">
            <v xml:space="preserve">  </v>
          </cell>
          <cell r="AH207" t="str">
            <v xml:space="preserve">  </v>
          </cell>
          <cell r="AP207" t="str">
            <v xml:space="preserve">  </v>
          </cell>
        </row>
        <row r="208">
          <cell r="B208" t="str">
            <v xml:space="preserve">  </v>
          </cell>
          <cell r="J208" t="str">
            <v xml:space="preserve">  </v>
          </cell>
          <cell r="R208" t="str">
            <v xml:space="preserve">  </v>
          </cell>
          <cell r="Z208" t="str">
            <v xml:space="preserve">  </v>
          </cell>
          <cell r="AH208" t="str">
            <v xml:space="preserve">  </v>
          </cell>
          <cell r="AP208" t="str">
            <v xml:space="preserve">  </v>
          </cell>
        </row>
        <row r="209">
          <cell r="B209" t="str">
            <v xml:space="preserve">  </v>
          </cell>
          <cell r="J209" t="str">
            <v xml:space="preserve">  </v>
          </cell>
          <cell r="R209" t="str">
            <v xml:space="preserve">  </v>
          </cell>
          <cell r="Z209" t="str">
            <v xml:space="preserve">  </v>
          </cell>
          <cell r="AH209" t="str">
            <v xml:space="preserve">  </v>
          </cell>
          <cell r="AP209" t="str">
            <v xml:space="preserve">  </v>
          </cell>
        </row>
        <row r="210">
          <cell r="B210" t="str">
            <v xml:space="preserve">  </v>
          </cell>
          <cell r="J210" t="str">
            <v xml:space="preserve">  </v>
          </cell>
          <cell r="R210" t="str">
            <v xml:space="preserve">  </v>
          </cell>
          <cell r="Z210" t="str">
            <v xml:space="preserve">  </v>
          </cell>
          <cell r="AH210" t="str">
            <v xml:space="preserve">  </v>
          </cell>
          <cell r="AP210" t="str">
            <v xml:space="preserve">  </v>
          </cell>
        </row>
        <row r="211">
          <cell r="B211" t="str">
            <v xml:space="preserve">  </v>
          </cell>
          <cell r="J211" t="str">
            <v xml:space="preserve">  </v>
          </cell>
          <cell r="R211" t="str">
            <v xml:space="preserve">  </v>
          </cell>
          <cell r="Z211" t="str">
            <v xml:space="preserve">  </v>
          </cell>
          <cell r="AH211" t="str">
            <v xml:space="preserve">  </v>
          </cell>
          <cell r="AP211" t="str">
            <v xml:space="preserve">  </v>
          </cell>
        </row>
        <row r="212">
          <cell r="B212" t="str">
            <v xml:space="preserve">  </v>
          </cell>
          <cell r="J212" t="str">
            <v xml:space="preserve">  </v>
          </cell>
          <cell r="R212" t="str">
            <v xml:space="preserve">  </v>
          </cell>
          <cell r="Z212" t="str">
            <v xml:space="preserve">  </v>
          </cell>
          <cell r="AH212" t="str">
            <v xml:space="preserve">  </v>
          </cell>
          <cell r="AP212" t="str">
            <v xml:space="preserve">  </v>
          </cell>
        </row>
        <row r="213">
          <cell r="B213" t="str">
            <v xml:space="preserve">  </v>
          </cell>
          <cell r="J213" t="str">
            <v xml:space="preserve">  </v>
          </cell>
          <cell r="R213" t="str">
            <v xml:space="preserve">  </v>
          </cell>
          <cell r="Z213" t="str">
            <v xml:space="preserve">  </v>
          </cell>
          <cell r="AH213" t="str">
            <v xml:space="preserve">  </v>
          </cell>
          <cell r="AP213" t="str">
            <v xml:space="preserve">  </v>
          </cell>
        </row>
        <row r="214">
          <cell r="B214" t="str">
            <v xml:space="preserve">  </v>
          </cell>
          <cell r="J214" t="str">
            <v xml:space="preserve">  </v>
          </cell>
          <cell r="R214" t="str">
            <v xml:space="preserve">  </v>
          </cell>
          <cell r="Z214" t="str">
            <v xml:space="preserve">  </v>
          </cell>
          <cell r="AH214" t="str">
            <v xml:space="preserve">  </v>
          </cell>
          <cell r="AP214" t="str">
            <v xml:space="preserve">  </v>
          </cell>
        </row>
        <row r="215">
          <cell r="B215" t="str">
            <v xml:space="preserve">  </v>
          </cell>
          <cell r="J215" t="str">
            <v xml:space="preserve">  </v>
          </cell>
          <cell r="R215" t="str">
            <v xml:space="preserve">  </v>
          </cell>
          <cell r="Z215" t="str">
            <v xml:space="preserve">  </v>
          </cell>
          <cell r="AH215" t="str">
            <v xml:space="preserve">  </v>
          </cell>
          <cell r="AP215" t="str">
            <v xml:space="preserve">  </v>
          </cell>
        </row>
        <row r="216">
          <cell r="B216" t="str">
            <v xml:space="preserve">  </v>
          </cell>
          <cell r="J216" t="str">
            <v xml:space="preserve">  </v>
          </cell>
          <cell r="R216" t="str">
            <v xml:space="preserve">  </v>
          </cell>
          <cell r="Z216" t="str">
            <v xml:space="preserve">  </v>
          </cell>
          <cell r="AH216" t="str">
            <v xml:space="preserve">  </v>
          </cell>
          <cell r="AP216" t="str">
            <v xml:space="preserve">  </v>
          </cell>
        </row>
        <row r="217">
          <cell r="B217" t="str">
            <v xml:space="preserve">  </v>
          </cell>
          <cell r="J217" t="str">
            <v xml:space="preserve">  </v>
          </cell>
          <cell r="R217" t="str">
            <v xml:space="preserve">  </v>
          </cell>
          <cell r="Z217" t="str">
            <v xml:space="preserve">  </v>
          </cell>
          <cell r="AH217" t="str">
            <v xml:space="preserve">  </v>
          </cell>
          <cell r="AP217" t="str">
            <v xml:space="preserve">  </v>
          </cell>
        </row>
        <row r="218">
          <cell r="B218" t="str">
            <v xml:space="preserve">  </v>
          </cell>
          <cell r="J218" t="str">
            <v xml:space="preserve">  </v>
          </cell>
          <cell r="R218" t="str">
            <v xml:space="preserve">  </v>
          </cell>
          <cell r="Z218" t="str">
            <v xml:space="preserve">  </v>
          </cell>
          <cell r="AH218" t="str">
            <v xml:space="preserve">  </v>
          </cell>
          <cell r="AP218" t="str">
            <v xml:space="preserve">  </v>
          </cell>
        </row>
        <row r="219">
          <cell r="B219" t="str">
            <v xml:space="preserve">  </v>
          </cell>
          <cell r="J219" t="str">
            <v xml:space="preserve">  </v>
          </cell>
          <cell r="R219" t="str">
            <v xml:space="preserve">  </v>
          </cell>
          <cell r="Z219" t="str">
            <v xml:space="preserve">  </v>
          </cell>
          <cell r="AH219" t="str">
            <v xml:space="preserve">  </v>
          </cell>
          <cell r="AP219" t="str">
            <v xml:space="preserve">  </v>
          </cell>
        </row>
        <row r="227">
          <cell r="B227" t="str">
            <v>SONIO/N BGN Index</v>
          </cell>
          <cell r="C227" t="str">
            <v>SONIO/N</v>
          </cell>
          <cell r="D227" t="str">
            <v>BGN</v>
          </cell>
          <cell r="E227" t="str">
            <v>Index</v>
          </cell>
          <cell r="F227" t="str">
            <v>OIS</v>
          </cell>
          <cell r="G227" t="str">
            <v>ON</v>
          </cell>
          <cell r="H227" t="b">
            <v>1</v>
          </cell>
          <cell r="J227" t="str">
            <v>BP0006M ICPL Index</v>
          </cell>
          <cell r="K227" t="str">
            <v>BP0006M</v>
          </cell>
          <cell r="L227" t="str">
            <v>ICPL</v>
          </cell>
          <cell r="M227" t="str">
            <v>Index</v>
          </cell>
          <cell r="N227" t="str">
            <v>CASH</v>
          </cell>
          <cell r="O227" t="str">
            <v>6M</v>
          </cell>
          <cell r="P227" t="b">
            <v>1</v>
          </cell>
          <cell r="R227" t="str">
            <v>BPSFVC1 ICPL Curncy</v>
          </cell>
          <cell r="S227" t="str">
            <v>BPSFVC1</v>
          </cell>
          <cell r="T227" t="str">
            <v>ICPL</v>
          </cell>
          <cell r="U227" t="str">
            <v>Curncy</v>
          </cell>
          <cell r="V227" t="str">
            <v>TENOR-BASIS</v>
          </cell>
          <cell r="W227" t="str">
            <v>1Y</v>
          </cell>
          <cell r="X227" t="b">
            <v>1</v>
          </cell>
          <cell r="Z227" t="str">
            <v>BPSFVA1 ICPL Curncy</v>
          </cell>
          <cell r="AA227" t="str">
            <v>BPSFVA1</v>
          </cell>
          <cell r="AB227" t="str">
            <v>ICPL</v>
          </cell>
          <cell r="AC227" t="str">
            <v>Curncy</v>
          </cell>
          <cell r="AD227" t="str">
            <v>TENOR-BASIS</v>
          </cell>
          <cell r="AE227" t="str">
            <v>1Y</v>
          </cell>
          <cell r="AF227" t="b">
            <v>1</v>
          </cell>
          <cell r="AH227" t="str">
            <v>BPSIVF1 ICPL Curncy</v>
          </cell>
          <cell r="AI227" t="str">
            <v>BPSIVF1</v>
          </cell>
          <cell r="AJ227" t="str">
            <v>ICPL</v>
          </cell>
          <cell r="AK227" t="str">
            <v>Curncy</v>
          </cell>
          <cell r="AL227" t="str">
            <v>TENOR-BASIS</v>
          </cell>
          <cell r="AM227" t="str">
            <v>1Y</v>
          </cell>
          <cell r="AN227" t="b">
            <v>1</v>
          </cell>
          <cell r="AP227" t="str">
            <v>BPBS1 ICPL Curncy</v>
          </cell>
          <cell r="AQ227" t="str">
            <v>BPBS1</v>
          </cell>
          <cell r="AR227" t="str">
            <v>ICPL</v>
          </cell>
          <cell r="AS227" t="str">
            <v>Curncy</v>
          </cell>
          <cell r="AT227" t="str">
            <v>XCCY-BASIS</v>
          </cell>
          <cell r="AU227" t="str">
            <v>1Y</v>
          </cell>
          <cell r="AV227" t="b">
            <v>1</v>
          </cell>
        </row>
        <row r="228">
          <cell r="B228" t="str">
            <v>BPSWS1Z BGN Curncy</v>
          </cell>
          <cell r="C228" t="str">
            <v>BPSWS1Z</v>
          </cell>
          <cell r="D228" t="str">
            <v>BGN</v>
          </cell>
          <cell r="E228" t="str">
            <v>Curncy</v>
          </cell>
          <cell r="F228" t="str">
            <v>OIS</v>
          </cell>
          <cell r="G228" t="str">
            <v>1W</v>
          </cell>
          <cell r="H228" t="b">
            <v>0</v>
          </cell>
          <cell r="J228" t="str">
            <v>BPFR0AG ICPL Curncy</v>
          </cell>
          <cell r="K228" t="str">
            <v>BPFR0AG</v>
          </cell>
          <cell r="L228" t="str">
            <v>ICPL</v>
          </cell>
          <cell r="M228" t="str">
            <v>Curncy</v>
          </cell>
          <cell r="N228" t="str">
            <v>FRA</v>
          </cell>
          <cell r="O228" t="str">
            <v>1X7</v>
          </cell>
          <cell r="P228" t="b">
            <v>1</v>
          </cell>
          <cell r="R228" t="str">
            <v>BPSFVC2 ICPL Curncy</v>
          </cell>
          <cell r="S228" t="str">
            <v>BPSFVC2</v>
          </cell>
          <cell r="T228" t="str">
            <v>ICPL</v>
          </cell>
          <cell r="U228" t="str">
            <v>Curncy</v>
          </cell>
          <cell r="V228" t="str">
            <v>TENOR-BASIS</v>
          </cell>
          <cell r="W228" t="str">
            <v>2Y</v>
          </cell>
          <cell r="X228" t="b">
            <v>1</v>
          </cell>
          <cell r="Z228" t="str">
            <v>BPSFVA2 ICPL Curncy</v>
          </cell>
          <cell r="AA228" t="str">
            <v>BPSFVA2</v>
          </cell>
          <cell r="AB228" t="str">
            <v>ICPL</v>
          </cell>
          <cell r="AC228" t="str">
            <v>Curncy</v>
          </cell>
          <cell r="AD228" t="str">
            <v>TENOR-BASIS</v>
          </cell>
          <cell r="AE228" t="str">
            <v>2Y</v>
          </cell>
          <cell r="AF228" t="b">
            <v>1</v>
          </cell>
          <cell r="AH228" t="str">
            <v>BPSIVF2 ICPL Curncy</v>
          </cell>
          <cell r="AI228" t="str">
            <v>BPSIVF2</v>
          </cell>
          <cell r="AJ228" t="str">
            <v>ICPL</v>
          </cell>
          <cell r="AK228" t="str">
            <v>Curncy</v>
          </cell>
          <cell r="AL228" t="str">
            <v>TENOR-BASIS</v>
          </cell>
          <cell r="AM228" t="str">
            <v>2Y</v>
          </cell>
          <cell r="AN228" t="b">
            <v>1</v>
          </cell>
          <cell r="AP228" t="str">
            <v>BPBS2 ICPL Curncy</v>
          </cell>
          <cell r="AQ228" t="str">
            <v>BPBS2</v>
          </cell>
          <cell r="AR228" t="str">
            <v>ICPL</v>
          </cell>
          <cell r="AS228" t="str">
            <v>Curncy</v>
          </cell>
          <cell r="AT228" t="str">
            <v>XCCY-BASIS</v>
          </cell>
          <cell r="AU228" t="str">
            <v>2Y</v>
          </cell>
          <cell r="AV228" t="b">
            <v>1</v>
          </cell>
        </row>
        <row r="229">
          <cell r="B229" t="str">
            <v>BPSWS2Z BGN Curncy</v>
          </cell>
          <cell r="C229" t="str">
            <v>BPSWS2Z</v>
          </cell>
          <cell r="D229" t="str">
            <v>BGN</v>
          </cell>
          <cell r="E229" t="str">
            <v>Curncy</v>
          </cell>
          <cell r="F229" t="str">
            <v>OIS</v>
          </cell>
          <cell r="G229" t="str">
            <v>2W</v>
          </cell>
          <cell r="H229" t="b">
            <v>0</v>
          </cell>
          <cell r="J229" t="str">
            <v>BPFR0BH ICPL Curncy</v>
          </cell>
          <cell r="K229" t="str">
            <v>BPFR0BH</v>
          </cell>
          <cell r="L229" t="str">
            <v>ICPL</v>
          </cell>
          <cell r="M229" t="str">
            <v>Curncy</v>
          </cell>
          <cell r="N229" t="str">
            <v>FRA</v>
          </cell>
          <cell r="O229" t="str">
            <v>2X8</v>
          </cell>
          <cell r="P229" t="b">
            <v>1</v>
          </cell>
          <cell r="R229" t="str">
            <v>BPSFVC3 ICPL Curncy</v>
          </cell>
          <cell r="S229" t="str">
            <v>BPSFVC3</v>
          </cell>
          <cell r="T229" t="str">
            <v>ICPL</v>
          </cell>
          <cell r="U229" t="str">
            <v>Curncy</v>
          </cell>
          <cell r="V229" t="str">
            <v>TENOR-BASIS</v>
          </cell>
          <cell r="W229" t="str">
            <v>3Y</v>
          </cell>
          <cell r="X229" t="b">
            <v>1</v>
          </cell>
          <cell r="Z229" t="str">
            <v>BPSFVA3 ICPL Curncy</v>
          </cell>
          <cell r="AA229" t="str">
            <v>BPSFVA3</v>
          </cell>
          <cell r="AB229" t="str">
            <v>ICPL</v>
          </cell>
          <cell r="AC229" t="str">
            <v>Curncy</v>
          </cell>
          <cell r="AD229" t="str">
            <v>TENOR-BASIS</v>
          </cell>
          <cell r="AE229" t="str">
            <v>3Y</v>
          </cell>
          <cell r="AF229" t="b">
            <v>1</v>
          </cell>
          <cell r="AH229" t="str">
            <v>BPSIVF3 ICPL Curncy</v>
          </cell>
          <cell r="AI229" t="str">
            <v>BPSIVF3</v>
          </cell>
          <cell r="AJ229" t="str">
            <v>ICPL</v>
          </cell>
          <cell r="AK229" t="str">
            <v>Curncy</v>
          </cell>
          <cell r="AL229" t="str">
            <v>TENOR-BASIS</v>
          </cell>
          <cell r="AM229" t="str">
            <v>3Y</v>
          </cell>
          <cell r="AN229" t="b">
            <v>1</v>
          </cell>
          <cell r="AP229" t="str">
            <v>BPBS3 ICPL Curncy</v>
          </cell>
          <cell r="AQ229" t="str">
            <v>BPBS3</v>
          </cell>
          <cell r="AR229" t="str">
            <v>ICPL</v>
          </cell>
          <cell r="AS229" t="str">
            <v>Curncy</v>
          </cell>
          <cell r="AT229" t="str">
            <v>XCCY-BASIS</v>
          </cell>
          <cell r="AU229" t="str">
            <v>3Y</v>
          </cell>
          <cell r="AV229" t="b">
            <v>1</v>
          </cell>
        </row>
        <row r="230">
          <cell r="B230" t="str">
            <v>BPSWSA BGN Curncy</v>
          </cell>
          <cell r="C230" t="str">
            <v>BPSWSA</v>
          </cell>
          <cell r="D230" t="str">
            <v>BGN</v>
          </cell>
          <cell r="E230" t="str">
            <v>Curncy</v>
          </cell>
          <cell r="F230" t="str">
            <v>OIS</v>
          </cell>
          <cell r="G230" t="str">
            <v>1M</v>
          </cell>
          <cell r="H230" t="b">
            <v>1</v>
          </cell>
          <cell r="J230" t="str">
            <v>BPFR0CI ICPL Curncy</v>
          </cell>
          <cell r="K230" t="str">
            <v>BPFR0CI</v>
          </cell>
          <cell r="L230" t="str">
            <v>ICPL</v>
          </cell>
          <cell r="M230" t="str">
            <v>Curncy</v>
          </cell>
          <cell r="N230" t="str">
            <v>FRA</v>
          </cell>
          <cell r="O230" t="str">
            <v>3X9</v>
          </cell>
          <cell r="P230" t="b">
            <v>1</v>
          </cell>
          <cell r="R230" t="str">
            <v>BPSFVC4 ICPL Curncy</v>
          </cell>
          <cell r="S230" t="str">
            <v>BPSFVC4</v>
          </cell>
          <cell r="T230" t="str">
            <v>ICPL</v>
          </cell>
          <cell r="U230" t="str">
            <v>Curncy</v>
          </cell>
          <cell r="V230" t="str">
            <v>TENOR-BASIS</v>
          </cell>
          <cell r="W230" t="str">
            <v>4Y</v>
          </cell>
          <cell r="X230" t="b">
            <v>1</v>
          </cell>
          <cell r="Z230" t="str">
            <v>BPSFVA4 ICPL Curncy</v>
          </cell>
          <cell r="AA230" t="str">
            <v>BPSFVA4</v>
          </cell>
          <cell r="AB230" t="str">
            <v>ICPL</v>
          </cell>
          <cell r="AC230" t="str">
            <v>Curncy</v>
          </cell>
          <cell r="AD230" t="str">
            <v>TENOR-BASIS</v>
          </cell>
          <cell r="AE230" t="str">
            <v>4Y</v>
          </cell>
          <cell r="AF230" t="b">
            <v>1</v>
          </cell>
          <cell r="AH230" t="str">
            <v>BPSIVF4 ICPL Curncy</v>
          </cell>
          <cell r="AI230" t="str">
            <v>BPSIVF4</v>
          </cell>
          <cell r="AJ230" t="str">
            <v>ICPL</v>
          </cell>
          <cell r="AK230" t="str">
            <v>Curncy</v>
          </cell>
          <cell r="AL230" t="str">
            <v>TENOR-BASIS</v>
          </cell>
          <cell r="AM230" t="str">
            <v>4Y</v>
          </cell>
          <cell r="AN230" t="b">
            <v>1</v>
          </cell>
          <cell r="AP230" t="str">
            <v>BPBS4 ICPL Curncy</v>
          </cell>
          <cell r="AQ230" t="str">
            <v>BPBS4</v>
          </cell>
          <cell r="AR230" t="str">
            <v>ICPL</v>
          </cell>
          <cell r="AS230" t="str">
            <v>Curncy</v>
          </cell>
          <cell r="AT230" t="str">
            <v>XCCY-BASIS</v>
          </cell>
          <cell r="AU230" t="str">
            <v>4Y</v>
          </cell>
          <cell r="AV230" t="b">
            <v>1</v>
          </cell>
        </row>
        <row r="231">
          <cell r="B231" t="str">
            <v>BPSWSB BGN Curncy</v>
          </cell>
          <cell r="C231" t="str">
            <v>BPSWSB</v>
          </cell>
          <cell r="D231" t="str">
            <v>BGN</v>
          </cell>
          <cell r="E231" t="str">
            <v>Curncy</v>
          </cell>
          <cell r="F231" t="str">
            <v>OIS</v>
          </cell>
          <cell r="G231" t="str">
            <v>2M</v>
          </cell>
          <cell r="H231" t="b">
            <v>0</v>
          </cell>
          <cell r="J231" t="str">
            <v>BPFR0DJ ICPL Curncy</v>
          </cell>
          <cell r="K231" t="str">
            <v>BPFR0DJ</v>
          </cell>
          <cell r="L231" t="str">
            <v>ICPL</v>
          </cell>
          <cell r="M231" t="str">
            <v>Curncy</v>
          </cell>
          <cell r="N231" t="str">
            <v>FRA</v>
          </cell>
          <cell r="O231" t="str">
            <v>4X10</v>
          </cell>
          <cell r="P231" t="b">
            <v>1</v>
          </cell>
          <cell r="R231" t="str">
            <v>BPSFVC5 ICPL Curncy</v>
          </cell>
          <cell r="S231" t="str">
            <v>BPSFVC5</v>
          </cell>
          <cell r="T231" t="str">
            <v>ICPL</v>
          </cell>
          <cell r="U231" t="str">
            <v>Curncy</v>
          </cell>
          <cell r="V231" t="str">
            <v>TENOR-BASIS</v>
          </cell>
          <cell r="W231" t="str">
            <v>5Y</v>
          </cell>
          <cell r="X231" t="b">
            <v>1</v>
          </cell>
          <cell r="Z231" t="str">
            <v>BPSFVA5 ICPL Curncy</v>
          </cell>
          <cell r="AA231" t="str">
            <v>BPSFVA5</v>
          </cell>
          <cell r="AB231" t="str">
            <v>ICPL</v>
          </cell>
          <cell r="AC231" t="str">
            <v>Curncy</v>
          </cell>
          <cell r="AD231" t="str">
            <v>TENOR-BASIS</v>
          </cell>
          <cell r="AE231" t="str">
            <v>5Y</v>
          </cell>
          <cell r="AF231" t="b">
            <v>1</v>
          </cell>
          <cell r="AH231" t="str">
            <v>BPSIVF5 ICPL Curncy</v>
          </cell>
          <cell r="AI231" t="str">
            <v>BPSIVF5</v>
          </cell>
          <cell r="AJ231" t="str">
            <v>ICPL</v>
          </cell>
          <cell r="AK231" t="str">
            <v>Curncy</v>
          </cell>
          <cell r="AL231" t="str">
            <v>TENOR-BASIS</v>
          </cell>
          <cell r="AM231" t="str">
            <v>5Y</v>
          </cell>
          <cell r="AN231" t="b">
            <v>1</v>
          </cell>
          <cell r="AP231" t="str">
            <v>BPBS5 ICPL Curncy</v>
          </cell>
          <cell r="AQ231" t="str">
            <v>BPBS5</v>
          </cell>
          <cell r="AR231" t="str">
            <v>ICPL</v>
          </cell>
          <cell r="AS231" t="str">
            <v>Curncy</v>
          </cell>
          <cell r="AT231" t="str">
            <v>XCCY-BASIS</v>
          </cell>
          <cell r="AU231" t="str">
            <v>5Y</v>
          </cell>
          <cell r="AV231" t="b">
            <v>1</v>
          </cell>
        </row>
        <row r="232">
          <cell r="B232" t="str">
            <v>BPSWSC BGN Curncy</v>
          </cell>
          <cell r="C232" t="str">
            <v>BPSWSC</v>
          </cell>
          <cell r="D232" t="str">
            <v>BGN</v>
          </cell>
          <cell r="E232" t="str">
            <v>Curncy</v>
          </cell>
          <cell r="F232" t="str">
            <v>OIS</v>
          </cell>
          <cell r="G232" t="str">
            <v>3M</v>
          </cell>
          <cell r="H232" t="b">
            <v>1</v>
          </cell>
          <cell r="J232" t="str">
            <v>BPFR0EK ICPL Curncy</v>
          </cell>
          <cell r="K232" t="str">
            <v>BPFR0EK</v>
          </cell>
          <cell r="L232" t="str">
            <v>ICPL</v>
          </cell>
          <cell r="M232" t="str">
            <v>Curncy</v>
          </cell>
          <cell r="N232" t="str">
            <v>FRA</v>
          </cell>
          <cell r="O232" t="str">
            <v>5X11</v>
          </cell>
          <cell r="P232" t="b">
            <v>1</v>
          </cell>
          <cell r="R232" t="str">
            <v>BPSFVC6 ICPL Curncy</v>
          </cell>
          <cell r="S232" t="str">
            <v>BPSFVC6</v>
          </cell>
          <cell r="T232" t="str">
            <v>ICPL</v>
          </cell>
          <cell r="U232" t="str">
            <v>Curncy</v>
          </cell>
          <cell r="V232" t="str">
            <v>TENOR-BASIS</v>
          </cell>
          <cell r="W232" t="str">
            <v>6Y</v>
          </cell>
          <cell r="X232" t="b">
            <v>1</v>
          </cell>
          <cell r="Z232" t="str">
            <v>BPSFVA6 ICPL Curncy</v>
          </cell>
          <cell r="AA232" t="str">
            <v>BPSFVA6</v>
          </cell>
          <cell r="AB232" t="str">
            <v>ICPL</v>
          </cell>
          <cell r="AC232" t="str">
            <v>Curncy</v>
          </cell>
          <cell r="AD232" t="str">
            <v>TENOR-BASIS</v>
          </cell>
          <cell r="AE232" t="str">
            <v>6Y</v>
          </cell>
          <cell r="AF232" t="b">
            <v>1</v>
          </cell>
          <cell r="AH232" t="str">
            <v>BPSIVF6 ICPL Curncy</v>
          </cell>
          <cell r="AI232" t="str">
            <v>BPSIVF6</v>
          </cell>
          <cell r="AJ232" t="str">
            <v>ICPL</v>
          </cell>
          <cell r="AK232" t="str">
            <v>Curncy</v>
          </cell>
          <cell r="AL232" t="str">
            <v>TENOR-BASIS</v>
          </cell>
          <cell r="AM232" t="str">
            <v>6Y</v>
          </cell>
          <cell r="AN232" t="b">
            <v>1</v>
          </cell>
          <cell r="AP232" t="str">
            <v>BPBS6 ICPL Curncy</v>
          </cell>
          <cell r="AQ232" t="str">
            <v>BPBS6</v>
          </cell>
          <cell r="AR232" t="str">
            <v>ICPL</v>
          </cell>
          <cell r="AS232" t="str">
            <v>Curncy</v>
          </cell>
          <cell r="AT232" t="str">
            <v>XCCY-BASIS</v>
          </cell>
          <cell r="AU232" t="str">
            <v>6Y</v>
          </cell>
          <cell r="AV232" t="b">
            <v>1</v>
          </cell>
        </row>
        <row r="233">
          <cell r="B233" t="str">
            <v>BPSWSD BGN Curncy</v>
          </cell>
          <cell r="C233" t="str">
            <v>BPSWSD</v>
          </cell>
          <cell r="D233" t="str">
            <v>BGN</v>
          </cell>
          <cell r="E233" t="str">
            <v>Curncy</v>
          </cell>
          <cell r="F233" t="str">
            <v>OIS</v>
          </cell>
          <cell r="G233" t="str">
            <v>4M</v>
          </cell>
          <cell r="H233" t="b">
            <v>0</v>
          </cell>
          <cell r="J233" t="str">
            <v>BPFR0F1 ICPL Curncy</v>
          </cell>
          <cell r="K233" t="str">
            <v>BPFR0F1</v>
          </cell>
          <cell r="L233" t="str">
            <v>ICPL</v>
          </cell>
          <cell r="M233" t="str">
            <v>Curncy</v>
          </cell>
          <cell r="N233" t="str">
            <v>FRA</v>
          </cell>
          <cell r="O233" t="str">
            <v>6X12</v>
          </cell>
          <cell r="P233" t="b">
            <v>1</v>
          </cell>
          <cell r="R233" t="str">
            <v>BPSFVC7 ICPL Curncy</v>
          </cell>
          <cell r="S233" t="str">
            <v>BPSFVC7</v>
          </cell>
          <cell r="T233" t="str">
            <v>ICPL</v>
          </cell>
          <cell r="U233" t="str">
            <v>Curncy</v>
          </cell>
          <cell r="V233" t="str">
            <v>TENOR-BASIS</v>
          </cell>
          <cell r="W233" t="str">
            <v>7Y</v>
          </cell>
          <cell r="X233" t="b">
            <v>1</v>
          </cell>
          <cell r="Z233" t="str">
            <v>BPSFVA7 ICPL Curncy</v>
          </cell>
          <cell r="AA233" t="str">
            <v>BPSFVA7</v>
          </cell>
          <cell r="AB233" t="str">
            <v>ICPL</v>
          </cell>
          <cell r="AC233" t="str">
            <v>Curncy</v>
          </cell>
          <cell r="AD233" t="str">
            <v>TENOR-BASIS</v>
          </cell>
          <cell r="AE233" t="str">
            <v>7Y</v>
          </cell>
          <cell r="AF233" t="b">
            <v>1</v>
          </cell>
          <cell r="AH233" t="str">
            <v>BPSIVF7 ICPL Curncy</v>
          </cell>
          <cell r="AI233" t="str">
            <v>BPSIVF7</v>
          </cell>
          <cell r="AJ233" t="str">
            <v>ICPL</v>
          </cell>
          <cell r="AK233" t="str">
            <v>Curncy</v>
          </cell>
          <cell r="AL233" t="str">
            <v>TENOR-BASIS</v>
          </cell>
          <cell r="AM233" t="str">
            <v>7Y</v>
          </cell>
          <cell r="AN233" t="b">
            <v>1</v>
          </cell>
          <cell r="AP233" t="str">
            <v>BPBS7 ICPL Curncy</v>
          </cell>
          <cell r="AQ233" t="str">
            <v>BPBS7</v>
          </cell>
          <cell r="AR233" t="str">
            <v>ICPL</v>
          </cell>
          <cell r="AS233" t="str">
            <v>Curncy</v>
          </cell>
          <cell r="AT233" t="str">
            <v>XCCY-BASIS</v>
          </cell>
          <cell r="AU233" t="str">
            <v>7Y</v>
          </cell>
          <cell r="AV233" t="b">
            <v>1</v>
          </cell>
        </row>
        <row r="234">
          <cell r="B234" t="str">
            <v>BPSWSE BGN Curncy</v>
          </cell>
          <cell r="C234" t="str">
            <v>BPSWSE</v>
          </cell>
          <cell r="D234" t="str">
            <v>BGN</v>
          </cell>
          <cell r="E234" t="str">
            <v>Curncy</v>
          </cell>
          <cell r="F234" t="str">
            <v>OIS</v>
          </cell>
          <cell r="G234" t="str">
            <v>5M</v>
          </cell>
          <cell r="H234" t="b">
            <v>0</v>
          </cell>
          <cell r="J234" t="str">
            <v>BPFR0I1C ICPL Curncy</v>
          </cell>
          <cell r="K234" t="str">
            <v>BPFR0I1C</v>
          </cell>
          <cell r="L234" t="str">
            <v>ICPL</v>
          </cell>
          <cell r="M234" t="str">
            <v>Curncy</v>
          </cell>
          <cell r="N234" t="str">
            <v>FRA</v>
          </cell>
          <cell r="O234" t="str">
            <v>9X15</v>
          </cell>
          <cell r="P234" t="b">
            <v>1</v>
          </cell>
          <cell r="R234" t="str">
            <v>BPSFVC8 ICPL Curncy</v>
          </cell>
          <cell r="S234" t="str">
            <v>BPSFVC8</v>
          </cell>
          <cell r="T234" t="str">
            <v>ICPL</v>
          </cell>
          <cell r="U234" t="str">
            <v>Curncy</v>
          </cell>
          <cell r="V234" t="str">
            <v>TENOR-BASIS</v>
          </cell>
          <cell r="W234" t="str">
            <v>8Y</v>
          </cell>
          <cell r="X234" t="b">
            <v>1</v>
          </cell>
          <cell r="Z234" t="str">
            <v>BPSFVA8 ICPL Curncy</v>
          </cell>
          <cell r="AA234" t="str">
            <v>BPSFVA8</v>
          </cell>
          <cell r="AB234" t="str">
            <v>ICPL</v>
          </cell>
          <cell r="AC234" t="str">
            <v>Curncy</v>
          </cell>
          <cell r="AD234" t="str">
            <v>TENOR-BASIS</v>
          </cell>
          <cell r="AE234" t="str">
            <v>8Y</v>
          </cell>
          <cell r="AF234" t="b">
            <v>1</v>
          </cell>
          <cell r="AH234" t="str">
            <v>BPSIVF8 ICPL Curncy</v>
          </cell>
          <cell r="AI234" t="str">
            <v>BPSIVF8</v>
          </cell>
          <cell r="AJ234" t="str">
            <v>ICPL</v>
          </cell>
          <cell r="AK234" t="str">
            <v>Curncy</v>
          </cell>
          <cell r="AL234" t="str">
            <v>TENOR-BASIS</v>
          </cell>
          <cell r="AM234" t="str">
            <v>8Y</v>
          </cell>
          <cell r="AN234" t="b">
            <v>1</v>
          </cell>
          <cell r="AP234" t="str">
            <v>BPBS8 ICPL Curncy</v>
          </cell>
          <cell r="AQ234" t="str">
            <v>BPBS8</v>
          </cell>
          <cell r="AR234" t="str">
            <v>ICPL</v>
          </cell>
          <cell r="AS234" t="str">
            <v>Curncy</v>
          </cell>
          <cell r="AT234" t="str">
            <v>XCCY-BASIS</v>
          </cell>
          <cell r="AU234" t="str">
            <v>8Y</v>
          </cell>
          <cell r="AV234" t="b">
            <v>1</v>
          </cell>
        </row>
        <row r="235">
          <cell r="B235" t="str">
            <v>BPSWSF BGN Curncy</v>
          </cell>
          <cell r="C235" t="str">
            <v>BPSWSF</v>
          </cell>
          <cell r="D235" t="str">
            <v>BGN</v>
          </cell>
          <cell r="E235" t="str">
            <v>Curncy</v>
          </cell>
          <cell r="F235" t="str">
            <v>OIS</v>
          </cell>
          <cell r="G235" t="str">
            <v>6M</v>
          </cell>
          <cell r="H235" t="b">
            <v>1</v>
          </cell>
          <cell r="J235" t="str">
            <v>BPFR011F ICPL Curncy</v>
          </cell>
          <cell r="K235" t="str">
            <v>BPFR011F</v>
          </cell>
          <cell r="L235" t="str">
            <v>ICPL</v>
          </cell>
          <cell r="M235" t="str">
            <v>Curncy</v>
          </cell>
          <cell r="N235" t="str">
            <v>FRA</v>
          </cell>
          <cell r="O235" t="str">
            <v>12X18</v>
          </cell>
          <cell r="P235" t="b">
            <v>1</v>
          </cell>
          <cell r="R235" t="str">
            <v>BPSFVC9 ICPL Curncy</v>
          </cell>
          <cell r="S235" t="str">
            <v>BPSFVC9</v>
          </cell>
          <cell r="T235" t="str">
            <v>ICPL</v>
          </cell>
          <cell r="U235" t="str">
            <v>Curncy</v>
          </cell>
          <cell r="V235" t="str">
            <v>TENOR-BASIS</v>
          </cell>
          <cell r="W235" t="str">
            <v>9Y</v>
          </cell>
          <cell r="X235" t="b">
            <v>1</v>
          </cell>
          <cell r="Z235" t="str">
            <v>BPSFVA9 ICPL Curncy</v>
          </cell>
          <cell r="AA235" t="str">
            <v>BPSFVA9</v>
          </cell>
          <cell r="AB235" t="str">
            <v>ICPL</v>
          </cell>
          <cell r="AC235" t="str">
            <v>Curncy</v>
          </cell>
          <cell r="AD235" t="str">
            <v>TENOR-BASIS</v>
          </cell>
          <cell r="AE235" t="str">
            <v>9Y</v>
          </cell>
          <cell r="AF235" t="b">
            <v>1</v>
          </cell>
          <cell r="AH235" t="str">
            <v>BPSIVF9 ICPL Curncy</v>
          </cell>
          <cell r="AI235" t="str">
            <v>BPSIVF9</v>
          </cell>
          <cell r="AJ235" t="str">
            <v>ICPL</v>
          </cell>
          <cell r="AK235" t="str">
            <v>Curncy</v>
          </cell>
          <cell r="AL235" t="str">
            <v>TENOR-BASIS</v>
          </cell>
          <cell r="AM235" t="str">
            <v>9Y</v>
          </cell>
          <cell r="AN235" t="b">
            <v>1</v>
          </cell>
          <cell r="AP235" t="str">
            <v>BPBS9 ICPL Curncy</v>
          </cell>
          <cell r="AQ235" t="str">
            <v>BPBS9</v>
          </cell>
          <cell r="AR235" t="str">
            <v>ICPL</v>
          </cell>
          <cell r="AS235" t="str">
            <v>Curncy</v>
          </cell>
          <cell r="AT235" t="str">
            <v>XCCY-BASIS</v>
          </cell>
          <cell r="AU235" t="str">
            <v>9Y</v>
          </cell>
          <cell r="AV235" t="b">
            <v>1</v>
          </cell>
        </row>
        <row r="236">
          <cell r="B236" t="str">
            <v>BPSWSG BGN Curncy</v>
          </cell>
          <cell r="C236" t="str">
            <v>BPSWSG</v>
          </cell>
          <cell r="D236" t="str">
            <v>BGN</v>
          </cell>
          <cell r="E236" t="str">
            <v>Curncy</v>
          </cell>
          <cell r="F236" t="str">
            <v>OIS</v>
          </cell>
          <cell r="G236" t="str">
            <v>7M</v>
          </cell>
          <cell r="H236" t="b">
            <v>0</v>
          </cell>
          <cell r="J236" t="str">
            <v>BPSW2 ICPL Curncy</v>
          </cell>
          <cell r="K236" t="str">
            <v>BPSW2</v>
          </cell>
          <cell r="L236" t="str">
            <v>ICPL</v>
          </cell>
          <cell r="M236" t="str">
            <v>Curncy</v>
          </cell>
          <cell r="N236" t="str">
            <v>SWAP</v>
          </cell>
          <cell r="O236" t="str">
            <v>2Y</v>
          </cell>
          <cell r="P236" t="b">
            <v>1</v>
          </cell>
          <cell r="R236" t="str">
            <v>BPSFVC10 ICPL Curncy</v>
          </cell>
          <cell r="S236" t="str">
            <v>BPSFVC10</v>
          </cell>
          <cell r="T236" t="str">
            <v>ICPL</v>
          </cell>
          <cell r="U236" t="str">
            <v>Curncy</v>
          </cell>
          <cell r="V236" t="str">
            <v>TENOR-BASIS</v>
          </cell>
          <cell r="W236" t="str">
            <v>10Y</v>
          </cell>
          <cell r="X236" t="b">
            <v>1</v>
          </cell>
          <cell r="Z236" t="str">
            <v>BPSFVA10 ICPL Curncy</v>
          </cell>
          <cell r="AA236" t="str">
            <v>BPSFVA10</v>
          </cell>
          <cell r="AB236" t="str">
            <v>ICPL</v>
          </cell>
          <cell r="AC236" t="str">
            <v>Curncy</v>
          </cell>
          <cell r="AD236" t="str">
            <v>TENOR-BASIS</v>
          </cell>
          <cell r="AE236" t="str">
            <v>10Y</v>
          </cell>
          <cell r="AF236" t="b">
            <v>1</v>
          </cell>
          <cell r="AH236" t="str">
            <v>BPSIVF10 ICPL Curncy</v>
          </cell>
          <cell r="AI236" t="str">
            <v>BPSIVF10</v>
          </cell>
          <cell r="AJ236" t="str">
            <v>ICPL</v>
          </cell>
          <cell r="AK236" t="str">
            <v>Curncy</v>
          </cell>
          <cell r="AL236" t="str">
            <v>TENOR-BASIS</v>
          </cell>
          <cell r="AM236" t="str">
            <v>10Y</v>
          </cell>
          <cell r="AN236" t="b">
            <v>1</v>
          </cell>
          <cell r="AP236" t="str">
            <v>BPBS10 ICPL Curncy</v>
          </cell>
          <cell r="AQ236" t="str">
            <v>BPBS10</v>
          </cell>
          <cell r="AR236" t="str">
            <v>ICPL</v>
          </cell>
          <cell r="AS236" t="str">
            <v>Curncy</v>
          </cell>
          <cell r="AT236" t="str">
            <v>XCCY-BASIS</v>
          </cell>
          <cell r="AU236" t="str">
            <v>10Y</v>
          </cell>
          <cell r="AV236" t="b">
            <v>1</v>
          </cell>
        </row>
        <row r="237">
          <cell r="B237" t="str">
            <v>BPSWSH BGN Curncy</v>
          </cell>
          <cell r="C237" t="str">
            <v>BPSWSH</v>
          </cell>
          <cell r="D237" t="str">
            <v>BGN</v>
          </cell>
          <cell r="E237" t="str">
            <v>Curncy</v>
          </cell>
          <cell r="F237" t="str">
            <v>OIS</v>
          </cell>
          <cell r="G237" t="str">
            <v>8M</v>
          </cell>
          <cell r="H237" t="b">
            <v>0</v>
          </cell>
          <cell r="J237" t="str">
            <v>BPSW3 ICPL Curncy</v>
          </cell>
          <cell r="K237" t="str">
            <v>BPSW3</v>
          </cell>
          <cell r="L237" t="str">
            <v>ICPL</v>
          </cell>
          <cell r="M237" t="str">
            <v>Curncy</v>
          </cell>
          <cell r="N237" t="str">
            <v>SWAP</v>
          </cell>
          <cell r="O237" t="str">
            <v>3Y</v>
          </cell>
          <cell r="P237" t="b">
            <v>1</v>
          </cell>
          <cell r="R237" t="str">
            <v>BPSFVC11 ICPL Curncy</v>
          </cell>
          <cell r="S237" t="str">
            <v>BPSFVC11</v>
          </cell>
          <cell r="T237" t="str">
            <v>ICPL</v>
          </cell>
          <cell r="U237" t="str">
            <v>Curncy</v>
          </cell>
          <cell r="V237" t="str">
            <v>TENOR-BASIS</v>
          </cell>
          <cell r="W237" t="str">
            <v>11Y</v>
          </cell>
          <cell r="X237" t="b">
            <v>1</v>
          </cell>
          <cell r="Z237" t="str">
            <v>BPSFVA12 ICPL Curncy</v>
          </cell>
          <cell r="AA237" t="str">
            <v>BPSFVA12</v>
          </cell>
          <cell r="AB237" t="str">
            <v>ICPL</v>
          </cell>
          <cell r="AC237" t="str">
            <v>Curncy</v>
          </cell>
          <cell r="AD237" t="str">
            <v>TENOR-BASIS</v>
          </cell>
          <cell r="AE237" t="str">
            <v>12Y</v>
          </cell>
          <cell r="AF237" t="b">
            <v>1</v>
          </cell>
          <cell r="AH237" t="str">
            <v>BPSIVF12 ICPL Curncy</v>
          </cell>
          <cell r="AI237" t="str">
            <v>BPSIVF12</v>
          </cell>
          <cell r="AJ237" t="str">
            <v>ICPL</v>
          </cell>
          <cell r="AK237" t="str">
            <v>Curncy</v>
          </cell>
          <cell r="AL237" t="str">
            <v>TENOR-BASIS</v>
          </cell>
          <cell r="AM237" t="str">
            <v>12Y</v>
          </cell>
          <cell r="AN237" t="b">
            <v>1</v>
          </cell>
          <cell r="AP237" t="str">
            <v>BPBS11 ICPL Curncy</v>
          </cell>
          <cell r="AQ237" t="str">
            <v>BPBS11</v>
          </cell>
          <cell r="AR237" t="str">
            <v>ICPL</v>
          </cell>
          <cell r="AS237" t="str">
            <v>Curncy</v>
          </cell>
          <cell r="AT237" t="str">
            <v>XCCY-BASIS</v>
          </cell>
          <cell r="AU237" t="str">
            <v>11Y</v>
          </cell>
          <cell r="AV237" t="b">
            <v>1</v>
          </cell>
        </row>
        <row r="238">
          <cell r="B238" t="str">
            <v>BPSWSI BGN Curncy</v>
          </cell>
          <cell r="C238" t="str">
            <v>BPSWSI</v>
          </cell>
          <cell r="D238" t="str">
            <v>BGN</v>
          </cell>
          <cell r="E238" t="str">
            <v>Curncy</v>
          </cell>
          <cell r="F238" t="str">
            <v>OIS</v>
          </cell>
          <cell r="G238" t="str">
            <v>9M</v>
          </cell>
          <cell r="H238" t="b">
            <v>0</v>
          </cell>
          <cell r="J238" t="str">
            <v>BPSW4 ICPL Curncy</v>
          </cell>
          <cell r="K238" t="str">
            <v>BPSW4</v>
          </cell>
          <cell r="L238" t="str">
            <v>ICPL</v>
          </cell>
          <cell r="M238" t="str">
            <v>Curncy</v>
          </cell>
          <cell r="N238" t="str">
            <v>SWAP</v>
          </cell>
          <cell r="O238" t="str">
            <v>4Y</v>
          </cell>
          <cell r="P238" t="b">
            <v>1</v>
          </cell>
          <cell r="R238" t="str">
            <v>BPSFVC12 ICPL Curncy</v>
          </cell>
          <cell r="S238" t="str">
            <v>BPSFVC12</v>
          </cell>
          <cell r="T238" t="str">
            <v>ICPL</v>
          </cell>
          <cell r="U238" t="str">
            <v>Curncy</v>
          </cell>
          <cell r="V238" t="str">
            <v>TENOR-BASIS</v>
          </cell>
          <cell r="W238" t="str">
            <v>12Y</v>
          </cell>
          <cell r="X238" t="b">
            <v>1</v>
          </cell>
          <cell r="Z238" t="str">
            <v>BPSFVA15 ICPL Curncy</v>
          </cell>
          <cell r="AA238" t="str">
            <v>BPSFVA15</v>
          </cell>
          <cell r="AB238" t="str">
            <v>ICPL</v>
          </cell>
          <cell r="AC238" t="str">
            <v>Curncy</v>
          </cell>
          <cell r="AD238" t="str">
            <v>TENOR-BASIS</v>
          </cell>
          <cell r="AE238" t="str">
            <v>15Y</v>
          </cell>
          <cell r="AF238" t="b">
            <v>1</v>
          </cell>
          <cell r="AH238" t="str">
            <v>BPSIVF15 ICPL Curncy</v>
          </cell>
          <cell r="AI238" t="str">
            <v>BPSIVF15</v>
          </cell>
          <cell r="AJ238" t="str">
            <v>ICPL</v>
          </cell>
          <cell r="AK238" t="str">
            <v>Curncy</v>
          </cell>
          <cell r="AL238" t="str">
            <v>TENOR-BASIS</v>
          </cell>
          <cell r="AM238" t="str">
            <v>15Y</v>
          </cell>
          <cell r="AN238" t="b">
            <v>1</v>
          </cell>
          <cell r="AP238" t="str">
            <v>BPBS12 ICPL Curncy</v>
          </cell>
          <cell r="AQ238" t="str">
            <v>BPBS12</v>
          </cell>
          <cell r="AR238" t="str">
            <v>ICPL</v>
          </cell>
          <cell r="AS238" t="str">
            <v>Curncy</v>
          </cell>
          <cell r="AT238" t="str">
            <v>XCCY-BASIS</v>
          </cell>
          <cell r="AU238" t="str">
            <v>12Y</v>
          </cell>
          <cell r="AV238" t="b">
            <v>1</v>
          </cell>
        </row>
        <row r="239">
          <cell r="B239" t="str">
            <v>BPSWSJ BGN Curncy</v>
          </cell>
          <cell r="C239" t="str">
            <v>BPSWSJ</v>
          </cell>
          <cell r="D239" t="str">
            <v>BGN</v>
          </cell>
          <cell r="E239" t="str">
            <v>Curncy</v>
          </cell>
          <cell r="F239" t="str">
            <v>OIS</v>
          </cell>
          <cell r="G239" t="str">
            <v>10M</v>
          </cell>
          <cell r="H239" t="b">
            <v>0</v>
          </cell>
          <cell r="J239" t="str">
            <v>BPSW5 ICPL Curncy</v>
          </cell>
          <cell r="K239" t="str">
            <v>BPSW5</v>
          </cell>
          <cell r="L239" t="str">
            <v>ICPL</v>
          </cell>
          <cell r="M239" t="str">
            <v>Curncy</v>
          </cell>
          <cell r="N239" t="str">
            <v>SWAP</v>
          </cell>
          <cell r="O239" t="str">
            <v>5Y</v>
          </cell>
          <cell r="P239" t="b">
            <v>1</v>
          </cell>
          <cell r="R239" t="str">
            <v>BPSFVC15 ICPL Curncy</v>
          </cell>
          <cell r="S239" t="str">
            <v>BPSFVC15</v>
          </cell>
          <cell r="T239" t="str">
            <v>ICPL</v>
          </cell>
          <cell r="U239" t="str">
            <v>Curncy</v>
          </cell>
          <cell r="V239" t="str">
            <v>TENOR-BASIS</v>
          </cell>
          <cell r="W239" t="str">
            <v>15Y</v>
          </cell>
          <cell r="X239" t="b">
            <v>1</v>
          </cell>
          <cell r="Z239" t="str">
            <v>BPSFVA20 ICPL Curncy</v>
          </cell>
          <cell r="AA239" t="str">
            <v>BPSFVA20</v>
          </cell>
          <cell r="AB239" t="str">
            <v>ICPL</v>
          </cell>
          <cell r="AC239" t="str">
            <v>Curncy</v>
          </cell>
          <cell r="AD239" t="str">
            <v>TENOR-BASIS</v>
          </cell>
          <cell r="AE239" t="str">
            <v>20Y</v>
          </cell>
          <cell r="AF239" t="b">
            <v>1</v>
          </cell>
          <cell r="AH239" t="str">
            <v>BPSIVF20 ICPL Curncy</v>
          </cell>
          <cell r="AI239" t="str">
            <v>BPSIVF20</v>
          </cell>
          <cell r="AJ239" t="str">
            <v>ICPL</v>
          </cell>
          <cell r="AK239" t="str">
            <v>Curncy</v>
          </cell>
          <cell r="AL239" t="str">
            <v>TENOR-BASIS</v>
          </cell>
          <cell r="AM239" t="str">
            <v>20Y</v>
          </cell>
          <cell r="AN239" t="b">
            <v>1</v>
          </cell>
          <cell r="AP239" t="str">
            <v>BPBS13 ICPL Curncy</v>
          </cell>
          <cell r="AQ239" t="str">
            <v>BPBS13</v>
          </cell>
          <cell r="AR239" t="str">
            <v>ICPL</v>
          </cell>
          <cell r="AS239" t="str">
            <v>Curncy</v>
          </cell>
          <cell r="AT239" t="str">
            <v>XCCY-BASIS</v>
          </cell>
          <cell r="AU239" t="str">
            <v>13Y</v>
          </cell>
          <cell r="AV239" t="b">
            <v>1</v>
          </cell>
        </row>
        <row r="240">
          <cell r="B240" t="str">
            <v>BPSWSK BGN Curncy</v>
          </cell>
          <cell r="C240" t="str">
            <v>BPSWSK</v>
          </cell>
          <cell r="D240" t="str">
            <v>BGN</v>
          </cell>
          <cell r="E240" t="str">
            <v>Curncy</v>
          </cell>
          <cell r="F240" t="str">
            <v>OIS</v>
          </cell>
          <cell r="G240" t="str">
            <v>11M</v>
          </cell>
          <cell r="H240" t="b">
            <v>0</v>
          </cell>
          <cell r="J240" t="str">
            <v>BPSW6 ICPL Curncy</v>
          </cell>
          <cell r="K240" t="str">
            <v>BPSW6</v>
          </cell>
          <cell r="L240" t="str">
            <v>ICPL</v>
          </cell>
          <cell r="M240" t="str">
            <v>Curncy</v>
          </cell>
          <cell r="N240" t="str">
            <v>SWAP</v>
          </cell>
          <cell r="O240" t="str">
            <v>6Y</v>
          </cell>
          <cell r="P240" t="b">
            <v>1</v>
          </cell>
          <cell r="R240" t="str">
            <v>BPSFVC20 ICPL Curncy</v>
          </cell>
          <cell r="S240" t="str">
            <v>BPSFVC20</v>
          </cell>
          <cell r="T240" t="str">
            <v>ICPL</v>
          </cell>
          <cell r="U240" t="str">
            <v>Curncy</v>
          </cell>
          <cell r="V240" t="str">
            <v>TENOR-BASIS</v>
          </cell>
          <cell r="W240" t="str">
            <v>20Y</v>
          </cell>
          <cell r="X240" t="b">
            <v>1</v>
          </cell>
          <cell r="Z240" t="str">
            <v>BPSFVA25 ICPL Curncy</v>
          </cell>
          <cell r="AA240" t="str">
            <v>BPSFVA25</v>
          </cell>
          <cell r="AB240" t="str">
            <v>ICPL</v>
          </cell>
          <cell r="AC240" t="str">
            <v>Curncy</v>
          </cell>
          <cell r="AD240" t="str">
            <v>TENOR-BASIS</v>
          </cell>
          <cell r="AE240" t="str">
            <v>25Y</v>
          </cell>
          <cell r="AF240" t="b">
            <v>1</v>
          </cell>
          <cell r="AH240" t="str">
            <v>BPSIVF25 ICPL Curncy</v>
          </cell>
          <cell r="AI240" t="str">
            <v>BPSIVF25</v>
          </cell>
          <cell r="AJ240" t="str">
            <v>ICPL</v>
          </cell>
          <cell r="AK240" t="str">
            <v>Curncy</v>
          </cell>
          <cell r="AL240" t="str">
            <v>TENOR-BASIS</v>
          </cell>
          <cell r="AM240" t="str">
            <v>25Y</v>
          </cell>
          <cell r="AN240" t="b">
            <v>1</v>
          </cell>
          <cell r="AP240" t="str">
            <v>BPBS14 ICPL Curncy</v>
          </cell>
          <cell r="AQ240" t="str">
            <v>BPBS14</v>
          </cell>
          <cell r="AR240" t="str">
            <v>ICPL</v>
          </cell>
          <cell r="AS240" t="str">
            <v>Curncy</v>
          </cell>
          <cell r="AT240" t="str">
            <v>XCCY-BASIS</v>
          </cell>
          <cell r="AU240" t="str">
            <v>14Y</v>
          </cell>
          <cell r="AV240" t="b">
            <v>1</v>
          </cell>
        </row>
        <row r="241">
          <cell r="B241" t="str">
            <v>BPSWS1 BGN Curncy</v>
          </cell>
          <cell r="C241" t="str">
            <v>BPSWS1</v>
          </cell>
          <cell r="D241" t="str">
            <v>BGN</v>
          </cell>
          <cell r="E241" t="str">
            <v>Curncy</v>
          </cell>
          <cell r="F241" t="str">
            <v>OIS</v>
          </cell>
          <cell r="G241" t="str">
            <v>1Y</v>
          </cell>
          <cell r="H241" t="b">
            <v>1</v>
          </cell>
          <cell r="J241" t="str">
            <v>BPSW7 ICPL Curncy</v>
          </cell>
          <cell r="K241" t="str">
            <v>BPSW7</v>
          </cell>
          <cell r="L241" t="str">
            <v>ICPL</v>
          </cell>
          <cell r="M241" t="str">
            <v>Curncy</v>
          </cell>
          <cell r="N241" t="str">
            <v>SWAP</v>
          </cell>
          <cell r="O241" t="str">
            <v>7Y</v>
          </cell>
          <cell r="P241" t="b">
            <v>1</v>
          </cell>
          <cell r="R241" t="str">
            <v>BPSFVC25 ICPL Curncy</v>
          </cell>
          <cell r="S241" t="str">
            <v>BPSFVC25</v>
          </cell>
          <cell r="T241" t="str">
            <v>ICPL</v>
          </cell>
          <cell r="U241" t="str">
            <v>Curncy</v>
          </cell>
          <cell r="V241" t="str">
            <v>TENOR-BASIS</v>
          </cell>
          <cell r="W241" t="str">
            <v>25Y</v>
          </cell>
          <cell r="X241" t="b">
            <v>1</v>
          </cell>
          <cell r="Z241" t="str">
            <v>BPSFVA30 ICPL Curncy</v>
          </cell>
          <cell r="AA241" t="str">
            <v>BPSFVA30</v>
          </cell>
          <cell r="AB241" t="str">
            <v>ICPL</v>
          </cell>
          <cell r="AC241" t="str">
            <v>Curncy</v>
          </cell>
          <cell r="AD241" t="str">
            <v>TENOR-BASIS</v>
          </cell>
          <cell r="AE241" t="str">
            <v>30Y</v>
          </cell>
          <cell r="AF241" t="b">
            <v>1</v>
          </cell>
          <cell r="AH241" t="str">
            <v>BPSIVF30 ICPL Curncy</v>
          </cell>
          <cell r="AI241" t="str">
            <v>BPSIVF30</v>
          </cell>
          <cell r="AJ241" t="str">
            <v>ICPL</v>
          </cell>
          <cell r="AK241" t="str">
            <v>Curncy</v>
          </cell>
          <cell r="AL241" t="str">
            <v>TENOR-BASIS</v>
          </cell>
          <cell r="AM241" t="str">
            <v>30Y</v>
          </cell>
          <cell r="AN241" t="b">
            <v>1</v>
          </cell>
          <cell r="AP241" t="str">
            <v>BPBS15 ICPL Curncy</v>
          </cell>
          <cell r="AQ241" t="str">
            <v>BPBS15</v>
          </cell>
          <cell r="AR241" t="str">
            <v>ICPL</v>
          </cell>
          <cell r="AS241" t="str">
            <v>Curncy</v>
          </cell>
          <cell r="AT241" t="str">
            <v>XCCY-BASIS</v>
          </cell>
          <cell r="AU241" t="str">
            <v>15Y</v>
          </cell>
          <cell r="AV241" t="b">
            <v>1</v>
          </cell>
        </row>
        <row r="242">
          <cell r="B242" t="str">
            <v>BPSWS1F BGN Curncy</v>
          </cell>
          <cell r="C242" t="str">
            <v>BPSWS1F</v>
          </cell>
          <cell r="D242" t="str">
            <v>BGN</v>
          </cell>
          <cell r="E242" t="str">
            <v>Curncy</v>
          </cell>
          <cell r="F242" t="str">
            <v>OIS</v>
          </cell>
          <cell r="G242" t="str">
            <v>18M</v>
          </cell>
          <cell r="H242" t="b">
            <v>0</v>
          </cell>
          <cell r="J242" t="str">
            <v>BPSW8 ICPL Curncy</v>
          </cell>
          <cell r="K242" t="str">
            <v>BPSW8</v>
          </cell>
          <cell r="L242" t="str">
            <v>ICPL</v>
          </cell>
          <cell r="M242" t="str">
            <v>Curncy</v>
          </cell>
          <cell r="N242" t="str">
            <v>SWAP</v>
          </cell>
          <cell r="O242" t="str">
            <v>8Y</v>
          </cell>
          <cell r="P242" t="b">
            <v>1</v>
          </cell>
          <cell r="R242" t="str">
            <v>BPSFVC30 ICPL Curncy</v>
          </cell>
          <cell r="S242" t="str">
            <v>BPSFVC30</v>
          </cell>
          <cell r="T242" t="str">
            <v>ICPL</v>
          </cell>
          <cell r="U242" t="str">
            <v>Curncy</v>
          </cell>
          <cell r="V242" t="str">
            <v>TENOR-BASIS</v>
          </cell>
          <cell r="W242" t="str">
            <v>30Y</v>
          </cell>
          <cell r="X242" t="b">
            <v>1</v>
          </cell>
          <cell r="Z242" t="str">
            <v>BPSFVA40 ICPL Curncy</v>
          </cell>
          <cell r="AA242" t="str">
            <v>BPSFVA40</v>
          </cell>
          <cell r="AB242" t="str">
            <v>ICPL</v>
          </cell>
          <cell r="AC242" t="str">
            <v>Curncy</v>
          </cell>
          <cell r="AD242" t="str">
            <v>TENOR-BASIS</v>
          </cell>
          <cell r="AE242" t="str">
            <v>40Y</v>
          </cell>
          <cell r="AF242" t="b">
            <v>1</v>
          </cell>
          <cell r="AH242" t="str">
            <v>BPSIVF40 ICPL Curncy</v>
          </cell>
          <cell r="AI242" t="str">
            <v>BPSIVF40</v>
          </cell>
          <cell r="AJ242" t="str">
            <v>ICPL</v>
          </cell>
          <cell r="AK242" t="str">
            <v>Curncy</v>
          </cell>
          <cell r="AL242" t="str">
            <v>TENOR-BASIS</v>
          </cell>
          <cell r="AM242" t="str">
            <v>40Y</v>
          </cell>
          <cell r="AN242" t="b">
            <v>1</v>
          </cell>
          <cell r="AP242" t="str">
            <v>BPBS20 ICPL Curncy</v>
          </cell>
          <cell r="AQ242" t="str">
            <v>BPBS20</v>
          </cell>
          <cell r="AR242" t="str">
            <v>ICPL</v>
          </cell>
          <cell r="AS242" t="str">
            <v>Curncy</v>
          </cell>
          <cell r="AT242" t="str">
            <v>XCCY-BASIS</v>
          </cell>
          <cell r="AU242" t="str">
            <v>20Y</v>
          </cell>
          <cell r="AV242" t="b">
            <v>1</v>
          </cell>
        </row>
        <row r="243">
          <cell r="B243" t="str">
            <v>BPSWS2 BGN Curncy</v>
          </cell>
          <cell r="C243" t="str">
            <v>BPSWS2</v>
          </cell>
          <cell r="D243" t="str">
            <v>BGN</v>
          </cell>
          <cell r="E243" t="str">
            <v>Curncy</v>
          </cell>
          <cell r="F243" t="str">
            <v>OIS</v>
          </cell>
          <cell r="G243" t="str">
            <v>2Y</v>
          </cell>
          <cell r="H243" t="b">
            <v>0</v>
          </cell>
          <cell r="J243" t="str">
            <v>BPSW9 ICPL Curncy</v>
          </cell>
          <cell r="K243" t="str">
            <v>BPSW9</v>
          </cell>
          <cell r="L243" t="str">
            <v>ICPL</v>
          </cell>
          <cell r="M243" t="str">
            <v>Curncy</v>
          </cell>
          <cell r="N243" t="str">
            <v>SWAP</v>
          </cell>
          <cell r="O243" t="str">
            <v>9Y</v>
          </cell>
          <cell r="P243" t="b">
            <v>1</v>
          </cell>
          <cell r="R243" t="str">
            <v>BPSFVC40 ICPL Curncy</v>
          </cell>
          <cell r="S243" t="str">
            <v>BPSFVC40</v>
          </cell>
          <cell r="T243" t="str">
            <v>ICPL</v>
          </cell>
          <cell r="U243" t="str">
            <v>Curncy</v>
          </cell>
          <cell r="V243" t="str">
            <v>TENOR-BASIS</v>
          </cell>
          <cell r="W243" t="str">
            <v>40Y</v>
          </cell>
          <cell r="X243" t="b">
            <v>1</v>
          </cell>
          <cell r="Z243" t="str">
            <v>BPSFVA50 ICPL Curncy</v>
          </cell>
          <cell r="AA243" t="str">
            <v>BPSFVA50</v>
          </cell>
          <cell r="AB243" t="str">
            <v>ICPL</v>
          </cell>
          <cell r="AC243" t="str">
            <v>Curncy</v>
          </cell>
          <cell r="AD243" t="str">
            <v>TENOR-BASIS</v>
          </cell>
          <cell r="AE243" t="str">
            <v>50Y</v>
          </cell>
          <cell r="AF243" t="b">
            <v>1</v>
          </cell>
          <cell r="AH243" t="str">
            <v>BPSIVF50 ICPL Curncy</v>
          </cell>
          <cell r="AI243" t="str">
            <v>BPSIVF50</v>
          </cell>
          <cell r="AJ243" t="str">
            <v>ICPL</v>
          </cell>
          <cell r="AK243" t="str">
            <v>Curncy</v>
          </cell>
          <cell r="AL243" t="str">
            <v>TENOR-BASIS</v>
          </cell>
          <cell r="AM243" t="str">
            <v>50Y</v>
          </cell>
          <cell r="AN243" t="b">
            <v>1</v>
          </cell>
          <cell r="AP243" t="str">
            <v>BPBS25 ICPL Curncy</v>
          </cell>
          <cell r="AQ243" t="str">
            <v>BPBS25</v>
          </cell>
          <cell r="AR243" t="str">
            <v>ICPL</v>
          </cell>
          <cell r="AS243" t="str">
            <v>Curncy</v>
          </cell>
          <cell r="AT243" t="str">
            <v>XCCY-BASIS</v>
          </cell>
          <cell r="AU243" t="str">
            <v>25Y</v>
          </cell>
          <cell r="AV243" t="b">
            <v>1</v>
          </cell>
        </row>
        <row r="244">
          <cell r="B244" t="str">
            <v>BPSWS3 BGN Curncy</v>
          </cell>
          <cell r="C244" t="str">
            <v>BPSWS3</v>
          </cell>
          <cell r="D244" t="str">
            <v>BGN</v>
          </cell>
          <cell r="E244" t="str">
            <v>Curncy</v>
          </cell>
          <cell r="F244" t="str">
            <v>OIS</v>
          </cell>
          <cell r="G244" t="str">
            <v>3Y</v>
          </cell>
          <cell r="H244" t="b">
            <v>1</v>
          </cell>
          <cell r="J244" t="str">
            <v>BPSW10 ICPL Curncy</v>
          </cell>
          <cell r="K244" t="str">
            <v>BPSW10</v>
          </cell>
          <cell r="L244" t="str">
            <v>ICPL</v>
          </cell>
          <cell r="M244" t="str">
            <v>Curncy</v>
          </cell>
          <cell r="N244" t="str">
            <v>SWAP</v>
          </cell>
          <cell r="O244" t="str">
            <v>10Y</v>
          </cell>
          <cell r="P244" t="b">
            <v>1</v>
          </cell>
          <cell r="R244" t="str">
            <v>BPSFVC50 ICPL Curncy</v>
          </cell>
          <cell r="S244" t="str">
            <v>BPSFVC50</v>
          </cell>
          <cell r="T244" t="str">
            <v>ICPL</v>
          </cell>
          <cell r="U244" t="str">
            <v>Curncy</v>
          </cell>
          <cell r="V244" t="str">
            <v>TENOR-BASIS</v>
          </cell>
          <cell r="W244" t="str">
            <v>50Y</v>
          </cell>
          <cell r="X244" t="b">
            <v>1</v>
          </cell>
          <cell r="Z244" t="str">
            <v xml:space="preserve">  </v>
          </cell>
          <cell r="AH244" t="str">
            <v xml:space="preserve">  </v>
          </cell>
          <cell r="AP244" t="str">
            <v>BPBS30 ICPL Curncy</v>
          </cell>
          <cell r="AQ244" t="str">
            <v>BPBS30</v>
          </cell>
          <cell r="AR244" t="str">
            <v>ICPL</v>
          </cell>
          <cell r="AS244" t="str">
            <v>Curncy</v>
          </cell>
          <cell r="AT244" t="str">
            <v>XCCY-BASIS</v>
          </cell>
          <cell r="AU244" t="str">
            <v>30Y</v>
          </cell>
          <cell r="AV244" t="b">
            <v>1</v>
          </cell>
        </row>
        <row r="245">
          <cell r="B245" t="str">
            <v>BPSWS4 BGN Curncy</v>
          </cell>
          <cell r="C245" t="str">
            <v>BPSWS4</v>
          </cell>
          <cell r="D245" t="str">
            <v>BGN</v>
          </cell>
          <cell r="E245" t="str">
            <v>Curncy</v>
          </cell>
          <cell r="F245" t="str">
            <v>OIS</v>
          </cell>
          <cell r="G245" t="str">
            <v>4Y</v>
          </cell>
          <cell r="H245" t="b">
            <v>1</v>
          </cell>
          <cell r="J245" t="str">
            <v>BPSW12 ICPL Curncy</v>
          </cell>
          <cell r="K245" t="str">
            <v>BPSW12</v>
          </cell>
          <cell r="L245" t="str">
            <v>ICPL</v>
          </cell>
          <cell r="M245" t="str">
            <v>Curncy</v>
          </cell>
          <cell r="N245" t="str">
            <v>SWAP</v>
          </cell>
          <cell r="O245" t="str">
            <v>12Y</v>
          </cell>
          <cell r="P245" t="b">
            <v>1</v>
          </cell>
          <cell r="R245" t="str">
            <v xml:space="preserve">  </v>
          </cell>
          <cell r="Z245" t="str">
            <v xml:space="preserve">  </v>
          </cell>
          <cell r="AH245" t="str">
            <v xml:space="preserve">  </v>
          </cell>
          <cell r="AP245" t="str">
            <v xml:space="preserve">  </v>
          </cell>
        </row>
        <row r="246">
          <cell r="B246" t="str">
            <v>BPSWS5 BGN Curncy</v>
          </cell>
          <cell r="C246" t="str">
            <v>BPSWS5</v>
          </cell>
          <cell r="D246" t="str">
            <v>BGN</v>
          </cell>
          <cell r="E246" t="str">
            <v>Curncy</v>
          </cell>
          <cell r="F246" t="str">
            <v>OIS</v>
          </cell>
          <cell r="G246" t="str">
            <v>5Y</v>
          </cell>
          <cell r="H246" t="b">
            <v>1</v>
          </cell>
          <cell r="J246" t="str">
            <v>BPSW15 ICPL Curncy</v>
          </cell>
          <cell r="K246" t="str">
            <v>BPSW15</v>
          </cell>
          <cell r="L246" t="str">
            <v>ICPL</v>
          </cell>
          <cell r="M246" t="str">
            <v>Curncy</v>
          </cell>
          <cell r="N246" t="str">
            <v>SWAP</v>
          </cell>
          <cell r="O246" t="str">
            <v>15Y</v>
          </cell>
          <cell r="P246" t="b">
            <v>1</v>
          </cell>
          <cell r="R246" t="str">
            <v xml:space="preserve">  </v>
          </cell>
          <cell r="Z246" t="str">
            <v xml:space="preserve">  </v>
          </cell>
          <cell r="AH246" t="str">
            <v xml:space="preserve">  </v>
          </cell>
          <cell r="AP246" t="str">
            <v xml:space="preserve">  </v>
          </cell>
        </row>
        <row r="247">
          <cell r="B247" t="str">
            <v>BPSWS6 BGN Curncy</v>
          </cell>
          <cell r="C247" t="str">
            <v>BPSWS6</v>
          </cell>
          <cell r="D247" t="str">
            <v>BGN</v>
          </cell>
          <cell r="E247" t="str">
            <v>Curncy</v>
          </cell>
          <cell r="F247" t="str">
            <v>OIS</v>
          </cell>
          <cell r="G247" t="str">
            <v>6Y</v>
          </cell>
          <cell r="H247" t="b">
            <v>1</v>
          </cell>
          <cell r="J247" t="str">
            <v>BPSW20 ICPL Curncy</v>
          </cell>
          <cell r="K247" t="str">
            <v>BPSW20</v>
          </cell>
          <cell r="L247" t="str">
            <v>ICPL</v>
          </cell>
          <cell r="M247" t="str">
            <v>Curncy</v>
          </cell>
          <cell r="N247" t="str">
            <v>SWAP</v>
          </cell>
          <cell r="O247" t="str">
            <v>20Y</v>
          </cell>
          <cell r="P247" t="b">
            <v>1</v>
          </cell>
          <cell r="R247" t="str">
            <v xml:space="preserve">  </v>
          </cell>
          <cell r="Z247" t="str">
            <v xml:space="preserve">  </v>
          </cell>
          <cell r="AH247" t="str">
            <v xml:space="preserve">  </v>
          </cell>
          <cell r="AP247" t="str">
            <v xml:space="preserve">  </v>
          </cell>
        </row>
        <row r="248">
          <cell r="B248" t="str">
            <v>BPSWS7 BGN Curncy</v>
          </cell>
          <cell r="C248" t="str">
            <v>BPSWS7</v>
          </cell>
          <cell r="D248" t="str">
            <v>BGN</v>
          </cell>
          <cell r="E248" t="str">
            <v>Curncy</v>
          </cell>
          <cell r="F248" t="str">
            <v>OIS</v>
          </cell>
          <cell r="G248" t="str">
            <v>7Y</v>
          </cell>
          <cell r="H248" t="b">
            <v>1</v>
          </cell>
          <cell r="J248" t="str">
            <v>BPSW25 ICPL Curncy</v>
          </cell>
          <cell r="K248" t="str">
            <v>BPSW25</v>
          </cell>
          <cell r="L248" t="str">
            <v>ICPL</v>
          </cell>
          <cell r="M248" t="str">
            <v>Curncy</v>
          </cell>
          <cell r="N248" t="str">
            <v>SWAP</v>
          </cell>
          <cell r="O248" t="str">
            <v>25Y</v>
          </cell>
          <cell r="P248" t="b">
            <v>1</v>
          </cell>
          <cell r="R248" t="str">
            <v xml:space="preserve">  </v>
          </cell>
          <cell r="Z248" t="str">
            <v xml:space="preserve">  </v>
          </cell>
          <cell r="AH248" t="str">
            <v xml:space="preserve">  </v>
          </cell>
          <cell r="AP248" t="str">
            <v xml:space="preserve">  </v>
          </cell>
        </row>
        <row r="249">
          <cell r="B249" t="str">
            <v>BPSWS8 BGN Curncy</v>
          </cell>
          <cell r="C249" t="str">
            <v>BPSWS8</v>
          </cell>
          <cell r="D249" t="str">
            <v>BGN</v>
          </cell>
          <cell r="E249" t="str">
            <v>Curncy</v>
          </cell>
          <cell r="F249" t="str">
            <v>OIS</v>
          </cell>
          <cell r="G249" t="str">
            <v>8Y</v>
          </cell>
          <cell r="H249" t="b">
            <v>1</v>
          </cell>
          <cell r="J249" t="str">
            <v>BPSW30 ICPL Curncy</v>
          </cell>
          <cell r="K249" t="str">
            <v>BPSW30</v>
          </cell>
          <cell r="L249" t="str">
            <v>ICPL</v>
          </cell>
          <cell r="M249" t="str">
            <v>Curncy</v>
          </cell>
          <cell r="N249" t="str">
            <v>SWAP</v>
          </cell>
          <cell r="O249" t="str">
            <v>30Y</v>
          </cell>
          <cell r="P249" t="b">
            <v>1</v>
          </cell>
          <cell r="R249" t="str">
            <v xml:space="preserve">  </v>
          </cell>
          <cell r="Z249" t="str">
            <v xml:space="preserve">  </v>
          </cell>
          <cell r="AH249" t="str">
            <v xml:space="preserve">  </v>
          </cell>
          <cell r="AP249" t="str">
            <v xml:space="preserve">  </v>
          </cell>
        </row>
        <row r="250">
          <cell r="B250" t="str">
            <v>BPSWS9 BGN Curncy</v>
          </cell>
          <cell r="C250" t="str">
            <v>BPSWS9</v>
          </cell>
          <cell r="D250" t="str">
            <v>BGN</v>
          </cell>
          <cell r="E250" t="str">
            <v>Curncy</v>
          </cell>
          <cell r="F250" t="str">
            <v>OIS</v>
          </cell>
          <cell r="G250" t="str">
            <v>9Y</v>
          </cell>
          <cell r="H250" t="b">
            <v>1</v>
          </cell>
          <cell r="J250" t="str">
            <v>BPSW40 ICPL Curncy</v>
          </cell>
          <cell r="K250" t="str">
            <v>BPSW40</v>
          </cell>
          <cell r="L250" t="str">
            <v>ICPL</v>
          </cell>
          <cell r="M250" t="str">
            <v>Curncy</v>
          </cell>
          <cell r="N250" t="str">
            <v>SWAP</v>
          </cell>
          <cell r="O250" t="str">
            <v>40Y</v>
          </cell>
          <cell r="P250" t="b">
            <v>1</v>
          </cell>
          <cell r="R250" t="str">
            <v xml:space="preserve">  </v>
          </cell>
          <cell r="Z250" t="str">
            <v xml:space="preserve">  </v>
          </cell>
          <cell r="AH250" t="str">
            <v xml:space="preserve">  </v>
          </cell>
          <cell r="AP250" t="str">
            <v xml:space="preserve">  </v>
          </cell>
        </row>
        <row r="251">
          <cell r="B251" t="str">
            <v>BPSWS10 BGN Curncy</v>
          </cell>
          <cell r="C251" t="str">
            <v>BPSWS10</v>
          </cell>
          <cell r="D251" t="str">
            <v>BGN</v>
          </cell>
          <cell r="E251" t="str">
            <v>Curncy</v>
          </cell>
          <cell r="F251" t="str">
            <v>OIS</v>
          </cell>
          <cell r="G251" t="str">
            <v>10Y</v>
          </cell>
          <cell r="H251" t="b">
            <v>1</v>
          </cell>
          <cell r="J251" t="str">
            <v>BPSW50 ICPL Curncy</v>
          </cell>
          <cell r="K251" t="str">
            <v>BPSW50</v>
          </cell>
          <cell r="L251" t="str">
            <v>ICPL</v>
          </cell>
          <cell r="M251" t="str">
            <v>Curncy</v>
          </cell>
          <cell r="N251" t="str">
            <v>SWAP</v>
          </cell>
          <cell r="O251" t="str">
            <v>50Y</v>
          </cell>
          <cell r="P251" t="b">
            <v>1</v>
          </cell>
          <cell r="R251" t="str">
            <v xml:space="preserve">  </v>
          </cell>
          <cell r="Z251" t="str">
            <v xml:space="preserve">  </v>
          </cell>
          <cell r="AH251" t="str">
            <v xml:space="preserve">  </v>
          </cell>
          <cell r="AP251" t="str">
            <v xml:space="preserve">  </v>
          </cell>
        </row>
        <row r="252">
          <cell r="B252" t="str">
            <v>BPSWS12 BGN Curncy</v>
          </cell>
          <cell r="C252" t="str">
            <v>BPSWS12</v>
          </cell>
          <cell r="D252" t="str">
            <v>BGN</v>
          </cell>
          <cell r="E252" t="str">
            <v>Curncy</v>
          </cell>
          <cell r="F252" t="str">
            <v>OIS</v>
          </cell>
          <cell r="G252" t="str">
            <v>12Y</v>
          </cell>
          <cell r="H252" t="b">
            <v>1</v>
          </cell>
          <cell r="J252" t="str">
            <v xml:space="preserve">  </v>
          </cell>
          <cell r="R252" t="str">
            <v xml:space="preserve">  </v>
          </cell>
          <cell r="Z252" t="str">
            <v xml:space="preserve">  </v>
          </cell>
          <cell r="AH252" t="str">
            <v xml:space="preserve">  </v>
          </cell>
          <cell r="AP252" t="str">
            <v xml:space="preserve">  </v>
          </cell>
        </row>
        <row r="253">
          <cell r="B253" t="str">
            <v>BPSWS15 BGN Curncy</v>
          </cell>
          <cell r="C253" t="str">
            <v>BPSWS15</v>
          </cell>
          <cell r="D253" t="str">
            <v>BGN</v>
          </cell>
          <cell r="E253" t="str">
            <v>Curncy</v>
          </cell>
          <cell r="F253" t="str">
            <v>OIS</v>
          </cell>
          <cell r="G253" t="str">
            <v>15Y</v>
          </cell>
          <cell r="H253" t="b">
            <v>1</v>
          </cell>
          <cell r="J253" t="str">
            <v xml:space="preserve">  </v>
          </cell>
          <cell r="R253" t="str">
            <v xml:space="preserve">  </v>
          </cell>
          <cell r="Z253" t="str">
            <v xml:space="preserve">  </v>
          </cell>
          <cell r="AH253" t="str">
            <v xml:space="preserve">  </v>
          </cell>
          <cell r="AP253" t="str">
            <v xml:space="preserve">  </v>
          </cell>
        </row>
        <row r="254">
          <cell r="B254" t="str">
            <v>BPSWS20 BGN Curncy</v>
          </cell>
          <cell r="C254" t="str">
            <v>BPSWS20</v>
          </cell>
          <cell r="D254" t="str">
            <v>BGN</v>
          </cell>
          <cell r="E254" t="str">
            <v>Curncy</v>
          </cell>
          <cell r="F254" t="str">
            <v>OIS</v>
          </cell>
          <cell r="G254" t="str">
            <v>20Y</v>
          </cell>
          <cell r="H254" t="b">
            <v>1</v>
          </cell>
          <cell r="J254" t="str">
            <v xml:space="preserve">  </v>
          </cell>
          <cell r="R254" t="str">
            <v xml:space="preserve">  </v>
          </cell>
          <cell r="Z254" t="str">
            <v xml:space="preserve">  </v>
          </cell>
          <cell r="AH254" t="str">
            <v xml:space="preserve">  </v>
          </cell>
          <cell r="AP254" t="str">
            <v xml:space="preserve">  </v>
          </cell>
        </row>
        <row r="255">
          <cell r="B255" t="str">
            <v>BPSWS25 BGN Curncy</v>
          </cell>
          <cell r="C255" t="str">
            <v>BPSWS25</v>
          </cell>
          <cell r="D255" t="str">
            <v>BGN</v>
          </cell>
          <cell r="E255" t="str">
            <v>Curncy</v>
          </cell>
          <cell r="F255" t="str">
            <v>OIS</v>
          </cell>
          <cell r="G255" t="str">
            <v>25Y</v>
          </cell>
          <cell r="H255" t="b">
            <v>1</v>
          </cell>
          <cell r="J255" t="str">
            <v xml:space="preserve">  </v>
          </cell>
          <cell r="R255" t="str">
            <v xml:space="preserve">  </v>
          </cell>
          <cell r="Z255" t="str">
            <v xml:space="preserve">  </v>
          </cell>
          <cell r="AH255" t="str">
            <v xml:space="preserve">  </v>
          </cell>
          <cell r="AP255" t="str">
            <v xml:space="preserve">  </v>
          </cell>
        </row>
        <row r="256">
          <cell r="B256" t="str">
            <v>BPSWS30 BGN Curncy</v>
          </cell>
          <cell r="C256" t="str">
            <v>BPSWS30</v>
          </cell>
          <cell r="D256" t="str">
            <v>BGN</v>
          </cell>
          <cell r="E256" t="str">
            <v>Curncy</v>
          </cell>
          <cell r="F256" t="str">
            <v>OIS</v>
          </cell>
          <cell r="G256" t="str">
            <v>30Y</v>
          </cell>
          <cell r="H256" t="b">
            <v>1</v>
          </cell>
          <cell r="J256" t="str">
            <v xml:space="preserve">  </v>
          </cell>
          <cell r="R256" t="str">
            <v xml:space="preserve">  </v>
          </cell>
          <cell r="Z256" t="str">
            <v xml:space="preserve">  </v>
          </cell>
          <cell r="AH256" t="str">
            <v xml:space="preserve">  </v>
          </cell>
          <cell r="AP256" t="str">
            <v xml:space="preserve">  </v>
          </cell>
        </row>
        <row r="257">
          <cell r="B257" t="str">
            <v>BPSWS40 BGN Curncy</v>
          </cell>
          <cell r="C257" t="str">
            <v>BPSWS40</v>
          </cell>
          <cell r="D257" t="str">
            <v>BGN</v>
          </cell>
          <cell r="E257" t="str">
            <v>Curncy</v>
          </cell>
          <cell r="F257" t="str">
            <v>OIS</v>
          </cell>
          <cell r="G257" t="str">
            <v>40Y</v>
          </cell>
          <cell r="H257" t="b">
            <v>1</v>
          </cell>
          <cell r="J257" t="str">
            <v xml:space="preserve">  </v>
          </cell>
          <cell r="R257" t="str">
            <v xml:space="preserve">  </v>
          </cell>
          <cell r="Z257" t="str">
            <v xml:space="preserve">  </v>
          </cell>
          <cell r="AH257" t="str">
            <v xml:space="preserve">  </v>
          </cell>
          <cell r="AP257" t="str">
            <v xml:space="preserve">  </v>
          </cell>
        </row>
        <row r="258">
          <cell r="B258" t="str">
            <v>BPSWS50 BGN Curncy</v>
          </cell>
          <cell r="C258" t="str">
            <v>BPSWS50</v>
          </cell>
          <cell r="D258" t="str">
            <v>BGN</v>
          </cell>
          <cell r="E258" t="str">
            <v>Curncy</v>
          </cell>
          <cell r="F258" t="str">
            <v>OIS</v>
          </cell>
          <cell r="G258" t="str">
            <v>50Y</v>
          </cell>
          <cell r="H258" t="b">
            <v>1</v>
          </cell>
          <cell r="J258" t="str">
            <v xml:space="preserve">  </v>
          </cell>
          <cell r="R258" t="str">
            <v xml:space="preserve">  </v>
          </cell>
          <cell r="Z258" t="str">
            <v xml:space="preserve">  </v>
          </cell>
          <cell r="AH258" t="str">
            <v xml:space="preserve">  </v>
          </cell>
          <cell r="AP258" t="str">
            <v xml:space="preserve">  </v>
          </cell>
        </row>
        <row r="259">
          <cell r="B259" t="str">
            <v xml:space="preserve">  </v>
          </cell>
          <cell r="J259" t="str">
            <v xml:space="preserve">  </v>
          </cell>
          <cell r="R259" t="str">
            <v xml:space="preserve">  </v>
          </cell>
          <cell r="Z259" t="str">
            <v xml:space="preserve">  </v>
          </cell>
          <cell r="AH259" t="str">
            <v xml:space="preserve">  </v>
          </cell>
          <cell r="AP259" t="str">
            <v xml:space="preserve">  </v>
          </cell>
        </row>
        <row r="260">
          <cell r="B260" t="str">
            <v xml:space="preserve">  </v>
          </cell>
          <cell r="J260" t="str">
            <v xml:space="preserve">  </v>
          </cell>
          <cell r="R260" t="str">
            <v xml:space="preserve">  </v>
          </cell>
          <cell r="Z260" t="str">
            <v xml:space="preserve">  </v>
          </cell>
          <cell r="AH260" t="str">
            <v xml:space="preserve">  </v>
          </cell>
          <cell r="AP260" t="str">
            <v xml:space="preserve">  </v>
          </cell>
        </row>
        <row r="261">
          <cell r="B261" t="str">
            <v xml:space="preserve">  </v>
          </cell>
          <cell r="J261" t="str">
            <v xml:space="preserve">  </v>
          </cell>
          <cell r="R261" t="str">
            <v xml:space="preserve">  </v>
          </cell>
          <cell r="Z261" t="str">
            <v xml:space="preserve">  </v>
          </cell>
          <cell r="AH261" t="str">
            <v xml:space="preserve">  </v>
          </cell>
          <cell r="AP261" t="str">
            <v xml:space="preserve">  </v>
          </cell>
        </row>
        <row r="262">
          <cell r="B262" t="str">
            <v xml:space="preserve">  </v>
          </cell>
          <cell r="J262" t="str">
            <v xml:space="preserve">  </v>
          </cell>
          <cell r="R262" t="str">
            <v xml:space="preserve">  </v>
          </cell>
          <cell r="Z262" t="str">
            <v xml:space="preserve">  </v>
          </cell>
          <cell r="AH262" t="str">
            <v xml:space="preserve">  </v>
          </cell>
          <cell r="AP262" t="str">
            <v xml:space="preserve">  </v>
          </cell>
        </row>
        <row r="263">
          <cell r="B263" t="str">
            <v xml:space="preserve">  </v>
          </cell>
          <cell r="J263" t="str">
            <v xml:space="preserve">  </v>
          </cell>
          <cell r="R263" t="str">
            <v xml:space="preserve">  </v>
          </cell>
          <cell r="Z263" t="str">
            <v xml:space="preserve">  </v>
          </cell>
          <cell r="AH263" t="str">
            <v xml:space="preserve">  </v>
          </cell>
          <cell r="AP263" t="str">
            <v xml:space="preserve">  </v>
          </cell>
        </row>
        <row r="264">
          <cell r="B264" t="str">
            <v xml:space="preserve">  </v>
          </cell>
          <cell r="J264" t="str">
            <v xml:space="preserve">  </v>
          </cell>
          <cell r="R264" t="str">
            <v xml:space="preserve">  </v>
          </cell>
          <cell r="Z264" t="str">
            <v xml:space="preserve">  </v>
          </cell>
          <cell r="AH264" t="str">
            <v xml:space="preserve">  </v>
          </cell>
          <cell r="AP264" t="str">
            <v xml:space="preserve">  </v>
          </cell>
        </row>
        <row r="265">
          <cell r="B265" t="str">
            <v xml:space="preserve">  </v>
          </cell>
          <cell r="J265" t="str">
            <v xml:space="preserve">  </v>
          </cell>
          <cell r="R265" t="str">
            <v xml:space="preserve">  </v>
          </cell>
          <cell r="Z265" t="str">
            <v xml:space="preserve">  </v>
          </cell>
          <cell r="AH265" t="str">
            <v xml:space="preserve">  </v>
          </cell>
          <cell r="AP265" t="str">
            <v xml:space="preserve">  </v>
          </cell>
        </row>
        <row r="266">
          <cell r="B266" t="str">
            <v xml:space="preserve">  </v>
          </cell>
          <cell r="J266" t="str">
            <v xml:space="preserve">  </v>
          </cell>
          <cell r="R266" t="str">
            <v xml:space="preserve">  </v>
          </cell>
          <cell r="Z266" t="str">
            <v xml:space="preserve">  </v>
          </cell>
          <cell r="AH266" t="str">
            <v xml:space="preserve">  </v>
          </cell>
          <cell r="AP266" t="str">
            <v xml:space="preserve">  </v>
          </cell>
        </row>
        <row r="267">
          <cell r="B267" t="str">
            <v xml:space="preserve">  </v>
          </cell>
          <cell r="J267" t="str">
            <v xml:space="preserve">  </v>
          </cell>
          <cell r="R267" t="str">
            <v xml:space="preserve">  </v>
          </cell>
          <cell r="Z267" t="str">
            <v xml:space="preserve">  </v>
          </cell>
          <cell r="AH267" t="str">
            <v xml:space="preserve">  </v>
          </cell>
          <cell r="AP267" t="str">
            <v xml:space="preserve">  </v>
          </cell>
        </row>
        <row r="268">
          <cell r="B268" t="str">
            <v xml:space="preserve">  </v>
          </cell>
          <cell r="J268" t="str">
            <v xml:space="preserve">  </v>
          </cell>
          <cell r="R268" t="str">
            <v xml:space="preserve">  </v>
          </cell>
          <cell r="Z268" t="str">
            <v xml:space="preserve">  </v>
          </cell>
          <cell r="AH268" t="str">
            <v xml:space="preserve">  </v>
          </cell>
          <cell r="AP268" t="str">
            <v xml:space="preserve">  </v>
          </cell>
        </row>
        <row r="269">
          <cell r="B269" t="str">
            <v xml:space="preserve">  </v>
          </cell>
          <cell r="J269" t="str">
            <v xml:space="preserve">  </v>
          </cell>
          <cell r="R269" t="str">
            <v xml:space="preserve">  </v>
          </cell>
          <cell r="Z269" t="str">
            <v xml:space="preserve">  </v>
          </cell>
          <cell r="AH269" t="str">
            <v xml:space="preserve">  </v>
          </cell>
          <cell r="AP269" t="str">
            <v xml:space="preserve">  </v>
          </cell>
        </row>
        <row r="270">
          <cell r="B270" t="str">
            <v xml:space="preserve">  </v>
          </cell>
          <cell r="J270" t="str">
            <v xml:space="preserve">  </v>
          </cell>
          <cell r="R270" t="str">
            <v xml:space="preserve">  </v>
          </cell>
          <cell r="Z270" t="str">
            <v xml:space="preserve">  </v>
          </cell>
          <cell r="AH270" t="str">
            <v xml:space="preserve">  </v>
          </cell>
          <cell r="AP270" t="str">
            <v xml:space="preserve">  </v>
          </cell>
        </row>
        <row r="271">
          <cell r="B271" t="str">
            <v xml:space="preserve">  </v>
          </cell>
          <cell r="J271" t="str">
            <v xml:space="preserve">  </v>
          </cell>
          <cell r="R271" t="str">
            <v xml:space="preserve">  </v>
          </cell>
          <cell r="Z271" t="str">
            <v xml:space="preserve">  </v>
          </cell>
          <cell r="AH271" t="str">
            <v xml:space="preserve">  </v>
          </cell>
          <cell r="AP271" t="str">
            <v xml:space="preserve">  </v>
          </cell>
        </row>
        <row r="272">
          <cell r="B272" t="str">
            <v xml:space="preserve">  </v>
          </cell>
          <cell r="J272" t="str">
            <v xml:space="preserve">  </v>
          </cell>
          <cell r="R272" t="str">
            <v xml:space="preserve">  </v>
          </cell>
          <cell r="Z272" t="str">
            <v xml:space="preserve">  </v>
          </cell>
          <cell r="AH272" t="str">
            <v xml:space="preserve">  </v>
          </cell>
          <cell r="AP272" t="str">
            <v xml:space="preserve">  </v>
          </cell>
        </row>
        <row r="273">
          <cell r="B273" t="str">
            <v xml:space="preserve">  </v>
          </cell>
          <cell r="J273" t="str">
            <v xml:space="preserve">  </v>
          </cell>
          <cell r="R273" t="str">
            <v xml:space="preserve">  </v>
          </cell>
          <cell r="Z273" t="str">
            <v xml:space="preserve">  </v>
          </cell>
          <cell r="AH273" t="str">
            <v xml:space="preserve">  </v>
          </cell>
          <cell r="AP273" t="str">
            <v xml:space="preserve">  </v>
          </cell>
        </row>
        <row r="274">
          <cell r="B274" t="str">
            <v xml:space="preserve">  </v>
          </cell>
          <cell r="J274" t="str">
            <v xml:space="preserve">  </v>
          </cell>
          <cell r="R274" t="str">
            <v xml:space="preserve">  </v>
          </cell>
          <cell r="Z274" t="str">
            <v xml:space="preserve">  </v>
          </cell>
          <cell r="AH274" t="str">
            <v xml:space="preserve">  </v>
          </cell>
          <cell r="AP274" t="str">
            <v xml:space="preserve">  </v>
          </cell>
        </row>
        <row r="275">
          <cell r="B275" t="str">
            <v xml:space="preserve">  </v>
          </cell>
          <cell r="J275" t="str">
            <v xml:space="preserve">  </v>
          </cell>
          <cell r="R275" t="str">
            <v xml:space="preserve">  </v>
          </cell>
          <cell r="Z275" t="str">
            <v xml:space="preserve">  </v>
          </cell>
          <cell r="AH275" t="str">
            <v xml:space="preserve">  </v>
          </cell>
          <cell r="AP275" t="str">
            <v xml:space="preserve">  </v>
          </cell>
        </row>
        <row r="276">
          <cell r="B276" t="str">
            <v xml:space="preserve">  </v>
          </cell>
          <cell r="J276" t="str">
            <v xml:space="preserve">  </v>
          </cell>
          <cell r="R276" t="str">
            <v xml:space="preserve">  </v>
          </cell>
          <cell r="Z276" t="str">
            <v xml:space="preserve">  </v>
          </cell>
          <cell r="AH276" t="str">
            <v xml:space="preserve">  </v>
          </cell>
          <cell r="AP276" t="str">
            <v xml:space="preserve">  </v>
          </cell>
        </row>
        <row r="277">
          <cell r="B277" t="str">
            <v xml:space="preserve">  </v>
          </cell>
          <cell r="J277" t="str">
            <v xml:space="preserve">  </v>
          </cell>
          <cell r="R277" t="str">
            <v xml:space="preserve">  </v>
          </cell>
          <cell r="Z277" t="str">
            <v xml:space="preserve">  </v>
          </cell>
          <cell r="AH277" t="str">
            <v xml:space="preserve">  </v>
          </cell>
          <cell r="AP277" t="str">
            <v xml:space="preserve">  </v>
          </cell>
        </row>
        <row r="278">
          <cell r="B278" t="str">
            <v xml:space="preserve">  </v>
          </cell>
          <cell r="J278" t="str">
            <v xml:space="preserve">  </v>
          </cell>
          <cell r="R278" t="str">
            <v xml:space="preserve">  </v>
          </cell>
          <cell r="Z278" t="str">
            <v xml:space="preserve">  </v>
          </cell>
          <cell r="AH278" t="str">
            <v xml:space="preserve">  </v>
          </cell>
          <cell r="AP278" t="str">
            <v xml:space="preserve">  </v>
          </cell>
        </row>
        <row r="279">
          <cell r="B279" t="str">
            <v xml:space="preserve">  </v>
          </cell>
          <cell r="J279" t="str">
            <v xml:space="preserve">  </v>
          </cell>
          <cell r="R279" t="str">
            <v xml:space="preserve">  </v>
          </cell>
          <cell r="Z279" t="str">
            <v xml:space="preserve">  </v>
          </cell>
          <cell r="AH279" t="str">
            <v xml:space="preserve">  </v>
          </cell>
          <cell r="AP279" t="str">
            <v xml:space="preserve">  </v>
          </cell>
        </row>
        <row r="280">
          <cell r="B280" t="str">
            <v xml:space="preserve">  </v>
          </cell>
          <cell r="J280" t="str">
            <v xml:space="preserve">  </v>
          </cell>
          <cell r="R280" t="str">
            <v xml:space="preserve">  </v>
          </cell>
          <cell r="Z280" t="str">
            <v xml:space="preserve">  </v>
          </cell>
          <cell r="AH280" t="str">
            <v xml:space="preserve">  </v>
          </cell>
          <cell r="AP280" t="str">
            <v xml:space="preserve">  </v>
          </cell>
        </row>
        <row r="281">
          <cell r="B281" t="str">
            <v xml:space="preserve">  </v>
          </cell>
          <cell r="J281" t="str">
            <v xml:space="preserve">  </v>
          </cell>
          <cell r="R281" t="str">
            <v xml:space="preserve">  </v>
          </cell>
          <cell r="Z281" t="str">
            <v xml:space="preserve">  </v>
          </cell>
          <cell r="AH281" t="str">
            <v xml:space="preserve">  </v>
          </cell>
          <cell r="AP281" t="str">
            <v xml:space="preserve">  </v>
          </cell>
        </row>
        <row r="282">
          <cell r="B282" t="str">
            <v xml:space="preserve">  </v>
          </cell>
          <cell r="J282" t="str">
            <v xml:space="preserve">  </v>
          </cell>
          <cell r="R282" t="str">
            <v xml:space="preserve">  </v>
          </cell>
          <cell r="Z282" t="str">
            <v xml:space="preserve">  </v>
          </cell>
          <cell r="AH282" t="str">
            <v xml:space="preserve">  </v>
          </cell>
          <cell r="AP282" t="str">
            <v xml:space="preserve">  </v>
          </cell>
        </row>
        <row r="283">
          <cell r="B283" t="str">
            <v xml:space="preserve">  </v>
          </cell>
          <cell r="J283" t="str">
            <v xml:space="preserve">  </v>
          </cell>
          <cell r="R283" t="str">
            <v xml:space="preserve">  </v>
          </cell>
          <cell r="Z283" t="str">
            <v xml:space="preserve">  </v>
          </cell>
          <cell r="AH283" t="str">
            <v xml:space="preserve">  </v>
          </cell>
          <cell r="AP283" t="str">
            <v xml:space="preserve">  </v>
          </cell>
        </row>
        <row r="284">
          <cell r="B284" t="str">
            <v xml:space="preserve">  </v>
          </cell>
          <cell r="J284" t="str">
            <v xml:space="preserve">  </v>
          </cell>
          <cell r="R284" t="str">
            <v xml:space="preserve">  </v>
          </cell>
          <cell r="Z284" t="str">
            <v xml:space="preserve">  </v>
          </cell>
          <cell r="AH284" t="str">
            <v xml:space="preserve">  </v>
          </cell>
          <cell r="AP284" t="str">
            <v xml:space="preserve">  </v>
          </cell>
        </row>
        <row r="285">
          <cell r="B285" t="str">
            <v xml:space="preserve">  </v>
          </cell>
          <cell r="J285" t="str">
            <v xml:space="preserve">  </v>
          </cell>
          <cell r="R285" t="str">
            <v xml:space="preserve">  </v>
          </cell>
          <cell r="Z285" t="str">
            <v xml:space="preserve">  </v>
          </cell>
          <cell r="AH285" t="str">
            <v xml:space="preserve">  </v>
          </cell>
          <cell r="AP285" t="str">
            <v xml:space="preserve">  </v>
          </cell>
        </row>
        <row r="286">
          <cell r="B286" t="str">
            <v xml:space="preserve">  </v>
          </cell>
          <cell r="J286" t="str">
            <v xml:space="preserve">  </v>
          </cell>
          <cell r="R286" t="str">
            <v xml:space="preserve">  </v>
          </cell>
          <cell r="Z286" t="str">
            <v xml:space="preserve">  </v>
          </cell>
          <cell r="AH286" t="str">
            <v xml:space="preserve">  </v>
          </cell>
          <cell r="AP286" t="str">
            <v xml:space="preserve">  </v>
          </cell>
        </row>
        <row r="287">
          <cell r="B287" t="str">
            <v xml:space="preserve">  </v>
          </cell>
          <cell r="J287" t="str">
            <v xml:space="preserve">  </v>
          </cell>
          <cell r="R287" t="str">
            <v xml:space="preserve">  </v>
          </cell>
          <cell r="Z287" t="str">
            <v xml:space="preserve">  </v>
          </cell>
          <cell r="AH287" t="str">
            <v xml:space="preserve">  </v>
          </cell>
          <cell r="AP287" t="str">
            <v xml:space="preserve">  </v>
          </cell>
        </row>
        <row r="288">
          <cell r="B288" t="str">
            <v xml:space="preserve">  </v>
          </cell>
          <cell r="J288" t="str">
            <v xml:space="preserve">  </v>
          </cell>
          <cell r="R288" t="str">
            <v xml:space="preserve">  </v>
          </cell>
          <cell r="Z288" t="str">
            <v xml:space="preserve">  </v>
          </cell>
          <cell r="AH288" t="str">
            <v xml:space="preserve">  </v>
          </cell>
          <cell r="AP288" t="str">
            <v xml:space="preserve">  </v>
          </cell>
        </row>
        <row r="289">
          <cell r="B289" t="str">
            <v xml:space="preserve">  </v>
          </cell>
          <cell r="J289" t="str">
            <v xml:space="preserve">  </v>
          </cell>
          <cell r="R289" t="str">
            <v xml:space="preserve">  </v>
          </cell>
          <cell r="Z289" t="str">
            <v xml:space="preserve">  </v>
          </cell>
          <cell r="AH289" t="str">
            <v xml:space="preserve">  </v>
          </cell>
          <cell r="AP289" t="str">
            <v xml:space="preserve">  </v>
          </cell>
        </row>
        <row r="290">
          <cell r="B290" t="str">
            <v xml:space="preserve">  </v>
          </cell>
          <cell r="J290" t="str">
            <v xml:space="preserve">  </v>
          </cell>
          <cell r="R290" t="str">
            <v xml:space="preserve">  </v>
          </cell>
          <cell r="Z290" t="str">
            <v xml:space="preserve">  </v>
          </cell>
          <cell r="AH290" t="str">
            <v xml:space="preserve">  </v>
          </cell>
          <cell r="AP290" t="str">
            <v xml:space="preserve">  </v>
          </cell>
        </row>
        <row r="291">
          <cell r="B291" t="str">
            <v xml:space="preserve">  </v>
          </cell>
          <cell r="J291" t="str">
            <v xml:space="preserve">  </v>
          </cell>
          <cell r="R291" t="str">
            <v xml:space="preserve">  </v>
          </cell>
          <cell r="Z291" t="str">
            <v xml:space="preserve">  </v>
          </cell>
          <cell r="AH291" t="str">
            <v xml:space="preserve">  </v>
          </cell>
          <cell r="AP291" t="str">
            <v xml:space="preserve">  </v>
          </cell>
        </row>
        <row r="292">
          <cell r="B292" t="str">
            <v xml:space="preserve">  </v>
          </cell>
          <cell r="J292" t="str">
            <v xml:space="preserve">  </v>
          </cell>
          <cell r="R292" t="str">
            <v xml:space="preserve">  </v>
          </cell>
          <cell r="Z292" t="str">
            <v xml:space="preserve">  </v>
          </cell>
          <cell r="AH292" t="str">
            <v xml:space="preserve">  </v>
          </cell>
          <cell r="AP292" t="str">
            <v xml:space="preserve">  </v>
          </cell>
        </row>
        <row r="293">
          <cell r="B293" t="str">
            <v xml:space="preserve">  </v>
          </cell>
          <cell r="J293" t="str">
            <v xml:space="preserve">  </v>
          </cell>
          <cell r="R293" t="str">
            <v xml:space="preserve">  </v>
          </cell>
          <cell r="Z293" t="str">
            <v xml:space="preserve">  </v>
          </cell>
          <cell r="AH293" t="str">
            <v xml:space="preserve">  </v>
          </cell>
          <cell r="AP293" t="str">
            <v xml:space="preserve">  </v>
          </cell>
        </row>
        <row r="294">
          <cell r="B294" t="str">
            <v xml:space="preserve">  </v>
          </cell>
          <cell r="J294" t="str">
            <v xml:space="preserve">  </v>
          </cell>
          <cell r="R294" t="str">
            <v xml:space="preserve">  </v>
          </cell>
          <cell r="Z294" t="str">
            <v xml:space="preserve">  </v>
          </cell>
          <cell r="AH294" t="str">
            <v xml:space="preserve">  </v>
          </cell>
          <cell r="AP294" t="str">
            <v xml:space="preserve">  </v>
          </cell>
        </row>
        <row r="295">
          <cell r="B295" t="str">
            <v xml:space="preserve">  </v>
          </cell>
          <cell r="J295" t="str">
            <v xml:space="preserve">  </v>
          </cell>
          <cell r="R295" t="str">
            <v xml:space="preserve">  </v>
          </cell>
          <cell r="Z295" t="str">
            <v xml:space="preserve">  </v>
          </cell>
          <cell r="AH295" t="str">
            <v xml:space="preserve">  </v>
          </cell>
          <cell r="AP295" t="str">
            <v xml:space="preserve">  </v>
          </cell>
        </row>
        <row r="296">
          <cell r="B296" t="str">
            <v xml:space="preserve">  </v>
          </cell>
          <cell r="J296" t="str">
            <v xml:space="preserve">  </v>
          </cell>
          <cell r="R296" t="str">
            <v xml:space="preserve">  </v>
          </cell>
          <cell r="Z296" t="str">
            <v xml:space="preserve">  </v>
          </cell>
          <cell r="AH296" t="str">
            <v xml:space="preserve">  </v>
          </cell>
          <cell r="AP296" t="str">
            <v xml:space="preserve">  </v>
          </cell>
        </row>
        <row r="297">
          <cell r="B297" t="str">
            <v xml:space="preserve">  </v>
          </cell>
          <cell r="J297" t="str">
            <v xml:space="preserve">  </v>
          </cell>
          <cell r="R297" t="str">
            <v xml:space="preserve">  </v>
          </cell>
          <cell r="Z297" t="str">
            <v xml:space="preserve">  </v>
          </cell>
          <cell r="AH297" t="str">
            <v xml:space="preserve">  </v>
          </cell>
          <cell r="AP297" t="str">
            <v xml:space="preserve">  </v>
          </cell>
        </row>
        <row r="298">
          <cell r="B298" t="str">
            <v xml:space="preserve">  </v>
          </cell>
          <cell r="J298" t="str">
            <v xml:space="preserve">  </v>
          </cell>
          <cell r="R298" t="str">
            <v xml:space="preserve">  </v>
          </cell>
          <cell r="Z298" t="str">
            <v xml:space="preserve">  </v>
          </cell>
          <cell r="AH298" t="str">
            <v xml:space="preserve">  </v>
          </cell>
          <cell r="AP298" t="str">
            <v xml:space="preserve">  </v>
          </cell>
        </row>
        <row r="299">
          <cell r="B299" t="str">
            <v xml:space="preserve">  </v>
          </cell>
          <cell r="J299" t="str">
            <v xml:space="preserve">  </v>
          </cell>
          <cell r="R299" t="str">
            <v xml:space="preserve">  </v>
          </cell>
          <cell r="Z299" t="str">
            <v xml:space="preserve">  </v>
          </cell>
          <cell r="AH299" t="str">
            <v xml:space="preserve">  </v>
          </cell>
          <cell r="AP299" t="str">
            <v xml:space="preserve">  </v>
          </cell>
        </row>
        <row r="300">
          <cell r="B300" t="str">
            <v xml:space="preserve">  </v>
          </cell>
          <cell r="J300" t="str">
            <v xml:space="preserve">  </v>
          </cell>
          <cell r="R300" t="str">
            <v xml:space="preserve">  </v>
          </cell>
          <cell r="Z300" t="str">
            <v xml:space="preserve">  </v>
          </cell>
          <cell r="AH300" t="str">
            <v xml:space="preserve">  </v>
          </cell>
          <cell r="AP300" t="str">
            <v xml:space="preserve">  </v>
          </cell>
        </row>
        <row r="301">
          <cell r="B301" t="str">
            <v xml:space="preserve">  </v>
          </cell>
          <cell r="J301" t="str">
            <v xml:space="preserve">  </v>
          </cell>
          <cell r="R301" t="str">
            <v xml:space="preserve">  </v>
          </cell>
          <cell r="Z301" t="str">
            <v xml:space="preserve">  </v>
          </cell>
          <cell r="AH301" t="str">
            <v xml:space="preserve">  </v>
          </cell>
          <cell r="AP301" t="str">
            <v xml:space="preserve">  </v>
          </cell>
        </row>
        <row r="302">
          <cell r="B302" t="str">
            <v xml:space="preserve">  </v>
          </cell>
          <cell r="J302" t="str">
            <v xml:space="preserve">  </v>
          </cell>
          <cell r="R302" t="str">
            <v xml:space="preserve">  </v>
          </cell>
          <cell r="Z302" t="str">
            <v xml:space="preserve">  </v>
          </cell>
          <cell r="AH302" t="str">
            <v xml:space="preserve">  </v>
          </cell>
          <cell r="AP302" t="str">
            <v xml:space="preserve">  </v>
          </cell>
        </row>
        <row r="303">
          <cell r="B303" t="str">
            <v xml:space="preserve">  </v>
          </cell>
          <cell r="J303" t="str">
            <v xml:space="preserve">  </v>
          </cell>
          <cell r="R303" t="str">
            <v xml:space="preserve">  </v>
          </cell>
          <cell r="Z303" t="str">
            <v xml:space="preserve">  </v>
          </cell>
          <cell r="AH303" t="str">
            <v xml:space="preserve">  </v>
          </cell>
          <cell r="AP303" t="str">
            <v xml:space="preserve">  </v>
          </cell>
        </row>
        <row r="304">
          <cell r="B304" t="str">
            <v xml:space="preserve">  </v>
          </cell>
          <cell r="J304" t="str">
            <v xml:space="preserve">  </v>
          </cell>
          <cell r="R304" t="str">
            <v xml:space="preserve">  </v>
          </cell>
          <cell r="Z304" t="str">
            <v xml:space="preserve">  </v>
          </cell>
          <cell r="AH304" t="str">
            <v xml:space="preserve">  </v>
          </cell>
          <cell r="AP304" t="str">
            <v xml:space="preserve">  </v>
          </cell>
        </row>
        <row r="305">
          <cell r="B305" t="str">
            <v xml:space="preserve">  </v>
          </cell>
          <cell r="J305" t="str">
            <v xml:space="preserve">  </v>
          </cell>
          <cell r="R305" t="str">
            <v xml:space="preserve">  </v>
          </cell>
          <cell r="Z305" t="str">
            <v xml:space="preserve">  </v>
          </cell>
          <cell r="AH305" t="str">
            <v xml:space="preserve">  </v>
          </cell>
          <cell r="AP305" t="str">
            <v xml:space="preserve">  </v>
          </cell>
        </row>
        <row r="306">
          <cell r="B306" t="str">
            <v xml:space="preserve">  </v>
          </cell>
          <cell r="J306" t="str">
            <v xml:space="preserve">  </v>
          </cell>
          <cell r="R306" t="str">
            <v xml:space="preserve">  </v>
          </cell>
          <cell r="Z306" t="str">
            <v xml:space="preserve">  </v>
          </cell>
          <cell r="AH306" t="str">
            <v xml:space="preserve">  </v>
          </cell>
          <cell r="AP306" t="str">
            <v xml:space="preserve">  </v>
          </cell>
        </row>
        <row r="307">
          <cell r="B307" t="str">
            <v xml:space="preserve">  </v>
          </cell>
          <cell r="J307" t="str">
            <v xml:space="preserve">  </v>
          </cell>
          <cell r="R307" t="str">
            <v xml:space="preserve">  </v>
          </cell>
          <cell r="Z307" t="str">
            <v xml:space="preserve">  </v>
          </cell>
          <cell r="AH307" t="str">
            <v xml:space="preserve">  </v>
          </cell>
          <cell r="AP307" t="str">
            <v xml:space="preserve">  </v>
          </cell>
        </row>
        <row r="308">
          <cell r="B308" t="str">
            <v xml:space="preserve">  </v>
          </cell>
          <cell r="J308" t="str">
            <v xml:space="preserve">  </v>
          </cell>
          <cell r="R308" t="str">
            <v xml:space="preserve">  </v>
          </cell>
          <cell r="Z308" t="str">
            <v xml:space="preserve">  </v>
          </cell>
          <cell r="AH308" t="str">
            <v xml:space="preserve">  </v>
          </cell>
          <cell r="AP308" t="str">
            <v xml:space="preserve">  </v>
          </cell>
        </row>
        <row r="309">
          <cell r="B309" t="str">
            <v xml:space="preserve">  </v>
          </cell>
          <cell r="J309" t="str">
            <v xml:space="preserve">  </v>
          </cell>
          <cell r="R309" t="str">
            <v xml:space="preserve">  </v>
          </cell>
          <cell r="Z309" t="str">
            <v xml:space="preserve">  </v>
          </cell>
          <cell r="AH309" t="str">
            <v xml:space="preserve">  </v>
          </cell>
          <cell r="AP309" t="str">
            <v xml:space="preserve">  </v>
          </cell>
        </row>
        <row r="310">
          <cell r="B310" t="str">
            <v xml:space="preserve">  </v>
          </cell>
          <cell r="J310" t="str">
            <v xml:space="preserve">  </v>
          </cell>
          <cell r="R310" t="str">
            <v xml:space="preserve">  </v>
          </cell>
          <cell r="Z310" t="str">
            <v xml:space="preserve">  </v>
          </cell>
          <cell r="AH310" t="str">
            <v xml:space="preserve">  </v>
          </cell>
          <cell r="AP310" t="str">
            <v xml:space="preserve">  </v>
          </cell>
        </row>
        <row r="311">
          <cell r="B311" t="str">
            <v xml:space="preserve">  </v>
          </cell>
          <cell r="J311" t="str">
            <v xml:space="preserve">  </v>
          </cell>
          <cell r="R311" t="str">
            <v xml:space="preserve">  </v>
          </cell>
          <cell r="Z311" t="str">
            <v xml:space="preserve">  </v>
          </cell>
          <cell r="AH311" t="str">
            <v xml:space="preserve">  </v>
          </cell>
          <cell r="AP311" t="str">
            <v xml:space="preserve">  </v>
          </cell>
        </row>
        <row r="312">
          <cell r="B312" t="str">
            <v xml:space="preserve">  </v>
          </cell>
          <cell r="J312" t="str">
            <v xml:space="preserve">  </v>
          </cell>
          <cell r="R312" t="str">
            <v xml:space="preserve">  </v>
          </cell>
          <cell r="Z312" t="str">
            <v xml:space="preserve">  </v>
          </cell>
          <cell r="AH312" t="str">
            <v xml:space="preserve">  </v>
          </cell>
          <cell r="AP312" t="str">
            <v xml:space="preserve">  </v>
          </cell>
        </row>
        <row r="313">
          <cell r="B313" t="str">
            <v xml:space="preserve">  </v>
          </cell>
          <cell r="J313" t="str">
            <v xml:space="preserve">  </v>
          </cell>
          <cell r="R313" t="str">
            <v xml:space="preserve">  </v>
          </cell>
          <cell r="Z313" t="str">
            <v xml:space="preserve">  </v>
          </cell>
          <cell r="AH313" t="str">
            <v xml:space="preserve">  </v>
          </cell>
          <cell r="AP313" t="str">
            <v xml:space="preserve">  </v>
          </cell>
        </row>
        <row r="314">
          <cell r="B314" t="str">
            <v xml:space="preserve">  </v>
          </cell>
          <cell r="J314" t="str">
            <v xml:space="preserve">  </v>
          </cell>
          <cell r="R314" t="str">
            <v xml:space="preserve">  </v>
          </cell>
          <cell r="Z314" t="str">
            <v xml:space="preserve">  </v>
          </cell>
          <cell r="AH314" t="str">
            <v xml:space="preserve">  </v>
          </cell>
          <cell r="AP314" t="str">
            <v xml:space="preserve">  </v>
          </cell>
        </row>
        <row r="315">
          <cell r="B315" t="str">
            <v xml:space="preserve">  </v>
          </cell>
          <cell r="J315" t="str">
            <v xml:space="preserve">  </v>
          </cell>
          <cell r="R315" t="str">
            <v xml:space="preserve">  </v>
          </cell>
          <cell r="Z315" t="str">
            <v xml:space="preserve">  </v>
          </cell>
          <cell r="AH315" t="str">
            <v xml:space="preserve">  </v>
          </cell>
          <cell r="AP315" t="str">
            <v xml:space="preserve">  </v>
          </cell>
        </row>
        <row r="316">
          <cell r="B316" t="str">
            <v xml:space="preserve">  </v>
          </cell>
          <cell r="J316" t="str">
            <v xml:space="preserve">  </v>
          </cell>
          <cell r="R316" t="str">
            <v xml:space="preserve">  </v>
          </cell>
          <cell r="Z316" t="str">
            <v xml:space="preserve">  </v>
          </cell>
          <cell r="AH316" t="str">
            <v xml:space="preserve">  </v>
          </cell>
          <cell r="AP316" t="str">
            <v xml:space="preserve">  </v>
          </cell>
        </row>
        <row r="317">
          <cell r="B317" t="str">
            <v xml:space="preserve">  </v>
          </cell>
          <cell r="J317" t="str">
            <v xml:space="preserve">  </v>
          </cell>
          <cell r="R317" t="str">
            <v xml:space="preserve">  </v>
          </cell>
          <cell r="Z317" t="str">
            <v xml:space="preserve">  </v>
          </cell>
          <cell r="AH317" t="str">
            <v xml:space="preserve">  </v>
          </cell>
          <cell r="AP317" t="str">
            <v xml:space="preserve">  </v>
          </cell>
        </row>
        <row r="318">
          <cell r="B318" t="str">
            <v xml:space="preserve">  </v>
          </cell>
          <cell r="J318" t="str">
            <v xml:space="preserve">  </v>
          </cell>
          <cell r="R318" t="str">
            <v xml:space="preserve">  </v>
          </cell>
          <cell r="Z318" t="str">
            <v xml:space="preserve">  </v>
          </cell>
          <cell r="AH318" t="str">
            <v xml:space="preserve">  </v>
          </cell>
          <cell r="AP318" t="str">
            <v xml:space="preserve">  </v>
          </cell>
        </row>
        <row r="319">
          <cell r="B319" t="str">
            <v xml:space="preserve">  </v>
          </cell>
          <cell r="J319" t="str">
            <v xml:space="preserve">  </v>
          </cell>
          <cell r="R319" t="str">
            <v xml:space="preserve">  </v>
          </cell>
          <cell r="Z319" t="str">
            <v xml:space="preserve">  </v>
          </cell>
          <cell r="AH319" t="str">
            <v xml:space="preserve">  </v>
          </cell>
          <cell r="AP319" t="str">
            <v xml:space="preserve">  </v>
          </cell>
        </row>
        <row r="320">
          <cell r="B320" t="str">
            <v xml:space="preserve">  </v>
          </cell>
          <cell r="J320" t="str">
            <v xml:space="preserve">  </v>
          </cell>
          <cell r="R320" t="str">
            <v xml:space="preserve">  </v>
          </cell>
          <cell r="Z320" t="str">
            <v xml:space="preserve">  </v>
          </cell>
          <cell r="AH320" t="str">
            <v xml:space="preserve">  </v>
          </cell>
          <cell r="AP320" t="str">
            <v xml:space="preserve">  </v>
          </cell>
        </row>
        <row r="321">
          <cell r="B321" t="str">
            <v xml:space="preserve">  </v>
          </cell>
          <cell r="J321" t="str">
            <v xml:space="preserve">  </v>
          </cell>
          <cell r="R321" t="str">
            <v xml:space="preserve">  </v>
          </cell>
          <cell r="Z321" t="str">
            <v xml:space="preserve">  </v>
          </cell>
          <cell r="AH321" t="str">
            <v xml:space="preserve">  </v>
          </cell>
          <cell r="AP321" t="str">
            <v xml:space="preserve">  </v>
          </cell>
        </row>
        <row r="322">
          <cell r="B322" t="str">
            <v xml:space="preserve">  </v>
          </cell>
          <cell r="J322" t="str">
            <v xml:space="preserve">  </v>
          </cell>
          <cell r="R322" t="str">
            <v xml:space="preserve">  </v>
          </cell>
          <cell r="Z322" t="str">
            <v xml:space="preserve">  </v>
          </cell>
          <cell r="AH322" t="str">
            <v xml:space="preserve">  </v>
          </cell>
          <cell r="AP322" t="str">
            <v xml:space="preserve">  </v>
          </cell>
        </row>
        <row r="323">
          <cell r="B323" t="str">
            <v xml:space="preserve">  </v>
          </cell>
          <cell r="J323" t="str">
            <v xml:space="preserve">  </v>
          </cell>
          <cell r="R323" t="str">
            <v xml:space="preserve">  </v>
          </cell>
          <cell r="Z323" t="str">
            <v xml:space="preserve">  </v>
          </cell>
          <cell r="AH323" t="str">
            <v xml:space="preserve">  </v>
          </cell>
          <cell r="AP323" t="str">
            <v xml:space="preserve">  </v>
          </cell>
        </row>
        <row r="324">
          <cell r="B324" t="str">
            <v xml:space="preserve">  </v>
          </cell>
          <cell r="J324" t="str">
            <v xml:space="preserve">  </v>
          </cell>
          <cell r="R324" t="str">
            <v xml:space="preserve">  </v>
          </cell>
          <cell r="Z324" t="str">
            <v xml:space="preserve">  </v>
          </cell>
          <cell r="AH324" t="str">
            <v xml:space="preserve">  </v>
          </cell>
          <cell r="AP324" t="str">
            <v xml:space="preserve">  </v>
          </cell>
        </row>
        <row r="325">
          <cell r="B325" t="str">
            <v xml:space="preserve">  </v>
          </cell>
          <cell r="J325" t="str">
            <v xml:space="preserve">  </v>
          </cell>
          <cell r="R325" t="str">
            <v xml:space="preserve">  </v>
          </cell>
          <cell r="Z325" t="str">
            <v xml:space="preserve">  </v>
          </cell>
          <cell r="AH325" t="str">
            <v xml:space="preserve">  </v>
          </cell>
          <cell r="AP325" t="str">
            <v xml:space="preserve">  </v>
          </cell>
        </row>
        <row r="326">
          <cell r="B326" t="str">
            <v xml:space="preserve">  </v>
          </cell>
          <cell r="J326" t="str">
            <v xml:space="preserve">  </v>
          </cell>
          <cell r="R326" t="str">
            <v xml:space="preserve">  </v>
          </cell>
          <cell r="Z326" t="str">
            <v xml:space="preserve">  </v>
          </cell>
          <cell r="AH326" t="str">
            <v xml:space="preserve">  </v>
          </cell>
          <cell r="AP326" t="str">
            <v xml:space="preserve">  </v>
          </cell>
        </row>
        <row r="334">
          <cell r="B334" t="str">
            <v>MUTSCALM MTRT Index</v>
          </cell>
          <cell r="C334" t="str">
            <v>MUTSCALM</v>
          </cell>
          <cell r="D334" t="str">
            <v>MTRT</v>
          </cell>
          <cell r="E334" t="str">
            <v>Index</v>
          </cell>
          <cell r="F334" t="str">
            <v>OIS</v>
          </cell>
          <cell r="G334" t="str">
            <v>ON</v>
          </cell>
          <cell r="H334" t="b">
            <v>1</v>
          </cell>
          <cell r="J334" t="str">
            <v>JY0006M MTRT Index</v>
          </cell>
          <cell r="K334" t="str">
            <v>JY0006M</v>
          </cell>
          <cell r="L334" t="str">
            <v>MTRT</v>
          </cell>
          <cell r="M334" t="str">
            <v>Index</v>
          </cell>
          <cell r="N334" t="str">
            <v>CASH</v>
          </cell>
          <cell r="O334" t="str">
            <v>6M</v>
          </cell>
          <cell r="P334" t="b">
            <v>1</v>
          </cell>
          <cell r="R334" t="str">
            <v>JYBC1 MTRT Curncy</v>
          </cell>
          <cell r="S334" t="str">
            <v>JYBC1</v>
          </cell>
          <cell r="T334" t="str">
            <v>MTRT</v>
          </cell>
          <cell r="U334" t="str">
            <v>Curncy</v>
          </cell>
          <cell r="V334" t="str">
            <v>TENOR-BASIS</v>
          </cell>
          <cell r="W334" t="str">
            <v>1Y</v>
          </cell>
          <cell r="X334" t="b">
            <v>1</v>
          </cell>
          <cell r="Z334" t="str">
            <v>JYBB1 MTRT Curncy</v>
          </cell>
          <cell r="AA334" t="str">
            <v>JYBB1</v>
          </cell>
          <cell r="AB334" t="str">
            <v>MTRT</v>
          </cell>
          <cell r="AC334" t="str">
            <v>Curncy</v>
          </cell>
          <cell r="AD334" t="str">
            <v>TENOR-BASIS</v>
          </cell>
          <cell r="AE334" t="str">
            <v>1Y</v>
          </cell>
          <cell r="AF334" t="b">
            <v>1</v>
          </cell>
          <cell r="AH334" t="str">
            <v xml:space="preserve">  </v>
          </cell>
          <cell r="AP334" t="str">
            <v>JYBS1 MTRT Curncy</v>
          </cell>
          <cell r="AQ334" t="str">
            <v>JYBS1</v>
          </cell>
          <cell r="AR334" t="str">
            <v>MTRT</v>
          </cell>
          <cell r="AS334" t="str">
            <v>Curncy</v>
          </cell>
          <cell r="AT334" t="str">
            <v>XCCY-BASIS</v>
          </cell>
          <cell r="AU334" t="str">
            <v>1Y</v>
          </cell>
          <cell r="AV334" t="b">
            <v>1</v>
          </cell>
        </row>
        <row r="335">
          <cell r="B335" t="str">
            <v>JYSO1Z MTRT Curncy</v>
          </cell>
          <cell r="C335" t="str">
            <v>JYSO1Z</v>
          </cell>
          <cell r="D335" t="str">
            <v>MTRT</v>
          </cell>
          <cell r="E335" t="str">
            <v>Curncy</v>
          </cell>
          <cell r="F335" t="str">
            <v>OIS</v>
          </cell>
          <cell r="G335" t="str">
            <v>1W</v>
          </cell>
          <cell r="H335" t="b">
            <v>0</v>
          </cell>
          <cell r="J335" t="str">
            <v>JYFR1/7 MTRT Curncy</v>
          </cell>
          <cell r="K335" t="str">
            <v>JYFR1/7</v>
          </cell>
          <cell r="L335" t="str">
            <v>MTRT</v>
          </cell>
          <cell r="M335" t="str">
            <v>Curncy</v>
          </cell>
          <cell r="N335" t="str">
            <v>FRA</v>
          </cell>
          <cell r="O335" t="str">
            <v>1X7</v>
          </cell>
          <cell r="P335" t="b">
            <v>0</v>
          </cell>
          <cell r="R335" t="str">
            <v>JYBC2 MTRT Curncy</v>
          </cell>
          <cell r="S335" t="str">
            <v>JYBC2</v>
          </cell>
          <cell r="T335" t="str">
            <v>MTRT</v>
          </cell>
          <cell r="U335" t="str">
            <v>Curncy</v>
          </cell>
          <cell r="V335" t="str">
            <v>TENOR-BASIS</v>
          </cell>
          <cell r="W335" t="str">
            <v>2Y</v>
          </cell>
          <cell r="X335" t="b">
            <v>1</v>
          </cell>
          <cell r="Z335" t="str">
            <v>JYBB2 MTRT Curncy</v>
          </cell>
          <cell r="AA335" t="str">
            <v>JYBB2</v>
          </cell>
          <cell r="AB335" t="str">
            <v>MTRT</v>
          </cell>
          <cell r="AC335" t="str">
            <v>Curncy</v>
          </cell>
          <cell r="AD335" t="str">
            <v>TENOR-BASIS</v>
          </cell>
          <cell r="AE335" t="str">
            <v>2Y</v>
          </cell>
          <cell r="AF335" t="b">
            <v>1</v>
          </cell>
          <cell r="AH335" t="str">
            <v xml:space="preserve">  </v>
          </cell>
          <cell r="AP335" t="str">
            <v>JYBS2 MTRT Curncy</v>
          </cell>
          <cell r="AQ335" t="str">
            <v>JYBS2</v>
          </cell>
          <cell r="AR335" t="str">
            <v>MTRT</v>
          </cell>
          <cell r="AS335" t="str">
            <v>Curncy</v>
          </cell>
          <cell r="AT335" t="str">
            <v>XCCY-BASIS</v>
          </cell>
          <cell r="AU335" t="str">
            <v>2Y</v>
          </cell>
          <cell r="AV335" t="b">
            <v>1</v>
          </cell>
        </row>
        <row r="336">
          <cell r="B336" t="str">
            <v>JYSO2Z MTRT Curncy</v>
          </cell>
          <cell r="C336" t="str">
            <v>JYSO2Z</v>
          </cell>
          <cell r="D336" t="str">
            <v>MTRT</v>
          </cell>
          <cell r="E336" t="str">
            <v>Curncy</v>
          </cell>
          <cell r="F336" t="str">
            <v>OIS</v>
          </cell>
          <cell r="G336" t="str">
            <v>2W</v>
          </cell>
          <cell r="H336" t="b">
            <v>0</v>
          </cell>
          <cell r="J336" t="str">
            <v>JYFR2/8 MTRT Curncy</v>
          </cell>
          <cell r="K336" t="str">
            <v>JYFR2/8</v>
          </cell>
          <cell r="L336" t="str">
            <v>MTRT</v>
          </cell>
          <cell r="M336" t="str">
            <v>Curncy</v>
          </cell>
          <cell r="N336" t="str">
            <v>FRA</v>
          </cell>
          <cell r="O336" t="str">
            <v>2X8</v>
          </cell>
          <cell r="P336" t="b">
            <v>1</v>
          </cell>
          <cell r="R336" t="str">
            <v>JYBC3 MTRT Curncy</v>
          </cell>
          <cell r="S336" t="str">
            <v>JYBC3</v>
          </cell>
          <cell r="T336" t="str">
            <v>MTRT</v>
          </cell>
          <cell r="U336" t="str">
            <v>Curncy</v>
          </cell>
          <cell r="V336" t="str">
            <v>TENOR-BASIS</v>
          </cell>
          <cell r="W336" t="str">
            <v>3Y</v>
          </cell>
          <cell r="X336" t="b">
            <v>1</v>
          </cell>
          <cell r="Z336" t="str">
            <v>JYBB3 MTRT Curncy</v>
          </cell>
          <cell r="AA336" t="str">
            <v>JYBB3</v>
          </cell>
          <cell r="AB336" t="str">
            <v>MTRT</v>
          </cell>
          <cell r="AC336" t="str">
            <v>Curncy</v>
          </cell>
          <cell r="AD336" t="str">
            <v>TENOR-BASIS</v>
          </cell>
          <cell r="AE336" t="str">
            <v>3Y</v>
          </cell>
          <cell r="AF336" t="b">
            <v>1</v>
          </cell>
          <cell r="AH336" t="str">
            <v xml:space="preserve">  </v>
          </cell>
          <cell r="AP336" t="str">
            <v>JYBS3 MTRT Curncy</v>
          </cell>
          <cell r="AQ336" t="str">
            <v>JYBS3</v>
          </cell>
          <cell r="AR336" t="str">
            <v>MTRT</v>
          </cell>
          <cell r="AS336" t="str">
            <v>Curncy</v>
          </cell>
          <cell r="AT336" t="str">
            <v>XCCY-BASIS</v>
          </cell>
          <cell r="AU336" t="str">
            <v>3Y</v>
          </cell>
          <cell r="AV336" t="b">
            <v>1</v>
          </cell>
        </row>
        <row r="337">
          <cell r="B337" t="str">
            <v>JYSO3Z MTRT Curncy</v>
          </cell>
          <cell r="C337" t="str">
            <v>JYSO3Z</v>
          </cell>
          <cell r="D337" t="str">
            <v>MTRT</v>
          </cell>
          <cell r="E337" t="str">
            <v>Curncy</v>
          </cell>
          <cell r="F337" t="str">
            <v>OIS</v>
          </cell>
          <cell r="G337" t="str">
            <v>3W</v>
          </cell>
          <cell r="H337" t="b">
            <v>0</v>
          </cell>
          <cell r="J337" t="str">
            <v>JYFR3/9 MTRT Curncy</v>
          </cell>
          <cell r="K337" t="str">
            <v>JYFR3/9</v>
          </cell>
          <cell r="L337" t="str">
            <v>MTRT</v>
          </cell>
          <cell r="M337" t="str">
            <v>Curncy</v>
          </cell>
          <cell r="N337" t="str">
            <v>FRA</v>
          </cell>
          <cell r="O337" t="str">
            <v>3X9</v>
          </cell>
          <cell r="P337" t="b">
            <v>1</v>
          </cell>
          <cell r="R337" t="str">
            <v>JYBC4 MTRT Curncy</v>
          </cell>
          <cell r="S337" t="str">
            <v>JYBC4</v>
          </cell>
          <cell r="T337" t="str">
            <v>MTRT</v>
          </cell>
          <cell r="U337" t="str">
            <v>Curncy</v>
          </cell>
          <cell r="V337" t="str">
            <v>TENOR-BASIS</v>
          </cell>
          <cell r="W337" t="str">
            <v>4Y</v>
          </cell>
          <cell r="X337" t="b">
            <v>1</v>
          </cell>
          <cell r="Z337" t="str">
            <v>JYBB4 MTRT Curncy</v>
          </cell>
          <cell r="AA337" t="str">
            <v>JYBB4</v>
          </cell>
          <cell r="AB337" t="str">
            <v>MTRT</v>
          </cell>
          <cell r="AC337" t="str">
            <v>Curncy</v>
          </cell>
          <cell r="AD337" t="str">
            <v>TENOR-BASIS</v>
          </cell>
          <cell r="AE337" t="str">
            <v>4Y</v>
          </cell>
          <cell r="AF337" t="b">
            <v>1</v>
          </cell>
          <cell r="AH337" t="str">
            <v xml:space="preserve">  </v>
          </cell>
          <cell r="AP337" t="str">
            <v>JYBS4 MTRT Curncy</v>
          </cell>
          <cell r="AQ337" t="str">
            <v>JYBS4</v>
          </cell>
          <cell r="AR337" t="str">
            <v>MTRT</v>
          </cell>
          <cell r="AS337" t="str">
            <v>Curncy</v>
          </cell>
          <cell r="AT337" t="str">
            <v>XCCY-BASIS</v>
          </cell>
          <cell r="AU337" t="str">
            <v>4Y</v>
          </cell>
          <cell r="AV337" t="b">
            <v>1</v>
          </cell>
        </row>
        <row r="338">
          <cell r="B338" t="str">
            <v>JYSOA MTRT Curncy</v>
          </cell>
          <cell r="C338" t="str">
            <v>JYSOA</v>
          </cell>
          <cell r="D338" t="str">
            <v>MTRT</v>
          </cell>
          <cell r="E338" t="str">
            <v>Curncy</v>
          </cell>
          <cell r="F338" t="str">
            <v>OIS</v>
          </cell>
          <cell r="G338" t="str">
            <v>1M</v>
          </cell>
          <cell r="H338" t="b">
            <v>1</v>
          </cell>
          <cell r="J338" t="str">
            <v>JYFR4/10 MTRT Curncy</v>
          </cell>
          <cell r="K338" t="str">
            <v>JYFR4/10</v>
          </cell>
          <cell r="L338" t="str">
            <v>MTRT</v>
          </cell>
          <cell r="M338" t="str">
            <v>Curncy</v>
          </cell>
          <cell r="N338" t="str">
            <v>FRA</v>
          </cell>
          <cell r="O338" t="str">
            <v>4X10</v>
          </cell>
          <cell r="P338" t="b">
            <v>1</v>
          </cell>
          <cell r="R338" t="str">
            <v>JYBC5 MTRT Curncy</v>
          </cell>
          <cell r="S338" t="str">
            <v>JYBC5</v>
          </cell>
          <cell r="T338" t="str">
            <v>MTRT</v>
          </cell>
          <cell r="U338" t="str">
            <v>Curncy</v>
          </cell>
          <cell r="V338" t="str">
            <v>TENOR-BASIS</v>
          </cell>
          <cell r="W338" t="str">
            <v>5Y</v>
          </cell>
          <cell r="X338" t="b">
            <v>1</v>
          </cell>
          <cell r="Z338" t="str">
            <v>JYBB5 MTRT Curncy</v>
          </cell>
          <cell r="AA338" t="str">
            <v>JYBB5</v>
          </cell>
          <cell r="AB338" t="str">
            <v>MTRT</v>
          </cell>
          <cell r="AC338" t="str">
            <v>Curncy</v>
          </cell>
          <cell r="AD338" t="str">
            <v>TENOR-BASIS</v>
          </cell>
          <cell r="AE338" t="str">
            <v>5Y</v>
          </cell>
          <cell r="AF338" t="b">
            <v>1</v>
          </cell>
          <cell r="AH338" t="str">
            <v xml:space="preserve">  </v>
          </cell>
          <cell r="AP338" t="str">
            <v>JYBS5 MTRT Curncy</v>
          </cell>
          <cell r="AQ338" t="str">
            <v>JYBS5</v>
          </cell>
          <cell r="AR338" t="str">
            <v>MTRT</v>
          </cell>
          <cell r="AS338" t="str">
            <v>Curncy</v>
          </cell>
          <cell r="AT338" t="str">
            <v>XCCY-BASIS</v>
          </cell>
          <cell r="AU338" t="str">
            <v>5Y</v>
          </cell>
          <cell r="AV338" t="b">
            <v>1</v>
          </cell>
        </row>
        <row r="339">
          <cell r="B339" t="str">
            <v>JYSOB MTRT Curncy</v>
          </cell>
          <cell r="C339" t="str">
            <v>JYSOB</v>
          </cell>
          <cell r="D339" t="str">
            <v>MTRT</v>
          </cell>
          <cell r="E339" t="str">
            <v>Curncy</v>
          </cell>
          <cell r="F339" t="str">
            <v>OIS</v>
          </cell>
          <cell r="G339" t="str">
            <v>2M</v>
          </cell>
          <cell r="H339" t="b">
            <v>0</v>
          </cell>
          <cell r="J339" t="str">
            <v>JYFR5/11 MTRT Curncy</v>
          </cell>
          <cell r="K339" t="str">
            <v>JYFR5/11</v>
          </cell>
          <cell r="L339" t="str">
            <v>MTRT</v>
          </cell>
          <cell r="M339" t="str">
            <v>Curncy</v>
          </cell>
          <cell r="N339" t="str">
            <v>FRA</v>
          </cell>
          <cell r="O339" t="str">
            <v>5X11</v>
          </cell>
          <cell r="P339" t="b">
            <v>1</v>
          </cell>
          <cell r="R339" t="str">
            <v>JYBC6 MTRT Curncy</v>
          </cell>
          <cell r="S339" t="str">
            <v>JYBC6</v>
          </cell>
          <cell r="T339" t="str">
            <v>MTRT</v>
          </cell>
          <cell r="U339" t="str">
            <v>Curncy</v>
          </cell>
          <cell r="V339" t="str">
            <v>TENOR-BASIS</v>
          </cell>
          <cell r="W339" t="str">
            <v>6Y</v>
          </cell>
          <cell r="X339" t="b">
            <v>1</v>
          </cell>
          <cell r="Z339" t="str">
            <v>JYBB6 MTRT Curncy</v>
          </cell>
          <cell r="AA339" t="str">
            <v>JYBB6</v>
          </cell>
          <cell r="AB339" t="str">
            <v>MTRT</v>
          </cell>
          <cell r="AC339" t="str">
            <v>Curncy</v>
          </cell>
          <cell r="AD339" t="str">
            <v>TENOR-BASIS</v>
          </cell>
          <cell r="AE339" t="str">
            <v>6Y</v>
          </cell>
          <cell r="AF339" t="b">
            <v>1</v>
          </cell>
          <cell r="AH339" t="str">
            <v xml:space="preserve">  </v>
          </cell>
          <cell r="AP339" t="str">
            <v>JYBS6 MTRT Curncy</v>
          </cell>
          <cell r="AQ339" t="str">
            <v>JYBS6</v>
          </cell>
          <cell r="AR339" t="str">
            <v>MTRT</v>
          </cell>
          <cell r="AS339" t="str">
            <v>Curncy</v>
          </cell>
          <cell r="AT339" t="str">
            <v>XCCY-BASIS</v>
          </cell>
          <cell r="AU339" t="str">
            <v>6Y</v>
          </cell>
          <cell r="AV339" t="b">
            <v>1</v>
          </cell>
        </row>
        <row r="340">
          <cell r="B340" t="str">
            <v>JYSOC MTRT Curncy</v>
          </cell>
          <cell r="C340" t="str">
            <v>JYSOC</v>
          </cell>
          <cell r="D340" t="str">
            <v>MTRT</v>
          </cell>
          <cell r="E340" t="str">
            <v>Curncy</v>
          </cell>
          <cell r="F340" t="str">
            <v>OIS</v>
          </cell>
          <cell r="G340" t="str">
            <v>3M</v>
          </cell>
          <cell r="H340" t="b">
            <v>1</v>
          </cell>
          <cell r="J340" t="str">
            <v>JYFR6/12 MTRT Curncy</v>
          </cell>
          <cell r="K340" t="str">
            <v>JYFR6/12</v>
          </cell>
          <cell r="L340" t="str">
            <v>MTRT</v>
          </cell>
          <cell r="M340" t="str">
            <v>Curncy</v>
          </cell>
          <cell r="N340" t="str">
            <v>FRA</v>
          </cell>
          <cell r="O340" t="str">
            <v>6X12</v>
          </cell>
          <cell r="P340" t="b">
            <v>1</v>
          </cell>
          <cell r="R340" t="str">
            <v>JYBC7 MTRT Curncy</v>
          </cell>
          <cell r="S340" t="str">
            <v>JYBC7</v>
          </cell>
          <cell r="T340" t="str">
            <v>MTRT</v>
          </cell>
          <cell r="U340" t="str">
            <v>Curncy</v>
          </cell>
          <cell r="V340" t="str">
            <v>TENOR-BASIS</v>
          </cell>
          <cell r="W340" t="str">
            <v>7Y</v>
          </cell>
          <cell r="X340" t="b">
            <v>1</v>
          </cell>
          <cell r="Z340" t="str">
            <v>JYBB7 MTRT Curncy</v>
          </cell>
          <cell r="AA340" t="str">
            <v>JYBB7</v>
          </cell>
          <cell r="AB340" t="str">
            <v>MTRT</v>
          </cell>
          <cell r="AC340" t="str">
            <v>Curncy</v>
          </cell>
          <cell r="AD340" t="str">
            <v>TENOR-BASIS</v>
          </cell>
          <cell r="AE340" t="str">
            <v>7Y</v>
          </cell>
          <cell r="AF340" t="b">
            <v>1</v>
          </cell>
          <cell r="AH340" t="str">
            <v xml:space="preserve">  </v>
          </cell>
          <cell r="AP340" t="str">
            <v>JYBS7 MTRT Curncy</v>
          </cell>
          <cell r="AQ340" t="str">
            <v>JYBS7</v>
          </cell>
          <cell r="AR340" t="str">
            <v>MTRT</v>
          </cell>
          <cell r="AS340" t="str">
            <v>Curncy</v>
          </cell>
          <cell r="AT340" t="str">
            <v>XCCY-BASIS</v>
          </cell>
          <cell r="AU340" t="str">
            <v>7Y</v>
          </cell>
          <cell r="AV340" t="b">
            <v>1</v>
          </cell>
        </row>
        <row r="341">
          <cell r="B341" t="str">
            <v>JYSOD MTRT Curncy</v>
          </cell>
          <cell r="C341" t="str">
            <v>JYSOD</v>
          </cell>
          <cell r="D341" t="str">
            <v>MTRT</v>
          </cell>
          <cell r="E341" t="str">
            <v>Curncy</v>
          </cell>
          <cell r="F341" t="str">
            <v>OIS</v>
          </cell>
          <cell r="G341" t="str">
            <v>4M</v>
          </cell>
          <cell r="H341" t="b">
            <v>0</v>
          </cell>
          <cell r="J341" t="str">
            <v>JYSWAP1F MTRT Curncy</v>
          </cell>
          <cell r="K341" t="str">
            <v>JYSWAP1F</v>
          </cell>
          <cell r="L341" t="str">
            <v>MTRT</v>
          </cell>
          <cell r="M341" t="str">
            <v>Curncy</v>
          </cell>
          <cell r="N341" t="str">
            <v>SWAP</v>
          </cell>
          <cell r="O341" t="str">
            <v>18M</v>
          </cell>
          <cell r="P341" t="b">
            <v>0</v>
          </cell>
          <cell r="R341" t="str">
            <v>JYBC8 MTRT Curncy</v>
          </cell>
          <cell r="S341" t="str">
            <v>JYBC8</v>
          </cell>
          <cell r="T341" t="str">
            <v>MTRT</v>
          </cell>
          <cell r="U341" t="str">
            <v>Curncy</v>
          </cell>
          <cell r="V341" t="str">
            <v>TENOR-BASIS</v>
          </cell>
          <cell r="W341" t="str">
            <v>8Y</v>
          </cell>
          <cell r="X341" t="b">
            <v>1</v>
          </cell>
          <cell r="Z341" t="str">
            <v>JYBB8 MTRT Curncy</v>
          </cell>
          <cell r="AA341" t="str">
            <v>JYBB8</v>
          </cell>
          <cell r="AB341" t="str">
            <v>MTRT</v>
          </cell>
          <cell r="AC341" t="str">
            <v>Curncy</v>
          </cell>
          <cell r="AD341" t="str">
            <v>TENOR-BASIS</v>
          </cell>
          <cell r="AE341" t="str">
            <v>8Y</v>
          </cell>
          <cell r="AF341" t="b">
            <v>1</v>
          </cell>
          <cell r="AH341" t="str">
            <v xml:space="preserve">  </v>
          </cell>
          <cell r="AP341" t="str">
            <v>JYBS8 MTRT Curncy</v>
          </cell>
          <cell r="AQ341" t="str">
            <v>JYBS8</v>
          </cell>
          <cell r="AR341" t="str">
            <v>MTRT</v>
          </cell>
          <cell r="AS341" t="str">
            <v>Curncy</v>
          </cell>
          <cell r="AT341" t="str">
            <v>XCCY-BASIS</v>
          </cell>
          <cell r="AU341" t="str">
            <v>8Y</v>
          </cell>
          <cell r="AV341" t="b">
            <v>1</v>
          </cell>
        </row>
        <row r="342">
          <cell r="B342" t="str">
            <v>JYSOE MTRT Curncy</v>
          </cell>
          <cell r="C342" t="str">
            <v>JYSOE</v>
          </cell>
          <cell r="D342" t="str">
            <v>MTRT</v>
          </cell>
          <cell r="E342" t="str">
            <v>Curncy</v>
          </cell>
          <cell r="F342" t="str">
            <v>OIS</v>
          </cell>
          <cell r="G342" t="str">
            <v>5M</v>
          </cell>
          <cell r="H342" t="b">
            <v>0</v>
          </cell>
          <cell r="J342" t="str">
            <v>JYSWAP2 MTRT Curncy</v>
          </cell>
          <cell r="K342" t="str">
            <v>JYSWAP2</v>
          </cell>
          <cell r="L342" t="str">
            <v>MTRT</v>
          </cell>
          <cell r="M342" t="str">
            <v>Curncy</v>
          </cell>
          <cell r="N342" t="str">
            <v>SWAP</v>
          </cell>
          <cell r="O342" t="str">
            <v>2Y</v>
          </cell>
          <cell r="P342" t="b">
            <v>1</v>
          </cell>
          <cell r="R342" t="str">
            <v>JYBC9 MTRT Curncy</v>
          </cell>
          <cell r="S342" t="str">
            <v>JYBC9</v>
          </cell>
          <cell r="T342" t="str">
            <v>MTRT</v>
          </cell>
          <cell r="U342" t="str">
            <v>Curncy</v>
          </cell>
          <cell r="V342" t="str">
            <v>TENOR-BASIS</v>
          </cell>
          <cell r="W342" t="str">
            <v>9Y</v>
          </cell>
          <cell r="X342" t="b">
            <v>1</v>
          </cell>
          <cell r="Z342" t="str">
            <v>JYBB9 MTRT Curncy</v>
          </cell>
          <cell r="AA342" t="str">
            <v>JYBB9</v>
          </cell>
          <cell r="AB342" t="str">
            <v>MTRT</v>
          </cell>
          <cell r="AC342" t="str">
            <v>Curncy</v>
          </cell>
          <cell r="AD342" t="str">
            <v>TENOR-BASIS</v>
          </cell>
          <cell r="AE342" t="str">
            <v>9Y</v>
          </cell>
          <cell r="AF342" t="b">
            <v>1</v>
          </cell>
          <cell r="AH342" t="str">
            <v xml:space="preserve">  </v>
          </cell>
          <cell r="AP342" t="str">
            <v>JYBS9 MTRT Curncy</v>
          </cell>
          <cell r="AQ342" t="str">
            <v>JYBS9</v>
          </cell>
          <cell r="AR342" t="str">
            <v>MTRT</v>
          </cell>
          <cell r="AS342" t="str">
            <v>Curncy</v>
          </cell>
          <cell r="AT342" t="str">
            <v>XCCY-BASIS</v>
          </cell>
          <cell r="AU342" t="str">
            <v>9Y</v>
          </cell>
          <cell r="AV342" t="b">
            <v>1</v>
          </cell>
        </row>
        <row r="343">
          <cell r="B343" t="str">
            <v>JYSOF MTRT Curncy</v>
          </cell>
          <cell r="C343" t="str">
            <v>JYSOF</v>
          </cell>
          <cell r="D343" t="str">
            <v>MTRT</v>
          </cell>
          <cell r="E343" t="str">
            <v>Curncy</v>
          </cell>
          <cell r="F343" t="str">
            <v>OIS</v>
          </cell>
          <cell r="G343" t="str">
            <v>6M</v>
          </cell>
          <cell r="H343" t="b">
            <v>1</v>
          </cell>
          <cell r="J343" t="str">
            <v>JYSWAP3 MTRT Curncy</v>
          </cell>
          <cell r="K343" t="str">
            <v>JYSWAP3</v>
          </cell>
          <cell r="L343" t="str">
            <v>MTRT</v>
          </cell>
          <cell r="M343" t="str">
            <v>Curncy</v>
          </cell>
          <cell r="N343" t="str">
            <v>SWAP</v>
          </cell>
          <cell r="O343" t="str">
            <v>3Y</v>
          </cell>
          <cell r="P343" t="b">
            <v>1</v>
          </cell>
          <cell r="R343" t="str">
            <v>JYBC10 MTRT Curncy</v>
          </cell>
          <cell r="S343" t="str">
            <v>JYBC10</v>
          </cell>
          <cell r="T343" t="str">
            <v>MTRT</v>
          </cell>
          <cell r="U343" t="str">
            <v>Curncy</v>
          </cell>
          <cell r="V343" t="str">
            <v>TENOR-BASIS</v>
          </cell>
          <cell r="W343" t="str">
            <v>10Y</v>
          </cell>
          <cell r="X343" t="b">
            <v>1</v>
          </cell>
          <cell r="Z343" t="str">
            <v>JYBB10 MTRT Curncy</v>
          </cell>
          <cell r="AA343" t="str">
            <v>JYBB10</v>
          </cell>
          <cell r="AB343" t="str">
            <v>MTRT</v>
          </cell>
          <cell r="AC343" t="str">
            <v>Curncy</v>
          </cell>
          <cell r="AD343" t="str">
            <v>TENOR-BASIS</v>
          </cell>
          <cell r="AE343" t="str">
            <v>10Y</v>
          </cell>
          <cell r="AF343" t="b">
            <v>1</v>
          </cell>
          <cell r="AH343" t="str">
            <v xml:space="preserve">  </v>
          </cell>
          <cell r="AP343" t="str">
            <v>JYBS10 MTRT Curncy</v>
          </cell>
          <cell r="AQ343" t="str">
            <v>JYBS10</v>
          </cell>
          <cell r="AR343" t="str">
            <v>MTRT</v>
          </cell>
          <cell r="AS343" t="str">
            <v>Curncy</v>
          </cell>
          <cell r="AT343" t="str">
            <v>XCCY-BASIS</v>
          </cell>
          <cell r="AU343" t="str">
            <v>10Y</v>
          </cell>
          <cell r="AV343" t="b">
            <v>1</v>
          </cell>
        </row>
        <row r="344">
          <cell r="B344" t="str">
            <v>JYSOG MTRT Curncy</v>
          </cell>
          <cell r="C344" t="str">
            <v>JYSOG</v>
          </cell>
          <cell r="D344" t="str">
            <v>MTRT</v>
          </cell>
          <cell r="E344" t="str">
            <v>Curncy</v>
          </cell>
          <cell r="F344" t="str">
            <v>OIS</v>
          </cell>
          <cell r="G344" t="str">
            <v>7M</v>
          </cell>
          <cell r="H344" t="b">
            <v>0</v>
          </cell>
          <cell r="J344" t="str">
            <v>JYSWAP4 MTRT Curncy</v>
          </cell>
          <cell r="K344" t="str">
            <v>JYSWAP4</v>
          </cell>
          <cell r="L344" t="str">
            <v>MTRT</v>
          </cell>
          <cell r="M344" t="str">
            <v>Curncy</v>
          </cell>
          <cell r="N344" t="str">
            <v>SWAP</v>
          </cell>
          <cell r="O344" t="str">
            <v>4Y</v>
          </cell>
          <cell r="P344" t="b">
            <v>1</v>
          </cell>
          <cell r="R344" t="str">
            <v>JYBC11 MTRT Curncy</v>
          </cell>
          <cell r="S344" t="str">
            <v>JYBC11</v>
          </cell>
          <cell r="T344" t="str">
            <v>MTRT</v>
          </cell>
          <cell r="U344" t="str">
            <v>Curncy</v>
          </cell>
          <cell r="V344" t="str">
            <v>TENOR-BASIS</v>
          </cell>
          <cell r="W344" t="str">
            <v>11Y</v>
          </cell>
          <cell r="X344" t="b">
            <v>1</v>
          </cell>
          <cell r="Z344" t="str">
            <v>JYBB12 MTRT Curncy</v>
          </cell>
          <cell r="AA344" t="str">
            <v>JYBB12</v>
          </cell>
          <cell r="AB344" t="str">
            <v>MTRT</v>
          </cell>
          <cell r="AC344" t="str">
            <v>Curncy</v>
          </cell>
          <cell r="AD344" t="str">
            <v>TENOR-BASIS</v>
          </cell>
          <cell r="AE344" t="str">
            <v>12Y</v>
          </cell>
          <cell r="AF344" t="b">
            <v>1</v>
          </cell>
          <cell r="AH344" t="str">
            <v xml:space="preserve">  </v>
          </cell>
          <cell r="AP344" t="str">
            <v>JYBS11 MTRT Curncy</v>
          </cell>
          <cell r="AQ344" t="str">
            <v>JYBS11</v>
          </cell>
          <cell r="AR344" t="str">
            <v>MTRT</v>
          </cell>
          <cell r="AS344" t="str">
            <v>Curncy</v>
          </cell>
          <cell r="AT344" t="str">
            <v>XCCY-BASIS</v>
          </cell>
          <cell r="AU344" t="str">
            <v>11Y</v>
          </cell>
          <cell r="AV344" t="b">
            <v>1</v>
          </cell>
        </row>
        <row r="345">
          <cell r="B345" t="str">
            <v>JYSOH MTRT Curncy</v>
          </cell>
          <cell r="C345" t="str">
            <v>JYSOH</v>
          </cell>
          <cell r="D345" t="str">
            <v>MTRT</v>
          </cell>
          <cell r="E345" t="str">
            <v>Curncy</v>
          </cell>
          <cell r="F345" t="str">
            <v>OIS</v>
          </cell>
          <cell r="G345" t="str">
            <v>8M</v>
          </cell>
          <cell r="H345" t="b">
            <v>0</v>
          </cell>
          <cell r="J345" t="str">
            <v>JYSWAP5 MTRT Curncy</v>
          </cell>
          <cell r="K345" t="str">
            <v>JYSWAP5</v>
          </cell>
          <cell r="L345" t="str">
            <v>MTRT</v>
          </cell>
          <cell r="M345" t="str">
            <v>Curncy</v>
          </cell>
          <cell r="N345" t="str">
            <v>SWAP</v>
          </cell>
          <cell r="O345" t="str">
            <v>5Y</v>
          </cell>
          <cell r="P345" t="b">
            <v>1</v>
          </cell>
          <cell r="R345" t="str">
            <v>JYBC12 MTRT Curncy</v>
          </cell>
          <cell r="S345" t="str">
            <v>JYBC12</v>
          </cell>
          <cell r="T345" t="str">
            <v>MTRT</v>
          </cell>
          <cell r="U345" t="str">
            <v>Curncy</v>
          </cell>
          <cell r="V345" t="str">
            <v>TENOR-BASIS</v>
          </cell>
          <cell r="W345" t="str">
            <v>12Y</v>
          </cell>
          <cell r="X345" t="b">
            <v>1</v>
          </cell>
          <cell r="Z345" t="str">
            <v>JYBB15 MTRT Curncy</v>
          </cell>
          <cell r="AA345" t="str">
            <v>JYBB15</v>
          </cell>
          <cell r="AB345" t="str">
            <v>MTRT</v>
          </cell>
          <cell r="AC345" t="str">
            <v>Curncy</v>
          </cell>
          <cell r="AD345" t="str">
            <v>TENOR-BASIS</v>
          </cell>
          <cell r="AE345" t="str">
            <v>15Y</v>
          </cell>
          <cell r="AF345" t="b">
            <v>1</v>
          </cell>
          <cell r="AH345" t="str">
            <v xml:space="preserve">  </v>
          </cell>
          <cell r="AP345" t="str">
            <v>JYBS12 MTRT Curncy</v>
          </cell>
          <cell r="AQ345" t="str">
            <v>JYBS12</v>
          </cell>
          <cell r="AR345" t="str">
            <v>MTRT</v>
          </cell>
          <cell r="AS345" t="str">
            <v>Curncy</v>
          </cell>
          <cell r="AT345" t="str">
            <v>XCCY-BASIS</v>
          </cell>
          <cell r="AU345" t="str">
            <v>12Y</v>
          </cell>
          <cell r="AV345" t="b">
            <v>1</v>
          </cell>
        </row>
        <row r="346">
          <cell r="B346" t="str">
            <v>JYSOI MTRT Curncy</v>
          </cell>
          <cell r="C346" t="str">
            <v>JYSOI</v>
          </cell>
          <cell r="D346" t="str">
            <v>MTRT</v>
          </cell>
          <cell r="E346" t="str">
            <v>Curncy</v>
          </cell>
          <cell r="F346" t="str">
            <v>OIS</v>
          </cell>
          <cell r="G346" t="str">
            <v>9M</v>
          </cell>
          <cell r="H346" t="b">
            <v>0</v>
          </cell>
          <cell r="J346" t="str">
            <v>JYSWAP6 MTRT Curncy</v>
          </cell>
          <cell r="K346" t="str">
            <v>JYSWAP6</v>
          </cell>
          <cell r="L346" t="str">
            <v>MTRT</v>
          </cell>
          <cell r="M346" t="str">
            <v>Curncy</v>
          </cell>
          <cell r="N346" t="str">
            <v>SWAP</v>
          </cell>
          <cell r="O346" t="str">
            <v>6Y</v>
          </cell>
          <cell r="P346" t="b">
            <v>1</v>
          </cell>
          <cell r="R346" t="str">
            <v>JYBC15 MTRT Curncy</v>
          </cell>
          <cell r="S346" t="str">
            <v>JYBC15</v>
          </cell>
          <cell r="T346" t="str">
            <v>MTRT</v>
          </cell>
          <cell r="U346" t="str">
            <v>Curncy</v>
          </cell>
          <cell r="V346" t="str">
            <v>TENOR-BASIS</v>
          </cell>
          <cell r="W346" t="str">
            <v>15Y</v>
          </cell>
          <cell r="X346" t="b">
            <v>1</v>
          </cell>
          <cell r="Z346" t="str">
            <v>JYBB20 MTRT Curncy</v>
          </cell>
          <cell r="AA346" t="str">
            <v>JYBB20</v>
          </cell>
          <cell r="AB346" t="str">
            <v>MTRT</v>
          </cell>
          <cell r="AC346" t="str">
            <v>Curncy</v>
          </cell>
          <cell r="AD346" t="str">
            <v>TENOR-BASIS</v>
          </cell>
          <cell r="AE346" t="str">
            <v>20Y</v>
          </cell>
          <cell r="AF346" t="b">
            <v>1</v>
          </cell>
          <cell r="AH346" t="str">
            <v xml:space="preserve">  </v>
          </cell>
          <cell r="AP346" t="str">
            <v>JYBS13 MTRT Curncy</v>
          </cell>
          <cell r="AQ346" t="str">
            <v>JYBS13</v>
          </cell>
          <cell r="AR346" t="str">
            <v>MTRT</v>
          </cell>
          <cell r="AS346" t="str">
            <v>Curncy</v>
          </cell>
          <cell r="AT346" t="str">
            <v>XCCY-BASIS</v>
          </cell>
          <cell r="AU346" t="str">
            <v>13Y</v>
          </cell>
          <cell r="AV346" t="b">
            <v>1</v>
          </cell>
        </row>
        <row r="347">
          <cell r="B347" t="str">
            <v>JYSOJ MTRT Curncy</v>
          </cell>
          <cell r="C347" t="str">
            <v>JYSOJ</v>
          </cell>
          <cell r="D347" t="str">
            <v>MTRT</v>
          </cell>
          <cell r="E347" t="str">
            <v>Curncy</v>
          </cell>
          <cell r="F347" t="str">
            <v>OIS</v>
          </cell>
          <cell r="G347" t="str">
            <v>10M</v>
          </cell>
          <cell r="H347" t="b">
            <v>0</v>
          </cell>
          <cell r="J347" t="str">
            <v>JYSWAP7 MTRT Curncy</v>
          </cell>
          <cell r="K347" t="str">
            <v>JYSWAP7</v>
          </cell>
          <cell r="L347" t="str">
            <v>MTRT</v>
          </cell>
          <cell r="M347" t="str">
            <v>Curncy</v>
          </cell>
          <cell r="N347" t="str">
            <v>SWAP</v>
          </cell>
          <cell r="O347" t="str">
            <v>7Y</v>
          </cell>
          <cell r="P347" t="b">
            <v>1</v>
          </cell>
          <cell r="R347" t="str">
            <v>JYBC20 MTRT Curncy</v>
          </cell>
          <cell r="S347" t="str">
            <v>JYBC20</v>
          </cell>
          <cell r="T347" t="str">
            <v>MTRT</v>
          </cell>
          <cell r="U347" t="str">
            <v>Curncy</v>
          </cell>
          <cell r="V347" t="str">
            <v>TENOR-BASIS</v>
          </cell>
          <cell r="W347" t="str">
            <v>20Y</v>
          </cell>
          <cell r="X347" t="b">
            <v>1</v>
          </cell>
          <cell r="Z347" t="str">
            <v>JYBB25 MTRT Curncy</v>
          </cell>
          <cell r="AA347" t="str">
            <v>JYBB25</v>
          </cell>
          <cell r="AB347" t="str">
            <v>MTRT</v>
          </cell>
          <cell r="AC347" t="str">
            <v>Curncy</v>
          </cell>
          <cell r="AD347" t="str">
            <v>TENOR-BASIS</v>
          </cell>
          <cell r="AE347" t="str">
            <v>25Y</v>
          </cell>
          <cell r="AF347" t="b">
            <v>1</v>
          </cell>
          <cell r="AH347" t="str">
            <v xml:space="preserve">  </v>
          </cell>
          <cell r="AP347" t="str">
            <v>JYBS14 MTRT Curncy</v>
          </cell>
          <cell r="AQ347" t="str">
            <v>JYBS14</v>
          </cell>
          <cell r="AR347" t="str">
            <v>MTRT</v>
          </cell>
          <cell r="AS347" t="str">
            <v>Curncy</v>
          </cell>
          <cell r="AT347" t="str">
            <v>XCCY-BASIS</v>
          </cell>
          <cell r="AU347" t="str">
            <v>14Y</v>
          </cell>
          <cell r="AV347" t="b">
            <v>1</v>
          </cell>
        </row>
        <row r="348">
          <cell r="B348" t="str">
            <v>JYSOK MTRT Curncy</v>
          </cell>
          <cell r="C348" t="str">
            <v>JYSOK</v>
          </cell>
          <cell r="D348" t="str">
            <v>MTRT</v>
          </cell>
          <cell r="E348" t="str">
            <v>Curncy</v>
          </cell>
          <cell r="F348" t="str">
            <v>OIS</v>
          </cell>
          <cell r="G348" t="str">
            <v>11M</v>
          </cell>
          <cell r="H348" t="b">
            <v>0</v>
          </cell>
          <cell r="J348" t="str">
            <v>JYSWAP8 MTRT Curncy</v>
          </cell>
          <cell r="K348" t="str">
            <v>JYSWAP8</v>
          </cell>
          <cell r="L348" t="str">
            <v>MTRT</v>
          </cell>
          <cell r="M348" t="str">
            <v>Curncy</v>
          </cell>
          <cell r="N348" t="str">
            <v>SWAP</v>
          </cell>
          <cell r="O348" t="str">
            <v>8Y</v>
          </cell>
          <cell r="P348" t="b">
            <v>1</v>
          </cell>
          <cell r="R348" t="str">
            <v>JYBC25 MTRT Curncy</v>
          </cell>
          <cell r="S348" t="str">
            <v>JYBC25</v>
          </cell>
          <cell r="T348" t="str">
            <v>MTRT</v>
          </cell>
          <cell r="U348" t="str">
            <v>Curncy</v>
          </cell>
          <cell r="V348" t="str">
            <v>TENOR-BASIS</v>
          </cell>
          <cell r="W348" t="str">
            <v>25Y</v>
          </cell>
          <cell r="X348" t="b">
            <v>1</v>
          </cell>
          <cell r="Z348" t="str">
            <v>JYBB30 MTRT Curncy</v>
          </cell>
          <cell r="AA348" t="str">
            <v>JYBB30</v>
          </cell>
          <cell r="AB348" t="str">
            <v>MTRT</v>
          </cell>
          <cell r="AC348" t="str">
            <v>Curncy</v>
          </cell>
          <cell r="AD348" t="str">
            <v>TENOR-BASIS</v>
          </cell>
          <cell r="AE348" t="str">
            <v>30Y</v>
          </cell>
          <cell r="AF348" t="b">
            <v>1</v>
          </cell>
          <cell r="AH348" t="str">
            <v xml:space="preserve">  </v>
          </cell>
          <cell r="AP348" t="str">
            <v>JYBS15 MTRT Curncy</v>
          </cell>
          <cell r="AQ348" t="str">
            <v>JYBS15</v>
          </cell>
          <cell r="AR348" t="str">
            <v>MTRT</v>
          </cell>
          <cell r="AS348" t="str">
            <v>Curncy</v>
          </cell>
          <cell r="AT348" t="str">
            <v>XCCY-BASIS</v>
          </cell>
          <cell r="AU348" t="str">
            <v>15Y</v>
          </cell>
          <cell r="AV348" t="b">
            <v>1</v>
          </cell>
        </row>
        <row r="349">
          <cell r="B349" t="str">
            <v>JYSO1 MTRT Curncy</v>
          </cell>
          <cell r="C349" t="str">
            <v>JYSO1</v>
          </cell>
          <cell r="D349" t="str">
            <v>MTRT</v>
          </cell>
          <cell r="E349" t="str">
            <v>Curncy</v>
          </cell>
          <cell r="F349" t="str">
            <v>OIS</v>
          </cell>
          <cell r="G349" t="str">
            <v>12M</v>
          </cell>
          <cell r="H349" t="b">
            <v>1</v>
          </cell>
          <cell r="J349" t="str">
            <v>JYSWAP9 MTRT Curncy</v>
          </cell>
          <cell r="K349" t="str">
            <v>JYSWAP9</v>
          </cell>
          <cell r="L349" t="str">
            <v>MTRT</v>
          </cell>
          <cell r="M349" t="str">
            <v>Curncy</v>
          </cell>
          <cell r="N349" t="str">
            <v>SWAP</v>
          </cell>
          <cell r="O349" t="str">
            <v>9Y</v>
          </cell>
          <cell r="P349" t="b">
            <v>1</v>
          </cell>
          <cell r="R349" t="str">
            <v>JYBC30 MTRT Curncy</v>
          </cell>
          <cell r="S349" t="str">
            <v>JYBC30</v>
          </cell>
          <cell r="T349" t="str">
            <v>MTRT</v>
          </cell>
          <cell r="U349" t="str">
            <v>Curncy</v>
          </cell>
          <cell r="V349" t="str">
            <v>TENOR-BASIS</v>
          </cell>
          <cell r="W349" t="str">
            <v>30Y</v>
          </cell>
          <cell r="X349" t="b">
            <v>1</v>
          </cell>
          <cell r="Z349" t="str">
            <v>JYBB40 MTRT Curncy</v>
          </cell>
          <cell r="AA349" t="str">
            <v>JYBB40</v>
          </cell>
          <cell r="AB349" t="str">
            <v>MTRT</v>
          </cell>
          <cell r="AC349" t="str">
            <v>Curncy</v>
          </cell>
          <cell r="AD349" t="str">
            <v>TENOR-BASIS</v>
          </cell>
          <cell r="AE349" t="str">
            <v>40Y</v>
          </cell>
          <cell r="AF349" t="b">
            <v>1</v>
          </cell>
          <cell r="AH349" t="str">
            <v xml:space="preserve">  </v>
          </cell>
          <cell r="AP349" t="str">
            <v>JYBS20 MTRT Curncy</v>
          </cell>
          <cell r="AQ349" t="str">
            <v>JYBS20</v>
          </cell>
          <cell r="AR349" t="str">
            <v>MTRT</v>
          </cell>
          <cell r="AS349" t="str">
            <v>Curncy</v>
          </cell>
          <cell r="AT349" t="str">
            <v>XCCY-BASIS</v>
          </cell>
          <cell r="AU349" t="str">
            <v>20Y</v>
          </cell>
          <cell r="AV349" t="b">
            <v>1</v>
          </cell>
        </row>
        <row r="350">
          <cell r="B350" t="str">
            <v>JYSO1F MTRT Curncy</v>
          </cell>
          <cell r="C350" t="str">
            <v>JYSO1F</v>
          </cell>
          <cell r="D350" t="str">
            <v>MTRT</v>
          </cell>
          <cell r="E350" t="str">
            <v>Curncy</v>
          </cell>
          <cell r="F350" t="str">
            <v>OIS</v>
          </cell>
          <cell r="G350" t="str">
            <v>18M</v>
          </cell>
          <cell r="H350" t="b">
            <v>0</v>
          </cell>
          <cell r="J350" t="str">
            <v>JYSWAP10 MTRT Curncy</v>
          </cell>
          <cell r="K350" t="str">
            <v>JYSWAP10</v>
          </cell>
          <cell r="L350" t="str">
            <v>MTRT</v>
          </cell>
          <cell r="M350" t="str">
            <v>Curncy</v>
          </cell>
          <cell r="N350" t="str">
            <v>SWAP</v>
          </cell>
          <cell r="O350" t="str">
            <v>10Y</v>
          </cell>
          <cell r="P350" t="b">
            <v>1</v>
          </cell>
          <cell r="R350" t="str">
            <v>JYBC40 MTRT Curncy</v>
          </cell>
          <cell r="S350" t="str">
            <v>JYBC40</v>
          </cell>
          <cell r="T350" t="str">
            <v>MTRT</v>
          </cell>
          <cell r="U350" t="str">
            <v>Curncy</v>
          </cell>
          <cell r="V350" t="str">
            <v>TENOR-BASIS</v>
          </cell>
          <cell r="W350" t="str">
            <v>40Y</v>
          </cell>
          <cell r="X350" t="b">
            <v>1</v>
          </cell>
          <cell r="Z350" t="str">
            <v xml:space="preserve">  </v>
          </cell>
          <cell r="AH350" t="str">
            <v xml:space="preserve">  </v>
          </cell>
          <cell r="AP350" t="str">
            <v>JYBS25 MTRT Curncy</v>
          </cell>
          <cell r="AQ350" t="str">
            <v>JYBS25</v>
          </cell>
          <cell r="AR350" t="str">
            <v>MTRT</v>
          </cell>
          <cell r="AS350" t="str">
            <v>Curncy</v>
          </cell>
          <cell r="AT350" t="str">
            <v>XCCY-BASIS</v>
          </cell>
          <cell r="AU350" t="str">
            <v>25Y</v>
          </cell>
          <cell r="AV350" t="b">
            <v>1</v>
          </cell>
        </row>
        <row r="351">
          <cell r="B351" t="str">
            <v>JYSO2 MTRT Curncy</v>
          </cell>
          <cell r="C351" t="str">
            <v>JYSO2</v>
          </cell>
          <cell r="D351" t="str">
            <v>MTRT</v>
          </cell>
          <cell r="E351" t="str">
            <v>Curncy</v>
          </cell>
          <cell r="F351" t="str">
            <v>OIS</v>
          </cell>
          <cell r="G351" t="str">
            <v>2Y</v>
          </cell>
          <cell r="H351" t="b">
            <v>1</v>
          </cell>
          <cell r="J351" t="str">
            <v>JYSWAP12 MTRT Curncy</v>
          </cell>
          <cell r="K351" t="str">
            <v>JYSWAP12</v>
          </cell>
          <cell r="L351" t="str">
            <v>MTRT</v>
          </cell>
          <cell r="M351" t="str">
            <v>Curncy</v>
          </cell>
          <cell r="N351" t="str">
            <v>SWAP</v>
          </cell>
          <cell r="O351" t="str">
            <v>12Y</v>
          </cell>
          <cell r="P351" t="b">
            <v>1</v>
          </cell>
          <cell r="R351" t="str">
            <v xml:space="preserve">  </v>
          </cell>
          <cell r="Z351" t="str">
            <v xml:space="preserve">  </v>
          </cell>
          <cell r="AH351" t="str">
            <v xml:space="preserve">  </v>
          </cell>
          <cell r="AP351" t="str">
            <v>JYBS30 MTRT Curncy</v>
          </cell>
          <cell r="AQ351" t="str">
            <v>JYBS30</v>
          </cell>
          <cell r="AR351" t="str">
            <v>MTRT</v>
          </cell>
          <cell r="AS351" t="str">
            <v>Curncy</v>
          </cell>
          <cell r="AT351" t="str">
            <v>XCCY-BASIS</v>
          </cell>
          <cell r="AU351" t="str">
            <v>30Y</v>
          </cell>
          <cell r="AV351" t="b">
            <v>1</v>
          </cell>
        </row>
        <row r="352">
          <cell r="B352" t="str">
            <v>JYSO3 MTRT Curncy</v>
          </cell>
          <cell r="C352" t="str">
            <v>JYSO3</v>
          </cell>
          <cell r="D352" t="str">
            <v>MTRT</v>
          </cell>
          <cell r="E352" t="str">
            <v>Curncy</v>
          </cell>
          <cell r="F352" t="str">
            <v>OIS</v>
          </cell>
          <cell r="G352" t="str">
            <v>3Y</v>
          </cell>
          <cell r="H352" t="b">
            <v>1</v>
          </cell>
          <cell r="J352" t="str">
            <v>JYSW15 MTRT Curncy</v>
          </cell>
          <cell r="K352" t="str">
            <v>JYSW15</v>
          </cell>
          <cell r="L352" t="str">
            <v>MTRT</v>
          </cell>
          <cell r="M352" t="str">
            <v>Curncy</v>
          </cell>
          <cell r="N352" t="str">
            <v>SWAP</v>
          </cell>
          <cell r="O352" t="str">
            <v>15Y</v>
          </cell>
          <cell r="P352" t="b">
            <v>1</v>
          </cell>
          <cell r="R352" t="str">
            <v xml:space="preserve">  </v>
          </cell>
          <cell r="Z352" t="str">
            <v xml:space="preserve">  </v>
          </cell>
          <cell r="AH352" t="str">
            <v xml:space="preserve">  </v>
          </cell>
          <cell r="AP352" t="str">
            <v xml:space="preserve">  </v>
          </cell>
        </row>
        <row r="353">
          <cell r="B353" t="str">
            <v>JYSO4 MTRT Curncy</v>
          </cell>
          <cell r="C353" t="str">
            <v>JYSO4</v>
          </cell>
          <cell r="D353" t="str">
            <v>MTRT</v>
          </cell>
          <cell r="E353" t="str">
            <v>Curncy</v>
          </cell>
          <cell r="F353" t="str">
            <v>OIS</v>
          </cell>
          <cell r="G353" t="str">
            <v>4Y</v>
          </cell>
          <cell r="H353" t="b">
            <v>1</v>
          </cell>
          <cell r="J353" t="str">
            <v>JYSW20 MTRT Curncy</v>
          </cell>
          <cell r="K353" t="str">
            <v>JYSW20</v>
          </cell>
          <cell r="L353" t="str">
            <v>MTRT</v>
          </cell>
          <cell r="M353" t="str">
            <v>Curncy</v>
          </cell>
          <cell r="N353" t="str">
            <v>SWAP</v>
          </cell>
          <cell r="O353" t="str">
            <v>20Y</v>
          </cell>
          <cell r="P353" t="b">
            <v>1</v>
          </cell>
          <cell r="R353" t="str">
            <v xml:space="preserve">  </v>
          </cell>
          <cell r="Z353" t="str">
            <v xml:space="preserve">  </v>
          </cell>
          <cell r="AH353" t="str">
            <v xml:space="preserve">  </v>
          </cell>
          <cell r="AP353" t="str">
            <v xml:space="preserve">  </v>
          </cell>
        </row>
        <row r="354">
          <cell r="B354" t="str">
            <v>JYSO5 MTRT Curncy</v>
          </cell>
          <cell r="C354" t="str">
            <v>JYSO5</v>
          </cell>
          <cell r="D354" t="str">
            <v>MTRT</v>
          </cell>
          <cell r="E354" t="str">
            <v>Curncy</v>
          </cell>
          <cell r="F354" t="str">
            <v>OIS</v>
          </cell>
          <cell r="G354" t="str">
            <v>5Y</v>
          </cell>
          <cell r="H354" t="b">
            <v>1</v>
          </cell>
          <cell r="J354" t="str">
            <v>JYSW25 MTRT Curncy</v>
          </cell>
          <cell r="K354" t="str">
            <v>JYSW25</v>
          </cell>
          <cell r="L354" t="str">
            <v>MTRT</v>
          </cell>
          <cell r="M354" t="str">
            <v>Curncy</v>
          </cell>
          <cell r="N354" t="str">
            <v>SWAP</v>
          </cell>
          <cell r="O354" t="str">
            <v>25Y</v>
          </cell>
          <cell r="P354" t="b">
            <v>1</v>
          </cell>
          <cell r="R354" t="str">
            <v xml:space="preserve">  </v>
          </cell>
          <cell r="Z354" t="str">
            <v xml:space="preserve">  </v>
          </cell>
          <cell r="AH354" t="str">
            <v xml:space="preserve">  </v>
          </cell>
          <cell r="AP354" t="str">
            <v xml:space="preserve">  </v>
          </cell>
        </row>
        <row r="355">
          <cell r="B355" t="str">
            <v>JYSO6 MTRT Curncy</v>
          </cell>
          <cell r="C355" t="str">
            <v>JYSO6</v>
          </cell>
          <cell r="D355" t="str">
            <v>MTRT</v>
          </cell>
          <cell r="E355" t="str">
            <v>Curncy</v>
          </cell>
          <cell r="F355" t="str">
            <v>OIS</v>
          </cell>
          <cell r="G355" t="str">
            <v>6Y</v>
          </cell>
          <cell r="H355" t="b">
            <v>1</v>
          </cell>
          <cell r="J355" t="str">
            <v>JYSW30 MTRT Curncy</v>
          </cell>
          <cell r="K355" t="str">
            <v>JYSW30</v>
          </cell>
          <cell r="L355" t="str">
            <v>MTRT</v>
          </cell>
          <cell r="M355" t="str">
            <v>Curncy</v>
          </cell>
          <cell r="N355" t="str">
            <v>SWAP</v>
          </cell>
          <cell r="O355" t="str">
            <v>30Y</v>
          </cell>
          <cell r="P355" t="b">
            <v>1</v>
          </cell>
          <cell r="R355" t="str">
            <v xml:space="preserve">  </v>
          </cell>
          <cell r="Z355" t="str">
            <v xml:space="preserve">  </v>
          </cell>
          <cell r="AH355" t="str">
            <v xml:space="preserve">  </v>
          </cell>
          <cell r="AP355" t="str">
            <v xml:space="preserve">  </v>
          </cell>
        </row>
        <row r="356">
          <cell r="B356" t="str">
            <v>JYSO7 MTRT Curncy</v>
          </cell>
          <cell r="C356" t="str">
            <v>JYSO7</v>
          </cell>
          <cell r="D356" t="str">
            <v>MTRT</v>
          </cell>
          <cell r="E356" t="str">
            <v>Curncy</v>
          </cell>
          <cell r="F356" t="str">
            <v>OIS</v>
          </cell>
          <cell r="G356" t="str">
            <v>7Y</v>
          </cell>
          <cell r="H356" t="b">
            <v>1</v>
          </cell>
          <cell r="J356" t="str">
            <v>JYSW35 MTRT Curncy</v>
          </cell>
          <cell r="K356" t="str">
            <v>JYSW35</v>
          </cell>
          <cell r="L356" t="str">
            <v>MTRT</v>
          </cell>
          <cell r="M356" t="str">
            <v>Curncy</v>
          </cell>
          <cell r="N356" t="str">
            <v>SWAP</v>
          </cell>
          <cell r="O356" t="str">
            <v>35Y</v>
          </cell>
          <cell r="P356" t="b">
            <v>1</v>
          </cell>
          <cell r="R356" t="str">
            <v xml:space="preserve">  </v>
          </cell>
          <cell r="Z356" t="str">
            <v xml:space="preserve">  </v>
          </cell>
          <cell r="AH356" t="str">
            <v xml:space="preserve">  </v>
          </cell>
          <cell r="AP356" t="str">
            <v xml:space="preserve">  </v>
          </cell>
        </row>
        <row r="357">
          <cell r="B357" t="str">
            <v>JYSO8 MTRT Curncy</v>
          </cell>
          <cell r="C357" t="str">
            <v>JYSO8</v>
          </cell>
          <cell r="D357" t="str">
            <v>MTRT</v>
          </cell>
          <cell r="E357" t="str">
            <v>Curncy</v>
          </cell>
          <cell r="F357" t="str">
            <v>OIS</v>
          </cell>
          <cell r="G357" t="str">
            <v>8Y</v>
          </cell>
          <cell r="H357" t="b">
            <v>1</v>
          </cell>
          <cell r="J357" t="str">
            <v>JYSW40 MTRT Curncy</v>
          </cell>
          <cell r="K357" t="str">
            <v>JYSW40</v>
          </cell>
          <cell r="L357" t="str">
            <v>MTRT</v>
          </cell>
          <cell r="M357" t="str">
            <v>Curncy</v>
          </cell>
          <cell r="N357" t="str">
            <v>SWAP</v>
          </cell>
          <cell r="O357" t="str">
            <v>40Y</v>
          </cell>
          <cell r="P357" t="b">
            <v>1</v>
          </cell>
          <cell r="R357" t="str">
            <v xml:space="preserve">  </v>
          </cell>
          <cell r="Z357" t="str">
            <v xml:space="preserve">  </v>
          </cell>
          <cell r="AH357" t="str">
            <v xml:space="preserve">  </v>
          </cell>
          <cell r="AP357" t="str">
            <v xml:space="preserve">  </v>
          </cell>
        </row>
        <row r="358">
          <cell r="B358" t="str">
            <v>JYSO9 MTRT Curncy</v>
          </cell>
          <cell r="C358" t="str">
            <v>JYSO9</v>
          </cell>
          <cell r="D358" t="str">
            <v>MTRT</v>
          </cell>
          <cell r="E358" t="str">
            <v>Curncy</v>
          </cell>
          <cell r="F358" t="str">
            <v>OIS</v>
          </cell>
          <cell r="G358" t="str">
            <v>9Y</v>
          </cell>
          <cell r="H358" t="b">
            <v>1</v>
          </cell>
          <cell r="J358" t="str">
            <v xml:space="preserve">  </v>
          </cell>
          <cell r="R358" t="str">
            <v xml:space="preserve">  </v>
          </cell>
          <cell r="Z358" t="str">
            <v xml:space="preserve">  </v>
          </cell>
          <cell r="AH358" t="str">
            <v xml:space="preserve">  </v>
          </cell>
          <cell r="AP358" t="str">
            <v xml:space="preserve">  </v>
          </cell>
        </row>
        <row r="359">
          <cell r="B359" t="str">
            <v>JYSO10 MTRT Curncy</v>
          </cell>
          <cell r="C359" t="str">
            <v>JYSO10</v>
          </cell>
          <cell r="D359" t="str">
            <v>MTRT</v>
          </cell>
          <cell r="E359" t="str">
            <v>Curncy</v>
          </cell>
          <cell r="F359" t="str">
            <v>OIS</v>
          </cell>
          <cell r="G359" t="str">
            <v>10Y</v>
          </cell>
          <cell r="H359" t="b">
            <v>1</v>
          </cell>
          <cell r="J359" t="str">
            <v xml:space="preserve">  </v>
          </cell>
          <cell r="R359" t="str">
            <v xml:space="preserve">  </v>
          </cell>
          <cell r="Z359" t="str">
            <v xml:space="preserve">  </v>
          </cell>
          <cell r="AH359" t="str">
            <v xml:space="preserve">  </v>
          </cell>
          <cell r="AP359" t="str">
            <v xml:space="preserve">  </v>
          </cell>
        </row>
        <row r="360">
          <cell r="B360" t="str">
            <v>JYSO11 MTRT Curncy</v>
          </cell>
          <cell r="C360" t="str">
            <v>JYSO11</v>
          </cell>
          <cell r="D360" t="str">
            <v>MTRT</v>
          </cell>
          <cell r="E360" t="str">
            <v>Curncy</v>
          </cell>
          <cell r="F360" t="str">
            <v>OIS</v>
          </cell>
          <cell r="G360" t="str">
            <v>11Y</v>
          </cell>
          <cell r="H360" t="b">
            <v>1</v>
          </cell>
          <cell r="J360" t="str">
            <v xml:space="preserve">  </v>
          </cell>
          <cell r="R360" t="str">
            <v xml:space="preserve">  </v>
          </cell>
          <cell r="Z360" t="str">
            <v xml:space="preserve">  </v>
          </cell>
          <cell r="AH360" t="str">
            <v xml:space="preserve">  </v>
          </cell>
          <cell r="AP360" t="str">
            <v xml:space="preserve">  </v>
          </cell>
        </row>
        <row r="361">
          <cell r="B361" t="str">
            <v>JYSO12 MTRT Curncy</v>
          </cell>
          <cell r="C361" t="str">
            <v>JYSO12</v>
          </cell>
          <cell r="D361" t="str">
            <v>MTRT</v>
          </cell>
          <cell r="E361" t="str">
            <v>Curncy</v>
          </cell>
          <cell r="F361" t="str">
            <v>OIS</v>
          </cell>
          <cell r="G361" t="str">
            <v>12Y</v>
          </cell>
          <cell r="H361" t="b">
            <v>1</v>
          </cell>
          <cell r="J361" t="str">
            <v xml:space="preserve">  </v>
          </cell>
          <cell r="R361" t="str">
            <v xml:space="preserve">  </v>
          </cell>
          <cell r="Z361" t="str">
            <v xml:space="preserve">  </v>
          </cell>
          <cell r="AH361" t="str">
            <v xml:space="preserve">  </v>
          </cell>
          <cell r="AP361" t="str">
            <v xml:space="preserve">  </v>
          </cell>
        </row>
        <row r="362">
          <cell r="B362" t="str">
            <v>JYSO15 MTRT Curncy</v>
          </cell>
          <cell r="C362" t="str">
            <v>JYSO15</v>
          </cell>
          <cell r="D362" t="str">
            <v>MTRT</v>
          </cell>
          <cell r="E362" t="str">
            <v>Curncy</v>
          </cell>
          <cell r="F362" t="str">
            <v>OIS</v>
          </cell>
          <cell r="G362" t="str">
            <v>15Y</v>
          </cell>
          <cell r="H362" t="b">
            <v>1</v>
          </cell>
          <cell r="J362" t="str">
            <v xml:space="preserve">  </v>
          </cell>
          <cell r="R362" t="str">
            <v xml:space="preserve">  </v>
          </cell>
          <cell r="Z362" t="str">
            <v xml:space="preserve">  </v>
          </cell>
          <cell r="AH362" t="str">
            <v xml:space="preserve">  </v>
          </cell>
          <cell r="AP362" t="str">
            <v xml:space="preserve">  </v>
          </cell>
        </row>
        <row r="363">
          <cell r="B363" t="str">
            <v>JYSO20 MTRT Curncy</v>
          </cell>
          <cell r="C363" t="str">
            <v>JYSO20</v>
          </cell>
          <cell r="D363" t="str">
            <v>MTRT</v>
          </cell>
          <cell r="E363" t="str">
            <v>Curncy</v>
          </cell>
          <cell r="F363" t="str">
            <v>OIS</v>
          </cell>
          <cell r="G363" t="str">
            <v>20Y</v>
          </cell>
          <cell r="H363" t="b">
            <v>1</v>
          </cell>
          <cell r="J363" t="str">
            <v xml:space="preserve">  </v>
          </cell>
          <cell r="R363" t="str">
            <v xml:space="preserve">  </v>
          </cell>
          <cell r="Z363" t="str">
            <v xml:space="preserve">  </v>
          </cell>
          <cell r="AH363" t="str">
            <v xml:space="preserve">  </v>
          </cell>
          <cell r="AP363" t="str">
            <v xml:space="preserve">  </v>
          </cell>
        </row>
        <row r="364">
          <cell r="B364" t="str">
            <v>JYSO25 MTRT Curncy</v>
          </cell>
          <cell r="C364" t="str">
            <v>JYSO25</v>
          </cell>
          <cell r="D364" t="str">
            <v>MTRT</v>
          </cell>
          <cell r="E364" t="str">
            <v>Curncy</v>
          </cell>
          <cell r="F364" t="str">
            <v>OIS</v>
          </cell>
          <cell r="G364" t="str">
            <v>25Y</v>
          </cell>
          <cell r="H364" t="b">
            <v>1</v>
          </cell>
          <cell r="J364" t="str">
            <v xml:space="preserve">  </v>
          </cell>
          <cell r="R364" t="str">
            <v xml:space="preserve">  </v>
          </cell>
          <cell r="Z364" t="str">
            <v xml:space="preserve">  </v>
          </cell>
          <cell r="AH364" t="str">
            <v xml:space="preserve">  </v>
          </cell>
          <cell r="AP364" t="str">
            <v xml:space="preserve">  </v>
          </cell>
        </row>
        <row r="365">
          <cell r="B365" t="str">
            <v>JYSO30 MTRT Curncy</v>
          </cell>
          <cell r="C365" t="str">
            <v>JYSO30</v>
          </cell>
          <cell r="D365" t="str">
            <v>MTRT</v>
          </cell>
          <cell r="E365" t="str">
            <v>Curncy</v>
          </cell>
          <cell r="F365" t="str">
            <v>OIS</v>
          </cell>
          <cell r="G365" t="str">
            <v>30Y</v>
          </cell>
          <cell r="H365" t="b">
            <v>1</v>
          </cell>
          <cell r="J365" t="str">
            <v xml:space="preserve">  </v>
          </cell>
          <cell r="R365" t="str">
            <v xml:space="preserve">  </v>
          </cell>
          <cell r="Z365" t="str">
            <v xml:space="preserve">  </v>
          </cell>
          <cell r="AH365" t="str">
            <v xml:space="preserve">  </v>
          </cell>
          <cell r="AP365" t="str">
            <v xml:space="preserve">  </v>
          </cell>
        </row>
        <row r="366">
          <cell r="B366" t="str">
            <v>JYSO35 MTRT Curncy</v>
          </cell>
          <cell r="C366" t="str">
            <v>JYSO35</v>
          </cell>
          <cell r="D366" t="str">
            <v>MTRT</v>
          </cell>
          <cell r="E366" t="str">
            <v>Curncy</v>
          </cell>
          <cell r="F366" t="str">
            <v>OIS</v>
          </cell>
          <cell r="G366" t="str">
            <v>35Y</v>
          </cell>
          <cell r="H366" t="b">
            <v>0</v>
          </cell>
          <cell r="J366" t="str">
            <v xml:space="preserve">  </v>
          </cell>
          <cell r="R366" t="str">
            <v xml:space="preserve">  </v>
          </cell>
          <cell r="Z366" t="str">
            <v xml:space="preserve">  </v>
          </cell>
          <cell r="AH366" t="str">
            <v xml:space="preserve">  </v>
          </cell>
          <cell r="AP366" t="str">
            <v xml:space="preserve">  </v>
          </cell>
        </row>
        <row r="367">
          <cell r="B367" t="str">
            <v>JYSO40 MTRT Curncy</v>
          </cell>
          <cell r="C367" t="str">
            <v>JYSO40</v>
          </cell>
          <cell r="D367" t="str">
            <v>MTRT</v>
          </cell>
          <cell r="E367" t="str">
            <v>Curncy</v>
          </cell>
          <cell r="F367" t="str">
            <v>OIS</v>
          </cell>
          <cell r="G367" t="str">
            <v>40Y</v>
          </cell>
          <cell r="H367" t="b">
            <v>0</v>
          </cell>
          <cell r="J367" t="str">
            <v xml:space="preserve">  </v>
          </cell>
          <cell r="R367" t="str">
            <v xml:space="preserve">  </v>
          </cell>
          <cell r="Z367" t="str">
            <v xml:space="preserve">  </v>
          </cell>
          <cell r="AH367" t="str">
            <v xml:space="preserve">  </v>
          </cell>
          <cell r="AP367" t="str">
            <v xml:space="preserve">  </v>
          </cell>
        </row>
        <row r="368">
          <cell r="B368" t="str">
            <v xml:space="preserve">  </v>
          </cell>
          <cell r="J368" t="str">
            <v xml:space="preserve">  </v>
          </cell>
          <cell r="R368" t="str">
            <v xml:space="preserve">  </v>
          </cell>
          <cell r="Z368" t="str">
            <v xml:space="preserve">  </v>
          </cell>
          <cell r="AH368" t="str">
            <v xml:space="preserve">  </v>
          </cell>
          <cell r="AP368" t="str">
            <v xml:space="preserve">  </v>
          </cell>
        </row>
        <row r="369">
          <cell r="B369" t="str">
            <v xml:space="preserve">  </v>
          </cell>
          <cell r="J369" t="str">
            <v xml:space="preserve">  </v>
          </cell>
          <cell r="R369" t="str">
            <v xml:space="preserve">  </v>
          </cell>
          <cell r="Z369" t="str">
            <v xml:space="preserve">  </v>
          </cell>
          <cell r="AH369" t="str">
            <v xml:space="preserve">  </v>
          </cell>
          <cell r="AP369" t="str">
            <v xml:space="preserve">  </v>
          </cell>
        </row>
        <row r="370">
          <cell r="B370" t="str">
            <v xml:space="preserve">  </v>
          </cell>
          <cell r="J370" t="str">
            <v xml:space="preserve">  </v>
          </cell>
          <cell r="R370" t="str">
            <v xml:space="preserve">  </v>
          </cell>
          <cell r="Z370" t="str">
            <v xml:space="preserve">  </v>
          </cell>
          <cell r="AH370" t="str">
            <v xml:space="preserve">  </v>
          </cell>
          <cell r="AP370" t="str">
            <v xml:space="preserve">  </v>
          </cell>
        </row>
        <row r="371">
          <cell r="B371" t="str">
            <v xml:space="preserve">  </v>
          </cell>
          <cell r="J371" t="str">
            <v xml:space="preserve">  </v>
          </cell>
          <cell r="R371" t="str">
            <v xml:space="preserve">  </v>
          </cell>
          <cell r="Z371" t="str">
            <v xml:space="preserve">  </v>
          </cell>
          <cell r="AH371" t="str">
            <v xml:space="preserve">  </v>
          </cell>
          <cell r="AP371" t="str">
            <v xml:space="preserve">  </v>
          </cell>
        </row>
        <row r="372">
          <cell r="B372" t="str">
            <v xml:space="preserve">  </v>
          </cell>
          <cell r="J372" t="str">
            <v xml:space="preserve">  </v>
          </cell>
          <cell r="R372" t="str">
            <v xml:space="preserve">  </v>
          </cell>
          <cell r="Z372" t="str">
            <v xml:space="preserve">  </v>
          </cell>
          <cell r="AH372" t="str">
            <v xml:space="preserve">  </v>
          </cell>
          <cell r="AP372" t="str">
            <v xml:space="preserve">  </v>
          </cell>
        </row>
        <row r="373">
          <cell r="B373" t="str">
            <v xml:space="preserve">  </v>
          </cell>
          <cell r="J373" t="str">
            <v xml:space="preserve">  </v>
          </cell>
          <cell r="R373" t="str">
            <v xml:space="preserve">  </v>
          </cell>
          <cell r="Z373" t="str">
            <v xml:space="preserve">  </v>
          </cell>
          <cell r="AH373" t="str">
            <v xml:space="preserve">  </v>
          </cell>
          <cell r="AP373" t="str">
            <v xml:space="preserve">  </v>
          </cell>
        </row>
        <row r="374">
          <cell r="B374" t="str">
            <v xml:space="preserve">  </v>
          </cell>
          <cell r="J374" t="str">
            <v xml:space="preserve">  </v>
          </cell>
          <cell r="R374" t="str">
            <v xml:space="preserve">  </v>
          </cell>
          <cell r="Z374" t="str">
            <v xml:space="preserve">  </v>
          </cell>
          <cell r="AH374" t="str">
            <v xml:space="preserve">  </v>
          </cell>
          <cell r="AP374" t="str">
            <v xml:space="preserve">  </v>
          </cell>
        </row>
        <row r="375">
          <cell r="B375" t="str">
            <v xml:space="preserve">  </v>
          </cell>
          <cell r="J375" t="str">
            <v xml:space="preserve">  </v>
          </cell>
          <cell r="R375" t="str">
            <v xml:space="preserve">  </v>
          </cell>
          <cell r="Z375" t="str">
            <v xml:space="preserve">  </v>
          </cell>
          <cell r="AH375" t="str">
            <v xml:space="preserve">  </v>
          </cell>
          <cell r="AP375" t="str">
            <v xml:space="preserve">  </v>
          </cell>
        </row>
        <row r="376">
          <cell r="B376" t="str">
            <v xml:space="preserve">  </v>
          </cell>
          <cell r="J376" t="str">
            <v xml:space="preserve">  </v>
          </cell>
          <cell r="R376" t="str">
            <v xml:space="preserve">  </v>
          </cell>
          <cell r="Z376" t="str">
            <v xml:space="preserve">  </v>
          </cell>
          <cell r="AH376" t="str">
            <v xml:space="preserve">  </v>
          </cell>
          <cell r="AP376" t="str">
            <v xml:space="preserve">  </v>
          </cell>
        </row>
        <row r="377">
          <cell r="B377" t="str">
            <v xml:space="preserve">  </v>
          </cell>
          <cell r="J377" t="str">
            <v xml:space="preserve">  </v>
          </cell>
          <cell r="R377" t="str">
            <v xml:space="preserve">  </v>
          </cell>
          <cell r="Z377" t="str">
            <v xml:space="preserve">  </v>
          </cell>
          <cell r="AH377" t="str">
            <v xml:space="preserve">  </v>
          </cell>
          <cell r="AP377" t="str">
            <v xml:space="preserve">  </v>
          </cell>
        </row>
        <row r="378">
          <cell r="B378" t="str">
            <v xml:space="preserve">  </v>
          </cell>
          <cell r="J378" t="str">
            <v xml:space="preserve">  </v>
          </cell>
          <cell r="R378" t="str">
            <v xml:space="preserve">  </v>
          </cell>
          <cell r="Z378" t="str">
            <v xml:space="preserve">  </v>
          </cell>
          <cell r="AH378" t="str">
            <v xml:space="preserve">  </v>
          </cell>
          <cell r="AP378" t="str">
            <v xml:space="preserve">  </v>
          </cell>
        </row>
        <row r="379">
          <cell r="B379" t="str">
            <v xml:space="preserve">  </v>
          </cell>
          <cell r="J379" t="str">
            <v xml:space="preserve">  </v>
          </cell>
          <cell r="R379" t="str">
            <v xml:space="preserve">  </v>
          </cell>
          <cell r="Z379" t="str">
            <v xml:space="preserve">  </v>
          </cell>
          <cell r="AH379" t="str">
            <v xml:space="preserve">  </v>
          </cell>
          <cell r="AP379" t="str">
            <v xml:space="preserve">  </v>
          </cell>
        </row>
        <row r="380">
          <cell r="B380" t="str">
            <v xml:space="preserve">  </v>
          </cell>
          <cell r="J380" t="str">
            <v xml:space="preserve">  </v>
          </cell>
          <cell r="R380" t="str">
            <v xml:space="preserve">  </v>
          </cell>
          <cell r="Z380" t="str">
            <v xml:space="preserve">  </v>
          </cell>
          <cell r="AH380" t="str">
            <v xml:space="preserve">  </v>
          </cell>
          <cell r="AP380" t="str">
            <v xml:space="preserve">  </v>
          </cell>
        </row>
        <row r="381">
          <cell r="B381" t="str">
            <v xml:space="preserve">  </v>
          </cell>
          <cell r="J381" t="str">
            <v xml:space="preserve">  </v>
          </cell>
          <cell r="R381" t="str">
            <v xml:space="preserve">  </v>
          </cell>
          <cell r="Z381" t="str">
            <v xml:space="preserve">  </v>
          </cell>
          <cell r="AH381" t="str">
            <v xml:space="preserve">  </v>
          </cell>
          <cell r="AP381" t="str">
            <v xml:space="preserve">  </v>
          </cell>
        </row>
        <row r="382">
          <cell r="B382" t="str">
            <v xml:space="preserve">  </v>
          </cell>
          <cell r="J382" t="str">
            <v xml:space="preserve">  </v>
          </cell>
          <cell r="R382" t="str">
            <v xml:space="preserve">  </v>
          </cell>
          <cell r="Z382" t="str">
            <v xml:space="preserve">  </v>
          </cell>
          <cell r="AH382" t="str">
            <v xml:space="preserve">  </v>
          </cell>
          <cell r="AP382" t="str">
            <v xml:space="preserve">  </v>
          </cell>
        </row>
        <row r="383">
          <cell r="B383" t="str">
            <v xml:space="preserve">  </v>
          </cell>
          <cell r="J383" t="str">
            <v xml:space="preserve">  </v>
          </cell>
          <cell r="R383" t="str">
            <v xml:space="preserve">  </v>
          </cell>
          <cell r="Z383" t="str">
            <v xml:space="preserve">  </v>
          </cell>
          <cell r="AH383" t="str">
            <v xml:space="preserve">  </v>
          </cell>
          <cell r="AP383" t="str">
            <v xml:space="preserve">  </v>
          </cell>
        </row>
        <row r="384">
          <cell r="B384" t="str">
            <v xml:space="preserve">  </v>
          </cell>
          <cell r="J384" t="str">
            <v xml:space="preserve">  </v>
          </cell>
          <cell r="R384" t="str">
            <v xml:space="preserve">  </v>
          </cell>
          <cell r="Z384" t="str">
            <v xml:space="preserve">  </v>
          </cell>
          <cell r="AH384" t="str">
            <v xml:space="preserve">  </v>
          </cell>
          <cell r="AP384" t="str">
            <v xml:space="preserve">  </v>
          </cell>
        </row>
        <row r="385">
          <cell r="B385" t="str">
            <v xml:space="preserve">  </v>
          </cell>
          <cell r="J385" t="str">
            <v xml:space="preserve">  </v>
          </cell>
          <cell r="R385" t="str">
            <v xml:space="preserve">  </v>
          </cell>
          <cell r="Z385" t="str">
            <v xml:space="preserve">  </v>
          </cell>
          <cell r="AH385" t="str">
            <v xml:space="preserve">  </v>
          </cell>
          <cell r="AP385" t="str">
            <v xml:space="preserve">  </v>
          </cell>
        </row>
        <row r="386">
          <cell r="B386" t="str">
            <v xml:space="preserve">  </v>
          </cell>
          <cell r="J386" t="str">
            <v xml:space="preserve">  </v>
          </cell>
          <cell r="R386" t="str">
            <v xml:space="preserve">  </v>
          </cell>
          <cell r="Z386" t="str">
            <v xml:space="preserve">  </v>
          </cell>
          <cell r="AH386" t="str">
            <v xml:space="preserve">  </v>
          </cell>
          <cell r="AP386" t="str">
            <v xml:space="preserve">  </v>
          </cell>
        </row>
        <row r="387">
          <cell r="B387" t="str">
            <v xml:space="preserve">  </v>
          </cell>
          <cell r="J387" t="str">
            <v xml:space="preserve">  </v>
          </cell>
          <cell r="R387" t="str">
            <v xml:space="preserve">  </v>
          </cell>
          <cell r="Z387" t="str">
            <v xml:space="preserve">  </v>
          </cell>
          <cell r="AH387" t="str">
            <v xml:space="preserve">  </v>
          </cell>
          <cell r="AP387" t="str">
            <v xml:space="preserve">  </v>
          </cell>
        </row>
        <row r="388">
          <cell r="B388" t="str">
            <v xml:space="preserve">  </v>
          </cell>
          <cell r="J388" t="str">
            <v xml:space="preserve">  </v>
          </cell>
          <cell r="R388" t="str">
            <v xml:space="preserve">  </v>
          </cell>
          <cell r="Z388" t="str">
            <v xml:space="preserve">  </v>
          </cell>
          <cell r="AH388" t="str">
            <v xml:space="preserve">  </v>
          </cell>
          <cell r="AP388" t="str">
            <v xml:space="preserve">  </v>
          </cell>
        </row>
        <row r="389">
          <cell r="B389" t="str">
            <v xml:space="preserve">  </v>
          </cell>
          <cell r="J389" t="str">
            <v xml:space="preserve">  </v>
          </cell>
          <cell r="R389" t="str">
            <v xml:space="preserve">  </v>
          </cell>
          <cell r="Z389" t="str">
            <v xml:space="preserve">  </v>
          </cell>
          <cell r="AH389" t="str">
            <v xml:space="preserve">  </v>
          </cell>
          <cell r="AP389" t="str">
            <v xml:space="preserve">  </v>
          </cell>
        </row>
        <row r="390">
          <cell r="B390" t="str">
            <v xml:space="preserve">  </v>
          </cell>
          <cell r="J390" t="str">
            <v xml:space="preserve">  </v>
          </cell>
          <cell r="R390" t="str">
            <v xml:space="preserve">  </v>
          </cell>
          <cell r="Z390" t="str">
            <v xml:space="preserve">  </v>
          </cell>
          <cell r="AH390" t="str">
            <v xml:space="preserve">  </v>
          </cell>
          <cell r="AP390" t="str">
            <v xml:space="preserve">  </v>
          </cell>
        </row>
        <row r="391">
          <cell r="B391" t="str">
            <v xml:space="preserve">  </v>
          </cell>
          <cell r="J391" t="str">
            <v xml:space="preserve">  </v>
          </cell>
          <cell r="R391" t="str">
            <v xml:space="preserve">  </v>
          </cell>
          <cell r="Z391" t="str">
            <v xml:space="preserve">  </v>
          </cell>
          <cell r="AH391" t="str">
            <v xml:space="preserve">  </v>
          </cell>
          <cell r="AP391" t="str">
            <v xml:space="preserve">  </v>
          </cell>
        </row>
        <row r="392">
          <cell r="B392" t="str">
            <v xml:space="preserve">  </v>
          </cell>
          <cell r="J392" t="str">
            <v xml:space="preserve">  </v>
          </cell>
          <cell r="R392" t="str">
            <v xml:space="preserve">  </v>
          </cell>
          <cell r="Z392" t="str">
            <v xml:space="preserve">  </v>
          </cell>
          <cell r="AH392" t="str">
            <v xml:space="preserve">  </v>
          </cell>
          <cell r="AP392" t="str">
            <v xml:space="preserve">  </v>
          </cell>
        </row>
        <row r="393">
          <cell r="B393" t="str">
            <v xml:space="preserve">  </v>
          </cell>
          <cell r="J393" t="str">
            <v xml:space="preserve">  </v>
          </cell>
          <cell r="R393" t="str">
            <v xml:space="preserve">  </v>
          </cell>
          <cell r="Z393" t="str">
            <v xml:space="preserve">  </v>
          </cell>
          <cell r="AH393" t="str">
            <v xml:space="preserve">  </v>
          </cell>
          <cell r="AP393" t="str">
            <v xml:space="preserve">  </v>
          </cell>
        </row>
        <row r="394">
          <cell r="B394" t="str">
            <v xml:space="preserve">  </v>
          </cell>
          <cell r="J394" t="str">
            <v xml:space="preserve">  </v>
          </cell>
          <cell r="R394" t="str">
            <v xml:space="preserve">  </v>
          </cell>
          <cell r="Z394" t="str">
            <v xml:space="preserve">  </v>
          </cell>
          <cell r="AH394" t="str">
            <v xml:space="preserve">  </v>
          </cell>
          <cell r="AP394" t="str">
            <v xml:space="preserve">  </v>
          </cell>
        </row>
        <row r="395">
          <cell r="B395" t="str">
            <v xml:space="preserve">  </v>
          </cell>
          <cell r="J395" t="str">
            <v xml:space="preserve">  </v>
          </cell>
          <cell r="R395" t="str">
            <v xml:space="preserve">  </v>
          </cell>
          <cell r="Z395" t="str">
            <v xml:space="preserve">  </v>
          </cell>
          <cell r="AH395" t="str">
            <v xml:space="preserve">  </v>
          </cell>
          <cell r="AP395" t="str">
            <v xml:space="preserve">  </v>
          </cell>
        </row>
        <row r="396">
          <cell r="B396" t="str">
            <v xml:space="preserve">  </v>
          </cell>
          <cell r="J396" t="str">
            <v xml:space="preserve">  </v>
          </cell>
          <cell r="R396" t="str">
            <v xml:space="preserve">  </v>
          </cell>
          <cell r="Z396" t="str">
            <v xml:space="preserve">  </v>
          </cell>
          <cell r="AH396" t="str">
            <v xml:space="preserve">  </v>
          </cell>
          <cell r="AP396" t="str">
            <v xml:space="preserve">  </v>
          </cell>
        </row>
        <row r="397">
          <cell r="B397" t="str">
            <v xml:space="preserve">  </v>
          </cell>
          <cell r="J397" t="str">
            <v xml:space="preserve">  </v>
          </cell>
          <cell r="R397" t="str">
            <v xml:space="preserve">  </v>
          </cell>
          <cell r="Z397" t="str">
            <v xml:space="preserve">  </v>
          </cell>
          <cell r="AH397" t="str">
            <v xml:space="preserve">  </v>
          </cell>
          <cell r="AP397" t="str">
            <v xml:space="preserve">  </v>
          </cell>
        </row>
        <row r="398">
          <cell r="B398" t="str">
            <v xml:space="preserve">  </v>
          </cell>
          <cell r="J398" t="str">
            <v xml:space="preserve">  </v>
          </cell>
          <cell r="R398" t="str">
            <v xml:space="preserve">  </v>
          </cell>
          <cell r="Z398" t="str">
            <v xml:space="preserve">  </v>
          </cell>
          <cell r="AH398" t="str">
            <v xml:space="preserve">  </v>
          </cell>
          <cell r="AP398" t="str">
            <v xml:space="preserve">  </v>
          </cell>
        </row>
        <row r="399">
          <cell r="B399" t="str">
            <v xml:space="preserve">  </v>
          </cell>
          <cell r="J399" t="str">
            <v xml:space="preserve">  </v>
          </cell>
          <cell r="R399" t="str">
            <v xml:space="preserve">  </v>
          </cell>
          <cell r="Z399" t="str">
            <v xml:space="preserve">  </v>
          </cell>
          <cell r="AH399" t="str">
            <v xml:space="preserve">  </v>
          </cell>
          <cell r="AP399" t="str">
            <v xml:space="preserve">  </v>
          </cell>
        </row>
        <row r="400">
          <cell r="B400" t="str">
            <v xml:space="preserve">  </v>
          </cell>
          <cell r="J400" t="str">
            <v xml:space="preserve">  </v>
          </cell>
          <cell r="R400" t="str">
            <v xml:space="preserve">  </v>
          </cell>
          <cell r="Z400" t="str">
            <v xml:space="preserve">  </v>
          </cell>
          <cell r="AH400" t="str">
            <v xml:space="preserve">  </v>
          </cell>
          <cell r="AP400" t="str">
            <v xml:space="preserve">  </v>
          </cell>
        </row>
        <row r="401">
          <cell r="B401" t="str">
            <v xml:space="preserve">  </v>
          </cell>
          <cell r="J401" t="str">
            <v xml:space="preserve">  </v>
          </cell>
          <cell r="R401" t="str">
            <v xml:space="preserve">  </v>
          </cell>
          <cell r="Z401" t="str">
            <v xml:space="preserve">  </v>
          </cell>
          <cell r="AH401" t="str">
            <v xml:space="preserve">  </v>
          </cell>
          <cell r="AP401" t="str">
            <v xml:space="preserve">  </v>
          </cell>
        </row>
        <row r="402">
          <cell r="B402" t="str">
            <v xml:space="preserve">  </v>
          </cell>
          <cell r="J402" t="str">
            <v xml:space="preserve">  </v>
          </cell>
          <cell r="R402" t="str">
            <v xml:space="preserve">  </v>
          </cell>
          <cell r="Z402" t="str">
            <v xml:space="preserve">  </v>
          </cell>
          <cell r="AH402" t="str">
            <v xml:space="preserve">  </v>
          </cell>
          <cell r="AP402" t="str">
            <v xml:space="preserve">  </v>
          </cell>
        </row>
        <row r="403">
          <cell r="B403" t="str">
            <v xml:space="preserve">  </v>
          </cell>
          <cell r="J403" t="str">
            <v xml:space="preserve">  </v>
          </cell>
          <cell r="R403" t="str">
            <v xml:space="preserve">  </v>
          </cell>
          <cell r="Z403" t="str">
            <v xml:space="preserve">  </v>
          </cell>
          <cell r="AH403" t="str">
            <v xml:space="preserve">  </v>
          </cell>
          <cell r="AP403" t="str">
            <v xml:space="preserve">  </v>
          </cell>
        </row>
        <row r="404">
          <cell r="B404" t="str">
            <v xml:space="preserve">  </v>
          </cell>
          <cell r="J404" t="str">
            <v xml:space="preserve">  </v>
          </cell>
          <cell r="R404" t="str">
            <v xml:space="preserve">  </v>
          </cell>
          <cell r="Z404" t="str">
            <v xml:space="preserve">  </v>
          </cell>
          <cell r="AH404" t="str">
            <v xml:space="preserve">  </v>
          </cell>
          <cell r="AP404" t="str">
            <v xml:space="preserve">  </v>
          </cell>
        </row>
        <row r="405">
          <cell r="B405" t="str">
            <v xml:space="preserve">  </v>
          </cell>
          <cell r="J405" t="str">
            <v xml:space="preserve">  </v>
          </cell>
          <cell r="R405" t="str">
            <v xml:space="preserve">  </v>
          </cell>
          <cell r="Z405" t="str">
            <v xml:space="preserve">  </v>
          </cell>
          <cell r="AH405" t="str">
            <v xml:space="preserve">  </v>
          </cell>
          <cell r="AP405" t="str">
            <v xml:space="preserve">  </v>
          </cell>
        </row>
        <row r="406">
          <cell r="B406" t="str">
            <v xml:space="preserve">  </v>
          </cell>
          <cell r="J406" t="str">
            <v xml:space="preserve">  </v>
          </cell>
          <cell r="R406" t="str">
            <v xml:space="preserve">  </v>
          </cell>
          <cell r="Z406" t="str">
            <v xml:space="preserve">  </v>
          </cell>
          <cell r="AH406" t="str">
            <v xml:space="preserve">  </v>
          </cell>
          <cell r="AP406" t="str">
            <v xml:space="preserve">  </v>
          </cell>
        </row>
        <row r="407">
          <cell r="B407" t="str">
            <v xml:space="preserve">  </v>
          </cell>
          <cell r="J407" t="str">
            <v xml:space="preserve">  </v>
          </cell>
          <cell r="R407" t="str">
            <v xml:space="preserve">  </v>
          </cell>
          <cell r="Z407" t="str">
            <v xml:space="preserve">  </v>
          </cell>
          <cell r="AH407" t="str">
            <v xml:space="preserve">  </v>
          </cell>
          <cell r="AP407" t="str">
            <v xml:space="preserve">  </v>
          </cell>
        </row>
        <row r="408">
          <cell r="B408" t="str">
            <v xml:space="preserve">  </v>
          </cell>
          <cell r="J408" t="str">
            <v xml:space="preserve">  </v>
          </cell>
          <cell r="R408" t="str">
            <v xml:space="preserve">  </v>
          </cell>
          <cell r="Z408" t="str">
            <v xml:space="preserve">  </v>
          </cell>
          <cell r="AH408" t="str">
            <v xml:space="preserve">  </v>
          </cell>
          <cell r="AP408" t="str">
            <v xml:space="preserve">  </v>
          </cell>
        </row>
        <row r="409">
          <cell r="B409" t="str">
            <v xml:space="preserve">  </v>
          </cell>
          <cell r="J409" t="str">
            <v xml:space="preserve">  </v>
          </cell>
          <cell r="R409" t="str">
            <v xml:space="preserve">  </v>
          </cell>
          <cell r="Z409" t="str">
            <v xml:space="preserve">  </v>
          </cell>
          <cell r="AH409" t="str">
            <v xml:space="preserve">  </v>
          </cell>
          <cell r="AP409" t="str">
            <v xml:space="preserve">  </v>
          </cell>
        </row>
        <row r="410">
          <cell r="B410" t="str">
            <v xml:space="preserve">  </v>
          </cell>
          <cell r="J410" t="str">
            <v xml:space="preserve">  </v>
          </cell>
          <cell r="R410" t="str">
            <v xml:space="preserve">  </v>
          </cell>
          <cell r="Z410" t="str">
            <v xml:space="preserve">  </v>
          </cell>
          <cell r="AH410" t="str">
            <v xml:space="preserve">  </v>
          </cell>
          <cell r="AP410" t="str">
            <v xml:space="preserve">  </v>
          </cell>
        </row>
        <row r="411">
          <cell r="B411" t="str">
            <v xml:space="preserve">  </v>
          </cell>
          <cell r="J411" t="str">
            <v xml:space="preserve">  </v>
          </cell>
          <cell r="R411" t="str">
            <v xml:space="preserve">  </v>
          </cell>
          <cell r="Z411" t="str">
            <v xml:space="preserve">  </v>
          </cell>
          <cell r="AH411" t="str">
            <v xml:space="preserve">  </v>
          </cell>
          <cell r="AP411" t="str">
            <v xml:space="preserve">  </v>
          </cell>
        </row>
        <row r="412">
          <cell r="B412" t="str">
            <v xml:space="preserve">  </v>
          </cell>
          <cell r="J412" t="str">
            <v xml:space="preserve">  </v>
          </cell>
          <cell r="R412" t="str">
            <v xml:space="preserve">  </v>
          </cell>
          <cell r="Z412" t="str">
            <v xml:space="preserve">  </v>
          </cell>
          <cell r="AH412" t="str">
            <v xml:space="preserve">  </v>
          </cell>
          <cell r="AP412" t="str">
            <v xml:space="preserve">  </v>
          </cell>
        </row>
        <row r="413">
          <cell r="B413" t="str">
            <v xml:space="preserve">  </v>
          </cell>
          <cell r="J413" t="str">
            <v xml:space="preserve">  </v>
          </cell>
          <cell r="R413" t="str">
            <v xml:space="preserve">  </v>
          </cell>
          <cell r="Z413" t="str">
            <v xml:space="preserve">  </v>
          </cell>
          <cell r="AH413" t="str">
            <v xml:space="preserve">  </v>
          </cell>
          <cell r="AP413" t="str">
            <v xml:space="preserve">  </v>
          </cell>
        </row>
        <row r="414">
          <cell r="B414" t="str">
            <v xml:space="preserve">  </v>
          </cell>
          <cell r="J414" t="str">
            <v xml:space="preserve">  </v>
          </cell>
          <cell r="R414" t="str">
            <v xml:space="preserve">  </v>
          </cell>
          <cell r="Z414" t="str">
            <v xml:space="preserve">  </v>
          </cell>
          <cell r="AH414" t="str">
            <v xml:space="preserve">  </v>
          </cell>
          <cell r="AP414" t="str">
            <v xml:space="preserve">  </v>
          </cell>
        </row>
        <row r="415">
          <cell r="B415" t="str">
            <v xml:space="preserve">  </v>
          </cell>
          <cell r="J415" t="str">
            <v xml:space="preserve">  </v>
          </cell>
          <cell r="R415" t="str">
            <v xml:space="preserve">  </v>
          </cell>
          <cell r="Z415" t="str">
            <v xml:space="preserve">  </v>
          </cell>
          <cell r="AH415" t="str">
            <v xml:space="preserve">  </v>
          </cell>
          <cell r="AP415" t="str">
            <v xml:space="preserve">  </v>
          </cell>
        </row>
        <row r="416">
          <cell r="B416" t="str">
            <v xml:space="preserve">  </v>
          </cell>
          <cell r="J416" t="str">
            <v xml:space="preserve">  </v>
          </cell>
          <cell r="R416" t="str">
            <v xml:space="preserve">  </v>
          </cell>
          <cell r="Z416" t="str">
            <v xml:space="preserve">  </v>
          </cell>
          <cell r="AH416" t="str">
            <v xml:space="preserve">  </v>
          </cell>
          <cell r="AP416" t="str">
            <v xml:space="preserve">  </v>
          </cell>
        </row>
        <row r="417">
          <cell r="B417" t="str">
            <v xml:space="preserve">  </v>
          </cell>
          <cell r="J417" t="str">
            <v xml:space="preserve">  </v>
          </cell>
          <cell r="R417" t="str">
            <v xml:space="preserve">  </v>
          </cell>
          <cell r="Z417" t="str">
            <v xml:space="preserve">  </v>
          </cell>
          <cell r="AH417" t="str">
            <v xml:space="preserve">  </v>
          </cell>
          <cell r="AP417" t="str">
            <v xml:space="preserve">  </v>
          </cell>
        </row>
        <row r="418">
          <cell r="B418" t="str">
            <v xml:space="preserve">  </v>
          </cell>
          <cell r="J418" t="str">
            <v xml:space="preserve">  </v>
          </cell>
          <cell r="R418" t="str">
            <v xml:space="preserve">  </v>
          </cell>
          <cell r="Z418" t="str">
            <v xml:space="preserve">  </v>
          </cell>
          <cell r="AH418" t="str">
            <v xml:space="preserve">  </v>
          </cell>
          <cell r="AP418" t="str">
            <v xml:space="preserve">  </v>
          </cell>
        </row>
        <row r="419">
          <cell r="B419" t="str">
            <v xml:space="preserve">  </v>
          </cell>
          <cell r="J419" t="str">
            <v xml:space="preserve">  </v>
          </cell>
          <cell r="R419" t="str">
            <v xml:space="preserve">  </v>
          </cell>
          <cell r="Z419" t="str">
            <v xml:space="preserve">  </v>
          </cell>
          <cell r="AH419" t="str">
            <v xml:space="preserve">  </v>
          </cell>
          <cell r="AP419" t="str">
            <v xml:space="preserve">  </v>
          </cell>
        </row>
        <row r="420">
          <cell r="B420" t="str">
            <v xml:space="preserve">  </v>
          </cell>
          <cell r="J420" t="str">
            <v xml:space="preserve">  </v>
          </cell>
          <cell r="R420" t="str">
            <v xml:space="preserve">  </v>
          </cell>
          <cell r="Z420" t="str">
            <v xml:space="preserve">  </v>
          </cell>
          <cell r="AH420" t="str">
            <v xml:space="preserve">  </v>
          </cell>
          <cell r="AP420" t="str">
            <v xml:space="preserve">  </v>
          </cell>
        </row>
        <row r="421">
          <cell r="B421" t="str">
            <v xml:space="preserve">  </v>
          </cell>
          <cell r="J421" t="str">
            <v xml:space="preserve">  </v>
          </cell>
          <cell r="R421" t="str">
            <v xml:space="preserve">  </v>
          </cell>
          <cell r="Z421" t="str">
            <v xml:space="preserve">  </v>
          </cell>
          <cell r="AH421" t="str">
            <v xml:space="preserve">  </v>
          </cell>
          <cell r="AP421" t="str">
            <v xml:space="preserve">  </v>
          </cell>
        </row>
        <row r="422">
          <cell r="B422" t="str">
            <v xml:space="preserve">  </v>
          </cell>
          <cell r="J422" t="str">
            <v xml:space="preserve">  </v>
          </cell>
          <cell r="R422" t="str">
            <v xml:space="preserve">  </v>
          </cell>
          <cell r="Z422" t="str">
            <v xml:space="preserve">  </v>
          </cell>
          <cell r="AH422" t="str">
            <v xml:space="preserve">  </v>
          </cell>
          <cell r="AP422" t="str">
            <v xml:space="preserve">  </v>
          </cell>
        </row>
        <row r="423">
          <cell r="B423" t="str">
            <v xml:space="preserve">  </v>
          </cell>
          <cell r="J423" t="str">
            <v xml:space="preserve">  </v>
          </cell>
          <cell r="R423" t="str">
            <v xml:space="preserve">  </v>
          </cell>
          <cell r="Z423" t="str">
            <v xml:space="preserve">  </v>
          </cell>
          <cell r="AH423" t="str">
            <v xml:space="preserve">  </v>
          </cell>
          <cell r="AP423" t="str">
            <v xml:space="preserve">  </v>
          </cell>
        </row>
        <row r="424">
          <cell r="B424" t="str">
            <v xml:space="preserve">  </v>
          </cell>
          <cell r="J424" t="str">
            <v xml:space="preserve">  </v>
          </cell>
          <cell r="R424" t="str">
            <v xml:space="preserve">  </v>
          </cell>
          <cell r="Z424" t="str">
            <v xml:space="preserve">  </v>
          </cell>
          <cell r="AH424" t="str">
            <v xml:space="preserve">  </v>
          </cell>
          <cell r="AP424" t="str">
            <v xml:space="preserve">  </v>
          </cell>
        </row>
        <row r="425">
          <cell r="B425" t="str">
            <v xml:space="preserve">  </v>
          </cell>
          <cell r="J425" t="str">
            <v xml:space="preserve">  </v>
          </cell>
          <cell r="R425" t="str">
            <v xml:space="preserve">  </v>
          </cell>
          <cell r="Z425" t="str">
            <v xml:space="preserve">  </v>
          </cell>
          <cell r="AH425" t="str">
            <v xml:space="preserve">  </v>
          </cell>
          <cell r="AP425" t="str">
            <v xml:space="preserve">  </v>
          </cell>
        </row>
        <row r="426">
          <cell r="B426" t="str">
            <v xml:space="preserve">  </v>
          </cell>
          <cell r="J426" t="str">
            <v xml:space="preserve">  </v>
          </cell>
          <cell r="R426" t="str">
            <v xml:space="preserve">  </v>
          </cell>
          <cell r="Z426" t="str">
            <v xml:space="preserve">  </v>
          </cell>
          <cell r="AH426" t="str">
            <v xml:space="preserve">  </v>
          </cell>
          <cell r="AP426" t="str">
            <v xml:space="preserve">  </v>
          </cell>
        </row>
        <row r="427">
          <cell r="B427" t="str">
            <v xml:space="preserve">  </v>
          </cell>
          <cell r="J427" t="str">
            <v xml:space="preserve">  </v>
          </cell>
          <cell r="R427" t="str">
            <v xml:space="preserve">  </v>
          </cell>
          <cell r="Z427" t="str">
            <v xml:space="preserve">  </v>
          </cell>
          <cell r="AH427" t="str">
            <v xml:space="preserve">  </v>
          </cell>
          <cell r="AP427" t="str">
            <v xml:space="preserve">  </v>
          </cell>
        </row>
        <row r="428">
          <cell r="B428" t="str">
            <v xml:space="preserve">  </v>
          </cell>
          <cell r="J428" t="str">
            <v xml:space="preserve">  </v>
          </cell>
          <cell r="R428" t="str">
            <v xml:space="preserve">  </v>
          </cell>
          <cell r="Z428" t="str">
            <v xml:space="preserve">  </v>
          </cell>
          <cell r="AH428" t="str">
            <v xml:space="preserve">  </v>
          </cell>
          <cell r="AP428" t="str">
            <v xml:space="preserve">  </v>
          </cell>
        </row>
        <row r="429">
          <cell r="B429" t="str">
            <v xml:space="preserve">  </v>
          </cell>
          <cell r="J429" t="str">
            <v xml:space="preserve">  </v>
          </cell>
          <cell r="R429" t="str">
            <v xml:space="preserve">  </v>
          </cell>
          <cell r="Z429" t="str">
            <v xml:space="preserve">  </v>
          </cell>
          <cell r="AH429" t="str">
            <v xml:space="preserve">  </v>
          </cell>
          <cell r="AP429" t="str">
            <v xml:space="preserve">  </v>
          </cell>
        </row>
        <row r="430">
          <cell r="B430" t="str">
            <v xml:space="preserve">  </v>
          </cell>
          <cell r="J430" t="str">
            <v xml:space="preserve">  </v>
          </cell>
          <cell r="R430" t="str">
            <v xml:space="preserve">  </v>
          </cell>
          <cell r="Z430" t="str">
            <v xml:space="preserve">  </v>
          </cell>
          <cell r="AH430" t="str">
            <v xml:space="preserve">  </v>
          </cell>
          <cell r="AP430" t="str">
            <v xml:space="preserve">  </v>
          </cell>
        </row>
        <row r="431">
          <cell r="B431" t="str">
            <v xml:space="preserve">  </v>
          </cell>
          <cell r="J431" t="str">
            <v xml:space="preserve">  </v>
          </cell>
          <cell r="R431" t="str">
            <v xml:space="preserve">  </v>
          </cell>
          <cell r="Z431" t="str">
            <v xml:space="preserve">  </v>
          </cell>
          <cell r="AH431" t="str">
            <v xml:space="preserve">  </v>
          </cell>
          <cell r="AP431" t="str">
            <v xml:space="preserve">  </v>
          </cell>
        </row>
        <row r="432">
          <cell r="B432" t="str">
            <v xml:space="preserve">  </v>
          </cell>
          <cell r="J432" t="str">
            <v xml:space="preserve">  </v>
          </cell>
          <cell r="R432" t="str">
            <v xml:space="preserve">  </v>
          </cell>
          <cell r="Z432" t="str">
            <v xml:space="preserve">  </v>
          </cell>
          <cell r="AH432" t="str">
            <v xml:space="preserve">  </v>
          </cell>
          <cell r="AP432" t="str">
            <v xml:space="preserve">  </v>
          </cell>
        </row>
        <row r="433">
          <cell r="B433" t="str">
            <v xml:space="preserve">  </v>
          </cell>
          <cell r="J433" t="str">
            <v xml:space="preserve">  </v>
          </cell>
          <cell r="R433" t="str">
            <v xml:space="preserve">  </v>
          </cell>
          <cell r="Z433" t="str">
            <v xml:space="preserve">  </v>
          </cell>
          <cell r="AH433" t="str">
            <v xml:space="preserve">  </v>
          </cell>
          <cell r="AP433" t="str">
            <v xml:space="preserve">  </v>
          </cell>
        </row>
      </sheetData>
      <sheetData sheetId="2" refreshError="1">
        <row r="120">
          <cell r="AO120" t="str">
            <v>EUBS1 ICPL Curncy</v>
          </cell>
          <cell r="AP120" t="str">
            <v>BASIS SWAP</v>
          </cell>
          <cell r="AQ120" t="str">
            <v>EUR-USD XCCY BASIS 1Y</v>
          </cell>
          <cell r="AR120">
            <v>-36.625</v>
          </cell>
        </row>
        <row r="121">
          <cell r="AO121" t="str">
            <v>EUBS2 ICPL Curncy</v>
          </cell>
          <cell r="AP121" t="str">
            <v>BASIS SWAP</v>
          </cell>
          <cell r="AQ121" t="str">
            <v>EUR-USD XCCY BASIS 2Y</v>
          </cell>
          <cell r="AR121">
            <v>-35.625</v>
          </cell>
        </row>
        <row r="122">
          <cell r="AO122" t="str">
            <v>EUBS3 ICPL Curncy</v>
          </cell>
          <cell r="AP122" t="str">
            <v>BASIS SWAP</v>
          </cell>
          <cell r="AQ122" t="str">
            <v>EUR-USD XCCY BASIS 3Y</v>
          </cell>
          <cell r="AR122">
            <v>-35.5</v>
          </cell>
        </row>
        <row r="123">
          <cell r="AO123" t="str">
            <v>EUBS4 ICPL Curncy</v>
          </cell>
          <cell r="AP123" t="str">
            <v>BASIS SWAP</v>
          </cell>
          <cell r="AQ123" t="str">
            <v>EUR-USD XCCY BASIS 4Y</v>
          </cell>
          <cell r="AR123">
            <v>-35.625</v>
          </cell>
        </row>
        <row r="124">
          <cell r="AO124" t="str">
            <v>EUBS5 ICPL Curncy</v>
          </cell>
          <cell r="AP124" t="str">
            <v>BASIS SWAP</v>
          </cell>
          <cell r="AQ124" t="str">
            <v>EUR-USD XCCY BASIS 5Y</v>
          </cell>
          <cell r="AR124">
            <v>-36</v>
          </cell>
        </row>
        <row r="125">
          <cell r="AO125" t="str">
            <v>EUBS6 ICPL Curncy</v>
          </cell>
          <cell r="AP125" t="str">
            <v>BASIS SWAP</v>
          </cell>
          <cell r="AQ125" t="str">
            <v>EUR-USD XCCY BASIS 6Y</v>
          </cell>
          <cell r="AR125">
            <v>-36.375</v>
          </cell>
        </row>
        <row r="126">
          <cell r="AO126" t="str">
            <v>EUBS7 ICPL Curncy</v>
          </cell>
          <cell r="AP126" t="str">
            <v>BASIS SWAP</v>
          </cell>
          <cell r="AQ126" t="str">
            <v>EUR-USD XCCY BASIS 7Y</v>
          </cell>
          <cell r="AR126">
            <v>-36.75</v>
          </cell>
        </row>
        <row r="127">
          <cell r="AO127" t="str">
            <v>EUBS8 ICPL Curncy</v>
          </cell>
          <cell r="AP127" t="str">
            <v>BASIS SWAP</v>
          </cell>
          <cell r="AQ127" t="str">
            <v>EUR-USD XCCY BASIS 8Y</v>
          </cell>
          <cell r="AR127">
            <v>-36.875</v>
          </cell>
        </row>
        <row r="128">
          <cell r="AO128" t="str">
            <v>EUBS9 ICPL Curncy</v>
          </cell>
          <cell r="AP128" t="str">
            <v>BASIS SWAP</v>
          </cell>
          <cell r="AQ128" t="str">
            <v>EUR-USD XCCY BASIS 9Y</v>
          </cell>
          <cell r="AR128">
            <v>-36.75</v>
          </cell>
        </row>
        <row r="129">
          <cell r="AO129" t="str">
            <v>EUBS10 ICPL Curncy</v>
          </cell>
          <cell r="AP129" t="str">
            <v>BASIS SWAP</v>
          </cell>
          <cell r="AQ129" t="str">
            <v>EUR-USD XCCY BASIS 10Y</v>
          </cell>
          <cell r="AR129">
            <v>-36.5</v>
          </cell>
        </row>
        <row r="130">
          <cell r="AO130" t="str">
            <v>EUBS11 ICPL Curncy</v>
          </cell>
          <cell r="AP130" t="str">
            <v>BASIS SWAP</v>
          </cell>
          <cell r="AQ130" t="str">
            <v>EUR-USD XCCY BASIS 11Y</v>
          </cell>
          <cell r="AR130" t="str">
            <v>N/A</v>
          </cell>
        </row>
        <row r="131">
          <cell r="AO131" t="str">
            <v>EUBS12 ICPL Curncy</v>
          </cell>
          <cell r="AP131" t="str">
            <v>BASIS SWAP</v>
          </cell>
          <cell r="AQ131" t="str">
            <v>EUR-USD XCCY BASIS 12Y</v>
          </cell>
          <cell r="AR131">
            <v>-35.875</v>
          </cell>
        </row>
        <row r="132">
          <cell r="AO132" t="str">
            <v>EUBS13 ICPL Curncy</v>
          </cell>
          <cell r="AP132" t="str">
            <v>BASIS SWAP</v>
          </cell>
          <cell r="AQ132" t="str">
            <v>EUR-USD XCCY BASIS 13Y</v>
          </cell>
          <cell r="AR132" t="str">
            <v>N/A</v>
          </cell>
        </row>
        <row r="133">
          <cell r="AO133" t="str">
            <v>EUBS14 ICPL Curncy</v>
          </cell>
          <cell r="AP133" t="str">
            <v>BASIS SWAP</v>
          </cell>
          <cell r="AQ133" t="str">
            <v>EUR-USD XCCY BASIS 14Y</v>
          </cell>
          <cell r="AR133" t="str">
            <v>N/A</v>
          </cell>
        </row>
        <row r="134">
          <cell r="AO134" t="str">
            <v>EUBS15 ICPL Curncy</v>
          </cell>
          <cell r="AP134" t="str">
            <v>BASIS SWAP</v>
          </cell>
          <cell r="AQ134" t="str">
            <v>EUR-USD XCCY BASIS 15Y</v>
          </cell>
          <cell r="AR134">
            <v>-34</v>
          </cell>
        </row>
        <row r="135">
          <cell r="AO135" t="str">
            <v>EUBS20 ICPL Curncy</v>
          </cell>
          <cell r="AP135" t="str">
            <v>BASIS SWAP</v>
          </cell>
          <cell r="AQ135" t="str">
            <v>EUR-USD XCCY BASIS 20Y</v>
          </cell>
          <cell r="AR135">
            <v>-29.5</v>
          </cell>
        </row>
        <row r="136">
          <cell r="AO136" t="str">
            <v>EUBS25 ICPL Curncy</v>
          </cell>
          <cell r="AP136" t="str">
            <v>BASIS SWAP</v>
          </cell>
          <cell r="AQ136" t="str">
            <v>EUR-USD XCCY BASIS 25Y</v>
          </cell>
          <cell r="AR136">
            <v>-25.125</v>
          </cell>
        </row>
        <row r="137">
          <cell r="AO137" t="str">
            <v>EUBS30 ICPL Curncy</v>
          </cell>
          <cell r="AP137" t="str">
            <v>BASIS SWAP</v>
          </cell>
          <cell r="AQ137" t="str">
            <v>EUR-USD XCCY BASIS 30Y</v>
          </cell>
          <cell r="AR137">
            <v>-22.25</v>
          </cell>
        </row>
        <row r="227">
          <cell r="AO227" t="str">
            <v>BPBS1 ICPL Curncy</v>
          </cell>
          <cell r="AP227" t="str">
            <v>BASIS SWAP</v>
          </cell>
          <cell r="AQ227" t="str">
            <v>GBP BASIS SW 3M LIB 1 YR</v>
          </cell>
          <cell r="AR227">
            <v>-16.25</v>
          </cell>
        </row>
        <row r="228">
          <cell r="AO228" t="str">
            <v>BPBS2 ICPL Curncy</v>
          </cell>
          <cell r="AP228" t="str">
            <v>BASIS SWAP</v>
          </cell>
          <cell r="AQ228" t="str">
            <v>GBP BASIS SWAP      2 YR</v>
          </cell>
          <cell r="AR228">
            <v>-14.25</v>
          </cell>
        </row>
        <row r="229">
          <cell r="AO229" t="str">
            <v>BPBS3 ICPL Curncy</v>
          </cell>
          <cell r="AP229" t="str">
            <v>BASIS SWAP</v>
          </cell>
          <cell r="AQ229" t="str">
            <v>GBP BASIS SWAP      3 YR</v>
          </cell>
          <cell r="AR229">
            <v>-12.75</v>
          </cell>
        </row>
        <row r="230">
          <cell r="AO230" t="str">
            <v>BPBS4 ICPL Curncy</v>
          </cell>
          <cell r="AP230" t="str">
            <v>BASIS SWAP</v>
          </cell>
          <cell r="AQ230" t="str">
            <v>GBP BASIS SWAP      4 YR</v>
          </cell>
          <cell r="AR230">
            <v>-11</v>
          </cell>
        </row>
        <row r="231">
          <cell r="AO231" t="str">
            <v>BPBS5 ICPL Curncy</v>
          </cell>
          <cell r="AP231" t="str">
            <v>BASIS SWAP</v>
          </cell>
          <cell r="AQ231" t="str">
            <v>GBP BASIS SWAP      5 YR</v>
          </cell>
          <cell r="AR231">
            <v>-9.25</v>
          </cell>
        </row>
        <row r="232">
          <cell r="AO232" t="str">
            <v>BPBS6 ICPL Curncy</v>
          </cell>
          <cell r="AP232" t="str">
            <v>BASIS SWAP</v>
          </cell>
          <cell r="AQ232" t="str">
            <v>GBP BASIS SWAP      6 YR</v>
          </cell>
          <cell r="AR232">
            <v>-7.5</v>
          </cell>
        </row>
        <row r="233">
          <cell r="AO233" t="str">
            <v>BPBS7 ICPL Curncy</v>
          </cell>
          <cell r="AP233" t="str">
            <v>BASIS SWAP</v>
          </cell>
          <cell r="AQ233" t="str">
            <v>GBP BASIS SWAP      7 YR</v>
          </cell>
          <cell r="AR233">
            <v>-6</v>
          </cell>
        </row>
        <row r="234">
          <cell r="AO234" t="str">
            <v>BPBS8 ICPL Curncy</v>
          </cell>
          <cell r="AP234" t="str">
            <v>BASIS SWAP</v>
          </cell>
          <cell r="AQ234" t="str">
            <v>GBP BASIS SWAP      8 YR</v>
          </cell>
          <cell r="AR234">
            <v>-5</v>
          </cell>
        </row>
        <row r="235">
          <cell r="AO235" t="str">
            <v>BPBS9 ICPL Curncy</v>
          </cell>
          <cell r="AP235" t="str">
            <v>BASIS SWAP</v>
          </cell>
          <cell r="AQ235" t="str">
            <v>GBP BASIS SWAP      9 YR</v>
          </cell>
          <cell r="AR235">
            <v>-4.25</v>
          </cell>
        </row>
        <row r="236">
          <cell r="AO236" t="str">
            <v>BPBS10 ICPL Curncy</v>
          </cell>
          <cell r="AP236" t="str">
            <v>BASIS SWAP</v>
          </cell>
          <cell r="AQ236" t="str">
            <v>GBP BASIS SWAP     10 YR</v>
          </cell>
          <cell r="AR236">
            <v>-4</v>
          </cell>
        </row>
        <row r="237">
          <cell r="AO237" t="str">
            <v>BPBS11 ICPL Curncy</v>
          </cell>
          <cell r="AP237" t="str">
            <v>BASIS SWAP</v>
          </cell>
          <cell r="AQ237" t="str">
            <v>GBP BASIS SWAP     11 YR</v>
          </cell>
          <cell r="AR237" t="str">
            <v>N/A</v>
          </cell>
        </row>
        <row r="238">
          <cell r="AO238" t="str">
            <v>BPBS12 ICPL Curncy</v>
          </cell>
          <cell r="AP238" t="str">
            <v>BASIS SWAP</v>
          </cell>
          <cell r="AQ238" t="str">
            <v>GBP BASIS SWAP     12 YR</v>
          </cell>
          <cell r="AR238">
            <v>-4.5</v>
          </cell>
        </row>
        <row r="239">
          <cell r="AO239" t="str">
            <v>BPBS13 ICPL Curncy</v>
          </cell>
          <cell r="AP239" t="str">
            <v>BASIS SWAP</v>
          </cell>
          <cell r="AQ239" t="str">
            <v>GBP BASIS SWAP     13 YR</v>
          </cell>
          <cell r="AR239" t="str">
            <v>N/A</v>
          </cell>
        </row>
        <row r="240">
          <cell r="AO240" t="str">
            <v>BPBS14 ICPL Curncy</v>
          </cell>
          <cell r="AP240" t="str">
            <v>BASIS SWAP</v>
          </cell>
          <cell r="AQ240" t="str">
            <v>GBP BASIS SWAP     14 YR</v>
          </cell>
          <cell r="AR240" t="str">
            <v>N/A</v>
          </cell>
        </row>
        <row r="241">
          <cell r="AO241" t="str">
            <v>BPBS15 ICPL Curncy</v>
          </cell>
          <cell r="AP241" t="str">
            <v>BASIS SWAP</v>
          </cell>
          <cell r="AQ241" t="str">
            <v>GBP BASIS SWAP     15 YR</v>
          </cell>
          <cell r="AR241">
            <v>-6.5</v>
          </cell>
        </row>
        <row r="242">
          <cell r="AO242" t="str">
            <v>BPBS20 ICPL Curncy</v>
          </cell>
          <cell r="AP242" t="str">
            <v>BASIS SWAP</v>
          </cell>
          <cell r="AQ242" t="str">
            <v>GBP BASIS SWAP     20 YR</v>
          </cell>
          <cell r="AR242">
            <v>-9.75</v>
          </cell>
        </row>
        <row r="243">
          <cell r="AO243" t="str">
            <v>BPBS25 ICPL Curncy</v>
          </cell>
          <cell r="AP243" t="str">
            <v>BASIS SWAP</v>
          </cell>
          <cell r="AQ243" t="str">
            <v>GBP BASIS SWAP     25 YR</v>
          </cell>
          <cell r="AR243">
            <v>-9.25</v>
          </cell>
        </row>
        <row r="244">
          <cell r="AO244" t="str">
            <v>BPBS30 ICPL Curncy</v>
          </cell>
          <cell r="AP244" t="str">
            <v>BASIS SWAP</v>
          </cell>
          <cell r="AQ244" t="str">
            <v>GBP BASIS SWAP     30 YR</v>
          </cell>
          <cell r="AR244">
            <v>-6.5</v>
          </cell>
        </row>
        <row r="334">
          <cell r="AO334" t="str">
            <v>JYBS1 MTRT Curncy</v>
          </cell>
          <cell r="AP334" t="str">
            <v>BASIS SWAP</v>
          </cell>
          <cell r="AQ334" t="str">
            <v>JPY BASIS SW (LIBOR) 1YR</v>
          </cell>
          <cell r="AR334">
            <v>-49.5</v>
          </cell>
        </row>
        <row r="335">
          <cell r="AO335" t="str">
            <v>JYBS2 MTRT Curncy</v>
          </cell>
          <cell r="AP335" t="str">
            <v>BASIS SWAP</v>
          </cell>
          <cell r="AQ335" t="str">
            <v>JPY BASIS SW (LIBOR) 2YR</v>
          </cell>
          <cell r="AR335">
            <v>-54.375</v>
          </cell>
        </row>
        <row r="336">
          <cell r="AO336" t="str">
            <v>JYBS3 MTRT Curncy</v>
          </cell>
          <cell r="AP336" t="str">
            <v>BASIS SWAP</v>
          </cell>
          <cell r="AQ336" t="str">
            <v>JPY BASIS SW (LIBOR) 3YR</v>
          </cell>
          <cell r="AR336">
            <v>-57.75</v>
          </cell>
        </row>
        <row r="337">
          <cell r="AO337" t="str">
            <v>JYBS4 MTRT Curncy</v>
          </cell>
          <cell r="AP337" t="str">
            <v>BASIS SWAP</v>
          </cell>
          <cell r="AQ337" t="str">
            <v>JPY BASIS SW (LIBOR) 4YR</v>
          </cell>
          <cell r="AR337">
            <v>-60.25</v>
          </cell>
        </row>
        <row r="338">
          <cell r="AO338" t="str">
            <v>JYBS5 MTRT Curncy</v>
          </cell>
          <cell r="AP338" t="str">
            <v>BASIS SWAP</v>
          </cell>
          <cell r="AQ338" t="str">
            <v>JPY BASIS SW (LIBOR) 5YR</v>
          </cell>
          <cell r="AR338">
            <v>-62</v>
          </cell>
        </row>
        <row r="339">
          <cell r="AO339" t="str">
            <v>JYBS6 MTRT Curncy</v>
          </cell>
          <cell r="AP339" t="str">
            <v>BASIS SWAP</v>
          </cell>
          <cell r="AQ339" t="str">
            <v>JPY BASIS SW (LIBOR) 6YR</v>
          </cell>
          <cell r="AR339">
            <v>-63.125</v>
          </cell>
        </row>
        <row r="340">
          <cell r="AO340" t="str">
            <v>JYBS7 MTRT Curncy</v>
          </cell>
          <cell r="AP340" t="str">
            <v>BASIS SWAP</v>
          </cell>
          <cell r="AQ340" t="str">
            <v>JPY BASIS SW (LIBOR) 7YR</v>
          </cell>
          <cell r="AR340">
            <v>-63.5</v>
          </cell>
        </row>
        <row r="341">
          <cell r="AO341" t="str">
            <v>JYBS8 MTRT Curncy</v>
          </cell>
          <cell r="AP341" t="str">
            <v>BASIS SWAP</v>
          </cell>
          <cell r="AQ341" t="str">
            <v>JPY BASIS SW (LIBOR) 8YR</v>
          </cell>
          <cell r="AR341">
            <v>-63.375</v>
          </cell>
        </row>
        <row r="342">
          <cell r="AO342" t="str">
            <v>JYBS9 MTRT Curncy</v>
          </cell>
          <cell r="AP342" t="str">
            <v>BASIS SWAP</v>
          </cell>
          <cell r="AQ342" t="str">
            <v>JPY BASIS SW (LIBOR) 9YR</v>
          </cell>
          <cell r="AR342">
            <v>-63</v>
          </cell>
        </row>
        <row r="343">
          <cell r="AO343" t="str">
            <v>JYBS10 MTRT Curncy</v>
          </cell>
          <cell r="AP343" t="str">
            <v>BASIS SWAP</v>
          </cell>
          <cell r="AQ343" t="str">
            <v>JPY BASIS SW (LIBOR)10YR</v>
          </cell>
          <cell r="AR343">
            <v>-62.625</v>
          </cell>
        </row>
        <row r="344">
          <cell r="AO344" t="str">
            <v>JYBS11 MTRT Curncy</v>
          </cell>
          <cell r="AP344" t="str">
            <v>BASIS SWAP</v>
          </cell>
          <cell r="AQ344" t="str">
            <v>JPY BASIS SW (LIBOR)11YR</v>
          </cell>
          <cell r="AR344">
            <v>-62.25</v>
          </cell>
        </row>
        <row r="345">
          <cell r="AO345" t="str">
            <v>JYBS12 MTRT Curncy</v>
          </cell>
          <cell r="AP345" t="str">
            <v>BASIS SWAP</v>
          </cell>
          <cell r="AQ345" t="str">
            <v>JPY BASIS SW (LIBOR)12YR</v>
          </cell>
          <cell r="AR345">
            <v>-61.75</v>
          </cell>
        </row>
        <row r="346">
          <cell r="AO346" t="str">
            <v>JYBS13 MTRT Curncy</v>
          </cell>
          <cell r="AP346" t="str">
            <v>BASIS SWAP</v>
          </cell>
          <cell r="AQ346" t="str">
            <v>JPY BASIS SW (LIBOR)13YR</v>
          </cell>
          <cell r="AR346" t="str">
            <v>N/A</v>
          </cell>
        </row>
        <row r="347">
          <cell r="AO347" t="str">
            <v>JYBS14 MTRT Curncy</v>
          </cell>
          <cell r="AP347" t="str">
            <v>BASIS SWAP</v>
          </cell>
          <cell r="AQ347" t="str">
            <v>JPY BASIS SW (LIBOR)14YR</v>
          </cell>
          <cell r="AR347" t="str">
            <v>N/A</v>
          </cell>
        </row>
        <row r="348">
          <cell r="AO348" t="str">
            <v>JYBS15 MTRT Curncy</v>
          </cell>
          <cell r="AP348" t="str">
            <v>BASIS SWAP</v>
          </cell>
          <cell r="AQ348" t="str">
            <v>JPY BASIS SW (LIBOR)15YR</v>
          </cell>
          <cell r="AR348">
            <v>-60.25</v>
          </cell>
        </row>
        <row r="349">
          <cell r="AO349" t="str">
            <v>JYBS20 MTRT Curncy</v>
          </cell>
          <cell r="AP349" t="str">
            <v>BASIS SWAP</v>
          </cell>
          <cell r="AQ349" t="str">
            <v>JPY BASIS SW (LIBOR)20YR</v>
          </cell>
          <cell r="AR349">
            <v>-58.25</v>
          </cell>
        </row>
        <row r="350">
          <cell r="AO350" t="str">
            <v>JYBS25 MTRT Curncy</v>
          </cell>
          <cell r="AP350" t="str">
            <v>BASIS SWAP</v>
          </cell>
          <cell r="AQ350" t="str">
            <v>JPY BASIS SW (LIBOR)25YR</v>
          </cell>
          <cell r="AR350">
            <v>-57.125</v>
          </cell>
        </row>
        <row r="351">
          <cell r="AO351" t="str">
            <v>JYBS30 MTRT Curncy</v>
          </cell>
          <cell r="AP351" t="str">
            <v>BASIS SWAP</v>
          </cell>
          <cell r="AQ351" t="str">
            <v>JPY BASIS SW (LIBOR)30YR</v>
          </cell>
          <cell r="AR351">
            <v>-56.375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N6" t="str">
            <v>calendar</v>
          </cell>
          <cell r="AO6" t="str">
            <v>NYB</v>
          </cell>
          <cell r="AQ6" t="str">
            <v>calendar</v>
          </cell>
          <cell r="AR6" t="str">
            <v>NYB</v>
          </cell>
        </row>
        <row r="7">
          <cell r="AN7" t="str">
            <v>daycount</v>
          </cell>
          <cell r="AO7" t="str">
            <v>act/360</v>
          </cell>
          <cell r="AQ7" t="str">
            <v>daycount</v>
          </cell>
          <cell r="AR7" t="str">
            <v>act/360</v>
          </cell>
        </row>
        <row r="8">
          <cell r="C8" t="str">
            <v>OIS:USDDF:USDDF_NOCSA:USDDF_USDCSA:USDOIS</v>
          </cell>
          <cell r="G8" t="str">
            <v>AsOfDate</v>
          </cell>
          <cell r="H8">
            <v>43077</v>
          </cell>
          <cell r="J8" t="str">
            <v>calendar</v>
          </cell>
          <cell r="K8" t="str">
            <v>NYB</v>
          </cell>
          <cell r="AH8" t="str">
            <v>AsOfDate</v>
          </cell>
          <cell r="AI8">
            <v>43077</v>
          </cell>
          <cell r="AK8" t="str">
            <v>calendar</v>
          </cell>
          <cell r="AL8" t="str">
            <v>NYB</v>
          </cell>
          <cell r="AN8" t="str">
            <v>resetlag</v>
          </cell>
          <cell r="AO8">
            <v>2</v>
          </cell>
          <cell r="AQ8" t="str">
            <v>resetlag</v>
          </cell>
          <cell r="AR8" t="str">
            <v>2</v>
          </cell>
          <cell r="AW8" t="str">
            <v>Calendar</v>
          </cell>
          <cell r="AX8" t="str">
            <v>LNB:NYB</v>
          </cell>
          <cell r="BD8" t="str">
            <v>AsOfDate</v>
          </cell>
          <cell r="BE8">
            <v>43077</v>
          </cell>
          <cell r="CH8" t="str">
            <v>AsOfDate</v>
          </cell>
          <cell r="CI8">
            <v>43077</v>
          </cell>
          <cell r="CK8" t="str">
            <v>leg1discount</v>
          </cell>
          <cell r="CL8" t="str">
            <v>EURYC:OIS</v>
          </cell>
          <cell r="CN8" t="str">
            <v>leg1discount</v>
          </cell>
          <cell r="CO8" t="str">
            <v>GBPYC:OIS</v>
          </cell>
          <cell r="CQ8" t="str">
            <v>leg1discount</v>
          </cell>
          <cell r="CR8" t="str">
            <v>JPYYC:OIS</v>
          </cell>
        </row>
        <row r="9">
          <cell r="C9" t="str">
            <v>STD:USD3ML</v>
          </cell>
          <cell r="G9" t="str">
            <v>Currency</v>
          </cell>
          <cell r="H9" t="str">
            <v>USD</v>
          </cell>
          <cell r="J9" t="str">
            <v>daycount</v>
          </cell>
          <cell r="K9" t="str">
            <v>ACT/360</v>
          </cell>
          <cell r="M9" t="str">
            <v>ON</v>
          </cell>
          <cell r="N9">
            <v>1.1599999999999999E-2</v>
          </cell>
          <cell r="O9" t="str">
            <v/>
          </cell>
          <cell r="P9" t="str">
            <v/>
          </cell>
          <cell r="Q9" t="b">
            <v>1</v>
          </cell>
          <cell r="AH9" t="str">
            <v>Currency</v>
          </cell>
          <cell r="AI9" t="str">
            <v>USD</v>
          </cell>
          <cell r="AK9" t="str">
            <v>daycount</v>
          </cell>
          <cell r="AL9" t="str">
            <v>act/360</v>
          </cell>
          <cell r="AN9" t="str">
            <v>slidingrule</v>
          </cell>
          <cell r="AO9" t="str">
            <v>MOD_FOLLOWING</v>
          </cell>
          <cell r="AQ9" t="str">
            <v>slidingrule</v>
          </cell>
          <cell r="AR9" t="str">
            <v>MOD_FOLLOWING</v>
          </cell>
          <cell r="AW9" t="str">
            <v>DayCount</v>
          </cell>
          <cell r="AX9" t="str">
            <v>30/360</v>
          </cell>
          <cell r="AZ9" t="str">
            <v>5Y</v>
          </cell>
          <cell r="BA9">
            <v>2.1995000000000001E-2</v>
          </cell>
          <cell r="BB9" t="b">
            <v>1</v>
          </cell>
          <cell r="BD9" t="str">
            <v>Currency</v>
          </cell>
          <cell r="BE9" t="str">
            <v>USD</v>
          </cell>
          <cell r="BG9" t="str">
            <v>IsLeg1Spread</v>
          </cell>
          <cell r="BH9" t="str">
            <v>FALSE</v>
          </cell>
          <cell r="BJ9" t="str">
            <v>1Y</v>
          </cell>
          <cell r="BK9">
            <v>9.5E-4</v>
          </cell>
          <cell r="BM9" t="str">
            <v>IsLeg1Spread</v>
          </cell>
          <cell r="BN9" t="str">
            <v>FALSE</v>
          </cell>
          <cell r="BP9" t="str">
            <v>1Y</v>
          </cell>
          <cell r="BQ9">
            <v>8.4374999999999999E-4</v>
          </cell>
          <cell r="BS9" t="str">
            <v>IsLeg1Spread</v>
          </cell>
          <cell r="BT9" t="str">
            <v>FALSE</v>
          </cell>
          <cell r="BV9" t="str">
            <v>1Y</v>
          </cell>
          <cell r="BW9">
            <v>2.0625000000000001E-3</v>
          </cell>
          <cell r="CH9" t="str">
            <v>Currency</v>
          </cell>
          <cell r="CI9" t="str">
            <v>USD</v>
          </cell>
          <cell r="CK9" t="str">
            <v>leg1forecast</v>
          </cell>
          <cell r="CL9" t="str">
            <v>EURYC:XccyBasis</v>
          </cell>
          <cell r="CN9" t="str">
            <v>leg1forecast</v>
          </cell>
          <cell r="CO9" t="str">
            <v>GBPYC:XccyBasis</v>
          </cell>
          <cell r="CQ9" t="str">
            <v>leg1forecast</v>
          </cell>
          <cell r="CR9" t="str">
            <v>JPYYC:XccyBasis</v>
          </cell>
        </row>
        <row r="10">
          <cell r="C10" t="str">
            <v>3M6MBasis:USD6ML</v>
          </cell>
          <cell r="G10" t="str">
            <v>yieldgen.interpolation</v>
          </cell>
          <cell r="H10" t="str">
            <v>FN_SPLINEINTERPOLATION</v>
          </cell>
          <cell r="J10" t="str">
            <v>frequency</v>
          </cell>
          <cell r="K10" t="str">
            <v>Annual</v>
          </cell>
          <cell r="M10" t="str">
            <v>12M</v>
          </cell>
          <cell r="N10">
            <v>1.6064000000000002E-2</v>
          </cell>
          <cell r="O10" t="str">
            <v/>
          </cell>
          <cell r="P10" t="str">
            <v/>
          </cell>
          <cell r="Q10" t="b">
            <v>1</v>
          </cell>
          <cell r="AH10" t="str">
            <v>future.interpolation</v>
          </cell>
          <cell r="AI10" t="str">
            <v>FN_LINEARSPLINEINTERPOLATION</v>
          </cell>
          <cell r="AK10" t="str">
            <v>slidingrule</v>
          </cell>
          <cell r="AL10" t="str">
            <v>following</v>
          </cell>
          <cell r="AN10" t="str">
            <v>IsEomRoll</v>
          </cell>
          <cell r="AO10" t="b">
            <v>0</v>
          </cell>
          <cell r="AQ10" t="str">
            <v>MeanReversion</v>
          </cell>
          <cell r="AR10">
            <v>0.03</v>
          </cell>
          <cell r="AW10" t="str">
            <v>DayCountFix</v>
          </cell>
          <cell r="AX10" t="str">
            <v>30/360</v>
          </cell>
          <cell r="AZ10" t="str">
            <v>7Y</v>
          </cell>
          <cell r="BA10">
            <v>2.2839999999999999E-2</v>
          </cell>
          <cell r="BB10" t="b">
            <v>1</v>
          </cell>
          <cell r="BD10" t="str">
            <v>basis.interpolation</v>
          </cell>
          <cell r="BE10" t="str">
            <v>FN_SPLINEINTERPOLATION</v>
          </cell>
          <cell r="BG10" t="str">
            <v>Leg1cashlet.calendar</v>
          </cell>
          <cell r="BH10" t="str">
            <v>NYB</v>
          </cell>
          <cell r="BJ10" t="str">
            <v>2Y</v>
          </cell>
          <cell r="BK10">
            <v>1.1125E-3</v>
          </cell>
          <cell r="BM10" t="str">
            <v>Leg1cashlet.calendar</v>
          </cell>
          <cell r="BN10" t="str">
            <v>NYB</v>
          </cell>
          <cell r="BP10" t="str">
            <v>2Y</v>
          </cell>
          <cell r="BQ10">
            <v>9.1624999999999996E-4</v>
          </cell>
          <cell r="BS10" t="str">
            <v>Leg1cashlet.calendar</v>
          </cell>
          <cell r="BT10" t="str">
            <v>NYB</v>
          </cell>
          <cell r="BV10" t="str">
            <v>2Y</v>
          </cell>
          <cell r="BW10">
            <v>2.3500000000000001E-3</v>
          </cell>
          <cell r="CH10" t="str">
            <v>basis.interpolation</v>
          </cell>
          <cell r="CI10" t="str">
            <v>FN_SPLINEINTERPOLATION</v>
          </cell>
          <cell r="CK10" t="str">
            <v>leg2discount</v>
          </cell>
          <cell r="CL10" t="str">
            <v>USDYC:OIS</v>
          </cell>
          <cell r="CN10" t="str">
            <v>leg2discount</v>
          </cell>
          <cell r="CO10" t="str">
            <v>USDYC:OIS</v>
          </cell>
          <cell r="CQ10" t="str">
            <v>leg2discount</v>
          </cell>
          <cell r="CR10" t="str">
            <v>USDYC:OIS</v>
          </cell>
        </row>
        <row r="11">
          <cell r="C11" t="str">
            <v>1M3MBasis:USD1ML</v>
          </cell>
          <cell r="J11" t="str">
            <v>generatemethod</v>
          </cell>
          <cell r="K11" t="str">
            <v>dailycompounding</v>
          </cell>
          <cell r="M11" t="str">
            <v>2Y</v>
          </cell>
          <cell r="N11">
            <v>1.7571E-2</v>
          </cell>
          <cell r="O11" t="str">
            <v/>
          </cell>
          <cell r="P11" t="str">
            <v/>
          </cell>
          <cell r="Q11" t="b">
            <v>1</v>
          </cell>
          <cell r="AH11" t="str">
            <v>interpolation</v>
          </cell>
          <cell r="AI11" t="str">
            <v>FN_LINEARSPLINEINTERPOLATION</v>
          </cell>
          <cell r="AN11" t="str">
            <v>ApplyTension</v>
          </cell>
          <cell r="AO11" t="b">
            <v>0</v>
          </cell>
          <cell r="AQ11" t="str">
            <v>ApplyTension</v>
          </cell>
          <cell r="AR11" t="b">
            <v>0</v>
          </cell>
          <cell r="AW11" t="str">
            <v>DayCountFloat</v>
          </cell>
          <cell r="AX11" t="str">
            <v>ACT/360</v>
          </cell>
          <cell r="AZ11" t="str">
            <v>10Y</v>
          </cell>
          <cell r="BA11">
            <v>2.3879000000000001E-2</v>
          </cell>
          <cell r="BB11" t="b">
            <v>1</v>
          </cell>
          <cell r="BD11" t="str">
            <v>future.interpolation</v>
          </cell>
          <cell r="BE11" t="str">
            <v>FN_LINEARINTERPOLATION</v>
          </cell>
          <cell r="BG11" t="str">
            <v>Leg1cashlet.daycount</v>
          </cell>
          <cell r="BH11" t="str">
            <v>Act/360</v>
          </cell>
          <cell r="BJ11" t="str">
            <v>3Y</v>
          </cell>
          <cell r="BK11">
            <v>1.175E-3</v>
          </cell>
          <cell r="BM11" t="str">
            <v>Leg1cashlet.daycount</v>
          </cell>
          <cell r="BN11" t="str">
            <v>Act/360</v>
          </cell>
          <cell r="BP11" t="str">
            <v>3Y</v>
          </cell>
          <cell r="BQ11">
            <v>9.3125E-4</v>
          </cell>
          <cell r="BS11" t="str">
            <v>Leg1cashlet.daycount</v>
          </cell>
          <cell r="BT11" t="str">
            <v>Act/360</v>
          </cell>
          <cell r="BV11" t="str">
            <v>3Y</v>
          </cell>
          <cell r="BW11">
            <v>2.4875000000000001E-3</v>
          </cell>
          <cell r="CH11" t="str">
            <v>future.interpolation</v>
          </cell>
          <cell r="CI11" t="str">
            <v>FN_LINEARINTERPOLATION</v>
          </cell>
          <cell r="CK11" t="str">
            <v>leg2forecast</v>
          </cell>
          <cell r="CL11" t="str">
            <v>USDYC:OIS</v>
          </cell>
          <cell r="CN11" t="str">
            <v>leg2forecast</v>
          </cell>
          <cell r="CO11" t="str">
            <v>USDYC:OIS</v>
          </cell>
          <cell r="CQ11" t="str">
            <v>leg2forecast</v>
          </cell>
          <cell r="CR11" t="str">
            <v>USDYC:OIS</v>
          </cell>
        </row>
        <row r="12">
          <cell r="C12" t="str">
            <v>3M12MBasis:USD12ML</v>
          </cell>
          <cell r="J12" t="str">
            <v>resetlag</v>
          </cell>
          <cell r="K12" t="str">
            <v>2d</v>
          </cell>
          <cell r="M12" t="str">
            <v>3Y</v>
          </cell>
          <cell r="N12">
            <v>1.8340000000000002E-2</v>
          </cell>
          <cell r="O12" t="str">
            <v/>
          </cell>
          <cell r="P12" t="str">
            <v/>
          </cell>
          <cell r="Q12" t="b">
            <v>1</v>
          </cell>
          <cell r="AH12" t="str">
            <v>Frequency</v>
          </cell>
          <cell r="AI12" t="str">
            <v>SIMPLE</v>
          </cell>
          <cell r="AN12" t="str">
            <v>TensionGap</v>
          </cell>
          <cell r="AO12">
            <v>2</v>
          </cell>
          <cell r="AQ12" t="str">
            <v>TensionGap</v>
          </cell>
          <cell r="AR12">
            <v>2</v>
          </cell>
          <cell r="AW12" t="str">
            <v>Frequency</v>
          </cell>
          <cell r="AX12" t="str">
            <v>Semi-Annual</v>
          </cell>
          <cell r="AZ12" t="str">
            <v>11Y</v>
          </cell>
          <cell r="BA12">
            <v>2.418E-2</v>
          </cell>
          <cell r="BB12" t="b">
            <v>1</v>
          </cell>
          <cell r="BD12" t="str">
            <v>interpolation</v>
          </cell>
          <cell r="BE12" t="str">
            <v>FN_SPLINEINTERPOLATION</v>
          </cell>
          <cell r="BG12" t="str">
            <v>Leg1cashlet.frequency</v>
          </cell>
          <cell r="BH12" t="str">
            <v>Semi-Annual</v>
          </cell>
          <cell r="BJ12" t="str">
            <v>4Y</v>
          </cell>
          <cell r="BK12">
            <v>1.1999999999999999E-3</v>
          </cell>
          <cell r="BM12" t="str">
            <v>Leg1cashlet.frequency</v>
          </cell>
          <cell r="BN12" t="str">
            <v>Quarterly</v>
          </cell>
          <cell r="BP12" t="str">
            <v>4Y</v>
          </cell>
          <cell r="BQ12">
            <v>9.1099999999999992E-4</v>
          </cell>
          <cell r="BS12" t="str">
            <v>Leg1cashlet.frequency</v>
          </cell>
          <cell r="BT12" t="str">
            <v>Annual</v>
          </cell>
          <cell r="BV12" t="str">
            <v>4Y</v>
          </cell>
          <cell r="BW12">
            <v>2.5999999999999999E-3</v>
          </cell>
          <cell r="CH12" t="str">
            <v>interpolation</v>
          </cell>
          <cell r="CI12" t="str">
            <v>FN_SPLINEINTERPOLATION</v>
          </cell>
          <cell r="CK12" t="str">
            <v>target</v>
          </cell>
          <cell r="CL12" t="str">
            <v>Leg2Discount</v>
          </cell>
          <cell r="CN12" t="str">
            <v>target</v>
          </cell>
          <cell r="CO12" t="str">
            <v>Leg2Discount</v>
          </cell>
          <cell r="CQ12" t="str">
            <v>target</v>
          </cell>
          <cell r="CR12" t="str">
            <v>Leg2Discount</v>
          </cell>
        </row>
        <row r="13">
          <cell r="J13" t="str">
            <v>firstrate</v>
          </cell>
          <cell r="K13" t="str">
            <v>ShortMarket</v>
          </cell>
          <cell r="M13" t="str">
            <v>4Y</v>
          </cell>
          <cell r="N13">
            <v>1.8839999999999999E-2</v>
          </cell>
          <cell r="O13" t="str">
            <v/>
          </cell>
          <cell r="P13" t="str">
            <v/>
          </cell>
          <cell r="Q13" t="b">
            <v>1</v>
          </cell>
          <cell r="AH13" t="str">
            <v>yieldgen.interpolation</v>
          </cell>
          <cell r="AI13" t="str">
            <v>FN_LINEARSPLINEINTERPOLATION</v>
          </cell>
          <cell r="AW13" t="str">
            <v>FrequencyFloat</v>
          </cell>
          <cell r="AX13" t="str">
            <v>Quarterly</v>
          </cell>
          <cell r="AZ13" t="str">
            <v>12Y</v>
          </cell>
          <cell r="BA13">
            <v>2.4426999999999997E-2</v>
          </cell>
          <cell r="BB13" t="b">
            <v>1</v>
          </cell>
          <cell r="BD13" t="str">
            <v>isadjustdf</v>
          </cell>
          <cell r="BE13" t="b">
            <v>0</v>
          </cell>
          <cell r="BG13" t="str">
            <v>Leg1cashlet.slidingrule</v>
          </cell>
          <cell r="BH13" t="str">
            <v>MOD_FOLLOWING</v>
          </cell>
          <cell r="BJ13" t="str">
            <v>5Y</v>
          </cell>
          <cell r="BK13">
            <v>1.2375000000000001E-3</v>
          </cell>
          <cell r="BM13" t="str">
            <v>Leg1cashlet.slidingrule</v>
          </cell>
          <cell r="BN13" t="str">
            <v>MOD_FOLLOWING</v>
          </cell>
          <cell r="BP13" t="str">
            <v>5Y</v>
          </cell>
          <cell r="BQ13">
            <v>8.8124999999999998E-4</v>
          </cell>
          <cell r="BS13" t="str">
            <v>Leg1cashlet.slidingrule</v>
          </cell>
          <cell r="BT13" t="str">
            <v>MOD_FOLLOWING</v>
          </cell>
          <cell r="BV13" t="str">
            <v>5Y</v>
          </cell>
          <cell r="BW13">
            <v>2.6749999999999999E-3</v>
          </cell>
          <cell r="CH13" t="str">
            <v>isadjustdf</v>
          </cell>
          <cell r="CI13" t="b">
            <v>0</v>
          </cell>
        </row>
        <row r="14">
          <cell r="C14" t="str">
            <v>USDDF_EURCSA</v>
          </cell>
          <cell r="J14" t="str">
            <v>slidingrule</v>
          </cell>
          <cell r="K14" t="str">
            <v>MOD_FOLLOWING</v>
          </cell>
          <cell r="M14" t="str">
            <v>5Y</v>
          </cell>
          <cell r="N14">
            <v>1.925E-2</v>
          </cell>
          <cell r="O14" t="str">
            <v/>
          </cell>
          <cell r="P14" t="str">
            <v/>
          </cell>
          <cell r="Q14" t="b">
            <v>1</v>
          </cell>
          <cell r="AH14" t="str">
            <v>isfrause</v>
          </cell>
          <cell r="AI14" t="b">
            <v>0</v>
          </cell>
          <cell r="AW14" t="str">
            <v>basis.interpolation</v>
          </cell>
          <cell r="AX14" t="str">
            <v>FN_SPLINEINTERPOLATION</v>
          </cell>
          <cell r="AZ14" t="str">
            <v>15Y</v>
          </cell>
          <cell r="BA14">
            <v>2.4982999999999998E-2</v>
          </cell>
          <cell r="BB14" t="b">
            <v>1</v>
          </cell>
          <cell r="BD14" t="str">
            <v>isspotuse</v>
          </cell>
          <cell r="BE14" t="b">
            <v>0</v>
          </cell>
          <cell r="BG14" t="str">
            <v>Leg1cashlet.spotlag</v>
          </cell>
          <cell r="BH14" t="str">
            <v>2</v>
          </cell>
          <cell r="BJ14" t="str">
            <v>6Y</v>
          </cell>
          <cell r="BK14">
            <v>1.2750000000000001E-3</v>
          </cell>
          <cell r="BM14" t="str">
            <v>Leg1cashlet.spotlag</v>
          </cell>
          <cell r="BN14" t="str">
            <v>2</v>
          </cell>
          <cell r="BP14" t="str">
            <v>6Y</v>
          </cell>
          <cell r="BQ14">
            <v>8.5625000000000002E-4</v>
          </cell>
          <cell r="BS14" t="str">
            <v>Leg1cashlet.spotlag</v>
          </cell>
          <cell r="BT14" t="str">
            <v>2</v>
          </cell>
          <cell r="BV14" t="str">
            <v>7Y</v>
          </cell>
          <cell r="BW14">
            <v>2.8375000000000002E-3</v>
          </cell>
          <cell r="CH14" t="str">
            <v>isspotuse</v>
          </cell>
          <cell r="CI14" t="b">
            <v>0</v>
          </cell>
        </row>
        <row r="15">
          <cell r="C15" t="str">
            <v>USDDF_GBPCSA</v>
          </cell>
          <cell r="J15" t="str">
            <v>shorttermconvention</v>
          </cell>
          <cell r="K15" t="str">
            <v>arithmeticaverage</v>
          </cell>
          <cell r="M15" t="str">
            <v>6Y</v>
          </cell>
          <cell r="N15">
            <v>1.958E-2</v>
          </cell>
          <cell r="O15" t="str">
            <v/>
          </cell>
          <cell r="P15" t="str">
            <v/>
          </cell>
          <cell r="Q15" t="b">
            <v>1</v>
          </cell>
          <cell r="AH15" t="str">
            <v>isfutureuse</v>
          </cell>
          <cell r="AI15" t="b">
            <v>1</v>
          </cell>
          <cell r="AK15" t="str">
            <v>calendar</v>
          </cell>
          <cell r="AL15" t="str">
            <v>LNB:NYB</v>
          </cell>
          <cell r="AW15" t="str">
            <v>IsEomRoll</v>
          </cell>
          <cell r="AX15" t="b">
            <v>1</v>
          </cell>
          <cell r="AZ15" t="str">
            <v>20Y</v>
          </cell>
          <cell r="BA15">
            <v>2.5510000000000001E-2</v>
          </cell>
          <cell r="BB15" t="b">
            <v>1</v>
          </cell>
          <cell r="BD15" t="str">
            <v>isswaptenoradjust</v>
          </cell>
          <cell r="BE15" t="b">
            <v>0</v>
          </cell>
          <cell r="BG15" t="str">
            <v>Leg1discount</v>
          </cell>
          <cell r="BH15" t="str">
            <v>OIS</v>
          </cell>
          <cell r="BJ15" t="str">
            <v>7Y</v>
          </cell>
          <cell r="BK15">
            <v>1.3125000000000001E-3</v>
          </cell>
          <cell r="BM15" t="str">
            <v>Leg1discount</v>
          </cell>
          <cell r="BN15" t="str">
            <v>OIS</v>
          </cell>
          <cell r="BP15" t="str">
            <v>7Y</v>
          </cell>
          <cell r="BQ15">
            <v>8.3124999999999996E-4</v>
          </cell>
          <cell r="BS15" t="str">
            <v>Leg1discount</v>
          </cell>
          <cell r="BT15" t="str">
            <v>OIS</v>
          </cell>
          <cell r="BV15" t="str">
            <v>10Y</v>
          </cell>
          <cell r="BW15">
            <v>2.9750000000000002E-3</v>
          </cell>
          <cell r="CH15" t="str">
            <v>isswaptenoradjust</v>
          </cell>
          <cell r="CI15" t="b">
            <v>0</v>
          </cell>
        </row>
        <row r="16">
          <cell r="C16" t="str">
            <v>USDDF_JPYCSA</v>
          </cell>
          <cell r="J16" t="str">
            <v>shorttermconvention</v>
          </cell>
          <cell r="K16" t="str">
            <v>arithmeticaverage</v>
          </cell>
          <cell r="M16" t="str">
            <v>7Y</v>
          </cell>
          <cell r="N16">
            <v>1.9879999999999998E-2</v>
          </cell>
          <cell r="O16" t="str">
            <v/>
          </cell>
          <cell r="P16" t="str">
            <v/>
          </cell>
          <cell r="Q16" t="b">
            <v>1</v>
          </cell>
          <cell r="AH16" t="str">
            <v>dfcurvename</v>
          </cell>
          <cell r="AI16" t="str">
            <v>OIS</v>
          </cell>
          <cell r="AK16" t="str">
            <v>daycount</v>
          </cell>
          <cell r="AL16" t="str">
            <v>act/360</v>
          </cell>
          <cell r="AQ16" t="str">
            <v>ED1  COMB Comdty</v>
          </cell>
          <cell r="AR16">
            <v>43089</v>
          </cell>
          <cell r="AS16">
            <v>43180</v>
          </cell>
          <cell r="AT16">
            <v>98.402500000000003</v>
          </cell>
          <cell r="AU16">
            <v>8.9999999999999993E-3</v>
          </cell>
          <cell r="AW16" t="str">
            <v>IsNewtonraphson</v>
          </cell>
          <cell r="AX16" t="b">
            <v>1</v>
          </cell>
          <cell r="AZ16" t="str">
            <v>25Y</v>
          </cell>
          <cell r="BA16">
            <v>2.5672999999999998E-2</v>
          </cell>
          <cell r="BB16" t="b">
            <v>1</v>
          </cell>
          <cell r="BD16" t="str">
            <v>yieldgen.interpolation</v>
          </cell>
          <cell r="BE16" t="str">
            <v>FN_SPLINEINTERPOLATION</v>
          </cell>
          <cell r="BG16" t="str">
            <v>Leg1forecast</v>
          </cell>
          <cell r="BH16" t="str">
            <v>STD</v>
          </cell>
          <cell r="BJ16" t="str">
            <v>8Y</v>
          </cell>
          <cell r="BK16">
            <v>1.3500000000000001E-3</v>
          </cell>
          <cell r="BM16" t="str">
            <v>Leg1forecast</v>
          </cell>
          <cell r="BN16" t="str">
            <v>STD</v>
          </cell>
          <cell r="BP16" t="str">
            <v>8Y</v>
          </cell>
          <cell r="BQ16">
            <v>8.0079999999999995E-4</v>
          </cell>
          <cell r="BS16" t="str">
            <v>Leg1forecast</v>
          </cell>
          <cell r="BT16" t="str">
            <v>STD</v>
          </cell>
          <cell r="BV16" t="str">
            <v>12Y</v>
          </cell>
          <cell r="BW16">
            <v>3.0000000000000001E-3</v>
          </cell>
          <cell r="CH16" t="str">
            <v>yieldgen.interpolation</v>
          </cell>
          <cell r="CI16" t="str">
            <v>FN_SPLINEINTERPOLATION</v>
          </cell>
        </row>
        <row r="17">
          <cell r="J17" t="str">
            <v>longtermconvention</v>
          </cell>
          <cell r="K17" t="str">
            <v>LOBASIS</v>
          </cell>
          <cell r="M17" t="str">
            <v>10Y</v>
          </cell>
          <cell r="N17">
            <v>2.0729999999999998E-2</v>
          </cell>
          <cell r="O17" t="str">
            <v/>
          </cell>
          <cell r="P17" t="str">
            <v/>
          </cell>
          <cell r="Q17" t="b">
            <v>1</v>
          </cell>
          <cell r="AH17" t="str">
            <v>GenerateForwardsFromSwapsOnly</v>
          </cell>
          <cell r="AI17" t="b">
            <v>0</v>
          </cell>
          <cell r="AK17" t="str">
            <v>frequency</v>
          </cell>
          <cell r="AL17" t="str">
            <v>simple</v>
          </cell>
          <cell r="AQ17" t="str">
            <v>ED2 COMB Comdty</v>
          </cell>
          <cell r="AR17">
            <v>43180</v>
          </cell>
          <cell r="AS17">
            <v>43271</v>
          </cell>
          <cell r="AT17">
            <v>98.240000000000009</v>
          </cell>
          <cell r="AU17">
            <v>8.9999999999999993E-3</v>
          </cell>
          <cell r="AW17" t="str">
            <v>IsTimeInterpolation</v>
          </cell>
          <cell r="AX17" t="b">
            <v>1</v>
          </cell>
          <cell r="AZ17" t="str">
            <v>30Y</v>
          </cell>
          <cell r="BA17">
            <v>2.5666999999999999E-2</v>
          </cell>
          <cell r="BB17" t="b">
            <v>1</v>
          </cell>
          <cell r="BD17" t="str">
            <v>isrenotionaladjust</v>
          </cell>
          <cell r="BE17" t="b">
            <v>1</v>
          </cell>
          <cell r="BG17" t="str">
            <v>Leg1index.accessary</v>
          </cell>
          <cell r="BH17" t="str">
            <v>6M</v>
          </cell>
          <cell r="BJ17" t="str">
            <v>9Y</v>
          </cell>
          <cell r="BK17">
            <v>1.3749999999999999E-3</v>
          </cell>
          <cell r="BM17" t="str">
            <v>Leg1index.accessary</v>
          </cell>
          <cell r="BN17" t="str">
            <v>3M</v>
          </cell>
          <cell r="BP17" t="str">
            <v>9Y</v>
          </cell>
          <cell r="BQ17">
            <v>7.8125000000000004E-4</v>
          </cell>
          <cell r="BS17" t="str">
            <v>Leg1index.accessary</v>
          </cell>
          <cell r="BT17" t="str">
            <v>12M</v>
          </cell>
          <cell r="BV17" t="str">
            <v>15Y</v>
          </cell>
          <cell r="BW17">
            <v>3.0999999999999999E-3</v>
          </cell>
          <cell r="CH17" t="str">
            <v>isrenotionaladjust</v>
          </cell>
          <cell r="CI17" t="b">
            <v>1</v>
          </cell>
        </row>
        <row r="18">
          <cell r="J18" t="str">
            <v>longterm</v>
          </cell>
          <cell r="K18" t="str">
            <v>3Y</v>
          </cell>
          <cell r="M18" t="str">
            <v>12Y</v>
          </cell>
          <cell r="N18">
            <v>2.1080000000000002E-2</v>
          </cell>
          <cell r="O18" t="str">
            <v/>
          </cell>
          <cell r="P18" t="str">
            <v/>
          </cell>
          <cell r="Q18" t="b">
            <v>1</v>
          </cell>
          <cell r="AH18" t="str">
            <v>LinearSplineJoinDate</v>
          </cell>
          <cell r="AI18">
            <v>44182</v>
          </cell>
          <cell r="AK18" t="str">
            <v>resetlag</v>
          </cell>
          <cell r="AL18" t="str">
            <v>2</v>
          </cell>
          <cell r="AQ18" t="str">
            <v>ED3 COMB Comdty</v>
          </cell>
          <cell r="AR18">
            <v>43271</v>
          </cell>
          <cell r="AS18">
            <v>43362</v>
          </cell>
          <cell r="AT18">
            <v>98.094999999999999</v>
          </cell>
          <cell r="AU18">
            <v>8.9999999999999993E-3</v>
          </cell>
          <cell r="AW18" t="str">
            <v>Resetlag</v>
          </cell>
          <cell r="AX18">
            <v>2</v>
          </cell>
          <cell r="AZ18" t="str">
            <v>40Y</v>
          </cell>
          <cell r="BA18">
            <v>2.5492000000000001E-2</v>
          </cell>
          <cell r="BB18" t="b">
            <v>1</v>
          </cell>
          <cell r="BD18" t="str">
            <v>basis.interpolation.3m6mbasis</v>
          </cell>
          <cell r="BE18" t="str">
            <v>FN_SPLINEINTERPOLATION</v>
          </cell>
          <cell r="BG18" t="str">
            <v>Leg1index.daycount</v>
          </cell>
          <cell r="BH18" t="str">
            <v>Act/360</v>
          </cell>
          <cell r="BJ18" t="str">
            <v>10Y</v>
          </cell>
          <cell r="BK18">
            <v>1.4E-3</v>
          </cell>
          <cell r="BM18" t="str">
            <v>Leg1index.daycount</v>
          </cell>
          <cell r="BN18" t="str">
            <v>Act/360</v>
          </cell>
          <cell r="BP18" t="str">
            <v>10Y</v>
          </cell>
          <cell r="BQ18">
            <v>7.7999999999999999E-4</v>
          </cell>
          <cell r="BS18" t="str">
            <v>Leg1index.daycount</v>
          </cell>
          <cell r="BT18" t="str">
            <v>Act/360</v>
          </cell>
          <cell r="BV18" t="str">
            <v>20Y</v>
          </cell>
          <cell r="BW18">
            <v>3.075E-3</v>
          </cell>
          <cell r="CH18" t="str">
            <v>basis.interpolation.3m6mbasis</v>
          </cell>
          <cell r="CI18" t="str">
            <v>FN_SPLINEINTERPOLATION</v>
          </cell>
        </row>
        <row r="19">
          <cell r="J19" t="str">
            <v>longterm.generatemethod</v>
          </cell>
          <cell r="K19" t="str">
            <v>dailyaveraging</v>
          </cell>
          <cell r="M19" t="str">
            <v>15Y</v>
          </cell>
          <cell r="N19">
            <v>2.1610000000000001E-2</v>
          </cell>
          <cell r="O19" t="str">
            <v/>
          </cell>
          <cell r="P19" t="str">
            <v/>
          </cell>
          <cell r="Q19" t="b">
            <v>1</v>
          </cell>
          <cell r="AK19" t="str">
            <v>slidingrule</v>
          </cell>
          <cell r="AL19" t="str">
            <v>mod_following</v>
          </cell>
          <cell r="AQ19" t="str">
            <v>ED4  COMB Comdty</v>
          </cell>
          <cell r="AR19">
            <v>43362</v>
          </cell>
          <cell r="AS19">
            <v>43453</v>
          </cell>
          <cell r="AT19">
            <v>98.004999999999995</v>
          </cell>
          <cell r="AU19">
            <v>8.9999999999999993E-3</v>
          </cell>
          <cell r="AW19" t="str">
            <v>SlidingRule</v>
          </cell>
          <cell r="AX19" t="str">
            <v>MOD_FOLLOWING</v>
          </cell>
          <cell r="AZ19" t="str">
            <v/>
          </cell>
          <cell r="BA19" t="str">
            <v/>
          </cell>
          <cell r="BB19" t="b">
            <v>0</v>
          </cell>
          <cell r="BD19" t="str">
            <v>dfcurvename</v>
          </cell>
          <cell r="BE19" t="str">
            <v>OIS</v>
          </cell>
          <cell r="BG19" t="str">
            <v>Leg1index.fixing.calendar</v>
          </cell>
          <cell r="BH19" t="str">
            <v>LNB:NYB</v>
          </cell>
          <cell r="BJ19" t="str">
            <v>12Y</v>
          </cell>
          <cell r="BK19">
            <v>1.4499999999999999E-3</v>
          </cell>
          <cell r="BM19" t="str">
            <v>Leg1index.fixing.calendar</v>
          </cell>
          <cell r="BN19" t="str">
            <v>LNB:NYB</v>
          </cell>
          <cell r="BP19" t="str">
            <v>12Y</v>
          </cell>
          <cell r="BQ19">
            <v>7.5000000000000002E-4</v>
          </cell>
          <cell r="BS19" t="str">
            <v>Leg1index.fixing.calendar</v>
          </cell>
          <cell r="BT19" t="str">
            <v>LNB:NYB</v>
          </cell>
          <cell r="BV19" t="str">
            <v>25Y</v>
          </cell>
          <cell r="BW19">
            <v>2.9375E-3</v>
          </cell>
          <cell r="CH19" t="str">
            <v>dfcurvename</v>
          </cell>
          <cell r="CI19" t="str">
            <v>OIS</v>
          </cell>
        </row>
        <row r="20">
          <cell r="J20" t="str">
            <v>SmoothShortEnd</v>
          </cell>
          <cell r="K20" t="b">
            <v>1</v>
          </cell>
          <cell r="M20" t="str">
            <v>20Y</v>
          </cell>
          <cell r="N20">
            <v>2.1909999999999999E-2</v>
          </cell>
          <cell r="O20" t="str">
            <v/>
          </cell>
          <cell r="P20" t="str">
            <v/>
          </cell>
          <cell r="Q20" t="b">
            <v>1</v>
          </cell>
          <cell r="AK20" t="str">
            <v>IsEomRoll</v>
          </cell>
          <cell r="AL20" t="b">
            <v>1</v>
          </cell>
          <cell r="AQ20" t="str">
            <v>ED5  COMB Comdty</v>
          </cell>
          <cell r="AR20">
            <v>43453</v>
          </cell>
          <cell r="AS20">
            <v>43544</v>
          </cell>
          <cell r="AT20">
            <v>97.915000000000006</v>
          </cell>
          <cell r="AU20">
            <v>8.9999999999999993E-3</v>
          </cell>
          <cell r="AW20" t="str">
            <v>issimultaneouseq</v>
          </cell>
          <cell r="AX20" t="b">
            <v>1</v>
          </cell>
          <cell r="AZ20" t="str">
            <v/>
          </cell>
          <cell r="BA20" t="str">
            <v/>
          </cell>
          <cell r="BB20" t="b">
            <v>0</v>
          </cell>
          <cell r="BD20" t="str">
            <v>isFwdInterp</v>
          </cell>
          <cell r="BE20" t="b">
            <v>1</v>
          </cell>
          <cell r="BG20" t="str">
            <v>Leg1index.frequency</v>
          </cell>
          <cell r="BH20" t="str">
            <v>Simple</v>
          </cell>
          <cell r="BJ20" t="str">
            <v>15Y</v>
          </cell>
          <cell r="BK20">
            <v>1.5E-3</v>
          </cell>
          <cell r="BM20" t="str">
            <v>Leg1index.frequency</v>
          </cell>
          <cell r="BN20" t="str">
            <v>Simple</v>
          </cell>
          <cell r="BP20" t="str">
            <v>15Y</v>
          </cell>
          <cell r="BQ20">
            <v>7.5000000000000002E-4</v>
          </cell>
          <cell r="BS20" t="str">
            <v>Leg1index.frequency</v>
          </cell>
          <cell r="BT20" t="str">
            <v>Simple</v>
          </cell>
          <cell r="BV20" t="str">
            <v>30Y</v>
          </cell>
          <cell r="BW20">
            <v>2.8249999999999998E-3</v>
          </cell>
        </row>
        <row r="21">
          <cell r="J21" t="str">
            <v>CompoundingMethod</v>
          </cell>
          <cell r="K21" t="str">
            <v>ARITHMETIC</v>
          </cell>
          <cell r="M21" t="str">
            <v>25Y</v>
          </cell>
          <cell r="N21">
            <v>2.2000000000000002E-2</v>
          </cell>
          <cell r="O21" t="str">
            <v/>
          </cell>
          <cell r="P21" t="str">
            <v/>
          </cell>
          <cell r="Q21" t="b">
            <v>1</v>
          </cell>
          <cell r="AQ21" t="str">
            <v>ED6  COMB Comdty</v>
          </cell>
          <cell r="AR21">
            <v>43544</v>
          </cell>
          <cell r="AS21">
            <v>43635</v>
          </cell>
          <cell r="AT21">
            <v>97.86</v>
          </cell>
          <cell r="AU21">
            <v>8.9999999999999993E-3</v>
          </cell>
          <cell r="AW21" t="str">
            <v>optimizemethod</v>
          </cell>
          <cell r="AX21" t="str">
            <v>NL2SOL</v>
          </cell>
          <cell r="AZ21" t="str">
            <v/>
          </cell>
          <cell r="BA21" t="str">
            <v/>
          </cell>
          <cell r="BB21" t="b">
            <v>0</v>
          </cell>
          <cell r="BG21" t="str">
            <v>Leg1index.payment.calendar</v>
          </cell>
          <cell r="BH21" t="str">
            <v>LnB</v>
          </cell>
          <cell r="BJ21" t="str">
            <v>20Y</v>
          </cell>
          <cell r="BK21">
            <v>1.5E-3</v>
          </cell>
          <cell r="BM21" t="str">
            <v>Leg1index.payment.calendar</v>
          </cell>
          <cell r="BN21" t="str">
            <v>LnB</v>
          </cell>
          <cell r="BP21" t="str">
            <v>20Y</v>
          </cell>
          <cell r="BQ21">
            <v>7.8750000000000001E-4</v>
          </cell>
          <cell r="BS21" t="str">
            <v>Leg1index.payment.calendar</v>
          </cell>
          <cell r="BT21" t="str">
            <v>LnB</v>
          </cell>
          <cell r="BV21" t="str">
            <v/>
          </cell>
          <cell r="BW21" t="str">
            <v/>
          </cell>
        </row>
        <row r="22">
          <cell r="M22" t="str">
            <v>30Y</v>
          </cell>
          <cell r="N22">
            <v>2.2014999999999996E-2</v>
          </cell>
          <cell r="O22" t="str">
            <v/>
          </cell>
          <cell r="P22" t="str">
            <v/>
          </cell>
          <cell r="Q22" t="b">
            <v>1</v>
          </cell>
          <cell r="AQ22" t="str">
            <v>ED7  COMB Comdty</v>
          </cell>
          <cell r="AR22">
            <v>43635</v>
          </cell>
          <cell r="AS22">
            <v>43726</v>
          </cell>
          <cell r="AT22">
            <v>97.81</v>
          </cell>
          <cell r="AU22">
            <v>8.9999999999999993E-3</v>
          </cell>
          <cell r="AZ22" t="str">
            <v/>
          </cell>
          <cell r="BA22" t="str">
            <v/>
          </cell>
          <cell r="BB22" t="b">
            <v>0</v>
          </cell>
          <cell r="BG22" t="str">
            <v>Leg1index.resetlag</v>
          </cell>
          <cell r="BH22" t="str">
            <v>2</v>
          </cell>
          <cell r="BJ22" t="str">
            <v>25Y</v>
          </cell>
          <cell r="BK22">
            <v>1.4499999999999999E-3</v>
          </cell>
          <cell r="BM22" t="str">
            <v>Leg1index.resetlag</v>
          </cell>
          <cell r="BN22" t="str">
            <v>2</v>
          </cell>
          <cell r="BP22" t="str">
            <v>25Y</v>
          </cell>
          <cell r="BQ22">
            <v>8.6114999999999998E-4</v>
          </cell>
          <cell r="BS22" t="str">
            <v>Leg1index.resetlag</v>
          </cell>
          <cell r="BT22" t="str">
            <v>2</v>
          </cell>
          <cell r="BV22" t="str">
            <v/>
          </cell>
          <cell r="BW22" t="str">
            <v/>
          </cell>
        </row>
        <row r="23"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b">
            <v>0</v>
          </cell>
          <cell r="AQ23" t="str">
            <v>ED8  COMB Comdty</v>
          </cell>
          <cell r="AR23">
            <v>43726</v>
          </cell>
          <cell r="AS23">
            <v>43817</v>
          </cell>
          <cell r="AT23">
            <v>97.78</v>
          </cell>
          <cell r="AU23">
            <v>8.9999999999999993E-3</v>
          </cell>
          <cell r="AZ23" t="str">
            <v/>
          </cell>
          <cell r="BA23" t="str">
            <v/>
          </cell>
          <cell r="BB23" t="b">
            <v>0</v>
          </cell>
          <cell r="BG23" t="str">
            <v>Leg1index.slidingrule</v>
          </cell>
          <cell r="BH23" t="str">
            <v>MOD_FOLLOWING</v>
          </cell>
          <cell r="BJ23" t="str">
            <v>30Y</v>
          </cell>
          <cell r="BK23">
            <v>1.3875000000000001E-3</v>
          </cell>
          <cell r="BM23" t="str">
            <v>Leg1index.slidingrule</v>
          </cell>
          <cell r="BN23" t="str">
            <v>MOD_FOLLOWING</v>
          </cell>
          <cell r="BP23" t="str">
            <v>30Y</v>
          </cell>
          <cell r="BQ23">
            <v>9.6069999999999988E-4</v>
          </cell>
          <cell r="BS23" t="str">
            <v>Leg1index.slidingrule</v>
          </cell>
          <cell r="BT23" t="str">
            <v>MOD_FOLLOWING</v>
          </cell>
          <cell r="BV23" t="str">
            <v/>
          </cell>
          <cell r="BW23" t="str">
            <v/>
          </cell>
        </row>
        <row r="24"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b">
            <v>0</v>
          </cell>
          <cell r="AQ24" t="str">
            <v>ED9 COMB Comdty</v>
          </cell>
          <cell r="AR24">
            <v>43817</v>
          </cell>
          <cell r="AS24">
            <v>43908</v>
          </cell>
          <cell r="AT24">
            <v>97.745000000000005</v>
          </cell>
          <cell r="AU24">
            <v>8.9999999999999993E-3</v>
          </cell>
          <cell r="AZ24" t="str">
            <v/>
          </cell>
          <cell r="BA24" t="str">
            <v/>
          </cell>
          <cell r="BB24" t="b">
            <v>0</v>
          </cell>
          <cell r="BG24" t="str">
            <v>Leg2cashlet.calendar</v>
          </cell>
          <cell r="BH24" t="str">
            <v>LNB:NYB</v>
          </cell>
          <cell r="BJ24" t="str">
            <v/>
          </cell>
          <cell r="BK24" t="str">
            <v/>
          </cell>
          <cell r="BM24" t="str">
            <v>Leg2cashlet.calendar</v>
          </cell>
          <cell r="BN24" t="str">
            <v>LNB:NYB</v>
          </cell>
          <cell r="BP24" t="str">
            <v/>
          </cell>
          <cell r="BQ24" t="str">
            <v/>
          </cell>
          <cell r="BS24" t="str">
            <v>Leg2cashlet.calendar</v>
          </cell>
          <cell r="BT24" t="str">
            <v>LNB:NYB</v>
          </cell>
          <cell r="BV24" t="str">
            <v/>
          </cell>
          <cell r="BW24" t="str">
            <v/>
          </cell>
        </row>
        <row r="25"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b">
            <v>0</v>
          </cell>
          <cell r="AQ25" t="str">
            <v>ED10  COMB Comdty</v>
          </cell>
          <cell r="AR25">
            <v>43908</v>
          </cell>
          <cell r="AS25">
            <v>43999</v>
          </cell>
          <cell r="AT25">
            <v>97.73</v>
          </cell>
          <cell r="AU25">
            <v>8.9999999999999993E-3</v>
          </cell>
          <cell r="AZ25" t="str">
            <v/>
          </cell>
          <cell r="BA25" t="str">
            <v/>
          </cell>
          <cell r="BB25" t="b">
            <v>0</v>
          </cell>
          <cell r="BG25" t="str">
            <v>Leg2cashlet.daycount</v>
          </cell>
          <cell r="BH25" t="str">
            <v>Act/360</v>
          </cell>
          <cell r="BJ25" t="str">
            <v/>
          </cell>
          <cell r="BK25" t="str">
            <v/>
          </cell>
          <cell r="BM25" t="str">
            <v>Leg2cashlet.daycount</v>
          </cell>
          <cell r="BN25" t="str">
            <v>Act/360</v>
          </cell>
          <cell r="BP25" t="str">
            <v/>
          </cell>
          <cell r="BQ25" t="str">
            <v/>
          </cell>
          <cell r="BS25" t="str">
            <v>Leg2cashlet.daycount</v>
          </cell>
          <cell r="BT25" t="str">
            <v>Act/360</v>
          </cell>
          <cell r="BV25" t="str">
            <v/>
          </cell>
          <cell r="BW25" t="str">
            <v/>
          </cell>
        </row>
        <row r="26"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b">
            <v>0</v>
          </cell>
          <cell r="AQ26" t="str">
            <v>ED11  COMB Comdty</v>
          </cell>
          <cell r="AR26">
            <v>43999</v>
          </cell>
          <cell r="AS26">
            <v>44090</v>
          </cell>
          <cell r="AT26">
            <v>97.710000000000008</v>
          </cell>
          <cell r="AU26">
            <v>8.9999999999999993E-3</v>
          </cell>
          <cell r="AZ26" t="str">
            <v/>
          </cell>
          <cell r="BA26" t="str">
            <v/>
          </cell>
          <cell r="BB26" t="b">
            <v>0</v>
          </cell>
          <cell r="BG26" t="str">
            <v>Leg2cashlet.frequency</v>
          </cell>
          <cell r="BH26" t="str">
            <v>Quarterly</v>
          </cell>
          <cell r="BJ26" t="str">
            <v/>
          </cell>
          <cell r="BK26" t="str">
            <v/>
          </cell>
          <cell r="BM26" t="str">
            <v>Leg2cashlet.frequency</v>
          </cell>
          <cell r="BN26" t="str">
            <v>Monthly</v>
          </cell>
          <cell r="BP26" t="str">
            <v/>
          </cell>
          <cell r="BQ26" t="str">
            <v/>
          </cell>
          <cell r="BS26" t="str">
            <v>Leg2cashlet.frequency</v>
          </cell>
          <cell r="BT26" t="str">
            <v>Quarterly</v>
          </cell>
          <cell r="BV26" t="str">
            <v/>
          </cell>
          <cell r="BW26" t="str">
            <v/>
          </cell>
        </row>
        <row r="27"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b">
            <v>0</v>
          </cell>
          <cell r="AQ27" t="str">
            <v>ED12  COMB Comdty</v>
          </cell>
          <cell r="AR27">
            <v>44090</v>
          </cell>
          <cell r="AS27">
            <v>44181</v>
          </cell>
          <cell r="AT27">
            <v>97.69</v>
          </cell>
          <cell r="AU27">
            <v>8.9999999999999993E-3</v>
          </cell>
          <cell r="AZ27" t="str">
            <v/>
          </cell>
          <cell r="BA27" t="str">
            <v/>
          </cell>
          <cell r="BB27" t="b">
            <v>0</v>
          </cell>
          <cell r="BG27" t="str">
            <v>Leg2cashlet.frequencycompound</v>
          </cell>
          <cell r="BH27" t="str">
            <v>Semi-Annual</v>
          </cell>
          <cell r="BM27" t="str">
            <v>Leg2cashlet.frequencycompound</v>
          </cell>
          <cell r="BN27" t="str">
            <v>Quarterly</v>
          </cell>
          <cell r="BS27" t="str">
            <v>Leg2cashlet.frequencycompound</v>
          </cell>
          <cell r="BT27" t="str">
            <v>Annual</v>
          </cell>
          <cell r="BV27" t="str">
            <v/>
          </cell>
          <cell r="BW27" t="str">
            <v/>
          </cell>
        </row>
        <row r="28"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b">
            <v>0</v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Z28" t="str">
            <v/>
          </cell>
          <cell r="BA28" t="str">
            <v/>
          </cell>
          <cell r="BB28" t="b">
            <v>0</v>
          </cell>
          <cell r="BG28" t="str">
            <v>Leg2cashlet.slidingrule</v>
          </cell>
          <cell r="BH28" t="str">
            <v>MOD_FOLLOWING</v>
          </cell>
          <cell r="BJ28" t="str">
            <v/>
          </cell>
          <cell r="BK28" t="str">
            <v/>
          </cell>
          <cell r="BM28" t="str">
            <v>Leg2cashlet.slidingrule</v>
          </cell>
          <cell r="BN28" t="str">
            <v>MOD_FOLLOWING</v>
          </cell>
          <cell r="BP28" t="str">
            <v/>
          </cell>
          <cell r="BQ28" t="str">
            <v/>
          </cell>
          <cell r="BS28" t="str">
            <v>Leg2cashlet.slidingrule</v>
          </cell>
          <cell r="BT28" t="str">
            <v>MOD_FOLLOWING</v>
          </cell>
          <cell r="BV28" t="str">
            <v/>
          </cell>
          <cell r="BW28" t="str">
            <v/>
          </cell>
        </row>
        <row r="29"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b">
            <v>0</v>
          </cell>
          <cell r="AK29" t="str">
            <v>3M</v>
          </cell>
          <cell r="AL29">
            <v>1.5487800000000001E-2</v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Z29" t="str">
            <v/>
          </cell>
          <cell r="BA29" t="str">
            <v/>
          </cell>
          <cell r="BB29" t="b">
            <v>0</v>
          </cell>
          <cell r="BG29" t="str">
            <v>Leg2cashlet.spotlag</v>
          </cell>
          <cell r="BH29" t="str">
            <v>2</v>
          </cell>
          <cell r="BJ29" t="str">
            <v/>
          </cell>
          <cell r="BK29" t="str">
            <v/>
          </cell>
          <cell r="BM29" t="str">
            <v>Leg2cashlet.spotlag</v>
          </cell>
          <cell r="BN29" t="str">
            <v>2</v>
          </cell>
          <cell r="BP29" t="str">
            <v/>
          </cell>
          <cell r="BQ29" t="str">
            <v/>
          </cell>
          <cell r="BS29" t="str">
            <v>Leg2cashlet.spotlag</v>
          </cell>
          <cell r="BT29" t="str">
            <v>2</v>
          </cell>
          <cell r="BV29" t="str">
            <v/>
          </cell>
          <cell r="BW29" t="str">
            <v/>
          </cell>
        </row>
        <row r="30"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b">
            <v>0</v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Z30" t="str">
            <v/>
          </cell>
          <cell r="BA30" t="str">
            <v/>
          </cell>
          <cell r="BB30" t="b">
            <v>0</v>
          </cell>
          <cell r="BG30" t="str">
            <v>Leg2discount</v>
          </cell>
          <cell r="BH30" t="str">
            <v>OIS</v>
          </cell>
          <cell r="BJ30" t="str">
            <v/>
          </cell>
          <cell r="BK30" t="str">
            <v/>
          </cell>
          <cell r="BM30" t="str">
            <v>Leg2discount</v>
          </cell>
          <cell r="BN30" t="str">
            <v>OIS</v>
          </cell>
          <cell r="BP30" t="str">
            <v/>
          </cell>
          <cell r="BQ30" t="str">
            <v/>
          </cell>
          <cell r="BS30" t="str">
            <v>Leg2discount</v>
          </cell>
          <cell r="BT30" t="str">
            <v>OIS</v>
          </cell>
          <cell r="BV30" t="str">
            <v/>
          </cell>
          <cell r="BW30" t="str">
            <v/>
          </cell>
        </row>
        <row r="31"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b">
            <v>0</v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Z31" t="str">
            <v/>
          </cell>
          <cell r="BA31" t="str">
            <v/>
          </cell>
          <cell r="BB31" t="b">
            <v>0</v>
          </cell>
          <cell r="BG31" t="str">
            <v>Leg2forecast</v>
          </cell>
          <cell r="BH31" t="str">
            <v>STD</v>
          </cell>
          <cell r="BJ31" t="str">
            <v/>
          </cell>
          <cell r="BK31" t="str">
            <v/>
          </cell>
          <cell r="BM31" t="str">
            <v>Leg2forecast</v>
          </cell>
          <cell r="BN31" t="str">
            <v>STD</v>
          </cell>
          <cell r="BP31" t="str">
            <v/>
          </cell>
          <cell r="BQ31" t="str">
            <v/>
          </cell>
          <cell r="BS31" t="str">
            <v>Leg2forecast</v>
          </cell>
          <cell r="BT31" t="str">
            <v>STD</v>
          </cell>
          <cell r="BV31" t="str">
            <v/>
          </cell>
          <cell r="BW31" t="str">
            <v/>
          </cell>
        </row>
        <row r="32"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b">
            <v>0</v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Z32" t="str">
            <v/>
          </cell>
          <cell r="BA32" t="str">
            <v/>
          </cell>
          <cell r="BB32" t="b">
            <v>0</v>
          </cell>
          <cell r="BG32" t="str">
            <v>Leg2index.accessary</v>
          </cell>
          <cell r="BH32" t="str">
            <v>3M</v>
          </cell>
          <cell r="BJ32" t="str">
            <v/>
          </cell>
          <cell r="BK32" t="str">
            <v/>
          </cell>
          <cell r="BM32" t="str">
            <v>Leg2index.accessary</v>
          </cell>
          <cell r="BN32" t="str">
            <v>1M</v>
          </cell>
          <cell r="BP32" t="str">
            <v/>
          </cell>
          <cell r="BQ32" t="str">
            <v/>
          </cell>
          <cell r="BS32" t="str">
            <v>Leg2index.accessary</v>
          </cell>
          <cell r="BT32" t="str">
            <v>3M</v>
          </cell>
          <cell r="BV32" t="str">
            <v/>
          </cell>
          <cell r="BW32" t="str">
            <v/>
          </cell>
        </row>
        <row r="33"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b">
            <v>0</v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Z33" t="str">
            <v/>
          </cell>
          <cell r="BA33" t="str">
            <v/>
          </cell>
          <cell r="BB33" t="b">
            <v>0</v>
          </cell>
          <cell r="BG33" t="str">
            <v>Leg2index.daycount</v>
          </cell>
          <cell r="BH33" t="str">
            <v>Act/360</v>
          </cell>
          <cell r="BJ33" t="str">
            <v/>
          </cell>
          <cell r="BK33" t="str">
            <v/>
          </cell>
          <cell r="BM33" t="str">
            <v>Leg2index.daycount</v>
          </cell>
          <cell r="BN33" t="str">
            <v>Act/360</v>
          </cell>
          <cell r="BP33" t="str">
            <v/>
          </cell>
          <cell r="BQ33" t="str">
            <v/>
          </cell>
          <cell r="BS33" t="str">
            <v>Leg2index.daycount</v>
          </cell>
          <cell r="BT33" t="str">
            <v>Act/360</v>
          </cell>
          <cell r="BV33" t="str">
            <v/>
          </cell>
          <cell r="BW33" t="str">
            <v/>
          </cell>
        </row>
        <row r="34"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b">
            <v>0</v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Z34" t="str">
            <v/>
          </cell>
          <cell r="BA34" t="str">
            <v/>
          </cell>
          <cell r="BB34" t="b">
            <v>0</v>
          </cell>
          <cell r="BG34" t="str">
            <v>Leg2index.fixing.calendar</v>
          </cell>
          <cell r="BH34" t="str">
            <v>LNB:NYB</v>
          </cell>
          <cell r="BJ34" t="str">
            <v/>
          </cell>
          <cell r="BK34" t="str">
            <v/>
          </cell>
          <cell r="BM34" t="str">
            <v>Leg2index.fixing.calendar</v>
          </cell>
          <cell r="BN34" t="str">
            <v>LNB:NYB</v>
          </cell>
          <cell r="BP34" t="str">
            <v/>
          </cell>
          <cell r="BQ34" t="str">
            <v/>
          </cell>
          <cell r="BS34" t="str">
            <v>Leg2index.fixing.calendar</v>
          </cell>
          <cell r="BT34" t="str">
            <v>LNB:NYB</v>
          </cell>
          <cell r="BV34" t="str">
            <v/>
          </cell>
          <cell r="BW34" t="str">
            <v/>
          </cell>
        </row>
        <row r="35"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b">
            <v>0</v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Z35" t="str">
            <v/>
          </cell>
          <cell r="BA35" t="str">
            <v/>
          </cell>
          <cell r="BB35" t="b">
            <v>0</v>
          </cell>
          <cell r="BG35" t="str">
            <v>Leg2index.frequency</v>
          </cell>
          <cell r="BH35" t="str">
            <v>Simple</v>
          </cell>
          <cell r="BJ35" t="str">
            <v/>
          </cell>
          <cell r="BK35" t="str">
            <v/>
          </cell>
          <cell r="BM35" t="str">
            <v>Leg2index.frequency</v>
          </cell>
          <cell r="BN35" t="str">
            <v>Simple</v>
          </cell>
          <cell r="BP35" t="str">
            <v/>
          </cell>
          <cell r="BQ35" t="str">
            <v/>
          </cell>
          <cell r="BS35" t="str">
            <v>Leg2index.frequency</v>
          </cell>
          <cell r="BT35" t="str">
            <v>Simple</v>
          </cell>
          <cell r="BV35" t="str">
            <v/>
          </cell>
          <cell r="BW35" t="str">
            <v/>
          </cell>
        </row>
        <row r="36"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b">
            <v>0</v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Z36" t="str">
            <v/>
          </cell>
          <cell r="BA36" t="str">
            <v/>
          </cell>
          <cell r="BB36" t="b">
            <v>0</v>
          </cell>
          <cell r="BG36" t="str">
            <v>Leg2index.payment.calendar</v>
          </cell>
          <cell r="BH36" t="str">
            <v>LNB:NYB</v>
          </cell>
          <cell r="BJ36" t="str">
            <v/>
          </cell>
          <cell r="BK36" t="str">
            <v/>
          </cell>
          <cell r="BM36" t="str">
            <v>Leg2index.payment.calendar</v>
          </cell>
          <cell r="BN36" t="str">
            <v>LNB:NYB</v>
          </cell>
          <cell r="BP36" t="str">
            <v/>
          </cell>
          <cell r="BQ36" t="str">
            <v/>
          </cell>
          <cell r="BS36" t="str">
            <v>Leg2index.payment.calendar</v>
          </cell>
          <cell r="BT36" t="str">
            <v>LNB:NYB</v>
          </cell>
          <cell r="BV36" t="str">
            <v/>
          </cell>
          <cell r="BW36" t="str">
            <v/>
          </cell>
        </row>
        <row r="37"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b">
            <v>0</v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Z37" t="str">
            <v/>
          </cell>
          <cell r="BA37" t="str">
            <v/>
          </cell>
          <cell r="BB37" t="b">
            <v>0</v>
          </cell>
          <cell r="BG37" t="str">
            <v>Leg2index.resetlag</v>
          </cell>
          <cell r="BH37" t="str">
            <v>2</v>
          </cell>
          <cell r="BJ37" t="str">
            <v/>
          </cell>
          <cell r="BK37" t="str">
            <v/>
          </cell>
          <cell r="BM37" t="str">
            <v>Leg2index.resetlag</v>
          </cell>
          <cell r="BN37" t="str">
            <v>2</v>
          </cell>
          <cell r="BP37" t="str">
            <v/>
          </cell>
          <cell r="BQ37" t="str">
            <v/>
          </cell>
          <cell r="BS37" t="str">
            <v>Leg2index.resetlag</v>
          </cell>
          <cell r="BT37" t="str">
            <v>2</v>
          </cell>
          <cell r="BV37" t="str">
            <v/>
          </cell>
          <cell r="BW37" t="str">
            <v/>
          </cell>
        </row>
        <row r="38"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b">
            <v>0</v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Z38" t="str">
            <v/>
          </cell>
          <cell r="BA38" t="str">
            <v/>
          </cell>
          <cell r="BB38" t="b">
            <v>0</v>
          </cell>
          <cell r="BG38" t="str">
            <v>Leg2index.slidingrule</v>
          </cell>
          <cell r="BH38" t="str">
            <v>MOD_FOLLOWING</v>
          </cell>
          <cell r="BJ38" t="str">
            <v/>
          </cell>
          <cell r="BK38" t="str">
            <v/>
          </cell>
          <cell r="BM38" t="str">
            <v>Leg2index.slidingrule</v>
          </cell>
          <cell r="BN38" t="str">
            <v>MOD_FOLLOWING</v>
          </cell>
          <cell r="BP38" t="str">
            <v/>
          </cell>
          <cell r="BQ38" t="str">
            <v/>
          </cell>
          <cell r="BS38" t="str">
            <v>Leg2index.slidingrule</v>
          </cell>
          <cell r="BT38" t="str">
            <v>MOD_FOLLOWING</v>
          </cell>
          <cell r="BV38" t="str">
            <v/>
          </cell>
          <cell r="BW38" t="str">
            <v/>
          </cell>
        </row>
        <row r="39"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b">
            <v>0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Z39" t="str">
            <v/>
          </cell>
          <cell r="BA39" t="str">
            <v/>
          </cell>
          <cell r="BB39" t="b">
            <v>0</v>
          </cell>
          <cell r="BG39" t="str">
            <v>Target</v>
          </cell>
          <cell r="BH39" t="str">
            <v>Leg1Forecast</v>
          </cell>
          <cell r="BJ39" t="str">
            <v/>
          </cell>
          <cell r="BK39" t="str">
            <v/>
          </cell>
          <cell r="BM39" t="str">
            <v>Target</v>
          </cell>
          <cell r="BN39" t="str">
            <v>Leg2Forecast</v>
          </cell>
          <cell r="BP39" t="str">
            <v/>
          </cell>
          <cell r="BQ39" t="str">
            <v/>
          </cell>
          <cell r="BS39" t="str">
            <v>Target</v>
          </cell>
          <cell r="BT39" t="str">
            <v>Leg1Forecast</v>
          </cell>
          <cell r="BV39" t="str">
            <v/>
          </cell>
          <cell r="BW39" t="str">
            <v/>
          </cell>
        </row>
        <row r="40"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b">
            <v>0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Z40" t="str">
            <v/>
          </cell>
          <cell r="BA40" t="str">
            <v/>
          </cell>
          <cell r="BB40" t="b">
            <v>0</v>
          </cell>
          <cell r="BG40" t="str">
            <v>issimultaneouseq</v>
          </cell>
          <cell r="BH40" t="b">
            <v>1</v>
          </cell>
          <cell r="BJ40" t="str">
            <v/>
          </cell>
          <cell r="BK40" t="str">
            <v/>
          </cell>
          <cell r="BM40" t="str">
            <v>issimultaneouseq</v>
          </cell>
          <cell r="BN40" t="b">
            <v>1</v>
          </cell>
          <cell r="BP40" t="str">
            <v/>
          </cell>
          <cell r="BQ40" t="str">
            <v/>
          </cell>
          <cell r="BS40" t="str">
            <v>issimultaneouseq</v>
          </cell>
          <cell r="BT40" t="b">
            <v>1</v>
          </cell>
          <cell r="BV40" t="str">
            <v/>
          </cell>
          <cell r="BW40" t="str">
            <v/>
          </cell>
        </row>
        <row r="41"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b">
            <v>0</v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Z41" t="str">
            <v/>
          </cell>
          <cell r="BA41" t="str">
            <v/>
          </cell>
          <cell r="BB41" t="b">
            <v>0</v>
          </cell>
          <cell r="BG41" t="str">
            <v>isfwdinter</v>
          </cell>
          <cell r="BH41" t="b">
            <v>1</v>
          </cell>
          <cell r="BJ41" t="str">
            <v/>
          </cell>
          <cell r="BK41" t="str">
            <v/>
          </cell>
          <cell r="BM41" t="str">
            <v>isfwdinter</v>
          </cell>
          <cell r="BN41" t="b">
            <v>1</v>
          </cell>
          <cell r="BP41" t="str">
            <v/>
          </cell>
          <cell r="BQ41" t="str">
            <v/>
          </cell>
          <cell r="BS41" t="str">
            <v>isfwdinter</v>
          </cell>
          <cell r="BT41" t="b">
            <v>1</v>
          </cell>
          <cell r="BV41" t="str">
            <v/>
          </cell>
          <cell r="BW41" t="str">
            <v/>
          </cell>
        </row>
        <row r="42"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b">
            <v>0</v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Z42" t="str">
            <v/>
          </cell>
          <cell r="BA42" t="str">
            <v/>
          </cell>
          <cell r="BB42" t="b">
            <v>0</v>
          </cell>
          <cell r="BG42" t="str">
            <v>fwdinterpolation</v>
          </cell>
          <cell r="BH42" t="str">
            <v>FN_SPLINEINTERPOLATION</v>
          </cell>
          <cell r="BJ42" t="str">
            <v/>
          </cell>
          <cell r="BK42" t="str">
            <v/>
          </cell>
          <cell r="BM42" t="str">
            <v>fwdinterpolation</v>
          </cell>
          <cell r="BN42" t="str">
            <v>FN_SPLINEINTERPOLATION</v>
          </cell>
          <cell r="BP42" t="str">
            <v/>
          </cell>
          <cell r="BQ42" t="str">
            <v/>
          </cell>
          <cell r="BS42" t="str">
            <v>fwdinterpolation</v>
          </cell>
          <cell r="BT42" t="str">
            <v>FN_SPLINEINTERPOLATION</v>
          </cell>
          <cell r="BV42" t="str">
            <v/>
          </cell>
          <cell r="BW42" t="str">
            <v/>
          </cell>
        </row>
        <row r="43"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b">
            <v>0</v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Z43" t="str">
            <v/>
          </cell>
          <cell r="BA43" t="str">
            <v/>
          </cell>
          <cell r="BB43" t="b">
            <v>0</v>
          </cell>
          <cell r="BG43" t="str">
            <v>issamegridindex</v>
          </cell>
          <cell r="BH43" t="b">
            <v>1</v>
          </cell>
          <cell r="BJ43" t="str">
            <v/>
          </cell>
          <cell r="BK43" t="str">
            <v/>
          </cell>
          <cell r="BM43" t="str">
            <v>issamegridindex</v>
          </cell>
          <cell r="BN43" t="b">
            <v>1</v>
          </cell>
          <cell r="BP43" t="str">
            <v/>
          </cell>
          <cell r="BQ43" t="str">
            <v/>
          </cell>
          <cell r="BS43" t="str">
            <v>issamegridindex</v>
          </cell>
          <cell r="BT43" t="b">
            <v>1</v>
          </cell>
          <cell r="BV43" t="str">
            <v/>
          </cell>
          <cell r="BW43" t="str">
            <v/>
          </cell>
        </row>
        <row r="44"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b">
            <v>0</v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Z44" t="str">
            <v/>
          </cell>
          <cell r="BA44" t="str">
            <v/>
          </cell>
          <cell r="BB44" t="b">
            <v>0</v>
          </cell>
          <cell r="BG44" t="str">
            <v>isyieldspreadcalc</v>
          </cell>
          <cell r="BH44" t="b">
            <v>0</v>
          </cell>
          <cell r="BJ44" t="str">
            <v/>
          </cell>
          <cell r="BK44" t="str">
            <v/>
          </cell>
          <cell r="BM44" t="str">
            <v>isyieldspreadcalc</v>
          </cell>
          <cell r="BN44" t="b">
            <v>0</v>
          </cell>
          <cell r="BP44" t="str">
            <v/>
          </cell>
          <cell r="BQ44" t="str">
            <v/>
          </cell>
          <cell r="BS44" t="str">
            <v>isyieldspreadcalc</v>
          </cell>
          <cell r="BT44" t="b">
            <v>0</v>
          </cell>
          <cell r="BV44" t="str">
            <v/>
          </cell>
          <cell r="BW44" t="str">
            <v/>
          </cell>
        </row>
        <row r="45"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b">
            <v>0</v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Z45" t="str">
            <v/>
          </cell>
          <cell r="BA45" t="str">
            <v/>
          </cell>
          <cell r="BB45" t="b">
            <v>0</v>
          </cell>
          <cell r="BG45" t="str">
            <v>spotrateterm</v>
          </cell>
          <cell r="BH45" t="str">
            <v>6M</v>
          </cell>
          <cell r="BJ45" t="str">
            <v/>
          </cell>
          <cell r="BK45" t="str">
            <v/>
          </cell>
          <cell r="BM45" t="str">
            <v>spotrateterm</v>
          </cell>
          <cell r="BN45" t="str">
            <v>1M</v>
          </cell>
          <cell r="BP45" t="str">
            <v/>
          </cell>
          <cell r="BQ45" t="str">
            <v/>
          </cell>
          <cell r="BS45" t="str">
            <v>spotrateterm</v>
          </cell>
          <cell r="BT45" t="str">
            <v>12M</v>
          </cell>
          <cell r="BV45" t="str">
            <v/>
          </cell>
          <cell r="BW45" t="str">
            <v/>
          </cell>
        </row>
        <row r="46"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b">
            <v>0</v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Z46" t="str">
            <v/>
          </cell>
          <cell r="BA46" t="str">
            <v/>
          </cell>
          <cell r="BB46" t="b">
            <v>0</v>
          </cell>
          <cell r="BJ46" t="str">
            <v/>
          </cell>
          <cell r="BK46" t="str">
            <v/>
          </cell>
          <cell r="BP46" t="str">
            <v/>
          </cell>
          <cell r="BQ46" t="str">
            <v/>
          </cell>
          <cell r="BV46" t="str">
            <v/>
          </cell>
          <cell r="BW46" t="str">
            <v/>
          </cell>
        </row>
        <row r="47"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b">
            <v>0</v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Z47" t="str">
            <v/>
          </cell>
          <cell r="BA47" t="str">
            <v/>
          </cell>
          <cell r="BB47" t="b">
            <v>0</v>
          </cell>
          <cell r="BJ47" t="str">
            <v/>
          </cell>
          <cell r="BK47" t="str">
            <v/>
          </cell>
          <cell r="BP47" t="str">
            <v/>
          </cell>
          <cell r="BQ47" t="str">
            <v/>
          </cell>
          <cell r="BV47" t="str">
            <v/>
          </cell>
          <cell r="BW47" t="str">
            <v/>
          </cell>
        </row>
        <row r="48"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b">
            <v>0</v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Z48" t="str">
            <v/>
          </cell>
          <cell r="BA48" t="str">
            <v/>
          </cell>
          <cell r="BB48" t="b">
            <v>0</v>
          </cell>
          <cell r="BJ48" t="str">
            <v/>
          </cell>
          <cell r="BK48" t="str">
            <v/>
          </cell>
          <cell r="BP48" t="str">
            <v/>
          </cell>
          <cell r="BQ48" t="str">
            <v/>
          </cell>
          <cell r="BV48" t="str">
            <v/>
          </cell>
          <cell r="BW48" t="str">
            <v/>
          </cell>
        </row>
        <row r="49"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b">
            <v>0</v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Z49" t="str">
            <v/>
          </cell>
          <cell r="BA49" t="str">
            <v/>
          </cell>
          <cell r="BB49" t="b">
            <v>0</v>
          </cell>
          <cell r="BJ49" t="str">
            <v/>
          </cell>
          <cell r="BK49" t="str">
            <v/>
          </cell>
          <cell r="BP49" t="str">
            <v/>
          </cell>
          <cell r="BQ49" t="str">
            <v/>
          </cell>
          <cell r="BV49" t="str">
            <v/>
          </cell>
          <cell r="BW49" t="str">
            <v/>
          </cell>
        </row>
        <row r="50"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b">
            <v>0</v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Z50" t="str">
            <v/>
          </cell>
          <cell r="BA50" t="str">
            <v/>
          </cell>
          <cell r="BB50" t="b">
            <v>0</v>
          </cell>
          <cell r="BJ50" t="str">
            <v/>
          </cell>
          <cell r="BK50" t="str">
            <v/>
          </cell>
          <cell r="BP50" t="str">
            <v/>
          </cell>
          <cell r="BQ50" t="str">
            <v/>
          </cell>
          <cell r="BV50" t="str">
            <v/>
          </cell>
          <cell r="BW50" t="str">
            <v/>
          </cell>
        </row>
        <row r="51"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b">
            <v>0</v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Z51" t="str">
            <v/>
          </cell>
          <cell r="BA51" t="str">
            <v/>
          </cell>
          <cell r="BB51" t="b">
            <v>0</v>
          </cell>
          <cell r="BJ51" t="str">
            <v/>
          </cell>
          <cell r="BK51" t="str">
            <v/>
          </cell>
          <cell r="BP51" t="str">
            <v/>
          </cell>
          <cell r="BQ51" t="str">
            <v/>
          </cell>
          <cell r="BV51" t="str">
            <v/>
          </cell>
          <cell r="BW51" t="str">
            <v/>
          </cell>
        </row>
        <row r="52"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b">
            <v>0</v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Z52" t="str">
            <v/>
          </cell>
          <cell r="BA52" t="str">
            <v/>
          </cell>
          <cell r="BB52" t="b">
            <v>0</v>
          </cell>
          <cell r="BJ52" t="str">
            <v/>
          </cell>
          <cell r="BK52" t="str">
            <v/>
          </cell>
          <cell r="BP52" t="str">
            <v/>
          </cell>
          <cell r="BQ52" t="str">
            <v/>
          </cell>
          <cell r="BV52" t="str">
            <v/>
          </cell>
          <cell r="BW52" t="str">
            <v/>
          </cell>
        </row>
        <row r="53"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b">
            <v>0</v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Z53" t="str">
            <v/>
          </cell>
          <cell r="BA53" t="str">
            <v/>
          </cell>
          <cell r="BB53" t="b">
            <v>0</v>
          </cell>
          <cell r="BJ53" t="str">
            <v/>
          </cell>
          <cell r="BK53" t="str">
            <v/>
          </cell>
          <cell r="BP53" t="str">
            <v/>
          </cell>
          <cell r="BQ53" t="str">
            <v/>
          </cell>
          <cell r="BV53" t="str">
            <v/>
          </cell>
          <cell r="BW53" t="str">
            <v/>
          </cell>
        </row>
        <row r="54"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b">
            <v>0</v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Z54" t="str">
            <v/>
          </cell>
          <cell r="BA54" t="str">
            <v/>
          </cell>
          <cell r="BB54" t="b">
            <v>0</v>
          </cell>
          <cell r="BJ54" t="str">
            <v/>
          </cell>
          <cell r="BK54" t="str">
            <v/>
          </cell>
          <cell r="BP54" t="str">
            <v/>
          </cell>
          <cell r="BQ54" t="str">
            <v/>
          </cell>
          <cell r="BV54" t="str">
            <v/>
          </cell>
          <cell r="BW54" t="str">
            <v/>
          </cell>
        </row>
        <row r="55"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b">
            <v>0</v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Z55" t="str">
            <v/>
          </cell>
          <cell r="BA55" t="str">
            <v/>
          </cell>
          <cell r="BB55" t="b">
            <v>0</v>
          </cell>
          <cell r="BJ55" t="str">
            <v/>
          </cell>
          <cell r="BK55" t="str">
            <v/>
          </cell>
          <cell r="BP55" t="str">
            <v/>
          </cell>
          <cell r="BQ55" t="str">
            <v/>
          </cell>
          <cell r="BV55" t="str">
            <v/>
          </cell>
          <cell r="BW55" t="str">
            <v/>
          </cell>
        </row>
        <row r="56"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b">
            <v>0</v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Z56" t="str">
            <v/>
          </cell>
          <cell r="BA56" t="str">
            <v/>
          </cell>
          <cell r="BB56" t="b">
            <v>0</v>
          </cell>
          <cell r="BJ56" t="str">
            <v/>
          </cell>
          <cell r="BK56" t="str">
            <v/>
          </cell>
          <cell r="BP56" t="str">
            <v/>
          </cell>
          <cell r="BQ56" t="str">
            <v/>
          </cell>
          <cell r="BV56" t="str">
            <v/>
          </cell>
          <cell r="BW56" t="str">
            <v/>
          </cell>
        </row>
        <row r="57"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b">
            <v>0</v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Z57" t="str">
            <v/>
          </cell>
          <cell r="BA57" t="str">
            <v/>
          </cell>
          <cell r="BB57" t="b">
            <v>0</v>
          </cell>
          <cell r="BJ57" t="str">
            <v/>
          </cell>
          <cell r="BK57" t="str">
            <v/>
          </cell>
          <cell r="BP57" t="str">
            <v/>
          </cell>
          <cell r="BQ57" t="str">
            <v/>
          </cell>
          <cell r="BV57" t="str">
            <v/>
          </cell>
          <cell r="BW57" t="str">
            <v/>
          </cell>
        </row>
        <row r="58"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b">
            <v>0</v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Z58" t="str">
            <v/>
          </cell>
          <cell r="BA58" t="str">
            <v/>
          </cell>
          <cell r="BB58" t="b">
            <v>0</v>
          </cell>
          <cell r="BJ58" t="str">
            <v/>
          </cell>
          <cell r="BK58" t="str">
            <v/>
          </cell>
          <cell r="BP58" t="str">
            <v/>
          </cell>
          <cell r="BQ58" t="str">
            <v/>
          </cell>
          <cell r="BV58" t="str">
            <v/>
          </cell>
          <cell r="BW58" t="str">
            <v/>
          </cell>
        </row>
        <row r="59"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b">
            <v>0</v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Z59" t="str">
            <v/>
          </cell>
          <cell r="BA59" t="str">
            <v/>
          </cell>
          <cell r="BB59" t="b">
            <v>0</v>
          </cell>
          <cell r="BJ59" t="str">
            <v/>
          </cell>
          <cell r="BK59" t="str">
            <v/>
          </cell>
          <cell r="BP59" t="str">
            <v/>
          </cell>
          <cell r="BQ59" t="str">
            <v/>
          </cell>
          <cell r="BV59" t="str">
            <v/>
          </cell>
          <cell r="BW59" t="str">
            <v/>
          </cell>
        </row>
        <row r="60"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b">
            <v>0</v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Z60" t="str">
            <v/>
          </cell>
          <cell r="BA60" t="str">
            <v/>
          </cell>
          <cell r="BB60" t="b">
            <v>0</v>
          </cell>
          <cell r="BJ60" t="str">
            <v/>
          </cell>
          <cell r="BK60" t="str">
            <v/>
          </cell>
          <cell r="BP60" t="str">
            <v/>
          </cell>
          <cell r="BQ60" t="str">
            <v/>
          </cell>
          <cell r="BV60" t="str">
            <v/>
          </cell>
          <cell r="BW60" t="str">
            <v/>
          </cell>
        </row>
        <row r="61"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b">
            <v>0</v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Z61" t="str">
            <v/>
          </cell>
          <cell r="BA61" t="str">
            <v/>
          </cell>
          <cell r="BB61" t="b">
            <v>0</v>
          </cell>
          <cell r="BJ61" t="str">
            <v/>
          </cell>
          <cell r="BK61" t="str">
            <v/>
          </cell>
          <cell r="BP61" t="str">
            <v/>
          </cell>
          <cell r="BQ61" t="str">
            <v/>
          </cell>
          <cell r="BV61" t="str">
            <v/>
          </cell>
          <cell r="BW61" t="str">
            <v/>
          </cell>
        </row>
        <row r="62"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b">
            <v>0</v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Z62" t="str">
            <v/>
          </cell>
          <cell r="BA62" t="str">
            <v/>
          </cell>
          <cell r="BB62" t="b">
            <v>0</v>
          </cell>
          <cell r="BJ62" t="str">
            <v/>
          </cell>
          <cell r="BK62" t="str">
            <v/>
          </cell>
          <cell r="BP62" t="str">
            <v/>
          </cell>
          <cell r="BQ62" t="str">
            <v/>
          </cell>
          <cell r="BV62" t="str">
            <v/>
          </cell>
          <cell r="BW62" t="str">
            <v/>
          </cell>
        </row>
        <row r="63"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b">
            <v>0</v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Z63" t="str">
            <v/>
          </cell>
          <cell r="BA63" t="str">
            <v/>
          </cell>
          <cell r="BB63" t="b">
            <v>0</v>
          </cell>
          <cell r="BJ63" t="str">
            <v/>
          </cell>
          <cell r="BK63" t="str">
            <v/>
          </cell>
          <cell r="BP63" t="str">
            <v/>
          </cell>
          <cell r="BQ63" t="str">
            <v/>
          </cell>
          <cell r="BV63" t="str">
            <v/>
          </cell>
          <cell r="BW63" t="str">
            <v/>
          </cell>
        </row>
        <row r="64"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b">
            <v>0</v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Z64" t="str">
            <v/>
          </cell>
          <cell r="BA64" t="str">
            <v/>
          </cell>
          <cell r="BB64" t="b">
            <v>0</v>
          </cell>
          <cell r="BJ64" t="str">
            <v/>
          </cell>
          <cell r="BK64" t="str">
            <v/>
          </cell>
          <cell r="BP64" t="str">
            <v/>
          </cell>
          <cell r="BQ64" t="str">
            <v/>
          </cell>
          <cell r="BV64" t="str">
            <v/>
          </cell>
          <cell r="BW64" t="str">
            <v/>
          </cell>
        </row>
        <row r="65"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b">
            <v>0</v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Z65" t="str">
            <v/>
          </cell>
          <cell r="BA65" t="str">
            <v/>
          </cell>
          <cell r="BB65" t="b">
            <v>0</v>
          </cell>
          <cell r="BJ65" t="str">
            <v/>
          </cell>
          <cell r="BK65" t="str">
            <v/>
          </cell>
          <cell r="BP65" t="str">
            <v/>
          </cell>
          <cell r="BQ65" t="str">
            <v/>
          </cell>
          <cell r="BV65" t="str">
            <v/>
          </cell>
          <cell r="BW65" t="str">
            <v/>
          </cell>
        </row>
        <row r="66"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b">
            <v>0</v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Z66" t="str">
            <v/>
          </cell>
          <cell r="BA66" t="str">
            <v/>
          </cell>
          <cell r="BB66" t="b">
            <v>0</v>
          </cell>
          <cell r="BJ66" t="str">
            <v/>
          </cell>
          <cell r="BK66" t="str">
            <v/>
          </cell>
          <cell r="BP66" t="str">
            <v/>
          </cell>
          <cell r="BQ66" t="str">
            <v/>
          </cell>
          <cell r="BV66" t="str">
            <v/>
          </cell>
          <cell r="BW66" t="str">
            <v/>
          </cell>
        </row>
        <row r="67"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b">
            <v>0</v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Z67" t="str">
            <v/>
          </cell>
          <cell r="BA67" t="str">
            <v/>
          </cell>
          <cell r="BB67" t="b">
            <v>0</v>
          </cell>
          <cell r="BJ67" t="str">
            <v/>
          </cell>
          <cell r="BK67" t="str">
            <v/>
          </cell>
          <cell r="BP67" t="str">
            <v/>
          </cell>
          <cell r="BQ67" t="str">
            <v/>
          </cell>
          <cell r="BV67" t="str">
            <v/>
          </cell>
          <cell r="BW67" t="str">
            <v/>
          </cell>
        </row>
        <row r="68"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b">
            <v>0</v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Z68" t="str">
            <v/>
          </cell>
          <cell r="BA68" t="str">
            <v/>
          </cell>
          <cell r="BB68" t="b">
            <v>0</v>
          </cell>
          <cell r="BJ68" t="str">
            <v/>
          </cell>
          <cell r="BK68" t="str">
            <v/>
          </cell>
          <cell r="BP68" t="str">
            <v/>
          </cell>
          <cell r="BQ68" t="str">
            <v/>
          </cell>
          <cell r="BV68" t="str">
            <v/>
          </cell>
          <cell r="BW68" t="str">
            <v/>
          </cell>
        </row>
        <row r="69"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b">
            <v>0</v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Z69" t="str">
            <v/>
          </cell>
          <cell r="BA69" t="str">
            <v/>
          </cell>
          <cell r="BB69" t="b">
            <v>0</v>
          </cell>
          <cell r="BJ69" t="str">
            <v/>
          </cell>
          <cell r="BK69" t="str">
            <v/>
          </cell>
          <cell r="BP69" t="str">
            <v/>
          </cell>
          <cell r="BQ69" t="str">
            <v/>
          </cell>
          <cell r="BV69" t="str">
            <v/>
          </cell>
          <cell r="BW69" t="str">
            <v/>
          </cell>
        </row>
        <row r="70"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b">
            <v>0</v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Z70" t="str">
            <v/>
          </cell>
          <cell r="BA70" t="str">
            <v/>
          </cell>
          <cell r="BB70" t="b">
            <v>0</v>
          </cell>
          <cell r="BJ70" t="str">
            <v/>
          </cell>
          <cell r="BK70" t="str">
            <v/>
          </cell>
          <cell r="BP70" t="str">
            <v/>
          </cell>
          <cell r="BQ70" t="str">
            <v/>
          </cell>
          <cell r="BV70" t="str">
            <v/>
          </cell>
          <cell r="BW70" t="str">
            <v/>
          </cell>
        </row>
        <row r="71"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b">
            <v>0</v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Z71" t="str">
            <v/>
          </cell>
          <cell r="BA71" t="str">
            <v/>
          </cell>
          <cell r="BB71" t="b">
            <v>0</v>
          </cell>
          <cell r="BJ71" t="str">
            <v/>
          </cell>
          <cell r="BK71" t="str">
            <v/>
          </cell>
          <cell r="BP71" t="str">
            <v/>
          </cell>
          <cell r="BQ71" t="str">
            <v/>
          </cell>
          <cell r="BV71" t="str">
            <v/>
          </cell>
          <cell r="BW71" t="str">
            <v/>
          </cell>
        </row>
        <row r="72"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b">
            <v>0</v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Z72" t="str">
            <v/>
          </cell>
          <cell r="BA72" t="str">
            <v/>
          </cell>
          <cell r="BB72" t="b">
            <v>0</v>
          </cell>
          <cell r="BJ72" t="str">
            <v/>
          </cell>
          <cell r="BK72" t="str">
            <v/>
          </cell>
          <cell r="BP72" t="str">
            <v/>
          </cell>
          <cell r="BQ72" t="str">
            <v/>
          </cell>
          <cell r="BV72" t="str">
            <v/>
          </cell>
          <cell r="BW72" t="str">
            <v/>
          </cell>
        </row>
        <row r="73"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b">
            <v>0</v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Z73" t="str">
            <v/>
          </cell>
          <cell r="BA73" t="str">
            <v/>
          </cell>
          <cell r="BB73" t="b">
            <v>0</v>
          </cell>
          <cell r="BJ73" t="str">
            <v/>
          </cell>
          <cell r="BK73" t="str">
            <v/>
          </cell>
          <cell r="BP73" t="str">
            <v/>
          </cell>
          <cell r="BQ73" t="str">
            <v/>
          </cell>
          <cell r="BV73" t="str">
            <v/>
          </cell>
          <cell r="BW73" t="str">
            <v/>
          </cell>
        </row>
        <row r="74"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b">
            <v>0</v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Z74" t="str">
            <v/>
          </cell>
          <cell r="BA74" t="str">
            <v/>
          </cell>
          <cell r="BB74" t="b">
            <v>0</v>
          </cell>
          <cell r="BJ74" t="str">
            <v/>
          </cell>
          <cell r="BK74" t="str">
            <v/>
          </cell>
          <cell r="BP74" t="str">
            <v/>
          </cell>
          <cell r="BQ74" t="str">
            <v/>
          </cell>
          <cell r="BV74" t="str">
            <v/>
          </cell>
          <cell r="BW74" t="str">
            <v/>
          </cell>
        </row>
        <row r="75"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b">
            <v>0</v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Z75" t="str">
            <v/>
          </cell>
          <cell r="BA75" t="str">
            <v/>
          </cell>
          <cell r="BB75" t="b">
            <v>0</v>
          </cell>
          <cell r="BJ75" t="str">
            <v/>
          </cell>
          <cell r="BK75" t="str">
            <v/>
          </cell>
          <cell r="BP75" t="str">
            <v/>
          </cell>
          <cell r="BQ75" t="str">
            <v/>
          </cell>
          <cell r="BV75" t="str">
            <v/>
          </cell>
          <cell r="BW75" t="str">
            <v/>
          </cell>
        </row>
        <row r="76"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b">
            <v>0</v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Z76" t="str">
            <v/>
          </cell>
          <cell r="BA76" t="str">
            <v/>
          </cell>
          <cell r="BB76" t="b">
            <v>0</v>
          </cell>
          <cell r="BJ76" t="str">
            <v/>
          </cell>
          <cell r="BK76" t="str">
            <v/>
          </cell>
          <cell r="BP76" t="str">
            <v/>
          </cell>
          <cell r="BQ76" t="str">
            <v/>
          </cell>
          <cell r="BV76" t="str">
            <v/>
          </cell>
          <cell r="BW76" t="str">
            <v/>
          </cell>
        </row>
        <row r="77"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b">
            <v>0</v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Z77" t="str">
            <v/>
          </cell>
          <cell r="BA77" t="str">
            <v/>
          </cell>
          <cell r="BB77" t="b">
            <v>0</v>
          </cell>
          <cell r="BJ77" t="str">
            <v/>
          </cell>
          <cell r="BK77" t="str">
            <v/>
          </cell>
          <cell r="BP77" t="str">
            <v/>
          </cell>
          <cell r="BQ77" t="str">
            <v/>
          </cell>
          <cell r="BV77" t="str">
            <v/>
          </cell>
          <cell r="BW77" t="str">
            <v/>
          </cell>
        </row>
        <row r="78"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b">
            <v>0</v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Z78" t="str">
            <v/>
          </cell>
          <cell r="BA78" t="str">
            <v/>
          </cell>
          <cell r="BB78" t="b">
            <v>0</v>
          </cell>
          <cell r="BJ78" t="str">
            <v/>
          </cell>
          <cell r="BK78" t="str">
            <v/>
          </cell>
          <cell r="BP78" t="str">
            <v/>
          </cell>
          <cell r="BQ78" t="str">
            <v/>
          </cell>
          <cell r="BV78" t="str">
            <v/>
          </cell>
          <cell r="BW78" t="str">
            <v/>
          </cell>
        </row>
      </sheetData>
      <sheetData sheetId="9" refreshError="1"/>
      <sheetData sheetId="10" refreshError="1"/>
      <sheetData sheetId="11" refreshError="1">
        <row r="10">
          <cell r="M10">
            <v>0</v>
          </cell>
        </row>
        <row r="21">
          <cell r="M21">
            <v>0</v>
          </cell>
        </row>
        <row r="32">
          <cell r="M32">
            <v>0</v>
          </cell>
        </row>
        <row r="43">
          <cell r="M43">
            <v>0</v>
          </cell>
        </row>
      </sheetData>
      <sheetData sheetId="12" refreshError="1">
        <row r="5">
          <cell r="C5" t="str">
            <v>EURYC</v>
          </cell>
        </row>
        <row r="6">
          <cell r="E6">
            <v>43077</v>
          </cell>
          <cell r="F6" t="e">
            <v>#NAME?</v>
          </cell>
        </row>
        <row r="8">
          <cell r="C8" t="str">
            <v>6M</v>
          </cell>
        </row>
        <row r="9">
          <cell r="C9">
            <v>10</v>
          </cell>
        </row>
        <row r="13">
          <cell r="C13">
            <v>2</v>
          </cell>
        </row>
        <row r="20">
          <cell r="B20">
            <v>3650</v>
          </cell>
        </row>
        <row r="25">
          <cell r="E25" t="e">
            <v>#NAME?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">
          <cell r="N5" t="str">
            <v>LegType</v>
          </cell>
          <cell r="O5" t="str">
            <v>Currency</v>
          </cell>
          <cell r="P5" t="str">
            <v>PayReceive</v>
          </cell>
          <cell r="Q5" t="str">
            <v>Notional</v>
          </cell>
          <cell r="R5" t="str">
            <v>NotionalExchange</v>
          </cell>
          <cell r="S5" t="str">
            <v>Leverage</v>
          </cell>
          <cell r="T5" t="str">
            <v>EffectiveDate</v>
          </cell>
          <cell r="U5" t="str">
            <v>MaturityDate</v>
          </cell>
          <cell r="V5" t="str">
            <v>Frequency</v>
          </cell>
          <cell r="W5" t="str">
            <v>FloatSpread</v>
          </cell>
          <cell r="X5" t="str">
            <v>CurveCollection</v>
          </cell>
          <cell r="Y5" t="str">
            <v>ForecastCurve</v>
          </cell>
          <cell r="Z5" t="str">
            <v>DiscountCurve</v>
          </cell>
          <cell r="AA5" t="str">
            <v>Daycount</v>
          </cell>
          <cell r="AB5" t="str">
            <v>AccrualBusinessDayAdjustment</v>
          </cell>
          <cell r="AC5" t="str">
            <v>AccrualCalendar</v>
          </cell>
          <cell r="AD5" t="str">
            <v>FixingBusinessDayAdjustment</v>
          </cell>
          <cell r="AE5" t="str">
            <v>FixingCalendar</v>
          </cell>
          <cell r="AF5" t="str">
            <v>FixingLag</v>
          </cell>
          <cell r="AG5" t="str">
            <v>PaymentBusinessDayAdjustment</v>
          </cell>
          <cell r="AH5" t="str">
            <v>PaymentCalendar</v>
          </cell>
          <cell r="AI5" t="str">
            <v>PaymentLag</v>
          </cell>
          <cell r="AJ5" t="str">
            <v>RollDay</v>
          </cell>
          <cell r="AK5" t="str">
            <v>FirstStubDate</v>
          </cell>
          <cell r="AL5" t="str">
            <v>LastStubDate</v>
          </cell>
          <cell r="AM5" t="str">
            <v>FirstStubCurveIndex</v>
          </cell>
          <cell r="AN5" t="str">
            <v>LastStubCurveIndex</v>
          </cell>
          <cell r="AO5" t="str">
            <v>FirstFixing</v>
          </cell>
          <cell r="AP5" t="str">
            <v>LastFixing</v>
          </cell>
          <cell r="AQ5" t="str">
            <v>StubType</v>
          </cell>
          <cell r="AS5" t="str">
            <v>LegType</v>
          </cell>
          <cell r="AT5" t="str">
            <v>Currency</v>
          </cell>
          <cell r="AU5" t="str">
            <v>PayReceive</v>
          </cell>
          <cell r="AV5" t="str">
            <v>Notional</v>
          </cell>
          <cell r="AW5" t="str">
            <v>NotionalExchange</v>
          </cell>
          <cell r="AX5" t="str">
            <v>Leverage</v>
          </cell>
          <cell r="AY5" t="str">
            <v>EffectiveDate</v>
          </cell>
          <cell r="AZ5" t="str">
            <v>MaturityDate</v>
          </cell>
          <cell r="BA5" t="str">
            <v>Frequency</v>
          </cell>
          <cell r="BB5" t="str">
            <v>FloatSpread</v>
          </cell>
          <cell r="BC5" t="str">
            <v>CurveCollection</v>
          </cell>
          <cell r="BD5" t="str">
            <v>ForecastCurve</v>
          </cell>
          <cell r="BE5" t="str">
            <v>DiscountCurve</v>
          </cell>
          <cell r="BF5" t="str">
            <v>Daycount</v>
          </cell>
          <cell r="BG5" t="str">
            <v>AccrualBusinessDayAdjustment</v>
          </cell>
          <cell r="BH5" t="str">
            <v>AccrualCalendar</v>
          </cell>
          <cell r="BI5" t="str">
            <v>FixingBusinessDayAdjustment</v>
          </cell>
          <cell r="BJ5" t="str">
            <v>FixingCalendar</v>
          </cell>
          <cell r="BK5" t="str">
            <v>FixingLag</v>
          </cell>
          <cell r="BL5" t="str">
            <v>PaymentBusinessDayAdjustment</v>
          </cell>
          <cell r="BM5" t="str">
            <v>PaymentCalendar</v>
          </cell>
          <cell r="BN5" t="str">
            <v>PaymentLag</v>
          </cell>
          <cell r="BO5" t="str">
            <v>RollDay</v>
          </cell>
          <cell r="BP5" t="str">
            <v>FirstStubDate</v>
          </cell>
          <cell r="BQ5" t="str">
            <v>LastStubDate</v>
          </cell>
          <cell r="BR5" t="str">
            <v>CalibrationLookup1</v>
          </cell>
          <cell r="BS5" t="str">
            <v>CalibrationLookup2</v>
          </cell>
          <cell r="BT5" t="str">
            <v>FirstStubCurveIndex</v>
          </cell>
          <cell r="BU5" t="str">
            <v>LastStubCurveIndex</v>
          </cell>
          <cell r="BV5" t="str">
            <v>FirstFixing</v>
          </cell>
          <cell r="BW5" t="str">
            <v>LastFixing</v>
          </cell>
          <cell r="BX5" t="str">
            <v>StubType</v>
          </cell>
        </row>
      </sheetData>
      <sheetData sheetId="35" refreshError="1"/>
      <sheetData sheetId="36" refreshError="1"/>
      <sheetData sheetId="37" refreshError="1"/>
      <sheetData sheetId="38" refreshError="1">
        <row r="10">
          <cell r="C10">
            <v>43077</v>
          </cell>
        </row>
        <row r="11">
          <cell r="C11" t="str">
            <v>2D</v>
          </cell>
        </row>
        <row r="12">
          <cell r="C12" t="str">
            <v>5Y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48">
          <cell r="B148" t="str">
            <v>MOD_FOLLOWING</v>
          </cell>
        </row>
        <row r="149">
          <cell r="B149" t="str">
            <v>TGT</v>
          </cell>
        </row>
        <row r="156">
          <cell r="B156" t="str">
            <v>MOD_FOLLOWING</v>
          </cell>
        </row>
        <row r="158">
          <cell r="B158" t="str">
            <v>NYB:LNB</v>
          </cell>
        </row>
        <row r="164">
          <cell r="B164" t="str">
            <v>MOD_FOLLOWING</v>
          </cell>
        </row>
        <row r="166">
          <cell r="B166" t="str">
            <v>LNB</v>
          </cell>
        </row>
        <row r="172">
          <cell r="B172" t="str">
            <v>MOD_FOLLOWING</v>
          </cell>
        </row>
        <row r="174">
          <cell r="B174" t="str">
            <v>TKB:LNB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_DATA"/>
      <sheetName val="EUR_DATA"/>
      <sheetName val="CAD_DATA"/>
      <sheetName val="JPY_DATA"/>
      <sheetName val="CZK_DATA"/>
      <sheetName val="HUF_DATA"/>
      <sheetName val="PLN_DATA"/>
      <sheetName val="RON_DATA"/>
      <sheetName val="ILS_DATA"/>
      <sheetName val="RUB_DATA"/>
      <sheetName val="ZAR_DATA"/>
      <sheetName val="TRY_DATA"/>
      <sheetName val="INR_CURVES"/>
      <sheetName val="SAR_DATA"/>
      <sheetName val="AED_DATA"/>
      <sheetName val="CNH_DATA"/>
      <sheetName val="INR_DATA"/>
      <sheetName val="HKD_DATA"/>
      <sheetName val="Static Data"/>
      <sheetName val="COVER"/>
      <sheetName val="FX"/>
      <sheetName val="USD_CURVES"/>
      <sheetName val="EUR_CURVES"/>
      <sheetName val="CAD_CURVES"/>
      <sheetName val="JPY_CURVES"/>
      <sheetName val="CNH_CURVES"/>
      <sheetName val="HKD_CURVES"/>
      <sheetName val="CZK_CURVES"/>
      <sheetName val="HUF_CURVES"/>
      <sheetName val="PLN_CURVES"/>
      <sheetName val="ILS_CURVES"/>
      <sheetName val="RON_CURVES"/>
      <sheetName val="RUB_CURVES"/>
      <sheetName val="TRY_CURVES"/>
      <sheetName val="ZAR_CURVES"/>
      <sheetName val="SAR_CURVES"/>
      <sheetName val="AED_CURVES"/>
      <sheetName val="FX Swap Pric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>
            <v>44013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rgb="FF92D050"/>
  </sheetPr>
  <dimension ref="A1:M42"/>
  <sheetViews>
    <sheetView topLeftCell="A40" workbookViewId="0">
      <selection activeCell="F52" sqref="F52"/>
    </sheetView>
  </sheetViews>
  <sheetFormatPr defaultRowHeight="15" x14ac:dyDescent="0.25"/>
  <cols>
    <col min="1" max="1" width="35.5703125" style="1" customWidth="1"/>
    <col min="2" max="2" width="21.7109375" style="1" customWidth="1"/>
    <col min="3" max="3" width="13" style="1" customWidth="1"/>
    <col min="4" max="4" width="6.7109375" style="1" customWidth="1"/>
    <col min="5" max="5" width="9.140625" style="1"/>
    <col min="6" max="6" width="16.85546875" style="1" customWidth="1"/>
    <col min="7" max="8" width="9.140625" style="1"/>
    <col min="9" max="9" width="14.5703125" style="1" customWidth="1"/>
    <col min="10" max="10" width="15.140625" style="1" customWidth="1"/>
    <col min="11" max="16384" width="9.140625" style="1"/>
  </cols>
  <sheetData>
    <row r="1" spans="1:12" x14ac:dyDescent="0.25">
      <c r="A1" s="10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B2" s="8"/>
    </row>
    <row r="3" spans="1:12" x14ac:dyDescent="0.25">
      <c r="A3" s="1" t="s">
        <v>49</v>
      </c>
      <c r="B3" s="8" t="s">
        <v>56</v>
      </c>
    </row>
    <row r="4" spans="1:12" x14ac:dyDescent="0.25">
      <c r="A4" s="1" t="s">
        <v>48</v>
      </c>
      <c r="B4" s="11">
        <f ca="1">TODAY()</f>
        <v>44013</v>
      </c>
    </row>
    <row r="5" spans="1:12" x14ac:dyDescent="0.25">
      <c r="A5" s="1" t="s">
        <v>47</v>
      </c>
      <c r="B5" s="11">
        <f ca="1">_xll.meDateFromTenor(B4,"2D",$B$23,$B$24)</f>
        <v>44015</v>
      </c>
    </row>
    <row r="6" spans="1:12" x14ac:dyDescent="0.25">
      <c r="A6" s="1" t="s">
        <v>46</v>
      </c>
      <c r="B6" s="8" t="s">
        <v>45</v>
      </c>
    </row>
    <row r="8" spans="1:12" x14ac:dyDescent="0.25">
      <c r="A8" s="5" t="s">
        <v>44</v>
      </c>
      <c r="B8" s="30" t="s">
        <v>43</v>
      </c>
    </row>
    <row r="9" spans="1:12" x14ac:dyDescent="0.25">
      <c r="A9" s="4" t="s">
        <v>1</v>
      </c>
      <c r="B9" s="31">
        <v>10000000</v>
      </c>
      <c r="D9" s="2" t="s">
        <v>42</v>
      </c>
    </row>
    <row r="10" spans="1:12" x14ac:dyDescent="0.25">
      <c r="A10" s="4" t="s">
        <v>41</v>
      </c>
      <c r="B10" s="28" t="s">
        <v>31</v>
      </c>
      <c r="C10" s="1" t="s">
        <v>40</v>
      </c>
      <c r="D10" s="1" t="s">
        <v>39</v>
      </c>
    </row>
    <row r="11" spans="1:12" x14ac:dyDescent="0.25">
      <c r="A11" s="4" t="s">
        <v>38</v>
      </c>
      <c r="B11" s="32" t="s">
        <v>37</v>
      </c>
      <c r="C11" s="1" t="s">
        <v>36</v>
      </c>
    </row>
    <row r="12" spans="1:12" x14ac:dyDescent="0.25">
      <c r="A12" s="4" t="s">
        <v>35</v>
      </c>
      <c r="B12" s="29">
        <f ca="1">_xll.meDateFromTenor(B5,D9,$B$23,$B$24)</f>
        <v>44077</v>
      </c>
      <c r="D12" s="1" t="s">
        <v>34</v>
      </c>
      <c r="E12" s="1" t="s">
        <v>33</v>
      </c>
    </row>
    <row r="13" spans="1:12" x14ac:dyDescent="0.25">
      <c r="A13" s="4" t="s">
        <v>32</v>
      </c>
      <c r="B13" s="33">
        <f ca="1">_xll.meDateFromTenor(B5,D10,$B$6,$B$24)</f>
        <v>44168</v>
      </c>
      <c r="D13" s="1" t="s">
        <v>31</v>
      </c>
      <c r="E13" s="2" t="s">
        <v>30</v>
      </c>
    </row>
    <row r="14" spans="1:12" x14ac:dyDescent="0.25">
      <c r="A14" s="4" t="s">
        <v>29</v>
      </c>
      <c r="B14" s="31" t="s">
        <v>55</v>
      </c>
    </row>
    <row r="15" spans="1:12" x14ac:dyDescent="0.25">
      <c r="A15" s="4" t="s">
        <v>28</v>
      </c>
      <c r="B15" s="34" t="s">
        <v>54</v>
      </c>
    </row>
    <row r="16" spans="1:12" x14ac:dyDescent="0.25">
      <c r="A16" s="4" t="s">
        <v>27</v>
      </c>
      <c r="B16" s="34" t="s">
        <v>53</v>
      </c>
    </row>
    <row r="17" spans="1:2" x14ac:dyDescent="0.25">
      <c r="A17" s="4" t="s">
        <v>26</v>
      </c>
      <c r="B17" s="35">
        <v>0.01</v>
      </c>
    </row>
    <row r="18" spans="1:2" x14ac:dyDescent="0.25">
      <c r="A18" s="4" t="s">
        <v>25</v>
      </c>
      <c r="B18" s="36" t="s">
        <v>23</v>
      </c>
    </row>
    <row r="19" spans="1:2" x14ac:dyDescent="0.25">
      <c r="A19" s="4" t="s">
        <v>24</v>
      </c>
      <c r="B19" s="36" t="s">
        <v>23</v>
      </c>
    </row>
    <row r="20" spans="1:2" x14ac:dyDescent="0.25">
      <c r="A20" s="4" t="s">
        <v>22</v>
      </c>
      <c r="B20" s="37"/>
    </row>
    <row r="21" spans="1:2" x14ac:dyDescent="0.25">
      <c r="A21" s="4" t="s">
        <v>21</v>
      </c>
      <c r="B21" s="34"/>
    </row>
    <row r="22" spans="1:2" x14ac:dyDescent="0.25">
      <c r="A22" s="4" t="s">
        <v>20</v>
      </c>
      <c r="B22" s="38" t="s">
        <v>19</v>
      </c>
    </row>
    <row r="23" spans="1:2" x14ac:dyDescent="0.25">
      <c r="A23" s="4" t="s">
        <v>18</v>
      </c>
      <c r="B23" s="36" t="s">
        <v>17</v>
      </c>
    </row>
    <row r="24" spans="1:2" x14ac:dyDescent="0.25">
      <c r="A24" s="4" t="s">
        <v>16</v>
      </c>
      <c r="B24" s="36" t="s">
        <v>52</v>
      </c>
    </row>
    <row r="25" spans="1:2" x14ac:dyDescent="0.25">
      <c r="A25" s="4" t="s">
        <v>15</v>
      </c>
      <c r="B25" s="36" t="s">
        <v>14</v>
      </c>
    </row>
    <row r="26" spans="1:2" x14ac:dyDescent="0.25">
      <c r="A26" s="4" t="s">
        <v>13</v>
      </c>
      <c r="B26" s="38" t="s">
        <v>12</v>
      </c>
    </row>
    <row r="27" spans="1:2" x14ac:dyDescent="0.25">
      <c r="A27" s="4" t="s">
        <v>11</v>
      </c>
      <c r="B27" s="39"/>
    </row>
    <row r="28" spans="1:2" x14ac:dyDescent="0.25">
      <c r="A28" s="4" t="s">
        <v>10</v>
      </c>
      <c r="B28" s="39"/>
    </row>
    <row r="29" spans="1:2" x14ac:dyDescent="0.25">
      <c r="A29" s="3" t="s">
        <v>9</v>
      </c>
      <c r="B29" s="40" t="s">
        <v>8</v>
      </c>
    </row>
    <row r="30" spans="1:2" x14ac:dyDescent="0.25">
      <c r="A30" s="4" t="s">
        <v>7</v>
      </c>
      <c r="B30" s="28" t="s">
        <v>6</v>
      </c>
    </row>
    <row r="31" spans="1:2" x14ac:dyDescent="0.25">
      <c r="A31" s="16"/>
      <c r="B31" s="8"/>
    </row>
    <row r="32" spans="1:2" x14ac:dyDescent="0.25">
      <c r="A32" s="16" t="s">
        <v>5</v>
      </c>
      <c r="B32" s="14" t="s">
        <v>51</v>
      </c>
    </row>
    <row r="33" spans="1:13" x14ac:dyDescent="0.25">
      <c r="A33" s="41" t="s">
        <v>4</v>
      </c>
      <c r="B33" s="14" t="str">
        <f ca="1">_xll.meLWOFraCreate(B32,A8:B30)</f>
        <v>FRA_USD@51:0</v>
      </c>
    </row>
    <row r="34" spans="1:13" x14ac:dyDescent="0.25">
      <c r="A34" s="41" t="s">
        <v>3</v>
      </c>
      <c r="B34" s="7">
        <f ca="1">_xll.meLWOFraPV(B33,$B$3)</f>
        <v>-18484.170310203972</v>
      </c>
    </row>
    <row r="35" spans="1:13" x14ac:dyDescent="0.25">
      <c r="A35" s="41" t="s">
        <v>2</v>
      </c>
      <c r="B35" s="25">
        <f ca="1">_xll.meLWOFraRate(B33,B3)</f>
        <v>2.6817307671533411E-3</v>
      </c>
    </row>
    <row r="36" spans="1:13" x14ac:dyDescent="0.25">
      <c r="A36" s="2"/>
      <c r="B36" s="24"/>
      <c r="C36" s="10"/>
      <c r="D36" s="26"/>
    </row>
    <row r="37" spans="1:13" x14ac:dyDescent="0.25">
      <c r="J37" s="27"/>
    </row>
    <row r="38" spans="1:13" x14ac:dyDescent="0.25">
      <c r="A38" s="41" t="s">
        <v>0</v>
      </c>
    </row>
    <row r="39" spans="1:13" x14ac:dyDescent="0.25">
      <c r="A39" s="1" t="str">
        <f t="array" aca="1" ref="A39:M42" ca="1">_xll.meLWOFraDisplayCashflows(B33,B3)</f>
        <v>AccrualStart</v>
      </c>
      <c r="B39" s="1" t="str">
        <f ca="1"/>
        <v>AccrualEnd</v>
      </c>
      <c r="C39" s="1" t="str">
        <f ca="1"/>
        <v>AccrualDays</v>
      </c>
      <c r="D39" s="1" t="str">
        <f ca="1"/>
        <v>AccrualYearFractions</v>
      </c>
      <c r="E39" s="1" t="str">
        <f ca="1"/>
        <v>PaymentDate</v>
      </c>
      <c r="F39" s="1" t="str">
        <f ca="1"/>
        <v>Notional</v>
      </c>
      <c r="G39" s="1" t="str">
        <f ca="1"/>
        <v>StrikeRate</v>
      </c>
      <c r="H39" s="1" t="str">
        <f ca="1"/>
        <v>FloatRate</v>
      </c>
      <c r="I39" s="1" t="str">
        <f ca="1"/>
        <v>Coupon</v>
      </c>
      <c r="J39" s="1" t="str">
        <f ca="1"/>
        <v>DiscountFactor</v>
      </c>
      <c r="K39" s="1" t="str">
        <f ca="1"/>
        <v>CouponPV</v>
      </c>
      <c r="L39" s="1" t="e">
        <f ca="1"/>
        <v>#N/A</v>
      </c>
      <c r="M39" s="1" t="e">
        <f ca="1"/>
        <v>#N/A</v>
      </c>
    </row>
    <row r="40" spans="1:13" x14ac:dyDescent="0.25">
      <c r="A40" s="22">
        <f ca="1"/>
        <v>44077</v>
      </c>
      <c r="B40" s="22">
        <f ca="1"/>
        <v>44168</v>
      </c>
      <c r="C40" s="22">
        <f ca="1"/>
        <v>91</v>
      </c>
      <c r="D40" s="1">
        <f ca="1"/>
        <v>0.25277777777777777</v>
      </c>
      <c r="E40" s="1">
        <f ca="1"/>
        <v>44077</v>
      </c>
      <c r="F40" s="19">
        <f ca="1"/>
        <v>10000000</v>
      </c>
      <c r="G40" s="1">
        <f ca="1"/>
        <v>0.01</v>
      </c>
      <c r="H40" s="1">
        <f ca="1"/>
        <v>2.6817307671533411E-3</v>
      </c>
      <c r="I40" s="19">
        <f ca="1"/>
        <v>-18486.426723701028</v>
      </c>
      <c r="J40" s="23">
        <f ca="1"/>
        <v>0.99987794215016335</v>
      </c>
      <c r="K40" s="1">
        <f ca="1"/>
        <v>-18484.170310203972</v>
      </c>
      <c r="L40" s="1" t="e">
        <f ca="1"/>
        <v>#N/A</v>
      </c>
      <c r="M40" s="1" t="e">
        <f ca="1"/>
        <v>#N/A</v>
      </c>
    </row>
    <row r="41" spans="1:13" x14ac:dyDescent="0.25">
      <c r="A41" s="1" t="e">
        <f ca="1"/>
        <v>#N/A</v>
      </c>
      <c r="B41" s="1" t="e">
        <f ca="1"/>
        <v>#N/A</v>
      </c>
      <c r="C41" s="1" t="e">
        <f ca="1"/>
        <v>#N/A</v>
      </c>
      <c r="D41" s="1" t="e">
        <f ca="1"/>
        <v>#N/A</v>
      </c>
      <c r="E41" s="1" t="e">
        <f ca="1"/>
        <v>#N/A</v>
      </c>
      <c r="F41" s="1" t="e">
        <f ca="1"/>
        <v>#N/A</v>
      </c>
      <c r="G41" s="1" t="e">
        <f ca="1"/>
        <v>#N/A</v>
      </c>
      <c r="H41" s="1" t="e">
        <f ca="1"/>
        <v>#N/A</v>
      </c>
      <c r="I41" s="1" t="e">
        <f ca="1"/>
        <v>#N/A</v>
      </c>
      <c r="J41" s="1" t="e">
        <f ca="1"/>
        <v>#N/A</v>
      </c>
      <c r="K41" s="1" t="e">
        <f ca="1"/>
        <v>#N/A</v>
      </c>
      <c r="L41" s="1" t="e">
        <f ca="1"/>
        <v>#N/A</v>
      </c>
      <c r="M41" s="1" t="e">
        <f ca="1"/>
        <v>#N/A</v>
      </c>
    </row>
    <row r="42" spans="1:13" x14ac:dyDescent="0.25">
      <c r="A42" s="1" t="e">
        <f ca="1"/>
        <v>#N/A</v>
      </c>
      <c r="B42" s="1" t="e">
        <f ca="1"/>
        <v>#N/A</v>
      </c>
      <c r="C42" s="1" t="e">
        <f ca="1"/>
        <v>#N/A</v>
      </c>
      <c r="D42" s="1" t="e">
        <f ca="1"/>
        <v>#N/A</v>
      </c>
      <c r="E42" s="1" t="e">
        <f ca="1"/>
        <v>#N/A</v>
      </c>
      <c r="F42" s="1" t="e">
        <f ca="1"/>
        <v>#N/A</v>
      </c>
      <c r="G42" s="1" t="e">
        <f ca="1"/>
        <v>#N/A</v>
      </c>
      <c r="H42" s="1" t="e">
        <f ca="1"/>
        <v>#N/A</v>
      </c>
      <c r="I42" s="1" t="e">
        <f ca="1"/>
        <v>#N/A</v>
      </c>
      <c r="J42" s="1" t="e">
        <f ca="1"/>
        <v>#N/A</v>
      </c>
      <c r="K42" s="1" t="e">
        <f ca="1"/>
        <v>#N/A</v>
      </c>
      <c r="L42" s="1" t="e">
        <f ca="1"/>
        <v>#N/A</v>
      </c>
      <c r="M42" s="1" t="e">
        <f ca="1"/>
        <v>#N/A</v>
      </c>
    </row>
  </sheetData>
  <dataValidations count="4">
    <dataValidation type="list" allowBlank="1" showInputMessage="1" showErrorMessage="1" sqref="B23">
      <formula1>"MOD_FOLLOWING,FOLLOWING,MOD_PRECEDING,PRECEDING,NO_CHANGE"</formula1>
    </dataValidation>
    <dataValidation type="list" allowBlank="1" showInputMessage="1" showErrorMessage="1" sqref="B18:B19">
      <formula1>"NATURAL,1D,1M,3M,6M,12M"</formula1>
    </dataValidation>
    <dataValidation type="list" allowBlank="1" showInputMessage="1" showErrorMessage="1" sqref="B22">
      <formula1>"30/360,ACT/360,ACT/365"</formula1>
    </dataValidation>
    <dataValidation type="list" allowBlank="1" showInputMessage="1" showErrorMessage="1" sqref="B29">
      <formula1>"None,ShortStart,ShortEnd,LongStart,LongEnd"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50"/>
  <sheetViews>
    <sheetView tabSelected="1" topLeftCell="A28" workbookViewId="0">
      <selection activeCell="G34" sqref="G34"/>
    </sheetView>
  </sheetViews>
  <sheetFormatPr defaultRowHeight="15" x14ac:dyDescent="0.25"/>
  <cols>
    <col min="1" max="1" width="41" style="1" customWidth="1"/>
    <col min="2" max="2" width="21.7109375" style="1" customWidth="1"/>
    <col min="3" max="3" width="13" style="1" customWidth="1"/>
    <col min="4" max="4" width="6.7109375" style="1" customWidth="1"/>
    <col min="5" max="5" width="9.140625" style="1"/>
    <col min="6" max="6" width="13.140625" style="1" bestFit="1" customWidth="1"/>
    <col min="7" max="7" width="22.85546875" style="1" customWidth="1"/>
    <col min="8" max="8" width="20.85546875" style="1" customWidth="1"/>
    <col min="9" max="9" width="25.140625" style="1" customWidth="1"/>
    <col min="10" max="10" width="15.5703125" style="1" customWidth="1"/>
    <col min="11" max="11" width="16.5703125" style="1" customWidth="1"/>
    <col min="12" max="12" width="13.28515625" style="1" customWidth="1"/>
    <col min="13" max="13" width="12.7109375" style="1" customWidth="1"/>
    <col min="14" max="16" width="9.140625" style="1"/>
    <col min="17" max="17" width="10.140625" style="1" bestFit="1" customWidth="1"/>
    <col min="18" max="16384" width="9.140625" style="1"/>
  </cols>
  <sheetData>
    <row r="1" spans="1:12" x14ac:dyDescent="0.25">
      <c r="A1" s="10" t="s">
        <v>50</v>
      </c>
      <c r="B1" s="6"/>
      <c r="C1" s="6"/>
      <c r="D1" s="6"/>
      <c r="E1" s="6"/>
      <c r="F1" s="6"/>
      <c r="H1" s="6"/>
      <c r="I1" s="6"/>
      <c r="J1" s="6"/>
      <c r="K1" s="6"/>
      <c r="L1" s="6"/>
    </row>
    <row r="2" spans="1:12" x14ac:dyDescent="0.25">
      <c r="B2" s="8"/>
    </row>
    <row r="3" spans="1:12" x14ac:dyDescent="0.25">
      <c r="A3" s="1" t="s">
        <v>49</v>
      </c>
      <c r="B3" s="8" t="s">
        <v>56</v>
      </c>
    </row>
    <row r="4" spans="1:12" x14ac:dyDescent="0.25">
      <c r="A4" s="1" t="s">
        <v>48</v>
      </c>
      <c r="B4" s="11">
        <f ca="1">TODAY()</f>
        <v>44013</v>
      </c>
    </row>
    <row r="5" spans="1:12" x14ac:dyDescent="0.25">
      <c r="A5" s="1" t="s">
        <v>47</v>
      </c>
      <c r="B5" s="11">
        <f ca="1">_xll.meDateFromTenor(B4,"2D",$B$23,$B$24)</f>
        <v>44015</v>
      </c>
    </row>
    <row r="6" spans="1:12" x14ac:dyDescent="0.25">
      <c r="B6" s="8"/>
    </row>
    <row r="8" spans="1:12" x14ac:dyDescent="0.25">
      <c r="A8" s="5" t="s">
        <v>44</v>
      </c>
      <c r="B8" s="30" t="s">
        <v>43</v>
      </c>
    </row>
    <row r="9" spans="1:12" x14ac:dyDescent="0.25">
      <c r="A9" s="4" t="s">
        <v>1</v>
      </c>
      <c r="B9" s="31">
        <v>10000000</v>
      </c>
      <c r="D9" s="2" t="s">
        <v>42</v>
      </c>
    </row>
    <row r="10" spans="1:12" x14ac:dyDescent="0.25">
      <c r="A10" s="4" t="s">
        <v>41</v>
      </c>
      <c r="B10" s="28" t="s">
        <v>34</v>
      </c>
      <c r="C10" s="1" t="s">
        <v>40</v>
      </c>
      <c r="D10" s="1" t="s">
        <v>62</v>
      </c>
    </row>
    <row r="11" spans="1:12" x14ac:dyDescent="0.25">
      <c r="A11" s="4" t="s">
        <v>38</v>
      </c>
      <c r="B11" s="32" t="s">
        <v>37</v>
      </c>
      <c r="C11" s="1" t="s">
        <v>36</v>
      </c>
    </row>
    <row r="12" spans="1:12" x14ac:dyDescent="0.25">
      <c r="A12" s="4" t="s">
        <v>35</v>
      </c>
      <c r="B12" s="29">
        <v>44186</v>
      </c>
      <c r="D12" s="1" t="s">
        <v>34</v>
      </c>
      <c r="E12" s="1" t="s">
        <v>33</v>
      </c>
    </row>
    <row r="13" spans="1:12" x14ac:dyDescent="0.25">
      <c r="A13" s="4" t="s">
        <v>32</v>
      </c>
      <c r="B13" s="33">
        <v>44274</v>
      </c>
      <c r="D13" s="1" t="s">
        <v>31</v>
      </c>
      <c r="E13" s="2" t="s">
        <v>30</v>
      </c>
    </row>
    <row r="14" spans="1:12" x14ac:dyDescent="0.25">
      <c r="A14" s="4" t="s">
        <v>29</v>
      </c>
      <c r="B14" s="42" t="s">
        <v>55</v>
      </c>
      <c r="C14" s="10"/>
    </row>
    <row r="15" spans="1:12" x14ac:dyDescent="0.25">
      <c r="A15" s="4" t="s">
        <v>28</v>
      </c>
      <c r="B15" s="34" t="s">
        <v>54</v>
      </c>
    </row>
    <row r="16" spans="1:12" x14ac:dyDescent="0.25">
      <c r="A16" s="4" t="s">
        <v>27</v>
      </c>
      <c r="B16" s="34" t="s">
        <v>53</v>
      </c>
    </row>
    <row r="17" spans="1:11" x14ac:dyDescent="0.25">
      <c r="A17" s="4" t="s">
        <v>26</v>
      </c>
      <c r="B17" s="35">
        <v>0.01</v>
      </c>
    </row>
    <row r="18" spans="1:11" x14ac:dyDescent="0.25">
      <c r="A18" s="4" t="s">
        <v>25</v>
      </c>
      <c r="B18" s="42" t="s">
        <v>57</v>
      </c>
      <c r="C18" s="12"/>
    </row>
    <row r="19" spans="1:11" x14ac:dyDescent="0.25">
      <c r="A19" s="4" t="s">
        <v>24</v>
      </c>
      <c r="B19" s="42" t="s">
        <v>57</v>
      </c>
    </row>
    <row r="20" spans="1:11" x14ac:dyDescent="0.25">
      <c r="A20" s="4" t="s">
        <v>22</v>
      </c>
      <c r="B20" s="37"/>
    </row>
    <row r="21" spans="1:11" x14ac:dyDescent="0.25">
      <c r="A21" s="4" t="s">
        <v>21</v>
      </c>
      <c r="B21" s="34"/>
    </row>
    <row r="22" spans="1:11" x14ac:dyDescent="0.25">
      <c r="A22" s="4" t="s">
        <v>20</v>
      </c>
      <c r="B22" s="38" t="s">
        <v>19</v>
      </c>
    </row>
    <row r="23" spans="1:11" x14ac:dyDescent="0.25">
      <c r="A23" s="4" t="s">
        <v>18</v>
      </c>
      <c r="B23" s="36" t="s">
        <v>17</v>
      </c>
    </row>
    <row r="24" spans="1:11" x14ac:dyDescent="0.25">
      <c r="A24" s="4" t="s">
        <v>16</v>
      </c>
      <c r="B24" s="36" t="s">
        <v>52</v>
      </c>
      <c r="C24" s="8" t="s">
        <v>62</v>
      </c>
    </row>
    <row r="25" spans="1:11" x14ac:dyDescent="0.25">
      <c r="A25" s="4" t="s">
        <v>15</v>
      </c>
      <c r="B25" s="36" t="s">
        <v>14</v>
      </c>
      <c r="C25" s="13">
        <f ca="1">_xll.meDateFromTenor(B12,C24,B23,B24)</f>
        <v>44277</v>
      </c>
    </row>
    <row r="26" spans="1:11" x14ac:dyDescent="0.25">
      <c r="A26" s="4" t="s">
        <v>13</v>
      </c>
      <c r="B26" s="38" t="s">
        <v>61</v>
      </c>
    </row>
    <row r="27" spans="1:11" x14ac:dyDescent="0.25">
      <c r="A27" s="4" t="s">
        <v>11</v>
      </c>
      <c r="B27" s="43"/>
    </row>
    <row r="28" spans="1:11" x14ac:dyDescent="0.25">
      <c r="A28" s="4" t="s">
        <v>10</v>
      </c>
      <c r="B28" s="29"/>
    </row>
    <row r="29" spans="1:11" x14ac:dyDescent="0.25">
      <c r="A29" s="3" t="s">
        <v>9</v>
      </c>
      <c r="B29" s="40" t="s">
        <v>8</v>
      </c>
    </row>
    <row r="30" spans="1:11" x14ac:dyDescent="0.25">
      <c r="A30" s="4" t="s">
        <v>7</v>
      </c>
      <c r="B30" s="44" t="s">
        <v>60</v>
      </c>
      <c r="C30" s="1" t="s">
        <v>59</v>
      </c>
      <c r="K30" s="15"/>
    </row>
    <row r="31" spans="1:11" x14ac:dyDescent="0.25">
      <c r="A31" s="16"/>
      <c r="K31" s="15"/>
    </row>
    <row r="32" spans="1:11" x14ac:dyDescent="0.25">
      <c r="A32" s="16" t="s">
        <v>5</v>
      </c>
      <c r="B32" s="8" t="s">
        <v>58</v>
      </c>
    </row>
    <row r="33" spans="1:13" x14ac:dyDescent="0.25">
      <c r="A33" s="41" t="s">
        <v>4</v>
      </c>
      <c r="B33" s="8" t="str">
        <f ca="1">_xll.meLWOFraCreate(B32,A8:B30)</f>
        <v>FRA_USD_STUB@52:3</v>
      </c>
      <c r="G33" s="17"/>
    </row>
    <row r="34" spans="1:13" x14ac:dyDescent="0.25">
      <c r="A34" s="41" t="s">
        <v>3</v>
      </c>
      <c r="B34" s="18">
        <f ca="1">_xll.meLWOFraPV(B33,$B$3)</f>
        <v>17484.272477458278</v>
      </c>
      <c r="H34" s="19"/>
    </row>
    <row r="35" spans="1:13" x14ac:dyDescent="0.25">
      <c r="A35" s="45" t="s">
        <v>2</v>
      </c>
      <c r="B35" s="9">
        <f ca="1">_xll.meLWOFraRate(B33,B3)</f>
        <v>2.8405151525049007E-3</v>
      </c>
      <c r="C35" s="9"/>
    </row>
    <row r="36" spans="1:13" x14ac:dyDescent="0.25">
      <c r="A36" s="2"/>
      <c r="B36" s="20"/>
    </row>
    <row r="39" spans="1:13" x14ac:dyDescent="0.25">
      <c r="A39" s="41" t="s">
        <v>0</v>
      </c>
    </row>
    <row r="40" spans="1:13" x14ac:dyDescent="0.25">
      <c r="A40" s="1" t="str">
        <f t="array" aca="1" ref="A40:M43" ca="1">_xll.meLWOFraDisplayCashflows(B33,B3)</f>
        <v>AccrualStart</v>
      </c>
      <c r="B40" s="1" t="str">
        <f ca="1"/>
        <v>AccrualEnd</v>
      </c>
      <c r="C40" s="1" t="str">
        <f ca="1"/>
        <v>AccrualDays</v>
      </c>
      <c r="D40" s="1" t="str">
        <f ca="1"/>
        <v>AccrualYearFractions</v>
      </c>
      <c r="E40" s="1" t="str">
        <f ca="1"/>
        <v>PaymentDate</v>
      </c>
      <c r="F40" s="1" t="str">
        <f ca="1"/>
        <v>Notional</v>
      </c>
      <c r="G40" s="1" t="str">
        <f ca="1"/>
        <v>StrikeRate</v>
      </c>
      <c r="H40" s="1" t="str">
        <f ca="1"/>
        <v>FloatRate</v>
      </c>
      <c r="I40" s="1" t="str">
        <f ca="1"/>
        <v>Coupon</v>
      </c>
      <c r="J40" s="1" t="str">
        <f ca="1"/>
        <v>DiscountFactor</v>
      </c>
      <c r="K40" s="1" t="str">
        <f ca="1"/>
        <v>CouponPV</v>
      </c>
      <c r="L40" s="1" t="e">
        <f ca="1"/>
        <v>#N/A</v>
      </c>
      <c r="M40" s="1" t="e">
        <f ca="1"/>
        <v>#N/A</v>
      </c>
    </row>
    <row r="41" spans="1:13" x14ac:dyDescent="0.25">
      <c r="A41" s="22">
        <f ca="1"/>
        <v>44186</v>
      </c>
      <c r="B41" s="22">
        <f ca="1"/>
        <v>44274</v>
      </c>
      <c r="C41" s="22">
        <f ca="1"/>
        <v>88</v>
      </c>
      <c r="D41" s="1">
        <f ca="1"/>
        <v>0.24444444444444444</v>
      </c>
      <c r="E41" s="1">
        <f ca="1"/>
        <v>44186</v>
      </c>
      <c r="F41" s="26">
        <f ca="1"/>
        <v>10000000</v>
      </c>
      <c r="G41" s="1">
        <f ca="1"/>
        <v>0.01</v>
      </c>
      <c r="H41" s="1">
        <f ca="1"/>
        <v>2.8405151525049007E-3</v>
      </c>
      <c r="I41" s="21">
        <f ca="1"/>
        <v>17488.819631015249</v>
      </c>
      <c r="J41" s="23">
        <f ca="1"/>
        <v>0.99973999654333978</v>
      </c>
      <c r="K41" s="1">
        <f ca="1"/>
        <v>17484.272477458278</v>
      </c>
      <c r="L41" s="1" t="e">
        <f ca="1"/>
        <v>#N/A</v>
      </c>
      <c r="M41" s="1" t="e">
        <f ca="1"/>
        <v>#N/A</v>
      </c>
    </row>
    <row r="42" spans="1:13" x14ac:dyDescent="0.25">
      <c r="A42" s="22" t="e">
        <f ca="1"/>
        <v>#N/A</v>
      </c>
      <c r="B42" s="22" t="e">
        <f ca="1"/>
        <v>#N/A</v>
      </c>
      <c r="C42" s="22" t="e">
        <f ca="1"/>
        <v>#N/A</v>
      </c>
      <c r="D42" s="1" t="e">
        <f ca="1"/>
        <v>#N/A</v>
      </c>
      <c r="E42" s="1" t="e">
        <f ca="1"/>
        <v>#N/A</v>
      </c>
      <c r="F42" s="22" t="e">
        <f ca="1"/>
        <v>#N/A</v>
      </c>
      <c r="G42" s="1" t="e">
        <f ca="1"/>
        <v>#N/A</v>
      </c>
      <c r="H42" s="1" t="e">
        <f ca="1"/>
        <v>#N/A</v>
      </c>
      <c r="I42" s="21" t="e">
        <f ca="1"/>
        <v>#N/A</v>
      </c>
      <c r="J42" s="1" t="e">
        <f ca="1"/>
        <v>#N/A</v>
      </c>
      <c r="K42" s="1" t="e">
        <f ca="1"/>
        <v>#N/A</v>
      </c>
      <c r="L42" s="1" t="e">
        <f ca="1"/>
        <v>#N/A</v>
      </c>
      <c r="M42" s="1" t="e">
        <f ca="1"/>
        <v>#N/A</v>
      </c>
    </row>
    <row r="43" spans="1:13" x14ac:dyDescent="0.25">
      <c r="A43" s="1" t="e">
        <f ca="1"/>
        <v>#N/A</v>
      </c>
      <c r="B43" s="1" t="e">
        <f ca="1"/>
        <v>#N/A</v>
      </c>
      <c r="C43" s="1" t="e">
        <f ca="1"/>
        <v>#N/A</v>
      </c>
      <c r="D43" s="1" t="e">
        <f ca="1"/>
        <v>#N/A</v>
      </c>
      <c r="E43" s="1" t="e">
        <f ca="1"/>
        <v>#N/A</v>
      </c>
      <c r="F43" s="1" t="e">
        <f ca="1"/>
        <v>#N/A</v>
      </c>
      <c r="G43" s="1" t="e">
        <f ca="1"/>
        <v>#N/A</v>
      </c>
      <c r="H43" s="1" t="e">
        <f ca="1"/>
        <v>#N/A</v>
      </c>
      <c r="I43" s="1" t="e">
        <f ca="1"/>
        <v>#N/A</v>
      </c>
      <c r="J43" s="1" t="e">
        <f ca="1"/>
        <v>#N/A</v>
      </c>
      <c r="K43" s="1" t="e">
        <f ca="1"/>
        <v>#N/A</v>
      </c>
      <c r="L43" s="1" t="e">
        <f ca="1"/>
        <v>#N/A</v>
      </c>
      <c r="M43" s="1" t="e">
        <f ca="1"/>
        <v>#N/A</v>
      </c>
    </row>
    <row r="45" spans="1:13" x14ac:dyDescent="0.25">
      <c r="I45" s="24"/>
      <c r="J45" s="23"/>
    </row>
    <row r="49" spans="8:9" x14ac:dyDescent="0.25">
      <c r="H49" s="22"/>
      <c r="I49" s="22"/>
    </row>
    <row r="50" spans="8:9" x14ac:dyDescent="0.25">
      <c r="H50" s="22"/>
      <c r="I50" s="22"/>
    </row>
  </sheetData>
  <dataValidations count="3">
    <dataValidation type="list" allowBlank="1" showInputMessage="1" showErrorMessage="1" sqref="B29">
      <formula1>"None,ShortStart,ShortEnd,LongStart,LongEnd"</formula1>
    </dataValidation>
    <dataValidation type="list" allowBlank="1" showInputMessage="1" showErrorMessage="1" sqref="B22">
      <formula1>"30/360,ACT/360,ACT/365"</formula1>
    </dataValidation>
    <dataValidation type="list" allowBlank="1" showInputMessage="1" showErrorMessage="1" sqref="B23">
      <formula1>"MOD_FOLLOWING,FOLLOWING,MOD_PRECEDING,PRECEDING,NO_CHANGE"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 USD</vt:lpstr>
      <vt:lpstr>FRA USD BrokenDate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Yongyan</dc:creator>
  <cp:lastModifiedBy>Zheng Yongyan</cp:lastModifiedBy>
  <dcterms:created xsi:type="dcterms:W3CDTF">2020-07-01T08:19:20Z</dcterms:created>
  <dcterms:modified xsi:type="dcterms:W3CDTF">2020-07-01T08:48:01Z</dcterms:modified>
</cp:coreProperties>
</file>