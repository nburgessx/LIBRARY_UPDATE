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40" yWindow="135" windowWidth="18300" windowHeight="7380" tabRatio="638" activeTab="2"/>
  </bookViews>
  <sheets>
    <sheet name="USD Curve Tempalte" sheetId="54" r:id="rId1"/>
    <sheet name="Multi-Curves" sheetId="32" r:id="rId2"/>
    <sheet name="USD Swaps" sheetId="105" r:id="rId3"/>
  </sheets>
  <definedNames>
    <definedName name="BlockCurveNames" localSheetId="0">'USD Curve Tempalte'!$B:$F</definedName>
    <definedName name="BlockOISCurve" localSheetId="0">'USD Curve Tempalte'!$G:$U</definedName>
    <definedName name="BlockSwapCurve" localSheetId="0">'USD Curve Tempalte'!$V:$AP</definedName>
    <definedName name="COB">'USD Curve Tempalte'!$C$2</definedName>
    <definedName name="CurveLabels">'Multi-Curves'!$D:$D,'Multi-Curves'!#REF!,'Multi-Curves'!#REF!,'Multi-Curves'!#REF!</definedName>
    <definedName name="FRAConv">'USD Curve Tempalte'!$AB$8:$AC$12</definedName>
    <definedName name="FRADatax3">'USD Curve Tempalte'!$AB$16:$AC$25</definedName>
    <definedName name="FRADatax6">'USD Curve Tempalte'!$AB$29:$AC$52</definedName>
    <definedName name="FuturesConv">'USD Curve Tempalte'!$AE$8:$AF$12</definedName>
    <definedName name="FuturesData">'USD Curve Tempalte'!$AE$16:$AI$52</definedName>
    <definedName name="FuturesQuotes" localSheetId="0">'USD Curve Tempalte'!$R$17:$R$53</definedName>
    <definedName name="FwdFXConstCurveNamesFWDFX">'USD Curve Tempalte'!$C$43</definedName>
    <definedName name="FwdFXConstCurveNamesXCCYandFWDFX">'USD Curve Tempalte'!$C$54</definedName>
    <definedName name="LiborConv">'USD Curve Tempalte'!$Y$15:$Z$25</definedName>
    <definedName name="LiborData">'USD Curve Tempalte'!$Y$29:$Z$52</definedName>
    <definedName name="MoneyMarketData">'USD Curve Tempalte'!$Y$8:$Z$12</definedName>
    <definedName name="OISConv">'USD Curve Tempalte'!$J$8:$K$15</definedName>
    <definedName name="OISCurveNamesFWDFX">'USD Curve Tempalte'!$C$38</definedName>
    <definedName name="OISCurveNamesNativeCSA">'USD Curve Tempalte'!$C$8</definedName>
    <definedName name="OISCurveNamesSTD">'USD Curve Tempalte'!$C$18</definedName>
    <definedName name="OISCurveNamesXCCY">'USD Curve Tempalte'!$C$28</definedName>
    <definedName name="OISCurveNamesXCCYandFWDFX">'USD Curve Tempalte'!$C$48</definedName>
    <definedName name="OISHistoricalRates">'USD Curve Tempalte'!$S$9:$T$52</definedName>
    <definedName name="OISRates">'USD Curve Tempalte'!$M$9:$Q$52</definedName>
    <definedName name="_xlnm.Print_Area" localSheetId="1">'Multi-Curves'!$A$1:$E$11</definedName>
    <definedName name="SwapCurveNameDF2">'USD Curve Tempalte'!$C$20</definedName>
    <definedName name="SwapCurveNamesFWDFX">'USD Curve Tempalte'!$C$39</definedName>
    <definedName name="SwapCurveNamesNativeCSA">'USD Curve Tempalte'!$C$9</definedName>
    <definedName name="SwapCurveNamesSTD">'USD Curve Tempalte'!$C$19</definedName>
    <definedName name="SwapCurveNamesXCCY">'USD Curve Tempalte'!$C$29</definedName>
    <definedName name="SwapCurveNamesXCCYandFWDFX">'USD Curve Tempalte'!$C$49</definedName>
    <definedName name="SwapsConv">'USD Curve Tempalte'!$AK$8:$AL$52</definedName>
    <definedName name="SwapsData">'USD Curve Tempalte'!$AN$9:$AP$52</definedName>
    <definedName name="TenorBasis1x3CurveNamesFWDFX">'USD Curve Tempalte'!$C$41</definedName>
    <definedName name="TenorBasis1x3CurveNamesNativeCSA">'USD Curve Tempalte'!$C$11</definedName>
    <definedName name="TenorBasis1x3CurveNamesSTD">'USD Curve Tempalte'!$C$22</definedName>
    <definedName name="TenorBasis1x3CurveNamesXCCY">'USD Curve Tempalte'!$C$31</definedName>
    <definedName name="TenorBasis1x3CurveNamesXCCYandFWDFX">'USD Curve Tempalte'!$C$51</definedName>
    <definedName name="TenorBasis3x12CurveNamesFWDFX">'USD Curve Tempalte'!$C$42</definedName>
    <definedName name="TenorBasis3x12CurveNamesNativeCSA">'USD Curve Tempalte'!$C$12</definedName>
    <definedName name="TenorBasis3x12CurveNamesSTD">'USD Curve Tempalte'!$C$23</definedName>
    <definedName name="TenorBasis3x12CurveNamesXCCY">'USD Curve Tempalte'!$C$32</definedName>
    <definedName name="TenorBasis3x12CurveNamesXCCYandFWDFX">'USD Curve Tempalte'!$C$52</definedName>
    <definedName name="TenorBasis3x6CurveNamesFWDFX">'USD Curve Tempalte'!$C$40</definedName>
    <definedName name="TenorBasis3x6CurveNamesNativeCSA">'USD Curve Tempalte'!$C$10</definedName>
    <definedName name="TenorBasis3x6CurveNamesSTD">'USD Curve Tempalte'!$C$21</definedName>
    <definedName name="TenorBasis3x6CurveNamesXCCY">'USD Curve Tempalte'!$C$30</definedName>
    <definedName name="TenorBasis3x6CurveNamesXCCYandFWDFX">'USD Curve Tempalte'!$C$50</definedName>
    <definedName name="TenorBasis6x12CurveNamesXCCY">'USD Curve Tempalte'!$C$32</definedName>
    <definedName name="TenorBasis6x12CurveNamesXCCYandFWDFX">'USD Curve Tempalte'!$C$52</definedName>
    <definedName name="XccyBasisCurveNamesNativeCSA">'USD Curve Tempalte'!$C$13</definedName>
    <definedName name="XccyBasisCurveNamesXCCY">'USD Curve Tempalte'!$C$33</definedName>
    <definedName name="XccyBasisCurveNamesXCCYandFWDFX">'USD Curve Tempalte'!$C$53</definedName>
    <definedName name="YieldCurvePropertiesOIS">'USD Curve Tempalte'!$G$8:$H$24</definedName>
    <definedName name="YieldCurvePropertiesSTD">'USD Curve Tempalte'!$V$8:$W$52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Q9" i="54" l="1"/>
  <c r="Q10" i="54"/>
  <c r="Q11" i="54"/>
  <c r="Q12" i="54"/>
  <c r="Q13" i="54"/>
  <c r="Q14" i="54"/>
  <c r="Q15" i="54"/>
  <c r="Q16" i="54"/>
  <c r="Q17" i="54"/>
  <c r="Q18" i="54"/>
  <c r="Q19" i="54"/>
  <c r="Q20" i="54"/>
  <c r="Q21" i="54"/>
  <c r="Q22" i="54"/>
  <c r="Q23" i="54"/>
  <c r="Q24" i="54"/>
  <c r="Q25" i="54"/>
  <c r="Q26" i="54"/>
  <c r="Q27" i="54"/>
  <c r="Q28" i="54"/>
  <c r="Q29" i="54"/>
  <c r="Q30" i="54"/>
  <c r="Q31" i="54"/>
  <c r="Q32" i="54"/>
  <c r="Q33" i="54"/>
  <c r="Q34" i="54"/>
  <c r="Q35" i="54"/>
  <c r="Q36" i="54"/>
  <c r="Q37" i="54"/>
  <c r="Q38" i="54"/>
  <c r="Q39" i="54"/>
  <c r="Q40" i="54"/>
  <c r="Q41" i="54"/>
  <c r="Q42" i="54"/>
  <c r="Q43" i="54"/>
  <c r="Q44" i="54"/>
  <c r="Q45" i="54"/>
  <c r="Q46" i="54"/>
  <c r="Q47" i="54"/>
  <c r="Q48" i="54"/>
  <c r="Q49" i="54"/>
  <c r="Q50" i="54"/>
  <c r="Q51" i="54"/>
  <c r="Q52" i="54"/>
  <c r="AP9" i="54"/>
  <c r="AP10" i="54"/>
  <c r="AP11" i="54"/>
  <c r="AP12" i="54"/>
  <c r="AP13" i="54"/>
  <c r="AP14" i="54"/>
  <c r="AP15" i="54"/>
  <c r="AP16" i="54"/>
  <c r="AP17" i="54"/>
  <c r="AP18" i="54"/>
  <c r="AP19" i="54"/>
  <c r="AP20" i="54"/>
  <c r="AP21" i="54"/>
  <c r="AP22" i="54"/>
  <c r="AP23" i="54"/>
  <c r="AP24" i="54"/>
  <c r="AP25" i="54"/>
  <c r="AP26" i="54"/>
  <c r="AP27" i="54"/>
  <c r="AP28" i="54"/>
  <c r="AP29" i="54"/>
  <c r="AP30" i="54"/>
  <c r="AP31" i="54"/>
  <c r="AP32" i="54"/>
  <c r="AP33" i="54"/>
  <c r="AP34" i="54"/>
  <c r="AP35" i="54"/>
  <c r="AP36" i="54"/>
  <c r="AP37" i="54"/>
  <c r="AP38" i="54"/>
  <c r="AP39" i="54"/>
  <c r="AP40" i="54"/>
  <c r="AP41" i="54"/>
  <c r="AP42" i="54"/>
  <c r="AP43" i="54"/>
  <c r="AP44" i="54"/>
  <c r="AP45" i="54"/>
  <c r="AP46" i="54"/>
  <c r="AP47" i="54"/>
  <c r="AP48" i="54"/>
  <c r="AP49" i="54"/>
  <c r="AP50" i="54"/>
  <c r="AP51" i="54"/>
  <c r="AP52" i="54"/>
  <c r="E6" i="32"/>
  <c r="C5" i="105"/>
  <c r="C16" i="105" l="1"/>
  <c r="D16" i="105"/>
  <c r="C29" i="105"/>
  <c r="E7" i="32"/>
  <c r="D29" i="105"/>
  <c r="C32" i="105"/>
</calcChain>
</file>

<file path=xl/sharedStrings.xml><?xml version="1.0" encoding="utf-8"?>
<sst xmlns="http://schemas.openxmlformats.org/spreadsheetml/2006/main" count="524" uniqueCount="194">
  <si>
    <t>Frequency</t>
  </si>
  <si>
    <t>ACT/360</t>
  </si>
  <si>
    <t>Interpolation</t>
  </si>
  <si>
    <t>DayCount</t>
  </si>
  <si>
    <t>-</t>
  </si>
  <si>
    <t>Curve Names</t>
  </si>
  <si>
    <t>USDBASISDISCOUNT</t>
  </si>
  <si>
    <t>STD:USD3MLFORECAST:3ML</t>
  </si>
  <si>
    <t>OIS Curve</t>
  </si>
  <si>
    <t xml:space="preserve"> </t>
  </si>
  <si>
    <t>50Y</t>
  </si>
  <si>
    <t>40Y</t>
  </si>
  <si>
    <t>30Y</t>
  </si>
  <si>
    <t>25Y</t>
  </si>
  <si>
    <t>eomday</t>
  </si>
  <si>
    <t>20Y</t>
  </si>
  <si>
    <t>1M</t>
  </si>
  <si>
    <t>6M</t>
  </si>
  <si>
    <t>15Y</t>
  </si>
  <si>
    <t>12Y</t>
  </si>
  <si>
    <t>10Y</t>
  </si>
  <si>
    <t>fn_splineinterpolation</t>
  </si>
  <si>
    <t>7Y</t>
  </si>
  <si>
    <t>5Y</t>
  </si>
  <si>
    <t>issimultaneouseq</t>
  </si>
  <si>
    <t>4Y</t>
  </si>
  <si>
    <t>3Y</t>
  </si>
  <si>
    <t>MOD_FOLLOWING</t>
  </si>
  <si>
    <t>2Y</t>
  </si>
  <si>
    <t>2</t>
  </si>
  <si>
    <t>18M</t>
  </si>
  <si>
    <t>3M</t>
  </si>
  <si>
    <t>9M</t>
  </si>
  <si>
    <t>2M</t>
  </si>
  <si>
    <t>STD</t>
  </si>
  <si>
    <t>5M</t>
  </si>
  <si>
    <t>ON</t>
  </si>
  <si>
    <t>4M</t>
  </si>
  <si>
    <t>Rate</t>
  </si>
  <si>
    <t>Term</t>
  </si>
  <si>
    <t>Quarterly</t>
  </si>
  <si>
    <t>Semi-Annual</t>
  </si>
  <si>
    <t>FRA (x6)</t>
  </si>
  <si>
    <t>Libor Data</t>
  </si>
  <si>
    <t>dfcurvename</t>
  </si>
  <si>
    <t>NYB</t>
  </si>
  <si>
    <t/>
  </si>
  <si>
    <t>3W</t>
  </si>
  <si>
    <t>SlidingRule</t>
  </si>
  <si>
    <t>basis.interpolation.3m6mbasis</t>
  </si>
  <si>
    <t>2W</t>
  </si>
  <si>
    <t>Resetlag</t>
  </si>
  <si>
    <t>1W</t>
  </si>
  <si>
    <t>NL2SOL</t>
  </si>
  <si>
    <t>optimizemethod</t>
  </si>
  <si>
    <t>yieldgen.interpolation</t>
  </si>
  <si>
    <t>IsTimeInterpolation</t>
  </si>
  <si>
    <t>iseomroll</t>
  </si>
  <si>
    <t>isswaptenoradjust</t>
  </si>
  <si>
    <t>isspotuse</t>
  </si>
  <si>
    <t>IsNewtonraphson</t>
  </si>
  <si>
    <t>9Y</t>
  </si>
  <si>
    <t>slidingrule</t>
  </si>
  <si>
    <t>LNB:NYB</t>
  </si>
  <si>
    <t>Calendar</t>
  </si>
  <si>
    <t>8Y</t>
  </si>
  <si>
    <t>frequency</t>
  </si>
  <si>
    <t>IsEomRoll</t>
  </si>
  <si>
    <t>arithmeticaverage</t>
  </si>
  <si>
    <t>shorttermconvention</t>
  </si>
  <si>
    <t>daycount</t>
  </si>
  <si>
    <t>6Y</t>
  </si>
  <si>
    <t>2d</t>
  </si>
  <si>
    <t>resetlag</t>
  </si>
  <si>
    <t>Volatility</t>
  </si>
  <si>
    <t>EndDate</t>
  </si>
  <si>
    <t>StartDate</t>
  </si>
  <si>
    <t>future.interpolation</t>
  </si>
  <si>
    <t>basis.interpolation</t>
  </si>
  <si>
    <t>FrequencyFloat</t>
  </si>
  <si>
    <t>Futures Data</t>
  </si>
  <si>
    <t>FRA ( x3 )</t>
  </si>
  <si>
    <t>Libor Conventions</t>
  </si>
  <si>
    <t>dailycompounding</t>
  </si>
  <si>
    <t>generatemethod</t>
  </si>
  <si>
    <t>Annual</t>
  </si>
  <si>
    <t>ShortMarket</t>
  </si>
  <si>
    <t>firstrate</t>
  </si>
  <si>
    <t>interpolation</t>
  </si>
  <si>
    <t>DayCountFloat</t>
  </si>
  <si>
    <t>Currency</t>
  </si>
  <si>
    <t>30/360</t>
  </si>
  <si>
    <t>DayCountFix</t>
  </si>
  <si>
    <t>AsOfDate</t>
  </si>
  <si>
    <t>BaseDate</t>
  </si>
  <si>
    <t>UseQuote</t>
  </si>
  <si>
    <t>calendar</t>
  </si>
  <si>
    <t>IsAfter1Y2YCutoff</t>
  </si>
  <si>
    <t>Historical O/N Rates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</si>
  <si>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</si>
  <si>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</si>
  <si>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</si>
  <si>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</si>
  <si>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</si>
  <si>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</si>
  <si>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</si>
  <si>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</si>
  <si>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LNB</t>
  </si>
  <si>
    <t>OIS</t>
  </si>
  <si>
    <t>OIS:USDOIS</t>
  </si>
  <si>
    <t>3M6MBasis</t>
  </si>
  <si>
    <t>1M3MBasis</t>
  </si>
  <si>
    <t>XccyBasis</t>
  </si>
  <si>
    <t>FwdFXConst</t>
  </si>
  <si>
    <t>act/360</t>
  </si>
  <si>
    <t>following</t>
  </si>
  <si>
    <t>simple</t>
  </si>
  <si>
    <t>mod_following</t>
  </si>
  <si>
    <t>isadjustdf</t>
  </si>
  <si>
    <t>isfutureuse</t>
  </si>
  <si>
    <t>isfrause</t>
  </si>
  <si>
    <t>isrenotionaladjust</t>
  </si>
  <si>
    <t>LnB:NYB</t>
  </si>
  <si>
    <t>12M</t>
  </si>
  <si>
    <t>3m Float vs 6m Fixed</t>
  </si>
  <si>
    <t>FED Funds vs 12m Fixed</t>
  </si>
  <si>
    <t>3M12MBasis</t>
  </si>
  <si>
    <t>STD: Swap Curve</t>
  </si>
  <si>
    <t>Curve Properties</t>
  </si>
  <si>
    <t>1M3MBasis:USD1MLFORECAST:1ML</t>
  </si>
  <si>
    <t>3M12MBasis:USD12MLFORECAST:12ML</t>
  </si>
  <si>
    <t>3M6MBasis:USD6MLFORECAST:6ML</t>
  </si>
  <si>
    <t>XccyBasis:USDDISCOUNT:USDDF:DF</t>
  </si>
  <si>
    <t>OIS:USDOIS:USDDISCOUNT:USDDF:DF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</si>
  <si>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</si>
  <si>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</si>
  <si>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</si>
  <si>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</si>
  <si>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</si>
  <si>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STD DF2</t>
  </si>
  <si>
    <t>3ML</t>
  </si>
  <si>
    <t>11Y</t>
  </si>
  <si>
    <t>Instruments Used</t>
  </si>
  <si>
    <t>Curve Names: Native CSA</t>
  </si>
  <si>
    <t>EDQ5</t>
  </si>
  <si>
    <t>EDU5</t>
  </si>
  <si>
    <t>EDV5</t>
  </si>
  <si>
    <t>EDX5</t>
  </si>
  <si>
    <t>EDZ5</t>
  </si>
  <si>
    <t>EDH6</t>
  </si>
  <si>
    <t>EDM6</t>
  </si>
  <si>
    <t>EDU6</t>
  </si>
  <si>
    <t>EDZ6</t>
  </si>
  <si>
    <t>EDH7</t>
  </si>
  <si>
    <t>EDM7</t>
  </si>
  <si>
    <t>EDU7</t>
  </si>
  <si>
    <t>EDZ7</t>
  </si>
  <si>
    <t>EDH8</t>
  </si>
  <si>
    <t>Valuation Date</t>
  </si>
  <si>
    <t>Notional</t>
  </si>
  <si>
    <t>Payer/Receiver</t>
  </si>
  <si>
    <t>PAYER</t>
  </si>
  <si>
    <t>Effective Date</t>
  </si>
  <si>
    <t>Spline</t>
  </si>
  <si>
    <t>Forecast Curve</t>
  </si>
  <si>
    <t>Discount Curve</t>
  </si>
  <si>
    <t>Interp Forwards</t>
  </si>
  <si>
    <t>EOM Roll</t>
  </si>
  <si>
    <t>FIXED LEG</t>
  </si>
  <si>
    <t>FLOAT LEG</t>
  </si>
  <si>
    <t>Rate / Spread</t>
  </si>
  <si>
    <t>rollConv</t>
  </si>
  <si>
    <t>firstStub</t>
  </si>
  <si>
    <t>lastStub</t>
  </si>
  <si>
    <t>rollDay</t>
  </si>
  <si>
    <t>fixingLag</t>
  </si>
  <si>
    <t>0D</t>
  </si>
  <si>
    <t>firstFixing</t>
  </si>
  <si>
    <t>lastFixing</t>
  </si>
  <si>
    <t>paymentLag</t>
  </si>
  <si>
    <t>StubType</t>
  </si>
  <si>
    <t>NYB:LNB</t>
  </si>
  <si>
    <t>ShortStart</t>
  </si>
  <si>
    <t>MaturityOrTenor</t>
  </si>
  <si>
    <t>Yield Curve ID</t>
  </si>
  <si>
    <t>mirSwapPV</t>
  </si>
  <si>
    <t>mirGetParRate4</t>
  </si>
  <si>
    <t>2D</t>
  </si>
  <si>
    <t>USD Swap</t>
  </si>
  <si>
    <t>fixingCalendar</t>
  </si>
  <si>
    <t>accrualCalendar</t>
  </si>
  <si>
    <t>USDYC</t>
  </si>
  <si>
    <t>With Fixing Calendar</t>
  </si>
  <si>
    <t>Without Fixing 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</si>
</sst>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#,##0.0000"/>
    <numFmt numFmtId="170" formatCode="0.0000%"/>
    <numFmt numFmtId="171" formatCode="0.00000%"/>
    <numFmt numFmtId="172" formatCode="dd/m/yy"/>
    <numFmt numFmtId="173" formatCode="dd\-mmm\-yy;dd\-mmm\-yy;"/>
    <numFmt numFmtId="174" formatCode="_ * #,##0_ ;_ * \-#,##0_ ;_ * &quot;-&quot;_ ;_ @_ "/>
    <numFmt numFmtId="175" formatCode="ddd\,\ dd\-mmm\-yy"/>
    <numFmt numFmtId="176" formatCode="ddd\ d\-mmm\-yy"/>
  </numFmts>
  <fonts count="3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i/>
      <sz val="2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1"/>
      <color rgb="FF0066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6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11" fillId="0" borderId="0">
      <alignment vertical="center"/>
    </xf>
    <xf numFmtId="0" fontId="11" fillId="0" borderId="0">
      <alignment vertical="center"/>
    </xf>
    <xf numFmtId="0" fontId="16" fillId="0" borderId="0">
      <alignment vertical="center"/>
    </xf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7" fillId="9" borderId="0" applyNumberFormat="0" applyFont="0" applyBorder="0" applyAlignment="0" applyProtection="0"/>
    <xf numFmtId="168" fontId="19" fillId="10" borderId="0"/>
    <xf numFmtId="0" fontId="20" fillId="11" borderId="0" applyNumberFormat="0" applyBorder="0" applyAlignment="0">
      <alignment horizontal="center"/>
    </xf>
    <xf numFmtId="0" fontId="21" fillId="12" borderId="27">
      <alignment horizontal="center"/>
      <protection locked="0"/>
    </xf>
    <xf numFmtId="0" fontId="22" fillId="13" borderId="0" applyNumberFormat="0" applyFont="0" applyBorder="0" applyAlignment="0" applyProtection="0"/>
    <xf numFmtId="2" fontId="2" fillId="14" borderId="25" applyNumberFormat="0" applyBorder="0">
      <alignment horizontal="right" vertical="center"/>
    </xf>
    <xf numFmtId="2" fontId="23" fillId="15" borderId="28" applyBorder="0">
      <alignment horizontal="left" vertical="center"/>
    </xf>
    <xf numFmtId="10" fontId="24" fillId="5" borderId="0" applyBorder="0">
      <alignment horizontal="right"/>
      <protection locked="0"/>
    </xf>
    <xf numFmtId="15" fontId="24" fillId="5" borderId="24" applyBorder="0">
      <alignment horizontal="center"/>
      <protection locked="0"/>
    </xf>
    <xf numFmtId="15" fontId="24" fillId="5" borderId="0" applyBorder="0">
      <alignment horizontal="left"/>
      <protection locked="0"/>
    </xf>
    <xf numFmtId="2" fontId="25" fillId="16" borderId="28" applyNumberFormat="0">
      <alignment horizontal="center" vertical="center"/>
    </xf>
    <xf numFmtId="172" fontId="26" fillId="17" borderId="2" applyBorder="0">
      <alignment horizontal="left"/>
      <protection locked="0"/>
    </xf>
    <xf numFmtId="172" fontId="26" fillId="17" borderId="29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7" fillId="18" borderId="0" applyNumberFormat="0" applyFont="0" applyBorder="0" applyAlignment="0" applyProtection="0"/>
    <xf numFmtId="0" fontId="27" fillId="19" borderId="0" applyNumberFormat="0" applyFont="0" applyBorder="0" applyAlignment="0" applyProtection="0"/>
    <xf numFmtId="0" fontId="27" fillId="20" borderId="0" applyNumberFormat="0" applyFont="0" applyBorder="0" applyAlignment="0" applyProtection="0">
      <alignment horizontal="center"/>
    </xf>
    <xf numFmtId="0" fontId="27" fillId="21" borderId="30" applyNumberFormat="0" applyFont="0" applyBorder="0" applyAlignment="0" applyProtection="0"/>
    <xf numFmtId="0" fontId="27" fillId="22" borderId="30" applyNumberFormat="0" applyFont="0" applyBorder="0" applyAlignment="0"/>
    <xf numFmtId="0" fontId="27" fillId="23" borderId="30" applyNumberFormat="0" applyFont="0" applyBorder="0" applyAlignment="0"/>
    <xf numFmtId="0" fontId="17" fillId="24" borderId="0" applyNumberFormat="0" applyFont="0" applyBorder="0" applyAlignment="0" applyProtection="0">
      <alignment horizontal="center"/>
      <protection hidden="1"/>
    </xf>
    <xf numFmtId="0" fontId="2" fillId="9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173" fontId="28" fillId="0" borderId="26" applyBorder="0">
      <alignment horizontal="center"/>
      <protection locked="0"/>
    </xf>
    <xf numFmtId="0" fontId="2" fillId="0" borderId="0">
      <alignment horizontal="left" wrapText="1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74" fontId="2" fillId="0" borderId="0" applyFont="0" applyFill="0" applyBorder="0" applyAlignment="0" applyProtection="0"/>
    <xf numFmtId="0" fontId="16" fillId="0" borderId="0">
      <alignment vertical="center"/>
    </xf>
    <xf numFmtId="0" fontId="29" fillId="0" borderId="0">
      <alignment vertical="center"/>
    </xf>
    <xf numFmtId="0" fontId="11" fillId="0" borderId="0">
      <alignment vertical="center"/>
    </xf>
    <xf numFmtId="38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172">
    <xf numFmtId="0" fontId="0" fillId="0" borderId="0" xfId="0"/>
    <xf numFmtId="0" fontId="10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/>
    <xf numFmtId="0" fontId="0" fillId="0" borderId="0" xfId="0" applyFill="1" applyBorder="1"/>
    <xf numFmtId="0" fontId="1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7" borderId="4" xfId="0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2" xfId="0" quotePrefix="1" applyFont="1" applyFill="1" applyBorder="1" applyAlignment="1">
      <alignment horizontal="center" vertical="center"/>
    </xf>
    <xf numFmtId="0" fontId="0" fillId="7" borderId="13" xfId="0" quotePrefix="1" applyFon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0" xfId="0" quotePrefix="1" applyFont="1" applyFill="1" applyBorder="1" applyAlignment="1">
      <alignment horizontal="center" vertical="center"/>
    </xf>
    <xf numFmtId="0" fontId="0" fillId="7" borderId="7" xfId="0" quotePrefix="1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3" fontId="7" fillId="7" borderId="3" xfId="0" applyNumberFormat="1" applyFont="1" applyFill="1" applyBorder="1" applyAlignment="1">
      <alignment horizontal="center" vertical="center"/>
    </xf>
    <xf numFmtId="171" fontId="0" fillId="7" borderId="4" xfId="0" applyNumberFormat="1" applyFill="1" applyBorder="1" applyAlignment="1">
      <alignment horizontal="center" vertical="center"/>
    </xf>
    <xf numFmtId="171" fontId="0" fillId="7" borderId="5" xfId="0" applyNumberFormat="1" applyFill="1" applyBorder="1" applyAlignment="1">
      <alignment horizontal="center" vertical="center"/>
    </xf>
    <xf numFmtId="0" fontId="0" fillId="7" borderId="23" xfId="0" quotePrefix="1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7" xfId="0" quotePrefix="1" applyFont="1" applyFill="1" applyBorder="1" applyAlignment="1">
      <alignment horizontal="center" vertical="center"/>
    </xf>
    <xf numFmtId="171" fontId="0" fillId="7" borderId="18" xfId="0" applyNumberFormat="1" applyFill="1" applyBorder="1" applyAlignment="1">
      <alignment horizontal="center" vertical="center"/>
    </xf>
    <xf numFmtId="171" fontId="7" fillId="7" borderId="6" xfId="11" quotePrefix="1" applyNumberFormat="1" applyFont="1" applyFill="1" applyBorder="1" applyAlignment="1">
      <alignment horizontal="center" vertical="center"/>
    </xf>
    <xf numFmtId="15" fontId="7" fillId="7" borderId="0" xfId="11" quotePrefix="1" applyNumberFormat="1" applyFont="1" applyFill="1" applyBorder="1" applyAlignment="1">
      <alignment horizontal="center" vertical="center"/>
    </xf>
    <xf numFmtId="171" fontId="7" fillId="7" borderId="6" xfId="11" applyNumberFormat="1" applyFont="1" applyFill="1" applyBorder="1" applyAlignment="1">
      <alignment horizontal="center" vertical="center"/>
    </xf>
    <xf numFmtId="15" fontId="7" fillId="7" borderId="0" xfId="11" applyNumberFormat="1" applyFont="1" applyFill="1" applyBorder="1" applyAlignment="1">
      <alignment horizontal="center" vertical="center"/>
    </xf>
    <xf numFmtId="0" fontId="7" fillId="8" borderId="6" xfId="11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7" fillId="6" borderId="3" xfId="0" applyFont="1" applyFill="1" applyBorder="1"/>
    <xf numFmtId="0" fontId="7" fillId="6" borderId="4" xfId="0" applyFont="1" applyFill="1" applyBorder="1"/>
    <xf numFmtId="0" fontId="0" fillId="6" borderId="4" xfId="0" applyFont="1" applyFill="1" applyBorder="1"/>
    <xf numFmtId="0" fontId="0" fillId="6" borderId="18" xfId="0" applyFont="1" applyFill="1" applyBorder="1"/>
    <xf numFmtId="0" fontId="10" fillId="6" borderId="4" xfId="0" applyFont="1" applyFill="1" applyBorder="1"/>
    <xf numFmtId="0" fontId="1" fillId="6" borderId="4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7" fillId="6" borderId="5" xfId="0" applyFont="1" applyFill="1" applyBorder="1"/>
    <xf numFmtId="0" fontId="0" fillId="6" borderId="5" xfId="0" applyFont="1" applyFill="1" applyBorder="1"/>
    <xf numFmtId="0" fontId="1" fillId="6" borderId="3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3" xfId="0" applyFont="1" applyFill="1" applyBorder="1"/>
    <xf numFmtId="0" fontId="1" fillId="6" borderId="21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/>
    </xf>
    <xf numFmtId="0" fontId="7" fillId="6" borderId="4" xfId="0" applyFont="1" applyFill="1" applyBorder="1" applyAlignment="1">
      <alignment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171" fontId="0" fillId="7" borderId="17" xfId="0" applyNumberFormat="1" applyFill="1" applyBorder="1" applyAlignment="1">
      <alignment horizontal="center" vertical="center"/>
    </xf>
    <xf numFmtId="3" fontId="5" fillId="7" borderId="16" xfId="0" applyNumberFormat="1" applyFont="1" applyFill="1" applyBorder="1" applyAlignment="1">
      <alignment horizontal="center" vertical="center"/>
    </xf>
    <xf numFmtId="171" fontId="0" fillId="7" borderId="15" xfId="0" applyNumberFormat="1" applyFill="1" applyBorder="1" applyAlignment="1">
      <alignment horizontal="center" vertical="center"/>
    </xf>
    <xf numFmtId="3" fontId="5" fillId="7" borderId="14" xfId="0" applyNumberFormat="1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168" fontId="0" fillId="7" borderId="0" xfId="0" applyNumberFormat="1" applyFill="1" applyBorder="1" applyAlignment="1">
      <alignment horizontal="center" vertical="center"/>
    </xf>
    <xf numFmtId="15" fontId="0" fillId="7" borderId="0" xfId="0" applyNumberFormat="1" applyFill="1" applyBorder="1" applyAlignment="1">
      <alignment horizontal="center" vertical="center"/>
    </xf>
    <xf numFmtId="15" fontId="5" fillId="7" borderId="7" xfId="0" applyNumberFormat="1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168" fontId="0" fillId="7" borderId="10" xfId="0" applyNumberFormat="1" applyFill="1" applyBorder="1" applyAlignment="1">
      <alignment horizontal="center" vertical="center"/>
    </xf>
    <xf numFmtId="15" fontId="0" fillId="7" borderId="10" xfId="0" applyNumberFormat="1" applyFill="1" applyBorder="1" applyAlignment="1">
      <alignment horizontal="center" vertical="center"/>
    </xf>
    <xf numFmtId="15" fontId="5" fillId="7" borderId="9" xfId="0" applyNumberFormat="1" applyFont="1" applyFill="1" applyBorder="1" applyAlignment="1">
      <alignment horizontal="center" vertical="center"/>
    </xf>
    <xf numFmtId="15" fontId="5" fillId="7" borderId="11" xfId="0" applyNumberFormat="1" applyFont="1" applyFill="1" applyBorder="1" applyAlignment="1">
      <alignment horizontal="center" vertical="center"/>
    </xf>
    <xf numFmtId="168" fontId="0" fillId="7" borderId="13" xfId="0" applyNumberFormat="1" applyFill="1" applyBorder="1" applyAlignment="1">
      <alignment horizontal="center" vertical="center"/>
    </xf>
    <xf numFmtId="15" fontId="5" fillId="7" borderId="6" xfId="0" applyNumberFormat="1" applyFont="1" applyFill="1" applyBorder="1" applyAlignment="1">
      <alignment horizontal="center" vertical="center"/>
    </xf>
    <xf numFmtId="168" fontId="0" fillId="7" borderId="7" xfId="0" applyNumberForma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15" fontId="5" fillId="7" borderId="3" xfId="0" applyNumberFormat="1" applyFont="1" applyFill="1" applyBorder="1" applyAlignment="1">
      <alignment horizontal="center" vertical="center"/>
    </xf>
    <xf numFmtId="0" fontId="7" fillId="0" borderId="0" xfId="0" applyFont="1"/>
    <xf numFmtId="0" fontId="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8" fillId="0" borderId="0" xfId="0" applyFont="1" applyAlignment="1">
      <alignment horizontal="center" vertical="center"/>
    </xf>
    <xf numFmtId="0" fontId="7" fillId="30" borderId="11" xfId="0" applyFont="1" applyFill="1" applyBorder="1"/>
    <xf numFmtId="0" fontId="7" fillId="30" borderId="6" xfId="0" applyFont="1" applyFill="1" applyBorder="1"/>
    <xf numFmtId="0" fontId="7" fillId="7" borderId="3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left" vertical="center"/>
    </xf>
    <xf numFmtId="0" fontId="7" fillId="7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left" vertical="center"/>
    </xf>
    <xf numFmtId="15" fontId="7" fillId="7" borderId="6" xfId="0" applyNumberFormat="1" applyFont="1" applyFill="1" applyBorder="1" applyAlignment="1">
      <alignment horizontal="left" vertical="center"/>
    </xf>
    <xf numFmtId="15" fontId="7" fillId="7" borderId="0" xfId="0" applyNumberFormat="1" applyFont="1" applyFill="1" applyBorder="1" applyAlignment="1">
      <alignment horizontal="left" vertical="center"/>
    </xf>
    <xf numFmtId="15" fontId="7" fillId="7" borderId="7" xfId="0" applyNumberFormat="1" applyFont="1" applyFill="1" applyBorder="1" applyAlignment="1">
      <alignment horizontal="left" vertical="center"/>
    </xf>
    <xf numFmtId="0" fontId="7" fillId="7" borderId="6" xfId="0" applyFont="1" applyFill="1" applyBorder="1" applyAlignment="1">
      <alignment horizontal="left" vertical="center"/>
    </xf>
    <xf numFmtId="0" fontId="7" fillId="7" borderId="0" xfId="0" applyFont="1" applyFill="1" applyBorder="1" applyAlignment="1">
      <alignment horizontal="left" vertical="center"/>
    </xf>
    <xf numFmtId="0" fontId="7" fillId="7" borderId="7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7" fillId="7" borderId="10" xfId="0" applyFont="1" applyFill="1" applyBorder="1" applyAlignment="1">
      <alignment horizontal="left" vertical="center"/>
    </xf>
    <xf numFmtId="0" fontId="7" fillId="7" borderId="9" xfId="0" applyFont="1" applyFill="1" applyBorder="1" applyAlignment="1">
      <alignment horizontal="left" vertical="center"/>
    </xf>
    <xf numFmtId="0" fontId="32" fillId="0" borderId="0" xfId="0" applyFont="1" applyFill="1" applyAlignment="1">
      <alignment horizontal="left" vertical="center"/>
    </xf>
    <xf numFmtId="0" fontId="14" fillId="0" borderId="0" xfId="0" applyFont="1"/>
    <xf numFmtId="0" fontId="1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0" fontId="0" fillId="7" borderId="15" xfId="0" applyNumberFormat="1" applyFill="1" applyBorder="1" applyAlignment="1">
      <alignment horizontal="center" vertical="center"/>
    </xf>
    <xf numFmtId="0" fontId="31" fillId="6" borderId="4" xfId="0" applyFont="1" applyFill="1" applyBorder="1"/>
    <xf numFmtId="0" fontId="33" fillId="4" borderId="12" xfId="0" applyFont="1" applyFill="1" applyBorder="1" applyAlignment="1">
      <alignment horizontal="center" vertical="center"/>
    </xf>
    <xf numFmtId="0" fontId="33" fillId="4" borderId="0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9" fontId="7" fillId="7" borderId="0" xfId="10" quotePrefix="1" applyNumberFormat="1" applyFont="1" applyFill="1" applyBorder="1" applyAlignment="1">
      <alignment horizontal="center" vertical="center"/>
    </xf>
    <xf numFmtId="169" fontId="7" fillId="7" borderId="0" xfId="10" applyNumberFormat="1" applyFont="1" applyFill="1" applyBorder="1" applyAlignment="1">
      <alignment horizontal="center" vertical="center"/>
    </xf>
    <xf numFmtId="169" fontId="7" fillId="7" borderId="0" xfId="11" applyNumberFormat="1" applyFont="1" applyFill="1" applyBorder="1" applyAlignment="1">
      <alignment horizontal="center" vertical="center"/>
    </xf>
    <xf numFmtId="169" fontId="0" fillId="7" borderId="0" xfId="0" applyNumberFormat="1" applyFill="1" applyBorder="1" applyAlignment="1">
      <alignment horizontal="center"/>
    </xf>
    <xf numFmtId="169" fontId="0" fillId="7" borderId="10" xfId="0" applyNumberFormat="1" applyFill="1" applyBorder="1" applyAlignment="1">
      <alignment horizontal="center"/>
    </xf>
    <xf numFmtId="4" fontId="7" fillId="7" borderId="6" xfId="11" quotePrefix="1" applyNumberFormat="1" applyFont="1" applyFill="1" applyBorder="1" applyAlignment="1">
      <alignment horizontal="center" vertical="center"/>
    </xf>
    <xf numFmtId="15" fontId="0" fillId="7" borderId="0" xfId="0" applyNumberFormat="1" applyFill="1" applyBorder="1" applyAlignment="1">
      <alignment horizontal="center"/>
    </xf>
    <xf numFmtId="15" fontId="0" fillId="7" borderId="10" xfId="0" applyNumberFormat="1" applyFill="1" applyBorder="1" applyAlignment="1">
      <alignment horizontal="center"/>
    </xf>
    <xf numFmtId="168" fontId="7" fillId="7" borderId="7" xfId="10" quotePrefix="1" applyNumberFormat="1" applyFont="1" applyFill="1" applyBorder="1" applyAlignment="1">
      <alignment horizontal="center" vertical="center"/>
    </xf>
    <xf numFmtId="168" fontId="7" fillId="7" borderId="7" xfId="10" applyNumberFormat="1" applyFont="1" applyFill="1" applyBorder="1" applyAlignment="1">
      <alignment horizontal="center" vertical="center"/>
    </xf>
    <xf numFmtId="168" fontId="0" fillId="7" borderId="7" xfId="0" applyNumberFormat="1" applyFill="1" applyBorder="1" applyAlignment="1">
      <alignment horizontal="center"/>
    </xf>
    <xf numFmtId="168" fontId="0" fillId="7" borderId="9" xfId="0" applyNumberFormat="1" applyFill="1" applyBorder="1" applyAlignment="1">
      <alignment horizontal="center"/>
    </xf>
    <xf numFmtId="171" fontId="0" fillId="7" borderId="4" xfId="0" quotePrefix="1" applyNumberFormat="1" applyFill="1" applyBorder="1" applyAlignment="1">
      <alignment horizontal="center" vertical="center"/>
    </xf>
    <xf numFmtId="0" fontId="36" fillId="4" borderId="0" xfId="0" applyFont="1" applyFill="1" applyBorder="1" applyAlignment="1">
      <alignment horizontal="center" vertical="center"/>
    </xf>
    <xf numFmtId="15" fontId="0" fillId="0" borderId="0" xfId="0" applyNumberFormat="1"/>
    <xf numFmtId="175" fontId="7" fillId="30" borderId="31" xfId="0" applyNumberFormat="1" applyFont="1" applyFill="1" applyBorder="1" applyAlignment="1">
      <alignment horizontal="center" vertical="center"/>
    </xf>
    <xf numFmtId="0" fontId="0" fillId="30" borderId="3" xfId="0" applyFill="1" applyBorder="1"/>
    <xf numFmtId="0" fontId="0" fillId="30" borderId="5" xfId="0" applyFill="1" applyBorder="1"/>
    <xf numFmtId="0" fontId="0" fillId="30" borderId="4" xfId="0" applyFill="1" applyBorder="1"/>
    <xf numFmtId="0" fontId="0" fillId="0" borderId="4" xfId="0" applyBorder="1" applyAlignment="1">
      <alignment horizontal="center"/>
    </xf>
    <xf numFmtId="0" fontId="8" fillId="0" borderId="4" xfId="0" applyFont="1" applyFill="1" applyBorder="1"/>
    <xf numFmtId="0" fontId="0" fillId="0" borderId="5" xfId="0" applyBorder="1"/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7" fillId="0" borderId="4" xfId="0" quotePrefix="1" applyFont="1" applyFill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6" fillId="0" borderId="0" xfId="0" applyFont="1"/>
    <xf numFmtId="4" fontId="37" fillId="0" borderId="31" xfId="0" applyNumberFormat="1" applyFont="1" applyBorder="1" applyAlignment="1">
      <alignment horizontal="center" vertical="center"/>
    </xf>
    <xf numFmtId="171" fontId="6" fillId="0" borderId="31" xfId="0" applyNumberFormat="1" applyFont="1" applyBorder="1" applyAlignment="1">
      <alignment horizontal="center" vertical="center"/>
    </xf>
    <xf numFmtId="0" fontId="7" fillId="0" borderId="4" xfId="0" applyFont="1" applyFill="1" applyBorder="1"/>
    <xf numFmtId="171" fontId="7" fillId="31" borderId="4" xfId="0" applyNumberFormat="1" applyFont="1" applyFill="1" applyBorder="1" applyAlignment="1">
      <alignment horizontal="center" vertical="center"/>
    </xf>
    <xf numFmtId="170" fontId="7" fillId="31" borderId="4" xfId="0" applyNumberFormat="1" applyFont="1" applyFill="1" applyBorder="1" applyAlignment="1">
      <alignment horizontal="center" vertical="center"/>
    </xf>
    <xf numFmtId="4" fontId="7" fillId="31" borderId="4" xfId="0" applyNumberFormat="1" applyFont="1" applyFill="1" applyBorder="1" applyAlignment="1">
      <alignment horizontal="center" vertical="center"/>
    </xf>
    <xf numFmtId="3" fontId="0" fillId="31" borderId="3" xfId="0" applyNumberFormat="1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176" fontId="7" fillId="31" borderId="4" xfId="0" applyNumberFormat="1" applyFont="1" applyFill="1" applyBorder="1" applyAlignment="1">
      <alignment horizontal="center" vertical="center"/>
    </xf>
    <xf numFmtId="176" fontId="7" fillId="31" borderId="5" xfId="0" applyNumberFormat="1" applyFont="1" applyFill="1" applyBorder="1" applyAlignment="1">
      <alignment horizontal="center" vertical="center"/>
    </xf>
    <xf numFmtId="0" fontId="7" fillId="31" borderId="4" xfId="0" quotePrefix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36" fillId="30" borderId="8" xfId="0" applyFont="1" applyFill="1" applyBorder="1"/>
    <xf numFmtId="0" fontId="36" fillId="4" borderId="10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4" borderId="0" xfId="0" applyFill="1" applyBorder="1" applyAlignment="1">
      <alignment horizontal="left"/>
    </xf>
    <xf numFmtId="0" fontId="0" fillId="0" borderId="0" xfId="0" applyAlignment="1">
      <alignment horizontal="left" vertical="center"/>
    </xf>
  </cellXfs>
  <cellStyles count="56">
    <cellStyle name="=C:\WINNT35\SYSTEM32\COMMAND.COM" xfId="17"/>
    <cellStyle name="Background" xfId="18"/>
    <cellStyle name="calc" xfId="19"/>
    <cellStyle name="Comma [0]" xfId="10" builtinId="6"/>
    <cellStyle name="Comma [0] 2" xfId="14"/>
    <cellStyle name="Comma [0] 3" xfId="54"/>
    <cellStyle name="Comma 2" xfId="2"/>
    <cellStyle name="Data" xfId="3"/>
    <cellStyle name="Data2" xfId="20"/>
    <cellStyle name="Data5" xfId="21"/>
    <cellStyle name="Header" xfId="4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5"/>
    <cellStyle name="Milliers_Open&amp;Close" xfId="6"/>
    <cellStyle name="Mon?taire [0]_Open&amp;Close" xfId="31"/>
    <cellStyle name="Mon?taire_Open&amp;Close" xfId="32"/>
    <cellStyle name="Monétaire [0]_Open&amp;Close" xfId="7"/>
    <cellStyle name="Monétaire_Open&amp;Close" xfId="8"/>
    <cellStyle name="Normal" xfId="0" builtinId="0"/>
    <cellStyle name="Normal 2" xfId="1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9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1"/>
  </cellStyles>
  <dxfs count="0"/>
  <tableStyles count="0" defaultTableStyle="TableStyleMedium2" defaultPivotStyle="PivotStyleLight16"/>
  <colors>
    <mruColors>
      <color rgb="FF006600"/>
      <color rgb="FFFFFFCC"/>
      <color rgb="FF0000FF"/>
      <color rgb="FF66FF33"/>
      <color rgb="FF00CC00"/>
      <color rgb="FFFF0066"/>
      <color rgb="FFBC04A6"/>
      <color rgb="FF00FF00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  <pageSetUpPr fitToPage="1"/>
  </sheetPr>
  <dimension ref="B2:AR55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30.28515625" customWidth="1"/>
    <col min="23" max="23" width="21.42578125" customWidth="1"/>
    <col min="24" max="24" width="2.7109375" customWidth="1"/>
    <col min="25" max="25" width="13" customWidth="1"/>
    <col min="26" max="26" width="17.42578125" customWidth="1"/>
    <col min="27" max="27" width="2.7109375" customWidth="1"/>
    <col min="28" max="28" width="16.140625" customWidth="1"/>
    <col min="29" max="29" width="17.42578125" customWidth="1"/>
    <col min="30" max="30" width="2.7109375" customWidth="1"/>
    <col min="31" max="31" width="19.5703125" customWidth="1"/>
    <col min="32" max="32" width="17.42578125" customWidth="1"/>
    <col min="33" max="33" width="11.140625" customWidth="1"/>
    <col min="34" max="34" width="10.140625" customWidth="1"/>
    <col min="35" max="35" width="10.5703125" customWidth="1"/>
    <col min="36" max="36" width="2.7109375" customWidth="1"/>
    <col min="37" max="37" width="18.85546875" customWidth="1"/>
    <col min="38" max="38" width="21.42578125" customWidth="1"/>
    <col min="39" max="39" width="2.7109375" customWidth="1"/>
    <col min="40" max="40" width="9.140625" customWidth="1"/>
    <col min="41" max="41" width="11" customWidth="1"/>
    <col min="42" max="42" width="17" customWidth="1"/>
  </cols>
  <sheetData>
    <row r="2" spans="2:44">
      <c r="B2" t="s">
        <v>158</v>
      </c>
      <c r="C2" s="137">
        <v>42200</v>
      </c>
    </row>
    <row r="5" spans="2:44" s="112" customFormat="1" ht="23.25">
      <c r="B5" s="111" t="s">
        <v>5</v>
      </c>
      <c r="G5" s="111" t="s">
        <v>8</v>
      </c>
      <c r="J5" s="111"/>
      <c r="M5" s="111"/>
      <c r="V5" s="111" t="s">
        <v>127</v>
      </c>
      <c r="AK5"/>
      <c r="AL5"/>
    </row>
    <row r="7" spans="2:44">
      <c r="B7" s="1" t="s">
        <v>143</v>
      </c>
      <c r="C7" s="8"/>
      <c r="G7" s="1" t="s">
        <v>128</v>
      </c>
      <c r="H7" s="8"/>
      <c r="J7" s="1" t="s">
        <v>100</v>
      </c>
      <c r="M7" s="1" t="s">
        <v>99</v>
      </c>
      <c r="S7" s="1" t="s">
        <v>98</v>
      </c>
      <c r="V7" s="1" t="s">
        <v>128</v>
      </c>
      <c r="W7" s="8"/>
      <c r="Y7" s="1" t="s">
        <v>105</v>
      </c>
      <c r="AB7" s="1" t="s">
        <v>104</v>
      </c>
      <c r="AE7" s="1" t="s">
        <v>103</v>
      </c>
      <c r="AK7" s="1" t="s">
        <v>102</v>
      </c>
      <c r="AN7" s="4" t="s">
        <v>101</v>
      </c>
      <c r="AO7" s="5"/>
      <c r="AP7" s="5"/>
    </row>
    <row r="8" spans="2:44">
      <c r="B8" s="46" t="s">
        <v>108</v>
      </c>
      <c r="C8" s="99" t="s">
        <v>133</v>
      </c>
      <c r="D8" s="100"/>
      <c r="E8" s="101"/>
      <c r="G8" s="46" t="s">
        <v>93</v>
      </c>
      <c r="H8" s="89">
        <v>42198</v>
      </c>
      <c r="J8" s="63" t="s">
        <v>96</v>
      </c>
      <c r="K8" s="30" t="s">
        <v>45</v>
      </c>
      <c r="M8" s="65" t="s">
        <v>39</v>
      </c>
      <c r="N8" s="66" t="s">
        <v>38</v>
      </c>
      <c r="O8" s="66" t="s">
        <v>76</v>
      </c>
      <c r="P8" s="66" t="s">
        <v>75</v>
      </c>
      <c r="Q8" s="67" t="s">
        <v>95</v>
      </c>
      <c r="S8" s="58" t="s">
        <v>94</v>
      </c>
      <c r="T8" s="59" t="s">
        <v>38</v>
      </c>
      <c r="V8" s="46" t="s">
        <v>93</v>
      </c>
      <c r="W8" s="89">
        <v>42198</v>
      </c>
      <c r="Y8" s="46" t="s">
        <v>96</v>
      </c>
      <c r="Z8" s="30" t="s">
        <v>45</v>
      </c>
      <c r="AB8" s="10" t="s">
        <v>96</v>
      </c>
      <c r="AC8" s="30" t="s">
        <v>45</v>
      </c>
      <c r="AE8" s="57" t="s">
        <v>96</v>
      </c>
      <c r="AF8" s="34" t="s">
        <v>45</v>
      </c>
      <c r="AG8" s="19"/>
      <c r="AH8" s="19"/>
      <c r="AI8" s="20"/>
      <c r="AK8" s="46" t="s">
        <v>64</v>
      </c>
      <c r="AL8" s="98" t="s">
        <v>63</v>
      </c>
      <c r="AN8" s="61" t="s">
        <v>39</v>
      </c>
      <c r="AO8" s="68" t="s">
        <v>38</v>
      </c>
      <c r="AP8" s="69" t="s">
        <v>97</v>
      </c>
    </row>
    <row r="9" spans="2:44">
      <c r="B9" s="47" t="s">
        <v>34</v>
      </c>
      <c r="C9" s="102" t="s">
        <v>7</v>
      </c>
      <c r="D9" s="103"/>
      <c r="E9" s="104"/>
      <c r="G9" s="47" t="s">
        <v>90</v>
      </c>
      <c r="H9" s="74" t="s">
        <v>106</v>
      </c>
      <c r="J9" s="64" t="s">
        <v>70</v>
      </c>
      <c r="K9" s="15" t="s">
        <v>1</v>
      </c>
      <c r="M9" s="75" t="s">
        <v>36</v>
      </c>
      <c r="N9" s="76">
        <v>1.2999999999999999E-3</v>
      </c>
      <c r="O9" s="77"/>
      <c r="P9" s="77"/>
      <c r="Q9" s="78" t="b">
        <f>IF(OR(N9="",N9=0),FALSE,TRUE)</f>
        <v>1</v>
      </c>
      <c r="S9" s="83"/>
      <c r="T9" s="84"/>
      <c r="V9" s="47" t="s">
        <v>90</v>
      </c>
      <c r="W9" s="74" t="s">
        <v>106</v>
      </c>
      <c r="Y9" s="47" t="s">
        <v>70</v>
      </c>
      <c r="Z9" s="15" t="s">
        <v>114</v>
      </c>
      <c r="AB9" s="11" t="s">
        <v>70</v>
      </c>
      <c r="AC9" s="15" t="s">
        <v>114</v>
      </c>
      <c r="AE9" s="48" t="s">
        <v>70</v>
      </c>
      <c r="AF9" s="35" t="s">
        <v>114</v>
      </c>
      <c r="AG9" s="21"/>
      <c r="AH9" s="21"/>
      <c r="AI9" s="22"/>
      <c r="AK9" s="47" t="s">
        <v>3</v>
      </c>
      <c r="AL9" s="74" t="s">
        <v>91</v>
      </c>
      <c r="AN9" s="62" t="s">
        <v>25</v>
      </c>
      <c r="AO9" s="70">
        <v>1.5833E-2</v>
      </c>
      <c r="AP9" s="71" t="b">
        <f t="shared" ref="AP9:AP52" si="0">IF(OR(AO9="",AO9=0),FALSE,IF(OR(RIGHT(AN9,1)="M",AND(RIGHT(AN9,1)="Y",VALUE(LEFT(AN9,LEN(AN9)-1))&lt;=2)),FALSE,TRUE))</f>
        <v>1</v>
      </c>
    </row>
    <row r="10" spans="2:44">
      <c r="B10" s="47" t="s">
        <v>110</v>
      </c>
      <c r="C10" s="105" t="s">
        <v>131</v>
      </c>
      <c r="D10" s="106"/>
      <c r="E10" s="107"/>
      <c r="G10" s="47" t="s">
        <v>78</v>
      </c>
      <c r="H10" s="74" t="s">
        <v>21</v>
      </c>
      <c r="J10" s="64" t="s">
        <v>66</v>
      </c>
      <c r="K10" s="15" t="s">
        <v>85</v>
      </c>
      <c r="M10" s="75" t="s">
        <v>52</v>
      </c>
      <c r="N10" s="76">
        <v>1.237E-3</v>
      </c>
      <c r="O10" s="77"/>
      <c r="P10" s="77"/>
      <c r="Q10" s="78" t="b">
        <f t="shared" ref="Q10:Q52" si="1">IF(OR(N10="",N10=0),FALSE,TRUE)</f>
        <v>1</v>
      </c>
      <c r="S10" s="85"/>
      <c r="T10" s="86"/>
      <c r="V10" s="47" t="s">
        <v>78</v>
      </c>
      <c r="W10" s="74" t="s">
        <v>21</v>
      </c>
      <c r="Y10" s="47" t="s">
        <v>62</v>
      </c>
      <c r="Z10" s="15" t="s">
        <v>115</v>
      </c>
      <c r="AB10" s="11" t="s">
        <v>73</v>
      </c>
      <c r="AC10" s="15" t="s">
        <v>29</v>
      </c>
      <c r="AE10" s="48" t="s">
        <v>73</v>
      </c>
      <c r="AF10" s="36" t="s">
        <v>29</v>
      </c>
      <c r="AG10" s="23"/>
      <c r="AH10" s="23"/>
      <c r="AI10" s="24"/>
      <c r="AK10" s="47" t="s">
        <v>92</v>
      </c>
      <c r="AL10" s="74" t="s">
        <v>91</v>
      </c>
      <c r="AN10" s="62" t="s">
        <v>23</v>
      </c>
      <c r="AO10" s="70">
        <v>1.8329999999999999E-2</v>
      </c>
      <c r="AP10" s="71" t="b">
        <f t="shared" si="0"/>
        <v>1</v>
      </c>
    </row>
    <row r="11" spans="2:44">
      <c r="B11" s="47" t="s">
        <v>111</v>
      </c>
      <c r="C11" s="105" t="s">
        <v>129</v>
      </c>
      <c r="D11" s="106"/>
      <c r="E11" s="107"/>
      <c r="G11" s="47" t="s">
        <v>77</v>
      </c>
      <c r="H11" s="74" t="s">
        <v>21</v>
      </c>
      <c r="J11" s="64" t="s">
        <v>84</v>
      </c>
      <c r="K11" s="15" t="s">
        <v>83</v>
      </c>
      <c r="M11" s="75" t="s">
        <v>50</v>
      </c>
      <c r="N11" s="76">
        <v>1.2850000000000001E-3</v>
      </c>
      <c r="O11" s="77"/>
      <c r="P11" s="77"/>
      <c r="Q11" s="78" t="b">
        <f t="shared" si="1"/>
        <v>1</v>
      </c>
      <c r="S11" s="85"/>
      <c r="T11" s="86"/>
      <c r="V11" s="47" t="s">
        <v>77</v>
      </c>
      <c r="W11" s="74" t="s">
        <v>21</v>
      </c>
      <c r="Y11" s="47"/>
      <c r="Z11" s="15"/>
      <c r="AB11" s="11" t="s">
        <v>62</v>
      </c>
      <c r="AC11" s="15" t="s">
        <v>27</v>
      </c>
      <c r="AE11" s="11" t="s">
        <v>62</v>
      </c>
      <c r="AF11" s="35" t="s">
        <v>27</v>
      </c>
      <c r="AG11" s="21"/>
      <c r="AH11" s="21"/>
      <c r="AI11" s="22"/>
      <c r="AK11" s="47" t="s">
        <v>89</v>
      </c>
      <c r="AL11" s="74" t="s">
        <v>1</v>
      </c>
      <c r="AN11" s="62" t="s">
        <v>71</v>
      </c>
      <c r="AO11" s="70">
        <v>2.0375999999999998E-2</v>
      </c>
      <c r="AP11" s="71" t="b">
        <f t="shared" si="0"/>
        <v>1</v>
      </c>
    </row>
    <row r="12" spans="2:44">
      <c r="B12" s="118" t="s">
        <v>126</v>
      </c>
      <c r="C12" s="105" t="s">
        <v>130</v>
      </c>
      <c r="D12" s="106"/>
      <c r="E12" s="107"/>
      <c r="G12" s="47" t="s">
        <v>88</v>
      </c>
      <c r="H12" s="74" t="s">
        <v>21</v>
      </c>
      <c r="J12" s="64" t="s">
        <v>73</v>
      </c>
      <c r="K12" s="15" t="s">
        <v>72</v>
      </c>
      <c r="M12" s="75" t="s">
        <v>47</v>
      </c>
      <c r="N12" s="76">
        <v>1.31E-3</v>
      </c>
      <c r="O12" s="77"/>
      <c r="P12" s="77"/>
      <c r="Q12" s="78" t="b">
        <f t="shared" si="1"/>
        <v>1</v>
      </c>
      <c r="S12" s="85"/>
      <c r="T12" s="86"/>
      <c r="V12" s="47" t="s">
        <v>88</v>
      </c>
      <c r="W12" s="74" t="s">
        <v>21</v>
      </c>
      <c r="Y12" s="53"/>
      <c r="Z12" s="16"/>
      <c r="AB12" s="54" t="s">
        <v>67</v>
      </c>
      <c r="AC12" s="16" t="b">
        <v>1</v>
      </c>
      <c r="AE12" s="12"/>
      <c r="AF12" s="117"/>
      <c r="AG12" s="25"/>
      <c r="AH12" s="25"/>
      <c r="AI12" s="26"/>
      <c r="AK12" s="47" t="s">
        <v>0</v>
      </c>
      <c r="AL12" s="74" t="s">
        <v>41</v>
      </c>
      <c r="AN12" s="62" t="s">
        <v>22</v>
      </c>
      <c r="AO12" s="70">
        <v>2.2040000000000001E-2</v>
      </c>
      <c r="AP12" s="71" t="b">
        <f t="shared" si="0"/>
        <v>1</v>
      </c>
    </row>
    <row r="13" spans="2:44">
      <c r="B13" s="47" t="s">
        <v>112</v>
      </c>
      <c r="C13" s="105" t="s">
        <v>134</v>
      </c>
      <c r="D13" s="106"/>
      <c r="E13" s="107"/>
      <c r="G13" s="47" t="s">
        <v>118</v>
      </c>
      <c r="H13" s="74" t="b">
        <v>0</v>
      </c>
      <c r="J13" s="64" t="s">
        <v>87</v>
      </c>
      <c r="K13" s="15" t="s">
        <v>86</v>
      </c>
      <c r="M13" s="75" t="s">
        <v>16</v>
      </c>
      <c r="N13" s="76">
        <v>1.32E-3</v>
      </c>
      <c r="O13" s="77"/>
      <c r="P13" s="77"/>
      <c r="Q13" s="78" t="b">
        <f t="shared" si="1"/>
        <v>1</v>
      </c>
      <c r="S13" s="85"/>
      <c r="T13" s="86"/>
      <c r="V13" s="47" t="s">
        <v>118</v>
      </c>
      <c r="W13" s="74" t="b">
        <v>0</v>
      </c>
      <c r="Y13" s="5"/>
      <c r="Z13" s="3"/>
      <c r="AA13" s="5"/>
      <c r="AB13" s="7"/>
      <c r="AC13" s="3"/>
      <c r="AK13" s="47" t="s">
        <v>79</v>
      </c>
      <c r="AL13" s="74" t="s">
        <v>40</v>
      </c>
      <c r="AN13" s="62" t="s">
        <v>65</v>
      </c>
      <c r="AO13" s="70">
        <v>2.3375E-2</v>
      </c>
      <c r="AP13" s="71" t="b">
        <f t="shared" si="0"/>
        <v>1</v>
      </c>
    </row>
    <row r="14" spans="2:44">
      <c r="B14" s="47"/>
      <c r="C14" s="105"/>
      <c r="D14" s="106"/>
      <c r="E14" s="107"/>
      <c r="G14" s="47" t="s">
        <v>119</v>
      </c>
      <c r="H14" s="74" t="b">
        <v>1</v>
      </c>
      <c r="J14" s="64" t="s">
        <v>62</v>
      </c>
      <c r="K14" s="15" t="s">
        <v>27</v>
      </c>
      <c r="M14" s="75" t="s">
        <v>33</v>
      </c>
      <c r="N14" s="76">
        <v>1.34E-3</v>
      </c>
      <c r="O14" s="77"/>
      <c r="P14" s="77"/>
      <c r="Q14" s="78" t="b">
        <f t="shared" si="1"/>
        <v>1</v>
      </c>
      <c r="S14" s="85"/>
      <c r="T14" s="86"/>
      <c r="V14" s="47" t="s">
        <v>119</v>
      </c>
      <c r="W14" s="74" t="b">
        <v>1</v>
      </c>
      <c r="Y14" s="6" t="s">
        <v>82</v>
      </c>
      <c r="Z14" s="3"/>
      <c r="AA14" s="5"/>
      <c r="AB14" s="4" t="s">
        <v>81</v>
      </c>
      <c r="AC14" s="3"/>
      <c r="AE14" s="1" t="s">
        <v>80</v>
      </c>
      <c r="AF14" s="3"/>
      <c r="AK14" s="47" t="s">
        <v>2</v>
      </c>
      <c r="AL14" s="74" t="s">
        <v>21</v>
      </c>
      <c r="AN14" s="62" t="s">
        <v>61</v>
      </c>
      <c r="AO14" s="70">
        <v>2.4462999999999999E-2</v>
      </c>
      <c r="AP14" s="71" t="b">
        <f t="shared" si="0"/>
        <v>1</v>
      </c>
      <c r="AQ14" s="136"/>
      <c r="AR14" s="136"/>
    </row>
    <row r="15" spans="2:44">
      <c r="B15" s="53"/>
      <c r="C15" s="108"/>
      <c r="D15" s="109"/>
      <c r="E15" s="110"/>
      <c r="G15" s="47" t="s">
        <v>59</v>
      </c>
      <c r="H15" s="74" t="b">
        <v>0</v>
      </c>
      <c r="J15" s="64" t="s">
        <v>69</v>
      </c>
      <c r="K15" s="15" t="s">
        <v>68</v>
      </c>
      <c r="M15" s="75" t="s">
        <v>31</v>
      </c>
      <c r="N15" s="76">
        <v>1.6000000000000001E-3</v>
      </c>
      <c r="O15" s="77"/>
      <c r="P15" s="77"/>
      <c r="Q15" s="78" t="b">
        <f t="shared" si="1"/>
        <v>1</v>
      </c>
      <c r="S15" s="85"/>
      <c r="T15" s="86"/>
      <c r="V15" s="47" t="s">
        <v>59</v>
      </c>
      <c r="W15" s="74" t="b">
        <v>0</v>
      </c>
      <c r="Y15" s="10" t="s">
        <v>96</v>
      </c>
      <c r="Z15" s="31" t="s">
        <v>122</v>
      </c>
      <c r="AB15" s="55" t="s">
        <v>39</v>
      </c>
      <c r="AC15" s="17" t="s">
        <v>38</v>
      </c>
      <c r="AE15" s="58" t="s">
        <v>39</v>
      </c>
      <c r="AF15" s="59" t="s">
        <v>76</v>
      </c>
      <c r="AG15" s="59" t="s">
        <v>75</v>
      </c>
      <c r="AH15" s="59" t="s">
        <v>38</v>
      </c>
      <c r="AI15" s="60" t="s">
        <v>74</v>
      </c>
      <c r="AK15" s="47" t="s">
        <v>67</v>
      </c>
      <c r="AL15" s="74" t="b">
        <v>1</v>
      </c>
      <c r="AN15" s="62" t="s">
        <v>20</v>
      </c>
      <c r="AO15" s="70">
        <v>2.5365000000000002E-2</v>
      </c>
      <c r="AP15" s="71" t="b">
        <f t="shared" si="0"/>
        <v>1</v>
      </c>
      <c r="AQ15" s="136"/>
      <c r="AR15" s="136"/>
    </row>
    <row r="16" spans="2:44">
      <c r="G16" s="47" t="s">
        <v>58</v>
      </c>
      <c r="H16" s="74" t="b">
        <v>0</v>
      </c>
      <c r="J16" s="64" t="s">
        <v>14</v>
      </c>
      <c r="K16" s="15">
        <v>31</v>
      </c>
      <c r="M16" s="75" t="s">
        <v>37</v>
      </c>
      <c r="N16" s="76">
        <v>1.7699999999999999E-3</v>
      </c>
      <c r="O16" s="77"/>
      <c r="P16" s="77"/>
      <c r="Q16" s="78" t="b">
        <f t="shared" si="1"/>
        <v>1</v>
      </c>
      <c r="S16" s="85"/>
      <c r="T16" s="86"/>
      <c r="V16" s="47" t="s">
        <v>58</v>
      </c>
      <c r="W16" s="74" t="b">
        <v>0</v>
      </c>
      <c r="Y16" s="11" t="s">
        <v>70</v>
      </c>
      <c r="Z16" s="15" t="s">
        <v>114</v>
      </c>
      <c r="AB16" s="45"/>
      <c r="AC16" s="32"/>
      <c r="AE16" s="127" t="s">
        <v>144</v>
      </c>
      <c r="AF16" s="39">
        <v>42235</v>
      </c>
      <c r="AG16" s="39">
        <v>42326</v>
      </c>
      <c r="AH16" s="122">
        <v>99.68</v>
      </c>
      <c r="AI16" s="130"/>
      <c r="AK16" s="47" t="s">
        <v>60</v>
      </c>
      <c r="AL16" s="74" t="b">
        <v>1</v>
      </c>
      <c r="AN16" s="62" t="s">
        <v>141</v>
      </c>
      <c r="AO16" s="70">
        <v>2.6099999999999998E-2</v>
      </c>
      <c r="AP16" s="71" t="b">
        <f t="shared" si="0"/>
        <v>1</v>
      </c>
      <c r="AQ16" s="136"/>
      <c r="AR16" s="136"/>
    </row>
    <row r="17" spans="2:44">
      <c r="B17" s="1" t="s">
        <v>135</v>
      </c>
      <c r="C17" s="8"/>
      <c r="G17" s="47" t="s">
        <v>55</v>
      </c>
      <c r="H17" s="74" t="s">
        <v>21</v>
      </c>
      <c r="J17" s="64" t="s">
        <v>57</v>
      </c>
      <c r="K17" s="15" t="b">
        <v>1</v>
      </c>
      <c r="M17" s="75" t="s">
        <v>35</v>
      </c>
      <c r="N17" s="76">
        <v>1.92E-3</v>
      </c>
      <c r="O17" s="77"/>
      <c r="P17" s="77"/>
      <c r="Q17" s="78" t="b">
        <f t="shared" si="1"/>
        <v>1</v>
      </c>
      <c r="S17" s="85"/>
      <c r="T17" s="86"/>
      <c r="V17" s="47" t="s">
        <v>55</v>
      </c>
      <c r="W17" s="74" t="s">
        <v>21</v>
      </c>
      <c r="Y17" s="11" t="s">
        <v>66</v>
      </c>
      <c r="Z17" s="15" t="s">
        <v>116</v>
      </c>
      <c r="AB17" s="45"/>
      <c r="AC17" s="32"/>
      <c r="AE17" s="38" t="s">
        <v>145</v>
      </c>
      <c r="AF17" s="39">
        <v>42263</v>
      </c>
      <c r="AG17" s="39">
        <v>42354</v>
      </c>
      <c r="AH17" s="122">
        <v>99.625</v>
      </c>
      <c r="AI17" s="130"/>
      <c r="AK17" s="47" t="s">
        <v>56</v>
      </c>
      <c r="AL17" s="74" t="b">
        <v>1</v>
      </c>
      <c r="AN17" s="62" t="s">
        <v>19</v>
      </c>
      <c r="AO17" s="70">
        <v>2.6724999999999999E-2</v>
      </c>
      <c r="AP17" s="71" t="b">
        <f t="shared" si="0"/>
        <v>1</v>
      </c>
      <c r="AQ17" s="136"/>
      <c r="AR17" s="136"/>
    </row>
    <row r="18" spans="2:44">
      <c r="B18" s="46" t="s">
        <v>108</v>
      </c>
      <c r="C18" s="99" t="s">
        <v>133</v>
      </c>
      <c r="D18" s="100"/>
      <c r="E18" s="101"/>
      <c r="G18" s="47" t="s">
        <v>120</v>
      </c>
      <c r="H18" s="74" t="b">
        <v>0</v>
      </c>
      <c r="J18" s="47"/>
      <c r="K18" s="13"/>
      <c r="M18" s="75" t="s">
        <v>17</v>
      </c>
      <c r="N18" s="76">
        <v>2.1800000000000001E-3</v>
      </c>
      <c r="O18" s="77"/>
      <c r="P18" s="77"/>
      <c r="Q18" s="78" t="b">
        <f t="shared" si="1"/>
        <v>1</v>
      </c>
      <c r="S18" s="85"/>
      <c r="T18" s="86"/>
      <c r="V18" s="47" t="s">
        <v>120</v>
      </c>
      <c r="W18" s="74" t="b">
        <v>0</v>
      </c>
      <c r="Y18" s="11" t="s">
        <v>73</v>
      </c>
      <c r="Z18" s="15" t="s">
        <v>29</v>
      </c>
      <c r="AB18" s="45"/>
      <c r="AC18" s="32"/>
      <c r="AE18" s="40" t="s">
        <v>146</v>
      </c>
      <c r="AF18" s="41">
        <v>42298</v>
      </c>
      <c r="AG18" s="41">
        <v>42389</v>
      </c>
      <c r="AH18" s="123">
        <v>99.575000000000003</v>
      </c>
      <c r="AI18" s="131"/>
      <c r="AK18" s="47" t="s">
        <v>51</v>
      </c>
      <c r="AL18" s="74">
        <v>2</v>
      </c>
      <c r="AN18" s="62" t="s">
        <v>18</v>
      </c>
      <c r="AO18" s="70">
        <v>2.8036999999999999E-2</v>
      </c>
      <c r="AP18" s="71" t="b">
        <f t="shared" si="0"/>
        <v>1</v>
      </c>
      <c r="AQ18" s="136"/>
      <c r="AR18" s="136"/>
    </row>
    <row r="19" spans="2:44">
      <c r="B19" s="47" t="s">
        <v>34</v>
      </c>
      <c r="C19" s="102" t="s">
        <v>7</v>
      </c>
      <c r="D19" s="103"/>
      <c r="E19" s="104"/>
      <c r="G19" s="47" t="s">
        <v>121</v>
      </c>
      <c r="H19" s="74" t="b">
        <v>1</v>
      </c>
      <c r="J19" s="47"/>
      <c r="K19" s="13"/>
      <c r="M19" s="75" t="s">
        <v>32</v>
      </c>
      <c r="N19" s="76">
        <v>2.8999999999999998E-3</v>
      </c>
      <c r="O19" s="77"/>
      <c r="P19" s="77"/>
      <c r="Q19" s="78" t="b">
        <f t="shared" si="1"/>
        <v>1</v>
      </c>
      <c r="S19" s="85"/>
      <c r="T19" s="86"/>
      <c r="V19" s="47" t="s">
        <v>49</v>
      </c>
      <c r="W19" s="74" t="s">
        <v>21</v>
      </c>
      <c r="Y19" s="48" t="s">
        <v>62</v>
      </c>
      <c r="Z19" s="15" t="s">
        <v>117</v>
      </c>
      <c r="AB19" s="45"/>
      <c r="AC19" s="32"/>
      <c r="AE19" s="40" t="s">
        <v>147</v>
      </c>
      <c r="AF19" s="41">
        <v>42326</v>
      </c>
      <c r="AG19" s="41">
        <v>42417</v>
      </c>
      <c r="AH19" s="123">
        <v>99.525000000000006</v>
      </c>
      <c r="AI19" s="131"/>
      <c r="AK19" s="47" t="s">
        <v>48</v>
      </c>
      <c r="AL19" s="74" t="s">
        <v>27</v>
      </c>
      <c r="AN19" s="62" t="s">
        <v>15</v>
      </c>
      <c r="AO19" s="70">
        <v>2.9229999999999999E-2</v>
      </c>
      <c r="AP19" s="71" t="b">
        <f t="shared" si="0"/>
        <v>1</v>
      </c>
      <c r="AQ19" s="136"/>
      <c r="AR19" s="136"/>
    </row>
    <row r="20" spans="2:44">
      <c r="B20" s="47" t="s">
        <v>139</v>
      </c>
      <c r="C20" s="102" t="s">
        <v>6</v>
      </c>
      <c r="D20" s="106"/>
      <c r="E20" s="107"/>
      <c r="G20" s="47" t="s">
        <v>49</v>
      </c>
      <c r="H20" s="74" t="s">
        <v>21</v>
      </c>
      <c r="J20" s="47"/>
      <c r="K20" s="13"/>
      <c r="M20" s="75" t="s">
        <v>123</v>
      </c>
      <c r="N20" s="76">
        <v>3.6800000000000001E-3</v>
      </c>
      <c r="O20" s="77"/>
      <c r="P20" s="77"/>
      <c r="Q20" s="78" t="b">
        <f t="shared" si="1"/>
        <v>1</v>
      </c>
      <c r="S20" s="85"/>
      <c r="T20" s="86"/>
      <c r="V20" s="47" t="s">
        <v>44</v>
      </c>
      <c r="W20" s="74" t="s">
        <v>108</v>
      </c>
      <c r="Y20" s="48" t="s">
        <v>67</v>
      </c>
      <c r="Z20" s="15" t="b">
        <v>1</v>
      </c>
      <c r="AB20" s="45"/>
      <c r="AC20" s="32"/>
      <c r="AE20" s="40" t="s">
        <v>148</v>
      </c>
      <c r="AF20" s="41">
        <v>42354</v>
      </c>
      <c r="AG20" s="41">
        <v>42445</v>
      </c>
      <c r="AH20" s="123">
        <v>99.454999999999998</v>
      </c>
      <c r="AI20" s="131"/>
      <c r="AK20" s="47" t="s">
        <v>24</v>
      </c>
      <c r="AL20" s="74" t="b">
        <v>1</v>
      </c>
      <c r="AN20" s="62" t="s">
        <v>13</v>
      </c>
      <c r="AO20" s="70">
        <v>2.9790000000000001E-2</v>
      </c>
      <c r="AP20" s="71" t="b">
        <f t="shared" si="0"/>
        <v>1</v>
      </c>
      <c r="AQ20" s="136"/>
      <c r="AR20" s="136"/>
    </row>
    <row r="21" spans="2:44">
      <c r="B21" s="47" t="s">
        <v>110</v>
      </c>
      <c r="C21" s="105" t="s">
        <v>131</v>
      </c>
      <c r="D21" s="106"/>
      <c r="E21" s="107"/>
      <c r="G21" s="47"/>
      <c r="H21" s="74"/>
      <c r="J21" s="47"/>
      <c r="K21" s="13"/>
      <c r="M21" s="75" t="s">
        <v>30</v>
      </c>
      <c r="N21" s="76">
        <v>5.4400000000000004E-3</v>
      </c>
      <c r="O21" s="77"/>
      <c r="P21" s="77"/>
      <c r="Q21" s="78" t="b">
        <f t="shared" si="1"/>
        <v>1</v>
      </c>
      <c r="S21" s="85"/>
      <c r="T21" s="86"/>
      <c r="V21" s="47"/>
      <c r="W21" s="74"/>
      <c r="Y21" s="48"/>
      <c r="Z21" s="15"/>
      <c r="AB21" s="45"/>
      <c r="AC21" s="32"/>
      <c r="AE21" s="40" t="s">
        <v>149</v>
      </c>
      <c r="AF21" s="41">
        <v>42445</v>
      </c>
      <c r="AG21" s="41">
        <v>42536</v>
      </c>
      <c r="AH21" s="123">
        <v>99.265000000000001</v>
      </c>
      <c r="AI21" s="131"/>
      <c r="AK21" s="47" t="s">
        <v>54</v>
      </c>
      <c r="AL21" s="74" t="s">
        <v>53</v>
      </c>
      <c r="AN21" s="62" t="s">
        <v>12</v>
      </c>
      <c r="AO21" s="70">
        <v>3.0135000000000002E-2</v>
      </c>
      <c r="AP21" s="71" t="b">
        <f t="shared" si="0"/>
        <v>1</v>
      </c>
      <c r="AQ21" s="136"/>
      <c r="AR21" s="136"/>
    </row>
    <row r="22" spans="2:44">
      <c r="B22" s="47" t="s">
        <v>111</v>
      </c>
      <c r="C22" s="105" t="s">
        <v>129</v>
      </c>
      <c r="D22" s="106"/>
      <c r="E22" s="107"/>
      <c r="G22" s="47"/>
      <c r="H22" s="15"/>
      <c r="J22" s="47"/>
      <c r="K22" s="15"/>
      <c r="M22" s="75" t="s">
        <v>28</v>
      </c>
      <c r="N22" s="76">
        <v>7.28E-3</v>
      </c>
      <c r="O22" s="77" t="s">
        <v>46</v>
      </c>
      <c r="P22" s="77" t="s">
        <v>46</v>
      </c>
      <c r="Q22" s="78" t="b">
        <f t="shared" si="1"/>
        <v>1</v>
      </c>
      <c r="S22" s="85"/>
      <c r="T22" s="86"/>
      <c r="V22" s="47"/>
      <c r="W22" s="74"/>
      <c r="Y22" s="48"/>
      <c r="Z22" s="15"/>
      <c r="AB22" s="45"/>
      <c r="AC22" s="32"/>
      <c r="AE22" s="40" t="s">
        <v>150</v>
      </c>
      <c r="AF22" s="41">
        <v>42536</v>
      </c>
      <c r="AG22" s="41">
        <v>42634</v>
      </c>
      <c r="AH22" s="123">
        <v>99.06</v>
      </c>
      <c r="AI22" s="131"/>
      <c r="AK22" s="47"/>
      <c r="AL22" s="74"/>
      <c r="AN22" s="62" t="s">
        <v>11</v>
      </c>
      <c r="AO22" s="70">
        <v>3.0314999999999998E-2</v>
      </c>
      <c r="AP22" s="71" t="b">
        <f t="shared" si="0"/>
        <v>1</v>
      </c>
      <c r="AQ22" s="136"/>
      <c r="AR22" s="136"/>
    </row>
    <row r="23" spans="2:44">
      <c r="B23" s="118" t="s">
        <v>126</v>
      </c>
      <c r="C23" s="105" t="s">
        <v>130</v>
      </c>
      <c r="D23" s="106"/>
      <c r="E23" s="107"/>
      <c r="G23" s="11"/>
      <c r="H23" s="28"/>
      <c r="J23" s="11"/>
      <c r="K23" s="28"/>
      <c r="M23" s="75" t="s">
        <v>26</v>
      </c>
      <c r="N23" s="76">
        <v>1.0620000000000001E-2</v>
      </c>
      <c r="O23" s="77" t="s">
        <v>46</v>
      </c>
      <c r="P23" s="77" t="s">
        <v>46</v>
      </c>
      <c r="Q23" s="78" t="b">
        <f t="shared" si="1"/>
        <v>1</v>
      </c>
      <c r="S23" s="85"/>
      <c r="T23" s="86"/>
      <c r="V23" s="47"/>
      <c r="W23" s="74"/>
      <c r="Y23" s="48"/>
      <c r="Z23" s="15"/>
      <c r="AB23" s="45"/>
      <c r="AC23" s="32"/>
      <c r="AE23" s="40" t="s">
        <v>151</v>
      </c>
      <c r="AF23" s="41">
        <v>42634</v>
      </c>
      <c r="AG23" s="41">
        <v>42725</v>
      </c>
      <c r="AH23" s="123">
        <v>98.83</v>
      </c>
      <c r="AI23" s="131"/>
      <c r="AK23" s="47"/>
      <c r="AL23" s="74"/>
      <c r="AN23" s="62" t="s">
        <v>10</v>
      </c>
      <c r="AO23" s="70">
        <v>3.0139999999999997E-2</v>
      </c>
      <c r="AP23" s="71" t="b">
        <f t="shared" si="0"/>
        <v>1</v>
      </c>
      <c r="AQ23" s="136"/>
      <c r="AR23" s="136"/>
    </row>
    <row r="24" spans="2:44">
      <c r="B24" s="47"/>
      <c r="C24" s="105"/>
      <c r="D24" s="106"/>
      <c r="E24" s="107"/>
      <c r="G24" s="12"/>
      <c r="H24" s="29"/>
      <c r="J24" s="12"/>
      <c r="K24" s="29"/>
      <c r="M24" s="75" t="s">
        <v>25</v>
      </c>
      <c r="N24" s="76">
        <v>1.3469999999999999E-2</v>
      </c>
      <c r="O24" s="77" t="s">
        <v>46</v>
      </c>
      <c r="P24" s="77" t="s">
        <v>46</v>
      </c>
      <c r="Q24" s="78" t="b">
        <f t="shared" si="1"/>
        <v>1</v>
      </c>
      <c r="S24" s="85"/>
      <c r="T24" s="86"/>
      <c r="V24" s="47"/>
      <c r="W24" s="74"/>
      <c r="Y24" s="48"/>
      <c r="Z24" s="15"/>
      <c r="AB24" s="45"/>
      <c r="AC24" s="32"/>
      <c r="AE24" s="40" t="s">
        <v>152</v>
      </c>
      <c r="AF24" s="41">
        <v>42725</v>
      </c>
      <c r="AG24" s="41">
        <v>42809</v>
      </c>
      <c r="AH24" s="123">
        <v>98.605000000000004</v>
      </c>
      <c r="AI24" s="131"/>
      <c r="AK24" s="47"/>
      <c r="AL24" s="74"/>
      <c r="AN24" s="62" t="s">
        <v>46</v>
      </c>
      <c r="AO24" s="70" t="s">
        <v>46</v>
      </c>
      <c r="AP24" s="71" t="b">
        <f t="shared" si="0"/>
        <v>0</v>
      </c>
      <c r="AQ24" s="136"/>
      <c r="AR24" s="136"/>
    </row>
    <row r="25" spans="2:44">
      <c r="B25" s="53"/>
      <c r="C25" s="108"/>
      <c r="D25" s="109"/>
      <c r="E25" s="110"/>
      <c r="M25" s="75" t="s">
        <v>23</v>
      </c>
      <c r="N25" s="76">
        <v>1.5910000000000001E-2</v>
      </c>
      <c r="O25" s="77"/>
      <c r="P25" s="77"/>
      <c r="Q25" s="78" t="b">
        <f t="shared" si="1"/>
        <v>1</v>
      </c>
      <c r="S25" s="85"/>
      <c r="T25" s="86"/>
      <c r="V25" s="47"/>
      <c r="W25" s="74"/>
      <c r="Y25" s="49"/>
      <c r="Z25" s="18"/>
      <c r="AB25" s="56"/>
      <c r="AC25" s="37"/>
      <c r="AE25" s="42" t="s">
        <v>153</v>
      </c>
      <c r="AF25" s="41">
        <v>42809</v>
      </c>
      <c r="AG25" s="41">
        <v>42907</v>
      </c>
      <c r="AH25" s="124">
        <v>98.415000000000006</v>
      </c>
      <c r="AI25" s="131"/>
      <c r="AK25" s="47"/>
      <c r="AL25" s="74"/>
      <c r="AN25" s="62" t="s">
        <v>46</v>
      </c>
      <c r="AO25" s="70" t="s">
        <v>46</v>
      </c>
      <c r="AP25" s="71" t="b">
        <f t="shared" si="0"/>
        <v>0</v>
      </c>
      <c r="AQ25" s="136"/>
      <c r="AR25" s="136"/>
    </row>
    <row r="26" spans="2:44">
      <c r="M26" s="75" t="s">
        <v>22</v>
      </c>
      <c r="N26" s="76">
        <v>1.9562800000000002E-2</v>
      </c>
      <c r="O26" s="77"/>
      <c r="P26" s="77"/>
      <c r="Q26" s="78" t="b">
        <f t="shared" si="1"/>
        <v>1</v>
      </c>
      <c r="S26" s="85"/>
      <c r="T26" s="86"/>
      <c r="V26" s="11"/>
      <c r="W26" s="28"/>
      <c r="Y26" s="48"/>
      <c r="Z26" s="15"/>
      <c r="AB26" s="45"/>
      <c r="AC26" s="32"/>
      <c r="AE26" s="43" t="s">
        <v>154</v>
      </c>
      <c r="AF26" s="128">
        <v>42907</v>
      </c>
      <c r="AG26" s="128">
        <v>42998</v>
      </c>
      <c r="AH26" s="124">
        <v>98.23</v>
      </c>
      <c r="AI26" s="132"/>
      <c r="AK26" s="47"/>
      <c r="AL26" s="74"/>
      <c r="AN26" s="62" t="s">
        <v>46</v>
      </c>
      <c r="AO26" s="70" t="s">
        <v>46</v>
      </c>
      <c r="AP26" s="71" t="b">
        <f t="shared" si="0"/>
        <v>0</v>
      </c>
      <c r="AQ26" s="136"/>
      <c r="AR26" s="136"/>
    </row>
    <row r="27" spans="2:44">
      <c r="B27" s="1" t="s">
        <v>136</v>
      </c>
      <c r="C27" s="8"/>
      <c r="M27" s="75" t="s">
        <v>20</v>
      </c>
      <c r="N27" s="76">
        <v>2.2876500000000001E-2</v>
      </c>
      <c r="O27" s="77"/>
      <c r="P27" s="77"/>
      <c r="Q27" s="78" t="b">
        <f t="shared" si="1"/>
        <v>1</v>
      </c>
      <c r="S27" s="85"/>
      <c r="T27" s="86"/>
      <c r="V27" s="11"/>
      <c r="W27" s="28"/>
      <c r="Y27" s="50" t="s">
        <v>43</v>
      </c>
      <c r="Z27" s="15"/>
      <c r="AB27" s="50" t="s">
        <v>42</v>
      </c>
      <c r="AC27" s="32"/>
      <c r="AE27" s="43" t="s">
        <v>155</v>
      </c>
      <c r="AF27" s="128">
        <v>42998</v>
      </c>
      <c r="AG27" s="128">
        <v>43089</v>
      </c>
      <c r="AH27" s="124">
        <v>98.07</v>
      </c>
      <c r="AI27" s="132"/>
      <c r="AK27" s="47"/>
      <c r="AL27" s="74"/>
      <c r="AN27" s="62" t="s">
        <v>46</v>
      </c>
      <c r="AO27" s="70" t="s">
        <v>46</v>
      </c>
      <c r="AP27" s="71" t="b">
        <f t="shared" si="0"/>
        <v>0</v>
      </c>
      <c r="AQ27" s="136"/>
      <c r="AR27" s="136"/>
    </row>
    <row r="28" spans="2:44">
      <c r="B28" s="46" t="s">
        <v>108</v>
      </c>
      <c r="C28" s="99" t="s">
        <v>109</v>
      </c>
      <c r="D28" s="100"/>
      <c r="E28" s="101"/>
      <c r="M28" s="75" t="s">
        <v>19</v>
      </c>
      <c r="N28" s="76">
        <v>2.4225799999999999E-2</v>
      </c>
      <c r="O28" s="77"/>
      <c r="P28" s="77"/>
      <c r="Q28" s="78" t="b">
        <f t="shared" si="1"/>
        <v>1</v>
      </c>
      <c r="S28" s="85"/>
      <c r="T28" s="86"/>
      <c r="V28" s="11"/>
      <c r="W28" s="28"/>
      <c r="Y28" s="51" t="s">
        <v>39</v>
      </c>
      <c r="Z28" s="14" t="s">
        <v>38</v>
      </c>
      <c r="AB28" s="51" t="s">
        <v>39</v>
      </c>
      <c r="AC28" s="14" t="s">
        <v>38</v>
      </c>
      <c r="AE28" s="43" t="s">
        <v>156</v>
      </c>
      <c r="AF28" s="128">
        <v>43089</v>
      </c>
      <c r="AG28" s="128">
        <v>43180</v>
      </c>
      <c r="AH28" s="124">
        <v>97.915000000000006</v>
      </c>
      <c r="AI28" s="132"/>
      <c r="AK28" s="47"/>
      <c r="AL28" s="74"/>
      <c r="AN28" s="62" t="s">
        <v>46</v>
      </c>
      <c r="AO28" s="70" t="s">
        <v>46</v>
      </c>
      <c r="AP28" s="71" t="b">
        <f t="shared" si="0"/>
        <v>0</v>
      </c>
      <c r="AQ28" s="136"/>
      <c r="AR28" s="136"/>
    </row>
    <row r="29" spans="2:44">
      <c r="B29" s="47" t="s">
        <v>34</v>
      </c>
      <c r="C29" s="102" t="s">
        <v>7</v>
      </c>
      <c r="D29" s="103"/>
      <c r="E29" s="104"/>
      <c r="M29" s="75" t="s">
        <v>18</v>
      </c>
      <c r="N29" s="76">
        <v>2.5529099999999999E-2</v>
      </c>
      <c r="O29" s="77"/>
      <c r="P29" s="77"/>
      <c r="Q29" s="78" t="b">
        <f t="shared" si="1"/>
        <v>1</v>
      </c>
      <c r="S29" s="85"/>
      <c r="T29" s="86"/>
      <c r="V29" s="11"/>
      <c r="W29" s="28"/>
      <c r="Y29" s="45" t="s">
        <v>31</v>
      </c>
      <c r="Z29" s="134">
        <v>2.8579999999999999E-3</v>
      </c>
      <c r="AB29" s="45"/>
      <c r="AC29" s="32"/>
      <c r="AE29" s="43" t="s">
        <v>157</v>
      </c>
      <c r="AF29" s="128">
        <v>43180</v>
      </c>
      <c r="AG29" s="128">
        <v>43271</v>
      </c>
      <c r="AH29" s="124">
        <v>97.784999999999997</v>
      </c>
      <c r="AI29" s="132"/>
      <c r="AK29" s="47"/>
      <c r="AL29" s="74"/>
      <c r="AN29" s="62" t="s">
        <v>46</v>
      </c>
      <c r="AO29" s="70" t="s">
        <v>46</v>
      </c>
      <c r="AP29" s="71" t="b">
        <f t="shared" si="0"/>
        <v>0</v>
      </c>
      <c r="AQ29" s="136"/>
      <c r="AR29" s="136"/>
    </row>
    <row r="30" spans="2:44">
      <c r="B30" s="47" t="s">
        <v>110</v>
      </c>
      <c r="C30" s="105" t="s">
        <v>131</v>
      </c>
      <c r="D30" s="106"/>
      <c r="E30" s="107"/>
      <c r="M30" s="75" t="s">
        <v>15</v>
      </c>
      <c r="N30" s="76">
        <v>2.6720399999999998E-2</v>
      </c>
      <c r="O30" s="77"/>
      <c r="P30" s="77"/>
      <c r="Q30" s="78" t="b">
        <f t="shared" si="1"/>
        <v>1</v>
      </c>
      <c r="S30" s="85"/>
      <c r="T30" s="86"/>
      <c r="V30" s="11"/>
      <c r="W30" s="28"/>
      <c r="Y30" s="45"/>
      <c r="Z30" s="32"/>
      <c r="AB30" s="45"/>
      <c r="AC30" s="32"/>
      <c r="AE30" s="43" t="s">
        <v>9</v>
      </c>
      <c r="AF30" s="128" t="s">
        <v>9</v>
      </c>
      <c r="AG30" s="128" t="s">
        <v>9</v>
      </c>
      <c r="AH30" s="124" t="s">
        <v>46</v>
      </c>
      <c r="AI30" s="132"/>
      <c r="AK30" s="47"/>
      <c r="AL30" s="74"/>
      <c r="AN30" s="62" t="s">
        <v>46</v>
      </c>
      <c r="AO30" s="70" t="s">
        <v>46</v>
      </c>
      <c r="AP30" s="71" t="b">
        <f t="shared" si="0"/>
        <v>0</v>
      </c>
      <c r="AQ30" s="136"/>
      <c r="AR30" s="136"/>
    </row>
    <row r="31" spans="2:44">
      <c r="B31" s="47" t="s">
        <v>111</v>
      </c>
      <c r="C31" s="105" t="s">
        <v>129</v>
      </c>
      <c r="D31" s="106"/>
      <c r="E31" s="107"/>
      <c r="M31" s="75" t="s">
        <v>13</v>
      </c>
      <c r="N31" s="76">
        <v>2.72845E-2</v>
      </c>
      <c r="O31" s="77"/>
      <c r="P31" s="77"/>
      <c r="Q31" s="78" t="b">
        <f t="shared" si="1"/>
        <v>1</v>
      </c>
      <c r="S31" s="85"/>
      <c r="T31" s="86"/>
      <c r="V31" s="11"/>
      <c r="W31" s="28"/>
      <c r="Y31" s="45"/>
      <c r="Z31" s="32"/>
      <c r="AB31" s="45"/>
      <c r="AC31" s="32"/>
      <c r="AE31" s="43" t="s">
        <v>9</v>
      </c>
      <c r="AF31" s="128" t="s">
        <v>9</v>
      </c>
      <c r="AG31" s="128" t="s">
        <v>9</v>
      </c>
      <c r="AH31" s="124" t="s">
        <v>46</v>
      </c>
      <c r="AI31" s="132"/>
      <c r="AK31" s="47"/>
      <c r="AL31" s="74"/>
      <c r="AN31" s="62" t="s">
        <v>46</v>
      </c>
      <c r="AO31" s="70" t="s">
        <v>46</v>
      </c>
      <c r="AP31" s="71" t="b">
        <f t="shared" si="0"/>
        <v>0</v>
      </c>
    </row>
    <row r="32" spans="2:44">
      <c r="B32" s="118" t="s">
        <v>126</v>
      </c>
      <c r="C32" s="105" t="s">
        <v>130</v>
      </c>
      <c r="D32" s="106"/>
      <c r="E32" s="107"/>
      <c r="M32" s="75" t="s">
        <v>12</v>
      </c>
      <c r="N32" s="76">
        <v>2.7620599999999999E-2</v>
      </c>
      <c r="O32" s="77"/>
      <c r="P32" s="77"/>
      <c r="Q32" s="78" t="b">
        <f t="shared" si="1"/>
        <v>1</v>
      </c>
      <c r="S32" s="85"/>
      <c r="T32" s="86"/>
      <c r="V32" s="11"/>
      <c r="W32" s="28"/>
      <c r="Y32" s="45"/>
      <c r="Z32" s="32"/>
      <c r="AA32" s="2"/>
      <c r="AB32" s="45"/>
      <c r="AC32" s="32"/>
      <c r="AD32" s="2"/>
      <c r="AE32" s="43" t="s">
        <v>9</v>
      </c>
      <c r="AF32" s="128" t="s">
        <v>9</v>
      </c>
      <c r="AG32" s="128" t="s">
        <v>9</v>
      </c>
      <c r="AH32" s="124" t="s">
        <v>46</v>
      </c>
      <c r="AI32" s="132"/>
      <c r="AK32" s="47"/>
      <c r="AL32" s="74"/>
      <c r="AN32" s="62" t="s">
        <v>46</v>
      </c>
      <c r="AO32" s="70" t="s">
        <v>46</v>
      </c>
      <c r="AP32" s="71" t="b">
        <f t="shared" si="0"/>
        <v>0</v>
      </c>
    </row>
    <row r="33" spans="2:42">
      <c r="B33" s="47" t="s">
        <v>112</v>
      </c>
      <c r="C33" s="105" t="s">
        <v>132</v>
      </c>
      <c r="D33" s="106"/>
      <c r="E33" s="107"/>
      <c r="M33" s="75" t="s">
        <v>11</v>
      </c>
      <c r="N33" s="76">
        <v>2.77956E-2</v>
      </c>
      <c r="O33" s="77"/>
      <c r="P33" s="77"/>
      <c r="Q33" s="78" t="b">
        <f t="shared" si="1"/>
        <v>1</v>
      </c>
      <c r="S33" s="85"/>
      <c r="T33" s="86"/>
      <c r="V33" s="11"/>
      <c r="W33" s="28"/>
      <c r="Y33" s="45"/>
      <c r="Z33" s="32"/>
      <c r="AA33" s="2"/>
      <c r="AB33" s="45"/>
      <c r="AC33" s="32"/>
      <c r="AD33" s="2"/>
      <c r="AE33" s="43" t="s">
        <v>9</v>
      </c>
      <c r="AF33" s="128" t="s">
        <v>9</v>
      </c>
      <c r="AG33" s="128" t="s">
        <v>9</v>
      </c>
      <c r="AH33" s="124" t="s">
        <v>46</v>
      </c>
      <c r="AI33" s="132"/>
      <c r="AK33" s="47"/>
      <c r="AL33" s="74"/>
      <c r="AN33" s="62" t="s">
        <v>46</v>
      </c>
      <c r="AO33" s="70" t="s">
        <v>46</v>
      </c>
      <c r="AP33" s="71" t="b">
        <f t="shared" si="0"/>
        <v>0</v>
      </c>
    </row>
    <row r="34" spans="2:42">
      <c r="B34" s="47"/>
      <c r="C34" s="105"/>
      <c r="D34" s="106"/>
      <c r="E34" s="107"/>
      <c r="M34" s="75" t="s">
        <v>10</v>
      </c>
      <c r="N34" s="76">
        <v>2.7630599999999998E-2</v>
      </c>
      <c r="O34" s="77"/>
      <c r="P34" s="77"/>
      <c r="Q34" s="78" t="b">
        <f t="shared" si="1"/>
        <v>1</v>
      </c>
      <c r="S34" s="85"/>
      <c r="T34" s="86"/>
      <c r="V34" s="11"/>
      <c r="W34" s="28"/>
      <c r="Y34" s="45"/>
      <c r="Z34" s="32"/>
      <c r="AA34" s="2"/>
      <c r="AB34" s="45"/>
      <c r="AC34" s="32"/>
      <c r="AD34" s="2"/>
      <c r="AE34" s="43" t="s">
        <v>9</v>
      </c>
      <c r="AF34" s="128" t="s">
        <v>9</v>
      </c>
      <c r="AG34" s="128" t="s">
        <v>9</v>
      </c>
      <c r="AH34" s="124" t="s">
        <v>46</v>
      </c>
      <c r="AI34" s="132"/>
      <c r="AK34" s="47"/>
      <c r="AL34" s="74"/>
      <c r="AN34" s="62" t="s">
        <v>46</v>
      </c>
      <c r="AO34" s="70" t="s">
        <v>46</v>
      </c>
      <c r="AP34" s="71" t="b">
        <f t="shared" si="0"/>
        <v>0</v>
      </c>
    </row>
    <row r="35" spans="2:42">
      <c r="B35" s="53"/>
      <c r="C35" s="108"/>
      <c r="D35" s="109"/>
      <c r="E35" s="110"/>
      <c r="M35" s="75" t="s">
        <v>46</v>
      </c>
      <c r="N35" s="76" t="s">
        <v>46</v>
      </c>
      <c r="O35" s="77"/>
      <c r="P35" s="77"/>
      <c r="Q35" s="78" t="b">
        <f>IF(OR(N35="",N35=0),FALSE,TRUE)</f>
        <v>0</v>
      </c>
      <c r="S35" s="85"/>
      <c r="T35" s="86"/>
      <c r="V35" s="11"/>
      <c r="W35" s="28"/>
      <c r="Y35" s="45"/>
      <c r="Z35" s="32"/>
      <c r="AA35" s="2"/>
      <c r="AB35" s="45"/>
      <c r="AC35" s="32"/>
      <c r="AD35" s="2"/>
      <c r="AE35" s="43" t="s">
        <v>9</v>
      </c>
      <c r="AF35" s="128" t="s">
        <v>9</v>
      </c>
      <c r="AG35" s="128" t="s">
        <v>9</v>
      </c>
      <c r="AH35" s="124" t="s">
        <v>46</v>
      </c>
      <c r="AI35" s="132"/>
      <c r="AK35" s="47"/>
      <c r="AL35" s="15"/>
      <c r="AN35" s="62" t="s">
        <v>46</v>
      </c>
      <c r="AO35" s="70" t="s">
        <v>46</v>
      </c>
      <c r="AP35" s="71" t="b">
        <f t="shared" si="0"/>
        <v>0</v>
      </c>
    </row>
    <row r="36" spans="2:42">
      <c r="M36" s="75" t="s">
        <v>46</v>
      </c>
      <c r="N36" s="76" t="s">
        <v>46</v>
      </c>
      <c r="O36" s="77"/>
      <c r="P36" s="77"/>
      <c r="Q36" s="78" t="b">
        <f t="shared" si="1"/>
        <v>0</v>
      </c>
      <c r="S36" s="85"/>
      <c r="T36" s="86"/>
      <c r="V36" s="11"/>
      <c r="W36" s="28"/>
      <c r="Y36" s="45"/>
      <c r="Z36" s="32"/>
      <c r="AA36" s="2"/>
      <c r="AB36" s="45"/>
      <c r="AC36" s="32"/>
      <c r="AD36" s="2"/>
      <c r="AE36" s="43" t="s">
        <v>9</v>
      </c>
      <c r="AF36" s="128" t="s">
        <v>9</v>
      </c>
      <c r="AG36" s="128" t="s">
        <v>9</v>
      </c>
      <c r="AH36" s="124" t="s">
        <v>46</v>
      </c>
      <c r="AI36" s="132"/>
      <c r="AK36" s="47"/>
      <c r="AL36" s="15"/>
      <c r="AN36" s="62" t="s">
        <v>46</v>
      </c>
      <c r="AO36" s="70" t="s">
        <v>46</v>
      </c>
      <c r="AP36" s="71" t="b">
        <f t="shared" si="0"/>
        <v>0</v>
      </c>
    </row>
    <row r="37" spans="2:42">
      <c r="B37" s="1" t="s">
        <v>138</v>
      </c>
      <c r="C37" s="8"/>
      <c r="M37" s="75" t="s">
        <v>46</v>
      </c>
      <c r="N37" s="76" t="s">
        <v>46</v>
      </c>
      <c r="O37" s="77"/>
      <c r="P37" s="77"/>
      <c r="Q37" s="78" t="b">
        <f t="shared" si="1"/>
        <v>0</v>
      </c>
      <c r="S37" s="85"/>
      <c r="T37" s="86"/>
      <c r="V37" s="11"/>
      <c r="W37" s="28"/>
      <c r="Y37" s="45"/>
      <c r="Z37" s="32"/>
      <c r="AA37" s="2"/>
      <c r="AB37" s="45"/>
      <c r="AC37" s="32"/>
      <c r="AD37" s="2"/>
      <c r="AE37" s="43" t="s">
        <v>9</v>
      </c>
      <c r="AF37" s="128" t="s">
        <v>9</v>
      </c>
      <c r="AG37" s="128" t="s">
        <v>9</v>
      </c>
      <c r="AH37" s="124" t="s">
        <v>46</v>
      </c>
      <c r="AI37" s="132"/>
      <c r="AK37" s="47"/>
      <c r="AL37" s="15"/>
      <c r="AN37" s="62" t="s">
        <v>46</v>
      </c>
      <c r="AO37" s="70" t="s">
        <v>46</v>
      </c>
      <c r="AP37" s="71" t="b">
        <f t="shared" si="0"/>
        <v>0</v>
      </c>
    </row>
    <row r="38" spans="2:42">
      <c r="B38" s="46" t="s">
        <v>108</v>
      </c>
      <c r="C38" s="99" t="s">
        <v>109</v>
      </c>
      <c r="D38" s="100"/>
      <c r="E38" s="101"/>
      <c r="M38" s="75" t="s">
        <v>46</v>
      </c>
      <c r="N38" s="76" t="s">
        <v>46</v>
      </c>
      <c r="O38" s="77"/>
      <c r="P38" s="77"/>
      <c r="Q38" s="78" t="b">
        <f t="shared" si="1"/>
        <v>0</v>
      </c>
      <c r="S38" s="85"/>
      <c r="T38" s="86"/>
      <c r="V38" s="11"/>
      <c r="W38" s="28"/>
      <c r="Y38" s="45"/>
      <c r="Z38" s="32"/>
      <c r="AB38" s="45"/>
      <c r="AC38" s="32"/>
      <c r="AE38" s="43" t="s">
        <v>9</v>
      </c>
      <c r="AF38" s="128" t="s">
        <v>9</v>
      </c>
      <c r="AG38" s="128" t="s">
        <v>9</v>
      </c>
      <c r="AH38" s="124" t="s">
        <v>46</v>
      </c>
      <c r="AI38" s="132"/>
      <c r="AK38" s="47"/>
      <c r="AL38" s="15"/>
      <c r="AN38" s="62" t="s">
        <v>46</v>
      </c>
      <c r="AO38" s="70" t="s">
        <v>46</v>
      </c>
      <c r="AP38" s="71" t="b">
        <f t="shared" si="0"/>
        <v>0</v>
      </c>
    </row>
    <row r="39" spans="2:42">
      <c r="B39" s="47" t="s">
        <v>34</v>
      </c>
      <c r="C39" s="102" t="s">
        <v>7</v>
      </c>
      <c r="D39" s="103"/>
      <c r="E39" s="104"/>
      <c r="M39" s="75" t="s">
        <v>46</v>
      </c>
      <c r="N39" s="76" t="s">
        <v>46</v>
      </c>
      <c r="O39" s="77"/>
      <c r="P39" s="77"/>
      <c r="Q39" s="78" t="b">
        <f t="shared" si="1"/>
        <v>0</v>
      </c>
      <c r="S39" s="85"/>
      <c r="T39" s="86"/>
      <c r="V39" s="11"/>
      <c r="W39" s="28"/>
      <c r="Y39" s="45"/>
      <c r="Z39" s="32"/>
      <c r="AB39" s="45"/>
      <c r="AC39" s="32"/>
      <c r="AE39" s="43" t="s">
        <v>9</v>
      </c>
      <c r="AF39" s="128" t="s">
        <v>9</v>
      </c>
      <c r="AG39" s="128" t="s">
        <v>9</v>
      </c>
      <c r="AH39" s="124" t="s">
        <v>46</v>
      </c>
      <c r="AI39" s="132"/>
      <c r="AK39" s="47"/>
      <c r="AL39" s="15"/>
      <c r="AN39" s="62" t="s">
        <v>46</v>
      </c>
      <c r="AO39" s="70" t="s">
        <v>46</v>
      </c>
      <c r="AP39" s="71" t="b">
        <f t="shared" si="0"/>
        <v>0</v>
      </c>
    </row>
    <row r="40" spans="2:42">
      <c r="B40" s="47" t="s">
        <v>110</v>
      </c>
      <c r="C40" s="105" t="s">
        <v>131</v>
      </c>
      <c r="D40" s="106"/>
      <c r="E40" s="107"/>
      <c r="M40" s="75" t="s">
        <v>46</v>
      </c>
      <c r="N40" s="76" t="s">
        <v>46</v>
      </c>
      <c r="O40" s="77"/>
      <c r="P40" s="77"/>
      <c r="Q40" s="78" t="b">
        <f t="shared" si="1"/>
        <v>0</v>
      </c>
      <c r="S40" s="85"/>
      <c r="T40" s="86"/>
      <c r="V40" s="11"/>
      <c r="W40" s="28"/>
      <c r="Y40" s="45"/>
      <c r="Z40" s="32"/>
      <c r="AB40" s="45"/>
      <c r="AC40" s="32"/>
      <c r="AE40" s="43" t="s">
        <v>9</v>
      </c>
      <c r="AF40" s="128" t="s">
        <v>9</v>
      </c>
      <c r="AG40" s="128" t="s">
        <v>9</v>
      </c>
      <c r="AH40" s="124" t="s">
        <v>46</v>
      </c>
      <c r="AI40" s="132"/>
      <c r="AK40" s="47"/>
      <c r="AL40" s="15"/>
      <c r="AN40" s="62" t="s">
        <v>46</v>
      </c>
      <c r="AO40" s="70" t="s">
        <v>46</v>
      </c>
      <c r="AP40" s="71" t="b">
        <f t="shared" si="0"/>
        <v>0</v>
      </c>
    </row>
    <row r="41" spans="2:42">
      <c r="B41" s="47" t="s">
        <v>111</v>
      </c>
      <c r="C41" s="105" t="s">
        <v>129</v>
      </c>
      <c r="D41" s="106"/>
      <c r="E41" s="107"/>
      <c r="M41" s="75" t="s">
        <v>46</v>
      </c>
      <c r="N41" s="76" t="s">
        <v>46</v>
      </c>
      <c r="O41" s="77"/>
      <c r="P41" s="77"/>
      <c r="Q41" s="78" t="b">
        <f t="shared" si="1"/>
        <v>0</v>
      </c>
      <c r="S41" s="85"/>
      <c r="T41" s="86"/>
      <c r="V41" s="11"/>
      <c r="W41" s="28"/>
      <c r="Y41" s="45"/>
      <c r="Z41" s="32"/>
      <c r="AB41" s="45"/>
      <c r="AC41" s="32"/>
      <c r="AE41" s="43" t="s">
        <v>9</v>
      </c>
      <c r="AF41" s="128" t="s">
        <v>9</v>
      </c>
      <c r="AG41" s="128" t="s">
        <v>9</v>
      </c>
      <c r="AH41" s="124" t="s">
        <v>46</v>
      </c>
      <c r="AI41" s="132"/>
      <c r="AK41" s="47"/>
      <c r="AL41" s="15"/>
      <c r="AN41" s="62" t="s">
        <v>46</v>
      </c>
      <c r="AO41" s="70" t="s">
        <v>46</v>
      </c>
      <c r="AP41" s="71" t="b">
        <f t="shared" si="0"/>
        <v>0</v>
      </c>
    </row>
    <row r="42" spans="2:42">
      <c r="B42" s="118" t="s">
        <v>126</v>
      </c>
      <c r="C42" s="105" t="s">
        <v>130</v>
      </c>
      <c r="D42" s="106"/>
      <c r="E42" s="107"/>
      <c r="M42" s="75" t="s">
        <v>46</v>
      </c>
      <c r="N42" s="76" t="s">
        <v>46</v>
      </c>
      <c r="O42" s="77"/>
      <c r="P42" s="77"/>
      <c r="Q42" s="78" t="b">
        <f t="shared" si="1"/>
        <v>0</v>
      </c>
      <c r="S42" s="85"/>
      <c r="T42" s="86"/>
      <c r="V42" s="11"/>
      <c r="W42" s="28"/>
      <c r="Y42" s="45"/>
      <c r="Z42" s="32"/>
      <c r="AB42" s="45"/>
      <c r="AC42" s="32"/>
      <c r="AE42" s="43" t="s">
        <v>9</v>
      </c>
      <c r="AF42" s="128" t="s">
        <v>9</v>
      </c>
      <c r="AG42" s="128" t="s">
        <v>9</v>
      </c>
      <c r="AH42" s="124" t="s">
        <v>46</v>
      </c>
      <c r="AI42" s="132"/>
      <c r="AK42" s="47"/>
      <c r="AL42" s="15"/>
      <c r="AN42" s="62" t="s">
        <v>46</v>
      </c>
      <c r="AO42" s="70" t="s">
        <v>46</v>
      </c>
      <c r="AP42" s="71" t="b">
        <f t="shared" si="0"/>
        <v>0</v>
      </c>
    </row>
    <row r="43" spans="2:42">
      <c r="B43" s="47" t="s">
        <v>113</v>
      </c>
      <c r="C43" s="105" t="s">
        <v>132</v>
      </c>
      <c r="D43" s="106"/>
      <c r="E43" s="107"/>
      <c r="M43" s="75" t="s">
        <v>46</v>
      </c>
      <c r="N43" s="76" t="s">
        <v>46</v>
      </c>
      <c r="O43" s="77"/>
      <c r="P43" s="77"/>
      <c r="Q43" s="78" t="b">
        <f t="shared" si="1"/>
        <v>0</v>
      </c>
      <c r="S43" s="85"/>
      <c r="T43" s="86"/>
      <c r="V43" s="11"/>
      <c r="W43" s="28"/>
      <c r="Y43" s="45"/>
      <c r="Z43" s="32"/>
      <c r="AB43" s="45"/>
      <c r="AC43" s="32"/>
      <c r="AE43" s="43" t="s">
        <v>9</v>
      </c>
      <c r="AF43" s="128" t="s">
        <v>9</v>
      </c>
      <c r="AG43" s="128" t="s">
        <v>9</v>
      </c>
      <c r="AH43" s="124" t="s">
        <v>46</v>
      </c>
      <c r="AI43" s="132"/>
      <c r="AK43" s="47"/>
      <c r="AL43" s="15"/>
      <c r="AN43" s="62" t="s">
        <v>46</v>
      </c>
      <c r="AO43" s="70" t="s">
        <v>46</v>
      </c>
      <c r="AP43" s="71" t="b">
        <f t="shared" si="0"/>
        <v>0</v>
      </c>
    </row>
    <row r="44" spans="2:42">
      <c r="B44" s="47"/>
      <c r="C44" s="105"/>
      <c r="D44" s="106"/>
      <c r="E44" s="107"/>
      <c r="M44" s="75" t="s">
        <v>46</v>
      </c>
      <c r="N44" s="76" t="s">
        <v>46</v>
      </c>
      <c r="O44" s="77"/>
      <c r="P44" s="77"/>
      <c r="Q44" s="78" t="b">
        <f t="shared" si="1"/>
        <v>0</v>
      </c>
      <c r="S44" s="85"/>
      <c r="T44" s="86"/>
      <c r="V44" s="11"/>
      <c r="W44" s="28"/>
      <c r="Y44" s="45"/>
      <c r="Z44" s="32"/>
      <c r="AB44" s="45"/>
      <c r="AC44" s="32"/>
      <c r="AE44" s="43" t="s">
        <v>9</v>
      </c>
      <c r="AF44" s="128" t="s">
        <v>9</v>
      </c>
      <c r="AG44" s="128" t="s">
        <v>9</v>
      </c>
      <c r="AH44" s="124" t="s">
        <v>46</v>
      </c>
      <c r="AI44" s="132"/>
      <c r="AK44" s="47"/>
      <c r="AL44" s="15"/>
      <c r="AN44" s="62" t="s">
        <v>46</v>
      </c>
      <c r="AO44" s="70" t="s">
        <v>46</v>
      </c>
      <c r="AP44" s="71" t="b">
        <f t="shared" si="0"/>
        <v>0</v>
      </c>
    </row>
    <row r="45" spans="2:42">
      <c r="B45" s="53"/>
      <c r="C45" s="108"/>
      <c r="D45" s="109"/>
      <c r="E45" s="110"/>
      <c r="M45" s="75" t="s">
        <v>46</v>
      </c>
      <c r="N45" s="76" t="s">
        <v>46</v>
      </c>
      <c r="O45" s="77"/>
      <c r="P45" s="77"/>
      <c r="Q45" s="78" t="b">
        <f t="shared" si="1"/>
        <v>0</v>
      </c>
      <c r="S45" s="85"/>
      <c r="T45" s="86"/>
      <c r="V45" s="11"/>
      <c r="W45" s="28"/>
      <c r="Y45" s="45"/>
      <c r="Z45" s="32"/>
      <c r="AB45" s="45"/>
      <c r="AC45" s="32"/>
      <c r="AE45" s="43" t="s">
        <v>9</v>
      </c>
      <c r="AF45" s="128" t="s">
        <v>9</v>
      </c>
      <c r="AG45" s="128" t="s">
        <v>9</v>
      </c>
      <c r="AH45" s="124" t="s">
        <v>46</v>
      </c>
      <c r="AI45" s="132"/>
      <c r="AK45" s="47"/>
      <c r="AL45" s="15"/>
      <c r="AN45" s="62" t="s">
        <v>46</v>
      </c>
      <c r="AO45" s="70" t="s">
        <v>46</v>
      </c>
      <c r="AP45" s="71" t="b">
        <f t="shared" si="0"/>
        <v>0</v>
      </c>
    </row>
    <row r="46" spans="2:42">
      <c r="M46" s="75" t="s">
        <v>46</v>
      </c>
      <c r="N46" s="76" t="s">
        <v>46</v>
      </c>
      <c r="O46" s="77"/>
      <c r="P46" s="77"/>
      <c r="Q46" s="78" t="b">
        <f t="shared" si="1"/>
        <v>0</v>
      </c>
      <c r="S46" s="85"/>
      <c r="T46" s="86"/>
      <c r="V46" s="11"/>
      <c r="W46" s="28"/>
      <c r="Y46" s="45"/>
      <c r="Z46" s="32"/>
      <c r="AB46" s="45"/>
      <c r="AC46" s="32"/>
      <c r="AE46" s="43" t="s">
        <v>9</v>
      </c>
      <c r="AF46" s="128" t="s">
        <v>9</v>
      </c>
      <c r="AG46" s="128" t="s">
        <v>9</v>
      </c>
      <c r="AH46" s="124" t="s">
        <v>46</v>
      </c>
      <c r="AI46" s="132"/>
      <c r="AK46" s="47"/>
      <c r="AL46" s="15"/>
      <c r="AN46" s="62" t="s">
        <v>46</v>
      </c>
      <c r="AO46" s="70" t="s">
        <v>46</v>
      </c>
      <c r="AP46" s="71" t="b">
        <f t="shared" si="0"/>
        <v>0</v>
      </c>
    </row>
    <row r="47" spans="2:42">
      <c r="B47" s="1" t="s">
        <v>137</v>
      </c>
      <c r="C47" s="8"/>
      <c r="M47" s="75" t="s">
        <v>46</v>
      </c>
      <c r="N47" s="76" t="s">
        <v>46</v>
      </c>
      <c r="O47" s="77"/>
      <c r="P47" s="77"/>
      <c r="Q47" s="78" t="b">
        <f t="shared" si="1"/>
        <v>0</v>
      </c>
      <c r="S47" s="85"/>
      <c r="T47" s="86"/>
      <c r="V47" s="11"/>
      <c r="W47" s="28"/>
      <c r="Y47" s="45"/>
      <c r="Z47" s="32"/>
      <c r="AB47" s="45"/>
      <c r="AC47" s="32"/>
      <c r="AE47" s="43" t="s">
        <v>9</v>
      </c>
      <c r="AF47" s="128" t="s">
        <v>9</v>
      </c>
      <c r="AG47" s="128" t="s">
        <v>9</v>
      </c>
      <c r="AH47" s="124" t="s">
        <v>46</v>
      </c>
      <c r="AI47" s="132"/>
      <c r="AK47" s="47"/>
      <c r="AL47" s="15"/>
      <c r="AN47" s="62" t="s">
        <v>46</v>
      </c>
      <c r="AO47" s="70" t="s">
        <v>46</v>
      </c>
      <c r="AP47" s="71" t="b">
        <f t="shared" si="0"/>
        <v>0</v>
      </c>
    </row>
    <row r="48" spans="2:42">
      <c r="B48" s="46" t="s">
        <v>108</v>
      </c>
      <c r="C48" s="99" t="s">
        <v>109</v>
      </c>
      <c r="D48" s="100"/>
      <c r="E48" s="101"/>
      <c r="M48" s="75" t="s">
        <v>46</v>
      </c>
      <c r="N48" s="76" t="s">
        <v>46</v>
      </c>
      <c r="O48" s="77"/>
      <c r="P48" s="77"/>
      <c r="Q48" s="78" t="b">
        <f t="shared" si="1"/>
        <v>0</v>
      </c>
      <c r="S48" s="85"/>
      <c r="T48" s="86"/>
      <c r="V48" s="11"/>
      <c r="W48" s="28"/>
      <c r="Y48" s="45"/>
      <c r="Z48" s="32"/>
      <c r="AB48" s="45"/>
      <c r="AC48" s="32"/>
      <c r="AE48" s="43" t="s">
        <v>9</v>
      </c>
      <c r="AF48" s="128" t="s">
        <v>9</v>
      </c>
      <c r="AG48" s="128" t="s">
        <v>9</v>
      </c>
      <c r="AH48" s="124" t="s">
        <v>46</v>
      </c>
      <c r="AI48" s="132"/>
      <c r="AK48" s="47"/>
      <c r="AL48" s="15"/>
      <c r="AN48" s="62" t="s">
        <v>46</v>
      </c>
      <c r="AO48" s="70" t="s">
        <v>46</v>
      </c>
      <c r="AP48" s="71" t="b">
        <f t="shared" si="0"/>
        <v>0</v>
      </c>
    </row>
    <row r="49" spans="2:42">
      <c r="B49" s="47" t="s">
        <v>34</v>
      </c>
      <c r="C49" s="102" t="s">
        <v>7</v>
      </c>
      <c r="D49" s="103"/>
      <c r="E49" s="104"/>
      <c r="M49" s="75"/>
      <c r="N49" s="76"/>
      <c r="O49" s="77"/>
      <c r="P49" s="77"/>
      <c r="Q49" s="78" t="b">
        <f t="shared" si="1"/>
        <v>0</v>
      </c>
      <c r="S49" s="85"/>
      <c r="T49" s="86"/>
      <c r="V49" s="11"/>
      <c r="W49" s="28"/>
      <c r="Y49" s="45"/>
      <c r="Z49" s="32"/>
      <c r="AB49" s="45"/>
      <c r="AC49" s="32"/>
      <c r="AE49" s="43" t="s">
        <v>9</v>
      </c>
      <c r="AF49" s="128" t="s">
        <v>9</v>
      </c>
      <c r="AG49" s="128" t="s">
        <v>9</v>
      </c>
      <c r="AH49" s="124" t="s">
        <v>46</v>
      </c>
      <c r="AI49" s="132"/>
      <c r="AK49" s="47"/>
      <c r="AL49" s="15"/>
      <c r="AN49" s="62"/>
      <c r="AO49" s="70"/>
      <c r="AP49" s="71" t="b">
        <f t="shared" si="0"/>
        <v>0</v>
      </c>
    </row>
    <row r="50" spans="2:42">
      <c r="B50" s="47" t="s">
        <v>110</v>
      </c>
      <c r="C50" s="105" t="s">
        <v>131</v>
      </c>
      <c r="D50" s="106"/>
      <c r="E50" s="107"/>
      <c r="M50" s="75"/>
      <c r="N50" s="76"/>
      <c r="O50" s="77"/>
      <c r="P50" s="77"/>
      <c r="Q50" s="78" t="b">
        <f t="shared" si="1"/>
        <v>0</v>
      </c>
      <c r="S50" s="85"/>
      <c r="T50" s="86"/>
      <c r="V50" s="11"/>
      <c r="W50" s="28"/>
      <c r="Y50" s="45"/>
      <c r="Z50" s="32"/>
      <c r="AB50" s="45"/>
      <c r="AC50" s="32"/>
      <c r="AE50" s="43" t="s">
        <v>9</v>
      </c>
      <c r="AF50" s="128" t="s">
        <v>9</v>
      </c>
      <c r="AG50" s="128" t="s">
        <v>9</v>
      </c>
      <c r="AH50" s="125" t="s">
        <v>46</v>
      </c>
      <c r="AI50" s="132"/>
      <c r="AK50" s="47"/>
      <c r="AL50" s="15"/>
      <c r="AN50" s="62"/>
      <c r="AO50" s="70"/>
      <c r="AP50" s="71" t="b">
        <f t="shared" si="0"/>
        <v>0</v>
      </c>
    </row>
    <row r="51" spans="2:42">
      <c r="B51" s="47" t="s">
        <v>111</v>
      </c>
      <c r="C51" s="105" t="s">
        <v>129</v>
      </c>
      <c r="D51" s="106"/>
      <c r="E51" s="107"/>
      <c r="M51" s="75"/>
      <c r="N51" s="76"/>
      <c r="O51" s="77"/>
      <c r="P51" s="77"/>
      <c r="Q51" s="78" t="b">
        <f t="shared" si="1"/>
        <v>0</v>
      </c>
      <c r="S51" s="87"/>
      <c r="T51" s="22"/>
      <c r="V51" s="11"/>
      <c r="W51" s="28"/>
      <c r="Y51" s="45"/>
      <c r="Z51" s="32"/>
      <c r="AB51" s="45"/>
      <c r="AC51" s="32"/>
      <c r="AE51" s="43" t="s">
        <v>9</v>
      </c>
      <c r="AF51" s="128" t="s">
        <v>9</v>
      </c>
      <c r="AG51" s="128" t="s">
        <v>9</v>
      </c>
      <c r="AH51" s="125" t="s">
        <v>46</v>
      </c>
      <c r="AI51" s="132"/>
      <c r="AK51" s="47"/>
      <c r="AL51" s="15"/>
      <c r="AN51" s="62"/>
      <c r="AO51" s="70"/>
      <c r="AP51" s="71" t="b">
        <f t="shared" si="0"/>
        <v>0</v>
      </c>
    </row>
    <row r="52" spans="2:42">
      <c r="B52" s="118" t="s">
        <v>126</v>
      </c>
      <c r="C52" s="105" t="s">
        <v>130</v>
      </c>
      <c r="D52" s="106"/>
      <c r="E52" s="107"/>
      <c r="M52" s="79"/>
      <c r="N52" s="80"/>
      <c r="O52" s="81"/>
      <c r="P52" s="81"/>
      <c r="Q52" s="82" t="b">
        <f t="shared" si="1"/>
        <v>0</v>
      </c>
      <c r="S52" s="88"/>
      <c r="T52" s="26"/>
      <c r="V52" s="12"/>
      <c r="W52" s="29"/>
      <c r="Y52" s="52"/>
      <c r="Z52" s="33"/>
      <c r="AB52" s="52"/>
      <c r="AC52" s="33"/>
      <c r="AE52" s="44" t="s">
        <v>9</v>
      </c>
      <c r="AF52" s="129" t="s">
        <v>9</v>
      </c>
      <c r="AG52" s="129" t="s">
        <v>9</v>
      </c>
      <c r="AH52" s="126" t="s">
        <v>46</v>
      </c>
      <c r="AI52" s="133"/>
      <c r="AK52" s="53"/>
      <c r="AL52" s="16"/>
      <c r="AN52" s="27"/>
      <c r="AO52" s="72"/>
      <c r="AP52" s="73" t="b">
        <f t="shared" si="0"/>
        <v>0</v>
      </c>
    </row>
    <row r="53" spans="2:42">
      <c r="B53" s="47" t="s">
        <v>112</v>
      </c>
      <c r="C53" s="105" t="s">
        <v>134</v>
      </c>
      <c r="D53" s="106"/>
      <c r="E53" s="107"/>
    </row>
    <row r="54" spans="2:42">
      <c r="B54" s="47" t="s">
        <v>113</v>
      </c>
      <c r="C54" s="105" t="s">
        <v>132</v>
      </c>
      <c r="D54" s="106"/>
      <c r="E54" s="107"/>
    </row>
    <row r="55" spans="2:42">
      <c r="B55" s="53"/>
      <c r="C55" s="108"/>
      <c r="D55" s="109"/>
      <c r="E55" s="110"/>
    </row>
  </sheetData>
  <dataValidations disablePrompts="1" count="1">
    <dataValidation imeMode="halfAlpha" allowBlank="1" showInputMessage="1" showErrorMessage="1" sqref="Y35"/>
  </dataValidations>
  <pageMargins left="0.70866141732283472" right="0.70866141732283472" top="0.74803149606299213" bottom="0.74803149606299213" header="0.31496062992125984" footer="0.31496062992125984"/>
  <pageSetup paperSize="9" scale="45" fitToWidth="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-0.249977111117893"/>
    <pageSetUpPr fitToPage="1"/>
  </sheetPr>
  <dimension ref="A2:F11"/>
  <sheetViews>
    <sheetView showGridLines="0" workbookViewId="0"/>
  </sheetViews>
  <sheetFormatPr defaultRowHeight="15"/>
  <cols>
    <col min="1" max="1" width="11.42578125" style="95" customWidth="1"/>
    <col min="2" max="2" width="2.28515625" style="93" customWidth="1"/>
    <col min="3" max="3" width="15.7109375" style="93" customWidth="1"/>
    <col min="4" max="4" width="30.7109375" style="114" hidden="1" customWidth="1"/>
    <col min="5" max="5" width="41.28515625" style="93" customWidth="1"/>
    <col min="6" max="16384" width="9.140625" style="93"/>
  </cols>
  <sheetData>
    <row r="2" spans="1:6" s="94" customFormat="1" ht="15" customHeight="1">
      <c r="A2" s="95"/>
      <c r="D2" s="116"/>
      <c r="E2" s="168"/>
    </row>
    <row r="3" spans="1:6" ht="15" customHeight="1">
      <c r="A3" s="121"/>
      <c r="D3" s="116"/>
      <c r="E3" s="169"/>
    </row>
    <row r="5" spans="1:6" ht="15" customHeight="1">
      <c r="A5" s="167" t="s">
        <v>106</v>
      </c>
      <c r="B5" s="90" t="s">
        <v>9</v>
      </c>
      <c r="C5" s="90"/>
      <c r="D5" s="92" t="s">
        <v>142</v>
      </c>
      <c r="E5" s="113" t="s">
        <v>191</v>
      </c>
    </row>
    <row r="6" spans="1:6" ht="15" customHeight="1">
      <c r="A6" s="167"/>
      <c r="B6" s="93" t="s">
        <v>9</v>
      </c>
      <c r="C6" s="96" t="s">
        <v>108</v>
      </c>
      <c r="D6" s="119" t="s">
        <v>125</v>
      </c>
      <c r="E6" s="164" t="str">
        <f ca="1">_xll.mirSetUpOISCurve(E$5,C$6,YieldCurvePropertiesOIS,OISConv,OISRates,OISCurveNamesNativeCSA,OISHistoricalRates)</f>
        <v>OIS OIS Curve has been set (0.04900 sec)</v>
      </c>
      <c r="F6" s="93" t="s">
        <v>9</v>
      </c>
    </row>
    <row r="7" spans="1:6">
      <c r="B7" s="93" t="s">
        <v>9</v>
      </c>
      <c r="C7" s="97" t="s">
        <v>34</v>
      </c>
      <c r="D7" s="135" t="s">
        <v>124</v>
      </c>
      <c r="E7" s="165" t="str">
        <f ca="1">IF(LEFT(E6,3)="OIS",_xll.mirSetUpSwapCurve(E$5,C7,YieldCurvePropertiesSTD,MoneyMarketData,LiborConv,LiborData,SwapsConv,SwapsData,FRAConv,FRADatax3,FRADatax6,FuturesConv,FuturesData,,,SwapCurveNamesNativeCSA,SwapCurveNameDF2),"Load OIS Curve")</f>
        <v>STD Swap Curve has been set (0.08800 sec)</v>
      </c>
      <c r="F7" s="93" t="s">
        <v>9</v>
      </c>
    </row>
    <row r="8" spans="1:6">
      <c r="B8" s="93" t="s">
        <v>9</v>
      </c>
      <c r="C8" s="97"/>
      <c r="D8" s="120"/>
      <c r="E8" s="165"/>
    </row>
    <row r="9" spans="1:6">
      <c r="B9" s="93" t="s">
        <v>9</v>
      </c>
      <c r="C9" s="97"/>
      <c r="D9" s="120"/>
      <c r="E9" s="165"/>
      <c r="F9" s="7"/>
    </row>
    <row r="10" spans="1:6">
      <c r="B10" s="93" t="s">
        <v>9</v>
      </c>
      <c r="C10" s="162"/>
      <c r="D10" s="163"/>
      <c r="E10" s="166"/>
      <c r="F10" s="7"/>
    </row>
    <row r="11" spans="1:6">
      <c r="D11" s="115"/>
    </row>
  </sheetData>
  <mergeCells count="2">
    <mergeCell ref="A5:A6"/>
    <mergeCell ref="E2:E3"/>
  </mergeCells>
  <pageMargins left="0.70866141732283472" right="0.70866141732283472" top="0.74803149606299213" bottom="0.74803149606299213" header="0.31496062992125984" footer="0.31496062992125984"/>
  <pageSetup paperSize="9" scale="7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6600"/>
  </sheetPr>
  <dimension ref="B2:D32"/>
  <sheetViews>
    <sheetView showGridLines="0" tabSelected="1" workbookViewId="0"/>
  </sheetViews>
  <sheetFormatPr defaultRowHeight="15"/>
  <cols>
    <col min="2" max="2" width="24.28515625" customWidth="1"/>
    <col min="3" max="4" width="20.7109375" customWidth="1"/>
  </cols>
  <sheetData>
    <row r="2" spans="2:4">
      <c r="B2" s="149" t="s">
        <v>188</v>
      </c>
      <c r="C2" s="91" t="s">
        <v>168</v>
      </c>
      <c r="D2" s="91" t="s">
        <v>169</v>
      </c>
    </row>
    <row r="3" spans="2:4">
      <c r="B3" s="138" t="s">
        <v>159</v>
      </c>
      <c r="C3" s="156">
        <v>1000000</v>
      </c>
      <c r="D3" s="156"/>
    </row>
    <row r="4" spans="2:4">
      <c r="B4" s="140" t="s">
        <v>160</v>
      </c>
      <c r="C4" s="157" t="s">
        <v>161</v>
      </c>
      <c r="D4" s="157"/>
    </row>
    <row r="5" spans="2:4">
      <c r="B5" s="140" t="s">
        <v>162</v>
      </c>
      <c r="C5" s="158">
        <f ca="1">_xll.mirGetDate(COB,D5,C11,C12)</f>
        <v>42202</v>
      </c>
      <c r="D5" s="158" t="s">
        <v>187</v>
      </c>
    </row>
    <row r="6" spans="2:4">
      <c r="B6" s="140" t="s">
        <v>183</v>
      </c>
      <c r="C6" s="158" t="s">
        <v>25</v>
      </c>
      <c r="D6" s="158"/>
    </row>
    <row r="7" spans="2:4">
      <c r="B7" s="140" t="s">
        <v>184</v>
      </c>
      <c r="C7" s="159" t="s">
        <v>191</v>
      </c>
      <c r="D7" s="159"/>
    </row>
    <row r="8" spans="2:4">
      <c r="B8" s="140" t="s">
        <v>170</v>
      </c>
      <c r="C8" s="153">
        <v>0.01</v>
      </c>
      <c r="D8" s="155">
        <v>0</v>
      </c>
    </row>
    <row r="9" spans="2:4">
      <c r="B9" s="140" t="s">
        <v>66</v>
      </c>
      <c r="C9" s="144" t="s">
        <v>41</v>
      </c>
      <c r="D9" s="144" t="s">
        <v>40</v>
      </c>
    </row>
    <row r="10" spans="2:4">
      <c r="B10" s="140" t="s">
        <v>70</v>
      </c>
      <c r="C10" s="145" t="s">
        <v>91</v>
      </c>
      <c r="D10" s="145" t="s">
        <v>1</v>
      </c>
    </row>
    <row r="11" spans="2:4">
      <c r="B11" s="140" t="s">
        <v>171</v>
      </c>
      <c r="C11" s="144" t="s">
        <v>27</v>
      </c>
      <c r="D11" s="144" t="s">
        <v>27</v>
      </c>
    </row>
    <row r="12" spans="2:4">
      <c r="B12" s="140" t="s">
        <v>189</v>
      </c>
      <c r="C12" s="144"/>
      <c r="D12" s="144" t="s">
        <v>107</v>
      </c>
    </row>
    <row r="13" spans="2:4">
      <c r="B13" s="140" t="s">
        <v>190</v>
      </c>
      <c r="C13" s="144" t="s">
        <v>181</v>
      </c>
      <c r="D13" s="144" t="s">
        <v>181</v>
      </c>
    </row>
    <row r="14" spans="2:4">
      <c r="B14" s="140" t="s">
        <v>172</v>
      </c>
      <c r="C14" s="146"/>
      <c r="D14" s="146"/>
    </row>
    <row r="15" spans="2:4">
      <c r="B15" s="140" t="s">
        <v>173</v>
      </c>
      <c r="C15" s="146"/>
      <c r="D15" s="146"/>
    </row>
    <row r="16" spans="2:4">
      <c r="B16" s="140" t="s">
        <v>174</v>
      </c>
      <c r="C16" s="144">
        <f ca="1">DAY(C5)</f>
        <v>17</v>
      </c>
      <c r="D16" s="144">
        <f ca="1">DAY(C5)</f>
        <v>17</v>
      </c>
    </row>
    <row r="17" spans="2:4">
      <c r="B17" s="140" t="s">
        <v>175</v>
      </c>
      <c r="C17" s="145" t="s">
        <v>4</v>
      </c>
      <c r="D17" s="147" t="s">
        <v>176</v>
      </c>
    </row>
    <row r="18" spans="2:4">
      <c r="B18" s="140" t="s">
        <v>177</v>
      </c>
      <c r="C18" s="160" t="s">
        <v>4</v>
      </c>
      <c r="D18" s="153">
        <v>2.8579999999999999E-3</v>
      </c>
    </row>
    <row r="19" spans="2:4">
      <c r="B19" s="140" t="s">
        <v>178</v>
      </c>
      <c r="C19" s="160" t="s">
        <v>4</v>
      </c>
      <c r="D19" s="154"/>
    </row>
    <row r="20" spans="2:4">
      <c r="B20" s="140" t="s">
        <v>179</v>
      </c>
      <c r="C20" s="147" t="s">
        <v>176</v>
      </c>
      <c r="D20" s="147" t="s">
        <v>176</v>
      </c>
    </row>
    <row r="21" spans="2:4">
      <c r="B21" s="139" t="s">
        <v>180</v>
      </c>
      <c r="C21" s="148" t="s">
        <v>182</v>
      </c>
      <c r="D21" s="148" t="s">
        <v>182</v>
      </c>
    </row>
    <row r="22" spans="2:4">
      <c r="B22" s="140" t="s">
        <v>2</v>
      </c>
      <c r="C22" s="141" t="s">
        <v>163</v>
      </c>
      <c r="D22" s="141"/>
    </row>
    <row r="23" spans="2:4">
      <c r="B23" s="140" t="s">
        <v>164</v>
      </c>
      <c r="C23" s="161" t="s">
        <v>140</v>
      </c>
      <c r="D23" s="141"/>
    </row>
    <row r="24" spans="2:4">
      <c r="B24" s="140" t="s">
        <v>165</v>
      </c>
      <c r="C24" s="141" t="s">
        <v>108</v>
      </c>
      <c r="D24" s="141"/>
    </row>
    <row r="25" spans="2:4">
      <c r="B25" s="140" t="s">
        <v>166</v>
      </c>
      <c r="C25" s="152" t="b">
        <v>1</v>
      </c>
      <c r="D25" s="142"/>
    </row>
    <row r="26" spans="2:4">
      <c r="B26" s="139" t="s">
        <v>167</v>
      </c>
      <c r="C26" s="143" t="b">
        <v>1</v>
      </c>
      <c r="D26" s="143"/>
    </row>
    <row r="28" spans="2:4">
      <c r="C28" s="9" t="s">
        <v>186</v>
      </c>
      <c r="D28" s="9" t="s">
        <v>185</v>
      </c>
    </row>
    <row r="29" spans="2:4">
      <c r="B29" s="170" t="s">
        <v>192</v>
      </c>
      <c r="C29" s="151">
        <f ca="1">_xll.mirGetParRate4(C5,C6,C7,C9,C10,C11,C13,C14,C15,C16,C20,C21,D9,D10,D11,D13,D14,D15,D16,D17,D18,D19,D20,D21,C22,C23,C24,C25,C26,0,TRUE,D12)</f>
        <v>1.5864609936131459E-2</v>
      </c>
      <c r="D29" s="150">
        <f ca="1">_xll.mirSwapPV(C3,C4,C5,C6,C7,C8,C9,C10,C11,C13,C14,C15,C16,C20,C21,D8,D9,D10,D11,D13,D14,D15,D16,D17,D18,D19,D20,D21,C22,C23,C24,C25,C26)</f>
        <v>22936.051727025111</v>
      </c>
    </row>
    <row r="31" spans="2:4">
      <c r="C31" s="9" t="s">
        <v>186</v>
      </c>
    </row>
    <row r="32" spans="2:4">
      <c r="B32" s="171" t="s">
        <v>193</v>
      </c>
      <c r="C32" s="151">
        <f ca="1">_xll.mirGetParRate4(C5,C6,C7,C9,C10,C11,C13,C14,C15,C16,C20,C21,D9,D10,D11,D13,D14,D15,D16,D17,D18,D19,D20,D21,C22,C23,C24,C25,C26,0,TRUE)</f>
        <v>1.5864609936131459E-2</v>
      </c>
    </row>
  </sheetData>
  <dataValidations count="3">
    <dataValidation type="list" allowBlank="1" showInputMessage="1" showErrorMessage="1" sqref="C4:D4">
      <formula1>"PAYER,RECEIVER"</formula1>
    </dataValidation>
    <dataValidation type="list" allowBlank="1" showInputMessage="1" showErrorMessage="1" sqref="C21:D21">
      <formula1>"None,ShortStart,ShortEnd,LongStart,LongEnd,SS,SE,LS,LE"</formula1>
    </dataValidation>
    <dataValidation type="list" allowBlank="1" showInputMessage="1" showErrorMessage="1" sqref="C11:D11">
      <formula1>"MOD_FOLLOWING,FOLLOWING,MOD_PRECEDING,PRECEDING,NO_CHANGE"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54</vt:i4>
      </vt:variant>
    </vt:vector>
  </HeadingPairs>
  <TitlesOfParts>
    <vt:vector size="57" baseType="lpstr">
      <vt:lpstr>USD Curve Tempalte</vt:lpstr>
      <vt:lpstr>Multi-Curves</vt:lpstr>
      <vt:lpstr>USD Swaps</vt:lpstr>
      <vt:lpstr>'USD Curve Tempalte'!BlockCurveNames</vt:lpstr>
      <vt:lpstr>'USD Curve Tempalte'!BlockOISCurve</vt:lpstr>
      <vt:lpstr>'USD Curve Tempalte'!BlockSwapCurve</vt:lpstr>
      <vt:lpstr>COB</vt:lpstr>
      <vt:lpstr>FRAConv</vt:lpstr>
      <vt:lpstr>FRADatax3</vt:lpstr>
      <vt:lpstr>FRADatax6</vt:lpstr>
      <vt:lpstr>FuturesConv</vt:lpstr>
      <vt:lpstr>FuturesData</vt:lpstr>
      <vt:lpstr>'USD Curve Tempalte'!FuturesQuotes</vt:lpstr>
      <vt:lpstr>FwdFXConstCurveNamesFWDFX</vt:lpstr>
      <vt:lpstr>FwdFXConstCurveNamesXCCYandFWDFX</vt:lpstr>
      <vt:lpstr>LiborConv</vt:lpstr>
      <vt:lpstr>LiborData</vt:lpstr>
      <vt:lpstr>MoneyMarketData</vt:lpstr>
      <vt:lpstr>OISConv</vt:lpstr>
      <vt:lpstr>OISCurveNamesFWDFX</vt:lpstr>
      <vt:lpstr>OISCurveNamesNativeCSA</vt:lpstr>
      <vt:lpstr>OISCurveNamesSTD</vt:lpstr>
      <vt:lpstr>OISCurveNamesXCCY</vt:lpstr>
      <vt:lpstr>OISCurveNamesXCCYandFWDFX</vt:lpstr>
      <vt:lpstr>OISHistoricalRates</vt:lpstr>
      <vt:lpstr>OISRates</vt:lpstr>
      <vt:lpstr>'Multi-Curves'!Print_Area</vt:lpstr>
      <vt:lpstr>SwapCurveNameDF2</vt:lpstr>
      <vt:lpstr>SwapCurveNamesFWDFX</vt:lpstr>
      <vt:lpstr>SwapCurveNamesNativeCSA</vt:lpstr>
      <vt:lpstr>SwapCurveNamesSTD</vt:lpstr>
      <vt:lpstr>SwapCurveNamesXCCY</vt:lpstr>
      <vt:lpstr>SwapCurveNamesXCCYandFWDFX</vt:lpstr>
      <vt:lpstr>SwapsConv</vt:lpstr>
      <vt:lpstr>SwapsData</vt:lpstr>
      <vt:lpstr>TenorBasis1x3CurveNamesFWDFX</vt:lpstr>
      <vt:lpstr>TenorBasis1x3CurveNamesNativeCSA</vt:lpstr>
      <vt:lpstr>TenorBasis1x3CurveNamesSTD</vt:lpstr>
      <vt:lpstr>TenorBasis1x3CurveNamesXCCY</vt:lpstr>
      <vt:lpstr>TenorBasis1x3CurveNamesXCCYandFWDFX</vt:lpstr>
      <vt:lpstr>TenorBasis3x12CurveNamesFWDFX</vt:lpstr>
      <vt:lpstr>TenorBasis3x12CurveNamesNativeCSA</vt:lpstr>
      <vt:lpstr>TenorBasis3x12CurveNamesSTD</vt:lpstr>
      <vt:lpstr>TenorBasis3x12CurveNamesXCCY</vt:lpstr>
      <vt:lpstr>TenorBasis3x12CurveNamesXCCYandFWDFX</vt:lpstr>
      <vt:lpstr>TenorBasis3x6CurveNamesFWDFX</vt:lpstr>
      <vt:lpstr>TenorBasis3x6CurveNamesNativeCSA</vt:lpstr>
      <vt:lpstr>TenorBasis3x6CurveNamesSTD</vt:lpstr>
      <vt:lpstr>TenorBasis3x6CurveNamesXCCY</vt:lpstr>
      <vt:lpstr>TenorBasis3x6CurveNamesXCCYandFWDFX</vt:lpstr>
      <vt:lpstr>TenorBasis6x12CurveNamesXCCY</vt:lpstr>
      <vt:lpstr>TenorBasis6x12CurveNamesXCCYandFWDFX</vt:lpstr>
      <vt:lpstr>XccyBasisCurveNamesNativeCSA</vt:lpstr>
      <vt:lpstr>XccyBasisCurveNamesXCCY</vt:lpstr>
      <vt:lpstr>XccyBasisCurveNamesXCCYandFWDFX</vt:lpstr>
      <vt:lpstr>YieldCurvePropertiesOIS</vt:lpstr>
      <vt:lpstr>YieldCurvePropertiesSTD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2016-11-10T16:54:23Z</dcterms:modified>
</cp:coreProperties>
</file>