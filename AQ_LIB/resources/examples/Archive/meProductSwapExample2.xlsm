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9"/>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K113" i="21" l="1"/>
  <c r="K114" i="21"/>
  <c r="K115" i="21"/>
  <c r="K116" i="21"/>
  <c r="K117" i="21"/>
  <c r="K118" i="21"/>
  <c r="K119" i="21"/>
  <c r="K120" i="21"/>
  <c r="K121" i="21"/>
  <c r="K122" i="21"/>
  <c r="K123" i="21"/>
  <c r="K124" i="21"/>
  <c r="K125" i="21"/>
  <c r="K97" i="21"/>
  <c r="K98" i="21"/>
  <c r="K99" i="21"/>
  <c r="K100" i="21"/>
  <c r="K101" i="21"/>
  <c r="K102" i="21"/>
  <c r="K103" i="21"/>
  <c r="K104" i="21"/>
  <c r="K105" i="21"/>
  <c r="K106" i="21"/>
  <c r="K107" i="21"/>
  <c r="K108" i="21"/>
  <c r="K109" i="21"/>
  <c r="K78" i="21"/>
  <c r="K79" i="21"/>
  <c r="K80" i="21"/>
  <c r="K81" i="21"/>
  <c r="K82" i="21"/>
  <c r="K83" i="21"/>
  <c r="K84" i="21"/>
  <c r="K85" i="21"/>
  <c r="K86" i="21"/>
  <c r="K87" i="21"/>
  <c r="K88" i="21"/>
  <c r="K89" i="21"/>
  <c r="K90" i="21"/>
  <c r="K91" i="21"/>
  <c r="K61" i="21"/>
  <c r="K62" i="21"/>
  <c r="K63" i="21"/>
  <c r="K64" i="21"/>
  <c r="K65" i="21"/>
  <c r="K66" i="21"/>
  <c r="K67" i="21"/>
  <c r="K68" i="21"/>
  <c r="K69" i="21"/>
  <c r="K70" i="21"/>
  <c r="K71" i="21"/>
  <c r="K72" i="21"/>
  <c r="K73" i="21"/>
  <c r="K74" i="21"/>
  <c r="AY61" i="21"/>
  <c r="AY62" i="21"/>
  <c r="AY63" i="21"/>
  <c r="AY64" i="21"/>
  <c r="AY65" i="21"/>
  <c r="AY66" i="21"/>
  <c r="AY67" i="21"/>
  <c r="AY68" i="21"/>
  <c r="AY69" i="21"/>
  <c r="AY70" i="21"/>
  <c r="AY71" i="21"/>
  <c r="AY72" i="21"/>
  <c r="AY73" i="21"/>
  <c r="AY74" i="21"/>
  <c r="AY25" i="21"/>
  <c r="AY26" i="21"/>
  <c r="AY27" i="21"/>
  <c r="AY28" i="21"/>
  <c r="AY29" i="21"/>
  <c r="AY30" i="21"/>
  <c r="AY31" i="21"/>
  <c r="AY32" i="21"/>
  <c r="AY33" i="21"/>
  <c r="AY34" i="21"/>
  <c r="AY35" i="21"/>
  <c r="AY36" i="21"/>
  <c r="AY37" i="21"/>
  <c r="AY38" i="21"/>
  <c r="K42" i="21" l="1"/>
  <c r="K43" i="21"/>
  <c r="K44" i="21"/>
  <c r="K45" i="21"/>
  <c r="K46" i="21"/>
  <c r="K47" i="21"/>
  <c r="K48" i="21"/>
  <c r="K49" i="21"/>
  <c r="K50" i="21"/>
  <c r="K51" i="21"/>
  <c r="K52" i="21"/>
  <c r="K53" i="21"/>
  <c r="K54" i="21"/>
  <c r="K55" i="21"/>
  <c r="K25" i="21"/>
  <c r="K26" i="21"/>
  <c r="K27" i="21"/>
  <c r="K28" i="21"/>
  <c r="K29" i="21"/>
  <c r="K30" i="21"/>
  <c r="K31" i="21"/>
  <c r="K32" i="21"/>
  <c r="K33" i="21"/>
  <c r="K34" i="21"/>
  <c r="K35" i="21"/>
  <c r="K36" i="21"/>
  <c r="K37" i="21"/>
  <c r="K38" i="21"/>
  <c r="K6" i="21"/>
  <c r="K7" i="21"/>
  <c r="K8" i="21"/>
  <c r="K9" i="21"/>
  <c r="K10" i="21"/>
  <c r="K11" i="21"/>
  <c r="K12" i="21"/>
  <c r="K13" i="21"/>
  <c r="K14" i="21"/>
  <c r="K15" i="21"/>
  <c r="K16" i="21"/>
  <c r="K17" i="21"/>
  <c r="K18" i="21"/>
  <c r="K19" i="21"/>
  <c r="M50" i="4"/>
  <c r="K50" i="4"/>
  <c r="M49" i="4"/>
  <c r="K49" i="4"/>
  <c r="M48" i="4"/>
  <c r="K48" i="4"/>
  <c r="M47" i="4"/>
  <c r="K47" i="4"/>
  <c r="M46" i="4"/>
  <c r="K46" i="4"/>
  <c r="M45" i="4"/>
  <c r="K45" i="4"/>
  <c r="M44" i="4"/>
  <c r="K44" i="4"/>
  <c r="M43" i="4"/>
  <c r="K43" i="4"/>
  <c r="M42" i="4"/>
  <c r="K42" i="4"/>
  <c r="M41" i="4"/>
  <c r="K41" i="4"/>
  <c r="M40" i="4"/>
  <c r="K40" i="4"/>
  <c r="M39" i="4"/>
  <c r="K39" i="4"/>
  <c r="M38" i="4"/>
  <c r="K38" i="4"/>
  <c r="M37" i="4"/>
  <c r="M36" i="4"/>
  <c r="M35" i="4"/>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D10" i="33"/>
  <c r="F15" i="31"/>
  <c r="C10" i="33"/>
  <c r="G15" i="31"/>
  <c r="E11" i="34"/>
  <c r="G11" i="34"/>
  <c r="K15" i="31"/>
  <c r="C11" i="34"/>
  <c r="D15" i="31"/>
  <c r="E10" i="33"/>
  <c r="I15" i="31"/>
  <c r="C15" i="31"/>
  <c r="D11" i="34"/>
  <c r="F10" i="33"/>
  <c r="L15" i="31"/>
  <c r="H15" i="31"/>
  <c r="J15" i="31"/>
  <c r="F11" i="34"/>
  <c r="E15" i="31"/>
  <c r="G10" i="33"/>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C18" i="29"/>
  <c r="F18" i="29"/>
  <c r="H18" i="29"/>
  <c r="E18" i="29"/>
  <c r="I18" i="29"/>
  <c r="G18" i="29"/>
  <c r="D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124" i="21"/>
  <c r="B26" i="21"/>
  <c r="B73" i="21"/>
  <c r="B117" i="21"/>
  <c r="B113" i="21"/>
  <c r="B90" i="21"/>
  <c r="B31" i="21"/>
  <c r="B81" i="21"/>
  <c r="B37" i="21"/>
  <c r="B114" i="21"/>
  <c r="B32" i="21"/>
  <c r="B87" i="21"/>
  <c r="B121" i="21"/>
  <c r="B122" i="21"/>
  <c r="B45" i="21"/>
  <c r="B38" i="21"/>
  <c r="B66" i="21"/>
  <c r="B79" i="21"/>
  <c r="B97" i="21"/>
  <c r="B103" i="21"/>
  <c r="B88" i="21"/>
  <c r="B54" i="21"/>
  <c r="B46" i="21"/>
  <c r="B69" i="21"/>
  <c r="B50" i="21"/>
  <c r="B27" i="21"/>
  <c r="B101" i="21"/>
  <c r="B51" i="21"/>
  <c r="B36" i="21"/>
  <c r="B43" i="21"/>
  <c r="B104" i="21"/>
  <c r="B83" i="21"/>
  <c r="B62" i="21"/>
  <c r="B123" i="21"/>
  <c r="B42" i="21"/>
  <c r="B89" i="21"/>
  <c r="B98" i="21"/>
  <c r="B74" i="21"/>
  <c r="B99" i="21"/>
  <c r="B33" i="21"/>
  <c r="B64" i="21"/>
  <c r="B53" i="21"/>
  <c r="B109" i="21"/>
  <c r="B80" i="21"/>
  <c r="B84" i="21"/>
  <c r="B25" i="21"/>
  <c r="B78" i="21"/>
  <c r="B91" i="21"/>
  <c r="B116" i="21"/>
  <c r="B6" i="21"/>
  <c r="B115" i="21"/>
  <c r="B118" i="21"/>
  <c r="B63" i="21"/>
  <c r="B107" i="21"/>
  <c r="B49" i="21"/>
  <c r="B48" i="21"/>
  <c r="B125" i="21"/>
  <c r="B108" i="21"/>
  <c r="B100" i="21"/>
  <c r="B30" i="21"/>
  <c r="B55" i="21"/>
  <c r="B67" i="21"/>
  <c r="B120" i="21"/>
  <c r="B102" i="21"/>
  <c r="B65" i="21"/>
  <c r="B71" i="21"/>
  <c r="B61" i="21"/>
  <c r="B34" i="21"/>
  <c r="B52" i="21"/>
  <c r="B72" i="21"/>
  <c r="B106" i="21"/>
  <c r="B85" i="21"/>
  <c r="B70" i="21"/>
  <c r="B119" i="21"/>
  <c r="B82" i="21"/>
  <c r="B68" i="21"/>
  <c r="B105" i="21"/>
  <c r="B28" i="21"/>
  <c r="B47" i="21"/>
  <c r="B35" i="21"/>
  <c r="B86" i="21"/>
  <c r="B44" i="21"/>
  <c r="B29"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7" i="21"/>
  <c r="B8" i="21"/>
  <c r="B12" i="21"/>
  <c r="B16" i="21"/>
  <c r="B14" i="21"/>
  <c r="B13" i="21"/>
  <c r="B11" i="21"/>
  <c r="B18" i="21"/>
  <c r="B9" i="21"/>
  <c r="B15" i="21"/>
  <c r="B7" i="21"/>
  <c r="B19" i="21"/>
  <c r="B10"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T20" i="20"/>
  <c r="O21" i="20"/>
  <c r="S21" i="20"/>
  <c r="G21" i="20"/>
  <c r="K21" i="20"/>
  <c r="H20" i="20"/>
  <c r="L20" i="20"/>
  <c r="P20"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J61" i="21"/>
  <c r="J62" i="21"/>
  <c r="J63" i="21"/>
  <c r="J64" i="21"/>
  <c r="J65" i="21"/>
  <c r="J66" i="21"/>
  <c r="J67" i="21"/>
  <c r="J68" i="21"/>
  <c r="J69" i="21"/>
  <c r="J70" i="21"/>
  <c r="J71" i="21"/>
  <c r="J72" i="21"/>
  <c r="J73" i="21"/>
  <c r="J74" i="21"/>
  <c r="AX61" i="21"/>
  <c r="AX62" i="21"/>
  <c r="AX63" i="21"/>
  <c r="AX64" i="21"/>
  <c r="AX65" i="21"/>
  <c r="AX66" i="21"/>
  <c r="AX67" i="21"/>
  <c r="AX68" i="21"/>
  <c r="AX69" i="21"/>
  <c r="AX70" i="21"/>
  <c r="AX71" i="21"/>
  <c r="AX72" i="21"/>
  <c r="AX73" i="21"/>
  <c r="AX74" i="21"/>
  <c r="J25" i="21"/>
  <c r="J26" i="21"/>
  <c r="J27" i="21"/>
  <c r="J28" i="21"/>
  <c r="J29" i="21"/>
  <c r="J32" i="21"/>
  <c r="J33" i="21"/>
  <c r="J34" i="21"/>
  <c r="J35" i="21"/>
  <c r="J36"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F77" i="3"/>
  <c r="AX5" i="21" a="1"/>
  <c r="AY8" i="21" s="1"/>
  <c r="G74" i="3"/>
  <c r="G75" i="3" s="1"/>
  <c r="G76" i="3" s="1"/>
  <c r="G77" i="3" s="1"/>
  <c r="G78" i="3" s="1"/>
  <c r="G79" i="3" s="1"/>
  <c r="G80" i="3" s="1"/>
  <c r="G81" i="3" s="1"/>
  <c r="H21" i="20"/>
  <c r="P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O22" i="20"/>
  <c r="S22" i="20"/>
  <c r="T21" i="20" a="1"/>
  <c r="G22" i="20"/>
  <c r="L21" i="20"/>
  <c r="K22" i="20"/>
  <c r="T21" i="20" l="1"/>
  <c r="AP38" i="21"/>
  <c r="AP74" i="21"/>
  <c r="AP37" i="21"/>
  <c r="AP73" i="21"/>
  <c r="AP31" i="21"/>
  <c r="AP67" i="21"/>
  <c r="AP30" i="21"/>
  <c r="AP66" i="21"/>
  <c r="G18" i="20"/>
  <c r="H9" i="20"/>
  <c r="H22" i="20"/>
  <c r="O23" i="20"/>
  <c r="G21" i="27" l="1"/>
  <c r="C20" i="20" l="1"/>
  <c r="G21" i="4"/>
  <c r="F22" i="3"/>
  <c r="F20" i="2"/>
  <c r="AJ6" i="21" l="1"/>
  <c r="G6" i="24" l="1"/>
  <c r="F24" i="3" s="1"/>
  <c r="G23" i="4" l="1"/>
  <c r="G23" i="28"/>
  <c r="G66" i="28"/>
  <c r="G23" i="27"/>
  <c r="G66" i="4"/>
  <c r="G66" i="27"/>
  <c r="F98" i="3"/>
  <c r="F23" i="2"/>
  <c r="F22" i="2"/>
  <c r="F25" i="3"/>
  <c r="AN6" i="21" l="1"/>
  <c r="AO6" i="21" s="1"/>
  <c r="AP6" i="21"/>
  <c r="AA6" i="21"/>
  <c r="C21" i="20"/>
  <c r="P22" i="20"/>
  <c r="T22" i="20"/>
  <c r="G23" i="20"/>
  <c r="D21" i="20"/>
  <c r="P23" i="20"/>
  <c r="O24" i="20"/>
  <c r="S23" i="20"/>
  <c r="D20" i="20"/>
  <c r="L22" i="20"/>
  <c r="C22" i="20"/>
  <c r="K23" i="20"/>
  <c r="F7" i="2"/>
  <c r="F8" i="2" l="1"/>
  <c r="AH6" i="21"/>
  <c r="S24" i="20"/>
  <c r="P24" i="20"/>
  <c r="T24" i="20"/>
  <c r="T23" i="20"/>
  <c r="K24" i="20"/>
  <c r="K25" i="20" s="1"/>
  <c r="G24" i="20"/>
  <c r="H24" i="20" s="1"/>
  <c r="L23" i="20"/>
  <c r="H23" i="20"/>
  <c r="O18" i="20" l="1"/>
  <c r="K18" i="20"/>
  <c r="C18" i="20"/>
  <c r="P9" i="20"/>
  <c r="L9" i="20"/>
  <c r="G54" i="31"/>
  <c r="F48" i="33"/>
  <c r="S25" i="20"/>
  <c r="F54" i="31"/>
  <c r="D53" i="31"/>
  <c r="K54" i="31"/>
  <c r="E53" i="31"/>
  <c r="E47" i="33"/>
  <c r="C53" i="31"/>
  <c r="I53" i="31"/>
  <c r="D48" i="33"/>
  <c r="K53" i="31"/>
  <c r="C48" i="33"/>
  <c r="E54" i="31"/>
  <c r="J54" i="31"/>
  <c r="C47" i="33"/>
  <c r="G47" i="33"/>
  <c r="I54" i="31"/>
  <c r="L54" i="31"/>
  <c r="F53" i="31"/>
  <c r="H54" i="31"/>
  <c r="D54" i="31"/>
  <c r="L24" i="20"/>
  <c r="D47" i="33"/>
  <c r="J53" i="31"/>
  <c r="E48" i="33"/>
  <c r="L53" i="31"/>
  <c r="G53" i="31"/>
  <c r="G48" i="33"/>
  <c r="F47" i="33"/>
  <c r="C54" i="31"/>
  <c r="H53" i="31"/>
  <c r="C31" i="29" l="1"/>
  <c r="T25" i="20"/>
  <c r="B9" i="30" a="1"/>
  <c r="G25" i="20"/>
  <c r="C23" i="20"/>
  <c r="D22" i="20"/>
  <c r="F8" i="3"/>
  <c r="L25" i="20"/>
  <c r="S26" i="20"/>
  <c r="K26" i="20"/>
  <c r="K27" i="20"/>
  <c r="H25" i="20"/>
  <c r="O25" i="20"/>
  <c r="P25" i="20"/>
  <c r="D23" i="20"/>
  <c r="K28" i="20"/>
  <c r="G26" i="20"/>
  <c r="G27" i="20" s="1"/>
  <c r="T26" i="20"/>
  <c r="H26" i="20"/>
  <c r="C24" i="20"/>
  <c r="D24" i="20" s="1"/>
  <c r="C25" i="20"/>
  <c r="K29" i="20"/>
  <c r="L28" i="20"/>
  <c r="G28" i="20"/>
  <c r="H27" i="20"/>
  <c r="C26" i="20"/>
  <c r="D25" i="20"/>
  <c r="K30" i="20"/>
  <c r="G29" i="20"/>
  <c r="H28" i="20"/>
  <c r="D26" i="20"/>
  <c r="C27" i="20"/>
  <c r="L30" i="20"/>
  <c r="H29" i="20"/>
  <c r="G30" i="20"/>
  <c r="D27" i="20"/>
  <c r="C28" i="20"/>
  <c r="G31" i="20"/>
  <c r="H30" i="20"/>
  <c r="C29" i="20"/>
  <c r="D28" i="20"/>
  <c r="H31" i="20"/>
  <c r="C30" i="20"/>
  <c r="D29" i="20"/>
  <c r="D30" i="20"/>
  <c r="C31" i="20"/>
  <c r="D31" i="20"/>
  <c r="C32" i="20"/>
  <c r="D32" i="20"/>
  <c r="C33" i="20"/>
  <c r="D33" i="20"/>
  <c r="C34" i="20"/>
  <c r="C35" i="20"/>
  <c r="D34" i="20"/>
  <c r="C36" i="20"/>
  <c r="D35" i="20"/>
  <c r="C37" i="20"/>
  <c r="D36" i="20"/>
  <c r="C38" i="20"/>
  <c r="D37" i="20"/>
  <c r="D38" i="20"/>
  <c r="C39" i="20"/>
  <c r="C40" i="20"/>
  <c r="D39" i="20"/>
  <c r="D40" i="20"/>
  <c r="C41" i="20"/>
  <c r="D41" i="20"/>
  <c r="C42" i="20"/>
  <c r="D42" i="20"/>
  <c r="C43" i="20"/>
  <c r="D43" i="20"/>
  <c r="C44" i="20"/>
  <c r="D44" i="20"/>
  <c r="C45" i="20"/>
  <c r="C46" i="20"/>
  <c r="D45" i="20"/>
  <c r="D46" i="20"/>
  <c r="C47" i="20"/>
  <c r="D47" i="20"/>
  <c r="C48" i="20"/>
  <c r="D48" i="20"/>
  <c r="C49" i="20"/>
  <c r="D49" i="20"/>
  <c r="C50" i="20"/>
  <c r="C51" i="20"/>
  <c r="D50" i="20"/>
  <c r="D51" i="20"/>
  <c r="C52" i="20"/>
  <c r="C53" i="20"/>
  <c r="D52" i="20"/>
  <c r="D53" i="20"/>
  <c r="C54" i="20"/>
  <c r="D54" i="20"/>
  <c r="C55" i="20"/>
  <c r="D55" i="20"/>
  <c r="C56" i="20"/>
  <c r="D56" i="20"/>
  <c r="C57" i="20"/>
  <c r="C58" i="20"/>
  <c r="D57" i="20"/>
  <c r="C59" i="20"/>
  <c r="D58" i="20"/>
  <c r="D59" i="20"/>
  <c r="C60" i="20"/>
  <c r="C61" i="20"/>
  <c r="D60" i="20"/>
  <c r="C62" i="20"/>
  <c r="D61" i="20"/>
  <c r="C63" i="20"/>
  <c r="D62" i="20"/>
  <c r="C64" i="20"/>
  <c r="D63" i="20"/>
  <c r="D64" i="20"/>
  <c r="C65" i="20"/>
  <c r="D65" i="20"/>
  <c r="C66" i="20"/>
  <c r="D66" i="20"/>
  <c r="C67" i="20"/>
  <c r="C68" i="20"/>
  <c r="D67" i="20"/>
  <c r="D68" i="20"/>
  <c r="C69" i="20"/>
  <c r="C70" i="20"/>
  <c r="D69" i="20"/>
  <c r="D70" i="20"/>
  <c r="C71" i="20"/>
  <c r="C72" i="20"/>
  <c r="D71" i="20"/>
  <c r="C73" i="20"/>
  <c r="D72" i="20"/>
  <c r="D73" i="20"/>
  <c r="C74" i="20"/>
  <c r="C75" i="20"/>
  <c r="D74" i="20"/>
  <c r="C76" i="20"/>
  <c r="D75" i="20"/>
  <c r="D76" i="20"/>
  <c r="C77" i="20"/>
  <c r="C78" i="20"/>
  <c r="D77" i="20"/>
  <c r="C79" i="20"/>
  <c r="D78" i="20"/>
  <c r="D79" i="20"/>
  <c r="C80" i="20"/>
  <c r="C81" i="20"/>
  <c r="D80" i="20"/>
  <c r="C82" i="20"/>
  <c r="D81" i="20"/>
  <c r="D82" i="20"/>
  <c r="C83" i="20"/>
  <c r="D83" i="20"/>
  <c r="C84" i="20"/>
  <c r="D84" i="20"/>
  <c r="C85" i="20"/>
  <c r="D85" i="20"/>
  <c r="C86" i="20"/>
  <c r="D86" i="20"/>
  <c r="C87" i="20"/>
  <c r="D87" i="20"/>
  <c r="C88" i="20"/>
  <c r="C89" i="20"/>
  <c r="D88" i="20"/>
  <c r="D89" i="20"/>
  <c r="C90" i="20"/>
  <c r="C91" i="20"/>
  <c r="D90" i="20"/>
  <c r="C92" i="20"/>
  <c r="D91" i="20"/>
  <c r="C93" i="20"/>
  <c r="D92" i="20"/>
  <c r="D93" i="20"/>
  <c r="C94" i="20"/>
  <c r="C95" i="20"/>
  <c r="D94" i="20"/>
  <c r="D95" i="20"/>
  <c r="C96" i="20"/>
  <c r="C97" i="20"/>
  <c r="D96" i="20"/>
  <c r="C98" i="20"/>
  <c r="D97" i="20"/>
  <c r="D98" i="20"/>
  <c r="C99" i="20"/>
  <c r="C100" i="20"/>
  <c r="D99" i="20"/>
  <c r="C101" i="20"/>
  <c r="D100" i="20"/>
  <c r="D101" i="20"/>
  <c r="C102" i="20"/>
  <c r="D102" i="20"/>
  <c r="C103" i="20"/>
  <c r="D103" i="20"/>
  <c r="C104" i="20"/>
  <c r="D104" i="20"/>
  <c r="C105" i="20"/>
  <c r="C106" i="20"/>
  <c r="D105" i="20"/>
  <c r="D106" i="20"/>
  <c r="C107" i="20"/>
  <c r="C108" i="20"/>
  <c r="D107" i="20"/>
  <c r="D108" i="20"/>
  <c r="C109" i="20"/>
  <c r="D109" i="20"/>
  <c r="C110" i="20"/>
  <c r="C111" i="20"/>
  <c r="D110" i="20"/>
  <c r="C112" i="20"/>
  <c r="D111" i="20"/>
  <c r="C113" i="20"/>
  <c r="D112" i="20"/>
  <c r="C114" i="20"/>
  <c r="D113" i="20"/>
  <c r="C115" i="20"/>
  <c r="D114" i="20"/>
  <c r="D115" i="20"/>
  <c r="C116" i="20"/>
  <c r="D116" i="20"/>
  <c r="C117" i="20"/>
  <c r="D117" i="20"/>
  <c r="C118" i="20"/>
  <c r="C119" i="20"/>
  <c r="D118" i="20"/>
  <c r="C120" i="20"/>
  <c r="D119" i="20"/>
  <c r="C121" i="20"/>
  <c r="D120" i="20"/>
  <c r="D121" i="20"/>
  <c r="C122" i="20"/>
  <c r="C123" i="20"/>
  <c r="D122" i="20"/>
  <c r="D123" i="20"/>
  <c r="C124" i="20"/>
  <c r="D124" i="20"/>
  <c r="C125" i="20"/>
  <c r="D125" i="20"/>
  <c r="C126" i="20"/>
  <c r="C127" i="20"/>
  <c r="D126" i="20"/>
  <c r="D127" i="20"/>
  <c r="C128" i="20"/>
  <c r="D128" i="20"/>
  <c r="C129" i="20"/>
  <c r="D129" i="20"/>
  <c r="C130" i="20"/>
  <c r="D130" i="20"/>
  <c r="C131" i="20"/>
  <c r="D131" i="20"/>
  <c r="C132" i="20"/>
  <c r="C133" i="20"/>
  <c r="D132" i="20"/>
  <c r="C134" i="20"/>
  <c r="D133" i="20"/>
  <c r="D134" i="20"/>
  <c r="C135" i="20"/>
  <c r="C136" i="20"/>
  <c r="D135" i="20"/>
  <c r="D136" i="20"/>
  <c r="C137" i="20"/>
  <c r="D137" i="20"/>
  <c r="C138" i="20"/>
  <c r="D138" i="20"/>
  <c r="C139" i="20"/>
  <c r="C140" i="20"/>
  <c r="D139" i="20"/>
  <c r="C141" i="20"/>
  <c r="D140" i="20"/>
  <c r="D141" i="20"/>
  <c r="C142" i="20"/>
  <c r="C143" i="20"/>
  <c r="D142" i="20"/>
  <c r="D143" i="20"/>
  <c r="C144" i="20"/>
  <c r="C145" i="20"/>
  <c r="D144" i="20"/>
  <c r="D145" i="20"/>
  <c r="C146" i="20"/>
  <c r="D146" i="20"/>
  <c r="C147" i="20"/>
  <c r="D147" i="20"/>
  <c r="C148" i="20"/>
  <c r="C149" i="20"/>
  <c r="D148" i="20"/>
  <c r="D149" i="20"/>
  <c r="C150" i="20"/>
  <c r="D150" i="20"/>
  <c r="C151" i="20"/>
  <c r="C152" i="20"/>
  <c r="D151" i="20"/>
  <c r="D152" i="20"/>
  <c r="C153" i="20"/>
  <c r="C154" i="20"/>
  <c r="D153" i="20"/>
  <c r="D154" i="20"/>
  <c r="C155" i="20"/>
  <c r="C156" i="20"/>
  <c r="D155" i="20"/>
  <c r="C157" i="20"/>
  <c r="D156" i="20"/>
  <c r="D157" i="20"/>
  <c r="C158" i="20"/>
  <c r="C159" i="20"/>
  <c r="D158" i="20"/>
  <c r="D159" i="20"/>
  <c r="C160" i="20"/>
  <c r="C161" i="20"/>
  <c r="D160" i="20"/>
  <c r="C162" i="20"/>
  <c r="D161" i="20"/>
  <c r="D162" i="20"/>
  <c r="C163" i="20"/>
  <c r="D163" i="20"/>
  <c r="C164" i="20"/>
  <c r="C165" i="20"/>
  <c r="D164" i="20"/>
  <c r="C166" i="20"/>
  <c r="D165" i="20"/>
  <c r="C167" i="20"/>
  <c r="D166" i="20"/>
  <c r="D167" i="20"/>
  <c r="C168" i="20"/>
  <c r="D168" i="20"/>
  <c r="C169" i="20"/>
  <c r="C170" i="20"/>
  <c r="D169" i="20"/>
  <c r="D170" i="20"/>
  <c r="C171" i="20"/>
  <c r="D171" i="20"/>
  <c r="C172" i="20"/>
  <c r="C173" i="20"/>
  <c r="D172" i="20"/>
  <c r="D173" i="20"/>
  <c r="C174" i="20"/>
  <c r="C175" i="20"/>
  <c r="D174" i="20"/>
  <c r="D175" i="20"/>
  <c r="C176" i="20"/>
  <c r="C177" i="20"/>
  <c r="D176" i="20"/>
  <c r="D177" i="20"/>
  <c r="C178" i="20"/>
  <c r="C179" i="20"/>
  <c r="D178" i="20"/>
  <c r="D179" i="20"/>
  <c r="C180" i="20"/>
  <c r="C181" i="20"/>
  <c r="D180" i="20"/>
  <c r="D181" i="20"/>
  <c r="C182" i="20"/>
  <c r="C183" i="20"/>
  <c r="D182" i="20"/>
  <c r="D183" i="20"/>
  <c r="C184" i="20"/>
  <c r="C185" i="20"/>
  <c r="D184" i="20"/>
  <c r="D185" i="20"/>
  <c r="C186" i="20"/>
  <c r="C187" i="20"/>
  <c r="D186" i="20"/>
  <c r="D187" i="20"/>
  <c r="C188" i="20"/>
  <c r="D188" i="20"/>
  <c r="C189" i="20"/>
  <c r="D189" i="20"/>
  <c r="C190" i="20"/>
  <c r="C191" i="20"/>
  <c r="D190" i="20"/>
  <c r="C192" i="20"/>
  <c r="D191" i="20"/>
  <c r="D192" i="20"/>
  <c r="C193" i="20"/>
  <c r="C194" i="20"/>
  <c r="D193" i="20"/>
  <c r="D194" i="20"/>
  <c r="C195" i="20"/>
  <c r="C196" i="20"/>
  <c r="D195" i="20"/>
  <c r="C197" i="20"/>
  <c r="D196" i="20"/>
  <c r="C198" i="20"/>
  <c r="D197" i="20"/>
  <c r="D198" i="20"/>
  <c r="C199" i="20"/>
  <c r="C200" i="20"/>
  <c r="D199" i="20"/>
  <c r="C201" i="20"/>
  <c r="D200" i="20"/>
  <c r="D201" i="20"/>
  <c r="C202" i="20"/>
  <c r="C203" i="20"/>
  <c r="D202" i="20"/>
  <c r="C204" i="20"/>
  <c r="D203" i="20"/>
  <c r="D204" i="20"/>
  <c r="C205" i="20"/>
  <c r="C206" i="20"/>
  <c r="D205" i="20"/>
  <c r="C207" i="20"/>
  <c r="D206" i="20"/>
  <c r="D207" i="20"/>
  <c r="C208" i="20"/>
  <c r="C209" i="20"/>
  <c r="D208" i="20"/>
  <c r="C210" i="20"/>
  <c r="D209" i="20"/>
  <c r="C211" i="20"/>
  <c r="D210" i="20"/>
  <c r="D211" i="20"/>
  <c r="C212" i="20"/>
  <c r="C213" i="20"/>
  <c r="D212" i="20"/>
  <c r="C214" i="20"/>
  <c r="D213" i="20"/>
  <c r="D214" i="20"/>
  <c r="C215" i="20"/>
  <c r="D215" i="20"/>
  <c r="C216" i="20"/>
  <c r="D216" i="20"/>
  <c r="C217" i="20"/>
  <c r="D217" i="20"/>
  <c r="C218" i="20"/>
  <c r="C219" i="20"/>
  <c r="D218" i="20"/>
  <c r="C220" i="20"/>
  <c r="D219" i="20"/>
  <c r="C221" i="20"/>
  <c r="D220" i="20"/>
  <c r="C222" i="20"/>
  <c r="D221" i="20"/>
  <c r="D222" i="20"/>
  <c r="C223" i="20"/>
  <c r="C224" i="20"/>
  <c r="D223" i="20"/>
  <c r="D224" i="20"/>
  <c r="C225" i="20"/>
  <c r="C226" i="20"/>
  <c r="D225" i="20"/>
  <c r="D226" i="20"/>
  <c r="C227" i="20"/>
  <c r="D227" i="20"/>
  <c r="C228" i="20"/>
  <c r="C229" i="20"/>
  <c r="D228" i="20"/>
  <c r="C230" i="20"/>
  <c r="D229" i="20"/>
  <c r="D230" i="20"/>
  <c r="C231" i="20"/>
  <c r="D231" i="20"/>
  <c r="C232" i="20"/>
  <c r="D232" i="20"/>
  <c r="C233" i="20"/>
  <c r="C234" i="20"/>
  <c r="D233" i="20"/>
  <c r="D234" i="20"/>
  <c r="C235" i="20"/>
  <c r="C236" i="20"/>
  <c r="D235" i="20"/>
  <c r="D236" i="20"/>
  <c r="C237" i="20"/>
  <c r="D237" i="20"/>
  <c r="C238" i="20"/>
  <c r="D238" i="20"/>
  <c r="C239" i="20"/>
  <c r="C240" i="20"/>
  <c r="D239" i="20"/>
  <c r="D240" i="20"/>
  <c r="C241" i="20"/>
  <c r="D241" i="20"/>
  <c r="C242" i="20"/>
  <c r="C243" i="20"/>
  <c r="D242" i="20"/>
  <c r="D243" i="20"/>
  <c r="C244" i="20"/>
  <c r="D244" i="20"/>
  <c r="C245" i="20"/>
  <c r="C246" i="20"/>
  <c r="D245" i="20"/>
  <c r="D246" i="20"/>
  <c r="C247" i="20"/>
  <c r="D247" i="20"/>
  <c r="C248" i="20"/>
  <c r="D248" i="20"/>
  <c r="C249" i="20"/>
  <c r="D249" i="20"/>
  <c r="C250" i="20"/>
  <c r="C251" i="20"/>
  <c r="D250" i="20"/>
  <c r="D251" i="20"/>
  <c r="C252" i="20"/>
  <c r="C253" i="20"/>
  <c r="D252" i="20"/>
  <c r="D253" i="20"/>
  <c r="C254" i="20"/>
  <c r="D254" i="20"/>
  <c r="C255" i="20"/>
  <c r="D255" i="20"/>
  <c r="C256" i="20"/>
  <c r="D256" i="20"/>
  <c r="C257" i="20"/>
  <c r="D257" i="20"/>
  <c r="C258" i="20"/>
  <c r="C259" i="20"/>
  <c r="D258" i="20"/>
  <c r="C260" i="20"/>
  <c r="D259" i="20"/>
  <c r="D260" i="20"/>
  <c r="C261" i="20"/>
  <c r="D261" i="20"/>
  <c r="C262" i="20"/>
  <c r="D262" i="20"/>
  <c r="C263" i="20"/>
  <c r="D263" i="20"/>
  <c r="C264" i="20"/>
  <c r="C265" i="20"/>
  <c r="D264" i="20"/>
  <c r="D265" i="20"/>
  <c r="C266" i="20"/>
  <c r="C267" i="20"/>
  <c r="D266" i="20"/>
  <c r="D267" i="20"/>
  <c r="C268" i="20"/>
  <c r="D268" i="20"/>
  <c r="C269" i="20"/>
  <c r="D269" i="20"/>
  <c r="C270" i="20"/>
  <c r="D270" i="20"/>
  <c r="C271" i="20"/>
  <c r="C272" i="20"/>
  <c r="D271" i="20"/>
  <c r="C273" i="20"/>
  <c r="D272" i="20"/>
  <c r="C274" i="20"/>
  <c r="D273" i="20"/>
  <c r="D274" i="20"/>
  <c r="C275" i="20"/>
  <c r="D275" i="20"/>
  <c r="C276" i="20"/>
  <c r="D276" i="20"/>
  <c r="C277" i="20"/>
  <c r="D277" i="20"/>
  <c r="C278" i="20"/>
  <c r="D278" i="20"/>
  <c r="C279" i="20"/>
  <c r="C280" i="20"/>
  <c r="D279" i="20"/>
  <c r="C281" i="20"/>
  <c r="D280" i="20"/>
  <c r="C282" i="20"/>
  <c r="D281" i="20"/>
  <c r="C283" i="20"/>
  <c r="D282" i="20"/>
  <c r="D283" i="20"/>
  <c r="C284" i="20"/>
  <c r="D284" i="20"/>
  <c r="C285" i="20"/>
  <c r="C286" i="20"/>
  <c r="D285" i="20"/>
  <c r="C287" i="20"/>
  <c r="D286" i="20"/>
  <c r="C288" i="20"/>
  <c r="D287" i="20"/>
  <c r="D288" i="20"/>
  <c r="C289" i="20"/>
  <c r="C290" i="20"/>
  <c r="D289" i="20"/>
  <c r="C291" i="20"/>
  <c r="D290" i="20"/>
  <c r="C292" i="20"/>
  <c r="D291" i="20"/>
  <c r="D292" i="20"/>
  <c r="C293" i="20"/>
  <c r="C294" i="20"/>
  <c r="D293" i="20"/>
  <c r="C295" i="20"/>
  <c r="D294" i="20"/>
  <c r="D295" i="20"/>
  <c r="C296" i="20"/>
  <c r="C297" i="20"/>
  <c r="D296" i="20"/>
  <c r="C298" i="20"/>
  <c r="D297" i="20"/>
  <c r="D298" i="20"/>
  <c r="C299" i="20"/>
  <c r="D299" i="20"/>
  <c r="C300" i="20"/>
  <c r="D300" i="20"/>
  <c r="C301" i="20"/>
  <c r="D301" i="20"/>
  <c r="C302" i="20"/>
  <c r="D302" i="20"/>
  <c r="C303" i="20"/>
  <c r="C304" i="20"/>
  <c r="D303" i="20"/>
  <c r="D304" i="20"/>
  <c r="C305" i="20"/>
  <c r="D305" i="20"/>
  <c r="C306" i="20"/>
  <c r="D306" i="20"/>
  <c r="C307" i="20"/>
  <c r="D307" i="20"/>
  <c r="C308" i="20"/>
  <c r="C309" i="20"/>
  <c r="D308" i="20"/>
  <c r="C310" i="20"/>
  <c r="D309" i="20"/>
  <c r="C311" i="20"/>
  <c r="D310" i="20"/>
  <c r="C312" i="20"/>
  <c r="D311" i="20"/>
  <c r="C313" i="20"/>
  <c r="D312" i="20"/>
  <c r="D313" i="20"/>
  <c r="C314" i="20"/>
  <c r="D314" i="20"/>
  <c r="C315" i="20"/>
  <c r="C316" i="20"/>
  <c r="D315" i="20"/>
  <c r="C317" i="20"/>
  <c r="D316" i="20"/>
  <c r="C318" i="20"/>
  <c r="D317" i="20"/>
  <c r="C319" i="20"/>
  <c r="D318" i="20"/>
  <c r="D319" i="20"/>
  <c r="C320" i="20"/>
  <c r="D320" i="20"/>
  <c r="C321" i="20"/>
  <c r="C322" i="20"/>
  <c r="D321" i="20"/>
  <c r="D322" i="20"/>
  <c r="C323" i="20"/>
  <c r="D323" i="20"/>
  <c r="C324" i="20"/>
  <c r="C325" i="20"/>
  <c r="D324" i="20"/>
  <c r="C326" i="20"/>
  <c r="D325" i="20"/>
  <c r="D326" i="20"/>
  <c r="C327" i="20"/>
  <c r="C328" i="20"/>
  <c r="D327" i="20"/>
  <c r="C329" i="20"/>
  <c r="D328" i="20"/>
  <c r="C330" i="20"/>
  <c r="D329" i="20"/>
  <c r="C331" i="20"/>
  <c r="D330" i="20"/>
  <c r="D331" i="20"/>
  <c r="C332" i="20"/>
  <c r="C333" i="20"/>
  <c r="D332" i="20"/>
  <c r="D333" i="20"/>
  <c r="C334" i="20"/>
  <c r="C335" i="20"/>
  <c r="D334" i="20"/>
  <c r="D335" i="20"/>
  <c r="C336" i="20"/>
  <c r="D336" i="20"/>
  <c r="C337" i="20"/>
  <c r="C338" i="20"/>
  <c r="D337" i="20"/>
  <c r="C339" i="20"/>
  <c r="D338" i="20"/>
  <c r="D339" i="20"/>
  <c r="C340" i="20"/>
  <c r="C341" i="20"/>
  <c r="D340" i="20"/>
  <c r="C342" i="20"/>
  <c r="D341" i="20"/>
  <c r="D342" i="20"/>
  <c r="C343" i="20"/>
  <c r="D343" i="20"/>
  <c r="C344" i="20"/>
  <c r="C345" i="20"/>
  <c r="D344" i="20"/>
  <c r="D345" i="20"/>
  <c r="C346" i="20"/>
  <c r="D346" i="20"/>
  <c r="C347" i="20"/>
  <c r="D347" i="20"/>
  <c r="C348" i="20"/>
  <c r="D348" i="20"/>
  <c r="C349" i="20"/>
  <c r="C350" i="20"/>
  <c r="D349" i="20"/>
  <c r="C351" i="20"/>
  <c r="D350" i="20"/>
  <c r="D351" i="20"/>
  <c r="C352" i="20"/>
  <c r="C353" i="20"/>
  <c r="D352" i="20"/>
  <c r="C354" i="20"/>
  <c r="D353" i="20"/>
  <c r="C355" i="20"/>
  <c r="D354" i="20"/>
  <c r="C356" i="20"/>
  <c r="D355" i="20"/>
  <c r="C357" i="20"/>
  <c r="D356" i="20"/>
  <c r="C358" i="20"/>
  <c r="D357" i="20"/>
  <c r="D358" i="20"/>
  <c r="C359" i="20"/>
  <c r="C360" i="20"/>
  <c r="D359" i="20"/>
  <c r="D360" i="20"/>
  <c r="C361" i="20"/>
  <c r="C362" i="20"/>
  <c r="D361" i="20"/>
  <c r="C363" i="20"/>
  <c r="D362" i="20"/>
  <c r="C364" i="20"/>
  <c r="D363" i="20"/>
  <c r="D364" i="20"/>
  <c r="C365" i="20"/>
  <c r="C366" i="20"/>
  <c r="D365" i="20"/>
  <c r="D366" i="20"/>
  <c r="C367" i="20"/>
  <c r="C368" i="20"/>
  <c r="D367" i="20"/>
  <c r="C369" i="20"/>
  <c r="D368" i="20"/>
  <c r="D369" i="20"/>
  <c r="C370" i="20"/>
  <c r="C371" i="20"/>
  <c r="D370" i="20"/>
  <c r="D371" i="20"/>
  <c r="C372" i="20"/>
  <c r="D372" i="20"/>
  <c r="C373" i="20"/>
  <c r="C374" i="20"/>
  <c r="D373" i="20"/>
  <c r="C375" i="20"/>
  <c r="D374" i="20"/>
  <c r="D375" i="20"/>
  <c r="C376" i="20"/>
  <c r="D376" i="20"/>
  <c r="C377" i="20"/>
  <c r="C378" i="20"/>
  <c r="D377" i="20"/>
  <c r="C379" i="20"/>
  <c r="D378" i="20"/>
  <c r="C380" i="20"/>
  <c r="D379" i="20"/>
  <c r="D380" i="20"/>
  <c r="C381" i="20"/>
  <c r="C382" i="20"/>
  <c r="D381" i="20"/>
  <c r="D382" i="20"/>
  <c r="C383" i="20"/>
  <c r="C384" i="20"/>
  <c r="D383" i="20"/>
  <c r="C385" i="20"/>
  <c r="D384" i="20"/>
  <c r="C386" i="20"/>
  <c r="D385" i="20"/>
  <c r="C387" i="20"/>
  <c r="D386" i="20"/>
  <c r="C388" i="20"/>
  <c r="D387" i="20"/>
  <c r="C389" i="20"/>
  <c r="D388" i="20"/>
  <c r="D389" i="20"/>
  <c r="C390" i="20"/>
  <c r="D390" i="20"/>
  <c r="C391" i="20"/>
  <c r="D391" i="20"/>
  <c r="C392" i="20"/>
  <c r="D392" i="20"/>
  <c r="C393" i="20"/>
  <c r="D393" i="20"/>
  <c r="C394" i="20"/>
  <c r="D394" i="20"/>
  <c r="C395" i="20"/>
  <c r="C396" i="20"/>
  <c r="D395" i="20"/>
  <c r="C397" i="20"/>
  <c r="D396" i="20"/>
  <c r="C398" i="20"/>
  <c r="D397" i="20"/>
  <c r="D398" i="20"/>
  <c r="C399" i="20"/>
  <c r="C400" i="20"/>
  <c r="D399" i="20"/>
  <c r="D400" i="20"/>
  <c r="C401" i="20"/>
  <c r="D401" i="20"/>
  <c r="C402" i="20"/>
  <c r="D402" i="20"/>
  <c r="C403" i="20"/>
  <c r="D403" i="20"/>
  <c r="C404" i="20"/>
  <c r="C405" i="20"/>
  <c r="D404" i="20"/>
  <c r="C406" i="20"/>
  <c r="D405" i="20"/>
  <c r="C407" i="20"/>
  <c r="D406" i="20"/>
  <c r="C408" i="20"/>
  <c r="D407" i="20"/>
  <c r="D408" i="20"/>
  <c r="C409" i="20"/>
  <c r="D409" i="20"/>
  <c r="C410" i="20"/>
  <c r="C411" i="20"/>
  <c r="D410" i="20"/>
  <c r="D411" i="20"/>
  <c r="C412" i="20"/>
  <c r="D412" i="20"/>
  <c r="C413" i="20"/>
  <c r="C414" i="20"/>
  <c r="D413" i="20"/>
  <c r="D414" i="20"/>
  <c r="C415" i="20"/>
  <c r="D415" i="20"/>
  <c r="C416" i="20"/>
  <c r="D416" i="20"/>
  <c r="C417" i="20"/>
  <c r="C418" i="20"/>
  <c r="D417" i="20"/>
  <c r="D418" i="20"/>
  <c r="C419" i="20"/>
  <c r="D419" i="20"/>
  <c r="C420" i="20"/>
  <c r="D420" i="20"/>
  <c r="C421" i="20"/>
  <c r="D421" i="20"/>
  <c r="C422" i="20"/>
  <c r="D422" i="20"/>
  <c r="C423" i="20"/>
  <c r="D423" i="20"/>
  <c r="C424" i="20"/>
  <c r="D424" i="20"/>
  <c r="C425" i="20"/>
  <c r="C426" i="20"/>
  <c r="D425" i="20"/>
  <c r="C427" i="20"/>
  <c r="D426" i="20"/>
  <c r="D427" i="20"/>
  <c r="C428" i="20"/>
  <c r="D428" i="20"/>
  <c r="C429" i="20"/>
  <c r="D429" i="20"/>
  <c r="C430" i="20"/>
  <c r="C431" i="20"/>
  <c r="D430" i="20"/>
  <c r="D431" i="20"/>
  <c r="C432" i="20"/>
  <c r="C433" i="20"/>
  <c r="D432" i="20"/>
  <c r="C434" i="20"/>
  <c r="D433" i="20"/>
  <c r="D434" i="20"/>
  <c r="C435" i="20"/>
  <c r="C436" i="20"/>
  <c r="D435" i="20"/>
  <c r="D436" i="20"/>
  <c r="C437" i="20"/>
  <c r="C438" i="20"/>
  <c r="D437" i="20"/>
  <c r="D438" i="20"/>
  <c r="C439" i="20"/>
  <c r="C440" i="20"/>
  <c r="D439" i="20"/>
  <c r="D440" i="20"/>
  <c r="C441" i="20"/>
  <c r="D441" i="20"/>
  <c r="C442" i="20"/>
  <c r="D442" i="20"/>
  <c r="C443" i="20"/>
  <c r="D443" i="20"/>
  <c r="C444" i="20"/>
  <c r="C445" i="20"/>
  <c r="D444" i="20"/>
  <c r="D445" i="20"/>
  <c r="C446" i="20"/>
  <c r="D446" i="20"/>
  <c r="C447" i="20"/>
  <c r="D447" i="20"/>
  <c r="C448" i="20"/>
  <c r="C449" i="20"/>
  <c r="D448" i="20"/>
  <c r="C450" i="20"/>
  <c r="D449" i="20"/>
  <c r="C451" i="20"/>
  <c r="D450" i="20"/>
  <c r="D451" i="20"/>
  <c r="C452" i="20"/>
  <c r="C453" i="20"/>
  <c r="D452" i="20"/>
  <c r="D453" i="20"/>
  <c r="C454" i="20"/>
  <c r="C455" i="20"/>
  <c r="D454" i="20"/>
  <c r="C456" i="20"/>
  <c r="D455" i="20"/>
  <c r="D456" i="20"/>
  <c r="C457" i="20"/>
  <c r="C458" i="20"/>
  <c r="D457" i="20"/>
  <c r="C459" i="20"/>
  <c r="D458" i="20"/>
  <c r="C460" i="20"/>
  <c r="D459" i="20"/>
  <c r="C461" i="20"/>
  <c r="D460" i="20"/>
  <c r="D461" i="20"/>
  <c r="C462" i="20"/>
  <c r="D462" i="20"/>
  <c r="C463" i="20"/>
  <c r="D463" i="20"/>
  <c r="C464" i="20"/>
  <c r="C465" i="20"/>
  <c r="D464" i="20"/>
  <c r="C466" i="20"/>
  <c r="D465" i="20"/>
  <c r="D466" i="20"/>
  <c r="C467" i="20"/>
  <c r="C468" i="20"/>
  <c r="D467" i="20"/>
  <c r="D468" i="20"/>
  <c r="C469" i="20"/>
  <c r="D469" i="20"/>
  <c r="C470" i="20"/>
  <c r="D470" i="20"/>
  <c r="C471" i="20"/>
  <c r="C472" i="20"/>
  <c r="D471" i="20"/>
  <c r="D472" i="20"/>
  <c r="C473" i="20"/>
  <c r="D473" i="20"/>
  <c r="C474" i="20"/>
  <c r="D474" i="20"/>
  <c r="C475" i="20"/>
  <c r="C476" i="20"/>
  <c r="D475" i="20"/>
  <c r="D476" i="20"/>
  <c r="C477" i="20"/>
  <c r="D477" i="20"/>
  <c r="C478" i="20"/>
  <c r="D478" i="20"/>
  <c r="C479" i="20"/>
  <c r="C480" i="20"/>
  <c r="D479" i="20"/>
  <c r="C481" i="20"/>
  <c r="D480" i="20"/>
  <c r="D481" i="20"/>
  <c r="C482" i="20"/>
  <c r="C483" i="20"/>
  <c r="D482" i="20"/>
  <c r="D483" i="20"/>
  <c r="C484" i="20"/>
  <c r="D484" i="20"/>
  <c r="C485" i="20"/>
  <c r="D485" i="20"/>
  <c r="C486" i="20"/>
  <c r="C487" i="20"/>
  <c r="D486" i="20"/>
  <c r="D487" i="20"/>
  <c r="C488" i="20"/>
  <c r="C489" i="20"/>
  <c r="D488" i="20"/>
  <c r="D489" i="20"/>
  <c r="C490" i="20"/>
  <c r="D490" i="20"/>
  <c r="C491" i="20"/>
  <c r="D491" i="20"/>
  <c r="C492" i="20"/>
  <c r="D492" i="20"/>
  <c r="C493" i="20"/>
  <c r="C494" i="20"/>
  <c r="D493" i="20"/>
  <c r="C495" i="20"/>
  <c r="D494" i="20"/>
  <c r="D495" i="20"/>
  <c r="C496" i="20"/>
  <c r="D496" i="20"/>
  <c r="C497" i="20"/>
  <c r="D497" i="20"/>
  <c r="C498" i="20"/>
  <c r="D498" i="20"/>
  <c r="C499" i="20"/>
  <c r="C500" i="20"/>
  <c r="D499" i="20"/>
  <c r="C501" i="20"/>
  <c r="D500" i="20"/>
  <c r="C502" i="20"/>
  <c r="D501" i="20"/>
  <c r="C503" i="20"/>
  <c r="D502" i="20"/>
  <c r="C504" i="20"/>
  <c r="D503" i="20"/>
  <c r="C505" i="20"/>
  <c r="D504" i="20"/>
  <c r="C506" i="20"/>
  <c r="D505" i="20"/>
  <c r="C507" i="20"/>
  <c r="D506" i="20"/>
  <c r="C508" i="20"/>
  <c r="D507" i="20"/>
  <c r="D508" i="20"/>
  <c r="C509" i="20"/>
  <c r="C510" i="20"/>
  <c r="D509" i="20"/>
  <c r="D510" i="20"/>
  <c r="C511" i="20"/>
  <c r="D511" i="20"/>
  <c r="C512" i="20"/>
  <c r="C513" i="20"/>
  <c r="D512" i="20"/>
  <c r="C514" i="20"/>
  <c r="D513" i="20"/>
  <c r="C515" i="20"/>
  <c r="D514" i="20"/>
  <c r="C516" i="20"/>
  <c r="D515" i="20"/>
  <c r="D516" i="20"/>
  <c r="C517" i="20"/>
  <c r="D517" i="20"/>
  <c r="C518" i="20"/>
  <c r="C519" i="20"/>
  <c r="D518" i="20"/>
  <c r="C520" i="20"/>
  <c r="D519" i="20"/>
  <c r="D520" i="20"/>
  <c r="C521" i="20"/>
  <c r="C522" i="20"/>
  <c r="D521" i="20"/>
  <c r="D522" i="20"/>
  <c r="C523" i="20"/>
  <c r="D523" i="20"/>
  <c r="C524" i="20"/>
  <c r="C525" i="20"/>
  <c r="D524" i="20"/>
  <c r="D525" i="20"/>
  <c r="C526" i="20"/>
  <c r="C527" i="20"/>
  <c r="D526" i="20"/>
  <c r="D527" i="20"/>
  <c r="C528" i="20"/>
  <c r="C529" i="20"/>
  <c r="D528" i="20"/>
  <c r="D529" i="20"/>
  <c r="C530" i="20"/>
  <c r="D530" i="20"/>
  <c r="C531" i="20"/>
  <c r="C532" i="20"/>
  <c r="D531" i="20"/>
  <c r="C533" i="20"/>
  <c r="D532" i="20"/>
  <c r="C534" i="20"/>
  <c r="D533" i="20"/>
  <c r="C535" i="20"/>
  <c r="D534" i="20"/>
  <c r="D535" i="20"/>
  <c r="C536" i="20"/>
  <c r="C537" i="20"/>
  <c r="D536" i="20"/>
  <c r="C538" i="20"/>
  <c r="D537" i="20"/>
  <c r="D538" i="20"/>
  <c r="C539" i="20"/>
  <c r="D539" i="20"/>
  <c r="C540" i="20"/>
  <c r="C541" i="20"/>
  <c r="D540" i="20"/>
  <c r="D541" i="20"/>
  <c r="C542" i="20"/>
  <c r="D542" i="20"/>
  <c r="C543" i="20"/>
  <c r="C544" i="20"/>
  <c r="D543" i="20"/>
  <c r="C545" i="20"/>
  <c r="D544" i="20"/>
  <c r="C546" i="20"/>
  <c r="D545" i="20"/>
  <c r="D546" i="20"/>
  <c r="C547" i="20"/>
  <c r="C548" i="20"/>
  <c r="D547" i="20"/>
  <c r="D548" i="20"/>
  <c r="C549" i="20"/>
  <c r="C550" i="20"/>
  <c r="D549" i="20"/>
  <c r="C551" i="20"/>
  <c r="D550" i="20"/>
  <c r="D551" i="20"/>
  <c r="C552" i="20"/>
  <c r="D552" i="20"/>
  <c r="C553" i="20"/>
  <c r="C554" i="20"/>
  <c r="D553" i="20"/>
  <c r="D554" i="20"/>
  <c r="C555" i="20"/>
  <c r="D555" i="20"/>
  <c r="C556" i="20"/>
  <c r="C557" i="20"/>
  <c r="D556" i="20"/>
  <c r="C558" i="20"/>
  <c r="D557" i="20"/>
  <c r="C559" i="20"/>
  <c r="D558" i="20"/>
  <c r="D559" i="20"/>
  <c r="C560" i="20"/>
  <c r="D560" i="20"/>
  <c r="C561" i="20"/>
  <c r="D561" i="20"/>
  <c r="C562" i="20"/>
  <c r="D562" i="20"/>
  <c r="C563" i="20"/>
  <c r="C564" i="20"/>
  <c r="D563" i="20"/>
  <c r="C565" i="20"/>
  <c r="D564" i="20"/>
  <c r="D565" i="20"/>
  <c r="C566" i="20"/>
  <c r="D566" i="20"/>
  <c r="C567" i="20"/>
  <c r="D567" i="20"/>
  <c r="C568" i="20"/>
  <c r="D568" i="20"/>
  <c r="C569" i="20"/>
  <c r="D569" i="20"/>
  <c r="C570" i="20"/>
  <c r="C571" i="20"/>
  <c r="D570" i="20"/>
  <c r="D571" i="20"/>
  <c r="C572" i="20"/>
  <c r="C573" i="20"/>
  <c r="D572" i="20"/>
  <c r="D573" i="20"/>
  <c r="C574" i="20"/>
  <c r="C575" i="20"/>
  <c r="D574" i="20"/>
  <c r="C576" i="20"/>
  <c r="D575" i="20"/>
  <c r="D576" i="20"/>
  <c r="C577" i="20"/>
  <c r="C578" i="20"/>
  <c r="D577" i="20"/>
  <c r="D578" i="20"/>
  <c r="C579" i="20"/>
  <c r="C580" i="20"/>
  <c r="D579" i="20"/>
  <c r="D580" i="20"/>
  <c r="C581" i="20"/>
  <c r="D581" i="20"/>
  <c r="C582" i="20"/>
  <c r="C583" i="20"/>
  <c r="D582" i="20"/>
  <c r="D583" i="20"/>
  <c r="C584" i="20"/>
  <c r="C585" i="20"/>
  <c r="D584" i="20"/>
  <c r="D585" i="20"/>
  <c r="C586" i="20"/>
  <c r="D586" i="20"/>
  <c r="C587" i="20"/>
  <c r="D587" i="20"/>
  <c r="C588" i="20"/>
  <c r="D588" i="20"/>
  <c r="C589" i="20"/>
  <c r="C590" i="20"/>
  <c r="D589" i="20"/>
  <c r="D590" i="20"/>
  <c r="C591" i="20"/>
  <c r="C592" i="20"/>
  <c r="D591" i="20"/>
  <c r="D592" i="20"/>
  <c r="C593" i="20"/>
  <c r="C594" i="20"/>
  <c r="D593" i="20"/>
  <c r="D594" i="20"/>
  <c r="C595" i="20"/>
  <c r="D595" i="20"/>
  <c r="C596" i="20"/>
  <c r="C597" i="20"/>
  <c r="D596" i="20"/>
  <c r="D597" i="20"/>
  <c r="C598" i="20"/>
  <c r="D598" i="20"/>
  <c r="C599" i="20"/>
  <c r="C600" i="20"/>
  <c r="D599" i="20"/>
  <c r="D600" i="20"/>
  <c r="C601" i="20"/>
  <c r="C602" i="20"/>
  <c r="D601" i="20"/>
  <c r="D602" i="20"/>
  <c r="C603" i="20"/>
  <c r="C604" i="20"/>
  <c r="D603" i="20"/>
  <c r="D604" i="20"/>
  <c r="C605" i="20"/>
  <c r="D605" i="20"/>
  <c r="C606" i="20"/>
  <c r="C607" i="20"/>
  <c r="D606" i="20"/>
  <c r="D607" i="20"/>
  <c r="C608" i="20"/>
  <c r="C609" i="20"/>
  <c r="D608" i="20"/>
  <c r="C610" i="20"/>
  <c r="D609" i="20"/>
  <c r="D610" i="20"/>
  <c r="C611" i="20"/>
  <c r="D611" i="20"/>
  <c r="C612" i="20"/>
  <c r="C613" i="20"/>
  <c r="D612" i="20"/>
  <c r="C614" i="20"/>
  <c r="D613" i="20"/>
  <c r="C615" i="20"/>
  <c r="D614" i="20"/>
  <c r="D615" i="20"/>
  <c r="C616" i="20"/>
  <c r="C617" i="20"/>
  <c r="D616" i="20"/>
  <c r="D617" i="20"/>
  <c r="C618" i="20"/>
  <c r="C619" i="20"/>
  <c r="D618" i="20"/>
  <c r="C620" i="20"/>
  <c r="D619" i="20"/>
  <c r="C621" i="20"/>
  <c r="D620" i="20"/>
  <c r="C622" i="20"/>
  <c r="D621" i="20"/>
  <c r="D622" i="20"/>
  <c r="C623" i="20"/>
  <c r="D623" i="20"/>
  <c r="C624" i="20"/>
  <c r="C625" i="20"/>
  <c r="D624" i="20"/>
  <c r="D625" i="20"/>
  <c r="C626" i="20"/>
  <c r="C627" i="20"/>
  <c r="D626" i="20"/>
  <c r="D627" i="20"/>
  <c r="C628" i="20"/>
  <c r="C629" i="20"/>
  <c r="D628" i="20"/>
  <c r="D629" i="20"/>
  <c r="C630" i="20"/>
  <c r="C631" i="20"/>
  <c r="D630" i="20"/>
  <c r="D631" i="20"/>
  <c r="C632" i="20"/>
  <c r="D632" i="20"/>
  <c r="C633" i="20"/>
  <c r="C634" i="20"/>
  <c r="D633" i="20"/>
  <c r="C635" i="20"/>
  <c r="D634" i="20"/>
  <c r="C636" i="20"/>
  <c r="D635" i="20"/>
  <c r="D636" i="20"/>
  <c r="C637" i="20"/>
  <c r="D637" i="20"/>
  <c r="C638" i="20"/>
  <c r="D638" i="20"/>
  <c r="C639" i="20"/>
  <c r="C640" i="20"/>
  <c r="D639" i="20"/>
  <c r="D640" i="20"/>
  <c r="C641" i="20"/>
  <c r="C642" i="20"/>
  <c r="D641" i="20"/>
  <c r="D642" i="20"/>
  <c r="C643" i="20"/>
  <c r="C644" i="20"/>
  <c r="D643" i="20"/>
  <c r="D644" i="20"/>
  <c r="C645" i="20"/>
  <c r="D645" i="20"/>
  <c r="C646" i="20"/>
  <c r="C647" i="20"/>
  <c r="D646" i="20"/>
  <c r="D647" i="20"/>
  <c r="C648" i="20"/>
  <c r="D648" i="20"/>
  <c r="C649" i="20"/>
  <c r="C650" i="20"/>
  <c r="D649" i="20"/>
  <c r="C651" i="20"/>
  <c r="D650" i="20"/>
  <c r="D651" i="20"/>
  <c r="C652" i="20"/>
  <c r="D652" i="20"/>
  <c r="C653" i="20"/>
  <c r="D653" i="20"/>
  <c r="C654" i="20"/>
  <c r="D654" i="20"/>
  <c r="C655" i="20"/>
  <c r="D655" i="20"/>
  <c r="C656" i="20"/>
  <c r="C657" i="20"/>
  <c r="D656" i="20"/>
  <c r="C658" i="20"/>
  <c r="D657" i="20"/>
  <c r="D658" i="20"/>
  <c r="C659" i="20"/>
  <c r="D659" i="20"/>
  <c r="C660" i="20"/>
  <c r="D660" i="20"/>
  <c r="C661" i="20"/>
  <c r="D661" i="20"/>
  <c r="C662" i="20"/>
  <c r="D662" i="20"/>
  <c r="C663" i="20"/>
  <c r="C664" i="20"/>
  <c r="D663" i="20"/>
  <c r="C665" i="20"/>
  <c r="D664" i="20"/>
  <c r="C666" i="20"/>
  <c r="D665" i="20"/>
  <c r="D666" i="20"/>
  <c r="C667" i="20"/>
  <c r="C668" i="20"/>
  <c r="D667" i="20"/>
  <c r="C669" i="20"/>
  <c r="D668" i="20"/>
  <c r="D669" i="20"/>
  <c r="C670" i="20"/>
  <c r="C671" i="20"/>
  <c r="D670" i="20"/>
  <c r="C672" i="20"/>
  <c r="D671" i="20"/>
  <c r="D672" i="20"/>
  <c r="C673" i="20"/>
  <c r="D673" i="20"/>
  <c r="C674" i="20"/>
  <c r="D674" i="20"/>
  <c r="C675" i="20"/>
  <c r="D675" i="20"/>
  <c r="C676" i="20"/>
  <c r="D676" i="20"/>
  <c r="C677" i="20"/>
  <c r="C678" i="20"/>
  <c r="D677" i="20"/>
  <c r="C679" i="20"/>
  <c r="D678" i="20"/>
  <c r="C680" i="20"/>
  <c r="D679" i="20"/>
  <c r="C681" i="20"/>
  <c r="D680" i="20"/>
  <c r="C682" i="20"/>
  <c r="D681" i="20"/>
  <c r="D682" i="20"/>
  <c r="C683" i="20"/>
  <c r="C684" i="20"/>
  <c r="D683" i="20"/>
  <c r="D684" i="20"/>
  <c r="C685" i="20"/>
  <c r="D685" i="20"/>
  <c r="C686" i="20"/>
  <c r="D686" i="20"/>
  <c r="C687" i="20"/>
  <c r="D687" i="20"/>
  <c r="C688" i="20"/>
  <c r="D688" i="20"/>
  <c r="C689" i="20"/>
  <c r="D689" i="20"/>
  <c r="C690" i="20"/>
  <c r="D690" i="20"/>
  <c r="C691" i="20"/>
  <c r="C692" i="20"/>
  <c r="D691" i="20"/>
  <c r="D692" i="20"/>
  <c r="C693" i="20"/>
  <c r="D693" i="20"/>
  <c r="C694" i="20"/>
  <c r="D694" i="20"/>
  <c r="C695" i="20"/>
  <c r="C696" i="20"/>
  <c r="D695" i="20"/>
  <c r="C697" i="20"/>
  <c r="D696" i="20"/>
  <c r="C698" i="20"/>
  <c r="D697" i="20"/>
  <c r="D698" i="20"/>
  <c r="C699" i="20"/>
  <c r="C700" i="20"/>
  <c r="D699" i="20"/>
  <c r="D700" i="20"/>
  <c r="C701" i="20"/>
  <c r="D701" i="20"/>
  <c r="C702" i="20"/>
  <c r="D702" i="20"/>
  <c r="C703" i="20"/>
  <c r="C704" i="20"/>
  <c r="D703" i="20"/>
  <c r="D704" i="20"/>
  <c r="C705" i="20"/>
  <c r="D705" i="20"/>
  <c r="C706" i="20"/>
  <c r="D706" i="20"/>
  <c r="C707" i="20"/>
  <c r="D707" i="20"/>
  <c r="C708" i="20"/>
  <c r="D708" i="20"/>
  <c r="C709" i="20"/>
  <c r="D709" i="20"/>
  <c r="C710" i="20"/>
  <c r="C711" i="20"/>
  <c r="D710" i="20"/>
  <c r="C712" i="20"/>
  <c r="D711" i="20"/>
  <c r="C713" i="20"/>
  <c r="D712" i="20"/>
  <c r="D713" i="20"/>
  <c r="C714" i="20"/>
  <c r="D714" i="20"/>
  <c r="C715" i="20"/>
  <c r="C716" i="20"/>
  <c r="D715" i="20"/>
  <c r="D716" i="20"/>
  <c r="C717" i="20"/>
  <c r="D717" i="20"/>
  <c r="C718" i="20"/>
  <c r="D718" i="20"/>
  <c r="C719" i="20"/>
  <c r="C720" i="20"/>
  <c r="D719" i="20"/>
  <c r="D720" i="20"/>
  <c r="C721" i="20"/>
  <c r="D721" i="20"/>
  <c r="C722" i="20"/>
  <c r="C723" i="20"/>
  <c r="D722" i="20"/>
  <c r="C724" i="20"/>
  <c r="D723" i="20"/>
  <c r="D724" i="20"/>
  <c r="C725" i="20"/>
  <c r="D725" i="20"/>
  <c r="C726" i="20"/>
  <c r="C727" i="20"/>
  <c r="D726" i="20"/>
  <c r="D727" i="20"/>
  <c r="C728" i="20"/>
  <c r="C729" i="20"/>
  <c r="D728" i="20"/>
  <c r="D729" i="20"/>
  <c r="C730" i="20"/>
  <c r="D730" i="20"/>
  <c r="C731" i="20"/>
  <c r="C732" i="20"/>
  <c r="D731" i="20"/>
  <c r="C733" i="20"/>
  <c r="D732" i="20"/>
  <c r="C734" i="20"/>
  <c r="D733" i="20"/>
  <c r="C735" i="20"/>
  <c r="D734" i="20"/>
  <c r="D735" i="20"/>
  <c r="C736" i="20"/>
  <c r="D736" i="20"/>
  <c r="C737" i="20"/>
  <c r="C738" i="20"/>
  <c r="D737" i="20"/>
  <c r="D738" i="20"/>
  <c r="C739" i="20"/>
  <c r="C740" i="20"/>
  <c r="D739" i="20"/>
  <c r="C741" i="20"/>
  <c r="D740" i="20"/>
  <c r="C742" i="20"/>
  <c r="D741" i="20"/>
  <c r="C743" i="20"/>
  <c r="D742" i="20"/>
  <c r="C744" i="20"/>
  <c r="D743" i="20"/>
  <c r="C745" i="20"/>
  <c r="D744" i="20"/>
  <c r="D745" i="20"/>
  <c r="C746" i="20"/>
  <c r="C747" i="20"/>
  <c r="D746" i="20"/>
  <c r="D747" i="20"/>
  <c r="C748" i="20"/>
  <c r="D748" i="20"/>
  <c r="C749" i="20"/>
  <c r="D749" i="20"/>
  <c r="C750" i="20"/>
  <c r="D750" i="20"/>
  <c r="C751" i="20"/>
  <c r="D751" i="20"/>
  <c r="C752" i="20"/>
  <c r="D752" i="20"/>
  <c r="C753" i="20"/>
  <c r="D753" i="20"/>
  <c r="C754" i="20"/>
  <c r="C755" i="20"/>
  <c r="D754" i="20"/>
  <c r="D755" i="20"/>
  <c r="C756" i="20"/>
  <c r="C757" i="20"/>
  <c r="D756" i="20"/>
  <c r="D757" i="20"/>
  <c r="C758" i="20"/>
  <c r="D758" i="20"/>
  <c r="C759" i="20"/>
  <c r="C760" i="20"/>
  <c r="D759" i="20"/>
  <c r="D760" i="20"/>
  <c r="C761" i="20"/>
  <c r="D761" i="20"/>
  <c r="C762" i="20"/>
  <c r="D762" i="20"/>
  <c r="C763" i="20"/>
  <c r="D763" i="20"/>
  <c r="C764" i="20"/>
  <c r="C765" i="20"/>
  <c r="D764" i="20"/>
  <c r="D765" i="20"/>
  <c r="C766" i="20"/>
  <c r="C767" i="20"/>
  <c r="D766" i="20"/>
  <c r="D767" i="20"/>
  <c r="C768" i="20"/>
  <c r="D768" i="20"/>
  <c r="C769" i="20"/>
  <c r="C770" i="20"/>
  <c r="D769" i="20"/>
  <c r="D770" i="20"/>
  <c r="C771" i="20"/>
  <c r="D771" i="20"/>
  <c r="C772" i="20"/>
  <c r="C773" i="20"/>
  <c r="D772" i="20"/>
  <c r="D773" i="20"/>
  <c r="C774" i="20"/>
  <c r="C775" i="20"/>
  <c r="D774" i="20"/>
  <c r="C776" i="20"/>
  <c r="D775" i="20"/>
  <c r="C777" i="20"/>
  <c r="D776" i="20"/>
  <c r="D777" i="20"/>
  <c r="C778" i="20"/>
  <c r="C779" i="20"/>
  <c r="D778" i="20"/>
  <c r="C780" i="20"/>
  <c r="D779" i="20"/>
  <c r="D780" i="20"/>
  <c r="C781" i="20"/>
  <c r="D781" i="20"/>
  <c r="C782" i="20"/>
  <c r="C783" i="20"/>
  <c r="D782" i="20"/>
  <c r="D783" i="20"/>
  <c r="C784" i="20"/>
  <c r="C785" i="20"/>
  <c r="D784" i="20"/>
  <c r="D785" i="20"/>
  <c r="C786" i="20"/>
  <c r="C787" i="20"/>
  <c r="D786" i="20"/>
  <c r="D787" i="20"/>
  <c r="C788" i="20"/>
  <c r="C789" i="20"/>
  <c r="D788" i="20"/>
  <c r="D789" i="20"/>
  <c r="C790" i="20"/>
  <c r="C791" i="20"/>
  <c r="D790" i="20"/>
  <c r="C792" i="20"/>
  <c r="D791" i="20"/>
  <c r="C793" i="20"/>
  <c r="D792" i="20"/>
  <c r="D793" i="20"/>
  <c r="C794" i="20"/>
  <c r="C795" i="20"/>
  <c r="D794" i="20"/>
  <c r="D795" i="20"/>
  <c r="C796" i="20"/>
  <c r="C797" i="20"/>
  <c r="D796" i="20"/>
  <c r="C798" i="20"/>
  <c r="D797" i="20"/>
  <c r="D798" i="20"/>
  <c r="C799" i="20"/>
  <c r="C800" i="20"/>
  <c r="D799" i="20"/>
  <c r="D800" i="20"/>
  <c r="C801" i="20"/>
  <c r="C802" i="20"/>
  <c r="D801" i="20"/>
  <c r="C803" i="20"/>
  <c r="D802" i="20"/>
  <c r="D803" i="20"/>
  <c r="C804" i="20"/>
  <c r="C805" i="20"/>
  <c r="D804" i="20"/>
  <c r="C806" i="20"/>
  <c r="D805" i="20"/>
  <c r="C807" i="20"/>
  <c r="D806" i="20"/>
  <c r="C808" i="20"/>
  <c r="D807" i="20"/>
  <c r="D808" i="20"/>
  <c r="C809" i="20"/>
  <c r="D809" i="20"/>
  <c r="C810" i="20"/>
  <c r="D810" i="20"/>
  <c r="C811" i="20"/>
  <c r="C812" i="20"/>
  <c r="D811" i="20"/>
  <c r="D812" i="20"/>
  <c r="C813" i="20"/>
  <c r="C814" i="20"/>
  <c r="D813" i="20"/>
  <c r="D814" i="20"/>
  <c r="C815" i="20"/>
  <c r="D815" i="20"/>
  <c r="C816" i="20"/>
  <c r="C817" i="20"/>
  <c r="D816" i="20"/>
  <c r="C818" i="20"/>
  <c r="D817" i="20"/>
  <c r="D818" i="20"/>
  <c r="C819" i="20"/>
  <c r="D819" i="20"/>
  <c r="C820" i="20"/>
  <c r="D820" i="20"/>
  <c r="C821" i="20"/>
  <c r="D821" i="20"/>
  <c r="C822" i="20"/>
  <c r="C823" i="20"/>
  <c r="D822" i="20"/>
  <c r="D823" i="20"/>
  <c r="C824" i="20"/>
  <c r="C825" i="20"/>
  <c r="D824" i="20"/>
  <c r="C826" i="20"/>
  <c r="D825" i="20"/>
  <c r="C827" i="20"/>
  <c r="D826" i="20"/>
  <c r="D827" i="20"/>
  <c r="C828" i="20"/>
  <c r="D828" i="20"/>
  <c r="C829" i="20"/>
  <c r="D829" i="20"/>
  <c r="C830" i="20"/>
  <c r="D830" i="20"/>
  <c r="C831" i="20"/>
  <c r="D831" i="20"/>
  <c r="C832" i="20"/>
  <c r="D832" i="20"/>
  <c r="C833" i="20"/>
  <c r="D833" i="20"/>
  <c r="C834" i="20"/>
  <c r="D834" i="20"/>
  <c r="C835" i="20"/>
  <c r="D835" i="20"/>
  <c r="C836" i="20"/>
  <c r="C837" i="20"/>
  <c r="D836" i="20"/>
  <c r="D837" i="20"/>
  <c r="C838" i="20"/>
  <c r="D838" i="20"/>
  <c r="C839" i="20"/>
  <c r="D839" i="20"/>
  <c r="C840" i="20"/>
  <c r="D840" i="20"/>
  <c r="C841" i="20"/>
  <c r="C842" i="20"/>
  <c r="D841" i="20"/>
  <c r="D842" i="20"/>
  <c r="C843" i="20"/>
  <c r="C844" i="20"/>
  <c r="D843" i="20"/>
  <c r="D844" i="20"/>
  <c r="C845" i="20"/>
  <c r="C846" i="20"/>
  <c r="D845" i="20"/>
  <c r="C847" i="20"/>
  <c r="D846" i="20"/>
  <c r="D847" i="20"/>
  <c r="C848" i="20"/>
  <c r="D848" i="20"/>
  <c r="C849" i="20"/>
  <c r="D849" i="20"/>
  <c r="C850" i="20"/>
  <c r="D850" i="20"/>
  <c r="C851" i="20"/>
  <c r="C852" i="20"/>
  <c r="D851" i="20"/>
  <c r="C853" i="20"/>
  <c r="D852" i="20"/>
  <c r="D853" i="20"/>
  <c r="C854" i="20"/>
  <c r="D854" i="20"/>
  <c r="C855" i="20"/>
  <c r="C856" i="20"/>
  <c r="D855" i="20"/>
  <c r="D856" i="20"/>
  <c r="C857" i="20"/>
  <c r="C858" i="20"/>
  <c r="D857" i="20"/>
  <c r="D858" i="20"/>
  <c r="C859" i="20"/>
  <c r="C860" i="20"/>
  <c r="D859" i="20"/>
  <c r="D860" i="20"/>
  <c r="C861" i="20"/>
  <c r="C862" i="20"/>
  <c r="D861" i="20"/>
  <c r="D862" i="20"/>
  <c r="C863" i="20"/>
  <c r="D863" i="20"/>
  <c r="C864" i="20"/>
  <c r="C865" i="20"/>
  <c r="D864" i="20"/>
  <c r="C866" i="20"/>
  <c r="D865" i="20"/>
  <c r="C867" i="20"/>
  <c r="D866" i="20"/>
  <c r="C868" i="20"/>
  <c r="D867" i="20"/>
  <c r="D868" i="20"/>
  <c r="C869" i="20"/>
  <c r="C870" i="20"/>
  <c r="D869" i="20"/>
  <c r="C871" i="20"/>
  <c r="D870" i="20"/>
  <c r="D871" i="20"/>
  <c r="C872" i="20"/>
  <c r="D872" i="20"/>
  <c r="C873" i="20"/>
  <c r="C874" i="20"/>
  <c r="D873" i="20"/>
  <c r="D874" i="20"/>
  <c r="C875" i="20"/>
  <c r="D875" i="20"/>
  <c r="C876" i="20"/>
  <c r="C877" i="20"/>
  <c r="D876" i="20"/>
  <c r="D877" i="20"/>
  <c r="C878" i="20"/>
  <c r="C879" i="20"/>
  <c r="D878" i="20"/>
  <c r="D879" i="20"/>
  <c r="C880" i="20"/>
  <c r="C881" i="20"/>
  <c r="D880" i="20"/>
  <c r="C882" i="20"/>
  <c r="D881" i="20"/>
  <c r="D882" i="20"/>
  <c r="C883" i="20"/>
  <c r="C884" i="20"/>
  <c r="D883" i="20"/>
  <c r="C885" i="20"/>
  <c r="D884" i="20"/>
  <c r="D885" i="20"/>
  <c r="C886" i="20"/>
  <c r="D886" i="20"/>
  <c r="C887" i="20"/>
  <c r="D887" i="20"/>
  <c r="C888" i="20"/>
  <c r="C889" i="20"/>
  <c r="D888" i="20"/>
  <c r="C890" i="20"/>
  <c r="D889" i="20"/>
  <c r="D890" i="20"/>
  <c r="C891" i="20"/>
  <c r="D891" i="20"/>
  <c r="C892" i="20"/>
  <c r="C893" i="20"/>
  <c r="D892" i="20"/>
  <c r="D893" i="20"/>
  <c r="C894" i="20"/>
  <c r="C895" i="20"/>
  <c r="D894" i="20"/>
  <c r="D895" i="20"/>
  <c r="C896" i="20"/>
  <c r="C897" i="20"/>
  <c r="D896" i="20"/>
  <c r="D897" i="20"/>
  <c r="C898" i="20"/>
  <c r="C899" i="20"/>
  <c r="D898" i="20"/>
  <c r="C900" i="20"/>
  <c r="D899" i="20"/>
  <c r="D900" i="20"/>
  <c r="C901" i="20"/>
  <c r="C902" i="20"/>
  <c r="D901" i="20"/>
  <c r="D902" i="20"/>
  <c r="C903" i="20"/>
  <c r="D903" i="20"/>
  <c r="C904" i="20"/>
  <c r="C905" i="20"/>
  <c r="D904" i="20"/>
  <c r="D905" i="20"/>
  <c r="C906" i="20"/>
  <c r="D906" i="20"/>
  <c r="C907" i="20"/>
  <c r="D907" i="20"/>
  <c r="C908" i="20"/>
  <c r="D908" i="20"/>
  <c r="C909" i="20"/>
  <c r="C910" i="20"/>
  <c r="D909" i="20"/>
  <c r="C911" i="20"/>
  <c r="D910" i="20"/>
  <c r="D911" i="20"/>
  <c r="C912" i="20"/>
  <c r="C913" i="20"/>
  <c r="D912" i="20"/>
  <c r="C914" i="20"/>
  <c r="D913" i="20"/>
  <c r="C915" i="20"/>
  <c r="D914" i="20"/>
  <c r="D915" i="20"/>
  <c r="C916" i="20"/>
  <c r="D916" i="20"/>
  <c r="C917" i="20"/>
  <c r="D917" i="20"/>
  <c r="C918" i="20"/>
  <c r="D918" i="20"/>
  <c r="C919" i="20"/>
  <c r="C920" i="20"/>
  <c r="D919" i="20"/>
  <c r="D920" i="20"/>
  <c r="C921" i="20"/>
  <c r="D921" i="20"/>
  <c r="C922" i="20"/>
  <c r="C923" i="20"/>
  <c r="D922" i="20"/>
  <c r="D923" i="20"/>
  <c r="C924" i="20"/>
  <c r="C925" i="20"/>
  <c r="D924" i="20"/>
  <c r="D925" i="20"/>
  <c r="C926" i="20"/>
  <c r="C927" i="20"/>
  <c r="D926" i="20"/>
  <c r="C928" i="20"/>
  <c r="D927" i="20"/>
  <c r="D928" i="20"/>
  <c r="C929" i="20"/>
  <c r="C930" i="20"/>
  <c r="D929" i="20"/>
  <c r="C931" i="20"/>
  <c r="D930" i="20"/>
  <c r="D931" i="20"/>
  <c r="C932" i="20"/>
  <c r="D932" i="20"/>
  <c r="C933" i="20"/>
  <c r="C934" i="20"/>
  <c r="D933" i="20"/>
  <c r="C935" i="20"/>
  <c r="D934" i="20"/>
  <c r="C936" i="20"/>
  <c r="D935" i="20"/>
  <c r="C937" i="20"/>
  <c r="D936" i="20"/>
  <c r="D937" i="20"/>
  <c r="C938" i="20"/>
  <c r="C939" i="20"/>
  <c r="D938" i="20"/>
  <c r="D939" i="20"/>
  <c r="C940" i="20"/>
  <c r="C941" i="20"/>
  <c r="D940" i="20"/>
  <c r="D941" i="20"/>
  <c r="C942" i="20"/>
  <c r="C943" i="20"/>
  <c r="D942" i="20"/>
  <c r="D943" i="20"/>
  <c r="C944" i="20"/>
  <c r="D944" i="20"/>
  <c r="C945" i="20"/>
  <c r="D945" i="20"/>
  <c r="C946" i="20"/>
  <c r="D946" i="20"/>
  <c r="C947" i="20"/>
  <c r="D947" i="20"/>
  <c r="C948" i="20"/>
  <c r="C949" i="20"/>
  <c r="D948" i="20"/>
  <c r="D949" i="20"/>
  <c r="C950" i="20"/>
  <c r="D950" i="20"/>
  <c r="C951" i="20"/>
  <c r="D951" i="20"/>
  <c r="C952" i="20"/>
  <c r="D952" i="20"/>
  <c r="C953" i="20"/>
  <c r="C954" i="20"/>
  <c r="D953" i="20"/>
  <c r="C955" i="20"/>
  <c r="D954" i="20"/>
  <c r="C956" i="20"/>
  <c r="D955" i="20"/>
  <c r="C957" i="20"/>
  <c r="D956" i="20"/>
  <c r="D957" i="20"/>
  <c r="C958" i="20"/>
  <c r="D958" i="20"/>
  <c r="C959" i="20"/>
  <c r="C960" i="20"/>
  <c r="D959" i="20"/>
  <c r="D960" i="20"/>
  <c r="C961" i="20"/>
  <c r="D961" i="20"/>
  <c r="C962" i="20"/>
  <c r="C963" i="20"/>
  <c r="D962" i="20"/>
  <c r="C964" i="20"/>
  <c r="D963" i="20"/>
  <c r="D964" i="20"/>
  <c r="C965" i="20"/>
  <c r="D965" i="20"/>
  <c r="C966" i="20"/>
  <c r="D966" i="20"/>
  <c r="C967" i="20"/>
  <c r="D967" i="20"/>
  <c r="C968" i="20"/>
  <c r="C969" i="20"/>
  <c r="D968" i="20"/>
  <c r="C970" i="20"/>
  <c r="D969" i="20"/>
  <c r="C971" i="20"/>
  <c r="D970" i="20"/>
  <c r="C972" i="20"/>
  <c r="D971" i="20"/>
  <c r="D972" i="20"/>
  <c r="C973" i="20"/>
  <c r="C974" i="20"/>
  <c r="D973" i="20"/>
  <c r="D974" i="20"/>
  <c r="C975" i="20"/>
  <c r="C976" i="20"/>
  <c r="D975" i="20"/>
  <c r="C977" i="20"/>
  <c r="D976" i="20"/>
  <c r="D977" i="20"/>
  <c r="C978" i="20"/>
  <c r="C979" i="20"/>
  <c r="D978" i="20"/>
  <c r="D979" i="20"/>
  <c r="C980" i="20"/>
  <c r="D980" i="20"/>
  <c r="C981" i="20"/>
  <c r="D981" i="20"/>
  <c r="C982" i="20"/>
  <c r="D982" i="20"/>
  <c r="C983" i="20"/>
  <c r="D983" i="20"/>
  <c r="C984" i="20"/>
  <c r="D984" i="20"/>
  <c r="C985" i="20"/>
  <c r="C986" i="20"/>
  <c r="D985" i="20"/>
  <c r="C987" i="20"/>
  <c r="D986" i="20"/>
  <c r="C988" i="20"/>
  <c r="D987" i="20"/>
  <c r="D988" i="20"/>
  <c r="C989" i="20"/>
  <c r="D989" i="20"/>
  <c r="C990" i="20"/>
  <c r="C991" i="20"/>
  <c r="D990" i="20"/>
  <c r="D991" i="20"/>
  <c r="C992" i="20"/>
  <c r="D992" i="20"/>
  <c r="C993" i="20"/>
  <c r="D993" i="20"/>
  <c r="C994" i="20"/>
  <c r="C995" i="20"/>
  <c r="D994" i="20"/>
  <c r="D995" i="20"/>
  <c r="C996" i="20"/>
  <c r="C997" i="20"/>
  <c r="D996" i="20"/>
  <c r="C998" i="20"/>
  <c r="D997" i="20"/>
  <c r="C999" i="20"/>
  <c r="D998" i="20"/>
  <c r="D999" i="20"/>
  <c r="C1000" i="20"/>
  <c r="D1000" i="20"/>
  <c r="C1001" i="20"/>
  <c r="C1002" i="20"/>
  <c r="D1001" i="20"/>
  <c r="D1002" i="20"/>
  <c r="C1003" i="20"/>
  <c r="D1003" i="20"/>
  <c r="C1004" i="20"/>
  <c r="D1004" i="20"/>
  <c r="C1005" i="20"/>
  <c r="C1006" i="20"/>
  <c r="D1005" i="20"/>
  <c r="D1006" i="20"/>
  <c r="C1007" i="20"/>
  <c r="C1008" i="20"/>
  <c r="D1007" i="20"/>
  <c r="D1008" i="20"/>
  <c r="C1009" i="20"/>
  <c r="C1010" i="20"/>
  <c r="D1009" i="20"/>
  <c r="C1011" i="20"/>
  <c r="D1010" i="20"/>
  <c r="D1011" i="20"/>
  <c r="C1012" i="20"/>
  <c r="D1012" i="20"/>
  <c r="C1013" i="20"/>
  <c r="D1013" i="20"/>
  <c r="C1014" i="20"/>
  <c r="D1014" i="20"/>
  <c r="C1015" i="20"/>
  <c r="D1015" i="20"/>
  <c r="C1016" i="20"/>
  <c r="D1016" i="20"/>
  <c r="C1017" i="20"/>
  <c r="C1018" i="20"/>
  <c r="D1017" i="20"/>
  <c r="D1018" i="20"/>
  <c r="C1019" i="20"/>
  <c r="C1020" i="20"/>
  <c r="D1019" i="20"/>
  <c r="D1020" i="20"/>
  <c r="C1021" i="20"/>
  <c r="C1022" i="20"/>
  <c r="D1021" i="20"/>
  <c r="C1023" i="20"/>
  <c r="D1022" i="20"/>
  <c r="D1023" i="20"/>
  <c r="C1024" i="20"/>
  <c r="D1024" i="20"/>
  <c r="C1025" i="20"/>
  <c r="D1025" i="20"/>
  <c r="C1026" i="20"/>
  <c r="C1027" i="20"/>
  <c r="D1026" i="20"/>
  <c r="C1028" i="20"/>
  <c r="D1027" i="20"/>
  <c r="C1029" i="20"/>
  <c r="D1028" i="20"/>
  <c r="C1030" i="20"/>
  <c r="D1029" i="20"/>
  <c r="C1031" i="20"/>
  <c r="D1030" i="20"/>
  <c r="D1031" i="20"/>
  <c r="C1032" i="20"/>
  <c r="C1033" i="20"/>
  <c r="D1032" i="20"/>
  <c r="D1033" i="20"/>
  <c r="C1034" i="20"/>
  <c r="C1035" i="20"/>
  <c r="D1034" i="20"/>
  <c r="D1035" i="20"/>
  <c r="C1036" i="20"/>
  <c r="D1036" i="20"/>
  <c r="C1037" i="20"/>
  <c r="D1037" i="20"/>
  <c r="C1038" i="20"/>
  <c r="D1038" i="20"/>
  <c r="C1039" i="20"/>
  <c r="D1039" i="20"/>
  <c r="C1040" i="20"/>
  <c r="D1040" i="20"/>
  <c r="C1041" i="20"/>
  <c r="C1042" i="20"/>
  <c r="D1041" i="20"/>
  <c r="C1043" i="20"/>
  <c r="D1042" i="20"/>
  <c r="D1043" i="20"/>
  <c r="C1044" i="20"/>
  <c r="C1045" i="20"/>
  <c r="D1044" i="20"/>
  <c r="D1045" i="20"/>
  <c r="C1046" i="20"/>
  <c r="D1046" i="20"/>
  <c r="C1047" i="20"/>
  <c r="D1047" i="20"/>
  <c r="C1048" i="20"/>
  <c r="D1048" i="20"/>
  <c r="C1049" i="20"/>
  <c r="D1049" i="20"/>
  <c r="C1050" i="20"/>
  <c r="D1050" i="20"/>
  <c r="C1051" i="20"/>
  <c r="D1051" i="20"/>
  <c r="C1052" i="20"/>
  <c r="C1053" i="20"/>
  <c r="D1052" i="20"/>
  <c r="C1054" i="20"/>
  <c r="D1053" i="20"/>
  <c r="C1055" i="20"/>
  <c r="D1054" i="20"/>
  <c r="D1055" i="20"/>
  <c r="C1056" i="20"/>
  <c r="C1057" i="20"/>
  <c r="D1056" i="20"/>
  <c r="D1057" i="20"/>
  <c r="C1058" i="20"/>
  <c r="C1059" i="20"/>
  <c r="D1058" i="20"/>
  <c r="C1060" i="20"/>
  <c r="D1059" i="20"/>
  <c r="C1061" i="20"/>
  <c r="D1060" i="20"/>
  <c r="D1061" i="20"/>
  <c r="C1062" i="20"/>
  <c r="C1063" i="20"/>
  <c r="D1062" i="20"/>
  <c r="C1064" i="20"/>
  <c r="D1063" i="20"/>
  <c r="D1064" i="20"/>
  <c r="C1065" i="20"/>
  <c r="D1065" i="20"/>
  <c r="C1066" i="20"/>
  <c r="C1067" i="20"/>
  <c r="D1066" i="20"/>
  <c r="C1068" i="20"/>
  <c r="D1067" i="20"/>
  <c r="D1068" i="20"/>
  <c r="C1069" i="20"/>
  <c r="D1069" i="20"/>
  <c r="C1070" i="20"/>
  <c r="C1071" i="20"/>
  <c r="D1070" i="20"/>
  <c r="C1072" i="20"/>
  <c r="D1071" i="20"/>
  <c r="C1073" i="20"/>
  <c r="D1072" i="20"/>
  <c r="D1073" i="20"/>
  <c r="C1074" i="20"/>
  <c r="D1074" i="20"/>
  <c r="C1075" i="20"/>
  <c r="C1076" i="20"/>
  <c r="D1075" i="20"/>
  <c r="C1077" i="20"/>
  <c r="D1076" i="20"/>
  <c r="D1077" i="20"/>
  <c r="C1078" i="20"/>
  <c r="D1078" i="20"/>
  <c r="C1079" i="20"/>
  <c r="D1079" i="20"/>
  <c r="C1080" i="20"/>
  <c r="C1081" i="20"/>
  <c r="D1080" i="20"/>
  <c r="C1082" i="20"/>
  <c r="D1081" i="20"/>
  <c r="D1082" i="20"/>
  <c r="C1083" i="20"/>
  <c r="D1083" i="20"/>
  <c r="C1084" i="20"/>
  <c r="D1084" i="20"/>
  <c r="C1085" i="20"/>
  <c r="D1085" i="20"/>
  <c r="C1086" i="20"/>
  <c r="D1086" i="20"/>
  <c r="C1087" i="20"/>
  <c r="C1088" i="20"/>
  <c r="D1087" i="20"/>
  <c r="C1089" i="20"/>
  <c r="D1088" i="20"/>
  <c r="C1090" i="20"/>
  <c r="D1089" i="20"/>
  <c r="D1090" i="20"/>
  <c r="C1091" i="20"/>
  <c r="D1091" i="20"/>
  <c r="C1092" i="20"/>
  <c r="D1092" i="20"/>
  <c r="C1093" i="20"/>
  <c r="C1094" i="20"/>
  <c r="D1093" i="20"/>
  <c r="D1094" i="20"/>
  <c r="C1095" i="20"/>
  <c r="D1095" i="20"/>
  <c r="C1096" i="20"/>
  <c r="D1096" i="20"/>
  <c r="C1097" i="20"/>
  <c r="C1098" i="20"/>
  <c r="D1097" i="20"/>
  <c r="D1098" i="20"/>
  <c r="C1099" i="20"/>
  <c r="D1099" i="20"/>
  <c r="C1100" i="20"/>
  <c r="D1100" i="20"/>
  <c r="C1101" i="20"/>
  <c r="D1101" i="20"/>
  <c r="C1102" i="20"/>
  <c r="C1103" i="20"/>
  <c r="D1102" i="20"/>
  <c r="D1103" i="20"/>
  <c r="C1104" i="20"/>
  <c r="D1104" i="20"/>
  <c r="C1105" i="20"/>
  <c r="D1105" i="20"/>
  <c r="C1106" i="20"/>
  <c r="C1107" i="20"/>
  <c r="D1106" i="20"/>
  <c r="C1108" i="20"/>
  <c r="D1107" i="20"/>
  <c r="D1108" i="20"/>
  <c r="C1109" i="20"/>
  <c r="C1110" i="20"/>
  <c r="D1109" i="20"/>
  <c r="D1110" i="20"/>
  <c r="C1111" i="20"/>
  <c r="D1111" i="20"/>
  <c r="C1112" i="20"/>
  <c r="C1113" i="20"/>
  <c r="D1112" i="20"/>
  <c r="C1114" i="20"/>
  <c r="D1113" i="20"/>
  <c r="D1114" i="20"/>
  <c r="C1115" i="20"/>
  <c r="D1115" i="20"/>
  <c r="C1116" i="20"/>
  <c r="C1117" i="20"/>
  <c r="D1116" i="20"/>
  <c r="C1118" i="20"/>
  <c r="D1117" i="20"/>
  <c r="D1118" i="20"/>
  <c r="C1119" i="20"/>
  <c r="D1119" i="20"/>
  <c r="C1120" i="20"/>
  <c r="D1120" i="20"/>
  <c r="C1121" i="20"/>
  <c r="D1121" i="20"/>
  <c r="C1122" i="20"/>
  <c r="C1123" i="20"/>
  <c r="D1122" i="20"/>
  <c r="C1124" i="20"/>
  <c r="D1123" i="20"/>
  <c r="D1124" i="20"/>
  <c r="C1125" i="20"/>
  <c r="D1125" i="20"/>
  <c r="C1126" i="20"/>
  <c r="D1126" i="20"/>
  <c r="C1127" i="20"/>
  <c r="C1128" i="20"/>
  <c r="D1127" i="20"/>
  <c r="D1128" i="20"/>
  <c r="C1129" i="20"/>
  <c r="D1129" i="20"/>
  <c r="C1130" i="20"/>
  <c r="D1130" i="20"/>
  <c r="C1131" i="20"/>
  <c r="D1131" i="20"/>
  <c r="C1132" i="20"/>
  <c r="D1132" i="20"/>
  <c r="C1133" i="20"/>
  <c r="C1134" i="20"/>
  <c r="D1133" i="20"/>
  <c r="C1135" i="20"/>
  <c r="D1134" i="20"/>
  <c r="C1136" i="20"/>
  <c r="D1135" i="20"/>
  <c r="D1136" i="20"/>
  <c r="C1137" i="20"/>
  <c r="D1137" i="20"/>
  <c r="C1138" i="20"/>
  <c r="D1138" i="20"/>
  <c r="C1139" i="20"/>
  <c r="D1139" i="20"/>
  <c r="C1140" i="20"/>
  <c r="D1140" i="20"/>
  <c r="C1141" i="20"/>
  <c r="D1141" i="20"/>
  <c r="C1142" i="20"/>
  <c r="C1143" i="20"/>
  <c r="D1142" i="20"/>
  <c r="C1144" i="20"/>
  <c r="D1143" i="20"/>
  <c r="C1145" i="20"/>
  <c r="D1144" i="20"/>
  <c r="C1146" i="20"/>
  <c r="D1145" i="20"/>
  <c r="C1147" i="20"/>
  <c r="D1146" i="20"/>
  <c r="D1147" i="20"/>
  <c r="C1148" i="20"/>
  <c r="D1148" i="20"/>
  <c r="C1149" i="20"/>
  <c r="D1149" i="20"/>
  <c r="C1150" i="20"/>
  <c r="D1150" i="20"/>
  <c r="C1151" i="20"/>
  <c r="C1152" i="20"/>
  <c r="D1151" i="20"/>
  <c r="D1152" i="20"/>
  <c r="C1153" i="20"/>
  <c r="C1154" i="20"/>
  <c r="D1153" i="20"/>
  <c r="C1155" i="20"/>
  <c r="D1154" i="20"/>
  <c r="D1155" i="20"/>
  <c r="C1156" i="20"/>
  <c r="D1156" i="20"/>
  <c r="C1157" i="20"/>
  <c r="D1157" i="20"/>
  <c r="C1158" i="20"/>
  <c r="D1158" i="20"/>
  <c r="C1159" i="20"/>
  <c r="D1159" i="20"/>
  <c r="C1160" i="20"/>
  <c r="D1160" i="20"/>
  <c r="C1161" i="20"/>
  <c r="C1162" i="20"/>
  <c r="D1161" i="20"/>
  <c r="C1163" i="20"/>
  <c r="D1162" i="20"/>
  <c r="D1163" i="20"/>
  <c r="C1164" i="20"/>
  <c r="D1164" i="20"/>
  <c r="C1165" i="20"/>
  <c r="C1166" i="20"/>
  <c r="D1165" i="20"/>
  <c r="D1166" i="20"/>
  <c r="C1167" i="20"/>
  <c r="D1167" i="20"/>
  <c r="C1168" i="20"/>
  <c r="C1169" i="20"/>
  <c r="D1168" i="20"/>
  <c r="C1170" i="20"/>
  <c r="D1169" i="20"/>
  <c r="D1170" i="20"/>
  <c r="C1171" i="20"/>
  <c r="D1171" i="20"/>
  <c r="C1172" i="20"/>
  <c r="C1173" i="20"/>
  <c r="D1172" i="20"/>
  <c r="C1174" i="20"/>
  <c r="D1173" i="20"/>
  <c r="D1174" i="20"/>
  <c r="C1175" i="20"/>
  <c r="C1176" i="20"/>
  <c r="D1175" i="20"/>
  <c r="D1176" i="20"/>
  <c r="C1177" i="20"/>
  <c r="C1178" i="20"/>
  <c r="D1177" i="20"/>
  <c r="D1178" i="20"/>
  <c r="C1179" i="20"/>
  <c r="D1179" i="20"/>
  <c r="C1180" i="20"/>
  <c r="D1180" i="20"/>
  <c r="C1181" i="20"/>
  <c r="D1181" i="20"/>
  <c r="C1182" i="20"/>
  <c r="D1182" i="20"/>
  <c r="C1183" i="20"/>
  <c r="D1183" i="20"/>
  <c r="C1184" i="20"/>
  <c r="D1184" i="20"/>
  <c r="C1185" i="20"/>
  <c r="D1185" i="20"/>
  <c r="C1186" i="20"/>
  <c r="C1187" i="20"/>
  <c r="D1186" i="20"/>
  <c r="C1188" i="20"/>
  <c r="D1187" i="20"/>
  <c r="C1189" i="20"/>
  <c r="D1188" i="20"/>
  <c r="D1189" i="20"/>
  <c r="C1190" i="20"/>
  <c r="D1190" i="20"/>
  <c r="C1191" i="20"/>
  <c r="D1191" i="20"/>
  <c r="C1192" i="20"/>
  <c r="D1192" i="20"/>
  <c r="C1193" i="20"/>
  <c r="C1194" i="20"/>
  <c r="D1193" i="20"/>
  <c r="D1194" i="20"/>
  <c r="C1195" i="20"/>
  <c r="D1195" i="20"/>
  <c r="C1196" i="20"/>
  <c r="D1196" i="20"/>
  <c r="C1197" i="20"/>
  <c r="D1197" i="20"/>
  <c r="C1198" i="20"/>
  <c r="C1199" i="20"/>
  <c r="D1198" i="20"/>
  <c r="D1199" i="20"/>
  <c r="C1200" i="20"/>
  <c r="D1200" i="20"/>
  <c r="C1201" i="20"/>
  <c r="C1202" i="20"/>
  <c r="D1201" i="20"/>
  <c r="C1203" i="20"/>
  <c r="D1202" i="20"/>
  <c r="D1203" i="20"/>
  <c r="C1204" i="20"/>
  <c r="C1205" i="20"/>
  <c r="D1204" i="20"/>
  <c r="C1206" i="20"/>
  <c r="D1205" i="20"/>
  <c r="D1206" i="20"/>
  <c r="C1207" i="20"/>
  <c r="C1208" i="20"/>
  <c r="D1207" i="20"/>
  <c r="C1209" i="20"/>
  <c r="D1208" i="20"/>
  <c r="C1210" i="20"/>
  <c r="D1209" i="20"/>
  <c r="D1210" i="20"/>
  <c r="C1211" i="20"/>
  <c r="C1212" i="20"/>
  <c r="D1211" i="20"/>
  <c r="D1212" i="20"/>
  <c r="C1213" i="20"/>
  <c r="C1214" i="20"/>
  <c r="D1213" i="20"/>
  <c r="C1215" i="20"/>
  <c r="D1214" i="20"/>
  <c r="C1216" i="20"/>
  <c r="D1215" i="20"/>
  <c r="D1216" i="20"/>
  <c r="C1217" i="20"/>
  <c r="C1218" i="20"/>
  <c r="D1217" i="20"/>
  <c r="D1218" i="20"/>
  <c r="C1219" i="20"/>
  <c r="C1220" i="20"/>
  <c r="D1219" i="20"/>
  <c r="C1221" i="20"/>
  <c r="D1220" i="20"/>
  <c r="C1222" i="20"/>
  <c r="D1221" i="20"/>
  <c r="C1223" i="20"/>
  <c r="D1222" i="20"/>
  <c r="D1223" i="20"/>
  <c r="C1224" i="20"/>
  <c r="D1224" i="20"/>
  <c r="C1225" i="20"/>
  <c r="C1226" i="20"/>
  <c r="D1225" i="20"/>
  <c r="D1226" i="20"/>
  <c r="C1227" i="20"/>
  <c r="C1228" i="20"/>
  <c r="D1227" i="20"/>
  <c r="D1228" i="20"/>
  <c r="C1229" i="20"/>
  <c r="D1229" i="20"/>
  <c r="C1230" i="20"/>
  <c r="C1231" i="20"/>
  <c r="D1230" i="20"/>
  <c r="C1232" i="20"/>
  <c r="D1231" i="20"/>
  <c r="D1232" i="20"/>
  <c r="C1233" i="20"/>
  <c r="C1234" i="20"/>
  <c r="D1233" i="20"/>
  <c r="D1234" i="20"/>
  <c r="C1235" i="20"/>
  <c r="D1235" i="20"/>
  <c r="C1236" i="20"/>
  <c r="D1236" i="20"/>
  <c r="C1237" i="20"/>
  <c r="D1237" i="20"/>
  <c r="C1238" i="20"/>
  <c r="C1239" i="20"/>
  <c r="D1238" i="20"/>
  <c r="D1239" i="20"/>
  <c r="C1240" i="20"/>
  <c r="C1241" i="20"/>
  <c r="D1240" i="20"/>
  <c r="D1241" i="20"/>
  <c r="C1242" i="20"/>
  <c r="C1243" i="20"/>
  <c r="D1242" i="20"/>
  <c r="D1243" i="20"/>
  <c r="C1244" i="20"/>
  <c r="D1244" i="20"/>
  <c r="C1245" i="20"/>
  <c r="C1246" i="20"/>
  <c r="D1245" i="20"/>
  <c r="C1247" i="20"/>
  <c r="D1246" i="20"/>
  <c r="C1248" i="20"/>
  <c r="D1247" i="20"/>
  <c r="C1249" i="20"/>
  <c r="D1248" i="20"/>
  <c r="C1250" i="20"/>
  <c r="D1249" i="20"/>
  <c r="C1251" i="20"/>
  <c r="D1250" i="20"/>
  <c r="D1251" i="20"/>
  <c r="C1252" i="20"/>
  <c r="C1253" i="20"/>
  <c r="D1252" i="20"/>
  <c r="D1253" i="20"/>
  <c r="C1254" i="20"/>
  <c r="D1254" i="20"/>
  <c r="C1255" i="20"/>
  <c r="C1256" i="20"/>
  <c r="D1255" i="20"/>
  <c r="D1256" i="20"/>
  <c r="C1257" i="20"/>
  <c r="C1258" i="20"/>
  <c r="D1257" i="20"/>
  <c r="D1258" i="20"/>
  <c r="C1259" i="20"/>
  <c r="C1260" i="20"/>
  <c r="D1259" i="20"/>
  <c r="C1261" i="20"/>
  <c r="D1260" i="20"/>
  <c r="D1261" i="20"/>
  <c r="C1262" i="20"/>
  <c r="C1263" i="20"/>
  <c r="D1262" i="20"/>
  <c r="C1264" i="20"/>
  <c r="D1263" i="20"/>
  <c r="C1265" i="20"/>
  <c r="D1264" i="20"/>
  <c r="D1265" i="20"/>
  <c r="C1266" i="20"/>
  <c r="C1267" i="20"/>
  <c r="D1266" i="20"/>
  <c r="D1267" i="20"/>
  <c r="C1268" i="20"/>
  <c r="D1268" i="20"/>
  <c r="C1269" i="20"/>
  <c r="D1269" i="20"/>
  <c r="C1270" i="20"/>
  <c r="C1271" i="20"/>
  <c r="D1270" i="20"/>
  <c r="C1272" i="20"/>
  <c r="D1271" i="20"/>
  <c r="C1273" i="20"/>
  <c r="D1272" i="20"/>
  <c r="C1274" i="20"/>
  <c r="D1273" i="20"/>
  <c r="D1274" i="20"/>
  <c r="C1275" i="20"/>
  <c r="D1275" i="20"/>
  <c r="C1276" i="20"/>
  <c r="D1276" i="20"/>
  <c r="C1277" i="20"/>
  <c r="C1278" i="20"/>
  <c r="D1277" i="20"/>
  <c r="D1278" i="20"/>
  <c r="C1279" i="20"/>
  <c r="C1280" i="20"/>
  <c r="D1279" i="20"/>
  <c r="C1281" i="20"/>
  <c r="D1280" i="20"/>
  <c r="D1281" i="20"/>
  <c r="C1282" i="20"/>
  <c r="C1283" i="20"/>
  <c r="D1282" i="20"/>
  <c r="D1283" i="20"/>
  <c r="C1284" i="20"/>
  <c r="D1284" i="20"/>
  <c r="C1285" i="20"/>
  <c r="D1285" i="20"/>
  <c r="C1286" i="20"/>
  <c r="C1287" i="20"/>
  <c r="D1286" i="20"/>
  <c r="C1288" i="20"/>
  <c r="D1287" i="20"/>
  <c r="C1289" i="20"/>
  <c r="D1288" i="20"/>
  <c r="D1289" i="20"/>
  <c r="C1290" i="20"/>
  <c r="D1290" i="20"/>
  <c r="C1291" i="20"/>
  <c r="C1292" i="20"/>
  <c r="D1291" i="20"/>
  <c r="C1293" i="20"/>
  <c r="D1292" i="20"/>
  <c r="C1294" i="20"/>
  <c r="D1293" i="20"/>
  <c r="D1294" i="20"/>
  <c r="C1295" i="20"/>
  <c r="D1295" i="20"/>
  <c r="C1296" i="20"/>
  <c r="C1297" i="20"/>
  <c r="D1296" i="20"/>
  <c r="D1297" i="20"/>
  <c r="C1298" i="20"/>
  <c r="C1299" i="20"/>
  <c r="D1298" i="20"/>
  <c r="C1300" i="20"/>
  <c r="D1299" i="20"/>
  <c r="C1301" i="20"/>
  <c r="D1300" i="20"/>
  <c r="C1302" i="20"/>
  <c r="D1301" i="20"/>
  <c r="C1303" i="20"/>
  <c r="D1302" i="20"/>
  <c r="C1304" i="20"/>
  <c r="D1303" i="20"/>
  <c r="C1305" i="20"/>
  <c r="D1304" i="20"/>
  <c r="D1305" i="20"/>
  <c r="C1306" i="20"/>
  <c r="C1307" i="20"/>
  <c r="D1306" i="20"/>
  <c r="D1307" i="20"/>
  <c r="C1308" i="20"/>
  <c r="C1309" i="20"/>
  <c r="D1308" i="20"/>
  <c r="C1310" i="20"/>
  <c r="D1309" i="20"/>
  <c r="D1310" i="20"/>
  <c r="C1311" i="20"/>
  <c r="D1311" i="20"/>
  <c r="C1312" i="20"/>
  <c r="D1312" i="20"/>
  <c r="C1313" i="20"/>
  <c r="D1313" i="20"/>
  <c r="C1314" i="20"/>
  <c r="D1314" i="20"/>
  <c r="C1315" i="20"/>
  <c r="C1316" i="20"/>
  <c r="D1315" i="20"/>
  <c r="C1317" i="20"/>
  <c r="D1316" i="20"/>
  <c r="C1318" i="20"/>
  <c r="D1317" i="20"/>
  <c r="D1318" i="20"/>
  <c r="C1319" i="20"/>
  <c r="D1319" i="20"/>
  <c r="C1320" i="20"/>
  <c r="D1320" i="20"/>
  <c r="C1321" i="20"/>
  <c r="C1322" i="20"/>
  <c r="D1321" i="20"/>
  <c r="D1322" i="20"/>
  <c r="C1323" i="20"/>
  <c r="D1323" i="20"/>
  <c r="C1324" i="20"/>
  <c r="C1325" i="20"/>
  <c r="D1324" i="20"/>
  <c r="D1325" i="20"/>
  <c r="C1326" i="20"/>
  <c r="C1327" i="20"/>
  <c r="D1326" i="20"/>
  <c r="C1328" i="20"/>
  <c r="D1327" i="20"/>
  <c r="C1329" i="20"/>
  <c r="D1328" i="20"/>
  <c r="D1329" i="20"/>
  <c r="C1330" i="20"/>
  <c r="C1331" i="20"/>
  <c r="D1330" i="20"/>
  <c r="C1332" i="20"/>
  <c r="D1331" i="20"/>
  <c r="D1332" i="20"/>
  <c r="C1333" i="20"/>
  <c r="C1334" i="20"/>
  <c r="D1333" i="20"/>
  <c r="C1335" i="20"/>
  <c r="D1334" i="20"/>
  <c r="D1335" i="20"/>
  <c r="C1336" i="20"/>
  <c r="C1337" i="20"/>
  <c r="D1336" i="20"/>
  <c r="C1338" i="20"/>
  <c r="D1337" i="20"/>
  <c r="C1339" i="20"/>
  <c r="D1338" i="20"/>
  <c r="D1339" i="20"/>
  <c r="C1340" i="20"/>
  <c r="C1341" i="20"/>
  <c r="D1340" i="20"/>
  <c r="C1342" i="20"/>
  <c r="D1341" i="20"/>
  <c r="C1343" i="20"/>
  <c r="D1342" i="20"/>
  <c r="D1343" i="20"/>
  <c r="C1344" i="20"/>
  <c r="D1344" i="20"/>
  <c r="C1345" i="20"/>
  <c r="D1345" i="20"/>
  <c r="C1346" i="20"/>
  <c r="D1346" i="20"/>
  <c r="C1347" i="20"/>
  <c r="C1348" i="20"/>
  <c r="D1347" i="20"/>
  <c r="C1349" i="20"/>
  <c r="D1348" i="20"/>
  <c r="C1350" i="20"/>
  <c r="D1349" i="20"/>
  <c r="C1351" i="20"/>
  <c r="D1350" i="20"/>
  <c r="D1351" i="20"/>
  <c r="C1352" i="20"/>
  <c r="D1352" i="20"/>
  <c r="C1353" i="20"/>
  <c r="D1353" i="20"/>
  <c r="C1354" i="20"/>
  <c r="C1355" i="20"/>
  <c r="D1354" i="20"/>
  <c r="D1355" i="20"/>
  <c r="C1356" i="20"/>
  <c r="D1356" i="20"/>
  <c r="C1357" i="20"/>
  <c r="C1358" i="20"/>
  <c r="D1357" i="20"/>
  <c r="D1358" i="20"/>
  <c r="C1359" i="20"/>
  <c r="D1359" i="20"/>
  <c r="C1360" i="20"/>
  <c r="D1360" i="20"/>
  <c r="C1361" i="20"/>
  <c r="D1361" i="20"/>
  <c r="C1362" i="20"/>
  <c r="D1362" i="20"/>
  <c r="C1363" i="20"/>
  <c r="C1364" i="20"/>
  <c r="D1363" i="20"/>
  <c r="D1364" i="20"/>
  <c r="C1365" i="20"/>
  <c r="C1366" i="20"/>
  <c r="D1365" i="20"/>
  <c r="C1367" i="20"/>
  <c r="D1366" i="20"/>
  <c r="D1367" i="20"/>
  <c r="C1368" i="20"/>
  <c r="C1369" i="20"/>
  <c r="D1368" i="20"/>
  <c r="C1370" i="20"/>
  <c r="D1369" i="20"/>
  <c r="C1371" i="20"/>
  <c r="D1370" i="20"/>
  <c r="D1371" i="20"/>
  <c r="C1372" i="20"/>
  <c r="D1372" i="20"/>
  <c r="C1373" i="20"/>
  <c r="C1374" i="20"/>
  <c r="D1373" i="20"/>
  <c r="C1375" i="20"/>
  <c r="D1374" i="20"/>
  <c r="D1375" i="20"/>
  <c r="C1376" i="20"/>
  <c r="D1376" i="20"/>
  <c r="C1377" i="20"/>
  <c r="D1377" i="20"/>
  <c r="C1378" i="20"/>
  <c r="D1378" i="20"/>
  <c r="C1379" i="20"/>
  <c r="C1380" i="20"/>
  <c r="D1379" i="20"/>
  <c r="C1381" i="20"/>
  <c r="D1380" i="20"/>
  <c r="C1382" i="20"/>
  <c r="D1381" i="20"/>
  <c r="D1382" i="20"/>
  <c r="C1383" i="20"/>
  <c r="C1384" i="20"/>
  <c r="D1383" i="20"/>
  <c r="D1384" i="20"/>
  <c r="C1385" i="20"/>
  <c r="D1385" i="20"/>
  <c r="C1386" i="20"/>
  <c r="C1387" i="20"/>
  <c r="D1386" i="20"/>
  <c r="D1387" i="20"/>
  <c r="C1388" i="20"/>
  <c r="D1388" i="20"/>
  <c r="C1389" i="20"/>
  <c r="C1390" i="20"/>
  <c r="D1389" i="20"/>
  <c r="D1390" i="20"/>
  <c r="C1391" i="20"/>
  <c r="C1392" i="20"/>
  <c r="D1391" i="20"/>
  <c r="D1392" i="20"/>
  <c r="C1393" i="20"/>
  <c r="D1393" i="20"/>
  <c r="C1394" i="20"/>
  <c r="D1394" i="20"/>
  <c r="C1395" i="20"/>
  <c r="D1395" i="20"/>
  <c r="C1396" i="20"/>
  <c r="D1396" i="20"/>
  <c r="C1397" i="20"/>
  <c r="D1397" i="20"/>
  <c r="C1398" i="20"/>
  <c r="D1398" i="20"/>
  <c r="C1399" i="20"/>
  <c r="C1400" i="20"/>
  <c r="D1399" i="20"/>
  <c r="C1401" i="20"/>
  <c r="D1400" i="20"/>
  <c r="D1401" i="20"/>
  <c r="C1402" i="20"/>
  <c r="C1403" i="20"/>
  <c r="D1402" i="20"/>
  <c r="D1403" i="20"/>
  <c r="C1404" i="20"/>
  <c r="D1404" i="20"/>
  <c r="C1405" i="20"/>
  <c r="D1405" i="20"/>
  <c r="C1406" i="20"/>
  <c r="D1406" i="20"/>
  <c r="C1407" i="20"/>
  <c r="C1408" i="20"/>
  <c r="D1407" i="20"/>
  <c r="C1409" i="20"/>
  <c r="D1408" i="20"/>
  <c r="D1409" i="20"/>
  <c r="C1410" i="20"/>
  <c r="D1410" i="20"/>
  <c r="C1411" i="20"/>
  <c r="D1411" i="20"/>
  <c r="C1412" i="20"/>
  <c r="D1412" i="20"/>
  <c r="C1413" i="20"/>
  <c r="C1414" i="20"/>
  <c r="D1413" i="20"/>
  <c r="C1415" i="20"/>
  <c r="D1414" i="20"/>
  <c r="C1416" i="20"/>
  <c r="D1415" i="20"/>
  <c r="C1417" i="20"/>
  <c r="D1416" i="20"/>
  <c r="C1418" i="20"/>
  <c r="D1417" i="20"/>
  <c r="D1418" i="20"/>
  <c r="C1419" i="20"/>
  <c r="D1419" i="20"/>
  <c r="C1420" i="20"/>
  <c r="C1421" i="20"/>
  <c r="D1420" i="20"/>
  <c r="C1422" i="20"/>
  <c r="D1421" i="20"/>
  <c r="C1423" i="20"/>
  <c r="D1422" i="20"/>
  <c r="D1423" i="20"/>
  <c r="C1424" i="20"/>
  <c r="C1425" i="20"/>
  <c r="D1424" i="20"/>
  <c r="C1426" i="20"/>
  <c r="D1425" i="20"/>
  <c r="D1426" i="20"/>
  <c r="C1427" i="20"/>
  <c r="D1427" i="20"/>
  <c r="C1428" i="20"/>
  <c r="C1429" i="20"/>
  <c r="D1428" i="20"/>
  <c r="D1429" i="20"/>
  <c r="C1430" i="20"/>
  <c r="D1430" i="20"/>
  <c r="C1431" i="20"/>
  <c r="D1431" i="20"/>
  <c r="C1432" i="20"/>
  <c r="D1432" i="20"/>
  <c r="C1433" i="20"/>
  <c r="D1433" i="20"/>
  <c r="C1434" i="20"/>
  <c r="C1435" i="20"/>
  <c r="D1434" i="20"/>
  <c r="C1436" i="20"/>
  <c r="D1435" i="20"/>
  <c r="C1437" i="20"/>
  <c r="D1436" i="20"/>
  <c r="D1437" i="20"/>
  <c r="C1438" i="20"/>
  <c r="C1439" i="20"/>
  <c r="D1438" i="20"/>
  <c r="D1439" i="20"/>
  <c r="C1440" i="20"/>
  <c r="C1441" i="20"/>
  <c r="D1440" i="20"/>
  <c r="D1441" i="20"/>
  <c r="C1442" i="20"/>
  <c r="C1443" i="20"/>
  <c r="D1442" i="20"/>
  <c r="D1443" i="20"/>
  <c r="C1444" i="20"/>
  <c r="C1445" i="20"/>
  <c r="D1444" i="20"/>
  <c r="C1446" i="20"/>
  <c r="D1445" i="20"/>
  <c r="D1446" i="20"/>
  <c r="C1447" i="20"/>
  <c r="D1447" i="20"/>
  <c r="C1448" i="20"/>
  <c r="C1449" i="20"/>
  <c r="D1448" i="20"/>
  <c r="C1450" i="20"/>
  <c r="D1449" i="20"/>
  <c r="D1450" i="20"/>
  <c r="C1451" i="20"/>
  <c r="D1451" i="20"/>
  <c r="C1452" i="20"/>
  <c r="C1453" i="20"/>
  <c r="D1452" i="20"/>
  <c r="C1454" i="20"/>
  <c r="D1453" i="20"/>
  <c r="D1454" i="20"/>
  <c r="C1455" i="20"/>
  <c r="D1455" i="20"/>
  <c r="C1456" i="20"/>
  <c r="C1457" i="20"/>
  <c r="D1456" i="20"/>
  <c r="C1458" i="20"/>
  <c r="D1457" i="20"/>
  <c r="C1459" i="20"/>
  <c r="D1458" i="20"/>
  <c r="D1459" i="20"/>
  <c r="C1460" i="20"/>
  <c r="C1461" i="20"/>
  <c r="D1460" i="20"/>
  <c r="C1462" i="20"/>
  <c r="D1461" i="20"/>
  <c r="C1463" i="20"/>
  <c r="D1462" i="20"/>
  <c r="C1464" i="20"/>
  <c r="D1463" i="20"/>
  <c r="C1465" i="20"/>
  <c r="D1464" i="20"/>
  <c r="D1465" i="20"/>
  <c r="C1466" i="20"/>
  <c r="C1467" i="20"/>
  <c r="D1466" i="20"/>
  <c r="D1467" i="20"/>
  <c r="C1468" i="20"/>
  <c r="C1469" i="20"/>
  <c r="D1468" i="20"/>
  <c r="C1470" i="20"/>
  <c r="D1469" i="20"/>
  <c r="C1471" i="20"/>
  <c r="D1470" i="20"/>
  <c r="D1471" i="20"/>
  <c r="C1472" i="20"/>
  <c r="C1473" i="20"/>
  <c r="D1472" i="20"/>
  <c r="D1473" i="20"/>
  <c r="C1474" i="20"/>
  <c r="C1475" i="20"/>
  <c r="D1474" i="20"/>
  <c r="D1475" i="20"/>
  <c r="C1476" i="20"/>
  <c r="C1477" i="20"/>
  <c r="D1476" i="20"/>
  <c r="D1477" i="20"/>
  <c r="C1478" i="20"/>
  <c r="D1478" i="20"/>
  <c r="C1479" i="20"/>
  <c r="D1479" i="20"/>
  <c r="C1480" i="20"/>
  <c r="C1481" i="20"/>
  <c r="D1480" i="20"/>
  <c r="D1481" i="20"/>
  <c r="C1482" i="20"/>
  <c r="C1483" i="20"/>
  <c r="D1482" i="20"/>
  <c r="C1484" i="20"/>
  <c r="D1483" i="20"/>
  <c r="C1485" i="20"/>
  <c r="D1484" i="20"/>
  <c r="D1485" i="20"/>
  <c r="C1486" i="20"/>
  <c r="C1487" i="20"/>
  <c r="D1486" i="20"/>
  <c r="C1488" i="20"/>
  <c r="D1487" i="20"/>
  <c r="C1489" i="20"/>
  <c r="D1488" i="20"/>
  <c r="C1490" i="20"/>
  <c r="D1489" i="20"/>
  <c r="C1491" i="20"/>
  <c r="D1490" i="20"/>
  <c r="C1492" i="20"/>
  <c r="D1491" i="20"/>
  <c r="D1492" i="20"/>
  <c r="C1493" i="20"/>
  <c r="C1494" i="20"/>
  <c r="D1493" i="20"/>
  <c r="D1494" i="20"/>
  <c r="C1495" i="20"/>
  <c r="D1495" i="20"/>
  <c r="C1496" i="20"/>
  <c r="D1496" i="20"/>
  <c r="C1497" i="20"/>
  <c r="C1498" i="20"/>
  <c r="D1497" i="20"/>
  <c r="C1499" i="20"/>
  <c r="D1498" i="20"/>
  <c r="D1499" i="20"/>
  <c r="C1500" i="20"/>
  <c r="D1500" i="20"/>
  <c r="C1501" i="20"/>
  <c r="C1502" i="20"/>
  <c r="D1501" i="20"/>
  <c r="D1502" i="20"/>
  <c r="C1503" i="20"/>
  <c r="D1503" i="20"/>
  <c r="C1504" i="20"/>
  <c r="D1504" i="20"/>
  <c r="C1505" i="20"/>
  <c r="C1506" i="20"/>
  <c r="D1505" i="20"/>
  <c r="D1506" i="20"/>
  <c r="C1507" i="20"/>
  <c r="D1507" i="20"/>
  <c r="C1508" i="20"/>
  <c r="C1509" i="20"/>
  <c r="D1508" i="20"/>
  <c r="D1509" i="20"/>
  <c r="C1510" i="20"/>
  <c r="D1510" i="20"/>
  <c r="C1511" i="20"/>
  <c r="D1511" i="20"/>
  <c r="C1512" i="20"/>
  <c r="D1512" i="20"/>
  <c r="C1513" i="20"/>
  <c r="D1513" i="20"/>
  <c r="C1514" i="20"/>
  <c r="D1514" i="20"/>
  <c r="C1515" i="20"/>
  <c r="C1516" i="20"/>
  <c r="D1515" i="20"/>
  <c r="C1517" i="20"/>
  <c r="D1516" i="20"/>
  <c r="C1518" i="20"/>
  <c r="D1517" i="20"/>
  <c r="C1519" i="20"/>
  <c r="D1518" i="20"/>
  <c r="D1519" i="20"/>
  <c r="U20" i="20" a="1"/>
  <c r="Q20" i="20" a="1"/>
  <c r="M20" i="20" a="1"/>
  <c r="E20" i="20" a="1"/>
  <c r="E453" i="20" l="1"/>
  <c r="E965" i="20"/>
  <c r="E166" i="20"/>
  <c r="E441" i="20"/>
  <c r="E524" i="20"/>
  <c r="E273" i="20"/>
  <c r="E858" i="20"/>
  <c r="E1432" i="20"/>
  <c r="E807" i="20"/>
  <c r="E1467" i="20"/>
  <c r="E234" i="20"/>
  <c r="E1046" i="20"/>
  <c r="E714" i="20"/>
  <c r="E640" i="20"/>
  <c r="E1339" i="20"/>
  <c r="E281" i="20"/>
  <c r="E1073" i="20"/>
  <c r="E352" i="20"/>
  <c r="E1116" i="20"/>
  <c r="E1009" i="20"/>
  <c r="E262" i="20"/>
  <c r="E729" i="20"/>
  <c r="E850" i="20"/>
  <c r="E269" i="20"/>
  <c r="E781" i="20"/>
  <c r="E1293" i="20"/>
  <c r="E231" i="20"/>
  <c r="E314" i="20"/>
  <c r="E63" i="20"/>
  <c r="E648" i="20"/>
  <c r="E1233" i="20"/>
  <c r="E527" i="20"/>
  <c r="E1243" i="20"/>
  <c r="E1236" i="20"/>
  <c r="E796" i="20"/>
  <c r="E1459" i="20"/>
  <c r="E327" i="20"/>
  <c r="E1099" i="20"/>
  <c r="E1174" i="20"/>
  <c r="E828" i="20"/>
  <c r="E1483" i="20"/>
  <c r="E875" i="20"/>
  <c r="E727" i="20"/>
  <c r="E507" i="20"/>
  <c r="E905" i="20"/>
  <c r="E1134" i="20"/>
  <c r="E37" i="20"/>
  <c r="E549" i="20"/>
  <c r="E1061" i="20"/>
  <c r="E275" i="20"/>
  <c r="E49" i="20"/>
  <c r="E634" i="20"/>
  <c r="E383" i="20"/>
  <c r="E968" i="20"/>
  <c r="E50" i="20"/>
  <c r="E939" i="20"/>
  <c r="E329" i="20"/>
  <c r="E427" i="20"/>
  <c r="E1171" i="20"/>
  <c r="E1121" i="20"/>
  <c r="E786" i="20"/>
  <c r="E1451" i="20"/>
  <c r="E466" i="20"/>
  <c r="E1199" i="20"/>
  <c r="E526" i="20"/>
  <c r="E1241" i="20"/>
  <c r="E1185" i="20"/>
  <c r="E894" i="20"/>
  <c r="E1249" i="20"/>
  <c r="E206" i="20"/>
  <c r="E501" i="20"/>
  <c r="E1325" i="20"/>
  <c r="E113" i="20"/>
  <c r="E218" i="20"/>
  <c r="E1142" i="20"/>
  <c r="E878" i="20"/>
  <c r="E1330" i="20"/>
  <c r="E1244" i="20"/>
  <c r="E567" i="20"/>
  <c r="E763" i="20"/>
  <c r="E1136" i="20"/>
  <c r="E918" i="20"/>
  <c r="E945" i="20"/>
  <c r="E420" i="20"/>
  <c r="E418" i="20"/>
  <c r="E138" i="20"/>
  <c r="E364" i="20"/>
  <c r="E919" i="20"/>
  <c r="E1404" i="20"/>
  <c r="E436" i="20"/>
  <c r="E97" i="20"/>
  <c r="E1380" i="20"/>
  <c r="E1053" i="20"/>
  <c r="E625" i="20"/>
  <c r="E32" i="20"/>
  <c r="E577" i="20"/>
  <c r="E1193" i="20"/>
  <c r="E320" i="20"/>
  <c r="E851" i="20"/>
  <c r="E213" i="20"/>
  <c r="E1021" i="20"/>
  <c r="E276" i="20"/>
  <c r="E716" i="20"/>
  <c r="E812" i="20"/>
  <c r="E426" i="20"/>
  <c r="E110" i="20"/>
  <c r="E517" i="20"/>
  <c r="E1029" i="20"/>
  <c r="E239" i="20"/>
  <c r="E514" i="20"/>
  <c r="E598" i="20"/>
  <c r="E346" i="20"/>
  <c r="E931" i="20"/>
  <c r="E1496" i="20"/>
  <c r="E898" i="20"/>
  <c r="E128" i="20"/>
  <c r="E370" i="20"/>
  <c r="E1129" i="20"/>
  <c r="E964" i="20"/>
  <c r="E737" i="20"/>
  <c r="E1414" i="20"/>
  <c r="E408" i="20"/>
  <c r="E1156" i="20"/>
  <c r="E467" i="20"/>
  <c r="E1200" i="20"/>
  <c r="E1344" i="20"/>
  <c r="E705" i="20"/>
  <c r="E1082" i="20"/>
  <c r="E1389" i="20"/>
  <c r="E333" i="20"/>
  <c r="E845" i="20"/>
  <c r="E28" i="20"/>
  <c r="E304" i="20"/>
  <c r="E387" i="20"/>
  <c r="E136" i="20"/>
  <c r="E721" i="20"/>
  <c r="E1306" i="20"/>
  <c r="E624" i="20"/>
  <c r="E1327" i="20"/>
  <c r="E1434" i="20"/>
  <c r="E889" i="20"/>
  <c r="E91" i="20"/>
  <c r="E444" i="20"/>
  <c r="E1183" i="20"/>
  <c r="E1498" i="20"/>
  <c r="E916" i="20"/>
  <c r="E82" i="20"/>
  <c r="E960" i="20"/>
  <c r="E243" i="20"/>
  <c r="E718" i="20"/>
  <c r="E998" i="20"/>
  <c r="E1453" i="20"/>
  <c r="E101" i="20"/>
  <c r="E613" i="20"/>
  <c r="E1125" i="20"/>
  <c r="E39" i="20"/>
  <c r="E122" i="20"/>
  <c r="E707" i="20"/>
  <c r="E456" i="20"/>
  <c r="E1041" i="20"/>
  <c r="E196" i="20"/>
  <c r="E1024" i="20"/>
  <c r="E592" i="20"/>
  <c r="E540" i="20"/>
  <c r="E1255" i="20"/>
  <c r="E1397" i="20"/>
  <c r="E880" i="20"/>
  <c r="E73" i="20"/>
  <c r="E572" i="20"/>
  <c r="E1282" i="20"/>
  <c r="E623" i="20"/>
  <c r="E1326" i="20"/>
  <c r="E1112" i="20"/>
  <c r="E1228" i="20"/>
  <c r="E23" i="20"/>
  <c r="E1398" i="20"/>
  <c r="E605" i="20"/>
  <c r="E111" i="20"/>
  <c r="E223" i="20"/>
  <c r="E328" i="20"/>
  <c r="E1270" i="20"/>
  <c r="E1012" i="20"/>
  <c r="E124" i="20"/>
  <c r="E1367" i="20"/>
  <c r="E713" i="20"/>
  <c r="E1351" i="20"/>
  <c r="E1272" i="20"/>
  <c r="E1054" i="20"/>
  <c r="E1509" i="20"/>
  <c r="E999" i="20"/>
  <c r="E21" i="20"/>
  <c r="E57" i="20"/>
  <c r="E593" i="20"/>
  <c r="E1180" i="20"/>
  <c r="E617" i="20"/>
  <c r="E755" i="20"/>
  <c r="E390" i="20"/>
  <c r="E1499" i="20"/>
  <c r="E1149" i="20"/>
  <c r="E26" i="20"/>
  <c r="E471" i="20"/>
  <c r="E899" i="20"/>
  <c r="E1442" i="20"/>
  <c r="E659" i="20"/>
  <c r="E134" i="20"/>
  <c r="E309" i="20"/>
  <c r="E1133" i="20"/>
  <c r="E395" i="20"/>
  <c r="E835" i="20"/>
  <c r="E922" i="20"/>
  <c r="E587" i="20"/>
  <c r="E628" i="20"/>
  <c r="E993" i="20"/>
  <c r="E69" i="20"/>
  <c r="E581" i="20"/>
  <c r="E1093" i="20"/>
  <c r="E312" i="20"/>
  <c r="E86" i="20"/>
  <c r="E671" i="20"/>
  <c r="E419" i="20"/>
  <c r="E1004" i="20"/>
  <c r="E123" i="20"/>
  <c r="E982" i="20"/>
  <c r="E490" i="20"/>
  <c r="E486" i="20"/>
  <c r="E1212" i="20"/>
  <c r="E1257" i="20"/>
  <c r="E834" i="20"/>
  <c r="E1487" i="20"/>
  <c r="E523" i="20"/>
  <c r="E1240" i="20"/>
  <c r="E574" i="20"/>
  <c r="E1283" i="20"/>
  <c r="E279" i="20"/>
  <c r="E1062" i="20"/>
  <c r="E1409" i="20"/>
  <c r="E903" i="20"/>
  <c r="E397" i="20"/>
  <c r="E909" i="20"/>
  <c r="E102" i="20"/>
  <c r="E377" i="20"/>
  <c r="E460" i="20"/>
  <c r="E209" i="20"/>
  <c r="E794" i="20"/>
  <c r="E1376" i="20"/>
  <c r="E722" i="20"/>
  <c r="E1403" i="20"/>
  <c r="E106" i="20"/>
  <c r="E972" i="20"/>
  <c r="E475" i="20"/>
  <c r="E554" i="20"/>
  <c r="E1266" i="20"/>
  <c r="E153" i="20"/>
  <c r="E1000" i="20"/>
  <c r="E228" i="20"/>
  <c r="E1043" i="20"/>
  <c r="E692" i="20"/>
  <c r="E955" i="20"/>
  <c r="E362" i="20"/>
  <c r="E448" i="20"/>
  <c r="E165" i="20"/>
  <c r="E677" i="20"/>
  <c r="E1189" i="20"/>
  <c r="E112" i="20"/>
  <c r="E195" i="20"/>
  <c r="E780" i="20"/>
  <c r="E529" i="20"/>
  <c r="E1114" i="20"/>
  <c r="E338" i="20"/>
  <c r="E1107" i="20"/>
  <c r="E871" i="20"/>
  <c r="E638" i="20"/>
  <c r="E1338" i="20"/>
  <c r="E89" i="20"/>
  <c r="E963" i="20"/>
  <c r="E604" i="20"/>
  <c r="E670" i="20"/>
  <c r="E1364" i="20"/>
  <c r="E720" i="20"/>
  <c r="E1402" i="20"/>
  <c r="E1113" i="20"/>
  <c r="E132" i="20"/>
  <c r="E545" i="20"/>
  <c r="E1322" i="20"/>
  <c r="E701" i="20"/>
  <c r="E220" i="20"/>
  <c r="E351" i="20"/>
  <c r="E447" i="20"/>
  <c r="E1384" i="20"/>
  <c r="E1138" i="20"/>
  <c r="E339" i="20"/>
  <c r="E1495" i="20"/>
  <c r="E870" i="20"/>
  <c r="E171" i="20"/>
  <c r="E1391" i="20"/>
  <c r="E1179" i="20"/>
  <c r="E1321" i="20"/>
  <c r="E1518" i="20"/>
  <c r="E221" i="20"/>
  <c r="E286" i="20"/>
  <c r="E831" i="20"/>
  <c r="E1439" i="20"/>
  <c r="E217" i="20"/>
  <c r="E1042" i="20"/>
  <c r="E914" i="20"/>
  <c r="E1207" i="20"/>
  <c r="E38" i="20"/>
  <c r="E255" i="20"/>
  <c r="E783" i="20"/>
  <c r="E1286" i="20"/>
  <c r="E1038" i="20"/>
  <c r="E970" i="20"/>
  <c r="E632" i="20"/>
  <c r="E413" i="20"/>
  <c r="E1237" i="20"/>
  <c r="E505" i="20"/>
  <c r="E108" i="20"/>
  <c r="E1050" i="20"/>
  <c r="E746" i="20"/>
  <c r="E1027" i="20"/>
  <c r="E1119" i="20"/>
  <c r="E133" i="20"/>
  <c r="E645" i="20"/>
  <c r="E1157" i="20"/>
  <c r="E75" i="20"/>
  <c r="E159" i="20"/>
  <c r="E744" i="20"/>
  <c r="E492" i="20"/>
  <c r="E1078" i="20"/>
  <c r="E270" i="20"/>
  <c r="E1065" i="20"/>
  <c r="E738" i="20"/>
  <c r="E590" i="20"/>
  <c r="E1296" i="20"/>
  <c r="E1507" i="20"/>
  <c r="E921" i="20"/>
  <c r="E344" i="20"/>
  <c r="E622" i="20"/>
  <c r="E1323" i="20"/>
  <c r="E672" i="20"/>
  <c r="E1365" i="20"/>
  <c r="E407" i="20"/>
  <c r="E1390" i="20"/>
  <c r="E315" i="20"/>
  <c r="E668" i="20"/>
  <c r="E461" i="20"/>
  <c r="E973" i="20"/>
  <c r="E175" i="20"/>
  <c r="E450" i="20"/>
  <c r="E534" i="20"/>
  <c r="E282" i="20"/>
  <c r="E867" i="20"/>
  <c r="E1440" i="20"/>
  <c r="E819" i="20"/>
  <c r="E1476" i="20"/>
  <c r="E252" i="20"/>
  <c r="E1056" i="20"/>
  <c r="E751" i="20"/>
  <c r="E651" i="20"/>
  <c r="E1350" i="20"/>
  <c r="E299" i="20"/>
  <c r="E1083" i="20"/>
  <c r="E366" i="20"/>
  <c r="E1127" i="20"/>
  <c r="E1051" i="20"/>
  <c r="E334" i="20"/>
  <c r="E778" i="20"/>
  <c r="E892" i="20"/>
  <c r="E229" i="20"/>
  <c r="E741" i="20"/>
  <c r="E1253" i="20"/>
  <c r="E185" i="20"/>
  <c r="E268" i="20"/>
  <c r="E854" i="20"/>
  <c r="E602" i="20"/>
  <c r="E1187" i="20"/>
  <c r="E455" i="20"/>
  <c r="E1191" i="20"/>
  <c r="E1070" i="20"/>
  <c r="E736" i="20"/>
  <c r="E1413" i="20"/>
  <c r="E235" i="20"/>
  <c r="E1047" i="20"/>
  <c r="E985" i="20"/>
  <c r="E768" i="20"/>
  <c r="E1437" i="20"/>
  <c r="E818" i="20"/>
  <c r="E1475" i="20"/>
  <c r="E1081" i="20"/>
  <c r="E1362" i="20"/>
  <c r="E924" i="20"/>
  <c r="E1371" i="20"/>
  <c r="E813" i="20"/>
  <c r="E30" i="20"/>
  <c r="E470" i="20"/>
  <c r="E556" i="20"/>
  <c r="E1480" i="20"/>
  <c r="E1284" i="20"/>
  <c r="E528" i="20"/>
  <c r="E519" i="20"/>
  <c r="E994" i="20"/>
  <c r="E379" i="20"/>
  <c r="E1519" i="20"/>
  <c r="E1314" i="20"/>
  <c r="E1164" i="20"/>
  <c r="E691" i="20"/>
  <c r="E429" i="20"/>
  <c r="E31" i="20"/>
  <c r="E1059" i="20"/>
  <c r="E654" i="20"/>
  <c r="E761" i="20"/>
  <c r="E1303" i="20"/>
  <c r="E42" i="20"/>
  <c r="E29" i="20"/>
  <c r="E266" i="20"/>
  <c r="E483" i="20"/>
  <c r="E1055" i="20"/>
  <c r="E164" i="20"/>
  <c r="E244" i="20"/>
  <c r="E1231" i="20"/>
  <c r="E242" i="20"/>
  <c r="E509" i="20"/>
  <c r="E1333" i="20"/>
  <c r="E131" i="20"/>
  <c r="E227" i="20"/>
  <c r="E1169" i="20"/>
  <c r="E888" i="20"/>
  <c r="E1370" i="20"/>
  <c r="E1265" i="20"/>
  <c r="E578" i="20"/>
  <c r="E902" i="20"/>
  <c r="E197" i="20"/>
  <c r="E709" i="20"/>
  <c r="E1221" i="20"/>
  <c r="E148" i="20"/>
  <c r="E232" i="20"/>
  <c r="E817" i="20"/>
  <c r="E566" i="20"/>
  <c r="E1151" i="20"/>
  <c r="E398" i="20"/>
  <c r="E1148" i="20"/>
  <c r="E975" i="20"/>
  <c r="E687" i="20"/>
  <c r="E1377" i="20"/>
  <c r="E162" i="20"/>
  <c r="E1006" i="20"/>
  <c r="E811" i="20"/>
  <c r="E719" i="20"/>
  <c r="E1401" i="20"/>
  <c r="E769" i="20"/>
  <c r="E1438" i="20"/>
  <c r="E224" i="20"/>
  <c r="E715" i="20"/>
  <c r="E740" i="20"/>
  <c r="E631" i="20"/>
  <c r="E525" i="20"/>
  <c r="E1037" i="20"/>
  <c r="E248" i="20"/>
  <c r="E22" i="20"/>
  <c r="E607" i="20"/>
  <c r="E355" i="20"/>
  <c r="E940" i="20"/>
  <c r="E1504" i="20"/>
  <c r="E908" i="20"/>
  <c r="E183" i="20"/>
  <c r="E384" i="20"/>
  <c r="E1139" i="20"/>
  <c r="E1017" i="20"/>
  <c r="E750" i="20"/>
  <c r="E1423" i="20"/>
  <c r="E422" i="20"/>
  <c r="E1167" i="20"/>
  <c r="E482" i="20"/>
  <c r="E1210" i="20"/>
  <c r="E1454" i="20"/>
  <c r="E754" i="20"/>
  <c r="E1124" i="20"/>
  <c r="E1426" i="20"/>
  <c r="E293" i="20"/>
  <c r="E805" i="20"/>
  <c r="E1317" i="20"/>
  <c r="E258" i="20"/>
  <c r="E342" i="20"/>
  <c r="E90" i="20"/>
  <c r="E675" i="20"/>
  <c r="E1260" i="20"/>
  <c r="E563" i="20"/>
  <c r="E1274" i="20"/>
  <c r="E1299" i="20"/>
  <c r="E833" i="20"/>
  <c r="E1486" i="20"/>
  <c r="E371" i="20"/>
  <c r="E1130" i="20"/>
  <c r="E1310" i="20"/>
  <c r="E864" i="20"/>
  <c r="E1510" i="20"/>
  <c r="E907" i="20"/>
  <c r="E1340" i="20"/>
  <c r="E1071" i="20"/>
  <c r="E1363" i="20"/>
  <c r="E1258" i="20"/>
  <c r="E93" i="20"/>
  <c r="E917" i="20"/>
  <c r="E139" i="20"/>
  <c r="E579" i="20"/>
  <c r="E684" i="20"/>
  <c r="E178" i="20"/>
  <c r="E1412" i="20"/>
  <c r="E674" i="20"/>
  <c r="E912" i="20"/>
  <c r="E1140" i="20"/>
  <c r="E560" i="20"/>
  <c r="E247" i="20"/>
  <c r="E1429" i="20"/>
  <c r="E608" i="20"/>
  <c r="E1300" i="20"/>
  <c r="E629" i="20"/>
  <c r="E259" i="20"/>
  <c r="E1288" i="20"/>
  <c r="E1388" i="20"/>
  <c r="E1036" i="20"/>
  <c r="E46" i="20"/>
  <c r="E1312" i="20"/>
  <c r="E237" i="20"/>
  <c r="E194" i="20"/>
  <c r="E611" i="20"/>
  <c r="E1337" i="20"/>
  <c r="E1090" i="20"/>
  <c r="E609" i="20"/>
  <c r="E1484" i="20"/>
  <c r="E1490" i="20"/>
  <c r="E621" i="20"/>
  <c r="E120" i="20"/>
  <c r="E250" i="20"/>
  <c r="E337" i="20"/>
  <c r="E1279" i="20"/>
  <c r="E1034" i="20"/>
  <c r="E261" i="20"/>
  <c r="E773" i="20"/>
  <c r="E1285" i="20"/>
  <c r="E222" i="20"/>
  <c r="E305" i="20"/>
  <c r="E54" i="20"/>
  <c r="E639" i="20"/>
  <c r="E1224" i="20"/>
  <c r="E513" i="20"/>
  <c r="E1232" i="20"/>
  <c r="E1204" i="20"/>
  <c r="E784" i="20"/>
  <c r="E1450" i="20"/>
  <c r="E308" i="20"/>
  <c r="E1089" i="20"/>
  <c r="E1143" i="20"/>
  <c r="E816" i="20"/>
  <c r="E1474" i="20"/>
  <c r="E865" i="20"/>
  <c r="E1511" i="20"/>
  <c r="E187" i="20"/>
  <c r="E766" i="20"/>
  <c r="E1091" i="20"/>
  <c r="E77" i="20"/>
  <c r="E589" i="20"/>
  <c r="E1101" i="20"/>
  <c r="E321" i="20"/>
  <c r="E95" i="20"/>
  <c r="E680" i="20"/>
  <c r="E428" i="20"/>
  <c r="E1014" i="20"/>
  <c r="E142" i="20"/>
  <c r="E992" i="20"/>
  <c r="E504" i="20"/>
  <c r="E500" i="20"/>
  <c r="E1223" i="20"/>
  <c r="E1289" i="20"/>
  <c r="E847" i="20"/>
  <c r="E1497" i="20"/>
  <c r="E536" i="20"/>
  <c r="E1250" i="20"/>
  <c r="E586" i="20"/>
  <c r="E1294" i="20"/>
  <c r="E569" i="20"/>
  <c r="E1103" i="20"/>
  <c r="E1445" i="20"/>
  <c r="E987" i="20"/>
  <c r="E357" i="20"/>
  <c r="E869" i="20"/>
  <c r="E56" i="20"/>
  <c r="E331" i="20"/>
  <c r="E415" i="20"/>
  <c r="E163" i="20"/>
  <c r="E748" i="20"/>
  <c r="E1334" i="20"/>
  <c r="E660" i="20"/>
  <c r="E1357" i="20"/>
  <c r="E1516" i="20"/>
  <c r="E920" i="20"/>
  <c r="E256" i="20"/>
  <c r="E489" i="20"/>
  <c r="E1214" i="20"/>
  <c r="E62" i="20"/>
  <c r="E947" i="20"/>
  <c r="E137" i="20"/>
  <c r="E991" i="20"/>
  <c r="E435" i="20"/>
  <c r="E1473" i="20"/>
  <c r="E1444" i="20"/>
  <c r="E1418" i="20"/>
  <c r="E189" i="20"/>
  <c r="E1013" i="20"/>
  <c r="E267" i="20"/>
  <c r="E698" i="20"/>
  <c r="E803" i="20"/>
  <c r="E382" i="20"/>
  <c r="E55" i="20"/>
  <c r="E846" i="20"/>
  <c r="E1361" i="20"/>
  <c r="E1276" i="20"/>
  <c r="E706" i="20"/>
  <c r="E439" i="20"/>
  <c r="E1443" i="20"/>
  <c r="E1186" i="20"/>
  <c r="E558" i="20"/>
  <c r="E829" i="20"/>
  <c r="E497" i="20"/>
  <c r="E1512" i="20"/>
  <c r="E399" i="20"/>
  <c r="E1308" i="20"/>
  <c r="E647" i="20"/>
  <c r="E679" i="20"/>
  <c r="E437" i="20"/>
  <c r="E423" i="20"/>
  <c r="E840" i="20"/>
  <c r="E292" i="20"/>
  <c r="E254" i="20"/>
  <c r="E927" i="20"/>
  <c r="E926" i="20"/>
  <c r="E59" i="20"/>
  <c r="E725" i="20"/>
  <c r="E230" i="20"/>
  <c r="E360" i="20"/>
  <c r="E465" i="20"/>
  <c r="E1392" i="20"/>
  <c r="E1170" i="20"/>
  <c r="E354" i="20"/>
  <c r="E325" i="20"/>
  <c r="E837" i="20"/>
  <c r="E1349" i="20"/>
  <c r="E295" i="20"/>
  <c r="E378" i="20"/>
  <c r="E127" i="20"/>
  <c r="E712" i="20"/>
  <c r="E1297" i="20"/>
  <c r="E612" i="20"/>
  <c r="E1316" i="20"/>
  <c r="E1406" i="20"/>
  <c r="E879" i="20"/>
  <c r="E36" i="20"/>
  <c r="E430" i="20"/>
  <c r="E1172" i="20"/>
  <c r="E1461" i="20"/>
  <c r="E906" i="20"/>
  <c r="E64" i="20"/>
  <c r="E948" i="20"/>
  <c r="E170" i="20"/>
  <c r="E522" i="20"/>
  <c r="E872" i="20"/>
  <c r="E1417" i="20"/>
  <c r="E141" i="20"/>
  <c r="E653" i="20"/>
  <c r="E1165" i="20"/>
  <c r="E84" i="20"/>
  <c r="E168" i="20"/>
  <c r="E753" i="20"/>
  <c r="E502" i="20"/>
  <c r="E1087" i="20"/>
  <c r="E288" i="20"/>
  <c r="E1075" i="20"/>
  <c r="E775" i="20"/>
  <c r="E601" i="20"/>
  <c r="E1307" i="20"/>
  <c r="E34" i="20"/>
  <c r="E932" i="20"/>
  <c r="E388" i="20"/>
  <c r="E633" i="20"/>
  <c r="E1335" i="20"/>
  <c r="E683" i="20"/>
  <c r="E1374" i="20"/>
  <c r="E619" i="20"/>
  <c r="E1427" i="20"/>
  <c r="E375" i="20"/>
  <c r="E863" i="20"/>
  <c r="E421" i="20"/>
  <c r="E933" i="20"/>
  <c r="E129" i="20"/>
  <c r="E404" i="20"/>
  <c r="E488" i="20"/>
  <c r="E236" i="20"/>
  <c r="E822" i="20"/>
  <c r="E1400" i="20"/>
  <c r="E759" i="20"/>
  <c r="E1430" i="20"/>
  <c r="E161" i="20"/>
  <c r="E1003" i="20"/>
  <c r="E580" i="20"/>
  <c r="E591" i="20"/>
  <c r="E1298" i="20"/>
  <c r="E208" i="20"/>
  <c r="E1031" i="20"/>
  <c r="E283" i="20"/>
  <c r="E1074" i="20"/>
  <c r="E839" i="20"/>
  <c r="E1517" i="20"/>
  <c r="E535" i="20"/>
  <c r="E655" i="20"/>
  <c r="E301" i="20"/>
  <c r="E1117" i="20"/>
  <c r="E386" i="20"/>
  <c r="E808" i="20"/>
  <c r="E913" i="20"/>
  <c r="E576" i="20"/>
  <c r="E568" i="20"/>
  <c r="E983" i="20"/>
  <c r="E144" i="20"/>
  <c r="E1396" i="20"/>
  <c r="E874" i="20"/>
  <c r="E610" i="20"/>
  <c r="E742" i="20"/>
  <c r="E618" i="20"/>
  <c r="E1227" i="20"/>
  <c r="E1045" i="20"/>
  <c r="E726" i="20"/>
  <c r="E440" i="20"/>
  <c r="E723" i="20"/>
  <c r="E219" i="20"/>
  <c r="E938" i="20"/>
  <c r="E1166" i="20"/>
  <c r="E637" i="20"/>
  <c r="E150" i="20"/>
  <c r="E1068" i="20"/>
  <c r="E1100" i="20"/>
  <c r="E615" i="20"/>
  <c r="E1188" i="20"/>
  <c r="E60" i="20"/>
  <c r="E464" i="20"/>
  <c r="E821" i="20"/>
  <c r="E48" i="20"/>
  <c r="E479" i="20"/>
  <c r="E584" i="20"/>
  <c r="E1488" i="20"/>
  <c r="E1295" i="20"/>
  <c r="E553" i="20"/>
  <c r="E555" i="20"/>
  <c r="E1026" i="20"/>
  <c r="E393" i="20"/>
  <c r="E389" i="20"/>
  <c r="E901" i="20"/>
  <c r="E92" i="20"/>
  <c r="E368" i="20"/>
  <c r="E451" i="20"/>
  <c r="E200" i="20"/>
  <c r="E785" i="20"/>
  <c r="E1368" i="20"/>
  <c r="E710" i="20"/>
  <c r="E1394" i="20"/>
  <c r="E88" i="20"/>
  <c r="E962" i="20"/>
  <c r="E431" i="20"/>
  <c r="E542" i="20"/>
  <c r="E1256" i="20"/>
  <c r="E135" i="20"/>
  <c r="E990" i="20"/>
  <c r="E210" i="20"/>
  <c r="E1033" i="20"/>
  <c r="E644" i="20"/>
  <c r="E777" i="20"/>
  <c r="E298" i="20"/>
  <c r="E330" i="20"/>
  <c r="E205" i="20"/>
  <c r="E717" i="20"/>
  <c r="E1229" i="20"/>
  <c r="E158" i="20"/>
  <c r="E241" i="20"/>
  <c r="E826" i="20"/>
  <c r="E575" i="20"/>
  <c r="E1160" i="20"/>
  <c r="E411" i="20"/>
  <c r="E1159" i="20"/>
  <c r="E1007" i="20"/>
  <c r="E699" i="20"/>
  <c r="E1386" i="20"/>
  <c r="E180" i="20"/>
  <c r="E1016" i="20"/>
  <c r="E860" i="20"/>
  <c r="E731" i="20"/>
  <c r="E1410" i="20"/>
  <c r="E782" i="20"/>
  <c r="E1447" i="20"/>
  <c r="E476" i="20"/>
  <c r="E862" i="20"/>
  <c r="E788" i="20"/>
  <c r="E825" i="20"/>
  <c r="E485" i="20"/>
  <c r="E997" i="20"/>
  <c r="E202" i="20"/>
  <c r="E478" i="20"/>
  <c r="E561" i="20"/>
  <c r="E310" i="20"/>
  <c r="E895" i="20"/>
  <c r="E1464" i="20"/>
  <c r="E856" i="20"/>
  <c r="E1503" i="20"/>
  <c r="E307" i="20"/>
  <c r="E1088" i="20"/>
  <c r="E848" i="20"/>
  <c r="E688" i="20"/>
  <c r="E1378" i="20"/>
  <c r="E348" i="20"/>
  <c r="E1115" i="20"/>
  <c r="E409" i="20"/>
  <c r="E1158" i="20"/>
  <c r="E1176" i="20"/>
  <c r="E508" i="20"/>
  <c r="E915" i="20"/>
  <c r="E1060" i="20"/>
  <c r="E405" i="20"/>
  <c r="E1213" i="20"/>
  <c r="E496" i="20"/>
  <c r="E99" i="20"/>
  <c r="E1032" i="20"/>
  <c r="E734" i="20"/>
  <c r="E954" i="20"/>
  <c r="E1108" i="20"/>
  <c r="E385" i="20"/>
  <c r="E1515" i="20"/>
  <c r="E1010" i="20"/>
  <c r="E756" i="20"/>
  <c r="E1259" i="20"/>
  <c r="E297" i="20"/>
  <c r="E1280" i="20"/>
  <c r="E1245" i="20"/>
  <c r="E118" i="20"/>
  <c r="E600" i="20"/>
  <c r="E1015" i="20"/>
  <c r="E1415" i="20"/>
  <c r="E1220" i="20"/>
  <c r="E169" i="20"/>
  <c r="E853" i="20"/>
  <c r="E396" i="20"/>
  <c r="E1315" i="20"/>
  <c r="E198" i="20"/>
  <c r="E911" i="20"/>
  <c r="E1446" i="20"/>
  <c r="E988" i="20"/>
  <c r="E109" i="20"/>
  <c r="E925" i="20"/>
  <c r="E167" i="20"/>
  <c r="E588" i="20"/>
  <c r="E694" i="20"/>
  <c r="E215" i="20"/>
  <c r="E1421" i="20"/>
  <c r="E711" i="20"/>
  <c r="E934" i="20"/>
  <c r="E1152" i="20"/>
  <c r="E585" i="20"/>
  <c r="E143" i="20"/>
  <c r="E890" i="20"/>
  <c r="E1020" i="20"/>
  <c r="E793" i="20"/>
  <c r="E1302" i="20"/>
  <c r="E532" i="20"/>
  <c r="E1508" i="20"/>
  <c r="E1341" i="20"/>
  <c r="E246" i="20"/>
  <c r="E1044" i="20"/>
  <c r="E1275" i="20"/>
  <c r="E1433" i="20"/>
  <c r="E498" i="20"/>
  <c r="E802" i="20"/>
  <c r="E541" i="20"/>
  <c r="E278" i="20"/>
  <c r="E1416" i="20"/>
  <c r="E412" i="20"/>
  <c r="E774" i="20"/>
  <c r="E1313" i="20"/>
  <c r="E1290" i="20"/>
  <c r="E45" i="20"/>
  <c r="E861" i="20"/>
  <c r="E94" i="20"/>
  <c r="E515" i="20"/>
  <c r="E620" i="20"/>
  <c r="E68" i="20"/>
  <c r="E1347" i="20"/>
  <c r="E614" i="20"/>
  <c r="E678" i="20"/>
  <c r="E1067" i="20"/>
  <c r="E481" i="20"/>
  <c r="E119" i="20"/>
  <c r="E1383" i="20"/>
  <c r="E188" i="20"/>
  <c r="E1008" i="20"/>
  <c r="E365" i="20"/>
  <c r="E1181" i="20"/>
  <c r="E459" i="20"/>
  <c r="E44" i="20"/>
  <c r="E986" i="20"/>
  <c r="E673" i="20"/>
  <c r="E836" i="20"/>
  <c r="E1066" i="20"/>
  <c r="E290" i="20"/>
  <c r="E1469" i="20"/>
  <c r="E958" i="20"/>
  <c r="E708" i="20"/>
  <c r="E1092" i="20"/>
  <c r="E571" i="20"/>
  <c r="E667" i="20"/>
  <c r="E685" i="20"/>
  <c r="E193" i="20"/>
  <c r="E323" i="20"/>
  <c r="E410" i="20"/>
  <c r="E1352" i="20"/>
  <c r="E1118" i="20"/>
  <c r="E289" i="20"/>
  <c r="E1468" i="20"/>
  <c r="E823" i="20"/>
  <c r="E98" i="20"/>
  <c r="E1373" i="20"/>
  <c r="E1147" i="20"/>
  <c r="E1102" i="20"/>
  <c r="E1372" i="20"/>
  <c r="E820" i="20"/>
  <c r="E1436" i="20"/>
  <c r="E814" i="20"/>
  <c r="E359" i="20"/>
  <c r="E852" i="20"/>
  <c r="E487" i="20"/>
  <c r="E979" i="20"/>
  <c r="E191" i="20"/>
  <c r="E764" i="20"/>
  <c r="E1385" i="20"/>
  <c r="E1251" i="20"/>
  <c r="E1399" i="20"/>
  <c r="E1128" i="20"/>
  <c r="E1482" i="20"/>
  <c r="E666" i="20"/>
  <c r="E857" i="20"/>
  <c r="E1287" i="20"/>
  <c r="E1146" i="20"/>
  <c r="E928" i="20"/>
  <c r="E1238" i="20"/>
  <c r="E480" i="20"/>
  <c r="E1039" i="20"/>
  <c r="E257" i="20"/>
  <c r="E474" i="20"/>
  <c r="E1305" i="20"/>
  <c r="E1514" i="20"/>
  <c r="E944" i="20"/>
  <c r="E806" i="20"/>
  <c r="E1195" i="20"/>
  <c r="E749" i="20"/>
  <c r="E506" i="20"/>
  <c r="E251" i="20"/>
  <c r="E747" i="20"/>
  <c r="E1057" i="20"/>
  <c r="E100" i="20"/>
  <c r="E115" i="20"/>
  <c r="E149" i="20"/>
  <c r="E957" i="20"/>
  <c r="E203" i="20"/>
  <c r="E643" i="20"/>
  <c r="E739" i="20"/>
  <c r="E306" i="20"/>
  <c r="E1458" i="20"/>
  <c r="E760" i="20"/>
  <c r="E1153" i="20"/>
  <c r="E1203" i="20"/>
  <c r="E646" i="20"/>
  <c r="E336" i="20"/>
  <c r="E1493" i="20"/>
  <c r="E936" i="20"/>
  <c r="E1381" i="20"/>
  <c r="E469" i="20"/>
  <c r="E1277" i="20"/>
  <c r="E67" i="20"/>
  <c r="E172" i="20"/>
  <c r="E1105" i="20"/>
  <c r="E832" i="20"/>
  <c r="E1163" i="20"/>
  <c r="E1192" i="20"/>
  <c r="E503" i="20"/>
  <c r="E544" i="20"/>
  <c r="E1094" i="20"/>
  <c r="E855" i="20"/>
  <c r="E1353" i="20"/>
  <c r="E79" i="20"/>
  <c r="E1155" i="20"/>
  <c r="E789" i="20"/>
  <c r="E303" i="20"/>
  <c r="E433" i="20"/>
  <c r="E538" i="20"/>
  <c r="E1456" i="20"/>
  <c r="E1254" i="20"/>
  <c r="E472" i="20"/>
  <c r="E358" i="20"/>
  <c r="E974" i="20"/>
  <c r="E335" i="20"/>
  <c r="E1492" i="20"/>
  <c r="E1273" i="20"/>
  <c r="E361" i="20"/>
  <c r="E181" i="20"/>
  <c r="E1320" i="20"/>
  <c r="E1278" i="20"/>
  <c r="E130" i="20"/>
  <c r="E799" i="20"/>
  <c r="E599" i="20"/>
  <c r="E81" i="20"/>
  <c r="E745" i="20"/>
  <c r="E1132" i="20"/>
  <c r="E260" i="20"/>
  <c r="E1120" i="20"/>
  <c r="E1002" i="20"/>
  <c r="E956" i="20"/>
  <c r="E326" i="20"/>
  <c r="E1144" i="20"/>
  <c r="E663" i="20"/>
  <c r="E1395" i="20"/>
  <c r="E1405" i="20"/>
  <c r="E1292" i="20"/>
  <c r="E1064" i="20"/>
  <c r="E728" i="20"/>
  <c r="E1040" i="20"/>
  <c r="E117" i="20"/>
  <c r="E176" i="20"/>
  <c r="E703" i="20"/>
  <c r="E238" i="20"/>
  <c r="E1058" i="20"/>
  <c r="E226" i="20"/>
  <c r="E1084" i="20"/>
  <c r="E583" i="20"/>
  <c r="E949" i="20"/>
  <c r="E735" i="20"/>
  <c r="E636" i="20"/>
  <c r="E1025" i="20"/>
  <c r="E1319" i="20"/>
  <c r="E512" i="20"/>
  <c r="E1354" i="20"/>
  <c r="E245" i="20"/>
  <c r="E1069" i="20"/>
  <c r="E322" i="20"/>
  <c r="E762" i="20"/>
  <c r="E849" i="20"/>
  <c r="E484" i="20"/>
  <c r="E372" i="20"/>
  <c r="E910" i="20"/>
  <c r="E52" i="20"/>
  <c r="E1329" i="20"/>
  <c r="E792" i="20"/>
  <c r="E537" i="20"/>
  <c r="E376" i="20"/>
  <c r="E1463" i="20"/>
  <c r="E801" i="20"/>
  <c r="E565" i="20"/>
  <c r="E65" i="20"/>
  <c r="E186" i="20"/>
  <c r="E291" i="20"/>
  <c r="E1215" i="20"/>
  <c r="E961" i="20"/>
  <c r="E33" i="20"/>
  <c r="E1328" i="20"/>
  <c r="E664" i="20"/>
  <c r="E1111" i="20"/>
  <c r="E1219" i="20"/>
  <c r="E1001" i="20"/>
  <c r="E946" i="20"/>
  <c r="E827" i="20"/>
  <c r="E61" i="20"/>
  <c r="E885" i="20"/>
  <c r="E121" i="20"/>
  <c r="E552" i="20"/>
  <c r="E657" i="20"/>
  <c r="E105" i="20"/>
  <c r="E1375" i="20"/>
  <c r="E650" i="20"/>
  <c r="E824" i="20"/>
  <c r="E1110" i="20"/>
  <c r="E510" i="20"/>
  <c r="E174" i="20"/>
  <c r="E1411" i="20"/>
  <c r="E449" i="20"/>
  <c r="E1005" i="20"/>
  <c r="E1246" i="20"/>
  <c r="E225" i="20"/>
  <c r="E160" i="20"/>
  <c r="E904" i="20"/>
  <c r="E595" i="20"/>
  <c r="E1023" i="20"/>
  <c r="E1218" i="20"/>
  <c r="E866" i="20"/>
  <c r="E442" i="20"/>
  <c r="E1420" i="20"/>
  <c r="E70" i="20"/>
  <c r="E1018" i="20"/>
  <c r="E1477" i="20"/>
  <c r="E20" i="20"/>
  <c r="E548" i="20"/>
  <c r="E1505" i="20"/>
  <c r="E146" i="20"/>
  <c r="E1419" i="20"/>
  <c r="E1190" i="20"/>
  <c r="E1471" i="20"/>
  <c r="E96" i="20"/>
  <c r="E317" i="20"/>
  <c r="E414" i="20"/>
  <c r="E950" i="20"/>
  <c r="E1048" i="20"/>
  <c r="E1452" i="20"/>
  <c r="E596" i="20"/>
  <c r="E1346" i="20"/>
  <c r="E882" i="20"/>
  <c r="E1261" i="20"/>
  <c r="E145" i="20"/>
  <c r="E929" i="20"/>
  <c r="E1161" i="20"/>
  <c r="E274" i="20"/>
  <c r="E830" i="20"/>
  <c r="E1122" i="20"/>
  <c r="E349" i="20"/>
  <c r="E1173" i="20"/>
  <c r="E432" i="20"/>
  <c r="E35" i="20"/>
  <c r="E977" i="20"/>
  <c r="E649" i="20"/>
  <c r="E800" i="20"/>
  <c r="E1035" i="20"/>
  <c r="E272" i="20"/>
  <c r="E1460" i="20"/>
  <c r="E937" i="20"/>
  <c r="E696" i="20"/>
  <c r="E967" i="20"/>
  <c r="E347" i="20"/>
  <c r="E463" i="20"/>
  <c r="E669" i="20"/>
  <c r="E184" i="20"/>
  <c r="E296" i="20"/>
  <c r="E401" i="20"/>
  <c r="E1343" i="20"/>
  <c r="E1097" i="20"/>
  <c r="E271" i="20"/>
  <c r="E1441" i="20"/>
  <c r="E810" i="20"/>
  <c r="E80" i="20"/>
  <c r="E1355" i="20"/>
  <c r="E1137" i="20"/>
  <c r="E41" i="20"/>
  <c r="E1332" i="20"/>
  <c r="E173" i="20"/>
  <c r="E989" i="20"/>
  <c r="E240" i="20"/>
  <c r="E662" i="20"/>
  <c r="E767" i="20"/>
  <c r="E353" i="20"/>
  <c r="E1494" i="20"/>
  <c r="E809" i="20"/>
  <c r="E1226" i="20"/>
  <c r="E1235" i="20"/>
  <c r="E682" i="20"/>
  <c r="E394" i="20"/>
  <c r="E996" i="20"/>
  <c r="E1019" i="20"/>
  <c r="E249" i="20"/>
  <c r="E695" i="20"/>
  <c r="E797" i="20"/>
  <c r="E881" i="20"/>
  <c r="E551" i="20"/>
  <c r="E521" i="20"/>
  <c r="E697" i="20"/>
  <c r="E1239" i="20"/>
  <c r="E1234" i="20"/>
  <c r="E1264" i="20"/>
  <c r="E1154" i="20"/>
  <c r="E1358" i="20"/>
  <c r="E693" i="20"/>
  <c r="E859" i="20"/>
  <c r="E1472" i="20"/>
  <c r="E559" i="20"/>
  <c r="E1425" i="20"/>
  <c r="E1379" i="20"/>
  <c r="E27" i="20"/>
  <c r="E1336" i="20"/>
  <c r="E1331" i="20"/>
  <c r="E838" i="20"/>
  <c r="E533" i="20"/>
  <c r="E140" i="20"/>
  <c r="E1178" i="20"/>
  <c r="E179" i="20"/>
  <c r="E416" i="20"/>
  <c r="E896" i="20"/>
  <c r="E1466" i="20"/>
  <c r="E704" i="20"/>
  <c r="E147" i="20"/>
  <c r="E374" i="20"/>
  <c r="E1201" i="20"/>
  <c r="E1422" i="20"/>
  <c r="E25" i="20"/>
  <c r="E1095" i="20"/>
  <c r="E1208" i="20"/>
  <c r="E445" i="20"/>
  <c r="E1269" i="20"/>
  <c r="E58" i="20"/>
  <c r="E154" i="20"/>
  <c r="E1096" i="20"/>
  <c r="E795" i="20"/>
  <c r="E1131" i="20"/>
  <c r="E1182" i="20"/>
  <c r="E473" i="20"/>
  <c r="E462" i="20"/>
  <c r="E1063" i="20"/>
  <c r="E842" i="20"/>
  <c r="E1268" i="20"/>
  <c r="E1248" i="20"/>
  <c r="E1030" i="20"/>
  <c r="E765" i="20"/>
  <c r="E294" i="20"/>
  <c r="E424" i="20"/>
  <c r="E520" i="20"/>
  <c r="E1448" i="20"/>
  <c r="E1222" i="20"/>
  <c r="E457" i="20"/>
  <c r="E311" i="20"/>
  <c r="E953" i="20"/>
  <c r="E318" i="20"/>
  <c r="E1465" i="20"/>
  <c r="E1263" i="20"/>
  <c r="E78" i="20"/>
  <c r="E491" i="20"/>
  <c r="E277" i="20"/>
  <c r="E1085" i="20"/>
  <c r="E350" i="20"/>
  <c r="E790" i="20"/>
  <c r="E886" i="20"/>
  <c r="E539" i="20"/>
  <c r="E446" i="20"/>
  <c r="E942" i="20"/>
  <c r="E107" i="20"/>
  <c r="E1369" i="20"/>
  <c r="E841" i="20"/>
  <c r="E562" i="20"/>
  <c r="E546" i="20"/>
  <c r="E345" i="20"/>
  <c r="E689" i="20"/>
  <c r="E425" i="20"/>
  <c r="E547" i="20"/>
  <c r="E192" i="20"/>
  <c r="E531" i="20"/>
  <c r="E1217" i="20"/>
  <c r="E923" i="20"/>
  <c r="E114" i="20"/>
  <c r="E530" i="20"/>
  <c r="E984" i="20"/>
  <c r="E597" i="20"/>
  <c r="E700" i="20"/>
  <c r="E211" i="20"/>
  <c r="E116" i="20"/>
  <c r="E402" i="20"/>
  <c r="E199" i="20"/>
  <c r="E190" i="20"/>
  <c r="E265" i="20"/>
  <c r="E1457" i="20"/>
  <c r="E656" i="20"/>
  <c r="E1342" i="20"/>
  <c r="E733" i="20"/>
  <c r="E369" i="20"/>
  <c r="E1408" i="20"/>
  <c r="E564" i="20"/>
  <c r="E603" i="20"/>
  <c r="E1177" i="20"/>
  <c r="E883" i="20"/>
  <c r="E207" i="20"/>
  <c r="E66" i="20"/>
  <c r="E730" i="20"/>
  <c r="E1449" i="20"/>
  <c r="E641" i="20"/>
  <c r="E452" i="20"/>
  <c r="E1356" i="20"/>
  <c r="E966" i="20"/>
  <c r="E557" i="20"/>
  <c r="E47" i="20"/>
  <c r="E177" i="20"/>
  <c r="E264" i="20"/>
  <c r="E1206" i="20"/>
  <c r="E951" i="20"/>
  <c r="E1489" i="20"/>
  <c r="E1318" i="20"/>
  <c r="E627" i="20"/>
  <c r="E1080" i="20"/>
  <c r="E1209" i="20"/>
  <c r="E980" i="20"/>
  <c r="E815" i="20"/>
  <c r="E681" i="20"/>
  <c r="E53" i="20"/>
  <c r="E877" i="20"/>
  <c r="E103" i="20"/>
  <c r="E543" i="20"/>
  <c r="E630" i="20"/>
  <c r="E87" i="20"/>
  <c r="E1366" i="20"/>
  <c r="E626" i="20"/>
  <c r="E787" i="20"/>
  <c r="E1079" i="20"/>
  <c r="E495" i="20"/>
  <c r="E155" i="20"/>
  <c r="E1393" i="20"/>
  <c r="E391" i="20"/>
  <c r="E1049" i="20"/>
  <c r="E373" i="20"/>
  <c r="E1197" i="20"/>
  <c r="E468" i="20"/>
  <c r="E72" i="20"/>
  <c r="E995" i="20"/>
  <c r="E686" i="20"/>
  <c r="E891" i="20"/>
  <c r="E1076" i="20"/>
  <c r="E343" i="20"/>
  <c r="E1478" i="20"/>
  <c r="E969" i="20"/>
  <c r="E732" i="20"/>
  <c r="E1135" i="20"/>
  <c r="E1072" i="20"/>
  <c r="E776" i="20"/>
  <c r="E1184" i="20"/>
  <c r="E516" i="20"/>
  <c r="E642" i="20"/>
  <c r="E952" i="20"/>
  <c r="E151" i="20"/>
  <c r="E1098" i="20"/>
  <c r="E493" i="20"/>
  <c r="E702" i="20"/>
  <c r="E1304" i="20"/>
  <c r="E83" i="20"/>
  <c r="E1267" i="20"/>
  <c r="E332" i="20"/>
  <c r="E1382" i="20"/>
  <c r="E1501" i="20"/>
  <c r="E400" i="20"/>
  <c r="E743" i="20"/>
  <c r="E454" i="20"/>
  <c r="E24" i="20"/>
  <c r="E1271" i="20"/>
  <c r="E606" i="20"/>
  <c r="E941" i="20"/>
  <c r="E616" i="20"/>
  <c r="E233" i="20"/>
  <c r="E868" i="20"/>
  <c r="E900" i="20"/>
  <c r="E1428" i="20"/>
  <c r="E1435" i="20"/>
  <c r="E125" i="20"/>
  <c r="E313" i="20"/>
  <c r="E959" i="20"/>
  <c r="E690" i="20"/>
  <c r="E1479" i="20"/>
  <c r="E779" i="20"/>
  <c r="E316" i="20"/>
  <c r="E752" i="20"/>
  <c r="E661" i="20"/>
  <c r="E156" i="20"/>
  <c r="E287" i="20"/>
  <c r="E392" i="20"/>
  <c r="E1324" i="20"/>
  <c r="E1086" i="20"/>
  <c r="E216" i="20"/>
  <c r="E1431" i="20"/>
  <c r="E798" i="20"/>
  <c r="E43" i="20"/>
  <c r="E1345" i="20"/>
  <c r="E1106" i="20"/>
  <c r="E1407" i="20"/>
  <c r="E1291" i="20"/>
  <c r="E157" i="20"/>
  <c r="E981" i="20"/>
  <c r="E212" i="20"/>
  <c r="E652" i="20"/>
  <c r="E758" i="20"/>
  <c r="E324" i="20"/>
  <c r="E1485" i="20"/>
  <c r="E772" i="20"/>
  <c r="E1194" i="20"/>
  <c r="E1225" i="20"/>
  <c r="E658" i="20"/>
  <c r="E380" i="20"/>
  <c r="E1502" i="20"/>
  <c r="E978" i="20"/>
  <c r="E1491" i="20"/>
  <c r="E477" i="20"/>
  <c r="E1301" i="20"/>
  <c r="E76" i="20"/>
  <c r="E182" i="20"/>
  <c r="E1123" i="20"/>
  <c r="E843" i="20"/>
  <c r="E1247" i="20"/>
  <c r="E1202" i="20"/>
  <c r="E518" i="20"/>
  <c r="E665" i="20"/>
  <c r="E1104" i="20"/>
  <c r="E887" i="20"/>
  <c r="E1462" i="20"/>
  <c r="E152" i="20"/>
  <c r="E367" i="20"/>
  <c r="E1145" i="20"/>
  <c r="E363" i="20"/>
  <c r="E285" i="20"/>
  <c r="E126" i="20"/>
  <c r="E381" i="20"/>
  <c r="E356" i="20"/>
  <c r="E1309" i="20"/>
  <c r="E1126" i="20"/>
  <c r="E85" i="20"/>
  <c r="E214" i="20"/>
  <c r="E1262" i="20"/>
  <c r="E438" i="20"/>
  <c r="E1168" i="20"/>
  <c r="E594" i="20"/>
  <c r="E724" i="20"/>
  <c r="E884" i="20"/>
  <c r="E635" i="20"/>
  <c r="E791" i="20"/>
  <c r="E1028" i="20"/>
  <c r="E1311" i="20"/>
  <c r="E1141" i="20"/>
  <c r="E844" i="20"/>
  <c r="E770" i="20"/>
  <c r="E1150" i="20"/>
  <c r="E1162" i="20"/>
  <c r="E302" i="20"/>
  <c r="E280" i="20"/>
  <c r="E341" i="20"/>
  <c r="E40" i="20"/>
  <c r="E1196" i="20"/>
  <c r="E1470" i="20"/>
  <c r="E458" i="20"/>
  <c r="E1052" i="20"/>
  <c r="E976" i="20"/>
  <c r="E1481" i="20"/>
  <c r="E757" i="20"/>
  <c r="E284" i="20"/>
  <c r="E406" i="20"/>
  <c r="E511" i="20"/>
  <c r="E1424" i="20"/>
  <c r="E1211" i="20"/>
  <c r="E443" i="20"/>
  <c r="E201" i="20"/>
  <c r="E943" i="20"/>
  <c r="E263" i="20"/>
  <c r="E1455" i="20"/>
  <c r="E1252" i="20"/>
  <c r="E1198" i="20"/>
  <c r="E434" i="20"/>
  <c r="E253" i="20"/>
  <c r="E1077" i="20"/>
  <c r="E340" i="20"/>
  <c r="E771" i="20"/>
  <c r="E876" i="20"/>
  <c r="E499" i="20"/>
  <c r="E417" i="20"/>
  <c r="E930" i="20"/>
  <c r="E71" i="20"/>
  <c r="E1359" i="20"/>
  <c r="E804" i="20"/>
  <c r="E550" i="20"/>
  <c r="E494" i="20"/>
  <c r="E1500" i="20"/>
  <c r="E935" i="20"/>
  <c r="E573" i="20"/>
  <c r="E74" i="20"/>
  <c r="E204" i="20"/>
  <c r="E300" i="20"/>
  <c r="E1242" i="20"/>
  <c r="E971" i="20"/>
  <c r="E51" i="20"/>
  <c r="E1348" i="20"/>
  <c r="E676" i="20"/>
  <c r="E1216" i="20"/>
  <c r="E1230" i="20"/>
  <c r="E1011" i="20"/>
  <c r="E1281" i="20"/>
  <c r="E873" i="20"/>
  <c r="E1513" i="20"/>
  <c r="E1175" i="20"/>
  <c r="E582" i="20"/>
  <c r="E1109" i="20"/>
  <c r="E1387" i="20"/>
  <c r="E1205" i="20"/>
  <c r="E1506" i="20"/>
  <c r="E104" i="20"/>
  <c r="E897" i="20"/>
  <c r="E570" i="20"/>
  <c r="E319" i="20"/>
  <c r="E1022" i="20"/>
  <c r="E1360" i="20"/>
  <c r="E403" i="20"/>
  <c r="E893" i="20"/>
  <c r="M98" i="20"/>
  <c r="M46" i="20"/>
  <c r="M626" i="20"/>
  <c r="M60" i="20"/>
  <c r="M178" i="20"/>
  <c r="M137" i="20"/>
  <c r="M706" i="20"/>
  <c r="M164" i="20"/>
  <c r="M258" i="20"/>
  <c r="M229" i="20"/>
  <c r="M786" i="20"/>
  <c r="M269" i="20"/>
  <c r="M55" i="20"/>
  <c r="M938" i="20"/>
  <c r="M720" i="20"/>
  <c r="M1278" i="20"/>
  <c r="M427" i="20"/>
  <c r="M1112" i="20"/>
  <c r="M286" i="20"/>
  <c r="M1088" i="20"/>
  <c r="M518" i="20"/>
  <c r="M1266" i="20"/>
  <c r="M744" i="20"/>
  <c r="M132" i="20"/>
  <c r="M953" i="20"/>
  <c r="M333" i="20"/>
  <c r="M224" i="20"/>
  <c r="M117" i="20"/>
  <c r="M1517" i="20"/>
  <c r="M1475" i="20"/>
  <c r="M782" i="20"/>
  <c r="M1509" i="20"/>
  <c r="M1003" i="20"/>
  <c r="M901" i="20"/>
  <c r="M73" i="20"/>
  <c r="M954" i="20"/>
  <c r="M729" i="20"/>
  <c r="M1286" i="20"/>
  <c r="M438" i="20"/>
  <c r="M1121" i="20"/>
  <c r="M299" i="20"/>
  <c r="M1098" i="20"/>
  <c r="M533" i="20"/>
  <c r="M1277" i="20"/>
  <c r="M756" i="20"/>
  <c r="M145" i="20"/>
  <c r="M965" i="20"/>
  <c r="M359" i="20"/>
  <c r="M252" i="20"/>
  <c r="M144" i="20"/>
  <c r="M48" i="20"/>
  <c r="M1488" i="20"/>
  <c r="M829" i="20"/>
  <c r="M160" i="20"/>
  <c r="M1051" i="20"/>
  <c r="M1091" i="20"/>
  <c r="M570" i="20"/>
  <c r="M890" i="20"/>
  <c r="M684" i="20"/>
  <c r="M1246" i="20"/>
  <c r="M379" i="20"/>
  <c r="M1073" i="20"/>
  <c r="M231" i="20"/>
  <c r="M1039" i="20"/>
  <c r="M464" i="20"/>
  <c r="M1225" i="20"/>
  <c r="M696" i="20"/>
  <c r="M77" i="20"/>
  <c r="M905" i="20"/>
  <c r="M222" i="20"/>
  <c r="M115" i="20"/>
  <c r="M1516" i="20"/>
  <c r="M1469" i="20"/>
  <c r="M1427" i="20"/>
  <c r="M590" i="20"/>
  <c r="M1415" i="20"/>
  <c r="M811" i="20"/>
  <c r="M72" i="20"/>
  <c r="M457" i="20"/>
  <c r="M739" i="20"/>
  <c r="M127" i="20"/>
  <c r="M1240" i="20"/>
  <c r="M956" i="20"/>
  <c r="M851" i="20"/>
  <c r="M768" i="20"/>
  <c r="M654" i="20"/>
  <c r="M699" i="20"/>
  <c r="M1433" i="20"/>
  <c r="M736" i="20"/>
  <c r="M878" i="20"/>
  <c r="M1379" i="20"/>
  <c r="M236" i="20"/>
  <c r="M1110" i="20"/>
  <c r="M161" i="20"/>
  <c r="M1041" i="20"/>
  <c r="M542" i="20"/>
  <c r="M987" i="20"/>
  <c r="M317" i="20"/>
  <c r="M662" i="20"/>
  <c r="M541" i="20"/>
  <c r="M917" i="20"/>
  <c r="M437" i="20"/>
  <c r="M391" i="20"/>
  <c r="M1009" i="20"/>
  <c r="M1117" i="20"/>
  <c r="M895" i="20"/>
  <c r="M810" i="20"/>
  <c r="M985" i="20"/>
  <c r="M462" i="20"/>
  <c r="M1496" i="20"/>
  <c r="M1244" i="20"/>
  <c r="M1162" i="20"/>
  <c r="M1090" i="20"/>
  <c r="M989" i="20"/>
  <c r="M1332" i="20"/>
  <c r="M526" i="20"/>
  <c r="M1345" i="20"/>
  <c r="M1393" i="20"/>
  <c r="M1138" i="20"/>
  <c r="M186" i="20"/>
  <c r="M995" i="20"/>
  <c r="M1505" i="20"/>
  <c r="M139" i="20"/>
  <c r="M86" i="20"/>
  <c r="M158" i="20"/>
  <c r="M400" i="20"/>
  <c r="M866" i="20"/>
  <c r="M771" i="20"/>
  <c r="M261" i="20"/>
  <c r="M1257" i="20"/>
  <c r="M61" i="20"/>
  <c r="M148" i="20"/>
  <c r="M950" i="20"/>
  <c r="M366" i="20"/>
  <c r="M675" i="20"/>
  <c r="M68" i="20"/>
  <c r="M1176" i="20"/>
  <c r="M872" i="20"/>
  <c r="M779" i="20"/>
  <c r="M162" i="20"/>
  <c r="M119" i="20"/>
  <c r="M690" i="20"/>
  <c r="M143" i="20"/>
  <c r="M242" i="20"/>
  <c r="M211" i="20"/>
  <c r="M770" i="20"/>
  <c r="M248" i="20"/>
  <c r="M322" i="20"/>
  <c r="M302" i="20"/>
  <c r="M850" i="20"/>
  <c r="M352" i="20"/>
  <c r="M174" i="20"/>
  <c r="M1050" i="20"/>
  <c r="M793" i="20"/>
  <c r="M1342" i="20"/>
  <c r="M523" i="20"/>
  <c r="M1185" i="20"/>
  <c r="M396" i="20"/>
  <c r="M1171" i="20"/>
  <c r="M623" i="20"/>
  <c r="M1351" i="20"/>
  <c r="M840" i="20"/>
  <c r="M241" i="20"/>
  <c r="M1048" i="20"/>
  <c r="M550" i="20"/>
  <c r="M443" i="20"/>
  <c r="M335" i="20"/>
  <c r="M240" i="20"/>
  <c r="M255" i="20"/>
  <c r="M1154" i="20"/>
  <c r="M1201" i="20"/>
  <c r="M1347" i="20"/>
  <c r="M752" i="20"/>
  <c r="M183" i="20"/>
  <c r="M1058" i="20"/>
  <c r="M803" i="20"/>
  <c r="M1350" i="20"/>
  <c r="M534" i="20"/>
  <c r="M1194" i="20"/>
  <c r="M408" i="20"/>
  <c r="M1181" i="20"/>
  <c r="M636" i="20"/>
  <c r="M1361" i="20"/>
  <c r="M852" i="20"/>
  <c r="M254" i="20"/>
  <c r="M1061" i="20"/>
  <c r="M577" i="20"/>
  <c r="M470" i="20"/>
  <c r="M361" i="20"/>
  <c r="M267" i="20"/>
  <c r="M312" i="20"/>
  <c r="M1196" i="20"/>
  <c r="M1327" i="20"/>
  <c r="M1381" i="20"/>
  <c r="M943" i="20"/>
  <c r="M110" i="20"/>
  <c r="M994" i="20"/>
  <c r="M757" i="20"/>
  <c r="M1310" i="20"/>
  <c r="M473" i="20"/>
  <c r="M1148" i="20"/>
  <c r="M340" i="20"/>
  <c r="M1129" i="20"/>
  <c r="M574" i="20"/>
  <c r="M1308" i="20"/>
  <c r="M792" i="20"/>
  <c r="M187" i="20"/>
  <c r="M1001" i="20"/>
  <c r="M441" i="20"/>
  <c r="M334" i="20"/>
  <c r="M225" i="20"/>
  <c r="M131" i="20"/>
  <c r="M36" i="20"/>
  <c r="M973" i="20"/>
  <c r="M644" i="20"/>
  <c r="M1180" i="20"/>
  <c r="M1497" i="20"/>
  <c r="M618" i="20"/>
  <c r="M848" i="20"/>
  <c r="M295" i="20"/>
  <c r="M1359" i="20"/>
  <c r="M1108" i="20"/>
  <c r="M993" i="20"/>
  <c r="M911" i="20"/>
  <c r="M822" i="20"/>
  <c r="M1008" i="20"/>
  <c r="M171" i="20"/>
  <c r="M1024" i="20"/>
  <c r="M1389" i="20"/>
  <c r="M461" i="20"/>
  <c r="M346" i="20"/>
  <c r="M1318" i="20"/>
  <c r="M532" i="20"/>
  <c r="M1319" i="20"/>
  <c r="M846" i="20"/>
  <c r="M1456" i="20"/>
  <c r="M1484" i="20"/>
  <c r="M42" i="20"/>
  <c r="M775" i="20"/>
  <c r="M1167" i="20"/>
  <c r="M755" i="20"/>
  <c r="M726" i="20"/>
  <c r="M1491" i="20"/>
  <c r="M1069" i="20"/>
  <c r="M170" i="20"/>
  <c r="M986" i="20"/>
  <c r="M1102" i="20"/>
  <c r="M604" i="20"/>
  <c r="M149" i="20"/>
  <c r="M40" i="20"/>
  <c r="M1298" i="20"/>
  <c r="M1226" i="20"/>
  <c r="M1127" i="20"/>
  <c r="M1490" i="20"/>
  <c r="M869" i="20"/>
  <c r="M1511" i="20"/>
  <c r="M640" i="20"/>
  <c r="M126" i="20"/>
  <c r="M506" i="20"/>
  <c r="M1206" i="20"/>
  <c r="M353" i="20"/>
  <c r="M480" i="20"/>
  <c r="M795" i="20"/>
  <c r="M808" i="20"/>
  <c r="M1474" i="20"/>
  <c r="M123" i="20"/>
  <c r="M1053" i="20"/>
  <c r="M599" i="20"/>
  <c r="M214" i="20"/>
  <c r="M724" i="20"/>
  <c r="M1357" i="20"/>
  <c r="M1343" i="20"/>
  <c r="M549" i="20"/>
  <c r="M784" i="20"/>
  <c r="M212" i="20"/>
  <c r="M1304" i="20"/>
  <c r="M1028" i="20"/>
  <c r="M934" i="20"/>
  <c r="M226" i="20"/>
  <c r="M192" i="20"/>
  <c r="M754" i="20"/>
  <c r="M227" i="20"/>
  <c r="M306" i="20"/>
  <c r="M284" i="20"/>
  <c r="M834" i="20"/>
  <c r="M332" i="20"/>
  <c r="M386" i="20"/>
  <c r="M375" i="20"/>
  <c r="M914" i="20"/>
  <c r="M436" i="20"/>
  <c r="M293" i="20"/>
  <c r="M70" i="20"/>
  <c r="M867" i="20"/>
  <c r="M1406" i="20"/>
  <c r="M614" i="20"/>
  <c r="M1258" i="20"/>
  <c r="M504" i="20"/>
  <c r="M1255" i="20"/>
  <c r="M719" i="20"/>
  <c r="M111" i="20"/>
  <c r="M935" i="20"/>
  <c r="M350" i="20"/>
  <c r="M1137" i="20"/>
  <c r="M745" i="20"/>
  <c r="M652" i="20"/>
  <c r="M553" i="20"/>
  <c r="M459" i="20"/>
  <c r="M680" i="20"/>
  <c r="M1436" i="20"/>
  <c r="M292" i="20"/>
  <c r="M345" i="20"/>
  <c r="M704" i="20"/>
  <c r="M311" i="20"/>
  <c r="M91" i="20"/>
  <c r="M876" i="20"/>
  <c r="M1414" i="20"/>
  <c r="M624" i="20"/>
  <c r="M1267" i="20"/>
  <c r="M517" i="20"/>
  <c r="M1265" i="20"/>
  <c r="M732" i="20"/>
  <c r="M125" i="20"/>
  <c r="M947" i="20"/>
  <c r="M364" i="20"/>
  <c r="M1147" i="20"/>
  <c r="M769" i="20"/>
  <c r="M676" i="20"/>
  <c r="M580" i="20"/>
  <c r="M484" i="20"/>
  <c r="M727" i="20"/>
  <c r="M1460" i="20"/>
  <c r="M347" i="20"/>
  <c r="M564" i="20"/>
  <c r="M1400" i="20"/>
  <c r="M238" i="20"/>
  <c r="M31" i="20"/>
  <c r="M830" i="20"/>
  <c r="M1374" i="20"/>
  <c r="M569" i="20"/>
  <c r="M1221" i="20"/>
  <c r="M449" i="20"/>
  <c r="M1213" i="20"/>
  <c r="M671" i="20"/>
  <c r="M57" i="20"/>
  <c r="M888" i="20"/>
  <c r="M296" i="20"/>
  <c r="M1096" i="20"/>
  <c r="M651" i="20"/>
  <c r="M552" i="20"/>
  <c r="M444" i="20"/>
  <c r="M349" i="20"/>
  <c r="M475" i="20"/>
  <c r="M1321" i="20"/>
  <c r="M75" i="20"/>
  <c r="M1453" i="20"/>
  <c r="M1424" i="20"/>
  <c r="M802" i="20"/>
  <c r="M967" i="20"/>
  <c r="M451" i="20"/>
  <c r="M1468" i="20"/>
  <c r="M1234" i="20"/>
  <c r="M1152" i="20"/>
  <c r="M1067" i="20"/>
  <c r="M977" i="20"/>
  <c r="M1269" i="20"/>
  <c r="M500" i="20"/>
  <c r="M1324" i="20"/>
  <c r="M1160" i="20"/>
  <c r="M1097" i="20"/>
  <c r="M128" i="20"/>
  <c r="M1518" i="20"/>
  <c r="M837" i="20"/>
  <c r="M303" i="20"/>
  <c r="M1159" i="20"/>
  <c r="M606" i="20"/>
  <c r="M688" i="20"/>
  <c r="M202" i="20"/>
  <c r="M894" i="20"/>
  <c r="M1395" i="20"/>
  <c r="M1065" i="20"/>
  <c r="M1025" i="20"/>
  <c r="M630" i="20"/>
  <c r="M47" i="20"/>
  <c r="M338" i="20"/>
  <c r="M49" i="20"/>
  <c r="M1198" i="20"/>
  <c r="M750" i="20"/>
  <c r="M326" i="20"/>
  <c r="M219" i="20"/>
  <c r="M97" i="20"/>
  <c r="M1352" i="20"/>
  <c r="M1273" i="20"/>
  <c r="M305" i="20"/>
  <c r="M1168" i="20"/>
  <c r="M632" i="20"/>
  <c r="M1197" i="20"/>
  <c r="M608" i="20"/>
  <c r="M320" i="20"/>
  <c r="M1422" i="20"/>
  <c r="M681" i="20"/>
  <c r="M960" i="20"/>
  <c r="M1353" i="20"/>
  <c r="M1365" i="20"/>
  <c r="M1223" i="20"/>
  <c r="M665" i="20"/>
  <c r="M1285" i="20"/>
  <c r="M899" i="20"/>
  <c r="M555" i="20"/>
  <c r="M1312" i="20"/>
  <c r="M481" i="20"/>
  <c r="M337" i="20"/>
  <c r="M714" i="20"/>
  <c r="M912" i="20"/>
  <c r="M367" i="20"/>
  <c r="M1423" i="20"/>
  <c r="M1161" i="20"/>
  <c r="M1078" i="20"/>
  <c r="M290" i="20"/>
  <c r="M265" i="20"/>
  <c r="M818" i="20"/>
  <c r="M310" i="20"/>
  <c r="M370" i="20"/>
  <c r="M357" i="20"/>
  <c r="M898" i="20"/>
  <c r="M415" i="20"/>
  <c r="M450" i="20"/>
  <c r="M448" i="20"/>
  <c r="M978" i="20"/>
  <c r="M106" i="20"/>
  <c r="M403" i="20"/>
  <c r="M206" i="20"/>
  <c r="M940" i="20"/>
  <c r="M1470" i="20"/>
  <c r="M697" i="20"/>
  <c r="M1331" i="20"/>
  <c r="M609" i="20"/>
  <c r="M1338" i="20"/>
  <c r="M815" i="20"/>
  <c r="M221" i="20"/>
  <c r="M1030" i="20"/>
  <c r="M460" i="20"/>
  <c r="M1220" i="20"/>
  <c r="M936" i="20"/>
  <c r="M843" i="20"/>
  <c r="M749" i="20"/>
  <c r="M664" i="20"/>
  <c r="M1062" i="20"/>
  <c r="M741" i="20"/>
  <c r="M712" i="20"/>
  <c r="M1217" i="20"/>
  <c r="M122" i="20"/>
  <c r="M421" i="20"/>
  <c r="M216" i="20"/>
  <c r="M949" i="20"/>
  <c r="M1478" i="20"/>
  <c r="M708" i="20"/>
  <c r="M1340" i="20"/>
  <c r="M622" i="20"/>
  <c r="M1348" i="20"/>
  <c r="M827" i="20"/>
  <c r="M233" i="20"/>
  <c r="M1044" i="20"/>
  <c r="M472" i="20"/>
  <c r="M1232" i="20"/>
  <c r="M961" i="20"/>
  <c r="M868" i="20"/>
  <c r="M773" i="20"/>
  <c r="M689" i="20"/>
  <c r="M1107" i="20"/>
  <c r="M883" i="20"/>
  <c r="M759" i="20"/>
  <c r="M502" i="20"/>
  <c r="M58" i="20"/>
  <c r="M348" i="20"/>
  <c r="M133" i="20"/>
  <c r="M903" i="20"/>
  <c r="M1438" i="20"/>
  <c r="M655" i="20"/>
  <c r="M1295" i="20"/>
  <c r="M559" i="20"/>
  <c r="M1297" i="20"/>
  <c r="M767" i="20"/>
  <c r="M167" i="20"/>
  <c r="M983" i="20"/>
  <c r="M406" i="20"/>
  <c r="M1179" i="20"/>
  <c r="M841" i="20"/>
  <c r="M747" i="20"/>
  <c r="M653" i="20"/>
  <c r="M566" i="20"/>
  <c r="M871" i="20"/>
  <c r="M52" i="20"/>
  <c r="M511" i="20"/>
  <c r="M1133" i="20"/>
  <c r="M146" i="20"/>
  <c r="M970" i="20"/>
  <c r="M1077" i="20"/>
  <c r="M593" i="20"/>
  <c r="M135" i="20"/>
  <c r="M1370" i="20"/>
  <c r="M1288" i="20"/>
  <c r="M1195" i="20"/>
  <c r="M1116" i="20"/>
  <c r="M1479" i="20"/>
  <c r="M820" i="20"/>
  <c r="M1499" i="20"/>
  <c r="M483" i="20"/>
  <c r="M1500" i="20"/>
  <c r="M494" i="20"/>
  <c r="M318" i="20"/>
  <c r="M981" i="20"/>
  <c r="M637" i="20"/>
  <c r="M1419" i="20"/>
  <c r="M1188" i="20"/>
  <c r="M788" i="20"/>
  <c r="M538" i="20"/>
  <c r="M1126" i="20"/>
  <c r="M204" i="20"/>
  <c r="M1329" i="20"/>
  <c r="M1293" i="20"/>
  <c r="M1229" i="20"/>
  <c r="M1364" i="20"/>
  <c r="M490" i="20"/>
  <c r="M289" i="20"/>
  <c r="M1302" i="20"/>
  <c r="M886" i="20"/>
  <c r="M491" i="20"/>
  <c r="M382" i="20"/>
  <c r="M288" i="20"/>
  <c r="M172" i="20"/>
  <c r="M1409" i="20"/>
  <c r="M628" i="20"/>
  <c r="M1397" i="20"/>
  <c r="M1274" i="20"/>
  <c r="M489" i="20"/>
  <c r="M806" i="20"/>
  <c r="M674" i="20"/>
  <c r="M176" i="20"/>
  <c r="M1140" i="20"/>
  <c r="M1236" i="20"/>
  <c r="M360" i="20"/>
  <c r="M776" i="20"/>
  <c r="M997" i="20"/>
  <c r="M1004" i="20"/>
  <c r="M23" i="20"/>
  <c r="M1204" i="20"/>
  <c r="M881" i="20"/>
  <c r="M280" i="20"/>
  <c r="M1508" i="20"/>
  <c r="M74" i="20"/>
  <c r="M874" i="20"/>
  <c r="M1031" i="20"/>
  <c r="M510" i="20"/>
  <c r="M38" i="20"/>
  <c r="M1307" i="20"/>
  <c r="M1215" i="20"/>
  <c r="M1143" i="20"/>
  <c r="M354" i="20"/>
  <c r="M339" i="20"/>
  <c r="M882" i="20"/>
  <c r="M395" i="20"/>
  <c r="M434" i="20"/>
  <c r="M430" i="20"/>
  <c r="M962" i="20"/>
  <c r="M499" i="20"/>
  <c r="M514" i="20"/>
  <c r="M521" i="20"/>
  <c r="M1042" i="20"/>
  <c r="M210" i="20"/>
  <c r="M531" i="20"/>
  <c r="M342" i="20"/>
  <c r="M1013" i="20"/>
  <c r="M44" i="20"/>
  <c r="M781" i="20"/>
  <c r="M1404" i="20"/>
  <c r="M705" i="20"/>
  <c r="M84" i="20"/>
  <c r="M910" i="20"/>
  <c r="M328" i="20"/>
  <c r="M1122" i="20"/>
  <c r="M568" i="20"/>
  <c r="M1305" i="20"/>
  <c r="M1123" i="20"/>
  <c r="M1035" i="20"/>
  <c r="M941" i="20"/>
  <c r="M856" i="20"/>
  <c r="M1387" i="20"/>
  <c r="M100" i="20"/>
  <c r="M1092" i="20"/>
  <c r="M1170" i="20"/>
  <c r="M218" i="20"/>
  <c r="M540" i="20"/>
  <c r="M363" i="20"/>
  <c r="M1022" i="20"/>
  <c r="M56" i="20"/>
  <c r="M791" i="20"/>
  <c r="M1413" i="20"/>
  <c r="M717" i="20"/>
  <c r="M96" i="20"/>
  <c r="M923" i="20"/>
  <c r="M344" i="20"/>
  <c r="M1132" i="20"/>
  <c r="M583" i="20"/>
  <c r="M1315" i="20"/>
  <c r="M1144" i="20"/>
  <c r="M1057" i="20"/>
  <c r="M964" i="20"/>
  <c r="M880" i="20"/>
  <c r="M1411" i="20"/>
  <c r="M157" i="20"/>
  <c r="M1135" i="20"/>
  <c r="M1337" i="20"/>
  <c r="M154" i="20"/>
  <c r="M467" i="20"/>
  <c r="M279" i="20"/>
  <c r="M976" i="20"/>
  <c r="M1502" i="20"/>
  <c r="M740" i="20"/>
  <c r="M1368" i="20"/>
  <c r="M659" i="20"/>
  <c r="M24" i="20"/>
  <c r="M862" i="20"/>
  <c r="M276" i="20"/>
  <c r="M1079" i="20"/>
  <c r="M515" i="20"/>
  <c r="M1263" i="20"/>
  <c r="M1033" i="20"/>
  <c r="M939" i="20"/>
  <c r="M845" i="20"/>
  <c r="M761" i="20"/>
  <c r="M1233" i="20"/>
  <c r="M1284" i="20"/>
  <c r="M902" i="20"/>
  <c r="M392" i="20"/>
  <c r="M298" i="20"/>
  <c r="M39" i="20"/>
  <c r="M1190" i="20"/>
  <c r="M728" i="20"/>
  <c r="M313" i="20"/>
  <c r="M179" i="20"/>
  <c r="M85" i="20"/>
  <c r="M1341" i="20"/>
  <c r="M1252" i="20"/>
  <c r="M278" i="20"/>
  <c r="M1105" i="20"/>
  <c r="M584" i="20"/>
  <c r="M1155" i="20"/>
  <c r="M173" i="20"/>
  <c r="M826" i="20"/>
  <c r="M635" i="20"/>
  <c r="M1275" i="20"/>
  <c r="M805" i="20"/>
  <c r="M469" i="20"/>
  <c r="M513" i="20"/>
  <c r="M998" i="20"/>
  <c r="M329" i="20"/>
  <c r="M1326" i="20"/>
  <c r="M544" i="20"/>
  <c r="M316" i="20"/>
  <c r="M168" i="20"/>
  <c r="M184" i="20"/>
  <c r="M455" i="20"/>
  <c r="M101" i="20"/>
  <c r="M509" i="20"/>
  <c r="M1398" i="20"/>
  <c r="M1011" i="20"/>
  <c r="M670" i="20"/>
  <c r="M560" i="20"/>
  <c r="M465" i="20"/>
  <c r="M336" i="20"/>
  <c r="M59" i="20"/>
  <c r="M963" i="20"/>
  <c r="M103" i="20"/>
  <c r="M692" i="20"/>
  <c r="M239" i="20"/>
  <c r="M1471" i="20"/>
  <c r="M1002" i="20"/>
  <c r="M486" i="20"/>
  <c r="M54" i="20"/>
  <c r="M200" i="20"/>
  <c r="M1271" i="20"/>
  <c r="M836" i="20"/>
  <c r="M120" i="20"/>
  <c r="M1230" i="20"/>
  <c r="M368" i="20"/>
  <c r="M152" i="20"/>
  <c r="M1169" i="20"/>
  <c r="M916" i="20"/>
  <c r="M783" i="20"/>
  <c r="M234" i="20"/>
  <c r="M1034" i="20"/>
  <c r="M1134" i="20"/>
  <c r="M667" i="20"/>
  <c r="M217" i="20"/>
  <c r="M109" i="20"/>
  <c r="M1339" i="20"/>
  <c r="M418" i="20"/>
  <c r="M412" i="20"/>
  <c r="M946" i="20"/>
  <c r="M478" i="20"/>
  <c r="M498" i="20"/>
  <c r="M503" i="20"/>
  <c r="M1026" i="20"/>
  <c r="M66" i="20"/>
  <c r="M578" i="20"/>
  <c r="M594" i="20"/>
  <c r="M41" i="20"/>
  <c r="M314" i="20"/>
  <c r="M634" i="20"/>
  <c r="M468" i="20"/>
  <c r="M1086" i="20"/>
  <c r="M140" i="20"/>
  <c r="M864" i="20"/>
  <c r="M1477" i="20"/>
  <c r="M800" i="20"/>
  <c r="M191" i="20"/>
  <c r="M1006" i="20"/>
  <c r="M440" i="20"/>
  <c r="M1205" i="20"/>
  <c r="M668" i="20"/>
  <c r="M1388" i="20"/>
  <c r="M1290" i="20"/>
  <c r="M1208" i="20"/>
  <c r="M1125" i="20"/>
  <c r="M1047" i="20"/>
  <c r="M380" i="20"/>
  <c r="M537" i="20"/>
  <c r="M1402" i="20"/>
  <c r="M399" i="20"/>
  <c r="M330" i="20"/>
  <c r="M650" i="20"/>
  <c r="M488" i="20"/>
  <c r="M1094" i="20"/>
  <c r="M151" i="20"/>
  <c r="M875" i="20"/>
  <c r="M1487" i="20"/>
  <c r="M814" i="20"/>
  <c r="M205" i="20"/>
  <c r="M1017" i="20"/>
  <c r="M453" i="20"/>
  <c r="M1216" i="20"/>
  <c r="M679" i="20"/>
  <c r="M1399" i="20"/>
  <c r="M1311" i="20"/>
  <c r="M1228" i="20"/>
  <c r="M1146" i="20"/>
  <c r="M1071" i="20"/>
  <c r="M543" i="20"/>
  <c r="M591" i="20"/>
  <c r="M1426" i="20"/>
  <c r="M615" i="20"/>
  <c r="M266" i="20"/>
  <c r="M585" i="20"/>
  <c r="M405" i="20"/>
  <c r="M1049" i="20"/>
  <c r="M93" i="20"/>
  <c r="M823" i="20"/>
  <c r="M1441" i="20"/>
  <c r="M753" i="20"/>
  <c r="M136" i="20"/>
  <c r="M957" i="20"/>
  <c r="M385" i="20"/>
  <c r="M1163" i="20"/>
  <c r="M619" i="20"/>
  <c r="M1346" i="20"/>
  <c r="M1207" i="20"/>
  <c r="M1124" i="20"/>
  <c r="M1036" i="20"/>
  <c r="M952" i="20"/>
  <c r="M1483" i="20"/>
  <c r="M319" i="20"/>
  <c r="M1260" i="20"/>
  <c r="M1473" i="20"/>
  <c r="M474" i="20"/>
  <c r="M259" i="20"/>
  <c r="M1294" i="20"/>
  <c r="M854" i="20"/>
  <c r="M477" i="20"/>
  <c r="M369" i="20"/>
  <c r="M262" i="20"/>
  <c r="M159" i="20"/>
  <c r="M1378" i="20"/>
  <c r="M605" i="20"/>
  <c r="M1385" i="20"/>
  <c r="M1191" i="20"/>
  <c r="M325" i="20"/>
  <c r="M181" i="20"/>
  <c r="M112" i="20"/>
  <c r="M896" i="20"/>
  <c r="M232" i="20"/>
  <c r="M1100" i="20"/>
  <c r="M1080" i="20"/>
  <c r="M1115" i="20"/>
  <c r="M571" i="20"/>
  <c r="M698" i="20"/>
  <c r="M30" i="20"/>
  <c r="M861" i="20"/>
  <c r="M672" i="20"/>
  <c r="M817" i="20"/>
  <c r="M832" i="20"/>
  <c r="M22" i="20"/>
  <c r="M275" i="20"/>
  <c r="M629" i="20"/>
  <c r="M1510" i="20"/>
  <c r="M1139" i="20"/>
  <c r="M825" i="20"/>
  <c r="M707" i="20"/>
  <c r="M625" i="20"/>
  <c r="M527" i="20"/>
  <c r="M413" i="20"/>
  <c r="M1250" i="20"/>
  <c r="M431" i="20"/>
  <c r="M263" i="20"/>
  <c r="M951" i="20"/>
  <c r="M1401" i="20"/>
  <c r="M300" i="20"/>
  <c r="M760" i="20"/>
  <c r="M588" i="20"/>
  <c r="M703" i="20"/>
  <c r="M253" i="20"/>
  <c r="M1020" i="20"/>
  <c r="M378" i="20"/>
  <c r="M1430" i="20"/>
  <c r="M694" i="20"/>
  <c r="M507" i="20"/>
  <c r="M1440" i="20"/>
  <c r="M1445" i="20"/>
  <c r="M932" i="20"/>
  <c r="M394" i="20"/>
  <c r="M153" i="20"/>
  <c r="M1238" i="20"/>
  <c r="M801" i="20"/>
  <c r="M381" i="20"/>
  <c r="M273" i="20"/>
  <c r="M482" i="20"/>
  <c r="M485" i="20"/>
  <c r="M1010" i="20"/>
  <c r="M50" i="20"/>
  <c r="M562" i="20"/>
  <c r="M576" i="20"/>
  <c r="M21" i="20"/>
  <c r="M130" i="20"/>
  <c r="M83" i="20"/>
  <c r="M658" i="20"/>
  <c r="M102" i="20"/>
  <c r="M410" i="20"/>
  <c r="M738" i="20"/>
  <c r="M572" i="20"/>
  <c r="M1150" i="20"/>
  <c r="M235" i="20"/>
  <c r="M948" i="20"/>
  <c r="M67" i="20"/>
  <c r="M897" i="20"/>
  <c r="M301" i="20"/>
  <c r="M1099" i="20"/>
  <c r="M548" i="20"/>
  <c r="M1289" i="20"/>
  <c r="M763" i="20"/>
  <c r="M1472" i="20"/>
  <c r="M1418" i="20"/>
  <c r="M1372" i="20"/>
  <c r="M1292" i="20"/>
  <c r="M1219" i="20"/>
  <c r="M1442" i="20"/>
  <c r="M926" i="20"/>
  <c r="M189" i="20"/>
  <c r="M447" i="20"/>
  <c r="M426" i="20"/>
  <c r="M746" i="20"/>
  <c r="M582" i="20"/>
  <c r="M1158" i="20"/>
  <c r="M246" i="20"/>
  <c r="M959" i="20"/>
  <c r="M81" i="20"/>
  <c r="M909" i="20"/>
  <c r="M315" i="20"/>
  <c r="M1109" i="20"/>
  <c r="M563" i="20"/>
  <c r="M1299" i="20"/>
  <c r="M774" i="20"/>
  <c r="M1482" i="20"/>
  <c r="M1431" i="20"/>
  <c r="M1384" i="20"/>
  <c r="M1314" i="20"/>
  <c r="M1241" i="20"/>
  <c r="M1512" i="20"/>
  <c r="M974" i="20"/>
  <c r="M243" i="20"/>
  <c r="M657" i="20"/>
  <c r="M362" i="20"/>
  <c r="M682" i="20"/>
  <c r="M529" i="20"/>
  <c r="M1118" i="20"/>
  <c r="M188" i="20"/>
  <c r="M907" i="20"/>
  <c r="M1514" i="20"/>
  <c r="M849" i="20"/>
  <c r="M245" i="20"/>
  <c r="M1054" i="20"/>
  <c r="M493" i="20"/>
  <c r="M1247" i="20"/>
  <c r="M715" i="20"/>
  <c r="M1429" i="20"/>
  <c r="M1371" i="20"/>
  <c r="M1291" i="20"/>
  <c r="M1209" i="20"/>
  <c r="M1136" i="20"/>
  <c r="M979" i="20"/>
  <c r="M735" i="20"/>
  <c r="M1498" i="20"/>
  <c r="M1175" i="20"/>
  <c r="M92" i="20"/>
  <c r="M456" i="20"/>
  <c r="M1390" i="20"/>
  <c r="M1000" i="20"/>
  <c r="M646" i="20"/>
  <c r="M547" i="20"/>
  <c r="M424" i="20"/>
  <c r="M324" i="20"/>
  <c r="M27" i="20"/>
  <c r="M915" i="20"/>
  <c r="M76" i="20"/>
  <c r="M270" i="20"/>
  <c r="M182" i="20"/>
  <c r="M1375" i="20"/>
  <c r="M638" i="20"/>
  <c r="M1157" i="20"/>
  <c r="M397" i="20"/>
  <c r="M1362" i="20"/>
  <c r="M1501" i="20"/>
  <c r="M94" i="20"/>
  <c r="M758" i="20"/>
  <c r="M1018" i="20"/>
  <c r="M355" i="20"/>
  <c r="M1151" i="20"/>
  <c r="M972" i="20"/>
  <c r="M1383" i="20"/>
  <c r="M1403" i="20"/>
  <c r="M1264" i="20"/>
  <c r="M476" i="20"/>
  <c r="M748" i="20"/>
  <c r="M163" i="20"/>
  <c r="M1249" i="20"/>
  <c r="M968" i="20"/>
  <c r="M873" i="20"/>
  <c r="M780" i="20"/>
  <c r="M691" i="20"/>
  <c r="M723" i="20"/>
  <c r="M1444" i="20"/>
  <c r="M785" i="20"/>
  <c r="M925" i="20"/>
  <c r="M1449" i="20"/>
  <c r="M1045" i="20"/>
  <c r="M519" i="20"/>
  <c r="M1021" i="20"/>
  <c r="M887" i="20"/>
  <c r="M1014" i="20"/>
  <c r="M892" i="20"/>
  <c r="M1465" i="20"/>
  <c r="M147" i="20"/>
  <c r="M199" i="20"/>
  <c r="M1016" i="20"/>
  <c r="M816" i="20"/>
  <c r="M495" i="20"/>
  <c r="M539" i="20"/>
  <c r="M1046" i="20"/>
  <c r="M554" i="20"/>
  <c r="M373" i="20"/>
  <c r="M1334" i="20"/>
  <c r="M927" i="20"/>
  <c r="M573" i="20"/>
  <c r="M452" i="20"/>
  <c r="M358" i="20"/>
  <c r="M228" i="20"/>
  <c r="M1451" i="20"/>
  <c r="M772" i="20"/>
  <c r="M1457" i="20"/>
  <c r="M1435" i="20"/>
  <c r="M1075" i="20"/>
  <c r="M34" i="20"/>
  <c r="M546" i="20"/>
  <c r="M558" i="20"/>
  <c r="M1074" i="20"/>
  <c r="M114" i="20"/>
  <c r="M64" i="20"/>
  <c r="M642" i="20"/>
  <c r="M80" i="20"/>
  <c r="M194" i="20"/>
  <c r="M156" i="20"/>
  <c r="M722" i="20"/>
  <c r="M185" i="20"/>
  <c r="M522" i="20"/>
  <c r="M842" i="20"/>
  <c r="M647" i="20"/>
  <c r="M1214" i="20"/>
  <c r="M331" i="20"/>
  <c r="M1032" i="20"/>
  <c r="M177" i="20"/>
  <c r="M992" i="20"/>
  <c r="M409" i="20"/>
  <c r="M1183" i="20"/>
  <c r="M649" i="20"/>
  <c r="M20" i="20"/>
  <c r="M859" i="20"/>
  <c r="M113" i="20"/>
  <c r="M1515" i="20"/>
  <c r="M1467" i="20"/>
  <c r="M1421" i="20"/>
  <c r="M1380" i="20"/>
  <c r="M372" i="20"/>
  <c r="M1281" i="20"/>
  <c r="M621" i="20"/>
  <c r="M1376" i="20"/>
  <c r="M530" i="20"/>
  <c r="M858" i="20"/>
  <c r="M656" i="20"/>
  <c r="M1222" i="20"/>
  <c r="M343" i="20"/>
  <c r="M1043" i="20"/>
  <c r="M190" i="20"/>
  <c r="M1005" i="20"/>
  <c r="M423" i="20"/>
  <c r="M1193" i="20"/>
  <c r="M661" i="20"/>
  <c r="M35" i="20"/>
  <c r="M870" i="20"/>
  <c r="M141" i="20"/>
  <c r="M32" i="20"/>
  <c r="M1480" i="20"/>
  <c r="M1434" i="20"/>
  <c r="M1392" i="20"/>
  <c r="M428" i="20"/>
  <c r="M1323" i="20"/>
  <c r="M669" i="20"/>
  <c r="M285" i="20"/>
  <c r="M466" i="20"/>
  <c r="M794" i="20"/>
  <c r="M611" i="20"/>
  <c r="M1182" i="20"/>
  <c r="M283" i="20"/>
  <c r="M990" i="20"/>
  <c r="M121" i="20"/>
  <c r="M944" i="20"/>
  <c r="M356" i="20"/>
  <c r="M1141" i="20"/>
  <c r="M600" i="20"/>
  <c r="M1330" i="20"/>
  <c r="M809" i="20"/>
  <c r="M1513" i="20"/>
  <c r="M1466" i="20"/>
  <c r="M1420" i="20"/>
  <c r="M1373" i="20"/>
  <c r="M1303" i="20"/>
  <c r="M155" i="20"/>
  <c r="M1114" i="20"/>
  <c r="M407" i="20"/>
  <c r="M1211" i="20"/>
  <c r="M256" i="20"/>
  <c r="M620" i="20"/>
  <c r="M1494" i="20"/>
  <c r="M1130" i="20"/>
  <c r="M789" i="20"/>
  <c r="M695" i="20"/>
  <c r="M613" i="20"/>
  <c r="M501" i="20"/>
  <c r="M387" i="20"/>
  <c r="M1187" i="20"/>
  <c r="M404" i="20"/>
  <c r="M208" i="20"/>
  <c r="M855" i="20"/>
  <c r="M1259" i="20"/>
  <c r="M885" i="20"/>
  <c r="M1386" i="20"/>
  <c r="M743" i="20"/>
  <c r="M377" i="20"/>
  <c r="M700" i="20"/>
  <c r="M1316" i="20"/>
  <c r="M799" i="20"/>
  <c r="M321" i="20"/>
  <c r="M645" i="20"/>
  <c r="M69" i="20"/>
  <c r="M51" i="20"/>
  <c r="M388" i="20"/>
  <c r="M824" i="20"/>
  <c r="M991" i="20"/>
  <c r="M666" i="20"/>
  <c r="M857" i="20"/>
  <c r="M307" i="20"/>
  <c r="M1377" i="20"/>
  <c r="M1119" i="20"/>
  <c r="M1029" i="20"/>
  <c r="M924" i="20"/>
  <c r="M835" i="20"/>
  <c r="M1056" i="20"/>
  <c r="M198" i="20"/>
  <c r="M1095" i="20"/>
  <c r="M1412" i="20"/>
  <c r="M516" i="20"/>
  <c r="M26" i="20"/>
  <c r="M766" i="20"/>
  <c r="M1276" i="20"/>
  <c r="M1172" i="20"/>
  <c r="M1283" i="20"/>
  <c r="M1410" i="20"/>
  <c r="M1239" i="20"/>
  <c r="M512" i="20"/>
  <c r="M497" i="20"/>
  <c r="M1287" i="20"/>
  <c r="M1111" i="20"/>
  <c r="M1101" i="20"/>
  <c r="M1156" i="20"/>
  <c r="M716" i="20"/>
  <c r="M165" i="20"/>
  <c r="M551" i="20"/>
  <c r="M1446" i="20"/>
  <c r="M1063" i="20"/>
  <c r="M731" i="20"/>
  <c r="M612" i="20"/>
  <c r="M520" i="20"/>
  <c r="M419" i="20"/>
  <c r="M195" i="20"/>
  <c r="M1081" i="20"/>
  <c r="M213" i="20"/>
  <c r="M1243" i="20"/>
  <c r="M565" i="20"/>
  <c r="M180" i="20"/>
  <c r="M893" i="20"/>
  <c r="M87" i="20"/>
  <c r="M595" i="20"/>
  <c r="M215" i="20"/>
  <c r="M1300" i="20"/>
  <c r="M586" i="20"/>
  <c r="M383" i="20"/>
  <c r="M1358" i="20"/>
  <c r="M937" i="20"/>
  <c r="M587" i="20"/>
  <c r="M479" i="20"/>
  <c r="M371" i="20"/>
  <c r="M268" i="20"/>
  <c r="M1461" i="20"/>
  <c r="M796" i="20"/>
  <c r="M1481" i="20"/>
  <c r="M1458" i="20"/>
  <c r="M1417" i="20"/>
  <c r="M230" i="20"/>
  <c r="M393" i="20"/>
  <c r="M702" i="20"/>
  <c r="M104" i="20"/>
  <c r="M1212" i="20"/>
  <c r="M920" i="20"/>
  <c r="M804" i="20"/>
  <c r="M721" i="20"/>
  <c r="M631" i="20"/>
  <c r="M627" i="20"/>
  <c r="M1396" i="20"/>
  <c r="M641" i="20"/>
  <c r="M686" i="20"/>
  <c r="M1301" i="20"/>
  <c r="M1296" i="20"/>
  <c r="M942" i="20"/>
  <c r="M838" i="20"/>
  <c r="M138" i="20"/>
  <c r="M1106" i="20"/>
  <c r="M1174" i="20"/>
  <c r="M1083" i="20"/>
  <c r="M463" i="20"/>
  <c r="M1087" i="20"/>
  <c r="M798" i="20"/>
  <c r="M411" i="20"/>
  <c r="M247" i="20"/>
  <c r="M304" i="20"/>
  <c r="M733" i="20"/>
  <c r="M685" i="20"/>
  <c r="M1037" i="20"/>
  <c r="M416" i="20"/>
  <c r="M904" i="20"/>
  <c r="M209" i="20"/>
  <c r="M1447" i="20"/>
  <c r="M201" i="20"/>
  <c r="M561" i="20"/>
  <c r="M1454" i="20"/>
  <c r="M1084" i="20"/>
  <c r="M742" i="20"/>
  <c r="M648" i="20"/>
  <c r="M535" i="20"/>
  <c r="M432" i="20"/>
  <c r="M251" i="20"/>
  <c r="M1104" i="20"/>
  <c r="M294" i="20"/>
  <c r="M1369" i="20"/>
  <c r="M616" i="20"/>
  <c r="M291" i="20"/>
  <c r="M602" i="20"/>
  <c r="M821" i="20"/>
  <c r="M260" i="20"/>
  <c r="M1322" i="20"/>
  <c r="M1064" i="20"/>
  <c r="M971" i="20"/>
  <c r="M877" i="20"/>
  <c r="M787" i="20"/>
  <c r="M913" i="20"/>
  <c r="M62" i="20"/>
  <c r="M975" i="20"/>
  <c r="M1280" i="20"/>
  <c r="M297" i="20"/>
  <c r="M778" i="20"/>
  <c r="M1248" i="20"/>
  <c r="M673" i="20"/>
  <c r="M930" i="20"/>
  <c r="M1455" i="20"/>
  <c r="M718" i="20"/>
  <c r="M528" i="20"/>
  <c r="M341" i="20"/>
  <c r="M116" i="20"/>
  <c r="M999" i="20"/>
  <c r="M309" i="20"/>
  <c r="M601" i="20"/>
  <c r="M1165" i="20"/>
  <c r="M1408" i="20"/>
  <c r="M828" i="20"/>
  <c r="M1189" i="20"/>
  <c r="M1333" i="20"/>
  <c r="M1178" i="20"/>
  <c r="M831" i="20"/>
  <c r="M1448" i="20"/>
  <c r="M384" i="20"/>
  <c r="M693" i="20"/>
  <c r="M79" i="20"/>
  <c r="M1203" i="20"/>
  <c r="M884" i="20"/>
  <c r="M790" i="20"/>
  <c r="M709" i="20"/>
  <c r="M607" i="20"/>
  <c r="M603" i="20"/>
  <c r="M1354" i="20"/>
  <c r="M617" i="20"/>
  <c r="M639" i="20"/>
  <c r="M1218" i="20"/>
  <c r="M1128" i="20"/>
  <c r="M762" i="20"/>
  <c r="M931" i="20"/>
  <c r="M401" i="20"/>
  <c r="M1450" i="20"/>
  <c r="M1202" i="20"/>
  <c r="M1120" i="20"/>
  <c r="M1019" i="20"/>
  <c r="M929" i="20"/>
  <c r="M1227" i="20"/>
  <c r="M417" i="20"/>
  <c r="M1261" i="20"/>
  <c r="M597" i="20"/>
  <c r="M908" i="20"/>
  <c r="M958" i="20"/>
  <c r="M471" i="20"/>
  <c r="M734" i="20"/>
  <c r="M1068" i="20"/>
  <c r="M797" i="20"/>
  <c r="M272" i="20"/>
  <c r="M1070" i="20"/>
  <c r="M249" i="20"/>
  <c r="M933" i="20"/>
  <c r="M37" i="20"/>
  <c r="M1503" i="20"/>
  <c r="M1486" i="20"/>
  <c r="M376" i="20"/>
  <c r="M1344" i="20"/>
  <c r="M996" i="20"/>
  <c r="M1325" i="20"/>
  <c r="M1504" i="20"/>
  <c r="M1416" i="20"/>
  <c r="M1391" i="20"/>
  <c r="M1495" i="20"/>
  <c r="M567" i="20"/>
  <c r="M812" i="20"/>
  <c r="M223" i="20"/>
  <c r="M1313" i="20"/>
  <c r="M1052" i="20"/>
  <c r="M945" i="20"/>
  <c r="M863" i="20"/>
  <c r="M751" i="20"/>
  <c r="M889" i="20"/>
  <c r="M33" i="20"/>
  <c r="M928" i="20"/>
  <c r="M1237" i="20"/>
  <c r="M134" i="20"/>
  <c r="M90" i="20"/>
  <c r="M922" i="20"/>
  <c r="M1059" i="20"/>
  <c r="M557" i="20"/>
  <c r="M95" i="20"/>
  <c r="M1328" i="20"/>
  <c r="M1245" i="20"/>
  <c r="M1173" i="20"/>
  <c r="M1085" i="20"/>
  <c r="M1443" i="20"/>
  <c r="M725" i="20"/>
  <c r="M1452" i="20"/>
  <c r="M374" i="20"/>
  <c r="M1428" i="20"/>
  <c r="M414" i="20"/>
  <c r="M1282" i="20"/>
  <c r="M839" i="20"/>
  <c r="M581" i="20"/>
  <c r="M1464" i="20"/>
  <c r="M166" i="20"/>
  <c r="M1253" i="20"/>
  <c r="M118" i="20"/>
  <c r="M643" i="20"/>
  <c r="M446" i="20"/>
  <c r="M891" i="20"/>
  <c r="M1103" i="20"/>
  <c r="M99" i="20"/>
  <c r="M610" i="20"/>
  <c r="M1268" i="20"/>
  <c r="M524" i="20"/>
  <c r="M308" i="20"/>
  <c r="M203" i="20"/>
  <c r="M1177" i="20"/>
  <c r="M556" i="20"/>
  <c r="M730" i="20"/>
  <c r="M921" i="20"/>
  <c r="M390" i="20"/>
  <c r="M1432" i="20"/>
  <c r="M1192" i="20"/>
  <c r="M1089" i="20"/>
  <c r="M1007" i="20"/>
  <c r="M918" i="20"/>
  <c r="M1186" i="20"/>
  <c r="M389" i="20"/>
  <c r="M1199" i="20"/>
  <c r="M433" i="20"/>
  <c r="M860" i="20"/>
  <c r="M274" i="20"/>
  <c r="M1082" i="20"/>
  <c r="M1166" i="20"/>
  <c r="M687" i="20"/>
  <c r="M257" i="20"/>
  <c r="M150" i="20"/>
  <c r="M43" i="20"/>
  <c r="M1309" i="20"/>
  <c r="M1210" i="20"/>
  <c r="M169" i="20"/>
  <c r="M1060" i="20"/>
  <c r="M420" i="20"/>
  <c r="M1023" i="20"/>
  <c r="M454" i="20"/>
  <c r="M1459" i="20"/>
  <c r="M1027" i="20"/>
  <c r="M1349" i="20"/>
  <c r="M108" i="20"/>
  <c r="M429" i="20"/>
  <c r="M71" i="20"/>
  <c r="M458" i="20"/>
  <c r="M1367" i="20"/>
  <c r="M713" i="20"/>
  <c r="M1382" i="20"/>
  <c r="M1506" i="20"/>
  <c r="M777" i="20"/>
  <c r="M807" i="20"/>
  <c r="M1076" i="20"/>
  <c r="M63" i="20"/>
  <c r="M865" i="20"/>
  <c r="M678" i="20"/>
  <c r="M919" i="20"/>
  <c r="M78" i="20"/>
  <c r="M82" i="20"/>
  <c r="M906" i="20"/>
  <c r="M1040" i="20"/>
  <c r="M545" i="20"/>
  <c r="M53" i="20"/>
  <c r="M1317" i="20"/>
  <c r="M1235" i="20"/>
  <c r="M1153" i="20"/>
  <c r="M1072" i="20"/>
  <c r="M1407" i="20"/>
  <c r="M701" i="20"/>
  <c r="M1439" i="20"/>
  <c r="M264" i="20"/>
  <c r="M1405" i="20"/>
  <c r="M442" i="20"/>
  <c r="M196" i="20"/>
  <c r="M1262" i="20"/>
  <c r="M833" i="20"/>
  <c r="M435" i="20"/>
  <c r="M327" i="20"/>
  <c r="M207" i="20"/>
  <c r="M105" i="20"/>
  <c r="M1356" i="20"/>
  <c r="M525" i="20"/>
  <c r="M1335" i="20"/>
  <c r="M1015" i="20"/>
  <c r="M1463" i="20"/>
  <c r="M65" i="20"/>
  <c r="M1224" i="20"/>
  <c r="M955" i="20"/>
  <c r="M900" i="20"/>
  <c r="M1360" i="20"/>
  <c r="M1476" i="20"/>
  <c r="M1320" i="20"/>
  <c r="M237" i="20"/>
  <c r="M1355" i="20"/>
  <c r="M1519" i="20"/>
  <c r="M980" i="20"/>
  <c r="M107" i="20"/>
  <c r="M683" i="20"/>
  <c r="M710" i="20"/>
  <c r="M984" i="20"/>
  <c r="M596" i="20"/>
  <c r="M1164" i="20"/>
  <c r="M988" i="20"/>
  <c r="M536" i="20"/>
  <c r="M764" i="20"/>
  <c r="M250" i="20"/>
  <c r="M1066" i="20"/>
  <c r="M1142" i="20"/>
  <c r="M677" i="20"/>
  <c r="M244" i="20"/>
  <c r="M124" i="20"/>
  <c r="M25" i="20"/>
  <c r="M1279" i="20"/>
  <c r="M1200" i="20"/>
  <c r="M142" i="20"/>
  <c r="M1012" i="20"/>
  <c r="M365" i="20"/>
  <c r="M879" i="20"/>
  <c r="M1425" i="20"/>
  <c r="M28" i="20"/>
  <c r="M425" i="20"/>
  <c r="M1366" i="20"/>
  <c r="M969" i="20"/>
  <c r="M598" i="20"/>
  <c r="M492" i="20"/>
  <c r="M398" i="20"/>
  <c r="M281" i="20"/>
  <c r="M1492" i="20"/>
  <c r="M819" i="20"/>
  <c r="M1493" i="20"/>
  <c r="M1507" i="20"/>
  <c r="M1489" i="20"/>
  <c r="M847" i="20"/>
  <c r="M1131" i="20"/>
  <c r="M579" i="20"/>
  <c r="M88" i="20"/>
  <c r="M1256" i="20"/>
  <c r="M282" i="20"/>
  <c r="M1242" i="20"/>
  <c r="M1270" i="20"/>
  <c r="M1149" i="20"/>
  <c r="M271" i="20"/>
  <c r="M633" i="20"/>
  <c r="M129" i="20"/>
  <c r="M589" i="20"/>
  <c r="M439" i="20"/>
  <c r="M1363" i="20"/>
  <c r="M737" i="20"/>
  <c r="M1394" i="20"/>
  <c r="M1251" i="20"/>
  <c r="M1113" i="20"/>
  <c r="M1306" i="20"/>
  <c r="M402" i="20"/>
  <c r="M175" i="20"/>
  <c r="M1254" i="20"/>
  <c r="M813" i="20"/>
  <c r="M422" i="20"/>
  <c r="M287" i="20"/>
  <c r="M193" i="20"/>
  <c r="M89" i="20"/>
  <c r="M1336" i="20"/>
  <c r="M496" i="20"/>
  <c r="M1272" i="20"/>
  <c r="M966" i="20"/>
  <c r="M1437" i="20"/>
  <c r="M853" i="20"/>
  <c r="M220" i="20"/>
  <c r="M592" i="20"/>
  <c r="M1462" i="20"/>
  <c r="M1093" i="20"/>
  <c r="M765" i="20"/>
  <c r="M660" i="20"/>
  <c r="M575" i="20"/>
  <c r="M445" i="20"/>
  <c r="M277" i="20"/>
  <c r="M1145" i="20"/>
  <c r="M323" i="20"/>
  <c r="M45" i="20"/>
  <c r="M663" i="20"/>
  <c r="M508" i="20"/>
  <c r="M1055" i="20"/>
  <c r="M711" i="20"/>
  <c r="M351" i="20"/>
  <c r="M1184" i="20"/>
  <c r="M29" i="20"/>
  <c r="M197" i="20"/>
  <c r="M844" i="20"/>
  <c r="M1485" i="20"/>
  <c r="M982" i="20"/>
  <c r="M505" i="20"/>
  <c r="M1038" i="20"/>
  <c r="M487" i="20"/>
  <c r="M1231" i="20"/>
  <c r="Q66" i="20"/>
  <c r="Q171" i="20"/>
  <c r="Q232" i="20"/>
  <c r="Q799" i="20"/>
  <c r="Q1311" i="20"/>
  <c r="Q218" i="20"/>
  <c r="Q861" i="20"/>
  <c r="Q1446" i="20"/>
  <c r="Q748" i="20"/>
  <c r="Q1417" i="20"/>
  <c r="Q210" i="20"/>
  <c r="Q486" i="20"/>
  <c r="Q1164" i="20"/>
  <c r="Q726" i="20"/>
  <c r="Q686" i="20"/>
  <c r="Q659" i="20"/>
  <c r="Q609" i="20"/>
  <c r="Q1504" i="20"/>
  <c r="Q649" i="20"/>
  <c r="Q1013" i="20"/>
  <c r="Q1329" i="20"/>
  <c r="Q375" i="20"/>
  <c r="Q1491" i="20"/>
  <c r="Q808" i="20"/>
  <c r="Q316" i="20"/>
  <c r="Q532" i="20"/>
  <c r="Q623" i="20"/>
  <c r="Q1135" i="20"/>
  <c r="Q76" i="20"/>
  <c r="Q660" i="20"/>
  <c r="Q1245" i="20"/>
  <c r="Q513" i="20"/>
  <c r="Q1187" i="20"/>
  <c r="Q491" i="20"/>
  <c r="Q203" i="20"/>
  <c r="Q933" i="20"/>
  <c r="Q280" i="20"/>
  <c r="Q200" i="20"/>
  <c r="Q142" i="20"/>
  <c r="Q1244" i="20"/>
  <c r="Q1196" i="20"/>
  <c r="Q1366" i="20"/>
  <c r="Q240" i="20"/>
  <c r="Q776" i="20"/>
  <c r="Q635" i="20"/>
  <c r="Q1326" i="20"/>
  <c r="Q1052" i="20"/>
  <c r="Q70" i="20"/>
  <c r="Q281" i="20"/>
  <c r="Q358" i="20"/>
  <c r="Q895" i="20"/>
  <c r="Q1407" i="20"/>
  <c r="Q361" i="20"/>
  <c r="Q971" i="20"/>
  <c r="Q109" i="20"/>
  <c r="Q874" i="20"/>
  <c r="Q67" i="20"/>
  <c r="Q374" i="20"/>
  <c r="Q620" i="20"/>
  <c r="Q1289" i="20"/>
  <c r="Q893" i="20"/>
  <c r="Q854" i="20"/>
  <c r="Q827" i="20"/>
  <c r="Q778" i="20"/>
  <c r="Q619" i="20"/>
  <c r="Q984" i="20"/>
  <c r="Q1305" i="20"/>
  <c r="Q127" i="20"/>
  <c r="Q1138" i="20"/>
  <c r="Q1418" i="20"/>
  <c r="Q1514" i="20"/>
  <c r="Q235" i="20"/>
  <c r="Q655" i="20"/>
  <c r="Q1479" i="20"/>
  <c r="Q816" i="20"/>
  <c r="Q407" i="20"/>
  <c r="Q1490" i="20"/>
  <c r="Q258" i="20"/>
  <c r="Q1384" i="20"/>
  <c r="Q617" i="20"/>
  <c r="Q1120" i="20"/>
  <c r="Q392" i="20"/>
  <c r="Q448" i="20"/>
  <c r="Q849" i="20"/>
  <c r="Q1411" i="20"/>
  <c r="Q42" i="20"/>
  <c r="Q476" i="20"/>
  <c r="Q871" i="20"/>
  <c r="Q141" i="20"/>
  <c r="Q1062" i="20"/>
  <c r="Q717" i="20"/>
  <c r="Q408" i="20"/>
  <c r="Q589" i="20"/>
  <c r="Q410" i="20"/>
  <c r="Q993" i="20"/>
  <c r="Q545" i="20"/>
  <c r="Q1253" i="20"/>
  <c r="Q1257" i="20"/>
  <c r="Q912" i="20"/>
  <c r="Q314" i="20"/>
  <c r="Q196" i="20"/>
  <c r="Q242" i="20"/>
  <c r="Q1111" i="20"/>
  <c r="Q383" i="20"/>
  <c r="Q1346" i="20"/>
  <c r="Q1030" i="20"/>
  <c r="Q224" i="20"/>
  <c r="Q902" i="20"/>
  <c r="Q921" i="20"/>
  <c r="Q438" i="20"/>
  <c r="Q987" i="20"/>
  <c r="Q677" i="20"/>
  <c r="Q692" i="20"/>
  <c r="Q1246" i="20"/>
  <c r="Q836" i="20"/>
  <c r="Q128" i="20"/>
  <c r="Q1511" i="20"/>
  <c r="Q1428" i="20"/>
  <c r="Q359" i="20"/>
  <c r="Q1216" i="20"/>
  <c r="Q101" i="20"/>
  <c r="Q648" i="20"/>
  <c r="Q972" i="20"/>
  <c r="Q1225" i="20"/>
  <c r="Q386" i="20"/>
  <c r="Q275" i="20"/>
  <c r="Q1477" i="20"/>
  <c r="Q760" i="20"/>
  <c r="Q773" i="20"/>
  <c r="Q1415" i="20"/>
  <c r="Q195" i="20"/>
  <c r="Q1089" i="20"/>
  <c r="Q1353" i="20"/>
  <c r="Q284" i="20"/>
  <c r="Q887" i="20"/>
  <c r="Q688" i="20"/>
  <c r="Q926" i="20"/>
  <c r="Q367" i="20"/>
  <c r="Q1075" i="20"/>
  <c r="Q566" i="20"/>
  <c r="Q1398" i="20"/>
  <c r="Q747" i="20"/>
  <c r="Q132" i="20"/>
  <c r="Q724" i="20"/>
  <c r="Q379" i="20"/>
  <c r="Q588" i="20"/>
  <c r="Q664" i="20"/>
  <c r="Q919" i="20"/>
  <c r="Q988" i="20"/>
  <c r="Q1144" i="20"/>
  <c r="Q818" i="20"/>
  <c r="Q106" i="20"/>
  <c r="Q615" i="20"/>
  <c r="Q373" i="20"/>
  <c r="Q592" i="20"/>
  <c r="Q457" i="20"/>
  <c r="Q595" i="20"/>
  <c r="Q1065" i="20"/>
  <c r="Q621" i="20"/>
  <c r="Q145" i="20"/>
  <c r="Q33" i="20"/>
  <c r="Q245" i="20"/>
  <c r="Q315" i="20"/>
  <c r="Q863" i="20"/>
  <c r="Q1375" i="20"/>
  <c r="Q313" i="20"/>
  <c r="Q934" i="20"/>
  <c r="Q23" i="20"/>
  <c r="Q832" i="20"/>
  <c r="Q1500" i="20"/>
  <c r="Q320" i="20"/>
  <c r="Q579" i="20"/>
  <c r="Q1248" i="20"/>
  <c r="Q837" i="20"/>
  <c r="Q796" i="20"/>
  <c r="Q772" i="20"/>
  <c r="Q722" i="20"/>
  <c r="Q440" i="20"/>
  <c r="Q873" i="20"/>
  <c r="Q1235" i="20"/>
  <c r="Q1454" i="20"/>
  <c r="Q914" i="20"/>
  <c r="Q1100" i="20"/>
  <c r="Q1157" i="20"/>
  <c r="Q32" i="20"/>
  <c r="Q81" i="20"/>
  <c r="Q687" i="20"/>
  <c r="Q1199" i="20"/>
  <c r="Q40" i="20"/>
  <c r="Q733" i="20"/>
  <c r="Q1318" i="20"/>
  <c r="Q602" i="20"/>
  <c r="Q1270" i="20"/>
  <c r="Q582" i="20"/>
  <c r="Q312" i="20"/>
  <c r="Q1018" i="20"/>
  <c r="Q482" i="20"/>
  <c r="Q411" i="20"/>
  <c r="Q366" i="20"/>
  <c r="Q270" i="20"/>
  <c r="Q1307" i="20"/>
  <c r="Q1493" i="20"/>
  <c r="Q625" i="20"/>
  <c r="Q1001" i="20"/>
  <c r="Q1078" i="20"/>
  <c r="Q475" i="20"/>
  <c r="Q429" i="20"/>
  <c r="Q140" i="20"/>
  <c r="Q354" i="20"/>
  <c r="Q432" i="20"/>
  <c r="Q959" i="20"/>
  <c r="Q1471" i="20"/>
  <c r="Q446" i="20"/>
  <c r="Q1044" i="20"/>
  <c r="Q234" i="20"/>
  <c r="Q957" i="20"/>
  <c r="Q209" i="20"/>
  <c r="Q470" i="20"/>
  <c r="Q704" i="20"/>
  <c r="Q1372" i="20"/>
  <c r="Q1004" i="20"/>
  <c r="Q964" i="20"/>
  <c r="Q939" i="20"/>
  <c r="Q890" i="20"/>
  <c r="Q844" i="20"/>
  <c r="Q1206" i="20"/>
  <c r="Q1432" i="20"/>
  <c r="Q794" i="20"/>
  <c r="Q1440" i="20"/>
  <c r="Q1361" i="20"/>
  <c r="Q1251" i="20"/>
  <c r="Q363" i="20"/>
  <c r="Q759" i="20"/>
  <c r="Q112" i="20"/>
  <c r="Q925" i="20"/>
  <c r="Q561" i="20"/>
  <c r="Q223" i="20"/>
  <c r="Q427" i="20"/>
  <c r="Q1508" i="20"/>
  <c r="Q784" i="20"/>
  <c r="Q160" i="20"/>
  <c r="Q869" i="20"/>
  <c r="Q875" i="20"/>
  <c r="Q1402" i="20"/>
  <c r="Q990" i="20"/>
  <c r="Q43" i="20"/>
  <c r="Q46" i="20"/>
  <c r="Q975" i="20"/>
  <c r="Q183" i="20"/>
  <c r="Q1181" i="20"/>
  <c r="Q842" i="20"/>
  <c r="Q552" i="20"/>
  <c r="Q725" i="20"/>
  <c r="Q684" i="20"/>
  <c r="Q1173" i="20"/>
  <c r="Q737" i="20"/>
  <c r="Q1443" i="20"/>
  <c r="Q1464" i="20"/>
  <c r="Q1499" i="20"/>
  <c r="Q1426" i="20"/>
  <c r="Q292" i="20"/>
  <c r="Q377" i="20"/>
  <c r="Q1223" i="20"/>
  <c r="Q519" i="20"/>
  <c r="Q1456" i="20"/>
  <c r="Q1156" i="20"/>
  <c r="Q398" i="20"/>
  <c r="Q1049" i="20"/>
  <c r="Q1102" i="20"/>
  <c r="Q674" i="20"/>
  <c r="Q1155" i="20"/>
  <c r="Q1040" i="20"/>
  <c r="Q1084" i="20"/>
  <c r="Q518" i="20"/>
  <c r="Q1259" i="20"/>
  <c r="Q347" i="20"/>
  <c r="Q115" i="20"/>
  <c r="Q193" i="20"/>
  <c r="Q27" i="20"/>
  <c r="Q1425" i="20"/>
  <c r="Q632" i="20"/>
  <c r="Q1149" i="20"/>
  <c r="Q1409" i="20"/>
  <c r="Q940" i="20"/>
  <c r="Q727" i="20"/>
  <c r="Q738" i="20"/>
  <c r="Q810" i="20"/>
  <c r="Q349" i="20"/>
  <c r="Q698" i="20"/>
  <c r="Q96" i="20"/>
  <c r="Q184" i="20"/>
  <c r="Q730" i="20"/>
  <c r="Q1139" i="20"/>
  <c r="Q105" i="20"/>
  <c r="Q1039" i="20"/>
  <c r="Q889" i="20"/>
  <c r="Q1146" i="20"/>
  <c r="Q610" i="20"/>
  <c r="Q282" i="20"/>
  <c r="Q848" i="20"/>
  <c r="Q734" i="20"/>
  <c r="Q321" i="20"/>
  <c r="Q153" i="20"/>
  <c r="Q1090" i="20"/>
  <c r="Q819" i="20"/>
  <c r="Q1475" i="20"/>
  <c r="Q765" i="20"/>
  <c r="Q1239" i="20"/>
  <c r="Q1406" i="20"/>
  <c r="Q771" i="20"/>
  <c r="Q637" i="20"/>
  <c r="Q180" i="20"/>
  <c r="Q783" i="20"/>
  <c r="Q560" i="20"/>
  <c r="Q801" i="20"/>
  <c r="Q189" i="20"/>
  <c r="Q908" i="20"/>
  <c r="Q243" i="20"/>
  <c r="Q107" i="20"/>
  <c r="Q318" i="20"/>
  <c r="Q395" i="20"/>
  <c r="Q927" i="20"/>
  <c r="Q1439" i="20"/>
  <c r="Q403" i="20"/>
  <c r="Q1008" i="20"/>
  <c r="Q178" i="20"/>
  <c r="Q915" i="20"/>
  <c r="Q151" i="20"/>
  <c r="Q421" i="20"/>
  <c r="Q662" i="20"/>
  <c r="Q1331" i="20"/>
  <c r="Q949" i="20"/>
  <c r="Q909" i="20"/>
  <c r="Q883" i="20"/>
  <c r="Q835" i="20"/>
  <c r="Q731" i="20"/>
  <c r="Q1096" i="20"/>
  <c r="Q1369" i="20"/>
  <c r="Q547" i="20"/>
  <c r="Q1312" i="20"/>
  <c r="Q525" i="20"/>
  <c r="Q1324" i="20"/>
  <c r="Q117" i="20"/>
  <c r="Q169" i="20"/>
  <c r="Q751" i="20"/>
  <c r="Q1263" i="20"/>
  <c r="Q146" i="20"/>
  <c r="Q806" i="20"/>
  <c r="Q1392" i="20"/>
  <c r="Q685" i="20"/>
  <c r="Q1354" i="20"/>
  <c r="Q113" i="20"/>
  <c r="Q416" i="20"/>
  <c r="Q1101" i="20"/>
  <c r="Q643" i="20"/>
  <c r="Q597" i="20"/>
  <c r="Q556" i="20"/>
  <c r="Q473" i="20"/>
  <c r="Q1420" i="20"/>
  <c r="Q399" i="20"/>
  <c r="Q846" i="20"/>
  <c r="Q1222" i="20"/>
  <c r="Q1403" i="20"/>
  <c r="Q1347" i="20"/>
  <c r="Q1330" i="20"/>
  <c r="Q204" i="20"/>
  <c r="Q420" i="20"/>
  <c r="Q505" i="20"/>
  <c r="Q1023" i="20"/>
  <c r="Q45" i="20"/>
  <c r="Q529" i="20"/>
  <c r="Q1117" i="20"/>
  <c r="Q343" i="20"/>
  <c r="Q1041" i="20"/>
  <c r="Q319" i="20"/>
  <c r="Q563" i="20"/>
  <c r="Q787" i="20"/>
  <c r="Q1457" i="20"/>
  <c r="Q1116" i="20"/>
  <c r="Q1076" i="20"/>
  <c r="Q1050" i="20"/>
  <c r="Q1002" i="20"/>
  <c r="Q1066" i="20"/>
  <c r="Q1350" i="20"/>
  <c r="Q214" i="20"/>
  <c r="Q1241" i="20"/>
  <c r="Q606" i="20"/>
  <c r="Q1107" i="20"/>
  <c r="Q26" i="20"/>
  <c r="Q460" i="20"/>
  <c r="Q855" i="20"/>
  <c r="Q129" i="20"/>
  <c r="Q1053" i="20"/>
  <c r="Q696" i="20"/>
  <c r="Q384" i="20"/>
  <c r="Q568" i="20"/>
  <c r="Q387" i="20"/>
  <c r="Q979" i="20"/>
  <c r="Q497" i="20"/>
  <c r="Q1204" i="20"/>
  <c r="Q1210" i="20"/>
  <c r="Q857" i="20"/>
  <c r="Q63" i="20"/>
  <c r="Q156" i="20"/>
  <c r="Q201" i="20"/>
  <c r="Q1079" i="20"/>
  <c r="Q325" i="20"/>
  <c r="Q1291" i="20"/>
  <c r="Q978" i="20"/>
  <c r="Q168" i="20"/>
  <c r="Q860" i="20"/>
  <c r="Q851" i="20"/>
  <c r="Q283" i="20"/>
  <c r="Q918" i="20"/>
  <c r="Q543" i="20"/>
  <c r="Q565" i="20"/>
  <c r="Q970" i="20"/>
  <c r="Q1452" i="20"/>
  <c r="Q64" i="20"/>
  <c r="Q496" i="20"/>
  <c r="Q1319" i="20"/>
  <c r="Q633" i="20"/>
  <c r="Q147" i="20"/>
  <c r="Q1302" i="20"/>
  <c r="Q553" i="20"/>
  <c r="Q1174" i="20"/>
  <c r="Q99" i="20"/>
  <c r="Q856" i="20"/>
  <c r="Q1349" i="20"/>
  <c r="Q1334" i="20"/>
  <c r="Q1345" i="20"/>
  <c r="Q1221" i="20"/>
  <c r="Q406" i="20"/>
  <c r="Q523" i="20"/>
  <c r="Q255" i="20"/>
  <c r="Q465" i="20"/>
  <c r="Q360" i="20"/>
  <c r="Q362" i="20"/>
  <c r="Q897" i="20"/>
  <c r="Q185" i="20"/>
  <c r="Q1074" i="20"/>
  <c r="Q1045" i="20"/>
  <c r="Q1047" i="20"/>
  <c r="Q1177" i="20"/>
  <c r="Q389" i="20"/>
  <c r="Q1494" i="20"/>
  <c r="Q164" i="20"/>
  <c r="Q550" i="20"/>
  <c r="Q143" i="20"/>
  <c r="Q121" i="20"/>
  <c r="Q1339" i="20"/>
  <c r="Q309" i="20"/>
  <c r="Q1207" i="20"/>
  <c r="Q1072" i="20"/>
  <c r="Q1344" i="20"/>
  <c r="Q809" i="20"/>
  <c r="Q729" i="20"/>
  <c r="Q1140" i="20"/>
  <c r="Q1288" i="20"/>
  <c r="Q1422" i="20"/>
  <c r="Q159" i="20"/>
  <c r="Q1474" i="20"/>
  <c r="Q1278" i="20"/>
  <c r="Q1301" i="20"/>
  <c r="Q1325" i="20"/>
  <c r="Q86" i="20"/>
  <c r="Q480" i="20"/>
  <c r="Q339" i="20"/>
  <c r="Q247" i="20"/>
  <c r="Q340" i="20"/>
  <c r="Q935" i="20"/>
  <c r="Q770" i="20"/>
  <c r="Q1010" i="20"/>
  <c r="Q463" i="20"/>
  <c r="Q1158" i="20"/>
  <c r="Q681" i="20"/>
  <c r="Q186" i="20"/>
  <c r="Q1193" i="20"/>
  <c r="Q212" i="20"/>
  <c r="Q172" i="20"/>
  <c r="Q388" i="20"/>
  <c r="Q469" i="20"/>
  <c r="Q991" i="20"/>
  <c r="Q1503" i="20"/>
  <c r="Q488" i="20"/>
  <c r="Q1081" i="20"/>
  <c r="Q288" i="20"/>
  <c r="Q1000" i="20"/>
  <c r="Q262" i="20"/>
  <c r="Q517" i="20"/>
  <c r="Q746" i="20"/>
  <c r="Q1414" i="20"/>
  <c r="Q1060" i="20"/>
  <c r="Q1021" i="20"/>
  <c r="Q994" i="20"/>
  <c r="Q946" i="20"/>
  <c r="Q954" i="20"/>
  <c r="Q1286" i="20"/>
  <c r="Q1496" i="20"/>
  <c r="Q1016" i="20"/>
  <c r="Q213" i="20"/>
  <c r="Q661" i="20"/>
  <c r="Q82" i="20"/>
  <c r="Q190" i="20"/>
  <c r="Q253" i="20"/>
  <c r="Q815" i="20"/>
  <c r="Q1327" i="20"/>
  <c r="Q241" i="20"/>
  <c r="Q880" i="20"/>
  <c r="Q1465" i="20"/>
  <c r="Q769" i="20"/>
  <c r="Q1438" i="20"/>
  <c r="Q238" i="20"/>
  <c r="Q511" i="20"/>
  <c r="Q1185" i="20"/>
  <c r="Q754" i="20"/>
  <c r="Q713" i="20"/>
  <c r="Q689" i="20"/>
  <c r="Q638" i="20"/>
  <c r="Q108" i="20"/>
  <c r="Q705" i="20"/>
  <c r="Q1068" i="20"/>
  <c r="Q1360" i="20"/>
  <c r="Q564" i="20"/>
  <c r="Q301" i="20"/>
  <c r="Q920" i="20"/>
  <c r="Q268" i="20"/>
  <c r="Q484" i="20"/>
  <c r="Q575" i="20"/>
  <c r="Q1087" i="20"/>
  <c r="Q150" i="20"/>
  <c r="Q605" i="20"/>
  <c r="Q1190" i="20"/>
  <c r="Q442" i="20"/>
  <c r="Q1124" i="20"/>
  <c r="Q419" i="20"/>
  <c r="Q103" i="20"/>
  <c r="Q872" i="20"/>
  <c r="Q94" i="20"/>
  <c r="Q1228" i="20"/>
  <c r="Q1188" i="20"/>
  <c r="Q1161" i="20"/>
  <c r="Q1113" i="20"/>
  <c r="Q1269" i="20"/>
  <c r="Q1478" i="20"/>
  <c r="Q608" i="20"/>
  <c r="Q1497" i="20"/>
  <c r="Q1054" i="20"/>
  <c r="Q205" i="20"/>
  <c r="Q24" i="20"/>
  <c r="Q35" i="20"/>
  <c r="Q967" i="20"/>
  <c r="Q158" i="20"/>
  <c r="Q1163" i="20"/>
  <c r="Q821" i="20"/>
  <c r="Q538" i="20"/>
  <c r="Q714" i="20"/>
  <c r="Q657" i="20"/>
  <c r="Q1147" i="20"/>
  <c r="Q709" i="20"/>
  <c r="Q1429" i="20"/>
  <c r="Q1450" i="20"/>
  <c r="Q1436" i="20"/>
  <c r="Q1484" i="20"/>
  <c r="Q260" i="20"/>
  <c r="Q326" i="20"/>
  <c r="Q1175" i="20"/>
  <c r="Q466" i="20"/>
  <c r="Q1419" i="20"/>
  <c r="Q1114" i="20"/>
  <c r="Q333" i="20"/>
  <c r="Q986" i="20"/>
  <c r="Q1033" i="20"/>
  <c r="Q618" i="20"/>
  <c r="Q1098" i="20"/>
  <c r="Q900" i="20"/>
  <c r="Q917" i="20"/>
  <c r="Q1502" i="20"/>
  <c r="Q590" i="20"/>
  <c r="Q181" i="20"/>
  <c r="Q599" i="20"/>
  <c r="Q1423" i="20"/>
  <c r="Q761" i="20"/>
  <c r="Q330" i="20"/>
  <c r="Q1427" i="20"/>
  <c r="Q163" i="20"/>
  <c r="Q1310" i="20"/>
  <c r="Q483" i="20"/>
  <c r="Q1036" i="20"/>
  <c r="Q1516" i="20"/>
  <c r="Q31" i="20"/>
  <c r="Q355" i="20"/>
  <c r="Q865" i="20"/>
  <c r="Q97" i="20"/>
  <c r="Q695" i="20"/>
  <c r="Q477" i="20"/>
  <c r="Q675" i="20"/>
  <c r="Q584" i="20"/>
  <c r="Q768" i="20"/>
  <c r="Q1189" i="20"/>
  <c r="Q956" i="20"/>
  <c r="Q802" i="20"/>
  <c r="Q570" i="20"/>
  <c r="Q1399" i="20"/>
  <c r="Q167" i="20"/>
  <c r="Q1034" i="20"/>
  <c r="Q1320" i="20"/>
  <c r="Q162" i="20"/>
  <c r="Q916" i="20"/>
  <c r="Q652" i="20"/>
  <c r="Q931" i="20"/>
  <c r="Q1082" i="20"/>
  <c r="Q492" i="20"/>
  <c r="Q1359" i="20"/>
  <c r="Q1254" i="20"/>
  <c r="Q131" i="20"/>
  <c r="Q1028" i="20"/>
  <c r="Q1005" i="20"/>
  <c r="Q1405" i="20"/>
  <c r="Q322" i="20"/>
  <c r="Q501" i="20"/>
  <c r="Q583" i="20"/>
  <c r="Q526" i="20"/>
  <c r="Q506" i="20"/>
  <c r="Q1067" i="20"/>
  <c r="Q90" i="20"/>
  <c r="Q350" i="20"/>
  <c r="Q433" i="20"/>
  <c r="Q1009" i="20"/>
  <c r="Q1276" i="20"/>
  <c r="Q199" i="20"/>
  <c r="Q1103" i="20"/>
  <c r="Q962" i="20"/>
  <c r="Q1219" i="20"/>
  <c r="Q673" i="20"/>
  <c r="Q507" i="20"/>
  <c r="Q960" i="20"/>
  <c r="Q958" i="20"/>
  <c r="Q774" i="20"/>
  <c r="Q22" i="20"/>
  <c r="Q951" i="20"/>
  <c r="Q779" i="20"/>
  <c r="Q1051" i="20"/>
  <c r="Q474" i="20"/>
  <c r="Q236" i="20"/>
  <c r="Q452" i="20"/>
  <c r="Q542" i="20"/>
  <c r="Q1055" i="20"/>
  <c r="Q100" i="20"/>
  <c r="Q569" i="20"/>
  <c r="Q1154" i="20"/>
  <c r="Q394" i="20"/>
  <c r="Q1083" i="20"/>
  <c r="Q371" i="20"/>
  <c r="Q604" i="20"/>
  <c r="Q829" i="20"/>
  <c r="Q1498" i="20"/>
  <c r="Q1171" i="20"/>
  <c r="Q1131" i="20"/>
  <c r="Q1106" i="20"/>
  <c r="Q1057" i="20"/>
  <c r="Q1178" i="20"/>
  <c r="Q1413" i="20"/>
  <c r="Q424" i="20"/>
  <c r="Q1370" i="20"/>
  <c r="Q830" i="20"/>
  <c r="Q1421" i="20"/>
  <c r="Q52" i="20"/>
  <c r="Q263" i="20"/>
  <c r="Q337" i="20"/>
  <c r="Q879" i="20"/>
  <c r="Q1391" i="20"/>
  <c r="Q338" i="20"/>
  <c r="Q953" i="20"/>
  <c r="Q65" i="20"/>
  <c r="Q853" i="20"/>
  <c r="Q25" i="20"/>
  <c r="Q346" i="20"/>
  <c r="Q600" i="20"/>
  <c r="Q1268" i="20"/>
  <c r="Q866" i="20"/>
  <c r="Q826" i="20"/>
  <c r="Q800" i="20"/>
  <c r="Q750" i="20"/>
  <c r="Q536" i="20"/>
  <c r="Q929" i="20"/>
  <c r="Q1274" i="20"/>
  <c r="Q1486" i="20"/>
  <c r="Q1025" i="20"/>
  <c r="Q1290" i="20"/>
  <c r="Q165" i="20"/>
  <c r="Q332" i="20"/>
  <c r="Q548" i="20"/>
  <c r="Q639" i="20"/>
  <c r="Q1151" i="20"/>
  <c r="Q102" i="20"/>
  <c r="Q678" i="20"/>
  <c r="Q1264" i="20"/>
  <c r="Q537" i="20"/>
  <c r="Q1208" i="20"/>
  <c r="Q515" i="20"/>
  <c r="Q231" i="20"/>
  <c r="Q955" i="20"/>
  <c r="Q334" i="20"/>
  <c r="Q256" i="20"/>
  <c r="Q202" i="20"/>
  <c r="Q78" i="20"/>
  <c r="Q1224" i="20"/>
  <c r="Q1397" i="20"/>
  <c r="Q351" i="20"/>
  <c r="Q833" i="20"/>
  <c r="Q745" i="20"/>
  <c r="Q1389" i="20"/>
  <c r="Q1261" i="20"/>
  <c r="Q148" i="20"/>
  <c r="Q179" i="20"/>
  <c r="Q1063" i="20"/>
  <c r="Q302" i="20"/>
  <c r="Q1282" i="20"/>
  <c r="Q968" i="20"/>
  <c r="Q133" i="20"/>
  <c r="Q840" i="20"/>
  <c r="Q824" i="20"/>
  <c r="Q257" i="20"/>
  <c r="Q904" i="20"/>
  <c r="Q447" i="20"/>
  <c r="Q472" i="20"/>
  <c r="Q858" i="20"/>
  <c r="Q1388" i="20"/>
  <c r="Q356" i="20"/>
  <c r="Q450" i="20"/>
  <c r="Q1287" i="20"/>
  <c r="Q596" i="20"/>
  <c r="Q41" i="20"/>
  <c r="Q1240" i="20"/>
  <c r="Q493" i="20"/>
  <c r="Q1132" i="20"/>
  <c r="Q1213" i="20"/>
  <c r="Q785" i="20"/>
  <c r="Q1266" i="20"/>
  <c r="Q1256" i="20"/>
  <c r="Q1283" i="20"/>
  <c r="Q997" i="20"/>
  <c r="Q1451" i="20"/>
  <c r="Q299" i="20"/>
  <c r="Q711" i="20"/>
  <c r="Q30" i="20"/>
  <c r="Q870" i="20"/>
  <c r="Q479" i="20"/>
  <c r="Q111" i="20"/>
  <c r="Q353" i="20"/>
  <c r="Q1445" i="20"/>
  <c r="Q700" i="20"/>
  <c r="Q1203" i="20"/>
  <c r="Q676" i="20"/>
  <c r="Q708" i="20"/>
  <c r="Q1184" i="20"/>
  <c r="Q39" i="20"/>
  <c r="Q276" i="20"/>
  <c r="Q847" i="20"/>
  <c r="Q669" i="20"/>
  <c r="Q905" i="20"/>
  <c r="Q328" i="20"/>
  <c r="Q1046" i="20"/>
  <c r="Q449" i="20"/>
  <c r="Q1381" i="20"/>
  <c r="Q636" i="20"/>
  <c r="Q58" i="20"/>
  <c r="Q55" i="20"/>
  <c r="Q92" i="20"/>
  <c r="Q701" i="20"/>
  <c r="Q1110" i="20"/>
  <c r="Q524" i="20"/>
  <c r="Q1309" i="20"/>
  <c r="Q1069" i="20"/>
  <c r="Q1211" i="20"/>
  <c r="Q640" i="20"/>
  <c r="Q138" i="20"/>
  <c r="Q59" i="20"/>
  <c r="Q1437" i="20"/>
  <c r="Q431" i="20"/>
  <c r="Q1226" i="20"/>
  <c r="Q175" i="20"/>
  <c r="Q702" i="20"/>
  <c r="Q1027" i="20"/>
  <c r="Q512" i="20"/>
  <c r="Q903" i="20"/>
  <c r="Q947" i="20"/>
  <c r="Q1130" i="20"/>
  <c r="Q763" i="20"/>
  <c r="Q324" i="20"/>
  <c r="Q742" i="20"/>
  <c r="Q402" i="20"/>
  <c r="Q653" i="20"/>
  <c r="Q720" i="20"/>
  <c r="Q380" i="20"/>
  <c r="Q1255" i="20"/>
  <c r="Q1136" i="20"/>
  <c r="Q1449" i="20"/>
  <c r="Q892" i="20"/>
  <c r="Q838" i="20"/>
  <c r="Q1238" i="20"/>
  <c r="Q1385" i="20"/>
  <c r="Q300" i="20"/>
  <c r="Q516" i="20"/>
  <c r="Q607" i="20"/>
  <c r="Q1119" i="20"/>
  <c r="Q48" i="20"/>
  <c r="Q642" i="20"/>
  <c r="Q1227" i="20"/>
  <c r="Q490" i="20"/>
  <c r="Q1166" i="20"/>
  <c r="Q467" i="20"/>
  <c r="Q176" i="20"/>
  <c r="Q913" i="20"/>
  <c r="Q225" i="20"/>
  <c r="Q139" i="20"/>
  <c r="Q56" i="20"/>
  <c r="Q1217" i="20"/>
  <c r="Q1169" i="20"/>
  <c r="Q1332" i="20"/>
  <c r="Q120" i="20"/>
  <c r="Q721" i="20"/>
  <c r="Q464" i="20"/>
  <c r="Q1262" i="20"/>
  <c r="Q828" i="20"/>
  <c r="Q124" i="20"/>
  <c r="Q336" i="20"/>
  <c r="Q414" i="20"/>
  <c r="Q943" i="20"/>
  <c r="Q1455" i="20"/>
  <c r="Q425" i="20"/>
  <c r="Q1026" i="20"/>
  <c r="Q207" i="20"/>
  <c r="Q937" i="20"/>
  <c r="Q182" i="20"/>
  <c r="Q445" i="20"/>
  <c r="Q683" i="20"/>
  <c r="Q1352" i="20"/>
  <c r="Q977" i="20"/>
  <c r="Q938" i="20"/>
  <c r="Q910" i="20"/>
  <c r="Q862" i="20"/>
  <c r="Q786" i="20"/>
  <c r="Q1150" i="20"/>
  <c r="Q1400" i="20"/>
  <c r="Q682" i="20"/>
  <c r="Q1374" i="20"/>
  <c r="Q891" i="20"/>
  <c r="Q1032" i="20"/>
  <c r="Q54" i="20"/>
  <c r="Q104" i="20"/>
  <c r="Q703" i="20"/>
  <c r="Q1215" i="20"/>
  <c r="Q68" i="20"/>
  <c r="Q752" i="20"/>
  <c r="Q1337" i="20"/>
  <c r="Q622" i="20"/>
  <c r="Q1292" i="20"/>
  <c r="Q603" i="20"/>
  <c r="Q341" i="20"/>
  <c r="Q1038" i="20"/>
  <c r="Q530" i="20"/>
  <c r="Q461" i="20"/>
  <c r="Q413" i="20"/>
  <c r="Q323" i="20"/>
  <c r="Q1336" i="20"/>
  <c r="Q29" i="20"/>
  <c r="Q680" i="20"/>
  <c r="Q1056" i="20"/>
  <c r="Q1192" i="20"/>
  <c r="Q753" i="20"/>
  <c r="Q723" i="20"/>
  <c r="Q244" i="20"/>
  <c r="Q305" i="20"/>
  <c r="Q1167" i="20"/>
  <c r="Q456" i="20"/>
  <c r="Q1401" i="20"/>
  <c r="Q1093" i="20"/>
  <c r="Q306" i="20"/>
  <c r="Q976" i="20"/>
  <c r="Q1019" i="20"/>
  <c r="Q577" i="20"/>
  <c r="Q1070" i="20"/>
  <c r="Q845" i="20"/>
  <c r="Q888" i="20"/>
  <c r="Q1470" i="20"/>
  <c r="Q1395" i="20"/>
  <c r="Q144" i="20"/>
  <c r="Q567" i="20"/>
  <c r="Q1383" i="20"/>
  <c r="Q706" i="20"/>
  <c r="Q261" i="20"/>
  <c r="Q1386" i="20"/>
  <c r="Q80" i="20"/>
  <c r="Q1258" i="20"/>
  <c r="Q335" i="20"/>
  <c r="Q966" i="20"/>
  <c r="Q1461" i="20"/>
  <c r="Q1462" i="20"/>
  <c r="Q1472" i="20"/>
  <c r="Q1485" i="20"/>
  <c r="Q381" i="20"/>
  <c r="Q412" i="20"/>
  <c r="Q807" i="20"/>
  <c r="Q36" i="20"/>
  <c r="Q989" i="20"/>
  <c r="Q634" i="20"/>
  <c r="Q304" i="20"/>
  <c r="Q499" i="20"/>
  <c r="Q198" i="20"/>
  <c r="Q881" i="20"/>
  <c r="Q352" i="20"/>
  <c r="Q1037" i="20"/>
  <c r="Q1042" i="20"/>
  <c r="Q369" i="20"/>
  <c r="Q84" i="20"/>
  <c r="Q85" i="20"/>
  <c r="Q1031" i="20"/>
  <c r="Q852" i="20"/>
  <c r="Q1134" i="20"/>
  <c r="Q557" i="20"/>
  <c r="Q227" i="20"/>
  <c r="Q820" i="20"/>
  <c r="Q650" i="20"/>
  <c r="Q73" i="20"/>
  <c r="Q308" i="20"/>
  <c r="Q539" i="20"/>
  <c r="Q123" i="20"/>
  <c r="Q37" i="20"/>
  <c r="Q1306" i="20"/>
  <c r="Q405" i="20"/>
  <c r="Q303" i="20"/>
  <c r="Q1488" i="20"/>
  <c r="Q814" i="20"/>
  <c r="Q1220" i="20"/>
  <c r="Q368" i="20"/>
  <c r="Q28" i="20"/>
  <c r="Q221" i="20"/>
  <c r="Q49" i="20"/>
  <c r="Q1467" i="20"/>
  <c r="Q646" i="20"/>
  <c r="Q1285" i="20"/>
  <c r="Q1424" i="20"/>
  <c r="Q1162" i="20"/>
  <c r="Q1231" i="20"/>
  <c r="Q1396" i="20"/>
  <c r="Q755" i="20"/>
  <c r="Q376" i="20"/>
  <c r="Q345" i="20"/>
  <c r="Q1126" i="20"/>
  <c r="Q882" i="20"/>
  <c r="Q1489" i="20"/>
  <c r="Q877" i="20"/>
  <c r="Q540" i="20"/>
  <c r="Q1431" i="20"/>
  <c r="Q1328" i="20"/>
  <c r="Q249" i="20"/>
  <c r="Q1091" i="20"/>
  <c r="Q1105" i="20"/>
  <c r="Q177" i="20"/>
  <c r="Q364" i="20"/>
  <c r="Q57" i="20"/>
  <c r="Q671" i="20"/>
  <c r="Q1183" i="20"/>
  <c r="Q152" i="20"/>
  <c r="Q715" i="20"/>
  <c r="Q1300" i="20"/>
  <c r="Q581" i="20"/>
  <c r="Q1250" i="20"/>
  <c r="Q562" i="20"/>
  <c r="Q286" i="20"/>
  <c r="Q996" i="20"/>
  <c r="Q434" i="20"/>
  <c r="Q365" i="20"/>
  <c r="Q311" i="20"/>
  <c r="Q215" i="20"/>
  <c r="Q1280" i="20"/>
  <c r="Q1460" i="20"/>
  <c r="Q544" i="20"/>
  <c r="Q942" i="20"/>
  <c r="Q969" i="20"/>
  <c r="Q1517" i="20"/>
  <c r="Q1515" i="20"/>
  <c r="Q188" i="20"/>
  <c r="Q404" i="20"/>
  <c r="Q487" i="20"/>
  <c r="Q1007" i="20"/>
  <c r="Q1519" i="20"/>
  <c r="Q509" i="20"/>
  <c r="Q1099" i="20"/>
  <c r="Q317" i="20"/>
  <c r="Q1020" i="20"/>
  <c r="Q291" i="20"/>
  <c r="Q541" i="20"/>
  <c r="Q766" i="20"/>
  <c r="Q1435" i="20"/>
  <c r="Q1088" i="20"/>
  <c r="Q1048" i="20"/>
  <c r="Q1022" i="20"/>
  <c r="Q973" i="20"/>
  <c r="Q1011" i="20"/>
  <c r="Q1317" i="20"/>
  <c r="Q77" i="20"/>
  <c r="Q1129" i="20"/>
  <c r="Q422" i="20"/>
  <c r="Q885" i="20"/>
  <c r="Q34" i="20"/>
  <c r="Q135" i="20"/>
  <c r="Q191" i="20"/>
  <c r="Q767" i="20"/>
  <c r="Q1279" i="20"/>
  <c r="Q170" i="20"/>
  <c r="Q825" i="20"/>
  <c r="Q1410" i="20"/>
  <c r="Q707" i="20"/>
  <c r="Q1376" i="20"/>
  <c r="Q154" i="20"/>
  <c r="Q439" i="20"/>
  <c r="Q1122" i="20"/>
  <c r="Q670" i="20"/>
  <c r="Q629" i="20"/>
  <c r="Q598" i="20"/>
  <c r="Q521" i="20"/>
  <c r="Q1448" i="20"/>
  <c r="Q494" i="20"/>
  <c r="Q901" i="20"/>
  <c r="Q1265" i="20"/>
  <c r="Q1468" i="20"/>
  <c r="Q1473" i="20"/>
  <c r="Q1458" i="20"/>
  <c r="Q348" i="20"/>
  <c r="Q441" i="20"/>
  <c r="Q1271" i="20"/>
  <c r="Q578" i="20"/>
  <c r="Q1510" i="20"/>
  <c r="Q1229" i="20"/>
  <c r="Q481" i="20"/>
  <c r="Q1112" i="20"/>
  <c r="Q1186" i="20"/>
  <c r="Q757" i="20"/>
  <c r="Q1252" i="20"/>
  <c r="Q1234" i="20"/>
  <c r="Q1249" i="20"/>
  <c r="Q886" i="20"/>
  <c r="Q710" i="20"/>
  <c r="Q254" i="20"/>
  <c r="Q663" i="20"/>
  <c r="Q1487" i="20"/>
  <c r="Q834" i="20"/>
  <c r="Q430" i="20"/>
  <c r="Q1512" i="20"/>
  <c r="Q271" i="20"/>
  <c r="Q1394" i="20"/>
  <c r="Q645" i="20"/>
  <c r="Q1148" i="20"/>
  <c r="Q489" i="20"/>
  <c r="Q495" i="20"/>
  <c r="Q906" i="20"/>
  <c r="Q781" i="20"/>
  <c r="Q74" i="20"/>
  <c r="Q508" i="20"/>
  <c r="Q911" i="20"/>
  <c r="Q83" i="20"/>
  <c r="Q1108" i="20"/>
  <c r="Q758" i="20"/>
  <c r="Q455" i="20"/>
  <c r="Q641" i="20"/>
  <c r="Q554" i="20"/>
  <c r="Q1064" i="20"/>
  <c r="Q626" i="20"/>
  <c r="Q1316" i="20"/>
  <c r="Q1338" i="20"/>
  <c r="Q1243" i="20"/>
  <c r="Q995" i="20"/>
  <c r="Q290" i="20"/>
  <c r="Q1191" i="20"/>
  <c r="Q1035" i="20"/>
  <c r="Q1323" i="20"/>
  <c r="Q798" i="20"/>
  <c r="Q672" i="20"/>
  <c r="Q1128" i="20"/>
  <c r="Q1180" i="20"/>
  <c r="Q1358" i="20"/>
  <c r="Q327" i="20"/>
  <c r="Q907" i="20"/>
  <c r="Q630" i="20"/>
  <c r="Q876" i="20"/>
  <c r="Q803" i="20"/>
  <c r="Q743" i="20"/>
  <c r="Q780" i="20"/>
  <c r="Q878" i="20"/>
  <c r="Q585" i="20"/>
  <c r="Q50" i="20"/>
  <c r="Q533" i="20"/>
  <c r="Q278" i="20"/>
  <c r="Q502" i="20"/>
  <c r="Q385" i="20"/>
  <c r="Q458" i="20"/>
  <c r="Q924" i="20"/>
  <c r="Q239" i="20"/>
  <c r="Q1275" i="20"/>
  <c r="Q1387" i="20"/>
  <c r="Q72" i="20"/>
  <c r="Q443" i="20"/>
  <c r="Q229" i="20"/>
  <c r="Q1505" i="20"/>
  <c r="Q211" i="20"/>
  <c r="Q1492" i="20"/>
  <c r="Q1299" i="20"/>
  <c r="Q1348" i="20"/>
  <c r="Q219" i="20"/>
  <c r="Q222" i="20"/>
  <c r="Q161" i="20"/>
  <c r="Q1501" i="20"/>
  <c r="Q503" i="20"/>
  <c r="Q1321" i="20"/>
  <c r="Q390" i="20"/>
  <c r="Q928" i="20"/>
  <c r="Q1194" i="20"/>
  <c r="Q1293" i="20"/>
  <c r="Q21" i="20"/>
  <c r="Q1447" i="20"/>
  <c r="Q1355" i="20"/>
  <c r="Q277" i="20"/>
  <c r="Q1142" i="20"/>
  <c r="Q1118" i="20"/>
  <c r="Q287" i="20"/>
  <c r="Q749" i="20"/>
  <c r="Q1482" i="20"/>
  <c r="Q428" i="20"/>
  <c r="Q95" i="20"/>
  <c r="Q149" i="20"/>
  <c r="Q735" i="20"/>
  <c r="Q1247" i="20"/>
  <c r="Q122" i="20"/>
  <c r="Q788" i="20"/>
  <c r="Q1373" i="20"/>
  <c r="Q665" i="20"/>
  <c r="Q1333" i="20"/>
  <c r="Q71" i="20"/>
  <c r="Q391" i="20"/>
  <c r="Q1080" i="20"/>
  <c r="Q616" i="20"/>
  <c r="Q555" i="20"/>
  <c r="Q510" i="20"/>
  <c r="Q426" i="20"/>
  <c r="Q1390" i="20"/>
  <c r="Q294" i="20"/>
  <c r="Q792" i="20"/>
  <c r="Q1168" i="20"/>
  <c r="Q1340" i="20"/>
  <c r="Q1198" i="20"/>
  <c r="Q1170" i="20"/>
  <c r="Q252" i="20"/>
  <c r="Q468" i="20"/>
  <c r="Q559" i="20"/>
  <c r="Q1071" i="20"/>
  <c r="Q125" i="20"/>
  <c r="Q587" i="20"/>
  <c r="Q1172" i="20"/>
  <c r="Q418" i="20"/>
  <c r="Q1104" i="20"/>
  <c r="Q397" i="20"/>
  <c r="Q60" i="20"/>
  <c r="Q850" i="20"/>
  <c r="Q1518" i="20"/>
  <c r="Q1201" i="20"/>
  <c r="Q1160" i="20"/>
  <c r="Q1133" i="20"/>
  <c r="Q1085" i="20"/>
  <c r="Q1233" i="20"/>
  <c r="Q1444" i="20"/>
  <c r="Q520" i="20"/>
  <c r="Q1434" i="20"/>
  <c r="Q941" i="20"/>
  <c r="Q1003" i="20"/>
  <c r="Q98" i="20"/>
  <c r="Q208" i="20"/>
  <c r="Q274" i="20"/>
  <c r="Q831" i="20"/>
  <c r="Q1343" i="20"/>
  <c r="Q266" i="20"/>
  <c r="Q898" i="20"/>
  <c r="Q1483" i="20"/>
  <c r="Q790" i="20"/>
  <c r="Q1459" i="20"/>
  <c r="Q265" i="20"/>
  <c r="Q535" i="20"/>
  <c r="Q1205" i="20"/>
  <c r="Q782" i="20"/>
  <c r="Q741" i="20"/>
  <c r="Q716" i="20"/>
  <c r="Q667" i="20"/>
  <c r="Q233" i="20"/>
  <c r="Q762" i="20"/>
  <c r="Q1125" i="20"/>
  <c r="Q1393" i="20"/>
  <c r="Q691" i="20"/>
  <c r="Q656" i="20"/>
  <c r="Q1141" i="20"/>
  <c r="Q126" i="20"/>
  <c r="Q551" i="20"/>
  <c r="Q1367" i="20"/>
  <c r="Q697" i="20"/>
  <c r="Q248" i="20"/>
  <c r="Q1365" i="20"/>
  <c r="Q38" i="20"/>
  <c r="Q1237" i="20"/>
  <c r="Q310" i="20"/>
  <c r="Q952" i="20"/>
  <c r="Q1433" i="20"/>
  <c r="Q1430" i="20"/>
  <c r="Q1441" i="20"/>
  <c r="Q1453" i="20"/>
  <c r="Q192" i="20"/>
  <c r="Q372" i="20"/>
  <c r="Q775" i="20"/>
  <c r="Q137" i="20"/>
  <c r="Q944" i="20"/>
  <c r="Q571" i="20"/>
  <c r="Q237" i="20"/>
  <c r="Q451" i="20"/>
  <c r="Q51" i="20"/>
  <c r="Q812" i="20"/>
  <c r="Q187" i="20"/>
  <c r="Q899" i="20"/>
  <c r="Q930" i="20"/>
  <c r="Q1466" i="20"/>
  <c r="Q1212" i="20"/>
  <c r="Q88" i="20"/>
  <c r="Q118" i="20"/>
  <c r="Q1015" i="20"/>
  <c r="Q230" i="20"/>
  <c r="Q1218" i="20"/>
  <c r="Q894" i="20"/>
  <c r="Q613" i="20"/>
  <c r="Q777" i="20"/>
  <c r="Q740" i="20"/>
  <c r="Q1230" i="20"/>
  <c r="Q805" i="20"/>
  <c r="Q119" i="20"/>
  <c r="Q157" i="20"/>
  <c r="Q471" i="20"/>
  <c r="Q718" i="20"/>
  <c r="Q444" i="20"/>
  <c r="Q1351" i="20"/>
  <c r="Q1236" i="20"/>
  <c r="Q91" i="20"/>
  <c r="Q1006" i="20"/>
  <c r="Q950" i="20"/>
  <c r="Q1378" i="20"/>
  <c r="Q269" i="20"/>
  <c r="Q1298" i="20"/>
  <c r="Q500" i="20"/>
  <c r="Q1273" i="20"/>
  <c r="Q1059" i="20"/>
  <c r="Q1182" i="20"/>
  <c r="Q273" i="20"/>
  <c r="Q1095" i="20"/>
  <c r="Q1197" i="20"/>
  <c r="Q437" i="20"/>
  <c r="Q1509" i="20"/>
  <c r="Q116" i="20"/>
  <c r="Q719" i="20"/>
  <c r="Q498" i="20"/>
  <c r="Q728" i="20"/>
  <c r="Q594" i="20"/>
  <c r="Q795" i="20"/>
  <c r="Q1232" i="20"/>
  <c r="Q1012" i="20"/>
  <c r="Q1024" i="20"/>
  <c r="Q1379" i="20"/>
  <c r="Q289" i="20"/>
  <c r="Q409" i="20"/>
  <c r="Q981" i="20"/>
  <c r="Q1137" i="20"/>
  <c r="Q591" i="20"/>
  <c r="Q549" i="20"/>
  <c r="Q574" i="20"/>
  <c r="Q1123" i="20"/>
  <c r="Q1442" i="20"/>
  <c r="Q423" i="20"/>
  <c r="Q110" i="20"/>
  <c r="Q357" i="20"/>
  <c r="Q197" i="20"/>
  <c r="Q136" i="20"/>
  <c r="Q744" i="20"/>
  <c r="Q1380" i="20"/>
  <c r="Q453" i="20"/>
  <c r="Q611" i="20"/>
  <c r="Q264" i="20"/>
  <c r="Q20" i="20"/>
  <c r="Q87" i="20"/>
  <c r="Q527" i="20"/>
  <c r="Q1341" i="20"/>
  <c r="Q462" i="20"/>
  <c r="Q982" i="20"/>
  <c r="Q1297" i="20"/>
  <c r="Q1357" i="20"/>
  <c r="Q69" i="20"/>
  <c r="Q1179" i="20"/>
  <c r="Q396" i="20"/>
  <c r="Q614" i="20"/>
  <c r="Q250" i="20"/>
  <c r="Q1242" i="20"/>
  <c r="Q1294" i="20"/>
  <c r="Q259" i="20"/>
  <c r="Q220" i="20"/>
  <c r="Q1143" i="20"/>
  <c r="Q998" i="20"/>
  <c r="Q1281" i="20"/>
  <c r="Q736" i="20"/>
  <c r="Q576" i="20"/>
  <c r="Q1029" i="20"/>
  <c r="Q1097" i="20"/>
  <c r="Q1165" i="20"/>
  <c r="Q435" i="20"/>
  <c r="Q166" i="20"/>
  <c r="Q839" i="20"/>
  <c r="Q75" i="20"/>
  <c r="Q1408" i="20"/>
  <c r="Q1152" i="20"/>
  <c r="Q454" i="20"/>
  <c r="Q922" i="20"/>
  <c r="Q1195" i="20"/>
  <c r="Q666" i="20"/>
  <c r="Q459" i="20"/>
  <c r="Q980" i="20"/>
  <c r="Q504" i="20"/>
  <c r="Q531" i="20"/>
  <c r="Q1412" i="20"/>
  <c r="Q1371" i="20"/>
  <c r="Q44" i="20"/>
  <c r="Q1303" i="20"/>
  <c r="Q1200" i="20"/>
  <c r="Q1480" i="20"/>
  <c r="Q945" i="20"/>
  <c r="Q896" i="20"/>
  <c r="Q1322" i="20"/>
  <c r="Q1481" i="20"/>
  <c r="Q1284" i="20"/>
  <c r="Q654" i="20"/>
  <c r="Q1121" i="20"/>
  <c r="Q651" i="20"/>
  <c r="Q999" i="20"/>
  <c r="Q272" i="20"/>
  <c r="Q1296" i="20"/>
  <c r="Q1507" i="20"/>
  <c r="Q1363" i="20"/>
  <c r="Q1214" i="20"/>
  <c r="Q1308" i="20"/>
  <c r="Q631" i="20"/>
  <c r="Q1145" i="20"/>
  <c r="Q216" i="20"/>
  <c r="Q867" i="20"/>
  <c r="Q732" i="20"/>
  <c r="Q1277" i="20"/>
  <c r="Q226" i="20"/>
  <c r="Q1463" i="20"/>
  <c r="Q1364" i="20"/>
  <c r="Q331" i="20"/>
  <c r="Q1153" i="20"/>
  <c r="Q1202" i="20"/>
  <c r="Q342" i="20"/>
  <c r="Q804" i="20"/>
  <c r="Q329" i="20"/>
  <c r="Q573" i="20"/>
  <c r="Q514" i="20"/>
  <c r="Q884" i="20"/>
  <c r="Q843" i="20"/>
  <c r="Q1159" i="20"/>
  <c r="Q295" i="20"/>
  <c r="Q1267" i="20"/>
  <c r="Q1513" i="20"/>
  <c r="Q580" i="20"/>
  <c r="Q974" i="20"/>
  <c r="Q791" i="20"/>
  <c r="Q370" i="20"/>
  <c r="Q693" i="20"/>
  <c r="Q813" i="20"/>
  <c r="Q1272" i="20"/>
  <c r="Q1109" i="20"/>
  <c r="Q285" i="20"/>
  <c r="Q62" i="20"/>
  <c r="Q130" i="20"/>
  <c r="Q572" i="20"/>
  <c r="Q1362" i="20"/>
  <c r="Q485" i="20"/>
  <c r="Q1094" i="20"/>
  <c r="Q1314" i="20"/>
  <c r="Q417" i="20"/>
  <c r="Q712" i="20"/>
  <c r="Q206" i="20"/>
  <c r="Q298" i="20"/>
  <c r="Q1073" i="20"/>
  <c r="Q1017" i="20"/>
  <c r="Q89" i="20"/>
  <c r="Q436" i="20"/>
  <c r="Q1115" i="20"/>
  <c r="Q859" i="20"/>
  <c r="Q1356" i="20"/>
  <c r="Q1127" i="20"/>
  <c r="Q612" i="20"/>
  <c r="Q923" i="20"/>
  <c r="Q1077" i="20"/>
  <c r="Q296" i="20"/>
  <c r="Q1086" i="20"/>
  <c r="Q478" i="20"/>
  <c r="Q194" i="20"/>
  <c r="Q382" i="20"/>
  <c r="Q279" i="20"/>
  <c r="Q251" i="20"/>
  <c r="Q841" i="20"/>
  <c r="Q1476" i="20"/>
  <c r="Q739" i="20"/>
  <c r="Q1058" i="20"/>
  <c r="Q1176" i="20"/>
  <c r="Q293" i="20"/>
  <c r="Q992" i="20"/>
  <c r="Q546" i="20"/>
  <c r="Q1313" i="20"/>
  <c r="Q593" i="20"/>
  <c r="Q1335" i="20"/>
  <c r="Q93" i="20"/>
  <c r="Q668" i="20"/>
  <c r="Q822" i="20"/>
  <c r="Q1295" i="20"/>
  <c r="Q811" i="20"/>
  <c r="Q173" i="20"/>
  <c r="Q297" i="20"/>
  <c r="Q985" i="20"/>
  <c r="Q948" i="20"/>
  <c r="Q647" i="20"/>
  <c r="Q415" i="20"/>
  <c r="Q644" i="20"/>
  <c r="Q528" i="20"/>
  <c r="Q699" i="20"/>
  <c r="Q1092" i="20"/>
  <c r="Q789" i="20"/>
  <c r="Q558" i="20"/>
  <c r="Q1315" i="20"/>
  <c r="Q817" i="20"/>
  <c r="Q307" i="20"/>
  <c r="Q401" i="20"/>
  <c r="Q174" i="20"/>
  <c r="Q756" i="20"/>
  <c r="Q534" i="20"/>
  <c r="Q1209" i="20"/>
  <c r="Q1495" i="20"/>
  <c r="Q1404" i="20"/>
  <c r="Q114" i="20"/>
  <c r="Q134" i="20"/>
  <c r="Q1260" i="20"/>
  <c r="Q628" i="20"/>
  <c r="Q694" i="20"/>
  <c r="Q1416" i="20"/>
  <c r="Q1506" i="20"/>
  <c r="Q823" i="20"/>
  <c r="Q624" i="20"/>
  <c r="Q864" i="20"/>
  <c r="Q246" i="20"/>
  <c r="Q963" i="20"/>
  <c r="Q378" i="20"/>
  <c r="Q1304" i="20"/>
  <c r="Q155" i="20"/>
  <c r="Q79" i="20"/>
  <c r="Q690" i="20"/>
  <c r="Q961" i="20"/>
  <c r="Q1368" i="20"/>
  <c r="Q793" i="20"/>
  <c r="Q658" i="20"/>
  <c r="Q1377" i="20"/>
  <c r="Q47" i="20"/>
  <c r="Q1382" i="20"/>
  <c r="Q868" i="20"/>
  <c r="Q217" i="20"/>
  <c r="Q393" i="20"/>
  <c r="Q1469" i="20"/>
  <c r="Q936" i="20"/>
  <c r="Q1014" i="20"/>
  <c r="Q627" i="20"/>
  <c r="Q61" i="20"/>
  <c r="Q983" i="20"/>
  <c r="Q797" i="20"/>
  <c r="Q1061" i="20"/>
  <c r="Q522" i="20"/>
  <c r="Q53" i="20"/>
  <c r="Q764" i="20"/>
  <c r="Q400" i="20"/>
  <c r="Q1342" i="20"/>
  <c r="Q679" i="20"/>
  <c r="Q932" i="20"/>
  <c r="Q228" i="20"/>
  <c r="Q267" i="20"/>
  <c r="Q586" i="20"/>
  <c r="Q1043" i="20"/>
  <c r="Q601" i="20"/>
  <c r="Q965" i="20"/>
  <c r="Q344" i="20"/>
  <c r="U276" i="20"/>
  <c r="U257" i="20"/>
  <c r="U112" i="20"/>
  <c r="U753" i="20"/>
  <c r="U637" i="20"/>
  <c r="U1183" i="20"/>
  <c r="U312" i="20"/>
  <c r="U31" i="20"/>
  <c r="U848" i="20"/>
  <c r="U1434" i="20"/>
  <c r="U923" i="20"/>
  <c r="U191" i="20"/>
  <c r="U1227" i="20"/>
  <c r="U1005" i="20"/>
  <c r="U608" i="20"/>
  <c r="U306" i="20"/>
  <c r="U26" i="20"/>
  <c r="U1385" i="20"/>
  <c r="U1240" i="20"/>
  <c r="U430" i="20"/>
  <c r="U1445" i="20"/>
  <c r="U28" i="20"/>
  <c r="U540" i="20"/>
  <c r="U521" i="20"/>
  <c r="U464" i="20"/>
  <c r="U274" i="20"/>
  <c r="U935" i="20"/>
  <c r="U1447" i="20"/>
  <c r="U735" i="20"/>
  <c r="U490" i="20"/>
  <c r="U1150" i="20"/>
  <c r="U459" i="20"/>
  <c r="U1283" i="20"/>
  <c r="U824" i="20"/>
  <c r="U502" i="20"/>
  <c r="U1403" i="20"/>
  <c r="U1228" i="20"/>
  <c r="U1054" i="20"/>
  <c r="U875" i="20"/>
  <c r="U672" i="20"/>
  <c r="U732" i="20"/>
  <c r="U207" i="20"/>
  <c r="U1349" i="20"/>
  <c r="U372" i="20"/>
  <c r="U353" i="20"/>
  <c r="U240" i="20"/>
  <c r="U849" i="20"/>
  <c r="U755" i="20"/>
  <c r="U1279" i="20"/>
  <c r="U479" i="20"/>
  <c r="U197" i="20"/>
  <c r="U958" i="20"/>
  <c r="U69" i="20"/>
  <c r="U1064" i="20"/>
  <c r="U446" i="20"/>
  <c r="U56" i="20"/>
  <c r="U1153" i="20"/>
  <c r="U872" i="20"/>
  <c r="U635" i="20"/>
  <c r="U370" i="20"/>
  <c r="U96" i="20"/>
  <c r="U1420" i="20"/>
  <c r="U973" i="20"/>
  <c r="U575" i="20"/>
  <c r="U332" i="20"/>
  <c r="U625" i="20"/>
  <c r="U127" i="20"/>
  <c r="U1143" i="20"/>
  <c r="U747" i="20"/>
  <c r="U913" i="20"/>
  <c r="U680" i="20"/>
  <c r="U624" i="20"/>
  <c r="U937" i="20"/>
  <c r="U1244" i="20"/>
  <c r="U223" i="20"/>
  <c r="U941" i="20"/>
  <c r="U1267" i="20"/>
  <c r="U1448" i="20"/>
  <c r="U1162" i="20"/>
  <c r="U675" i="20"/>
  <c r="U241" i="20"/>
  <c r="U507" i="20"/>
  <c r="U746" i="20"/>
  <c r="U118" i="20"/>
  <c r="U351" i="20"/>
  <c r="U1416" i="20"/>
  <c r="U1325" i="20"/>
  <c r="U37" i="20"/>
  <c r="U221" i="20"/>
  <c r="U873" i="20"/>
  <c r="U1358" i="20"/>
  <c r="U340" i="20"/>
  <c r="U321" i="20"/>
  <c r="U198" i="20"/>
  <c r="U817" i="20"/>
  <c r="U718" i="20"/>
  <c r="U1247" i="20"/>
  <c r="U424" i="20"/>
  <c r="U142" i="20"/>
  <c r="U922" i="20"/>
  <c r="U1507" i="20"/>
  <c r="U1020" i="20"/>
  <c r="U360" i="20"/>
  <c r="U1322" i="20"/>
  <c r="U1104" i="20"/>
  <c r="U787" i="20"/>
  <c r="U536" i="20"/>
  <c r="U258" i="20"/>
  <c r="U1494" i="20"/>
  <c r="U1364" i="20"/>
  <c r="U818" i="20"/>
  <c r="U350" i="20"/>
  <c r="U92" i="20"/>
  <c r="U73" i="20"/>
  <c r="U585" i="20"/>
  <c r="U550" i="20"/>
  <c r="U371" i="20"/>
  <c r="U999" i="20"/>
  <c r="U1511" i="20"/>
  <c r="U820" i="20"/>
  <c r="U594" i="20"/>
  <c r="U1224" i="20"/>
  <c r="U600" i="20"/>
  <c r="U1366" i="20"/>
  <c r="U939" i="20"/>
  <c r="U655" i="20"/>
  <c r="U1499" i="20"/>
  <c r="U1354" i="20"/>
  <c r="U1182" i="20"/>
  <c r="U1026" i="20"/>
  <c r="U845" i="20"/>
  <c r="U1042" i="20"/>
  <c r="U646" i="20"/>
  <c r="U158" i="20"/>
  <c r="U436" i="20"/>
  <c r="U417" i="20"/>
  <c r="U326" i="20"/>
  <c r="U115" i="20"/>
  <c r="U828" i="20"/>
  <c r="U1343" i="20"/>
  <c r="U586" i="20"/>
  <c r="U309" i="20"/>
  <c r="U1032" i="20"/>
  <c r="U218" i="20"/>
  <c r="U1147" i="20"/>
  <c r="U604" i="20"/>
  <c r="U227" i="20"/>
  <c r="U1248" i="20"/>
  <c r="U1018" i="20"/>
  <c r="U813" i="20"/>
  <c r="U590" i="20"/>
  <c r="U325" i="20"/>
  <c r="U29" i="20"/>
  <c r="U1235" i="20"/>
  <c r="U918" i="20"/>
  <c r="U444" i="20"/>
  <c r="U59" i="20"/>
  <c r="U286" i="20"/>
  <c r="U1239" i="20"/>
  <c r="U869" i="20"/>
  <c r="U1041" i="20"/>
  <c r="U862" i="20"/>
  <c r="U842" i="20"/>
  <c r="U1092" i="20"/>
  <c r="U1422" i="20"/>
  <c r="U612" i="20"/>
  <c r="U1161" i="20"/>
  <c r="U264" i="20"/>
  <c r="U711" i="20"/>
  <c r="U905" i="20"/>
  <c r="U60" i="20"/>
  <c r="U345" i="20"/>
  <c r="U632" i="20"/>
  <c r="U855" i="20"/>
  <c r="U285" i="20"/>
  <c r="U546" i="20"/>
  <c r="U51" i="20"/>
  <c r="U1460" i="20"/>
  <c r="U290" i="20"/>
  <c r="U557" i="20"/>
  <c r="U1118" i="20"/>
  <c r="U71" i="20"/>
  <c r="U404" i="20"/>
  <c r="U385" i="20"/>
  <c r="U283" i="20"/>
  <c r="U66" i="20"/>
  <c r="U791" i="20"/>
  <c r="U1311" i="20"/>
  <c r="U535" i="20"/>
  <c r="U254" i="20"/>
  <c r="U995" i="20"/>
  <c r="U143" i="20"/>
  <c r="U1106" i="20"/>
  <c r="U527" i="20"/>
  <c r="U141" i="20"/>
  <c r="U1201" i="20"/>
  <c r="U945" i="20"/>
  <c r="U728" i="20"/>
  <c r="U482" i="20"/>
  <c r="U214" i="20"/>
  <c r="U1474" i="20"/>
  <c r="U1109" i="20"/>
  <c r="U759" i="20"/>
  <c r="U156" i="20"/>
  <c r="U137" i="20"/>
  <c r="U649" i="20"/>
  <c r="U623" i="20"/>
  <c r="U469" i="20"/>
  <c r="U1063" i="20"/>
  <c r="U104" i="20"/>
  <c r="U897" i="20"/>
  <c r="U691" i="20"/>
  <c r="U1297" i="20"/>
  <c r="U724" i="20"/>
  <c r="U1450" i="20"/>
  <c r="U1048" i="20"/>
  <c r="U789" i="20"/>
  <c r="U192" i="20"/>
  <c r="U1465" i="20"/>
  <c r="U1309" i="20"/>
  <c r="U1152" i="20"/>
  <c r="U998" i="20"/>
  <c r="U1298" i="20"/>
  <c r="U974" i="20"/>
  <c r="U944" i="20"/>
  <c r="U500" i="20"/>
  <c r="U481" i="20"/>
  <c r="U411" i="20"/>
  <c r="U213" i="20"/>
  <c r="U895" i="20"/>
  <c r="U1407" i="20"/>
  <c r="U682" i="20"/>
  <c r="U421" i="20"/>
  <c r="U1105" i="20"/>
  <c r="U366" i="20"/>
  <c r="U1230" i="20"/>
  <c r="U744" i="20"/>
  <c r="U398" i="20"/>
  <c r="U1344" i="20"/>
  <c r="U1148" i="20"/>
  <c r="U965" i="20"/>
  <c r="U771" i="20"/>
  <c r="U555" i="20"/>
  <c r="U485" i="20"/>
  <c r="U1469" i="20"/>
  <c r="U1190" i="20"/>
  <c r="U548" i="20"/>
  <c r="U187" i="20"/>
  <c r="U431" i="20"/>
  <c r="U1351" i="20"/>
  <c r="U988" i="20"/>
  <c r="U1160" i="20"/>
  <c r="U1009" i="20"/>
  <c r="U1010" i="20"/>
  <c r="U1259" i="20"/>
  <c r="U167" i="20"/>
  <c r="U892" i="20"/>
  <c r="U1350" i="20"/>
  <c r="U864" i="20"/>
  <c r="U1281" i="20"/>
  <c r="U752" i="20"/>
  <c r="U164" i="20"/>
  <c r="U441" i="20"/>
  <c r="U737" i="20"/>
  <c r="U967" i="20"/>
  <c r="U466" i="20"/>
  <c r="U702" i="20"/>
  <c r="U275" i="20"/>
  <c r="U149" i="20"/>
  <c r="U581" i="20"/>
  <c r="U852" i="20"/>
  <c r="U1326" i="20"/>
  <c r="U413" i="20"/>
  <c r="U468" i="20"/>
  <c r="U449" i="20"/>
  <c r="U368" i="20"/>
  <c r="U163" i="20"/>
  <c r="U863" i="20"/>
  <c r="U1375" i="20"/>
  <c r="U634" i="20"/>
  <c r="U365" i="20"/>
  <c r="U1068" i="20"/>
  <c r="U291" i="20"/>
  <c r="U1189" i="20"/>
  <c r="U676" i="20"/>
  <c r="U314" i="20"/>
  <c r="U1296" i="20"/>
  <c r="U1085" i="20"/>
  <c r="U891" i="20"/>
  <c r="U685" i="20"/>
  <c r="U437" i="20"/>
  <c r="U259" i="20"/>
  <c r="U1362" i="20"/>
  <c r="U1062" i="20"/>
  <c r="U220" i="20"/>
  <c r="U201" i="20"/>
  <c r="U38" i="20"/>
  <c r="U696" i="20"/>
  <c r="U564" i="20"/>
  <c r="U1127" i="20"/>
  <c r="U215" i="20"/>
  <c r="U970" i="20"/>
  <c r="U775" i="20"/>
  <c r="U1370" i="20"/>
  <c r="U835" i="20"/>
  <c r="U40" i="20"/>
  <c r="U1144" i="20"/>
  <c r="U908" i="20"/>
  <c r="U415" i="20"/>
  <c r="U110" i="20"/>
  <c r="U1424" i="20"/>
  <c r="U1280" i="20"/>
  <c r="U1128" i="20"/>
  <c r="U35" i="20"/>
  <c r="U1237" i="20"/>
  <c r="U52" i="20"/>
  <c r="U33" i="20"/>
  <c r="U545" i="20"/>
  <c r="U496" i="20"/>
  <c r="U310" i="20"/>
  <c r="U959" i="20"/>
  <c r="U1471" i="20"/>
  <c r="U767" i="20"/>
  <c r="U533" i="20"/>
  <c r="U1178" i="20"/>
  <c r="U514" i="20"/>
  <c r="U1314" i="20"/>
  <c r="U870" i="20"/>
  <c r="U565" i="20"/>
  <c r="U1438" i="20"/>
  <c r="U1276" i="20"/>
  <c r="U1101" i="20"/>
  <c r="U930" i="20"/>
  <c r="U740" i="20"/>
  <c r="U859" i="20"/>
  <c r="U376" i="20"/>
  <c r="U1432" i="20"/>
  <c r="U113" i="20"/>
  <c r="U336" i="20"/>
  <c r="U584" i="20"/>
  <c r="U1455" i="20"/>
  <c r="U128" i="20"/>
  <c r="U1269" i="20"/>
  <c r="U1157" i="20"/>
  <c r="U1166" i="20"/>
  <c r="U1414" i="20"/>
  <c r="U506" i="20"/>
  <c r="U1102" i="20"/>
  <c r="U93" i="20"/>
  <c r="U1301" i="20"/>
  <c r="U405" i="20"/>
  <c r="U664" i="20"/>
  <c r="U260" i="20"/>
  <c r="U553" i="20"/>
  <c r="U841" i="20"/>
  <c r="U1071" i="20"/>
  <c r="U621" i="20"/>
  <c r="U827" i="20"/>
  <c r="U534" i="20"/>
  <c r="U426" i="20"/>
  <c r="U804" i="20"/>
  <c r="U1067" i="20"/>
  <c r="U1493" i="20"/>
  <c r="U762" i="20"/>
  <c r="U20" i="20"/>
  <c r="U532" i="20"/>
  <c r="U513" i="20"/>
  <c r="U454" i="20"/>
  <c r="U261" i="20"/>
  <c r="U927" i="20"/>
  <c r="U1439" i="20"/>
  <c r="U725" i="20"/>
  <c r="U477" i="20"/>
  <c r="U1141" i="20"/>
  <c r="U440" i="20"/>
  <c r="U1273" i="20"/>
  <c r="U811" i="20"/>
  <c r="U483" i="20"/>
  <c r="U1392" i="20"/>
  <c r="U1211" i="20"/>
  <c r="U1038" i="20"/>
  <c r="U857" i="20"/>
  <c r="U650" i="20"/>
  <c r="U686" i="20"/>
  <c r="U152" i="20"/>
  <c r="U1317" i="20"/>
  <c r="U284" i="20"/>
  <c r="U265" i="20"/>
  <c r="U123" i="20"/>
  <c r="U761" i="20"/>
  <c r="U647" i="20"/>
  <c r="U1191" i="20"/>
  <c r="U327" i="20"/>
  <c r="U45" i="20"/>
  <c r="U858" i="20"/>
  <c r="U1443" i="20"/>
  <c r="U936" i="20"/>
  <c r="U210" i="20"/>
  <c r="U1238" i="20"/>
  <c r="U1019" i="20"/>
  <c r="U629" i="20"/>
  <c r="U335" i="20"/>
  <c r="U55" i="20"/>
  <c r="U1400" i="20"/>
  <c r="U1256" i="20"/>
  <c r="U488" i="20"/>
  <c r="U1473" i="20"/>
  <c r="U116" i="20"/>
  <c r="U97" i="20"/>
  <c r="U609" i="20"/>
  <c r="U578" i="20"/>
  <c r="U407" i="20"/>
  <c r="U1023" i="20"/>
  <c r="U34" i="20"/>
  <c r="U851" i="20"/>
  <c r="U630" i="20"/>
  <c r="U1251" i="20"/>
  <c r="U648" i="20"/>
  <c r="U1398" i="20"/>
  <c r="U981" i="20"/>
  <c r="U708" i="20"/>
  <c r="U50" i="20"/>
  <c r="U1395" i="20"/>
  <c r="U1229" i="20"/>
  <c r="U1073" i="20"/>
  <c r="U902" i="20"/>
  <c r="U1138" i="20"/>
  <c r="U781" i="20"/>
  <c r="U499" i="20"/>
  <c r="U217" i="20"/>
  <c r="U475" i="20"/>
  <c r="U709" i="20"/>
  <c r="U62" i="20"/>
  <c r="U323" i="20"/>
  <c r="U1388" i="20"/>
  <c r="U1293" i="20"/>
  <c r="U1310" i="20"/>
  <c r="U109" i="20"/>
  <c r="U832" i="20"/>
  <c r="U1312" i="20"/>
  <c r="U774" i="20"/>
  <c r="U293" i="20"/>
  <c r="U1091" i="20"/>
  <c r="U579" i="20"/>
  <c r="U364" i="20"/>
  <c r="U657" i="20"/>
  <c r="U151" i="20"/>
  <c r="U1167" i="20"/>
  <c r="U778" i="20"/>
  <c r="U949" i="20"/>
  <c r="U739" i="20"/>
  <c r="U661" i="20"/>
  <c r="U978" i="20"/>
  <c r="U1291" i="20"/>
  <c r="U342" i="20"/>
  <c r="U84" i="20"/>
  <c r="U65" i="20"/>
  <c r="U577" i="20"/>
  <c r="U539" i="20"/>
  <c r="U359" i="20"/>
  <c r="U991" i="20"/>
  <c r="U1503" i="20"/>
  <c r="U808" i="20"/>
  <c r="U582" i="20"/>
  <c r="U1214" i="20"/>
  <c r="U583" i="20"/>
  <c r="U1356" i="20"/>
  <c r="U926" i="20"/>
  <c r="U638" i="20"/>
  <c r="U1486" i="20"/>
  <c r="U1339" i="20"/>
  <c r="U1165" i="20"/>
  <c r="U1003" i="20"/>
  <c r="U826" i="20"/>
  <c r="U1008" i="20"/>
  <c r="U597" i="20"/>
  <c r="U46" i="20"/>
  <c r="U348" i="20"/>
  <c r="U329" i="20"/>
  <c r="U208" i="20"/>
  <c r="U825" i="20"/>
  <c r="U727" i="20"/>
  <c r="U1255" i="20"/>
  <c r="U438" i="20"/>
  <c r="U157" i="20"/>
  <c r="U931" i="20"/>
  <c r="U1516" i="20"/>
  <c r="U1033" i="20"/>
  <c r="U381" i="20"/>
  <c r="U1334" i="20"/>
  <c r="U1117" i="20"/>
  <c r="U812" i="20"/>
  <c r="U560" i="20"/>
  <c r="U282" i="20"/>
  <c r="U1508" i="20"/>
  <c r="U1378" i="20"/>
  <c r="U861" i="20"/>
  <c r="U408" i="20"/>
  <c r="U180" i="20"/>
  <c r="U161" i="20"/>
  <c r="U673" i="20"/>
  <c r="U651" i="20"/>
  <c r="U504" i="20"/>
  <c r="U1087" i="20"/>
  <c r="U146" i="20"/>
  <c r="U924" i="20"/>
  <c r="U723" i="20"/>
  <c r="U1324" i="20"/>
  <c r="U766" i="20"/>
  <c r="U1482" i="20"/>
  <c r="U1083" i="20"/>
  <c r="U836" i="20"/>
  <c r="U278" i="20"/>
  <c r="U1505" i="20"/>
  <c r="U1357" i="20"/>
  <c r="U1198" i="20"/>
  <c r="U1049" i="20"/>
  <c r="U1386" i="20"/>
  <c r="U1078" i="20"/>
  <c r="U36" i="20"/>
  <c r="U313" i="20"/>
  <c r="U596" i="20"/>
  <c r="U837" i="20"/>
  <c r="U243" i="20"/>
  <c r="U503" i="20"/>
  <c r="U1498" i="20"/>
  <c r="U1419" i="20"/>
  <c r="U247" i="20"/>
  <c r="U472" i="20"/>
  <c r="U1070" i="20"/>
  <c r="U1481" i="20"/>
  <c r="U1202" i="20"/>
  <c r="U956" i="20"/>
  <c r="U119" i="20"/>
  <c r="U1462" i="20"/>
  <c r="U460" i="20"/>
  <c r="U91" i="20"/>
  <c r="U322" i="20"/>
  <c r="U1271" i="20"/>
  <c r="U906" i="20"/>
  <c r="U1059" i="20"/>
  <c r="U899" i="20"/>
  <c r="U883" i="20"/>
  <c r="U1140" i="20"/>
  <c r="U1477" i="20"/>
  <c r="U662" i="20"/>
  <c r="U148" i="20"/>
  <c r="U129" i="20"/>
  <c r="U641" i="20"/>
  <c r="U614" i="20"/>
  <c r="U456" i="20"/>
  <c r="U1055" i="20"/>
  <c r="U88" i="20"/>
  <c r="U888" i="20"/>
  <c r="U677" i="20"/>
  <c r="U1288" i="20"/>
  <c r="U710" i="20"/>
  <c r="U1440" i="20"/>
  <c r="U1036" i="20"/>
  <c r="U772" i="20"/>
  <c r="U160" i="20"/>
  <c r="U1449" i="20"/>
  <c r="U1292" i="20"/>
  <c r="U1136" i="20"/>
  <c r="U976" i="20"/>
  <c r="U1266" i="20"/>
  <c r="U938" i="20"/>
  <c r="U868" i="20"/>
  <c r="U412" i="20"/>
  <c r="U393" i="20"/>
  <c r="U294" i="20"/>
  <c r="U78" i="20"/>
  <c r="U800" i="20"/>
  <c r="U1319" i="20"/>
  <c r="U549" i="20"/>
  <c r="U267" i="20"/>
  <c r="U1004" i="20"/>
  <c r="U162" i="20"/>
  <c r="U1116" i="20"/>
  <c r="U551" i="20"/>
  <c r="U165" i="20"/>
  <c r="U1212" i="20"/>
  <c r="U963" i="20"/>
  <c r="U749" i="20"/>
  <c r="U511" i="20"/>
  <c r="U242" i="20"/>
  <c r="U1488" i="20"/>
  <c r="U1139" i="20"/>
  <c r="U802" i="20"/>
  <c r="U244" i="20"/>
  <c r="U225" i="20"/>
  <c r="U70" i="20"/>
  <c r="U721" i="20"/>
  <c r="U595" i="20"/>
  <c r="U1151" i="20"/>
  <c r="U256" i="20"/>
  <c r="U997" i="20"/>
  <c r="U806" i="20"/>
  <c r="U1397" i="20"/>
  <c r="U874" i="20"/>
  <c r="U106" i="20"/>
  <c r="U1180" i="20"/>
  <c r="U950" i="20"/>
  <c r="U501" i="20"/>
  <c r="U194" i="20"/>
  <c r="U1466" i="20"/>
  <c r="U1328" i="20"/>
  <c r="U1174" i="20"/>
  <c r="U205" i="20"/>
  <c r="U1332" i="20"/>
  <c r="U132" i="20"/>
  <c r="U425" i="20"/>
  <c r="U713" i="20"/>
  <c r="U943" i="20"/>
  <c r="U410" i="20"/>
  <c r="U654" i="20"/>
  <c r="U235" i="20"/>
  <c r="U83" i="20"/>
  <c r="U525" i="20"/>
  <c r="U768" i="20"/>
  <c r="U1261" i="20"/>
  <c r="U352" i="20"/>
  <c r="U150" i="20"/>
  <c r="U1376" i="20"/>
  <c r="U917" i="20"/>
  <c r="U1113" i="20"/>
  <c r="U41" i="20"/>
  <c r="U230" i="20"/>
  <c r="U480" i="20"/>
  <c r="U1367" i="20"/>
  <c r="U1016" i="20"/>
  <c r="U1187" i="20"/>
  <c r="U1053" i="20"/>
  <c r="U1060" i="20"/>
  <c r="U1284" i="20"/>
  <c r="U250" i="20"/>
  <c r="U948" i="20"/>
  <c r="U1405" i="20"/>
  <c r="U1012" i="20"/>
  <c r="U212" i="20"/>
  <c r="U193" i="20"/>
  <c r="U27" i="20"/>
  <c r="U687" i="20"/>
  <c r="U554" i="20"/>
  <c r="U1119" i="20"/>
  <c r="U202" i="20"/>
  <c r="U961" i="20"/>
  <c r="U765" i="20"/>
  <c r="U1361" i="20"/>
  <c r="U822" i="20"/>
  <c r="U22" i="20"/>
  <c r="U1131" i="20"/>
  <c r="U893" i="20"/>
  <c r="U389" i="20"/>
  <c r="U82" i="20"/>
  <c r="U1411" i="20"/>
  <c r="U1265" i="20"/>
  <c r="U1112" i="20"/>
  <c r="U1496" i="20"/>
  <c r="U1206" i="20"/>
  <c r="U1394" i="20"/>
  <c r="U476" i="20"/>
  <c r="U457" i="20"/>
  <c r="U379" i="20"/>
  <c r="U175" i="20"/>
  <c r="U871" i="20"/>
  <c r="U1383" i="20"/>
  <c r="U645" i="20"/>
  <c r="U378" i="20"/>
  <c r="U1077" i="20"/>
  <c r="U311" i="20"/>
  <c r="U1200" i="20"/>
  <c r="U698" i="20"/>
  <c r="U333" i="20"/>
  <c r="U1308" i="20"/>
  <c r="U1100" i="20"/>
  <c r="U909" i="20"/>
  <c r="U707" i="20"/>
  <c r="U470" i="20"/>
  <c r="U317" i="20"/>
  <c r="U1389" i="20"/>
  <c r="U1093" i="20"/>
  <c r="U308" i="20"/>
  <c r="U289" i="20"/>
  <c r="U155" i="20"/>
  <c r="U785" i="20"/>
  <c r="U679" i="20"/>
  <c r="U1215" i="20"/>
  <c r="U367" i="20"/>
  <c r="U86" i="20"/>
  <c r="U885" i="20"/>
  <c r="U1470" i="20"/>
  <c r="U972" i="20"/>
  <c r="U277" i="20"/>
  <c r="U1275" i="20"/>
  <c r="U1057" i="20"/>
  <c r="U703" i="20"/>
  <c r="U418" i="20"/>
  <c r="U138" i="20"/>
  <c r="U1441" i="20"/>
  <c r="U1302" i="20"/>
  <c r="U644" i="20"/>
  <c r="U122" i="20"/>
  <c r="U236" i="20"/>
  <c r="U529" i="20"/>
  <c r="U809" i="20"/>
  <c r="U1039" i="20"/>
  <c r="U598" i="20"/>
  <c r="U796" i="20"/>
  <c r="U478" i="20"/>
  <c r="U339" i="20"/>
  <c r="U741" i="20"/>
  <c r="U1037" i="20"/>
  <c r="U1453" i="20"/>
  <c r="U699" i="20"/>
  <c r="U779" i="20"/>
  <c r="U701" i="20"/>
  <c r="U1430" i="20"/>
  <c r="U1066" i="20"/>
  <c r="U145" i="20"/>
  <c r="U358" i="20"/>
  <c r="U616" i="20"/>
  <c r="U1479" i="20"/>
  <c r="U183" i="20"/>
  <c r="U1306" i="20"/>
  <c r="U1179" i="20"/>
  <c r="U1203" i="20"/>
  <c r="U1451" i="20"/>
  <c r="U611" i="20"/>
  <c r="U1170" i="20"/>
  <c r="U203" i="20"/>
  <c r="U1014" i="20"/>
  <c r="U1390" i="20"/>
  <c r="U618" i="20"/>
  <c r="U989" i="20"/>
  <c r="U292" i="20"/>
  <c r="U569" i="20"/>
  <c r="U42" i="20"/>
  <c r="U1095" i="20"/>
  <c r="U670" i="20"/>
  <c r="U867" i="20"/>
  <c r="U567" i="20"/>
  <c r="U487" i="20"/>
  <c r="U853" i="20"/>
  <c r="U1133" i="20"/>
  <c r="U85" i="20"/>
  <c r="U803" i="20"/>
  <c r="U1044" i="20"/>
  <c r="U1146" i="20"/>
  <c r="U526" i="20"/>
  <c r="U805" i="20"/>
  <c r="U665" i="20"/>
  <c r="U846" i="20"/>
  <c r="U979" i="20"/>
  <c r="U403" i="20"/>
  <c r="U1264" i="20"/>
  <c r="U1307" i="20"/>
  <c r="U43" i="20"/>
  <c r="U823" i="20"/>
  <c r="U1316" i="20"/>
  <c r="U396" i="20"/>
  <c r="U642" i="20"/>
  <c r="U1359" i="20"/>
  <c r="U786" i="20"/>
  <c r="U1252" i="20"/>
  <c r="U1045" i="20"/>
  <c r="U1134" i="20"/>
  <c r="U1393" i="20"/>
  <c r="U603" i="20"/>
  <c r="U1483" i="20"/>
  <c r="U409" i="20"/>
  <c r="U542" i="20"/>
  <c r="U693" i="20"/>
  <c r="U1425" i="20"/>
  <c r="U856" i="20"/>
  <c r="U748" i="20"/>
  <c r="U1056" i="20"/>
  <c r="U1076" i="20"/>
  <c r="U1282" i="20"/>
  <c r="U100" i="20"/>
  <c r="U395" i="20"/>
  <c r="U712" i="20"/>
  <c r="U1155" i="20"/>
  <c r="U1506" i="20"/>
  <c r="U238" i="20"/>
  <c r="U763" i="20"/>
  <c r="U530" i="20"/>
  <c r="U910" i="20"/>
  <c r="U884" i="20"/>
  <c r="U1304" i="20"/>
  <c r="U1402" i="20"/>
  <c r="U617" i="20"/>
  <c r="U173" i="20"/>
  <c r="U850" i="20"/>
  <c r="U683" i="20"/>
  <c r="U1318" i="20"/>
  <c r="U1124" i="20"/>
  <c r="U386" i="20"/>
  <c r="U1433" i="20"/>
  <c r="U433" i="20"/>
  <c r="U1415" i="20"/>
  <c r="U498" i="20"/>
  <c r="U1382" i="20"/>
  <c r="U117" i="20"/>
  <c r="U237" i="20"/>
  <c r="U462" i="20"/>
  <c r="U954" i="20"/>
  <c r="U1277" i="20"/>
  <c r="U1142" i="20"/>
  <c r="U414" i="20"/>
  <c r="U248" i="20"/>
  <c r="U607" i="20"/>
  <c r="U966" i="20"/>
  <c r="U1340" i="20"/>
  <c r="U1268" i="20"/>
  <c r="U471" i="20"/>
  <c r="U334" i="20"/>
  <c r="U619" i="20"/>
  <c r="U1072" i="20"/>
  <c r="U1384" i="20"/>
  <c r="U1363" i="20"/>
  <c r="U847" i="20"/>
  <c r="U589" i="20"/>
  <c r="U881" i="20"/>
  <c r="U515" i="20"/>
  <c r="U95" i="20"/>
  <c r="U1290" i="20"/>
  <c r="U1108" i="20"/>
  <c r="U1208" i="20"/>
  <c r="U520" i="20"/>
  <c r="U1219" i="20"/>
  <c r="U1194" i="20"/>
  <c r="U388" i="20"/>
  <c r="U681" i="20"/>
  <c r="U200" i="20"/>
  <c r="U1199" i="20"/>
  <c r="U798" i="20"/>
  <c r="U977" i="20"/>
  <c r="U780" i="20"/>
  <c r="U730" i="20"/>
  <c r="U1034" i="20"/>
  <c r="U1323" i="20"/>
  <c r="U427" i="20"/>
  <c r="U1065" i="20"/>
  <c r="U1444" i="20"/>
  <c r="U287" i="20"/>
  <c r="U101" i="20"/>
  <c r="U44" i="20"/>
  <c r="U176" i="20"/>
  <c r="U1015" i="20"/>
  <c r="U239" i="20"/>
  <c r="U751" i="20"/>
  <c r="U269" i="20"/>
  <c r="U136" i="20"/>
  <c r="U599" i="20"/>
  <c r="U67" i="20"/>
  <c r="U1517" i="20"/>
  <c r="U25" i="20"/>
  <c r="U801" i="20"/>
  <c r="U21" i="20"/>
  <c r="U986" i="20"/>
  <c r="U1472" i="20"/>
  <c r="U1272" i="20"/>
  <c r="U1437" i="20"/>
  <c r="U591" i="20"/>
  <c r="U399" i="20"/>
  <c r="U980" i="20"/>
  <c r="U593" i="20"/>
  <c r="U764" i="20"/>
  <c r="U878" i="20"/>
  <c r="U199" i="20"/>
  <c r="U1120" i="20"/>
  <c r="U1163" i="20"/>
  <c r="U1372" i="20"/>
  <c r="U320" i="20"/>
  <c r="U843" i="20"/>
  <c r="U324" i="20"/>
  <c r="U782" i="20"/>
  <c r="U1022" i="20"/>
  <c r="U416" i="20"/>
  <c r="U814" i="20"/>
  <c r="U1485" i="20"/>
  <c r="U420" i="20"/>
  <c r="U1111" i="20"/>
  <c r="U1262" i="20"/>
  <c r="U1107" i="20"/>
  <c r="U831" i="20"/>
  <c r="U1484" i="20"/>
  <c r="U272" i="20"/>
  <c r="U610" i="20"/>
  <c r="U1210" i="20"/>
  <c r="U1195" i="20"/>
  <c r="U1075" i="20"/>
  <c r="U742" i="20"/>
  <c r="U168" i="20"/>
  <c r="U1011" i="20"/>
  <c r="U697" i="20"/>
  <c r="U229" i="20"/>
  <c r="U960" i="20"/>
  <c r="U588" i="20"/>
  <c r="U196" i="20"/>
  <c r="U606" i="20"/>
  <c r="U894" i="20"/>
  <c r="U1347" i="20"/>
  <c r="U538" i="20"/>
  <c r="U882" i="20"/>
  <c r="U252" i="20"/>
  <c r="U627" i="20"/>
  <c r="U904" i="20"/>
  <c r="U120" i="20"/>
  <c r="U563" i="20"/>
  <c r="U1221" i="20"/>
  <c r="U268" i="20"/>
  <c r="U700" i="20"/>
  <c r="U940" i="20"/>
  <c r="U184" i="20"/>
  <c r="U731" i="20"/>
  <c r="U1254" i="20"/>
  <c r="U316" i="20"/>
  <c r="U383" i="20"/>
  <c r="U1341" i="20"/>
  <c r="U561" i="20"/>
  <c r="U1476" i="20"/>
  <c r="U559" i="20"/>
  <c r="U896" i="20"/>
  <c r="U1029" i="20"/>
  <c r="U344" i="20"/>
  <c r="U652" i="20"/>
  <c r="U492" i="20"/>
  <c r="U134" i="20"/>
  <c r="U346" i="20"/>
  <c r="U1295" i="20"/>
  <c r="U933" i="20"/>
  <c r="U1096" i="20"/>
  <c r="U947" i="20"/>
  <c r="U912" i="20"/>
  <c r="U1176" i="20"/>
  <c r="U1518" i="20"/>
  <c r="U750" i="20"/>
  <c r="U1270" i="20"/>
  <c r="U547" i="20"/>
  <c r="U1027" i="20"/>
  <c r="U1421" i="20"/>
  <c r="U204" i="20"/>
  <c r="U422" i="20"/>
  <c r="U1175" i="20"/>
  <c r="U519" i="20"/>
  <c r="U996" i="20"/>
  <c r="U692" i="20"/>
  <c r="U706" i="20"/>
  <c r="U1030" i="20"/>
  <c r="U993" i="20"/>
  <c r="U566" i="20"/>
  <c r="U185" i="20"/>
  <c r="U224" i="20"/>
  <c r="U299" i="20"/>
  <c r="U1169" i="20"/>
  <c r="U318" i="20"/>
  <c r="U23" i="20"/>
  <c r="U453" i="20"/>
  <c r="U1360" i="20"/>
  <c r="U1345" i="20"/>
  <c r="U357" i="20"/>
  <c r="U80" i="20"/>
  <c r="U919" i="20"/>
  <c r="U99" i="20"/>
  <c r="U615" i="20"/>
  <c r="U79" i="20"/>
  <c r="U1436" i="20"/>
  <c r="U301" i="20"/>
  <c r="U1173" i="20"/>
  <c r="U720" i="20"/>
  <c r="U81" i="20"/>
  <c r="U1047" i="20"/>
  <c r="U1315" i="20"/>
  <c r="U921" i="20"/>
  <c r="U1426" i="20"/>
  <c r="U613" i="20"/>
  <c r="U121" i="20"/>
  <c r="U1391" i="20"/>
  <c r="U792" i="20"/>
  <c r="U738" i="20"/>
  <c r="U307" i="20"/>
  <c r="U925" i="20"/>
  <c r="U587" i="20"/>
  <c r="U942" i="20"/>
  <c r="U126" i="20"/>
  <c r="U391" i="20"/>
  <c r="U900" i="20"/>
  <c r="U1122" i="20"/>
  <c r="U1216" i="20"/>
  <c r="U717" i="20"/>
  <c r="U347" i="20"/>
  <c r="U704" i="20"/>
  <c r="U253" i="20"/>
  <c r="U1213" i="20"/>
  <c r="U484" i="20"/>
  <c r="U911" i="20"/>
  <c r="U1196" i="20"/>
  <c r="U674" i="20"/>
  <c r="U1121" i="20"/>
  <c r="U1274" i="20"/>
  <c r="U508" i="20"/>
  <c r="U951" i="20"/>
  <c r="U1233" i="20"/>
  <c r="U758" i="20"/>
  <c r="U1184" i="20"/>
  <c r="U1338" i="20"/>
  <c r="U516" i="20"/>
  <c r="U975" i="20"/>
  <c r="U1260" i="20"/>
  <c r="U821" i="20"/>
  <c r="U1294" i="20"/>
  <c r="U1504" i="20"/>
  <c r="U736" i="20"/>
  <c r="U1478" i="20"/>
  <c r="U512" i="20"/>
  <c r="U695" i="20"/>
  <c r="U666" i="20"/>
  <c r="U860" i="20"/>
  <c r="U1329" i="20"/>
  <c r="U1458" i="20"/>
  <c r="U1061" i="20"/>
  <c r="U245" i="20"/>
  <c r="U57" i="20"/>
  <c r="U262" i="20"/>
  <c r="U517" i="20"/>
  <c r="U1399" i="20"/>
  <c r="U58" i="20"/>
  <c r="U1205" i="20"/>
  <c r="U1084" i="20"/>
  <c r="U1097" i="20"/>
  <c r="U1331" i="20"/>
  <c r="U363" i="20"/>
  <c r="U987" i="20"/>
  <c r="U1446" i="20"/>
  <c r="U1110" i="20"/>
  <c r="U1509" i="20"/>
  <c r="U1313" i="20"/>
  <c r="U380" i="20"/>
  <c r="U605" i="20"/>
  <c r="U1335" i="20"/>
  <c r="U754" i="20"/>
  <c r="U1241" i="20"/>
  <c r="U992" i="20"/>
  <c r="U1088" i="20"/>
  <c r="U1337" i="20"/>
  <c r="U387" i="20"/>
  <c r="U1373" i="20"/>
  <c r="U361" i="20"/>
  <c r="U445" i="20"/>
  <c r="U573" i="20"/>
  <c r="U1352" i="20"/>
  <c r="U760" i="20"/>
  <c r="U580" i="20"/>
  <c r="U914" i="20"/>
  <c r="U734" i="20"/>
  <c r="U955" i="20"/>
  <c r="U124" i="20"/>
  <c r="U304" i="20"/>
  <c r="U1103" i="20"/>
  <c r="U392" i="20"/>
  <c r="U886" i="20"/>
  <c r="U461" i="20"/>
  <c r="U450" i="20"/>
  <c r="U865" i="20"/>
  <c r="U622" i="20"/>
  <c r="U1051" i="20"/>
  <c r="U305" i="20"/>
  <c r="U1303" i="20"/>
  <c r="U255" i="20"/>
  <c r="U1355" i="20"/>
  <c r="U719" i="20"/>
  <c r="U716" i="20"/>
  <c r="U401" i="20"/>
  <c r="U186" i="20"/>
  <c r="U544" i="20"/>
  <c r="U784" i="20"/>
  <c r="U182" i="20"/>
  <c r="U1130" i="20"/>
  <c r="U90" i="20"/>
  <c r="U338" i="20"/>
  <c r="U776" i="20"/>
  <c r="U1021" i="20"/>
  <c r="U694" i="20"/>
  <c r="U1365" i="20"/>
  <c r="U1069" i="20"/>
  <c r="U1090" i="20"/>
  <c r="U678" i="20"/>
  <c r="U1025" i="20"/>
  <c r="U898" i="20"/>
  <c r="U1089" i="20"/>
  <c r="U209" i="20"/>
  <c r="U1159" i="20"/>
  <c r="U1480" i="20"/>
  <c r="U1164" i="20"/>
  <c r="U266" i="20"/>
  <c r="U1456" i="20"/>
  <c r="U233" i="20"/>
  <c r="U1223" i="20"/>
  <c r="U1489" i="20"/>
  <c r="U1188" i="20"/>
  <c r="U384" i="20"/>
  <c r="U64" i="20"/>
  <c r="U281" i="20"/>
  <c r="U1231" i="20"/>
  <c r="U125" i="20"/>
  <c r="U1225" i="20"/>
  <c r="U495" i="20"/>
  <c r="U288" i="20"/>
  <c r="U1013" i="20"/>
  <c r="U1418" i="20"/>
  <c r="U297" i="20"/>
  <c r="U362" i="20"/>
  <c r="U166" i="20"/>
  <c r="U1502" i="20"/>
  <c r="U319" i="20"/>
  <c r="U1017" i="20"/>
  <c r="U74" i="20"/>
  <c r="U1099" i="20"/>
  <c r="U169" i="20"/>
  <c r="U400" i="20"/>
  <c r="U658" i="20"/>
  <c r="U1495" i="20"/>
  <c r="U226" i="20"/>
  <c r="U1333" i="20"/>
  <c r="U1220" i="20"/>
  <c r="U1250" i="20"/>
  <c r="U1475" i="20"/>
  <c r="U684" i="20"/>
  <c r="U1217" i="20"/>
  <c r="U429" i="20"/>
  <c r="U1500" i="20"/>
  <c r="U799" i="20"/>
  <c r="U1249" i="20"/>
  <c r="U524" i="20"/>
  <c r="U793" i="20"/>
  <c r="U1519" i="20"/>
  <c r="U968" i="20"/>
  <c r="U1429" i="20"/>
  <c r="U1236" i="20"/>
  <c r="U1396" i="20"/>
  <c r="U541" i="20"/>
  <c r="U174" i="20"/>
  <c r="U216" i="20"/>
  <c r="U505" i="20"/>
  <c r="U690" i="20"/>
  <c r="U830" i="20"/>
  <c r="U87" i="20"/>
  <c r="U1024" i="20"/>
  <c r="U1001" i="20"/>
  <c r="U1246" i="20"/>
  <c r="U1497" i="20"/>
  <c r="U458" i="20"/>
  <c r="U300" i="20"/>
  <c r="U518" i="20"/>
  <c r="U1263" i="20"/>
  <c r="U643" i="20"/>
  <c r="U1126" i="20"/>
  <c r="U866" i="20"/>
  <c r="U929" i="20"/>
  <c r="U1193" i="20"/>
  <c r="U1285" i="20"/>
  <c r="U231" i="20"/>
  <c r="U601" i="20"/>
  <c r="U75" i="20"/>
  <c r="U807" i="20"/>
  <c r="U447" i="20"/>
  <c r="U1289" i="20"/>
  <c r="U990" i="20"/>
  <c r="U633" i="20"/>
  <c r="U952" i="20"/>
  <c r="U1427" i="20"/>
  <c r="U1156" i="20"/>
  <c r="U1459" i="20"/>
  <c r="U108" i="20"/>
  <c r="U493" i="20"/>
  <c r="U743" i="20"/>
  <c r="U1192" i="20"/>
  <c r="U171" i="20"/>
  <c r="U463" i="20"/>
  <c r="U140" i="20"/>
  <c r="U722" i="20"/>
  <c r="U1253" i="20"/>
  <c r="U139" i="20"/>
  <c r="U448" i="20"/>
  <c r="U1299" i="20"/>
  <c r="U920" i="20"/>
  <c r="U465" i="20"/>
  <c r="U1431" i="20"/>
  <c r="U552" i="20"/>
  <c r="U77" i="20"/>
  <c r="U957" i="20"/>
  <c r="U1457" i="20"/>
  <c r="U489" i="20"/>
  <c r="U1463" i="20"/>
  <c r="U631" i="20"/>
  <c r="U135" i="20"/>
  <c r="U1098" i="20"/>
  <c r="U1512" i="20"/>
  <c r="U537" i="20"/>
  <c r="U1487" i="20"/>
  <c r="U663" i="20"/>
  <c r="U331" i="20"/>
  <c r="U1145" i="20"/>
  <c r="U667" i="20"/>
  <c r="U206" i="20"/>
  <c r="U1381" i="20"/>
  <c r="U1287" i="20"/>
  <c r="U1222" i="20"/>
  <c r="U494" i="20"/>
  <c r="U53" i="20"/>
  <c r="U934" i="20"/>
  <c r="U61" i="20"/>
  <c r="U1408" i="20"/>
  <c r="U1321" i="20"/>
  <c r="U273" i="20"/>
  <c r="U528" i="20"/>
  <c r="U773" i="20"/>
  <c r="U159" i="20"/>
  <c r="U406" i="20"/>
  <c r="U1452" i="20"/>
  <c r="U1346" i="20"/>
  <c r="U98" i="20"/>
  <c r="U303" i="20"/>
  <c r="U946" i="20"/>
  <c r="U1412" i="20"/>
  <c r="U971" i="20"/>
  <c r="U671" i="20"/>
  <c r="U1348" i="20"/>
  <c r="U190" i="20"/>
  <c r="U177" i="20"/>
  <c r="U189" i="20"/>
  <c r="U270" i="20"/>
  <c r="U1132" i="20"/>
  <c r="U296" i="20"/>
  <c r="U1510" i="20"/>
  <c r="U394" i="20"/>
  <c r="U1234" i="20"/>
  <c r="U1218" i="20"/>
  <c r="U1257" i="20"/>
  <c r="U689" i="20"/>
  <c r="U879" i="20"/>
  <c r="U1006" i="20"/>
  <c r="U423" i="20"/>
  <c r="U1286" i="20"/>
  <c r="U1369" i="20"/>
  <c r="U130" i="20"/>
  <c r="U901" i="20"/>
  <c r="U1374" i="20"/>
  <c r="U452" i="20"/>
  <c r="U705" i="20"/>
  <c r="U1423" i="20"/>
  <c r="U876" i="20"/>
  <c r="U1336" i="20"/>
  <c r="U1129" i="20"/>
  <c r="U1245" i="20"/>
  <c r="U1501" i="20"/>
  <c r="U1209" i="20"/>
  <c r="U1435" i="20"/>
  <c r="U251" i="20"/>
  <c r="U522" i="20"/>
  <c r="U1168" i="20"/>
  <c r="U1181" i="20"/>
  <c r="U815" i="20"/>
  <c r="U556" i="20"/>
  <c r="U315" i="20"/>
  <c r="U435" i="20"/>
  <c r="U1258" i="20"/>
  <c r="U1305" i="20"/>
  <c r="U1172" i="20"/>
  <c r="U356" i="20"/>
  <c r="U810" i="20"/>
  <c r="U1086" i="20"/>
  <c r="U439" i="20"/>
  <c r="U969" i="20"/>
  <c r="U271" i="20"/>
  <c r="U819" i="20"/>
  <c r="U474" i="20"/>
  <c r="U1000" i="20"/>
  <c r="U574" i="20"/>
  <c r="U838" i="20"/>
  <c r="U602" i="20"/>
  <c r="U1171" i="20"/>
  <c r="U48" i="20"/>
  <c r="U354" i="20"/>
  <c r="U984" i="20"/>
  <c r="U890" i="20"/>
  <c r="U1515" i="20"/>
  <c r="U302" i="20"/>
  <c r="U102" i="20"/>
  <c r="U382" i="20"/>
  <c r="U1074" i="20"/>
  <c r="U928" i="20"/>
  <c r="U147" i="20"/>
  <c r="U889" i="20"/>
  <c r="U144" i="20"/>
  <c r="U451" i="20"/>
  <c r="U1094" i="20"/>
  <c r="U1052" i="20"/>
  <c r="U373" i="20"/>
  <c r="U1035" i="20"/>
  <c r="U795" i="20"/>
  <c r="U49" i="20"/>
  <c r="U181" i="20"/>
  <c r="U756" i="20"/>
  <c r="U1137" i="20"/>
  <c r="U374" i="20"/>
  <c r="U1330" i="20"/>
  <c r="U877" i="20"/>
  <c r="U1177" i="20"/>
  <c r="U76" i="20"/>
  <c r="U369" i="20"/>
  <c r="U660" i="20"/>
  <c r="U887" i="20"/>
  <c r="U341" i="20"/>
  <c r="U571" i="20"/>
  <c r="U107" i="20"/>
  <c r="U1492" i="20"/>
  <c r="U375" i="20"/>
  <c r="U653" i="20"/>
  <c r="U1149" i="20"/>
  <c r="U154" i="20"/>
  <c r="U1413" i="20"/>
  <c r="U1158" i="20"/>
  <c r="U572" i="20"/>
  <c r="U1243" i="20"/>
  <c r="U337" i="20"/>
  <c r="U419" i="20"/>
  <c r="U562" i="20"/>
  <c r="U1342" i="20"/>
  <c r="U714" i="20"/>
  <c r="U531" i="20"/>
  <c r="U834" i="20"/>
  <c r="U688" i="20"/>
  <c r="U880" i="20"/>
  <c r="U68" i="20"/>
  <c r="U219" i="20"/>
  <c r="U1031" i="20"/>
  <c r="U280" i="20"/>
  <c r="U794" i="20"/>
  <c r="U355" i="20"/>
  <c r="U222" i="20"/>
  <c r="U626" i="20"/>
  <c r="U179" i="20"/>
  <c r="U328" i="20"/>
  <c r="U89" i="20"/>
  <c r="U54" i="20"/>
  <c r="U131" i="20"/>
  <c r="U1050" i="20"/>
  <c r="U63" i="20"/>
  <c r="U1368" i="20"/>
  <c r="U111" i="20"/>
  <c r="U932" i="20"/>
  <c r="U797" i="20"/>
  <c r="U829" i="20"/>
  <c r="U568" i="20"/>
  <c r="U915" i="20"/>
  <c r="U1513" i="20"/>
  <c r="U279" i="20"/>
  <c r="U592" i="20"/>
  <c r="U839" i="20"/>
  <c r="U669" i="20"/>
  <c r="U1114" i="20"/>
  <c r="U1197" i="20"/>
  <c r="U133" i="20"/>
  <c r="U844" i="20"/>
  <c r="U105" i="20"/>
  <c r="U1079" i="20"/>
  <c r="U1379" i="20"/>
  <c r="U964" i="20"/>
  <c r="U1454" i="20"/>
  <c r="U953" i="20"/>
  <c r="U656" i="20"/>
  <c r="U195" i="20"/>
  <c r="U172" i="20"/>
  <c r="U903" i="20"/>
  <c r="U1123" i="20"/>
  <c r="U1081" i="20"/>
  <c r="U1046" i="20"/>
  <c r="U390" i="20"/>
  <c r="U715" i="20"/>
  <c r="U1377" i="20"/>
  <c r="U1410" i="20"/>
  <c r="U1442" i="20"/>
  <c r="U343" i="20"/>
  <c r="U443" i="20"/>
  <c r="U757" i="20"/>
  <c r="U1387" i="20"/>
  <c r="U1491" i="20"/>
  <c r="U1468" i="20"/>
  <c r="U1185" i="20"/>
  <c r="U486" i="20"/>
  <c r="U840" i="20"/>
  <c r="U1409" i="20"/>
  <c r="U24" i="20"/>
  <c r="U263" i="20"/>
  <c r="U1428" i="20"/>
  <c r="U1404" i="20"/>
  <c r="U1007" i="20"/>
  <c r="U1320" i="20"/>
  <c r="U833" i="20"/>
  <c r="U1115" i="20"/>
  <c r="U455" i="20"/>
  <c r="U434" i="20"/>
  <c r="U1401" i="20"/>
  <c r="U1058" i="20"/>
  <c r="U188" i="20"/>
  <c r="U473" i="20"/>
  <c r="U769" i="20"/>
  <c r="U983" i="20"/>
  <c r="U509" i="20"/>
  <c r="U733" i="20"/>
  <c r="U349" i="20"/>
  <c r="U232" i="20"/>
  <c r="U620" i="20"/>
  <c r="U907" i="20"/>
  <c r="U1371" i="20"/>
  <c r="U523" i="20"/>
  <c r="U543" i="20"/>
  <c r="U1514" i="20"/>
  <c r="U1186" i="20"/>
  <c r="U1490" i="20"/>
  <c r="U497" i="20"/>
  <c r="U668" i="20"/>
  <c r="U788" i="20"/>
  <c r="U32" i="20"/>
  <c r="U994" i="20"/>
  <c r="U982" i="20"/>
  <c r="U1232" i="20"/>
  <c r="U1417" i="20"/>
  <c r="U234" i="20"/>
  <c r="U228" i="20"/>
  <c r="U432" i="20"/>
  <c r="U1207" i="20"/>
  <c r="U558" i="20"/>
  <c r="U1043" i="20"/>
  <c r="U726" i="20"/>
  <c r="U770" i="20"/>
  <c r="U1080" i="20"/>
  <c r="U1125" i="20"/>
  <c r="U916" i="20"/>
  <c r="U249" i="20"/>
  <c r="U298" i="20"/>
  <c r="U397" i="20"/>
  <c r="U1242" i="20"/>
  <c r="U510" i="20"/>
  <c r="U246" i="20"/>
  <c r="U636" i="20"/>
  <c r="U94" i="20"/>
  <c r="U178" i="20"/>
  <c r="U1353" i="20"/>
  <c r="U30" i="20"/>
  <c r="U295" i="20"/>
  <c r="U640" i="20"/>
  <c r="U1002" i="20"/>
  <c r="U491" i="20"/>
  <c r="U442" i="20"/>
  <c r="U103" i="20"/>
  <c r="U1406" i="20"/>
  <c r="U1040" i="20"/>
  <c r="U428" i="20"/>
  <c r="U1082" i="20"/>
  <c r="U377" i="20"/>
  <c r="U1327" i="20"/>
  <c r="U330" i="20"/>
  <c r="U1380" i="20"/>
  <c r="U783" i="20"/>
  <c r="U1028" i="20"/>
  <c r="U816" i="20"/>
  <c r="U1467" i="20"/>
  <c r="U153" i="20"/>
  <c r="U1135" i="20"/>
  <c r="U1461" i="20"/>
  <c r="U1464" i="20"/>
  <c r="U1154" i="20"/>
  <c r="U729" i="20"/>
  <c r="U72" i="20"/>
  <c r="U402" i="20"/>
  <c r="U659" i="20"/>
  <c r="U1204" i="20"/>
  <c r="U628" i="20"/>
  <c r="U745" i="20"/>
  <c r="U114" i="20"/>
  <c r="U467" i="20"/>
  <c r="U790" i="20"/>
  <c r="U1300" i="20"/>
  <c r="U962" i="20"/>
  <c r="U777" i="20"/>
  <c r="U170" i="20"/>
  <c r="U570" i="20"/>
  <c r="U854" i="20"/>
  <c r="U39" i="20"/>
  <c r="U1226" i="20"/>
  <c r="U47" i="20"/>
  <c r="U1278" i="20"/>
  <c r="U576" i="20"/>
  <c r="U985" i="20"/>
  <c r="U639" i="20"/>
  <c r="U211" i="20"/>
  <c r="F9" i="3"/>
  <c r="G12" i="30"/>
  <c r="H19" i="30"/>
  <c r="I26" i="30"/>
  <c r="J33" i="30"/>
  <c r="B41" i="30"/>
  <c r="C48" i="30"/>
  <c r="D55" i="30"/>
  <c r="E62" i="30"/>
  <c r="F69" i="30"/>
  <c r="G76" i="30"/>
  <c r="C9" i="30"/>
  <c r="D16" i="30"/>
  <c r="E23" i="30"/>
  <c r="F30" i="30"/>
  <c r="G37" i="30"/>
  <c r="H44" i="30"/>
  <c r="I51" i="30"/>
  <c r="J58" i="30"/>
  <c r="B66" i="30"/>
  <c r="C73" i="30"/>
  <c r="C10" i="30"/>
  <c r="D17" i="30"/>
  <c r="E24" i="30"/>
  <c r="F31" i="30"/>
  <c r="G38" i="30"/>
  <c r="H45" i="30"/>
  <c r="I52" i="30"/>
  <c r="J59" i="30"/>
  <c r="B67" i="30"/>
  <c r="C74" i="30"/>
  <c r="J12" i="30"/>
  <c r="J13" i="30"/>
  <c r="B21" i="30"/>
  <c r="C28" i="30"/>
  <c r="D35" i="30"/>
  <c r="E42" i="30"/>
  <c r="F49" i="30"/>
  <c r="G56" i="30"/>
  <c r="H63" i="30"/>
  <c r="I70" i="30"/>
  <c r="J77" i="30"/>
  <c r="F11" i="30"/>
  <c r="G18" i="30"/>
  <c r="H25" i="30"/>
  <c r="I32" i="30"/>
  <c r="J39" i="30"/>
  <c r="B47" i="30"/>
  <c r="C54" i="30"/>
  <c r="D61" i="30"/>
  <c r="E68" i="30"/>
  <c r="F75" i="30"/>
  <c r="J22" i="30"/>
  <c r="I41" i="30"/>
  <c r="J60" i="30"/>
  <c r="F12" i="30"/>
  <c r="B64" i="30"/>
  <c r="J28" i="30"/>
  <c r="B62" i="30"/>
  <c r="I31" i="30"/>
  <c r="J24" i="30"/>
  <c r="H10" i="30"/>
  <c r="H32" i="30"/>
  <c r="G51" i="30"/>
  <c r="H70" i="30"/>
  <c r="F40" i="30"/>
  <c r="G71" i="30"/>
  <c r="F34" i="30"/>
  <c r="G23" i="30"/>
  <c r="F42" i="30"/>
  <c r="E61" i="30"/>
  <c r="B16" i="30"/>
  <c r="E19" i="30"/>
  <c r="C53" i="30"/>
  <c r="J16" i="30"/>
  <c r="D36" i="30"/>
  <c r="C55" i="30"/>
  <c r="G67" i="30"/>
  <c r="D41" i="30"/>
  <c r="D21" i="30"/>
  <c r="H40" i="30"/>
  <c r="C71" i="30"/>
  <c r="E43" i="30"/>
  <c r="F13" i="30"/>
  <c r="G20" i="30"/>
  <c r="H27" i="30"/>
  <c r="I34" i="30"/>
  <c r="J41" i="30"/>
  <c r="B49" i="30"/>
  <c r="C56" i="30"/>
  <c r="D63" i="30"/>
  <c r="E70" i="30"/>
  <c r="F77" i="30"/>
  <c r="B10" i="30"/>
  <c r="C17" i="30"/>
  <c r="D24" i="30"/>
  <c r="E31" i="30"/>
  <c r="F38" i="30"/>
  <c r="G45" i="30"/>
  <c r="H52" i="30"/>
  <c r="I59" i="30"/>
  <c r="J66" i="30"/>
  <c r="B74" i="30"/>
  <c r="B11" i="30"/>
  <c r="C18" i="30"/>
  <c r="D25" i="30"/>
  <c r="E32" i="30"/>
  <c r="F39" i="30"/>
  <c r="G46" i="30"/>
  <c r="H53" i="30"/>
  <c r="I60" i="30"/>
  <c r="J67" i="30"/>
  <c r="B75" i="30"/>
  <c r="H14" i="30"/>
  <c r="I14" i="30"/>
  <c r="J21" i="30"/>
  <c r="B29" i="30"/>
  <c r="C36" i="30"/>
  <c r="D43" i="30"/>
  <c r="E50" i="30"/>
  <c r="F57" i="30"/>
  <c r="G64" i="30"/>
  <c r="H71" i="30"/>
  <c r="I78" i="30"/>
  <c r="E12" i="30"/>
  <c r="F19" i="30"/>
  <c r="G26" i="30"/>
  <c r="H33" i="30"/>
  <c r="I40" i="30"/>
  <c r="J47" i="30"/>
  <c r="B55" i="30"/>
  <c r="C62" i="30"/>
  <c r="D69" i="30"/>
  <c r="E76" i="30"/>
  <c r="E25" i="30"/>
  <c r="D44" i="30"/>
  <c r="C63" i="30"/>
  <c r="I23" i="30"/>
  <c r="J68" i="30"/>
  <c r="B36" i="30"/>
  <c r="F64" i="30"/>
  <c r="J38" i="30"/>
  <c r="I29" i="30"/>
  <c r="C15" i="30"/>
  <c r="C35" i="30"/>
  <c r="B54" i="30"/>
  <c r="J72" i="30"/>
  <c r="D52" i="30"/>
  <c r="D22" i="30"/>
  <c r="D46" i="30"/>
  <c r="I25" i="30"/>
  <c r="J44" i="30"/>
  <c r="I63" i="30"/>
  <c r="D26" i="30"/>
  <c r="C31" i="30"/>
  <c r="B72" i="30"/>
  <c r="G19" i="30"/>
  <c r="H38" i="30"/>
  <c r="G57" i="30"/>
  <c r="F76" i="30"/>
  <c r="D15" i="30"/>
  <c r="I11" i="30"/>
  <c r="D40" i="30"/>
  <c r="G61" i="30"/>
  <c r="J19" i="30"/>
  <c r="G62" i="30"/>
  <c r="G16" i="30"/>
  <c r="J37" i="30"/>
  <c r="C52" i="30"/>
  <c r="F73" i="30"/>
  <c r="F35" i="30"/>
  <c r="J63" i="30"/>
  <c r="J48" i="30"/>
  <c r="I73" i="30"/>
  <c r="I77" i="30"/>
  <c r="F68" i="30"/>
  <c r="E27" i="30"/>
  <c r="E14" i="30"/>
  <c r="F21" i="30"/>
  <c r="G28" i="30"/>
  <c r="H35" i="30"/>
  <c r="I42" i="30"/>
  <c r="J49" i="30"/>
  <c r="B57" i="30"/>
  <c r="C64" i="30"/>
  <c r="D71" i="30"/>
  <c r="E78" i="30"/>
  <c r="J10" i="30"/>
  <c r="B18" i="30"/>
  <c r="C25" i="30"/>
  <c r="D32" i="30"/>
  <c r="E39" i="30"/>
  <c r="F46" i="30"/>
  <c r="G53" i="30"/>
  <c r="H60" i="30"/>
  <c r="I67" i="30"/>
  <c r="J74" i="30"/>
  <c r="J11" i="30"/>
  <c r="B19" i="30"/>
  <c r="C26" i="30"/>
  <c r="D33" i="30"/>
  <c r="E40" i="30"/>
  <c r="F47" i="30"/>
  <c r="G54" i="30"/>
  <c r="H61" i="30"/>
  <c r="I68" i="30"/>
  <c r="J75" i="30"/>
  <c r="F16" i="30"/>
  <c r="H15" i="30"/>
  <c r="I22" i="30"/>
  <c r="J29" i="30"/>
  <c r="B37" i="30"/>
  <c r="C44" i="30"/>
  <c r="D51" i="30"/>
  <c r="E58" i="30"/>
  <c r="F65" i="30"/>
  <c r="G72" i="30"/>
  <c r="G9" i="30"/>
  <c r="D13" i="30"/>
  <c r="E20" i="30"/>
  <c r="F27" i="30"/>
  <c r="G34" i="30"/>
  <c r="H41" i="30"/>
  <c r="I48" i="30"/>
  <c r="J55" i="30"/>
  <c r="B63" i="30"/>
  <c r="C70" i="30"/>
  <c r="D77" i="30"/>
  <c r="G27" i="30"/>
  <c r="H46" i="30"/>
  <c r="G65" i="30"/>
  <c r="J30" i="30"/>
  <c r="G73" i="30"/>
  <c r="D38" i="30"/>
  <c r="H66" i="30"/>
  <c r="B46" i="30"/>
  <c r="J36" i="30"/>
  <c r="F18" i="30"/>
  <c r="E37" i="30"/>
  <c r="F56" i="30"/>
  <c r="E75" i="30"/>
  <c r="I61" i="30"/>
  <c r="E29" i="30"/>
  <c r="F60" i="30"/>
  <c r="D28" i="30"/>
  <c r="C47" i="30"/>
  <c r="D66" i="30"/>
  <c r="G35" i="30"/>
  <c r="C43" i="30"/>
  <c r="H22" i="30"/>
  <c r="B22" i="30"/>
  <c r="J40" i="30"/>
  <c r="B60" i="30"/>
  <c r="J78" i="30"/>
  <c r="D14" i="30"/>
  <c r="F55" i="30"/>
  <c r="C14" i="30"/>
  <c r="B30" i="30"/>
  <c r="H50" i="30"/>
  <c r="H30" i="30"/>
  <c r="D62" i="30"/>
  <c r="F29" i="30"/>
  <c r="G36" i="30"/>
  <c r="H43" i="30"/>
  <c r="I50" i="30"/>
  <c r="J57" i="30"/>
  <c r="B65" i="30"/>
  <c r="C72" i="30"/>
  <c r="E9" i="30"/>
  <c r="B26" i="30"/>
  <c r="E47" i="30"/>
  <c r="I75" i="30"/>
  <c r="C34" i="30"/>
  <c r="F9" i="30"/>
  <c r="E66" i="30"/>
  <c r="I56" i="30"/>
  <c r="B44" i="30"/>
  <c r="J54" i="30"/>
  <c r="B9" i="30"/>
  <c r="C16" i="30"/>
  <c r="D23" i="30"/>
  <c r="E30" i="30"/>
  <c r="F37" i="30"/>
  <c r="G44" i="30"/>
  <c r="H51" i="30"/>
  <c r="I58" i="30"/>
  <c r="J65" i="30"/>
  <c r="B73" i="30"/>
  <c r="B12" i="30"/>
  <c r="H12" i="30"/>
  <c r="I19" i="30"/>
  <c r="J26" i="30"/>
  <c r="B34" i="30"/>
  <c r="C41" i="30"/>
  <c r="D48" i="30"/>
  <c r="E55" i="30"/>
  <c r="F62" i="30"/>
  <c r="G69" i="30"/>
  <c r="H76" i="30"/>
  <c r="H13" i="30"/>
  <c r="I20" i="30"/>
  <c r="J27" i="30"/>
  <c r="B35" i="30"/>
  <c r="C42" i="30"/>
  <c r="D49" i="30"/>
  <c r="E56" i="30"/>
  <c r="F63" i="30"/>
  <c r="G70" i="30"/>
  <c r="H77" i="30"/>
  <c r="E10" i="30"/>
  <c r="F17" i="30"/>
  <c r="G24" i="30"/>
  <c r="H31" i="30"/>
  <c r="I38" i="30"/>
  <c r="J45" i="30"/>
  <c r="B53" i="30"/>
  <c r="C60" i="30"/>
  <c r="D67" i="30"/>
  <c r="E74" i="30"/>
  <c r="E11" i="30"/>
  <c r="B15" i="30"/>
  <c r="C22" i="30"/>
  <c r="D29" i="30"/>
  <c r="E36" i="30"/>
  <c r="F43" i="30"/>
  <c r="G50" i="30"/>
  <c r="H57" i="30"/>
  <c r="I64" i="30"/>
  <c r="J71" i="30"/>
  <c r="I9" i="30"/>
  <c r="F32" i="30"/>
  <c r="E51" i="30"/>
  <c r="D70" i="30"/>
  <c r="C45" i="30"/>
  <c r="C13" i="30"/>
  <c r="I47" i="30"/>
  <c r="D76" i="30"/>
  <c r="D60" i="30"/>
  <c r="C51" i="30"/>
  <c r="C23" i="30"/>
  <c r="D42" i="30"/>
  <c r="C61" i="30"/>
  <c r="C19" i="30"/>
  <c r="H16" i="30"/>
  <c r="G43" i="30"/>
  <c r="G11" i="30"/>
  <c r="J32" i="30"/>
  <c r="B52" i="30"/>
  <c r="J70" i="30"/>
  <c r="G47" i="30"/>
  <c r="C69" i="30"/>
  <c r="G41" i="30"/>
  <c r="H26" i="30"/>
  <c r="I45" i="30"/>
  <c r="H64" i="30"/>
  <c r="F36" i="30"/>
  <c r="C39" i="30"/>
  <c r="H69" i="30"/>
  <c r="E28" i="30"/>
  <c r="D78" i="30"/>
  <c r="D34" i="30"/>
  <c r="F24" i="30"/>
  <c r="J9" i="30"/>
  <c r="B17" i="30"/>
  <c r="C24" i="30"/>
  <c r="D31" i="30"/>
  <c r="E38" i="30"/>
  <c r="F45" i="30"/>
  <c r="G52" i="30"/>
  <c r="H59" i="30"/>
  <c r="I66" i="30"/>
  <c r="J73" i="30"/>
  <c r="I13" i="30"/>
  <c r="G13" i="30"/>
  <c r="H20" i="30"/>
  <c r="I27" i="30"/>
  <c r="J34" i="30"/>
  <c r="B42" i="30"/>
  <c r="C49" i="30"/>
  <c r="D56" i="30"/>
  <c r="E63" i="30"/>
  <c r="F70" i="30"/>
  <c r="G77" i="30"/>
  <c r="G14" i="30"/>
  <c r="H21" i="30"/>
  <c r="I28" i="30"/>
  <c r="J35" i="30"/>
  <c r="B43" i="30"/>
  <c r="C50" i="30"/>
  <c r="D57" i="30"/>
  <c r="E64" i="30"/>
  <c r="F71" i="30"/>
  <c r="G78" i="30"/>
  <c r="D11" i="30"/>
  <c r="E18" i="30"/>
  <c r="F25" i="30"/>
  <c r="G32" i="30"/>
  <c r="H39" i="30"/>
  <c r="I46" i="30"/>
  <c r="J53" i="30"/>
  <c r="B61" i="30"/>
  <c r="C68" i="30"/>
  <c r="D75" i="30"/>
  <c r="D12" i="30"/>
  <c r="J15" i="30"/>
  <c r="B23" i="30"/>
  <c r="C30" i="30"/>
  <c r="D37" i="30"/>
  <c r="E44" i="30"/>
  <c r="F51" i="30"/>
  <c r="G58" i="30"/>
  <c r="H65" i="30"/>
  <c r="I72" i="30"/>
  <c r="J14" i="30"/>
  <c r="H34" i="30"/>
  <c r="I53" i="30"/>
  <c r="H72" i="30"/>
  <c r="I49" i="30"/>
  <c r="I21" i="30"/>
  <c r="D50" i="30"/>
  <c r="H78" i="30"/>
  <c r="J64" i="30"/>
  <c r="I55" i="30"/>
  <c r="G25" i="30"/>
  <c r="F44" i="30"/>
  <c r="G63" i="30"/>
  <c r="E21" i="30"/>
  <c r="G33" i="30"/>
  <c r="G55" i="30"/>
  <c r="I15" i="30"/>
  <c r="E35" i="30"/>
  <c r="D54" i="30"/>
  <c r="E73" i="30"/>
  <c r="J56" i="30"/>
  <c r="B20" i="30"/>
  <c r="D58" i="30"/>
  <c r="C29" i="30"/>
  <c r="B48" i="30"/>
  <c r="C67" i="30"/>
  <c r="F48" i="30"/>
  <c r="H48" i="30"/>
  <c r="E22" i="30"/>
  <c r="J18" i="30"/>
  <c r="C33" i="30"/>
  <c r="F54" i="30"/>
  <c r="H68" i="30"/>
  <c r="B27" i="30"/>
  <c r="E48" i="30"/>
  <c r="I76" i="30"/>
  <c r="I30" i="30"/>
  <c r="D59" i="30"/>
  <c r="F10" i="30"/>
  <c r="H49" i="30"/>
  <c r="C78" i="30"/>
  <c r="B38" i="30"/>
  <c r="J20" i="30"/>
  <c r="G49" i="30"/>
  <c r="B14" i="30"/>
  <c r="I10" i="30"/>
  <c r="J17" i="30"/>
  <c r="B25" i="30"/>
  <c r="C32" i="30"/>
  <c r="D39" i="30"/>
  <c r="E46" i="30"/>
  <c r="F53" i="30"/>
  <c r="G60" i="30"/>
  <c r="H67" i="30"/>
  <c r="I74" i="30"/>
  <c r="G15" i="30"/>
  <c r="F14" i="30"/>
  <c r="G21" i="30"/>
  <c r="H28" i="30"/>
  <c r="I35" i="30"/>
  <c r="J42" i="30"/>
  <c r="B50" i="30"/>
  <c r="C57" i="30"/>
  <c r="D64" i="30"/>
  <c r="E71" i="30"/>
  <c r="F78" i="30"/>
  <c r="F15" i="30"/>
  <c r="G22" i="30"/>
  <c r="H29" i="30"/>
  <c r="I36" i="30"/>
  <c r="J43" i="30"/>
  <c r="B51" i="30"/>
  <c r="C58" i="30"/>
  <c r="D65" i="30"/>
  <c r="E72" i="30"/>
  <c r="D10" i="30"/>
  <c r="C12" i="30"/>
  <c r="D19" i="30"/>
  <c r="E26" i="30"/>
  <c r="F33" i="30"/>
  <c r="G40" i="30"/>
  <c r="H47" i="30"/>
  <c r="I54" i="30"/>
  <c r="J61" i="30"/>
  <c r="B69" i="30"/>
  <c r="C76" i="30"/>
  <c r="H9" i="30"/>
  <c r="I16" i="30"/>
  <c r="J23" i="30"/>
  <c r="B31" i="30"/>
  <c r="C38" i="30"/>
  <c r="D45" i="30"/>
  <c r="E52" i="30"/>
  <c r="F59" i="30"/>
  <c r="G66" i="30"/>
  <c r="H73" i="30"/>
  <c r="D18" i="30"/>
  <c r="C37" i="30"/>
  <c r="B56" i="30"/>
  <c r="C75" i="30"/>
  <c r="H54" i="30"/>
  <c r="B24" i="30"/>
  <c r="F52" i="30"/>
  <c r="G17" i="30"/>
  <c r="F74" i="30"/>
  <c r="E65" i="30"/>
  <c r="B28" i="30"/>
  <c r="J46" i="30"/>
  <c r="I65" i="30"/>
  <c r="F28" i="30"/>
  <c r="E45" i="30"/>
  <c r="E67" i="30"/>
  <c r="H18" i="30"/>
  <c r="I37" i="30"/>
  <c r="H56" i="30"/>
  <c r="G75" i="30"/>
  <c r="F66" i="30"/>
  <c r="C27" i="30"/>
  <c r="F72" i="30"/>
  <c r="G31" i="30"/>
  <c r="F50" i="30"/>
  <c r="E69" i="30"/>
  <c r="I57" i="30"/>
  <c r="E53" i="30"/>
  <c r="D74" i="30"/>
  <c r="H74" i="30"/>
  <c r="I12" i="30"/>
  <c r="B45" i="30"/>
  <c r="G42" i="30"/>
  <c r="B68" i="30"/>
  <c r="I39" i="30"/>
  <c r="C77" i="30"/>
  <c r="B32" i="30"/>
  <c r="H11" i="30"/>
  <c r="I18" i="30"/>
  <c r="J25" i="30"/>
  <c r="B33" i="30"/>
  <c r="C40" i="30"/>
  <c r="D47" i="30"/>
  <c r="E54" i="30"/>
  <c r="F61" i="30"/>
  <c r="G68" i="30"/>
  <c r="H75" i="30"/>
  <c r="E17" i="30"/>
  <c r="E15" i="30"/>
  <c r="F22" i="30"/>
  <c r="G29" i="30"/>
  <c r="H36" i="30"/>
  <c r="I43" i="30"/>
  <c r="J50" i="30"/>
  <c r="B58" i="30"/>
  <c r="C65" i="30"/>
  <c r="D72" i="30"/>
  <c r="D9" i="30"/>
  <c r="E16" i="30"/>
  <c r="F23" i="30"/>
  <c r="G30" i="30"/>
  <c r="H37" i="30"/>
  <c r="I44" i="30"/>
  <c r="J51" i="30"/>
  <c r="B59" i="30"/>
  <c r="C66" i="30"/>
  <c r="D73" i="30"/>
  <c r="C11" i="30"/>
  <c r="B13" i="30"/>
  <c r="C20" i="30"/>
  <c r="D27" i="30"/>
  <c r="E34" i="30"/>
  <c r="F41" i="30"/>
  <c r="G48" i="30"/>
  <c r="H55" i="30"/>
  <c r="I62" i="30"/>
  <c r="J69" i="30"/>
  <c r="B77" i="30"/>
  <c r="G10" i="30"/>
  <c r="H17" i="30"/>
  <c r="I24" i="30"/>
  <c r="J31" i="30"/>
  <c r="B39" i="30"/>
  <c r="C46" i="30"/>
  <c r="D53" i="30"/>
  <c r="E60" i="30"/>
  <c r="F67" i="30"/>
  <c r="G74" i="30"/>
  <c r="F20" i="30"/>
  <c r="G39" i="30"/>
  <c r="F58" i="30"/>
  <c r="E77" i="30"/>
  <c r="E59" i="30"/>
  <c r="F26" i="30"/>
  <c r="G59" i="30"/>
  <c r="H24" i="30"/>
  <c r="I17" i="30"/>
  <c r="B70" i="30"/>
  <c r="D30" i="30"/>
  <c r="E49" i="30"/>
  <c r="D68" i="30"/>
  <c r="E33" i="30"/>
  <c r="E57" i="30"/>
  <c r="D20" i="30"/>
  <c r="C21" i="30"/>
  <c r="B40" i="30"/>
  <c r="C59" i="30"/>
  <c r="B78" i="30"/>
  <c r="B76" i="30"/>
  <c r="E41" i="30"/>
  <c r="E13" i="30"/>
  <c r="I33" i="30"/>
  <c r="J52" i="30"/>
  <c r="I71" i="30"/>
  <c r="H62" i="30"/>
  <c r="J62" i="30"/>
  <c r="I69" i="30"/>
  <c r="J76" i="30"/>
  <c r="H23" i="30"/>
  <c r="B71" i="30"/>
  <c r="H58" i="30"/>
  <c r="H42" i="30"/>
  <c r="G32" i="20"/>
  <c r="K31" i="20"/>
  <c r="L29" i="20"/>
  <c r="O26" i="20"/>
  <c r="L27" i="20"/>
  <c r="L26" i="20"/>
  <c r="S27" i="20"/>
  <c r="H32" i="20"/>
  <c r="G33" i="20"/>
  <c r="L31" i="20"/>
  <c r="P26" i="20"/>
  <c r="T27" i="20"/>
  <c r="S28" i="20"/>
  <c r="H33" i="20"/>
  <c r="G34" i="20"/>
  <c r="T28" i="20"/>
  <c r="S29" i="20"/>
  <c r="H34" i="20"/>
  <c r="G35" i="20"/>
  <c r="T29" i="20"/>
  <c r="S30" i="20"/>
  <c r="G36" i="20"/>
  <c r="S31" i="20"/>
  <c r="G37" i="20"/>
  <c r="H36" i="20"/>
  <c r="S32" i="20"/>
  <c r="T31" i="20"/>
  <c r="G38" i="20"/>
  <c r="H37" i="20"/>
  <c r="T32" i="20"/>
  <c r="S33" i="20"/>
  <c r="H38" i="20"/>
  <c r="G39" i="20"/>
  <c r="T33" i="20"/>
  <c r="S34" i="20"/>
  <c r="H39" i="20"/>
  <c r="T34" i="20"/>
  <c r="S35" i="20"/>
  <c r="T35" i="20"/>
  <c r="S36" i="20"/>
  <c r="T36" i="20"/>
  <c r="S37" i="20"/>
  <c r="S38" i="20"/>
  <c r="T37" i="20"/>
  <c r="S39" i="20"/>
  <c r="T38" i="20"/>
  <c r="T39" i="20"/>
  <c r="S40" i="20"/>
  <c r="T40" i="20"/>
  <c r="S41" i="20"/>
  <c r="S42" i="20"/>
  <c r="T41" i="20"/>
  <c r="S43" i="20"/>
  <c r="T42" i="20"/>
  <c r="S44" i="20"/>
  <c r="T43" i="20"/>
  <c r="T44" i="20"/>
  <c r="S45" i="20"/>
  <c r="T45" i="20"/>
  <c r="S46" i="20"/>
  <c r="S47" i="20"/>
  <c r="T46" i="20"/>
  <c r="S48" i="20"/>
  <c r="T47" i="20"/>
  <c r="T48" i="20"/>
  <c r="S49" i="20"/>
  <c r="S50" i="20"/>
  <c r="T49" i="20"/>
  <c r="T50" i="20"/>
  <c r="S51" i="20"/>
  <c r="T51" i="20"/>
  <c r="S52" i="20"/>
  <c r="T52" i="20"/>
  <c r="S53" i="20"/>
  <c r="S54" i="20"/>
  <c r="T53" i="20"/>
  <c r="T54" i="20"/>
  <c r="S55" i="20"/>
  <c r="S56" i="20"/>
  <c r="T55" i="20"/>
  <c r="S57" i="20"/>
  <c r="T56" i="20"/>
  <c r="T57" i="20"/>
  <c r="S58" i="20"/>
  <c r="T58" i="20"/>
  <c r="S59" i="20"/>
  <c r="S60" i="20"/>
  <c r="T59" i="20"/>
  <c r="T60" i="20"/>
  <c r="S61" i="20"/>
  <c r="T61" i="20"/>
  <c r="S62" i="20"/>
  <c r="S63" i="20"/>
  <c r="T62" i="20"/>
  <c r="T63" i="20"/>
  <c r="S64" i="20"/>
  <c r="T64" i="20"/>
  <c r="S65" i="20"/>
  <c r="T65" i="20"/>
  <c r="S66" i="20"/>
  <c r="T66" i="20"/>
  <c r="S67" i="20"/>
  <c r="T67" i="20"/>
  <c r="S68" i="20"/>
  <c r="S69" i="20"/>
  <c r="T68" i="20"/>
  <c r="S70" i="20"/>
  <c r="T69" i="20"/>
  <c r="S71" i="20"/>
  <c r="T70" i="20"/>
  <c r="T71" i="20"/>
  <c r="S72" i="20"/>
  <c r="S73" i="20"/>
  <c r="T72" i="20"/>
  <c r="S74" i="20"/>
  <c r="T73" i="20"/>
  <c r="T74" i="20"/>
  <c r="S75" i="20"/>
  <c r="S76" i="20"/>
  <c r="T75" i="20"/>
  <c r="T76" i="20"/>
  <c r="S77" i="20"/>
  <c r="S78" i="20"/>
  <c r="T77" i="20"/>
  <c r="T78" i="20"/>
  <c r="S79" i="20"/>
  <c r="S80" i="20"/>
  <c r="T79" i="20"/>
  <c r="S81" i="20"/>
  <c r="T80" i="20"/>
  <c r="T81" i="20"/>
  <c r="S82" i="20"/>
  <c r="T82" i="20"/>
  <c r="S83" i="20"/>
  <c r="S84" i="20"/>
  <c r="T83" i="20"/>
  <c r="T84" i="20"/>
  <c r="S85" i="20"/>
  <c r="T85" i="20"/>
  <c r="S86" i="20"/>
  <c r="T86" i="20"/>
  <c r="S87" i="20"/>
  <c r="T87" i="20"/>
  <c r="S88" i="20"/>
  <c r="T88" i="20"/>
  <c r="S89" i="20"/>
  <c r="S90" i="20"/>
  <c r="T89" i="20"/>
  <c r="T90" i="20"/>
  <c r="S91" i="20"/>
  <c r="S92" i="20"/>
  <c r="T91" i="20"/>
  <c r="T92" i="20"/>
  <c r="S93" i="20"/>
  <c r="T93" i="20"/>
  <c r="S94" i="20"/>
  <c r="S95" i="20"/>
  <c r="T94" i="20"/>
  <c r="T95" i="20"/>
  <c r="S96" i="20"/>
  <c r="T96" i="20"/>
  <c r="S97" i="20"/>
  <c r="S98" i="20"/>
  <c r="T97" i="20"/>
  <c r="T98" i="20"/>
  <c r="S99" i="20"/>
  <c r="T99" i="20"/>
  <c r="S100" i="20"/>
  <c r="T100" i="20"/>
  <c r="S101" i="20"/>
  <c r="T101" i="20"/>
  <c r="S102" i="20"/>
  <c r="S103" i="20"/>
  <c r="T102" i="20"/>
  <c r="T103" i="20"/>
  <c r="S104" i="20"/>
  <c r="S105" i="20"/>
  <c r="T104" i="20"/>
  <c r="T105" i="20"/>
  <c r="S106" i="20"/>
  <c r="S107" i="20"/>
  <c r="T106" i="20"/>
  <c r="S108" i="20"/>
  <c r="T107" i="20"/>
  <c r="T108" i="20"/>
  <c r="S109" i="20"/>
  <c r="S110" i="20"/>
  <c r="T109" i="20"/>
  <c r="S111" i="20"/>
  <c r="T110" i="20"/>
  <c r="T111" i="20"/>
  <c r="S112" i="20"/>
  <c r="T112" i="20"/>
  <c r="S113" i="20"/>
  <c r="T113" i="20"/>
  <c r="S114" i="20"/>
  <c r="T114" i="20"/>
  <c r="S115" i="20"/>
  <c r="T115" i="20"/>
  <c r="S116" i="20"/>
  <c r="S117" i="20"/>
  <c r="T116" i="20"/>
  <c r="T117" i="20"/>
  <c r="S118" i="20"/>
  <c r="S119" i="20"/>
  <c r="T118" i="20"/>
  <c r="S120" i="20"/>
  <c r="T119" i="20"/>
  <c r="T120" i="20"/>
  <c r="S121" i="20"/>
  <c r="S122" i="20"/>
  <c r="T121" i="20"/>
  <c r="S123" i="20"/>
  <c r="T122" i="20"/>
  <c r="T123" i="20"/>
  <c r="S124" i="20"/>
  <c r="T124" i="20"/>
  <c r="S125" i="20"/>
  <c r="S126" i="20"/>
  <c r="T125" i="20"/>
  <c r="T126" i="20"/>
  <c r="S127" i="20"/>
  <c r="S128" i="20"/>
  <c r="T127" i="20"/>
  <c r="S129" i="20"/>
  <c r="T128" i="20"/>
  <c r="T129" i="20"/>
  <c r="S130" i="20"/>
  <c r="T130" i="20"/>
  <c r="S131" i="20"/>
  <c r="S132" i="20"/>
  <c r="T131" i="20"/>
  <c r="S133" i="20"/>
  <c r="T132" i="20"/>
  <c r="S134" i="20"/>
  <c r="T133" i="20"/>
  <c r="T134" i="20"/>
  <c r="S135" i="20"/>
  <c r="S136" i="20"/>
  <c r="T135" i="20"/>
  <c r="S137" i="20"/>
  <c r="T136" i="20"/>
  <c r="T137" i="20"/>
  <c r="S138" i="20"/>
  <c r="T138" i="20"/>
  <c r="S139" i="20"/>
  <c r="S140" i="20"/>
  <c r="T139" i="20"/>
  <c r="S141" i="20"/>
  <c r="T140" i="20"/>
  <c r="T141" i="20"/>
  <c r="S142" i="20"/>
  <c r="S143" i="20"/>
  <c r="T142" i="20"/>
  <c r="S144" i="20"/>
  <c r="T143" i="20"/>
  <c r="T144" i="20"/>
  <c r="S145" i="20"/>
  <c r="S146" i="20"/>
  <c r="T145" i="20"/>
  <c r="S147" i="20"/>
  <c r="T146" i="20"/>
  <c r="T147" i="20"/>
  <c r="S148" i="20"/>
  <c r="T148" i="20"/>
  <c r="S149" i="20"/>
  <c r="T149" i="20"/>
  <c r="S150" i="20"/>
  <c r="S151" i="20"/>
  <c r="T150" i="20"/>
  <c r="S152" i="20"/>
  <c r="T151" i="20"/>
  <c r="T152" i="20"/>
  <c r="S153" i="20"/>
  <c r="T153" i="20"/>
  <c r="S154" i="20"/>
  <c r="T154" i="20"/>
  <c r="S155" i="20"/>
  <c r="T155" i="20"/>
  <c r="S156" i="20"/>
  <c r="T156" i="20"/>
  <c r="S157" i="20"/>
  <c r="S158" i="20"/>
  <c r="T157" i="20"/>
  <c r="S159" i="20"/>
  <c r="T158" i="20"/>
  <c r="T159" i="20"/>
  <c r="S160" i="20"/>
  <c r="S161" i="20"/>
  <c r="T160" i="20"/>
  <c r="T161" i="20"/>
  <c r="S162" i="20"/>
  <c r="T162" i="20"/>
  <c r="S163" i="20"/>
  <c r="T163" i="20"/>
  <c r="S164" i="20"/>
  <c r="T164" i="20"/>
  <c r="S165" i="20"/>
  <c r="T165" i="20"/>
  <c r="S166" i="20"/>
  <c r="S167" i="20"/>
  <c r="T166" i="20"/>
  <c r="S168" i="20"/>
  <c r="T167" i="20"/>
  <c r="S169" i="20"/>
  <c r="T168" i="20"/>
  <c r="S170" i="20"/>
  <c r="T169" i="20"/>
  <c r="T170" i="20"/>
  <c r="S171" i="20"/>
  <c r="S172" i="20"/>
  <c r="T171" i="20"/>
  <c r="S173" i="20"/>
  <c r="T172" i="20"/>
  <c r="T173" i="20"/>
  <c r="S174" i="20"/>
  <c r="S175" i="20"/>
  <c r="T174" i="20"/>
  <c r="S176" i="20"/>
  <c r="T175" i="20"/>
  <c r="T176" i="20"/>
  <c r="S177" i="20"/>
  <c r="T177" i="20"/>
  <c r="S178" i="20"/>
  <c r="T178" i="20"/>
  <c r="S179" i="20"/>
  <c r="T179" i="20"/>
  <c r="S180" i="20"/>
  <c r="S181" i="20"/>
  <c r="T180" i="20"/>
  <c r="S182" i="20"/>
  <c r="T181" i="20"/>
  <c r="T182" i="20"/>
  <c r="S183" i="20"/>
  <c r="T183" i="20"/>
  <c r="S184" i="20"/>
  <c r="T184" i="20"/>
  <c r="S185" i="20"/>
  <c r="S186" i="20"/>
  <c r="T185" i="20"/>
  <c r="T186" i="20"/>
  <c r="S187" i="20"/>
  <c r="S188" i="20"/>
  <c r="T187" i="20"/>
  <c r="T188" i="20"/>
  <c r="S189" i="20"/>
  <c r="S190" i="20"/>
  <c r="T189" i="20"/>
  <c r="T190" i="20"/>
  <c r="S191" i="20"/>
  <c r="T191" i="20"/>
  <c r="S192" i="20"/>
  <c r="S193" i="20"/>
  <c r="T192" i="20"/>
  <c r="S194" i="20"/>
  <c r="T193" i="20"/>
  <c r="S195" i="20"/>
  <c r="T194" i="20"/>
  <c r="T195" i="20"/>
  <c r="S196" i="20"/>
  <c r="S197" i="20"/>
  <c r="T196" i="20"/>
  <c r="S198" i="20"/>
  <c r="T197" i="20"/>
  <c r="T198" i="20"/>
  <c r="S199" i="20"/>
  <c r="T199" i="20"/>
  <c r="S200" i="20"/>
  <c r="T200" i="20"/>
  <c r="S201" i="20"/>
  <c r="S202" i="20"/>
  <c r="T201" i="20"/>
  <c r="S203" i="20"/>
  <c r="T202" i="20"/>
  <c r="T203" i="20"/>
  <c r="S204" i="20"/>
  <c r="T204" i="20"/>
  <c r="S205" i="20"/>
  <c r="S206" i="20"/>
  <c r="T205" i="20"/>
  <c r="S207" i="20"/>
  <c r="T206" i="20"/>
  <c r="S208" i="20"/>
  <c r="T207" i="20"/>
  <c r="T208" i="20"/>
  <c r="S209" i="20"/>
  <c r="S210" i="20"/>
  <c r="T209" i="20"/>
  <c r="T210" i="20"/>
  <c r="S211" i="20"/>
  <c r="S212" i="20"/>
  <c r="T211" i="20"/>
  <c r="T212" i="20"/>
  <c r="S213" i="20"/>
  <c r="S214" i="20"/>
  <c r="T213" i="20"/>
  <c r="S215" i="20"/>
  <c r="T214" i="20"/>
  <c r="S216" i="20"/>
  <c r="T215" i="20"/>
  <c r="S217" i="20"/>
  <c r="T216" i="20"/>
  <c r="T217" i="20"/>
  <c r="S218" i="20"/>
  <c r="S219" i="20"/>
  <c r="T218" i="20"/>
  <c r="T219" i="20"/>
  <c r="S220" i="20"/>
  <c r="S221" i="20"/>
  <c r="T220" i="20"/>
  <c r="S222" i="20"/>
  <c r="T221" i="20"/>
  <c r="S223" i="20"/>
  <c r="T222" i="20"/>
  <c r="T223" i="20"/>
  <c r="S224" i="20"/>
  <c r="T224" i="20"/>
  <c r="S225" i="20"/>
  <c r="T225" i="20"/>
  <c r="S226" i="20"/>
  <c r="S227" i="20"/>
  <c r="T226" i="20"/>
  <c r="T227" i="20"/>
  <c r="S228" i="20"/>
  <c r="S229" i="20"/>
  <c r="T228" i="20"/>
  <c r="S230" i="20"/>
  <c r="T229" i="20"/>
  <c r="T230" i="20"/>
  <c r="S231" i="20"/>
  <c r="T231" i="20"/>
  <c r="S232" i="20"/>
  <c r="S233" i="20"/>
  <c r="T232" i="20"/>
  <c r="T233" i="20"/>
  <c r="S234" i="20"/>
  <c r="T234" i="20"/>
  <c r="S235" i="20"/>
  <c r="S236" i="20"/>
  <c r="T235" i="20"/>
  <c r="S237" i="20"/>
  <c r="T236" i="20"/>
  <c r="T237" i="20"/>
  <c r="S238" i="20"/>
  <c r="T238" i="20"/>
  <c r="S239" i="20"/>
  <c r="T239" i="20"/>
  <c r="S240" i="20"/>
  <c r="T240" i="20"/>
  <c r="S241" i="20"/>
  <c r="S242" i="20"/>
  <c r="T241" i="20"/>
  <c r="T242" i="20"/>
  <c r="S243" i="20"/>
  <c r="T243" i="20"/>
  <c r="S244" i="20"/>
  <c r="S245" i="20"/>
  <c r="T244" i="20"/>
  <c r="S246" i="20"/>
  <c r="T245" i="20"/>
  <c r="T246" i="20"/>
  <c r="S247" i="20"/>
  <c r="S248" i="20"/>
  <c r="T247" i="20"/>
  <c r="S249" i="20"/>
  <c r="T248" i="20"/>
  <c r="T249" i="20"/>
  <c r="S250" i="20"/>
  <c r="S251" i="20"/>
  <c r="T250" i="20"/>
  <c r="T251" i="20"/>
  <c r="S252" i="20"/>
  <c r="T252" i="20"/>
  <c r="S253" i="20"/>
  <c r="T253" i="20"/>
  <c r="S254" i="20"/>
  <c r="T254" i="20"/>
  <c r="S255" i="20"/>
  <c r="T255" i="20"/>
  <c r="S256" i="20"/>
  <c r="T256" i="20"/>
  <c r="S257" i="20"/>
  <c r="S258" i="20"/>
  <c r="T257" i="20"/>
  <c r="S259" i="20"/>
  <c r="T258" i="20"/>
  <c r="S260" i="20"/>
  <c r="T259" i="20"/>
  <c r="T260" i="20"/>
  <c r="S261" i="20"/>
  <c r="T261" i="20"/>
  <c r="S262" i="20"/>
  <c r="T262" i="20"/>
  <c r="S263" i="20"/>
  <c r="S264" i="20"/>
  <c r="T263" i="20"/>
  <c r="T264" i="20"/>
  <c r="S265" i="20"/>
  <c r="T265" i="20"/>
  <c r="S266" i="20"/>
  <c r="S267" i="20"/>
  <c r="T266" i="20"/>
  <c r="T267" i="20"/>
  <c r="S268" i="20"/>
  <c r="T268" i="20"/>
  <c r="S269" i="20"/>
  <c r="T269" i="20"/>
  <c r="S270" i="20"/>
  <c r="S271" i="20"/>
  <c r="T270" i="20"/>
  <c r="T271" i="20"/>
  <c r="S272" i="20"/>
  <c r="S273" i="20"/>
  <c r="T272" i="20"/>
  <c r="S274" i="20"/>
  <c r="T273" i="20"/>
  <c r="S275" i="20"/>
  <c r="T274" i="20"/>
  <c r="S276" i="20"/>
  <c r="T275" i="20"/>
  <c r="S277" i="20"/>
  <c r="T276" i="20"/>
  <c r="S278" i="20"/>
  <c r="T277" i="20"/>
  <c r="S279" i="20"/>
  <c r="T278" i="20"/>
  <c r="T279" i="20"/>
  <c r="S280" i="20"/>
  <c r="T280" i="20"/>
  <c r="S281" i="20"/>
  <c r="S282" i="20"/>
  <c r="T281" i="20"/>
  <c r="T282" i="20"/>
  <c r="S283" i="20"/>
  <c r="S284" i="20"/>
  <c r="T283" i="20"/>
  <c r="S285" i="20"/>
  <c r="T284" i="20"/>
  <c r="S286" i="20"/>
  <c r="T285" i="20"/>
  <c r="T286" i="20"/>
  <c r="S287" i="20"/>
  <c r="T287" i="20"/>
  <c r="S288" i="20"/>
  <c r="T288" i="20"/>
  <c r="S289" i="20"/>
  <c r="S290" i="20"/>
  <c r="T289" i="20"/>
  <c r="T290" i="20"/>
  <c r="S291" i="20"/>
  <c r="T291" i="20"/>
  <c r="S292" i="20"/>
  <c r="S293" i="20"/>
  <c r="T292" i="20"/>
  <c r="T293" i="20"/>
  <c r="S294" i="20"/>
  <c r="T294" i="20"/>
  <c r="S295" i="20"/>
  <c r="T295" i="20"/>
  <c r="S296" i="20"/>
  <c r="T296" i="20"/>
  <c r="S297" i="20"/>
  <c r="T297" i="20"/>
  <c r="S298" i="20"/>
  <c r="S299" i="20"/>
  <c r="T298" i="20"/>
  <c r="S300" i="20"/>
  <c r="T299" i="20"/>
  <c r="S301" i="20"/>
  <c r="T300" i="20"/>
  <c r="T301" i="20"/>
  <c r="S302" i="20"/>
  <c r="S303" i="20"/>
  <c r="T302" i="20"/>
  <c r="S304" i="20"/>
  <c r="T303" i="20"/>
  <c r="S305" i="20"/>
  <c r="T304" i="20"/>
  <c r="S306" i="20"/>
  <c r="T305" i="20"/>
  <c r="T306" i="20"/>
  <c r="S307" i="20"/>
  <c r="S308" i="20"/>
  <c r="T307" i="20"/>
  <c r="T308" i="20"/>
  <c r="S309" i="20"/>
  <c r="S310" i="20"/>
  <c r="T309" i="20"/>
  <c r="S311" i="20"/>
  <c r="T310" i="20"/>
  <c r="T311" i="20"/>
  <c r="S312" i="20"/>
  <c r="T312" i="20"/>
  <c r="S313" i="20"/>
  <c r="S314" i="20"/>
  <c r="T313" i="20"/>
  <c r="T314" i="20"/>
  <c r="S315" i="20"/>
  <c r="S316" i="20"/>
  <c r="T315" i="20"/>
  <c r="S317" i="20"/>
  <c r="T316" i="20"/>
  <c r="S318" i="20"/>
  <c r="T317" i="20"/>
  <c r="T318" i="20"/>
  <c r="S319" i="20"/>
  <c r="T319" i="20"/>
  <c r="S320" i="20"/>
  <c r="T320" i="20"/>
  <c r="S321" i="20"/>
  <c r="T321" i="20"/>
  <c r="S322" i="20"/>
  <c r="T322" i="20"/>
  <c r="S323" i="20"/>
  <c r="T323" i="20"/>
  <c r="S324" i="20"/>
  <c r="S325" i="20"/>
  <c r="T324" i="20"/>
  <c r="S326" i="20"/>
  <c r="T325" i="20"/>
  <c r="T326" i="20"/>
  <c r="S327" i="20"/>
  <c r="S328" i="20"/>
  <c r="T327" i="20"/>
  <c r="T328" i="20"/>
  <c r="S329" i="20"/>
  <c r="S330" i="20"/>
  <c r="T329" i="20"/>
  <c r="T330" i="20"/>
  <c r="S331" i="20"/>
  <c r="T331" i="20"/>
  <c r="S332" i="20"/>
  <c r="T332" i="20"/>
  <c r="S333" i="20"/>
  <c r="T333" i="20"/>
  <c r="S334" i="20"/>
  <c r="T334" i="20"/>
  <c r="S335" i="20"/>
  <c r="T335" i="20"/>
  <c r="S336" i="20"/>
  <c r="T336" i="20"/>
  <c r="S337" i="20"/>
  <c r="T337" i="20"/>
  <c r="S338" i="20"/>
  <c r="S339" i="20"/>
  <c r="T338" i="20"/>
  <c r="T339" i="20"/>
  <c r="S340" i="20"/>
  <c r="S341" i="20"/>
  <c r="T340" i="20"/>
  <c r="S342" i="20"/>
  <c r="T341" i="20"/>
  <c r="S343" i="20"/>
  <c r="T342" i="20"/>
  <c r="S344" i="20"/>
  <c r="T343" i="20"/>
  <c r="T344" i="20"/>
  <c r="S345" i="20"/>
  <c r="S346" i="20"/>
  <c r="T345" i="20"/>
  <c r="T346" i="20"/>
  <c r="S347" i="20"/>
  <c r="T347" i="20"/>
  <c r="S348" i="20"/>
  <c r="S349" i="20"/>
  <c r="T348" i="20"/>
  <c r="S350" i="20"/>
  <c r="T349" i="20"/>
  <c r="S351" i="20"/>
  <c r="T350" i="20"/>
  <c r="S352" i="20"/>
  <c r="T351" i="20"/>
  <c r="T352" i="20"/>
  <c r="S353" i="20"/>
  <c r="T353" i="20"/>
  <c r="S354" i="20"/>
  <c r="T354" i="20"/>
  <c r="S355" i="20"/>
  <c r="S356" i="20"/>
  <c r="T355" i="20"/>
  <c r="S357" i="20"/>
  <c r="T356" i="20"/>
  <c r="S358" i="20"/>
  <c r="T357" i="20"/>
  <c r="T358" i="20"/>
  <c r="S359" i="20"/>
  <c r="S360" i="20"/>
  <c r="T359" i="20"/>
  <c r="S361" i="20"/>
  <c r="T360" i="20"/>
  <c r="T361" i="20"/>
  <c r="S362" i="20"/>
  <c r="T362" i="20"/>
  <c r="S363" i="20"/>
  <c r="S364" i="20"/>
  <c r="T363" i="20"/>
  <c r="S365" i="20"/>
  <c r="T364" i="20"/>
  <c r="S366" i="20"/>
  <c r="T365" i="20"/>
  <c r="S367" i="20"/>
  <c r="T366" i="20"/>
  <c r="T367" i="20"/>
  <c r="S368" i="20"/>
  <c r="T368" i="20"/>
  <c r="S369" i="20"/>
  <c r="S370" i="20"/>
  <c r="T369" i="20"/>
  <c r="T370" i="20"/>
  <c r="S371" i="20"/>
  <c r="T371" i="20"/>
  <c r="S372" i="20"/>
  <c r="T372" i="20"/>
  <c r="S373" i="20"/>
  <c r="S374" i="20"/>
  <c r="T373" i="20"/>
  <c r="S375" i="20"/>
  <c r="T374" i="20"/>
  <c r="T375" i="20"/>
  <c r="S376" i="20"/>
  <c r="S377" i="20"/>
  <c r="T376" i="20"/>
  <c r="T377" i="20"/>
  <c r="S378" i="20"/>
  <c r="S379" i="20"/>
  <c r="T378" i="20"/>
  <c r="T379" i="20"/>
  <c r="S380" i="20"/>
  <c r="T380" i="20"/>
  <c r="S381" i="20"/>
  <c r="S382" i="20"/>
  <c r="T381" i="20"/>
  <c r="T382" i="20"/>
  <c r="S383" i="20"/>
  <c r="S384" i="20"/>
  <c r="T383" i="20"/>
  <c r="S385" i="20"/>
  <c r="T384" i="20"/>
  <c r="T385" i="20"/>
  <c r="S386" i="20"/>
  <c r="S387" i="20"/>
  <c r="T386" i="20"/>
  <c r="S388" i="20"/>
  <c r="T387" i="20"/>
  <c r="T388" i="20"/>
  <c r="S389" i="20"/>
  <c r="T389" i="20"/>
  <c r="S390" i="20"/>
  <c r="T390" i="20"/>
  <c r="S391" i="20"/>
  <c r="S392" i="20"/>
  <c r="T391" i="20"/>
  <c r="S393" i="20"/>
  <c r="T392" i="20"/>
  <c r="T393" i="20"/>
  <c r="S394" i="20"/>
  <c r="T394" i="20"/>
  <c r="S395" i="20"/>
  <c r="T395" i="20"/>
  <c r="S396" i="20"/>
  <c r="S397" i="20"/>
  <c r="T396" i="20"/>
  <c r="S398" i="20"/>
  <c r="T397" i="20"/>
  <c r="S399" i="20"/>
  <c r="T398" i="20"/>
  <c r="S400" i="20"/>
  <c r="T399" i="20"/>
  <c r="T400" i="20"/>
  <c r="S401" i="20"/>
  <c r="S402" i="20"/>
  <c r="T401" i="20"/>
  <c r="S403" i="20"/>
  <c r="T402" i="20"/>
  <c r="T403" i="20"/>
  <c r="S404" i="20"/>
  <c r="S405" i="20"/>
  <c r="T404" i="20"/>
  <c r="T405" i="20"/>
  <c r="S406" i="20"/>
  <c r="S407" i="20"/>
  <c r="T406" i="20"/>
  <c r="T407" i="20"/>
  <c r="S408" i="20"/>
  <c r="T408" i="20"/>
  <c r="S409" i="20"/>
  <c r="S410" i="20"/>
  <c r="T409" i="20"/>
  <c r="S411" i="20"/>
  <c r="T410" i="20"/>
  <c r="S412" i="20"/>
  <c r="T411" i="20"/>
  <c r="T412" i="20"/>
  <c r="S413" i="20"/>
  <c r="T413" i="20"/>
  <c r="S414" i="20"/>
  <c r="S415" i="20"/>
  <c r="T414" i="20"/>
  <c r="S416" i="20"/>
  <c r="T415" i="20"/>
  <c r="S417" i="20"/>
  <c r="T416" i="20"/>
  <c r="T417" i="20"/>
  <c r="S418" i="20"/>
  <c r="T418" i="20"/>
  <c r="S419" i="20"/>
  <c r="S420" i="20"/>
  <c r="T419" i="20"/>
  <c r="S421" i="20"/>
  <c r="T420" i="20"/>
  <c r="S422" i="20"/>
  <c r="T421" i="20"/>
  <c r="S423" i="20"/>
  <c r="T422" i="20"/>
  <c r="S424" i="20"/>
  <c r="T423" i="20"/>
  <c r="S425" i="20"/>
  <c r="T424" i="20"/>
  <c r="T425" i="20"/>
  <c r="S426" i="20"/>
  <c r="S427" i="20"/>
  <c r="T426" i="20"/>
  <c r="T427" i="20"/>
  <c r="S428" i="20"/>
  <c r="T428" i="20"/>
  <c r="S429" i="20"/>
  <c r="T429" i="20"/>
  <c r="S430" i="20"/>
  <c r="T430" i="20"/>
  <c r="S431" i="20"/>
  <c r="T431" i="20"/>
  <c r="S432" i="20"/>
  <c r="T432" i="20"/>
  <c r="S433" i="20"/>
  <c r="S434" i="20"/>
  <c r="T433" i="20"/>
  <c r="T434" i="20"/>
  <c r="S435" i="20"/>
  <c r="S436" i="20"/>
  <c r="T435" i="20"/>
  <c r="T436" i="20"/>
  <c r="S437" i="20"/>
  <c r="T437" i="20"/>
  <c r="S438" i="20"/>
  <c r="S439" i="20"/>
  <c r="T438" i="20"/>
  <c r="T439" i="20"/>
  <c r="S440" i="20"/>
  <c r="S441" i="20"/>
  <c r="T440" i="20"/>
  <c r="S442" i="20"/>
  <c r="T441" i="20"/>
  <c r="T442" i="20"/>
  <c r="S443" i="20"/>
  <c r="T443" i="20"/>
  <c r="S444" i="20"/>
  <c r="T444" i="20"/>
  <c r="S445" i="20"/>
  <c r="T445" i="20"/>
  <c r="S446" i="20"/>
  <c r="S447" i="20"/>
  <c r="T446" i="20"/>
  <c r="S448" i="20"/>
  <c r="T447" i="20"/>
  <c r="T448" i="20"/>
  <c r="S449" i="20"/>
  <c r="S450" i="20"/>
  <c r="T449" i="20"/>
  <c r="S451" i="20"/>
  <c r="T450" i="20"/>
  <c r="T451" i="20"/>
  <c r="S452" i="20"/>
  <c r="S453" i="20"/>
  <c r="T452" i="20"/>
  <c r="T453" i="20"/>
  <c r="S454" i="20"/>
  <c r="S455" i="20"/>
  <c r="T454" i="20"/>
  <c r="T455" i="20"/>
  <c r="S456" i="20"/>
  <c r="T456" i="20"/>
  <c r="S457" i="20"/>
  <c r="S458" i="20"/>
  <c r="T457" i="20"/>
  <c r="S459" i="20"/>
  <c r="T458" i="20"/>
  <c r="T459" i="20"/>
  <c r="S460" i="20"/>
  <c r="S461" i="20"/>
  <c r="T460" i="20"/>
  <c r="S462" i="20"/>
  <c r="T461" i="20"/>
  <c r="T462" i="20"/>
  <c r="S463" i="20"/>
  <c r="S464" i="20"/>
  <c r="T463" i="20"/>
  <c r="S465" i="20"/>
  <c r="T464" i="20"/>
  <c r="T465" i="20"/>
  <c r="S466" i="20"/>
  <c r="T466" i="20"/>
  <c r="S467" i="20"/>
  <c r="S468" i="20"/>
  <c r="T467" i="20"/>
  <c r="T468" i="20"/>
  <c r="S469" i="20"/>
  <c r="S470" i="20"/>
  <c r="T469" i="20"/>
  <c r="T470" i="20"/>
  <c r="S471" i="20"/>
  <c r="S472" i="20"/>
  <c r="T471" i="20"/>
  <c r="T472" i="20"/>
  <c r="S473" i="20"/>
  <c r="T473" i="20"/>
  <c r="S474" i="20"/>
  <c r="T474" i="20"/>
  <c r="S475" i="20"/>
  <c r="S476" i="20"/>
  <c r="T475" i="20"/>
  <c r="T476" i="20"/>
  <c r="S477" i="20"/>
  <c r="S478" i="20"/>
  <c r="T477" i="20"/>
  <c r="T478" i="20"/>
  <c r="S479" i="20"/>
  <c r="S480" i="20"/>
  <c r="T479" i="20"/>
  <c r="T480" i="20"/>
  <c r="S481" i="20"/>
  <c r="T481" i="20"/>
  <c r="S482" i="20"/>
  <c r="T482" i="20"/>
  <c r="S483" i="20"/>
  <c r="S484" i="20"/>
  <c r="T483" i="20"/>
  <c r="T484" i="20"/>
  <c r="S485" i="20"/>
  <c r="T485" i="20"/>
  <c r="S486" i="20"/>
  <c r="T486" i="20"/>
  <c r="S487" i="20"/>
  <c r="S488" i="20"/>
  <c r="T487" i="20"/>
  <c r="S489" i="20"/>
  <c r="T488" i="20"/>
  <c r="S490" i="20"/>
  <c r="T489" i="20"/>
  <c r="S491" i="20"/>
  <c r="T490" i="20"/>
  <c r="S492" i="20"/>
  <c r="T491" i="20"/>
  <c r="T492" i="20"/>
  <c r="S493" i="20"/>
  <c r="T493" i="20"/>
  <c r="S494" i="20"/>
  <c r="S495" i="20"/>
  <c r="T494" i="20"/>
  <c r="S496" i="20"/>
  <c r="T495" i="20"/>
  <c r="S497" i="20"/>
  <c r="T496" i="20"/>
  <c r="T497" i="20"/>
  <c r="S498" i="20"/>
  <c r="T498" i="20"/>
  <c r="S499" i="20"/>
  <c r="S500" i="20"/>
  <c r="T499" i="20"/>
  <c r="T500" i="20"/>
  <c r="S501" i="20"/>
  <c r="S502" i="20"/>
  <c r="T501" i="20"/>
  <c r="S503" i="20"/>
  <c r="T502" i="20"/>
  <c r="T503" i="20"/>
  <c r="S504" i="20"/>
  <c r="T504" i="20"/>
  <c r="S505" i="20"/>
  <c r="T505" i="20"/>
  <c r="S506" i="20"/>
  <c r="S507" i="20"/>
  <c r="T506" i="20"/>
  <c r="T507" i="20"/>
  <c r="S508" i="20"/>
  <c r="S509" i="20"/>
  <c r="T508" i="20"/>
  <c r="S510" i="20"/>
  <c r="T509" i="20"/>
  <c r="T510" i="20"/>
  <c r="S511" i="20"/>
  <c r="S512" i="20"/>
  <c r="T511" i="20"/>
  <c r="S513" i="20"/>
  <c r="T512" i="20"/>
  <c r="S514" i="20"/>
  <c r="T513" i="20"/>
  <c r="T514" i="20"/>
  <c r="S515" i="20"/>
  <c r="T515" i="20"/>
  <c r="S516" i="20"/>
  <c r="T516" i="20"/>
  <c r="S517" i="20"/>
  <c r="T517" i="20"/>
  <c r="S518" i="20"/>
  <c r="S519" i="20"/>
  <c r="T518" i="20"/>
  <c r="S520" i="20"/>
  <c r="T519" i="20"/>
  <c r="T520" i="20"/>
  <c r="S521" i="20"/>
  <c r="S522" i="20"/>
  <c r="T521" i="20"/>
  <c r="S523" i="20"/>
  <c r="T522" i="20"/>
  <c r="S524" i="20"/>
  <c r="T523" i="20"/>
  <c r="T524" i="20"/>
  <c r="S525" i="20"/>
  <c r="S526" i="20"/>
  <c r="T525" i="20"/>
  <c r="T526" i="20"/>
  <c r="S527" i="20"/>
  <c r="S528" i="20"/>
  <c r="T527" i="20"/>
  <c r="S529" i="20"/>
  <c r="T528" i="20"/>
  <c r="T529" i="20"/>
  <c r="S530" i="20"/>
  <c r="T530" i="20"/>
  <c r="S531" i="20"/>
  <c r="T531" i="20"/>
  <c r="S532" i="20"/>
  <c r="T532" i="20"/>
  <c r="S533" i="20"/>
  <c r="T533" i="20"/>
  <c r="S534" i="20"/>
  <c r="T534" i="20"/>
  <c r="S535" i="20"/>
  <c r="S536" i="20"/>
  <c r="T535" i="20"/>
  <c r="S537" i="20"/>
  <c r="T536" i="20"/>
  <c r="T537" i="20"/>
  <c r="S538" i="20"/>
  <c r="S539" i="20"/>
  <c r="T538" i="20"/>
  <c r="S540" i="20"/>
  <c r="T539" i="20"/>
  <c r="T540" i="20"/>
  <c r="S541" i="20"/>
  <c r="T541" i="20"/>
  <c r="S542" i="20"/>
  <c r="S543" i="20"/>
  <c r="T542" i="20"/>
  <c r="S544" i="20"/>
  <c r="T543" i="20"/>
  <c r="S545" i="20"/>
  <c r="T544" i="20"/>
  <c r="T545" i="20"/>
  <c r="S546" i="20"/>
  <c r="S547" i="20"/>
  <c r="T546" i="20"/>
  <c r="T547" i="20"/>
  <c r="S548" i="20"/>
  <c r="S549" i="20"/>
  <c r="T548" i="20"/>
  <c r="S550" i="20"/>
  <c r="T549" i="20"/>
  <c r="S551" i="20"/>
  <c r="T550" i="20"/>
  <c r="S552" i="20"/>
  <c r="T551" i="20"/>
  <c r="S553" i="20"/>
  <c r="T552" i="20"/>
  <c r="T553" i="20"/>
  <c r="S554" i="20"/>
  <c r="S555" i="20"/>
  <c r="T554" i="20"/>
  <c r="S556" i="20"/>
  <c r="T555" i="20"/>
  <c r="S557" i="20"/>
  <c r="T556" i="20"/>
  <c r="T557" i="20"/>
  <c r="S558" i="20"/>
  <c r="T558" i="20"/>
  <c r="S559" i="20"/>
  <c r="T559" i="20"/>
  <c r="S560" i="20"/>
  <c r="S561" i="20"/>
  <c r="T560" i="20"/>
  <c r="S562" i="20"/>
  <c r="T561" i="20"/>
  <c r="S563" i="20"/>
  <c r="T562" i="20"/>
  <c r="S564" i="20"/>
  <c r="T563" i="20"/>
  <c r="T564" i="20"/>
  <c r="S565" i="20"/>
  <c r="T565" i="20"/>
  <c r="S566" i="20"/>
  <c r="S567" i="20"/>
  <c r="T566" i="20"/>
  <c r="S568" i="20"/>
  <c r="T567" i="20"/>
  <c r="T568" i="20"/>
  <c r="S569" i="20"/>
  <c r="T569" i="20"/>
  <c r="S570" i="20"/>
  <c r="T570" i="20"/>
  <c r="S571" i="20"/>
  <c r="T571" i="20"/>
  <c r="S572" i="20"/>
  <c r="S573" i="20"/>
  <c r="T572" i="20"/>
  <c r="S574" i="20"/>
  <c r="T573" i="20"/>
  <c r="T574" i="20"/>
  <c r="S575" i="20"/>
  <c r="T575" i="20"/>
  <c r="S576" i="20"/>
  <c r="T576" i="20"/>
  <c r="S577" i="20"/>
  <c r="T577" i="20"/>
  <c r="S578" i="20"/>
  <c r="S579" i="20"/>
  <c r="T578" i="20"/>
  <c r="T579" i="20"/>
  <c r="S580" i="20"/>
  <c r="S581" i="20"/>
  <c r="T580" i="20"/>
  <c r="S582" i="20"/>
  <c r="T581" i="20"/>
  <c r="T582" i="20"/>
  <c r="S583" i="20"/>
  <c r="T583" i="20"/>
  <c r="S584" i="20"/>
  <c r="T584" i="20"/>
  <c r="S585" i="20"/>
  <c r="S586" i="20"/>
  <c r="T585" i="20"/>
  <c r="T586" i="20"/>
  <c r="S587" i="20"/>
  <c r="T587" i="20"/>
  <c r="S588" i="20"/>
  <c r="T588" i="20"/>
  <c r="S589" i="20"/>
  <c r="T589" i="20"/>
  <c r="S590" i="20"/>
  <c r="T590" i="20"/>
  <c r="S591" i="20"/>
  <c r="T591" i="20"/>
  <c r="S592" i="20"/>
  <c r="S593" i="20"/>
  <c r="T592" i="20"/>
  <c r="S594" i="20"/>
  <c r="T593" i="20"/>
  <c r="S595" i="20"/>
  <c r="T594" i="20"/>
  <c r="T595" i="20"/>
  <c r="S596" i="20"/>
  <c r="S597" i="20"/>
  <c r="T596" i="20"/>
  <c r="T597" i="20"/>
  <c r="S598" i="20"/>
  <c r="T598" i="20"/>
  <c r="S599" i="20"/>
  <c r="S600" i="20"/>
  <c r="T599" i="20"/>
  <c r="T600" i="20"/>
  <c r="S601" i="20"/>
  <c r="T601" i="20"/>
  <c r="S602" i="20"/>
  <c r="S603" i="20"/>
  <c r="T602" i="20"/>
  <c r="S604" i="20"/>
  <c r="T603" i="20"/>
  <c r="S605" i="20"/>
  <c r="T604" i="20"/>
  <c r="S606" i="20"/>
  <c r="T605" i="20"/>
  <c r="T606" i="20"/>
  <c r="S607" i="20"/>
  <c r="S608" i="20"/>
  <c r="T607" i="20"/>
  <c r="S609" i="20"/>
  <c r="T608" i="20"/>
  <c r="T609" i="20"/>
  <c r="S610" i="20"/>
  <c r="S611" i="20"/>
  <c r="T610" i="20"/>
  <c r="S612" i="20"/>
  <c r="T611" i="20"/>
  <c r="T612" i="20"/>
  <c r="S613" i="20"/>
  <c r="T613" i="20"/>
  <c r="S614" i="20"/>
  <c r="S615" i="20"/>
  <c r="T614" i="20"/>
  <c r="T615" i="20"/>
  <c r="S616" i="20"/>
  <c r="S617" i="20"/>
  <c r="T616" i="20"/>
  <c r="S618" i="20"/>
  <c r="T617" i="20"/>
  <c r="S619" i="20"/>
  <c r="T618" i="20"/>
  <c r="T619" i="20"/>
  <c r="S620" i="20"/>
  <c r="T620" i="20"/>
  <c r="S621" i="20"/>
  <c r="S622" i="20"/>
  <c r="T621" i="20"/>
  <c r="S623" i="20"/>
  <c r="T622" i="20"/>
  <c r="S624" i="20"/>
  <c r="T623" i="20"/>
  <c r="T624" i="20"/>
  <c r="S625" i="20"/>
  <c r="S626" i="20"/>
  <c r="T625" i="20"/>
  <c r="S627" i="20"/>
  <c r="T626" i="20"/>
  <c r="T627" i="20"/>
  <c r="S628" i="20"/>
  <c r="S629" i="20"/>
  <c r="T628" i="20"/>
  <c r="S630" i="20"/>
  <c r="T629" i="20"/>
  <c r="T630" i="20"/>
  <c r="S631" i="20"/>
  <c r="S632" i="20"/>
  <c r="T631" i="20"/>
  <c r="T632" i="20"/>
  <c r="S633" i="20"/>
  <c r="T633" i="20"/>
  <c r="S634" i="20"/>
  <c r="T634" i="20"/>
  <c r="S635" i="20"/>
  <c r="S636" i="20"/>
  <c r="T635" i="20"/>
  <c r="S637" i="20"/>
  <c r="T636" i="20"/>
  <c r="S638" i="20"/>
  <c r="T637" i="20"/>
  <c r="S639" i="20"/>
  <c r="T638" i="20"/>
  <c r="T639" i="20"/>
  <c r="S640" i="20"/>
  <c r="T640" i="20"/>
  <c r="S641" i="20"/>
  <c r="T641" i="20"/>
  <c r="S642" i="20"/>
  <c r="T642" i="20"/>
  <c r="S643" i="20"/>
  <c r="S644" i="20"/>
  <c r="T643" i="20"/>
  <c r="S645" i="20"/>
  <c r="T644" i="20"/>
  <c r="T645" i="20"/>
  <c r="S646" i="20"/>
  <c r="S647" i="20"/>
  <c r="T646" i="20"/>
  <c r="S648" i="20"/>
  <c r="T647" i="20"/>
  <c r="T648" i="20"/>
  <c r="S649" i="20"/>
  <c r="T649" i="20"/>
  <c r="S650" i="20"/>
  <c r="T650" i="20"/>
  <c r="S651" i="20"/>
  <c r="T651" i="20"/>
  <c r="S652" i="20"/>
  <c r="T652" i="20"/>
  <c r="S653" i="20"/>
  <c r="S654" i="20"/>
  <c r="T653" i="20"/>
  <c r="S655" i="20"/>
  <c r="T654" i="20"/>
  <c r="T655" i="20"/>
  <c r="S656" i="20"/>
  <c r="T656" i="20"/>
  <c r="S657" i="20"/>
  <c r="S658" i="20"/>
  <c r="T657" i="20"/>
  <c r="S659" i="20"/>
  <c r="T658" i="20"/>
  <c r="S660" i="20"/>
  <c r="T659" i="20"/>
  <c r="T660" i="20"/>
  <c r="S661" i="20"/>
  <c r="S662" i="20"/>
  <c r="T661" i="20"/>
  <c r="S663" i="20"/>
  <c r="T662" i="20"/>
  <c r="T663" i="20"/>
  <c r="S664" i="20"/>
  <c r="T664" i="20"/>
  <c r="S665" i="20"/>
  <c r="S666" i="20"/>
  <c r="T665" i="20"/>
  <c r="S667" i="20"/>
  <c r="T666" i="20"/>
  <c r="T667" i="20"/>
  <c r="S668" i="20"/>
  <c r="S669" i="20"/>
  <c r="T668" i="20"/>
  <c r="T669" i="20"/>
  <c r="S670" i="20"/>
  <c r="S671" i="20"/>
  <c r="T670" i="20"/>
  <c r="S672" i="20"/>
  <c r="T671" i="20"/>
  <c r="T672" i="20"/>
  <c r="S673" i="20"/>
  <c r="S674" i="20"/>
  <c r="T673" i="20"/>
  <c r="T674" i="20"/>
  <c r="S675" i="20"/>
  <c r="S676" i="20"/>
  <c r="T675" i="20"/>
  <c r="S677" i="20"/>
  <c r="T676" i="20"/>
  <c r="T677" i="20"/>
  <c r="S678" i="20"/>
  <c r="S679" i="20"/>
  <c r="T678" i="20"/>
  <c r="S680" i="20"/>
  <c r="T679" i="20"/>
  <c r="T680" i="20"/>
  <c r="S681" i="20"/>
  <c r="T681" i="20"/>
  <c r="S682" i="20"/>
  <c r="S683" i="20"/>
  <c r="T682" i="20"/>
  <c r="S684" i="20"/>
  <c r="T683" i="20"/>
  <c r="S685" i="20"/>
  <c r="T684" i="20"/>
  <c r="S686" i="20"/>
  <c r="T685" i="20"/>
  <c r="S687" i="20"/>
  <c r="T686" i="20"/>
  <c r="T687" i="20"/>
  <c r="S688" i="20"/>
  <c r="T688" i="20"/>
  <c r="S689" i="20"/>
  <c r="S690" i="20"/>
  <c r="T689" i="20"/>
  <c r="T690" i="20"/>
  <c r="S691" i="20"/>
  <c r="S692" i="20"/>
  <c r="T691" i="20"/>
  <c r="S693" i="20"/>
  <c r="T692" i="20"/>
  <c r="S694" i="20"/>
  <c r="T693" i="20"/>
  <c r="S695" i="20"/>
  <c r="T694" i="20"/>
  <c r="T695" i="20"/>
  <c r="S696" i="20"/>
  <c r="T696" i="20"/>
  <c r="S697" i="20"/>
  <c r="T697" i="20"/>
  <c r="S698" i="20"/>
  <c r="S699" i="20"/>
  <c r="T698" i="20"/>
  <c r="S700" i="20"/>
  <c r="T699" i="20"/>
  <c r="T700" i="20"/>
  <c r="S701" i="20"/>
  <c r="S702" i="20"/>
  <c r="T701" i="20"/>
  <c r="S703" i="20"/>
  <c r="T702" i="20"/>
  <c r="S704" i="20"/>
  <c r="T703" i="20"/>
  <c r="S705" i="20"/>
  <c r="T704" i="20"/>
  <c r="T705" i="20"/>
  <c r="S706" i="20"/>
  <c r="T706" i="20"/>
  <c r="S707" i="20"/>
  <c r="T707" i="20"/>
  <c r="S708" i="20"/>
  <c r="T708" i="20"/>
  <c r="S709" i="20"/>
  <c r="T709" i="20"/>
  <c r="S710" i="20"/>
  <c r="T710" i="20"/>
  <c r="S711" i="20"/>
  <c r="T711" i="20"/>
  <c r="S712" i="20"/>
  <c r="T712" i="20"/>
  <c r="S713" i="20"/>
  <c r="T713" i="20"/>
  <c r="S714" i="20"/>
  <c r="T714" i="20"/>
  <c r="S715" i="20"/>
  <c r="T715" i="20"/>
  <c r="S716" i="20"/>
  <c r="S717" i="20"/>
  <c r="T716" i="20"/>
  <c r="S718" i="20"/>
  <c r="T717" i="20"/>
  <c r="T718" i="20"/>
  <c r="S719" i="20"/>
  <c r="T719" i="20"/>
  <c r="S720" i="20"/>
  <c r="S721" i="20"/>
  <c r="T720" i="20"/>
  <c r="T721" i="20"/>
  <c r="S722" i="20"/>
  <c r="S723" i="20"/>
  <c r="T722" i="20"/>
  <c r="S724" i="20"/>
  <c r="T723" i="20"/>
  <c r="T724" i="20"/>
  <c r="S725" i="20"/>
  <c r="S726" i="20"/>
  <c r="T725" i="20"/>
  <c r="S727" i="20"/>
  <c r="T726" i="20"/>
  <c r="S728" i="20"/>
  <c r="T727" i="20"/>
  <c r="S729" i="20"/>
  <c r="T728" i="20"/>
  <c r="S730" i="20"/>
  <c r="T729" i="20"/>
  <c r="S731" i="20"/>
  <c r="T730" i="20"/>
  <c r="S732" i="20"/>
  <c r="T731" i="20"/>
  <c r="T732" i="20"/>
  <c r="S733" i="20"/>
  <c r="S734" i="20"/>
  <c r="T733" i="20"/>
  <c r="T734" i="20"/>
  <c r="S735" i="20"/>
  <c r="T735" i="20"/>
  <c r="S736" i="20"/>
  <c r="S737" i="20"/>
  <c r="T736" i="20"/>
  <c r="T737" i="20"/>
  <c r="S738" i="20"/>
  <c r="T738" i="20"/>
  <c r="S739" i="20"/>
  <c r="S740" i="20"/>
  <c r="T739" i="20"/>
  <c r="S741" i="20"/>
  <c r="T740" i="20"/>
  <c r="S742" i="20"/>
  <c r="T741" i="20"/>
  <c r="T742" i="20"/>
  <c r="S743" i="20"/>
  <c r="S744" i="20"/>
  <c r="T743" i="20"/>
  <c r="S745" i="20"/>
  <c r="T744" i="20"/>
  <c r="T745" i="20"/>
  <c r="S746" i="20"/>
  <c r="T746" i="20"/>
  <c r="S747" i="20"/>
  <c r="T747" i="20"/>
  <c r="S748" i="20"/>
  <c r="S749" i="20"/>
  <c r="T748" i="20"/>
  <c r="S750" i="20"/>
  <c r="T749" i="20"/>
  <c r="S751" i="20"/>
  <c r="T750" i="20"/>
  <c r="S752" i="20"/>
  <c r="T751" i="20"/>
  <c r="S753" i="20"/>
  <c r="T752" i="20"/>
  <c r="S754" i="20"/>
  <c r="T753" i="20"/>
  <c r="S755" i="20"/>
  <c r="T754" i="20"/>
  <c r="S756" i="20"/>
  <c r="T755" i="20"/>
  <c r="S757" i="20"/>
  <c r="T756" i="20"/>
  <c r="T757" i="20"/>
  <c r="S758" i="20"/>
  <c r="S759" i="20"/>
  <c r="T758" i="20"/>
  <c r="T759" i="20"/>
  <c r="S760" i="20"/>
  <c r="S761" i="20"/>
  <c r="T760" i="20"/>
  <c r="S762" i="20"/>
  <c r="T761" i="20"/>
  <c r="T762" i="20"/>
  <c r="S763" i="20"/>
  <c r="T763" i="20"/>
  <c r="S764" i="20"/>
  <c r="S765" i="20"/>
  <c r="T764" i="20"/>
  <c r="S766" i="20"/>
  <c r="T765" i="20"/>
  <c r="S767" i="20"/>
  <c r="T766" i="20"/>
  <c r="T767" i="20"/>
  <c r="S768" i="20"/>
  <c r="T768" i="20"/>
  <c r="S769" i="20"/>
  <c r="S770" i="20"/>
  <c r="T769" i="20"/>
  <c r="S771" i="20"/>
  <c r="T770" i="20"/>
  <c r="T771" i="20"/>
  <c r="S772" i="20"/>
  <c r="S773" i="20"/>
  <c r="T772" i="20"/>
  <c r="T773" i="20"/>
  <c r="S774" i="20"/>
  <c r="S775" i="20"/>
  <c r="T774" i="20"/>
  <c r="S776" i="20"/>
  <c r="T775" i="20"/>
  <c r="T776" i="20"/>
  <c r="S777" i="20"/>
  <c r="S778" i="20"/>
  <c r="T777" i="20"/>
  <c r="S779" i="20"/>
  <c r="T778" i="20"/>
  <c r="T779" i="20"/>
  <c r="S780" i="20"/>
  <c r="T780" i="20"/>
  <c r="S781" i="20"/>
  <c r="T781" i="20"/>
  <c r="S782" i="20"/>
  <c r="S783" i="20"/>
  <c r="T782" i="20"/>
  <c r="T783" i="20"/>
  <c r="S784" i="20"/>
  <c r="S785" i="20"/>
  <c r="T784" i="20"/>
  <c r="T785" i="20"/>
  <c r="S786" i="20"/>
  <c r="S787" i="20"/>
  <c r="T786" i="20"/>
  <c r="T787" i="20"/>
  <c r="S788" i="20"/>
  <c r="S789" i="20"/>
  <c r="T788" i="20"/>
  <c r="S790" i="20"/>
  <c r="T789" i="20"/>
  <c r="S791" i="20"/>
  <c r="T790" i="20"/>
  <c r="S792" i="20"/>
  <c r="T791" i="20"/>
  <c r="S793" i="20"/>
  <c r="T792" i="20"/>
  <c r="S794" i="20"/>
  <c r="T793" i="20"/>
  <c r="S795" i="20"/>
  <c r="T794" i="20"/>
  <c r="T795" i="20"/>
  <c r="S796" i="20"/>
  <c r="S797" i="20"/>
  <c r="T796" i="20"/>
  <c r="S798" i="20"/>
  <c r="T797" i="20"/>
  <c r="T798" i="20"/>
  <c r="S799" i="20"/>
  <c r="S800" i="20"/>
  <c r="T799" i="20"/>
  <c r="S801" i="20"/>
  <c r="T800" i="20"/>
  <c r="S802" i="20"/>
  <c r="T801" i="20"/>
  <c r="S803" i="20"/>
  <c r="T802" i="20"/>
  <c r="T803" i="20"/>
  <c r="S804" i="20"/>
  <c r="T804" i="20"/>
  <c r="S805" i="20"/>
  <c r="S806" i="20"/>
  <c r="T805" i="20"/>
  <c r="S807" i="20"/>
  <c r="T806" i="20"/>
  <c r="S808" i="20"/>
  <c r="T807" i="20"/>
  <c r="T808" i="20"/>
  <c r="S809" i="20"/>
  <c r="S810" i="20"/>
  <c r="T809" i="20"/>
  <c r="T810" i="20"/>
  <c r="S811" i="20"/>
  <c r="T811" i="20"/>
  <c r="S812" i="20"/>
  <c r="T812" i="20"/>
  <c r="S813" i="20"/>
  <c r="T813" i="20"/>
  <c r="S814" i="20"/>
  <c r="S815" i="20"/>
  <c r="T814" i="20"/>
  <c r="T815" i="20"/>
  <c r="S816" i="20"/>
  <c r="T816" i="20"/>
  <c r="S817" i="20"/>
  <c r="S818" i="20"/>
  <c r="T817" i="20"/>
  <c r="S819" i="20"/>
  <c r="T818" i="20"/>
  <c r="S820" i="20"/>
  <c r="T819" i="20"/>
  <c r="S821" i="20"/>
  <c r="T820" i="20"/>
  <c r="T821" i="20"/>
  <c r="S822" i="20"/>
  <c r="T822" i="20"/>
  <c r="S823" i="20"/>
  <c r="S824" i="20"/>
  <c r="T823" i="20"/>
  <c r="T824" i="20"/>
  <c r="S825" i="20"/>
  <c r="S826" i="20"/>
  <c r="T825" i="20"/>
  <c r="T826" i="20"/>
  <c r="S827" i="20"/>
  <c r="S828" i="20"/>
  <c r="T827" i="20"/>
  <c r="S829" i="20"/>
  <c r="T828" i="20"/>
  <c r="T829" i="20"/>
  <c r="S830" i="20"/>
  <c r="S831" i="20"/>
  <c r="T830" i="20"/>
  <c r="T831" i="20"/>
  <c r="S832" i="20"/>
  <c r="T832" i="20"/>
  <c r="S833" i="20"/>
  <c r="T833" i="20"/>
  <c r="S834" i="20"/>
  <c r="T834" i="20"/>
  <c r="S835" i="20"/>
  <c r="T835" i="20"/>
  <c r="S836" i="20"/>
  <c r="T836" i="20"/>
  <c r="S837" i="20"/>
  <c r="T837" i="20"/>
  <c r="S838" i="20"/>
  <c r="S839" i="20"/>
  <c r="T838" i="20"/>
  <c r="T839" i="20"/>
  <c r="S840" i="20"/>
  <c r="S841" i="20"/>
  <c r="T840" i="20"/>
  <c r="S842" i="20"/>
  <c r="T841" i="20"/>
  <c r="T842" i="20"/>
  <c r="S843" i="20"/>
  <c r="T843" i="20"/>
  <c r="S844" i="20"/>
  <c r="S845" i="20"/>
  <c r="T844" i="20"/>
  <c r="S846" i="20"/>
  <c r="T845" i="20"/>
  <c r="S847" i="20"/>
  <c r="T846" i="20"/>
  <c r="S848" i="20"/>
  <c r="T847" i="20"/>
  <c r="T848" i="20"/>
  <c r="S849" i="20"/>
  <c r="S850" i="20"/>
  <c r="T849" i="20"/>
  <c r="S851" i="20"/>
  <c r="T850" i="20"/>
  <c r="S852" i="20"/>
  <c r="T851" i="20"/>
  <c r="T852" i="20"/>
  <c r="S853" i="20"/>
  <c r="T853" i="20"/>
  <c r="S854" i="20"/>
  <c r="S855" i="20"/>
  <c r="T854" i="20"/>
  <c r="T855" i="20"/>
  <c r="S856" i="20"/>
  <c r="S857" i="20"/>
  <c r="T856" i="20"/>
  <c r="S858" i="20"/>
  <c r="T857" i="20"/>
  <c r="T858" i="20"/>
  <c r="S859" i="20"/>
  <c r="T859" i="20"/>
  <c r="S860" i="20"/>
  <c r="T860" i="20"/>
  <c r="S861" i="20"/>
  <c r="T861" i="20"/>
  <c r="S862" i="20"/>
  <c r="T862" i="20"/>
  <c r="S863" i="20"/>
  <c r="T863" i="20"/>
  <c r="S864" i="20"/>
  <c r="S865" i="20"/>
  <c r="T864" i="20"/>
  <c r="S866" i="20"/>
  <c r="T865" i="20"/>
  <c r="T866" i="20"/>
  <c r="S867" i="20"/>
  <c r="S868" i="20"/>
  <c r="T867" i="20"/>
  <c r="S869" i="20"/>
  <c r="T868" i="20"/>
  <c r="T869" i="20"/>
  <c r="S870" i="20"/>
  <c r="T870" i="20"/>
  <c r="S871" i="20"/>
  <c r="T871" i="20"/>
  <c r="S872" i="20"/>
  <c r="T872" i="20"/>
  <c r="S873" i="20"/>
  <c r="S874" i="20"/>
  <c r="T873" i="20"/>
  <c r="T874" i="20"/>
  <c r="S875" i="20"/>
  <c r="S876" i="20"/>
  <c r="T875" i="20"/>
  <c r="T876" i="20"/>
  <c r="S877" i="20"/>
  <c r="S878" i="20"/>
  <c r="T877" i="20"/>
  <c r="T878" i="20"/>
  <c r="S879" i="20"/>
  <c r="S880" i="20"/>
  <c r="T879" i="20"/>
  <c r="T880" i="20"/>
  <c r="S881" i="20"/>
  <c r="S882" i="20"/>
  <c r="T881" i="20"/>
  <c r="T882" i="20"/>
  <c r="S883" i="20"/>
  <c r="S884" i="20"/>
  <c r="T883" i="20"/>
  <c r="T884" i="20"/>
  <c r="S885" i="20"/>
  <c r="T885" i="20"/>
  <c r="S886" i="20"/>
  <c r="S887" i="20"/>
  <c r="T886" i="20"/>
  <c r="S888" i="20"/>
  <c r="T887" i="20"/>
  <c r="T888" i="20"/>
  <c r="S889" i="20"/>
  <c r="S890" i="20"/>
  <c r="T889" i="20"/>
  <c r="S891" i="20"/>
  <c r="T890" i="20"/>
  <c r="T891" i="20"/>
  <c r="S892" i="20"/>
  <c r="T892" i="20"/>
  <c r="S893" i="20"/>
  <c r="S894" i="20"/>
  <c r="T893" i="20"/>
  <c r="S895" i="20"/>
  <c r="T894" i="20"/>
  <c r="S896" i="20"/>
  <c r="T895" i="20"/>
  <c r="T896" i="20"/>
  <c r="S897" i="20"/>
  <c r="T897" i="20"/>
  <c r="S898" i="20"/>
  <c r="S899" i="20"/>
  <c r="T898" i="20"/>
  <c r="T899" i="20"/>
  <c r="S900" i="20"/>
  <c r="T900" i="20"/>
  <c r="S901" i="20"/>
  <c r="T901" i="20"/>
  <c r="S902" i="20"/>
  <c r="S903" i="20"/>
  <c r="T902" i="20"/>
  <c r="S904" i="20"/>
  <c r="T903" i="20"/>
  <c r="T904" i="20"/>
  <c r="S905" i="20"/>
  <c r="T905" i="20"/>
  <c r="S906" i="20"/>
  <c r="S907" i="20"/>
  <c r="T906" i="20"/>
  <c r="T907" i="20"/>
  <c r="S908" i="20"/>
  <c r="S909" i="20"/>
  <c r="T908" i="20"/>
  <c r="T909" i="20"/>
  <c r="S910" i="20"/>
  <c r="S911" i="20"/>
  <c r="T910" i="20"/>
  <c r="S912" i="20"/>
  <c r="T911" i="20"/>
  <c r="S913" i="20"/>
  <c r="T912" i="20"/>
  <c r="T913" i="20"/>
  <c r="S914" i="20"/>
  <c r="S915" i="20"/>
  <c r="T914" i="20"/>
  <c r="T915" i="20"/>
  <c r="S916" i="20"/>
  <c r="S917" i="20"/>
  <c r="T916" i="20"/>
  <c r="T917" i="20"/>
  <c r="S918" i="20"/>
  <c r="S919" i="20"/>
  <c r="T918" i="20"/>
  <c r="T919" i="20"/>
  <c r="S920" i="20"/>
  <c r="T920" i="20"/>
  <c r="S921" i="20"/>
  <c r="S922" i="20"/>
  <c r="T921" i="20"/>
  <c r="S923" i="20"/>
  <c r="T922" i="20"/>
  <c r="T923" i="20"/>
  <c r="S924" i="20"/>
  <c r="T924" i="20"/>
  <c r="S925" i="20"/>
  <c r="T925" i="20"/>
  <c r="S926" i="20"/>
  <c r="S927" i="20"/>
  <c r="T926" i="20"/>
  <c r="S928" i="20"/>
  <c r="T927" i="20"/>
  <c r="T928" i="20"/>
  <c r="S929" i="20"/>
  <c r="T929" i="20"/>
  <c r="S930" i="20"/>
  <c r="T930" i="20"/>
  <c r="S931" i="20"/>
  <c r="S932" i="20"/>
  <c r="T931" i="20"/>
  <c r="S933" i="20"/>
  <c r="T932" i="20"/>
  <c r="S934" i="20"/>
  <c r="T933" i="20"/>
  <c r="T934" i="20"/>
  <c r="S935" i="20"/>
  <c r="T935" i="20"/>
  <c r="S936" i="20"/>
  <c r="T936" i="20"/>
  <c r="S937" i="20"/>
  <c r="T937" i="20"/>
  <c r="S938" i="20"/>
  <c r="S939" i="20"/>
  <c r="T938" i="20"/>
  <c r="T939" i="20"/>
  <c r="S940" i="20"/>
  <c r="T940" i="20"/>
  <c r="S941" i="20"/>
  <c r="T941" i="20"/>
  <c r="S942" i="20"/>
  <c r="S943" i="20"/>
  <c r="T942" i="20"/>
  <c r="S944" i="20"/>
  <c r="T943" i="20"/>
  <c r="T944" i="20"/>
  <c r="S945" i="20"/>
  <c r="S946" i="20"/>
  <c r="T945" i="20"/>
  <c r="T946" i="20"/>
  <c r="S947" i="20"/>
  <c r="T947" i="20"/>
  <c r="S948" i="20"/>
  <c r="S949" i="20"/>
  <c r="T948" i="20"/>
  <c r="S950" i="20"/>
  <c r="T949" i="20"/>
  <c r="T950" i="20"/>
  <c r="S951" i="20"/>
  <c r="S952" i="20"/>
  <c r="T951" i="20"/>
  <c r="S953" i="20"/>
  <c r="T952" i="20"/>
  <c r="T953" i="20"/>
  <c r="S954" i="20"/>
  <c r="S955" i="20"/>
  <c r="T954" i="20"/>
  <c r="S956" i="20"/>
  <c r="T955" i="20"/>
  <c r="S957" i="20"/>
  <c r="T956" i="20"/>
  <c r="S958" i="20"/>
  <c r="T957" i="20"/>
  <c r="T958" i="20"/>
  <c r="S959" i="20"/>
  <c r="T959" i="20"/>
  <c r="S960" i="20"/>
  <c r="T960" i="20"/>
  <c r="S961" i="20"/>
  <c r="S962" i="20"/>
  <c r="T961" i="20"/>
  <c r="S963" i="20"/>
  <c r="T962" i="20"/>
  <c r="T963" i="20"/>
  <c r="S964" i="20"/>
  <c r="S965" i="20"/>
  <c r="T964" i="20"/>
  <c r="T965" i="20"/>
  <c r="S966" i="20"/>
  <c r="T966" i="20"/>
  <c r="S967" i="20"/>
  <c r="S968" i="20"/>
  <c r="T967" i="20"/>
  <c r="S969" i="20"/>
  <c r="T968" i="20"/>
  <c r="S970" i="20"/>
  <c r="T969" i="20"/>
  <c r="S971" i="20"/>
  <c r="T970" i="20"/>
  <c r="T971" i="20"/>
  <c r="S972" i="20"/>
  <c r="T972" i="20"/>
  <c r="S973" i="20"/>
  <c r="S974" i="20"/>
  <c r="T973" i="20"/>
  <c r="T974" i="20"/>
  <c r="S975" i="20"/>
  <c r="T975" i="20"/>
  <c r="S976" i="20"/>
  <c r="T976" i="20"/>
  <c r="S977" i="20"/>
  <c r="S978" i="20"/>
  <c r="T977" i="20"/>
  <c r="T978" i="20"/>
  <c r="S979" i="20"/>
  <c r="S980" i="20"/>
  <c r="T979" i="20"/>
  <c r="S981" i="20"/>
  <c r="T980" i="20"/>
  <c r="T981" i="20"/>
  <c r="S982" i="20"/>
  <c r="T982" i="20"/>
  <c r="S983" i="20"/>
  <c r="T983" i="20"/>
  <c r="S984" i="20"/>
  <c r="S985" i="20"/>
  <c r="T984" i="20"/>
  <c r="S986" i="20"/>
  <c r="T985" i="20"/>
  <c r="T986" i="20"/>
  <c r="S987" i="20"/>
  <c r="S988" i="20"/>
  <c r="T987" i="20"/>
  <c r="S989" i="20"/>
  <c r="T988" i="20"/>
  <c r="S990" i="20"/>
  <c r="T989" i="20"/>
  <c r="S991" i="20"/>
  <c r="T990" i="20"/>
  <c r="T991" i="20"/>
  <c r="S992" i="20"/>
  <c r="T992" i="20"/>
  <c r="S993" i="20"/>
  <c r="T993" i="20"/>
  <c r="S994" i="20"/>
  <c r="S995" i="20"/>
  <c r="T994" i="20"/>
  <c r="T995" i="20"/>
  <c r="S996" i="20"/>
  <c r="S997" i="20"/>
  <c r="T996" i="20"/>
  <c r="S998" i="20"/>
  <c r="T997" i="20"/>
  <c r="T998" i="20"/>
  <c r="S999" i="20"/>
  <c r="T999" i="20"/>
  <c r="S1000" i="20"/>
  <c r="T1000" i="20"/>
  <c r="S1001" i="20"/>
  <c r="S1002" i="20"/>
  <c r="T1001" i="20"/>
  <c r="T1002" i="20"/>
  <c r="S1003" i="20"/>
  <c r="T1003" i="20"/>
  <c r="S1004" i="20"/>
  <c r="S1005" i="20"/>
  <c r="T1004" i="20"/>
  <c r="S1006" i="20"/>
  <c r="T1005" i="20"/>
  <c r="T1006" i="20"/>
  <c r="S1007" i="20"/>
  <c r="S1008" i="20"/>
  <c r="T1007" i="20"/>
  <c r="T1008" i="20"/>
  <c r="S1009" i="20"/>
  <c r="T1009" i="20"/>
  <c r="S1010" i="20"/>
  <c r="T1010" i="20"/>
  <c r="S1011" i="20"/>
  <c r="T1011" i="20"/>
  <c r="S1012" i="20"/>
  <c r="S1013" i="20"/>
  <c r="T1012" i="20"/>
  <c r="T1013" i="20"/>
  <c r="S1014" i="20"/>
  <c r="S1015" i="20"/>
  <c r="T1014" i="20"/>
  <c r="T1015" i="20"/>
  <c r="S1016" i="20"/>
  <c r="S1017" i="20"/>
  <c r="T1016" i="20"/>
  <c r="T1017" i="20"/>
  <c r="S1018" i="20"/>
  <c r="S1019" i="20"/>
  <c r="T1018" i="20"/>
  <c r="T1019" i="20"/>
  <c r="S1020" i="20"/>
  <c r="T1020" i="20"/>
  <c r="S1021" i="20"/>
  <c r="S1022" i="20"/>
  <c r="T1021" i="20"/>
  <c r="S1023" i="20"/>
  <c r="T1022" i="20"/>
  <c r="S1024" i="20"/>
  <c r="T1023" i="20"/>
  <c r="S1025" i="20"/>
  <c r="T1024" i="20"/>
  <c r="S1026" i="20"/>
  <c r="T1025" i="20"/>
  <c r="S1027" i="20"/>
  <c r="T1026" i="20"/>
  <c r="T1027" i="20"/>
  <c r="S1028" i="20"/>
  <c r="T1028" i="20"/>
  <c r="S1029" i="20"/>
  <c r="S1030" i="20"/>
  <c r="T1029" i="20"/>
  <c r="T1030" i="20"/>
  <c r="S1031" i="20"/>
  <c r="S1032" i="20"/>
  <c r="T1031" i="20"/>
  <c r="T1032" i="20"/>
  <c r="S1033" i="20"/>
  <c r="S1034" i="20"/>
  <c r="T1033" i="20"/>
  <c r="T1034" i="20"/>
  <c r="S1035" i="20"/>
  <c r="S1036" i="20"/>
  <c r="T1035" i="20"/>
  <c r="T1036" i="20"/>
  <c r="S1037" i="20"/>
  <c r="T1037" i="20"/>
  <c r="S1038" i="20"/>
  <c r="S1039" i="20"/>
  <c r="T1038" i="20"/>
  <c r="T1039" i="20"/>
  <c r="S1040" i="20"/>
  <c r="S1041" i="20"/>
  <c r="T1040" i="20"/>
  <c r="S1042" i="20"/>
  <c r="T1041" i="20"/>
  <c r="T1042" i="20"/>
  <c r="S1043" i="20"/>
  <c r="S1044" i="20"/>
  <c r="T1043" i="20"/>
  <c r="S1045" i="20"/>
  <c r="T1044" i="20"/>
  <c r="T1045" i="20"/>
  <c r="S1046" i="20"/>
  <c r="S1047" i="20"/>
  <c r="T1046" i="20"/>
  <c r="T1047" i="20"/>
  <c r="S1048" i="20"/>
  <c r="T1048" i="20"/>
  <c r="S1049" i="20"/>
  <c r="T1049" i="20"/>
  <c r="S1050" i="20"/>
  <c r="S1051" i="20"/>
  <c r="T1050" i="20"/>
  <c r="S1052" i="20"/>
  <c r="T1051" i="20"/>
  <c r="T1052" i="20"/>
  <c r="S1053" i="20"/>
  <c r="T1053" i="20"/>
  <c r="S1054" i="20"/>
  <c r="T1054" i="20"/>
  <c r="S1055" i="20"/>
  <c r="S1056" i="20"/>
  <c r="T1055" i="20"/>
  <c r="S1057" i="20"/>
  <c r="T1056" i="20"/>
  <c r="S1058" i="20"/>
  <c r="T1057" i="20"/>
  <c r="S1059" i="20"/>
  <c r="T1058" i="20"/>
  <c r="T1059" i="20"/>
  <c r="S1060" i="20"/>
  <c r="T1060" i="20"/>
  <c r="S1061" i="20"/>
  <c r="S1062" i="20"/>
  <c r="T1061" i="20"/>
  <c r="T1062" i="20"/>
  <c r="S1063" i="20"/>
  <c r="T1063" i="20"/>
  <c r="S1064" i="20"/>
  <c r="T1064" i="20"/>
  <c r="S1065" i="20"/>
  <c r="T1065" i="20"/>
  <c r="S1066" i="20"/>
  <c r="T1066" i="20"/>
  <c r="S1067" i="20"/>
  <c r="S1068" i="20"/>
  <c r="T1067" i="20"/>
  <c r="S1069" i="20"/>
  <c r="T1068" i="20"/>
  <c r="S1070" i="20"/>
  <c r="T1069" i="20"/>
  <c r="T1070" i="20"/>
  <c r="S1071" i="20"/>
  <c r="T1071" i="20"/>
  <c r="S1072" i="20"/>
  <c r="S1073" i="20"/>
  <c r="T1072" i="20"/>
  <c r="S1074" i="20"/>
  <c r="T1073" i="20"/>
  <c r="T1074" i="20"/>
  <c r="S1075" i="20"/>
  <c r="S1076" i="20"/>
  <c r="T1075" i="20"/>
  <c r="T1076" i="20"/>
  <c r="S1077" i="20"/>
  <c r="S1078" i="20"/>
  <c r="T1077" i="20"/>
  <c r="S1079" i="20"/>
  <c r="T1078" i="20"/>
  <c r="T1079" i="20"/>
  <c r="S1080" i="20"/>
  <c r="T1080" i="20"/>
  <c r="S1081" i="20"/>
  <c r="T1081" i="20"/>
  <c r="S1082" i="20"/>
  <c r="S1083" i="20"/>
  <c r="T1082" i="20"/>
  <c r="S1084" i="20"/>
  <c r="T1083" i="20"/>
  <c r="T1084" i="20"/>
  <c r="S1085" i="20"/>
  <c r="T1085" i="20"/>
  <c r="S1086" i="20"/>
  <c r="S1087" i="20"/>
  <c r="T1086" i="20"/>
  <c r="T1087" i="20"/>
  <c r="S1088" i="20"/>
  <c r="S1089" i="20"/>
  <c r="T1088" i="20"/>
  <c r="S1090" i="20"/>
  <c r="T1089" i="20"/>
  <c r="T1090" i="20"/>
  <c r="S1091" i="20"/>
  <c r="T1091" i="20"/>
  <c r="S1092" i="20"/>
  <c r="S1093" i="20"/>
  <c r="T1092" i="20"/>
  <c r="S1094" i="20"/>
  <c r="T1093" i="20"/>
  <c r="S1095" i="20"/>
  <c r="T1094" i="20"/>
  <c r="S1096" i="20"/>
  <c r="T1095" i="20"/>
  <c r="T1096" i="20"/>
  <c r="S1097" i="20"/>
  <c r="S1098" i="20"/>
  <c r="T1097" i="20"/>
  <c r="S1099" i="20"/>
  <c r="T1098" i="20"/>
  <c r="S1100" i="20"/>
  <c r="T1099" i="20"/>
  <c r="T1100" i="20"/>
  <c r="S1101" i="20"/>
  <c r="T1101" i="20"/>
  <c r="S1102" i="20"/>
  <c r="T1102" i="20"/>
  <c r="S1103" i="20"/>
  <c r="S1104" i="20"/>
  <c r="T1103" i="20"/>
  <c r="T1104" i="20"/>
  <c r="S1105" i="20"/>
  <c r="T1105" i="20"/>
  <c r="S1106" i="20"/>
  <c r="S1107" i="20"/>
  <c r="T1106" i="20"/>
  <c r="S1108" i="20"/>
  <c r="T1107" i="20"/>
  <c r="S1109" i="20"/>
  <c r="T1108" i="20"/>
  <c r="T1109" i="20"/>
  <c r="S1110" i="20"/>
  <c r="S1111" i="20"/>
  <c r="T1110" i="20"/>
  <c r="T1111" i="20"/>
  <c r="S1112" i="20"/>
  <c r="T1112" i="20"/>
  <c r="S1113" i="20"/>
  <c r="T1113" i="20"/>
  <c r="S1114" i="20"/>
  <c r="S1115" i="20"/>
  <c r="T1114" i="20"/>
  <c r="S1116" i="20"/>
  <c r="T1115" i="20"/>
  <c r="S1117" i="20"/>
  <c r="T1116" i="20"/>
  <c r="S1118" i="20"/>
  <c r="T1117" i="20"/>
  <c r="S1119" i="20"/>
  <c r="T1118" i="20"/>
  <c r="T1119" i="20"/>
  <c r="S1120" i="20"/>
  <c r="T1120" i="20"/>
  <c r="S1121" i="20"/>
  <c r="T1121" i="20"/>
  <c r="S1122" i="20"/>
  <c r="T1122" i="20"/>
  <c r="S1123" i="20"/>
  <c r="S1124" i="20"/>
  <c r="T1123" i="20"/>
  <c r="S1125" i="20"/>
  <c r="T1124" i="20"/>
  <c r="T1125" i="20"/>
  <c r="S1126" i="20"/>
  <c r="S1127" i="20"/>
  <c r="T1126" i="20"/>
  <c r="S1128" i="20"/>
  <c r="T1127" i="20"/>
  <c r="S1129" i="20"/>
  <c r="T1128" i="20"/>
  <c r="S1130" i="20"/>
  <c r="T1129" i="20"/>
  <c r="T1130" i="20"/>
  <c r="S1131" i="20"/>
  <c r="S1132" i="20"/>
  <c r="T1131" i="20"/>
  <c r="T1132" i="20"/>
  <c r="S1133" i="20"/>
  <c r="T1133" i="20"/>
  <c r="S1134" i="20"/>
  <c r="T1134" i="20"/>
  <c r="S1135" i="20"/>
  <c r="T1135" i="20"/>
  <c r="S1136" i="20"/>
  <c r="T1136" i="20"/>
  <c r="S1137" i="20"/>
  <c r="S1138" i="20"/>
  <c r="T1137" i="20"/>
  <c r="T1138" i="20"/>
  <c r="S1139" i="20"/>
  <c r="T1139" i="20"/>
  <c r="S1140" i="20"/>
  <c r="S1141" i="20"/>
  <c r="T1140" i="20"/>
  <c r="S1142" i="20"/>
  <c r="T1141" i="20"/>
  <c r="S1143" i="20"/>
  <c r="T1142" i="20"/>
  <c r="S1144" i="20"/>
  <c r="T1143" i="20"/>
  <c r="T1144" i="20"/>
  <c r="S1145" i="20"/>
  <c r="S1146" i="20"/>
  <c r="T1145" i="20"/>
  <c r="T1146" i="20"/>
  <c r="S1147" i="20"/>
  <c r="T1147" i="20"/>
  <c r="S1148" i="20"/>
  <c r="S1149" i="20"/>
  <c r="T1148" i="20"/>
  <c r="S1150" i="20"/>
  <c r="T1149" i="20"/>
  <c r="T1150" i="20"/>
  <c r="S1151" i="20"/>
  <c r="S1152" i="20"/>
  <c r="T1151" i="20"/>
  <c r="T1152" i="20"/>
  <c r="S1153" i="20"/>
  <c r="S1154" i="20"/>
  <c r="T1153" i="20"/>
  <c r="T1154" i="20"/>
  <c r="S1155" i="20"/>
  <c r="S1156" i="20"/>
  <c r="T1155" i="20"/>
  <c r="T1156" i="20"/>
  <c r="S1157" i="20"/>
  <c r="T1157" i="20"/>
  <c r="S1158" i="20"/>
  <c r="T1158" i="20"/>
  <c r="S1159" i="20"/>
  <c r="T1159" i="20"/>
  <c r="S1160" i="20"/>
  <c r="S1161" i="20"/>
  <c r="T1160" i="20"/>
  <c r="S1162" i="20"/>
  <c r="T1161" i="20"/>
  <c r="S1163" i="20"/>
  <c r="T1162" i="20"/>
  <c r="S1164" i="20"/>
  <c r="T1163" i="20"/>
  <c r="T1164" i="20"/>
  <c r="S1165" i="20"/>
  <c r="S1166" i="20"/>
  <c r="T1165" i="20"/>
  <c r="S1167" i="20"/>
  <c r="T1166" i="20"/>
  <c r="T1167" i="20"/>
  <c r="S1168" i="20"/>
  <c r="T1168" i="20"/>
  <c r="S1169" i="20"/>
  <c r="S1170" i="20"/>
  <c r="T1169" i="20"/>
  <c r="S1171" i="20"/>
  <c r="T1170" i="20"/>
  <c r="S1172" i="20"/>
  <c r="T1171" i="20"/>
  <c r="T1172" i="20"/>
  <c r="S1173" i="20"/>
  <c r="S1174" i="20"/>
  <c r="T1173" i="20"/>
  <c r="S1175" i="20"/>
  <c r="T1174" i="20"/>
  <c r="T1175" i="20"/>
  <c r="S1176" i="20"/>
  <c r="T1176" i="20"/>
  <c r="S1177" i="20"/>
  <c r="T1177" i="20"/>
  <c r="S1178" i="20"/>
  <c r="S1179" i="20"/>
  <c r="T1178" i="20"/>
  <c r="S1180" i="20"/>
  <c r="T1179" i="20"/>
  <c r="S1181" i="20"/>
  <c r="T1180" i="20"/>
  <c r="T1181" i="20"/>
  <c r="S1182" i="20"/>
  <c r="T1182" i="20"/>
  <c r="S1183" i="20"/>
  <c r="T1183" i="20"/>
  <c r="S1184" i="20"/>
  <c r="S1185" i="20"/>
  <c r="T1184" i="20"/>
  <c r="S1186" i="20"/>
  <c r="T1185" i="20"/>
  <c r="T1186" i="20"/>
  <c r="S1187" i="20"/>
  <c r="S1188" i="20"/>
  <c r="T1187" i="20"/>
  <c r="T1188" i="20"/>
  <c r="S1189" i="20"/>
  <c r="T1189" i="20"/>
  <c r="S1190" i="20"/>
  <c r="T1190" i="20"/>
  <c r="S1191" i="20"/>
  <c r="S1192" i="20"/>
  <c r="T1191" i="20"/>
  <c r="S1193" i="20"/>
  <c r="T1192" i="20"/>
  <c r="S1194" i="20"/>
  <c r="T1193" i="20"/>
  <c r="T1194" i="20"/>
  <c r="S1195" i="20"/>
  <c r="S1196" i="20"/>
  <c r="T1195" i="20"/>
  <c r="S1197" i="20"/>
  <c r="T1196" i="20"/>
  <c r="S1198" i="20"/>
  <c r="T1197" i="20"/>
  <c r="S1199" i="20"/>
  <c r="T1198" i="20"/>
  <c r="S1200" i="20"/>
  <c r="T1199" i="20"/>
  <c r="T1200" i="20"/>
  <c r="S1201" i="20"/>
  <c r="T1201" i="20"/>
  <c r="S1202" i="20"/>
  <c r="T1202" i="20"/>
  <c r="S1203" i="20"/>
  <c r="T1203" i="20"/>
  <c r="S1204" i="20"/>
  <c r="T1204" i="20"/>
  <c r="S1205" i="20"/>
  <c r="T1205" i="20"/>
  <c r="S1206" i="20"/>
  <c r="S1207" i="20"/>
  <c r="T1206" i="20"/>
  <c r="S1208" i="20"/>
  <c r="T1207" i="20"/>
  <c r="T1208" i="20"/>
  <c r="S1209" i="20"/>
  <c r="S1210" i="20"/>
  <c r="T1209" i="20"/>
  <c r="T1210" i="20"/>
  <c r="S1211" i="20"/>
  <c r="T1211" i="20"/>
  <c r="S1212" i="20"/>
  <c r="T1212" i="20"/>
  <c r="S1213" i="20"/>
  <c r="T1213" i="20"/>
  <c r="S1214" i="20"/>
  <c r="T1214" i="20"/>
  <c r="S1215" i="20"/>
  <c r="T1215" i="20"/>
  <c r="S1216" i="20"/>
  <c r="S1217" i="20"/>
  <c r="T1216" i="20"/>
  <c r="T1217" i="20"/>
  <c r="S1218" i="20"/>
  <c r="S1219" i="20"/>
  <c r="T1218" i="20"/>
  <c r="S1220" i="20"/>
  <c r="T1219" i="20"/>
  <c r="T1220" i="20"/>
  <c r="S1221" i="20"/>
  <c r="S1222" i="20"/>
  <c r="T1221" i="20"/>
  <c r="T1222" i="20"/>
  <c r="S1223" i="20"/>
  <c r="T1223" i="20"/>
  <c r="S1224" i="20"/>
  <c r="S1225" i="20"/>
  <c r="T1224" i="20"/>
  <c r="S1226" i="20"/>
  <c r="T1225" i="20"/>
  <c r="T1226" i="20"/>
  <c r="S1227" i="20"/>
  <c r="S1228" i="20"/>
  <c r="T1227" i="20"/>
  <c r="T1228" i="20"/>
  <c r="S1229" i="20"/>
  <c r="S1230" i="20"/>
  <c r="T1229" i="20"/>
  <c r="S1231" i="20"/>
  <c r="T1230" i="20"/>
  <c r="T1231" i="20"/>
  <c r="S1232" i="20"/>
  <c r="S1233" i="20"/>
  <c r="T1232" i="20"/>
  <c r="T1233" i="20"/>
  <c r="S1234" i="20"/>
  <c r="T1234" i="20"/>
  <c r="S1235" i="20"/>
  <c r="S1236" i="20"/>
  <c r="T1235" i="20"/>
  <c r="S1237" i="20"/>
  <c r="T1236" i="20"/>
  <c r="T1237" i="20"/>
  <c r="S1238" i="20"/>
  <c r="S1239" i="20"/>
  <c r="T1238" i="20"/>
  <c r="T1239" i="20"/>
  <c r="S1240" i="20"/>
  <c r="T1240" i="20"/>
  <c r="S1241" i="20"/>
  <c r="T1241" i="20"/>
  <c r="S1242" i="20"/>
  <c r="S1243" i="20"/>
  <c r="T1242" i="20"/>
  <c r="T1243" i="20"/>
  <c r="S1244" i="20"/>
  <c r="S1245" i="20"/>
  <c r="T1244" i="20"/>
  <c r="S1246" i="20"/>
  <c r="T1245" i="20"/>
  <c r="S1247" i="20"/>
  <c r="T1246" i="20"/>
  <c r="T1247" i="20"/>
  <c r="S1248" i="20"/>
  <c r="S1249" i="20"/>
  <c r="T1248" i="20"/>
  <c r="S1250" i="20"/>
  <c r="T1249" i="20"/>
  <c r="T1250" i="20"/>
  <c r="S1251" i="20"/>
  <c r="T1251" i="20"/>
  <c r="S1252" i="20"/>
  <c r="S1253" i="20"/>
  <c r="T1252" i="20"/>
  <c r="T1253" i="20"/>
  <c r="S1254" i="20"/>
  <c r="S1255" i="20"/>
  <c r="T1254" i="20"/>
  <c r="S1256" i="20"/>
  <c r="T1255" i="20"/>
  <c r="S1257" i="20"/>
  <c r="T1256" i="20"/>
  <c r="S1258" i="20"/>
  <c r="T1257" i="20"/>
  <c r="S1259" i="20"/>
  <c r="T1258" i="20"/>
  <c r="S1260" i="20"/>
  <c r="T1259" i="20"/>
  <c r="T1260" i="20"/>
  <c r="S1261" i="20"/>
  <c r="T1261" i="20"/>
  <c r="S1262" i="20"/>
  <c r="T1262" i="20"/>
  <c r="S1263" i="20"/>
  <c r="S1264" i="20"/>
  <c r="T1263" i="20"/>
  <c r="S1265" i="20"/>
  <c r="T1264" i="20"/>
  <c r="T1265" i="20"/>
  <c r="S1266" i="20"/>
  <c r="T1266" i="20"/>
  <c r="S1267" i="20"/>
  <c r="T1267" i="20"/>
  <c r="S1268" i="20"/>
  <c r="S1269" i="20"/>
  <c r="T1268" i="20"/>
  <c r="T1269" i="20"/>
  <c r="S1270" i="20"/>
  <c r="S1271" i="20"/>
  <c r="T1270" i="20"/>
  <c r="S1272" i="20"/>
  <c r="T1271" i="20"/>
  <c r="S1273" i="20"/>
  <c r="T1272" i="20"/>
  <c r="S1274" i="20"/>
  <c r="T1273" i="20"/>
  <c r="T1274" i="20"/>
  <c r="S1275" i="20"/>
  <c r="T1275" i="20"/>
  <c r="S1276" i="20"/>
  <c r="T1276" i="20"/>
  <c r="S1277" i="20"/>
  <c r="T1277" i="20"/>
  <c r="S1278" i="20"/>
  <c r="S1279" i="20"/>
  <c r="T1278" i="20"/>
  <c r="S1280" i="20"/>
  <c r="T1279" i="20"/>
  <c r="T1280" i="20"/>
  <c r="S1281" i="20"/>
  <c r="S1282" i="20"/>
  <c r="T1281" i="20"/>
  <c r="S1283" i="20"/>
  <c r="T1282" i="20"/>
  <c r="S1284" i="20"/>
  <c r="T1283" i="20"/>
  <c r="T1284" i="20"/>
  <c r="S1285" i="20"/>
  <c r="T1285" i="20"/>
  <c r="S1286" i="20"/>
  <c r="S1287" i="20"/>
  <c r="T1286" i="20"/>
  <c r="S1288" i="20"/>
  <c r="T1287" i="20"/>
  <c r="S1289" i="20"/>
  <c r="T1288" i="20"/>
  <c r="S1290" i="20"/>
  <c r="T1289" i="20"/>
  <c r="T1290" i="20"/>
  <c r="S1291" i="20"/>
  <c r="S1292" i="20"/>
  <c r="T1291" i="20"/>
  <c r="S1293" i="20"/>
  <c r="T1292" i="20"/>
  <c r="S1294" i="20"/>
  <c r="T1293" i="20"/>
  <c r="S1295" i="20"/>
  <c r="T1294" i="20"/>
  <c r="T1295" i="20"/>
  <c r="S1296" i="20"/>
  <c r="S1297" i="20"/>
  <c r="T1296" i="20"/>
  <c r="T1297" i="20"/>
  <c r="S1298" i="20"/>
  <c r="T1298" i="20"/>
  <c r="S1299" i="20"/>
  <c r="S1300" i="20"/>
  <c r="T1299" i="20"/>
  <c r="S1301" i="20"/>
  <c r="T1300" i="20"/>
  <c r="T1301" i="20"/>
  <c r="S1302" i="20"/>
  <c r="S1303" i="20"/>
  <c r="T1302" i="20"/>
  <c r="S1304" i="20"/>
  <c r="T1303" i="20"/>
  <c r="S1305" i="20"/>
  <c r="T1304" i="20"/>
  <c r="S1306" i="20"/>
  <c r="T1305" i="20"/>
  <c r="T1306" i="20"/>
  <c r="S1307" i="20"/>
  <c r="S1308" i="20"/>
  <c r="T1307" i="20"/>
  <c r="T1308" i="20"/>
  <c r="S1309" i="20"/>
  <c r="T1309" i="20"/>
  <c r="S1310" i="20"/>
  <c r="T1310" i="20"/>
  <c r="S1311" i="20"/>
  <c r="S1312" i="20"/>
  <c r="T1311" i="20"/>
  <c r="S1313" i="20"/>
  <c r="T1312" i="20"/>
  <c r="S1314" i="20"/>
  <c r="T1313" i="20"/>
  <c r="T1314" i="20"/>
  <c r="S1315" i="20"/>
  <c r="S1316" i="20"/>
  <c r="T1315" i="20"/>
  <c r="T1316" i="20"/>
  <c r="S1317" i="20"/>
  <c r="S1318" i="20"/>
  <c r="T1317" i="20"/>
  <c r="T1318" i="20"/>
  <c r="S1319" i="20"/>
  <c r="S1320" i="20"/>
  <c r="T1319" i="20"/>
  <c r="S1321" i="20"/>
  <c r="T1320" i="20"/>
  <c r="S1322" i="20"/>
  <c r="T1321" i="20"/>
  <c r="T1322" i="20"/>
  <c r="S1323" i="20"/>
  <c r="T1323" i="20"/>
  <c r="S1324" i="20"/>
  <c r="S1325" i="20"/>
  <c r="T1324" i="20"/>
  <c r="T1325" i="20"/>
  <c r="S1326" i="20"/>
  <c r="S1327" i="20"/>
  <c r="T1326" i="20"/>
  <c r="T1327" i="20"/>
  <c r="S1328" i="20"/>
  <c r="S1329" i="20"/>
  <c r="T1328" i="20"/>
  <c r="T1329" i="20"/>
  <c r="S1330" i="20"/>
  <c r="S1331" i="20"/>
  <c r="T1330" i="20"/>
  <c r="T1331" i="20"/>
  <c r="S1332" i="20"/>
  <c r="T1332" i="20"/>
  <c r="S1333" i="20"/>
  <c r="S1334" i="20"/>
  <c r="T1333" i="20"/>
  <c r="T1334" i="20"/>
  <c r="S1335" i="20"/>
  <c r="T1335" i="20"/>
  <c r="S1336" i="20"/>
  <c r="S1337" i="20"/>
  <c r="T1336" i="20"/>
  <c r="T1337" i="20"/>
  <c r="S1338" i="20"/>
  <c r="T1338" i="20"/>
  <c r="S1339" i="20"/>
  <c r="T1339" i="20"/>
  <c r="S1340" i="20"/>
  <c r="T1340" i="20"/>
  <c r="S1341" i="20"/>
  <c r="T1341" i="20"/>
  <c r="S1342" i="20"/>
  <c r="T1342" i="20"/>
  <c r="S1343" i="20"/>
  <c r="T1343" i="20"/>
  <c r="S1344" i="20"/>
  <c r="S1345" i="20"/>
  <c r="T1344" i="20"/>
  <c r="S1346" i="20"/>
  <c r="T1345" i="20"/>
  <c r="S1347" i="20"/>
  <c r="T1346" i="20"/>
  <c r="T1347" i="20"/>
  <c r="S1348" i="20"/>
  <c r="S1349" i="20"/>
  <c r="T1348" i="20"/>
  <c r="T1349" i="20"/>
  <c r="S1350" i="20"/>
  <c r="T1350" i="20"/>
  <c r="S1351" i="20"/>
  <c r="T1351" i="20"/>
  <c r="S1352" i="20"/>
  <c r="T1352" i="20"/>
  <c r="S1353" i="20"/>
  <c r="T1353" i="20"/>
  <c r="S1354" i="20"/>
  <c r="S1355" i="20"/>
  <c r="T1354" i="20"/>
  <c r="S1356" i="20"/>
  <c r="T1355" i="20"/>
  <c r="S1357" i="20"/>
  <c r="T1356" i="20"/>
  <c r="S1358" i="20"/>
  <c r="T1357" i="20"/>
  <c r="T1358" i="20"/>
  <c r="S1359" i="20"/>
  <c r="T1359" i="20"/>
  <c r="S1360" i="20"/>
  <c r="T1360" i="20"/>
  <c r="S1361" i="20"/>
  <c r="T1361" i="20"/>
  <c r="S1362" i="20"/>
  <c r="S1363" i="20"/>
  <c r="T1362" i="20"/>
  <c r="T1363" i="20"/>
  <c r="S1364" i="20"/>
  <c r="S1365" i="20"/>
  <c r="T1364" i="20"/>
  <c r="T1365" i="20"/>
  <c r="S1366" i="20"/>
  <c r="S1367" i="20"/>
  <c r="T1366" i="20"/>
  <c r="S1368" i="20"/>
  <c r="T1367" i="20"/>
  <c r="S1369" i="20"/>
  <c r="T1368" i="20"/>
  <c r="T1369" i="20"/>
  <c r="S1370" i="20"/>
  <c r="S1371" i="20"/>
  <c r="T1370" i="20"/>
  <c r="S1372" i="20"/>
  <c r="T1371" i="20"/>
  <c r="T1372" i="20"/>
  <c r="S1373" i="20"/>
  <c r="T1373" i="20"/>
  <c r="S1374" i="20"/>
  <c r="S1375" i="20"/>
  <c r="T1374" i="20"/>
  <c r="T1375" i="20"/>
  <c r="S1376" i="20"/>
  <c r="S1377" i="20"/>
  <c r="T1376" i="20"/>
  <c r="S1378" i="20"/>
  <c r="T1377" i="20"/>
  <c r="S1379" i="20"/>
  <c r="T1378" i="20"/>
  <c r="T1379" i="20"/>
  <c r="S1380" i="20"/>
  <c r="S1381" i="20"/>
  <c r="T1380" i="20"/>
  <c r="S1382" i="20"/>
  <c r="T1381" i="20"/>
  <c r="T1382" i="20"/>
  <c r="S1383" i="20"/>
  <c r="S1384" i="20"/>
  <c r="T1383" i="20"/>
  <c r="S1385" i="20"/>
  <c r="T1384" i="20"/>
  <c r="T1385" i="20"/>
  <c r="S1386" i="20"/>
  <c r="S1387" i="20"/>
  <c r="T1386" i="20"/>
  <c r="T1387" i="20"/>
  <c r="S1388" i="20"/>
  <c r="T1388" i="20"/>
  <c r="S1389" i="20"/>
  <c r="S1390" i="20"/>
  <c r="T1389" i="20"/>
  <c r="T1390" i="20"/>
  <c r="S1391" i="20"/>
  <c r="S1392" i="20"/>
  <c r="T1391" i="20"/>
  <c r="S1393" i="20"/>
  <c r="T1392" i="20"/>
  <c r="T1393" i="20"/>
  <c r="S1394" i="20"/>
  <c r="T1394" i="20"/>
  <c r="S1395" i="20"/>
  <c r="T1395" i="20"/>
  <c r="S1396" i="20"/>
  <c r="T1396" i="20"/>
  <c r="S1397" i="20"/>
  <c r="T1397" i="20"/>
  <c r="S1398" i="20"/>
  <c r="T1398" i="20"/>
  <c r="S1399" i="20"/>
  <c r="T1399" i="20"/>
  <c r="S1400" i="20"/>
  <c r="T1400" i="20"/>
  <c r="S1401" i="20"/>
  <c r="T1401" i="20"/>
  <c r="S1402" i="20"/>
  <c r="T1402" i="20"/>
  <c r="S1403" i="20"/>
  <c r="T1403" i="20"/>
  <c r="S1404" i="20"/>
  <c r="S1405" i="20"/>
  <c r="T1404" i="20"/>
  <c r="S1406" i="20"/>
  <c r="T1405" i="20"/>
  <c r="T1406" i="20"/>
  <c r="S1407" i="20"/>
  <c r="S1408" i="20"/>
  <c r="T1407" i="20"/>
  <c r="T1408" i="20"/>
  <c r="S1409" i="20"/>
  <c r="S1410" i="20"/>
  <c r="T1409" i="20"/>
  <c r="S1411" i="20"/>
  <c r="T1410" i="20"/>
  <c r="T1411" i="20"/>
  <c r="S1412" i="20"/>
  <c r="T1412" i="20"/>
  <c r="S1413" i="20"/>
  <c r="T1413" i="20"/>
  <c r="S1414" i="20"/>
  <c r="T1414" i="20"/>
  <c r="S1415" i="20"/>
  <c r="T1415" i="20"/>
  <c r="S1416" i="20"/>
  <c r="T1416" i="20"/>
  <c r="S1417" i="20"/>
  <c r="S1418" i="20"/>
  <c r="T1417" i="20"/>
  <c r="S1419" i="20"/>
  <c r="T1418" i="20"/>
  <c r="S1420" i="20"/>
  <c r="T1419" i="20"/>
  <c r="S1421" i="20"/>
  <c r="T1420" i="20"/>
  <c r="T1421" i="20"/>
  <c r="S1422" i="20"/>
  <c r="T1422" i="20"/>
  <c r="S1423" i="20"/>
  <c r="T1423" i="20"/>
  <c r="S1424" i="20"/>
  <c r="S1425" i="20"/>
  <c r="T1424" i="20"/>
  <c r="S1426" i="20"/>
  <c r="T1425" i="20"/>
  <c r="S1427" i="20"/>
  <c r="T1426" i="20"/>
  <c r="T1427" i="20"/>
  <c r="S1428" i="20"/>
  <c r="S1429" i="20"/>
  <c r="T1428" i="20"/>
  <c r="T1429" i="20"/>
  <c r="S1430" i="20"/>
  <c r="S1431" i="20"/>
  <c r="T1430" i="20"/>
  <c r="T1431" i="20"/>
  <c r="S1432" i="20"/>
  <c r="T1432" i="20"/>
  <c r="S1433" i="20"/>
  <c r="T1433" i="20"/>
  <c r="S1434" i="20"/>
  <c r="S1435" i="20"/>
  <c r="T1434" i="20"/>
  <c r="T1435" i="20"/>
  <c r="S1436" i="20"/>
  <c r="S1437" i="20"/>
  <c r="T1436" i="20"/>
  <c r="T1437" i="20"/>
  <c r="S1438" i="20"/>
  <c r="S1439" i="20"/>
  <c r="T1438" i="20"/>
  <c r="T1439" i="20"/>
  <c r="S1440" i="20"/>
  <c r="S1441" i="20"/>
  <c r="T1440" i="20"/>
  <c r="T1441" i="20"/>
  <c r="S1442" i="20"/>
  <c r="T1442" i="20"/>
  <c r="S1443" i="20"/>
  <c r="T1443" i="20"/>
  <c r="S1444" i="20"/>
  <c r="S1445" i="20"/>
  <c r="T1444" i="20"/>
  <c r="T1445" i="20"/>
  <c r="S1446" i="20"/>
  <c r="S1447" i="20"/>
  <c r="T1446" i="20"/>
  <c r="T1447" i="20"/>
  <c r="S1448" i="20"/>
  <c r="S1449" i="20"/>
  <c r="T1448" i="20"/>
  <c r="S1450" i="20"/>
  <c r="T1449" i="20"/>
  <c r="S1451" i="20"/>
  <c r="T1450" i="20"/>
  <c r="T1451" i="20"/>
  <c r="S1452" i="20"/>
  <c r="S1453" i="20"/>
  <c r="T1452" i="20"/>
  <c r="S1454" i="20"/>
  <c r="T1453" i="20"/>
  <c r="T1454" i="20"/>
  <c r="S1455" i="20"/>
  <c r="S1456" i="20"/>
  <c r="T1455" i="20"/>
  <c r="T1456" i="20"/>
  <c r="S1457" i="20"/>
  <c r="T1457" i="20"/>
  <c r="S1458" i="20"/>
  <c r="T1458" i="20"/>
  <c r="S1459" i="20"/>
  <c r="T1459" i="20"/>
  <c r="S1460" i="20"/>
  <c r="T1460" i="20"/>
  <c r="S1461" i="20"/>
  <c r="T1461" i="20"/>
  <c r="S1462" i="20"/>
  <c r="T1462" i="20"/>
  <c r="S1463" i="20"/>
  <c r="S1464" i="20"/>
  <c r="T1463" i="20"/>
  <c r="S1465" i="20"/>
  <c r="T1464" i="20"/>
  <c r="T1465" i="20"/>
  <c r="S1466" i="20"/>
  <c r="S1467" i="20"/>
  <c r="T1466" i="20"/>
  <c r="S1468" i="20"/>
  <c r="T1467" i="20"/>
  <c r="T1468" i="20"/>
  <c r="S1469" i="20"/>
  <c r="T1469" i="20"/>
  <c r="S1470" i="20"/>
  <c r="T1470" i="20"/>
  <c r="S1471" i="20"/>
  <c r="T1471" i="20"/>
  <c r="S1472" i="20"/>
  <c r="S1473" i="20"/>
  <c r="T1472" i="20"/>
  <c r="S1474" i="20"/>
  <c r="T1473" i="20"/>
  <c r="T1474" i="20"/>
  <c r="S1475" i="20"/>
  <c r="S1476" i="20"/>
  <c r="T1475" i="20"/>
  <c r="T1476" i="20"/>
  <c r="S1477" i="20"/>
  <c r="T1477" i="20"/>
  <c r="S1478" i="20"/>
  <c r="S1479" i="20"/>
  <c r="T1478" i="20"/>
  <c r="T1479" i="20"/>
  <c r="S1480" i="20"/>
  <c r="T1480" i="20"/>
  <c r="S1481" i="20"/>
  <c r="T1481" i="20"/>
  <c r="S1482" i="20"/>
  <c r="T1482" i="20"/>
  <c r="S1483" i="20"/>
  <c r="S1484" i="20"/>
  <c r="T1483" i="20"/>
  <c r="S1485" i="20"/>
  <c r="T1484" i="20"/>
  <c r="S1486" i="20"/>
  <c r="T1485" i="20"/>
  <c r="T1486" i="20"/>
  <c r="S1487" i="20"/>
  <c r="S1488" i="20"/>
  <c r="T1487" i="20"/>
  <c r="T1488" i="20"/>
  <c r="S1489" i="20"/>
  <c r="S1490" i="20"/>
  <c r="T1489" i="20"/>
  <c r="S1491" i="20"/>
  <c r="T1490" i="20"/>
  <c r="S1492" i="20"/>
  <c r="T1491" i="20"/>
  <c r="S1493" i="20"/>
  <c r="T1492" i="20"/>
  <c r="S1494" i="20"/>
  <c r="T1493" i="20"/>
  <c r="S1495" i="20"/>
  <c r="T1494" i="20"/>
  <c r="T1495" i="20"/>
  <c r="S1496" i="20"/>
  <c r="T1496" i="20"/>
  <c r="S1497" i="20"/>
  <c r="T1497" i="20"/>
  <c r="S1498" i="20"/>
  <c r="T1498" i="20"/>
  <c r="S1499" i="20"/>
  <c r="T1499" i="20"/>
  <c r="S1500" i="20"/>
  <c r="S1501" i="20"/>
  <c r="T1500" i="20"/>
  <c r="S1502" i="20"/>
  <c r="T1501" i="20"/>
  <c r="T1502" i="20"/>
  <c r="S1503" i="20"/>
  <c r="T1503" i="20"/>
  <c r="S1504" i="20"/>
  <c r="T1504" i="20"/>
  <c r="S1505" i="20"/>
  <c r="T1505" i="20"/>
  <c r="S1506" i="20"/>
  <c r="S1507" i="20"/>
  <c r="T1506" i="20"/>
  <c r="S1508" i="20"/>
  <c r="T1507" i="20"/>
  <c r="S1509" i="20"/>
  <c r="T1508" i="20"/>
  <c r="S1510" i="20"/>
  <c r="T1509" i="20"/>
  <c r="T1510" i="20"/>
  <c r="S1511" i="20"/>
  <c r="S1512" i="20"/>
  <c r="T1511" i="20"/>
  <c r="T1512" i="20"/>
  <c r="S1513" i="20"/>
  <c r="T1513" i="20"/>
  <c r="S1514" i="20"/>
  <c r="S1515" i="20"/>
  <c r="T1514" i="20"/>
  <c r="T1515" i="20"/>
  <c r="S1516" i="20"/>
  <c r="T1516" i="20"/>
  <c r="S1517" i="20"/>
  <c r="S1518" i="20"/>
  <c r="T1517" i="20"/>
  <c r="T1518" i="20"/>
  <c r="S1519" i="20"/>
  <c r="D7" i="30" l="1"/>
  <c r="E7" i="30"/>
  <c r="H7" i="30"/>
  <c r="C7" i="30"/>
  <c r="G7" i="30"/>
  <c r="F7" i="30"/>
  <c r="I7" i="30"/>
  <c r="T1519" i="20"/>
  <c r="AT87" i="21"/>
  <c r="AS16" i="21"/>
  <c r="AT85" i="21"/>
  <c r="AU80" i="21"/>
  <c r="AT88" i="21"/>
  <c r="AU25" i="21"/>
  <c r="AS30" i="21"/>
  <c r="AS28" i="21"/>
  <c r="AU13" i="21"/>
  <c r="AU86" i="21"/>
  <c r="AT18" i="21"/>
  <c r="AU29" i="21"/>
  <c r="AV14" i="21"/>
  <c r="AU7" i="21"/>
  <c r="AU35" i="21"/>
  <c r="AS11" i="21"/>
  <c r="AT29" i="21"/>
  <c r="AV26" i="21"/>
  <c r="AS81" i="21"/>
  <c r="AS90" i="21"/>
  <c r="AS79" i="21"/>
  <c r="AV19" i="21"/>
  <c r="AT38" i="21"/>
  <c r="AS15" i="21"/>
  <c r="AS31" i="21"/>
  <c r="AV90" i="21"/>
  <c r="AT19" i="21"/>
  <c r="AU12" i="21"/>
  <c r="AV86" i="21"/>
  <c r="AV6" i="21"/>
  <c r="AU78" i="21"/>
  <c r="AT90" i="21"/>
  <c r="H35" i="20"/>
  <c r="AV30" i="21"/>
  <c r="AT16" i="21"/>
  <c r="AS82" i="21"/>
  <c r="AT12" i="21"/>
  <c r="AV34" i="21"/>
  <c r="AT35" i="21"/>
  <c r="AS37" i="21"/>
  <c r="AS13" i="21"/>
  <c r="AU38" i="21"/>
  <c r="AS27" i="21"/>
  <c r="AT27" i="21"/>
  <c r="AU16" i="21"/>
  <c r="AV15" i="21"/>
  <c r="AV7" i="21"/>
  <c r="AU79" i="21"/>
  <c r="AT10" i="21"/>
  <c r="AU30" i="21"/>
  <c r="AS12" i="21"/>
  <c r="AV91" i="21"/>
  <c r="G40" i="20"/>
  <c r="AT78" i="21"/>
  <c r="AV35" i="21"/>
  <c r="AV17" i="21"/>
  <c r="AV36" i="21"/>
  <c r="AV84" i="21"/>
  <c r="AU10" i="21"/>
  <c r="AV13" i="21"/>
  <c r="AT37" i="21"/>
  <c r="AU18" i="21"/>
  <c r="AU32" i="21"/>
  <c r="AU8" i="21"/>
  <c r="AT33" i="21"/>
  <c r="AS33" i="21"/>
  <c r="AT25" i="21"/>
  <c r="AV33" i="21"/>
  <c r="AT80" i="21"/>
  <c r="G7" i="4"/>
  <c r="AU89" i="21"/>
  <c r="AT8" i="21"/>
  <c r="AT79" i="21"/>
  <c r="AT26" i="21"/>
  <c r="T30" i="20"/>
  <c r="AS17" i="21"/>
  <c r="AT14" i="21"/>
  <c r="AS91" i="21"/>
  <c r="AT34" i="21"/>
  <c r="AS19" i="21"/>
  <c r="AT32" i="21"/>
  <c r="AU82" i="21"/>
  <c r="AU17" i="21"/>
  <c r="AU33" i="21"/>
  <c r="AT89" i="21"/>
  <c r="AT7" i="21"/>
  <c r="AU81" i="21"/>
  <c r="AT91" i="21"/>
  <c r="AS14" i="21"/>
  <c r="AV18" i="21"/>
  <c r="AS38" i="21"/>
  <c r="AT28" i="21"/>
  <c r="AU84" i="21"/>
  <c r="AV80" i="21"/>
  <c r="AS88" i="21"/>
  <c r="AU26" i="21"/>
  <c r="AU27" i="21"/>
  <c r="AS36" i="21"/>
  <c r="AV16" i="21"/>
  <c r="AT30" i="21"/>
  <c r="AV79" i="21"/>
  <c r="AS78" i="21"/>
  <c r="AS8" i="21"/>
  <c r="AT36" i="21"/>
  <c r="AT13" i="21"/>
  <c r="AT17" i="21"/>
  <c r="AS84" i="21"/>
  <c r="AV31" i="21"/>
  <c r="AV83" i="21"/>
  <c r="AS18" i="21"/>
  <c r="AV78" i="21"/>
  <c r="AU37" i="21"/>
  <c r="AS6" i="21"/>
  <c r="AS10" i="21"/>
  <c r="AS25" i="21"/>
  <c r="AV28" i="21"/>
  <c r="O27" i="20"/>
  <c r="AS34" i="21"/>
  <c r="AU31" i="21"/>
  <c r="AU14" i="21"/>
  <c r="AT83" i="21"/>
  <c r="AV12" i="21"/>
  <c r="AV88" i="21"/>
  <c r="AV9" i="21"/>
  <c r="AS7" i="21"/>
  <c r="AU6" i="21"/>
  <c r="AU19" i="21"/>
  <c r="AS9" i="21"/>
  <c r="AU85" i="21"/>
  <c r="AS29" i="21"/>
  <c r="AV10" i="21"/>
  <c r="K32" i="20"/>
  <c r="AU15" i="21"/>
  <c r="AU28" i="21"/>
  <c r="AV27" i="21"/>
  <c r="AT11" i="21"/>
  <c r="AS87" i="21"/>
  <c r="AU83" i="21"/>
  <c r="AV82" i="21"/>
  <c r="AS35" i="21"/>
  <c r="AV29" i="21"/>
  <c r="AV89" i="21"/>
  <c r="AV11" i="21"/>
  <c r="AT81" i="21"/>
  <c r="AS83" i="21"/>
  <c r="AV85" i="21"/>
  <c r="AT86" i="21"/>
  <c r="AS85" i="21"/>
  <c r="AT6" i="21"/>
  <c r="AV8" i="21"/>
  <c r="AS80" i="21"/>
  <c r="AT9" i="21"/>
  <c r="AT31" i="21"/>
  <c r="AV87" i="21"/>
  <c r="AV38" i="21"/>
  <c r="AV32" i="21"/>
  <c r="AT82" i="21"/>
  <c r="AV25" i="21"/>
  <c r="AS86" i="21"/>
  <c r="AS89" i="21"/>
  <c r="G7" i="27"/>
  <c r="AS32" i="21"/>
  <c r="AU90" i="21"/>
  <c r="AV37" i="21"/>
  <c r="AU9" i="21"/>
  <c r="AU91" i="21"/>
  <c r="AU34" i="21"/>
  <c r="AU88" i="21"/>
  <c r="AU36" i="21"/>
  <c r="AT84" i="21"/>
  <c r="AU87" i="21"/>
  <c r="AV81" i="21"/>
  <c r="AU11" i="21"/>
  <c r="AS26" i="21"/>
  <c r="AT15" i="21"/>
  <c r="H40" i="20"/>
  <c r="G41" i="20"/>
  <c r="O28" i="20"/>
  <c r="K33" i="20"/>
  <c r="L32" i="20"/>
  <c r="G42" i="20"/>
  <c r="H41" i="20"/>
  <c r="O29" i="20"/>
  <c r="P28" i="20"/>
  <c r="K34" i="20"/>
  <c r="L33" i="20"/>
  <c r="G43" i="20"/>
  <c r="H42" i="20"/>
  <c r="P29" i="20"/>
  <c r="O30" i="20"/>
  <c r="L34" i="20"/>
  <c r="K35" i="20"/>
  <c r="G44" i="20"/>
  <c r="H43" i="20"/>
  <c r="P30" i="20"/>
  <c r="O31" i="20"/>
  <c r="K36" i="20"/>
  <c r="G45" i="20"/>
  <c r="H44" i="20"/>
  <c r="P31" i="20"/>
  <c r="O32" i="20"/>
  <c r="K37" i="20"/>
  <c r="L36" i="20"/>
  <c r="H45" i="20"/>
  <c r="G46" i="20"/>
  <c r="P32" i="20"/>
  <c r="K38" i="20"/>
  <c r="L37" i="20"/>
  <c r="H46" i="20"/>
  <c r="G47" i="20"/>
  <c r="K39" i="20"/>
  <c r="L38" i="20"/>
  <c r="G48" i="20"/>
  <c r="H47" i="20"/>
  <c r="L39" i="20"/>
  <c r="G49" i="20"/>
  <c r="H48" i="20"/>
  <c r="H49" i="20"/>
  <c r="G50" i="20"/>
  <c r="G51" i="20"/>
  <c r="H50" i="20"/>
  <c r="G52" i="20"/>
  <c r="H51" i="20"/>
  <c r="G53" i="20"/>
  <c r="H52" i="20"/>
  <c r="H53" i="20"/>
  <c r="G54" i="20"/>
  <c r="H54" i="20"/>
  <c r="G55" i="20"/>
  <c r="H55" i="20"/>
  <c r="G56" i="20"/>
  <c r="G57" i="20"/>
  <c r="H56" i="20"/>
  <c r="H57" i="20"/>
  <c r="G58" i="20"/>
  <c r="G59" i="20"/>
  <c r="H58" i="20"/>
  <c r="G60" i="20"/>
  <c r="H59" i="20"/>
  <c r="G61" i="20"/>
  <c r="H60" i="20"/>
  <c r="G62" i="20"/>
  <c r="H61" i="20"/>
  <c r="H62" i="20"/>
  <c r="G63" i="20"/>
  <c r="H63" i="20"/>
  <c r="G64" i="20"/>
  <c r="G65" i="20"/>
  <c r="H64" i="20"/>
  <c r="H65" i="20"/>
  <c r="G66" i="20"/>
  <c r="G67" i="20"/>
  <c r="H66" i="20"/>
  <c r="H67" i="20"/>
  <c r="G68" i="20"/>
  <c r="H68" i="20"/>
  <c r="G69" i="20"/>
  <c r="H69" i="20"/>
  <c r="G70" i="20"/>
  <c r="G71" i="20"/>
  <c r="H70" i="20"/>
  <c r="H71" i="20"/>
  <c r="G72" i="20"/>
  <c r="G73" i="20"/>
  <c r="H72" i="20"/>
  <c r="H73" i="20"/>
  <c r="G74" i="20"/>
  <c r="G75" i="20"/>
  <c r="H74" i="20"/>
  <c r="G76" i="20"/>
  <c r="H75" i="20"/>
  <c r="H76" i="20"/>
  <c r="G77" i="20"/>
  <c r="H77" i="20"/>
  <c r="G78" i="20"/>
  <c r="H78" i="20"/>
  <c r="G79" i="20"/>
  <c r="H79" i="20"/>
  <c r="G80" i="20"/>
  <c r="H80" i="20"/>
  <c r="G81" i="20"/>
  <c r="H81" i="20"/>
  <c r="G82" i="20"/>
  <c r="G83" i="20"/>
  <c r="H82" i="20"/>
  <c r="G84" i="20"/>
  <c r="H83" i="20"/>
  <c r="G85" i="20"/>
  <c r="H84" i="20"/>
  <c r="H85" i="20"/>
  <c r="G86" i="20"/>
  <c r="G87" i="20"/>
  <c r="H86" i="20"/>
  <c r="H87" i="20"/>
  <c r="G88" i="20"/>
  <c r="G89" i="20"/>
  <c r="H88" i="20"/>
  <c r="G90" i="20"/>
  <c r="H89" i="20"/>
  <c r="H90" i="20"/>
  <c r="G91" i="20"/>
  <c r="G92" i="20"/>
  <c r="H91" i="20"/>
  <c r="H92" i="20"/>
  <c r="G93" i="20"/>
  <c r="G94" i="20"/>
  <c r="H93" i="20"/>
  <c r="G95" i="20"/>
  <c r="H94" i="20"/>
  <c r="H95" i="20"/>
  <c r="G96" i="20"/>
  <c r="H96" i="20"/>
  <c r="G97" i="20"/>
  <c r="G98" i="20"/>
  <c r="H97" i="20"/>
  <c r="H98" i="20"/>
  <c r="G99" i="20"/>
  <c r="H99" i="20"/>
  <c r="G100" i="20"/>
  <c r="G101" i="20"/>
  <c r="H100" i="20"/>
  <c r="G102" i="20"/>
  <c r="H101" i="20"/>
  <c r="G103" i="20"/>
  <c r="H102" i="20"/>
  <c r="G104" i="20"/>
  <c r="H103" i="20"/>
  <c r="H104" i="20"/>
  <c r="G105" i="20"/>
  <c r="H105" i="20"/>
  <c r="G106" i="20"/>
  <c r="G107" i="20"/>
  <c r="H106" i="20"/>
  <c r="H107" i="20"/>
  <c r="G108" i="20"/>
  <c r="H108" i="20"/>
  <c r="G109" i="20"/>
  <c r="H109" i="20"/>
  <c r="G110" i="20"/>
  <c r="G111" i="20"/>
  <c r="H110" i="20"/>
  <c r="H111" i="20"/>
  <c r="G112" i="20"/>
  <c r="H112" i="20"/>
  <c r="G113" i="20"/>
  <c r="H113" i="20"/>
  <c r="G114" i="20"/>
  <c r="H114" i="20"/>
  <c r="G115" i="20"/>
  <c r="G116" i="20"/>
  <c r="H115" i="20"/>
  <c r="H116" i="20"/>
  <c r="G117" i="20"/>
  <c r="G118" i="20"/>
  <c r="H117" i="20"/>
  <c r="H118" i="20"/>
  <c r="G119" i="20"/>
  <c r="H119" i="20"/>
  <c r="G120" i="20"/>
  <c r="H120" i="20"/>
  <c r="G121" i="20"/>
  <c r="H121" i="20"/>
  <c r="G122" i="20"/>
  <c r="G123" i="20"/>
  <c r="H122" i="20"/>
  <c r="H123" i="20"/>
  <c r="G124" i="20"/>
  <c r="G125" i="20"/>
  <c r="H124" i="20"/>
  <c r="H125" i="20"/>
  <c r="G126" i="20"/>
  <c r="H126" i="20"/>
  <c r="G127" i="20"/>
  <c r="H127" i="20"/>
  <c r="G128" i="20"/>
  <c r="H128" i="20"/>
  <c r="G129" i="20"/>
  <c r="G130" i="20"/>
  <c r="H129" i="20"/>
  <c r="H130" i="20"/>
  <c r="G131" i="20"/>
  <c r="H131" i="20"/>
  <c r="G132" i="20"/>
  <c r="G133" i="20"/>
  <c r="H132" i="20"/>
  <c r="G134" i="20"/>
  <c r="H133" i="20"/>
  <c r="H134" i="20"/>
  <c r="G135" i="20"/>
  <c r="H135" i="20"/>
  <c r="G136" i="20"/>
  <c r="H136" i="20"/>
  <c r="G137" i="20"/>
  <c r="H137" i="20"/>
  <c r="G138" i="20"/>
  <c r="G139" i="20"/>
  <c r="H138" i="20"/>
  <c r="G140" i="20"/>
  <c r="H139" i="20"/>
  <c r="G141" i="20"/>
  <c r="H140" i="20"/>
  <c r="H141" i="20"/>
  <c r="G142" i="20"/>
  <c r="H142" i="20"/>
  <c r="G143" i="20"/>
  <c r="H143" i="20"/>
  <c r="G144" i="20"/>
  <c r="H144" i="20"/>
  <c r="G145" i="20"/>
  <c r="H145" i="20"/>
  <c r="G146" i="20"/>
  <c r="H146" i="20"/>
  <c r="G147" i="20"/>
  <c r="H147" i="20"/>
  <c r="G148" i="20"/>
  <c r="G149" i="20"/>
  <c r="H148" i="20"/>
  <c r="G150" i="20"/>
  <c r="H149" i="20"/>
  <c r="H150" i="20"/>
  <c r="G151" i="20"/>
  <c r="H151" i="20"/>
  <c r="G152" i="20"/>
  <c r="G153" i="20"/>
  <c r="H152" i="20"/>
  <c r="G154" i="20"/>
  <c r="H153" i="20"/>
  <c r="G155" i="20"/>
  <c r="H154" i="20"/>
  <c r="G156" i="20"/>
  <c r="H155" i="20"/>
  <c r="H156" i="20"/>
  <c r="G157" i="20"/>
  <c r="H157" i="20"/>
  <c r="G158" i="20"/>
  <c r="H158" i="20"/>
  <c r="G159" i="20"/>
  <c r="H159" i="20"/>
  <c r="G160" i="20"/>
  <c r="G161" i="20"/>
  <c r="H160" i="20"/>
  <c r="H161" i="20"/>
  <c r="G162" i="20"/>
  <c r="G163" i="20"/>
  <c r="H162" i="20"/>
  <c r="G164" i="20"/>
  <c r="H163" i="20"/>
  <c r="H164" i="20"/>
  <c r="G165" i="20"/>
  <c r="G166" i="20"/>
  <c r="H165" i="20"/>
  <c r="G167" i="20"/>
  <c r="H166" i="20"/>
  <c r="H167" i="20"/>
  <c r="G168" i="20"/>
  <c r="H168" i="20"/>
  <c r="G169" i="20"/>
  <c r="H169" i="20"/>
  <c r="G170" i="20"/>
  <c r="G171" i="20"/>
  <c r="H170" i="20"/>
  <c r="G172" i="20"/>
  <c r="H171" i="20"/>
  <c r="G173" i="20"/>
  <c r="H172" i="20"/>
  <c r="G174" i="20"/>
  <c r="H173" i="20"/>
  <c r="H174" i="20"/>
  <c r="G175" i="20"/>
  <c r="H175" i="20"/>
  <c r="G176" i="20"/>
  <c r="H176" i="20"/>
  <c r="G177" i="20"/>
  <c r="G178" i="20"/>
  <c r="H177" i="20"/>
  <c r="H178" i="20"/>
  <c r="G179" i="20"/>
  <c r="H179" i="20"/>
  <c r="G180" i="20"/>
  <c r="G181" i="20"/>
  <c r="H180" i="20"/>
  <c r="H181" i="20"/>
  <c r="G182" i="20"/>
  <c r="G183" i="20"/>
  <c r="H182" i="20"/>
  <c r="H183" i="20"/>
  <c r="G184" i="20"/>
  <c r="H184" i="20"/>
  <c r="G185" i="20"/>
  <c r="H185" i="20"/>
  <c r="G186" i="20"/>
  <c r="G187" i="20"/>
  <c r="H186" i="20"/>
  <c r="H187" i="20"/>
  <c r="G188" i="20"/>
  <c r="H188" i="20"/>
  <c r="G189" i="20"/>
  <c r="G190" i="20"/>
  <c r="H189" i="20"/>
  <c r="H190" i="20"/>
  <c r="G191" i="20"/>
  <c r="G192" i="20"/>
  <c r="H191" i="20"/>
  <c r="G193" i="20"/>
  <c r="H192" i="20"/>
  <c r="G194" i="20"/>
  <c r="H193" i="20"/>
  <c r="G195" i="20"/>
  <c r="H194" i="20"/>
  <c r="H195" i="20"/>
  <c r="G196" i="20"/>
  <c r="H196" i="20"/>
  <c r="G197" i="20"/>
  <c r="H197" i="20"/>
  <c r="G198" i="20"/>
  <c r="G199" i="20"/>
  <c r="H198" i="20"/>
  <c r="H199" i="20"/>
  <c r="G200" i="20"/>
  <c r="G201" i="20"/>
  <c r="H200" i="20"/>
  <c r="H201" i="20"/>
  <c r="G202" i="20"/>
  <c r="G203" i="20"/>
  <c r="H202" i="20"/>
  <c r="G204" i="20"/>
  <c r="H203" i="20"/>
  <c r="H204" i="20"/>
  <c r="G205" i="20"/>
  <c r="H205" i="20"/>
  <c r="G206" i="20"/>
  <c r="H206" i="20"/>
  <c r="G207" i="20"/>
  <c r="G208" i="20"/>
  <c r="H207" i="20"/>
  <c r="H208" i="20"/>
  <c r="G209" i="20"/>
  <c r="H209" i="20"/>
  <c r="G210" i="20"/>
  <c r="G211" i="20"/>
  <c r="H210" i="20"/>
  <c r="H211" i="20"/>
  <c r="G212" i="20"/>
  <c r="H212" i="20"/>
  <c r="G213" i="20"/>
  <c r="G214" i="20"/>
  <c r="H213" i="20"/>
  <c r="G215" i="20"/>
  <c r="H214" i="20"/>
  <c r="G216" i="20"/>
  <c r="H215" i="20"/>
  <c r="G217" i="20"/>
  <c r="H216" i="20"/>
  <c r="G218" i="20"/>
  <c r="H217" i="20"/>
  <c r="H218" i="20"/>
  <c r="G219" i="20"/>
  <c r="H219" i="20"/>
  <c r="G220" i="20"/>
  <c r="H220" i="20"/>
  <c r="G221" i="20"/>
  <c r="H221" i="20"/>
  <c r="G222" i="20"/>
  <c r="H222" i="20"/>
  <c r="G223" i="20"/>
  <c r="H223" i="20"/>
  <c r="G224" i="20"/>
  <c r="G225" i="20"/>
  <c r="H224" i="20"/>
  <c r="G226" i="20"/>
  <c r="H225" i="20"/>
  <c r="H226" i="20"/>
  <c r="G227" i="20"/>
  <c r="H227" i="20"/>
  <c r="G228" i="20"/>
  <c r="G229" i="20"/>
  <c r="H228" i="20"/>
  <c r="H229" i="20"/>
  <c r="G230" i="20"/>
  <c r="G231" i="20"/>
  <c r="H230" i="20"/>
  <c r="H231" i="20"/>
  <c r="G232" i="20"/>
  <c r="H232" i="20"/>
  <c r="G233" i="20"/>
  <c r="H233" i="20"/>
  <c r="G234" i="20"/>
  <c r="H234" i="20"/>
  <c r="G235" i="20"/>
  <c r="G236" i="20"/>
  <c r="H235" i="20"/>
  <c r="G237" i="20"/>
  <c r="H236" i="20"/>
  <c r="H237" i="20"/>
  <c r="G238" i="20"/>
  <c r="G239" i="20"/>
  <c r="H238" i="20"/>
  <c r="G240" i="20"/>
  <c r="H239" i="20"/>
  <c r="H240" i="20"/>
  <c r="G241" i="20"/>
  <c r="H241" i="20"/>
  <c r="G242" i="20"/>
  <c r="H242" i="20"/>
  <c r="G243" i="20"/>
  <c r="G244" i="20"/>
  <c r="H243" i="20"/>
  <c r="H244" i="20"/>
  <c r="G245" i="20"/>
  <c r="G246" i="20"/>
  <c r="H245" i="20"/>
  <c r="H246" i="20"/>
  <c r="G247" i="20"/>
  <c r="G248" i="20"/>
  <c r="H247" i="20"/>
  <c r="H248" i="20"/>
  <c r="G249" i="20"/>
  <c r="G250" i="20"/>
  <c r="H249" i="20"/>
  <c r="G251" i="20"/>
  <c r="H250" i="20"/>
  <c r="H251" i="20"/>
  <c r="G252" i="20"/>
  <c r="G253" i="20"/>
  <c r="H252" i="20"/>
  <c r="G254" i="20"/>
  <c r="H253" i="20"/>
  <c r="H254" i="20"/>
  <c r="G255" i="20"/>
  <c r="H255" i="20"/>
  <c r="G256" i="20"/>
  <c r="H256" i="20"/>
  <c r="G257" i="20"/>
  <c r="G258" i="20"/>
  <c r="H257" i="20"/>
  <c r="G259" i="20"/>
  <c r="H258" i="20"/>
  <c r="G260" i="20"/>
  <c r="H259" i="20"/>
  <c r="H260" i="20"/>
  <c r="G261" i="20"/>
  <c r="H261" i="20"/>
  <c r="G262" i="20"/>
  <c r="G263" i="20"/>
  <c r="H262" i="20"/>
  <c r="G264" i="20"/>
  <c r="H263" i="20"/>
  <c r="H264" i="20"/>
  <c r="G265" i="20"/>
  <c r="G266" i="20"/>
  <c r="H265" i="20"/>
  <c r="H266" i="20"/>
  <c r="G267" i="20"/>
  <c r="G268" i="20"/>
  <c r="H267" i="20"/>
  <c r="H268" i="20"/>
  <c r="G269" i="20"/>
  <c r="G270" i="20"/>
  <c r="H269" i="20"/>
  <c r="G271" i="20"/>
  <c r="H270" i="20"/>
  <c r="H271" i="20"/>
  <c r="G272" i="20"/>
  <c r="G273" i="20"/>
  <c r="H272" i="20"/>
  <c r="G274" i="20"/>
  <c r="H273" i="20"/>
  <c r="H274" i="20"/>
  <c r="G275" i="20"/>
  <c r="G276" i="20"/>
  <c r="H275" i="20"/>
  <c r="H276" i="20"/>
  <c r="G277" i="20"/>
  <c r="H277" i="20"/>
  <c r="G278" i="20"/>
  <c r="H278" i="20"/>
  <c r="G279" i="20"/>
  <c r="G280" i="20"/>
  <c r="H279" i="20"/>
  <c r="G281" i="20"/>
  <c r="H280" i="20"/>
  <c r="H281" i="20"/>
  <c r="G282" i="20"/>
  <c r="G283" i="20"/>
  <c r="H282" i="20"/>
  <c r="G284" i="20"/>
  <c r="H283" i="20"/>
  <c r="H284" i="20"/>
  <c r="G285" i="20"/>
  <c r="G286" i="20"/>
  <c r="H285" i="20"/>
  <c r="G287" i="20"/>
  <c r="H286" i="20"/>
  <c r="G288" i="20"/>
  <c r="H287" i="20"/>
  <c r="G289" i="20"/>
  <c r="H288" i="20"/>
  <c r="G290" i="20"/>
  <c r="H289" i="20"/>
  <c r="G291" i="20"/>
  <c r="H290" i="20"/>
  <c r="H291" i="20"/>
  <c r="G292" i="20"/>
  <c r="H292" i="20"/>
  <c r="G293" i="20"/>
  <c r="H293" i="20"/>
  <c r="G294" i="20"/>
  <c r="H294" i="20"/>
  <c r="G295" i="20"/>
  <c r="H295" i="20"/>
  <c r="G296" i="20"/>
  <c r="H296" i="20"/>
  <c r="G297" i="20"/>
  <c r="G298" i="20"/>
  <c r="H297" i="20"/>
  <c r="G299" i="20"/>
  <c r="H298" i="20"/>
  <c r="H299" i="20"/>
  <c r="G300" i="20"/>
  <c r="G301" i="20"/>
  <c r="H300" i="20"/>
  <c r="G302" i="20"/>
  <c r="H301" i="20"/>
  <c r="H302" i="20"/>
  <c r="G303" i="20"/>
  <c r="H303" i="20"/>
  <c r="G304" i="20"/>
  <c r="G305" i="20"/>
  <c r="H304" i="20"/>
  <c r="G306" i="20"/>
  <c r="H305" i="20"/>
  <c r="H306" i="20"/>
  <c r="G307" i="20"/>
  <c r="H307" i="20"/>
  <c r="G308" i="20"/>
  <c r="H308" i="20"/>
  <c r="G309" i="20"/>
  <c r="G310" i="20"/>
  <c r="H309" i="20"/>
  <c r="H310" i="20"/>
  <c r="G311" i="20"/>
  <c r="H311" i="20"/>
  <c r="G312" i="20"/>
  <c r="G313" i="20"/>
  <c r="H312" i="20"/>
  <c r="H313" i="20"/>
  <c r="G314" i="20"/>
  <c r="H314" i="20"/>
  <c r="G315" i="20"/>
  <c r="G316" i="20"/>
  <c r="H315" i="20"/>
  <c r="H316" i="20"/>
  <c r="G317" i="20"/>
  <c r="G318" i="20"/>
  <c r="H317" i="20"/>
  <c r="H318" i="20"/>
  <c r="G319" i="20"/>
  <c r="G320" i="20"/>
  <c r="H319" i="20"/>
  <c r="G321" i="20"/>
  <c r="H320" i="20"/>
  <c r="H321" i="20"/>
  <c r="G322" i="20"/>
  <c r="H322" i="20"/>
  <c r="G323" i="20"/>
  <c r="G324" i="20"/>
  <c r="H323" i="20"/>
  <c r="G325" i="20"/>
  <c r="H324" i="20"/>
  <c r="H325" i="20"/>
  <c r="G326" i="20"/>
  <c r="H326" i="20"/>
  <c r="G327" i="20"/>
  <c r="G328" i="20"/>
  <c r="H327" i="20"/>
  <c r="H328" i="20"/>
  <c r="G329" i="20"/>
  <c r="G330" i="20"/>
  <c r="H329" i="20"/>
  <c r="G331" i="20"/>
  <c r="H330" i="20"/>
  <c r="G332" i="20"/>
  <c r="H331" i="20"/>
  <c r="H332" i="20"/>
  <c r="G333" i="20"/>
  <c r="H333" i="20"/>
  <c r="G334" i="20"/>
  <c r="G335" i="20"/>
  <c r="H334" i="20"/>
  <c r="H335" i="20"/>
  <c r="G336" i="20"/>
  <c r="G337" i="20"/>
  <c r="H336" i="20"/>
  <c r="G338" i="20"/>
  <c r="H337" i="20"/>
  <c r="G339" i="20"/>
  <c r="H338" i="20"/>
  <c r="G340" i="20"/>
  <c r="H339" i="20"/>
  <c r="G341" i="20"/>
  <c r="H340" i="20"/>
  <c r="H341" i="20"/>
  <c r="G342" i="20"/>
  <c r="G343" i="20"/>
  <c r="H342" i="20"/>
  <c r="H343" i="20"/>
  <c r="G344" i="20"/>
  <c r="H344" i="20"/>
  <c r="G345" i="20"/>
  <c r="H345" i="20"/>
  <c r="G346" i="20"/>
  <c r="H346" i="20"/>
  <c r="G347" i="20"/>
  <c r="H347" i="20"/>
  <c r="G348" i="20"/>
  <c r="G349" i="20"/>
  <c r="H348" i="20"/>
  <c r="G350" i="20"/>
  <c r="H349" i="20"/>
  <c r="G351" i="20"/>
  <c r="H350" i="20"/>
  <c r="H351" i="20"/>
  <c r="G352" i="20"/>
  <c r="G353" i="20"/>
  <c r="H352" i="20"/>
  <c r="H353" i="20"/>
  <c r="G354" i="20"/>
  <c r="H354" i="20"/>
  <c r="G355" i="20"/>
  <c r="G356" i="20"/>
  <c r="H355" i="20"/>
  <c r="H356" i="20"/>
  <c r="G357" i="20"/>
  <c r="H357" i="20"/>
  <c r="G358" i="20"/>
  <c r="H358" i="20"/>
  <c r="G359" i="20"/>
  <c r="H359" i="20"/>
  <c r="G360" i="20"/>
  <c r="H360" i="20"/>
  <c r="G361" i="20"/>
  <c r="H361" i="20"/>
  <c r="G362" i="20"/>
  <c r="H362" i="20"/>
  <c r="G363" i="20"/>
  <c r="G364" i="20"/>
  <c r="H363" i="20"/>
  <c r="H364" i="20"/>
  <c r="G365" i="20"/>
  <c r="G366" i="20"/>
  <c r="H365" i="20"/>
  <c r="H366" i="20"/>
  <c r="G367" i="20"/>
  <c r="H367" i="20"/>
  <c r="G368" i="20"/>
  <c r="G369" i="20"/>
  <c r="H368" i="20"/>
  <c r="H369" i="20"/>
  <c r="G370" i="20"/>
  <c r="G371" i="20"/>
  <c r="H370" i="20"/>
  <c r="H371" i="20"/>
  <c r="G372" i="20"/>
  <c r="H372" i="20"/>
  <c r="G373" i="20"/>
  <c r="H373" i="20"/>
  <c r="G374" i="20"/>
  <c r="H374" i="20"/>
  <c r="G375" i="20"/>
  <c r="G376" i="20"/>
  <c r="H375" i="20"/>
  <c r="G377" i="20"/>
  <c r="H376" i="20"/>
  <c r="G378" i="20"/>
  <c r="H377" i="20"/>
  <c r="G379" i="20"/>
  <c r="H378" i="20"/>
  <c r="H379" i="20"/>
  <c r="G380" i="20"/>
  <c r="G381" i="20"/>
  <c r="H380" i="20"/>
  <c r="G382" i="20"/>
  <c r="H381" i="20"/>
  <c r="H382" i="20"/>
  <c r="G383" i="20"/>
  <c r="H383" i="20"/>
  <c r="G384" i="20"/>
  <c r="G385" i="20"/>
  <c r="H384" i="20"/>
  <c r="H385" i="20"/>
  <c r="G386" i="20"/>
  <c r="G387" i="20"/>
  <c r="H386" i="20"/>
  <c r="H387" i="20"/>
  <c r="G388" i="20"/>
  <c r="H388" i="20"/>
  <c r="G389" i="20"/>
  <c r="H389" i="20"/>
  <c r="G390" i="20"/>
  <c r="H390" i="20"/>
  <c r="G391" i="20"/>
  <c r="G392" i="20"/>
  <c r="H391" i="20"/>
  <c r="G393" i="20"/>
  <c r="H392" i="20"/>
  <c r="H393" i="20"/>
  <c r="G394" i="20"/>
  <c r="G395" i="20"/>
  <c r="H394" i="20"/>
  <c r="H395" i="20"/>
  <c r="G396" i="20"/>
  <c r="G397" i="20"/>
  <c r="H396" i="20"/>
  <c r="G398" i="20"/>
  <c r="H397" i="20"/>
  <c r="H398" i="20"/>
  <c r="G399" i="20"/>
  <c r="G400" i="20"/>
  <c r="H399" i="20"/>
  <c r="G401" i="20"/>
  <c r="H400" i="20"/>
  <c r="G402" i="20"/>
  <c r="H401" i="20"/>
  <c r="H402" i="20"/>
  <c r="G403" i="20"/>
  <c r="G404" i="20"/>
  <c r="H403" i="20"/>
  <c r="H404" i="20"/>
  <c r="G405" i="20"/>
  <c r="H405" i="20"/>
  <c r="G406" i="20"/>
  <c r="H406" i="20"/>
  <c r="G407" i="20"/>
  <c r="G408" i="20"/>
  <c r="H407" i="20"/>
  <c r="H408" i="20"/>
  <c r="G409" i="20"/>
  <c r="H409" i="20"/>
  <c r="G410" i="20"/>
  <c r="G411" i="20"/>
  <c r="H410" i="20"/>
  <c r="G412" i="20"/>
  <c r="H411" i="20"/>
  <c r="H412" i="20"/>
  <c r="G413" i="20"/>
  <c r="H413" i="20"/>
  <c r="G414" i="20"/>
  <c r="H414" i="20"/>
  <c r="G415" i="20"/>
  <c r="H415" i="20"/>
  <c r="G416" i="20"/>
  <c r="G417" i="20"/>
  <c r="H416" i="20"/>
  <c r="G418" i="20"/>
  <c r="H417" i="20"/>
  <c r="H418" i="20"/>
  <c r="G419" i="20"/>
  <c r="G420" i="20"/>
  <c r="H419" i="20"/>
  <c r="G421" i="20"/>
  <c r="H420" i="20"/>
  <c r="H421" i="20"/>
  <c r="G422" i="20"/>
  <c r="H422" i="20"/>
  <c r="G423" i="20"/>
  <c r="G424" i="20"/>
  <c r="H423" i="20"/>
  <c r="H424" i="20"/>
  <c r="G425" i="20"/>
  <c r="G426" i="20"/>
  <c r="H425" i="20"/>
  <c r="H426" i="20"/>
  <c r="G427" i="20"/>
  <c r="G428" i="20"/>
  <c r="H427" i="20"/>
  <c r="G429" i="20"/>
  <c r="H428" i="20"/>
  <c r="G430" i="20"/>
  <c r="H429" i="20"/>
  <c r="H430" i="20"/>
  <c r="G431" i="20"/>
  <c r="H431" i="20"/>
  <c r="G432" i="20"/>
  <c r="H432" i="20"/>
  <c r="G433" i="20"/>
  <c r="G434" i="20"/>
  <c r="H433" i="20"/>
  <c r="G435" i="20"/>
  <c r="H434" i="20"/>
  <c r="G436" i="20"/>
  <c r="H435" i="20"/>
  <c r="G437" i="20"/>
  <c r="H436" i="20"/>
  <c r="H437" i="20"/>
  <c r="G438" i="20"/>
  <c r="G439" i="20"/>
  <c r="H438" i="20"/>
  <c r="G440" i="20"/>
  <c r="H439" i="20"/>
  <c r="H440" i="20"/>
  <c r="G441" i="20"/>
  <c r="G442" i="20"/>
  <c r="H441" i="20"/>
  <c r="G443" i="20"/>
  <c r="H442" i="20"/>
  <c r="G444" i="20"/>
  <c r="H443" i="20"/>
  <c r="H444" i="20"/>
  <c r="G445" i="20"/>
  <c r="H445" i="20"/>
  <c r="G446" i="20"/>
  <c r="G447" i="20"/>
  <c r="H446" i="20"/>
  <c r="G448" i="20"/>
  <c r="H447" i="20"/>
  <c r="G449" i="20"/>
  <c r="H448" i="20"/>
  <c r="G450" i="20"/>
  <c r="H449" i="20"/>
  <c r="G451" i="20"/>
  <c r="H450" i="20"/>
  <c r="H451" i="20"/>
  <c r="G452" i="20"/>
  <c r="H452" i="20"/>
  <c r="G453" i="20"/>
  <c r="H453" i="20"/>
  <c r="G454" i="20"/>
  <c r="H454" i="20"/>
  <c r="G455" i="20"/>
  <c r="H455" i="20"/>
  <c r="G456" i="20"/>
  <c r="H456" i="20"/>
  <c r="G457" i="20"/>
  <c r="H457" i="20"/>
  <c r="G458" i="20"/>
  <c r="G459" i="20"/>
  <c r="H458" i="20"/>
  <c r="G460" i="20"/>
  <c r="H459" i="20"/>
  <c r="H460" i="20"/>
  <c r="G461" i="20"/>
  <c r="G462" i="20"/>
  <c r="H461" i="20"/>
  <c r="G463" i="20"/>
  <c r="H462" i="20"/>
  <c r="H463" i="20"/>
  <c r="G464" i="20"/>
  <c r="G465" i="20"/>
  <c r="H464" i="20"/>
  <c r="H465" i="20"/>
  <c r="G466" i="20"/>
  <c r="H466" i="20"/>
  <c r="G467" i="20"/>
  <c r="H467" i="20"/>
  <c r="G468" i="20"/>
  <c r="H468" i="20"/>
  <c r="G469" i="20"/>
  <c r="G470" i="20"/>
  <c r="H469" i="20"/>
  <c r="H470" i="20"/>
  <c r="G471" i="20"/>
  <c r="G472" i="20"/>
  <c r="H471" i="20"/>
  <c r="H472" i="20"/>
  <c r="G473" i="20"/>
  <c r="H473" i="20"/>
  <c r="G474" i="20"/>
  <c r="H474" i="20"/>
  <c r="G475" i="20"/>
  <c r="H475" i="20"/>
  <c r="G476" i="20"/>
  <c r="G477" i="20"/>
  <c r="H476" i="20"/>
  <c r="G478" i="20"/>
  <c r="H477" i="20"/>
  <c r="G479" i="20"/>
  <c r="H478" i="20"/>
  <c r="H479" i="20"/>
  <c r="G480" i="20"/>
  <c r="G481" i="20"/>
  <c r="H480" i="20"/>
  <c r="G482" i="20"/>
  <c r="H481" i="20"/>
  <c r="G483" i="20"/>
  <c r="H482" i="20"/>
  <c r="G484" i="20"/>
  <c r="H483" i="20"/>
  <c r="H484" i="20"/>
  <c r="G485" i="20"/>
  <c r="G486" i="20"/>
  <c r="H485" i="20"/>
  <c r="G487" i="20"/>
  <c r="H486" i="20"/>
  <c r="H487" i="20"/>
  <c r="G488" i="20"/>
  <c r="G489" i="20"/>
  <c r="H488" i="20"/>
  <c r="H489" i="20"/>
  <c r="G490" i="20"/>
  <c r="H490" i="20"/>
  <c r="G491" i="20"/>
  <c r="G492" i="20"/>
  <c r="H491" i="20"/>
  <c r="G493" i="20"/>
  <c r="H492" i="20"/>
  <c r="H493" i="20"/>
  <c r="G494" i="20"/>
  <c r="G495" i="20"/>
  <c r="H494" i="20"/>
  <c r="G496" i="20"/>
  <c r="H495" i="20"/>
  <c r="H496" i="20"/>
  <c r="G497" i="20"/>
  <c r="H497" i="20"/>
  <c r="G498" i="20"/>
  <c r="G499" i="20"/>
  <c r="H498" i="20"/>
  <c r="H499" i="20"/>
  <c r="G500" i="20"/>
  <c r="G501" i="20"/>
  <c r="H500" i="20"/>
  <c r="G502" i="20"/>
  <c r="H501" i="20"/>
  <c r="H502" i="20"/>
  <c r="G503" i="20"/>
  <c r="G504" i="20"/>
  <c r="H503" i="20"/>
  <c r="G505" i="20"/>
  <c r="H504" i="20"/>
  <c r="G506" i="20"/>
  <c r="H505" i="20"/>
  <c r="G507" i="20"/>
  <c r="H506" i="20"/>
  <c r="H507" i="20"/>
  <c r="G508" i="20"/>
  <c r="G509" i="20"/>
  <c r="H508" i="20"/>
  <c r="H509" i="20"/>
  <c r="G510" i="20"/>
  <c r="G511" i="20"/>
  <c r="H510" i="20"/>
  <c r="H511" i="20"/>
  <c r="G512" i="20"/>
  <c r="H512" i="20"/>
  <c r="G513" i="20"/>
  <c r="H513" i="20"/>
  <c r="G514" i="20"/>
  <c r="G515" i="20"/>
  <c r="H514" i="20"/>
  <c r="G516" i="20"/>
  <c r="H515" i="20"/>
  <c r="G517" i="20"/>
  <c r="H516" i="20"/>
  <c r="G518" i="20"/>
  <c r="H517" i="20"/>
  <c r="G519" i="20"/>
  <c r="H518" i="20"/>
  <c r="H519" i="20"/>
  <c r="G520" i="20"/>
  <c r="H520" i="20"/>
  <c r="G521" i="20"/>
  <c r="G522" i="20"/>
  <c r="H521" i="20"/>
  <c r="G523" i="20"/>
  <c r="H522" i="20"/>
  <c r="G524" i="20"/>
  <c r="H523" i="20"/>
  <c r="G525" i="20"/>
  <c r="H524" i="20"/>
  <c r="H525" i="20"/>
  <c r="G526" i="20"/>
  <c r="H526" i="20"/>
  <c r="G527" i="20"/>
  <c r="H527" i="20"/>
  <c r="G528" i="20"/>
  <c r="H528" i="20"/>
  <c r="G529" i="20"/>
  <c r="H529" i="20"/>
  <c r="G530" i="20"/>
  <c r="H530" i="20"/>
  <c r="G531" i="20"/>
  <c r="H531" i="20"/>
  <c r="G532" i="20"/>
  <c r="G533" i="20"/>
  <c r="H532" i="20"/>
  <c r="G534" i="20"/>
  <c r="H533" i="20"/>
  <c r="G535" i="20"/>
  <c r="H534" i="20"/>
  <c r="G536" i="20"/>
  <c r="H535" i="20"/>
  <c r="G537" i="20"/>
  <c r="H536" i="20"/>
  <c r="G538" i="20"/>
  <c r="H537" i="20"/>
  <c r="H538" i="20"/>
  <c r="G539" i="20"/>
  <c r="H539" i="20"/>
  <c r="G540" i="20"/>
  <c r="H540" i="20"/>
  <c r="G541" i="20"/>
  <c r="H541" i="20"/>
  <c r="G542" i="20"/>
  <c r="H542" i="20"/>
  <c r="G543" i="20"/>
  <c r="H543" i="20"/>
  <c r="G544" i="20"/>
  <c r="G545" i="20"/>
  <c r="H544" i="20"/>
  <c r="G546" i="20"/>
  <c r="H545" i="20"/>
  <c r="G547" i="20"/>
  <c r="H546" i="20"/>
  <c r="G548" i="20"/>
  <c r="H547" i="20"/>
  <c r="H548" i="20"/>
  <c r="G549" i="20"/>
  <c r="G550" i="20"/>
  <c r="H549" i="20"/>
  <c r="G551" i="20"/>
  <c r="H550" i="20"/>
  <c r="H551" i="20"/>
  <c r="G552" i="20"/>
  <c r="G553" i="20"/>
  <c r="H552" i="20"/>
  <c r="G554" i="20"/>
  <c r="H553" i="20"/>
  <c r="G555" i="20"/>
  <c r="H554" i="20"/>
  <c r="G556" i="20"/>
  <c r="H555" i="20"/>
  <c r="H556" i="20"/>
  <c r="G557" i="20"/>
  <c r="H557" i="20"/>
  <c r="G558" i="20"/>
  <c r="H558" i="20"/>
  <c r="G559" i="20"/>
  <c r="G560" i="20"/>
  <c r="H559" i="20"/>
  <c r="G561" i="20"/>
  <c r="H560" i="20"/>
  <c r="H561" i="20"/>
  <c r="G562" i="20"/>
  <c r="G563" i="20"/>
  <c r="H562" i="20"/>
  <c r="H563" i="20"/>
  <c r="G564" i="20"/>
  <c r="G565" i="20"/>
  <c r="H564" i="20"/>
  <c r="H565" i="20"/>
  <c r="G566" i="20"/>
  <c r="G567" i="20"/>
  <c r="H566" i="20"/>
  <c r="H567" i="20"/>
  <c r="G568" i="20"/>
  <c r="H568" i="20"/>
  <c r="G569" i="20"/>
  <c r="G570" i="20"/>
  <c r="H569" i="20"/>
  <c r="H570" i="20"/>
  <c r="G571" i="20"/>
  <c r="H571" i="20"/>
  <c r="G572" i="20"/>
  <c r="G573" i="20"/>
  <c r="H572" i="20"/>
  <c r="H573" i="20"/>
  <c r="G574" i="20"/>
  <c r="H574" i="20"/>
  <c r="G575" i="20"/>
  <c r="H575" i="20"/>
  <c r="G576" i="20"/>
  <c r="H576" i="20"/>
  <c r="G577" i="20"/>
  <c r="H577" i="20"/>
  <c r="G578" i="20"/>
  <c r="H578" i="20"/>
  <c r="G579" i="20"/>
  <c r="G580" i="20"/>
  <c r="H579" i="20"/>
  <c r="G581" i="20"/>
  <c r="H580" i="20"/>
  <c r="G582" i="20"/>
  <c r="H581" i="20"/>
  <c r="G583" i="20"/>
  <c r="H582" i="20"/>
  <c r="H583" i="20"/>
  <c r="G584" i="20"/>
  <c r="H584" i="20"/>
  <c r="G585" i="20"/>
  <c r="H585" i="20"/>
  <c r="G586" i="20"/>
  <c r="H586" i="20"/>
  <c r="G587" i="20"/>
  <c r="G588" i="20"/>
  <c r="H587" i="20"/>
  <c r="H588" i="20"/>
  <c r="G589" i="20"/>
  <c r="G590" i="20"/>
  <c r="H589" i="20"/>
  <c r="H590" i="20"/>
  <c r="G591" i="20"/>
  <c r="H591" i="20"/>
  <c r="G592" i="20"/>
  <c r="G593" i="20"/>
  <c r="H592" i="20"/>
  <c r="G594" i="20"/>
  <c r="H593" i="20"/>
  <c r="H594" i="20"/>
  <c r="G595" i="20"/>
  <c r="G596" i="20"/>
  <c r="H595" i="20"/>
  <c r="H596" i="20"/>
  <c r="G597" i="20"/>
  <c r="H597" i="20"/>
  <c r="G598" i="20"/>
  <c r="H598" i="20"/>
  <c r="G599" i="20"/>
  <c r="G600" i="20"/>
  <c r="H599" i="20"/>
  <c r="G601" i="20"/>
  <c r="H600" i="20"/>
  <c r="H601" i="20"/>
  <c r="G602" i="20"/>
  <c r="H602" i="20"/>
  <c r="G603" i="20"/>
  <c r="H603" i="20"/>
  <c r="G604" i="20"/>
  <c r="H604" i="20"/>
  <c r="G605" i="20"/>
  <c r="G606" i="20"/>
  <c r="H605" i="20"/>
  <c r="G607" i="20"/>
  <c r="H606" i="20"/>
  <c r="H607" i="20"/>
  <c r="G608" i="20"/>
  <c r="H608" i="20"/>
  <c r="G609" i="20"/>
  <c r="G610" i="20"/>
  <c r="H609" i="20"/>
  <c r="G611" i="20"/>
  <c r="H610" i="20"/>
  <c r="H611" i="20"/>
  <c r="G612" i="20"/>
  <c r="G613" i="20"/>
  <c r="H612" i="20"/>
  <c r="G614" i="20"/>
  <c r="H613" i="20"/>
  <c r="G615" i="20"/>
  <c r="H614" i="20"/>
  <c r="G616" i="20"/>
  <c r="H615" i="20"/>
  <c r="H616" i="20"/>
  <c r="G617" i="20"/>
  <c r="H617" i="20"/>
  <c r="G618" i="20"/>
  <c r="G619" i="20"/>
  <c r="H618" i="20"/>
  <c r="G620" i="20"/>
  <c r="H619" i="20"/>
  <c r="G621" i="20"/>
  <c r="H620" i="20"/>
  <c r="H621" i="20"/>
  <c r="G622" i="20"/>
  <c r="G623" i="20"/>
  <c r="H622" i="20"/>
  <c r="H623" i="20"/>
  <c r="G624" i="20"/>
  <c r="G625" i="20"/>
  <c r="H624" i="20"/>
  <c r="H625" i="20"/>
  <c r="G626" i="20"/>
  <c r="H626" i="20"/>
  <c r="G627" i="20"/>
  <c r="G628" i="20"/>
  <c r="H627" i="20"/>
  <c r="H628" i="20"/>
  <c r="G629" i="20"/>
  <c r="H629" i="20"/>
  <c r="G630" i="20"/>
  <c r="H630" i="20"/>
  <c r="G631" i="20"/>
  <c r="G632" i="20"/>
  <c r="H631" i="20"/>
  <c r="H632" i="20"/>
  <c r="G633" i="20"/>
  <c r="H633" i="20"/>
  <c r="G634" i="20"/>
  <c r="G635" i="20"/>
  <c r="H634" i="20"/>
  <c r="H635" i="20"/>
  <c r="G636" i="20"/>
  <c r="H636" i="20"/>
  <c r="G637" i="20"/>
  <c r="H637" i="20"/>
  <c r="G638" i="20"/>
  <c r="G639" i="20"/>
  <c r="H638" i="20"/>
  <c r="G640" i="20"/>
  <c r="H639" i="20"/>
  <c r="H640" i="20"/>
  <c r="G641" i="20"/>
  <c r="H641" i="20"/>
  <c r="G642" i="20"/>
  <c r="G643" i="20"/>
  <c r="H642" i="20"/>
  <c r="H643" i="20"/>
  <c r="G644" i="20"/>
  <c r="H644" i="20"/>
  <c r="G645" i="20"/>
  <c r="H645" i="20"/>
  <c r="G646" i="20"/>
  <c r="H646" i="20"/>
  <c r="G647" i="20"/>
  <c r="G648" i="20"/>
  <c r="H647" i="20"/>
  <c r="G649" i="20"/>
  <c r="H648" i="20"/>
  <c r="H649" i="20"/>
  <c r="G650" i="20"/>
  <c r="G651" i="20"/>
  <c r="H650" i="20"/>
  <c r="H651" i="20"/>
  <c r="G652" i="20"/>
  <c r="H652" i="20"/>
  <c r="G653" i="20"/>
  <c r="H653" i="20"/>
  <c r="G654" i="20"/>
  <c r="H654" i="20"/>
  <c r="G655" i="20"/>
  <c r="G656" i="20"/>
  <c r="H655" i="20"/>
  <c r="G657" i="20"/>
  <c r="H656" i="20"/>
  <c r="G658" i="20"/>
  <c r="H657" i="20"/>
  <c r="H658" i="20"/>
  <c r="G659" i="20"/>
  <c r="G660" i="20"/>
  <c r="H659" i="20"/>
  <c r="G661" i="20"/>
  <c r="H660" i="20"/>
  <c r="G662" i="20"/>
  <c r="H661" i="20"/>
  <c r="H662" i="20"/>
  <c r="G663" i="20"/>
  <c r="G664" i="20"/>
  <c r="H663" i="20"/>
  <c r="H664" i="20"/>
  <c r="G665" i="20"/>
  <c r="H665" i="20"/>
  <c r="G666" i="20"/>
  <c r="H666" i="20"/>
  <c r="G667" i="20"/>
  <c r="H667" i="20"/>
  <c r="G668" i="20"/>
  <c r="G669" i="20"/>
  <c r="H668" i="20"/>
  <c r="H669" i="20"/>
  <c r="G670" i="20"/>
  <c r="G671" i="20"/>
  <c r="H670" i="20"/>
  <c r="G672" i="20"/>
  <c r="H671" i="20"/>
  <c r="G673" i="20"/>
  <c r="H672" i="20"/>
  <c r="G674" i="20"/>
  <c r="H673" i="20"/>
  <c r="G675" i="20"/>
  <c r="H674" i="20"/>
  <c r="H675" i="20"/>
  <c r="G676" i="20"/>
  <c r="G677" i="20"/>
  <c r="H676" i="20"/>
  <c r="G678" i="20"/>
  <c r="H677" i="20"/>
  <c r="G679" i="20"/>
  <c r="H678" i="20"/>
  <c r="G680" i="20"/>
  <c r="H679" i="20"/>
  <c r="H680" i="20"/>
  <c r="G681" i="20"/>
  <c r="H681" i="20"/>
  <c r="G682" i="20"/>
  <c r="H682" i="20"/>
  <c r="G683" i="20"/>
  <c r="G684" i="20"/>
  <c r="H683" i="20"/>
  <c r="H684" i="20"/>
  <c r="G685" i="20"/>
  <c r="H685" i="20"/>
  <c r="G686" i="20"/>
  <c r="G687" i="20"/>
  <c r="H686" i="20"/>
  <c r="G688" i="20"/>
  <c r="H687" i="20"/>
  <c r="G689" i="20"/>
  <c r="H688" i="20"/>
  <c r="G690" i="20"/>
  <c r="H689" i="20"/>
  <c r="H690" i="20"/>
  <c r="G691" i="20"/>
  <c r="H691" i="20"/>
  <c r="G692" i="20"/>
  <c r="G693" i="20"/>
  <c r="H692" i="20"/>
  <c r="G694" i="20"/>
  <c r="H693" i="20"/>
  <c r="H694" i="20"/>
  <c r="G695" i="20"/>
  <c r="G696" i="20"/>
  <c r="H695" i="20"/>
  <c r="G697" i="20"/>
  <c r="H696" i="20"/>
  <c r="H697" i="20"/>
  <c r="G698" i="20"/>
  <c r="G699" i="20"/>
  <c r="H698" i="20"/>
  <c r="H699" i="20"/>
  <c r="G700" i="20"/>
  <c r="H700" i="20"/>
  <c r="G701" i="20"/>
  <c r="H701" i="20"/>
  <c r="G702" i="20"/>
  <c r="H702" i="20"/>
  <c r="G703" i="20"/>
  <c r="G704" i="20"/>
  <c r="H703" i="20"/>
  <c r="G705" i="20"/>
  <c r="H704" i="20"/>
  <c r="G706" i="20"/>
  <c r="H705" i="20"/>
  <c r="G707" i="20"/>
  <c r="H706" i="20"/>
  <c r="G708" i="20"/>
  <c r="H707" i="20"/>
  <c r="G709" i="20"/>
  <c r="H708" i="20"/>
  <c r="G710" i="20"/>
  <c r="H709" i="20"/>
  <c r="H710" i="20"/>
  <c r="G711" i="20"/>
  <c r="H711" i="20"/>
  <c r="G712" i="20"/>
  <c r="G713" i="20"/>
  <c r="H712" i="20"/>
  <c r="G714" i="20"/>
  <c r="H713" i="20"/>
  <c r="H714" i="20"/>
  <c r="G715" i="20"/>
  <c r="G716" i="20"/>
  <c r="H715" i="20"/>
  <c r="H716" i="20"/>
  <c r="G717" i="20"/>
  <c r="G718" i="20"/>
  <c r="H717" i="20"/>
  <c r="G719" i="20"/>
  <c r="H718" i="20"/>
  <c r="H719" i="20"/>
  <c r="G720" i="20"/>
  <c r="G721" i="20"/>
  <c r="H720" i="20"/>
  <c r="G722" i="20"/>
  <c r="H721" i="20"/>
  <c r="G723" i="20"/>
  <c r="H722" i="20"/>
  <c r="H723" i="20"/>
  <c r="G724" i="20"/>
  <c r="H724" i="20"/>
  <c r="G725" i="20"/>
  <c r="H725" i="20"/>
  <c r="G726" i="20"/>
  <c r="G727" i="20"/>
  <c r="H726" i="20"/>
  <c r="H727" i="20"/>
  <c r="G728" i="20"/>
  <c r="G729" i="20"/>
  <c r="H728" i="20"/>
  <c r="G730" i="20"/>
  <c r="H729" i="20"/>
  <c r="G731" i="20"/>
  <c r="H730" i="20"/>
  <c r="H731" i="20"/>
  <c r="G732" i="20"/>
  <c r="H732" i="20"/>
  <c r="G733" i="20"/>
  <c r="G734" i="20"/>
  <c r="H733" i="20"/>
  <c r="H734" i="20"/>
  <c r="G735" i="20"/>
  <c r="H735" i="20"/>
  <c r="G736" i="20"/>
  <c r="G737" i="20"/>
  <c r="H736" i="20"/>
  <c r="G738" i="20"/>
  <c r="H737" i="20"/>
  <c r="G739" i="20"/>
  <c r="H738" i="20"/>
  <c r="G740" i="20"/>
  <c r="H739" i="20"/>
  <c r="H740" i="20"/>
  <c r="G741" i="20"/>
  <c r="H741" i="20"/>
  <c r="G742" i="20"/>
  <c r="G743" i="20"/>
  <c r="H742" i="20"/>
  <c r="G744" i="20"/>
  <c r="H743" i="20"/>
  <c r="H744" i="20"/>
  <c r="G745" i="20"/>
  <c r="H745" i="20"/>
  <c r="G746" i="20"/>
  <c r="H746" i="20"/>
  <c r="G747" i="20"/>
  <c r="G748" i="20"/>
  <c r="H747" i="20"/>
  <c r="G749" i="20"/>
  <c r="H748" i="20"/>
  <c r="H749" i="20"/>
  <c r="G750" i="20"/>
  <c r="G751" i="20"/>
  <c r="H750" i="20"/>
  <c r="G752" i="20"/>
  <c r="H751" i="20"/>
  <c r="H752" i="20"/>
  <c r="G753" i="20"/>
  <c r="H753" i="20"/>
  <c r="G754" i="20"/>
  <c r="G755" i="20"/>
  <c r="H754" i="20"/>
  <c r="H755" i="20"/>
  <c r="G756" i="20"/>
  <c r="H756" i="20"/>
  <c r="G757" i="20"/>
  <c r="H757" i="20"/>
  <c r="G758" i="20"/>
  <c r="H758" i="20"/>
  <c r="G759" i="20"/>
  <c r="G760" i="20"/>
  <c r="H759" i="20"/>
  <c r="G761" i="20"/>
  <c r="H760" i="20"/>
  <c r="H761" i="20"/>
  <c r="G762" i="20"/>
  <c r="G763" i="20"/>
  <c r="H762" i="20"/>
  <c r="H763" i="20"/>
  <c r="G764" i="20"/>
  <c r="H764" i="20"/>
  <c r="G765" i="20"/>
  <c r="H765" i="20"/>
  <c r="G766" i="20"/>
  <c r="G767" i="20"/>
  <c r="H766" i="20"/>
  <c r="H767" i="20"/>
  <c r="G768" i="20"/>
  <c r="H768" i="20"/>
  <c r="G769" i="20"/>
  <c r="H769" i="20"/>
  <c r="G770" i="20"/>
  <c r="G771" i="20"/>
  <c r="H770" i="20"/>
  <c r="G772" i="20"/>
  <c r="H771" i="20"/>
  <c r="H772" i="20"/>
  <c r="G773" i="20"/>
  <c r="G774" i="20"/>
  <c r="H773" i="20"/>
  <c r="H774" i="20"/>
  <c r="G775" i="20"/>
  <c r="H775" i="20"/>
  <c r="G776" i="20"/>
  <c r="H776" i="20"/>
  <c r="G777" i="20"/>
  <c r="G778" i="20"/>
  <c r="H777" i="20"/>
  <c r="G779" i="20"/>
  <c r="H778" i="20"/>
  <c r="H779" i="20"/>
  <c r="G780" i="20"/>
  <c r="G781" i="20"/>
  <c r="H780" i="20"/>
  <c r="H781" i="20"/>
  <c r="G782" i="20"/>
  <c r="H782" i="20"/>
  <c r="G783" i="20"/>
  <c r="H783" i="20"/>
  <c r="G784" i="20"/>
  <c r="H784" i="20"/>
  <c r="G785" i="20"/>
  <c r="H785" i="20"/>
  <c r="G786" i="20"/>
  <c r="G787" i="20"/>
  <c r="H786" i="20"/>
  <c r="G788" i="20"/>
  <c r="H787" i="20"/>
  <c r="H788" i="20"/>
  <c r="G789" i="20"/>
  <c r="G790" i="20"/>
  <c r="H789" i="20"/>
  <c r="G791" i="20"/>
  <c r="H790" i="20"/>
  <c r="G792" i="20"/>
  <c r="H791" i="20"/>
  <c r="H792" i="20"/>
  <c r="G793" i="20"/>
  <c r="G794" i="20"/>
  <c r="H793" i="20"/>
  <c r="H794" i="20"/>
  <c r="G795" i="20"/>
  <c r="H795" i="20"/>
  <c r="G796" i="20"/>
  <c r="G797" i="20"/>
  <c r="H796" i="20"/>
  <c r="G798" i="20"/>
  <c r="H797" i="20"/>
  <c r="H798" i="20"/>
  <c r="G799" i="20"/>
  <c r="G800" i="20"/>
  <c r="H799" i="20"/>
  <c r="H800" i="20"/>
  <c r="G801" i="20"/>
  <c r="H801" i="20"/>
  <c r="G802" i="20"/>
  <c r="H802" i="20"/>
  <c r="G803" i="20"/>
  <c r="G804" i="20"/>
  <c r="H803" i="20"/>
  <c r="H804" i="20"/>
  <c r="G805" i="20"/>
  <c r="G806" i="20"/>
  <c r="H805" i="20"/>
  <c r="G807" i="20"/>
  <c r="H806" i="20"/>
  <c r="G808" i="20"/>
  <c r="H807" i="20"/>
  <c r="G809" i="20"/>
  <c r="H808" i="20"/>
  <c r="H809" i="20"/>
  <c r="G810" i="20"/>
  <c r="G811" i="20"/>
  <c r="H810" i="20"/>
  <c r="G812" i="20"/>
  <c r="H811" i="20"/>
  <c r="H812" i="20"/>
  <c r="G813" i="20"/>
  <c r="G814" i="20"/>
  <c r="H813" i="20"/>
  <c r="H814" i="20"/>
  <c r="G815" i="20"/>
  <c r="H815" i="20"/>
  <c r="G816" i="20"/>
  <c r="G817" i="20"/>
  <c r="H816" i="20"/>
  <c r="G818" i="20"/>
  <c r="H817" i="20"/>
  <c r="H818" i="20"/>
  <c r="G819" i="20"/>
  <c r="H819" i="20"/>
  <c r="G820" i="20"/>
  <c r="H820" i="20"/>
  <c r="G821" i="20"/>
  <c r="G822" i="20"/>
  <c r="H821" i="20"/>
  <c r="H822" i="20"/>
  <c r="G823" i="20"/>
  <c r="G824" i="20"/>
  <c r="H823" i="20"/>
  <c r="H824" i="20"/>
  <c r="G825" i="20"/>
  <c r="H825" i="20"/>
  <c r="G826" i="20"/>
  <c r="G827" i="20"/>
  <c r="H826" i="20"/>
  <c r="G828" i="20"/>
  <c r="H827" i="20"/>
  <c r="G829" i="20"/>
  <c r="H828" i="20"/>
  <c r="G830" i="20"/>
  <c r="H829" i="20"/>
  <c r="H830" i="20"/>
  <c r="G831" i="20"/>
  <c r="H831" i="20"/>
  <c r="G832" i="20"/>
  <c r="H832" i="20"/>
  <c r="G833" i="20"/>
  <c r="H833" i="20"/>
  <c r="G834" i="20"/>
  <c r="G835" i="20"/>
  <c r="H834" i="20"/>
  <c r="H835" i="20"/>
  <c r="G836" i="20"/>
  <c r="G837" i="20"/>
  <c r="H836" i="20"/>
  <c r="H837" i="20"/>
  <c r="G838" i="20"/>
  <c r="H838" i="20"/>
  <c r="G839" i="20"/>
  <c r="H839" i="20"/>
  <c r="G840" i="20"/>
  <c r="H840" i="20"/>
  <c r="G841" i="20"/>
  <c r="H841" i="20"/>
  <c r="G842" i="20"/>
  <c r="G843" i="20"/>
  <c r="H842" i="20"/>
  <c r="G844" i="20"/>
  <c r="H843" i="20"/>
  <c r="G845" i="20"/>
  <c r="H844" i="20"/>
  <c r="H845" i="20"/>
  <c r="G846" i="20"/>
  <c r="G847" i="20"/>
  <c r="H846" i="20"/>
  <c r="H847" i="20"/>
  <c r="G848" i="20"/>
  <c r="H848" i="20"/>
  <c r="G849" i="20"/>
  <c r="G850" i="20"/>
  <c r="H849" i="20"/>
  <c r="H850" i="20"/>
  <c r="G851" i="20"/>
  <c r="H851" i="20"/>
  <c r="G852" i="20"/>
  <c r="G853" i="20"/>
  <c r="H852" i="20"/>
  <c r="H853" i="20"/>
  <c r="G854" i="20"/>
  <c r="H854" i="20"/>
  <c r="G855" i="20"/>
  <c r="H855" i="20"/>
  <c r="G856" i="20"/>
  <c r="G857" i="20"/>
  <c r="H856" i="20"/>
  <c r="G858" i="20"/>
  <c r="H857" i="20"/>
  <c r="H858" i="20"/>
  <c r="G859" i="20"/>
  <c r="G860" i="20"/>
  <c r="H859" i="20"/>
  <c r="G861" i="20"/>
  <c r="H860" i="20"/>
  <c r="H861" i="20"/>
  <c r="G862" i="20"/>
  <c r="G863" i="20"/>
  <c r="H862" i="20"/>
  <c r="G864" i="20"/>
  <c r="H863" i="20"/>
  <c r="G865" i="20"/>
  <c r="H864" i="20"/>
  <c r="H865" i="20"/>
  <c r="G866" i="20"/>
  <c r="G867" i="20"/>
  <c r="H866" i="20"/>
  <c r="H867" i="20"/>
  <c r="G868" i="20"/>
  <c r="H868" i="20"/>
  <c r="G869" i="20"/>
  <c r="H869" i="20"/>
  <c r="G870" i="20"/>
  <c r="H870" i="20"/>
  <c r="G871" i="20"/>
  <c r="G872" i="20"/>
  <c r="H871" i="20"/>
  <c r="H872" i="20"/>
  <c r="G873" i="20"/>
  <c r="H873" i="20"/>
  <c r="G874" i="20"/>
  <c r="H874" i="20"/>
  <c r="G875" i="20"/>
  <c r="G876" i="20"/>
  <c r="H875" i="20"/>
  <c r="G877" i="20"/>
  <c r="H876" i="20"/>
  <c r="H877" i="20"/>
  <c r="G878" i="20"/>
  <c r="G879" i="20"/>
  <c r="H878" i="20"/>
  <c r="H879" i="20"/>
  <c r="G880" i="20"/>
  <c r="G881" i="20"/>
  <c r="H880" i="20"/>
  <c r="G882" i="20"/>
  <c r="H881" i="20"/>
  <c r="H882" i="20"/>
  <c r="G883" i="20"/>
  <c r="H883" i="20"/>
  <c r="G884" i="20"/>
  <c r="G885" i="20"/>
  <c r="H884" i="20"/>
  <c r="H885" i="20"/>
  <c r="G886" i="20"/>
  <c r="H886" i="20"/>
  <c r="G887" i="20"/>
  <c r="G888" i="20"/>
  <c r="H887" i="20"/>
  <c r="H888" i="20"/>
  <c r="G889" i="20"/>
  <c r="H889" i="20"/>
  <c r="G890" i="20"/>
  <c r="H890" i="20"/>
  <c r="G891" i="20"/>
  <c r="G892" i="20"/>
  <c r="H891" i="20"/>
  <c r="G893" i="20"/>
  <c r="H892" i="20"/>
  <c r="G894" i="20"/>
  <c r="H893" i="20"/>
  <c r="H894" i="20"/>
  <c r="G895" i="20"/>
  <c r="G896" i="20"/>
  <c r="H895" i="20"/>
  <c r="G897" i="20"/>
  <c r="H896" i="20"/>
  <c r="H897" i="20"/>
  <c r="G898" i="20"/>
  <c r="H898" i="20"/>
  <c r="G899" i="20"/>
  <c r="H899" i="20"/>
  <c r="G900" i="20"/>
  <c r="H900" i="20"/>
  <c r="G901" i="20"/>
  <c r="H901" i="20"/>
  <c r="G902" i="20"/>
  <c r="H902" i="20"/>
  <c r="G903" i="20"/>
  <c r="H903" i="20"/>
  <c r="G904" i="20"/>
  <c r="G905" i="20"/>
  <c r="H904" i="20"/>
  <c r="H905" i="20"/>
  <c r="G906" i="20"/>
  <c r="G907" i="20"/>
  <c r="H906" i="20"/>
  <c r="H907" i="20"/>
  <c r="G908" i="20"/>
  <c r="G909" i="20"/>
  <c r="H908" i="20"/>
  <c r="G910" i="20"/>
  <c r="H909" i="20"/>
  <c r="G911" i="20"/>
  <c r="H910" i="20"/>
  <c r="G912" i="20"/>
  <c r="H911" i="20"/>
  <c r="H912" i="20"/>
  <c r="G913" i="20"/>
  <c r="H913" i="20"/>
  <c r="G914" i="20"/>
  <c r="H914" i="20"/>
  <c r="G915" i="20"/>
  <c r="G916" i="20"/>
  <c r="H915" i="20"/>
  <c r="H916" i="20"/>
  <c r="G917" i="20"/>
  <c r="G918" i="20"/>
  <c r="H917" i="20"/>
  <c r="H918" i="20"/>
  <c r="G919" i="20"/>
  <c r="H919" i="20"/>
  <c r="G920" i="20"/>
  <c r="G921" i="20"/>
  <c r="H920" i="20"/>
  <c r="H921" i="20"/>
  <c r="G922" i="20"/>
  <c r="H922" i="20"/>
  <c r="G923" i="20"/>
  <c r="H923" i="20"/>
  <c r="G924" i="20"/>
  <c r="G925" i="20"/>
  <c r="H924" i="20"/>
  <c r="H925" i="20"/>
  <c r="G926" i="20"/>
  <c r="H926" i="20"/>
  <c r="G927" i="20"/>
  <c r="H927" i="20"/>
  <c r="G928" i="20"/>
  <c r="G929" i="20"/>
  <c r="H928" i="20"/>
  <c r="G930" i="20"/>
  <c r="H929" i="20"/>
  <c r="G931" i="20"/>
  <c r="H930" i="20"/>
  <c r="G932" i="20"/>
  <c r="H931" i="20"/>
  <c r="G933" i="20"/>
  <c r="H932" i="20"/>
  <c r="H933" i="20"/>
  <c r="G934" i="20"/>
  <c r="H934" i="20"/>
  <c r="G935" i="20"/>
  <c r="G936" i="20"/>
  <c r="H935" i="20"/>
  <c r="G937" i="20"/>
  <c r="H936" i="20"/>
  <c r="H937" i="20"/>
  <c r="G938" i="20"/>
  <c r="H938" i="20"/>
  <c r="G939" i="20"/>
  <c r="G940" i="20"/>
  <c r="H939" i="20"/>
  <c r="G941" i="20"/>
  <c r="H940" i="20"/>
  <c r="G942" i="20"/>
  <c r="H941" i="20"/>
  <c r="G943" i="20"/>
  <c r="H942" i="20"/>
  <c r="G944" i="20"/>
  <c r="H943" i="20"/>
  <c r="H944" i="20"/>
  <c r="G945" i="20"/>
  <c r="H945" i="20"/>
  <c r="G946" i="20"/>
  <c r="H946" i="20"/>
  <c r="G947" i="20"/>
  <c r="G948" i="20"/>
  <c r="H947" i="20"/>
  <c r="H948" i="20"/>
  <c r="G949" i="20"/>
  <c r="G950" i="20"/>
  <c r="H949" i="20"/>
  <c r="G951" i="20"/>
  <c r="H950" i="20"/>
  <c r="G952" i="20"/>
  <c r="H951" i="20"/>
  <c r="H952" i="20"/>
  <c r="G953" i="20"/>
  <c r="H953" i="20"/>
  <c r="G954" i="20"/>
  <c r="H954" i="20"/>
  <c r="G955" i="20"/>
  <c r="G956" i="20"/>
  <c r="H955" i="20"/>
  <c r="G957" i="20"/>
  <c r="H956" i="20"/>
  <c r="H957" i="20"/>
  <c r="G958" i="20"/>
  <c r="H958" i="20"/>
  <c r="G959" i="20"/>
  <c r="H959" i="20"/>
  <c r="G960" i="20"/>
  <c r="H960" i="20"/>
  <c r="G961" i="20"/>
  <c r="H961" i="20"/>
  <c r="G962" i="20"/>
  <c r="G963" i="20"/>
  <c r="H962" i="20"/>
  <c r="G964" i="20"/>
  <c r="H963" i="20"/>
  <c r="G965" i="20"/>
  <c r="H964" i="20"/>
  <c r="G966" i="20"/>
  <c r="H965" i="20"/>
  <c r="G967" i="20"/>
  <c r="H966" i="20"/>
  <c r="G968" i="20"/>
  <c r="H967" i="20"/>
  <c r="H968" i="20"/>
  <c r="G969" i="20"/>
  <c r="H969" i="20"/>
  <c r="G970" i="20"/>
  <c r="G971" i="20"/>
  <c r="H970" i="20"/>
  <c r="G972" i="20"/>
  <c r="H971" i="20"/>
  <c r="G973" i="20"/>
  <c r="H972" i="20"/>
  <c r="H973" i="20"/>
  <c r="G974" i="20"/>
  <c r="G975" i="20"/>
  <c r="H974" i="20"/>
  <c r="G976" i="20"/>
  <c r="H975" i="20"/>
  <c r="G977" i="20"/>
  <c r="H976" i="20"/>
  <c r="G978" i="20"/>
  <c r="H977" i="20"/>
  <c r="H978" i="20"/>
  <c r="G979" i="20"/>
  <c r="H979" i="20"/>
  <c r="G980" i="20"/>
  <c r="G981" i="20"/>
  <c r="H980" i="20"/>
  <c r="G982" i="20"/>
  <c r="H981" i="20"/>
  <c r="H982" i="20"/>
  <c r="G983" i="20"/>
  <c r="G984" i="20"/>
  <c r="H983" i="20"/>
  <c r="H984" i="20"/>
  <c r="G985" i="20"/>
  <c r="H985" i="20"/>
  <c r="G986" i="20"/>
  <c r="H986" i="20"/>
  <c r="G987" i="20"/>
  <c r="G988" i="20"/>
  <c r="H987" i="20"/>
  <c r="G989" i="20"/>
  <c r="H988" i="20"/>
  <c r="H989" i="20"/>
  <c r="G990" i="20"/>
  <c r="H990" i="20"/>
  <c r="G991" i="20"/>
  <c r="H991" i="20"/>
  <c r="G992" i="20"/>
  <c r="G993" i="20"/>
  <c r="H992" i="20"/>
  <c r="H993" i="20"/>
  <c r="G994" i="20"/>
  <c r="H994" i="20"/>
  <c r="G995" i="20"/>
  <c r="H995" i="20"/>
  <c r="G996" i="20"/>
  <c r="G997" i="20"/>
  <c r="H996" i="20"/>
  <c r="G998" i="20"/>
  <c r="H997" i="20"/>
  <c r="G999" i="20"/>
  <c r="H998" i="20"/>
  <c r="H999" i="20"/>
  <c r="G1000" i="20"/>
  <c r="G1001" i="20"/>
  <c r="H1000" i="20"/>
  <c r="H1001" i="20"/>
  <c r="G1002" i="20"/>
  <c r="G1003" i="20"/>
  <c r="H1002" i="20"/>
  <c r="H1003" i="20"/>
  <c r="G1004" i="20"/>
  <c r="G1005" i="20"/>
  <c r="H1004" i="20"/>
  <c r="H1005" i="20"/>
  <c r="G1006" i="20"/>
  <c r="G1007" i="20"/>
  <c r="H1006" i="20"/>
  <c r="G1008" i="20"/>
  <c r="H1007" i="20"/>
  <c r="H1008" i="20"/>
  <c r="G1009" i="20"/>
  <c r="H1009" i="20"/>
  <c r="G1010" i="20"/>
  <c r="H1010" i="20"/>
  <c r="G1011" i="20"/>
  <c r="H1011" i="20"/>
  <c r="G1012" i="20"/>
  <c r="G1013" i="20"/>
  <c r="H1012" i="20"/>
  <c r="G1014" i="20"/>
  <c r="H1013" i="20"/>
  <c r="G1015" i="20"/>
  <c r="H1014" i="20"/>
  <c r="H1015" i="20"/>
  <c r="G1016" i="20"/>
  <c r="H1016" i="20"/>
  <c r="G1017" i="20"/>
  <c r="G1018" i="20"/>
  <c r="H1017" i="20"/>
  <c r="G1019" i="20"/>
  <c r="H1018" i="20"/>
  <c r="H1019" i="20"/>
  <c r="G1020" i="20"/>
  <c r="H1020" i="20"/>
  <c r="G1021" i="20"/>
  <c r="H1021" i="20"/>
  <c r="G1022" i="20"/>
  <c r="H1022" i="20"/>
  <c r="G1023" i="20"/>
  <c r="G1024" i="20"/>
  <c r="H1023" i="20"/>
  <c r="G1025" i="20"/>
  <c r="H1024" i="20"/>
  <c r="G1026" i="20"/>
  <c r="H1025" i="20"/>
  <c r="H1026" i="20"/>
  <c r="G1027" i="20"/>
  <c r="G1028" i="20"/>
  <c r="H1027" i="20"/>
  <c r="H1028" i="20"/>
  <c r="G1029" i="20"/>
  <c r="G1030" i="20"/>
  <c r="H1029" i="20"/>
  <c r="H1030" i="20"/>
  <c r="G1031" i="20"/>
  <c r="H1031" i="20"/>
  <c r="G1032" i="20"/>
  <c r="H1032" i="20"/>
  <c r="G1033" i="20"/>
  <c r="G1034" i="20"/>
  <c r="H1033" i="20"/>
  <c r="G1035" i="20"/>
  <c r="H1034" i="20"/>
  <c r="G1036" i="20"/>
  <c r="H1035" i="20"/>
  <c r="H1036" i="20"/>
  <c r="G1037" i="20"/>
  <c r="H1037" i="20"/>
  <c r="G1038" i="20"/>
  <c r="H1038" i="20"/>
  <c r="G1039" i="20"/>
  <c r="H1039" i="20"/>
  <c r="G1040" i="20"/>
  <c r="G1041" i="20"/>
  <c r="H1040" i="20"/>
  <c r="H1041" i="20"/>
  <c r="G1042" i="20"/>
  <c r="H1042" i="20"/>
  <c r="G1043" i="20"/>
  <c r="G1044" i="20"/>
  <c r="H1043" i="20"/>
  <c r="H1044" i="20"/>
  <c r="G1045" i="20"/>
  <c r="H1045" i="20"/>
  <c r="G1046" i="20"/>
  <c r="H1046" i="20"/>
  <c r="G1047" i="20"/>
  <c r="G1048" i="20"/>
  <c r="H1047" i="20"/>
  <c r="G1049" i="20"/>
  <c r="H1048" i="20"/>
  <c r="H1049" i="20"/>
  <c r="G1050" i="20"/>
  <c r="G1051" i="20"/>
  <c r="H1050" i="20"/>
  <c r="G1052" i="20"/>
  <c r="H1051" i="20"/>
  <c r="H1052" i="20"/>
  <c r="G1053" i="20"/>
  <c r="G1054" i="20"/>
  <c r="H1053" i="20"/>
  <c r="H1054" i="20"/>
  <c r="G1055" i="20"/>
  <c r="G1056" i="20"/>
  <c r="H1055" i="20"/>
  <c r="G1057" i="20"/>
  <c r="H1056" i="20"/>
  <c r="H1057" i="20"/>
  <c r="G1058" i="20"/>
  <c r="G1059" i="20"/>
  <c r="H1058" i="20"/>
  <c r="G1060" i="20"/>
  <c r="H1059" i="20"/>
  <c r="G1061" i="20"/>
  <c r="H1060" i="20"/>
  <c r="H1061" i="20"/>
  <c r="G1062" i="20"/>
  <c r="H1062" i="20"/>
  <c r="G1063" i="20"/>
  <c r="G1064" i="20"/>
  <c r="H1063" i="20"/>
  <c r="G1065" i="20"/>
  <c r="H1064" i="20"/>
  <c r="H1065" i="20"/>
  <c r="G1066" i="20"/>
  <c r="G1067" i="20"/>
  <c r="H1066" i="20"/>
  <c r="H1067" i="20"/>
  <c r="G1068" i="20"/>
  <c r="H1068" i="20"/>
  <c r="G1069" i="20"/>
  <c r="H1069" i="20"/>
  <c r="G1070" i="20"/>
  <c r="G1071" i="20"/>
  <c r="H1070" i="20"/>
  <c r="H1071" i="20"/>
  <c r="G1072" i="20"/>
  <c r="G1073" i="20"/>
  <c r="H1072" i="20"/>
  <c r="G1074" i="20"/>
  <c r="H1073" i="20"/>
  <c r="H1074" i="20"/>
  <c r="G1075" i="20"/>
  <c r="H1075" i="20"/>
  <c r="G1076" i="20"/>
  <c r="H1076" i="20"/>
  <c r="G1077" i="20"/>
  <c r="H1077" i="20"/>
  <c r="G1078" i="20"/>
  <c r="G1079" i="20"/>
  <c r="H1078" i="20"/>
  <c r="G1080" i="20"/>
  <c r="H1079" i="20"/>
  <c r="H1080" i="20"/>
  <c r="G1081" i="20"/>
  <c r="G1082" i="20"/>
  <c r="H1081" i="20"/>
  <c r="G1083" i="20"/>
  <c r="H1082" i="20"/>
  <c r="G1084" i="20"/>
  <c r="H1083" i="20"/>
  <c r="G1085" i="20"/>
  <c r="H1084" i="20"/>
  <c r="H1085" i="20"/>
  <c r="G1086" i="20"/>
  <c r="G1087" i="20"/>
  <c r="H1086" i="20"/>
  <c r="G1088" i="20"/>
  <c r="H1087" i="20"/>
  <c r="G1089" i="20"/>
  <c r="H1088" i="20"/>
  <c r="H1089" i="20"/>
  <c r="G1090" i="20"/>
  <c r="G1091" i="20"/>
  <c r="H1090" i="20"/>
  <c r="G1092" i="20"/>
  <c r="H1091" i="20"/>
  <c r="G1093" i="20"/>
  <c r="H1092" i="20"/>
  <c r="H1093" i="20"/>
  <c r="G1094" i="20"/>
  <c r="H1094" i="20"/>
  <c r="G1095" i="20"/>
  <c r="H1095" i="20"/>
  <c r="G1096" i="20"/>
  <c r="G1097" i="20"/>
  <c r="H1096" i="20"/>
  <c r="G1098" i="20"/>
  <c r="H1097" i="20"/>
  <c r="H1098" i="20"/>
  <c r="G1099" i="20"/>
  <c r="G1100" i="20"/>
  <c r="H1099" i="20"/>
  <c r="G1101" i="20"/>
  <c r="H1100" i="20"/>
  <c r="H1101" i="20"/>
  <c r="G1102" i="20"/>
  <c r="G1103" i="20"/>
  <c r="H1102" i="20"/>
  <c r="H1103" i="20"/>
  <c r="G1104" i="20"/>
  <c r="G1105" i="20"/>
  <c r="H1104" i="20"/>
  <c r="H1105" i="20"/>
  <c r="G1106" i="20"/>
  <c r="G1107" i="20"/>
  <c r="H1106" i="20"/>
  <c r="H1107" i="20"/>
  <c r="G1108" i="20"/>
  <c r="H1108" i="20"/>
  <c r="G1109" i="20"/>
  <c r="G1110" i="20"/>
  <c r="H1109" i="20"/>
  <c r="H1110" i="20"/>
  <c r="G1111" i="20"/>
  <c r="H1111" i="20"/>
  <c r="G1112" i="20"/>
  <c r="H1112" i="20"/>
  <c r="G1113" i="20"/>
  <c r="H1113" i="20"/>
  <c r="G1114" i="20"/>
  <c r="H1114" i="20"/>
  <c r="G1115" i="20"/>
  <c r="H1115" i="20"/>
  <c r="G1116" i="20"/>
  <c r="H1116" i="20"/>
  <c r="G1117" i="20"/>
  <c r="H1117" i="20"/>
  <c r="G1118" i="20"/>
  <c r="H1118" i="20"/>
  <c r="G1119" i="20"/>
  <c r="G1120" i="20"/>
  <c r="H1119" i="20"/>
  <c r="H1120" i="20"/>
  <c r="G1121" i="20"/>
  <c r="H1121" i="20"/>
  <c r="G1122" i="20"/>
  <c r="G1123" i="20"/>
  <c r="H1122" i="20"/>
  <c r="G1124" i="20"/>
  <c r="H1123" i="20"/>
  <c r="G1125" i="20"/>
  <c r="H1124" i="20"/>
  <c r="H1125" i="20"/>
  <c r="G1126" i="20"/>
  <c r="G1127" i="20"/>
  <c r="H1126" i="20"/>
  <c r="H1127" i="20"/>
  <c r="G1128" i="20"/>
  <c r="H1128" i="20"/>
  <c r="G1129" i="20"/>
  <c r="H1129" i="20"/>
  <c r="G1130" i="20"/>
  <c r="H1130" i="20"/>
  <c r="G1131" i="20"/>
  <c r="G1132" i="20"/>
  <c r="H1131" i="20"/>
  <c r="H1132" i="20"/>
  <c r="G1133" i="20"/>
  <c r="G1134" i="20"/>
  <c r="H1133" i="20"/>
  <c r="H1134" i="20"/>
  <c r="G1135" i="20"/>
  <c r="G1136" i="20"/>
  <c r="H1135" i="20"/>
  <c r="G1137" i="20"/>
  <c r="H1136" i="20"/>
  <c r="G1138" i="20"/>
  <c r="H1137" i="20"/>
  <c r="G1139" i="20"/>
  <c r="H1138" i="20"/>
  <c r="H1139" i="20"/>
  <c r="G1140" i="20"/>
  <c r="G1141" i="20"/>
  <c r="H1140" i="20"/>
  <c r="H1141" i="20"/>
  <c r="G1142" i="20"/>
  <c r="G1143" i="20"/>
  <c r="H1142" i="20"/>
  <c r="G1144" i="20"/>
  <c r="H1143" i="20"/>
  <c r="G1145" i="20"/>
  <c r="H1144" i="20"/>
  <c r="H1145" i="20"/>
  <c r="G1146" i="20"/>
  <c r="H1146" i="20"/>
  <c r="G1147" i="20"/>
  <c r="G1148" i="20"/>
  <c r="H1147" i="20"/>
  <c r="G1149" i="20"/>
  <c r="H1148" i="20"/>
  <c r="G1150" i="20"/>
  <c r="H1149" i="20"/>
  <c r="H1150" i="20"/>
  <c r="G1151" i="20"/>
  <c r="G1152" i="20"/>
  <c r="H1151" i="20"/>
  <c r="H1152" i="20"/>
  <c r="G1153" i="20"/>
  <c r="G1154" i="20"/>
  <c r="H1153" i="20"/>
  <c r="G1155" i="20"/>
  <c r="H1154" i="20"/>
  <c r="G1156" i="20"/>
  <c r="H1155" i="20"/>
  <c r="H1156" i="20"/>
  <c r="G1157" i="20"/>
  <c r="H1157" i="20"/>
  <c r="G1158" i="20"/>
  <c r="G1159" i="20"/>
  <c r="H1158" i="20"/>
  <c r="G1160" i="20"/>
  <c r="H1159" i="20"/>
  <c r="H1160" i="20"/>
  <c r="G1161" i="20"/>
  <c r="G1162" i="20"/>
  <c r="H1161" i="20"/>
  <c r="H1162" i="20"/>
  <c r="G1163" i="20"/>
  <c r="H1163" i="20"/>
  <c r="G1164" i="20"/>
  <c r="G1165" i="20"/>
  <c r="H1164" i="20"/>
  <c r="H1165" i="20"/>
  <c r="G1166" i="20"/>
  <c r="G1167" i="20"/>
  <c r="H1166" i="20"/>
  <c r="H1167" i="20"/>
  <c r="G1168" i="20"/>
  <c r="H1168" i="20"/>
  <c r="G1169" i="20"/>
  <c r="G1170" i="20"/>
  <c r="H1169" i="20"/>
  <c r="G1171" i="20"/>
  <c r="H1170" i="20"/>
  <c r="H1171" i="20"/>
  <c r="G1172" i="20"/>
  <c r="H1172" i="20"/>
  <c r="G1173" i="20"/>
  <c r="H1173" i="20"/>
  <c r="G1174" i="20"/>
  <c r="G1175" i="20"/>
  <c r="H1174" i="20"/>
  <c r="G1176" i="20"/>
  <c r="H1175" i="20"/>
  <c r="H1176" i="20"/>
  <c r="G1177" i="20"/>
  <c r="H1177" i="20"/>
  <c r="G1178" i="20"/>
  <c r="G1179" i="20"/>
  <c r="H1178" i="20"/>
  <c r="G1180" i="20"/>
  <c r="H1179" i="20"/>
  <c r="H1180" i="20"/>
  <c r="G1181" i="20"/>
  <c r="H1181" i="20"/>
  <c r="G1182" i="20"/>
  <c r="H1182" i="20"/>
  <c r="G1183" i="20"/>
  <c r="H1183" i="20"/>
  <c r="G1184" i="20"/>
  <c r="H1184" i="20"/>
  <c r="G1185" i="20"/>
  <c r="G1186" i="20"/>
  <c r="H1185" i="20"/>
  <c r="H1186" i="20"/>
  <c r="G1187" i="20"/>
  <c r="H1187" i="20"/>
  <c r="G1188" i="20"/>
  <c r="H1188" i="20"/>
  <c r="G1189" i="20"/>
  <c r="H1189" i="20"/>
  <c r="G1190" i="20"/>
  <c r="H1190" i="20"/>
  <c r="G1191" i="20"/>
  <c r="H1191" i="20"/>
  <c r="G1192" i="20"/>
  <c r="H1192" i="20"/>
  <c r="G1193" i="20"/>
  <c r="G1194" i="20"/>
  <c r="H1193" i="20"/>
  <c r="G1195" i="20"/>
  <c r="H1194" i="20"/>
  <c r="H1195" i="20"/>
  <c r="G1196" i="20"/>
  <c r="H1196" i="20"/>
  <c r="G1197" i="20"/>
  <c r="G1198" i="20"/>
  <c r="H1197" i="20"/>
  <c r="H1198" i="20"/>
  <c r="G1199" i="20"/>
  <c r="G1200" i="20"/>
  <c r="H1199" i="20"/>
  <c r="G1201" i="20"/>
  <c r="H1200" i="20"/>
  <c r="H1201" i="20"/>
  <c r="G1202" i="20"/>
  <c r="H1202" i="20"/>
  <c r="G1203" i="20"/>
  <c r="G1204" i="20"/>
  <c r="H1203" i="20"/>
  <c r="G1205" i="20"/>
  <c r="H1204" i="20"/>
  <c r="G1206" i="20"/>
  <c r="H1205" i="20"/>
  <c r="G1207" i="20"/>
  <c r="H1206" i="20"/>
  <c r="G1208" i="20"/>
  <c r="H1207" i="20"/>
  <c r="H1208" i="20"/>
  <c r="G1209" i="20"/>
  <c r="G1210" i="20"/>
  <c r="H1209" i="20"/>
  <c r="H1210" i="20"/>
  <c r="G1211" i="20"/>
  <c r="H1211" i="20"/>
  <c r="G1212" i="20"/>
  <c r="H1212" i="20"/>
  <c r="G1213" i="20"/>
  <c r="H1213" i="20"/>
  <c r="G1214" i="20"/>
  <c r="H1214" i="20"/>
  <c r="G1215" i="20"/>
  <c r="G1216" i="20"/>
  <c r="H1215" i="20"/>
  <c r="H1216" i="20"/>
  <c r="G1217" i="20"/>
  <c r="G1218" i="20"/>
  <c r="H1217" i="20"/>
  <c r="H1218" i="20"/>
  <c r="G1219" i="20"/>
  <c r="H1219" i="20"/>
  <c r="G1220" i="20"/>
  <c r="H1220" i="20"/>
  <c r="G1221" i="20"/>
  <c r="H1221" i="20"/>
  <c r="G1222" i="20"/>
  <c r="G1223" i="20"/>
  <c r="H1222" i="20"/>
  <c r="G1224" i="20"/>
  <c r="H1223" i="20"/>
  <c r="H1224" i="20"/>
  <c r="G1225" i="20"/>
  <c r="H1225" i="20"/>
  <c r="G1226" i="20"/>
  <c r="G1227" i="20"/>
  <c r="H1226" i="20"/>
  <c r="H1227" i="20"/>
  <c r="G1228" i="20"/>
  <c r="G1229" i="20"/>
  <c r="H1228" i="20"/>
  <c r="H1229" i="20"/>
  <c r="G1230" i="20"/>
  <c r="G1231" i="20"/>
  <c r="H1230" i="20"/>
  <c r="G1232" i="20"/>
  <c r="H1231" i="20"/>
  <c r="G1233" i="20"/>
  <c r="H1232" i="20"/>
  <c r="G1234" i="20"/>
  <c r="H1233" i="20"/>
  <c r="G1235" i="20"/>
  <c r="H1234" i="20"/>
  <c r="H1235" i="20"/>
  <c r="G1236" i="20"/>
  <c r="H1236" i="20"/>
  <c r="G1237" i="20"/>
  <c r="H1237" i="20"/>
  <c r="G1238" i="20"/>
  <c r="H1238" i="20"/>
  <c r="G1239" i="20"/>
  <c r="H1239" i="20"/>
  <c r="G1240" i="20"/>
  <c r="G1241" i="20"/>
  <c r="H1240" i="20"/>
  <c r="H1241" i="20"/>
  <c r="G1242" i="20"/>
  <c r="G1243" i="20"/>
  <c r="H1242" i="20"/>
  <c r="G1244" i="20"/>
  <c r="H1243" i="20"/>
  <c r="G1245" i="20"/>
  <c r="H1244" i="20"/>
  <c r="H1245" i="20"/>
  <c r="G1246" i="20"/>
  <c r="G1247" i="20"/>
  <c r="H1246" i="20"/>
  <c r="G1248" i="20"/>
  <c r="H1247" i="20"/>
  <c r="H1248" i="20"/>
  <c r="G1249" i="20"/>
  <c r="G1250" i="20"/>
  <c r="H1249" i="20"/>
  <c r="H1250" i="20"/>
  <c r="G1251" i="20"/>
  <c r="G1252" i="20"/>
  <c r="H1251" i="20"/>
  <c r="G1253" i="20"/>
  <c r="H1252" i="20"/>
  <c r="G1254" i="20"/>
  <c r="H1253" i="20"/>
  <c r="H1254" i="20"/>
  <c r="G1255" i="20"/>
  <c r="H1255" i="20"/>
  <c r="G1256" i="20"/>
  <c r="G1257" i="20"/>
  <c r="H1256" i="20"/>
  <c r="G1258" i="20"/>
  <c r="H1257" i="20"/>
  <c r="G1259" i="20"/>
  <c r="H1258" i="20"/>
  <c r="G1260" i="20"/>
  <c r="H1259" i="20"/>
  <c r="G1261" i="20"/>
  <c r="H1260" i="20"/>
  <c r="G1262" i="20"/>
  <c r="H1261" i="20"/>
  <c r="G1263" i="20"/>
  <c r="H1262" i="20"/>
  <c r="H1263" i="20"/>
  <c r="G1264" i="20"/>
  <c r="G1265" i="20"/>
  <c r="H1264" i="20"/>
  <c r="H1265" i="20"/>
  <c r="G1266" i="20"/>
  <c r="G1267" i="20"/>
  <c r="H1266" i="20"/>
  <c r="H1267" i="20"/>
  <c r="G1268" i="20"/>
  <c r="G1269" i="20"/>
  <c r="H1268" i="20"/>
  <c r="H1269" i="20"/>
  <c r="G1270" i="20"/>
  <c r="G1271" i="20"/>
  <c r="H1270" i="20"/>
  <c r="H1271" i="20"/>
  <c r="G1272" i="20"/>
  <c r="G1273" i="20"/>
  <c r="H1272" i="20"/>
  <c r="H1273" i="20"/>
  <c r="G1274" i="20"/>
  <c r="H1274" i="20"/>
  <c r="G1275" i="20"/>
  <c r="G1276" i="20"/>
  <c r="H1275" i="20"/>
  <c r="H1276" i="20"/>
  <c r="G1277" i="20"/>
  <c r="H1277" i="20"/>
  <c r="G1278" i="20"/>
  <c r="G1279" i="20"/>
  <c r="H1278" i="20"/>
  <c r="H1279" i="20"/>
  <c r="G1280" i="20"/>
  <c r="G1281" i="20"/>
  <c r="H1280" i="20"/>
  <c r="G1282" i="20"/>
  <c r="H1281" i="20"/>
  <c r="G1283" i="20"/>
  <c r="H1282" i="20"/>
  <c r="G1284" i="20"/>
  <c r="H1283" i="20"/>
  <c r="H1284" i="20"/>
  <c r="G1285" i="20"/>
  <c r="G1286" i="20"/>
  <c r="H1285" i="20"/>
  <c r="H1286" i="20"/>
  <c r="G1287" i="20"/>
  <c r="H1287" i="20"/>
  <c r="G1288" i="20"/>
  <c r="G1289" i="20"/>
  <c r="H1288" i="20"/>
  <c r="H1289" i="20"/>
  <c r="G1290" i="20"/>
  <c r="G1291" i="20"/>
  <c r="H1290" i="20"/>
  <c r="G1292" i="20"/>
  <c r="H1291" i="20"/>
  <c r="G1293" i="20"/>
  <c r="H1292" i="20"/>
  <c r="H1293" i="20"/>
  <c r="G1294" i="20"/>
  <c r="G1295" i="20"/>
  <c r="H1294" i="20"/>
  <c r="H1295" i="20"/>
  <c r="G1296" i="20"/>
  <c r="H1296" i="20"/>
  <c r="G1297" i="20"/>
  <c r="G1298" i="20"/>
  <c r="H1297" i="20"/>
  <c r="H1298" i="20"/>
  <c r="G1299" i="20"/>
  <c r="G1300" i="20"/>
  <c r="H1299" i="20"/>
  <c r="G1301" i="20"/>
  <c r="H1300" i="20"/>
  <c r="H1301" i="20"/>
  <c r="G1302" i="20"/>
  <c r="H1302" i="20"/>
  <c r="G1303" i="20"/>
  <c r="H1303" i="20"/>
  <c r="G1304" i="20"/>
  <c r="G1305" i="20"/>
  <c r="H1304" i="20"/>
  <c r="H1305" i="20"/>
  <c r="G1306" i="20"/>
  <c r="G1307" i="20"/>
  <c r="H1306" i="20"/>
  <c r="G1308" i="20"/>
  <c r="H1307" i="20"/>
  <c r="H1308" i="20"/>
  <c r="G1309" i="20"/>
  <c r="G1310" i="20"/>
  <c r="H1309" i="20"/>
  <c r="H1310" i="20"/>
  <c r="G1311" i="20"/>
  <c r="G1312" i="20"/>
  <c r="H1311" i="20"/>
  <c r="H1312" i="20"/>
  <c r="G1313" i="20"/>
  <c r="G1314" i="20"/>
  <c r="H1313" i="20"/>
  <c r="G1315" i="20"/>
  <c r="H1314" i="20"/>
  <c r="G1316" i="20"/>
  <c r="H1315" i="20"/>
  <c r="H1316" i="20"/>
  <c r="G1317" i="20"/>
  <c r="G1318" i="20"/>
  <c r="H1317" i="20"/>
  <c r="H1318" i="20"/>
  <c r="G1319" i="20"/>
  <c r="H1319" i="20"/>
  <c r="G1320" i="20"/>
  <c r="G1321" i="20"/>
  <c r="H1320" i="20"/>
  <c r="G1322" i="20"/>
  <c r="H1321" i="20"/>
  <c r="H1322" i="20"/>
  <c r="G1323" i="20"/>
  <c r="H1323" i="20"/>
  <c r="G1324" i="20"/>
  <c r="G1325" i="20"/>
  <c r="H1324" i="20"/>
  <c r="H1325" i="20"/>
  <c r="G1326" i="20"/>
  <c r="G1327" i="20"/>
  <c r="H1326" i="20"/>
  <c r="G1328" i="20"/>
  <c r="H1327" i="20"/>
  <c r="H1328" i="20"/>
  <c r="G1329" i="20"/>
  <c r="G1330" i="20"/>
  <c r="H1329" i="20"/>
  <c r="H1330" i="20"/>
  <c r="G1331" i="20"/>
  <c r="H1331" i="20"/>
  <c r="G1332" i="20"/>
  <c r="H1332" i="20"/>
  <c r="G1333" i="20"/>
  <c r="H1333" i="20"/>
  <c r="G1334" i="20"/>
  <c r="H1334" i="20"/>
  <c r="G1335" i="20"/>
  <c r="H1335" i="20"/>
  <c r="G1336" i="20"/>
  <c r="G1337" i="20"/>
  <c r="H1336" i="20"/>
  <c r="G1338" i="20"/>
  <c r="H1337" i="20"/>
  <c r="G1339" i="20"/>
  <c r="H1338" i="20"/>
  <c r="H1339" i="20"/>
  <c r="G1340" i="20"/>
  <c r="H1340" i="20"/>
  <c r="G1341" i="20"/>
  <c r="H1341" i="20"/>
  <c r="G1342" i="20"/>
  <c r="G1343" i="20"/>
  <c r="H1342" i="20"/>
  <c r="G1344" i="20"/>
  <c r="H1343" i="20"/>
  <c r="G1345" i="20"/>
  <c r="H1344" i="20"/>
  <c r="G1346" i="20"/>
  <c r="H1345" i="20"/>
  <c r="H1346" i="20"/>
  <c r="G1347" i="20"/>
  <c r="H1347" i="20"/>
  <c r="G1348" i="20"/>
  <c r="G1349" i="20"/>
  <c r="H1348" i="20"/>
  <c r="G1350" i="20"/>
  <c r="H1349" i="20"/>
  <c r="G1351" i="20"/>
  <c r="H1350" i="20"/>
  <c r="G1352" i="20"/>
  <c r="H1351" i="20"/>
  <c r="G1353" i="20"/>
  <c r="H1352" i="20"/>
  <c r="H1353" i="20"/>
  <c r="G1354" i="20"/>
  <c r="G1355" i="20"/>
  <c r="H1354" i="20"/>
  <c r="H1355" i="20"/>
  <c r="G1356" i="20"/>
  <c r="G1357" i="20"/>
  <c r="H1356" i="20"/>
  <c r="G1358" i="20"/>
  <c r="H1357" i="20"/>
  <c r="G1359" i="20"/>
  <c r="H1358" i="20"/>
  <c r="G1360" i="20"/>
  <c r="H1359" i="20"/>
  <c r="H1360" i="20"/>
  <c r="G1361" i="20"/>
  <c r="H1361" i="20"/>
  <c r="G1362" i="20"/>
  <c r="H1362" i="20"/>
  <c r="G1363" i="20"/>
  <c r="H1363" i="20"/>
  <c r="G1364" i="20"/>
  <c r="G1365" i="20"/>
  <c r="H1364" i="20"/>
  <c r="G1366" i="20"/>
  <c r="H1365" i="20"/>
  <c r="G1367" i="20"/>
  <c r="H1366" i="20"/>
  <c r="H1367" i="20"/>
  <c r="G1368" i="20"/>
  <c r="G1369" i="20"/>
  <c r="H1368" i="20"/>
  <c r="G1370" i="20"/>
  <c r="H1369" i="20"/>
  <c r="H1370" i="20"/>
  <c r="G1371" i="20"/>
  <c r="G1372" i="20"/>
  <c r="H1371" i="20"/>
  <c r="H1372" i="20"/>
  <c r="G1373" i="20"/>
  <c r="H1373" i="20"/>
  <c r="G1374" i="20"/>
  <c r="H1374" i="20"/>
  <c r="G1375" i="20"/>
  <c r="H1375" i="20"/>
  <c r="G1376" i="20"/>
  <c r="G1377" i="20"/>
  <c r="H1376" i="20"/>
  <c r="G1378" i="20"/>
  <c r="H1377" i="20"/>
  <c r="G1379" i="20"/>
  <c r="H1378" i="20"/>
  <c r="H1379" i="20"/>
  <c r="G1380" i="20"/>
  <c r="G1381" i="20"/>
  <c r="H1380" i="20"/>
  <c r="H1381" i="20"/>
  <c r="G1382" i="20"/>
  <c r="G1383" i="20"/>
  <c r="H1382" i="20"/>
  <c r="H1383" i="20"/>
  <c r="G1384" i="20"/>
  <c r="G1385" i="20"/>
  <c r="H1384" i="20"/>
  <c r="G1386" i="20"/>
  <c r="H1385" i="20"/>
  <c r="G1387" i="20"/>
  <c r="H1386" i="20"/>
  <c r="G1388" i="20"/>
  <c r="H1387" i="20"/>
  <c r="G1389" i="20"/>
  <c r="H1388" i="20"/>
  <c r="H1389" i="20"/>
  <c r="G1390" i="20"/>
  <c r="G1391" i="20"/>
  <c r="H1390" i="20"/>
  <c r="G1392" i="20"/>
  <c r="H1391" i="20"/>
  <c r="G1393" i="20"/>
  <c r="H1392" i="20"/>
  <c r="H1393" i="20"/>
  <c r="G1394" i="20"/>
  <c r="H1394" i="20"/>
  <c r="G1395" i="20"/>
  <c r="H1395" i="20"/>
  <c r="G1396" i="20"/>
  <c r="H1396" i="20"/>
  <c r="G1397" i="20"/>
  <c r="G1398" i="20"/>
  <c r="H1397" i="20"/>
  <c r="G1399" i="20"/>
  <c r="H1398" i="20"/>
  <c r="H1399" i="20"/>
  <c r="G1400" i="20"/>
  <c r="G1401" i="20"/>
  <c r="H1400" i="20"/>
  <c r="G1402" i="20"/>
  <c r="H1401" i="20"/>
  <c r="H1402" i="20"/>
  <c r="G1403" i="20"/>
  <c r="G1404" i="20"/>
  <c r="H1403" i="20"/>
  <c r="G1405" i="20"/>
  <c r="H1404" i="20"/>
  <c r="G1406" i="20"/>
  <c r="H1405" i="20"/>
  <c r="G1407" i="20"/>
  <c r="H1406" i="20"/>
  <c r="H1407" i="20"/>
  <c r="G1408" i="20"/>
  <c r="G1409" i="20"/>
  <c r="H1408" i="20"/>
  <c r="G1410" i="20"/>
  <c r="H1409" i="20"/>
  <c r="G1411" i="20"/>
  <c r="H1410" i="20"/>
  <c r="H1411" i="20"/>
  <c r="G1412" i="20"/>
  <c r="G1413" i="20"/>
  <c r="H1412" i="20"/>
  <c r="G1414" i="20"/>
  <c r="H1413" i="20"/>
  <c r="H1414" i="20"/>
  <c r="G1415" i="20"/>
  <c r="G1416" i="20"/>
  <c r="H1415" i="20"/>
  <c r="H1416" i="20"/>
  <c r="G1417" i="20"/>
  <c r="H1417" i="20"/>
  <c r="G1418" i="20"/>
  <c r="G1419" i="20"/>
  <c r="H1418" i="20"/>
  <c r="G1420" i="20"/>
  <c r="H1419" i="20"/>
  <c r="G1421" i="20"/>
  <c r="H1420" i="20"/>
  <c r="H1421" i="20"/>
  <c r="G1422" i="20"/>
  <c r="H1422" i="20"/>
  <c r="G1423" i="20"/>
  <c r="H1423" i="20"/>
  <c r="G1424" i="20"/>
  <c r="G1425" i="20"/>
  <c r="H1424" i="20"/>
  <c r="G1426" i="20"/>
  <c r="H1425" i="20"/>
  <c r="H1426" i="20"/>
  <c r="G1427" i="20"/>
  <c r="G1428" i="20"/>
  <c r="H1427" i="20"/>
  <c r="H1428" i="20"/>
  <c r="G1429" i="20"/>
  <c r="H1429" i="20"/>
  <c r="G1430" i="20"/>
  <c r="G1431" i="20"/>
  <c r="H1430" i="20"/>
  <c r="G1432" i="20"/>
  <c r="H1431" i="20"/>
  <c r="H1432" i="20"/>
  <c r="G1433" i="20"/>
  <c r="G1434" i="20"/>
  <c r="H1433" i="20"/>
  <c r="G1435" i="20"/>
  <c r="H1434" i="20"/>
  <c r="H1435" i="20"/>
  <c r="G1436" i="20"/>
  <c r="H1436" i="20"/>
  <c r="G1437" i="20"/>
  <c r="H1437" i="20"/>
  <c r="G1438" i="20"/>
  <c r="H1438" i="20"/>
  <c r="G1439" i="20"/>
  <c r="G1440" i="20"/>
  <c r="H1439" i="20"/>
  <c r="H1440" i="20"/>
  <c r="G1441" i="20"/>
  <c r="G1442" i="20"/>
  <c r="H1441" i="20"/>
  <c r="H1442" i="20"/>
  <c r="G1443" i="20"/>
  <c r="H1443" i="20"/>
  <c r="G1444" i="20"/>
  <c r="G1445" i="20"/>
  <c r="H1444" i="20"/>
  <c r="H1445" i="20"/>
  <c r="G1446" i="20"/>
  <c r="H1446" i="20"/>
  <c r="G1447" i="20"/>
  <c r="H1447" i="20"/>
  <c r="G1448" i="20"/>
  <c r="G1449" i="20"/>
  <c r="H1448" i="20"/>
  <c r="H1449" i="20"/>
  <c r="G1450" i="20"/>
  <c r="H1450" i="20"/>
  <c r="G1451" i="20"/>
  <c r="H1451" i="20"/>
  <c r="G1452" i="20"/>
  <c r="G1453" i="20"/>
  <c r="H1452" i="20"/>
  <c r="H1453" i="20"/>
  <c r="G1454" i="20"/>
  <c r="H1454" i="20"/>
  <c r="G1455" i="20"/>
  <c r="H1455" i="20"/>
  <c r="G1456" i="20"/>
  <c r="G1457" i="20"/>
  <c r="H1456" i="20"/>
  <c r="G1458" i="20"/>
  <c r="H1457" i="20"/>
  <c r="H1458" i="20"/>
  <c r="G1459" i="20"/>
  <c r="G1460" i="20"/>
  <c r="H1459" i="20"/>
  <c r="G1461" i="20"/>
  <c r="H1460" i="20"/>
  <c r="G1462" i="20"/>
  <c r="H1461" i="20"/>
  <c r="H1462" i="20"/>
  <c r="G1463" i="20"/>
  <c r="H1463" i="20"/>
  <c r="G1464" i="20"/>
  <c r="H1464" i="20"/>
  <c r="G1465" i="20"/>
  <c r="H1465" i="20"/>
  <c r="G1466" i="20"/>
  <c r="H1466" i="20"/>
  <c r="G1467" i="20"/>
  <c r="H1467" i="20"/>
  <c r="G1468" i="20"/>
  <c r="H1468" i="20"/>
  <c r="G1469" i="20"/>
  <c r="G1470" i="20"/>
  <c r="H1469" i="20"/>
  <c r="G1471" i="20"/>
  <c r="H1470" i="20"/>
  <c r="H1471" i="20"/>
  <c r="G1472" i="20"/>
  <c r="H1472" i="20"/>
  <c r="G1473" i="20"/>
  <c r="G1474" i="20"/>
  <c r="H1473" i="20"/>
  <c r="G1475" i="20"/>
  <c r="H1474" i="20"/>
  <c r="G1476" i="20"/>
  <c r="H1475" i="20"/>
  <c r="H1476" i="20"/>
  <c r="G1477" i="20"/>
  <c r="H1477" i="20"/>
  <c r="G1478" i="20"/>
  <c r="G1479" i="20"/>
  <c r="H1478" i="20"/>
  <c r="G1480" i="20"/>
  <c r="H1479" i="20"/>
  <c r="G1481" i="20"/>
  <c r="H1480" i="20"/>
  <c r="H1481" i="20"/>
  <c r="G1482" i="20"/>
  <c r="G1483" i="20"/>
  <c r="H1482" i="20"/>
  <c r="H1483" i="20"/>
  <c r="G1484" i="20"/>
  <c r="H1484" i="20"/>
  <c r="G1485" i="20"/>
  <c r="H1485" i="20"/>
  <c r="G1486" i="20"/>
  <c r="G1487" i="20"/>
  <c r="H1486" i="20"/>
  <c r="H1487" i="20"/>
  <c r="G1488" i="20"/>
  <c r="H1488" i="20"/>
  <c r="G1489" i="20"/>
  <c r="G1490" i="20"/>
  <c r="H1489" i="20"/>
  <c r="G1491" i="20"/>
  <c r="H1490" i="20"/>
  <c r="H1491" i="20"/>
  <c r="G1492" i="20"/>
  <c r="H1492" i="20"/>
  <c r="G1493" i="20"/>
  <c r="H1493" i="20"/>
  <c r="G1494" i="20"/>
  <c r="G1495" i="20"/>
  <c r="H1494" i="20"/>
  <c r="G1496" i="20"/>
  <c r="H1495" i="20"/>
  <c r="G1497" i="20"/>
  <c r="H1496" i="20"/>
  <c r="G1498" i="20"/>
  <c r="H1497" i="20"/>
  <c r="G1499" i="20"/>
  <c r="H1498" i="20"/>
  <c r="G1500" i="20"/>
  <c r="H1499" i="20"/>
  <c r="G1501" i="20"/>
  <c r="H1500" i="20"/>
  <c r="H1501" i="20"/>
  <c r="G1502" i="20"/>
  <c r="G1503" i="20"/>
  <c r="H1502" i="20"/>
  <c r="G1504" i="20"/>
  <c r="H1503" i="20"/>
  <c r="G1505" i="20"/>
  <c r="H1504" i="20"/>
  <c r="G1506" i="20"/>
  <c r="H1505" i="20"/>
  <c r="H1506" i="20"/>
  <c r="G1507" i="20"/>
  <c r="G1508" i="20"/>
  <c r="H1507" i="20"/>
  <c r="G1509" i="20"/>
  <c r="H1508" i="20"/>
  <c r="H1509" i="20"/>
  <c r="G1510" i="20"/>
  <c r="H1510" i="20"/>
  <c r="G1511" i="20"/>
  <c r="G1512" i="20"/>
  <c r="H1511" i="20"/>
  <c r="H1512" i="20"/>
  <c r="G1513" i="20"/>
  <c r="G1514" i="20"/>
  <c r="H1513" i="20"/>
  <c r="H1514" i="20"/>
  <c r="G1515" i="20"/>
  <c r="G1516" i="20"/>
  <c r="H1515" i="20"/>
  <c r="G1517" i="20"/>
  <c r="H1516" i="20"/>
  <c r="G1518" i="20"/>
  <c r="H1517" i="20"/>
  <c r="G1519" i="20"/>
  <c r="H1518" i="20"/>
  <c r="I20" i="20" a="1"/>
  <c r="H1519" i="20"/>
  <c r="I50" i="20" l="1"/>
  <c r="I565" i="20"/>
  <c r="I231" i="20"/>
  <c r="I816" i="20"/>
  <c r="I1338" i="20"/>
  <c r="I460" i="20"/>
  <c r="I1100" i="20"/>
  <c r="I220" i="20"/>
  <c r="I890" i="20"/>
  <c r="I1476" i="20"/>
  <c r="I650" i="20"/>
  <c r="I1267" i="20"/>
  <c r="I406" i="20"/>
  <c r="I1052" i="20"/>
  <c r="I287" i="20"/>
  <c r="I82" i="20"/>
  <c r="I253" i="20"/>
  <c r="I765" i="20"/>
  <c r="I459" i="20"/>
  <c r="I1026" i="20"/>
  <c r="I48" i="20"/>
  <c r="I721" i="20"/>
  <c r="I1328" i="20"/>
  <c r="I482" i="20"/>
  <c r="I1119" i="20"/>
  <c r="I243" i="20"/>
  <c r="I910" i="20"/>
  <c r="I1495" i="20"/>
  <c r="I666" i="20"/>
  <c r="I1280" i="20"/>
  <c r="I809" i="20"/>
  <c r="I1409" i="20"/>
  <c r="I405" i="20"/>
  <c r="I44" i="20"/>
  <c r="I633" i="20"/>
  <c r="I1178" i="20"/>
  <c r="I251" i="20"/>
  <c r="I917" i="20"/>
  <c r="I1502" i="20"/>
  <c r="I681" i="20"/>
  <c r="I1293" i="20"/>
  <c r="I442" i="20"/>
  <c r="I1084" i="20"/>
  <c r="I196" i="20"/>
  <c r="I865" i="20"/>
  <c r="I1454" i="20"/>
  <c r="I1167" i="20"/>
  <c r="I229" i="20"/>
  <c r="I203" i="20"/>
  <c r="I1106" i="20"/>
  <c r="I564" i="20"/>
  <c r="I38" i="20"/>
  <c r="I1092" i="20"/>
  <c r="I619" i="20"/>
  <c r="I102" i="20"/>
  <c r="I1143" i="20"/>
  <c r="I1222" i="20"/>
  <c r="I810" i="20"/>
  <c r="I1483" i="20"/>
  <c r="I1297" i="20"/>
  <c r="I655" i="20"/>
  <c r="I407" i="20"/>
  <c r="I528" i="20"/>
  <c r="I1177" i="20"/>
  <c r="I1231" i="20"/>
  <c r="I350" i="20"/>
  <c r="I857" i="20"/>
  <c r="I254" i="20"/>
  <c r="I933" i="20"/>
  <c r="I518" i="20"/>
  <c r="I1041" i="20"/>
  <c r="I114" i="20"/>
  <c r="I957" i="20"/>
  <c r="I68" i="20"/>
  <c r="I587" i="20"/>
  <c r="I999" i="20"/>
  <c r="I1375" i="20"/>
  <c r="I812" i="20"/>
  <c r="I371" i="20"/>
  <c r="I913" i="20"/>
  <c r="I1471" i="20"/>
  <c r="I976" i="20"/>
  <c r="I141" i="20"/>
  <c r="I103" i="20"/>
  <c r="I1010" i="20"/>
  <c r="I439" i="20"/>
  <c r="I1438" i="20"/>
  <c r="I991" i="20"/>
  <c r="I504" i="20"/>
  <c r="I1477" i="20"/>
  <c r="I1033" i="20"/>
  <c r="I1039" i="20"/>
  <c r="I664" i="20"/>
  <c r="I1117" i="20"/>
  <c r="I1169" i="20"/>
  <c r="I508" i="20"/>
  <c r="I260" i="20"/>
  <c r="I1510" i="20"/>
  <c r="I632" i="20"/>
  <c r="I694" i="20"/>
  <c r="I222" i="20"/>
  <c r="I595" i="20"/>
  <c r="I754" i="20"/>
  <c r="I1148" i="20"/>
  <c r="I1518" i="20"/>
  <c r="I1296" i="20"/>
  <c r="I971" i="20"/>
  <c r="I1236" i="20"/>
  <c r="I108" i="20"/>
  <c r="I938" i="20"/>
  <c r="I1456" i="20"/>
  <c r="I536" i="20"/>
  <c r="I687" i="20"/>
  <c r="I204" i="20"/>
  <c r="I748" i="20"/>
  <c r="I1325" i="20"/>
  <c r="I1030" i="20"/>
  <c r="I77" i="20"/>
  <c r="I23" i="20"/>
  <c r="I946" i="20"/>
  <c r="I355" i="20"/>
  <c r="I1365" i="20"/>
  <c r="I918" i="20"/>
  <c r="I420" i="20"/>
  <c r="I117" i="20"/>
  <c r="I629" i="20"/>
  <c r="I304" i="20"/>
  <c r="I889" i="20"/>
  <c r="I1402" i="20"/>
  <c r="I544" i="20"/>
  <c r="I1173" i="20"/>
  <c r="I305" i="20"/>
  <c r="I964" i="20"/>
  <c r="I63" i="20"/>
  <c r="I735" i="20"/>
  <c r="I1340" i="20"/>
  <c r="I489" i="20"/>
  <c r="I1125" i="20"/>
  <c r="I454" i="20"/>
  <c r="I584" i="20"/>
  <c r="I317" i="20"/>
  <c r="I829" i="20"/>
  <c r="I532" i="20"/>
  <c r="I1090" i="20"/>
  <c r="I136" i="20"/>
  <c r="I804" i="20"/>
  <c r="I1401" i="20"/>
  <c r="I566" i="20"/>
  <c r="I1192" i="20"/>
  <c r="I327" i="20"/>
  <c r="I983" i="20"/>
  <c r="I81" i="20"/>
  <c r="I750" i="20"/>
  <c r="I1353" i="20"/>
  <c r="I966" i="20"/>
  <c r="I142" i="20"/>
  <c r="I469" i="20"/>
  <c r="I121" i="20"/>
  <c r="I706" i="20"/>
  <c r="I1242" i="20"/>
  <c r="I335" i="20"/>
  <c r="I990" i="20"/>
  <c r="I96" i="20"/>
  <c r="I764" i="20"/>
  <c r="I1366" i="20"/>
  <c r="I526" i="20"/>
  <c r="I1157" i="20"/>
  <c r="I280" i="20"/>
  <c r="I942" i="20"/>
  <c r="I29" i="20"/>
  <c r="I1313" i="20"/>
  <c r="I333" i="20"/>
  <c r="I322" i="20"/>
  <c r="I1202" i="20"/>
  <c r="I690" i="20"/>
  <c r="I190" i="20"/>
  <c r="I1211" i="20"/>
  <c r="I755" i="20"/>
  <c r="I227" i="20"/>
  <c r="I1253" i="20"/>
  <c r="I1478" i="20"/>
  <c r="I967" i="20"/>
  <c r="I184" i="20"/>
  <c r="I1444" i="20"/>
  <c r="I822" i="20"/>
  <c r="I574" i="20"/>
  <c r="I1159" i="20"/>
  <c r="I318" i="20"/>
  <c r="I402" i="20"/>
  <c r="I578" i="20"/>
  <c r="I1091" i="20"/>
  <c r="I515" i="20"/>
  <c r="I1171" i="20"/>
  <c r="I851" i="20"/>
  <c r="I1334" i="20"/>
  <c r="I281" i="20"/>
  <c r="I43" i="20"/>
  <c r="I269" i="20"/>
  <c r="I834" i="20"/>
  <c r="I1118" i="20"/>
  <c r="I128" i="20"/>
  <c r="I1070" i="20"/>
  <c r="I705" i="20"/>
  <c r="I1206" i="20"/>
  <c r="I302" i="20"/>
  <c r="I800" i="20"/>
  <c r="I237" i="20"/>
  <c r="I212" i="20"/>
  <c r="I1122" i="20"/>
  <c r="I575" i="20"/>
  <c r="I74" i="20"/>
  <c r="I1101" i="20"/>
  <c r="I630" i="20"/>
  <c r="I123" i="20"/>
  <c r="I1152" i="20"/>
  <c r="I1277" i="20"/>
  <c r="I831" i="20"/>
  <c r="I32" i="20"/>
  <c r="I1316" i="20"/>
  <c r="I675" i="20"/>
  <c r="I427" i="20"/>
  <c r="I611" i="20"/>
  <c r="I1251" i="20"/>
  <c r="I1304" i="20"/>
  <c r="I468" i="20"/>
  <c r="I731" i="20"/>
  <c r="I1009" i="20"/>
  <c r="I1257" i="20"/>
  <c r="I558" i="20"/>
  <c r="I228" i="20"/>
  <c r="I195" i="20"/>
  <c r="I1153" i="20"/>
  <c r="I1377" i="20"/>
  <c r="I1138" i="20"/>
  <c r="I242" i="20"/>
  <c r="I672" i="20"/>
  <c r="I951" i="20"/>
  <c r="I538" i="20"/>
  <c r="I1060" i="20"/>
  <c r="I135" i="20"/>
  <c r="I131" i="20"/>
  <c r="I173" i="20"/>
  <c r="I139" i="20"/>
  <c r="I1058" i="20"/>
  <c r="I491" i="20"/>
  <c r="I1484" i="20"/>
  <c r="I1028" i="20"/>
  <c r="I181" i="20"/>
  <c r="I693" i="20"/>
  <c r="I377" i="20"/>
  <c r="I954" i="20"/>
  <c r="I1466" i="20"/>
  <c r="I627" i="20"/>
  <c r="I1246" i="20"/>
  <c r="I388" i="20"/>
  <c r="I1037" i="20"/>
  <c r="I150" i="20"/>
  <c r="I818" i="20"/>
  <c r="I1413" i="20"/>
  <c r="I572" i="20"/>
  <c r="I1198" i="20"/>
  <c r="I620" i="20"/>
  <c r="I989" i="20"/>
  <c r="I381" i="20"/>
  <c r="I893" i="20"/>
  <c r="I606" i="20"/>
  <c r="I1154" i="20"/>
  <c r="I219" i="20"/>
  <c r="I888" i="20"/>
  <c r="I1475" i="20"/>
  <c r="I649" i="20"/>
  <c r="I1265" i="20"/>
  <c r="I410" i="20"/>
  <c r="I1056" i="20"/>
  <c r="I164" i="20"/>
  <c r="I833" i="20"/>
  <c r="I1427" i="20"/>
  <c r="I1112" i="20"/>
  <c r="I73" i="20"/>
  <c r="I533" i="20"/>
  <c r="I194" i="20"/>
  <c r="I779" i="20"/>
  <c r="I1306" i="20"/>
  <c r="I418" i="20"/>
  <c r="I1063" i="20"/>
  <c r="I179" i="20"/>
  <c r="I848" i="20"/>
  <c r="I1439" i="20"/>
  <c r="I609" i="20"/>
  <c r="I1230" i="20"/>
  <c r="I363" i="20"/>
  <c r="I1015" i="20"/>
  <c r="I202" i="20"/>
  <c r="I1460" i="20"/>
  <c r="I429" i="20"/>
  <c r="I432" i="20"/>
  <c r="I1314" i="20"/>
  <c r="I826" i="20"/>
  <c r="I326" i="20"/>
  <c r="I1320" i="20"/>
  <c r="I881" i="20"/>
  <c r="I374" i="20"/>
  <c r="I1372" i="20"/>
  <c r="I689" i="20"/>
  <c r="I1113" i="20"/>
  <c r="I352" i="20"/>
  <c r="I250" i="20"/>
  <c r="I977" i="20"/>
  <c r="I740" i="20"/>
  <c r="I903" i="20"/>
  <c r="I1048" i="20"/>
  <c r="I1359" i="20"/>
  <c r="I807" i="20"/>
  <c r="I1337" i="20"/>
  <c r="I786" i="20"/>
  <c r="I1399" i="20"/>
  <c r="I1150" i="20"/>
  <c r="I396" i="20"/>
  <c r="I616" i="20"/>
  <c r="I1324" i="20"/>
  <c r="I477" i="20"/>
  <c r="I1042" i="20"/>
  <c r="I1347" i="20"/>
  <c r="I390" i="20"/>
  <c r="I1299" i="20"/>
  <c r="I1022" i="20"/>
  <c r="I1499" i="20"/>
  <c r="I636" i="20"/>
  <c r="I568" i="20"/>
  <c r="I349" i="20"/>
  <c r="I331" i="20"/>
  <c r="I1226" i="20"/>
  <c r="I700" i="20"/>
  <c r="I200" i="20"/>
  <c r="I1229" i="20"/>
  <c r="I766" i="20"/>
  <c r="I259" i="20"/>
  <c r="I1262" i="20"/>
  <c r="I1496" i="20"/>
  <c r="I985" i="20"/>
  <c r="I206" i="20"/>
  <c r="I1462" i="20"/>
  <c r="I842" i="20"/>
  <c r="I594" i="20"/>
  <c r="I1232" i="20"/>
  <c r="I401" i="20"/>
  <c r="I737" i="20"/>
  <c r="I697" i="20"/>
  <c r="I981" i="20"/>
  <c r="I1128" i="20"/>
  <c r="I1504" i="20"/>
  <c r="I1057" i="20"/>
  <c r="I1172" i="20"/>
  <c r="I529" i="20"/>
  <c r="I1305" i="20"/>
  <c r="I165" i="20"/>
  <c r="I1354" i="20"/>
  <c r="I503" i="20"/>
  <c r="I928" i="20"/>
  <c r="I1180" i="20"/>
  <c r="I873" i="20"/>
  <c r="I1352" i="20"/>
  <c r="I470" i="20"/>
  <c r="I1397" i="20"/>
  <c r="I285" i="20"/>
  <c r="I258" i="20"/>
  <c r="I1162" i="20"/>
  <c r="I617" i="20"/>
  <c r="I116" i="20"/>
  <c r="I1156" i="20"/>
  <c r="I682" i="20"/>
  <c r="I245" i="20"/>
  <c r="I757" i="20"/>
  <c r="I450" i="20"/>
  <c r="I1018" i="20"/>
  <c r="I37" i="20"/>
  <c r="I711" i="20"/>
  <c r="I1319" i="20"/>
  <c r="I472" i="20"/>
  <c r="I1110" i="20"/>
  <c r="I233" i="20"/>
  <c r="I901" i="20"/>
  <c r="I1486" i="20"/>
  <c r="I656" i="20"/>
  <c r="I1271" i="20"/>
  <c r="I787" i="20"/>
  <c r="I1391" i="20"/>
  <c r="I445" i="20"/>
  <c r="I94" i="20"/>
  <c r="I679" i="20"/>
  <c r="I1218" i="20"/>
  <c r="I303" i="20"/>
  <c r="I963" i="20"/>
  <c r="I62" i="20"/>
  <c r="I732" i="20"/>
  <c r="I1339" i="20"/>
  <c r="I494" i="20"/>
  <c r="I1129" i="20"/>
  <c r="I248" i="20"/>
  <c r="I915" i="20"/>
  <c r="I1500" i="20"/>
  <c r="I1259" i="20"/>
  <c r="I85" i="20"/>
  <c r="I597" i="20"/>
  <c r="I267" i="20"/>
  <c r="I852" i="20"/>
  <c r="I1370" i="20"/>
  <c r="I502" i="20"/>
  <c r="I1136" i="20"/>
  <c r="I263" i="20"/>
  <c r="I927" i="20"/>
  <c r="I1512" i="20"/>
  <c r="I692" i="20"/>
  <c r="I1303" i="20"/>
  <c r="I447" i="20"/>
  <c r="I1088" i="20"/>
  <c r="I370" i="20"/>
  <c r="I312" i="20"/>
  <c r="I541" i="20"/>
  <c r="I551" i="20"/>
  <c r="I1418" i="20"/>
  <c r="I944" i="20"/>
  <c r="I451" i="20"/>
  <c r="I1448" i="20"/>
  <c r="I1001" i="20"/>
  <c r="I510" i="20"/>
  <c r="I1481" i="20"/>
  <c r="I1300" i="20"/>
  <c r="I1260" i="20"/>
  <c r="I519" i="20"/>
  <c r="I835" i="20"/>
  <c r="I1124" i="20"/>
  <c r="I907" i="20"/>
  <c r="I129" i="20"/>
  <c r="I1123" i="20"/>
  <c r="I157" i="20"/>
  <c r="I1034" i="20"/>
  <c r="I86" i="20"/>
  <c r="I1029" i="20"/>
  <c r="I265" i="20"/>
  <c r="I1443" i="20"/>
  <c r="I20" i="20"/>
  <c r="I783" i="20"/>
  <c r="I1268" i="20"/>
  <c r="I581" i="20"/>
  <c r="I1250" i="20"/>
  <c r="I106" i="20"/>
  <c r="I796" i="20"/>
  <c r="I53" i="20"/>
  <c r="I1315" i="20"/>
  <c r="I1044" i="20"/>
  <c r="I961" i="20"/>
  <c r="I590" i="20"/>
  <c r="I453" i="20"/>
  <c r="I441" i="20"/>
  <c r="I1322" i="20"/>
  <c r="I847" i="20"/>
  <c r="I336" i="20"/>
  <c r="I1348" i="20"/>
  <c r="I891" i="20"/>
  <c r="I384" i="20"/>
  <c r="I1390" i="20"/>
  <c r="I751" i="20"/>
  <c r="I1132" i="20"/>
  <c r="I372" i="20"/>
  <c r="I334" i="20"/>
  <c r="I996" i="20"/>
  <c r="I762" i="20"/>
  <c r="I1196" i="20"/>
  <c r="I1121" i="20"/>
  <c r="I40" i="20"/>
  <c r="I930" i="20"/>
  <c r="I1219" i="20"/>
  <c r="I1357" i="20"/>
  <c r="I270" i="20"/>
  <c r="I1515" i="20"/>
  <c r="I226" i="20"/>
  <c r="I864" i="20"/>
  <c r="I297" i="20"/>
  <c r="I365" i="20"/>
  <c r="I72" i="20"/>
  <c r="I775" i="20"/>
  <c r="I1166" i="20"/>
  <c r="I1408" i="20"/>
  <c r="I1168" i="20"/>
  <c r="I480" i="20"/>
  <c r="I803" i="20"/>
  <c r="I1414" i="20"/>
  <c r="I389" i="20"/>
  <c r="I368" i="20"/>
  <c r="I1258" i="20"/>
  <c r="I763" i="20"/>
  <c r="I252" i="20"/>
  <c r="I1275" i="20"/>
  <c r="I808" i="20"/>
  <c r="I300" i="20"/>
  <c r="I309" i="20"/>
  <c r="I821" i="20"/>
  <c r="I523" i="20"/>
  <c r="I1082" i="20"/>
  <c r="I126" i="20"/>
  <c r="I794" i="20"/>
  <c r="I1392" i="20"/>
  <c r="I555" i="20"/>
  <c r="I1183" i="20"/>
  <c r="I316" i="20"/>
  <c r="I974" i="20"/>
  <c r="I70" i="20"/>
  <c r="I739" i="20"/>
  <c r="I1344" i="20"/>
  <c r="I948" i="20"/>
  <c r="I49" i="20"/>
  <c r="I509" i="20"/>
  <c r="I167" i="20"/>
  <c r="I752" i="20"/>
  <c r="I1282" i="20"/>
  <c r="I387" i="20"/>
  <c r="I1036" i="20"/>
  <c r="I147" i="20"/>
  <c r="I817" i="20"/>
  <c r="I1412" i="20"/>
  <c r="I577" i="20"/>
  <c r="I1203" i="20"/>
  <c r="I332" i="20"/>
  <c r="I988" i="20"/>
  <c r="I140" i="20"/>
  <c r="I1405" i="20"/>
  <c r="I149" i="20"/>
  <c r="I661" i="20"/>
  <c r="I340" i="20"/>
  <c r="I922" i="20"/>
  <c r="I1434" i="20"/>
  <c r="I585" i="20"/>
  <c r="I1209" i="20"/>
  <c r="I346" i="20"/>
  <c r="I1000" i="20"/>
  <c r="I107" i="20"/>
  <c r="I776" i="20"/>
  <c r="I1376" i="20"/>
  <c r="I530" i="20"/>
  <c r="I1161" i="20"/>
  <c r="I537" i="20"/>
  <c r="I814" i="20"/>
  <c r="I645" i="20"/>
  <c r="I660" i="20"/>
  <c r="I1514" i="20"/>
  <c r="I1072" i="20"/>
  <c r="I586" i="20"/>
  <c r="I87" i="20"/>
  <c r="I1111" i="20"/>
  <c r="I635" i="20"/>
  <c r="I224" i="20"/>
  <c r="I120" i="20"/>
  <c r="I1406" i="20"/>
  <c r="I686" i="20"/>
  <c r="I1446" i="20"/>
  <c r="I1270" i="20"/>
  <c r="I1053" i="20"/>
  <c r="I799" i="20"/>
  <c r="I172" i="20"/>
  <c r="I357" i="20"/>
  <c r="I1234" i="20"/>
  <c r="I492" i="20"/>
  <c r="I1385" i="20"/>
  <c r="I830" i="20"/>
  <c r="I667" i="20"/>
  <c r="I362" i="20"/>
  <c r="I1089" i="20"/>
  <c r="I339" i="20"/>
  <c r="I781" i="20"/>
  <c r="I1450" i="20"/>
  <c r="I367" i="20"/>
  <c r="I1038" i="20"/>
  <c r="I579" i="20"/>
  <c r="I291" i="20"/>
  <c r="I216" i="20"/>
  <c r="I1254" i="20"/>
  <c r="I1068" i="20"/>
  <c r="I549" i="20"/>
  <c r="I569" i="20"/>
  <c r="I1426" i="20"/>
  <c r="I972" i="20"/>
  <c r="I462" i="20"/>
  <c r="I1457" i="20"/>
  <c r="I1020" i="20"/>
  <c r="I520" i="20"/>
  <c r="I1509" i="20"/>
  <c r="I1336" i="20"/>
  <c r="I1278" i="20"/>
  <c r="I539" i="20"/>
  <c r="I897" i="20"/>
  <c r="I1142" i="20"/>
  <c r="I925" i="20"/>
  <c r="I214" i="20"/>
  <c r="I1415" i="20"/>
  <c r="I261" i="20"/>
  <c r="I1130" i="20"/>
  <c r="I1447" i="20"/>
  <c r="I118" i="20"/>
  <c r="I540" i="20"/>
  <c r="I1464" i="20"/>
  <c r="I561" i="20"/>
  <c r="I1160" i="20"/>
  <c r="I654" i="20"/>
  <c r="I677" i="20"/>
  <c r="I345" i="20"/>
  <c r="I1019" i="20"/>
  <c r="I1395" i="20"/>
  <c r="I328" i="20"/>
  <c r="I1461" i="20"/>
  <c r="I45" i="20"/>
  <c r="I1108" i="20"/>
  <c r="I424" i="20"/>
  <c r="I485" i="20"/>
  <c r="I496" i="20"/>
  <c r="I1362" i="20"/>
  <c r="I899" i="20"/>
  <c r="I378" i="20"/>
  <c r="I1384" i="20"/>
  <c r="I373" i="20"/>
  <c r="I885" i="20"/>
  <c r="I596" i="20"/>
  <c r="I1146" i="20"/>
  <c r="I209" i="20"/>
  <c r="I878" i="20"/>
  <c r="I1465" i="20"/>
  <c r="I639" i="20"/>
  <c r="I1256" i="20"/>
  <c r="I400" i="20"/>
  <c r="I1047" i="20"/>
  <c r="I154" i="20"/>
  <c r="I823" i="20"/>
  <c r="I1417" i="20"/>
  <c r="I1094" i="20"/>
  <c r="I59" i="20"/>
  <c r="I573" i="20"/>
  <c r="I240" i="20"/>
  <c r="I825" i="20"/>
  <c r="I1346" i="20"/>
  <c r="I471" i="20"/>
  <c r="I1109" i="20"/>
  <c r="I232" i="20"/>
  <c r="I900" i="20"/>
  <c r="I1485" i="20"/>
  <c r="I662" i="20"/>
  <c r="I1276" i="20"/>
  <c r="I416" i="20"/>
  <c r="I1061" i="20"/>
  <c r="I307" i="20"/>
  <c r="I145" i="20"/>
  <c r="I213" i="20"/>
  <c r="I725" i="20"/>
  <c r="I414" i="20"/>
  <c r="I986" i="20"/>
  <c r="I1498" i="20"/>
  <c r="I668" i="20"/>
  <c r="I1283" i="20"/>
  <c r="I430" i="20"/>
  <c r="I1073" i="20"/>
  <c r="I191" i="20"/>
  <c r="I859" i="20"/>
  <c r="I1449" i="20"/>
  <c r="I614" i="20"/>
  <c r="I1235" i="20"/>
  <c r="I704" i="20"/>
  <c r="I1190" i="20"/>
  <c r="I741" i="20"/>
  <c r="I788" i="20"/>
  <c r="I156" i="20"/>
  <c r="I1191" i="20"/>
  <c r="I712" i="20"/>
  <c r="I211" i="20"/>
  <c r="I1239" i="20"/>
  <c r="I771" i="20"/>
  <c r="I495" i="20"/>
  <c r="I308" i="20"/>
  <c r="I104" i="20"/>
  <c r="I854" i="20"/>
  <c r="I153" i="20"/>
  <c r="I1416" i="20"/>
  <c r="I1199" i="20"/>
  <c r="I1469" i="20"/>
  <c r="I841" i="20"/>
  <c r="I557" i="20"/>
  <c r="I1442" i="20"/>
  <c r="I879" i="20"/>
  <c r="I134" i="20"/>
  <c r="I1295" i="20"/>
  <c r="I56" i="20"/>
  <c r="I696" i="20"/>
  <c r="I1382" i="20"/>
  <c r="I995" i="20"/>
  <c r="I130" i="20"/>
  <c r="I199" i="20"/>
  <c r="I628" i="20"/>
  <c r="I1285" i="20"/>
  <c r="I1076" i="20"/>
  <c r="I1227" i="20"/>
  <c r="I550" i="20"/>
  <c r="I110" i="20"/>
  <c r="I860" i="20"/>
  <c r="I653" i="20"/>
  <c r="I688" i="20"/>
  <c r="I26" i="20"/>
  <c r="I1081" i="20"/>
  <c r="I608" i="20"/>
  <c r="I97" i="20"/>
  <c r="I1139" i="20"/>
  <c r="I646" i="20"/>
  <c r="I244" i="20"/>
  <c r="I162" i="20"/>
  <c r="I1424" i="20"/>
  <c r="I707" i="20"/>
  <c r="I1519" i="20"/>
  <c r="I1288" i="20"/>
  <c r="I1071" i="20"/>
  <c r="I882" i="20"/>
  <c r="I256" i="20"/>
  <c r="I461" i="20"/>
  <c r="I1330" i="20"/>
  <c r="I210" i="20"/>
  <c r="I379" i="20"/>
  <c r="I802" i="20"/>
  <c r="I351" i="20"/>
  <c r="I895" i="20"/>
  <c r="I1453" i="20"/>
  <c r="I716" i="20"/>
  <c r="I877" i="20"/>
  <c r="I607" i="20"/>
  <c r="I1247" i="20"/>
  <c r="I1513" i="20"/>
  <c r="I850" i="20"/>
  <c r="I730" i="20"/>
  <c r="I383" i="20"/>
  <c r="I1400" i="20"/>
  <c r="I192" i="20"/>
  <c r="I589" i="20"/>
  <c r="I615" i="20"/>
  <c r="I1458" i="20"/>
  <c r="I1008" i="20"/>
  <c r="I524" i="20"/>
  <c r="I1503" i="20"/>
  <c r="I437" i="20"/>
  <c r="I84" i="20"/>
  <c r="I670" i="20"/>
  <c r="I1210" i="20"/>
  <c r="I292" i="20"/>
  <c r="I953" i="20"/>
  <c r="I51" i="20"/>
  <c r="I722" i="20"/>
  <c r="I1329" i="20"/>
  <c r="I483" i="20"/>
  <c r="I1120" i="20"/>
  <c r="I238" i="20"/>
  <c r="I905" i="20"/>
  <c r="I1491" i="20"/>
  <c r="I1240" i="20"/>
  <c r="I125" i="20"/>
  <c r="I637" i="20"/>
  <c r="I313" i="20"/>
  <c r="I898" i="20"/>
  <c r="I1410" i="20"/>
  <c r="I554" i="20"/>
  <c r="I1182" i="20"/>
  <c r="I315" i="20"/>
  <c r="I973" i="20"/>
  <c r="I76" i="20"/>
  <c r="I745" i="20"/>
  <c r="I1349" i="20"/>
  <c r="I499" i="20"/>
  <c r="I1134" i="20"/>
  <c r="I474" i="20"/>
  <c r="I626" i="20"/>
  <c r="I277" i="20"/>
  <c r="I789" i="20"/>
  <c r="I487" i="20"/>
  <c r="I1050" i="20"/>
  <c r="I83" i="20"/>
  <c r="I753" i="20"/>
  <c r="I1356" i="20"/>
  <c r="I513" i="20"/>
  <c r="I1147" i="20"/>
  <c r="I274" i="20"/>
  <c r="I937" i="20"/>
  <c r="I21" i="20"/>
  <c r="I698" i="20"/>
  <c r="I1308" i="20"/>
  <c r="I872" i="20"/>
  <c r="I22" i="20"/>
  <c r="I845" i="20"/>
  <c r="I906" i="20"/>
  <c r="I282" i="20"/>
  <c r="I1301" i="20"/>
  <c r="I858" i="20"/>
  <c r="I347" i="20"/>
  <c r="I1358" i="20"/>
  <c r="I896" i="20"/>
  <c r="I746" i="20"/>
  <c r="I475" i="20"/>
  <c r="I543" i="20"/>
  <c r="I1005" i="20"/>
  <c r="I320" i="20"/>
  <c r="I71" i="20"/>
  <c r="I1345" i="20"/>
  <c r="I993" i="20"/>
  <c r="I1433" i="20"/>
  <c r="I773" i="20"/>
  <c r="I188" i="20"/>
  <c r="I1238" i="20"/>
  <c r="I394" i="20"/>
  <c r="I876" i="20"/>
  <c r="I393" i="20"/>
  <c r="I1014" i="20"/>
  <c r="I695" i="20"/>
  <c r="I777" i="20"/>
  <c r="I249" i="20"/>
  <c r="I481" i="20"/>
  <c r="I909" i="20"/>
  <c r="I144" i="20"/>
  <c r="I208" i="20"/>
  <c r="I247" i="20"/>
  <c r="I884" i="20"/>
  <c r="I1379" i="20"/>
  <c r="I1342" i="20"/>
  <c r="I749" i="20"/>
  <c r="I798" i="20"/>
  <c r="I178" i="20"/>
  <c r="I1200" i="20"/>
  <c r="I744" i="20"/>
  <c r="I223" i="20"/>
  <c r="I1248" i="20"/>
  <c r="I792" i="20"/>
  <c r="I516" i="20"/>
  <c r="I329" i="20"/>
  <c r="I166" i="20"/>
  <c r="I874" i="20"/>
  <c r="I174" i="20"/>
  <c r="I1435" i="20"/>
  <c r="I1217" i="20"/>
  <c r="I319" i="20"/>
  <c r="I921" i="20"/>
  <c r="I669" i="20"/>
  <c r="I61" i="20"/>
  <c r="I356" i="20"/>
  <c r="I640" i="20"/>
  <c r="I1043" i="20"/>
  <c r="I684" i="20"/>
  <c r="I1188" i="20"/>
  <c r="I448" i="20"/>
  <c r="I484" i="20"/>
  <c r="I359" i="20"/>
  <c r="I867" i="20"/>
  <c r="I1494" i="20"/>
  <c r="I290" i="20"/>
  <c r="I1332" i="20"/>
  <c r="I80" i="20"/>
  <c r="I718" i="20"/>
  <c r="I778" i="20"/>
  <c r="I1451" i="20"/>
  <c r="I685" i="20"/>
  <c r="I724" i="20"/>
  <c r="I95" i="20"/>
  <c r="I1127" i="20"/>
  <c r="I659" i="20"/>
  <c r="I138" i="20"/>
  <c r="I1175" i="20"/>
  <c r="I708" i="20"/>
  <c r="I348" i="20"/>
  <c r="I41" i="20"/>
  <c r="I501" i="20"/>
  <c r="I158" i="20"/>
  <c r="I743" i="20"/>
  <c r="I1274" i="20"/>
  <c r="I376" i="20"/>
  <c r="I1027" i="20"/>
  <c r="I137" i="20"/>
  <c r="I806" i="20"/>
  <c r="I1403" i="20"/>
  <c r="I567" i="20"/>
  <c r="I1193" i="20"/>
  <c r="I321" i="20"/>
  <c r="I979" i="20"/>
  <c r="I119" i="20"/>
  <c r="I1387" i="20"/>
  <c r="I189" i="20"/>
  <c r="I701" i="20"/>
  <c r="I386" i="20"/>
  <c r="I962" i="20"/>
  <c r="I1474" i="20"/>
  <c r="I638" i="20"/>
  <c r="I1255" i="20"/>
  <c r="I399" i="20"/>
  <c r="I1046" i="20"/>
  <c r="I160" i="20"/>
  <c r="I828" i="20"/>
  <c r="I1422" i="20"/>
  <c r="I583" i="20"/>
  <c r="I1207" i="20"/>
  <c r="I641" i="20"/>
  <c r="I1025" i="20"/>
  <c r="I341" i="20"/>
  <c r="I853" i="20"/>
  <c r="I560" i="20"/>
  <c r="I1114" i="20"/>
  <c r="I168" i="20"/>
  <c r="I836" i="20"/>
  <c r="I1429" i="20"/>
  <c r="I598" i="20"/>
  <c r="I1220" i="20"/>
  <c r="I358" i="20"/>
  <c r="I1011" i="20"/>
  <c r="I113" i="20"/>
  <c r="I782" i="20"/>
  <c r="I1381" i="20"/>
  <c r="I1021" i="20"/>
  <c r="I133" i="20"/>
  <c r="I75" i="20"/>
  <c r="I1002" i="20"/>
  <c r="I428" i="20"/>
  <c r="I1420" i="20"/>
  <c r="I982" i="20"/>
  <c r="I473" i="20"/>
  <c r="I1468" i="20"/>
  <c r="I1024" i="20"/>
  <c r="I1003" i="20"/>
  <c r="I643" i="20"/>
  <c r="I1062" i="20"/>
  <c r="I1151" i="20"/>
  <c r="I488" i="20"/>
  <c r="I239" i="20"/>
  <c r="I1492" i="20"/>
  <c r="I548" i="20"/>
  <c r="I610" i="20"/>
  <c r="I112" i="20"/>
  <c r="I449" i="20"/>
  <c r="I1467" i="20"/>
  <c r="I676" i="20"/>
  <c r="I183" i="20"/>
  <c r="I728" i="20"/>
  <c r="I1307" i="20"/>
  <c r="I88" i="20"/>
  <c r="I1049" i="20"/>
  <c r="I478" i="20"/>
  <c r="I742" i="20"/>
  <c r="I1137" i="20"/>
  <c r="I552" i="20"/>
  <c r="I1501" i="20"/>
  <c r="I582" i="20"/>
  <c r="I1179" i="20"/>
  <c r="I380" i="20"/>
  <c r="I31" i="20"/>
  <c r="I861" i="20"/>
  <c r="I914" i="20"/>
  <c r="I314" i="20"/>
  <c r="I1310" i="20"/>
  <c r="I868" i="20"/>
  <c r="I369" i="20"/>
  <c r="I1367" i="20"/>
  <c r="I924" i="20"/>
  <c r="I767" i="20"/>
  <c r="I497" i="20"/>
  <c r="I604" i="20"/>
  <c r="I1023" i="20"/>
  <c r="I342" i="20"/>
  <c r="I92" i="20"/>
  <c r="I1364" i="20"/>
  <c r="I1286" i="20"/>
  <c r="I1507" i="20"/>
  <c r="I869" i="20"/>
  <c r="I324" i="20"/>
  <c r="I618" i="20"/>
  <c r="I919" i="20"/>
  <c r="I1289" i="20"/>
  <c r="I1004" i="20"/>
  <c r="I1480" i="20"/>
  <c r="I943" i="20"/>
  <c r="I255" i="20"/>
  <c r="I715" i="20"/>
  <c r="I1228" i="20"/>
  <c r="I264" i="20"/>
  <c r="I426" i="20"/>
  <c r="I916" i="20"/>
  <c r="I415" i="20"/>
  <c r="I1032" i="20"/>
  <c r="I422" i="20"/>
  <c r="I25" i="20"/>
  <c r="I797" i="20"/>
  <c r="I843" i="20"/>
  <c r="I230" i="20"/>
  <c r="I1237" i="20"/>
  <c r="I785" i="20"/>
  <c r="I284" i="20"/>
  <c r="I1294" i="20"/>
  <c r="I844" i="20"/>
  <c r="I546" i="20"/>
  <c r="I960" i="20"/>
  <c r="I1131" i="20"/>
  <c r="I727" i="20"/>
  <c r="I1263" i="20"/>
  <c r="I1224" i="20"/>
  <c r="I571" i="20"/>
  <c r="I323" i="20"/>
  <c r="I193" i="20"/>
  <c r="I883" i="20"/>
  <c r="I939" i="20"/>
  <c r="I493" i="20"/>
  <c r="I505" i="20"/>
  <c r="I1378" i="20"/>
  <c r="I908" i="20"/>
  <c r="I409" i="20"/>
  <c r="I1393" i="20"/>
  <c r="I956" i="20"/>
  <c r="I457" i="20"/>
  <c r="I1445" i="20"/>
  <c r="I1080" i="20"/>
  <c r="I1205" i="20"/>
  <c r="I456" i="20"/>
  <c r="I647" i="20"/>
  <c r="I1069" i="20"/>
  <c r="I846" i="20"/>
  <c r="I1140" i="20"/>
  <c r="I235" i="20"/>
  <c r="I301" i="20"/>
  <c r="I159" i="20"/>
  <c r="I1225" i="20"/>
  <c r="I1407" i="20"/>
  <c r="I151" i="20"/>
  <c r="I337" i="20"/>
  <c r="I720" i="20"/>
  <c r="I58" i="20"/>
  <c r="I651" i="20"/>
  <c r="I634" i="20"/>
  <c r="I1194" i="20"/>
  <c r="I723" i="20"/>
  <c r="I949" i="20"/>
  <c r="I553" i="20"/>
  <c r="I413" i="20"/>
  <c r="I283" i="20"/>
  <c r="I1335" i="20"/>
  <c r="I124" i="20"/>
  <c r="I902" i="20"/>
  <c r="I294" i="20"/>
  <c r="I987" i="20"/>
  <c r="I522" i="20"/>
  <c r="I361" i="20"/>
  <c r="I91" i="20"/>
  <c r="I101" i="20"/>
  <c r="I1383" i="20"/>
  <c r="I997" i="20"/>
  <c r="I1115" i="20"/>
  <c r="I382" i="20"/>
  <c r="I1394" i="20"/>
  <c r="I992" i="20"/>
  <c r="I1241" i="20"/>
  <c r="I887" i="20"/>
  <c r="I1045" i="20"/>
  <c r="I631" i="20"/>
  <c r="I1035" i="20"/>
  <c r="I947" i="20"/>
  <c r="I1079" i="20"/>
  <c r="I1350" i="20"/>
  <c r="I894" i="20"/>
  <c r="I100" i="20"/>
  <c r="I1371" i="20"/>
  <c r="I738" i="20"/>
  <c r="I490" i="20"/>
  <c r="I863" i="20"/>
  <c r="I1470" i="20"/>
  <c r="I1323" i="20"/>
  <c r="I605" i="20"/>
  <c r="I624" i="20"/>
  <c r="I1482" i="20"/>
  <c r="I1017" i="20"/>
  <c r="I535" i="20"/>
  <c r="I28" i="20"/>
  <c r="I1075" i="20"/>
  <c r="I593" i="20"/>
  <c r="I98" i="20"/>
  <c r="I55" i="20"/>
  <c r="I1351" i="20"/>
  <c r="I623" i="20"/>
  <c r="I1208" i="20"/>
  <c r="I1215" i="20"/>
  <c r="I998" i="20"/>
  <c r="I547" i="20"/>
  <c r="I1213" i="20"/>
  <c r="I717" i="20"/>
  <c r="I691" i="20"/>
  <c r="I411" i="20"/>
  <c r="I111" i="20"/>
  <c r="I674" i="20"/>
  <c r="I1331" i="20"/>
  <c r="I486" i="20"/>
  <c r="I161" i="20"/>
  <c r="I534" i="20"/>
  <c r="I385" i="20"/>
  <c r="I146" i="20"/>
  <c r="I1221" i="20"/>
  <c r="I36" i="20"/>
  <c r="I1181" i="20"/>
  <c r="I813" i="20"/>
  <c r="I827" i="20"/>
  <c r="I683" i="20"/>
  <c r="I279" i="20"/>
  <c r="I1287" i="20"/>
  <c r="I1311" i="20"/>
  <c r="I299" i="20"/>
  <c r="I545" i="20"/>
  <c r="I1031" i="20"/>
  <c r="I1116" i="20"/>
  <c r="I517" i="20"/>
  <c r="I419" i="20"/>
  <c r="I1463" i="20"/>
  <c r="I710" i="20"/>
  <c r="I570" i="20"/>
  <c r="I408" i="20"/>
  <c r="I1459" i="20"/>
  <c r="I1007" i="20"/>
  <c r="I1473" i="20"/>
  <c r="I1064" i="20"/>
  <c r="I221" i="20"/>
  <c r="I89" i="20"/>
  <c r="I1065" i="20"/>
  <c r="I1189" i="20"/>
  <c r="I271" i="20"/>
  <c r="I1040" i="20"/>
  <c r="I268" i="20"/>
  <c r="I1517" i="20"/>
  <c r="I904" i="20"/>
  <c r="I657" i="20"/>
  <c r="I1452" i="20"/>
  <c r="I652" i="20"/>
  <c r="I171" i="20"/>
  <c r="I709" i="20"/>
  <c r="I734" i="20"/>
  <c r="I105" i="20"/>
  <c r="I1145" i="20"/>
  <c r="I671" i="20"/>
  <c r="I170" i="20"/>
  <c r="I1184" i="20"/>
  <c r="I719" i="20"/>
  <c r="I391" i="20"/>
  <c r="I246" i="20"/>
  <c r="I1497" i="20"/>
  <c r="I791" i="20"/>
  <c r="I90" i="20"/>
  <c r="I1361" i="20"/>
  <c r="I1144" i="20"/>
  <c r="I1176" i="20"/>
  <c r="I591" i="20"/>
  <c r="I286" i="20"/>
  <c r="I1174" i="20"/>
  <c r="I1423" i="20"/>
  <c r="I780" i="20"/>
  <c r="I1341" i="20"/>
  <c r="I886" i="20"/>
  <c r="I975" i="20"/>
  <c r="I768" i="20"/>
  <c r="I576" i="20"/>
  <c r="I714" i="20"/>
  <c r="I680" i="20"/>
  <c r="I217" i="20"/>
  <c r="I163" i="20"/>
  <c r="I1086" i="20"/>
  <c r="I404" i="20"/>
  <c r="I1302" i="20"/>
  <c r="I438" i="20"/>
  <c r="I941" i="20"/>
  <c r="I756" i="20"/>
  <c r="I870" i="20"/>
  <c r="I47" i="20"/>
  <c r="I588" i="20"/>
  <c r="I1085" i="20"/>
  <c r="I99" i="20"/>
  <c r="I54" i="20"/>
  <c r="I945" i="20"/>
  <c r="I929" i="20"/>
  <c r="I446" i="20"/>
  <c r="I443" i="20"/>
  <c r="I935" i="20"/>
  <c r="I479" i="20"/>
  <c r="I498" i="20"/>
  <c r="I42" i="20"/>
  <c r="I1093" i="20"/>
  <c r="I1098" i="20"/>
  <c r="I1404" i="20"/>
  <c r="I1317" i="20"/>
  <c r="I952" i="20"/>
  <c r="I1187" i="20"/>
  <c r="I435" i="20"/>
  <c r="I563" i="20"/>
  <c r="I1051" i="20"/>
  <c r="I824" i="20"/>
  <c r="I840" i="20"/>
  <c r="I1487" i="20"/>
  <c r="I33" i="20"/>
  <c r="I805" i="20"/>
  <c r="I862" i="20"/>
  <c r="I241" i="20"/>
  <c r="I1264" i="20"/>
  <c r="I795" i="20"/>
  <c r="I296" i="20"/>
  <c r="I1312" i="20"/>
  <c r="I855" i="20"/>
  <c r="I663" i="20"/>
  <c r="I412" i="20"/>
  <c r="I417" i="20"/>
  <c r="I950" i="20"/>
  <c r="I257" i="20"/>
  <c r="I1508" i="20"/>
  <c r="I1291" i="20"/>
  <c r="I1488" i="20"/>
  <c r="I1214" i="20"/>
  <c r="I761" i="20"/>
  <c r="I180" i="20"/>
  <c r="I266" i="20"/>
  <c r="I1380" i="20"/>
  <c r="I421" i="20"/>
  <c r="I726" i="20"/>
  <c r="I1067" i="20"/>
  <c r="I644" i="20"/>
  <c r="I599" i="20"/>
  <c r="I1158" i="20"/>
  <c r="I1164" i="20"/>
  <c r="I760" i="20"/>
  <c r="I832" i="20"/>
  <c r="I1396" i="20"/>
  <c r="I871" i="20"/>
  <c r="I306" i="20"/>
  <c r="I434" i="20"/>
  <c r="I24" i="20"/>
  <c r="I65" i="20"/>
  <c r="I353" i="20"/>
  <c r="I1327" i="20"/>
  <c r="I603" i="20"/>
  <c r="I185" i="20"/>
  <c r="I1428" i="20"/>
  <c r="I514" i="20"/>
  <c r="I1421" i="20"/>
  <c r="I1135" i="20"/>
  <c r="I1087" i="20"/>
  <c r="I109" i="20"/>
  <c r="I1411" i="20"/>
  <c r="I1006" i="20"/>
  <c r="I1133" i="20"/>
  <c r="I465" i="20"/>
  <c r="I1107" i="20"/>
  <c r="I27" i="20"/>
  <c r="I35" i="20"/>
  <c r="I1436" i="20"/>
  <c r="I30" i="20"/>
  <c r="I1333" i="20"/>
  <c r="I602" i="20"/>
  <c r="I1099" i="20"/>
  <c r="I1197" i="20"/>
  <c r="I980" i="20"/>
  <c r="I464" i="20"/>
  <c r="I920" i="20"/>
  <c r="I93" i="20"/>
  <c r="I34" i="20"/>
  <c r="I970" i="20"/>
  <c r="I366" i="20"/>
  <c r="I1374" i="20"/>
  <c r="I936" i="20"/>
  <c r="I431" i="20"/>
  <c r="I1431" i="20"/>
  <c r="I969" i="20"/>
  <c r="I911" i="20"/>
  <c r="I580" i="20"/>
  <c r="I856" i="20"/>
  <c r="I1096" i="20"/>
  <c r="I425" i="20"/>
  <c r="I177" i="20"/>
  <c r="I1437" i="20"/>
  <c r="I298" i="20"/>
  <c r="I360" i="20"/>
  <c r="I1186" i="20"/>
  <c r="I713" i="20"/>
  <c r="I931" i="20"/>
  <c r="I531" i="20"/>
  <c r="I880" i="20"/>
  <c r="I1095" i="20"/>
  <c r="I176" i="20"/>
  <c r="I612" i="20"/>
  <c r="I625" i="20"/>
  <c r="I325" i="20"/>
  <c r="I169" i="20"/>
  <c r="I1244" i="20"/>
  <c r="I1425" i="20"/>
  <c r="I234" i="20"/>
  <c r="I1290" i="20"/>
  <c r="I849" i="20"/>
  <c r="I1077" i="20"/>
  <c r="I699" i="20"/>
  <c r="I837" i="20"/>
  <c r="I1363" i="20"/>
  <c r="I673" i="20"/>
  <c r="I1185" i="20"/>
  <c r="I1506" i="20"/>
  <c r="I1355" i="20"/>
  <c r="I978" i="20"/>
  <c r="I452" i="20"/>
  <c r="I601" i="20"/>
  <c r="I198" i="20"/>
  <c r="I525" i="20"/>
  <c r="I440" i="20"/>
  <c r="I1472" i="20"/>
  <c r="I772" i="20"/>
  <c r="I820" i="20"/>
  <c r="I79" i="20"/>
  <c r="I1102" i="20"/>
  <c r="I175" i="20"/>
  <c r="I78" i="20"/>
  <c r="I225" i="20"/>
  <c r="I1479" i="20"/>
  <c r="I769" i="20"/>
  <c r="I69" i="20"/>
  <c r="I1343" i="20"/>
  <c r="I1126" i="20"/>
  <c r="I1103" i="20"/>
  <c r="I507" i="20"/>
  <c r="I197" i="20"/>
  <c r="I148" i="20"/>
  <c r="I1066" i="20"/>
  <c r="I512" i="20"/>
  <c r="I1493" i="20"/>
  <c r="I1055" i="20"/>
  <c r="I556" i="20"/>
  <c r="I46" i="20"/>
  <c r="I1097" i="20"/>
  <c r="I1149" i="20"/>
  <c r="I747" i="20"/>
  <c r="I1318" i="20"/>
  <c r="I1243" i="20"/>
  <c r="I592" i="20"/>
  <c r="I344" i="20"/>
  <c r="I278" i="20"/>
  <c r="I958" i="20"/>
  <c r="I1012" i="20"/>
  <c r="I115" i="20"/>
  <c r="I1212" i="20"/>
  <c r="I1516" i="20"/>
  <c r="I1163" i="20"/>
  <c r="I272" i="20"/>
  <c r="I330" i="20"/>
  <c r="I1490" i="20"/>
  <c r="I1016" i="20"/>
  <c r="I1204" i="20"/>
  <c r="I733" i="20"/>
  <c r="I702" i="20"/>
  <c r="I433" i="20"/>
  <c r="I132" i="20"/>
  <c r="I758" i="20"/>
  <c r="I262" i="20"/>
  <c r="I1321" i="20"/>
  <c r="I458" i="20"/>
  <c r="I1309" i="20"/>
  <c r="I423" i="20"/>
  <c r="I500" i="20"/>
  <c r="I1360" i="20"/>
  <c r="I1369" i="20"/>
  <c r="I1054" i="20"/>
  <c r="I1252" i="20"/>
  <c r="I1386" i="20"/>
  <c r="I965" i="20"/>
  <c r="I1223" i="20"/>
  <c r="I866" i="20"/>
  <c r="I64" i="20"/>
  <c r="I955" i="20"/>
  <c r="I984" i="20"/>
  <c r="I466" i="20"/>
  <c r="I527" i="20"/>
  <c r="I1373" i="20"/>
  <c r="I182" i="20"/>
  <c r="I436" i="20"/>
  <c r="I600" i="20"/>
  <c r="I392" i="20"/>
  <c r="I354" i="20"/>
  <c r="I932" i="20"/>
  <c r="I236" i="20"/>
  <c r="I1489" i="20"/>
  <c r="I1272" i="20"/>
  <c r="I1269" i="20"/>
  <c r="I1141" i="20"/>
  <c r="I293" i="20"/>
  <c r="I276" i="20"/>
  <c r="I1170" i="20"/>
  <c r="I648" i="20"/>
  <c r="I127" i="20"/>
  <c r="I1165" i="20"/>
  <c r="I703" i="20"/>
  <c r="I186" i="20"/>
  <c r="I1216" i="20"/>
  <c r="I1368" i="20"/>
  <c r="I912" i="20"/>
  <c r="I122" i="20"/>
  <c r="I1389" i="20"/>
  <c r="I759" i="20"/>
  <c r="I511" i="20"/>
  <c r="I940" i="20"/>
  <c r="I66" i="20"/>
  <c r="I819" i="20"/>
  <c r="I658" i="20"/>
  <c r="I207" i="20"/>
  <c r="I143" i="20"/>
  <c r="I1013" i="20"/>
  <c r="I1292" i="20"/>
  <c r="I187" i="20"/>
  <c r="I1511" i="20"/>
  <c r="I1505" i="20"/>
  <c r="I1388" i="20"/>
  <c r="I295" i="20"/>
  <c r="I1201" i="20"/>
  <c r="I1441" i="20"/>
  <c r="I801" i="20"/>
  <c r="I67" i="20"/>
  <c r="I784" i="20"/>
  <c r="I343" i="20"/>
  <c r="I310" i="20"/>
  <c r="I152" i="20"/>
  <c r="I1298" i="20"/>
  <c r="I455" i="20"/>
  <c r="I205" i="20"/>
  <c r="I1261" i="20"/>
  <c r="I1083" i="20"/>
  <c r="I444" i="20"/>
  <c r="I398" i="20"/>
  <c r="I1440" i="20"/>
  <c r="I934" i="20"/>
  <c r="I1455" i="20"/>
  <c r="I542" i="20"/>
  <c r="I1430" i="20"/>
  <c r="I1245" i="20"/>
  <c r="I1105" i="20"/>
  <c r="I613" i="20"/>
  <c r="I1281" i="20"/>
  <c r="I790" i="20"/>
  <c r="I562" i="20"/>
  <c r="I892" i="20"/>
  <c r="I559" i="20"/>
  <c r="I793" i="20"/>
  <c r="I1078" i="20"/>
  <c r="I403" i="20"/>
  <c r="I155" i="20"/>
  <c r="I1419" i="20"/>
  <c r="I215" i="20"/>
  <c r="I275" i="20"/>
  <c r="I397" i="20"/>
  <c r="I395" i="20"/>
  <c r="I1266" i="20"/>
  <c r="I774" i="20"/>
  <c r="I273" i="20"/>
  <c r="I1284" i="20"/>
  <c r="I839" i="20"/>
  <c r="I311" i="20"/>
  <c r="I1326" i="20"/>
  <c r="I375" i="20"/>
  <c r="I1059" i="20"/>
  <c r="I289" i="20"/>
  <c r="I60" i="20"/>
  <c r="I923" i="20"/>
  <c r="I678" i="20"/>
  <c r="I1195" i="20"/>
  <c r="I736" i="20"/>
  <c r="I506" i="20"/>
  <c r="I1155" i="20"/>
  <c r="I729" i="20"/>
  <c r="I811" i="20"/>
  <c r="I1249" i="20"/>
  <c r="I838" i="20"/>
  <c r="I959" i="20"/>
  <c r="I39" i="20"/>
  <c r="I621" i="20"/>
  <c r="I665" i="20"/>
  <c r="I770" i="20"/>
  <c r="I201" i="20"/>
  <c r="I288" i="20"/>
  <c r="I1398" i="20"/>
  <c r="I57" i="20"/>
  <c r="I1273" i="20"/>
  <c r="I875" i="20"/>
  <c r="I968" i="20"/>
  <c r="I338" i="20"/>
  <c r="I815" i="20"/>
  <c r="I521" i="20"/>
  <c r="I642" i="20"/>
  <c r="I1233" i="20"/>
  <c r="I52" i="20"/>
  <c r="I1104" i="20"/>
  <c r="I926" i="20"/>
  <c r="I467" i="20"/>
  <c r="I476" i="20"/>
  <c r="I1432" i="20"/>
  <c r="I994" i="20"/>
  <c r="I463" i="20"/>
  <c r="I622" i="20"/>
  <c r="I218" i="20"/>
  <c r="I1074" i="20"/>
  <c r="I364" i="20"/>
  <c r="I1279" i="20"/>
  <c r="G8" i="27"/>
  <c r="AZ9" i="21"/>
  <c r="AZ7" i="21"/>
  <c r="AZ10" i="21"/>
  <c r="AZ6" i="21"/>
  <c r="AZ18" i="21"/>
  <c r="AZ8" i="21"/>
  <c r="AZ14" i="21"/>
  <c r="AZ19" i="21"/>
  <c r="AZ17" i="21"/>
  <c r="G8" i="4"/>
  <c r="AZ12" i="21"/>
  <c r="AZ13" i="21"/>
  <c r="AZ15" i="21"/>
  <c r="AZ11" i="21"/>
  <c r="AZ16" i="21"/>
  <c r="K40" i="20"/>
  <c r="O33" i="20"/>
  <c r="P27" i="20"/>
  <c r="L35" i="20"/>
  <c r="L40" i="20"/>
  <c r="K41" i="20"/>
  <c r="P33" i="20"/>
  <c r="O34" i="20"/>
  <c r="L41" i="20"/>
  <c r="K42" i="20"/>
  <c r="O35" i="20"/>
  <c r="P34" i="20"/>
  <c r="K43" i="20"/>
  <c r="L42" i="20"/>
  <c r="P35" i="20"/>
  <c r="O36" i="20"/>
  <c r="L43" i="20"/>
  <c r="P36" i="20"/>
  <c r="K44" i="20"/>
  <c r="AU63" i="21"/>
  <c r="AS68" i="21"/>
  <c r="AT70" i="21"/>
  <c r="AT65" i="21"/>
  <c r="AS62" i="21"/>
  <c r="AV70" i="21"/>
  <c r="AV74" i="21"/>
  <c r="G7" i="28"/>
  <c r="AT55" i="21"/>
  <c r="AT104" i="21"/>
  <c r="AT46" i="21"/>
  <c r="AU104" i="21"/>
  <c r="AS47" i="21"/>
  <c r="AV47" i="21"/>
  <c r="AU103" i="21"/>
  <c r="AT53" i="21"/>
  <c r="AU50" i="21"/>
  <c r="AS98" i="21"/>
  <c r="AS54" i="21"/>
  <c r="AT49" i="21"/>
  <c r="AT63" i="21"/>
  <c r="AV62" i="21"/>
  <c r="AT68" i="21"/>
  <c r="AS71" i="21"/>
  <c r="AT100" i="21"/>
  <c r="AV105" i="21"/>
  <c r="AS42" i="21"/>
  <c r="AT102" i="21"/>
  <c r="AS45" i="21"/>
  <c r="AU53" i="21"/>
  <c r="AV66" i="21"/>
  <c r="AT69" i="21"/>
  <c r="AU51" i="21"/>
  <c r="AS109" i="21"/>
  <c r="AV109" i="21"/>
  <c r="O37" i="20"/>
  <c r="AT61" i="21"/>
  <c r="AT66" i="21"/>
  <c r="AT98" i="21"/>
  <c r="AV102" i="21"/>
  <c r="AT109" i="21"/>
  <c r="AU52" i="21"/>
  <c r="AT67" i="21"/>
  <c r="AV69" i="21"/>
  <c r="AU69" i="21"/>
  <c r="AT64" i="21"/>
  <c r="AV73" i="21"/>
  <c r="AU67" i="21"/>
  <c r="AV68" i="21"/>
  <c r="AT42" i="21"/>
  <c r="AS46" i="21"/>
  <c r="AV107" i="21"/>
  <c r="AU47" i="21"/>
  <c r="AV108" i="21"/>
  <c r="AV46" i="21"/>
  <c r="AT47" i="21"/>
  <c r="AU109" i="21"/>
  <c r="AT48" i="21"/>
  <c r="AS52" i="21"/>
  <c r="AS97" i="21"/>
  <c r="AU108" i="21"/>
  <c r="AU106" i="21"/>
  <c r="AV54" i="21"/>
  <c r="AS74" i="21"/>
  <c r="AU62" i="21"/>
  <c r="AU70" i="21"/>
  <c r="AT52" i="21"/>
  <c r="AU107" i="21"/>
  <c r="AV51" i="21"/>
  <c r="AU49" i="21"/>
  <c r="AT101" i="21"/>
  <c r="AS50" i="21"/>
  <c r="AV55" i="21"/>
  <c r="AV52" i="21"/>
  <c r="AS65" i="21"/>
  <c r="AV104" i="21"/>
  <c r="AS102" i="21"/>
  <c r="AU105" i="21"/>
  <c r="AT45" i="21"/>
  <c r="AS64" i="21"/>
  <c r="AU72" i="21"/>
  <c r="AU44" i="21"/>
  <c r="AU48" i="21"/>
  <c r="AT44" i="21"/>
  <c r="AV65" i="21"/>
  <c r="AU64" i="21"/>
  <c r="AU61" i="21"/>
  <c r="AS61" i="21"/>
  <c r="AU66" i="21"/>
  <c r="AS67" i="21"/>
  <c r="AV71" i="21"/>
  <c r="AS49" i="21"/>
  <c r="AS106" i="21"/>
  <c r="AS105" i="21"/>
  <c r="AU43" i="21"/>
  <c r="AT51" i="21"/>
  <c r="AT106" i="21"/>
  <c r="AV99" i="21"/>
  <c r="AS51" i="21"/>
  <c r="AU99" i="21"/>
  <c r="AV48" i="21"/>
  <c r="AV101" i="21"/>
  <c r="AU45" i="21"/>
  <c r="AU55" i="21"/>
  <c r="AV97" i="21"/>
  <c r="AS73" i="21"/>
  <c r="AS69" i="21"/>
  <c r="AU71" i="21"/>
  <c r="AS66" i="21"/>
  <c r="AT97" i="21"/>
  <c r="AS48" i="21"/>
  <c r="AT103" i="21"/>
  <c r="AV43" i="21"/>
  <c r="AS55" i="21"/>
  <c r="AS43" i="21"/>
  <c r="AS72" i="21"/>
  <c r="AT72" i="21"/>
  <c r="AS108" i="21"/>
  <c r="AS100" i="21"/>
  <c r="AS101" i="21"/>
  <c r="AU42" i="21"/>
  <c r="AT108" i="21"/>
  <c r="AV53" i="21"/>
  <c r="AU68" i="21"/>
  <c r="AS70" i="21"/>
  <c r="AU73" i="21"/>
  <c r="AV67" i="21"/>
  <c r="AV64" i="21"/>
  <c r="AT73" i="21"/>
  <c r="AU74" i="21"/>
  <c r="AV50" i="21"/>
  <c r="AV45" i="21"/>
  <c r="AT107" i="21"/>
  <c r="AT99" i="21"/>
  <c r="AS99" i="21"/>
  <c r="AT105" i="21"/>
  <c r="AU97" i="21"/>
  <c r="AV44" i="21"/>
  <c r="AV106" i="21"/>
  <c r="AU101" i="21"/>
  <c r="AV103" i="21"/>
  <c r="AU102" i="21"/>
  <c r="AV42" i="21"/>
  <c r="AS44" i="21"/>
  <c r="AS63" i="21"/>
  <c r="AV61" i="21"/>
  <c r="AU65" i="21"/>
  <c r="AS104" i="21"/>
  <c r="AS53" i="21"/>
  <c r="AV49" i="21"/>
  <c r="AV98" i="21"/>
  <c r="AU54" i="21"/>
  <c r="AS103" i="21"/>
  <c r="AU46" i="21"/>
  <c r="AT54" i="21"/>
  <c r="AT71" i="21"/>
  <c r="AT74" i="21"/>
  <c r="AT50" i="21"/>
  <c r="AV100" i="21"/>
  <c r="AU100" i="21"/>
  <c r="AV72" i="21"/>
  <c r="AT62" i="21"/>
  <c r="AV63" i="21"/>
  <c r="AT43" i="21"/>
  <c r="AU98" i="21"/>
  <c r="AS107" i="21"/>
  <c r="L44" i="20"/>
  <c r="K45" i="20"/>
  <c r="O38" i="20"/>
  <c r="P37" i="20"/>
  <c r="K46" i="20"/>
  <c r="L45" i="20"/>
  <c r="P38" i="20"/>
  <c r="O39" i="20"/>
  <c r="L46" i="20"/>
  <c r="K47" i="20"/>
  <c r="O40" i="20"/>
  <c r="P39" i="20"/>
  <c r="K48" i="20"/>
  <c r="L47" i="20"/>
  <c r="O41" i="20"/>
  <c r="K49" i="20"/>
  <c r="L48" i="20"/>
  <c r="O42" i="20"/>
  <c r="P41" i="20"/>
  <c r="K50" i="20"/>
  <c r="L49" i="20"/>
  <c r="O43" i="20"/>
  <c r="P42" i="20"/>
  <c r="K51" i="20"/>
  <c r="L50" i="20"/>
  <c r="O44" i="20"/>
  <c r="P43" i="20"/>
  <c r="K52" i="20"/>
  <c r="L51" i="20"/>
  <c r="O45" i="20"/>
  <c r="P44" i="20"/>
  <c r="L52" i="20"/>
  <c r="K53" i="20"/>
  <c r="P45" i="20"/>
  <c r="O46" i="20"/>
  <c r="L53" i="20"/>
  <c r="K54" i="20"/>
  <c r="P46" i="20"/>
  <c r="O47" i="20"/>
  <c r="K55" i="20"/>
  <c r="L54" i="20"/>
  <c r="O48" i="20"/>
  <c r="P47" i="20"/>
  <c r="L55" i="20"/>
  <c r="K56" i="20"/>
  <c r="O49" i="20"/>
  <c r="P48" i="20"/>
  <c r="L56" i="20"/>
  <c r="K57" i="20"/>
  <c r="O50" i="20"/>
  <c r="P49" i="20"/>
  <c r="L57" i="20"/>
  <c r="K58" i="20"/>
  <c r="P50" i="20"/>
  <c r="O51" i="20"/>
  <c r="L58" i="20"/>
  <c r="K59" i="20"/>
  <c r="O52" i="20"/>
  <c r="P51" i="20"/>
  <c r="K60" i="20"/>
  <c r="L59" i="20"/>
  <c r="O53" i="20"/>
  <c r="P52" i="20"/>
  <c r="K61" i="20"/>
  <c r="L60" i="20"/>
  <c r="O54" i="20"/>
  <c r="P53" i="20"/>
  <c r="K62" i="20"/>
  <c r="L61" i="20"/>
  <c r="O55" i="20"/>
  <c r="P54" i="20"/>
  <c r="L62" i="20"/>
  <c r="K63" i="20"/>
  <c r="P55" i="20"/>
  <c r="O56" i="20"/>
  <c r="L63" i="20"/>
  <c r="K64" i="20"/>
  <c r="P56" i="20"/>
  <c r="O57" i="20"/>
  <c r="K65" i="20"/>
  <c r="L64" i="20"/>
  <c r="O58" i="20"/>
  <c r="P57" i="20"/>
  <c r="K66" i="20"/>
  <c r="L65" i="20"/>
  <c r="P58" i="20"/>
  <c r="O59" i="20"/>
  <c r="L66" i="20"/>
  <c r="K67" i="20"/>
  <c r="P59" i="20"/>
  <c r="O60" i="20"/>
  <c r="L67" i="20"/>
  <c r="K68" i="20"/>
  <c r="O61" i="20"/>
  <c r="P60" i="20"/>
  <c r="L68" i="20"/>
  <c r="K69" i="20"/>
  <c r="O62" i="20"/>
  <c r="P61" i="20"/>
  <c r="L69" i="20"/>
  <c r="K70" i="20"/>
  <c r="O63" i="20"/>
  <c r="P62" i="20"/>
  <c r="K71" i="20"/>
  <c r="L70" i="20"/>
  <c r="P63" i="20"/>
  <c r="O64" i="20"/>
  <c r="K72" i="20"/>
  <c r="L71" i="20"/>
  <c r="O65" i="20"/>
  <c r="P64" i="20"/>
  <c r="L72" i="20"/>
  <c r="K73" i="20"/>
  <c r="O66" i="20"/>
  <c r="P65" i="20"/>
  <c r="K74" i="20"/>
  <c r="L73" i="20"/>
  <c r="P66" i="20"/>
  <c r="O67" i="20"/>
  <c r="K75" i="20"/>
  <c r="L74" i="20"/>
  <c r="P67" i="20"/>
  <c r="O68" i="20"/>
  <c r="L75" i="20"/>
  <c r="K76" i="20"/>
  <c r="P68" i="20"/>
  <c r="O69" i="20"/>
  <c r="L76" i="20"/>
  <c r="K77" i="20"/>
  <c r="O70" i="20"/>
  <c r="P69" i="20"/>
  <c r="L77" i="20"/>
  <c r="K78" i="20"/>
  <c r="P70" i="20"/>
  <c r="O71" i="20"/>
  <c r="K79" i="20"/>
  <c r="L78" i="20"/>
  <c r="O72" i="20"/>
  <c r="P71" i="20"/>
  <c r="K80" i="20"/>
  <c r="L79" i="20"/>
  <c r="O73" i="20"/>
  <c r="P72" i="20"/>
  <c r="K81" i="20"/>
  <c r="L80" i="20"/>
  <c r="O74" i="20"/>
  <c r="P73" i="20"/>
  <c r="K82" i="20"/>
  <c r="L81" i="20"/>
  <c r="P74" i="20"/>
  <c r="O75" i="20"/>
  <c r="K83" i="20"/>
  <c r="L82" i="20"/>
  <c r="P75" i="20"/>
  <c r="O76" i="20"/>
  <c r="K84" i="20"/>
  <c r="L83" i="20"/>
  <c r="O77" i="20"/>
  <c r="P76" i="20"/>
  <c r="L84" i="20"/>
  <c r="K85" i="20"/>
  <c r="O78" i="20"/>
  <c r="P77" i="20"/>
  <c r="K86" i="20"/>
  <c r="L85" i="20"/>
  <c r="P78" i="20"/>
  <c r="O79" i="20"/>
  <c r="K87" i="20"/>
  <c r="L86" i="20"/>
  <c r="O80" i="20"/>
  <c r="P79" i="20"/>
  <c r="L87" i="20"/>
  <c r="K88" i="20"/>
  <c r="O81" i="20"/>
  <c r="P80" i="20"/>
  <c r="K89" i="20"/>
  <c r="L88" i="20"/>
  <c r="P81" i="20"/>
  <c r="O82" i="20"/>
  <c r="K90" i="20"/>
  <c r="L89" i="20"/>
  <c r="O83" i="20"/>
  <c r="P82" i="20"/>
  <c r="K91" i="20"/>
  <c r="L90" i="20"/>
  <c r="O84" i="20"/>
  <c r="P83" i="20"/>
  <c r="L91" i="20"/>
  <c r="K92" i="20"/>
  <c r="O85" i="20"/>
  <c r="P84" i="20"/>
  <c r="K93" i="20"/>
  <c r="L92" i="20"/>
  <c r="P85" i="20"/>
  <c r="O86" i="20"/>
  <c r="L93" i="20"/>
  <c r="K94" i="20"/>
  <c r="O87" i="20"/>
  <c r="P86" i="20"/>
  <c r="K95" i="20"/>
  <c r="L94" i="20"/>
  <c r="O88" i="20"/>
  <c r="P87" i="20"/>
  <c r="L95" i="20"/>
  <c r="K96" i="20"/>
  <c r="P88" i="20"/>
  <c r="O89" i="20"/>
  <c r="L96" i="20"/>
  <c r="K97" i="20"/>
  <c r="O90" i="20"/>
  <c r="P89" i="20"/>
  <c r="K98" i="20"/>
  <c r="L97" i="20"/>
  <c r="P90" i="20"/>
  <c r="O91" i="20"/>
  <c r="K99" i="20"/>
  <c r="L98" i="20"/>
  <c r="P91" i="20"/>
  <c r="O92" i="20"/>
  <c r="K100" i="20"/>
  <c r="L99" i="20"/>
  <c r="P92" i="20"/>
  <c r="O93" i="20"/>
  <c r="L100" i="20"/>
  <c r="K101" i="20"/>
  <c r="O94" i="20"/>
  <c r="P93" i="20"/>
  <c r="K102" i="20"/>
  <c r="L101" i="20"/>
  <c r="P94" i="20"/>
  <c r="O95" i="20"/>
  <c r="K103" i="20"/>
  <c r="L102" i="20"/>
  <c r="O96" i="20"/>
  <c r="P95" i="20"/>
  <c r="K104" i="20"/>
  <c r="L103" i="20"/>
  <c r="O97" i="20"/>
  <c r="P96" i="20"/>
  <c r="K105" i="20"/>
  <c r="L104" i="20"/>
  <c r="O98" i="20"/>
  <c r="P97" i="20"/>
  <c r="K106" i="20"/>
  <c r="L105" i="20"/>
  <c r="P98" i="20"/>
  <c r="O99" i="20"/>
  <c r="K107" i="20"/>
  <c r="L106" i="20"/>
  <c r="O100" i="20"/>
  <c r="P99" i="20"/>
  <c r="K108" i="20"/>
  <c r="L107" i="20"/>
  <c r="P100" i="20"/>
  <c r="O101" i="20"/>
  <c r="K109" i="20"/>
  <c r="L108" i="20"/>
  <c r="O102" i="20"/>
  <c r="P101" i="20"/>
  <c r="L109" i="20"/>
  <c r="K110" i="20"/>
  <c r="O103" i="20"/>
  <c r="P102" i="20"/>
  <c r="K111" i="20"/>
  <c r="L110" i="20"/>
  <c r="O104" i="20"/>
  <c r="P103" i="20"/>
  <c r="K112" i="20"/>
  <c r="L111" i="20"/>
  <c r="O105" i="20"/>
  <c r="P104" i="20"/>
  <c r="K113" i="20"/>
  <c r="L112" i="20"/>
  <c r="P105" i="20"/>
  <c r="O106" i="20"/>
  <c r="K114" i="20"/>
  <c r="L113" i="20"/>
  <c r="O107" i="20"/>
  <c r="P106" i="20"/>
  <c r="L114" i="20"/>
  <c r="K115" i="20"/>
  <c r="P107" i="20"/>
  <c r="O108" i="20"/>
  <c r="L115" i="20"/>
  <c r="K116" i="20"/>
  <c r="P108" i="20"/>
  <c r="O109" i="20"/>
  <c r="L116" i="20"/>
  <c r="K117" i="20"/>
  <c r="P109" i="20"/>
  <c r="O110" i="20"/>
  <c r="K118" i="20"/>
  <c r="L117" i="20"/>
  <c r="O111" i="20"/>
  <c r="P110" i="20"/>
  <c r="K119" i="20"/>
  <c r="L118" i="20"/>
  <c r="O112" i="20"/>
  <c r="P111" i="20"/>
  <c r="K120" i="20"/>
  <c r="L119" i="20"/>
  <c r="O113" i="20"/>
  <c r="P112" i="20"/>
  <c r="K121" i="20"/>
  <c r="L120" i="20"/>
  <c r="P113" i="20"/>
  <c r="O114" i="20"/>
  <c r="K122" i="20"/>
  <c r="L121" i="20"/>
  <c r="O115" i="20"/>
  <c r="P114" i="20"/>
  <c r="K123" i="20"/>
  <c r="L122" i="20"/>
  <c r="O116" i="20"/>
  <c r="P115" i="20"/>
  <c r="K124" i="20"/>
  <c r="L123" i="20"/>
  <c r="P116" i="20"/>
  <c r="O117" i="20"/>
  <c r="L124" i="20"/>
  <c r="K125" i="20"/>
  <c r="O118" i="20"/>
  <c r="P117" i="20"/>
  <c r="L125" i="20"/>
  <c r="K126" i="20"/>
  <c r="P118" i="20"/>
  <c r="O119" i="20"/>
  <c r="K127" i="20"/>
  <c r="L126" i="20"/>
  <c r="O120" i="20"/>
  <c r="P119" i="20"/>
  <c r="K128" i="20"/>
  <c r="L127" i="20"/>
  <c r="P120" i="20"/>
  <c r="O121" i="20"/>
  <c r="L128" i="20"/>
  <c r="K129" i="20"/>
  <c r="O122" i="20"/>
  <c r="P121" i="20"/>
  <c r="K130" i="20"/>
  <c r="L129" i="20"/>
  <c r="P122" i="20"/>
  <c r="O123" i="20"/>
  <c r="K131" i="20"/>
  <c r="L130" i="20"/>
  <c r="O124" i="20"/>
  <c r="P123" i="20"/>
  <c r="L131" i="20"/>
  <c r="K132" i="20"/>
  <c r="P124" i="20"/>
  <c r="O125" i="20"/>
  <c r="L132" i="20"/>
  <c r="K133" i="20"/>
  <c r="P125" i="20"/>
  <c r="O126" i="20"/>
  <c r="K134" i="20"/>
  <c r="L133" i="20"/>
  <c r="P126" i="20"/>
  <c r="O127" i="20"/>
  <c r="L134" i="20"/>
  <c r="K135" i="20"/>
  <c r="O128" i="20"/>
  <c r="P127" i="20"/>
  <c r="K136" i="20"/>
  <c r="L135" i="20"/>
  <c r="O129" i="20"/>
  <c r="P128" i="20"/>
  <c r="K137" i="20"/>
  <c r="L136" i="20"/>
  <c r="O130" i="20"/>
  <c r="P129" i="20"/>
  <c r="K138" i="20"/>
  <c r="L137" i="20"/>
  <c r="O131" i="20"/>
  <c r="P130" i="20"/>
  <c r="K139" i="20"/>
  <c r="L138" i="20"/>
  <c r="O132" i="20"/>
  <c r="P131" i="20"/>
  <c r="L139" i="20"/>
  <c r="K140" i="20"/>
  <c r="P132" i="20"/>
  <c r="O133" i="20"/>
  <c r="L140" i="20"/>
  <c r="K141" i="20"/>
  <c r="P133" i="20"/>
  <c r="O134" i="20"/>
  <c r="L141" i="20"/>
  <c r="K142" i="20"/>
  <c r="P134" i="20"/>
  <c r="O135" i="20"/>
  <c r="K143" i="20"/>
  <c r="L142" i="20"/>
  <c r="P135" i="20"/>
  <c r="O136" i="20"/>
  <c r="K144" i="20"/>
  <c r="L143" i="20"/>
  <c r="O137" i="20"/>
  <c r="P136" i="20"/>
  <c r="L144" i="20"/>
  <c r="K145" i="20"/>
  <c r="O138" i="20"/>
  <c r="P137" i="20"/>
  <c r="L145" i="20"/>
  <c r="K146" i="20"/>
  <c r="P138" i="20"/>
  <c r="O139" i="20"/>
  <c r="L146" i="20"/>
  <c r="K147" i="20"/>
  <c r="O140" i="20"/>
  <c r="P139" i="20"/>
  <c r="L147" i="20"/>
  <c r="K148" i="20"/>
  <c r="O141" i="20"/>
  <c r="P140" i="20"/>
  <c r="L148" i="20"/>
  <c r="K149" i="20"/>
  <c r="O142" i="20"/>
  <c r="P141" i="20"/>
  <c r="K150" i="20"/>
  <c r="L149" i="20"/>
  <c r="P142" i="20"/>
  <c r="O143" i="20"/>
  <c r="K151" i="20"/>
  <c r="L150" i="20"/>
  <c r="O144" i="20"/>
  <c r="P143" i="20"/>
  <c r="L151" i="20"/>
  <c r="K152" i="20"/>
  <c r="P144" i="20"/>
  <c r="O145" i="20"/>
  <c r="K153" i="20"/>
  <c r="L152" i="20"/>
  <c r="P145" i="20"/>
  <c r="O146" i="20"/>
  <c r="K154" i="20"/>
  <c r="L153" i="20"/>
  <c r="O147" i="20"/>
  <c r="P146" i="20"/>
  <c r="K155" i="20"/>
  <c r="L154" i="20"/>
  <c r="O148" i="20"/>
  <c r="P147" i="20"/>
  <c r="L155" i="20"/>
  <c r="K156" i="20"/>
  <c r="O149" i="20"/>
  <c r="P148" i="20"/>
  <c r="L156" i="20"/>
  <c r="K157" i="20"/>
  <c r="O150" i="20"/>
  <c r="P149" i="20"/>
  <c r="L157" i="20"/>
  <c r="K158" i="20"/>
  <c r="P150" i="20"/>
  <c r="O151" i="20"/>
  <c r="L158" i="20"/>
  <c r="K159" i="20"/>
  <c r="O152" i="20"/>
  <c r="P151" i="20"/>
  <c r="K160" i="20"/>
  <c r="L159" i="20"/>
  <c r="O153" i="20"/>
  <c r="P152" i="20"/>
  <c r="L160" i="20"/>
  <c r="K161" i="20"/>
  <c r="P153" i="20"/>
  <c r="O154" i="20"/>
  <c r="K162" i="20"/>
  <c r="L161" i="20"/>
  <c r="P154" i="20"/>
  <c r="O155" i="20"/>
  <c r="K163" i="20"/>
  <c r="L162" i="20"/>
  <c r="O156" i="20"/>
  <c r="P155" i="20"/>
  <c r="L163" i="20"/>
  <c r="K164" i="20"/>
  <c r="O157" i="20"/>
  <c r="P156" i="20"/>
  <c r="K165" i="20"/>
  <c r="L164" i="20"/>
  <c r="O158" i="20"/>
  <c r="P157" i="20"/>
  <c r="L165" i="20"/>
  <c r="K166" i="20"/>
  <c r="O159" i="20"/>
  <c r="P158" i="20"/>
  <c r="K167" i="20"/>
  <c r="L166" i="20"/>
  <c r="P159" i="20"/>
  <c r="O160" i="20"/>
  <c r="K168" i="20"/>
  <c r="L167" i="20"/>
  <c r="P160" i="20"/>
  <c r="O161" i="20"/>
  <c r="K169" i="20"/>
  <c r="L168" i="20"/>
  <c r="O162" i="20"/>
  <c r="P161" i="20"/>
  <c r="L169" i="20"/>
  <c r="K170" i="20"/>
  <c r="P162" i="20"/>
  <c r="O163" i="20"/>
  <c r="L170" i="20"/>
  <c r="K171" i="20"/>
  <c r="O164" i="20"/>
  <c r="P163" i="20"/>
  <c r="L171" i="20"/>
  <c r="K172" i="20"/>
  <c r="P164" i="20"/>
  <c r="O165" i="20"/>
  <c r="K173" i="20"/>
  <c r="L172" i="20"/>
  <c r="P165" i="20"/>
  <c r="O166" i="20"/>
  <c r="K174" i="20"/>
  <c r="L173" i="20"/>
  <c r="P166" i="20"/>
  <c r="O167" i="20"/>
  <c r="L174" i="20"/>
  <c r="K175" i="20"/>
  <c r="O168" i="20"/>
  <c r="P167" i="20"/>
  <c r="L175" i="20"/>
  <c r="K176" i="20"/>
  <c r="P168" i="20"/>
  <c r="O169" i="20"/>
  <c r="L176" i="20"/>
  <c r="K177" i="20"/>
  <c r="O170" i="20"/>
  <c r="P169" i="20"/>
  <c r="L177" i="20"/>
  <c r="K178" i="20"/>
  <c r="P170" i="20"/>
  <c r="O171" i="20"/>
  <c r="L178" i="20"/>
  <c r="K179" i="20"/>
  <c r="O172" i="20"/>
  <c r="P171" i="20"/>
  <c r="L179" i="20"/>
  <c r="K180" i="20"/>
  <c r="P172" i="20"/>
  <c r="O173" i="20"/>
  <c r="K181" i="20"/>
  <c r="L180" i="20"/>
  <c r="P173" i="20"/>
  <c r="O174" i="20"/>
  <c r="L181" i="20"/>
  <c r="K182" i="20"/>
  <c r="O175" i="20"/>
  <c r="P174" i="20"/>
  <c r="K183" i="20"/>
  <c r="L182" i="20"/>
  <c r="O176" i="20"/>
  <c r="P175" i="20"/>
  <c r="L183" i="20"/>
  <c r="K184" i="20"/>
  <c r="O177" i="20"/>
  <c r="P176" i="20"/>
  <c r="K185" i="20"/>
  <c r="L184" i="20"/>
  <c r="O178" i="20"/>
  <c r="P177" i="20"/>
  <c r="L185" i="20"/>
  <c r="K186" i="20"/>
  <c r="O179" i="20"/>
  <c r="P178" i="20"/>
  <c r="K187" i="20"/>
  <c r="L186" i="20"/>
  <c r="P179" i="20"/>
  <c r="O180" i="20"/>
  <c r="L187" i="20"/>
  <c r="K188" i="20"/>
  <c r="P180" i="20"/>
  <c r="O181" i="20"/>
  <c r="L188" i="20"/>
  <c r="K189" i="20"/>
  <c r="P181" i="20"/>
  <c r="O182" i="20"/>
  <c r="L189" i="20"/>
  <c r="K190" i="20"/>
  <c r="P182" i="20"/>
  <c r="O183" i="20"/>
  <c r="L190" i="20"/>
  <c r="K191" i="20"/>
  <c r="P183" i="20"/>
  <c r="O184" i="20"/>
  <c r="K192" i="20"/>
  <c r="L191" i="20"/>
  <c r="P184" i="20"/>
  <c r="O185" i="20"/>
  <c r="L192" i="20"/>
  <c r="K193" i="20"/>
  <c r="O186" i="20"/>
  <c r="P185" i="20"/>
  <c r="K194" i="20"/>
  <c r="L193" i="20"/>
  <c r="P186" i="20"/>
  <c r="O187" i="20"/>
  <c r="K195" i="20"/>
  <c r="L194" i="20"/>
  <c r="P187" i="20"/>
  <c r="O188" i="20"/>
  <c r="L195" i="20"/>
  <c r="K196" i="20"/>
  <c r="P188" i="20"/>
  <c r="O189" i="20"/>
  <c r="K197" i="20"/>
  <c r="L196" i="20"/>
  <c r="P189" i="20"/>
  <c r="O190" i="20"/>
  <c r="K198" i="20"/>
  <c r="L197" i="20"/>
  <c r="P190" i="20"/>
  <c r="O191" i="20"/>
  <c r="L198" i="20"/>
  <c r="K199" i="20"/>
  <c r="O192" i="20"/>
  <c r="P191" i="20"/>
  <c r="L199" i="20"/>
  <c r="K200" i="20"/>
  <c r="P192" i="20"/>
  <c r="O193" i="20"/>
  <c r="K201" i="20"/>
  <c r="L200" i="20"/>
  <c r="P193" i="20"/>
  <c r="O194" i="20"/>
  <c r="K202" i="20"/>
  <c r="L201" i="20"/>
  <c r="P194" i="20"/>
  <c r="O195" i="20"/>
  <c r="L202" i="20"/>
  <c r="K203" i="20"/>
  <c r="O196" i="20"/>
  <c r="P195" i="20"/>
  <c r="L203" i="20"/>
  <c r="K204" i="20"/>
  <c r="P196" i="20"/>
  <c r="O197" i="20"/>
  <c r="K205" i="20"/>
  <c r="L204" i="20"/>
  <c r="O198" i="20"/>
  <c r="P197" i="20"/>
  <c r="L205" i="20"/>
  <c r="K206" i="20"/>
  <c r="P198" i="20"/>
  <c r="O199" i="20"/>
  <c r="K207" i="20"/>
  <c r="L206" i="20"/>
  <c r="P199" i="20"/>
  <c r="O200" i="20"/>
  <c r="K208" i="20"/>
  <c r="L207" i="20"/>
  <c r="O201" i="20"/>
  <c r="P200" i="20"/>
  <c r="K209" i="20"/>
  <c r="L208" i="20"/>
  <c r="P201" i="20"/>
  <c r="O202" i="20"/>
  <c r="K210" i="20"/>
  <c r="L209" i="20"/>
  <c r="P202" i="20"/>
  <c r="O203" i="20"/>
  <c r="K211" i="20"/>
  <c r="L210" i="20"/>
  <c r="O204" i="20"/>
  <c r="P203" i="20"/>
  <c r="K212" i="20"/>
  <c r="L211" i="20"/>
  <c r="P204" i="20"/>
  <c r="O205" i="20"/>
  <c r="K213" i="20"/>
  <c r="L212" i="20"/>
  <c r="O206" i="20"/>
  <c r="P205" i="20"/>
  <c r="L213" i="20"/>
  <c r="K214" i="20"/>
  <c r="P206" i="20"/>
  <c r="O207" i="20"/>
  <c r="L214" i="20"/>
  <c r="K215" i="20"/>
  <c r="P207" i="20"/>
  <c r="O208" i="20"/>
  <c r="L215" i="20"/>
  <c r="K216" i="20"/>
  <c r="O209" i="20"/>
  <c r="P208" i="20"/>
  <c r="L216" i="20"/>
  <c r="K217" i="20"/>
  <c r="O210" i="20"/>
  <c r="P209" i="20"/>
  <c r="L217" i="20"/>
  <c r="K218" i="20"/>
  <c r="O211" i="20"/>
  <c r="P210" i="20"/>
  <c r="K219" i="20"/>
  <c r="L218" i="20"/>
  <c r="O212" i="20"/>
  <c r="P211" i="20"/>
  <c r="L219" i="20"/>
  <c r="K220" i="20"/>
  <c r="P212" i="20"/>
  <c r="O213" i="20"/>
  <c r="K221" i="20"/>
  <c r="L220" i="20"/>
  <c r="P213" i="20"/>
  <c r="O214" i="20"/>
  <c r="L221" i="20"/>
  <c r="K222" i="20"/>
  <c r="P214" i="20"/>
  <c r="O215" i="20"/>
  <c r="L222" i="20"/>
  <c r="K223" i="20"/>
  <c r="P215" i="20"/>
  <c r="O216" i="20"/>
  <c r="L223" i="20"/>
  <c r="K224" i="20"/>
  <c r="O217" i="20"/>
  <c r="P216" i="20"/>
  <c r="K225" i="20"/>
  <c r="L224" i="20"/>
  <c r="P217" i="20"/>
  <c r="O218" i="20"/>
  <c r="L225" i="20"/>
  <c r="K226" i="20"/>
  <c r="O219" i="20"/>
  <c r="P218" i="20"/>
  <c r="L226" i="20"/>
  <c r="K227" i="20"/>
  <c r="O220" i="20"/>
  <c r="P219" i="20"/>
  <c r="L227" i="20"/>
  <c r="K228" i="20"/>
  <c r="P220" i="20"/>
  <c r="O221" i="20"/>
  <c r="L228" i="20"/>
  <c r="K229" i="20"/>
  <c r="P221" i="20"/>
  <c r="O222" i="20"/>
  <c r="L229" i="20"/>
  <c r="K230" i="20"/>
  <c r="O223" i="20"/>
  <c r="P222" i="20"/>
  <c r="L230" i="20"/>
  <c r="K231" i="20"/>
  <c r="O224" i="20"/>
  <c r="P223" i="20"/>
  <c r="K232" i="20"/>
  <c r="L231" i="20"/>
  <c r="O225" i="20"/>
  <c r="P224" i="20"/>
  <c r="L232" i="20"/>
  <c r="K233" i="20"/>
  <c r="O226" i="20"/>
  <c r="P225" i="20"/>
  <c r="L233" i="20"/>
  <c r="K234" i="20"/>
  <c r="O227" i="20"/>
  <c r="P226" i="20"/>
  <c r="L234" i="20"/>
  <c r="K235" i="20"/>
  <c r="P227" i="20"/>
  <c r="O228" i="20"/>
  <c r="L235" i="20"/>
  <c r="K236" i="20"/>
  <c r="O229" i="20"/>
  <c r="P228" i="20"/>
  <c r="L236" i="20"/>
  <c r="K237" i="20"/>
  <c r="P229" i="20"/>
  <c r="O230" i="20"/>
  <c r="L237" i="20"/>
  <c r="K238" i="20"/>
  <c r="P230" i="20"/>
  <c r="O231" i="20"/>
  <c r="L238" i="20"/>
  <c r="K239" i="20"/>
  <c r="O232" i="20"/>
  <c r="P231" i="20"/>
  <c r="K240" i="20"/>
  <c r="L239" i="20"/>
  <c r="O233" i="20"/>
  <c r="P232" i="20"/>
  <c r="K241" i="20"/>
  <c r="L240" i="20"/>
  <c r="P233" i="20"/>
  <c r="O234" i="20"/>
  <c r="K242" i="20"/>
  <c r="L241" i="20"/>
  <c r="O235" i="20"/>
  <c r="P234" i="20"/>
  <c r="K243" i="20"/>
  <c r="L242" i="20"/>
  <c r="O236" i="20"/>
  <c r="P235" i="20"/>
  <c r="L243" i="20"/>
  <c r="K244" i="20"/>
  <c r="P236" i="20"/>
  <c r="O237" i="20"/>
  <c r="L244" i="20"/>
  <c r="K245" i="20"/>
  <c r="O238" i="20"/>
  <c r="P237" i="20"/>
  <c r="K246" i="20"/>
  <c r="L245" i="20"/>
  <c r="O239" i="20"/>
  <c r="P238" i="20"/>
  <c r="K247" i="20"/>
  <c r="L246" i="20"/>
  <c r="O240" i="20"/>
  <c r="P239" i="20"/>
  <c r="L247" i="20"/>
  <c r="K248" i="20"/>
  <c r="O241" i="20"/>
  <c r="P240" i="20"/>
  <c r="L248" i="20"/>
  <c r="K249" i="20"/>
  <c r="P241" i="20"/>
  <c r="O242" i="20"/>
  <c r="L249" i="20"/>
  <c r="K250" i="20"/>
  <c r="O243" i="20"/>
  <c r="P242" i="20"/>
  <c r="K251" i="20"/>
  <c r="L250" i="20"/>
  <c r="O244" i="20"/>
  <c r="P243" i="20"/>
  <c r="L251" i="20"/>
  <c r="K252" i="20"/>
  <c r="P244" i="20"/>
  <c r="O245" i="20"/>
  <c r="K253" i="20"/>
  <c r="L252" i="20"/>
  <c r="O246" i="20"/>
  <c r="P245" i="20"/>
  <c r="L253" i="20"/>
  <c r="K254" i="20"/>
  <c r="O247" i="20"/>
  <c r="P246" i="20"/>
  <c r="K255" i="20"/>
  <c r="L254" i="20"/>
  <c r="P247" i="20"/>
  <c r="O248" i="20"/>
  <c r="L255" i="20"/>
  <c r="K256" i="20"/>
  <c r="P248" i="20"/>
  <c r="O249" i="20"/>
  <c r="L256" i="20"/>
  <c r="K257" i="20"/>
  <c r="P249" i="20"/>
  <c r="O250" i="20"/>
  <c r="K258" i="20"/>
  <c r="L257" i="20"/>
  <c r="O251" i="20"/>
  <c r="P250" i="20"/>
  <c r="K259" i="20"/>
  <c r="L258" i="20"/>
  <c r="P251" i="20"/>
  <c r="O252" i="20"/>
  <c r="K260" i="20"/>
  <c r="L259" i="20"/>
  <c r="O253" i="20"/>
  <c r="P252" i="20"/>
  <c r="L260" i="20"/>
  <c r="K261" i="20"/>
  <c r="O254" i="20"/>
  <c r="P253" i="20"/>
  <c r="L261" i="20"/>
  <c r="K262" i="20"/>
  <c r="P254" i="20"/>
  <c r="O255" i="20"/>
  <c r="K263" i="20"/>
  <c r="L262" i="20"/>
  <c r="O256" i="20"/>
  <c r="P255" i="20"/>
  <c r="L263" i="20"/>
  <c r="K264" i="20"/>
  <c r="O257" i="20"/>
  <c r="P256" i="20"/>
  <c r="K265" i="20"/>
  <c r="L264" i="20"/>
  <c r="O258" i="20"/>
  <c r="P257" i="20"/>
  <c r="L265" i="20"/>
  <c r="K266" i="20"/>
  <c r="O259" i="20"/>
  <c r="P258" i="20"/>
  <c r="K267" i="20"/>
  <c r="L266" i="20"/>
  <c r="O260" i="20"/>
  <c r="P259" i="20"/>
  <c r="L267" i="20"/>
  <c r="K268" i="20"/>
  <c r="P260" i="20"/>
  <c r="O261" i="20"/>
  <c r="L268" i="20"/>
  <c r="K269" i="20"/>
  <c r="O262" i="20"/>
  <c r="P261" i="20"/>
  <c r="L269" i="20"/>
  <c r="K270" i="20"/>
  <c r="O263" i="20"/>
  <c r="P262" i="20"/>
  <c r="L270" i="20"/>
  <c r="K271" i="20"/>
  <c r="P263" i="20"/>
  <c r="O264" i="20"/>
  <c r="K272" i="20"/>
  <c r="L271" i="20"/>
  <c r="O265" i="20"/>
  <c r="P264" i="20"/>
  <c r="L272" i="20"/>
  <c r="K273" i="20"/>
  <c r="P265" i="20"/>
  <c r="O266" i="20"/>
  <c r="K274" i="20"/>
  <c r="L273" i="20"/>
  <c r="O267" i="20"/>
  <c r="P266" i="20"/>
  <c r="K275" i="20"/>
  <c r="L274" i="20"/>
  <c r="O268" i="20"/>
  <c r="P267" i="20"/>
  <c r="L275" i="20"/>
  <c r="K276" i="20"/>
  <c r="O269" i="20"/>
  <c r="P268" i="20"/>
  <c r="K277" i="20"/>
  <c r="L276" i="20"/>
  <c r="O270" i="20"/>
  <c r="P269" i="20"/>
  <c r="K278" i="20"/>
  <c r="L277" i="20"/>
  <c r="P270" i="20"/>
  <c r="O271" i="20"/>
  <c r="K279" i="20"/>
  <c r="L278" i="20"/>
  <c r="O272" i="20"/>
  <c r="P271" i="20"/>
  <c r="K280" i="20"/>
  <c r="L279" i="20"/>
  <c r="O273" i="20"/>
  <c r="P272" i="20"/>
  <c r="K281" i="20"/>
  <c r="L280" i="20"/>
  <c r="P273" i="20"/>
  <c r="O274" i="20"/>
  <c r="L281" i="20"/>
  <c r="K282" i="20"/>
  <c r="O275" i="20"/>
  <c r="P274" i="20"/>
  <c r="K283" i="20"/>
  <c r="L282" i="20"/>
  <c r="P275" i="20"/>
  <c r="O276" i="20"/>
  <c r="K284" i="20"/>
  <c r="L283" i="20"/>
  <c r="P276" i="20"/>
  <c r="O277" i="20"/>
  <c r="K285" i="20"/>
  <c r="L284" i="20"/>
  <c r="O278" i="20"/>
  <c r="P277" i="20"/>
  <c r="K286" i="20"/>
  <c r="L285" i="20"/>
  <c r="O279" i="20"/>
  <c r="P278" i="20"/>
  <c r="K287" i="20"/>
  <c r="L286" i="20"/>
  <c r="O280" i="20"/>
  <c r="P279" i="20"/>
  <c r="L287" i="20"/>
  <c r="K288" i="20"/>
  <c r="O281" i="20"/>
  <c r="P280" i="20"/>
  <c r="K289" i="20"/>
  <c r="L288" i="20"/>
  <c r="O282" i="20"/>
  <c r="P281" i="20"/>
  <c r="L289" i="20"/>
  <c r="K290" i="20"/>
  <c r="O283" i="20"/>
  <c r="P282" i="20"/>
  <c r="L290" i="20"/>
  <c r="K291" i="20"/>
  <c r="P283" i="20"/>
  <c r="O284" i="20"/>
  <c r="L291" i="20"/>
  <c r="K292" i="20"/>
  <c r="P284" i="20"/>
  <c r="O285" i="20"/>
  <c r="L292" i="20"/>
  <c r="K293" i="20"/>
  <c r="P285" i="20"/>
  <c r="O286" i="20"/>
  <c r="L293" i="20"/>
  <c r="K294" i="20"/>
  <c r="O287" i="20"/>
  <c r="P286" i="20"/>
  <c r="K295" i="20"/>
  <c r="L294" i="20"/>
  <c r="O288" i="20"/>
  <c r="P287" i="20"/>
  <c r="L295" i="20"/>
  <c r="K296" i="20"/>
  <c r="O289" i="20"/>
  <c r="P288" i="20"/>
  <c r="K297" i="20"/>
  <c r="L296" i="20"/>
  <c r="P289" i="20"/>
  <c r="O290" i="20"/>
  <c r="L297" i="20"/>
  <c r="K298" i="20"/>
  <c r="O291" i="20"/>
  <c r="P290" i="20"/>
  <c r="K299" i="20"/>
  <c r="L298" i="20"/>
  <c r="O292" i="20"/>
  <c r="P291" i="20"/>
  <c r="L299" i="20"/>
  <c r="K300" i="20"/>
  <c r="P292" i="20"/>
  <c r="O293" i="20"/>
  <c r="L300" i="20"/>
  <c r="K301" i="20"/>
  <c r="P293" i="20"/>
  <c r="O294" i="20"/>
  <c r="K302" i="20"/>
  <c r="L301" i="20"/>
  <c r="O295" i="20"/>
  <c r="P294" i="20"/>
  <c r="K303" i="20"/>
  <c r="L302" i="20"/>
  <c r="P295" i="20"/>
  <c r="O296" i="20"/>
  <c r="L303" i="20"/>
  <c r="K304" i="20"/>
  <c r="P296" i="20"/>
  <c r="O297" i="20"/>
  <c r="K305" i="20"/>
  <c r="L304" i="20"/>
  <c r="P297" i="20"/>
  <c r="O298" i="20"/>
  <c r="L305" i="20"/>
  <c r="K306" i="20"/>
  <c r="O299" i="20"/>
  <c r="P298" i="20"/>
  <c r="K307" i="20"/>
  <c r="L306" i="20"/>
  <c r="P299" i="20"/>
  <c r="O300" i="20"/>
  <c r="K308" i="20"/>
  <c r="L307" i="20"/>
  <c r="P300" i="20"/>
  <c r="O301" i="20"/>
  <c r="L308" i="20"/>
  <c r="K309" i="20"/>
  <c r="P301" i="20"/>
  <c r="O302" i="20"/>
  <c r="K310" i="20"/>
  <c r="L309" i="20"/>
  <c r="P302" i="20"/>
  <c r="O303" i="20"/>
  <c r="L310" i="20"/>
  <c r="K311" i="20"/>
  <c r="O304" i="20"/>
  <c r="P303" i="20"/>
  <c r="K312" i="20"/>
  <c r="L311" i="20"/>
  <c r="O305" i="20"/>
  <c r="P304" i="20"/>
  <c r="K313" i="20"/>
  <c r="L312" i="20"/>
  <c r="P305" i="20"/>
  <c r="O306" i="20"/>
  <c r="L313" i="20"/>
  <c r="K314" i="20"/>
  <c r="P306" i="20"/>
  <c r="O307" i="20"/>
  <c r="K315" i="20"/>
  <c r="L314" i="20"/>
  <c r="P307" i="20"/>
  <c r="O308" i="20"/>
  <c r="L315" i="20"/>
  <c r="K316" i="20"/>
  <c r="P308" i="20"/>
  <c r="O309" i="20"/>
  <c r="K317" i="20"/>
  <c r="L316" i="20"/>
  <c r="P309" i="20"/>
  <c r="O310" i="20"/>
  <c r="L317" i="20"/>
  <c r="K318" i="20"/>
  <c r="O311" i="20"/>
  <c r="P310" i="20"/>
  <c r="L318" i="20"/>
  <c r="K319" i="20"/>
  <c r="O312" i="20"/>
  <c r="P311" i="20"/>
  <c r="K320" i="20"/>
  <c r="L319" i="20"/>
  <c r="P312" i="20"/>
  <c r="O313" i="20"/>
  <c r="L320" i="20"/>
  <c r="K321" i="20"/>
  <c r="O314" i="20"/>
  <c r="P313" i="20"/>
  <c r="K322" i="20"/>
  <c r="L321" i="20"/>
  <c r="O315" i="20"/>
  <c r="P314" i="20"/>
  <c r="L322" i="20"/>
  <c r="K323" i="20"/>
  <c r="O316" i="20"/>
  <c r="P315" i="20"/>
  <c r="K324" i="20"/>
  <c r="L323" i="20"/>
  <c r="O317" i="20"/>
  <c r="P316" i="20"/>
  <c r="L324" i="20"/>
  <c r="K325" i="20"/>
  <c r="O318" i="20"/>
  <c r="P317" i="20"/>
  <c r="L325" i="20"/>
  <c r="K326" i="20"/>
  <c r="O319" i="20"/>
  <c r="P318" i="20"/>
  <c r="L326" i="20"/>
  <c r="K327" i="20"/>
  <c r="P319" i="20"/>
  <c r="O320" i="20"/>
  <c r="L327" i="20"/>
  <c r="K328" i="20"/>
  <c r="O321" i="20"/>
  <c r="P320" i="20"/>
  <c r="K329" i="20"/>
  <c r="L328" i="20"/>
  <c r="P321" i="20"/>
  <c r="O322" i="20"/>
  <c r="K330" i="20"/>
  <c r="L329" i="20"/>
  <c r="P322" i="20"/>
  <c r="O323" i="20"/>
  <c r="L330" i="20"/>
  <c r="K331" i="20"/>
  <c r="O324" i="20"/>
  <c r="P323" i="20"/>
  <c r="L331" i="20"/>
  <c r="K332" i="20"/>
  <c r="P324" i="20"/>
  <c r="O325" i="20"/>
  <c r="L332" i="20"/>
  <c r="K333" i="20"/>
  <c r="O326" i="20"/>
  <c r="P325" i="20"/>
  <c r="K334" i="20"/>
  <c r="L333" i="20"/>
  <c r="O327" i="20"/>
  <c r="P326" i="20"/>
  <c r="K335" i="20"/>
  <c r="L334" i="20"/>
  <c r="O328" i="20"/>
  <c r="P327" i="20"/>
  <c r="L335" i="20"/>
  <c r="K336" i="20"/>
  <c r="P328" i="20"/>
  <c r="O329" i="20"/>
  <c r="K337" i="20"/>
  <c r="L336" i="20"/>
  <c r="P329" i="20"/>
  <c r="O330" i="20"/>
  <c r="K338" i="20"/>
  <c r="L337" i="20"/>
  <c r="P330" i="20"/>
  <c r="O331" i="20"/>
  <c r="L338" i="20"/>
  <c r="K339" i="20"/>
  <c r="O332" i="20"/>
  <c r="P331" i="20"/>
  <c r="K340" i="20"/>
  <c r="L339" i="20"/>
  <c r="O333" i="20"/>
  <c r="P332" i="20"/>
  <c r="L340" i="20"/>
  <c r="K341" i="20"/>
  <c r="P333" i="20"/>
  <c r="O334" i="20"/>
  <c r="K342" i="20"/>
  <c r="L341" i="20"/>
  <c r="O335" i="20"/>
  <c r="P334" i="20"/>
  <c r="L342" i="20"/>
  <c r="K343" i="20"/>
  <c r="P335" i="20"/>
  <c r="O336" i="20"/>
  <c r="K344" i="20"/>
  <c r="L343" i="20"/>
  <c r="P336" i="20"/>
  <c r="O337" i="20"/>
  <c r="K345" i="20"/>
  <c r="L344" i="20"/>
  <c r="P337" i="20"/>
  <c r="O338" i="20"/>
  <c r="K346" i="20"/>
  <c r="L345" i="20"/>
  <c r="P338" i="20"/>
  <c r="O339" i="20"/>
  <c r="L346" i="20"/>
  <c r="K347" i="20"/>
  <c r="P339" i="20"/>
  <c r="O340" i="20"/>
  <c r="L347" i="20"/>
  <c r="K348" i="20"/>
  <c r="O341" i="20"/>
  <c r="P340" i="20"/>
  <c r="L348" i="20"/>
  <c r="K349" i="20"/>
  <c r="P341" i="20"/>
  <c r="O342" i="20"/>
  <c r="K350" i="20"/>
  <c r="L349" i="20"/>
  <c r="O343" i="20"/>
  <c r="P342" i="20"/>
  <c r="L350" i="20"/>
  <c r="K351" i="20"/>
  <c r="P343" i="20"/>
  <c r="O344" i="20"/>
  <c r="L351" i="20"/>
  <c r="K352" i="20"/>
  <c r="P344" i="20"/>
  <c r="O345" i="20"/>
  <c r="K353" i="20"/>
  <c r="L352" i="20"/>
  <c r="O346" i="20"/>
  <c r="P345" i="20"/>
  <c r="L353" i="20"/>
  <c r="K354" i="20"/>
  <c r="O347" i="20"/>
  <c r="P346" i="20"/>
  <c r="K355" i="20"/>
  <c r="L354" i="20"/>
  <c r="P347" i="20"/>
  <c r="O348" i="20"/>
  <c r="L355" i="20"/>
  <c r="K356" i="20"/>
  <c r="O349" i="20"/>
  <c r="P348" i="20"/>
  <c r="K357" i="20"/>
  <c r="L356" i="20"/>
  <c r="P349" i="20"/>
  <c r="O350" i="20"/>
  <c r="K358" i="20"/>
  <c r="L357" i="20"/>
  <c r="O351" i="20"/>
  <c r="P350" i="20"/>
  <c r="K359" i="20"/>
  <c r="L358" i="20"/>
  <c r="P351" i="20"/>
  <c r="O352" i="20"/>
  <c r="K360" i="20"/>
  <c r="L359" i="20"/>
  <c r="O353" i="20"/>
  <c r="P352" i="20"/>
  <c r="K361" i="20"/>
  <c r="L360" i="20"/>
  <c r="O354" i="20"/>
  <c r="P353" i="20"/>
  <c r="K362" i="20"/>
  <c r="L361" i="20"/>
  <c r="P354" i="20"/>
  <c r="O355" i="20"/>
  <c r="K363" i="20"/>
  <c r="L362" i="20"/>
  <c r="P355" i="20"/>
  <c r="O356" i="20"/>
  <c r="L363" i="20"/>
  <c r="K364" i="20"/>
  <c r="O357" i="20"/>
  <c r="P356" i="20"/>
  <c r="L364" i="20"/>
  <c r="K365" i="20"/>
  <c r="P357" i="20"/>
  <c r="O358" i="20"/>
  <c r="K366" i="20"/>
  <c r="L365" i="20"/>
  <c r="O359" i="20"/>
  <c r="P358" i="20"/>
  <c r="K367" i="20"/>
  <c r="L366" i="20"/>
  <c r="O360" i="20"/>
  <c r="P359" i="20"/>
  <c r="L367" i="20"/>
  <c r="K368" i="20"/>
  <c r="P360" i="20"/>
  <c r="O361" i="20"/>
  <c r="K369" i="20"/>
  <c r="L368" i="20"/>
  <c r="O362" i="20"/>
  <c r="P361" i="20"/>
  <c r="L369" i="20"/>
  <c r="K370" i="20"/>
  <c r="P362" i="20"/>
  <c r="O363" i="20"/>
  <c r="L370" i="20"/>
  <c r="K371" i="20"/>
  <c r="P363" i="20"/>
  <c r="O364" i="20"/>
  <c r="K372" i="20"/>
  <c r="L371" i="20"/>
  <c r="O365" i="20"/>
  <c r="P364" i="20"/>
  <c r="L372" i="20"/>
  <c r="K373" i="20"/>
  <c r="O366" i="20"/>
  <c r="P365" i="20"/>
  <c r="L373" i="20"/>
  <c r="K374" i="20"/>
  <c r="P366" i="20"/>
  <c r="O367" i="20"/>
  <c r="L374" i="20"/>
  <c r="K375" i="20"/>
  <c r="P367" i="20"/>
  <c r="O368" i="20"/>
  <c r="K376" i="20"/>
  <c r="L375" i="20"/>
  <c r="P368" i="20"/>
  <c r="O369" i="20"/>
  <c r="K377" i="20"/>
  <c r="L376" i="20"/>
  <c r="P369" i="20"/>
  <c r="O370" i="20"/>
  <c r="K378" i="20"/>
  <c r="L377" i="20"/>
  <c r="O371" i="20"/>
  <c r="P370" i="20"/>
  <c r="K379" i="20"/>
  <c r="L378" i="20"/>
  <c r="P371" i="20"/>
  <c r="O372" i="20"/>
  <c r="L379" i="20"/>
  <c r="K380" i="20"/>
  <c r="O373" i="20"/>
  <c r="P372" i="20"/>
  <c r="L380" i="20"/>
  <c r="K381" i="20"/>
  <c r="P373" i="20"/>
  <c r="O374" i="20"/>
  <c r="L381" i="20"/>
  <c r="K382" i="20"/>
  <c r="O375" i="20"/>
  <c r="P374" i="20"/>
  <c r="K383" i="20"/>
  <c r="L382" i="20"/>
  <c r="P375" i="20"/>
  <c r="O376" i="20"/>
  <c r="K384" i="20"/>
  <c r="L383" i="20"/>
  <c r="O377" i="20"/>
  <c r="P376" i="20"/>
  <c r="K385" i="20"/>
  <c r="L384" i="20"/>
  <c r="P377" i="20"/>
  <c r="O378" i="20"/>
  <c r="L385" i="20"/>
  <c r="K386" i="20"/>
  <c r="P378" i="20"/>
  <c r="O379" i="20"/>
  <c r="L386" i="20"/>
  <c r="K387" i="20"/>
  <c r="P379" i="20"/>
  <c r="O380" i="20"/>
  <c r="K388" i="20"/>
  <c r="L387" i="20"/>
  <c r="O381" i="20"/>
  <c r="P380" i="20"/>
  <c r="K389" i="20"/>
  <c r="L388" i="20"/>
  <c r="P381" i="20"/>
  <c r="O382" i="20"/>
  <c r="L389" i="20"/>
  <c r="K390" i="20"/>
  <c r="O383" i="20"/>
  <c r="P382" i="20"/>
  <c r="K391" i="20"/>
  <c r="L390" i="20"/>
  <c r="P383" i="20"/>
  <c r="O384" i="20"/>
  <c r="K392" i="20"/>
  <c r="L391" i="20"/>
  <c r="O385" i="20"/>
  <c r="P384" i="20"/>
  <c r="L392" i="20"/>
  <c r="K393" i="20"/>
  <c r="P385" i="20"/>
  <c r="O386" i="20"/>
  <c r="K394" i="20"/>
  <c r="L393" i="20"/>
  <c r="O387" i="20"/>
  <c r="P386" i="20"/>
  <c r="K395" i="20"/>
  <c r="L394" i="20"/>
  <c r="P387" i="20"/>
  <c r="O388" i="20"/>
  <c r="K396" i="20"/>
  <c r="L395" i="20"/>
  <c r="O389" i="20"/>
  <c r="P388" i="20"/>
  <c r="L396" i="20"/>
  <c r="K397" i="20"/>
  <c r="O390" i="20"/>
  <c r="P389" i="20"/>
  <c r="L397" i="20"/>
  <c r="K398" i="20"/>
  <c r="P390" i="20"/>
  <c r="O391" i="20"/>
  <c r="L398" i="20"/>
  <c r="K399" i="20"/>
  <c r="O392" i="20"/>
  <c r="P391" i="20"/>
  <c r="K400" i="20"/>
  <c r="L399" i="20"/>
  <c r="O393" i="20"/>
  <c r="P392" i="20"/>
  <c r="L400" i="20"/>
  <c r="K401" i="20"/>
  <c r="O394" i="20"/>
  <c r="P393" i="20"/>
  <c r="L401" i="20"/>
  <c r="K402" i="20"/>
  <c r="O395" i="20"/>
  <c r="P394" i="20"/>
  <c r="L402" i="20"/>
  <c r="K403" i="20"/>
  <c r="P395" i="20"/>
  <c r="O396" i="20"/>
  <c r="K404" i="20"/>
  <c r="L403" i="20"/>
  <c r="P396" i="20"/>
  <c r="O397" i="20"/>
  <c r="L404" i="20"/>
  <c r="K405" i="20"/>
  <c r="P397" i="20"/>
  <c r="O398" i="20"/>
  <c r="K406" i="20"/>
  <c r="L405" i="20"/>
  <c r="O399" i="20"/>
  <c r="P398" i="20"/>
  <c r="L406" i="20"/>
  <c r="K407" i="20"/>
  <c r="P399" i="20"/>
  <c r="O400" i="20"/>
  <c r="L407" i="20"/>
  <c r="K408" i="20"/>
  <c r="P400" i="20"/>
  <c r="O401" i="20"/>
  <c r="K409" i="20"/>
  <c r="L408" i="20"/>
  <c r="O402" i="20"/>
  <c r="P401" i="20"/>
  <c r="L409" i="20"/>
  <c r="K410" i="20"/>
  <c r="P402" i="20"/>
  <c r="O403" i="20"/>
  <c r="L410" i="20"/>
  <c r="K411" i="20"/>
  <c r="P403" i="20"/>
  <c r="O404" i="20"/>
  <c r="K412" i="20"/>
  <c r="L411" i="20"/>
  <c r="O405" i="20"/>
  <c r="P404" i="20"/>
  <c r="K413" i="20"/>
  <c r="L412" i="20"/>
  <c r="P405" i="20"/>
  <c r="O406" i="20"/>
  <c r="K414" i="20"/>
  <c r="L413" i="20"/>
  <c r="O407" i="20"/>
  <c r="P406" i="20"/>
  <c r="L414" i="20"/>
  <c r="K415" i="20"/>
  <c r="O408" i="20"/>
  <c r="P407" i="20"/>
  <c r="L415" i="20"/>
  <c r="K416" i="20"/>
  <c r="P408" i="20"/>
  <c r="O409" i="20"/>
  <c r="K417" i="20"/>
  <c r="L416" i="20"/>
  <c r="P409" i="20"/>
  <c r="O410" i="20"/>
  <c r="K418" i="20"/>
  <c r="L417" i="20"/>
  <c r="O411" i="20"/>
  <c r="P410" i="20"/>
  <c r="L418" i="20"/>
  <c r="K419" i="20"/>
  <c r="P411" i="20"/>
  <c r="O412" i="20"/>
  <c r="L419" i="20"/>
  <c r="K420" i="20"/>
  <c r="O413" i="20"/>
  <c r="P412" i="20"/>
  <c r="K421" i="20"/>
  <c r="L420" i="20"/>
  <c r="P413" i="20"/>
  <c r="O414" i="20"/>
  <c r="K422" i="20"/>
  <c r="L421" i="20"/>
  <c r="O415" i="20"/>
  <c r="P414" i="20"/>
  <c r="K423" i="20"/>
  <c r="L422" i="20"/>
  <c r="P415" i="20"/>
  <c r="O416" i="20"/>
  <c r="K424" i="20"/>
  <c r="L423" i="20"/>
  <c r="P416" i="20"/>
  <c r="O417" i="20"/>
  <c r="L424" i="20"/>
  <c r="K425" i="20"/>
  <c r="O418" i="20"/>
  <c r="P417" i="20"/>
  <c r="L425" i="20"/>
  <c r="K426" i="20"/>
  <c r="P418" i="20"/>
  <c r="O419" i="20"/>
  <c r="K427" i="20"/>
  <c r="L426" i="20"/>
  <c r="P419" i="20"/>
  <c r="O420" i="20"/>
  <c r="K428" i="20"/>
  <c r="L427" i="20"/>
  <c r="P420" i="20"/>
  <c r="O421" i="20"/>
  <c r="K429" i="20"/>
  <c r="L428" i="20"/>
  <c r="O422" i="20"/>
  <c r="P421" i="20"/>
  <c r="K430" i="20"/>
  <c r="L429" i="20"/>
  <c r="O423" i="20"/>
  <c r="P422" i="20"/>
  <c r="K431" i="20"/>
  <c r="L430" i="20"/>
  <c r="O424" i="20"/>
  <c r="P423" i="20"/>
  <c r="K432" i="20"/>
  <c r="L431" i="20"/>
  <c r="O425" i="20"/>
  <c r="P424" i="20"/>
  <c r="L432" i="20"/>
  <c r="K433" i="20"/>
  <c r="P425" i="20"/>
  <c r="O426" i="20"/>
  <c r="L433" i="20"/>
  <c r="K434" i="20"/>
  <c r="P426" i="20"/>
  <c r="O427" i="20"/>
  <c r="L434" i="20"/>
  <c r="K435" i="20"/>
  <c r="O428" i="20"/>
  <c r="P427" i="20"/>
  <c r="L435" i="20"/>
  <c r="K436" i="20"/>
  <c r="P428" i="20"/>
  <c r="O429" i="20"/>
  <c r="L436" i="20"/>
  <c r="K437" i="20"/>
  <c r="P429" i="20"/>
  <c r="O430" i="20"/>
  <c r="K438" i="20"/>
  <c r="L437" i="20"/>
  <c r="P430" i="20"/>
  <c r="O431" i="20"/>
  <c r="K439" i="20"/>
  <c r="L438" i="20"/>
  <c r="P431" i="20"/>
  <c r="O432" i="20"/>
  <c r="K440" i="20"/>
  <c r="L439" i="20"/>
  <c r="O433" i="20"/>
  <c r="P432" i="20"/>
  <c r="K441" i="20"/>
  <c r="L440" i="20"/>
  <c r="O434" i="20"/>
  <c r="P433" i="20"/>
  <c r="L441" i="20"/>
  <c r="K442" i="20"/>
  <c r="P434" i="20"/>
  <c r="O435" i="20"/>
  <c r="L442" i="20"/>
  <c r="K443" i="20"/>
  <c r="P435" i="20"/>
  <c r="O436" i="20"/>
  <c r="K444" i="20"/>
  <c r="L443" i="20"/>
  <c r="P436" i="20"/>
  <c r="O437" i="20"/>
  <c r="L444" i="20"/>
  <c r="K445" i="20"/>
  <c r="O438" i="20"/>
  <c r="P437" i="20"/>
  <c r="K446" i="20"/>
  <c r="L445" i="20"/>
  <c r="O439" i="20"/>
  <c r="P438" i="20"/>
  <c r="L446" i="20"/>
  <c r="K447" i="20"/>
  <c r="O440" i="20"/>
  <c r="P439" i="20"/>
  <c r="K448" i="20"/>
  <c r="L447" i="20"/>
  <c r="O441" i="20"/>
  <c r="P440" i="20"/>
  <c r="L448" i="20"/>
  <c r="K449" i="20"/>
  <c r="P441" i="20"/>
  <c r="O442" i="20"/>
  <c r="K450" i="20"/>
  <c r="L449" i="20"/>
  <c r="P442" i="20"/>
  <c r="O443" i="20"/>
  <c r="K451" i="20"/>
  <c r="L450" i="20"/>
  <c r="P443" i="20"/>
  <c r="O444" i="20"/>
  <c r="K452" i="20"/>
  <c r="L451" i="20"/>
  <c r="O445" i="20"/>
  <c r="P444" i="20"/>
  <c r="K453" i="20"/>
  <c r="L452" i="20"/>
  <c r="O446" i="20"/>
  <c r="P445" i="20"/>
  <c r="K454" i="20"/>
  <c r="L453" i="20"/>
  <c r="O447" i="20"/>
  <c r="P446" i="20"/>
  <c r="L454" i="20"/>
  <c r="K455" i="20"/>
  <c r="P447" i="20"/>
  <c r="O448" i="20"/>
  <c r="K456" i="20"/>
  <c r="L455" i="20"/>
  <c r="O449" i="20"/>
  <c r="P448" i="20"/>
  <c r="L456" i="20"/>
  <c r="K457" i="20"/>
  <c r="O450" i="20"/>
  <c r="P449" i="20"/>
  <c r="L457" i="20"/>
  <c r="K458" i="20"/>
  <c r="O451" i="20"/>
  <c r="P450" i="20"/>
  <c r="L458" i="20"/>
  <c r="K459" i="20"/>
  <c r="P451" i="20"/>
  <c r="O452" i="20"/>
  <c r="L459" i="20"/>
  <c r="K460" i="20"/>
  <c r="O453" i="20"/>
  <c r="P452" i="20"/>
  <c r="L460" i="20"/>
  <c r="K461" i="20"/>
  <c r="P453" i="20"/>
  <c r="O454" i="20"/>
  <c r="K462" i="20"/>
  <c r="L461" i="20"/>
  <c r="P454" i="20"/>
  <c r="O455" i="20"/>
  <c r="L462" i="20"/>
  <c r="K463" i="20"/>
  <c r="P455" i="20"/>
  <c r="O456" i="20"/>
  <c r="L463" i="20"/>
  <c r="K464" i="20"/>
  <c r="P456" i="20"/>
  <c r="O457" i="20"/>
  <c r="L464" i="20"/>
  <c r="K465" i="20"/>
  <c r="P457" i="20"/>
  <c r="O458" i="20"/>
  <c r="L465" i="20"/>
  <c r="K466" i="20"/>
  <c r="O459" i="20"/>
  <c r="P458" i="20"/>
  <c r="K467" i="20"/>
  <c r="L466" i="20"/>
  <c r="O460" i="20"/>
  <c r="P459" i="20"/>
  <c r="L467" i="20"/>
  <c r="K468" i="20"/>
  <c r="O461" i="20"/>
  <c r="P460" i="20"/>
  <c r="L468" i="20"/>
  <c r="K469" i="20"/>
  <c r="O462" i="20"/>
  <c r="P461" i="20"/>
  <c r="K470" i="20"/>
  <c r="L469" i="20"/>
  <c r="P462" i="20"/>
  <c r="O463" i="20"/>
  <c r="K471" i="20"/>
  <c r="L470" i="20"/>
  <c r="P463" i="20"/>
  <c r="O464" i="20"/>
  <c r="L471" i="20"/>
  <c r="K472" i="20"/>
  <c r="P464" i="20"/>
  <c r="O465" i="20"/>
  <c r="L472" i="20"/>
  <c r="K473" i="20"/>
  <c r="P465" i="20"/>
  <c r="O466" i="20"/>
  <c r="L473" i="20"/>
  <c r="K474" i="20"/>
  <c r="O467" i="20"/>
  <c r="P466" i="20"/>
  <c r="L474" i="20"/>
  <c r="K475" i="20"/>
  <c r="O468" i="20"/>
  <c r="P467" i="20"/>
  <c r="L475" i="20"/>
  <c r="K476" i="20"/>
  <c r="O469" i="20"/>
  <c r="P468" i="20"/>
  <c r="K477" i="20"/>
  <c r="L476" i="20"/>
  <c r="P469" i="20"/>
  <c r="O470" i="20"/>
  <c r="K478" i="20"/>
  <c r="L477" i="20"/>
  <c r="P470" i="20"/>
  <c r="O471" i="20"/>
  <c r="K479" i="20"/>
  <c r="L478" i="20"/>
  <c r="P471" i="20"/>
  <c r="O472" i="20"/>
  <c r="K480" i="20"/>
  <c r="L479" i="20"/>
  <c r="P472" i="20"/>
  <c r="O473" i="20"/>
  <c r="K481" i="20"/>
  <c r="L480" i="20"/>
  <c r="O474" i="20"/>
  <c r="P473" i="20"/>
  <c r="K482" i="20"/>
  <c r="L481" i="20"/>
  <c r="O475" i="20"/>
  <c r="P474" i="20"/>
  <c r="K483" i="20"/>
  <c r="L482" i="20"/>
  <c r="P475" i="20"/>
  <c r="O476" i="20"/>
  <c r="K484" i="20"/>
  <c r="L483" i="20"/>
  <c r="P476" i="20"/>
  <c r="O477" i="20"/>
  <c r="L484" i="20"/>
  <c r="K485" i="20"/>
  <c r="P477" i="20"/>
  <c r="O478" i="20"/>
  <c r="K486" i="20"/>
  <c r="L485" i="20"/>
  <c r="O479" i="20"/>
  <c r="P478" i="20"/>
  <c r="L486" i="20"/>
  <c r="K487" i="20"/>
  <c r="P479" i="20"/>
  <c r="O480" i="20"/>
  <c r="K488" i="20"/>
  <c r="L487" i="20"/>
  <c r="P480" i="20"/>
  <c r="O481" i="20"/>
  <c r="L488" i="20"/>
  <c r="K489" i="20"/>
  <c r="P481" i="20"/>
  <c r="O482" i="20"/>
  <c r="L489" i="20"/>
  <c r="K490" i="20"/>
  <c r="O483" i="20"/>
  <c r="P482" i="20"/>
  <c r="K491" i="20"/>
  <c r="L490" i="20"/>
  <c r="O484" i="20"/>
  <c r="P483" i="20"/>
  <c r="L491" i="20"/>
  <c r="K492" i="20"/>
  <c r="P484" i="20"/>
  <c r="O485" i="20"/>
  <c r="K493" i="20"/>
  <c r="L492" i="20"/>
  <c r="P485" i="20"/>
  <c r="O486" i="20"/>
  <c r="L493" i="20"/>
  <c r="K494" i="20"/>
  <c r="O487" i="20"/>
  <c r="P486" i="20"/>
  <c r="K495" i="20"/>
  <c r="L494" i="20"/>
  <c r="O488" i="20"/>
  <c r="P487" i="20"/>
  <c r="L495" i="20"/>
  <c r="K496" i="20"/>
  <c r="P488" i="20"/>
  <c r="O489" i="20"/>
  <c r="K497" i="20"/>
  <c r="L496" i="20"/>
  <c r="P489" i="20"/>
  <c r="O490" i="20"/>
  <c r="L497" i="20"/>
  <c r="K498" i="20"/>
  <c r="O491" i="20"/>
  <c r="P490" i="20"/>
  <c r="L498" i="20"/>
  <c r="K499" i="20"/>
  <c r="O492" i="20"/>
  <c r="P491" i="20"/>
  <c r="L499" i="20"/>
  <c r="K500" i="20"/>
  <c r="O493" i="20"/>
  <c r="P492" i="20"/>
  <c r="L500" i="20"/>
  <c r="K501" i="20"/>
  <c r="O494" i="20"/>
  <c r="P493" i="20"/>
  <c r="K502" i="20"/>
  <c r="L501" i="20"/>
  <c r="O495" i="20"/>
  <c r="P494" i="20"/>
  <c r="K503" i="20"/>
  <c r="L502" i="20"/>
  <c r="P495" i="20"/>
  <c r="O496" i="20"/>
  <c r="L503" i="20"/>
  <c r="K504" i="20"/>
  <c r="O497" i="20"/>
  <c r="P496" i="20"/>
  <c r="K505" i="20"/>
  <c r="L504" i="20"/>
  <c r="O498" i="20"/>
  <c r="P497" i="20"/>
  <c r="K506" i="20"/>
  <c r="L505" i="20"/>
  <c r="O499" i="20"/>
  <c r="P498" i="20"/>
  <c r="K507" i="20"/>
  <c r="L506" i="20"/>
  <c r="P499" i="20"/>
  <c r="O500" i="20"/>
  <c r="L507" i="20"/>
  <c r="K508" i="20"/>
  <c r="P500" i="20"/>
  <c r="O501" i="20"/>
  <c r="K509" i="20"/>
  <c r="L508" i="20"/>
  <c r="O502" i="20"/>
  <c r="P501" i="20"/>
  <c r="K510" i="20"/>
  <c r="L509" i="20"/>
  <c r="P502" i="20"/>
  <c r="O503" i="20"/>
  <c r="L510" i="20"/>
  <c r="K511" i="20"/>
  <c r="O504" i="20"/>
  <c r="P503" i="20"/>
  <c r="K512" i="20"/>
  <c r="L511" i="20"/>
  <c r="P504" i="20"/>
  <c r="O505" i="20"/>
  <c r="K513" i="20"/>
  <c r="L512" i="20"/>
  <c r="P505" i="20"/>
  <c r="O506" i="20"/>
  <c r="K514" i="20"/>
  <c r="L513" i="20"/>
  <c r="O507" i="20"/>
  <c r="P506" i="20"/>
  <c r="K515" i="20"/>
  <c r="L514" i="20"/>
  <c r="P507" i="20"/>
  <c r="O508" i="20"/>
  <c r="K516" i="20"/>
  <c r="L515" i="20"/>
  <c r="P508" i="20"/>
  <c r="O509" i="20"/>
  <c r="K517" i="20"/>
  <c r="L516" i="20"/>
  <c r="P509" i="20"/>
  <c r="O510" i="20"/>
  <c r="K518" i="20"/>
  <c r="L517" i="20"/>
  <c r="O511" i="20"/>
  <c r="P510" i="20"/>
  <c r="K519" i="20"/>
  <c r="L518" i="20"/>
  <c r="O512" i="20"/>
  <c r="P511" i="20"/>
  <c r="L519" i="20"/>
  <c r="K520" i="20"/>
  <c r="O513" i="20"/>
  <c r="P512" i="20"/>
  <c r="K521" i="20"/>
  <c r="L520" i="20"/>
  <c r="P513" i="20"/>
  <c r="O514" i="20"/>
  <c r="K522" i="20"/>
  <c r="L521" i="20"/>
  <c r="P514" i="20"/>
  <c r="O515" i="20"/>
  <c r="L522" i="20"/>
  <c r="K523" i="20"/>
  <c r="P515" i="20"/>
  <c r="O516" i="20"/>
  <c r="K524" i="20"/>
  <c r="L523" i="20"/>
  <c r="O517" i="20"/>
  <c r="P516" i="20"/>
  <c r="L524" i="20"/>
  <c r="K525" i="20"/>
  <c r="O518" i="20"/>
  <c r="P517" i="20"/>
  <c r="L525" i="20"/>
  <c r="K526" i="20"/>
  <c r="O519" i="20"/>
  <c r="P518" i="20"/>
  <c r="L526" i="20"/>
  <c r="K527" i="20"/>
  <c r="O520" i="20"/>
  <c r="P519" i="20"/>
  <c r="L527" i="20"/>
  <c r="K528" i="20"/>
  <c r="P520" i="20"/>
  <c r="O521" i="20"/>
  <c r="K529" i="20"/>
  <c r="L528" i="20"/>
  <c r="P521" i="20"/>
  <c r="O522" i="20"/>
  <c r="K530" i="20"/>
  <c r="L529" i="20"/>
  <c r="O523" i="20"/>
  <c r="P522" i="20"/>
  <c r="K531" i="20"/>
  <c r="L530" i="20"/>
  <c r="P523" i="20"/>
  <c r="O524" i="20"/>
  <c r="K532" i="20"/>
  <c r="L531" i="20"/>
  <c r="O525" i="20"/>
  <c r="P524" i="20"/>
  <c r="L532" i="20"/>
  <c r="K533" i="20"/>
  <c r="O526" i="20"/>
  <c r="P525" i="20"/>
  <c r="L533" i="20"/>
  <c r="K534" i="20"/>
  <c r="P526" i="20"/>
  <c r="O527" i="20"/>
  <c r="L534" i="20"/>
  <c r="K535" i="20"/>
  <c r="P527" i="20"/>
  <c r="O528" i="20"/>
  <c r="K536" i="20"/>
  <c r="L535" i="20"/>
  <c r="O529" i="20"/>
  <c r="P528" i="20"/>
  <c r="L536" i="20"/>
  <c r="K537" i="20"/>
  <c r="P529" i="20"/>
  <c r="O530" i="20"/>
  <c r="K538" i="20"/>
  <c r="L537" i="20"/>
  <c r="P530" i="20"/>
  <c r="O531" i="20"/>
  <c r="L538" i="20"/>
  <c r="K539" i="20"/>
  <c r="P531" i="20"/>
  <c r="O532" i="20"/>
  <c r="K540" i="20"/>
  <c r="L539" i="20"/>
  <c r="O533" i="20"/>
  <c r="P532" i="20"/>
  <c r="K541" i="20"/>
  <c r="L540" i="20"/>
  <c r="P533" i="20"/>
  <c r="O534" i="20"/>
  <c r="K542" i="20"/>
  <c r="L541" i="20"/>
  <c r="P534" i="20"/>
  <c r="O535" i="20"/>
  <c r="K543" i="20"/>
  <c r="L542" i="20"/>
  <c r="P535" i="20"/>
  <c r="O536" i="20"/>
  <c r="K544" i="20"/>
  <c r="L543" i="20"/>
  <c r="O537" i="20"/>
  <c r="P536" i="20"/>
  <c r="K545" i="20"/>
  <c r="L544" i="20"/>
  <c r="O538" i="20"/>
  <c r="P537" i="20"/>
  <c r="K546" i="20"/>
  <c r="L545" i="20"/>
  <c r="P538" i="20"/>
  <c r="O539" i="20"/>
  <c r="K547" i="20"/>
  <c r="L546" i="20"/>
  <c r="P539" i="20"/>
  <c r="O540" i="20"/>
  <c r="K548" i="20"/>
  <c r="L547" i="20"/>
  <c r="O541" i="20"/>
  <c r="P540" i="20"/>
  <c r="K549" i="20"/>
  <c r="L548" i="20"/>
  <c r="O542" i="20"/>
  <c r="P541" i="20"/>
  <c r="K550" i="20"/>
  <c r="L549" i="20"/>
  <c r="O543" i="20"/>
  <c r="P542" i="20"/>
  <c r="K551" i="20"/>
  <c r="L550" i="20"/>
  <c r="P543" i="20"/>
  <c r="O544" i="20"/>
  <c r="K552" i="20"/>
  <c r="L551" i="20"/>
  <c r="P544" i="20"/>
  <c r="O545" i="20"/>
  <c r="K553" i="20"/>
  <c r="L552" i="20"/>
  <c r="P545" i="20"/>
  <c r="O546" i="20"/>
  <c r="K554" i="20"/>
  <c r="L553" i="20"/>
  <c r="O547" i="20"/>
  <c r="P546" i="20"/>
  <c r="K555" i="20"/>
  <c r="L554" i="20"/>
  <c r="P547" i="20"/>
  <c r="O548" i="20"/>
  <c r="L555" i="20"/>
  <c r="K556" i="20"/>
  <c r="P548" i="20"/>
  <c r="O549" i="20"/>
  <c r="K557" i="20"/>
  <c r="L556" i="20"/>
  <c r="P549" i="20"/>
  <c r="O550" i="20"/>
  <c r="K558" i="20"/>
  <c r="L557" i="20"/>
  <c r="O551" i="20"/>
  <c r="P550" i="20"/>
  <c r="K559" i="20"/>
  <c r="L558" i="20"/>
  <c r="O552" i="20"/>
  <c r="P551" i="20"/>
  <c r="L559" i="20"/>
  <c r="K560" i="20"/>
  <c r="P552" i="20"/>
  <c r="O553" i="20"/>
  <c r="K561" i="20"/>
  <c r="L560" i="20"/>
  <c r="O554" i="20"/>
  <c r="P553" i="20"/>
  <c r="K562" i="20"/>
  <c r="L561" i="20"/>
  <c r="P554" i="20"/>
  <c r="O555" i="20"/>
  <c r="L562" i="20"/>
  <c r="K563" i="20"/>
  <c r="O556" i="20"/>
  <c r="P555" i="20"/>
  <c r="K564" i="20"/>
  <c r="L563" i="20"/>
  <c r="P556" i="20"/>
  <c r="O557" i="20"/>
  <c r="L564" i="20"/>
  <c r="K565" i="20"/>
  <c r="P557" i="20"/>
  <c r="O558" i="20"/>
  <c r="K566" i="20"/>
  <c r="L565" i="20"/>
  <c r="O559" i="20"/>
  <c r="P558" i="20"/>
  <c r="K567" i="20"/>
  <c r="L566" i="20"/>
  <c r="O560" i="20"/>
  <c r="P559" i="20"/>
  <c r="L567" i="20"/>
  <c r="K568" i="20"/>
  <c r="P560" i="20"/>
  <c r="O561" i="20"/>
  <c r="L568" i="20"/>
  <c r="K569" i="20"/>
  <c r="P561" i="20"/>
  <c r="O562" i="20"/>
  <c r="K570" i="20"/>
  <c r="L569" i="20"/>
  <c r="P562" i="20"/>
  <c r="O563" i="20"/>
  <c r="L570" i="20"/>
  <c r="K571" i="20"/>
  <c r="P563" i="20"/>
  <c r="O564" i="20"/>
  <c r="L571" i="20"/>
  <c r="K572" i="20"/>
  <c r="P564" i="20"/>
  <c r="O565" i="20"/>
  <c r="K573" i="20"/>
  <c r="L572" i="20"/>
  <c r="P565" i="20"/>
  <c r="O566" i="20"/>
  <c r="L573" i="20"/>
  <c r="K574" i="20"/>
  <c r="P566" i="20"/>
  <c r="O567" i="20"/>
  <c r="L574" i="20"/>
  <c r="K575" i="20"/>
  <c r="P567" i="20"/>
  <c r="O568" i="20"/>
  <c r="K576" i="20"/>
  <c r="L575" i="20"/>
  <c r="O569" i="20"/>
  <c r="P568" i="20"/>
  <c r="L576" i="20"/>
  <c r="K577" i="20"/>
  <c r="O570" i="20"/>
  <c r="P569" i="20"/>
  <c r="L577" i="20"/>
  <c r="K578" i="20"/>
  <c r="P570" i="20"/>
  <c r="O571" i="20"/>
  <c r="L578" i="20"/>
  <c r="K579" i="20"/>
  <c r="O572" i="20"/>
  <c r="P571" i="20"/>
  <c r="L579" i="20"/>
  <c r="K580" i="20"/>
  <c r="O573" i="20"/>
  <c r="P572" i="20"/>
  <c r="K581" i="20"/>
  <c r="L580" i="20"/>
  <c r="P573" i="20"/>
  <c r="O574" i="20"/>
  <c r="K582" i="20"/>
  <c r="L581" i="20"/>
  <c r="P574" i="20"/>
  <c r="O575" i="20"/>
  <c r="L582" i="20"/>
  <c r="K583" i="20"/>
  <c r="O576" i="20"/>
  <c r="P575" i="20"/>
  <c r="K584" i="20"/>
  <c r="L583" i="20"/>
  <c r="O577" i="20"/>
  <c r="P576" i="20"/>
  <c r="K585" i="20"/>
  <c r="L584" i="20"/>
  <c r="P577" i="20"/>
  <c r="O578" i="20"/>
  <c r="K586" i="20"/>
  <c r="L585" i="20"/>
  <c r="O579" i="20"/>
  <c r="P578" i="20"/>
  <c r="K587" i="20"/>
  <c r="L586" i="20"/>
  <c r="O580" i="20"/>
  <c r="P579" i="20"/>
  <c r="L587" i="20"/>
  <c r="K588" i="20"/>
  <c r="O581" i="20"/>
  <c r="P580" i="20"/>
  <c r="L588" i="20"/>
  <c r="K589" i="20"/>
  <c r="O582" i="20"/>
  <c r="P581" i="20"/>
  <c r="L589" i="20"/>
  <c r="K590" i="20"/>
  <c r="O583" i="20"/>
  <c r="P582" i="20"/>
  <c r="K591" i="20"/>
  <c r="L590" i="20"/>
  <c r="P583" i="20"/>
  <c r="O584" i="20"/>
  <c r="K592" i="20"/>
  <c r="L591" i="20"/>
  <c r="P584" i="20"/>
  <c r="O585" i="20"/>
  <c r="K593" i="20"/>
  <c r="L592" i="20"/>
  <c r="O586" i="20"/>
  <c r="P585" i="20"/>
  <c r="L593" i="20"/>
  <c r="K594" i="20"/>
  <c r="O587" i="20"/>
  <c r="P586" i="20"/>
  <c r="K595" i="20"/>
  <c r="L594" i="20"/>
  <c r="P587" i="20"/>
  <c r="O588" i="20"/>
  <c r="L595" i="20"/>
  <c r="K596" i="20"/>
  <c r="P588" i="20"/>
  <c r="O589" i="20"/>
  <c r="L596" i="20"/>
  <c r="K597" i="20"/>
  <c r="O590" i="20"/>
  <c r="P589" i="20"/>
  <c r="K598" i="20"/>
  <c r="L597" i="20"/>
  <c r="P590" i="20"/>
  <c r="O591" i="20"/>
  <c r="L598" i="20"/>
  <c r="K599" i="20"/>
  <c r="P591" i="20"/>
  <c r="O592" i="20"/>
  <c r="L599" i="20"/>
  <c r="K600" i="20"/>
  <c r="O593" i="20"/>
  <c r="P592" i="20"/>
  <c r="L600" i="20"/>
  <c r="K601" i="20"/>
  <c r="O594" i="20"/>
  <c r="P593" i="20"/>
  <c r="K602" i="20"/>
  <c r="L601" i="20"/>
  <c r="O595" i="20"/>
  <c r="P594" i="20"/>
  <c r="L602" i="20"/>
  <c r="K603" i="20"/>
  <c r="P595" i="20"/>
  <c r="O596" i="20"/>
  <c r="K604" i="20"/>
  <c r="L603" i="20"/>
  <c r="P596" i="20"/>
  <c r="O597" i="20"/>
  <c r="K605" i="20"/>
  <c r="L604" i="20"/>
  <c r="P597" i="20"/>
  <c r="O598" i="20"/>
  <c r="L605" i="20"/>
  <c r="K606" i="20"/>
  <c r="O599" i="20"/>
  <c r="P598" i="20"/>
  <c r="L606" i="20"/>
  <c r="K607" i="20"/>
  <c r="P599" i="20"/>
  <c r="O600" i="20"/>
  <c r="K608" i="20"/>
  <c r="L607" i="20"/>
  <c r="P600" i="20"/>
  <c r="O601" i="20"/>
  <c r="L608" i="20"/>
  <c r="K609" i="20"/>
  <c r="O602" i="20"/>
  <c r="P601" i="20"/>
  <c r="K610" i="20"/>
  <c r="L609" i="20"/>
  <c r="O603" i="20"/>
  <c r="P602" i="20"/>
  <c r="K611" i="20"/>
  <c r="L610" i="20"/>
  <c r="O604" i="20"/>
  <c r="P603" i="20"/>
  <c r="L611" i="20"/>
  <c r="K612" i="20"/>
  <c r="P604" i="20"/>
  <c r="O605" i="20"/>
  <c r="K613" i="20"/>
  <c r="L612" i="20"/>
  <c r="O606" i="20"/>
  <c r="P605" i="20"/>
  <c r="L613" i="20"/>
  <c r="K614" i="20"/>
  <c r="P606" i="20"/>
  <c r="O607" i="20"/>
  <c r="K615" i="20"/>
  <c r="L614" i="20"/>
  <c r="P607" i="20"/>
  <c r="O608" i="20"/>
  <c r="K616" i="20"/>
  <c r="L615" i="20"/>
  <c r="O609" i="20"/>
  <c r="P608" i="20"/>
  <c r="K617" i="20"/>
  <c r="L616" i="20"/>
  <c r="P609" i="20"/>
  <c r="O610" i="20"/>
  <c r="L617" i="20"/>
  <c r="K618" i="20"/>
  <c r="P610" i="20"/>
  <c r="O611" i="20"/>
  <c r="K619" i="20"/>
  <c r="L618" i="20"/>
  <c r="O612" i="20"/>
  <c r="P611" i="20"/>
  <c r="L619" i="20"/>
  <c r="K620" i="20"/>
  <c r="O613" i="20"/>
  <c r="P612" i="20"/>
  <c r="L620" i="20"/>
  <c r="K621" i="20"/>
  <c r="P613" i="20"/>
  <c r="O614" i="20"/>
  <c r="L621" i="20"/>
  <c r="K622" i="20"/>
  <c r="O615" i="20"/>
  <c r="P614" i="20"/>
  <c r="K623" i="20"/>
  <c r="L622" i="20"/>
  <c r="O616" i="20"/>
  <c r="P615" i="20"/>
  <c r="L623" i="20"/>
  <c r="K624" i="20"/>
  <c r="O617" i="20"/>
  <c r="P616" i="20"/>
  <c r="L624" i="20"/>
  <c r="K625" i="20"/>
  <c r="P617" i="20"/>
  <c r="O618" i="20"/>
  <c r="K626" i="20"/>
  <c r="L625" i="20"/>
  <c r="P618" i="20"/>
  <c r="O619" i="20"/>
  <c r="L626" i="20"/>
  <c r="K627" i="20"/>
  <c r="P619" i="20"/>
  <c r="O620" i="20"/>
  <c r="L627" i="20"/>
  <c r="K628" i="20"/>
  <c r="P620" i="20"/>
  <c r="O621" i="20"/>
  <c r="K629" i="20"/>
  <c r="L628" i="20"/>
  <c r="O622" i="20"/>
  <c r="P621" i="20"/>
  <c r="K630" i="20"/>
  <c r="L629" i="20"/>
  <c r="O623" i="20"/>
  <c r="P622" i="20"/>
  <c r="L630" i="20"/>
  <c r="K631" i="20"/>
  <c r="O624" i="20"/>
  <c r="P623" i="20"/>
  <c r="L631" i="20"/>
  <c r="K632" i="20"/>
  <c r="O625" i="20"/>
  <c r="P624" i="20"/>
  <c r="L632" i="20"/>
  <c r="K633" i="20"/>
  <c r="P625" i="20"/>
  <c r="O626" i="20"/>
  <c r="K634" i="20"/>
  <c r="L633" i="20"/>
  <c r="O627" i="20"/>
  <c r="P626" i="20"/>
  <c r="K635" i="20"/>
  <c r="L634" i="20"/>
  <c r="O628" i="20"/>
  <c r="P627" i="20"/>
  <c r="L635" i="20"/>
  <c r="K636" i="20"/>
  <c r="P628" i="20"/>
  <c r="O629" i="20"/>
  <c r="L636" i="20"/>
  <c r="K637" i="20"/>
  <c r="P629" i="20"/>
  <c r="O630" i="20"/>
  <c r="K638" i="20"/>
  <c r="L637" i="20"/>
  <c r="P630" i="20"/>
  <c r="O631" i="20"/>
  <c r="L638" i="20"/>
  <c r="K639" i="20"/>
  <c r="O632" i="20"/>
  <c r="P631" i="20"/>
  <c r="L639" i="20"/>
  <c r="K640" i="20"/>
  <c r="P632" i="20"/>
  <c r="O633" i="20"/>
  <c r="L640" i="20"/>
  <c r="K641" i="20"/>
  <c r="O634" i="20"/>
  <c r="P633" i="20"/>
  <c r="K642" i="20"/>
  <c r="L641" i="20"/>
  <c r="P634" i="20"/>
  <c r="O635" i="20"/>
  <c r="L642" i="20"/>
  <c r="K643" i="20"/>
  <c r="P635" i="20"/>
  <c r="O636" i="20"/>
  <c r="L643" i="20"/>
  <c r="K644" i="20"/>
  <c r="P636" i="20"/>
  <c r="O637" i="20"/>
  <c r="L644" i="20"/>
  <c r="K645" i="20"/>
  <c r="P637" i="20"/>
  <c r="O638" i="20"/>
  <c r="K646" i="20"/>
  <c r="L645" i="20"/>
  <c r="P638" i="20"/>
  <c r="O639" i="20"/>
  <c r="L646" i="20"/>
  <c r="K647" i="20"/>
  <c r="P639" i="20"/>
  <c r="O640" i="20"/>
  <c r="K648" i="20"/>
  <c r="L647" i="20"/>
  <c r="P640" i="20"/>
  <c r="O641" i="20"/>
  <c r="K649" i="20"/>
  <c r="L648" i="20"/>
  <c r="P641" i="20"/>
  <c r="O642" i="20"/>
  <c r="K650" i="20"/>
  <c r="L649" i="20"/>
  <c r="P642" i="20"/>
  <c r="O643" i="20"/>
  <c r="L650" i="20"/>
  <c r="K651" i="20"/>
  <c r="O644" i="20"/>
  <c r="P643" i="20"/>
  <c r="K652" i="20"/>
  <c r="L651" i="20"/>
  <c r="O645" i="20"/>
  <c r="P644" i="20"/>
  <c r="L652" i="20"/>
  <c r="K653" i="20"/>
  <c r="P645" i="20"/>
  <c r="O646" i="20"/>
  <c r="L653" i="20"/>
  <c r="K654" i="20"/>
  <c r="O647" i="20"/>
  <c r="P646" i="20"/>
  <c r="L654" i="20"/>
  <c r="K655" i="20"/>
  <c r="P647" i="20"/>
  <c r="O648" i="20"/>
  <c r="K656" i="20"/>
  <c r="L655" i="20"/>
  <c r="P648" i="20"/>
  <c r="O649" i="20"/>
  <c r="K657" i="20"/>
  <c r="L656" i="20"/>
  <c r="P649" i="20"/>
  <c r="O650" i="20"/>
  <c r="L657" i="20"/>
  <c r="K658" i="20"/>
  <c r="O651" i="20"/>
  <c r="P650" i="20"/>
  <c r="L658" i="20"/>
  <c r="K659" i="20"/>
  <c r="P651" i="20"/>
  <c r="O652" i="20"/>
  <c r="L659" i="20"/>
  <c r="K660" i="20"/>
  <c r="P652" i="20"/>
  <c r="O653" i="20"/>
  <c r="L660" i="20"/>
  <c r="K661" i="20"/>
  <c r="O654" i="20"/>
  <c r="P653" i="20"/>
  <c r="L661" i="20"/>
  <c r="K662" i="20"/>
  <c r="P654" i="20"/>
  <c r="O655" i="20"/>
  <c r="L662" i="20"/>
  <c r="K663" i="20"/>
  <c r="O656" i="20"/>
  <c r="P655" i="20"/>
  <c r="K664" i="20"/>
  <c r="L663" i="20"/>
  <c r="O657" i="20"/>
  <c r="P656" i="20"/>
  <c r="L664" i="20"/>
  <c r="K665" i="20"/>
  <c r="P657" i="20"/>
  <c r="O658" i="20"/>
  <c r="K666" i="20"/>
  <c r="L665" i="20"/>
  <c r="O659" i="20"/>
  <c r="P658" i="20"/>
  <c r="K667" i="20"/>
  <c r="L666" i="20"/>
  <c r="O660" i="20"/>
  <c r="P659" i="20"/>
  <c r="K668" i="20"/>
  <c r="L667" i="20"/>
  <c r="P660" i="20"/>
  <c r="O661" i="20"/>
  <c r="K669" i="20"/>
  <c r="L668" i="20"/>
  <c r="P661" i="20"/>
  <c r="O662" i="20"/>
  <c r="L669" i="20"/>
  <c r="K670" i="20"/>
  <c r="P662" i="20"/>
  <c r="O663" i="20"/>
  <c r="L670" i="20"/>
  <c r="K671" i="20"/>
  <c r="O664" i="20"/>
  <c r="P663" i="20"/>
  <c r="K672" i="20"/>
  <c r="L671" i="20"/>
  <c r="O665" i="20"/>
  <c r="P664" i="20"/>
  <c r="L672" i="20"/>
  <c r="K673" i="20"/>
  <c r="P665" i="20"/>
  <c r="O666" i="20"/>
  <c r="K674" i="20"/>
  <c r="L673" i="20"/>
  <c r="O667" i="20"/>
  <c r="P666" i="20"/>
  <c r="K675" i="20"/>
  <c r="L674" i="20"/>
  <c r="P667" i="20"/>
  <c r="O668" i="20"/>
  <c r="L675" i="20"/>
  <c r="K676" i="20"/>
  <c r="O669" i="20"/>
  <c r="P668" i="20"/>
  <c r="K677" i="20"/>
  <c r="L676" i="20"/>
  <c r="P669" i="20"/>
  <c r="O670" i="20"/>
  <c r="K678" i="20"/>
  <c r="L677" i="20"/>
  <c r="P670" i="20"/>
  <c r="O671" i="20"/>
  <c r="K679" i="20"/>
  <c r="L678" i="20"/>
  <c r="P671" i="20"/>
  <c r="O672" i="20"/>
  <c r="K680" i="20"/>
  <c r="L679" i="20"/>
  <c r="P672" i="20"/>
  <c r="O673" i="20"/>
  <c r="L680" i="20"/>
  <c r="K681" i="20"/>
  <c r="O674" i="20"/>
  <c r="P673" i="20"/>
  <c r="K682" i="20"/>
  <c r="L681" i="20"/>
  <c r="O675" i="20"/>
  <c r="P674" i="20"/>
  <c r="L682" i="20"/>
  <c r="K683" i="20"/>
  <c r="P675" i="20"/>
  <c r="O676" i="20"/>
  <c r="K684" i="20"/>
  <c r="L683" i="20"/>
  <c r="P676" i="20"/>
  <c r="O677" i="20"/>
  <c r="L684" i="20"/>
  <c r="K685" i="20"/>
  <c r="P677" i="20"/>
  <c r="O678" i="20"/>
  <c r="L685" i="20"/>
  <c r="K686" i="20"/>
  <c r="O679" i="20"/>
  <c r="P678" i="20"/>
  <c r="L686" i="20"/>
  <c r="K687" i="20"/>
  <c r="P679" i="20"/>
  <c r="O680" i="20"/>
  <c r="L687" i="20"/>
  <c r="K688" i="20"/>
  <c r="O681" i="20"/>
  <c r="P680" i="20"/>
  <c r="L688" i="20"/>
  <c r="K689" i="20"/>
  <c r="O682" i="20"/>
  <c r="P681" i="20"/>
  <c r="K690" i="20"/>
  <c r="L689" i="20"/>
  <c r="P682" i="20"/>
  <c r="O683" i="20"/>
  <c r="K691" i="20"/>
  <c r="L690" i="20"/>
  <c r="P683" i="20"/>
  <c r="O684" i="20"/>
  <c r="L691" i="20"/>
  <c r="K692" i="20"/>
  <c r="O685" i="20"/>
  <c r="P684" i="20"/>
  <c r="K693" i="20"/>
  <c r="L692" i="20"/>
  <c r="P685" i="20"/>
  <c r="O686" i="20"/>
  <c r="K694" i="20"/>
  <c r="L693" i="20"/>
  <c r="O687" i="20"/>
  <c r="P686" i="20"/>
  <c r="L694" i="20"/>
  <c r="K695" i="20"/>
  <c r="O688" i="20"/>
  <c r="P687" i="20"/>
  <c r="L695" i="20"/>
  <c r="K696" i="20"/>
  <c r="P688" i="20"/>
  <c r="O689" i="20"/>
  <c r="L696" i="20"/>
  <c r="K697" i="20"/>
  <c r="O690" i="20"/>
  <c r="P689" i="20"/>
  <c r="L697" i="20"/>
  <c r="K698" i="20"/>
  <c r="P690" i="20"/>
  <c r="O691" i="20"/>
  <c r="L698" i="20"/>
  <c r="K699" i="20"/>
  <c r="P691" i="20"/>
  <c r="O692" i="20"/>
  <c r="L699" i="20"/>
  <c r="K700" i="20"/>
  <c r="O693" i="20"/>
  <c r="P692" i="20"/>
  <c r="K701" i="20"/>
  <c r="L700" i="20"/>
  <c r="O694" i="20"/>
  <c r="P693" i="20"/>
  <c r="L701" i="20"/>
  <c r="K702" i="20"/>
  <c r="O695" i="20"/>
  <c r="P694" i="20"/>
  <c r="K703" i="20"/>
  <c r="L702" i="20"/>
  <c r="P695" i="20"/>
  <c r="O696" i="20"/>
  <c r="K704" i="20"/>
  <c r="L703" i="20"/>
  <c r="O697" i="20"/>
  <c r="P696" i="20"/>
  <c r="L704" i="20"/>
  <c r="K705" i="20"/>
  <c r="O698" i="20"/>
  <c r="P697" i="20"/>
  <c r="L705" i="20"/>
  <c r="K706" i="20"/>
  <c r="P698" i="20"/>
  <c r="O699" i="20"/>
  <c r="K707" i="20"/>
  <c r="L706" i="20"/>
  <c r="O700" i="20"/>
  <c r="P699" i="20"/>
  <c r="L707" i="20"/>
  <c r="K708" i="20"/>
  <c r="P700" i="20"/>
  <c r="O701" i="20"/>
  <c r="K709" i="20"/>
  <c r="L708" i="20"/>
  <c r="P701" i="20"/>
  <c r="O702" i="20"/>
  <c r="L709" i="20"/>
  <c r="K710" i="20"/>
  <c r="P702" i="20"/>
  <c r="O703" i="20"/>
  <c r="L710" i="20"/>
  <c r="K711" i="20"/>
  <c r="O704" i="20"/>
  <c r="P703" i="20"/>
  <c r="K712" i="20"/>
  <c r="L711" i="20"/>
  <c r="P704" i="20"/>
  <c r="O705" i="20"/>
  <c r="L712" i="20"/>
  <c r="K713" i="20"/>
  <c r="O706" i="20"/>
  <c r="P705" i="20"/>
  <c r="K714" i="20"/>
  <c r="L713" i="20"/>
  <c r="P706" i="20"/>
  <c r="O707" i="20"/>
  <c r="K715" i="20"/>
  <c r="L714" i="20"/>
  <c r="P707" i="20"/>
  <c r="O708" i="20"/>
  <c r="L715" i="20"/>
  <c r="K716" i="20"/>
  <c r="P708" i="20"/>
  <c r="O709" i="20"/>
  <c r="K717" i="20"/>
  <c r="L716" i="20"/>
  <c r="P709" i="20"/>
  <c r="O710" i="20"/>
  <c r="L717" i="20"/>
  <c r="K718" i="20"/>
  <c r="O711" i="20"/>
  <c r="P710" i="20"/>
  <c r="L718" i="20"/>
  <c r="K719" i="20"/>
  <c r="P711" i="20"/>
  <c r="O712" i="20"/>
  <c r="K720" i="20"/>
  <c r="L719" i="20"/>
  <c r="O713" i="20"/>
  <c r="P712" i="20"/>
  <c r="L720" i="20"/>
  <c r="K721" i="20"/>
  <c r="O714" i="20"/>
  <c r="P713" i="20"/>
  <c r="L721" i="20"/>
  <c r="K722" i="20"/>
  <c r="O715" i="20"/>
  <c r="P714" i="20"/>
  <c r="K723" i="20"/>
  <c r="L722" i="20"/>
  <c r="O716" i="20"/>
  <c r="P715" i="20"/>
  <c r="L723" i="20"/>
  <c r="K724" i="20"/>
  <c r="O717" i="20"/>
  <c r="P716" i="20"/>
  <c r="L724" i="20"/>
  <c r="K725" i="20"/>
  <c r="P717" i="20"/>
  <c r="O718" i="20"/>
  <c r="K726" i="20"/>
  <c r="L725" i="20"/>
  <c r="P718" i="20"/>
  <c r="O719" i="20"/>
  <c r="L726" i="20"/>
  <c r="K727" i="20"/>
  <c r="O720" i="20"/>
  <c r="P719" i="20"/>
  <c r="K728" i="20"/>
  <c r="L727" i="20"/>
  <c r="P720" i="20"/>
  <c r="O721" i="20"/>
  <c r="K729" i="20"/>
  <c r="L728" i="20"/>
  <c r="P721" i="20"/>
  <c r="O722" i="20"/>
  <c r="L729" i="20"/>
  <c r="K730" i="20"/>
  <c r="O723" i="20"/>
  <c r="P722" i="20"/>
  <c r="K731" i="20"/>
  <c r="L730" i="20"/>
  <c r="O724" i="20"/>
  <c r="P723" i="20"/>
  <c r="K732" i="20"/>
  <c r="L731" i="20"/>
  <c r="O725" i="20"/>
  <c r="P724" i="20"/>
  <c r="L732" i="20"/>
  <c r="K733" i="20"/>
  <c r="P725" i="20"/>
  <c r="O726" i="20"/>
  <c r="L733" i="20"/>
  <c r="K734" i="20"/>
  <c r="P726" i="20"/>
  <c r="O727" i="20"/>
  <c r="L734" i="20"/>
  <c r="K735" i="20"/>
  <c r="O728" i="20"/>
  <c r="P727" i="20"/>
  <c r="K736" i="20"/>
  <c r="L735" i="20"/>
  <c r="P728" i="20"/>
  <c r="O729" i="20"/>
  <c r="L736" i="20"/>
  <c r="K737" i="20"/>
  <c r="O730" i="20"/>
  <c r="P729" i="20"/>
  <c r="L737" i="20"/>
  <c r="K738" i="20"/>
  <c r="P730" i="20"/>
  <c r="O731" i="20"/>
  <c r="K739" i="20"/>
  <c r="L738" i="20"/>
  <c r="O732" i="20"/>
  <c r="P731" i="20"/>
  <c r="L739" i="20"/>
  <c r="K740" i="20"/>
  <c r="P732" i="20"/>
  <c r="O733" i="20"/>
  <c r="L740" i="20"/>
  <c r="K741" i="20"/>
  <c r="O734" i="20"/>
  <c r="P733" i="20"/>
  <c r="L741" i="20"/>
  <c r="K742" i="20"/>
  <c r="O735" i="20"/>
  <c r="P734" i="20"/>
  <c r="L742" i="20"/>
  <c r="K743" i="20"/>
  <c r="O736" i="20"/>
  <c r="P735" i="20"/>
  <c r="L743" i="20"/>
  <c r="K744" i="20"/>
  <c r="O737" i="20"/>
  <c r="P736" i="20"/>
  <c r="L744" i="20"/>
  <c r="K745" i="20"/>
  <c r="P737" i="20"/>
  <c r="O738" i="20"/>
  <c r="L745" i="20"/>
  <c r="K746" i="20"/>
  <c r="P738" i="20"/>
  <c r="O739" i="20"/>
  <c r="L746" i="20"/>
  <c r="K747" i="20"/>
  <c r="O740" i="20"/>
  <c r="P739" i="20"/>
  <c r="L747" i="20"/>
  <c r="K748" i="20"/>
  <c r="O741" i="20"/>
  <c r="P740" i="20"/>
  <c r="K749" i="20"/>
  <c r="L748" i="20"/>
  <c r="P741" i="20"/>
  <c r="O742" i="20"/>
  <c r="K750" i="20"/>
  <c r="L749" i="20"/>
  <c r="P742" i="20"/>
  <c r="O743" i="20"/>
  <c r="K751" i="20"/>
  <c r="L750" i="20"/>
  <c r="P743" i="20"/>
  <c r="O744" i="20"/>
  <c r="L751" i="20"/>
  <c r="K752" i="20"/>
  <c r="O745" i="20"/>
  <c r="P744" i="20"/>
  <c r="K753" i="20"/>
  <c r="L752" i="20"/>
  <c r="P745" i="20"/>
  <c r="O746" i="20"/>
  <c r="K754" i="20"/>
  <c r="L753" i="20"/>
  <c r="O747" i="20"/>
  <c r="P746" i="20"/>
  <c r="L754" i="20"/>
  <c r="K755" i="20"/>
  <c r="O748" i="20"/>
  <c r="P747" i="20"/>
  <c r="K756" i="20"/>
  <c r="L755" i="20"/>
  <c r="O749" i="20"/>
  <c r="P748" i="20"/>
  <c r="L756" i="20"/>
  <c r="K757" i="20"/>
  <c r="O750" i="20"/>
  <c r="P749" i="20"/>
  <c r="L757" i="20"/>
  <c r="K758" i="20"/>
  <c r="P750" i="20"/>
  <c r="O751" i="20"/>
  <c r="K759" i="20"/>
  <c r="L758" i="20"/>
  <c r="O752" i="20"/>
  <c r="P751" i="20"/>
  <c r="L759" i="20"/>
  <c r="K760" i="20"/>
  <c r="O753" i="20"/>
  <c r="P752" i="20"/>
  <c r="K761" i="20"/>
  <c r="L760" i="20"/>
  <c r="O754" i="20"/>
  <c r="P753" i="20"/>
  <c r="K762" i="20"/>
  <c r="L761" i="20"/>
  <c r="O755" i="20"/>
  <c r="P754" i="20"/>
  <c r="K763" i="20"/>
  <c r="L762" i="20"/>
  <c r="O756" i="20"/>
  <c r="P755" i="20"/>
  <c r="L763" i="20"/>
  <c r="K764" i="20"/>
  <c r="O757" i="20"/>
  <c r="P756" i="20"/>
  <c r="L764" i="20"/>
  <c r="K765" i="20"/>
  <c r="P757" i="20"/>
  <c r="O758" i="20"/>
  <c r="K766" i="20"/>
  <c r="L765" i="20"/>
  <c r="P758" i="20"/>
  <c r="O759" i="20"/>
  <c r="K767" i="20"/>
  <c r="L766" i="20"/>
  <c r="P759" i="20"/>
  <c r="O760" i="20"/>
  <c r="L767" i="20"/>
  <c r="K768" i="20"/>
  <c r="O761" i="20"/>
  <c r="P760" i="20"/>
  <c r="K769" i="20"/>
  <c r="L768" i="20"/>
  <c r="O762" i="20"/>
  <c r="P761" i="20"/>
  <c r="K770" i="20"/>
  <c r="L769" i="20"/>
  <c r="O763" i="20"/>
  <c r="P762" i="20"/>
  <c r="L770" i="20"/>
  <c r="K771" i="20"/>
  <c r="P763" i="20"/>
  <c r="O764" i="20"/>
  <c r="L771" i="20"/>
  <c r="K772" i="20"/>
  <c r="P764" i="20"/>
  <c r="O765" i="20"/>
  <c r="L772" i="20"/>
  <c r="K773" i="20"/>
  <c r="P765" i="20"/>
  <c r="O766" i="20"/>
  <c r="K774" i="20"/>
  <c r="L773" i="20"/>
  <c r="P766" i="20"/>
  <c r="O767" i="20"/>
  <c r="K775" i="20"/>
  <c r="L774" i="20"/>
  <c r="P767" i="20"/>
  <c r="O768" i="20"/>
  <c r="L775" i="20"/>
  <c r="K776" i="20"/>
  <c r="O769" i="20"/>
  <c r="P768" i="20"/>
  <c r="L776" i="20"/>
  <c r="K777" i="20"/>
  <c r="P769" i="20"/>
  <c r="O770" i="20"/>
  <c r="K778" i="20"/>
  <c r="L777" i="20"/>
  <c r="O771" i="20"/>
  <c r="P770" i="20"/>
  <c r="K779" i="20"/>
  <c r="L778" i="20"/>
  <c r="O772" i="20"/>
  <c r="P771" i="20"/>
  <c r="L779" i="20"/>
  <c r="K780" i="20"/>
  <c r="O773" i="20"/>
  <c r="P772" i="20"/>
  <c r="L780" i="20"/>
  <c r="K781" i="20"/>
  <c r="O774" i="20"/>
  <c r="P773" i="20"/>
  <c r="K782" i="20"/>
  <c r="L781" i="20"/>
  <c r="P774" i="20"/>
  <c r="O775" i="20"/>
  <c r="K783" i="20"/>
  <c r="L782" i="20"/>
  <c r="O776" i="20"/>
  <c r="P775" i="20"/>
  <c r="K784" i="20"/>
  <c r="L783" i="20"/>
  <c r="O777" i="20"/>
  <c r="P776" i="20"/>
  <c r="K785" i="20"/>
  <c r="L784" i="20"/>
  <c r="O778" i="20"/>
  <c r="P777" i="20"/>
  <c r="K786" i="20"/>
  <c r="L785" i="20"/>
  <c r="O779" i="20"/>
  <c r="P778" i="20"/>
  <c r="K787" i="20"/>
  <c r="L786" i="20"/>
  <c r="P779" i="20"/>
  <c r="O780" i="20"/>
  <c r="K788" i="20"/>
  <c r="L787" i="20"/>
  <c r="O781" i="20"/>
  <c r="P780" i="20"/>
  <c r="K789" i="20"/>
  <c r="L788" i="20"/>
  <c r="P781" i="20"/>
  <c r="O782" i="20"/>
  <c r="K790" i="20"/>
  <c r="L789" i="20"/>
  <c r="O783" i="20"/>
  <c r="P782" i="20"/>
  <c r="L790" i="20"/>
  <c r="K791" i="20"/>
  <c r="O784" i="20"/>
  <c r="P783" i="20"/>
  <c r="L791" i="20"/>
  <c r="K792" i="20"/>
  <c r="P784" i="20"/>
  <c r="O785" i="20"/>
  <c r="K793" i="20"/>
  <c r="L792" i="20"/>
  <c r="O786" i="20"/>
  <c r="P785" i="20"/>
  <c r="L793" i="20"/>
  <c r="K794" i="20"/>
  <c r="O787" i="20"/>
  <c r="P786" i="20"/>
  <c r="K795" i="20"/>
  <c r="L794" i="20"/>
  <c r="P787" i="20"/>
  <c r="O788" i="20"/>
  <c r="K796" i="20"/>
  <c r="L795" i="20"/>
  <c r="O789" i="20"/>
  <c r="P788" i="20"/>
  <c r="L796" i="20"/>
  <c r="K797" i="20"/>
  <c r="O790" i="20"/>
  <c r="P789" i="20"/>
  <c r="K798" i="20"/>
  <c r="L797" i="20"/>
  <c r="P790" i="20"/>
  <c r="O791" i="20"/>
  <c r="K799" i="20"/>
  <c r="L798" i="20"/>
  <c r="P791" i="20"/>
  <c r="O792" i="20"/>
  <c r="K800" i="20"/>
  <c r="L799" i="20"/>
  <c r="P792" i="20"/>
  <c r="O793" i="20"/>
  <c r="K801" i="20"/>
  <c r="L800" i="20"/>
  <c r="O794" i="20"/>
  <c r="P793" i="20"/>
  <c r="L801" i="20"/>
  <c r="K802" i="20"/>
  <c r="O795" i="20"/>
  <c r="P794" i="20"/>
  <c r="L802" i="20"/>
  <c r="K803" i="20"/>
  <c r="P795" i="20"/>
  <c r="O796" i="20"/>
  <c r="K804" i="20"/>
  <c r="L803" i="20"/>
  <c r="P796" i="20"/>
  <c r="O797" i="20"/>
  <c r="L804" i="20"/>
  <c r="K805" i="20"/>
  <c r="P797" i="20"/>
  <c r="O798" i="20"/>
  <c r="K806" i="20"/>
  <c r="L805" i="20"/>
  <c r="P798" i="20"/>
  <c r="O799" i="20"/>
  <c r="K807" i="20"/>
  <c r="L806" i="20"/>
  <c r="P799" i="20"/>
  <c r="O800" i="20"/>
  <c r="L807" i="20"/>
  <c r="K808" i="20"/>
  <c r="P800" i="20"/>
  <c r="O801" i="20"/>
  <c r="L808" i="20"/>
  <c r="K809" i="20"/>
  <c r="P801" i="20"/>
  <c r="O802" i="20"/>
  <c r="K810" i="20"/>
  <c r="L809" i="20"/>
  <c r="O803" i="20"/>
  <c r="P802" i="20"/>
  <c r="K811" i="20"/>
  <c r="L810" i="20"/>
  <c r="P803" i="20"/>
  <c r="O804" i="20"/>
  <c r="K812" i="20"/>
  <c r="L811" i="20"/>
  <c r="O805" i="20"/>
  <c r="P804" i="20"/>
  <c r="K813" i="20"/>
  <c r="L812" i="20"/>
  <c r="P805" i="20"/>
  <c r="O806" i="20"/>
  <c r="L813" i="20"/>
  <c r="K814" i="20"/>
  <c r="O807" i="20"/>
  <c r="P806" i="20"/>
  <c r="L814" i="20"/>
  <c r="K815" i="20"/>
  <c r="O808" i="20"/>
  <c r="P807" i="20"/>
  <c r="K816" i="20"/>
  <c r="L815" i="20"/>
  <c r="P808" i="20"/>
  <c r="O809" i="20"/>
  <c r="K817" i="20"/>
  <c r="L816" i="20"/>
  <c r="O810" i="20"/>
  <c r="P809" i="20"/>
  <c r="K818" i="20"/>
  <c r="L817" i="20"/>
  <c r="O811" i="20"/>
  <c r="P810" i="20"/>
  <c r="L818" i="20"/>
  <c r="K819" i="20"/>
  <c r="O812" i="20"/>
  <c r="P811" i="20"/>
  <c r="K820" i="20"/>
  <c r="L819" i="20"/>
  <c r="O813" i="20"/>
  <c r="P812" i="20"/>
  <c r="K821" i="20"/>
  <c r="L820" i="20"/>
  <c r="P813" i="20"/>
  <c r="O814" i="20"/>
  <c r="K822" i="20"/>
  <c r="L821" i="20"/>
  <c r="P814" i="20"/>
  <c r="O815" i="20"/>
  <c r="K823" i="20"/>
  <c r="L822" i="20"/>
  <c r="P815" i="20"/>
  <c r="O816" i="20"/>
  <c r="L823" i="20"/>
  <c r="K824" i="20"/>
  <c r="P816" i="20"/>
  <c r="O817" i="20"/>
  <c r="L824" i="20"/>
  <c r="K825" i="20"/>
  <c r="O818" i="20"/>
  <c r="P817" i="20"/>
  <c r="K826" i="20"/>
  <c r="L825" i="20"/>
  <c r="O819" i="20"/>
  <c r="P818" i="20"/>
  <c r="L826" i="20"/>
  <c r="K827" i="20"/>
  <c r="O820" i="20"/>
  <c r="P819" i="20"/>
  <c r="L827" i="20"/>
  <c r="K828" i="20"/>
  <c r="P820" i="20"/>
  <c r="O821" i="20"/>
  <c r="K829" i="20"/>
  <c r="L828" i="20"/>
  <c r="O822" i="20"/>
  <c r="P821" i="20"/>
  <c r="K830" i="20"/>
  <c r="L829" i="20"/>
  <c r="P822" i="20"/>
  <c r="O823" i="20"/>
  <c r="L830" i="20"/>
  <c r="K831" i="20"/>
  <c r="O824" i="20"/>
  <c r="P823" i="20"/>
  <c r="L831" i="20"/>
  <c r="K832" i="20"/>
  <c r="P824" i="20"/>
  <c r="O825" i="20"/>
  <c r="K833" i="20"/>
  <c r="L832" i="20"/>
  <c r="O826" i="20"/>
  <c r="P825" i="20"/>
  <c r="L833" i="20"/>
  <c r="K834" i="20"/>
  <c r="O827" i="20"/>
  <c r="P826" i="20"/>
  <c r="K835" i="20"/>
  <c r="L834" i="20"/>
  <c r="O828" i="20"/>
  <c r="P827" i="20"/>
  <c r="K836" i="20"/>
  <c r="L835" i="20"/>
  <c r="O829" i="20"/>
  <c r="P828" i="20"/>
  <c r="K837" i="20"/>
  <c r="L836" i="20"/>
  <c r="P829" i="20"/>
  <c r="O830" i="20"/>
  <c r="L837" i="20"/>
  <c r="K838" i="20"/>
  <c r="O831" i="20"/>
  <c r="P830" i="20"/>
  <c r="L838" i="20"/>
  <c r="K839" i="20"/>
  <c r="P831" i="20"/>
  <c r="O832" i="20"/>
  <c r="K840" i="20"/>
  <c r="L839" i="20"/>
  <c r="P832" i="20"/>
  <c r="O833" i="20"/>
  <c r="L840" i="20"/>
  <c r="K841" i="20"/>
  <c r="O834" i="20"/>
  <c r="P833" i="20"/>
  <c r="L841" i="20"/>
  <c r="K842" i="20"/>
  <c r="P834" i="20"/>
  <c r="O835" i="20"/>
  <c r="K843" i="20"/>
  <c r="L842" i="20"/>
  <c r="P835" i="20"/>
  <c r="O836" i="20"/>
  <c r="K844" i="20"/>
  <c r="L843" i="20"/>
  <c r="P836" i="20"/>
  <c r="O837" i="20"/>
  <c r="L844" i="20"/>
  <c r="K845" i="20"/>
  <c r="O838" i="20"/>
  <c r="P837" i="20"/>
  <c r="K846" i="20"/>
  <c r="L845" i="20"/>
  <c r="P838" i="20"/>
  <c r="O839" i="20"/>
  <c r="K847" i="20"/>
  <c r="L846" i="20"/>
  <c r="P839" i="20"/>
  <c r="O840" i="20"/>
  <c r="K848" i="20"/>
  <c r="L847" i="20"/>
  <c r="P840" i="20"/>
  <c r="O841" i="20"/>
  <c r="L848" i="20"/>
  <c r="K849" i="20"/>
  <c r="P841" i="20"/>
  <c r="O842" i="20"/>
  <c r="L849" i="20"/>
  <c r="K850" i="20"/>
  <c r="O843" i="20"/>
  <c r="P842" i="20"/>
  <c r="K851" i="20"/>
  <c r="L850" i="20"/>
  <c r="P843" i="20"/>
  <c r="O844" i="20"/>
  <c r="K852" i="20"/>
  <c r="L851" i="20"/>
  <c r="P844" i="20"/>
  <c r="O845" i="20"/>
  <c r="K853" i="20"/>
  <c r="L852" i="20"/>
  <c r="O846" i="20"/>
  <c r="P845" i="20"/>
  <c r="L853" i="20"/>
  <c r="K854" i="20"/>
  <c r="P846" i="20"/>
  <c r="O847" i="20"/>
  <c r="K855" i="20"/>
  <c r="L854" i="20"/>
  <c r="O848" i="20"/>
  <c r="P847" i="20"/>
  <c r="K856" i="20"/>
  <c r="L855" i="20"/>
  <c r="P848" i="20"/>
  <c r="O849" i="20"/>
  <c r="K857" i="20"/>
  <c r="L856" i="20"/>
  <c r="O850" i="20"/>
  <c r="P849" i="20"/>
  <c r="K858" i="20"/>
  <c r="L857" i="20"/>
  <c r="O851" i="20"/>
  <c r="P850" i="20"/>
  <c r="K859" i="20"/>
  <c r="L858" i="20"/>
  <c r="P851" i="20"/>
  <c r="O852" i="20"/>
  <c r="K860" i="20"/>
  <c r="L859" i="20"/>
  <c r="P852" i="20"/>
  <c r="O853" i="20"/>
  <c r="K861" i="20"/>
  <c r="L860" i="20"/>
  <c r="O854" i="20"/>
  <c r="P853" i="20"/>
  <c r="L861" i="20"/>
  <c r="K862" i="20"/>
  <c r="O855" i="20"/>
  <c r="P854" i="20"/>
  <c r="K863" i="20"/>
  <c r="L862" i="20"/>
  <c r="O856" i="20"/>
  <c r="P855" i="20"/>
  <c r="K864" i="20"/>
  <c r="L863" i="20"/>
  <c r="P856" i="20"/>
  <c r="O857" i="20"/>
  <c r="L864" i="20"/>
  <c r="K865" i="20"/>
  <c r="P857" i="20"/>
  <c r="O858" i="20"/>
  <c r="L865" i="20"/>
  <c r="K866" i="20"/>
  <c r="O859" i="20"/>
  <c r="P858" i="20"/>
  <c r="K867" i="20"/>
  <c r="L866" i="20"/>
  <c r="P859" i="20"/>
  <c r="O860" i="20"/>
  <c r="L867" i="20"/>
  <c r="K868" i="20"/>
  <c r="P860" i="20"/>
  <c r="O861" i="20"/>
  <c r="K869" i="20"/>
  <c r="L868" i="20"/>
  <c r="P861" i="20"/>
  <c r="O862" i="20"/>
  <c r="K870" i="20"/>
  <c r="L869" i="20"/>
  <c r="O863" i="20"/>
  <c r="P862" i="20"/>
  <c r="K871" i="20"/>
  <c r="L870" i="20"/>
  <c r="O864" i="20"/>
  <c r="P863" i="20"/>
  <c r="L871" i="20"/>
  <c r="K872" i="20"/>
  <c r="P864" i="20"/>
  <c r="O865" i="20"/>
  <c r="K873" i="20"/>
  <c r="L872" i="20"/>
  <c r="O866" i="20"/>
  <c r="P865" i="20"/>
  <c r="L873" i="20"/>
  <c r="K874" i="20"/>
  <c r="P866" i="20"/>
  <c r="O867" i="20"/>
  <c r="L874" i="20"/>
  <c r="K875" i="20"/>
  <c r="P867" i="20"/>
  <c r="O868" i="20"/>
  <c r="K876" i="20"/>
  <c r="L875" i="20"/>
  <c r="O869" i="20"/>
  <c r="P868" i="20"/>
  <c r="L876" i="20"/>
  <c r="K877" i="20"/>
  <c r="O870" i="20"/>
  <c r="P869" i="20"/>
  <c r="K878" i="20"/>
  <c r="L877" i="20"/>
  <c r="P870" i="20"/>
  <c r="O871" i="20"/>
  <c r="L878" i="20"/>
  <c r="K879" i="20"/>
  <c r="P871" i="20"/>
  <c r="O872" i="20"/>
  <c r="K880" i="20"/>
  <c r="L879" i="20"/>
  <c r="O873" i="20"/>
  <c r="P872" i="20"/>
  <c r="K881" i="20"/>
  <c r="L880" i="20"/>
  <c r="O874" i="20"/>
  <c r="P873" i="20"/>
  <c r="L881" i="20"/>
  <c r="K882" i="20"/>
  <c r="P874" i="20"/>
  <c r="O875" i="20"/>
  <c r="K883" i="20"/>
  <c r="L882" i="20"/>
  <c r="O876" i="20"/>
  <c r="P875" i="20"/>
  <c r="L883" i="20"/>
  <c r="K884" i="20"/>
  <c r="P876" i="20"/>
  <c r="O877" i="20"/>
  <c r="K885" i="20"/>
  <c r="L884" i="20"/>
  <c r="P877" i="20"/>
  <c r="O878" i="20"/>
  <c r="L885" i="20"/>
  <c r="K886" i="20"/>
  <c r="P878" i="20"/>
  <c r="O879" i="20"/>
  <c r="L886" i="20"/>
  <c r="K887" i="20"/>
  <c r="O880" i="20"/>
  <c r="P879" i="20"/>
  <c r="K888" i="20"/>
  <c r="L887" i="20"/>
  <c r="O881" i="20"/>
  <c r="P880" i="20"/>
  <c r="L888" i="20"/>
  <c r="K889" i="20"/>
  <c r="P881" i="20"/>
  <c r="O882" i="20"/>
  <c r="L889" i="20"/>
  <c r="K890" i="20"/>
  <c r="O883" i="20"/>
  <c r="P882" i="20"/>
  <c r="K891" i="20"/>
  <c r="L890" i="20"/>
  <c r="O884" i="20"/>
  <c r="P883" i="20"/>
  <c r="K892" i="20"/>
  <c r="L891" i="20"/>
  <c r="O885" i="20"/>
  <c r="P884" i="20"/>
  <c r="L892" i="20"/>
  <c r="K893" i="20"/>
  <c r="O886" i="20"/>
  <c r="P885" i="20"/>
  <c r="L893" i="20"/>
  <c r="K894" i="20"/>
  <c r="O887" i="20"/>
  <c r="P886" i="20"/>
  <c r="L894" i="20"/>
  <c r="K895" i="20"/>
  <c r="O888" i="20"/>
  <c r="P887" i="20"/>
  <c r="K896" i="20"/>
  <c r="L895" i="20"/>
  <c r="O889" i="20"/>
  <c r="P888" i="20"/>
  <c r="L896" i="20"/>
  <c r="K897" i="20"/>
  <c r="O890" i="20"/>
  <c r="P889" i="20"/>
  <c r="K898" i="20"/>
  <c r="L897" i="20"/>
  <c r="O891" i="20"/>
  <c r="P890" i="20"/>
  <c r="K899" i="20"/>
  <c r="L898" i="20"/>
  <c r="O892" i="20"/>
  <c r="P891" i="20"/>
  <c r="L899" i="20"/>
  <c r="K900" i="20"/>
  <c r="P892" i="20"/>
  <c r="O893" i="20"/>
  <c r="L900" i="20"/>
  <c r="K901" i="20"/>
  <c r="O894" i="20"/>
  <c r="P893" i="20"/>
  <c r="L901" i="20"/>
  <c r="K902" i="20"/>
  <c r="P894" i="20"/>
  <c r="O895" i="20"/>
  <c r="L902" i="20"/>
  <c r="K903" i="20"/>
  <c r="P895" i="20"/>
  <c r="O896" i="20"/>
  <c r="L903" i="20"/>
  <c r="K904" i="20"/>
  <c r="O897" i="20"/>
  <c r="P896" i="20"/>
  <c r="K905" i="20"/>
  <c r="L904" i="20"/>
  <c r="O898" i="20"/>
  <c r="P897" i="20"/>
  <c r="L905" i="20"/>
  <c r="K906" i="20"/>
  <c r="P898" i="20"/>
  <c r="O899" i="20"/>
  <c r="K907" i="20"/>
  <c r="L906" i="20"/>
  <c r="P899" i="20"/>
  <c r="O900" i="20"/>
  <c r="K908" i="20"/>
  <c r="L907" i="20"/>
  <c r="P900" i="20"/>
  <c r="O901" i="20"/>
  <c r="L908" i="20"/>
  <c r="K909" i="20"/>
  <c r="O902" i="20"/>
  <c r="P901" i="20"/>
  <c r="L909" i="20"/>
  <c r="K910" i="20"/>
  <c r="P902" i="20"/>
  <c r="O903" i="20"/>
  <c r="L910" i="20"/>
  <c r="K911" i="20"/>
  <c r="P903" i="20"/>
  <c r="O904" i="20"/>
  <c r="K912" i="20"/>
  <c r="L911" i="20"/>
  <c r="P904" i="20"/>
  <c r="O905" i="20"/>
  <c r="L912" i="20"/>
  <c r="K913" i="20"/>
  <c r="O906" i="20"/>
  <c r="P905" i="20"/>
  <c r="L913" i="20"/>
  <c r="K914" i="20"/>
  <c r="O907" i="20"/>
  <c r="P906" i="20"/>
  <c r="K915" i="20"/>
  <c r="L914" i="20"/>
  <c r="P907" i="20"/>
  <c r="O908" i="20"/>
  <c r="K916" i="20"/>
  <c r="L915" i="20"/>
  <c r="P908" i="20"/>
  <c r="O909" i="20"/>
  <c r="K917" i="20"/>
  <c r="L916" i="20"/>
  <c r="P909" i="20"/>
  <c r="O910" i="20"/>
  <c r="K918" i="20"/>
  <c r="L917" i="20"/>
  <c r="P910" i="20"/>
  <c r="O911" i="20"/>
  <c r="L918" i="20"/>
  <c r="K919" i="20"/>
  <c r="O912" i="20"/>
  <c r="P911" i="20"/>
  <c r="L919" i="20"/>
  <c r="K920" i="20"/>
  <c r="P912" i="20"/>
  <c r="O913" i="20"/>
  <c r="L920" i="20"/>
  <c r="K921" i="20"/>
  <c r="P913" i="20"/>
  <c r="O914" i="20"/>
  <c r="K922" i="20"/>
  <c r="L921" i="20"/>
  <c r="O915" i="20"/>
  <c r="P914" i="20"/>
  <c r="L922" i="20"/>
  <c r="K923" i="20"/>
  <c r="P915" i="20"/>
  <c r="O916" i="20"/>
  <c r="L923" i="20"/>
  <c r="K924" i="20"/>
  <c r="P916" i="20"/>
  <c r="O917" i="20"/>
  <c r="L924" i="20"/>
  <c r="K925" i="20"/>
  <c r="O918" i="20"/>
  <c r="P917" i="20"/>
  <c r="K926" i="20"/>
  <c r="L925" i="20"/>
  <c r="P918" i="20"/>
  <c r="O919" i="20"/>
  <c r="L926" i="20"/>
  <c r="K927" i="20"/>
  <c r="P919" i="20"/>
  <c r="O920" i="20"/>
  <c r="L927" i="20"/>
  <c r="K928" i="20"/>
  <c r="P920" i="20"/>
  <c r="O921" i="20"/>
  <c r="L928" i="20"/>
  <c r="K929" i="20"/>
  <c r="P921" i="20"/>
  <c r="O922" i="20"/>
  <c r="L929" i="20"/>
  <c r="K930" i="20"/>
  <c r="P922" i="20"/>
  <c r="O923" i="20"/>
  <c r="L930" i="20"/>
  <c r="K931" i="20"/>
  <c r="P923" i="20"/>
  <c r="O924" i="20"/>
  <c r="K932" i="20"/>
  <c r="L931" i="20"/>
  <c r="O925" i="20"/>
  <c r="P924" i="20"/>
  <c r="K933" i="20"/>
  <c r="L932" i="20"/>
  <c r="P925" i="20"/>
  <c r="O926" i="20"/>
  <c r="L933" i="20"/>
  <c r="K934" i="20"/>
  <c r="O927" i="20"/>
  <c r="P926" i="20"/>
  <c r="K935" i="20"/>
  <c r="L934" i="20"/>
  <c r="P927" i="20"/>
  <c r="O928" i="20"/>
  <c r="L935" i="20"/>
  <c r="K936" i="20"/>
  <c r="O929" i="20"/>
  <c r="P928" i="20"/>
  <c r="L936" i="20"/>
  <c r="K937" i="20"/>
  <c r="P929" i="20"/>
  <c r="O930" i="20"/>
  <c r="K938" i="20"/>
  <c r="L937" i="20"/>
  <c r="O931" i="20"/>
  <c r="P930" i="20"/>
  <c r="K939" i="20"/>
  <c r="L938" i="20"/>
  <c r="O932" i="20"/>
  <c r="P931" i="20"/>
  <c r="L939" i="20"/>
  <c r="K940" i="20"/>
  <c r="P932" i="20"/>
  <c r="O933" i="20"/>
  <c r="L940" i="20"/>
  <c r="K941" i="20"/>
  <c r="P933" i="20"/>
  <c r="O934" i="20"/>
  <c r="K942" i="20"/>
  <c r="L941" i="20"/>
  <c r="P934" i="20"/>
  <c r="O935" i="20"/>
  <c r="K943" i="20"/>
  <c r="L942" i="20"/>
  <c r="O936" i="20"/>
  <c r="P935" i="20"/>
  <c r="K944" i="20"/>
  <c r="L943" i="20"/>
  <c r="O937" i="20"/>
  <c r="P936" i="20"/>
  <c r="L944" i="20"/>
  <c r="K945" i="20"/>
  <c r="O938" i="20"/>
  <c r="P937" i="20"/>
  <c r="L945" i="20"/>
  <c r="K946" i="20"/>
  <c r="O939" i="20"/>
  <c r="P938" i="20"/>
  <c r="K947" i="20"/>
  <c r="L946" i="20"/>
  <c r="P939" i="20"/>
  <c r="O940" i="20"/>
  <c r="K948" i="20"/>
  <c r="L947" i="20"/>
  <c r="O941" i="20"/>
  <c r="P940" i="20"/>
  <c r="K949" i="20"/>
  <c r="L948" i="20"/>
  <c r="O942" i="20"/>
  <c r="P941" i="20"/>
  <c r="K950" i="20"/>
  <c r="L949" i="20"/>
  <c r="P942" i="20"/>
  <c r="O943" i="20"/>
  <c r="L950" i="20"/>
  <c r="K951" i="20"/>
  <c r="O944" i="20"/>
  <c r="P943" i="20"/>
  <c r="L951" i="20"/>
  <c r="K952" i="20"/>
  <c r="P944" i="20"/>
  <c r="O945" i="20"/>
  <c r="L952" i="20"/>
  <c r="K953" i="20"/>
  <c r="O946" i="20"/>
  <c r="P945" i="20"/>
  <c r="K954" i="20"/>
  <c r="L953" i="20"/>
  <c r="P946" i="20"/>
  <c r="O947" i="20"/>
  <c r="L954" i="20"/>
  <c r="K955" i="20"/>
  <c r="P947" i="20"/>
  <c r="O948" i="20"/>
  <c r="K956" i="20"/>
  <c r="L955" i="20"/>
  <c r="P948" i="20"/>
  <c r="O949" i="20"/>
  <c r="K957" i="20"/>
  <c r="L956" i="20"/>
  <c r="P949" i="20"/>
  <c r="O950" i="20"/>
  <c r="L957" i="20"/>
  <c r="K958" i="20"/>
  <c r="O951" i="20"/>
  <c r="P950" i="20"/>
  <c r="L958" i="20"/>
  <c r="K959" i="20"/>
  <c r="O952" i="20"/>
  <c r="P951" i="20"/>
  <c r="K960" i="20"/>
  <c r="L959" i="20"/>
  <c r="P952" i="20"/>
  <c r="O953" i="20"/>
  <c r="K961" i="20"/>
  <c r="L960" i="20"/>
  <c r="O954" i="20"/>
  <c r="P953" i="20"/>
  <c r="K962" i="20"/>
  <c r="L961" i="20"/>
  <c r="O955" i="20"/>
  <c r="P954" i="20"/>
  <c r="L962" i="20"/>
  <c r="K963" i="20"/>
  <c r="P955" i="20"/>
  <c r="O956" i="20"/>
  <c r="L963" i="20"/>
  <c r="K964" i="20"/>
  <c r="P956" i="20"/>
  <c r="O957" i="20"/>
  <c r="K965" i="20"/>
  <c r="L964" i="20"/>
  <c r="O958" i="20"/>
  <c r="P957" i="20"/>
  <c r="L965" i="20"/>
  <c r="K966" i="20"/>
  <c r="P958" i="20"/>
  <c r="O959" i="20"/>
  <c r="K967" i="20"/>
  <c r="L966" i="20"/>
  <c r="P959" i="20"/>
  <c r="O960" i="20"/>
  <c r="K968" i="20"/>
  <c r="L967" i="20"/>
  <c r="O961" i="20"/>
  <c r="P960" i="20"/>
  <c r="L968" i="20"/>
  <c r="K969" i="20"/>
  <c r="P961" i="20"/>
  <c r="O962" i="20"/>
  <c r="L969" i="20"/>
  <c r="K970" i="20"/>
  <c r="O963" i="20"/>
  <c r="P962" i="20"/>
  <c r="L970" i="20"/>
  <c r="K971" i="20"/>
  <c r="O964" i="20"/>
  <c r="P963" i="20"/>
  <c r="L971" i="20"/>
  <c r="K972" i="20"/>
  <c r="O965" i="20"/>
  <c r="P964" i="20"/>
  <c r="K973" i="20"/>
  <c r="L972" i="20"/>
  <c r="P965" i="20"/>
  <c r="O966" i="20"/>
  <c r="L973" i="20"/>
  <c r="K974" i="20"/>
  <c r="P966" i="20"/>
  <c r="O967" i="20"/>
  <c r="L974" i="20"/>
  <c r="K975" i="20"/>
  <c r="P967" i="20"/>
  <c r="O968" i="20"/>
  <c r="L975" i="20"/>
  <c r="K976" i="20"/>
  <c r="O969" i="20"/>
  <c r="P968" i="20"/>
  <c r="L976" i="20"/>
  <c r="K977" i="20"/>
  <c r="O970" i="20"/>
  <c r="P969" i="20"/>
  <c r="K978" i="20"/>
  <c r="L977" i="20"/>
  <c r="O971" i="20"/>
  <c r="P970" i="20"/>
  <c r="K979" i="20"/>
  <c r="L978" i="20"/>
  <c r="P971" i="20"/>
  <c r="O972" i="20"/>
  <c r="K980" i="20"/>
  <c r="L979" i="20"/>
  <c r="P972" i="20"/>
  <c r="O973" i="20"/>
  <c r="L980" i="20"/>
  <c r="K981" i="20"/>
  <c r="O974" i="20"/>
  <c r="P973" i="20"/>
  <c r="K982" i="20"/>
  <c r="L981" i="20"/>
  <c r="O975" i="20"/>
  <c r="P974" i="20"/>
  <c r="L982" i="20"/>
  <c r="K983" i="20"/>
  <c r="P975" i="20"/>
  <c r="O976" i="20"/>
  <c r="K984" i="20"/>
  <c r="L983" i="20"/>
  <c r="O977" i="20"/>
  <c r="P976" i="20"/>
  <c r="K985" i="20"/>
  <c r="L984" i="20"/>
  <c r="P977" i="20"/>
  <c r="O978" i="20"/>
  <c r="K986" i="20"/>
  <c r="L985" i="20"/>
  <c r="P978" i="20"/>
  <c r="O979" i="20"/>
  <c r="L986" i="20"/>
  <c r="K987" i="20"/>
  <c r="O980" i="20"/>
  <c r="P979" i="20"/>
  <c r="L987" i="20"/>
  <c r="K988" i="20"/>
  <c r="O981" i="20"/>
  <c r="P980" i="20"/>
  <c r="K989" i="20"/>
  <c r="L988" i="20"/>
  <c r="P981" i="20"/>
  <c r="O982" i="20"/>
  <c r="L989" i="20"/>
  <c r="K990" i="20"/>
  <c r="O983" i="20"/>
  <c r="P982" i="20"/>
  <c r="K991" i="20"/>
  <c r="L990" i="20"/>
  <c r="P983" i="20"/>
  <c r="O984" i="20"/>
  <c r="L991" i="20"/>
  <c r="K992" i="20"/>
  <c r="P984" i="20"/>
  <c r="O985" i="20"/>
  <c r="K993" i="20"/>
  <c r="L992" i="20"/>
  <c r="O986" i="20"/>
  <c r="P985" i="20"/>
  <c r="K994" i="20"/>
  <c r="L993" i="20"/>
  <c r="P986" i="20"/>
  <c r="O987" i="20"/>
  <c r="L994" i="20"/>
  <c r="K995" i="20"/>
  <c r="O988" i="20"/>
  <c r="P987" i="20"/>
  <c r="K996" i="20"/>
  <c r="L995" i="20"/>
  <c r="O989" i="20"/>
  <c r="P988" i="20"/>
  <c r="K997" i="20"/>
  <c r="L996" i="20"/>
  <c r="P989" i="20"/>
  <c r="O990" i="20"/>
  <c r="K998" i="20"/>
  <c r="L997" i="20"/>
  <c r="O991" i="20"/>
  <c r="P990" i="20"/>
  <c r="L998" i="20"/>
  <c r="K999" i="20"/>
  <c r="O992" i="20"/>
  <c r="P991" i="20"/>
  <c r="K1000" i="20"/>
  <c r="L999" i="20"/>
  <c r="P992" i="20"/>
  <c r="O993" i="20"/>
  <c r="K1001" i="20"/>
  <c r="L1000" i="20"/>
  <c r="O994" i="20"/>
  <c r="P993" i="20"/>
  <c r="K1002" i="20"/>
  <c r="L1001" i="20"/>
  <c r="P994" i="20"/>
  <c r="O995" i="20"/>
  <c r="L1002" i="20"/>
  <c r="K1003" i="20"/>
  <c r="P995" i="20"/>
  <c r="O996" i="20"/>
  <c r="K1004" i="20"/>
  <c r="L1003" i="20"/>
  <c r="P996" i="20"/>
  <c r="O997" i="20"/>
  <c r="K1005" i="20"/>
  <c r="L1004" i="20"/>
  <c r="P997" i="20"/>
  <c r="O998" i="20"/>
  <c r="L1005" i="20"/>
  <c r="K1006" i="20"/>
  <c r="O999" i="20"/>
  <c r="P998" i="20"/>
  <c r="K1007" i="20"/>
  <c r="L1006" i="20"/>
  <c r="O1000" i="20"/>
  <c r="P999" i="20"/>
  <c r="L1007" i="20"/>
  <c r="K1008" i="20"/>
  <c r="O1001" i="20"/>
  <c r="P1000" i="20"/>
  <c r="L1008" i="20"/>
  <c r="K1009" i="20"/>
  <c r="P1001" i="20"/>
  <c r="O1002" i="20"/>
  <c r="L1009" i="20"/>
  <c r="K1010" i="20"/>
  <c r="O1003" i="20"/>
  <c r="P1002" i="20"/>
  <c r="L1010" i="20"/>
  <c r="K1011" i="20"/>
  <c r="O1004" i="20"/>
  <c r="P1003" i="20"/>
  <c r="L1011" i="20"/>
  <c r="K1012" i="20"/>
  <c r="P1004" i="20"/>
  <c r="O1005" i="20"/>
  <c r="L1012" i="20"/>
  <c r="K1013" i="20"/>
  <c r="O1006" i="20"/>
  <c r="P1005" i="20"/>
  <c r="L1013" i="20"/>
  <c r="K1014" i="20"/>
  <c r="P1006" i="20"/>
  <c r="O1007" i="20"/>
  <c r="K1015" i="20"/>
  <c r="L1014" i="20"/>
  <c r="O1008" i="20"/>
  <c r="P1007" i="20"/>
  <c r="K1016" i="20"/>
  <c r="L1015" i="20"/>
  <c r="O1009" i="20"/>
  <c r="P1008" i="20"/>
  <c r="L1016" i="20"/>
  <c r="K1017" i="20"/>
  <c r="P1009" i="20"/>
  <c r="O1010" i="20"/>
  <c r="K1018" i="20"/>
  <c r="L1017" i="20"/>
  <c r="O1011" i="20"/>
  <c r="P1010" i="20"/>
  <c r="L1018" i="20"/>
  <c r="K1019" i="20"/>
  <c r="O1012" i="20"/>
  <c r="P1011" i="20"/>
  <c r="K1020" i="20"/>
  <c r="L1019" i="20"/>
  <c r="O1013" i="20"/>
  <c r="P1012" i="20"/>
  <c r="K1021" i="20"/>
  <c r="L1020" i="20"/>
  <c r="O1014" i="20"/>
  <c r="P1013" i="20"/>
  <c r="L1021" i="20"/>
  <c r="K1022" i="20"/>
  <c r="O1015" i="20"/>
  <c r="P1014" i="20"/>
  <c r="K1023" i="20"/>
  <c r="L1022" i="20"/>
  <c r="P1015" i="20"/>
  <c r="O1016" i="20"/>
  <c r="K1024" i="20"/>
  <c r="L1023" i="20"/>
  <c r="O1017" i="20"/>
  <c r="P1016" i="20"/>
  <c r="K1025" i="20"/>
  <c r="L1024" i="20"/>
  <c r="P1017" i="20"/>
  <c r="O1018" i="20"/>
  <c r="L1025" i="20"/>
  <c r="K1026" i="20"/>
  <c r="P1018" i="20"/>
  <c r="O1019" i="20"/>
  <c r="L1026" i="20"/>
  <c r="K1027" i="20"/>
  <c r="O1020" i="20"/>
  <c r="P1019" i="20"/>
  <c r="K1028" i="20"/>
  <c r="L1027" i="20"/>
  <c r="O1021" i="20"/>
  <c r="P1020" i="20"/>
  <c r="K1029" i="20"/>
  <c r="L1028" i="20"/>
  <c r="P1021" i="20"/>
  <c r="O1022" i="20"/>
  <c r="L1029" i="20"/>
  <c r="K1030" i="20"/>
  <c r="P1022" i="20"/>
  <c r="O1023" i="20"/>
  <c r="L1030" i="20"/>
  <c r="K1031" i="20"/>
  <c r="O1024" i="20"/>
  <c r="P1023" i="20"/>
  <c r="L1031" i="20"/>
  <c r="K1032" i="20"/>
  <c r="P1024" i="20"/>
  <c r="O1025" i="20"/>
  <c r="K1033" i="20"/>
  <c r="L1032" i="20"/>
  <c r="O1026" i="20"/>
  <c r="P1025" i="20"/>
  <c r="L1033" i="20"/>
  <c r="K1034" i="20"/>
  <c r="O1027" i="20"/>
  <c r="P1026" i="20"/>
  <c r="K1035" i="20"/>
  <c r="L1034" i="20"/>
  <c r="O1028" i="20"/>
  <c r="P1027" i="20"/>
  <c r="L1035" i="20"/>
  <c r="K1036" i="20"/>
  <c r="P1028" i="20"/>
  <c r="O1029" i="20"/>
  <c r="L1036" i="20"/>
  <c r="K1037" i="20"/>
  <c r="P1029" i="20"/>
  <c r="O1030" i="20"/>
  <c r="L1037" i="20"/>
  <c r="K1038" i="20"/>
  <c r="P1030" i="20"/>
  <c r="O1031" i="20"/>
  <c r="K1039" i="20"/>
  <c r="L1038" i="20"/>
  <c r="P1031" i="20"/>
  <c r="O1032" i="20"/>
  <c r="L1039" i="20"/>
  <c r="K1040" i="20"/>
  <c r="P1032" i="20"/>
  <c r="O1033" i="20"/>
  <c r="K1041" i="20"/>
  <c r="L1040" i="20"/>
  <c r="P1033" i="20"/>
  <c r="O1034" i="20"/>
  <c r="K1042" i="20"/>
  <c r="L1041" i="20"/>
  <c r="O1035" i="20"/>
  <c r="P1034" i="20"/>
  <c r="L1042" i="20"/>
  <c r="K1043" i="20"/>
  <c r="P1035" i="20"/>
  <c r="O1036" i="20"/>
  <c r="K1044" i="20"/>
  <c r="L1043" i="20"/>
  <c r="P1036" i="20"/>
  <c r="O1037" i="20"/>
  <c r="L1044" i="20"/>
  <c r="K1045" i="20"/>
  <c r="O1038" i="20"/>
  <c r="P1037" i="20"/>
  <c r="L1045" i="20"/>
  <c r="K1046" i="20"/>
  <c r="P1038" i="20"/>
  <c r="O1039" i="20"/>
  <c r="K1047" i="20"/>
  <c r="L1046" i="20"/>
  <c r="P1039" i="20"/>
  <c r="O1040" i="20"/>
  <c r="L1047" i="20"/>
  <c r="K1048" i="20"/>
  <c r="P1040" i="20"/>
  <c r="O1041" i="20"/>
  <c r="L1048" i="20"/>
  <c r="K1049" i="20"/>
  <c r="O1042" i="20"/>
  <c r="P1041" i="20"/>
  <c r="L1049" i="20"/>
  <c r="K1050" i="20"/>
  <c r="P1042" i="20"/>
  <c r="O1043" i="20"/>
  <c r="K1051" i="20"/>
  <c r="L1050" i="20"/>
  <c r="O1044" i="20"/>
  <c r="P1043" i="20"/>
  <c r="K1052" i="20"/>
  <c r="L1051" i="20"/>
  <c r="O1045" i="20"/>
  <c r="P1044" i="20"/>
  <c r="K1053" i="20"/>
  <c r="L1052" i="20"/>
  <c r="O1046" i="20"/>
  <c r="P1045" i="20"/>
  <c r="K1054" i="20"/>
  <c r="L1053" i="20"/>
  <c r="P1046" i="20"/>
  <c r="O1047" i="20"/>
  <c r="K1055" i="20"/>
  <c r="L1054" i="20"/>
  <c r="O1048" i="20"/>
  <c r="P1047" i="20"/>
  <c r="L1055" i="20"/>
  <c r="K1056" i="20"/>
  <c r="P1048" i="20"/>
  <c r="O1049" i="20"/>
  <c r="K1057" i="20"/>
  <c r="L1056" i="20"/>
  <c r="P1049" i="20"/>
  <c r="O1050" i="20"/>
  <c r="K1058" i="20"/>
  <c r="L1057" i="20"/>
  <c r="O1051" i="20"/>
  <c r="P1050" i="20"/>
  <c r="K1059" i="20"/>
  <c r="L1058" i="20"/>
  <c r="O1052" i="20"/>
  <c r="P1051" i="20"/>
  <c r="K1060" i="20"/>
  <c r="L1059" i="20"/>
  <c r="O1053" i="20"/>
  <c r="P1052" i="20"/>
  <c r="L1060" i="20"/>
  <c r="K1061" i="20"/>
  <c r="P1053" i="20"/>
  <c r="O1054" i="20"/>
  <c r="K1062" i="20"/>
  <c r="L1061" i="20"/>
  <c r="P1054" i="20"/>
  <c r="O1055" i="20"/>
  <c r="L1062" i="20"/>
  <c r="K1063" i="20"/>
  <c r="O1056" i="20"/>
  <c r="P1055" i="20"/>
  <c r="L1063" i="20"/>
  <c r="K1064" i="20"/>
  <c r="O1057" i="20"/>
  <c r="P1056" i="20"/>
  <c r="K1065" i="20"/>
  <c r="L1064" i="20"/>
  <c r="O1058" i="20"/>
  <c r="P1057" i="20"/>
  <c r="K1066" i="20"/>
  <c r="L1065" i="20"/>
  <c r="O1059" i="20"/>
  <c r="P1058" i="20"/>
  <c r="L1066" i="20"/>
  <c r="K1067" i="20"/>
  <c r="P1059" i="20"/>
  <c r="O1060" i="20"/>
  <c r="K1068" i="20"/>
  <c r="L1067" i="20"/>
  <c r="O1061" i="20"/>
  <c r="P1060" i="20"/>
  <c r="L1068" i="20"/>
  <c r="K1069" i="20"/>
  <c r="O1062" i="20"/>
  <c r="P1061" i="20"/>
  <c r="L1069" i="20"/>
  <c r="K1070" i="20"/>
  <c r="P1062" i="20"/>
  <c r="O1063" i="20"/>
  <c r="K1071" i="20"/>
  <c r="L1070" i="20"/>
  <c r="P1063" i="20"/>
  <c r="O1064" i="20"/>
  <c r="K1072" i="20"/>
  <c r="L1071" i="20"/>
  <c r="P1064" i="20"/>
  <c r="O1065" i="20"/>
  <c r="K1073" i="20"/>
  <c r="L1072" i="20"/>
  <c r="O1066" i="20"/>
  <c r="P1065" i="20"/>
  <c r="K1074" i="20"/>
  <c r="L1073" i="20"/>
  <c r="O1067" i="20"/>
  <c r="P1066" i="20"/>
  <c r="K1075" i="20"/>
  <c r="L1074" i="20"/>
  <c r="P1067" i="20"/>
  <c r="O1068" i="20"/>
  <c r="L1075" i="20"/>
  <c r="K1076" i="20"/>
  <c r="P1068" i="20"/>
  <c r="O1069" i="20"/>
  <c r="K1077" i="20"/>
  <c r="L1076" i="20"/>
  <c r="O1070" i="20"/>
  <c r="P1069" i="20"/>
  <c r="K1078" i="20"/>
  <c r="L1077" i="20"/>
  <c r="P1070" i="20"/>
  <c r="O1071" i="20"/>
  <c r="L1078" i="20"/>
  <c r="K1079" i="20"/>
  <c r="O1072" i="20"/>
  <c r="P1071" i="20"/>
  <c r="L1079" i="20"/>
  <c r="K1080" i="20"/>
  <c r="O1073" i="20"/>
  <c r="P1072" i="20"/>
  <c r="L1080" i="20"/>
  <c r="K1081" i="20"/>
  <c r="O1074" i="20"/>
  <c r="P1073" i="20"/>
  <c r="L1081" i="20"/>
  <c r="K1082" i="20"/>
  <c r="O1075" i="20"/>
  <c r="P1074" i="20"/>
  <c r="K1083" i="20"/>
  <c r="L1082" i="20"/>
  <c r="O1076" i="20"/>
  <c r="P1075" i="20"/>
  <c r="L1083" i="20"/>
  <c r="K1084" i="20"/>
  <c r="P1076" i="20"/>
  <c r="O1077" i="20"/>
  <c r="K1085" i="20"/>
  <c r="L1084" i="20"/>
  <c r="O1078" i="20"/>
  <c r="P1077" i="20"/>
  <c r="K1086" i="20"/>
  <c r="L1085" i="20"/>
  <c r="P1078" i="20"/>
  <c r="O1079" i="20"/>
  <c r="K1087" i="20"/>
  <c r="L1086" i="20"/>
  <c r="O1080" i="20"/>
  <c r="P1079" i="20"/>
  <c r="K1088" i="20"/>
  <c r="L1087" i="20"/>
  <c r="P1080" i="20"/>
  <c r="O1081" i="20"/>
  <c r="K1089" i="20"/>
  <c r="L1088" i="20"/>
  <c r="P1081" i="20"/>
  <c r="O1082" i="20"/>
  <c r="K1090" i="20"/>
  <c r="L1089" i="20"/>
  <c r="O1083" i="20"/>
  <c r="P1082" i="20"/>
  <c r="K1091" i="20"/>
  <c r="L1090" i="20"/>
  <c r="P1083" i="20"/>
  <c r="O1084" i="20"/>
  <c r="L1091" i="20"/>
  <c r="K1092" i="20"/>
  <c r="P1084" i="20"/>
  <c r="O1085" i="20"/>
  <c r="L1092" i="20"/>
  <c r="K1093" i="20"/>
  <c r="P1085" i="20"/>
  <c r="O1086" i="20"/>
  <c r="K1094" i="20"/>
  <c r="L1093" i="20"/>
  <c r="O1087" i="20"/>
  <c r="P1086" i="20"/>
  <c r="K1095" i="20"/>
  <c r="L1094" i="20"/>
  <c r="P1087" i="20"/>
  <c r="O1088" i="20"/>
  <c r="K1096" i="20"/>
  <c r="L1095" i="20"/>
  <c r="O1089" i="20"/>
  <c r="P1088" i="20"/>
  <c r="L1096" i="20"/>
  <c r="K1097" i="20"/>
  <c r="O1090" i="20"/>
  <c r="P1089" i="20"/>
  <c r="K1098" i="20"/>
  <c r="L1097" i="20"/>
  <c r="P1090" i="20"/>
  <c r="O1091" i="20"/>
  <c r="L1098" i="20"/>
  <c r="K1099" i="20"/>
  <c r="P1091" i="20"/>
  <c r="O1092" i="20"/>
  <c r="K1100" i="20"/>
  <c r="L1099" i="20"/>
  <c r="P1092" i="20"/>
  <c r="O1093" i="20"/>
  <c r="K1101" i="20"/>
  <c r="L1100" i="20"/>
  <c r="O1094" i="20"/>
  <c r="P1093" i="20"/>
  <c r="K1102" i="20"/>
  <c r="L1101" i="20"/>
  <c r="O1095" i="20"/>
  <c r="P1094" i="20"/>
  <c r="K1103" i="20"/>
  <c r="L1102" i="20"/>
  <c r="P1095" i="20"/>
  <c r="O1096" i="20"/>
  <c r="L1103" i="20"/>
  <c r="K1104" i="20"/>
  <c r="O1097" i="20"/>
  <c r="P1096" i="20"/>
  <c r="L1104" i="20"/>
  <c r="K1105" i="20"/>
  <c r="O1098" i="20"/>
  <c r="P1097" i="20"/>
  <c r="K1106" i="20"/>
  <c r="L1105" i="20"/>
  <c r="O1099" i="20"/>
  <c r="P1098" i="20"/>
  <c r="L1106" i="20"/>
  <c r="K1107" i="20"/>
  <c r="O1100" i="20"/>
  <c r="P1099" i="20"/>
  <c r="L1107" i="20"/>
  <c r="K1108" i="20"/>
  <c r="P1100" i="20"/>
  <c r="O1101" i="20"/>
  <c r="K1109" i="20"/>
  <c r="L1108" i="20"/>
  <c r="P1101" i="20"/>
  <c r="O1102" i="20"/>
  <c r="K1110" i="20"/>
  <c r="L1109" i="20"/>
  <c r="P1102" i="20"/>
  <c r="O1103" i="20"/>
  <c r="L1110" i="20"/>
  <c r="K1111" i="20"/>
  <c r="O1104" i="20"/>
  <c r="P1103" i="20"/>
  <c r="K1112" i="20"/>
  <c r="L1111" i="20"/>
  <c r="O1105" i="20"/>
  <c r="P1104" i="20"/>
  <c r="K1113" i="20"/>
  <c r="L1112" i="20"/>
  <c r="O1106" i="20"/>
  <c r="P1105" i="20"/>
  <c r="L1113" i="20"/>
  <c r="K1114" i="20"/>
  <c r="P1106" i="20"/>
  <c r="O1107" i="20"/>
  <c r="K1115" i="20"/>
  <c r="L1114" i="20"/>
  <c r="O1108" i="20"/>
  <c r="P1107" i="20"/>
  <c r="K1116" i="20"/>
  <c r="L1115" i="20"/>
  <c r="O1109" i="20"/>
  <c r="P1108" i="20"/>
  <c r="K1117" i="20"/>
  <c r="L1116" i="20"/>
  <c r="O1110" i="20"/>
  <c r="P1109" i="20"/>
  <c r="K1118" i="20"/>
  <c r="L1117" i="20"/>
  <c r="O1111" i="20"/>
  <c r="P1110" i="20"/>
  <c r="L1118" i="20"/>
  <c r="K1119" i="20"/>
  <c r="P1111" i="20"/>
  <c r="O1112" i="20"/>
  <c r="K1120" i="20"/>
  <c r="L1119" i="20"/>
  <c r="O1113" i="20"/>
  <c r="P1112" i="20"/>
  <c r="L1120" i="20"/>
  <c r="K1121" i="20"/>
  <c r="O1114" i="20"/>
  <c r="P1113" i="20"/>
  <c r="L1121" i="20"/>
  <c r="K1122" i="20"/>
  <c r="P1114" i="20"/>
  <c r="O1115" i="20"/>
  <c r="L1122" i="20"/>
  <c r="K1123" i="20"/>
  <c r="O1116" i="20"/>
  <c r="P1115" i="20"/>
  <c r="L1123" i="20"/>
  <c r="K1124" i="20"/>
  <c r="O1117" i="20"/>
  <c r="P1116" i="20"/>
  <c r="K1125" i="20"/>
  <c r="L1124" i="20"/>
  <c r="P1117" i="20"/>
  <c r="O1118" i="20"/>
  <c r="K1126" i="20"/>
  <c r="L1125" i="20"/>
  <c r="O1119" i="20"/>
  <c r="P1118" i="20"/>
  <c r="L1126" i="20"/>
  <c r="K1127" i="20"/>
  <c r="O1120" i="20"/>
  <c r="P1119" i="20"/>
  <c r="L1127" i="20"/>
  <c r="K1128" i="20"/>
  <c r="P1120" i="20"/>
  <c r="O1121" i="20"/>
  <c r="K1129" i="20"/>
  <c r="L1128" i="20"/>
  <c r="P1121" i="20"/>
  <c r="O1122" i="20"/>
  <c r="L1129" i="20"/>
  <c r="K1130" i="20"/>
  <c r="P1122" i="20"/>
  <c r="O1123" i="20"/>
  <c r="K1131" i="20"/>
  <c r="L1130" i="20"/>
  <c r="P1123" i="20"/>
  <c r="O1124" i="20"/>
  <c r="L1131" i="20"/>
  <c r="K1132" i="20"/>
  <c r="O1125" i="20"/>
  <c r="P1124" i="20"/>
  <c r="K1133" i="20"/>
  <c r="L1132" i="20"/>
  <c r="O1126" i="20"/>
  <c r="P1125" i="20"/>
  <c r="K1134" i="20"/>
  <c r="L1133" i="20"/>
  <c r="P1126" i="20"/>
  <c r="O1127" i="20"/>
  <c r="L1134" i="20"/>
  <c r="K1135" i="20"/>
  <c r="O1128" i="20"/>
  <c r="P1127" i="20"/>
  <c r="L1135" i="20"/>
  <c r="K1136" i="20"/>
  <c r="O1129" i="20"/>
  <c r="P1128" i="20"/>
  <c r="K1137" i="20"/>
  <c r="L1136" i="20"/>
  <c r="O1130" i="20"/>
  <c r="P1129" i="20"/>
  <c r="K1138" i="20"/>
  <c r="L1137" i="20"/>
  <c r="P1130" i="20"/>
  <c r="O1131" i="20"/>
  <c r="K1139" i="20"/>
  <c r="L1138" i="20"/>
  <c r="P1131" i="20"/>
  <c r="O1132" i="20"/>
  <c r="L1139" i="20"/>
  <c r="K1140" i="20"/>
  <c r="P1132" i="20"/>
  <c r="O1133" i="20"/>
  <c r="K1141" i="20"/>
  <c r="L1140" i="20"/>
  <c r="O1134" i="20"/>
  <c r="P1133" i="20"/>
  <c r="L1141" i="20"/>
  <c r="K1142" i="20"/>
  <c r="P1134" i="20"/>
  <c r="O1135" i="20"/>
  <c r="K1143" i="20"/>
  <c r="L1142" i="20"/>
  <c r="P1135" i="20"/>
  <c r="O1136" i="20"/>
  <c r="K1144" i="20"/>
  <c r="L1143" i="20"/>
  <c r="O1137" i="20"/>
  <c r="P1136" i="20"/>
  <c r="L1144" i="20"/>
  <c r="K1145" i="20"/>
  <c r="O1138" i="20"/>
  <c r="P1137" i="20"/>
  <c r="L1145" i="20"/>
  <c r="K1146" i="20"/>
  <c r="P1138" i="20"/>
  <c r="O1139" i="20"/>
  <c r="K1147" i="20"/>
  <c r="L1146" i="20"/>
  <c r="P1139" i="20"/>
  <c r="O1140" i="20"/>
  <c r="L1147" i="20"/>
  <c r="K1148" i="20"/>
  <c r="P1140" i="20"/>
  <c r="O1141" i="20"/>
  <c r="L1148" i="20"/>
  <c r="K1149" i="20"/>
  <c r="O1142" i="20"/>
  <c r="P1141" i="20"/>
  <c r="L1149" i="20"/>
  <c r="K1150" i="20"/>
  <c r="P1142" i="20"/>
  <c r="O1143" i="20"/>
  <c r="L1150" i="20"/>
  <c r="K1151" i="20"/>
  <c r="O1144" i="20"/>
  <c r="P1143" i="20"/>
  <c r="K1152" i="20"/>
  <c r="L1151" i="20"/>
  <c r="P1144" i="20"/>
  <c r="O1145" i="20"/>
  <c r="L1152" i="20"/>
  <c r="K1153" i="20"/>
  <c r="P1145" i="20"/>
  <c r="O1146" i="20"/>
  <c r="L1153" i="20"/>
  <c r="K1154" i="20"/>
  <c r="O1147" i="20"/>
  <c r="P1146" i="20"/>
  <c r="K1155" i="20"/>
  <c r="L1154" i="20"/>
  <c r="P1147" i="20"/>
  <c r="O1148" i="20"/>
  <c r="K1156" i="20"/>
  <c r="L1155" i="20"/>
  <c r="P1148" i="20"/>
  <c r="O1149" i="20"/>
  <c r="K1157" i="20"/>
  <c r="L1156" i="20"/>
  <c r="P1149" i="20"/>
  <c r="O1150" i="20"/>
  <c r="K1158" i="20"/>
  <c r="L1157" i="20"/>
  <c r="O1151" i="20"/>
  <c r="P1150" i="20"/>
  <c r="K1159" i="20"/>
  <c r="L1158" i="20"/>
  <c r="P1151" i="20"/>
  <c r="O1152" i="20"/>
  <c r="L1159" i="20"/>
  <c r="K1160" i="20"/>
  <c r="P1152" i="20"/>
  <c r="O1153" i="20"/>
  <c r="L1160" i="20"/>
  <c r="K1161" i="20"/>
  <c r="O1154" i="20"/>
  <c r="P1153" i="20"/>
  <c r="K1162" i="20"/>
  <c r="L1161" i="20"/>
  <c r="O1155" i="20"/>
  <c r="P1154" i="20"/>
  <c r="L1162" i="20"/>
  <c r="K1163" i="20"/>
  <c r="O1156" i="20"/>
  <c r="P1155" i="20"/>
  <c r="K1164" i="20"/>
  <c r="L1163" i="20"/>
  <c r="P1156" i="20"/>
  <c r="O1157" i="20"/>
  <c r="L1164" i="20"/>
  <c r="K1165" i="20"/>
  <c r="P1157" i="20"/>
  <c r="O1158" i="20"/>
  <c r="L1165" i="20"/>
  <c r="K1166" i="20"/>
  <c r="O1159" i="20"/>
  <c r="P1158" i="20"/>
  <c r="L1166" i="20"/>
  <c r="K1167" i="20"/>
  <c r="O1160" i="20"/>
  <c r="P1159" i="20"/>
  <c r="K1168" i="20"/>
  <c r="L1167" i="20"/>
  <c r="O1161" i="20"/>
  <c r="P1160" i="20"/>
  <c r="L1168" i="20"/>
  <c r="K1169" i="20"/>
  <c r="O1162" i="20"/>
  <c r="P1161" i="20"/>
  <c r="L1169" i="20"/>
  <c r="K1170" i="20"/>
  <c r="O1163" i="20"/>
  <c r="P1162" i="20"/>
  <c r="L1170" i="20"/>
  <c r="K1171" i="20"/>
  <c r="O1164" i="20"/>
  <c r="P1163" i="20"/>
  <c r="K1172" i="20"/>
  <c r="L1171" i="20"/>
  <c r="O1165" i="20"/>
  <c r="P1164" i="20"/>
  <c r="L1172" i="20"/>
  <c r="K1173" i="20"/>
  <c r="O1166" i="20"/>
  <c r="P1165" i="20"/>
  <c r="K1174" i="20"/>
  <c r="L1173" i="20"/>
  <c r="P1166" i="20"/>
  <c r="O1167" i="20"/>
  <c r="L1174" i="20"/>
  <c r="K1175" i="20"/>
  <c r="P1167" i="20"/>
  <c r="O1168" i="20"/>
  <c r="L1175" i="20"/>
  <c r="K1176" i="20"/>
  <c r="O1169" i="20"/>
  <c r="P1168" i="20"/>
  <c r="L1176" i="20"/>
  <c r="K1177" i="20"/>
  <c r="P1169" i="20"/>
  <c r="O1170" i="20"/>
  <c r="L1177" i="20"/>
  <c r="K1178" i="20"/>
  <c r="O1171" i="20"/>
  <c r="P1170" i="20"/>
  <c r="L1178" i="20"/>
  <c r="K1179" i="20"/>
  <c r="O1172" i="20"/>
  <c r="P1171" i="20"/>
  <c r="K1180" i="20"/>
  <c r="L1179" i="20"/>
  <c r="O1173" i="20"/>
  <c r="P1172" i="20"/>
  <c r="K1181" i="20"/>
  <c r="L1180" i="20"/>
  <c r="O1174" i="20"/>
  <c r="P1173" i="20"/>
  <c r="L1181" i="20"/>
  <c r="K1182" i="20"/>
  <c r="P1174" i="20"/>
  <c r="O1175" i="20"/>
  <c r="K1183" i="20"/>
  <c r="L1182" i="20"/>
  <c r="O1176" i="20"/>
  <c r="P1175" i="20"/>
  <c r="K1184" i="20"/>
  <c r="L1183" i="20"/>
  <c r="P1176" i="20"/>
  <c r="O1177" i="20"/>
  <c r="K1185" i="20"/>
  <c r="L1184" i="20"/>
  <c r="O1178" i="20"/>
  <c r="P1177" i="20"/>
  <c r="L1185" i="20"/>
  <c r="K1186" i="20"/>
  <c r="P1178" i="20"/>
  <c r="O1179" i="20"/>
  <c r="K1187" i="20"/>
  <c r="L1186" i="20"/>
  <c r="P1179" i="20"/>
  <c r="O1180" i="20"/>
  <c r="K1188" i="20"/>
  <c r="L1187" i="20"/>
  <c r="O1181" i="20"/>
  <c r="P1180" i="20"/>
  <c r="L1188" i="20"/>
  <c r="K1189" i="20"/>
  <c r="P1181" i="20"/>
  <c r="O1182" i="20"/>
  <c r="K1190" i="20"/>
  <c r="L1189" i="20"/>
  <c r="O1183" i="20"/>
  <c r="P1182" i="20"/>
  <c r="K1191" i="20"/>
  <c r="L1190" i="20"/>
  <c r="P1183" i="20"/>
  <c r="O1184" i="20"/>
  <c r="K1192" i="20"/>
  <c r="L1191" i="20"/>
  <c r="O1185" i="20"/>
  <c r="P1184" i="20"/>
  <c r="L1192" i="20"/>
  <c r="K1193" i="20"/>
  <c r="P1185" i="20"/>
  <c r="O1186" i="20"/>
  <c r="L1193" i="20"/>
  <c r="K1194" i="20"/>
  <c r="O1187" i="20"/>
  <c r="P1186" i="20"/>
  <c r="L1194" i="20"/>
  <c r="K1195" i="20"/>
  <c r="O1188" i="20"/>
  <c r="P1187" i="20"/>
  <c r="K1196" i="20"/>
  <c r="L1195" i="20"/>
  <c r="O1189" i="20"/>
  <c r="P1188" i="20"/>
  <c r="L1196" i="20"/>
  <c r="K1197" i="20"/>
  <c r="P1189" i="20"/>
  <c r="O1190" i="20"/>
  <c r="L1197" i="20"/>
  <c r="K1198" i="20"/>
  <c r="P1190" i="20"/>
  <c r="O1191" i="20"/>
  <c r="L1198" i="20"/>
  <c r="K1199" i="20"/>
  <c r="P1191" i="20"/>
  <c r="O1192" i="20"/>
  <c r="K1200" i="20"/>
  <c r="L1199" i="20"/>
  <c r="P1192" i="20"/>
  <c r="O1193" i="20"/>
  <c r="K1201" i="20"/>
  <c r="L1200" i="20"/>
  <c r="O1194" i="20"/>
  <c r="P1193" i="20"/>
  <c r="K1202" i="20"/>
  <c r="L1201" i="20"/>
  <c r="O1195" i="20"/>
  <c r="P1194" i="20"/>
  <c r="L1202" i="20"/>
  <c r="K1203" i="20"/>
  <c r="O1196" i="20"/>
  <c r="P1195" i="20"/>
  <c r="L1203" i="20"/>
  <c r="K1204" i="20"/>
  <c r="O1197" i="20"/>
  <c r="P1196" i="20"/>
  <c r="L1204" i="20"/>
  <c r="K1205" i="20"/>
  <c r="O1198" i="20"/>
  <c r="P1197" i="20"/>
  <c r="L1205" i="20"/>
  <c r="K1206" i="20"/>
  <c r="O1199" i="20"/>
  <c r="P1198" i="20"/>
  <c r="L1206" i="20"/>
  <c r="K1207" i="20"/>
  <c r="O1200" i="20"/>
  <c r="P1199" i="20"/>
  <c r="K1208" i="20"/>
  <c r="L1207" i="20"/>
  <c r="O1201" i="20"/>
  <c r="P1200" i="20"/>
  <c r="K1209" i="20"/>
  <c r="L1208" i="20"/>
  <c r="P1201" i="20"/>
  <c r="O1202" i="20"/>
  <c r="K1210" i="20"/>
  <c r="L1209" i="20"/>
  <c r="O1203" i="20"/>
  <c r="P1202" i="20"/>
  <c r="K1211" i="20"/>
  <c r="L1210" i="20"/>
  <c r="O1204" i="20"/>
  <c r="P1203" i="20"/>
  <c r="K1212" i="20"/>
  <c r="L1211" i="20"/>
  <c r="O1205" i="20"/>
  <c r="P1204" i="20"/>
  <c r="K1213" i="20"/>
  <c r="L1212" i="20"/>
  <c r="O1206" i="20"/>
  <c r="P1205" i="20"/>
  <c r="L1213" i="20"/>
  <c r="K1214" i="20"/>
  <c r="P1206" i="20"/>
  <c r="O1207" i="20"/>
  <c r="L1214" i="20"/>
  <c r="K1215" i="20"/>
  <c r="O1208" i="20"/>
  <c r="P1207" i="20"/>
  <c r="L1215" i="20"/>
  <c r="K1216" i="20"/>
  <c r="O1209" i="20"/>
  <c r="P1208" i="20"/>
  <c r="K1217" i="20"/>
  <c r="L1216" i="20"/>
  <c r="P1209" i="20"/>
  <c r="O1210" i="20"/>
  <c r="L1217" i="20"/>
  <c r="K1218" i="20"/>
  <c r="P1210" i="20"/>
  <c r="O1211" i="20"/>
  <c r="K1219" i="20"/>
  <c r="L1218" i="20"/>
  <c r="O1212" i="20"/>
  <c r="P1211" i="20"/>
  <c r="K1220" i="20"/>
  <c r="L1219" i="20"/>
  <c r="O1213" i="20"/>
  <c r="P1212" i="20"/>
  <c r="K1221" i="20"/>
  <c r="L1220" i="20"/>
  <c r="O1214" i="20"/>
  <c r="P1213" i="20"/>
  <c r="L1221" i="20"/>
  <c r="K1222" i="20"/>
  <c r="P1214" i="20"/>
  <c r="O1215" i="20"/>
  <c r="K1223" i="20"/>
  <c r="L1222" i="20"/>
  <c r="O1216" i="20"/>
  <c r="P1215" i="20"/>
  <c r="K1224" i="20"/>
  <c r="L1223" i="20"/>
  <c r="O1217" i="20"/>
  <c r="P1216" i="20"/>
  <c r="K1225" i="20"/>
  <c r="L1224" i="20"/>
  <c r="P1217" i="20"/>
  <c r="O1218" i="20"/>
  <c r="L1225" i="20"/>
  <c r="K1226" i="20"/>
  <c r="P1218" i="20"/>
  <c r="O1219" i="20"/>
  <c r="K1227" i="20"/>
  <c r="L1226" i="20"/>
  <c r="O1220" i="20"/>
  <c r="P1219" i="20"/>
  <c r="K1228" i="20"/>
  <c r="L1227" i="20"/>
  <c r="O1221" i="20"/>
  <c r="P1220" i="20"/>
  <c r="L1228" i="20"/>
  <c r="K1229" i="20"/>
  <c r="P1221" i="20"/>
  <c r="O1222" i="20"/>
  <c r="K1230" i="20"/>
  <c r="L1229" i="20"/>
  <c r="O1223" i="20"/>
  <c r="P1222" i="20"/>
  <c r="L1230" i="20"/>
  <c r="K1231" i="20"/>
  <c r="P1223" i="20"/>
  <c r="O1224" i="20"/>
  <c r="K1232" i="20"/>
  <c r="L1231" i="20"/>
  <c r="P1224" i="20"/>
  <c r="O1225" i="20"/>
  <c r="L1232" i="20"/>
  <c r="K1233" i="20"/>
  <c r="P1225" i="20"/>
  <c r="O1226" i="20"/>
  <c r="L1233" i="20"/>
  <c r="K1234" i="20"/>
  <c r="P1226" i="20"/>
  <c r="O1227" i="20"/>
  <c r="L1234" i="20"/>
  <c r="K1235" i="20"/>
  <c r="P1227" i="20"/>
  <c r="O1228" i="20"/>
  <c r="L1235" i="20"/>
  <c r="K1236" i="20"/>
  <c r="P1228" i="20"/>
  <c r="O1229" i="20"/>
  <c r="L1236" i="20"/>
  <c r="K1237" i="20"/>
  <c r="O1230" i="20"/>
  <c r="P1229" i="20"/>
  <c r="K1238" i="20"/>
  <c r="L1237" i="20"/>
  <c r="P1230" i="20"/>
  <c r="O1231" i="20"/>
  <c r="L1238" i="20"/>
  <c r="K1239" i="20"/>
  <c r="O1232" i="20"/>
  <c r="P1231" i="20"/>
  <c r="K1240" i="20"/>
  <c r="L1239" i="20"/>
  <c r="O1233" i="20"/>
  <c r="P1232" i="20"/>
  <c r="L1240" i="20"/>
  <c r="K1241" i="20"/>
  <c r="P1233" i="20"/>
  <c r="O1234" i="20"/>
  <c r="L1241" i="20"/>
  <c r="K1242" i="20"/>
  <c r="P1234" i="20"/>
  <c r="O1235" i="20"/>
  <c r="K1243" i="20"/>
  <c r="L1242" i="20"/>
  <c r="P1235" i="20"/>
  <c r="O1236" i="20"/>
  <c r="L1243" i="20"/>
  <c r="K1244" i="20"/>
  <c r="P1236" i="20"/>
  <c r="O1237" i="20"/>
  <c r="L1244" i="20"/>
  <c r="K1245" i="20"/>
  <c r="O1238" i="20"/>
  <c r="P1237" i="20"/>
  <c r="K1246" i="20"/>
  <c r="L1245" i="20"/>
  <c r="O1239" i="20"/>
  <c r="P1238" i="20"/>
  <c r="L1246" i="20"/>
  <c r="K1247" i="20"/>
  <c r="O1240" i="20"/>
  <c r="P1239" i="20"/>
  <c r="K1248" i="20"/>
  <c r="L1247" i="20"/>
  <c r="O1241" i="20"/>
  <c r="P1240" i="20"/>
  <c r="K1249" i="20"/>
  <c r="L1248" i="20"/>
  <c r="P1241" i="20"/>
  <c r="O1242" i="20"/>
  <c r="K1250" i="20"/>
  <c r="L1249" i="20"/>
  <c r="P1242" i="20"/>
  <c r="O1243" i="20"/>
  <c r="L1250" i="20"/>
  <c r="K1251" i="20"/>
  <c r="P1243" i="20"/>
  <c r="O1244" i="20"/>
  <c r="L1251" i="20"/>
  <c r="K1252" i="20"/>
  <c r="P1244" i="20"/>
  <c r="O1245" i="20"/>
  <c r="L1252" i="20"/>
  <c r="K1253" i="20"/>
  <c r="O1246" i="20"/>
  <c r="P1245" i="20"/>
  <c r="L1253" i="20"/>
  <c r="K1254" i="20"/>
  <c r="O1247" i="20"/>
  <c r="P1246" i="20"/>
  <c r="K1255" i="20"/>
  <c r="L1254" i="20"/>
  <c r="O1248" i="20"/>
  <c r="P1247" i="20"/>
  <c r="L1255" i="20"/>
  <c r="K1256" i="20"/>
  <c r="O1249" i="20"/>
  <c r="P1248" i="20"/>
  <c r="K1257" i="20"/>
  <c r="L1256" i="20"/>
  <c r="P1249" i="20"/>
  <c r="O1250" i="20"/>
  <c r="K1258" i="20"/>
  <c r="L1257" i="20"/>
  <c r="O1251" i="20"/>
  <c r="P1250" i="20"/>
  <c r="K1259" i="20"/>
  <c r="L1258" i="20"/>
  <c r="P1251" i="20"/>
  <c r="O1252" i="20"/>
  <c r="K1260" i="20"/>
  <c r="L1259" i="20"/>
  <c r="P1252" i="20"/>
  <c r="O1253" i="20"/>
  <c r="L1260" i="20"/>
  <c r="K1261" i="20"/>
  <c r="O1254" i="20"/>
  <c r="P1253" i="20"/>
  <c r="K1262" i="20"/>
  <c r="L1261" i="20"/>
  <c r="O1255" i="20"/>
  <c r="P1254" i="20"/>
  <c r="K1263" i="20"/>
  <c r="L1262" i="20"/>
  <c r="P1255" i="20"/>
  <c r="O1256" i="20"/>
  <c r="L1263" i="20"/>
  <c r="K1264" i="20"/>
  <c r="P1256" i="20"/>
  <c r="O1257" i="20"/>
  <c r="K1265" i="20"/>
  <c r="L1264" i="20"/>
  <c r="P1257" i="20"/>
  <c r="O1258" i="20"/>
  <c r="L1265" i="20"/>
  <c r="K1266" i="20"/>
  <c r="P1258" i="20"/>
  <c r="O1259" i="20"/>
  <c r="L1266" i="20"/>
  <c r="K1267" i="20"/>
  <c r="O1260" i="20"/>
  <c r="P1259" i="20"/>
  <c r="L1267" i="20"/>
  <c r="K1268" i="20"/>
  <c r="P1260" i="20"/>
  <c r="O1261" i="20"/>
  <c r="L1268" i="20"/>
  <c r="K1269" i="20"/>
  <c r="P1261" i="20"/>
  <c r="O1262" i="20"/>
  <c r="K1270" i="20"/>
  <c r="L1269" i="20"/>
  <c r="P1262" i="20"/>
  <c r="O1263" i="20"/>
  <c r="L1270" i="20"/>
  <c r="K1271" i="20"/>
  <c r="O1264" i="20"/>
  <c r="P1263" i="20"/>
  <c r="L1271" i="20"/>
  <c r="K1272" i="20"/>
  <c r="P1264" i="20"/>
  <c r="O1265" i="20"/>
  <c r="L1272" i="20"/>
  <c r="K1273" i="20"/>
  <c r="P1265" i="20"/>
  <c r="O1266" i="20"/>
  <c r="L1273" i="20"/>
  <c r="K1274" i="20"/>
  <c r="P1266" i="20"/>
  <c r="O1267" i="20"/>
  <c r="L1274" i="20"/>
  <c r="K1275" i="20"/>
  <c r="P1267" i="20"/>
  <c r="O1268" i="20"/>
  <c r="K1276" i="20"/>
  <c r="L1275" i="20"/>
  <c r="O1269" i="20"/>
  <c r="P1268" i="20"/>
  <c r="L1276" i="20"/>
  <c r="K1277" i="20"/>
  <c r="P1269" i="20"/>
  <c r="O1270" i="20"/>
  <c r="K1278" i="20"/>
  <c r="L1277" i="20"/>
  <c r="P1270" i="20"/>
  <c r="O1271" i="20"/>
  <c r="K1279" i="20"/>
  <c r="L1278" i="20"/>
  <c r="O1272" i="20"/>
  <c r="P1271" i="20"/>
  <c r="L1279" i="20"/>
  <c r="K1280" i="20"/>
  <c r="P1272" i="20"/>
  <c r="O1273" i="20"/>
  <c r="K1281" i="20"/>
  <c r="L1280" i="20"/>
  <c r="P1273" i="20"/>
  <c r="O1274" i="20"/>
  <c r="L1281" i="20"/>
  <c r="K1282" i="20"/>
  <c r="P1274" i="20"/>
  <c r="O1275" i="20"/>
  <c r="K1283" i="20"/>
  <c r="L1282" i="20"/>
  <c r="O1276" i="20"/>
  <c r="P1275" i="20"/>
  <c r="K1284" i="20"/>
  <c r="L1283" i="20"/>
  <c r="O1277" i="20"/>
  <c r="P1276" i="20"/>
  <c r="K1285" i="20"/>
  <c r="L1284" i="20"/>
  <c r="P1277" i="20"/>
  <c r="O1278" i="20"/>
  <c r="K1286" i="20"/>
  <c r="L1285" i="20"/>
  <c r="P1278" i="20"/>
  <c r="O1279" i="20"/>
  <c r="K1287" i="20"/>
  <c r="L1286" i="20"/>
  <c r="O1280" i="20"/>
  <c r="P1279" i="20"/>
  <c r="L1287" i="20"/>
  <c r="K1288" i="20"/>
  <c r="O1281" i="20"/>
  <c r="P1280" i="20"/>
  <c r="K1289" i="20"/>
  <c r="L1288" i="20"/>
  <c r="P1281" i="20"/>
  <c r="O1282" i="20"/>
  <c r="K1290" i="20"/>
  <c r="L1289" i="20"/>
  <c r="O1283" i="20"/>
  <c r="P1282" i="20"/>
  <c r="K1291" i="20"/>
  <c r="L1290" i="20"/>
  <c r="O1284" i="20"/>
  <c r="P1283" i="20"/>
  <c r="L1291" i="20"/>
  <c r="K1292" i="20"/>
  <c r="O1285" i="20"/>
  <c r="P1284" i="20"/>
  <c r="K1293" i="20"/>
  <c r="L1292" i="20"/>
  <c r="P1285" i="20"/>
  <c r="O1286" i="20"/>
  <c r="K1294" i="20"/>
  <c r="L1293" i="20"/>
  <c r="O1287" i="20"/>
  <c r="P1286" i="20"/>
  <c r="K1295" i="20"/>
  <c r="L1294" i="20"/>
  <c r="O1288" i="20"/>
  <c r="P1287" i="20"/>
  <c r="L1295" i="20"/>
  <c r="K1296" i="20"/>
  <c r="O1289" i="20"/>
  <c r="P1288" i="20"/>
  <c r="L1296" i="20"/>
  <c r="K1297" i="20"/>
  <c r="O1290" i="20"/>
  <c r="P1289" i="20"/>
  <c r="K1298" i="20"/>
  <c r="L1297" i="20"/>
  <c r="P1290" i="20"/>
  <c r="O1291" i="20"/>
  <c r="K1299" i="20"/>
  <c r="L1298" i="20"/>
  <c r="O1292" i="20"/>
  <c r="P1291" i="20"/>
  <c r="L1299" i="20"/>
  <c r="K1300" i="20"/>
  <c r="O1293" i="20"/>
  <c r="P1292" i="20"/>
  <c r="L1300" i="20"/>
  <c r="K1301" i="20"/>
  <c r="P1293" i="20"/>
  <c r="O1294" i="20"/>
  <c r="K1302" i="20"/>
  <c r="L1301" i="20"/>
  <c r="P1294" i="20"/>
  <c r="O1295" i="20"/>
  <c r="L1302" i="20"/>
  <c r="K1303" i="20"/>
  <c r="P1295" i="20"/>
  <c r="O1296" i="20"/>
  <c r="K1304" i="20"/>
  <c r="L1303" i="20"/>
  <c r="O1297" i="20"/>
  <c r="P1296" i="20"/>
  <c r="K1305" i="20"/>
  <c r="L1304" i="20"/>
  <c r="P1297" i="20"/>
  <c r="O1298" i="20"/>
  <c r="L1305" i="20"/>
  <c r="K1306" i="20"/>
  <c r="O1299" i="20"/>
  <c r="P1298" i="20"/>
  <c r="L1306" i="20"/>
  <c r="K1307" i="20"/>
  <c r="O1300" i="20"/>
  <c r="P1299" i="20"/>
  <c r="K1308" i="20"/>
  <c r="L1307" i="20"/>
  <c r="O1301" i="20"/>
  <c r="P1300" i="20"/>
  <c r="K1309" i="20"/>
  <c r="L1308" i="20"/>
  <c r="P1301" i="20"/>
  <c r="O1302" i="20"/>
  <c r="K1310" i="20"/>
  <c r="L1309" i="20"/>
  <c r="P1302" i="20"/>
  <c r="O1303" i="20"/>
  <c r="L1310" i="20"/>
  <c r="K1311" i="20"/>
  <c r="O1304" i="20"/>
  <c r="P1303" i="20"/>
  <c r="K1312" i="20"/>
  <c r="L1311" i="20"/>
  <c r="P1304" i="20"/>
  <c r="O1305" i="20"/>
  <c r="L1312" i="20"/>
  <c r="K1313" i="20"/>
  <c r="O1306" i="20"/>
  <c r="P1305" i="20"/>
  <c r="L1313" i="20"/>
  <c r="K1314" i="20"/>
  <c r="P1306" i="20"/>
  <c r="O1307" i="20"/>
  <c r="L1314" i="20"/>
  <c r="K1315" i="20"/>
  <c r="O1308" i="20"/>
  <c r="P1307" i="20"/>
  <c r="L1315" i="20"/>
  <c r="K1316" i="20"/>
  <c r="O1309" i="20"/>
  <c r="P1308" i="20"/>
  <c r="K1317" i="20"/>
  <c r="L1316" i="20"/>
  <c r="O1310" i="20"/>
  <c r="P1309" i="20"/>
  <c r="K1318" i="20"/>
  <c r="L1317" i="20"/>
  <c r="P1310" i="20"/>
  <c r="O1311" i="20"/>
  <c r="K1319" i="20"/>
  <c r="L1318" i="20"/>
  <c r="P1311" i="20"/>
  <c r="O1312" i="20"/>
  <c r="L1319" i="20"/>
  <c r="K1320" i="20"/>
  <c r="O1313" i="20"/>
  <c r="P1312" i="20"/>
  <c r="K1321" i="20"/>
  <c r="L1320" i="20"/>
  <c r="P1313" i="20"/>
  <c r="O1314" i="20"/>
  <c r="K1322" i="20"/>
  <c r="L1321" i="20"/>
  <c r="P1314" i="20"/>
  <c r="O1315" i="20"/>
  <c r="K1323" i="20"/>
  <c r="L1322" i="20"/>
  <c r="O1316" i="20"/>
  <c r="P1315" i="20"/>
  <c r="L1323" i="20"/>
  <c r="K1324" i="20"/>
  <c r="P1316" i="20"/>
  <c r="O1317" i="20"/>
  <c r="K1325" i="20"/>
  <c r="L1324" i="20"/>
  <c r="O1318" i="20"/>
  <c r="P1317" i="20"/>
  <c r="K1326" i="20"/>
  <c r="L1325" i="20"/>
  <c r="P1318" i="20"/>
  <c r="O1319" i="20"/>
  <c r="K1327" i="20"/>
  <c r="L1326" i="20"/>
  <c r="P1319" i="20"/>
  <c r="O1320" i="20"/>
  <c r="K1328" i="20"/>
  <c r="L1327" i="20"/>
  <c r="P1320" i="20"/>
  <c r="O1321" i="20"/>
  <c r="K1329" i="20"/>
  <c r="L1328" i="20"/>
  <c r="P1321" i="20"/>
  <c r="O1322" i="20"/>
  <c r="L1329" i="20"/>
  <c r="K1330" i="20"/>
  <c r="O1323" i="20"/>
  <c r="P1322" i="20"/>
  <c r="L1330" i="20"/>
  <c r="K1331" i="20"/>
  <c r="P1323" i="20"/>
  <c r="O1324" i="20"/>
  <c r="K1332" i="20"/>
  <c r="L1331" i="20"/>
  <c r="O1325" i="20"/>
  <c r="P1324" i="20"/>
  <c r="L1332" i="20"/>
  <c r="K1333" i="20"/>
  <c r="O1326" i="20"/>
  <c r="P1325" i="20"/>
  <c r="K1334" i="20"/>
  <c r="L1333" i="20"/>
  <c r="P1326" i="20"/>
  <c r="O1327" i="20"/>
  <c r="L1334" i="20"/>
  <c r="K1335" i="20"/>
  <c r="P1327" i="20"/>
  <c r="O1328" i="20"/>
  <c r="K1336" i="20"/>
  <c r="L1335" i="20"/>
  <c r="P1328" i="20"/>
  <c r="O1329" i="20"/>
  <c r="K1337" i="20"/>
  <c r="L1336" i="20"/>
  <c r="P1329" i="20"/>
  <c r="O1330" i="20"/>
  <c r="L1337" i="20"/>
  <c r="K1338" i="20"/>
  <c r="O1331" i="20"/>
  <c r="P1330" i="20"/>
  <c r="K1339" i="20"/>
  <c r="L1338" i="20"/>
  <c r="O1332" i="20"/>
  <c r="P1331" i="20"/>
  <c r="L1339" i="20"/>
  <c r="K1340" i="20"/>
  <c r="O1333" i="20"/>
  <c r="P1332" i="20"/>
  <c r="K1341" i="20"/>
  <c r="L1340" i="20"/>
  <c r="O1334" i="20"/>
  <c r="P1333" i="20"/>
  <c r="L1341" i="20"/>
  <c r="K1342" i="20"/>
  <c r="P1334" i="20"/>
  <c r="O1335" i="20"/>
  <c r="K1343" i="20"/>
  <c r="L1342" i="20"/>
  <c r="P1335" i="20"/>
  <c r="O1336" i="20"/>
  <c r="K1344" i="20"/>
  <c r="L1343" i="20"/>
  <c r="O1337" i="20"/>
  <c r="P1336" i="20"/>
  <c r="L1344" i="20"/>
  <c r="K1345" i="20"/>
  <c r="O1338" i="20"/>
  <c r="P1337" i="20"/>
  <c r="K1346" i="20"/>
  <c r="L1345" i="20"/>
  <c r="P1338" i="20"/>
  <c r="O1339" i="20"/>
  <c r="L1346" i="20"/>
  <c r="K1347" i="20"/>
  <c r="P1339" i="20"/>
  <c r="O1340" i="20"/>
  <c r="K1348" i="20"/>
  <c r="L1347" i="20"/>
  <c r="O1341" i="20"/>
  <c r="P1340" i="20"/>
  <c r="L1348" i="20"/>
  <c r="K1349" i="20"/>
  <c r="P1341" i="20"/>
  <c r="O1342" i="20"/>
  <c r="L1349" i="20"/>
  <c r="K1350" i="20"/>
  <c r="O1343" i="20"/>
  <c r="P1342" i="20"/>
  <c r="K1351" i="20"/>
  <c r="L1350" i="20"/>
  <c r="P1343" i="20"/>
  <c r="O1344" i="20"/>
  <c r="L1351" i="20"/>
  <c r="K1352" i="20"/>
  <c r="P1344" i="20"/>
  <c r="O1345" i="20"/>
  <c r="L1352" i="20"/>
  <c r="K1353" i="20"/>
  <c r="O1346" i="20"/>
  <c r="P1345" i="20"/>
  <c r="K1354" i="20"/>
  <c r="L1353" i="20"/>
  <c r="O1347" i="20"/>
  <c r="P1346" i="20"/>
  <c r="K1355" i="20"/>
  <c r="L1354" i="20"/>
  <c r="O1348" i="20"/>
  <c r="P1347" i="20"/>
  <c r="L1355" i="20"/>
  <c r="K1356" i="20"/>
  <c r="P1348" i="20"/>
  <c r="O1349" i="20"/>
  <c r="L1356" i="20"/>
  <c r="K1357" i="20"/>
  <c r="O1350" i="20"/>
  <c r="P1349" i="20"/>
  <c r="K1358" i="20"/>
  <c r="L1357" i="20"/>
  <c r="P1350" i="20"/>
  <c r="O1351" i="20"/>
  <c r="K1359" i="20"/>
  <c r="L1358" i="20"/>
  <c r="O1352" i="20"/>
  <c r="P1351" i="20"/>
  <c r="L1359" i="20"/>
  <c r="K1360" i="20"/>
  <c r="P1352" i="20"/>
  <c r="O1353" i="20"/>
  <c r="K1361" i="20"/>
  <c r="L1360" i="20"/>
  <c r="P1353" i="20"/>
  <c r="O1354" i="20"/>
  <c r="K1362" i="20"/>
  <c r="L1361" i="20"/>
  <c r="P1354" i="20"/>
  <c r="O1355" i="20"/>
  <c r="L1362" i="20"/>
  <c r="K1363" i="20"/>
  <c r="P1355" i="20"/>
  <c r="O1356" i="20"/>
  <c r="K1364" i="20"/>
  <c r="L1363" i="20"/>
  <c r="O1357" i="20"/>
  <c r="P1356" i="20"/>
  <c r="L1364" i="20"/>
  <c r="K1365" i="20"/>
  <c r="O1358" i="20"/>
  <c r="P1357" i="20"/>
  <c r="L1365" i="20"/>
  <c r="K1366" i="20"/>
  <c r="P1358" i="20"/>
  <c r="O1359" i="20"/>
  <c r="K1367" i="20"/>
  <c r="L1366" i="20"/>
  <c r="P1359" i="20"/>
  <c r="O1360" i="20"/>
  <c r="L1367" i="20"/>
  <c r="K1368" i="20"/>
  <c r="P1360" i="20"/>
  <c r="O1361" i="20"/>
  <c r="L1368" i="20"/>
  <c r="K1369" i="20"/>
  <c r="O1362" i="20"/>
  <c r="P1361" i="20"/>
  <c r="L1369" i="20"/>
  <c r="K1370" i="20"/>
  <c r="O1363" i="20"/>
  <c r="P1362" i="20"/>
  <c r="K1371" i="20"/>
  <c r="L1370" i="20"/>
  <c r="O1364" i="20"/>
  <c r="P1363" i="20"/>
  <c r="K1372" i="20"/>
  <c r="L1371" i="20"/>
  <c r="O1365" i="20"/>
  <c r="P1364" i="20"/>
  <c r="K1373" i="20"/>
  <c r="L1372" i="20"/>
  <c r="P1365" i="20"/>
  <c r="O1366" i="20"/>
  <c r="L1373" i="20"/>
  <c r="K1374" i="20"/>
  <c r="O1367" i="20"/>
  <c r="P1366" i="20"/>
  <c r="L1374" i="20"/>
  <c r="K1375" i="20"/>
  <c r="P1367" i="20"/>
  <c r="O1368" i="20"/>
  <c r="L1375" i="20"/>
  <c r="K1376" i="20"/>
  <c r="O1369" i="20"/>
  <c r="P1368" i="20"/>
  <c r="L1376" i="20"/>
  <c r="K1377" i="20"/>
  <c r="P1369" i="20"/>
  <c r="O1370" i="20"/>
  <c r="L1377" i="20"/>
  <c r="K1378" i="20"/>
  <c r="P1370" i="20"/>
  <c r="O1371" i="20"/>
  <c r="L1378" i="20"/>
  <c r="K1379" i="20"/>
  <c r="O1372" i="20"/>
  <c r="P1371" i="20"/>
  <c r="K1380" i="20"/>
  <c r="L1379" i="20"/>
  <c r="O1373" i="20"/>
  <c r="P1372" i="20"/>
  <c r="L1380" i="20"/>
  <c r="K1381" i="20"/>
  <c r="O1374" i="20"/>
  <c r="P1373" i="20"/>
  <c r="K1382" i="20"/>
  <c r="L1381" i="20"/>
  <c r="O1375" i="20"/>
  <c r="P1374" i="20"/>
  <c r="K1383" i="20"/>
  <c r="L1382" i="20"/>
  <c r="P1375" i="20"/>
  <c r="O1376" i="20"/>
  <c r="L1383" i="20"/>
  <c r="K1384" i="20"/>
  <c r="P1376" i="20"/>
  <c r="O1377" i="20"/>
  <c r="L1384" i="20"/>
  <c r="K1385" i="20"/>
  <c r="O1378" i="20"/>
  <c r="P1377" i="20"/>
  <c r="K1386" i="20"/>
  <c r="L1385" i="20"/>
  <c r="O1379" i="20"/>
  <c r="P1378" i="20"/>
  <c r="L1386" i="20"/>
  <c r="K1387" i="20"/>
  <c r="P1379" i="20"/>
  <c r="O1380" i="20"/>
  <c r="K1388" i="20"/>
  <c r="L1387" i="20"/>
  <c r="O1381" i="20"/>
  <c r="P1380" i="20"/>
  <c r="K1389" i="20"/>
  <c r="L1388" i="20"/>
  <c r="P1381" i="20"/>
  <c r="O1382" i="20"/>
  <c r="L1389" i="20"/>
  <c r="K1390" i="20"/>
  <c r="O1383" i="20"/>
  <c r="P1382" i="20"/>
  <c r="L1390" i="20"/>
  <c r="K1391" i="20"/>
  <c r="O1384" i="20"/>
  <c r="P1383" i="20"/>
  <c r="K1392" i="20"/>
  <c r="L1391" i="20"/>
  <c r="O1385" i="20"/>
  <c r="P1384" i="20"/>
  <c r="L1392" i="20"/>
  <c r="K1393" i="20"/>
  <c r="P1385" i="20"/>
  <c r="O1386" i="20"/>
  <c r="L1393" i="20"/>
  <c r="K1394" i="20"/>
  <c r="P1386" i="20"/>
  <c r="O1387" i="20"/>
  <c r="L1394" i="20"/>
  <c r="K1395" i="20"/>
  <c r="O1388" i="20"/>
  <c r="P1387" i="20"/>
  <c r="K1396" i="20"/>
  <c r="L1395" i="20"/>
  <c r="P1388" i="20"/>
  <c r="O1389" i="20"/>
  <c r="L1396" i="20"/>
  <c r="K1397" i="20"/>
  <c r="O1390" i="20"/>
  <c r="P1389" i="20"/>
  <c r="K1398" i="20"/>
  <c r="L1397" i="20"/>
  <c r="O1391" i="20"/>
  <c r="P1390" i="20"/>
  <c r="L1398" i="20"/>
  <c r="K1399" i="20"/>
  <c r="P1391" i="20"/>
  <c r="O1392" i="20"/>
  <c r="L1399" i="20"/>
  <c r="K1400" i="20"/>
  <c r="P1392" i="20"/>
  <c r="O1393" i="20"/>
  <c r="K1401" i="20"/>
  <c r="L1400" i="20"/>
  <c r="P1393" i="20"/>
  <c r="O1394" i="20"/>
  <c r="L1401" i="20"/>
  <c r="K1402" i="20"/>
  <c r="P1394" i="20"/>
  <c r="O1395" i="20"/>
  <c r="L1402" i="20"/>
  <c r="K1403" i="20"/>
  <c r="O1396" i="20"/>
  <c r="P1395" i="20"/>
  <c r="L1403" i="20"/>
  <c r="K1404" i="20"/>
  <c r="O1397" i="20"/>
  <c r="P1396" i="20"/>
  <c r="K1405" i="20"/>
  <c r="L1404" i="20"/>
  <c r="O1398" i="20"/>
  <c r="P1397" i="20"/>
  <c r="K1406" i="20"/>
  <c r="L1405" i="20"/>
  <c r="O1399" i="20"/>
  <c r="P1398" i="20"/>
  <c r="K1407" i="20"/>
  <c r="L1406" i="20"/>
  <c r="P1399" i="20"/>
  <c r="O1400" i="20"/>
  <c r="L1407" i="20"/>
  <c r="K1408" i="20"/>
  <c r="P1400" i="20"/>
  <c r="O1401" i="20"/>
  <c r="K1409" i="20"/>
  <c r="L1408" i="20"/>
  <c r="O1402" i="20"/>
  <c r="P1401" i="20"/>
  <c r="K1410" i="20"/>
  <c r="L1409" i="20"/>
  <c r="P1402" i="20"/>
  <c r="O1403" i="20"/>
  <c r="K1411" i="20"/>
  <c r="L1410" i="20"/>
  <c r="O1404" i="20"/>
  <c r="P1403" i="20"/>
  <c r="K1412" i="20"/>
  <c r="L1411" i="20"/>
  <c r="O1405" i="20"/>
  <c r="P1404" i="20"/>
  <c r="K1413" i="20"/>
  <c r="L1412" i="20"/>
  <c r="O1406" i="20"/>
  <c r="P1405" i="20"/>
  <c r="K1414" i="20"/>
  <c r="L1413" i="20"/>
  <c r="P1406" i="20"/>
  <c r="O1407" i="20"/>
  <c r="L1414" i="20"/>
  <c r="K1415" i="20"/>
  <c r="O1408" i="20"/>
  <c r="P1407" i="20"/>
  <c r="K1416" i="20"/>
  <c r="L1415" i="20"/>
  <c r="P1408" i="20"/>
  <c r="O1409" i="20"/>
  <c r="L1416" i="20"/>
  <c r="K1417" i="20"/>
  <c r="O1410" i="20"/>
  <c r="P1409" i="20"/>
  <c r="L1417" i="20"/>
  <c r="K1418" i="20"/>
  <c r="P1410" i="20"/>
  <c r="O1411" i="20"/>
  <c r="L1418" i="20"/>
  <c r="K1419" i="20"/>
  <c r="P1411" i="20"/>
  <c r="O1412" i="20"/>
  <c r="L1419" i="20"/>
  <c r="K1420" i="20"/>
  <c r="O1413" i="20"/>
  <c r="P1412" i="20"/>
  <c r="L1420" i="20"/>
  <c r="K1421" i="20"/>
  <c r="O1414" i="20"/>
  <c r="P1413" i="20"/>
  <c r="K1422" i="20"/>
  <c r="L1421" i="20"/>
  <c r="P1414" i="20"/>
  <c r="O1415" i="20"/>
  <c r="K1423" i="20"/>
  <c r="L1422" i="20"/>
  <c r="O1416" i="20"/>
  <c r="P1415" i="20"/>
  <c r="L1423" i="20"/>
  <c r="K1424" i="20"/>
  <c r="P1416" i="20"/>
  <c r="O1417" i="20"/>
  <c r="L1424" i="20"/>
  <c r="K1425" i="20"/>
  <c r="P1417" i="20"/>
  <c r="O1418" i="20"/>
  <c r="L1425" i="20"/>
  <c r="K1426" i="20"/>
  <c r="O1419" i="20"/>
  <c r="P1418" i="20"/>
  <c r="K1427" i="20"/>
  <c r="L1426" i="20"/>
  <c r="O1420" i="20"/>
  <c r="P1419" i="20"/>
  <c r="L1427" i="20"/>
  <c r="K1428" i="20"/>
  <c r="O1421" i="20"/>
  <c r="P1420" i="20"/>
  <c r="L1428" i="20"/>
  <c r="K1429" i="20"/>
  <c r="O1422" i="20"/>
  <c r="P1421" i="20"/>
  <c r="L1429" i="20"/>
  <c r="K1430" i="20"/>
  <c r="P1422" i="20"/>
  <c r="O1423" i="20"/>
  <c r="L1430" i="20"/>
  <c r="K1431" i="20"/>
  <c r="P1423" i="20"/>
  <c r="O1424" i="20"/>
  <c r="L1431" i="20"/>
  <c r="K1432" i="20"/>
  <c r="P1424" i="20"/>
  <c r="O1425" i="20"/>
  <c r="K1433" i="20"/>
  <c r="L1432" i="20"/>
  <c r="O1426" i="20"/>
  <c r="P1425" i="20"/>
  <c r="L1433" i="20"/>
  <c r="K1434" i="20"/>
  <c r="O1427" i="20"/>
  <c r="P1426" i="20"/>
  <c r="L1434" i="20"/>
  <c r="K1435" i="20"/>
  <c r="P1427" i="20"/>
  <c r="O1428" i="20"/>
  <c r="K1436" i="20"/>
  <c r="L1435" i="20"/>
  <c r="O1429" i="20"/>
  <c r="P1428" i="20"/>
  <c r="K1437" i="20"/>
  <c r="L1436" i="20"/>
  <c r="P1429" i="20"/>
  <c r="O1430" i="20"/>
  <c r="L1437" i="20"/>
  <c r="K1438" i="20"/>
  <c r="O1431" i="20"/>
  <c r="P1430" i="20"/>
  <c r="K1439" i="20"/>
  <c r="L1438" i="20"/>
  <c r="O1432" i="20"/>
  <c r="P1431" i="20"/>
  <c r="L1439" i="20"/>
  <c r="K1440" i="20"/>
  <c r="O1433" i="20"/>
  <c r="P1432" i="20"/>
  <c r="L1440" i="20"/>
  <c r="K1441" i="20"/>
  <c r="P1433" i="20"/>
  <c r="O1434" i="20"/>
  <c r="K1442" i="20"/>
  <c r="L1441" i="20"/>
  <c r="P1434" i="20"/>
  <c r="O1435" i="20"/>
  <c r="L1442" i="20"/>
  <c r="K1443" i="20"/>
  <c r="O1436" i="20"/>
  <c r="P1435" i="20"/>
  <c r="L1443" i="20"/>
  <c r="K1444" i="20"/>
  <c r="O1437" i="20"/>
  <c r="P1436" i="20"/>
  <c r="L1444" i="20"/>
  <c r="K1445" i="20"/>
  <c r="P1437" i="20"/>
  <c r="O1438" i="20"/>
  <c r="K1446" i="20"/>
  <c r="L1445" i="20"/>
  <c r="P1438" i="20"/>
  <c r="O1439" i="20"/>
  <c r="K1447" i="20"/>
  <c r="L1446" i="20"/>
  <c r="P1439" i="20"/>
  <c r="O1440" i="20"/>
  <c r="K1448" i="20"/>
  <c r="L1447" i="20"/>
  <c r="O1441" i="20"/>
  <c r="P1440" i="20"/>
  <c r="K1449" i="20"/>
  <c r="L1448" i="20"/>
  <c r="P1441" i="20"/>
  <c r="O1442" i="20"/>
  <c r="L1449" i="20"/>
  <c r="K1450" i="20"/>
  <c r="P1442" i="20"/>
  <c r="O1443" i="20"/>
  <c r="K1451" i="20"/>
  <c r="L1450" i="20"/>
  <c r="P1443" i="20"/>
  <c r="O1444" i="20"/>
  <c r="L1451" i="20"/>
  <c r="K1452" i="20"/>
  <c r="P1444" i="20"/>
  <c r="O1445" i="20"/>
  <c r="L1452" i="20"/>
  <c r="K1453" i="20"/>
  <c r="O1446" i="20"/>
  <c r="P1445" i="20"/>
  <c r="L1453" i="20"/>
  <c r="K1454" i="20"/>
  <c r="P1446" i="20"/>
  <c r="O1447" i="20"/>
  <c r="K1455" i="20"/>
  <c r="L1454" i="20"/>
  <c r="O1448" i="20"/>
  <c r="P1447" i="20"/>
  <c r="L1455" i="20"/>
  <c r="K1456" i="20"/>
  <c r="P1448" i="20"/>
  <c r="O1449" i="20"/>
  <c r="K1457" i="20"/>
  <c r="L1456" i="20"/>
  <c r="O1450" i="20"/>
  <c r="P1449" i="20"/>
  <c r="L1457" i="20"/>
  <c r="K1458" i="20"/>
  <c r="O1451" i="20"/>
  <c r="P1450" i="20"/>
  <c r="K1459" i="20"/>
  <c r="L1458" i="20"/>
  <c r="O1452" i="20"/>
  <c r="P1451" i="20"/>
  <c r="L1459" i="20"/>
  <c r="K1460" i="20"/>
  <c r="O1453" i="20"/>
  <c r="P1452" i="20"/>
  <c r="L1460" i="20"/>
  <c r="K1461" i="20"/>
  <c r="P1453" i="20"/>
  <c r="O1454" i="20"/>
  <c r="L1461" i="20"/>
  <c r="K1462" i="20"/>
  <c r="P1454" i="20"/>
  <c r="O1455" i="20"/>
  <c r="L1462" i="20"/>
  <c r="K1463" i="20"/>
  <c r="P1455" i="20"/>
  <c r="O1456" i="20"/>
  <c r="K1464" i="20"/>
  <c r="L1463" i="20"/>
  <c r="O1457" i="20"/>
  <c r="P1456" i="20"/>
  <c r="L1464" i="20"/>
  <c r="K1465" i="20"/>
  <c r="P1457" i="20"/>
  <c r="O1458" i="20"/>
  <c r="K1466" i="20"/>
  <c r="L1465" i="20"/>
  <c r="O1459" i="20"/>
  <c r="P1458" i="20"/>
  <c r="L1466" i="20"/>
  <c r="K1467" i="20"/>
  <c r="P1459" i="20"/>
  <c r="O1460" i="20"/>
  <c r="K1468" i="20"/>
  <c r="L1467" i="20"/>
  <c r="P1460" i="20"/>
  <c r="O1461" i="20"/>
  <c r="K1469" i="20"/>
  <c r="L1468" i="20"/>
  <c r="P1461" i="20"/>
  <c r="O1462" i="20"/>
  <c r="L1469" i="20"/>
  <c r="K1470" i="20"/>
  <c r="O1463" i="20"/>
  <c r="P1462" i="20"/>
  <c r="L1470" i="20"/>
  <c r="K1471" i="20"/>
  <c r="P1463" i="20"/>
  <c r="O1464" i="20"/>
  <c r="L1471" i="20"/>
  <c r="K1472" i="20"/>
  <c r="P1464" i="20"/>
  <c r="O1465" i="20"/>
  <c r="K1473" i="20"/>
  <c r="L1472" i="20"/>
  <c r="O1466" i="20"/>
  <c r="P1465" i="20"/>
  <c r="K1474" i="20"/>
  <c r="L1473" i="20"/>
  <c r="O1467" i="20"/>
  <c r="P1466" i="20"/>
  <c r="K1475" i="20"/>
  <c r="L1474" i="20"/>
  <c r="P1467" i="20"/>
  <c r="O1468" i="20"/>
  <c r="K1476" i="20"/>
  <c r="L1475" i="20"/>
  <c r="O1469" i="20"/>
  <c r="P1468" i="20"/>
  <c r="L1476" i="20"/>
  <c r="K1477" i="20"/>
  <c r="O1470" i="20"/>
  <c r="P1469" i="20"/>
  <c r="K1478" i="20"/>
  <c r="L1477" i="20"/>
  <c r="P1470" i="20"/>
  <c r="O1471" i="20"/>
  <c r="L1478" i="20"/>
  <c r="K1479" i="20"/>
  <c r="P1471" i="20"/>
  <c r="O1472" i="20"/>
  <c r="L1479" i="20"/>
  <c r="K1480" i="20"/>
  <c r="P1472" i="20"/>
  <c r="O1473" i="20"/>
  <c r="L1480" i="20"/>
  <c r="K1481" i="20"/>
  <c r="O1474" i="20"/>
  <c r="P1473" i="20"/>
  <c r="L1481" i="20"/>
  <c r="K1482" i="20"/>
  <c r="O1475" i="20"/>
  <c r="P1474" i="20"/>
  <c r="K1483" i="20"/>
  <c r="L1482" i="20"/>
  <c r="O1476" i="20"/>
  <c r="P1475" i="20"/>
  <c r="L1483" i="20"/>
  <c r="K1484" i="20"/>
  <c r="P1476" i="20"/>
  <c r="O1477" i="20"/>
  <c r="L1484" i="20"/>
  <c r="K1485" i="20"/>
  <c r="P1477" i="20"/>
  <c r="O1478" i="20"/>
  <c r="K1486" i="20"/>
  <c r="L1485" i="20"/>
  <c r="O1479" i="20"/>
  <c r="P1478" i="20"/>
  <c r="L1486" i="20"/>
  <c r="K1487" i="20"/>
  <c r="P1479" i="20"/>
  <c r="O1480" i="20"/>
  <c r="L1487" i="20"/>
  <c r="K1488" i="20"/>
  <c r="P1480" i="20"/>
  <c r="O1481" i="20"/>
  <c r="L1488" i="20"/>
  <c r="K1489" i="20"/>
  <c r="O1482" i="20"/>
  <c r="P1481" i="20"/>
  <c r="K1490" i="20"/>
  <c r="L1489" i="20"/>
  <c r="O1483" i="20"/>
  <c r="P1482" i="20"/>
  <c r="K1491" i="20"/>
  <c r="L1490" i="20"/>
  <c r="O1484" i="20"/>
  <c r="P1483" i="20"/>
  <c r="K1492" i="20"/>
  <c r="L1491" i="20"/>
  <c r="O1485" i="20"/>
  <c r="P1484" i="20"/>
  <c r="K1493" i="20"/>
  <c r="L1492" i="20"/>
  <c r="O1486" i="20"/>
  <c r="P1485" i="20"/>
  <c r="K1494" i="20"/>
  <c r="L1493" i="20"/>
  <c r="P1486" i="20"/>
  <c r="O1487" i="20"/>
  <c r="K1495" i="20"/>
  <c r="L1494" i="20"/>
  <c r="O1488" i="20"/>
  <c r="P1487" i="20"/>
  <c r="L1495" i="20"/>
  <c r="K1496" i="20"/>
  <c r="O1489" i="20"/>
  <c r="P1488" i="20"/>
  <c r="L1496" i="20"/>
  <c r="K1497" i="20"/>
  <c r="O1490" i="20"/>
  <c r="P1489" i="20"/>
  <c r="K1498" i="20"/>
  <c r="L1497" i="20"/>
  <c r="P1490" i="20"/>
  <c r="O1491" i="20"/>
  <c r="K1499" i="20"/>
  <c r="L1498" i="20"/>
  <c r="O1492" i="20"/>
  <c r="P1491" i="20"/>
  <c r="K1500" i="20"/>
  <c r="L1499" i="20"/>
  <c r="P1492" i="20"/>
  <c r="O1493" i="20"/>
  <c r="K1501" i="20"/>
  <c r="L1500" i="20"/>
  <c r="O1494" i="20"/>
  <c r="P1493" i="20"/>
  <c r="K1502" i="20"/>
  <c r="L1501" i="20"/>
  <c r="P1494" i="20"/>
  <c r="O1495" i="20"/>
  <c r="K1503" i="20"/>
  <c r="L1502" i="20"/>
  <c r="O1496" i="20"/>
  <c r="P1495" i="20"/>
  <c r="L1503" i="20"/>
  <c r="K1504" i="20"/>
  <c r="O1497" i="20"/>
  <c r="P1496" i="20"/>
  <c r="L1504" i="20"/>
  <c r="K1505" i="20"/>
  <c r="O1498" i="20"/>
  <c r="P1497" i="20"/>
  <c r="L1505" i="20"/>
  <c r="K1506" i="20"/>
  <c r="O1499" i="20"/>
  <c r="P1498" i="20"/>
  <c r="K1507" i="20"/>
  <c r="L1506" i="20"/>
  <c r="P1499" i="20"/>
  <c r="O1500" i="20"/>
  <c r="L1507" i="20"/>
  <c r="K1508" i="20"/>
  <c r="P1500" i="20"/>
  <c r="O1501" i="20"/>
  <c r="K1509" i="20"/>
  <c r="L1508" i="20"/>
  <c r="P1501" i="20"/>
  <c r="O1502" i="20"/>
  <c r="L1509" i="20"/>
  <c r="K1510" i="20"/>
  <c r="P1502" i="20"/>
  <c r="O1503" i="20"/>
  <c r="L1510" i="20"/>
  <c r="K1511" i="20"/>
  <c r="O1504" i="20"/>
  <c r="P1503" i="20"/>
  <c r="L1511" i="20"/>
  <c r="K1512" i="20"/>
  <c r="O1505" i="20"/>
  <c r="P1504" i="20"/>
  <c r="L1512" i="20"/>
  <c r="K1513" i="20"/>
  <c r="O1506" i="20"/>
  <c r="P1505" i="20"/>
  <c r="L1513" i="20"/>
  <c r="K1514" i="20"/>
  <c r="P1506" i="20"/>
  <c r="O1507" i="20"/>
  <c r="K1515" i="20"/>
  <c r="L1514" i="20"/>
  <c r="P1507" i="20"/>
  <c r="O1508" i="20"/>
  <c r="K1516" i="20"/>
  <c r="L1515" i="20"/>
  <c r="P1508" i="20"/>
  <c r="O1509" i="20"/>
  <c r="L1516" i="20"/>
  <c r="K1517" i="20"/>
  <c r="O1510" i="20"/>
  <c r="P1509" i="20"/>
  <c r="L1517" i="20"/>
  <c r="K1518" i="20"/>
  <c r="O1511" i="20"/>
  <c r="P1510" i="20"/>
  <c r="K1519" i="20"/>
  <c r="L1519" i="20" s="1"/>
  <c r="L1518" i="20"/>
  <c r="O1512" i="20"/>
  <c r="P1511" i="20"/>
  <c r="P1512" i="20"/>
  <c r="O1513" i="20"/>
  <c r="P1513" i="20"/>
  <c r="O1514" i="20"/>
  <c r="P1514" i="20"/>
  <c r="O1515" i="20"/>
  <c r="P1515" i="20"/>
  <c r="O1516" i="20"/>
  <c r="P1516" i="20"/>
  <c r="O1517" i="20"/>
  <c r="O1518" i="20"/>
  <c r="P1517" i="20"/>
  <c r="P1518" i="20"/>
  <c r="O1519" i="20"/>
  <c r="BA26" i="21" l="1"/>
  <c r="BA62" i="21"/>
  <c r="BA33" i="21"/>
  <c r="BA74" i="21"/>
  <c r="BA71" i="21"/>
  <c r="BA37" i="21"/>
  <c r="AZ36" i="21"/>
  <c r="AZ63" i="21"/>
  <c r="AZ27" i="21"/>
  <c r="BA73" i="21"/>
  <c r="AZ70" i="21"/>
  <c r="BA72" i="21"/>
  <c r="AZ72" i="21"/>
  <c r="AZ26" i="21"/>
  <c r="AZ38" i="21"/>
  <c r="AZ31" i="21"/>
  <c r="AZ66" i="21"/>
  <c r="AZ69" i="21"/>
  <c r="AZ73" i="21"/>
  <c r="AZ34" i="21"/>
  <c r="BA34" i="21"/>
  <c r="AZ32" i="21"/>
  <c r="AZ67" i="21"/>
  <c r="AZ61" i="21"/>
  <c r="BA27" i="21"/>
  <c r="AZ64" i="21"/>
  <c r="BA28" i="21"/>
  <c r="AZ65" i="21"/>
  <c r="AZ33" i="21"/>
  <c r="BA35" i="21"/>
  <c r="AZ74" i="21"/>
  <c r="AZ35" i="21"/>
  <c r="BA31" i="21"/>
  <c r="BA30" i="21"/>
  <c r="AZ29" i="21"/>
  <c r="BA25" i="21"/>
  <c r="BA64" i="21"/>
  <c r="BA67" i="21"/>
  <c r="BA66" i="21"/>
  <c r="BA61" i="21"/>
  <c r="BA69" i="21"/>
  <c r="AZ28" i="21"/>
  <c r="AZ25" i="21"/>
  <c r="AZ71" i="21"/>
  <c r="BA68" i="21"/>
  <c r="BA63" i="21"/>
  <c r="BA32" i="21"/>
  <c r="AZ37" i="21"/>
  <c r="BA36" i="21"/>
  <c r="AZ30" i="21"/>
  <c r="BA29" i="21"/>
  <c r="BA38" i="21"/>
  <c r="G8" i="28"/>
  <c r="AZ62" i="21"/>
  <c r="BA65" i="21"/>
  <c r="BA70" i="21"/>
  <c r="AZ68" i="21"/>
  <c r="P1519" i="20"/>
  <c r="P40" i="20"/>
  <c r="C49" i="34"/>
  <c r="E56" i="29"/>
  <c r="H56" i="29"/>
  <c r="D48" i="34"/>
  <c r="E54" i="29"/>
  <c r="AT121" i="21"/>
  <c r="AV124" i="21"/>
  <c r="AT124" i="21"/>
  <c r="AV123" i="21"/>
  <c r="AV120" i="21"/>
  <c r="AS115" i="21"/>
  <c r="AU121" i="21"/>
  <c r="AV116" i="21"/>
  <c r="AU114" i="21"/>
  <c r="G48" i="34"/>
  <c r="AS117" i="21"/>
  <c r="E50" i="34"/>
  <c r="C54" i="29"/>
  <c r="AU116" i="21"/>
  <c r="AV121" i="21"/>
  <c r="AS114" i="21"/>
  <c r="I57" i="29"/>
  <c r="F49" i="34"/>
  <c r="AV122" i="21"/>
  <c r="G57" i="29"/>
  <c r="AV118" i="21"/>
  <c r="AS124" i="21"/>
  <c r="AU125" i="21"/>
  <c r="C55" i="29"/>
  <c r="E57" i="29"/>
  <c r="E55" i="29"/>
  <c r="AU120" i="21"/>
  <c r="AV113" i="21"/>
  <c r="AV117" i="21"/>
  <c r="AV125" i="21"/>
  <c r="AS118" i="21"/>
  <c r="F50" i="34"/>
  <c r="G50" i="34"/>
  <c r="F48" i="34"/>
  <c r="E49" i="34"/>
  <c r="D56" i="29"/>
  <c r="G54" i="29"/>
  <c r="G56" i="29"/>
  <c r="E48" i="34"/>
  <c r="F55" i="29"/>
  <c r="AS116" i="21"/>
  <c r="D54" i="29"/>
  <c r="AS119" i="21"/>
  <c r="AT122" i="21"/>
  <c r="I55" i="29"/>
  <c r="AS113" i="21"/>
  <c r="F51" i="34"/>
  <c r="H54" i="29"/>
  <c r="AU119" i="21"/>
  <c r="AT118" i="21"/>
  <c r="E51" i="34"/>
  <c r="D57" i="29"/>
  <c r="AT115" i="21"/>
  <c r="AT117" i="21"/>
  <c r="AU124" i="21"/>
  <c r="C56" i="29"/>
  <c r="AU117" i="21"/>
  <c r="AT123" i="21"/>
  <c r="AV119" i="21"/>
  <c r="AV114" i="21"/>
  <c r="AT119" i="21"/>
  <c r="H55" i="29"/>
  <c r="I56" i="29"/>
  <c r="AS120" i="21"/>
  <c r="I54" i="29"/>
  <c r="G51" i="34"/>
  <c r="G55" i="29"/>
  <c r="D51" i="34"/>
  <c r="D49" i="34"/>
  <c r="AS123" i="21"/>
  <c r="C55" i="32"/>
  <c r="C50" i="34"/>
  <c r="H57" i="29"/>
  <c r="AT125" i="21"/>
  <c r="AU115" i="21"/>
  <c r="D55" i="29"/>
  <c r="AU122" i="21"/>
  <c r="AU123" i="21"/>
  <c r="D50" i="34"/>
  <c r="AS121" i="21"/>
  <c r="F57" i="29"/>
  <c r="C57" i="29"/>
  <c r="C51" i="34"/>
  <c r="F56" i="29"/>
  <c r="G49" i="34"/>
  <c r="AT116" i="21"/>
  <c r="AU118" i="21"/>
  <c r="AT113" i="21"/>
  <c r="F54" i="29"/>
  <c r="AS122" i="21"/>
  <c r="C48" i="34"/>
  <c r="AT120" i="21"/>
  <c r="AV115" i="21"/>
  <c r="AU113" i="21"/>
  <c r="AS125" i="21"/>
  <c r="AT114" i="21"/>
  <c r="BA98" i="21" l="1"/>
  <c r="AZ109" i="21"/>
  <c r="BA104" i="21"/>
  <c r="AZ106" i="21"/>
  <c r="BA97" i="21"/>
  <c r="BA100" i="21"/>
  <c r="AZ105" i="21"/>
  <c r="BA109" i="21"/>
  <c r="C52" i="32"/>
  <c r="AZ107" i="21"/>
  <c r="AZ104" i="21"/>
  <c r="BA103" i="21"/>
  <c r="BA107" i="21"/>
  <c r="BA101" i="21"/>
  <c r="BA99" i="21"/>
  <c r="BA102" i="21"/>
  <c r="AZ97" i="21"/>
  <c r="BA106" i="21"/>
  <c r="AZ103" i="21"/>
  <c r="AZ100" i="21"/>
  <c r="AZ102" i="21"/>
  <c r="AZ108" i="21"/>
  <c r="AZ98" i="21"/>
  <c r="AZ101" i="21"/>
  <c r="AZ99" i="21"/>
  <c r="BA108" i="21"/>
  <c r="BA105"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<sst xmlns="http://schemas.openxmlformats.org/spreadsheetml/2006/main" count="11903" uniqueCount="462">
  <si>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</si>
  <si>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</si>
  <si>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</si>
  <si>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</si>
  <si>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</si>
  <si>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</si>
  <si>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</si>
  <si>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</si>
  <si>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</si>
  <si>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</si>
  <si>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</si>
  <si>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</si>
  <si>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</si>
  <si>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</si>
  <si>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</si>
  <si>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</si>
  <si>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</si>
  <si>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</si>
  <si>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</si>
  <si>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</si>
  <si>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</si>
  <si>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</si>
  <si>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</si>
  <si>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</si>
  <si>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</si>
  <si>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</si>
  <si>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</si>
  <si>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</si>
  <si>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</si>
  <si>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</si>
  <si>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</si>
  <si>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</si>
  <si>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</si>
  <si>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</si>
  <si>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</si>
  <si>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</si>
  <si>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</si>
  <si>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</si>
  <si>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</si>
  <si>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</si>
  <si>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</si>
  <si>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</si>
  <si>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</si>
  <si>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</si>
  <si>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</si>
  <si>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</si>
  <si>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</si>
  <si>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</si>
  <si>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</si>
  <si>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</si>
  <si>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</si>
  <si>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</si>
  <si>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</si>
  <si>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</si>
  <si>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</si>
  <si>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</si>
  <si>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</si>
  <si>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</si>
  <si>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</si>
  <si>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</si>
  <si>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</si>
  <si>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</si>
  <si>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</si>
  <si>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</si>
  <si>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</si>
  <si>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</si>
  <si>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</si>
  <si>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</si>
  <si>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</si>
  <si>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</si>
  <si>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</si>
  <si>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</si>
  <si>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</si>
  <si>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</si>
  <si>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</si>
  <si>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</si>
  <si>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</si>
  <si>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</si>
  <si>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</si>
  <si>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</si>
  <si>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</si>
  <si>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</si>
  <si>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</si>
  <si>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</si>
  <si>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</si>
  <si>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</si>
  <si>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</si>
  <si>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</si>
  <si>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</si>
  <si>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</si>
  <si>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</si>
  <si>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</si>
  <si>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</si>
  <si>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</si>
  <si>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</si>
  <si>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</si>
  <si>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</si>
  <si>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</si>
  <si>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</si>
  <si>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</si>
  <si>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</si>
  <si>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</si>
  <si>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</si>
  <si>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</si>
  <si>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</si>
  <si>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</si>
  <si>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</si>
  <si>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</si>
  <si>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</si>
  <si>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</si>
  <si>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</si>
  <si>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</si>
  <si>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</si>
  <si>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</si>
  <si>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</si>
  <si>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</si>
  <si>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</si>
  <si>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</si>
  <si>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</si>
  <si>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</si>
  <si>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</si>
  <si>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</si>
  <si>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</si>
  <si>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</si>
  <si>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</si>
  <si>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</si>
  <si>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</si>
  <si>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</si>
  <si>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</si>
  <si>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</si>
  <si>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</si>
  <si>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</si>
  <si>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</si>
  <si>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</si>
  <si>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</si>
  <si>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</si>
  <si>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</si>
  <si>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</si>
  <si>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</si>
  <si>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</si>
  <si>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</si>
  <si>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</si>
  <si>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</si>
  <si>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</si>
  <si>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</si>
  <si>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</si>
  <si>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</si>
  <si>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</si>
  <si>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</si>
  <si>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</si>
  <si>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</si>
  <si>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</si>
  <si>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</si>
  <si>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</si>
  <si>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</si>
  <si>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</si>
  <si>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</si>
  <si>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</si>
  <si>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</si>
  <si>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</si>
  <si>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</si>
  <si>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</si>
  <si>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</si>
  <si>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</si>
  <si>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</si>
  <si>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</si>
  <si>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</si>
  <si>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</si>
  <si>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</si>
  <si>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</si>
  <si>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</si>
  <si>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</si>
  <si>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</si>
  <si>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</si>
  <si>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</si>
  <si>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</si>
  <si>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</si>
  <si>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</si>
  <si>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</si>
  <si>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</si>
  <si>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</si>
  <si>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</si>
  <si>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</si>
  <si>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</si>
  <si>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</si>
  <si>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</si>
  <si>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</si>
  <si>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</si>
  <si>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</si>
  <si>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</si>
  <si>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</si>
  <si>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</si>
  <si>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</si>
  <si>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</si>
  <si>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</si>
  <si>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</si>
  <si>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</si>
  <si>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</si>
  <si>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</si>
  <si>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</si>
  <si>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</si>
  <si>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</si>
  <si>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</si>
  <si>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</si>
  <si>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</si>
  <si>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</si>
  <si>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</si>
  <si>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</si>
  <si>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</si>
  <si>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</si>
  <si>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</si>
  <si>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</si>
  <si>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</si>
  <si>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</si>
  <si>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</si>
  <si>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</si>
  <si>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</si>
  <si>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</si>
  <si>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</si>
  <si>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</si>
  <si>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</si>
  <si>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</si>
  <si>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</si>
  <si>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</si>
  <si>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</si>
  <si>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</si>
  <si>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</si>
  <si>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</si>
  <si>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</si>
  <si>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</si>
  <si>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</si>
  <si>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</si>
  <si>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</si>
  <si>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</si>
  <si>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</si>
  <si>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</si>
  <si>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</si>
  <si>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</si>
  <si>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</si>
  <si>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</si>
  <si>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</si>
  <si>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</si>
  <si>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</si>
  <si>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</si>
  <si>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</si>
  <si>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</si>
  <si>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</si>
  <si>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</si>
  <si>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</si>
  <si>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</si>
  <si>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</si>
  <si>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</si>
  <si>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</si>
  <si>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</si>
  <si>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</si>
  <si>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</si>
  <si>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</si>
  <si>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</si>
  <si>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</si>
  <si>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</si>
  <si>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</si>
  <si>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</si>
  <si>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</si>
  <si>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</si>
  <si>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</si>
  <si>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</si>
  <si>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</si>
  <si>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</si>
  <si>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</si>
  <si>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</si>
  <si>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</si>
  <si>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</si>
  <si>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</si>
  <si>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</si>
  <si>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</si>
  <si>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</si>
  <si>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</si>
  <si>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</si>
  <si>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</si>
  <si>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</si>
  <si>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</si>
  <si>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</si>
  <si>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</si>
  <si>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</si>
  <si>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</si>
  <si>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</si>
  <si>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</si>
  <si>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</si>
  <si>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</si>
  <si>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</si>
  <si>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</si>
  <si>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</si>
  <si>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</si>
  <si>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</si>
  <si>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</si>
  <si>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</si>
  <si>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</si>
  <si>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</si>
  <si>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</si>
  <si>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</si>
  <si>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</si>
  <si>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</si>
  <si>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</si>
  <si>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</si>
  <si>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</si>
  <si>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</si>
  <si>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</si>
  <si>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</si>
  <si>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</si>
  <si>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</si>
  <si>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</si>
  <si>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</si>
  <si>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</si>
  <si>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</si>
  <si>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</si>
  <si>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</si>
  <si>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</si>
  <si>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</si>
  <si>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</si>
  <si>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</si>
  <si>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</si>
  <si>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</si>
  <si>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</si>
  <si>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</si>
  <si>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</si>
  <si>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</si>
  <si>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</si>
  <si>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</si>
  <si>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</si>
  <si>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</si>
  <si>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</si>
  <si>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</si>
  <si>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</si>
  <si>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</si>
  <si>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</si>
  <si>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</si>
  <si>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</si>
  <si>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</si>
  <si>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</si>
  <si>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</si>
  <si>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</si>
  <si>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</si>
  <si>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</si>
  <si>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</si>
  <si>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</si>
  <si>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</si>
  <si>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</si>
  <si>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</si>
  <si>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</si>
  <si>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</si>
  <si>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</si>
  <si>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</si>
  <si>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</si>
  <si>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</si>
  <si>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</si>
  <si>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</si>
  <si>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</si>
  <si>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</si>
  <si>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</si>
  <si>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</si>
  <si>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</si>
  <si>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</si>
  <si>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</si>
  <si>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</si>
  <si>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</si>
  <si>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</si>
  <si>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</si>
  <si>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</si>
  <si>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</si>
  <si>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</si>
  <si>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</si>
  <si>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</si>
  <si>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</si>
  <si>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</si>
  <si>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</si>
  <si>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</si>
  <si>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</si>
  <si>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</si>
  <si>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</si>
  <si>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</si>
  <si>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</si>
  <si>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</si>
  <si>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</si>
  <si>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</si>
  <si>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</si>
  <si>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</si>
  <si>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</si>
  <si>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</si>
  <si>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</si>
  <si>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</si>
  <si>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</si>
  <si>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</si>
  <si>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</si>
  <si>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</si>
  <si>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</si>
  <si>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</si>
  <si>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</si>
  <si>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</si>
  <si>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</si>
  <si>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</si>
  <si>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</si>
  <si>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</si>
  <si>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</si>
  <si>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</si>
  <si>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</si>
  <si>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</si>
  <si>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</si>
  <si>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</si>
  <si>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</si>
  <si>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</si>
  <si>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</si>
  <si>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</si>
  <si>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</si>
  <si>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</si>
  <si>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</si>
  <si>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</si>
  <si>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</si>
  <si>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</si>
  <si>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</si>
  <si>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</si>
  <si>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</si>
  <si>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</si>
  <si>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</si>
  <si>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</si>
  <si>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</si>
  <si>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</si>
  <si>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</si>
  <si>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</si>
  <si>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</si>
  <si>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</si>
  <si>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</si>
  <si>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</si>
  <si>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</si>
  <si>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</si>
  <si>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</si>
  <si>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</si>
  <si>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</si>
  <si>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</si>
  <si>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</si>
  <si>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</si>
  <si>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</si>
  <si>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</si>
  <si>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</si>
  <si>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</si>
  <si>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</si>
  <si>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</si>
  <si>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</si>
  <si>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</si>
  <si>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</si>
  <si>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</si>
  <si>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</si>
  <si>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</si>
  <si>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</si>
  <si>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</si>
  <si>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</si>
  <si>
    <t>LongStart</t>
  </si>
  <si>
    <t>3M6MBasis</t>
  </si>
  <si>
    <t>3M6MBasis:EUR6ML</t>
  </si>
  <si>
    <t>1M3MBasis</t>
  </si>
  <si>
    <t>1M3MBasis:EUR1ML</t>
  </si>
  <si>
    <t>6M12MBasis</t>
  </si>
  <si>
    <t>6M12MBasis:EUR12ML</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</si>
</sst>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2">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n">
        <color auto="1"/>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9">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171" fontId="9" fillId="2" borderId="38" xfId="0" applyNumberFormat="1" applyFont="1" applyFill="1" applyBorder="1" applyAlignment="1">
      <alignment horizontal="center" vertical="center"/>
    </xf>
    <xf numFmtId="165" fontId="9" fillId="0" borderId="35" xfId="0" applyNumberFormat="1" applyFont="1" applyFill="1" applyBorder="1" applyAlignment="1">
      <alignment horizontal="center" vertical="center"/>
    </xf>
    <xf numFmtId="165" fontId="9" fillId="0" borderId="43" xfId="0" applyNumberFormat="1" applyFont="1" applyFill="1" applyBorder="1" applyAlignment="1">
      <alignment horizontal="center" vertical="center"/>
    </xf>
    <xf numFmtId="165" fontId="9" fillId="2" borderId="51" xfId="0" applyNumberFormat="1" applyFont="1" applyFill="1" applyBorder="1" applyAlignment="1">
      <alignment horizontal="center" vertical="center"/>
    </xf>
    <xf numFmtId="0" fontId="6" fillId="2" borderId="51" xfId="0" quotePrefix="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-1.5233658901697949E-3</c:v>
                </c:pt>
                <c:pt idx="1">
                  <c:v>-1.5266827173997621E-3</c:v>
                </c:pt>
                <c:pt idx="2">
                  <c:v>-1.529999997903044E-3</c:v>
                </c:pt>
                <c:pt idx="3">
                  <c:v>-1.5333172784063257E-3</c:v>
                </c:pt>
                <c:pt idx="4">
                  <c:v>-1.5432645871830276E-3</c:v>
                </c:pt>
                <c:pt idx="5">
                  <c:v>-1.5465773349531656E-3</c:v>
                </c:pt>
                <c:pt idx="6">
                  <c:v>-1.549887816356732E-3</c:v>
                </c:pt>
                <c:pt idx="7">
                  <c:v>-1.5531955781204118E-3</c:v>
                </c:pt>
                <c:pt idx="8">
                  <c:v>-1.5565001669708915E-3</c:v>
                </c:pt>
                <c:pt idx="9">
                  <c:v>-1.5663903633099821E-3</c:v>
                </c:pt>
                <c:pt idx="10">
                  <c:v>-1.5696777277745154E-3</c:v>
                </c:pt>
                <c:pt idx="11">
                  <c:v>-1.5729596529592759E-3</c:v>
                </c:pt>
                <c:pt idx="12">
                  <c:v>-1.5762356855909499E-3</c:v>
                </c:pt>
                <c:pt idx="13">
                  <c:v>-1.5795053723962223E-3</c:v>
                </c:pt>
                <c:pt idx="14">
                  <c:v>-1.589271825120489E-3</c:v>
                </c:pt>
                <c:pt idx="15">
                  <c:v>-1.5925115958870131E-3</c:v>
                </c:pt>
                <c:pt idx="16">
                  <c:v>-1.5957427544605639E-3</c:v>
                </c:pt>
                <c:pt idx="17">
                  <c:v>-1.5989648475678271E-3</c:v>
                </c:pt>
                <c:pt idx="18">
                  <c:v>-1.6021774219354885E-3</c:v>
                </c:pt>
                <c:pt idx="19">
                  <c:v>-1.611753499867718E-3</c:v>
                </c:pt>
                <c:pt idx="20">
                  <c:v>-1.6149234665438286E-3</c:v>
                </c:pt>
                <c:pt idx="21">
                  <c:v>-1.6180816481137653E-3</c:v>
                </c:pt>
                <c:pt idx="22">
                  <c:v>-1.6212275913042138E-3</c:v>
                </c:pt>
                <c:pt idx="23">
                  <c:v>-1.6243608428418597E-3</c:v>
                </c:pt>
                <c:pt idx="24">
                  <c:v>-1.6336799148048392E-3</c:v>
                </c:pt>
                <c:pt idx="25">
                  <c:v>-1.6367578669981315E-3</c:v>
                </c:pt>
                <c:pt idx="26">
                  <c:v>-1.6398208611720496E-3</c:v>
                </c:pt>
                <c:pt idx="27">
                  <c:v>-1.642868444053279E-3</c:v>
                </c:pt>
                <c:pt idx="28">
                  <c:v>-1.645900162368505E-3</c:v>
                </c:pt>
                <c:pt idx="29">
                  <c:v>-1.6548955971850219E-3</c:v>
                </c:pt>
                <c:pt idx="30">
                  <c:v>-1.657859324503092E-3</c:v>
                </c:pt>
                <c:pt idx="31">
                  <c:v>-1.6608049208885871E-3</c:v>
                </c:pt>
                <c:pt idx="32">
                  <c:v>-1.6637319330681929E-3</c:v>
                </c:pt>
                <c:pt idx="33">
                  <c:v>-1.6666399077685952E-3</c:v>
                </c:pt>
                <c:pt idx="34">
                  <c:v>-1.6752450742614354E-3</c:v>
                </c:pt>
                <c:pt idx="35">
                  <c:v>-1.6780723663118796E-3</c:v>
                </c:pt>
                <c:pt idx="36">
                  <c:v>-1.6808783545165474E-3</c:v>
                </c:pt>
                <c:pt idx="37">
                  <c:v>-1.6836625856021254E-3</c:v>
                </c:pt>
                <c:pt idx="38">
                  <c:v>-1.6864246062952991E-3</c:v>
                </c:pt>
                <c:pt idx="39">
                  <c:v>-1.6945728732872508E-3</c:v>
                </c:pt>
                <c:pt idx="40">
                  <c:v>-1.6972415196776633E-3</c:v>
                </c:pt>
                <c:pt idx="41">
                  <c:v>-1.6998856893090998E-3</c:v>
                </c:pt>
                <c:pt idx="42">
                  <c:v>-1.702504928908246E-3</c:v>
                </c:pt>
                <c:pt idx="43">
                  <c:v>-1.7050987852017872E-3</c:v>
                </c:pt>
                <c:pt idx="44">
                  <c:v>-1.7127235215156366E-3</c:v>
                </c:pt>
                <c:pt idx="45">
                  <c:v>-1.7152113118536142E-3</c:v>
                </c:pt>
                <c:pt idx="46">
                  <c:v>-1.7176714525194148E-3</c:v>
                </c:pt>
                <c:pt idx="47">
                  <c:v>-1.7201034902397244E-3</c:v>
                </c:pt>
                <c:pt idx="48">
                  <c:v>-1.7225069717412282E-3</c:v>
                </c:pt>
                <c:pt idx="49">
                  <c:v>-1.7295415461997634E-3</c:v>
                </c:pt>
                <c:pt idx="50">
                  <c:v>-1.7318262700929011E-3</c:v>
                </c:pt>
                <c:pt idx="51">
                  <c:v>-1.7340801714006617E-3</c:v>
                </c:pt>
                <c:pt idx="52">
                  <c:v>-1.7363027968497304E-3</c:v>
                </c:pt>
                <c:pt idx="53">
                  <c:v>-1.7384936931667929E-3</c:v>
                </c:pt>
                <c:pt idx="54">
                  <c:v>-1.7448714745927998E-3</c:v>
                </c:pt>
                <c:pt idx="55">
                  <c:v>-1.7469309216486938E-3</c:v>
                </c:pt>
                <c:pt idx="56">
                  <c:v>-1.74895637320601E-3</c:v>
                </c:pt>
                <c:pt idx="57">
                  <c:v>-1.7509473759914336E-3</c:v>
                </c:pt>
                <c:pt idx="58">
                  <c:v>-1.7529034767316506E-3</c:v>
                </c:pt>
                <c:pt idx="59">
                  <c:v>-1.7585578339479166E-3</c:v>
                </c:pt>
                <c:pt idx="60">
                  <c:v>-1.7603697937741624E-3</c:v>
                </c:pt>
                <c:pt idx="61">
                  <c:v>-1.7621445851886295E-3</c:v>
                </c:pt>
                <c:pt idx="62">
                  <c:v>-1.7638817549180041E-3</c:v>
                </c:pt>
                <c:pt idx="63">
                  <c:v>-1.7655808496889708E-3</c:v>
                </c:pt>
                <c:pt idx="64">
                  <c:v>-1.770445151518283E-3</c:v>
                </c:pt>
                <c:pt idx="65">
                  <c:v>-1.7719874137224765E-3</c:v>
                </c:pt>
                <c:pt idx="66">
                  <c:v>-1.7734893346016906E-3</c:v>
                </c:pt>
                <c:pt idx="67">
                  <c:v>-1.7749504608826113E-3</c:v>
                </c:pt>
                <c:pt idx="68">
                  <c:v>-1.7763703392919235E-3</c:v>
                </c:pt>
                <c:pt idx="69">
                  <c:v>-1.7803779545570691E-3</c:v>
                </c:pt>
                <c:pt idx="70">
                  <c:v>-1.7816283087468056E-3</c:v>
                </c:pt>
                <c:pt idx="71">
                  <c:v>-1.7828351486983624E-3</c:v>
                </c:pt>
                <c:pt idx="72">
                  <c:v>-1.783998021138425E-3</c:v>
                </c:pt>
                <c:pt idx="73">
                  <c:v>-1.7851164727936786E-3</c:v>
                </c:pt>
                <c:pt idx="74">
                  <c:v>-1.7882007703174442E-3</c:v>
                </c:pt>
                <c:pt idx="75">
                  <c:v>-1.7891370061003198E-3</c:v>
                </c:pt>
                <c:pt idx="76">
                  <c:v>-1.7900265547318146E-3</c:v>
                </c:pt>
                <c:pt idx="77">
                  <c:v>-1.7908689629386146E-3</c:v>
                </c:pt>
                <c:pt idx="78">
                  <c:v>-1.7916637774474055E-3</c:v>
                </c:pt>
                <c:pt idx="79">
                  <c:v>-1.7937581260525784E-3</c:v>
                </c:pt>
                <c:pt idx="80">
                  <c:v>-1.7943580330361884E-3</c:v>
                </c:pt>
                <c:pt idx="81">
                  <c:v>-1.7949080799552172E-3</c:v>
                </c:pt>
                <c:pt idx="82">
                  <c:v>-1.7954078135363506E-3</c:v>
                </c:pt>
                <c:pt idx="83">
                  <c:v>-1.7958567805062739E-3</c:v>
                </c:pt>
                <c:pt idx="84">
                  <c:v>-1.7968945490156409E-3</c:v>
                </c:pt>
                <c:pt idx="85">
                  <c:v>-1.7971359168075815E-3</c:v>
                </c:pt>
                <c:pt idx="86">
                  <c:v>-1.7973242516217396E-3</c:v>
                </c:pt>
                <c:pt idx="87">
                  <c:v>-1.797459100184802E-3</c:v>
                </c:pt>
                <c:pt idx="88">
                  <c:v>-1.7975400092234538E-3</c:v>
                </c:pt>
                <c:pt idx="89">
                  <c:v>-1.7974545664598022E-3</c:v>
                </c:pt>
                <c:pt idx="90">
                  <c:v>-1.7973151846676686E-3</c:v>
                </c:pt>
                <c:pt idx="91">
                  <c:v>-1.7971195969845521E-3</c:v>
                </c:pt>
                <c:pt idx="92">
                  <c:v>-1.7968673501371391E-3</c:v>
                </c:pt>
                <c:pt idx="93">
                  <c:v>-1.7965579908521148E-3</c:v>
                </c:pt>
                <c:pt idx="94">
                  <c:v>-1.7952827056382319E-3</c:v>
                </c:pt>
                <c:pt idx="95">
                  <c:v>-1.7947403638696193E-3</c:v>
                </c:pt>
                <c:pt idx="96">
                  <c:v>-1.7941386432968238E-3</c:v>
                </c:pt>
                <c:pt idx="97">
                  <c:v>-1.7934770906465312E-3</c:v>
                </c:pt>
                <c:pt idx="98">
                  <c:v>-1.7927552526454268E-3</c:v>
                </c:pt>
                <c:pt idx="99">
                  <c:v>-1.790223493804099E-3</c:v>
                </c:pt>
                <c:pt idx="100">
                  <c:v>-1.7892559816666039E-3</c:v>
                </c:pt>
                <c:pt idx="101">
                  <c:v>-1.7882259178117249E-3</c:v>
                </c:pt>
                <c:pt idx="102">
                  <c:v>-1.7871328489661483E-3</c:v>
                </c:pt>
                <c:pt idx="103">
                  <c:v>-1.7859763218565589E-3</c:v>
                </c:pt>
                <c:pt idx="104">
                  <c:v>-1.7821214582105737E-3</c:v>
                </c:pt>
                <c:pt idx="105">
                  <c:v>-1.7807065653117917E-3</c:v>
                </c:pt>
                <c:pt idx="106">
                  <c:v>-1.779225947782425E-3</c:v>
                </c:pt>
                <c:pt idx="107">
                  <c:v>-1.7776791523491599E-3</c:v>
                </c:pt>
                <c:pt idx="108">
                  <c:v>-1.7760657257386819E-3</c:v>
                </c:pt>
                <c:pt idx="109">
                  <c:v>-1.7708211261108261E-3</c:v>
                </c:pt>
                <c:pt idx="110">
                  <c:v>-1.7689366420583523E-3</c:v>
                </c:pt>
                <c:pt idx="111">
                  <c:v>-1.7669832604620939E-3</c:v>
                </c:pt>
                <c:pt idx="112">
                  <c:v>-1.7649605280487359E-3</c:v>
                </c:pt>
                <c:pt idx="113">
                  <c:v>-1.7628679915449646E-3</c:v>
                </c:pt>
                <c:pt idx="114">
                  <c:v>-1.7561670247580254E-3</c:v>
                </c:pt>
                <c:pt idx="115">
                  <c:v>-1.7537907391594557E-3</c:v>
                </c:pt>
                <c:pt idx="116">
                  <c:v>-1.7513423831039007E-3</c:v>
                </c:pt>
                <c:pt idx="117">
                  <c:v>-1.7488215033180463E-3</c:v>
                </c:pt>
                <c:pt idx="118">
                  <c:v>-1.7462276465285771E-3</c:v>
                </c:pt>
                <c:pt idx="119">
                  <c:v>-1.7380036814053413E-3</c:v>
                </c:pt>
                <c:pt idx="120">
                  <c:v>-1.7351133838682715E-3</c:v>
                </c:pt>
                <c:pt idx="121">
                  <c:v>-1.7321478429610162E-3</c:v>
                </c:pt>
                <c:pt idx="122">
                  <c:v>-1.7291066054102599E-3</c:v>
                </c:pt>
                <c:pt idx="123">
                  <c:v>-1.7259892179426893E-3</c:v>
                </c:pt>
                <c:pt idx="124">
                  <c:v>-1.7161756233059437E-3</c:v>
                </c:pt>
                <c:pt idx="125">
                  <c:v>-1.71274910343797E-3</c:v>
                </c:pt>
                <c:pt idx="126">
                  <c:v>-1.7092441672866092E-3</c:v>
                </c:pt>
                <c:pt idx="127">
                  <c:v>-1.7056603615785476E-3</c:v>
                </c:pt>
                <c:pt idx="128">
                  <c:v>-1.7019972330404702E-3</c:v>
                </c:pt>
                <c:pt idx="129">
                  <c:v>-1.6905273777130028E-3</c:v>
                </c:pt>
                <c:pt idx="130">
                  <c:v>-1.6865424251217198E-3</c:v>
                </c:pt>
                <c:pt idx="131">
                  <c:v>-1.6824758833338502E-3</c:v>
                </c:pt>
                <c:pt idx="132">
                  <c:v>-1.6783272990760786E-3</c:v>
                </c:pt>
                <c:pt idx="133">
                  <c:v>-1.6740962190750907E-3</c:v>
                </c:pt>
                <c:pt idx="134">
                  <c:v>-1.6609154823355996E-3</c:v>
                </c:pt>
                <c:pt idx="135">
                  <c:v>-1.6563663454015204E-3</c:v>
                </c:pt>
                <c:pt idx="136">
                  <c:v>-1.6517431223184642E-3</c:v>
                </c:pt>
                <c:pt idx="137">
                  <c:v>-1.6470480288033186E-3</c:v>
                </c:pt>
                <c:pt idx="138">
                  <c:v>-1.6422832805729731E-3</c:v>
                </c:pt>
                <c:pt idx="139">
                  <c:v>-1.6275932647596149E-3</c:v>
                </c:pt>
                <c:pt idx="140">
                  <c:v>-1.6225720548373502E-3</c:v>
                </c:pt>
                <c:pt idx="141">
                  <c:v>-1.6174922687843261E-3</c:v>
                </c:pt>
                <c:pt idx="142">
                  <c:v>-1.6123561223174315E-3</c:v>
                </c:pt>
                <c:pt idx="143">
                  <c:v>-1.6071658311535538E-3</c:v>
                </c:pt>
                <c:pt idx="144">
                  <c:v>-1.5912922466489112E-3</c:v>
                </c:pt>
                <c:pt idx="145">
                  <c:v>-1.5859075338659869E-3</c:v>
                </c:pt>
                <c:pt idx="146">
                  <c:v>-1.5804797549705224E-3</c:v>
                </c:pt>
                <c:pt idx="147">
                  <c:v>-1.5750111256794049E-3</c:v>
                </c:pt>
                <c:pt idx="148">
                  <c:v>-1.5695038617095237E-3</c:v>
                </c:pt>
                <c:pt idx="149">
                  <c:v>-1.5471327733801213E-3</c:v>
                </c:pt>
                <c:pt idx="150">
                  <c:v>-1.541465571769743E-3</c:v>
                </c:pt>
                <c:pt idx="151">
                  <c:v>-1.5357730297819307E-3</c:v>
                </c:pt>
                <c:pt idx="152">
                  <c:v>-1.5300573631335716E-3</c:v>
                </c:pt>
                <c:pt idx="153">
                  <c:v>-1.5127621050758911E-3</c:v>
                </c:pt>
                <c:pt idx="154">
                  <c:v>-1.5069601550949743E-3</c:v>
                </c:pt>
                <c:pt idx="155">
                  <c:v>-1.5011461112529338E-3</c:v>
                </c:pt>
                <c:pt idx="156">
                  <c:v>-1.49532220752797E-3</c:v>
                </c:pt>
                <c:pt idx="157">
                  <c:v>-1.4894906778982824E-3</c:v>
                </c:pt>
                <c:pt idx="158">
                  <c:v>-1.4719726733628739E-3</c:v>
                </c:pt>
                <c:pt idx="159">
                  <c:v>-1.4661329798962884E-3</c:v>
                </c:pt>
                <c:pt idx="160">
                  <c:v>-1.4602968304159771E-3</c:v>
                </c:pt>
                <c:pt idx="161">
                  <c:v>-1.4544664589001407E-3</c:v>
                </c:pt>
                <c:pt idx="162">
                  <c:v>-1.4486440993269785E-3</c:v>
                </c:pt>
                <c:pt idx="163">
                  <c:v>-1.4312474320455342E-3</c:v>
                </c:pt>
                <c:pt idx="164">
                  <c:v>-1.4254794600250661E-3</c:v>
                </c:pt>
                <c:pt idx="165">
                  <c:v>-1.4197306698382709E-3</c:v>
                </c:pt>
                <c:pt idx="166">
                  <c:v>-1.4140032954633483E-3</c:v>
                </c:pt>
                <c:pt idx="167">
                  <c:v>-1.4082995708784981E-3</c:v>
                </c:pt>
                <c:pt idx="168">
                  <c:v>-1.3913526356463786E-3</c:v>
                </c:pt>
                <c:pt idx="169">
                  <c:v>-1.3857658500038145E-3</c:v>
                </c:pt>
                <c:pt idx="170">
                  <c:v>-1.3802138840423217E-3</c:v>
                </c:pt>
                <c:pt idx="171">
                  <c:v>-1.3746989717400996E-3</c:v>
                </c:pt>
                <c:pt idx="172">
                  <c:v>-1.369223347075348E-3</c:v>
                </c:pt>
                <c:pt idx="173">
                  <c:v>-1.3530545386879129E-3</c:v>
                </c:pt>
                <c:pt idx="174">
                  <c:v>-1.34775840435504E-3</c:v>
                </c:pt>
                <c:pt idx="175">
                  <c:v>-1.3425127275506364E-3</c:v>
                </c:pt>
                <c:pt idx="176">
                  <c:v>-1.3373197422529015E-3</c:v>
                </c:pt>
                <c:pt idx="177">
                  <c:v>-1.332181682440035E-3</c:v>
                </c:pt>
                <c:pt idx="178">
                  <c:v>-1.3171193956926445E-3</c:v>
                </c:pt>
                <c:pt idx="179">
                  <c:v>-1.3122233776012497E-3</c:v>
                </c:pt>
                <c:pt idx="180">
                  <c:v>-1.3073934548857218E-3</c:v>
                </c:pt>
                <c:pt idx="181">
                  <c:v>-1.3026318615242608E-3</c:v>
                </c:pt>
                <c:pt idx="182">
                  <c:v>-1.2979408314950666E-3</c:v>
                </c:pt>
                <c:pt idx="183">
                  <c:v>-1.2843134611830803E-3</c:v>
                </c:pt>
                <c:pt idx="184">
                  <c:v>-1.2799270242649494E-3</c:v>
                </c:pt>
                <c:pt idx="185">
                  <c:v>-1.2756223205700845E-3</c:v>
                </c:pt>
                <c:pt idx="186">
                  <c:v>-1.2714015840766841E-3</c:v>
                </c:pt>
                <c:pt idx="187">
                  <c:v>-1.2672670487629484E-3</c:v>
                </c:pt>
                <c:pt idx="188">
                  <c:v>-1.2554029896817271E-3</c:v>
                </c:pt>
                <c:pt idx="189">
                  <c:v>-1.2516355988686475E-3</c:v>
                </c:pt>
                <c:pt idx="190">
                  <c:v>-1.2479655791262313E-3</c:v>
                </c:pt>
                <c:pt idx="191">
                  <c:v>-1.2443951644326783E-3</c:v>
                </c:pt>
                <c:pt idx="192">
                  <c:v>-1.2409265887661878E-3</c:v>
                </c:pt>
                <c:pt idx="193">
                  <c:v>-1.2311542357110912E-3</c:v>
                </c:pt>
                <c:pt idx="194">
                  <c:v>-1.2281153559348494E-3</c:v>
                </c:pt>
                <c:pt idx="195">
                  <c:v>-1.2251894850766692E-3</c:v>
                </c:pt>
                <c:pt idx="196">
                  <c:v>-1.2223788571147499E-3</c:v>
                </c:pt>
                <c:pt idx="197">
                  <c:v>-1.2196857060272916E-3</c:v>
                </c:pt>
                <c:pt idx="198">
                  <c:v>-1.2123334537936796E-3</c:v>
                </c:pt>
                <c:pt idx="199">
                  <c:v>-1.2101325499860619E-3</c:v>
                </c:pt>
                <c:pt idx="200">
                  <c:v>-1.2080602929439043E-3</c:v>
                </c:pt>
                <c:pt idx="201">
                  <c:v>-1.2061189166454058E-3</c:v>
                </c:pt>
                <c:pt idx="202">
                  <c:v>-1.2043106550687663E-3</c:v>
                </c:pt>
                <c:pt idx="203">
                  <c:v>-1.199706898451999E-3</c:v>
                </c:pt>
                <c:pt idx="204">
                  <c:v>-1.1984534355447929E-3</c:v>
                </c:pt>
                <c:pt idx="205">
                  <c:v>-1.1973442572504446E-3</c:v>
                </c:pt>
                <c:pt idx="206">
                  <c:v>-1.1963815975471531E-3</c:v>
                </c:pt>
                <c:pt idx="207">
                  <c:v>-1.1955676904131188E-3</c:v>
                </c:pt>
                <c:pt idx="208">
                  <c:v>-1.1940408242085562E-3</c:v>
                </c:pt>
                <c:pt idx="209">
                  <c:v>-1.193844267133548E-3</c:v>
                </c:pt>
                <c:pt idx="210">
                  <c:v>-1.193807632518795E-3</c:v>
                </c:pt>
                <c:pt idx="211">
                  <c:v>-1.1939331543424979E-3</c:v>
                </c:pt>
                <c:pt idx="212">
                  <c:v>-1.1942230665828559E-3</c:v>
                </c:pt>
                <c:pt idx="213">
                  <c:v>-1.1961014855858582E-3</c:v>
                </c:pt>
                <c:pt idx="214">
                  <c:v>-1.1970712992748342E-3</c:v>
                </c:pt>
                <c:pt idx="215">
                  <c:v>-1.198216673271464E-3</c:v>
                </c:pt>
                <c:pt idx="216">
                  <c:v>-1.1995398415539475E-3</c:v>
                </c:pt>
                <c:pt idx="217">
                  <c:v>-1.2010430381004843E-3</c:v>
                </c:pt>
                <c:pt idx="218">
                  <c:v>-1.2066551371064118E-3</c:v>
                </c:pt>
                <c:pt idx="219">
                  <c:v>-1.2089007864911588E-3</c:v>
                </c:pt>
                <c:pt idx="220">
                  <c:v>-1.2113376340309578E-3</c:v>
                </c:pt>
                <c:pt idx="221">
                  <c:v>-1.2139679137040085E-3</c:v>
                </c:pt>
                <c:pt idx="222">
                  <c:v>-1.2167938594885106E-3</c:v>
                </c:pt>
                <c:pt idx="223">
                  <c:v>-1.2264680332927228E-3</c:v>
                </c:pt>
                <c:pt idx="224">
                  <c:v>-1.2300989833050279E-3</c:v>
                </c:pt>
                <c:pt idx="225">
                  <c:v>-1.2339367693197829E-3</c:v>
                </c:pt>
                <c:pt idx="226">
                  <c:v>-1.2379836253151879E-3</c:v>
                </c:pt>
                <c:pt idx="227">
                  <c:v>-1.2614321442389485E-3</c:v>
                </c:pt>
                <c:pt idx="228">
                  <c:v>-1.2667803336604457E-3</c:v>
                </c:pt>
                <c:pt idx="229">
                  <c:v>-1.2723532309099914E-3</c:v>
                </c:pt>
                <c:pt idx="230">
                  <c:v>-1.2781530699657844E-3</c:v>
                </c:pt>
                <c:pt idx="231">
                  <c:v>-1.2969365777526466E-3</c:v>
                </c:pt>
                <c:pt idx="232">
                  <c:v>-1.3036665238154274E-3</c:v>
                </c:pt>
                <c:pt idx="233">
                  <c:v>-1.3106345815754544E-3</c:v>
                </c:pt>
                <c:pt idx="234">
                  <c:v>-1.3178429850109273E-3</c:v>
                </c:pt>
                <c:pt idx="235">
                  <c:v>-1.3252939681000458E-3</c:v>
                </c:pt>
                <c:pt idx="236">
                  <c:v>-1.3575683765569718E-3</c:v>
                </c:pt>
                <c:pt idx="237">
                  <c:v>-1.3662657675873144E-3</c:v>
                </c:pt>
                <c:pt idx="238">
                  <c:v>-1.3752191421405014E-3</c:v>
                </c:pt>
                <c:pt idx="239">
                  <c:v>-1.384430734194732E-3</c:v>
                </c:pt>
                <c:pt idx="240">
                  <c:v>-1.4136371551456842E-3</c:v>
                </c:pt>
                <c:pt idx="241">
                  <c:v>-1.4239039569860872E-3</c:v>
                </c:pt>
                <c:pt idx="242">
                  <c:v>-1.4344401462185324E-3</c:v>
                </c:pt>
                <c:pt idx="243">
                  <c:v>-1.4452479568212203E-3</c:v>
                </c:pt>
                <c:pt idx="244">
                  <c:v>-1.4563296227723505E-3</c:v>
                </c:pt>
                <c:pt idx="245">
                  <c:v>-1.4912400924983874E-3</c:v>
                </c:pt>
                <c:pt idx="246">
                  <c:v>-1.5034395196252819E-3</c:v>
                </c:pt>
                <c:pt idx="247">
                  <c:v>-1.5159239719916167E-3</c:v>
                </c:pt>
                <c:pt idx="248">
                  <c:v>-1.5286956835755914E-3</c:v>
                </c:pt>
                <c:pt idx="249">
                  <c:v>-1.5417568883554064E-3</c:v>
                </c:pt>
                <c:pt idx="250">
                  <c:v>-1.5826998016518891E-3</c:v>
                </c:pt>
                <c:pt idx="251">
                  <c:v>-1.5969413189970613E-3</c:v>
                </c:pt>
                <c:pt idx="252">
                  <c:v>-1.611483499429072E-3</c:v>
                </c:pt>
                <c:pt idx="253">
                  <c:v>-1.6263285769261213E-3</c:v>
                </c:pt>
                <c:pt idx="254">
                  <c:v>-1.6414787854664083E-3</c:v>
                </c:pt>
                <c:pt idx="255">
                  <c:v>-1.6887825371286959E-3</c:v>
                </c:pt>
                <c:pt idx="256">
                  <c:v>-1.7051756096239327E-3</c:v>
                </c:pt>
                <c:pt idx="257">
                  <c:v>-1.7218849830534062E-3</c:v>
                </c:pt>
                <c:pt idx="258">
                  <c:v>-1.7389128913953169E-3</c:v>
                </c:pt>
                <c:pt idx="259">
                  <c:v>-1.7562615686278621E-3</c:v>
                </c:pt>
                <c:pt idx="260">
                  <c:v>-1.8092672240919302E-3</c:v>
                </c:pt>
                <c:pt idx="261">
                  <c:v>-1.8266048657773586E-3</c:v>
                </c:pt>
                <c:pt idx="262">
                  <c:v>-1.8436161561966181E-3</c:v>
                </c:pt>
                <c:pt idx="263">
                  <c:v>-1.8603032588530315E-3</c:v>
                </c:pt>
                <c:pt idx="264">
                  <c:v>-1.8766683372499168E-3</c:v>
                </c:pt>
                <c:pt idx="265">
                  <c:v>-1.9238530619166232E-3</c:v>
                </c:pt>
                <c:pt idx="266">
                  <c:v>-1.9389516783086089E-3</c:v>
                </c:pt>
                <c:pt idx="267">
                  <c:v>-1.9537390879576723E-3</c:v>
                </c:pt>
                <c:pt idx="268">
                  <c:v>-1.9682174543671316E-3</c:v>
                </c:pt>
                <c:pt idx="269">
                  <c:v>-1.9823889410403098E-3</c:v>
                </c:pt>
                <c:pt idx="270">
                  <c:v>-2.0230837576753575E-3</c:v>
                </c:pt>
                <c:pt idx="271">
                  <c:v>-2.0360493604366123E-3</c:v>
                </c:pt>
                <c:pt idx="272">
                  <c:v>-2.0487189009781893E-3</c:v>
                </c:pt>
                <c:pt idx="273">
                  <c:v>-2.0610945428034067E-3</c:v>
                </c:pt>
                <c:pt idx="274">
                  <c:v>-2.0731784494155874E-3</c:v>
                </c:pt>
                <c:pt idx="275">
                  <c:v>-2.1077013930071082E-3</c:v>
                </c:pt>
                <c:pt idx="276">
                  <c:v>-2.1186399938003431E-3</c:v>
                </c:pt>
                <c:pt idx="277">
                  <c:v>-2.1292976768971443E-3</c:v>
                </c:pt>
                <c:pt idx="278">
                  <c:v>-2.1396766058008306E-3</c:v>
                </c:pt>
                <c:pt idx="279">
                  <c:v>-2.1497789440147247E-3</c:v>
                </c:pt>
                <c:pt idx="280">
                  <c:v>-2.1784480495508508E-3</c:v>
                </c:pt>
                <c:pt idx="281">
                  <c:v>-2.1874656600387771E-3</c:v>
                </c:pt>
                <c:pt idx="282">
                  <c:v>-2.1962174973535137E-3</c:v>
                </c:pt>
                <c:pt idx="283">
                  <c:v>-2.2047057249983794E-3</c:v>
                </c:pt>
                <c:pt idx="284">
                  <c:v>-2.2129325064766973E-3</c:v>
                </c:pt>
                <c:pt idx="285">
                  <c:v>-2.2360658089455613E-3</c:v>
                </c:pt>
                <c:pt idx="286">
                  <c:v>-2.2432684407908896E-3</c:v>
                </c:pt>
                <c:pt idx="287">
                  <c:v>-2.2502204439862712E-3</c:v>
                </c:pt>
                <c:pt idx="288">
                  <c:v>-2.256923982035028E-3</c:v>
                </c:pt>
                <c:pt idx="289">
                  <c:v>-2.2633812184404802E-3</c:v>
                </c:pt>
                <c:pt idx="290">
                  <c:v>-2.2812967528302156E-3</c:v>
                </c:pt>
                <c:pt idx="291">
                  <c:v>-2.2867904176956562E-3</c:v>
                </c:pt>
                <c:pt idx="292">
                  <c:v>-2.2920485984343941E-3</c:v>
                </c:pt>
                <c:pt idx="293">
                  <c:v>-2.2970734585497526E-3</c:v>
                </c:pt>
                <c:pt idx="294">
                  <c:v>-2.3018671615450499E-3</c:v>
                </c:pt>
                <c:pt idx="295">
                  <c:v>-2.3148829628437885E-3</c:v>
                </c:pt>
                <c:pt idx="296">
                  <c:v>-2.3187736723920519E-3</c:v>
                </c:pt>
                <c:pt idx="297">
                  <c:v>-2.3224440423368579E-3</c:v>
                </c:pt>
                <c:pt idx="298">
                  <c:v>-2.3258962361815279E-3</c:v>
                </c:pt>
                <c:pt idx="299">
                  <c:v>-2.3291324174293817E-3</c:v>
                </c:pt>
                <c:pt idx="300">
                  <c:v>-2.3375665206252553E-3</c:v>
                </c:pt>
                <c:pt idx="301">
                  <c:v>-2.3399602865190523E-3</c:v>
                </c:pt>
                <c:pt idx="302">
                  <c:v>-2.3421488573326368E-3</c:v>
                </c:pt>
                <c:pt idx="303">
                  <c:v>-2.3441343965693293E-3</c:v>
                </c:pt>
                <c:pt idx="304">
                  <c:v>-2.3459190677324504E-3</c:v>
                </c:pt>
                <c:pt idx="305">
                  <c:v>-2.3500895078135916E-3</c:v>
                </c:pt>
                <c:pt idx="306">
                  <c:v>-2.3510923417156336E-3</c:v>
                </c:pt>
                <c:pt idx="307">
                  <c:v>-2.3519051250607071E-3</c:v>
                </c:pt>
                <c:pt idx="308">
                  <c:v>-2.352530021352133E-3</c:v>
                </c:pt>
                <c:pt idx="309">
                  <c:v>-2.3529691940932318E-3</c:v>
                </c:pt>
                <c:pt idx="310">
                  <c:v>-2.3531940060477733E-3</c:v>
                </c:pt>
                <c:pt idx="311">
                  <c:v>-2.3529119196207707E-3</c:v>
                </c:pt>
                <c:pt idx="312">
                  <c:v>-2.3524549271600435E-3</c:v>
                </c:pt>
                <c:pt idx="313">
                  <c:v>-2.3518251921689141E-3</c:v>
                </c:pt>
                <c:pt idx="314">
                  <c:v>-2.3510248781507016E-3</c:v>
                </c:pt>
                <c:pt idx="315">
                  <c:v>-2.3476220969667751E-3</c:v>
                </c:pt>
                <c:pt idx="316">
                  <c:v>-2.3461611018734388E-3</c:v>
                </c:pt>
                <c:pt idx="317">
                  <c:v>-2.3445403452696228E-3</c:v>
                </c:pt>
                <c:pt idx="318">
                  <c:v>-2.3427619906586481E-3</c:v>
                </c:pt>
                <c:pt idx="319">
                  <c:v>-2.3408282015438347E-3</c:v>
                </c:pt>
                <c:pt idx="320">
                  <c:v>-2.3341158622095732E-3</c:v>
                </c:pt>
                <c:pt idx="321">
                  <c:v>-2.3315819701126136E-3</c:v>
                </c:pt>
                <c:pt idx="322">
                  <c:v>-2.3289034610284192E-3</c:v>
                </c:pt>
                <c:pt idx="323">
                  <c:v>-2.3260824984603096E-3</c:v>
                </c:pt>
                <c:pt idx="324">
                  <c:v>-2.3231212459116075E-3</c:v>
                </c:pt>
                <c:pt idx="325">
                  <c:v>-2.3134173834151424E-3</c:v>
                </c:pt>
                <c:pt idx="326">
                  <c:v>-2.3099166059772705E-3</c:v>
                </c:pt>
                <c:pt idx="327">
                  <c:v>-2.3062863560754086E-3</c:v>
                </c:pt>
                <c:pt idx="328">
                  <c:v>-2.3025287972128759E-3</c:v>
                </c:pt>
                <c:pt idx="329">
                  <c:v>-2.2986460928929946E-3</c:v>
                </c:pt>
                <c:pt idx="330">
                  <c:v>-2.286268742222459E-3</c:v>
                </c:pt>
                <c:pt idx="331">
                  <c:v>-2.2819070911063856E-3</c:v>
                </c:pt>
                <c:pt idx="332">
                  <c:v>-2.2774311120495666E-3</c:v>
                </c:pt>
                <c:pt idx="333">
                  <c:v>-2.2728429685553212E-3</c:v>
                </c:pt>
                <c:pt idx="334">
                  <c:v>-2.2681448241269712E-3</c:v>
                </c:pt>
                <c:pt idx="335">
                  <c:v>-2.2534120202704977E-3</c:v>
                </c:pt>
                <c:pt idx="336">
                  <c:v>-2.2482955071389341E-3</c:v>
                </c:pt>
                <c:pt idx="337">
                  <c:v>-2.2430798105898685E-3</c:v>
                </c:pt>
                <c:pt idx="338">
                  <c:v>-2.2377670941266217E-3</c:v>
                </c:pt>
                <c:pt idx="339">
                  <c:v>-2.232359521252514E-3</c:v>
                </c:pt>
                <c:pt idx="340">
                  <c:v>-2.2155892991982343E-3</c:v>
                </c:pt>
                <c:pt idx="341">
                  <c:v>-2.209823935713891E-3</c:v>
                </c:pt>
                <c:pt idx="342">
                  <c:v>-2.2039745333352896E-3</c:v>
                </c:pt>
                <c:pt idx="343">
                  <c:v>-2.1980432555657519E-3</c:v>
                </c:pt>
                <c:pt idx="344">
                  <c:v>-2.1920322659085977E-3</c:v>
                </c:pt>
                <c:pt idx="345">
                  <c:v>-2.1735426606446441E-3</c:v>
                </c:pt>
                <c:pt idx="346">
                  <c:v>-2.1672344584702319E-3</c:v>
                </c:pt>
                <c:pt idx="347">
                  <c:v>-2.1608573619248056E-3</c:v>
                </c:pt>
                <c:pt idx="348">
                  <c:v>-2.1544135345116879E-3</c:v>
                </c:pt>
                <c:pt idx="349">
                  <c:v>-2.1479051397341976E-3</c:v>
                </c:pt>
                <c:pt idx="350">
                  <c:v>-2.1280141862487036E-3</c:v>
                </c:pt>
                <c:pt idx="351">
                  <c:v>-2.1212691570469322E-3</c:v>
                </c:pt>
                <c:pt idx="352">
                  <c:v>-2.1144703779973932E-3</c:v>
                </c:pt>
                <c:pt idx="353">
                  <c:v>-2.107620012603405E-3</c:v>
                </c:pt>
                <c:pt idx="354">
                  <c:v>-2.1007202243682895E-3</c:v>
                </c:pt>
                <c:pt idx="355">
                  <c:v>-2.0797459576493865E-3</c:v>
                </c:pt>
                <c:pt idx="356">
                  <c:v>-2.0726701130829679E-3</c:v>
                </c:pt>
                <c:pt idx="357">
                  <c:v>-2.0655556631920249E-3</c:v>
                </c:pt>
                <c:pt idx="358">
                  <c:v>-2.0584047714798789E-3</c:v>
                </c:pt>
                <c:pt idx="359">
                  <c:v>-2.0512196014498495E-3</c:v>
                </c:pt>
                <c:pt idx="360">
                  <c:v>-2.0294800564856692E-3</c:v>
                </c:pt>
                <c:pt idx="361">
                  <c:v>-2.0221794082173139E-3</c:v>
                </c:pt>
                <c:pt idx="362">
                  <c:v>-2.0148552991476787E-3</c:v>
                </c:pt>
                <c:pt idx="363">
                  <c:v>-2.0075098927800844E-3</c:v>
                </c:pt>
                <c:pt idx="364">
                  <c:v>-2.0001453526178521E-3</c:v>
                </c:pt>
                <c:pt idx="365">
                  <c:v>-1.9779585643965275E-3</c:v>
                </c:pt>
                <c:pt idx="366">
                  <c:v>-1.9705391240889465E-3</c:v>
                </c:pt>
                <c:pt idx="367">
                  <c:v>-1.9631113675033294E-3</c:v>
                </c:pt>
                <c:pt idx="368">
                  <c:v>-1.9556774581429978E-3</c:v>
                </c:pt>
                <c:pt idx="369">
                  <c:v>-1.9482395595112724E-3</c:v>
                </c:pt>
                <c:pt idx="370">
                  <c:v>-1.925923563020936E-3</c:v>
                </c:pt>
                <c:pt idx="371">
                  <c:v>-1.9184913423368401E-3</c:v>
                </c:pt>
                <c:pt idx="372">
                  <c:v>-1.9110659498979524E-3</c:v>
                </c:pt>
                <c:pt idx="373">
                  <c:v>-1.9036495492075946E-3</c:v>
                </c:pt>
                <c:pt idx="374">
                  <c:v>-1.8962443037690868E-3</c:v>
                </c:pt>
                <c:pt idx="375">
                  <c:v>-1.8741171339978705E-3</c:v>
                </c:pt>
                <c:pt idx="376">
                  <c:v>-1.8667781445999704E-3</c:v>
                </c:pt>
                <c:pt idx="377">
                  <c:v>-1.8594611279705228E-3</c:v>
                </c:pt>
                <c:pt idx="378">
                  <c:v>-1.8521682476128495E-3</c:v>
                </c:pt>
                <c:pt idx="379">
                  <c:v>-1.8449016670302706E-3</c:v>
                </c:pt>
                <c:pt idx="380">
                  <c:v>-1.8232813589663078E-3</c:v>
                </c:pt>
                <c:pt idx="381">
                  <c:v>-1.8161416125173132E-3</c:v>
                </c:pt>
                <c:pt idx="382">
                  <c:v>-1.8090389833600165E-3</c:v>
                </c:pt>
                <c:pt idx="383">
                  <c:v>-1.8019756349977386E-3</c:v>
                </c:pt>
                <c:pt idx="384">
                  <c:v>-1.7949537309337989E-3</c:v>
                </c:pt>
                <c:pt idx="385">
                  <c:v>-1.7741583195652214E-3</c:v>
                </c:pt>
                <c:pt idx="386">
                  <c:v>-1.7673238277278441E-3</c:v>
                </c:pt>
                <c:pt idx="387">
                  <c:v>-1.7605415977054093E-3</c:v>
                </c:pt>
                <c:pt idx="388">
                  <c:v>-1.7538137930012368E-3</c:v>
                </c:pt>
                <c:pt idx="389">
                  <c:v>-1.7471425771186475E-3</c:v>
                </c:pt>
                <c:pt idx="390">
                  <c:v>-1.7274900974335876E-3</c:v>
                </c:pt>
                <c:pt idx="391">
                  <c:v>-1.7210664261122627E-3</c:v>
                </c:pt>
                <c:pt idx="392">
                  <c:v>-1.7147074865794729E-3</c:v>
                </c:pt>
                <c:pt idx="393">
                  <c:v>-1.7084127677888853E-3</c:v>
                </c:pt>
                <c:pt idx="394">
                  <c:v>-1.7021817586941696E-3</c:v>
                </c:pt>
                <c:pt idx="395">
                  <c:v>-1.6838658791219342E-3</c:v>
                </c:pt>
                <c:pt idx="396">
                  <c:v>-1.6778845983473883E-3</c:v>
                </c:pt>
                <c:pt idx="397">
                  <c:v>-1.6719644720370568E-3</c:v>
                </c:pt>
                <c:pt idx="398">
                  <c:v>-1.6661049891446066E-3</c:v>
                </c:pt>
                <c:pt idx="399">
                  <c:v>-1.6603056386237079E-3</c:v>
                </c:pt>
                <c:pt idx="400">
                  <c:v>-1.643263270827E-3</c:v>
                </c:pt>
                <c:pt idx="401">
                  <c:v>-1.6376993393289892E-3</c:v>
                </c:pt>
                <c:pt idx="402">
                  <c:v>-1.6321929849708707E-3</c:v>
                </c:pt>
                <c:pt idx="403">
                  <c:v>-1.6267436967063141E-3</c:v>
                </c:pt>
                <c:pt idx="404">
                  <c:v>-1.6213509634889882E-3</c:v>
                </c:pt>
                <c:pt idx="405">
                  <c:v>-1.5952177364892065E-3</c:v>
                </c:pt>
                <c:pt idx="406">
                  <c:v>-1.5901536015822996E-3</c:v>
                </c:pt>
                <c:pt idx="407">
                  <c:v>-1.5851424443983019E-3</c:v>
                </c:pt>
                <c:pt idx="408">
                  <c:v>-1.5656173719647767E-3</c:v>
                </c:pt>
                <c:pt idx="409">
                  <c:v>-1.5608634377003547E-3</c:v>
                </c:pt>
                <c:pt idx="410">
                  <c:v>-1.5561594148808522E-3</c:v>
                </c:pt>
                <c:pt idx="411">
                  <c:v>-1.551504792459939E-3</c:v>
                </c:pt>
                <c:pt idx="412">
                  <c:v>-1.5378322171254188E-3</c:v>
                </c:pt>
                <c:pt idx="413">
                  <c:v>-1.5333700858355462E-3</c:v>
                </c:pt>
                <c:pt idx="414">
                  <c:v>-1.5289547997126051E-3</c:v>
                </c:pt>
                <c:pt idx="415">
                  <c:v>-1.5245858477102641E-3</c:v>
                </c:pt>
                <c:pt idx="416">
                  <c:v>-1.5202627187821916E-3</c:v>
                </c:pt>
                <c:pt idx="417">
                  <c:v>-1.5075631599802677E-3</c:v>
                </c:pt>
                <c:pt idx="418">
                  <c:v>-1.5034182128859535E-3</c:v>
                </c:pt>
                <c:pt idx="419">
                  <c:v>-1.4993165336342502E-3</c:v>
                </c:pt>
                <c:pt idx="420">
                  <c:v>-1.4952576111788255E-3</c:v>
                </c:pt>
                <c:pt idx="421">
                  <c:v>-1.4912409344733485E-3</c:v>
                </c:pt>
                <c:pt idx="422">
                  <c:v>-1.4794392683932906E-3</c:v>
                </c:pt>
                <c:pt idx="423">
                  <c:v>-1.4755864642242897E-3</c:v>
                </c:pt>
                <c:pt idx="424">
                  <c:v>-1.4717733505735789E-3</c:v>
                </c:pt>
                <c:pt idx="425">
                  <c:v>-1.4679994163948273E-3</c:v>
                </c:pt>
                <c:pt idx="426">
                  <c:v>-1.4642641506417029E-3</c:v>
                </c:pt>
                <c:pt idx="427">
                  <c:v>-1.4532852534727767E-3</c:v>
                </c:pt>
                <c:pt idx="428">
                  <c:v>-1.4496995509588456E-3</c:v>
                </c:pt>
                <c:pt idx="429">
                  <c:v>-1.4461499616388843E-3</c:v>
                </c:pt>
                <c:pt idx="430">
                  <c:v>-1.4426359744665609E-3</c:v>
                </c:pt>
                <c:pt idx="431">
                  <c:v>-1.4391570783955439E-3</c:v>
                </c:pt>
                <c:pt idx="432">
                  <c:v>-1.4289258263270178E-3</c:v>
                </c:pt>
                <c:pt idx="433">
                  <c:v>-1.425582184197912E-3</c:v>
                </c:pt>
                <c:pt idx="434">
                  <c:v>-1.4222710779384553E-3</c:v>
                </c:pt>
                <c:pt idx="435">
                  <c:v>-1.4189919965023167E-3</c:v>
                </c:pt>
                <c:pt idx="436">
                  <c:v>-1.4157444288431631E-3</c:v>
                </c:pt>
                <c:pt idx="437">
                  <c:v>-1.4061856980643046E-3</c:v>
                </c:pt>
                <c:pt idx="438">
                  <c:v>-1.4030590750497801E-3</c:v>
                </c:pt>
                <c:pt idx="439">
                  <c:v>-1.3999614105805842E-3</c:v>
                </c:pt>
                <c:pt idx="440">
                  <c:v>-1.3968921936103849E-3</c:v>
                </c:pt>
                <c:pt idx="441">
                  <c:v>-1.3938509130928514E-3</c:v>
                </c:pt>
                <c:pt idx="442">
                  <c:v>-1.3848895797929275E-3</c:v>
                </c:pt>
                <c:pt idx="443">
                  <c:v>-1.3819549346227402E-3</c:v>
                </c:pt>
                <c:pt idx="444">
                  <c:v>-1.3790456706735607E-3</c:v>
                </c:pt>
                <c:pt idx="445">
                  <c:v>-1.3761612768990574E-3</c:v>
                </c:pt>
                <c:pt idx="446">
                  <c:v>-1.3733012422528991E-3</c:v>
                </c:pt>
                <c:pt idx="447">
                  <c:v>-1.3648621826211774E-3</c:v>
                </c:pt>
                <c:pt idx="448">
                  <c:v>-1.362094474025083E-3</c:v>
                </c:pt>
                <c:pt idx="449">
                  <c:v>-1.3593485693256758E-3</c:v>
                </c:pt>
                <c:pt idx="450">
                  <c:v>-1.3566239574766244E-3</c:v>
                </c:pt>
                <c:pt idx="451">
                  <c:v>-1.3539201274315976E-3</c:v>
                </c:pt>
                <c:pt idx="452">
                  <c:v>-1.3459282176573454E-3</c:v>
                </c:pt>
                <c:pt idx="453">
                  <c:v>-1.3433024043650998E-3</c:v>
                </c:pt>
                <c:pt idx="454">
                  <c:v>-1.3406948176452212E-3</c:v>
                </c:pt>
                <c:pt idx="455">
                  <c:v>-1.338104946451377E-3</c:v>
                </c:pt>
                <c:pt idx="456">
                  <c:v>-1.3355322797372366E-3</c:v>
                </c:pt>
                <c:pt idx="457">
                  <c:v>-1.3279123960097227E-3</c:v>
                </c:pt>
                <c:pt idx="458">
                  <c:v>-1.3254034367510812E-3</c:v>
                </c:pt>
                <c:pt idx="459">
                  <c:v>-1.3229091267404863E-3</c:v>
                </c:pt>
                <c:pt idx="460">
                  <c:v>-1.320428954931606E-3</c:v>
                </c:pt>
                <c:pt idx="461">
                  <c:v>-1.3179624102781088E-3</c:v>
                </c:pt>
                <c:pt idx="462">
                  <c:v>-1.3106394287865993E-3</c:v>
                </c:pt>
                <c:pt idx="463">
                  <c:v>-1.3082222822913187E-3</c:v>
                </c:pt>
                <c:pt idx="464">
                  <c:v>-1.3058162077197635E-3</c:v>
                </c:pt>
                <c:pt idx="465">
                  <c:v>-1.3034206940256022E-3</c:v>
                </c:pt>
                <c:pt idx="466">
                  <c:v>-1.3010352301625035E-3</c:v>
                </c:pt>
                <c:pt idx="467">
                  <c:v>-1.2939340270962663E-3</c:v>
                </c:pt>
                <c:pt idx="468">
                  <c:v>-1.291583652094102E-3</c:v>
                </c:pt>
                <c:pt idx="469">
                  <c:v>-1.2892407716913424E-3</c:v>
                </c:pt>
                <c:pt idx="470">
                  <c:v>-1.2869048748416563E-3</c:v>
                </c:pt>
                <c:pt idx="471">
                  <c:v>-1.2753122572677226E-3</c:v>
                </c:pt>
                <c:pt idx="472">
                  <c:v>-1.2730075297635146E-3</c:v>
                </c:pt>
                <c:pt idx="473">
                  <c:v>-1.2707062084880592E-3</c:v>
                </c:pt>
                <c:pt idx="474">
                  <c:v>-1.2684077823950253E-3</c:v>
                </c:pt>
                <c:pt idx="475">
                  <c:v>-1.2615247647471356E-3</c:v>
                </c:pt>
                <c:pt idx="476">
                  <c:v>-1.2592328089204715E-3</c:v>
                </c:pt>
                <c:pt idx="477">
                  <c:v>-1.2569411930445707E-3</c:v>
                </c:pt>
                <c:pt idx="478">
                  <c:v>-1.2546494060731023E-3</c:v>
                </c:pt>
                <c:pt idx="479">
                  <c:v>-1.2523569369597342E-3</c:v>
                </c:pt>
                <c:pt idx="480">
                  <c:v>-1.2454703263049193E-3</c:v>
                </c:pt>
                <c:pt idx="481">
                  <c:v>-1.2431700181606388E-3</c:v>
                </c:pt>
                <c:pt idx="482">
                  <c:v>-1.2408664726428014E-3</c:v>
                </c:pt>
                <c:pt idx="483">
                  <c:v>-1.2385591787050754E-3</c:v>
                </c:pt>
                <c:pt idx="484">
                  <c:v>-1.2362476253011297E-3</c:v>
                </c:pt>
                <c:pt idx="485">
                  <c:v>-1.2292822978286569E-3</c:v>
                </c:pt>
                <c:pt idx="486">
                  <c:v>-1.226948596096516E-3</c:v>
                </c:pt>
                <c:pt idx="487">
                  <c:v>-1.2246080796664977E-3</c:v>
                </c:pt>
                <c:pt idx="488">
                  <c:v>-1.22226023749227E-3</c:v>
                </c:pt>
                <c:pt idx="489">
                  <c:v>-1.2199045585275018E-3</c:v>
                </c:pt>
                <c:pt idx="490">
                  <c:v>-1.2127853904266392E-3</c:v>
                </c:pt>
                <c:pt idx="491">
                  <c:v>-1.2079907252239498E-3</c:v>
                </c:pt>
                <c:pt idx="492">
                  <c:v>-1.2055772935429768E-3</c:v>
                </c:pt>
                <c:pt idx="493">
                  <c:v>-1.2031524477471424E-3</c:v>
                </c:pt>
                <c:pt idx="494">
                  <c:v>-1.195804315207157E-3</c:v>
                </c:pt>
                <c:pt idx="495">
                  <c:v>-1.193328702488563E-3</c:v>
                </c:pt>
                <c:pt idx="496">
                  <c:v>-1.1908391204234498E-3</c:v>
                </c:pt>
                <c:pt idx="497">
                  <c:v>-1.1883350579654866E-3</c:v>
                </c:pt>
                <c:pt idx="498">
                  <c:v>-1.1858160040683417E-3</c:v>
                </c:pt>
                <c:pt idx="499">
                  <c:v>-1.1781637832785007E-3</c:v>
                </c:pt>
                <c:pt idx="500">
                  <c:v>-1.1755796531613134E-3</c:v>
                </c:pt>
                <c:pt idx="501">
                  <c:v>-1.1729779763732873E-3</c:v>
                </c:pt>
                <c:pt idx="502">
                  <c:v>-1.17035824186809E-3</c:v>
                </c:pt>
                <c:pt idx="503">
                  <c:v>-1.1677199385993905E-3</c:v>
                </c:pt>
                <c:pt idx="504">
                  <c:v>-1.1596885057489623E-3</c:v>
                </c:pt>
                <c:pt idx="505">
                  <c:v>-1.1569708169629381E-3</c:v>
                </c:pt>
                <c:pt idx="506">
                  <c:v>-1.1542320041817537E-3</c:v>
                </c:pt>
                <c:pt idx="507">
                  <c:v>-1.151471556359078E-3</c:v>
                </c:pt>
                <c:pt idx="508">
                  <c:v>-1.1486889624485797E-3</c:v>
                </c:pt>
                <c:pt idx="509">
                  <c:v>-1.1402031937268315E-3</c:v>
                </c:pt>
                <c:pt idx="510">
                  <c:v>-1.137326905001726E-3</c:v>
                </c:pt>
                <c:pt idx="511">
                  <c:v>-1.1344259149571403E-3</c:v>
                </c:pt>
                <c:pt idx="512">
                  <c:v>-1.1314997125467421E-3</c:v>
                </c:pt>
                <c:pt idx="513">
                  <c:v>-1.1285477867242007E-3</c:v>
                </c:pt>
                <c:pt idx="514">
                  <c:v>-1.1195325583203998E-3</c:v>
                </c:pt>
                <c:pt idx="515">
                  <c:v>-1.1164727405820099E-3</c:v>
                </c:pt>
                <c:pt idx="516">
                  <c:v>-1.1133853173760646E-3</c:v>
                </c:pt>
                <c:pt idx="517">
                  <c:v>-1.1102704508324777E-3</c:v>
                </c:pt>
                <c:pt idx="518">
                  <c:v>-1.1071283030811641E-3</c:v>
                </c:pt>
                <c:pt idx="519">
                  <c:v>-1.0975397938800039E-3</c:v>
                </c:pt>
                <c:pt idx="520">
                  <c:v>-1.0942901425969242E-3</c:v>
                </c:pt>
                <c:pt idx="521">
                  <c:v>-1.0910140207556886E-3</c:v>
                </c:pt>
                <c:pt idx="522">
                  <c:v>-1.0877115904862108E-3</c:v>
                </c:pt>
                <c:pt idx="523">
                  <c:v>-1.084383013918405E-3</c:v>
                </c:pt>
                <c:pt idx="524">
                  <c:v>-1.0742420277241656E-3</c:v>
                </c:pt>
                <c:pt idx="525">
                  <c:v>-1.070810487262191E-3</c:v>
                </c:pt>
                <c:pt idx="526">
                  <c:v>-1.0673536111514609E-3</c:v>
                </c:pt>
                <c:pt idx="527">
                  <c:v>-1.0638715615218875E-3</c:v>
                </c:pt>
                <c:pt idx="528">
                  <c:v>-1.0603645005033858E-3</c:v>
                </c:pt>
                <c:pt idx="529">
                  <c:v>-1.0496948704134521E-3</c:v>
                </c:pt>
                <c:pt idx="530">
                  <c:v>-1.0460893851383791E-3</c:v>
                </c:pt>
                <c:pt idx="531">
                  <c:v>-1.042459699123949E-3</c:v>
                </c:pt>
                <c:pt idx="532">
                  <c:v>-1.0388059745000753E-3</c:v>
                </c:pt>
                <c:pt idx="533">
                  <c:v>-1.0351283733966733E-3</c:v>
                </c:pt>
                <c:pt idx="534">
                  <c:v>-1.0239539325084333E-3</c:v>
                </c:pt>
                <c:pt idx="535">
                  <c:v>-1.0201824467860566E-3</c:v>
                </c:pt>
                <c:pt idx="536">
                  <c:v>-1.0163878952337219E-3</c:v>
                </c:pt>
                <c:pt idx="537">
                  <c:v>-1.0125704399813432E-3</c:v>
                </c:pt>
                <c:pt idx="538">
                  <c:v>-1.0087302431588357E-3</c:v>
                </c:pt>
                <c:pt idx="539">
                  <c:v>-9.970748245696757E-4</c:v>
                </c:pt>
                <c:pt idx="540">
                  <c:v>-9.93145282765791E-4</c:v>
                </c:pt>
                <c:pt idx="541">
                  <c:v>-9.8919381004134756E-4</c:v>
                </c:pt>
                <c:pt idx="542">
                  <c:v>-9.8522056852625947E-4</c:v>
                </c:pt>
                <c:pt idx="543">
                  <c:v>-9.8122572035044126E-4</c:v>
                </c:pt>
                <c:pt idx="544">
                  <c:v>-9.6911315715774728E-4</c:v>
                </c:pt>
                <c:pt idx="545">
                  <c:v>-9.650335036381504E-4</c:v>
                </c:pt>
                <c:pt idx="546">
                  <c:v>-9.6093305410739345E-4</c:v>
                </c:pt>
                <c:pt idx="547">
                  <c:v>-9.5681197069539148E-4</c:v>
                </c:pt>
                <c:pt idx="548">
                  <c:v>-9.526704155320586E-4</c:v>
                </c:pt>
                <c:pt idx="549">
                  <c:v>-9.4012454083321662E-4</c:v>
                </c:pt>
                <c:pt idx="550">
                  <c:v>-9.359027199637019E-4</c:v>
                </c:pt>
                <c:pt idx="551">
                  <c:v>-9.3166123799242706E-4</c:v>
                </c:pt>
                <c:pt idx="552">
                  <c:v>-9.2740025704930718E-4</c:v>
                </c:pt>
                <c:pt idx="553">
                  <c:v>-9.2311993926425515E-4</c:v>
                </c:pt>
                <c:pt idx="554">
                  <c:v>-9.1016458615665087E-4</c:v>
                </c:pt>
                <c:pt idx="555">
                  <c:v>-9.0580854230301415E-4</c:v>
                </c:pt>
                <c:pt idx="556">
                  <c:v>-9.0143397225701772E-4</c:v>
                </c:pt>
                <c:pt idx="557">
                  <c:v>-8.9704103814857382E-4</c:v>
                </c:pt>
                <c:pt idx="558">
                  <c:v>-8.9262990210759851E-4</c:v>
                </c:pt>
                <c:pt idx="559">
                  <c:v>-8.7928890368861904E-4</c:v>
                </c:pt>
                <c:pt idx="560">
                  <c:v>-8.7480658121665586E-4</c:v>
                </c:pt>
                <c:pt idx="561">
                  <c:v>-8.7030686746173151E-4</c:v>
                </c:pt>
                <c:pt idx="562">
                  <c:v>-8.657899245537601E-4</c:v>
                </c:pt>
                <c:pt idx="563">
                  <c:v>-8.6125591462265637E-4</c:v>
                </c:pt>
                <c:pt idx="564">
                  <c:v>-8.4755310398968852E-4</c:v>
                </c:pt>
                <c:pt idx="565">
                  <c:v>-8.4295244726519439E-4</c:v>
                </c:pt>
                <c:pt idx="566">
                  <c:v>-8.3833553416713842E-4</c:v>
                </c:pt>
                <c:pt idx="567">
                  <c:v>-8.3370252682543459E-4</c:v>
                </c:pt>
                <c:pt idx="568">
                  <c:v>-8.2905358736999721E-4</c:v>
                </c:pt>
                <c:pt idx="569">
                  <c:v>-8.1501279762042646E-4</c:v>
                </c:pt>
                <c:pt idx="570">
                  <c:v>-8.1030175100919768E-4</c:v>
                </c:pt>
                <c:pt idx="571">
                  <c:v>-8.0557558293380528E-4</c:v>
                </c:pt>
                <c:pt idx="572">
                  <c:v>-8.0083445552416466E-4</c:v>
                </c:pt>
                <c:pt idx="573">
                  <c:v>-7.960785309101897E-4</c:v>
                </c:pt>
                <c:pt idx="574">
                  <c:v>-7.8172359514140177E-4</c:v>
                </c:pt>
                <c:pt idx="575">
                  <c:v>-7.7691010300923267E-4</c:v>
                </c:pt>
                <c:pt idx="576">
                  <c:v>-7.7208262432229959E-4</c:v>
                </c:pt>
                <c:pt idx="577">
                  <c:v>-7.6724132121051825E-4</c:v>
                </c:pt>
                <c:pt idx="578">
                  <c:v>-7.6238635580380123E-4</c:v>
                </c:pt>
                <c:pt idx="579">
                  <c:v>-7.4774110711318292E-4</c:v>
                </c:pt>
                <c:pt idx="580">
                  <c:v>-7.4283311382586836E-4</c:v>
                </c:pt>
                <c:pt idx="581">
                  <c:v>-7.3791226889318991E-4</c:v>
                </c:pt>
                <c:pt idx="582">
                  <c:v>-7.329787344450624E-4</c:v>
                </c:pt>
                <c:pt idx="583">
                  <c:v>-7.2803267261139875E-4</c:v>
                </c:pt>
                <c:pt idx="584">
                  <c:v>-7.1312094409633716E-4</c:v>
                </c:pt>
                <c:pt idx="585">
                  <c:v>-7.0812639401967323E-4</c:v>
                </c:pt>
                <c:pt idx="586">
                  <c:v>-7.0312012720704481E-4</c:v>
                </c:pt>
                <c:pt idx="587">
                  <c:v>-6.9810230578836591E-4</c:v>
                </c:pt>
                <c:pt idx="588">
                  <c:v>-6.9307309189355092E-4</c:v>
                </c:pt>
                <c:pt idx="589">
                  <c:v>-6.7791871665143254E-4</c:v>
                </c:pt>
                <c:pt idx="590">
                  <c:v>-6.7284555415121476E-4</c:v>
                </c:pt>
                <c:pt idx="591">
                  <c:v>-6.677618098244318E-4</c:v>
                </c:pt>
                <c:pt idx="592">
                  <c:v>-6.6266764580099778E-4</c:v>
                </c:pt>
                <c:pt idx="593">
                  <c:v>-6.5756322421082689E-4</c:v>
                </c:pt>
                <c:pt idx="594">
                  <c:v>-6.4219003533903622E-4</c:v>
                </c:pt>
                <c:pt idx="595">
                  <c:v>-6.3704620478105989E-4</c:v>
                </c:pt>
                <c:pt idx="596">
                  <c:v>-6.3189292730591858E-4</c:v>
                </c:pt>
                <c:pt idx="597">
                  <c:v>-6.2673036504352474E-4</c:v>
                </c:pt>
                <c:pt idx="598">
                  <c:v>-6.2155868012379357E-4</c:v>
                </c:pt>
                <c:pt idx="599">
                  <c:v>-6.0599051071971678E-4</c:v>
                </c:pt>
                <c:pt idx="600">
                  <c:v>-6.0078395646977743E-4</c:v>
                </c:pt>
                <c:pt idx="601">
                  <c:v>-5.9556909021207252E-4</c:v>
                </c:pt>
                <c:pt idx="602">
                  <c:v>-5.9034607407651429E-4</c:v>
                </c:pt>
                <c:pt idx="603">
                  <c:v>-5.8511507019301892E-4</c:v>
                </c:pt>
                <c:pt idx="604">
                  <c:v>-5.6937575335404321E-4</c:v>
                </c:pt>
                <c:pt idx="605">
                  <c:v>-5.6411441977793637E-4</c:v>
                </c:pt>
                <c:pt idx="606">
                  <c:v>-5.5884590910346209E-4</c:v>
                </c:pt>
                <c:pt idx="607">
                  <c:v>-5.5357038346053598E-4</c:v>
                </c:pt>
                <c:pt idx="608">
                  <c:v>-5.4828800497907007E-4</c:v>
                </c:pt>
                <c:pt idx="609">
                  <c:v>-5.3240137380258258E-4</c:v>
                </c:pt>
                <c:pt idx="610">
                  <c:v>-5.2709320526610345E-4</c:v>
                </c:pt>
                <c:pt idx="611">
                  <c:v>-5.2177899454065651E-4</c:v>
                </c:pt>
                <c:pt idx="612">
                  <c:v>-5.1645890375615587E-4</c:v>
                </c:pt>
                <c:pt idx="613">
                  <c:v>-5.1113309504251584E-4</c:v>
                </c:pt>
                <c:pt idx="614">
                  <c:v>-4.9512298262590184E-4</c:v>
                </c:pt>
                <c:pt idx="615">
                  <c:v>-4.897759234948468E-4</c:v>
                </c:pt>
                <c:pt idx="616">
                  <c:v>-4.8442395708422247E-4</c:v>
                </c:pt>
                <c:pt idx="617">
                  <c:v>-4.7906724552394375E-4</c:v>
                </c:pt>
                <c:pt idx="618">
                  <c:v>-4.7370595094392494E-4</c:v>
                </c:pt>
                <c:pt idx="619">
                  <c:v>-4.575961903845709E-4</c:v>
                </c:pt>
                <c:pt idx="620">
                  <c:v>-4.522181850247336E-4</c:v>
                </c:pt>
                <c:pt idx="621">
                  <c:v>-4.4683640729472804E-4</c:v>
                </c:pt>
                <c:pt idx="622">
                  <c:v>-4.4145101932446682E-4</c:v>
                </c:pt>
                <c:pt idx="623">
                  <c:v>-4.3606218324386466E-4</c:v>
                </c:pt>
                <c:pt idx="624">
                  <c:v>-4.1987660763915586E-4</c:v>
                </c:pt>
                <c:pt idx="625">
                  <c:v>-4.1447560041633268E-4</c:v>
                </c:pt>
                <c:pt idx="626">
                  <c:v>-4.0907195573274056E-4</c:v>
                </c:pt>
                <c:pt idx="627">
                  <c:v>-4.0366583571829198E-4</c:v>
                </c:pt>
                <c:pt idx="628">
                  <c:v>-3.9825740250290292E-4</c:v>
                </c:pt>
                <c:pt idx="629">
                  <c:v>-3.8201984495022642E-4</c:v>
                </c:pt>
                <c:pt idx="630">
                  <c:v>-3.7660378023021267E-4</c:v>
                </c:pt>
                <c:pt idx="631">
                  <c:v>-3.7118621295882865E-4</c:v>
                </c:pt>
                <c:pt idx="632">
                  <c:v>-3.6576730526598818E-4</c:v>
                </c:pt>
                <c:pt idx="633">
                  <c:v>-3.6034721928160666E-4</c:v>
                </c:pt>
                <c:pt idx="634">
                  <c:v>-3.440815128783497E-4</c:v>
                </c:pt>
                <c:pt idx="635">
                  <c:v>-3.3865833502694096E-4</c:v>
                </c:pt>
                <c:pt idx="636">
                  <c:v>-3.3323478953356116E-4</c:v>
                </c:pt>
                <c:pt idx="637">
                  <c:v>-3.2781103852812433E-4</c:v>
                </c:pt>
                <c:pt idx="638">
                  <c:v>-3.2238724414054485E-4</c:v>
                </c:pt>
                <c:pt idx="639">
                  <c:v>-3.0611722198409274E-4</c:v>
                </c:pt>
                <c:pt idx="640">
                  <c:v>-3.0069487536708519E-4</c:v>
                </c:pt>
                <c:pt idx="641">
                  <c:v>-2.9527329601750503E-4</c:v>
                </c:pt>
                <c:pt idx="642">
                  <c:v>-2.8985264606526726E-4</c:v>
                </c:pt>
                <c:pt idx="643">
                  <c:v>-2.844330876402862E-4</c:v>
                </c:pt>
                <c:pt idx="644">
                  <c:v>-2.681825828280245E-4</c:v>
                </c:pt>
                <c:pt idx="645">
                  <c:v>-2.6276898014936193E-4</c:v>
                </c:pt>
                <c:pt idx="646">
                  <c:v>-2.5735708967642156E-4</c:v>
                </c:pt>
                <c:pt idx="647">
                  <c:v>-2.5194688356801472E-4</c:v>
                </c:pt>
                <c:pt idx="648">
                  <c:v>-2.465383339829494E-4</c:v>
                </c:pt>
                <c:pt idx="649">
                  <c:v>-2.303223459559041E-4</c:v>
                </c:pt>
                <c:pt idx="650">
                  <c:v>-2.2492014405230471E-4</c:v>
                </c:pt>
                <c:pt idx="651">
                  <c:v>-2.1951945946609586E-4</c:v>
                </c:pt>
                <c:pt idx="652">
                  <c:v>-2.1412026435608828E-4</c:v>
                </c:pt>
                <c:pt idx="653">
                  <c:v>-2.0872253088108966E-4</c:v>
                </c:pt>
                <c:pt idx="654">
                  <c:v>-1.9253782185425075E-4</c:v>
                </c:pt>
                <c:pt idx="655">
                  <c:v>-1.8714565650738822E-4</c:v>
                </c:pt>
                <c:pt idx="656">
                  <c:v>-1.81754813589584E-4</c:v>
                </c:pt>
                <c:pt idx="657">
                  <c:v>-1.7636526525964755E-4</c:v>
                </c:pt>
                <c:pt idx="658">
                  <c:v>-1.7097698367638859E-4</c:v>
                </c:pt>
                <c:pt idx="659">
                  <c:v>-1.5481946099477482E-4</c:v>
                </c:pt>
                <c:pt idx="660">
                  <c:v>-1.3867233675040399E-4</c:v>
                </c:pt>
                <c:pt idx="661">
                  <c:v>-1.3329214284055758E-4</c:v>
                </c:pt>
                <c:pt idx="662">
                  <c:v>-1.1715771384918597E-4</c:v>
                </c:pt>
                <c:pt idx="663">
                  <c:v>-1.0640627672484066E-4</c:v>
                </c:pt>
                <c:pt idx="664">
                  <c:v>-1.0103192930006712E-4</c:v>
                </c:pt>
                <c:pt idx="665">
                  <c:v>-9.5658458845306204E-5</c:v>
                </c:pt>
                <c:pt idx="666">
                  <c:v>-7.954303088919556E-5</c:v>
                </c:pt>
                <c:pt idx="667">
                  <c:v>-7.4172789902582438E-5</c:v>
                </c:pt>
                <c:pt idx="668">
                  <c:v>-6.8803286680029242E-5</c:v>
                </c:pt>
                <c:pt idx="669">
                  <c:v>-6.3434493380346618E-5</c:v>
                </c:pt>
                <c:pt idx="670">
                  <c:v>-5.8066382162344972E-5</c:v>
                </c:pt>
                <c:pt idx="671">
                  <c:v>-4.196586258651492E-5</c:v>
                </c:pt>
                <c:pt idx="672">
                  <c:v>-3.6600201283329524E-5</c:v>
                </c:pt>
                <c:pt idx="673">
                  <c:v>-3.1235082855872576E-5</c:v>
                </c:pt>
                <c:pt idx="674">
                  <c:v>-2.5870479462954577E-5</c:v>
                </c:pt>
                <c:pt idx="675">
                  <c:v>-2.050636326338338E-5</c:v>
                </c:pt>
                <c:pt idx="676">
                  <c:v>-4.4166594128535705E-6</c:v>
                </c:pt>
                <c:pt idx="677">
                  <c:v>9.4578642523022091E-7</c:v>
                </c:pt>
                <c:pt idx="678">
                  <c:v>6.307884275918038E-6</c:v>
                </c:pt>
                <c:pt idx="679">
                  <c:v>1.1669661980400231E-5</c:v>
                </c:pt>
                <c:pt idx="680">
                  <c:v>1.7031147379867144E-5</c:v>
                </c:pt>
                <c:pt idx="681">
                  <c:v>3.3114128160078858E-5</c:v>
                </c:pt>
                <c:pt idx="682">
                  <c:v>3.8474722751387294E-5</c:v>
                </c:pt>
                <c:pt idx="683">
                  <c:v>4.3835164243633081E-5</c:v>
                </c:pt>
                <c:pt idx="684">
                  <c:v>4.9195480478005655E-5</c:v>
                </c:pt>
                <c:pt idx="685">
                  <c:v>5.4555699295695367E-5</c:v>
                </c:pt>
                <c:pt idx="686">
                  <c:v>7.0636049660570218E-5</c:v>
                </c:pt>
                <c:pt idx="687">
                  <c:v>7.5996157223432063E-5</c:v>
                </c:pt>
                <c:pt idx="688">
                  <c:v>8.1356306575562881E-5</c:v>
                </c:pt>
                <c:pt idx="689">
                  <c:v>8.6716525558152026E-5</c:v>
                </c:pt>
                <c:pt idx="690">
                  <c:v>9.20768420123917E-5</c:v>
                </c:pt>
                <c:pt idx="691">
                  <c:v>1.0815865461691175E-4</c:v>
                </c:pt>
                <c:pt idx="692">
                  <c:v>1.1351963936965326E-4</c:v>
                </c:pt>
                <c:pt idx="693">
                  <c:v>1.188808607999953E-4</c:v>
                </c:pt>
                <c:pt idx="694">
                  <c:v>1.2424234674912986E-4</c:v>
                </c:pt>
                <c:pt idx="695">
                  <c:v>1.2960412505824643E-4</c:v>
                </c:pt>
                <c:pt idx="696">
                  <c:v>1.4569149255739121E-4</c:v>
                </c:pt>
                <c:pt idx="697">
                  <c:v>1.5105471871833948E-4</c:v>
                </c:pt>
                <c:pt idx="698">
                  <c:v>1.564183764452215E-4</c:v>
                </c:pt>
                <c:pt idx="699">
                  <c:v>1.6178249357922685E-4</c:v>
                </c:pt>
                <c:pt idx="700">
                  <c:v>1.6714709796154757E-4</c:v>
                </c:pt>
                <c:pt idx="701">
                  <c:v>1.8324411301029909E-4</c:v>
                </c:pt>
                <c:pt idx="702">
                  <c:v>1.8861094479778121E-4</c:v>
                </c:pt>
                <c:pt idx="703">
                  <c:v>1.9397840303952949E-4</c:v>
                </c:pt>
                <c:pt idx="704">
                  <c:v>1.9934651557673439E-4</c:v>
                </c:pt>
                <c:pt idx="705">
                  <c:v>2.0471531025058622E-4</c:v>
                </c:pt>
                <c:pt idx="706">
                  <c:v>2.2082606550392577E-4</c:v>
                </c:pt>
                <c:pt idx="707">
                  <c:v>2.2619786713626874E-4</c:v>
                </c:pt>
                <c:pt idx="708">
                  <c:v>2.3157049011120954E-4</c:v>
                </c:pt>
                <c:pt idx="709">
                  <c:v>2.3694396226994017E-4</c:v>
                </c:pt>
                <c:pt idx="710">
                  <c:v>2.4231831145365022E-4</c:v>
                </c:pt>
                <c:pt idx="711">
                  <c:v>2.5844689956655906E-4</c:v>
                </c:pt>
                <c:pt idx="712">
                  <c:v>2.6382503526208999E-4</c:v>
                </c:pt>
                <c:pt idx="713">
                  <c:v>2.6920418718855203E-4</c:v>
                </c:pt>
                <c:pt idx="714">
                  <c:v>2.7458438318713559E-4</c:v>
                </c:pt>
                <c:pt idx="715">
                  <c:v>2.7996565109903007E-4</c:v>
                </c:pt>
                <c:pt idx="716">
                  <c:v>2.9611616472649028E-4</c:v>
                </c:pt>
                <c:pt idx="717">
                  <c:v>3.0150199870353624E-4</c:v>
                </c:pt>
                <c:pt idx="718">
                  <c:v>3.0688904379984496E-4</c:v>
                </c:pt>
                <c:pt idx="719">
                  <c:v>3.1227732785660836E-4</c:v>
                </c:pt>
                <c:pt idx="720">
                  <c:v>3.1766687871501598E-4</c:v>
                </c:pt>
                <c:pt idx="721">
                  <c:v>3.3384341051200715E-4</c:v>
                </c:pt>
                <c:pt idx="722">
                  <c:v>3.392383069888953E-4</c:v>
                </c:pt>
                <c:pt idx="723">
                  <c:v>3.4463460947337945E-4</c:v>
                </c:pt>
                <c:pt idx="724">
                  <c:v>3.5003234580664987E-4</c:v>
                </c:pt>
                <c:pt idx="725">
                  <c:v>3.5543154382989617E-4</c:v>
                </c:pt>
                <c:pt idx="726">
                  <c:v>3.716381864514002E-4</c:v>
                </c:pt>
                <c:pt idx="727">
                  <c:v>3.770435096464575E-4</c:v>
                </c:pt>
                <c:pt idx="728">
                  <c:v>3.8245043373744331E-4</c:v>
                </c:pt>
                <c:pt idx="729">
                  <c:v>3.8785898656554777E-4</c:v>
                </c:pt>
                <c:pt idx="730">
                  <c:v>3.9326919597196139E-4</c:v>
                </c:pt>
                <c:pt idx="731">
                  <c:v>4.0951004207295967E-4</c:v>
                </c:pt>
                <c:pt idx="732">
                  <c:v>4.1492715620451335E-4</c:v>
                </c:pt>
                <c:pt idx="733">
                  <c:v>4.2034606612032687E-4</c:v>
                </c:pt>
                <c:pt idx="734">
                  <c:v>4.257667996615927E-4</c:v>
                </c:pt>
                <c:pt idx="735">
                  <c:v>4.3118938466949987E-4</c:v>
                </c:pt>
                <c:pt idx="736">
                  <c:v>4.4746852690497437E-4</c:v>
                </c:pt>
                <c:pt idx="737">
                  <c:v>4.5289879619135056E-4</c:v>
                </c:pt>
                <c:pt idx="738">
                  <c:v>4.583310561503208E-4</c:v>
                </c:pt>
                <c:pt idx="739">
                  <c:v>4.6376533462307474E-4</c:v>
                </c:pt>
                <c:pt idx="740">
                  <c:v>4.9096797913526042E-4</c:v>
                </c:pt>
                <c:pt idx="741">
                  <c:v>4.9641495335571353E-4</c:v>
                </c:pt>
                <c:pt idx="742">
                  <c:v>5.0186414097828187E-4</c:v>
                </c:pt>
                <c:pt idx="743">
                  <c:v>5.0731556984415758E-4</c:v>
                </c:pt>
                <c:pt idx="744">
                  <c:v>5.2368358231352579E-4</c:v>
                </c:pt>
                <c:pt idx="745">
                  <c:v>5.2914425456453075E-4</c:v>
                </c:pt>
                <c:pt idx="746">
                  <c:v>5.4007276825550549E-4</c:v>
                </c:pt>
                <c:pt idx="747">
                  <c:v>5.4554066537785607E-4</c:v>
                </c:pt>
                <c:pt idx="748">
                  <c:v>5.6195925194664335E-4</c:v>
                </c:pt>
                <c:pt idx="749">
                  <c:v>5.6743717200745207E-4</c:v>
                </c:pt>
                <c:pt idx="750">
                  <c:v>5.729176674058522E-4</c:v>
                </c:pt>
                <c:pt idx="751">
                  <c:v>5.7840076598303326E-4</c:v>
                </c:pt>
                <c:pt idx="752">
                  <c:v>5.8388649558018565E-4</c:v>
                </c:pt>
                <c:pt idx="753">
                  <c:v>6.0035974890337363E-4</c:v>
                </c:pt>
                <c:pt idx="754">
                  <c:v>6.058562809923147E-4</c:v>
                </c:pt>
                <c:pt idx="755">
                  <c:v>6.1135558330717898E-4</c:v>
                </c:pt>
                <c:pt idx="756">
                  <c:v>6.168576836891557E-4</c:v>
                </c:pt>
                <c:pt idx="757">
                  <c:v>6.2236260997943719E-4</c:v>
                </c:pt>
                <c:pt idx="758">
                  <c:v>6.3889462271200738E-4</c:v>
                </c:pt>
                <c:pt idx="759">
                  <c:v>6.4441113104740633E-4</c:v>
                </c:pt>
                <c:pt idx="760">
                  <c:v>6.4993060449706195E-4</c:v>
                </c:pt>
                <c:pt idx="761">
                  <c:v>6.5545307090216312E-4</c:v>
                </c:pt>
                <c:pt idx="762">
                  <c:v>6.6097855810390066E-4</c:v>
                </c:pt>
                <c:pt idx="763">
                  <c:v>6.7757342290083284E-4</c:v>
                </c:pt>
                <c:pt idx="764">
                  <c:v>6.8311127170101859E-4</c:v>
                </c:pt>
                <c:pt idx="765">
                  <c:v>6.8865228050379228E-4</c:v>
                </c:pt>
                <c:pt idx="766">
                  <c:v>6.9419647715034333E-4</c:v>
                </c:pt>
                <c:pt idx="767">
                  <c:v>6.9974388948186388E-4</c:v>
                </c:pt>
                <c:pt idx="768">
                  <c:v>7.1640569899814022E-4</c:v>
                </c:pt>
                <c:pt idx="769">
                  <c:v>7.2196624583379353E-4</c:v>
                </c:pt>
                <c:pt idx="770">
                  <c:v>7.2753010767449562E-4</c:v>
                </c:pt>
                <c:pt idx="771">
                  <c:v>7.3309727247556451E-4</c:v>
                </c:pt>
                <c:pt idx="772">
                  <c:v>7.3866772819231941E-4</c:v>
                </c:pt>
                <c:pt idx="773">
                  <c:v>7.5539872038988306E-4</c:v>
                </c:pt>
                <c:pt idx="774">
                  <c:v>7.6098221932256553E-4</c:v>
                </c:pt>
                <c:pt idx="775">
                  <c:v>7.6656894894752746E-4</c:v>
                </c:pt>
                <c:pt idx="776">
                  <c:v>7.7215889722008642E-4</c:v>
                </c:pt>
                <c:pt idx="777">
                  <c:v>7.777520520955612E-4</c:v>
                </c:pt>
                <c:pt idx="778">
                  <c:v>7.9455063589266468E-4</c:v>
                </c:pt>
                <c:pt idx="779">
                  <c:v>8.0015649673298688E-4</c:v>
                </c:pt>
                <c:pt idx="780">
                  <c:v>8.0576550395281823E-4</c:v>
                </c:pt>
                <c:pt idx="781">
                  <c:v>8.1137764550747577E-4</c:v>
                </c:pt>
                <c:pt idx="782">
                  <c:v>8.1699290935227989E-4</c:v>
                </c:pt>
                <c:pt idx="783">
                  <c:v>8.3385731418075164E-4</c:v>
                </c:pt>
                <c:pt idx="784">
                  <c:v>8.394849467393237E-4</c:v>
                </c:pt>
                <c:pt idx="785">
                  <c:v>8.4511564136463449E-4</c:v>
                </c:pt>
                <c:pt idx="786">
                  <c:v>8.5074938601200126E-4</c:v>
                </c:pt>
                <c:pt idx="787">
                  <c:v>8.5638616863674432E-4</c:v>
                </c:pt>
                <c:pt idx="788">
                  <c:v>8.7331462392841212E-4</c:v>
                </c:pt>
                <c:pt idx="789">
                  <c:v>8.7896343801584307E-4</c:v>
                </c:pt>
                <c:pt idx="790">
                  <c:v>8.8461522985724234E-4</c:v>
                </c:pt>
                <c:pt idx="791">
                  <c:v>8.9026998740792881E-4</c:v>
                </c:pt>
                <c:pt idx="792">
                  <c:v>8.9592769862322072E-4</c:v>
                </c:pt>
                <c:pt idx="793">
                  <c:v>9.1291843380991299E-4</c:v>
                </c:pt>
                <c:pt idx="794">
                  <c:v>9.1858783923681265E-4</c:v>
                </c:pt>
                <c:pt idx="795">
                  <c:v>9.2426013810491053E-4</c:v>
                </c:pt>
                <c:pt idx="796">
                  <c:v>9.2993531836952519E-4</c:v>
                </c:pt>
                <c:pt idx="797">
                  <c:v>9.3561336798597531E-4</c:v>
                </c:pt>
                <c:pt idx="798">
                  <c:v>9.5266461249952331E-4</c:v>
                </c:pt>
                <c:pt idx="799">
                  <c:v>9.5835401907650092E-4</c:v>
                </c:pt>
                <c:pt idx="800">
                  <c:v>9.640462347819057E-4</c:v>
                </c:pt>
                <c:pt idx="801">
                  <c:v>9.6974124757105836E-4</c:v>
                </c:pt>
                <c:pt idx="802">
                  <c:v>9.7543904539927661E-4</c:v>
                </c:pt>
                <c:pt idx="803">
                  <c:v>9.9254902867150887E-4</c:v>
                </c:pt>
                <c:pt idx="804">
                  <c:v>9.9825784620917305E-4</c:v>
                </c:pt>
                <c:pt idx="805">
                  <c:v>1.0039693885624966E-3</c:v>
                </c:pt>
                <c:pt idx="806">
                  <c:v>1.0096836436867969E-3</c:v>
                </c:pt>
                <c:pt idx="807">
                  <c:v>1.0154005995373916E-3</c:v>
                </c:pt>
                <c:pt idx="808">
                  <c:v>1.0325675510001362E-3</c:v>
                </c:pt>
                <c:pt idx="809">
                  <c:v>1.0382951893090986E-3</c:v>
                </c:pt>
                <c:pt idx="810">
                  <c:v>1.0440254681209494E-3</c:v>
                </c:pt>
                <c:pt idx="811">
                  <c:v>1.0497583753910061E-3</c:v>
                </c:pt>
                <c:pt idx="812">
                  <c:v>1.0554938990745887E-3</c:v>
                </c:pt>
                <c:pt idx="813">
                  <c:v>1.0727160481596733E-3</c:v>
                </c:pt>
                <c:pt idx="814">
                  <c:v>1.0784619170505429E-3</c:v>
                </c:pt>
                <c:pt idx="815">
                  <c:v>1.0842103421315303E-3</c:v>
                </c:pt>
                <c:pt idx="816">
                  <c:v>1.0899613113579546E-3</c:v>
                </c:pt>
                <c:pt idx="817">
                  <c:v>1.0957148126851341E-3</c:v>
                </c:pt>
                <c:pt idx="818">
                  <c:v>1.1129903888243877E-3</c:v>
                </c:pt>
                <c:pt idx="819">
                  <c:v>1.118753898107774E-3</c:v>
                </c:pt>
                <c:pt idx="820">
                  <c:v>1.1245198792685079E-3</c:v>
                </c:pt>
                <c:pt idx="821">
                  <c:v>1.1302883202619085E-3</c:v>
                </c:pt>
                <c:pt idx="822">
                  <c:v>1.1360592090432946E-3</c:v>
                </c:pt>
                <c:pt idx="823">
                  <c:v>1.1533864416685478E-3</c:v>
                </c:pt>
                <c:pt idx="824">
                  <c:v>1.15916700115506E-3</c:v>
                </c:pt>
                <c:pt idx="825">
                  <c:v>1.1649499482061494E-3</c:v>
                </c:pt>
                <c:pt idx="826">
                  <c:v>1.1707352707771362E-3</c:v>
                </c:pt>
                <c:pt idx="827">
                  <c:v>1.1765229568233379E-3</c:v>
                </c:pt>
                <c:pt idx="828">
                  <c:v>1.19390007536642E-3</c:v>
                </c:pt>
                <c:pt idx="829">
                  <c:v>1.1996970948666679E-3</c:v>
                </c:pt>
                <c:pt idx="830">
                  <c:v>1.2054964176187229E-3</c:v>
                </c:pt>
                <c:pt idx="831">
                  <c:v>1.2112980315779052E-3</c:v>
                </c:pt>
                <c:pt idx="832">
                  <c:v>1.2171019246995315E-3</c:v>
                </c:pt>
                <c:pt idx="833">
                  <c:v>1.2345271585922702E-3</c:v>
                </c:pt>
                <c:pt idx="834">
                  <c:v>1.2403400479168633E-3</c:v>
                </c:pt>
                <c:pt idx="835">
                  <c:v>1.2461551561804946E-3</c:v>
                </c:pt>
                <c:pt idx="836">
                  <c:v>1.2519724713384824E-3</c:v>
                </c:pt>
                <c:pt idx="837">
                  <c:v>1.2577919813461442E-3</c:v>
                </c:pt>
                <c:pt idx="838">
                  <c:v>1.2752635600203671E-3</c:v>
                </c:pt>
                <c:pt idx="839">
                  <c:v>1.2810917289799151E-3</c:v>
                </c:pt>
                <c:pt idx="840">
                  <c:v>1.2869220325657312E-3</c:v>
                </c:pt>
                <c:pt idx="841">
                  <c:v>1.2927544587331341E-3</c:v>
                </c:pt>
                <c:pt idx="842">
                  <c:v>1.2985889954374415E-3</c:v>
                </c:pt>
                <c:pt idx="843">
                  <c:v>1.3161051483249785E-3</c:v>
                </c:pt>
                <c:pt idx="844">
                  <c:v>1.3219480067300905E-3</c:v>
                </c:pt>
                <c:pt idx="845">
                  <c:v>1.3277929154487012E-3</c:v>
                </c:pt>
                <c:pt idx="846">
                  <c:v>1.3336398624361283E-3</c:v>
                </c:pt>
                <c:pt idx="847">
                  <c:v>1.3394888356476902E-3</c:v>
                </c:pt>
                <c:pt idx="848">
                  <c:v>1.3570477921803711E-3</c:v>
                </c:pt>
                <c:pt idx="849">
                  <c:v>1.3629047498416574E-3</c:v>
                </c:pt>
                <c:pt idx="850">
                  <c:v>1.3687636735036719E-3</c:v>
                </c:pt>
                <c:pt idx="851">
                  <c:v>1.3746245511217325E-3</c:v>
                </c:pt>
                <c:pt idx="852">
                  <c:v>1.3804873706511583E-3</c:v>
                </c:pt>
                <c:pt idx="853">
                  <c:v>1.3980873602608111E-3</c:v>
                </c:pt>
                <c:pt idx="854">
                  <c:v>1.4039578269888823E-3</c:v>
                </c:pt>
                <c:pt idx="855">
                  <c:v>1.4098301754049108E-3</c:v>
                </c:pt>
                <c:pt idx="856">
                  <c:v>1.415704393464215E-3</c:v>
                </c:pt>
                <c:pt idx="857">
                  <c:v>1.4215804691221146E-3</c:v>
                </c:pt>
                <c:pt idx="858">
                  <c:v>1.4392197212405671E-3</c:v>
                </c:pt>
                <c:pt idx="859">
                  <c:v>1.4451031068460317E-3</c:v>
                </c:pt>
                <c:pt idx="860">
                  <c:v>1.4509882898266838E-3</c:v>
                </c:pt>
                <c:pt idx="861">
                  <c:v>1.4568752581378421E-3</c:v>
                </c:pt>
                <c:pt idx="862">
                  <c:v>1.462763999734824E-3</c:v>
                </c:pt>
                <c:pt idx="863">
                  <c:v>1.480440743793906E-3</c:v>
                </c:pt>
                <c:pt idx="864">
                  <c:v>1.4863364580873736E-3</c:v>
                </c:pt>
                <c:pt idx="865">
                  <c:v>1.4922338854432586E-3</c:v>
                </c:pt>
                <c:pt idx="866">
                  <c:v>1.4981330138168799E-3</c:v>
                </c:pt>
                <c:pt idx="867">
                  <c:v>1.5040338311635558E-3</c:v>
                </c:pt>
                <c:pt idx="868">
                  <c:v>1.5217462965950964E-3</c:v>
                </c:pt>
                <c:pt idx="869">
                  <c:v>1.5276537493871766E-3</c:v>
                </c:pt>
                <c:pt idx="870">
                  <c:v>1.5335628309289034E-3</c:v>
                </c:pt>
                <c:pt idx="871">
                  <c:v>1.5394735291755972E-3</c:v>
                </c:pt>
                <c:pt idx="872">
                  <c:v>1.5453858320825754E-3</c:v>
                </c:pt>
                <c:pt idx="873">
                  <c:v>1.5631322483184041E-3</c:v>
                </c:pt>
                <c:pt idx="874">
                  <c:v>1.5690508494197056E-3</c:v>
                </c:pt>
                <c:pt idx="875">
                  <c:v>1.5749709949578856E-3</c:v>
                </c:pt>
                <c:pt idx="876">
                  <c:v>1.5808926728882607E-3</c:v>
                </c:pt>
                <c:pt idx="877">
                  <c:v>1.5868158711661513E-3</c:v>
                </c:pt>
                <c:pt idx="878">
                  <c:v>1.604594467638096E-3</c:v>
                </c:pt>
                <c:pt idx="879">
                  <c:v>1.6105236268592307E-3</c:v>
                </c:pt>
                <c:pt idx="880">
                  <c:v>1.6164542462044722E-3</c:v>
                </c:pt>
                <c:pt idx="881">
                  <c:v>1.6223863136291391E-3</c:v>
                </c:pt>
                <c:pt idx="882">
                  <c:v>1.6283198170885516E-3</c:v>
                </c:pt>
                <c:pt idx="883">
                  <c:v>1.64612882322844E-3</c:v>
                </c:pt>
                <c:pt idx="884">
                  <c:v>1.6520679503800163E-3</c:v>
                </c:pt>
                <c:pt idx="885">
                  <c:v>1.6580084533429293E-3</c:v>
                </c:pt>
                <c:pt idx="886">
                  <c:v>1.6639503200724986E-3</c:v>
                </c:pt>
                <c:pt idx="887">
                  <c:v>1.6698935385240424E-3</c:v>
                </c:pt>
                <c:pt idx="888">
                  <c:v>1.6877311837637039E-3</c:v>
                </c:pt>
                <c:pt idx="889">
                  <c:v>1.6936796886563308E-3</c:v>
                </c:pt>
                <c:pt idx="890">
                  <c:v>1.6996294850475254E-3</c:v>
                </c:pt>
                <c:pt idx="891">
                  <c:v>1.7055805608926057E-3</c:v>
                </c:pt>
                <c:pt idx="892">
                  <c:v>1.7115329041468906E-3</c:v>
                </c:pt>
                <c:pt idx="893">
                  <c:v>1.7293974179181553E-3</c:v>
                </c:pt>
                <c:pt idx="894">
                  <c:v>1.7353547103624433E-3</c:v>
                </c:pt>
                <c:pt idx="895">
                  <c:v>1.7413132099925275E-3</c:v>
                </c:pt>
                <c:pt idx="896">
                  <c:v>1.7472729047637284E-3</c:v>
                </c:pt>
                <c:pt idx="897">
                  <c:v>1.7532337826313637E-3</c:v>
                </c:pt>
                <c:pt idx="898">
                  <c:v>1.7711233943660612E-3</c:v>
                </c:pt>
                <c:pt idx="899">
                  <c:v>1.7770888882598134E-3</c:v>
                </c:pt>
                <c:pt idx="900">
                  <c:v>1.7830555295497549E-3</c:v>
                </c:pt>
                <c:pt idx="901">
                  <c:v>1.7890233307143693E-3</c:v>
                </c:pt>
                <c:pt idx="902">
                  <c:v>1.7949923042321367E-3</c:v>
                </c:pt>
                <c:pt idx="903">
                  <c:v>1.8129063836891824E-3</c:v>
                </c:pt>
                <c:pt idx="904">
                  <c:v>1.8188801714043832E-3</c:v>
                </c:pt>
                <c:pt idx="905">
                  <c:v>1.824855193865147E-3</c:v>
                </c:pt>
                <c:pt idx="906">
                  <c:v>1.8308314635499549E-3</c:v>
                </c:pt>
                <c:pt idx="907">
                  <c:v>1.8368089929372876E-3</c:v>
                </c:pt>
                <c:pt idx="908">
                  <c:v>1.8547492640992613E-3</c:v>
                </c:pt>
                <c:pt idx="909">
                  <c:v>1.8607319570815165E-3</c:v>
                </c:pt>
                <c:pt idx="910">
                  <c:v>1.8667159721587065E-3</c:v>
                </c:pt>
                <c:pt idx="911">
                  <c:v>1.8727013218093125E-3</c:v>
                </c:pt>
                <c:pt idx="912">
                  <c:v>1.878688018511817E-3</c:v>
                </c:pt>
                <c:pt idx="913">
                  <c:v>1.8966563157155358E-3</c:v>
                </c:pt>
                <c:pt idx="914">
                  <c:v>1.9026485254104491E-3</c:v>
                </c:pt>
                <c:pt idx="915">
                  <c:v>1.9206336610749605E-3</c:v>
                </c:pt>
                <c:pt idx="916">
                  <c:v>1.9386318186572406E-3</c:v>
                </c:pt>
                <c:pt idx="917">
                  <c:v>1.9446341565104185E-3</c:v>
                </c:pt>
                <c:pt idx="918">
                  <c:v>1.9566105148656012E-3</c:v>
                </c:pt>
                <c:pt idx="919">
                  <c:v>1.9626009579228674E-3</c:v>
                </c:pt>
                <c:pt idx="920">
                  <c:v>1.9805814911311027E-3</c:v>
                </c:pt>
                <c:pt idx="921">
                  <c:v>1.986578111467587E-3</c:v>
                </c:pt>
                <c:pt idx="922">
                  <c:v>1.9925763070650728E-3</c:v>
                </c:pt>
                <c:pt idx="923">
                  <c:v>1.9985760903000372E-3</c:v>
                </c:pt>
                <c:pt idx="924">
                  <c:v>2.0045774735489574E-3</c:v>
                </c:pt>
                <c:pt idx="925">
                  <c:v>2.0225913471442485E-3</c:v>
                </c:pt>
                <c:pt idx="926">
                  <c:v>2.0285992542137818E-3</c:v>
                </c:pt>
                <c:pt idx="927">
                  <c:v>2.0346088231796627E-3</c:v>
                </c:pt>
                <c:pt idx="928">
                  <c:v>2.0406200664183712E-3</c:v>
                </c:pt>
                <c:pt idx="929">
                  <c:v>2.0466329963063855E-3</c:v>
                </c:pt>
                <c:pt idx="930">
                  <c:v>2.064682029631042E-3</c:v>
                </c:pt>
                <c:pt idx="931">
                  <c:v>2.0707018298810605E-3</c:v>
                </c:pt>
                <c:pt idx="932">
                  <c:v>2.076723378662776E-3</c:v>
                </c:pt>
                <c:pt idx="933">
                  <c:v>2.0827466883526656E-3</c:v>
                </c:pt>
                <c:pt idx="934">
                  <c:v>2.0887717713272097E-3</c:v>
                </c:pt>
                <c:pt idx="935">
                  <c:v>2.1068577837235437E-3</c:v>
                </c:pt>
                <c:pt idx="936">
                  <c:v>2.1128900836014843E-3</c:v>
                </c:pt>
                <c:pt idx="937">
                  <c:v>2.1189242186464689E-3</c:v>
                </c:pt>
                <c:pt idx="938">
                  <c:v>2.1249602012349783E-3</c:v>
                </c:pt>
                <c:pt idx="939">
                  <c:v>2.1309980437434887E-3</c:v>
                </c:pt>
                <c:pt idx="940">
                  <c:v>2.1491228545538125E-3</c:v>
                </c:pt>
                <c:pt idx="941">
                  <c:v>2.1551682605071127E-3</c:v>
                </c:pt>
                <c:pt idx="942">
                  <c:v>2.1612155882628058E-3</c:v>
                </c:pt>
                <c:pt idx="943">
                  <c:v>2.1672648501973694E-3</c:v>
                </c:pt>
                <c:pt idx="944">
                  <c:v>2.1733160586872836E-3</c:v>
                </c:pt>
                <c:pt idx="945">
                  <c:v>2.191481487253909E-3</c:v>
                </c:pt>
                <c:pt idx="946">
                  <c:v>2.1975406057300043E-3</c:v>
                </c:pt>
                <c:pt idx="947">
                  <c:v>2.2036017326438431E-3</c:v>
                </c:pt>
                <c:pt idx="948">
                  <c:v>2.2096648803719005E-3</c:v>
                </c:pt>
                <c:pt idx="949">
                  <c:v>2.2157300612906544E-3</c:v>
                </c:pt>
                <c:pt idx="950">
                  <c:v>2.2339379269558915E-3</c:v>
                </c:pt>
                <c:pt idx="951">
                  <c:v>2.2400113644022216E-3</c:v>
                </c:pt>
                <c:pt idx="952">
                  <c:v>2.2460868969216403E-3</c:v>
                </c:pt>
                <c:pt idx="953">
                  <c:v>2.2521645368906275E-3</c:v>
                </c:pt>
                <c:pt idx="954">
                  <c:v>2.2582442966856612E-3</c:v>
                </c:pt>
                <c:pt idx="955">
                  <c:v>2.2764964187918196E-3</c:v>
                </c:pt>
                <c:pt idx="956">
                  <c:v>2.2825847816558202E-3</c:v>
                </c:pt>
                <c:pt idx="957">
                  <c:v>2.2886753262282588E-3</c:v>
                </c:pt>
                <c:pt idx="958">
                  <c:v>2.2947680648856121E-3</c:v>
                </c:pt>
                <c:pt idx="959">
                  <c:v>2.3008630100043608E-3</c:v>
                </c:pt>
                <c:pt idx="960">
                  <c:v>2.319161207893754E-3</c:v>
                </c:pt>
                <c:pt idx="961">
                  <c:v>2.325265102622862E-3</c:v>
                </c:pt>
                <c:pt idx="962">
                  <c:v>2.3313712656957558E-3</c:v>
                </c:pt>
                <c:pt idx="963">
                  <c:v>2.3374797094889142E-3</c:v>
                </c:pt>
                <c:pt idx="964">
                  <c:v>2.343590446378815E-3</c:v>
                </c:pt>
                <c:pt idx="965">
                  <c:v>2.3619365393937534E-3</c:v>
                </c:pt>
                <c:pt idx="966">
                  <c:v>2.3680565724354067E-3</c:v>
                </c:pt>
                <c:pt idx="967">
                  <c:v>2.374178960456194E-3</c:v>
                </c:pt>
                <c:pt idx="968">
                  <c:v>2.3803037158325923E-3</c:v>
                </c:pt>
                <c:pt idx="969">
                  <c:v>2.3864308509410829E-3</c:v>
                </c:pt>
                <c:pt idx="970">
                  <c:v>2.4048266584238789E-3</c:v>
                </c:pt>
                <c:pt idx="971">
                  <c:v>2.4109634362255135E-3</c:v>
                </c:pt>
                <c:pt idx="972">
                  <c:v>2.4171026556416304E-3</c:v>
                </c:pt>
                <c:pt idx="973">
                  <c:v>2.4232443290487077E-3</c:v>
                </c:pt>
                <c:pt idx="974">
                  <c:v>2.4293884688232231E-3</c:v>
                </c:pt>
                <c:pt idx="975">
                  <c:v>2.4478358101161874E-3</c:v>
                </c:pt>
                <c:pt idx="976">
                  <c:v>2.4539899391252422E-3</c:v>
                </c:pt>
                <c:pt idx="977">
                  <c:v>2.4601465963841255E-3</c:v>
                </c:pt>
                <c:pt idx="978">
                  <c:v>2.4663057942693185E-3</c:v>
                </c:pt>
                <c:pt idx="979">
                  <c:v>2.4724675451572981E-3</c:v>
                </c:pt>
                <c:pt idx="980">
                  <c:v>2.4909682396027405E-3</c:v>
                </c:pt>
                <c:pt idx="981">
                  <c:v>2.497140326266651E-3</c:v>
                </c:pt>
                <c:pt idx="982">
                  <c:v>2.50331502781574E-3</c:v>
                </c:pt>
                <c:pt idx="983">
                  <c:v>2.5094923566264843E-3</c:v>
                </c:pt>
                <c:pt idx="984">
                  <c:v>2.5156723250753642E-3</c:v>
                </c:pt>
                <c:pt idx="985">
                  <c:v>2.5342281920155978E-3</c:v>
                </c:pt>
                <c:pt idx="986">
                  <c:v>2.540418842781801E-3</c:v>
                </c:pt>
                <c:pt idx="987">
                  <c:v>2.5466121950685301E-3</c:v>
                </c:pt>
                <c:pt idx="988">
                  <c:v>2.5528082612522648E-3</c:v>
                </c:pt>
                <c:pt idx="989">
                  <c:v>2.5838297338027514E-3</c:v>
                </c:pt>
                <c:pt idx="990">
                  <c:v>2.5900423432745597E-3</c:v>
                </c:pt>
                <c:pt idx="991">
                  <c:v>2.59625775327872E-3</c:v>
                </c:pt>
                <c:pt idx="992">
                  <c:v>2.6024759761917129E-3</c:v>
                </c:pt>
                <c:pt idx="993">
                  <c:v>2.6211476461484619E-3</c:v>
                </c:pt>
                <c:pt idx="994">
                  <c:v>2.6273772444615623E-3</c:v>
                </c:pt>
                <c:pt idx="995">
                  <c:v>2.6336097175658863E-3</c:v>
                </c:pt>
                <c:pt idx="996">
                  <c:v>2.6398450778379111E-3</c:v>
                </c:pt>
                <c:pt idx="997">
                  <c:v>2.6460833376541143E-3</c:v>
                </c:pt>
                <c:pt idx="998">
                  <c:v>2.6648156381325876E-3</c:v>
                </c:pt>
                <c:pt idx="999">
                  <c:v>2.6710656198902934E-3</c:v>
                </c:pt>
                <c:pt idx="1000">
                  <c:v>2.6773185630745689E-3</c:v>
                </c:pt>
                <c:pt idx="1001">
                  <c:v>2.6835744800618941E-3</c:v>
                </c:pt>
                <c:pt idx="1002">
                  <c:v>2.708628133571255E-3</c:v>
                </c:pt>
                <c:pt idx="1003">
                  <c:v>2.7148991052210027E-3</c:v>
                </c:pt>
                <c:pt idx="1004">
                  <c:v>2.7211731249326687E-3</c:v>
                </c:pt>
                <c:pt idx="1005">
                  <c:v>2.7274502050827309E-3</c:v>
                </c:pt>
                <c:pt idx="1006">
                  <c:v>2.7337303580476703E-3</c:v>
                </c:pt>
                <c:pt idx="1007">
                  <c:v>2.752589377596525E-3</c:v>
                </c:pt>
                <c:pt idx="1008">
                  <c:v>2.7588819455857507E-3</c:v>
                </c:pt>
                <c:pt idx="1009">
                  <c:v>2.7651776482722425E-3</c:v>
                </c:pt>
                <c:pt idx="1010">
                  <c:v>2.7714764980324809E-3</c:v>
                </c:pt>
                <c:pt idx="1011">
                  <c:v>2.7777785072429437E-3</c:v>
                </c:pt>
                <c:pt idx="1012">
                  <c:v>2.7967036153404559E-3</c:v>
                </c:pt>
                <c:pt idx="1013">
                  <c:v>2.8030183861165975E-3</c:v>
                </c:pt>
                <c:pt idx="1014">
                  <c:v>2.8093363782253542E-3</c:v>
                </c:pt>
                <c:pt idx="1015">
                  <c:v>2.8156576040432035E-3</c:v>
                </c:pt>
                <c:pt idx="1016">
                  <c:v>2.8219820759466259E-3</c:v>
                </c:pt>
                <c:pt idx="1017">
                  <c:v>2.8409750919351088E-3</c:v>
                </c:pt>
                <c:pt idx="1018">
                  <c:v>2.8473126719456019E-3</c:v>
                </c:pt>
                <c:pt idx="1019">
                  <c:v>2.8536535599240596E-3</c:v>
                </c:pt>
                <c:pt idx="1020">
                  <c:v>2.8599977682469586E-3</c:v>
                </c:pt>
                <c:pt idx="1021">
                  <c:v>2.8663453092907776E-3</c:v>
                </c:pt>
                <c:pt idx="1022">
                  <c:v>2.8854080525125407E-3</c:v>
                </c:pt>
                <c:pt idx="1023">
                  <c:v>2.8917690482048253E-3</c:v>
                </c:pt>
                <c:pt idx="1024">
                  <c:v>2.8981334361115104E-3</c:v>
                </c:pt>
                <c:pt idx="1025">
                  <c:v>2.904501216664533E-3</c:v>
                </c:pt>
                <c:pt idx="1026">
                  <c:v>2.910872387906912E-3</c:v>
                </c:pt>
                <c:pt idx="1027">
                  <c:v>2.9300062262004353E-3</c:v>
                </c:pt>
                <c:pt idx="1028">
                  <c:v>2.9363909406304812E-3</c:v>
                </c:pt>
                <c:pt idx="1029">
                  <c:v>2.9427790359650048E-3</c:v>
                </c:pt>
                <c:pt idx="1030">
                  <c:v>2.9491705102470244E-3</c:v>
                </c:pt>
                <c:pt idx="1031">
                  <c:v>2.9555653615195659E-3</c:v>
                </c:pt>
                <c:pt idx="1032">
                  <c:v>2.9747701577105589E-3</c:v>
                </c:pt>
                <c:pt idx="1033">
                  <c:v>2.9811784973754214E-3</c:v>
                </c:pt>
                <c:pt idx="1034">
                  <c:v>2.9875902042459219E-3</c:v>
                </c:pt>
                <c:pt idx="1035">
                  <c:v>2.9940052763650867E-3</c:v>
                </c:pt>
                <c:pt idx="1036">
                  <c:v>3.0004237117759341E-3</c:v>
                </c:pt>
                <c:pt idx="1037">
                  <c:v>3.0196991781888233E-3</c:v>
                </c:pt>
                <c:pt idx="1038">
                  <c:v>3.0261310471966455E-3</c:v>
                </c:pt>
                <c:pt idx="1039">
                  <c:v>3.0325662697112711E-3</c:v>
                </c:pt>
                <c:pt idx="1040">
                  <c:v>3.03900484377572E-3</c:v>
                </c:pt>
                <c:pt idx="1041">
                  <c:v>3.0454467674330189E-3</c:v>
                </c:pt>
                <c:pt idx="1042">
                  <c:v>3.0647926163922378E-3</c:v>
                </c:pt>
                <c:pt idx="1043">
                  <c:v>3.0712479188511623E-3</c:v>
                </c:pt>
                <c:pt idx="1044">
                  <c:v>3.0777065611180543E-3</c:v>
                </c:pt>
                <c:pt idx="1045">
                  <c:v>3.0841685412359332E-3</c:v>
                </c:pt>
                <c:pt idx="1046">
                  <c:v>3.0906338572478233E-3</c:v>
                </c:pt>
                <c:pt idx="1047">
                  <c:v>3.1100498010778036E-3</c:v>
                </c:pt>
                <c:pt idx="1048">
                  <c:v>3.1165284410959748E-3</c:v>
                </c:pt>
                <c:pt idx="1049">
                  <c:v>3.1230104072232745E-3</c:v>
                </c:pt>
                <c:pt idx="1050">
                  <c:v>3.1294956975027261E-3</c:v>
                </c:pt>
                <c:pt idx="1051">
                  <c:v>3.1359843099773555E-3</c:v>
                </c:pt>
                <c:pt idx="1052">
                  <c:v>3.1554700610025238E-3</c:v>
                </c:pt>
                <c:pt idx="1053">
                  <c:v>3.1619719426880851E-3</c:v>
                </c:pt>
                <c:pt idx="1054">
                  <c:v>3.1684771367839403E-3</c:v>
                </c:pt>
                <c:pt idx="1055">
                  <c:v>3.174985641333109E-3</c:v>
                </c:pt>
                <c:pt idx="1056">
                  <c:v>3.1814974543786186E-3</c:v>
                </c:pt>
                <c:pt idx="1057">
                  <c:v>3.201052724923405E-3</c:v>
                </c:pt>
                <c:pt idx="1058">
                  <c:v>3.207577752384502E-3</c:v>
                </c:pt>
                <c:pt idx="1059">
                  <c:v>3.2141060785570519E-3</c:v>
                </c:pt>
                <c:pt idx="1060">
                  <c:v>3.2206377014840832E-3</c:v>
                </c:pt>
                <c:pt idx="1061">
                  <c:v>3.227172619208614E-3</c:v>
                </c:pt>
                <c:pt idx="1062">
                  <c:v>3.2467971215974535E-3</c:v>
                </c:pt>
                <c:pt idx="1063">
                  <c:v>3.2533451989422281E-3</c:v>
                </c:pt>
                <c:pt idx="1064">
                  <c:v>3.2598965612996187E-3</c:v>
                </c:pt>
                <c:pt idx="1065">
                  <c:v>3.266451206712651E-3</c:v>
                </c:pt>
                <c:pt idx="1066">
                  <c:v>3.2730091332243516E-3</c:v>
                </c:pt>
                <c:pt idx="1067">
                  <c:v>3.292702579781673E-3</c:v>
                </c:pt>
                <c:pt idx="1068">
                  <c:v>3.2992736111182651E-3</c:v>
                </c:pt>
                <c:pt idx="1069">
                  <c:v>3.30584791376864E-3</c:v>
                </c:pt>
                <c:pt idx="1070">
                  <c:v>3.3124254857758218E-3</c:v>
                </c:pt>
                <c:pt idx="1071">
                  <c:v>3.3190063251828305E-3</c:v>
                </c:pt>
                <c:pt idx="1072">
                  <c:v>3.3387684282330642E-3</c:v>
                </c:pt>
                <c:pt idx="1073">
                  <c:v>3.345362317669623E-3</c:v>
                </c:pt>
                <c:pt idx="1074">
                  <c:v>3.3519594647211247E-3</c:v>
                </c:pt>
                <c:pt idx="1075">
                  <c:v>3.3585598674305979E-3</c:v>
                </c:pt>
                <c:pt idx="1076">
                  <c:v>3.3651635238410604E-3</c:v>
                </c:pt>
                <c:pt idx="1077">
                  <c:v>3.384993995708636E-3</c:v>
                </c:pt>
                <c:pt idx="1078">
                  <c:v>3.3916106473533009E-3</c:v>
                </c:pt>
                <c:pt idx="1079">
                  <c:v>3.398230542914076E-3</c:v>
                </c:pt>
                <c:pt idx="1080">
                  <c:v>3.4048536804339811E-3</c:v>
                </c:pt>
                <c:pt idx="1081">
                  <c:v>3.4114800579560412E-3</c:v>
                </c:pt>
                <c:pt idx="1082">
                  <c:v>3.4313786109653925E-3</c:v>
                </c:pt>
                <c:pt idx="1083">
                  <c:v>3.4380179289263076E-3</c:v>
                </c:pt>
                <c:pt idx="1084">
                  <c:v>3.4446604771044961E-3</c:v>
                </c:pt>
                <c:pt idx="1085">
                  <c:v>3.4513062535429808E-3</c:v>
                </c:pt>
                <c:pt idx="1086">
                  <c:v>3.4579552562847824E-3</c:v>
                </c:pt>
                <c:pt idx="1087">
                  <c:v>3.4779216027603348E-3</c:v>
                </c:pt>
                <c:pt idx="1088">
                  <c:v>3.4845834911456444E-3</c:v>
                </c:pt>
                <c:pt idx="1089">
                  <c:v>3.4912485960493923E-3</c:v>
                </c:pt>
                <c:pt idx="1090">
                  <c:v>3.4979169155145962E-3</c:v>
                </c:pt>
                <c:pt idx="1091">
                  <c:v>3.5045884475842851E-3</c:v>
                </c:pt>
                <c:pt idx="1092">
                  <c:v>3.5246222998504724E-3</c:v>
                </c:pt>
                <c:pt idx="1093">
                  <c:v>3.5313066627683204E-3</c:v>
                </c:pt>
                <c:pt idx="1094">
                  <c:v>3.5379942285057695E-3</c:v>
                </c:pt>
                <c:pt idx="1095">
                  <c:v>3.5446849951058382E-3</c:v>
                </c:pt>
                <c:pt idx="1096">
                  <c:v>3.5513789606115525E-3</c:v>
                </c:pt>
                <c:pt idx="1097">
                  <c:v>3.5714800309928066E-3</c:v>
                </c:pt>
                <c:pt idx="1098">
                  <c:v>3.5781867725513368E-3</c:v>
                </c:pt>
                <c:pt idx="1099">
                  <c:v>3.584896703230628E-3</c:v>
                </c:pt>
                <c:pt idx="1100">
                  <c:v>3.5916098210737051E-3</c:v>
                </c:pt>
                <c:pt idx="1101">
                  <c:v>3.5983261241235936E-3</c:v>
                </c:pt>
                <c:pt idx="1102">
                  <c:v>3.6184941249443403E-3</c:v>
                </c:pt>
                <c:pt idx="1103">
                  <c:v>3.6252231492516955E-3</c:v>
                </c:pt>
                <c:pt idx="1104">
                  <c:v>3.6319553489809779E-3</c:v>
                </c:pt>
                <c:pt idx="1105">
                  <c:v>3.6386907221752072E-3</c:v>
                </c:pt>
                <c:pt idx="1106">
                  <c:v>3.6454292668774103E-3</c:v>
                </c:pt>
                <c:pt idx="1107">
                  <c:v>3.6656639104620807E-3</c:v>
                </c:pt>
                <c:pt idx="1108">
                  <c:v>3.6724151216264065E-3</c:v>
                </c:pt>
                <c:pt idx="1109">
                  <c:v>3.6791694945138191E-3</c:v>
                </c:pt>
                <c:pt idx="1110">
                  <c:v>3.6859270271673455E-3</c:v>
                </c:pt>
                <c:pt idx="1111">
                  <c:v>3.6926877176300054E-3</c:v>
                </c:pt>
                <c:pt idx="1112">
                  <c:v>3.7129887163030342E-3</c:v>
                </c:pt>
                <c:pt idx="1113">
                  <c:v>3.7197620184324718E-3</c:v>
                </c:pt>
                <c:pt idx="1114">
                  <c:v>3.7265384685861596E-3</c:v>
                </c:pt>
                <c:pt idx="1115">
                  <c:v>3.733318064807123E-3</c:v>
                </c:pt>
                <c:pt idx="1116">
                  <c:v>3.7401008051383875E-3</c:v>
                </c:pt>
                <c:pt idx="1117">
                  <c:v>3.760467871224203E-3</c:v>
                </c:pt>
                <c:pt idx="1118">
                  <c:v>3.7672631684268943E-3</c:v>
                </c:pt>
                <c:pt idx="1119">
                  <c:v>3.774061599955001E-3</c:v>
                </c:pt>
                <c:pt idx="1120">
                  <c:v>3.7808631638515488E-3</c:v>
                </c:pt>
                <c:pt idx="1121">
                  <c:v>3.7876678581595566E-3</c:v>
                </c:pt>
                <c:pt idx="1122">
                  <c:v>3.8081007039825897E-3</c:v>
                </c:pt>
                <c:pt idx="1123">
                  <c:v>3.8149179003666824E-3</c:v>
                </c:pt>
                <c:pt idx="1124">
                  <c:v>3.8217382173773512E-3</c:v>
                </c:pt>
                <c:pt idx="1125">
                  <c:v>3.8285616530576252E-3</c:v>
                </c:pt>
                <c:pt idx="1126">
                  <c:v>3.835388205450522E-3</c:v>
                </c:pt>
                <c:pt idx="1127">
                  <c:v>3.855886543335203E-3</c:v>
                </c:pt>
                <c:pt idx="1128">
                  <c:v>3.8627255430088358E-3</c:v>
                </c:pt>
                <c:pt idx="1129">
                  <c:v>3.8695676496102132E-3</c:v>
                </c:pt>
                <c:pt idx="1130">
                  <c:v>3.8764128611823542E-3</c:v>
                </c:pt>
                <c:pt idx="1131">
                  <c:v>3.8832611757682843E-3</c:v>
                </c:pt>
                <c:pt idx="1132">
                  <c:v>3.9038247180390446E-3</c:v>
                </c:pt>
                <c:pt idx="1133">
                  <c:v>3.9106854251103641E-3</c:v>
                </c:pt>
                <c:pt idx="1134">
                  <c:v>3.9175492254105888E-3</c:v>
                </c:pt>
                <c:pt idx="1135">
                  <c:v>3.9244161169827447E-3</c:v>
                </c:pt>
                <c:pt idx="1136">
                  <c:v>3.9312860978698511E-3</c:v>
                </c:pt>
                <c:pt idx="1137">
                  <c:v>3.951914556851119E-3</c:v>
                </c:pt>
                <c:pt idx="1138">
                  <c:v>3.9587968754282677E-3</c:v>
                </c:pt>
                <c:pt idx="1139">
                  <c:v>3.9656822735354876E-3</c:v>
                </c:pt>
                <c:pt idx="1140">
                  <c:v>3.9725707492157978E-3</c:v>
                </c:pt>
                <c:pt idx="1141">
                  <c:v>3.9794623005122258E-3</c:v>
                </c:pt>
                <c:pt idx="1142">
                  <c:v>4.0001553885284325E-3</c:v>
                </c:pt>
                <c:pt idx="1143">
                  <c:v>4.0070592227195541E-3</c:v>
                </c:pt>
                <c:pt idx="1144">
                  <c:v>4.0139661227419111E-3</c:v>
                </c:pt>
                <c:pt idx="1145">
                  <c:v>4.0208760866385206E-3</c:v>
                </c:pt>
                <c:pt idx="1146">
                  <c:v>4.0277891124524097E-3</c:v>
                </c:pt>
                <c:pt idx="1147">
                  <c:v>4.0485465418279897E-3</c:v>
                </c:pt>
                <c:pt idx="1148">
                  <c:v>4.0554717957412278E-3</c:v>
                </c:pt>
                <c:pt idx="1149">
                  <c:v>4.0624001017868618E-3</c:v>
                </c:pt>
                <c:pt idx="1150">
                  <c:v>4.0693314580079153E-3</c:v>
                </c:pt>
                <c:pt idx="1151">
                  <c:v>4.0762658624474138E-3</c:v>
                </c:pt>
                <c:pt idx="1152">
                  <c:v>4.0970873455067908E-3</c:v>
                </c:pt>
                <c:pt idx="1153">
                  <c:v>4.1040339232502896E-3</c:v>
                </c:pt>
                <c:pt idx="1154">
                  <c:v>4.1109835394273495E-3</c:v>
                </c:pt>
                <c:pt idx="1155">
                  <c:v>4.1179361920454698E-3</c:v>
                </c:pt>
                <c:pt idx="1156">
                  <c:v>4.1248918789700793E-3</c:v>
                </c:pt>
                <c:pt idx="1157">
                  <c:v>4.1457771238818638E-3</c:v>
                </c:pt>
                <c:pt idx="1158">
                  <c:v>4.1527449263314619E-3</c:v>
                </c:pt>
                <c:pt idx="1159">
                  <c:v>4.1597157522370656E-3</c:v>
                </c:pt>
                <c:pt idx="1160">
                  <c:v>4.1666895994285852E-3</c:v>
                </c:pt>
                <c:pt idx="1161">
                  <c:v>4.1736664657359181E-3</c:v>
                </c:pt>
                <c:pt idx="1162">
                  <c:v>4.1946151576518608E-3</c:v>
                </c:pt>
                <c:pt idx="1163">
                  <c:v>4.2016040787215053E-3</c:v>
                </c:pt>
                <c:pt idx="1164">
                  <c:v>4.2085960080564845E-3</c:v>
                </c:pt>
                <c:pt idx="1165">
                  <c:v>4.2155909434867063E-3</c:v>
                </c:pt>
                <c:pt idx="1166">
                  <c:v>4.2225888828420766E-3</c:v>
                </c:pt>
                <c:pt idx="1167">
                  <c:v>4.2436007027581027E-3</c:v>
                </c:pt>
                <c:pt idx="1168">
                  <c:v>4.2506106361130972E-3</c:v>
                </c:pt>
                <c:pt idx="1169">
                  <c:v>4.2576235625427609E-3</c:v>
                </c:pt>
                <c:pt idx="1170">
                  <c:v>4.2646394798769981E-3</c:v>
                </c:pt>
                <c:pt idx="1171">
                  <c:v>4.2927330148577452E-3</c:v>
                </c:pt>
                <c:pt idx="1172">
                  <c:v>4.2997638541634057E-3</c:v>
                </c:pt>
                <c:pt idx="1173">
                  <c:v>4.3067976713530619E-3</c:v>
                </c:pt>
                <c:pt idx="1174">
                  <c:v>4.3138344642566209E-3</c:v>
                </c:pt>
                <c:pt idx="1175">
                  <c:v>4.3420886117788854E-3</c:v>
                </c:pt>
                <c:pt idx="1176">
                  <c:v>4.3491596068983857E-3</c:v>
                </c:pt>
                <c:pt idx="1177">
                  <c:v>4.3562335809374953E-3</c:v>
                </c:pt>
                <c:pt idx="1178">
                  <c:v>4.3633105317082361E-3</c:v>
                </c:pt>
                <c:pt idx="1179">
                  <c:v>4.3703904570226264E-3</c:v>
                </c:pt>
                <c:pt idx="1180">
                  <c:v>4.3916480583478766E-3</c:v>
                </c:pt>
                <c:pt idx="1181">
                  <c:v>4.3987398599570505E-3</c:v>
                </c:pt>
                <c:pt idx="1182">
                  <c:v>4.4058346251699696E-3</c:v>
                </c:pt>
                <c:pt idx="1183">
                  <c:v>4.4129323517986515E-3</c:v>
                </c:pt>
                <c:pt idx="1184">
                  <c:v>4.4200330376551146E-3</c:v>
                </c:pt>
                <c:pt idx="1185">
                  <c:v>4.4413528287113816E-3</c:v>
                </c:pt>
                <c:pt idx="1186">
                  <c:v>4.4484653295991591E-3</c:v>
                </c:pt>
                <c:pt idx="1187">
                  <c:v>4.4555807787748144E-3</c:v>
                </c:pt>
                <c:pt idx="1188">
                  <c:v>4.4626991740503641E-3</c:v>
                </c:pt>
                <c:pt idx="1189">
                  <c:v>4.4698205132378283E-3</c:v>
                </c:pt>
                <c:pt idx="1190">
                  <c:v>4.4912021723918965E-3</c:v>
                </c:pt>
                <c:pt idx="1191">
                  <c:v>4.4983352653472078E-3</c:v>
                </c:pt>
                <c:pt idx="1192">
                  <c:v>4.5054712912745275E-3</c:v>
                </c:pt>
                <c:pt idx="1193">
                  <c:v>4.5126102479858725E-3</c:v>
                </c:pt>
                <c:pt idx="1194">
                  <c:v>4.5197521332932672E-3</c:v>
                </c:pt>
                <c:pt idx="1195">
                  <c:v>4.5411953389119198E-3</c:v>
                </c:pt>
                <c:pt idx="1196">
                  <c:v>4.5483489167236907E-3</c:v>
                </c:pt>
                <c:pt idx="1197">
                  <c:v>4.5555054121916034E-3</c:v>
                </c:pt>
                <c:pt idx="1198">
                  <c:v>4.5626648231276773E-3</c:v>
                </c:pt>
                <c:pt idx="1199">
                  <c:v>4.569827147343929E-3</c:v>
                </c:pt>
                <c:pt idx="1200">
                  <c:v>4.5913315777939504E-3</c:v>
                </c:pt>
                <c:pt idx="1201">
                  <c:v>4.5985055332511101E-3</c:v>
                </c:pt>
                <c:pt idx="1202">
                  <c:v>4.6056823910485441E-3</c:v>
                </c:pt>
                <c:pt idx="1203">
                  <c:v>4.6128621489982709E-3</c:v>
                </c:pt>
                <c:pt idx="1204">
                  <c:v>4.6200448049123098E-3</c:v>
                </c:pt>
                <c:pt idx="1205">
                  <c:v>4.6416101385604851E-3</c:v>
                </c:pt>
                <c:pt idx="1206">
                  <c:v>4.6488043644519611E-3</c:v>
                </c:pt>
                <c:pt idx="1207">
                  <c:v>4.6560014773678448E-3</c:v>
                </c:pt>
                <c:pt idx="1208">
                  <c:v>4.6632014751201538E-3</c:v>
                </c:pt>
                <c:pt idx="1209">
                  <c:v>4.6704043555209065E-3</c:v>
                </c:pt>
                <c:pt idx="1210">
                  <c:v>4.6920302707340236E-3</c:v>
                </c:pt>
                <c:pt idx="1211">
                  <c:v>4.6992446598487451E-3</c:v>
                </c:pt>
                <c:pt idx="1212">
                  <c:v>4.7064619206720042E-3</c:v>
                </c:pt>
                <c:pt idx="1213">
                  <c:v>4.7136820510158238E-3</c:v>
                </c:pt>
                <c:pt idx="1214">
                  <c:v>4.7209050486922205E-3</c:v>
                </c:pt>
                <c:pt idx="1215">
                  <c:v>4.7425912238370617E-3</c:v>
                </c:pt>
                <c:pt idx="1216">
                  <c:v>4.7498256689639563E-3</c:v>
                </c:pt>
                <c:pt idx="1217">
                  <c:v>4.7570629704835219E-3</c:v>
                </c:pt>
                <c:pt idx="1218">
                  <c:v>4.7643031262077813E-3</c:v>
                </c:pt>
                <c:pt idx="1219">
                  <c:v>4.771546133948746E-3</c:v>
                </c:pt>
                <c:pt idx="1220">
                  <c:v>4.7932922473920975E-3</c:v>
                </c:pt>
                <c:pt idx="1221">
                  <c:v>4.8005466413200944E-3</c:v>
                </c:pt>
                <c:pt idx="1222">
                  <c:v>4.8078038763248957E-3</c:v>
                </c:pt>
                <c:pt idx="1223">
                  <c:v>4.8150639502185198E-3</c:v>
                </c:pt>
                <c:pt idx="1224">
                  <c:v>4.8223268608129852E-3</c:v>
                </c:pt>
                <c:pt idx="1225">
                  <c:v>4.8441325909216295E-3</c:v>
                </c:pt>
                <c:pt idx="1226">
                  <c:v>4.8514068264396554E-3</c:v>
                </c:pt>
                <c:pt idx="1227">
                  <c:v>4.858683887718619E-3</c:v>
                </c:pt>
                <c:pt idx="1228">
                  <c:v>4.8659637725705389E-3</c:v>
                </c:pt>
                <c:pt idx="1229">
                  <c:v>4.8732464788074342E-3</c:v>
                </c:pt>
                <c:pt idx="1230">
                  <c:v>4.8951115039481555E-3</c:v>
                </c:pt>
                <c:pt idx="1231">
                  <c:v>4.9024054738451396E-3</c:v>
                </c:pt>
                <c:pt idx="1232">
                  <c:v>4.909702254187194E-3</c:v>
                </c:pt>
                <c:pt idx="1233">
                  <c:v>4.917001842786338E-3</c:v>
                </c:pt>
                <c:pt idx="1234">
                  <c:v>4.9243042374545881E-3</c:v>
                </c:pt>
                <c:pt idx="1235">
                  <c:v>4.9462282359941769E-3</c:v>
                </c:pt>
                <c:pt idx="1236">
                  <c:v>4.953541833059045E-3</c:v>
                </c:pt>
                <c:pt idx="1237">
                  <c:v>4.9608582252531177E-3</c:v>
                </c:pt>
                <c:pt idx="1238">
                  <c:v>4.9681774103884123E-3</c:v>
                </c:pt>
                <c:pt idx="1239">
                  <c:v>5.0048151536038693E-3</c:v>
                </c:pt>
                <c:pt idx="1240">
                  <c:v>5.0121510504388903E-3</c:v>
                </c:pt>
                <c:pt idx="1241">
                  <c:v>5.0194897248992624E-3</c:v>
                </c:pt>
                <c:pt idx="1242">
                  <c:v>5.02683117479701E-3</c:v>
                </c:pt>
                <c:pt idx="1243">
                  <c:v>5.0488721552346795E-3</c:v>
                </c:pt>
                <c:pt idx="1244">
                  <c:v>5.0562246850021078E-3</c:v>
                </c:pt>
                <c:pt idx="1245">
                  <c:v>5.0635799792670046E-3</c:v>
                </c:pt>
                <c:pt idx="1246">
                  <c:v>5.0709380358413868E-3</c:v>
                </c:pt>
                <c:pt idx="1247">
                  <c:v>5.0782988525372762E-3</c:v>
                </c:pt>
                <c:pt idx="1248">
                  <c:v>5.1003978414741608E-3</c:v>
                </c:pt>
                <c:pt idx="1249">
                  <c:v>5.1077696767762608E-3</c:v>
                </c:pt>
                <c:pt idx="1250">
                  <c:v>5.1151442612599601E-3</c:v>
                </c:pt>
                <c:pt idx="1251">
                  <c:v>5.1225215927372799E-3</c:v>
                </c:pt>
                <c:pt idx="1252">
                  <c:v>5.1299016690202369E-3</c:v>
                </c:pt>
                <c:pt idx="1253">
                  <c:v>5.1520583448231251E-3</c:v>
                </c:pt>
                <c:pt idx="1254">
                  <c:v>5.1594493784488243E-3</c:v>
                </c:pt>
                <c:pt idx="1255">
                  <c:v>5.1668431459402572E-3</c:v>
                </c:pt>
                <c:pt idx="1256">
                  <c:v>5.1742396451094413E-3</c:v>
                </c:pt>
                <c:pt idx="1257">
                  <c:v>5.181638873768395E-3</c:v>
                </c:pt>
                <c:pt idx="1258">
                  <c:v>5.2038529148040738E-3</c:v>
                </c:pt>
                <c:pt idx="1259">
                  <c:v>5.2112630395423007E-3</c:v>
                </c:pt>
                <c:pt idx="1260">
                  <c:v>5.2186758828303911E-3</c:v>
                </c:pt>
                <c:pt idx="1261">
                  <c:v>5.2260914424803679E-3</c:v>
                </c:pt>
                <c:pt idx="1262">
                  <c:v>5.2335097163042485E-3</c:v>
                </c:pt>
                <c:pt idx="1263">
                  <c:v>5.2557808009394994E-3</c:v>
                </c:pt>
                <c:pt idx="1264">
                  <c:v>5.2632099095791824E-3</c:v>
                </c:pt>
                <c:pt idx="1265">
                  <c:v>5.2706417214528631E-3</c:v>
                </c:pt>
                <c:pt idx="1266">
                  <c:v>5.2780762343725626E-3</c:v>
                </c:pt>
                <c:pt idx="1267">
                  <c:v>5.2855134461502942E-3</c:v>
                </c:pt>
                <c:pt idx="1268">
                  <c:v>5.3078412527519016E-3</c:v>
                </c:pt>
                <c:pt idx="1269">
                  <c:v>5.315289238081969E-3</c:v>
                </c:pt>
                <c:pt idx="1270">
                  <c:v>5.3227399113301667E-3</c:v>
                </c:pt>
                <c:pt idx="1271">
                  <c:v>5.3301932703085156E-3</c:v>
                </c:pt>
                <c:pt idx="1272">
                  <c:v>5.3376493128290316E-3</c:v>
                </c:pt>
                <c:pt idx="1273">
                  <c:v>5.3600335197637782E-3</c:v>
                </c:pt>
                <c:pt idx="1274">
                  <c:v>5.3675002745731592E-3</c:v>
                </c:pt>
                <c:pt idx="1275">
                  <c:v>5.3749697019848022E-3</c:v>
                </c:pt>
                <c:pt idx="1276">
                  <c:v>5.382441799810728E-3</c:v>
                </c:pt>
                <c:pt idx="1277">
                  <c:v>5.3899165658629544E-3</c:v>
                </c:pt>
                <c:pt idx="1278">
                  <c:v>5.4123568514976321E-3</c:v>
                </c:pt>
                <c:pt idx="1279">
                  <c:v>5.4198422685752508E-3</c:v>
                </c:pt>
                <c:pt idx="1280">
                  <c:v>5.4273303429392674E-3</c:v>
                </c:pt>
                <c:pt idx="1281">
                  <c:v>5.4348210740860544E-3</c:v>
                </c:pt>
                <c:pt idx="1282">
                  <c:v>5.442314468249409E-3</c:v>
                </c:pt>
                <c:pt idx="1283">
                  <c:v>5.4648107080203919E-3</c:v>
                </c:pt>
                <c:pt idx="1284">
                  <c:v>5.4723148334315337E-3</c:v>
                </c:pt>
                <c:pt idx="1285">
                  <c:v>5.4798216614500017E-3</c:v>
                </c:pt>
                <c:pt idx="1286">
                  <c:v>5.4873311999939457E-3</c:v>
                </c:pt>
                <c:pt idx="1287">
                  <c:v>5.4948434569815231E-3</c:v>
                </c:pt>
                <c:pt idx="1288">
                  <c:v>5.5173966177875606E-3</c:v>
                </c:pt>
                <c:pt idx="1289">
                  <c:v>5.524919827731181E-3</c:v>
                </c:pt>
                <c:pt idx="1290">
                  <c:v>5.5324457957091917E-3</c:v>
                </c:pt>
                <c:pt idx="1291">
                  <c:v>5.5399745296397457E-3</c:v>
                </c:pt>
                <c:pt idx="1292">
                  <c:v>5.5475060374409937E-3</c:v>
                </c:pt>
                <c:pt idx="1293">
                  <c:v>5.5701172832504251E-3</c:v>
                </c:pt>
                <c:pt idx="1294">
                  <c:v>5.577659965715972E-3</c:v>
                </c:pt>
                <c:pt idx="1295">
                  <c:v>5.5852054616429732E-3</c:v>
                </c:pt>
                <c:pt idx="1296">
                  <c:v>5.5927537789495808E-3</c:v>
                </c:pt>
                <c:pt idx="1297">
                  <c:v>5.6003049255539472E-3</c:v>
                </c:pt>
                <c:pt idx="1298">
                  <c:v>5.6229754203351171E-3</c:v>
                </c:pt>
                <c:pt idx="1299">
                  <c:v>5.6305379633120375E-3</c:v>
                </c:pt>
                <c:pt idx="1300">
                  <c:v>5.638103375177477E-3</c:v>
                </c:pt>
                <c:pt idx="1301">
                  <c:v>5.645671663849587E-3</c:v>
                </c:pt>
                <c:pt idx="1302">
                  <c:v>5.6532428372465188E-3</c:v>
                </c:pt>
                <c:pt idx="1303">
                  <c:v>5.6759737449677697E-3</c:v>
                </c:pt>
                <c:pt idx="1304">
                  <c:v>5.6835565364455123E-3</c:v>
                </c:pt>
                <c:pt idx="1305">
                  <c:v>5.6911422522388346E-3</c:v>
                </c:pt>
                <c:pt idx="1306">
                  <c:v>5.6987309002658939E-3</c:v>
                </c:pt>
                <c:pt idx="1307">
                  <c:v>5.706322488444839E-3</c:v>
                </c:pt>
                <c:pt idx="1308">
                  <c:v>5.7291149730745138E-3</c:v>
                </c:pt>
                <c:pt idx="1309">
                  <c:v>5.7367184010425239E-3</c:v>
                </c:pt>
                <c:pt idx="1310">
                  <c:v>5.7443248087531784E-3</c:v>
                </c:pt>
                <c:pt idx="1311">
                  <c:v>5.7519342041246367E-3</c:v>
                </c:pt>
                <c:pt idx="1312">
                  <c:v>5.7595465950750395E-3</c:v>
                </c:pt>
                <c:pt idx="1313">
                  <c:v>5.7824018205814781E-3</c:v>
                </c:pt>
                <c:pt idx="1314">
                  <c:v>5.7900262730292045E-3</c:v>
                </c:pt>
                <c:pt idx="1315">
                  <c:v>5.7976537606466427E-3</c:v>
                </c:pt>
                <c:pt idx="1316">
                  <c:v>5.8052842913519417E-3</c:v>
                </c:pt>
                <c:pt idx="1317">
                  <c:v>5.8129178730632527E-3</c:v>
                </c:pt>
                <c:pt idx="1318">
                  <c:v>5.8358370034147979E-3</c:v>
                </c:pt>
                <c:pt idx="1319">
                  <c:v>5.8434828683316883E-3</c:v>
                </c:pt>
                <c:pt idx="1320">
                  <c:v>5.851131823845352E-3</c:v>
                </c:pt>
                <c:pt idx="1321">
                  <c:v>5.858783877873943E-3</c:v>
                </c:pt>
                <c:pt idx="1322">
                  <c:v>5.8664390383356118E-3</c:v>
                </c:pt>
                <c:pt idx="1323">
                  <c:v>5.8894232375006064E-3</c:v>
                </c:pt>
                <c:pt idx="1324">
                  <c:v>5.8970909028761053E-3</c:v>
                </c:pt>
                <c:pt idx="1325">
                  <c:v>5.9047617142754449E-3</c:v>
                </c:pt>
                <c:pt idx="1326">
                  <c:v>5.9124356796167732E-3</c:v>
                </c:pt>
                <c:pt idx="1327">
                  <c:v>5.920112806818245E-3</c:v>
                </c:pt>
                <c:pt idx="1328">
                  <c:v>5.9431632387650308E-3</c:v>
                </c:pt>
                <c:pt idx="1329">
                  <c:v>5.9508530925885868E-3</c:v>
                </c:pt>
                <c:pt idx="1330">
                  <c:v>5.9585461478630511E-3</c:v>
                </c:pt>
                <c:pt idx="1331">
                  <c:v>5.9662424125065637E-3</c:v>
                </c:pt>
                <c:pt idx="1332">
                  <c:v>5.9739418944372855E-3</c:v>
                </c:pt>
                <c:pt idx="1333">
                  <c:v>5.9970597231342043E-3</c:v>
                </c:pt>
                <c:pt idx="1334">
                  <c:v>6.0047721533952689E-3</c:v>
                </c:pt>
                <c:pt idx="1335">
                  <c:v>6.0124878405342997E-3</c:v>
                </c:pt>
                <c:pt idx="1336">
                  <c:v>6.0202067924694453E-3</c:v>
                </c:pt>
                <c:pt idx="1337">
                  <c:v>6.0279290171188667E-3</c:v>
                </c:pt>
                <c:pt idx="1338">
                  <c:v>6.0511154065342587E-3</c:v>
                </c:pt>
                <c:pt idx="1339">
                  <c:v>6.0588508012222771E-3</c:v>
                </c:pt>
                <c:pt idx="1340">
                  <c:v>6.0665895082153247E-3</c:v>
                </c:pt>
                <c:pt idx="1341">
                  <c:v>6.0743315354315538E-3</c:v>
                </c:pt>
                <c:pt idx="1342">
                  <c:v>6.0820768907891174E-3</c:v>
                </c:pt>
                <c:pt idx="1343">
                  <c:v>6.105333004891327E-3</c:v>
                </c:pt>
                <c:pt idx="1344">
                  <c:v>6.1130917519957454E-3</c:v>
                </c:pt>
                <c:pt idx="1345">
                  <c:v>6.1208538668322569E-3</c:v>
                </c:pt>
                <c:pt idx="1346">
                  <c:v>6.1286193573190147E-3</c:v>
                </c:pt>
                <c:pt idx="1347">
                  <c:v>6.1363882313741703E-3</c:v>
                </c:pt>
                <c:pt idx="1348">
                  <c:v>6.1597152341315384E-3</c:v>
                </c:pt>
                <c:pt idx="1349">
                  <c:v>6.1674977216418072E-3</c:v>
                </c:pt>
                <c:pt idx="1350">
                  <c:v>6.1752836323112296E-3</c:v>
                </c:pt>
                <c:pt idx="1351">
                  <c:v>6.1830729740579623E-3</c:v>
                </c:pt>
                <c:pt idx="1352">
                  <c:v>6.1908657548001575E-3</c:v>
                </c:pt>
                <c:pt idx="1353">
                  <c:v>6.2142648101810305E-3</c:v>
                </c:pt>
                <c:pt idx="1354">
                  <c:v>6.2220714260865914E-3</c:v>
                </c:pt>
                <c:pt idx="1355">
                  <c:v>6.2298815205783717E-3</c:v>
                </c:pt>
                <c:pt idx="1356">
                  <c:v>6.2376951015745306E-3</c:v>
                </c:pt>
                <c:pt idx="1357">
                  <c:v>6.2455121769932108E-3</c:v>
                </c:pt>
                <c:pt idx="1358">
                  <c:v>6.268984448965927E-3</c:v>
                </c:pt>
                <c:pt idx="1359">
                  <c:v>6.2768155812562322E-3</c:v>
                </c:pt>
                <c:pt idx="1360">
                  <c:v>6.2846502475598209E-3</c:v>
                </c:pt>
                <c:pt idx="1361">
                  <c:v>6.292488455794846E-3</c:v>
                </c:pt>
                <c:pt idx="1362">
                  <c:v>6.3003302138794591E-3</c:v>
                </c:pt>
                <c:pt idx="1363">
                  <c:v>6.3238768664123637E-3</c:v>
                </c:pt>
                <c:pt idx="1364">
                  <c:v>6.3317329030768577E-3</c:v>
                </c:pt>
                <c:pt idx="1365">
                  <c:v>6.3395925291817E-3</c:v>
                </c:pt>
                <c:pt idx="1366">
                  <c:v>6.3474557526450454E-3</c:v>
                </c:pt>
                <c:pt idx="1367">
                  <c:v>6.3553225813850435E-3</c:v>
                </c:pt>
                <c:pt idx="1368">
                  <c:v>6.3789447784464749E-3</c:v>
                </c:pt>
                <c:pt idx="1369">
                  <c:v>6.3868261074746038E-3</c:v>
                </c:pt>
                <c:pt idx="1370">
                  <c:v>6.3947110813701467E-3</c:v>
                </c:pt>
                <c:pt idx="1371">
                  <c:v>6.4025997080512558E-3</c:v>
                </c:pt>
                <c:pt idx="1372">
                  <c:v>6.4104919954360833E-3</c:v>
                </c:pt>
                <c:pt idx="1373">
                  <c:v>6.4341909009943861E-3</c:v>
                </c:pt>
                <c:pt idx="1374">
                  <c:v>6.4420979103755995E-3</c:v>
                </c:pt>
                <c:pt idx="1375">
                  <c:v>6.4500086200512943E-3</c:v>
                </c:pt>
                <c:pt idx="1376">
                  <c:v>6.4579230379396141E-3</c:v>
                </c:pt>
                <c:pt idx="1377">
                  <c:v>6.465841171958718E-3</c:v>
                </c:pt>
                <c:pt idx="1378">
                  <c:v>6.4896179499822322E-3</c:v>
                </c:pt>
                <c:pt idx="1379">
                  <c:v>6.4975510277059806E-3</c:v>
                </c:pt>
                <c:pt idx="1380">
                  <c:v>6.5054878611512683E-3</c:v>
                </c:pt>
                <c:pt idx="1381">
                  <c:v>6.5134284582362475E-3</c:v>
                </c:pt>
                <c:pt idx="1382">
                  <c:v>6.5213728268790766E-3</c:v>
                </c:pt>
                <c:pt idx="1383">
                  <c:v>6.5452286413361458E-3</c:v>
                </c:pt>
                <c:pt idx="1384">
                  <c:v>6.5531881753918726E-3</c:v>
                </c:pt>
                <c:pt idx="1385">
                  <c:v>6.5611515205962045E-3</c:v>
                </c:pt>
                <c:pt idx="1386">
                  <c:v>6.5691186848672927E-3</c:v>
                </c:pt>
                <c:pt idx="1387">
                  <c:v>6.5770896761232914E-3</c:v>
                </c:pt>
                <c:pt idx="1388">
                  <c:v>6.6010256909822566E-3</c:v>
                </c:pt>
                <c:pt idx="1389">
                  <c:v>6.6090120693594115E-3</c:v>
                </c:pt>
                <c:pt idx="1390">
                  <c:v>6.6170023143122328E-3</c:v>
                </c:pt>
                <c:pt idx="1391">
                  <c:v>6.6249964337588762E-3</c:v>
                </c:pt>
                <c:pt idx="1392">
                  <c:v>6.6329944356174932E-3</c:v>
                </c:pt>
                <c:pt idx="1393">
                  <c:v>6.6570118148466979E-3</c:v>
                </c:pt>
                <c:pt idx="1394">
                  <c:v>6.6650254255347253E-3</c:v>
                </c:pt>
                <c:pt idx="1395">
                  <c:v>6.6730429582254865E-3</c:v>
                </c:pt>
                <c:pt idx="1396">
                  <c:v>6.6810644208371321E-3</c:v>
                </c:pt>
                <c:pt idx="1397">
                  <c:v>6.6890898212878143E-3</c:v>
                </c:pt>
                <c:pt idx="1398">
                  <c:v>6.7131897288556031E-3</c:v>
                </c:pt>
                <c:pt idx="1399">
                  <c:v>6.7212309598439525E-3</c:v>
                </c:pt>
                <c:pt idx="1400">
                  <c:v>6.7292761682620963E-3</c:v>
                </c:pt>
                <c:pt idx="1401">
                  <c:v>6.737325362028191E-3</c:v>
                </c:pt>
                <c:pt idx="1402">
                  <c:v>6.7453785490603872E-3</c:v>
                </c:pt>
                <c:pt idx="1403">
                  <c:v>6.7695621489350993E-3</c:v>
                </c:pt>
                <c:pt idx="1404">
                  <c:v>6.7776313882132178E-3</c:v>
                </c:pt>
                <c:pt idx="1405">
                  <c:v>6.7857046603481963E-3</c:v>
                </c:pt>
                <c:pt idx="1406">
                  <c:v>6.7937819732581889E-3</c:v>
                </c:pt>
                <c:pt idx="1407">
                  <c:v>6.8018633348613427E-3</c:v>
                </c:pt>
                <c:pt idx="1408">
                  <c:v>6.8261317910113199E-3</c:v>
                </c:pt>
                <c:pt idx="1409">
                  <c:v>6.8342294265686552E-3</c:v>
                </c:pt>
                <c:pt idx="1410">
                  <c:v>6.8423311504099147E-3</c:v>
                </c:pt>
                <c:pt idx="1411">
                  <c:v>6.8504369704532504E-3</c:v>
                </c:pt>
                <c:pt idx="1412">
                  <c:v>6.8585468865439434E-3</c:v>
                </c:pt>
                <c:pt idx="1413">
                  <c:v>6.8829008543466056E-3</c:v>
                </c:pt>
                <c:pt idx="1414">
                  <c:v>6.8910267817274291E-3</c:v>
                </c:pt>
                <c:pt idx="1415">
                  <c:v>6.8991566106330875E-3</c:v>
                </c:pt>
                <c:pt idx="1416">
                  <c:v>6.9072903005445042E-3</c:v>
                </c:pt>
                <c:pt idx="1417">
                  <c:v>6.9154278109426013E-3</c:v>
                </c:pt>
                <c:pt idx="1418">
                  <c:v>6.9398628598661832E-3</c:v>
                </c:pt>
                <c:pt idx="1419">
                  <c:v>6.9480152470202108E-3</c:v>
                </c:pt>
                <c:pt idx="1420">
                  <c:v>6.9561712520655287E-3</c:v>
                </c:pt>
                <c:pt idx="1421">
                  <c:v>6.9643308344830542E-3</c:v>
                </c:pt>
                <c:pt idx="1422">
                  <c:v>6.9724939537537103E-3</c:v>
                </c:pt>
                <c:pt idx="1423">
                  <c:v>6.9970041274936782E-3</c:v>
                </c:pt>
                <c:pt idx="1424">
                  <c:v>7.0051809889860707E-3</c:v>
                </c:pt>
                <c:pt idx="1425">
                  <c:v>7.013361184736203E-3</c:v>
                </c:pt>
                <c:pt idx="1426">
                  <c:v>7.021544674224992E-3</c:v>
                </c:pt>
                <c:pt idx="1427">
                  <c:v>7.0297314169333646E-3</c:v>
                </c:pt>
                <c:pt idx="1428">
                  <c:v>7.0543107591851889E-3</c:v>
                </c:pt>
                <c:pt idx="1429">
                  <c:v>7.0625101095811021E-3</c:v>
                </c:pt>
                <c:pt idx="1430">
                  <c:v>7.0707125106012044E-3</c:v>
                </c:pt>
                <c:pt idx="1431">
                  <c:v>7.0789179217264188E-3</c:v>
                </c:pt>
                <c:pt idx="1432">
                  <c:v>7.0871263024376643E-3</c:v>
                </c:pt>
                <c:pt idx="1433">
                  <c:v>7.1117688568968079E-3</c:v>
                </c:pt>
                <c:pt idx="1434">
                  <c:v>7.1199887107613992E-3</c:v>
                </c:pt>
                <c:pt idx="1435">
                  <c:v>7.1282113316166297E-3</c:v>
                </c:pt>
                <c:pt idx="1436">
                  <c:v>7.1364366789434218E-3</c:v>
                </c:pt>
                <c:pt idx="1437">
                  <c:v>7.1446647122226968E-3</c:v>
                </c:pt>
                <c:pt idx="1438">
                  <c:v>7.1693645225846354E-3</c:v>
                </c:pt>
                <c:pt idx="1439">
                  <c:v>7.1776028944830587E-3</c:v>
                </c:pt>
                <c:pt idx="1440">
                  <c:v>7.1858437497385741E-3</c:v>
                </c:pt>
                <c:pt idx="1441">
                  <c:v>7.1940870478321012E-3</c:v>
                </c:pt>
                <c:pt idx="1442">
                  <c:v>7.2023327482445632E-3</c:v>
                </c:pt>
                <c:pt idx="1443">
                  <c:v>7.2270838582047664E-3</c:v>
                </c:pt>
                <c:pt idx="1444">
                  <c:v>7.2353387627021801E-3</c:v>
                </c:pt>
                <c:pt idx="1445">
                  <c:v>7.2435958669231316E-3</c:v>
                </c:pt>
                <c:pt idx="1446">
                  <c:v>7.2518551303485503E-3</c:v>
                </c:pt>
                <c:pt idx="1447">
                  <c:v>7.2601165124593541E-3</c:v>
                </c:pt>
                <c:pt idx="1448">
                  <c:v>7.2849129657132925E-3</c:v>
                </c:pt>
                <c:pt idx="1449">
                  <c:v>7.2931824173748504E-3</c:v>
                </c:pt>
                <c:pt idx="1450">
                  <c:v>7.3014537851264043E-3</c:v>
                </c:pt>
                <c:pt idx="1451">
                  <c:v>7.3097270284488694E-3</c:v>
                </c:pt>
                <c:pt idx="1452">
                  <c:v>7.3180021068231698E-3</c:v>
                </c:pt>
                <c:pt idx="1453">
                  <c:v>7.3428379470663087E-3</c:v>
                </c:pt>
                <c:pt idx="1454">
                  <c:v>7.3511199604571701E-3</c:v>
                </c:pt>
                <c:pt idx="1455">
                  <c:v>7.3594036063044758E-3</c:v>
                </c:pt>
                <c:pt idx="1456">
                  <c:v>7.3676888440891482E-3</c:v>
                </c:pt>
                <c:pt idx="1457">
                  <c:v>7.3759756332921053E-3</c:v>
                </c:pt>
                <c:pt idx="1458">
                  <c:v>7.4008449042199135E-3</c:v>
                </c:pt>
                <c:pt idx="1459">
                  <c:v>7.409137493905235E-3</c:v>
                </c:pt>
                <c:pt idx="1460">
                  <c:v>7.41743143241345E-3</c:v>
                </c:pt>
                <c:pt idx="1461">
                  <c:v>7.4257266792254811E-3</c:v>
                </c:pt>
                <c:pt idx="1462">
                  <c:v>7.4340231938222522E-3</c:v>
                </c:pt>
                <c:pt idx="1463">
                  <c:v>7.4589199391302029E-3</c:v>
                </c:pt>
                <c:pt idx="1464">
                  <c:v>7.4672211196751366E-3</c:v>
                </c:pt>
                <c:pt idx="1465">
                  <c:v>7.4755233654094193E-3</c:v>
                </c:pt>
                <c:pt idx="1466">
                  <c:v>7.4838266358139673E-3</c:v>
                </c:pt>
                <c:pt idx="1467">
                  <c:v>7.4921308903697055E-3</c:v>
                </c:pt>
                <c:pt idx="1468">
                  <c:v>7.5170491537532675E-3</c:v>
                </c:pt>
                <c:pt idx="1469">
                  <c:v>7.5253569397229769E-3</c:v>
                </c:pt>
                <c:pt idx="1470">
                  <c:v>7.5336655072484812E-3</c:v>
                </c:pt>
                <c:pt idx="1471">
                  <c:v>7.5419748158107027E-3</c:v>
                </c:pt>
                <c:pt idx="1472">
                  <c:v>7.5502848248905656E-3</c:v>
                </c:pt>
                <c:pt idx="1473">
                  <c:v>7.5752186500452068E-3</c:v>
                </c:pt>
                <c:pt idx="1474">
                  <c:v>7.5835310560048441E-3</c:v>
                </c:pt>
                <c:pt idx="1475">
                  <c:v>7.5918439598867283E-3</c:v>
                </c:pt>
                <c:pt idx="1476">
                  <c:v>7.600157321171779E-3</c:v>
                </c:pt>
                <c:pt idx="1477">
                  <c:v>7.6084710993409256E-3</c:v>
                </c:pt>
                <c:pt idx="1478">
                  <c:v>7.6334145299621148E-3</c:v>
                </c:pt>
                <c:pt idx="1479">
                  <c:v>7.6417295704768375E-3</c:v>
                </c:pt>
                <c:pt idx="1480">
                  <c:v>7.6500448252802573E-3</c:v>
                </c:pt>
                <c:pt idx="1481">
                  <c:v>7.6583602538532972E-3</c:v>
                </c:pt>
                <c:pt idx="1482">
                  <c:v>7.6666758156768771E-3</c:v>
                </c:pt>
                <c:pt idx="1483">
                  <c:v>7.6916228954600849E-3</c:v>
                </c:pt>
                <c:pt idx="1484">
                  <c:v>7.6999385850950479E-3</c:v>
                </c:pt>
                <c:pt idx="1485">
                  <c:v>7.7082542053851615E-3</c:v>
                </c:pt>
                <c:pt idx="1486">
                  <c:v>7.7165697158113455E-3</c:v>
                </c:pt>
                <c:pt idx="1487">
                  <c:v>7.7248850758545205E-3</c:v>
                </c:pt>
                <c:pt idx="1488">
                  <c:v>7.7498298484952165E-3</c:v>
                </c:pt>
                <c:pt idx="1489">
                  <c:v>7.7581442018155779E-3</c:v>
                </c:pt>
                <c:pt idx="1490">
                  <c:v>7.7664582021575394E-3</c:v>
                </c:pt>
                <c:pt idx="1491">
                  <c:v>7.7747718090020231E-3</c:v>
                </c:pt>
                <c:pt idx="1492">
                  <c:v>7.7830849818299489E-3</c:v>
                </c:pt>
                <c:pt idx="1493">
                  <c:v>7.8080214910236038E-3</c:v>
                </c:pt>
                <c:pt idx="1494">
                  <c:v>7.8163325225945185E-3</c:v>
                </c:pt>
                <c:pt idx="1495">
                  <c:v>7.8246429175534826E-3</c:v>
                </c:pt>
                <c:pt idx="1496">
                  <c:v>7.8329526353814235E-3</c:v>
                </c:pt>
                <c:pt idx="1497">
                  <c:v>7.8412616355592567E-3</c:v>
                </c:pt>
                <c:pt idx="1498">
                  <c:v>7.86618392500134E-3</c:v>
                </c:pt>
                <c:pt idx="1499">
                  <c:v>7.8744896493879654E-3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-1.484155408285231E-4</c:v>
                </c:pt>
                <c:pt idx="1">
                  <c:v>-1.4920773826929294E-4</c:v>
                </c:pt>
                <c:pt idx="2">
                  <c:v>-1.4999996589647399E-4</c:v>
                </c:pt>
                <c:pt idx="3">
                  <c:v>-1.5079219352365499E-4</c:v>
                </c:pt>
                <c:pt idx="4">
                  <c:v>-1.5316857454108663E-4</c:v>
                </c:pt>
                <c:pt idx="5">
                  <c:v>-1.5396050030415628E-4</c:v>
                </c:pt>
                <c:pt idx="6">
                  <c:v>-1.5475227513517031E-4</c:v>
                </c:pt>
                <c:pt idx="7">
                  <c:v>-1.555438688477175E-4</c:v>
                </c:pt>
                <c:pt idx="8">
                  <c:v>-1.5633525125538679E-4</c:v>
                </c:pt>
                <c:pt idx="9">
                  <c:v>-1.5870782878501575E-4</c:v>
                </c:pt>
                <c:pt idx="10">
                  <c:v>-1.5949806410906208E-4</c:v>
                </c:pt>
                <c:pt idx="11">
                  <c:v>-1.602879371961747E-4</c:v>
                </c:pt>
                <c:pt idx="12">
                  <c:v>-1.6107741785994267E-4</c:v>
                </c:pt>
                <c:pt idx="13">
                  <c:v>-1.6186647591395477E-4</c:v>
                </c:pt>
                <c:pt idx="14">
                  <c:v>-1.6423081255334467E-4</c:v>
                </c:pt>
                <c:pt idx="15">
                  <c:v>-1.6501787830422199E-4</c:v>
                </c:pt>
                <c:pt idx="16">
                  <c:v>-1.6580437051328791E-4</c:v>
                </c:pt>
                <c:pt idx="17">
                  <c:v>-1.6659025899413109E-4</c:v>
                </c:pt>
                <c:pt idx="18">
                  <c:v>-1.6737551356034056E-4</c:v>
                </c:pt>
                <c:pt idx="19">
                  <c:v>-1.6972717190705483E-4</c:v>
                </c:pt>
                <c:pt idx="20">
                  <c:v>-1.7050958895061785E-4</c:v>
                </c:pt>
                <c:pt idx="21">
                  <c:v>-1.7129122114749136E-4</c:v>
                </c:pt>
                <c:pt idx="22">
                  <c:v>-1.7207203831126437E-4</c:v>
                </c:pt>
                <c:pt idx="23">
                  <c:v>-1.7285201025552565E-4</c:v>
                </c:pt>
                <c:pt idx="24">
                  <c:v>-1.7518655290712801E-4</c:v>
                </c:pt>
                <c:pt idx="25">
                  <c:v>-1.7596284210923111E-4</c:v>
                </c:pt>
                <c:pt idx="26">
                  <c:v>-1.7673813515976694E-4</c:v>
                </c:pt>
                <c:pt idx="27">
                  <c:v>-1.7751240187232419E-4</c:v>
                </c:pt>
                <c:pt idx="28">
                  <c:v>-1.7828561206049181E-4</c:v>
                </c:pt>
                <c:pt idx="29">
                  <c:v>-1.8059860161454572E-4</c:v>
                </c:pt>
                <c:pt idx="30">
                  <c:v>-1.8136728384104348E-4</c:v>
                </c:pt>
                <c:pt idx="31">
                  <c:v>-1.8213475861109603E-4</c:v>
                </c:pt>
                <c:pt idx="32">
                  <c:v>-1.8290099573829211E-4</c:v>
                </c:pt>
                <c:pt idx="33">
                  <c:v>-1.8366596503622068E-4</c:v>
                </c:pt>
                <c:pt idx="34">
                  <c:v>-1.8595296409028961E-4</c:v>
                </c:pt>
                <c:pt idx="35">
                  <c:v>-1.8671256020703661E-4</c:v>
                </c:pt>
                <c:pt idx="36">
                  <c:v>-1.874707375624604E-4</c:v>
                </c:pt>
                <c:pt idx="37">
                  <c:v>-1.8822746597014985E-4</c:v>
                </c:pt>
                <c:pt idx="38">
                  <c:v>-1.8898271524369375E-4</c:v>
                </c:pt>
                <c:pt idx="39">
                  <c:v>-1.9123928639534142E-4</c:v>
                </c:pt>
                <c:pt idx="40">
                  <c:v>-1.9198831726819211E-4</c:v>
                </c:pt>
                <c:pt idx="41">
                  <c:v>-1.927357180748417E-4</c:v>
                </c:pt>
                <c:pt idx="42">
                  <c:v>-1.9348145862887895E-4</c:v>
                </c:pt>
                <c:pt idx="43">
                  <c:v>-1.9422550874389284E-4</c:v>
                </c:pt>
                <c:pt idx="44">
                  <c:v>-1.9644721459068266E-4</c:v>
                </c:pt>
                <c:pt idx="45">
                  <c:v>-1.9718420108549159E-4</c:v>
                </c:pt>
                <c:pt idx="46">
                  <c:v>-1.9791934620922141E-4</c:v>
                </c:pt>
                <c:pt idx="47">
                  <c:v>-1.986526197754611E-4</c:v>
                </c:pt>
                <c:pt idx="48">
                  <c:v>-1.9938399159779934E-4</c:v>
                </c:pt>
                <c:pt idx="49">
                  <c:v>-2.0156639473729502E-4</c:v>
                </c:pt>
                <c:pt idx="50">
                  <c:v>-2.0228985771991669E-4</c:v>
                </c:pt>
                <c:pt idx="51">
                  <c:v>-2.0301126802658136E-4</c:v>
                </c:pt>
                <c:pt idx="52">
                  <c:v>-2.0373059547087785E-4</c:v>
                </c:pt>
                <c:pt idx="53">
                  <c:v>-2.0444780986639515E-4</c:v>
                </c:pt>
                <c:pt idx="54">
                  <c:v>-2.0658647289616006E-4</c:v>
                </c:pt>
                <c:pt idx="55">
                  <c:v>-2.0729493323244896E-4</c:v>
                </c:pt>
                <c:pt idx="56">
                  <c:v>-2.0800112958790294E-4</c:v>
                </c:pt>
                <c:pt idx="57">
                  <c:v>-2.0870503177611088E-4</c:v>
                </c:pt>
                <c:pt idx="58">
                  <c:v>-2.0940660961066168E-4</c:v>
                </c:pt>
                <c:pt idx="59">
                  <c:v>-2.1149709512825946E-4</c:v>
                </c:pt>
                <c:pt idx="60">
                  <c:v>-2.1218907368407018E-4</c:v>
                </c:pt>
                <c:pt idx="61">
                  <c:v>-2.1287857695416801E-4</c:v>
                </c:pt>
                <c:pt idx="62">
                  <c:v>-2.1356557475214191E-4</c:v>
                </c:pt>
                <c:pt idx="63">
                  <c:v>-2.1425003689158061E-4</c:v>
                </c:pt>
                <c:pt idx="64">
                  <c:v>-2.1628790749457489E-4</c:v>
                </c:pt>
                <c:pt idx="65">
                  <c:v>-2.1696192513576186E-4</c:v>
                </c:pt>
                <c:pt idx="66">
                  <c:v>-2.1763325618635811E-4</c:v>
                </c:pt>
                <c:pt idx="67">
                  <c:v>-2.1830187045995236E-4</c:v>
                </c:pt>
                <c:pt idx="68">
                  <c:v>-2.1896773777013365E-4</c:v>
                </c:pt>
                <c:pt idx="69">
                  <c:v>-2.2094855605608789E-4</c:v>
                </c:pt>
                <c:pt idx="70">
                  <c:v>-2.2160313364850571E-4</c:v>
                </c:pt>
                <c:pt idx="71">
                  <c:v>-2.2225481334545478E-4</c:v>
                </c:pt>
                <c:pt idx="72">
                  <c:v>-2.2290356496052405E-4</c:v>
                </c:pt>
                <c:pt idx="73">
                  <c:v>-2.2354935830730231E-4</c:v>
                </c:pt>
                <c:pt idx="74">
                  <c:v>-2.2546868687378017E-4</c:v>
                </c:pt>
                <c:pt idx="75">
                  <c:v>-2.2610234528328325E-4</c:v>
                </c:pt>
                <c:pt idx="76">
                  <c:v>-2.2673289449243975E-4</c:v>
                </c:pt>
                <c:pt idx="77">
                  <c:v>-2.2736030431483848E-4</c:v>
                </c:pt>
                <c:pt idx="78">
                  <c:v>-2.2798454456406835E-4</c:v>
                </c:pt>
                <c:pt idx="79">
                  <c:v>-2.2983794600863323E-4</c:v>
                </c:pt>
                <c:pt idx="80">
                  <c:v>-2.3044920610107618E-4</c:v>
                </c:pt>
                <c:pt idx="81">
                  <c:v>-2.3105714568829461E-4</c:v>
                </c:pt>
                <c:pt idx="82">
                  <c:v>-2.3166173458387732E-4</c:v>
                </c:pt>
                <c:pt idx="83">
                  <c:v>-2.322629426014133E-4</c:v>
                </c:pt>
                <c:pt idx="84">
                  <c:v>-2.3404597952162879E-4</c:v>
                </c:pt>
                <c:pt idx="85">
                  <c:v>-2.3463336216286614E-4</c:v>
                </c:pt>
                <c:pt idx="86">
                  <c:v>-2.3521721299400098E-4</c:v>
                </c:pt>
                <c:pt idx="87">
                  <c:v>-2.3579750182862232E-4</c:v>
                </c:pt>
                <c:pt idx="88">
                  <c:v>-2.3637419848031877E-4</c:v>
                </c:pt>
                <c:pt idx="89">
                  <c:v>-2.3808243347374852E-4</c:v>
                </c:pt>
                <c:pt idx="90">
                  <c:v>-2.3864445952963474E-4</c:v>
                </c:pt>
                <c:pt idx="91">
                  <c:v>-2.3920274247054055E-4</c:v>
                </c:pt>
                <c:pt idx="92">
                  <c:v>-2.3975725211005484E-4</c:v>
                </c:pt>
                <c:pt idx="93">
                  <c:v>-2.4030795826176647E-4</c:v>
                </c:pt>
                <c:pt idx="94">
                  <c:v>-2.4193695392597396E-4</c:v>
                </c:pt>
                <c:pt idx="95">
                  <c:v>-2.4247214426236364E-4</c:v>
                </c:pt>
                <c:pt idx="96">
                  <c:v>-2.4300338017889492E-4</c:v>
                </c:pt>
                <c:pt idx="97">
                  <c:v>-2.4353063148915675E-4</c:v>
                </c:pt>
                <c:pt idx="98">
                  <c:v>-2.4405386800673798E-4</c:v>
                </c:pt>
                <c:pt idx="99">
                  <c:v>-2.4559918693928685E-4</c:v>
                </c:pt>
                <c:pt idx="100">
                  <c:v>-2.4610606242203434E-4</c:v>
                </c:pt>
                <c:pt idx="101">
                  <c:v>-2.4660877218004565E-4</c:v>
                </c:pt>
                <c:pt idx="102">
                  <c:v>-2.4710728602690956E-4</c:v>
                </c:pt>
                <c:pt idx="103">
                  <c:v>-2.4760157377621498E-4</c:v>
                </c:pt>
                <c:pt idx="104">
                  <c:v>-2.4905877857466863E-4</c:v>
                </c:pt>
                <c:pt idx="105">
                  <c:v>-2.4953586006962858E-4</c:v>
                </c:pt>
                <c:pt idx="106">
                  <c:v>-2.5000856453497445E-4</c:v>
                </c:pt>
                <c:pt idx="107">
                  <c:v>-2.5047686178429493E-4</c:v>
                </c:pt>
                <c:pt idx="108">
                  <c:v>-2.5094072163117897E-4</c:v>
                </c:pt>
                <c:pt idx="109">
                  <c:v>-2.5230537489310108E-4</c:v>
                </c:pt>
                <c:pt idx="110">
                  <c:v>-2.5275118326612803E-4</c:v>
                </c:pt>
                <c:pt idx="111">
                  <c:v>-2.5319240330466284E-4</c:v>
                </c:pt>
                <c:pt idx="112">
                  <c:v>-2.5362900482229448E-4</c:v>
                </c:pt>
                <c:pt idx="113">
                  <c:v>-2.5406095763261168E-4</c:v>
                </c:pt>
                <c:pt idx="114">
                  <c:v>-2.553286219555658E-4</c:v>
                </c:pt>
                <c:pt idx="115">
                  <c:v>-2.5574167807251424E-4</c:v>
                </c:pt>
                <c:pt idx="116">
                  <c:v>-2.5614993455009264E-4</c:v>
                </c:pt>
                <c:pt idx="117">
                  <c:v>-2.5655336120188987E-4</c:v>
                </c:pt>
                <c:pt idx="118">
                  <c:v>-2.5695192784149482E-4</c:v>
                </c:pt>
                <c:pt idx="119">
                  <c:v>-2.5811816582304442E-4</c:v>
                </c:pt>
                <c:pt idx="120">
                  <c:v>-2.5849699054976888E-4</c:v>
                </c:pt>
                <c:pt idx="121">
                  <c:v>-2.588708043322453E-4</c:v>
                </c:pt>
                <c:pt idx="122">
                  <c:v>-2.5923957698406266E-4</c:v>
                </c:pt>
                <c:pt idx="123">
                  <c:v>-2.596032783188098E-4</c:v>
                </c:pt>
                <c:pt idx="124">
                  <c:v>-2.6066365255651859E-4</c:v>
                </c:pt>
                <c:pt idx="125">
                  <c:v>-2.610067667588735E-4</c:v>
                </c:pt>
                <c:pt idx="126">
                  <c:v>-2.6134465871210255E-4</c:v>
                </c:pt>
                <c:pt idx="127">
                  <c:v>-2.6167729822979457E-4</c:v>
                </c:pt>
                <c:pt idx="128">
                  <c:v>-2.6200465512553843E-4</c:v>
                </c:pt>
                <c:pt idx="129">
                  <c:v>-2.6295472821696983E-4</c:v>
                </c:pt>
                <c:pt idx="130">
                  <c:v>-2.6326065276080978E-4</c:v>
                </c:pt>
                <c:pt idx="131">
                  <c:v>-2.6356114375064593E-4</c:v>
                </c:pt>
                <c:pt idx="132">
                  <c:v>-2.6385617100006711E-4</c:v>
                </c:pt>
                <c:pt idx="133">
                  <c:v>-2.6414570432266229E-4</c:v>
                </c:pt>
                <c:pt idx="134">
                  <c:v>-2.6498103886537984E-4</c:v>
                </c:pt>
                <c:pt idx="135">
                  <c:v>-2.6524829461655933E-4</c:v>
                </c:pt>
                <c:pt idx="136">
                  <c:v>-2.6550990550885711E-4</c:v>
                </c:pt>
                <c:pt idx="137">
                  <c:v>-2.6576584135586199E-4</c:v>
                </c:pt>
                <c:pt idx="138">
                  <c:v>-2.6601607197116291E-4</c:v>
                </c:pt>
                <c:pt idx="139">
                  <c:v>-2.6673223056273031E-4</c:v>
                </c:pt>
                <c:pt idx="140">
                  <c:v>-2.6695933838710386E-4</c:v>
                </c:pt>
                <c:pt idx="141">
                  <c:v>-2.6718059004771777E-4</c:v>
                </c:pt>
                <c:pt idx="142">
                  <c:v>-2.6739595535816088E-4</c:v>
                </c:pt>
                <c:pt idx="143">
                  <c:v>-2.6760540413202209E-4</c:v>
                </c:pt>
                <c:pt idx="144">
                  <c:v>-2.6819794937000272E-4</c:v>
                </c:pt>
                <c:pt idx="145">
                  <c:v>-2.6838343013342489E-4</c:v>
                </c:pt>
                <c:pt idx="146">
                  <c:v>-2.6856284342820946E-4</c:v>
                </c:pt>
                <c:pt idx="147">
                  <c:v>-2.6873615906794534E-4</c:v>
                </c:pt>
                <c:pt idx="148">
                  <c:v>-2.6890334686622132E-4</c:v>
                </c:pt>
                <c:pt idx="149">
                  <c:v>-2.6951021591650406E-4</c:v>
                </c:pt>
                <c:pt idx="150">
                  <c:v>-2.6964631171131384E-4</c:v>
                </c:pt>
                <c:pt idx="151">
                  <c:v>-2.6977609854619697E-4</c:v>
                </c:pt>
                <c:pt idx="152">
                  <c:v>-2.6989954623474226E-4</c:v>
                </c:pt>
                <c:pt idx="153">
                  <c:v>-2.7023210601861096E-4</c:v>
                </c:pt>
                <c:pt idx="154">
                  <c:v>-2.703301186950688E-4</c:v>
                </c:pt>
                <c:pt idx="155">
                  <c:v>-2.7042160543287584E-4</c:v>
                </c:pt>
                <c:pt idx="156">
                  <c:v>-2.7050653579683301E-4</c:v>
                </c:pt>
                <c:pt idx="157">
                  <c:v>-2.7058487935174136E-4</c:v>
                </c:pt>
                <c:pt idx="158">
                  <c:v>-2.7078008481018365E-4</c:v>
                </c:pt>
                <c:pt idx="159">
                  <c:v>-2.7083177677690682E-4</c:v>
                </c:pt>
                <c:pt idx="160">
                  <c:v>-2.7087672975858632E-4</c:v>
                </c:pt>
                <c:pt idx="161">
                  <c:v>-2.7091491332002299E-4</c:v>
                </c:pt>
                <c:pt idx="162">
                  <c:v>-2.7094629702601792E-4</c:v>
                </c:pt>
                <c:pt idx="163">
                  <c:v>-2.7099934465936248E-4</c:v>
                </c:pt>
                <c:pt idx="164">
                  <c:v>-2.7100322459160065E-4</c:v>
                </c:pt>
                <c:pt idx="165">
                  <c:v>-2.7100015249240209E-4</c:v>
                </c:pt>
                <c:pt idx="166">
                  <c:v>-2.7099009792656782E-4</c:v>
                </c:pt>
                <c:pt idx="167">
                  <c:v>-2.7097303045889895E-4</c:v>
                </c:pt>
                <c:pt idx="168">
                  <c:v>-2.7087944629289448E-4</c:v>
                </c:pt>
                <c:pt idx="169">
                  <c:v>-2.7083402286589713E-4</c:v>
                </c:pt>
                <c:pt idx="170">
                  <c:v>-2.7078143436107011E-4</c:v>
                </c:pt>
                <c:pt idx="171">
                  <c:v>-2.7072165034321458E-4</c:v>
                </c:pt>
                <c:pt idx="172">
                  <c:v>-2.7065464037713142E-4</c:v>
                </c:pt>
                <c:pt idx="173">
                  <c:v>-2.7040995043752663E-4</c:v>
                </c:pt>
                <c:pt idx="174">
                  <c:v>-2.7031373232654326E-4</c:v>
                </c:pt>
                <c:pt idx="175">
                  <c:v>-2.7021013609133753E-4</c:v>
                </c:pt>
                <c:pt idx="176">
                  <c:v>-2.7009913129671015E-4</c:v>
                </c:pt>
                <c:pt idx="177">
                  <c:v>-2.6998068750746227E-4</c:v>
                </c:pt>
                <c:pt idx="178">
                  <c:v>-2.6958041782000592E-4</c:v>
                </c:pt>
                <c:pt idx="179">
                  <c:v>-2.6943191370028621E-4</c:v>
                </c:pt>
                <c:pt idx="180">
                  <c:v>-2.6927581840995111E-4</c:v>
                </c:pt>
                <c:pt idx="181">
                  <c:v>-2.6911210151380155E-4</c:v>
                </c:pt>
                <c:pt idx="182">
                  <c:v>-2.6894073257663858E-4</c:v>
                </c:pt>
                <c:pt idx="183">
                  <c:v>-2.6838040916707932E-4</c:v>
                </c:pt>
                <c:pt idx="184">
                  <c:v>-2.6817812771387284E-4</c:v>
                </c:pt>
                <c:pt idx="185">
                  <c:v>-2.6796804204365799E-4</c:v>
                </c:pt>
                <c:pt idx="186">
                  <c:v>-2.6775012172123582E-4</c:v>
                </c:pt>
                <c:pt idx="187">
                  <c:v>-2.6752433631140732E-4</c:v>
                </c:pt>
                <c:pt idx="188">
                  <c:v>-2.6679948520549391E-4</c:v>
                </c:pt>
                <c:pt idx="189">
                  <c:v>-2.6654193509405017E-4</c:v>
                </c:pt>
                <c:pt idx="190">
                  <c:v>-2.6627636771920515E-4</c:v>
                </c:pt>
                <c:pt idx="191">
                  <c:v>-2.6600275264575989E-4</c:v>
                </c:pt>
                <c:pt idx="192">
                  <c:v>-2.6572105943851537E-4</c:v>
                </c:pt>
                <c:pt idx="193">
                  <c:v>-2.6482720666199652E-4</c:v>
                </c:pt>
                <c:pt idx="194">
                  <c:v>-2.645128965675652E-4</c:v>
                </c:pt>
                <c:pt idx="195">
                  <c:v>-2.6419035616333957E-4</c:v>
                </c:pt>
                <c:pt idx="196">
                  <c:v>-2.6385955501412084E-4</c:v>
                </c:pt>
                <c:pt idx="197">
                  <c:v>-2.6352046268470993E-4</c:v>
                </c:pt>
                <c:pt idx="198">
                  <c:v>-2.6245313426333429E-4</c:v>
                </c:pt>
                <c:pt idx="199">
                  <c:v>-2.6208057286116485E-4</c:v>
                </c:pt>
                <c:pt idx="200">
                  <c:v>-2.6169956810280823E-4</c:v>
                </c:pt>
                <c:pt idx="201">
                  <c:v>-2.613100895530656E-4</c:v>
                </c:pt>
                <c:pt idx="202">
                  <c:v>-2.6091210677673787E-4</c:v>
                </c:pt>
                <c:pt idx="203">
                  <c:v>-2.5966682873625419E-4</c:v>
                </c:pt>
                <c:pt idx="204">
                  <c:v>-2.592345247015962E-4</c:v>
                </c:pt>
                <c:pt idx="205">
                  <c:v>-2.5879356426435817E-4</c:v>
                </c:pt>
                <c:pt idx="206">
                  <c:v>-2.5834391698934119E-4</c:v>
                </c:pt>
                <c:pt idx="207">
                  <c:v>-2.5788555244134616E-4</c:v>
                </c:pt>
                <c:pt idx="208">
                  <c:v>-2.5645785080750315E-4</c:v>
                </c:pt>
                <c:pt idx="209">
                  <c:v>-2.5596431281560623E-4</c:v>
                </c:pt>
                <c:pt idx="210">
                  <c:v>-2.5546190537473635E-4</c:v>
                </c:pt>
                <c:pt idx="211">
                  <c:v>-2.5495059804969455E-4</c:v>
                </c:pt>
                <c:pt idx="212">
                  <c:v>-2.5443036040528178E-4</c:v>
                </c:pt>
                <c:pt idx="213">
                  <c:v>-2.5281576120382825E-4</c:v>
                </c:pt>
                <c:pt idx="214">
                  <c:v>-2.5225949792994192E-4</c:v>
                </c:pt>
                <c:pt idx="215">
                  <c:v>-2.5169415216068976E-4</c:v>
                </c:pt>
                <c:pt idx="216">
                  <c:v>-2.5111969346087272E-4</c:v>
                </c:pt>
                <c:pt idx="217">
                  <c:v>-2.5053609139529193E-4</c:v>
                </c:pt>
                <c:pt idx="218">
                  <c:v>-2.4873012065197638E-4</c:v>
                </c:pt>
                <c:pt idx="219">
                  <c:v>-2.4810964077135025E-4</c:v>
                </c:pt>
                <c:pt idx="220">
                  <c:v>-2.4747986534896538E-4</c:v>
                </c:pt>
                <c:pt idx="221">
                  <c:v>-2.4684076394962276E-4</c:v>
                </c:pt>
                <c:pt idx="222">
                  <c:v>-2.4619230613812332E-4</c:v>
                </c:pt>
                <c:pt idx="223">
                  <c:v>-2.4419048987869461E-4</c:v>
                </c:pt>
                <c:pt idx="224">
                  <c:v>-2.4350430206657831E-4</c:v>
                </c:pt>
                <c:pt idx="225">
                  <c:v>-2.4280860566631025E-4</c:v>
                </c:pt>
                <c:pt idx="226">
                  <c:v>-2.4210337024269151E-4</c:v>
                </c:pt>
                <c:pt idx="227">
                  <c:v>-2.3843304254237294E-4</c:v>
                </c:pt>
                <c:pt idx="228">
                  <c:v>-2.376699338394713E-4</c:v>
                </c:pt>
                <c:pt idx="229">
                  <c:v>-2.3689707306682607E-4</c:v>
                </c:pt>
                <c:pt idx="230">
                  <c:v>-2.3611442978923829E-4</c:v>
                </c:pt>
                <c:pt idx="231">
                  <c:v>-2.3370750057482933E-4</c:v>
                </c:pt>
                <c:pt idx="232">
                  <c:v>-2.3288542292548123E-4</c:v>
                </c:pt>
                <c:pt idx="233">
                  <c:v>-2.3205341059519556E-4</c:v>
                </c:pt>
                <c:pt idx="234">
                  <c:v>-2.3121143314877341E-4</c:v>
                </c:pt>
                <c:pt idx="235">
                  <c:v>-2.3035946015101576E-4</c:v>
                </c:pt>
                <c:pt idx="236">
                  <c:v>-2.2685100394265011E-4</c:v>
                </c:pt>
                <c:pt idx="237">
                  <c:v>-2.2594859666023005E-4</c:v>
                </c:pt>
                <c:pt idx="238">
                  <c:v>-2.2503601121528051E-4</c:v>
                </c:pt>
                <c:pt idx="239">
                  <c:v>-2.2411321717260259E-4</c:v>
                </c:pt>
                <c:pt idx="240">
                  <c:v>-2.2128327910620827E-4</c:v>
                </c:pt>
                <c:pt idx="241">
                  <c:v>-2.2031934632062671E-4</c:v>
                </c:pt>
                <c:pt idx="242">
                  <c:v>-2.1934505276132175E-4</c:v>
                </c:pt>
                <c:pt idx="243">
                  <c:v>-2.1836036799309446E-4</c:v>
                </c:pt>
                <c:pt idx="244">
                  <c:v>-2.1736526158074577E-4</c:v>
                </c:pt>
                <c:pt idx="245">
                  <c:v>-2.1431710812698182E-4</c:v>
                </c:pt>
                <c:pt idx="246">
                  <c:v>-2.1328001078615785E-4</c:v>
                </c:pt>
                <c:pt idx="247">
                  <c:v>-2.1223233962521762E-4</c:v>
                </c:pt>
                <c:pt idx="248">
                  <c:v>-2.1117406420896205E-4</c:v>
                </c:pt>
                <c:pt idx="249">
                  <c:v>-2.1010515410219233E-4</c:v>
                </c:pt>
                <c:pt idx="250">
                  <c:v>-2.068343112868074E-4</c:v>
                </c:pt>
                <c:pt idx="251">
                  <c:v>-2.0572255806599062E-4</c:v>
                </c:pt>
                <c:pt idx="252">
                  <c:v>-2.0460001797866469E-4</c:v>
                </c:pt>
                <c:pt idx="253">
                  <c:v>-2.0346666058963049E-4</c:v>
                </c:pt>
                <c:pt idx="254">
                  <c:v>-2.0232245546368912E-4</c:v>
                </c:pt>
                <c:pt idx="255">
                  <c:v>-1.9882444931243207E-4</c:v>
                </c:pt>
                <c:pt idx="256">
                  <c:v>-1.9763654888687207E-4</c:v>
                </c:pt>
                <c:pt idx="257">
                  <c:v>-1.9643764854840993E-4</c:v>
                </c:pt>
                <c:pt idx="258">
                  <c:v>-1.9522771786184662E-4</c:v>
                </c:pt>
                <c:pt idx="259">
                  <c:v>-1.9400672639198331E-4</c:v>
                </c:pt>
                <c:pt idx="260">
                  <c:v>-1.902772785191314E-4</c:v>
                </c:pt>
                <c:pt idx="261">
                  <c:v>-1.8901200759280224E-4</c:v>
                </c:pt>
                <c:pt idx="262">
                  <c:v>-1.8773569756364808E-4</c:v>
                </c:pt>
                <c:pt idx="263">
                  <c:v>-1.8644836146058727E-4</c:v>
                </c:pt>
                <c:pt idx="264">
                  <c:v>-1.8515001231253852E-4</c:v>
                </c:pt>
                <c:pt idx="265">
                  <c:v>-1.8118901688764862E-4</c:v>
                </c:pt>
                <c:pt idx="266">
                  <c:v>-1.7984674584883265E-4</c:v>
                </c:pt>
                <c:pt idx="267">
                  <c:v>-1.7849352690962102E-4</c:v>
                </c:pt>
                <c:pt idx="268">
                  <c:v>-1.7712937309893249E-4</c:v>
                </c:pt>
                <c:pt idx="269">
                  <c:v>-1.7575429744568529E-4</c:v>
                </c:pt>
                <c:pt idx="270">
                  <c:v>-1.7156366971977772E-4</c:v>
                </c:pt>
                <c:pt idx="271">
                  <c:v>-1.7014503698548156E-4</c:v>
                </c:pt>
                <c:pt idx="272">
                  <c:v>-1.6871554755321935E-4</c:v>
                </c:pt>
                <c:pt idx="273">
                  <c:v>-1.6727521445190972E-4</c:v>
                </c:pt>
                <c:pt idx="274">
                  <c:v>-1.6582405071047097E-4</c:v>
                </c:pt>
                <c:pt idx="275">
                  <c:v>-1.61405705934566E-4</c:v>
                </c:pt>
                <c:pt idx="276">
                  <c:v>-1.599113499217965E-4</c:v>
                </c:pt>
                <c:pt idx="277">
                  <c:v>-1.5840622841349039E-4</c:v>
                </c:pt>
                <c:pt idx="278">
                  <c:v>-1.5689035443856644E-4</c:v>
                </c:pt>
                <c:pt idx="279">
                  <c:v>-1.5536374102594286E-4</c:v>
                </c:pt>
                <c:pt idx="280">
                  <c:v>-1.5071959445106094E-4</c:v>
                </c:pt>
                <c:pt idx="281">
                  <c:v>-1.4915015357682459E-4</c:v>
                </c:pt>
                <c:pt idx="282">
                  <c:v>-1.475700384094814E-4</c:v>
                </c:pt>
                <c:pt idx="283">
                  <c:v>-1.4597926197794988E-4</c:v>
                </c:pt>
                <c:pt idx="284">
                  <c:v>-1.4437783731114834E-4</c:v>
                </c:pt>
                <c:pt idx="285">
                  <c:v>-1.3950980418830949E-4</c:v>
                </c:pt>
                <c:pt idx="286">
                  <c:v>-1.3786591686961328E-4</c:v>
                </c:pt>
                <c:pt idx="287">
                  <c:v>-1.3621144646023989E-4</c:v>
                </c:pt>
                <c:pt idx="288">
                  <c:v>-1.3454640598910744E-4</c:v>
                </c:pt>
                <c:pt idx="289">
                  <c:v>-1.3287080848513468E-4</c:v>
                </c:pt>
                <c:pt idx="290">
                  <c:v>-1.2778080406535911E-4</c:v>
                </c:pt>
                <c:pt idx="291">
                  <c:v>-1.2606310871920981E-4</c:v>
                </c:pt>
                <c:pt idx="292">
                  <c:v>-1.243349214848128E-4</c:v>
                </c:pt>
                <c:pt idx="293">
                  <c:v>-1.2259625539108631E-4</c:v>
                </c:pt>
                <c:pt idx="294">
                  <c:v>-1.2084712346694911E-4</c:v>
                </c:pt>
                <c:pt idx="295">
                  <c:v>-1.1553706300125713E-4</c:v>
                </c:pt>
                <c:pt idx="296">
                  <c:v>-1.1374619804466146E-4</c:v>
                </c:pt>
                <c:pt idx="297">
                  <c:v>-1.1194493240224763E-4</c:v>
                </c:pt>
                <c:pt idx="298">
                  <c:v>-1.1013327910293382E-4</c:v>
                </c:pt>
                <c:pt idx="299">
                  <c:v>-1.0831125117563885E-4</c:v>
                </c:pt>
                <c:pt idx="300">
                  <c:v>-1.0278304991505087E-4</c:v>
                </c:pt>
                <c:pt idx="301">
                  <c:v>-1.0091965376501573E-4</c:v>
                </c:pt>
                <c:pt idx="302">
                  <c:v>-9.9045948131591655E-5</c:v>
                </c:pt>
                <c:pt idx="303">
                  <c:v>-9.7161946043697455E-5</c:v>
                </c:pt>
                <c:pt idx="304">
                  <c:v>-9.5267660530251339E-5</c:v>
                </c:pt>
                <c:pt idx="305">
                  <c:v>-8.9523233725787588E-5</c:v>
                </c:pt>
                <c:pt idx="306">
                  <c:v>-8.7587944799319563E-5</c:v>
                </c:pt>
                <c:pt idx="307">
                  <c:v>-8.5642437591892183E-5</c:v>
                </c:pt>
                <c:pt idx="308">
                  <c:v>-8.3686725132424197E-5</c:v>
                </c:pt>
                <c:pt idx="309">
                  <c:v>-8.1720820449833869E-5</c:v>
                </c:pt>
                <c:pt idx="310">
                  <c:v>-7.5762083352514571E-5</c:v>
                </c:pt>
                <c:pt idx="311">
                  <c:v>-7.3755540066620413E-5</c:v>
                </c:pt>
                <c:pt idx="312">
                  <c:v>-7.1738869702196514E-5</c:v>
                </c:pt>
                <c:pt idx="313">
                  <c:v>-6.9712085288161515E-5</c:v>
                </c:pt>
                <c:pt idx="314">
                  <c:v>-6.7675199853433666E-5</c:v>
                </c:pt>
                <c:pt idx="315">
                  <c:v>-6.1504067714279306E-5</c:v>
                </c:pt>
                <c:pt idx="316">
                  <c:v>-5.9426908485965692E-5</c:v>
                </c:pt>
                <c:pt idx="317">
                  <c:v>-5.7339713381552115E-5</c:v>
                </c:pt>
                <c:pt idx="318">
                  <c:v>-5.52424954299567E-5</c:v>
                </c:pt>
                <c:pt idx="319">
                  <c:v>-5.3135267660098145E-5</c:v>
                </c:pt>
                <c:pt idx="320">
                  <c:v>-4.6753655730128756E-5</c:v>
                </c:pt>
                <c:pt idx="321">
                  <c:v>-4.4606518976402583E-5</c:v>
                </c:pt>
                <c:pt idx="322">
                  <c:v>-4.2449437549005979E-5</c:v>
                </c:pt>
                <c:pt idx="323">
                  <c:v>-4.0282424476857057E-5</c:v>
                </c:pt>
                <c:pt idx="324">
                  <c:v>-3.8105492788874636E-5</c:v>
                </c:pt>
                <c:pt idx="325">
                  <c:v>-3.1515316319110457E-5</c:v>
                </c:pt>
                <c:pt idx="326">
                  <c:v>-2.9298840456978443E-5</c:v>
                </c:pt>
                <c:pt idx="327">
                  <c:v>-2.7072511123605518E-5</c:v>
                </c:pt>
                <c:pt idx="328">
                  <c:v>-2.4836341347909822E-5</c:v>
                </c:pt>
                <c:pt idx="329">
                  <c:v>-2.25903441588102E-5</c:v>
                </c:pt>
                <c:pt idx="330">
                  <c:v>-1.5793518400271538E-5</c:v>
                </c:pt>
                <c:pt idx="331">
                  <c:v>-1.350834184674047E-5</c:v>
                </c:pt>
                <c:pt idx="332">
                  <c:v>-1.121340302439805E-5</c:v>
                </c:pt>
                <c:pt idx="333">
                  <c:v>-8.9087149621623531E-6</c:v>
                </c:pt>
                <c:pt idx="334">
                  <c:v>-6.5942906889523316E-6</c:v>
                </c:pt>
                <c:pt idx="335">
                  <c:v>4.0726910734048116E-7</c:v>
                </c:pt>
                <c:pt idx="336">
                  <c:v>2.7605079352636811E-6</c:v>
                </c:pt>
                <c:pt idx="337">
                  <c:v>5.1234178295690648E-6</c:v>
                </c:pt>
                <c:pt idx="338">
                  <c:v>7.4959857613377868E-6</c:v>
                </c:pt>
                <c:pt idx="339">
                  <c:v>9.8781987016517334E-6</c:v>
                </c:pt>
                <c:pt idx="340">
                  <c:v>1.7082577284678444E-5</c:v>
                </c:pt>
                <c:pt idx="341">
                  <c:v>1.950323996998722E-5</c:v>
                </c:pt>
                <c:pt idx="342">
                  <c:v>2.1933482519248646E-5</c:v>
                </c:pt>
                <c:pt idx="343">
                  <c:v>2.4373291903543822E-5</c:v>
                </c:pt>
                <c:pt idx="344">
                  <c:v>2.6822655093954745E-5</c:v>
                </c:pt>
                <c:pt idx="345">
                  <c:v>3.4227937212695048E-5</c:v>
                </c:pt>
                <c:pt idx="346">
                  <c:v>3.6715385338382584E-5</c:v>
                </c:pt>
                <c:pt idx="347">
                  <c:v>3.9212322125593266E-5</c:v>
                </c:pt>
                <c:pt idx="348">
                  <c:v>4.1718734545408219E-5</c:v>
                </c:pt>
                <c:pt idx="349">
                  <c:v>4.423460956890933E-5</c:v>
                </c:pt>
                <c:pt idx="350">
                  <c:v>5.1838879972342702E-5</c:v>
                </c:pt>
                <c:pt idx="351">
                  <c:v>5.4392475121402511E-5</c:v>
                </c:pt>
                <c:pt idx="352">
                  <c:v>5.6955467729555498E-5</c:v>
                </c:pt>
                <c:pt idx="353">
                  <c:v>5.9527844767883603E-5</c:v>
                </c:pt>
                <c:pt idx="354">
                  <c:v>6.2109593207468117E-5</c:v>
                </c:pt>
                <c:pt idx="355">
                  <c:v>6.9910936644574577E-5</c:v>
                </c:pt>
                <c:pt idx="356">
                  <c:v>7.253004039999971E-5</c:v>
                </c:pt>
                <c:pt idx="357">
                  <c:v>7.5158450412088433E-5</c:v>
                </c:pt>
                <c:pt idx="358">
                  <c:v>7.779615365192274E-5</c:v>
                </c:pt>
                <c:pt idx="359">
                  <c:v>8.0443137090583733E-5</c:v>
                </c:pt>
                <c:pt idx="360">
                  <c:v>8.8439638310343246E-5</c:v>
                </c:pt>
                <c:pt idx="361">
                  <c:v>9.1123612255126834E-5</c:v>
                </c:pt>
                <c:pt idx="362">
                  <c:v>9.3816801254144533E-5</c:v>
                </c:pt>
                <c:pt idx="363">
                  <c:v>9.6519192278478311E-5</c:v>
                </c:pt>
                <c:pt idx="364">
                  <c:v>9.9230772299209187E-5</c:v>
                </c:pt>
                <c:pt idx="365">
                  <c:v>1.0742051605060126E-4</c:v>
                </c:pt>
                <c:pt idx="366">
                  <c:v>1.1016872176773638E-4</c:v>
                </c:pt>
                <c:pt idx="367">
                  <c:v>1.1292605133667656E-4</c:v>
                </c:pt>
                <c:pt idx="368">
                  <c:v>1.1569249172850308E-4</c:v>
                </c:pt>
                <c:pt idx="369">
                  <c:v>1.1846802991429708E-4</c:v>
                </c:pt>
                <c:pt idx="370">
                  <c:v>1.2684910094630137E-4</c:v>
                </c:pt>
                <c:pt idx="371">
                  <c:v>1.2966090001878154E-4</c:v>
                </c:pt>
                <c:pt idx="372">
                  <c:v>1.324817317406371E-4</c:v>
                </c:pt>
                <c:pt idx="373">
                  <c:v>1.353115830829494E-4</c:v>
                </c:pt>
                <c:pt idx="374">
                  <c:v>1.3815044101680001E-4</c:v>
                </c:pt>
                <c:pt idx="375">
                  <c:v>1.4672092407839633E-4</c:v>
                </c:pt>
                <c:pt idx="376">
                  <c:v>1.4959567808921467E-4</c:v>
                </c:pt>
                <c:pt idx="377">
                  <c:v>1.5247937354697904E-4</c:v>
                </c:pt>
                <c:pt idx="378">
                  <c:v>1.5537199742277045E-4</c:v>
                </c:pt>
                <c:pt idx="379">
                  <c:v>1.5827353668767071E-4</c:v>
                </c:pt>
                <c:pt idx="380">
                  <c:v>1.6703151652783848E-4</c:v>
                </c:pt>
                <c:pt idx="381">
                  <c:v>1.6996858705998859E-4</c:v>
                </c:pt>
                <c:pt idx="382">
                  <c:v>1.7291450783665498E-4</c:v>
                </c:pt>
                <c:pt idx="383">
                  <c:v>1.7586926582891874E-4</c:v>
                </c:pt>
                <c:pt idx="384">
                  <c:v>1.7883284800786195E-4</c:v>
                </c:pt>
                <c:pt idx="385">
                  <c:v>1.8777640937558116E-4</c:v>
                </c:pt>
                <c:pt idx="386">
                  <c:v>1.9077515801205596E-4</c:v>
                </c:pt>
                <c:pt idx="387">
                  <c:v>1.9378266569061728E-4</c:v>
                </c:pt>
                <c:pt idx="388">
                  <c:v>1.9679891938234695E-4</c:v>
                </c:pt>
                <c:pt idx="389">
                  <c:v>1.9982390605832628E-4</c:v>
                </c:pt>
                <c:pt idx="390">
                  <c:v>2.0895113370257662E-4</c:v>
                </c:pt>
                <c:pt idx="391">
                  <c:v>2.1201092202636953E-4</c:v>
                </c:pt>
                <c:pt idx="392">
                  <c:v>2.1507937818981922E-4</c:v>
                </c:pt>
                <c:pt idx="393">
                  <c:v>2.1815648916400786E-4</c:v>
                </c:pt>
                <c:pt idx="394">
                  <c:v>2.2124224192001629E-4</c:v>
                </c:pt>
                <c:pt idx="395">
                  <c:v>2.3055122058977779E-4</c:v>
                </c:pt>
                <c:pt idx="396">
                  <c:v>2.3367141018388194E-4</c:v>
                </c:pt>
                <c:pt idx="397">
                  <c:v>2.3680017641521329E-4</c:v>
                </c:pt>
                <c:pt idx="398">
                  <c:v>2.3993750625485411E-4</c:v>
                </c:pt>
                <c:pt idx="399">
                  <c:v>2.4308338667388511E-4</c:v>
                </c:pt>
                <c:pt idx="400">
                  <c:v>2.5257220111813729E-4</c:v>
                </c:pt>
                <c:pt idx="401">
                  <c:v>2.5575215356554552E-4</c:v>
                </c:pt>
                <c:pt idx="402">
                  <c:v>2.5894059144775214E-4</c:v>
                </c:pt>
                <c:pt idx="403">
                  <c:v>2.6213750173583828E-4</c:v>
                </c:pt>
                <c:pt idx="404">
                  <c:v>2.6534287140088516E-4</c:v>
                </c:pt>
                <c:pt idx="405">
                  <c:v>2.8149615436838852E-4</c:v>
                </c:pt>
                <c:pt idx="406">
                  <c:v>2.8475200668791301E-4</c:v>
                </c:pt>
                <c:pt idx="407">
                  <c:v>2.880162271819693E-4</c:v>
                </c:pt>
                <c:pt idx="408">
                  <c:v>3.0115653032513874E-4</c:v>
                </c:pt>
                <c:pt idx="409">
                  <c:v>3.0446239625807488E-4</c:v>
                </c:pt>
                <c:pt idx="410">
                  <c:v>3.0777655219203141E-4</c:v>
                </c:pt>
                <c:pt idx="411">
                  <c:v>3.1109898509809012E-4</c:v>
                </c:pt>
                <c:pt idx="412">
                  <c:v>3.2111581535969216E-4</c:v>
                </c:pt>
                <c:pt idx="413">
                  <c:v>3.2447122586497354E-4</c:v>
                </c:pt>
                <c:pt idx="414">
                  <c:v>3.2783484819776446E-4</c:v>
                </c:pt>
                <c:pt idx="415">
                  <c:v>3.3120666932914605E-4</c:v>
                </c:pt>
                <c:pt idx="416">
                  <c:v>3.3458667623019987E-4</c:v>
                </c:pt>
                <c:pt idx="417">
                  <c:v>3.4477568126221208E-4</c:v>
                </c:pt>
                <c:pt idx="418">
                  <c:v>3.4818830095277066E-4</c:v>
                </c:pt>
                <c:pt idx="419">
                  <c:v>3.5160904126840917E-4</c:v>
                </c:pt>
                <c:pt idx="420">
                  <c:v>3.5503788918020938E-4</c:v>
                </c:pt>
                <c:pt idx="421">
                  <c:v>3.5847483165925233E-4</c:v>
                </c:pt>
                <c:pt idx="422">
                  <c:v>3.6883409621065328E-4</c:v>
                </c:pt>
                <c:pt idx="423">
                  <c:v>3.7230328666948279E-4</c:v>
                </c:pt>
                <c:pt idx="424">
                  <c:v>3.7578050655096278E-4</c:v>
                </c:pt>
                <c:pt idx="425">
                  <c:v>3.7926574282617432E-4</c:v>
                </c:pt>
                <c:pt idx="426">
                  <c:v>3.8275898246619908E-4</c:v>
                </c:pt>
                <c:pt idx="427">
                  <c:v>3.9328659128596926E-4</c:v>
                </c:pt>
                <c:pt idx="428">
                  <c:v>3.968117140960624E-4</c:v>
                </c:pt>
                <c:pt idx="429">
                  <c:v>4.0034477512637678E-4</c:v>
                </c:pt>
                <c:pt idx="430">
                  <c:v>4.0388576134799337E-4</c:v>
                </c:pt>
                <c:pt idx="431">
                  <c:v>4.0743465973199357E-4</c:v>
                </c:pt>
                <c:pt idx="432">
                  <c:v>4.1812869756911242E-4</c:v>
                </c:pt>
                <c:pt idx="433">
                  <c:v>4.2170911431346303E-4</c:v>
                </c:pt>
                <c:pt idx="434">
                  <c:v>4.2529737807560472E-4</c:v>
                </c:pt>
                <c:pt idx="435">
                  <c:v>4.2889347582661917E-4</c:v>
                </c:pt>
                <c:pt idx="436">
                  <c:v>4.324973945375882E-4</c:v>
                </c:pt>
                <c:pt idx="437">
                  <c:v>4.4335594614103551E-4</c:v>
                </c:pt>
                <c:pt idx="438">
                  <c:v>4.4699101840263628E-4</c:v>
                </c:pt>
                <c:pt idx="439">
                  <c:v>4.5063384647959901E-4</c:v>
                </c:pt>
                <c:pt idx="440">
                  <c:v>4.5428441734300521E-4</c:v>
                </c:pt>
                <c:pt idx="441">
                  <c:v>4.5794271796393562E-4</c:v>
                </c:pt>
                <c:pt idx="442">
                  <c:v>4.6896386808269121E-4</c:v>
                </c:pt>
                <c:pt idx="443">
                  <c:v>4.7265295744453555E-4</c:v>
                </c:pt>
                <c:pt idx="444">
                  <c:v>4.7634971141931223E-4</c:v>
                </c:pt>
                <c:pt idx="445">
                  <c:v>4.8005411697810287E-4</c:v>
                </c:pt>
                <c:pt idx="446">
                  <c:v>4.837661610919886E-4</c:v>
                </c:pt>
                <c:pt idx="447">
                  <c:v>4.9494799447503187E-4</c:v>
                </c:pt>
                <c:pt idx="448">
                  <c:v>4.9869046252011345E-4</c:v>
                </c:pt>
                <c:pt idx="449">
                  <c:v>5.0244050397569781E-4</c:v>
                </c:pt>
                <c:pt idx="450">
                  <c:v>5.0619810581286587E-4</c:v>
                </c:pt>
                <c:pt idx="451">
                  <c:v>5.0996325500269972E-4</c:v>
                </c:pt>
                <c:pt idx="452">
                  <c:v>5.2130385639901126E-4</c:v>
                </c:pt>
                <c:pt idx="453">
                  <c:v>5.250990647103225E-4</c:v>
                </c:pt>
                <c:pt idx="454">
                  <c:v>5.2890175522970714E-4</c:v>
                </c:pt>
                <c:pt idx="455">
                  <c:v>5.3271191492824661E-4</c:v>
                </c:pt>
                <c:pt idx="456">
                  <c:v>5.3652953077702238E-4</c:v>
                </c:pt>
                <c:pt idx="457">
                  <c:v>5.4802698493558043E-4</c:v>
                </c:pt>
                <c:pt idx="458">
                  <c:v>5.5187429509611556E-4</c:v>
                </c:pt>
                <c:pt idx="459">
                  <c:v>5.5572899626229447E-4</c:v>
                </c:pt>
                <c:pt idx="460">
                  <c:v>5.5959107540519794E-4</c:v>
                </c:pt>
                <c:pt idx="461">
                  <c:v>5.634605194959081E-4</c:v>
                </c:pt>
                <c:pt idx="462">
                  <c:v>5.7511291116569348E-4</c:v>
                </c:pt>
                <c:pt idx="463">
                  <c:v>5.7901168475844498E-4</c:v>
                </c:pt>
                <c:pt idx="464">
                  <c:v>5.8291775815441074E-4</c:v>
                </c:pt>
                <c:pt idx="465">
                  <c:v>5.8683111832467222E-4</c:v>
                </c:pt>
                <c:pt idx="466">
                  <c:v>5.9075175224031033E-4</c:v>
                </c:pt>
                <c:pt idx="467">
                  <c:v>6.0255716617030265E-4</c:v>
                </c:pt>
                <c:pt idx="468">
                  <c:v>6.0650676477826441E-4</c:v>
                </c:pt>
                <c:pt idx="469">
                  <c:v>6.1046357198701016E-4</c:v>
                </c:pt>
                <c:pt idx="470">
                  <c:v>6.1442757476762213E-4</c:v>
                </c:pt>
                <c:pt idx="471">
                  <c:v>6.3435506623652502E-4</c:v>
                </c:pt>
                <c:pt idx="472">
                  <c:v>6.3836196884104477E-4</c:v>
                </c:pt>
                <c:pt idx="473">
                  <c:v>6.4237597581500111E-4</c:v>
                </c:pt>
                <c:pt idx="474">
                  <c:v>6.4639707412947485E-4</c:v>
                </c:pt>
                <c:pt idx="475">
                  <c:v>6.5850278682682022E-4</c:v>
                </c:pt>
                <c:pt idx="476">
                  <c:v>6.625521202141809E-4</c:v>
                </c:pt>
                <c:pt idx="477">
                  <c:v>6.6660847979746723E-4</c:v>
                </c:pt>
                <c:pt idx="478">
                  <c:v>6.7067185254776054E-4</c:v>
                </c:pt>
                <c:pt idx="479">
                  <c:v>6.7474222543614261E-4</c:v>
                </c:pt>
                <c:pt idx="480">
                  <c:v>6.8699521464063342E-4</c:v>
                </c:pt>
                <c:pt idx="481">
                  <c:v>6.9109345779218409E-4</c:v>
                </c:pt>
                <c:pt idx="482">
                  <c:v>6.9519863593723089E-4</c:v>
                </c:pt>
                <c:pt idx="483">
                  <c:v>6.9931073604685451E-4</c:v>
                </c:pt>
                <c:pt idx="484">
                  <c:v>7.0342974509213707E-4</c:v>
                </c:pt>
                <c:pt idx="485">
                  <c:v>7.1582809555275424E-4</c:v>
                </c:pt>
                <c:pt idx="486">
                  <c:v>7.1997461005148748E-4</c:v>
                </c:pt>
                <c:pt idx="487">
                  <c:v>7.2412796834128701E-4</c:v>
                </c:pt>
                <c:pt idx="488">
                  <c:v>7.2828815739323495E-4</c:v>
                </c:pt>
                <c:pt idx="489">
                  <c:v>7.3245516417841199E-4</c:v>
                </c:pt>
                <c:pt idx="490">
                  <c:v>7.4499696064413417E-4</c:v>
                </c:pt>
                <c:pt idx="491">
                  <c:v>7.5339200809059024E-4</c:v>
                </c:pt>
                <c:pt idx="492">
                  <c:v>7.5759964766785475E-4</c:v>
                </c:pt>
                <c:pt idx="493">
                  <c:v>7.6181401377591897E-4</c:v>
                </c:pt>
                <c:pt idx="494">
                  <c:v>7.7449734099572663E-4</c:v>
                </c:pt>
                <c:pt idx="495">
                  <c:v>7.7873848293780515E-4</c:v>
                </c:pt>
                <c:pt idx="496">
                  <c:v>7.829862862660914E-4</c:v>
                </c:pt>
                <c:pt idx="497">
                  <c:v>7.8724073795166649E-4</c:v>
                </c:pt>
                <c:pt idx="498">
                  <c:v>7.9150182496561146E-4</c:v>
                </c:pt>
                <c:pt idx="499">
                  <c:v>8.043247676884841E-4</c:v>
                </c:pt>
                <c:pt idx="500">
                  <c:v>8.0861226572672557E-4</c:v>
                </c:pt>
                <c:pt idx="501">
                  <c:v>8.1290633394874448E-4</c:v>
                </c:pt>
                <c:pt idx="502">
                  <c:v>8.1720695932562275E-4</c:v>
                </c:pt>
                <c:pt idx="503">
                  <c:v>8.2151412882844202E-4</c:v>
                </c:pt>
                <c:pt idx="504">
                  <c:v>8.3447477180335872E-4</c:v>
                </c:pt>
                <c:pt idx="505">
                  <c:v>8.3880798752075615E-4</c:v>
                </c:pt>
                <c:pt idx="506">
                  <c:v>8.4314768221950163E-4</c:v>
                </c:pt>
                <c:pt idx="507">
                  <c:v>8.4749384287067706E-4</c:v>
                </c:pt>
                <c:pt idx="508">
                  <c:v>8.5184645644536313E-4</c:v>
                </c:pt>
                <c:pt idx="509">
                  <c:v>8.6494288442130458E-4</c:v>
                </c:pt>
                <c:pt idx="510">
                  <c:v>8.6932117940085067E-4</c:v>
                </c:pt>
                <c:pt idx="511">
                  <c:v>8.7370586215931531E-4</c:v>
                </c:pt>
                <c:pt idx="512">
                  <c:v>8.7809691966778071E-4</c:v>
                </c:pt>
                <c:pt idx="513">
                  <c:v>8.8249433889732757E-4</c:v>
                </c:pt>
                <c:pt idx="514">
                  <c:v>8.9572463662327296E-4</c:v>
                </c:pt>
                <c:pt idx="515">
                  <c:v>9.0014737154563487E-4</c:v>
                </c:pt>
                <c:pt idx="516">
                  <c:v>9.0457639763052479E-4</c:v>
                </c:pt>
                <c:pt idx="517">
                  <c:v>9.0901169643506363E-4</c:v>
                </c:pt>
                <c:pt idx="518">
                  <c:v>9.134532495163717E-4</c:v>
                </c:pt>
                <c:pt idx="519">
                  <c:v>9.2681524999211511E-4</c:v>
                </c:pt>
                <c:pt idx="520">
                  <c:v>9.3128163575170557E-4</c:v>
                </c:pt>
                <c:pt idx="521">
                  <c:v>9.3575418357366789E-4</c:v>
                </c:pt>
                <c:pt idx="522">
                  <c:v>9.4023287501512269E-4</c:v>
                </c:pt>
                <c:pt idx="523">
                  <c:v>9.4471769163319036E-4</c:v>
                </c:pt>
                <c:pt idx="524">
                  <c:v>9.5820870811827582E-4</c:v>
                </c:pt>
                <c:pt idx="525">
                  <c:v>9.6271784101400072E-4</c:v>
                </c:pt>
                <c:pt idx="526">
                  <c:v>9.6723300687194059E-4</c:v>
                </c:pt>
                <c:pt idx="527">
                  <c:v>9.7175418724921735E-4</c:v>
                </c:pt>
                <c:pt idx="528">
                  <c:v>9.7628136370295064E-4</c:v>
                </c:pt>
                <c:pt idx="529">
                  <c:v>9.8989868509409616E-4</c:v>
                </c:pt>
                <c:pt idx="530">
                  <c:v>9.9444966142486183E-4</c:v>
                </c:pt>
                <c:pt idx="531">
                  <c:v>9.9900654161768558E-4</c:v>
                </c:pt>
                <c:pt idx="532">
                  <c:v>1.0035693072296902E-3</c:v>
                </c:pt>
                <c:pt idx="533">
                  <c:v>1.0081379398179946E-3</c:v>
                </c:pt>
                <c:pt idx="534">
                  <c:v>1.0218788550119173E-3</c:v>
                </c:pt>
                <c:pt idx="535">
                  <c:v>1.0264707710766292E-3</c:v>
                </c:pt>
                <c:pt idx="536">
                  <c:v>1.0310684619032444E-3</c:v>
                </c:pt>
                <c:pt idx="537">
                  <c:v>1.0356719090488828E-3</c:v>
                </c:pt>
                <c:pt idx="538">
                  <c:v>1.0402810940706648E-3</c:v>
                </c:pt>
                <c:pt idx="539">
                  <c:v>1.0541428919640819E-3</c:v>
                </c:pt>
                <c:pt idx="540">
                  <c:v>1.0587748440616465E-3</c:v>
                </c:pt>
                <c:pt idx="541">
                  <c:v>1.0634124418209578E-3</c:v>
                </c:pt>
                <c:pt idx="542">
                  <c:v>1.0680556667991361E-3</c:v>
                </c:pt>
                <c:pt idx="543">
                  <c:v>1.0727045005533024E-3</c:v>
                </c:pt>
                <c:pt idx="544">
                  <c:v>1.0866844700429328E-3</c:v>
                </c:pt>
                <c:pt idx="545">
                  <c:v>1.0913555544722548E-3</c:v>
                </c:pt>
                <c:pt idx="546">
                  <c:v>1.0960321554631684E-3</c:v>
                </c:pt>
                <c:pt idx="547">
                  <c:v>1.100714254572793E-3</c:v>
                </c:pt>
                <c:pt idx="548">
                  <c:v>1.1054018333582487E-3</c:v>
                </c:pt>
                <c:pt idx="549">
                  <c:v>1.1194972633408102E-3</c:v>
                </c:pt>
                <c:pt idx="550">
                  <c:v>1.1242065764007977E-3</c:v>
                </c:pt>
                <c:pt idx="551">
                  <c:v>1.1289212769222193E-3</c:v>
                </c:pt>
                <c:pt idx="552">
                  <c:v>1.1336413464621948E-3</c:v>
                </c:pt>
                <c:pt idx="553">
                  <c:v>1.1383667665778464E-3</c:v>
                </c:pt>
                <c:pt idx="554">
                  <c:v>1.1525749459500576E-3</c:v>
                </c:pt>
                <c:pt idx="555">
                  <c:v>1.1573215839396156E-3</c:v>
                </c:pt>
                <c:pt idx="556">
                  <c:v>1.1620734802904504E-3</c:v>
                </c:pt>
                <c:pt idx="557">
                  <c:v>1.1668306165596848E-3</c:v>
                </c:pt>
                <c:pt idx="558">
                  <c:v>1.171592974304437E-3</c:v>
                </c:pt>
                <c:pt idx="559">
                  <c:v>1.1859111919630156E-3</c:v>
                </c:pt>
                <c:pt idx="560">
                  <c:v>1.1906942511810499E-3</c:v>
                </c:pt>
                <c:pt idx="561">
                  <c:v>1.1954824396602057E-3</c:v>
                </c:pt>
                <c:pt idx="562">
                  <c:v>1.2002757389576037E-3</c:v>
                </c:pt>
                <c:pt idx="563">
                  <c:v>1.2050741306303637E-3</c:v>
                </c:pt>
                <c:pt idx="564">
                  <c:v>1.2194996754720264E-3</c:v>
                </c:pt>
                <c:pt idx="565">
                  <c:v>1.2243182522174434E-3</c:v>
                </c:pt>
                <c:pt idx="566">
                  <c:v>1.2291418291238254E-3</c:v>
                </c:pt>
                <c:pt idx="567">
                  <c:v>1.2339703877482934E-3</c:v>
                </c:pt>
                <c:pt idx="568">
                  <c:v>1.2388039096479675E-3</c:v>
                </c:pt>
                <c:pt idx="569">
                  <c:v>1.2533340705694334E-3</c:v>
                </c:pt>
                <c:pt idx="570">
                  <c:v>1.2581872611411378E-3</c:v>
                </c:pt>
                <c:pt idx="571">
                  <c:v>1.2630453227736517E-3</c:v>
                </c:pt>
                <c:pt idx="572">
                  <c:v>1.2679082370240955E-3</c:v>
                </c:pt>
                <c:pt idx="573">
                  <c:v>1.2727759854495894E-3</c:v>
                </c:pt>
                <c:pt idx="574">
                  <c:v>1.2874080513475771E-3</c:v>
                </c:pt>
                <c:pt idx="575">
                  <c:v>1.2922949520444756E-3</c:v>
                </c:pt>
                <c:pt idx="576">
                  <c:v>1.2971865947020282E-3</c:v>
                </c:pt>
                <c:pt idx="577">
                  <c:v>1.3020829608773529E-3</c:v>
                </c:pt>
                <c:pt idx="578">
                  <c:v>1.3069840321275725E-3</c:v>
                </c:pt>
                <c:pt idx="579">
                  <c:v>1.3217152918987988E-3</c:v>
                </c:pt>
                <c:pt idx="580">
                  <c:v>1.3266349990197989E-3</c:v>
                </c:pt>
                <c:pt idx="581">
                  <c:v>1.3315593190012954E-3</c:v>
                </c:pt>
                <c:pt idx="582">
                  <c:v>1.3364882334004078E-3</c:v>
                </c:pt>
                <c:pt idx="583">
                  <c:v>1.3414217237742588E-3</c:v>
                </c:pt>
                <c:pt idx="584">
                  <c:v>1.3562494663154415E-3</c:v>
                </c:pt>
                <c:pt idx="585">
                  <c:v>1.3612010761594477E-3</c:v>
                </c:pt>
                <c:pt idx="586">
                  <c:v>1.3661571697637944E-3</c:v>
                </c:pt>
                <c:pt idx="587">
                  <c:v>1.3711177286856017E-3</c:v>
                </c:pt>
                <c:pt idx="588">
                  <c:v>1.3760827344819902E-3</c:v>
                </c:pt>
                <c:pt idx="589">
                  <c:v>1.3910042486898466E-3</c:v>
                </c:pt>
                <c:pt idx="590">
                  <c:v>1.3959868575557656E-3</c:v>
                </c:pt>
                <c:pt idx="591">
                  <c:v>1.4009738210818681E-3</c:v>
                </c:pt>
                <c:pt idx="592">
                  <c:v>1.4059651208252753E-3</c:v>
                </c:pt>
                <c:pt idx="593">
                  <c:v>1.4109607383431071E-3</c:v>
                </c:pt>
                <c:pt idx="594">
                  <c:v>1.4259733131143577E-3</c:v>
                </c:pt>
                <c:pt idx="595">
                  <c:v>1.4309860173010946E-3</c:v>
                </c:pt>
                <c:pt idx="596">
                  <c:v>1.4360029470478583E-3</c:v>
                </c:pt>
                <c:pt idx="597">
                  <c:v>1.4410240839117711E-3</c:v>
                </c:pt>
                <c:pt idx="598">
                  <c:v>1.4460494094499529E-3</c:v>
                </c:pt>
                <c:pt idx="599">
                  <c:v>1.4611503336813148E-3</c:v>
                </c:pt>
                <c:pt idx="600">
                  <c:v>1.4661922294877763E-3</c:v>
                </c:pt>
                <c:pt idx="601">
                  <c:v>1.4712382217541085E-3</c:v>
                </c:pt>
                <c:pt idx="602">
                  <c:v>1.4762882920374332E-3</c:v>
                </c:pt>
                <c:pt idx="603">
                  <c:v>1.4813424218948692E-3</c:v>
                </c:pt>
                <c:pt idx="604">
                  <c:v>1.49652898448306E-3</c:v>
                </c:pt>
                <c:pt idx="605">
                  <c:v>1.5015991682081518E-3</c:v>
                </c:pt>
                <c:pt idx="606">
                  <c:v>1.5066733192929586E-3</c:v>
                </c:pt>
                <c:pt idx="607">
                  <c:v>1.5117514192946003E-3</c:v>
                </c:pt>
                <c:pt idx="608">
                  <c:v>1.5168334497701985E-3</c:v>
                </c:pt>
                <c:pt idx="609">
                  <c:v>1.5321029396119354E-3</c:v>
                </c:pt>
                <c:pt idx="610">
                  <c:v>1.5372005075545636E-3</c:v>
                </c:pt>
                <c:pt idx="611">
                  <c:v>1.5423019137567504E-3</c:v>
                </c:pt>
                <c:pt idx="612">
                  <c:v>1.5474071397756169E-3</c:v>
                </c:pt>
                <c:pt idx="613">
                  <c:v>1.5525161671682828E-3</c:v>
                </c:pt>
                <c:pt idx="614">
                  <c:v>1.5678658731602842E-3</c:v>
                </c:pt>
                <c:pt idx="615">
                  <c:v>1.5729899216193539E-3</c:v>
                </c:pt>
                <c:pt idx="616">
                  <c:v>1.578117679237827E-3</c:v>
                </c:pt>
                <c:pt idx="617">
                  <c:v>1.5832491275728229E-3</c:v>
                </c:pt>
                <c:pt idx="618">
                  <c:v>1.5883842481814623E-3</c:v>
                </c:pt>
                <c:pt idx="619">
                  <c:v>1.6038114592204465E-3</c:v>
                </c:pt>
                <c:pt idx="620">
                  <c:v>1.608961084494865E-3</c:v>
                </c:pt>
                <c:pt idx="621">
                  <c:v>1.6141142898285293E-3</c:v>
                </c:pt>
                <c:pt idx="622">
                  <c:v>1.6192710567785608E-3</c:v>
                </c:pt>
                <c:pt idx="623">
                  <c:v>1.6244313669020799E-3</c:v>
                </c:pt>
                <c:pt idx="624">
                  <c:v>1.6399333718847655E-3</c:v>
                </c:pt>
                <c:pt idx="625">
                  <c:v>1.6451076702734386E-3</c:v>
                </c:pt>
                <c:pt idx="626">
                  <c:v>1.6502854196212007E-3</c:v>
                </c:pt>
                <c:pt idx="627">
                  <c:v>1.6554666014851744E-3</c:v>
                </c:pt>
                <c:pt idx="628">
                  <c:v>1.6606511974224779E-3</c:v>
                </c:pt>
                <c:pt idx="629">
                  <c:v>1.6762252852455816E-3</c:v>
                </c:pt>
                <c:pt idx="630">
                  <c:v>1.6814233530474153E-3</c:v>
                </c:pt>
                <c:pt idx="631">
                  <c:v>1.6866247427081819E-3</c:v>
                </c:pt>
                <c:pt idx="632">
                  <c:v>1.6918294357850035E-3</c:v>
                </c:pt>
                <c:pt idx="633">
                  <c:v>1.6970374138349984E-3</c:v>
                </c:pt>
                <c:pt idx="634">
                  <c:v>1.7126808733952384E-3</c:v>
                </c:pt>
                <c:pt idx="635">
                  <c:v>1.717901806909138E-3</c:v>
                </c:pt>
                <c:pt idx="636">
                  <c:v>1.7231259331818149E-3</c:v>
                </c:pt>
                <c:pt idx="637">
                  <c:v>1.7283532337703897E-3</c:v>
                </c:pt>
                <c:pt idx="638">
                  <c:v>1.733583690231983E-3</c:v>
                </c:pt>
                <c:pt idx="639">
                  <c:v>1.7492938104260774E-3</c:v>
                </c:pt>
                <c:pt idx="640">
                  <c:v>1.7545367059509484E-3</c:v>
                </c:pt>
                <c:pt idx="641">
                  <c:v>1.7597826651344415E-3</c:v>
                </c:pt>
                <c:pt idx="642">
                  <c:v>1.7650316695336764E-3</c:v>
                </c:pt>
                <c:pt idx="643">
                  <c:v>1.7702837007057728E-3</c:v>
                </c:pt>
                <c:pt idx="644">
                  <c:v>1.7860577704304408E-3</c:v>
                </c:pt>
                <c:pt idx="645">
                  <c:v>1.7913217242651902E-3</c:v>
                </c:pt>
                <c:pt idx="646">
                  <c:v>1.7965886126584051E-3</c:v>
                </c:pt>
                <c:pt idx="647">
                  <c:v>1.8018584171672046E-3</c:v>
                </c:pt>
                <c:pt idx="648">
                  <c:v>1.8071311193487104E-3</c:v>
                </c:pt>
                <c:pt idx="649">
                  <c:v>1.8229664275006688E-3</c:v>
                </c:pt>
                <c:pt idx="650">
                  <c:v>1.8282505359442033E-3</c:v>
                </c:pt>
                <c:pt idx="651">
                  <c:v>1.8335374498460464E-3</c:v>
                </c:pt>
                <c:pt idx="652">
                  <c:v>1.8388271507633175E-3</c:v>
                </c:pt>
                <c:pt idx="653">
                  <c:v>1.8441196202531387E-3</c:v>
                </c:pt>
                <c:pt idx="654">
                  <c:v>1.8600134557291046E-3</c:v>
                </c:pt>
                <c:pt idx="655">
                  <c:v>1.8653168150803295E-3</c:v>
                </c:pt>
                <c:pt idx="656">
                  <c:v>1.8706228507897064E-3</c:v>
                </c:pt>
                <c:pt idx="657">
                  <c:v>1.875931544414356E-3</c:v>
                </c:pt>
                <c:pt idx="658">
                  <c:v>1.8812428775113988E-3</c:v>
                </c:pt>
                <c:pt idx="659">
                  <c:v>1.8971925292080901E-3</c:v>
                </c:pt>
                <c:pt idx="660">
                  <c:v>1.9131652722126616E-3</c:v>
                </c:pt>
                <c:pt idx="661">
                  <c:v>1.9184945652158316E-3</c:v>
                </c:pt>
                <c:pt idx="662">
                  <c:v>1.9344973220299683E-3</c:v>
                </c:pt>
                <c:pt idx="663">
                  <c:v>1.9451780403144533E-3</c:v>
                </c:pt>
                <c:pt idx="664">
                  <c:v>1.9505220082505765E-3</c:v>
                </c:pt>
                <c:pt idx="665">
                  <c:v>1.95586835745878E-3</c:v>
                </c:pt>
                <c:pt idx="666">
                  <c:v>1.9719215082870797E-3</c:v>
                </c:pt>
                <c:pt idx="667">
                  <c:v>1.9772771981548106E-3</c:v>
                </c:pt>
                <c:pt idx="668">
                  <c:v>1.982635177080225E-3</c:v>
                </c:pt>
                <c:pt idx="669">
                  <c:v>1.9879954266204436E-3</c:v>
                </c:pt>
                <c:pt idx="670">
                  <c:v>1.9933579283325856E-3</c:v>
                </c:pt>
                <c:pt idx="671">
                  <c:v>2.0094587620717659E-3</c:v>
                </c:pt>
                <c:pt idx="672">
                  <c:v>2.0148300880428113E-3</c:v>
                </c:pt>
                <c:pt idx="673">
                  <c:v>2.0202035739713842E-3</c:v>
                </c:pt>
                <c:pt idx="674">
                  <c:v>2.0255792014146033E-3</c:v>
                </c:pt>
                <c:pt idx="675">
                  <c:v>2.0309569519295916E-3</c:v>
                </c:pt>
                <c:pt idx="676">
                  <c:v>2.0471027574763688E-3</c:v>
                </c:pt>
                <c:pt idx="677">
                  <c:v>2.0524888158496351E-3</c:v>
                </c:pt>
                <c:pt idx="678">
                  <c:v>2.0578769050802713E-3</c:v>
                </c:pt>
                <c:pt idx="679">
                  <c:v>2.063267006725399E-3</c:v>
                </c:pt>
                <c:pt idx="680">
                  <c:v>2.0686591023421387E-3</c:v>
                </c:pt>
                <c:pt idx="681">
                  <c:v>2.0848471685932326E-3</c:v>
                </c:pt>
                <c:pt idx="682">
                  <c:v>2.0902470556676237E-3</c:v>
                </c:pt>
                <c:pt idx="683">
                  <c:v>2.0956488444992304E-3</c:v>
                </c:pt>
                <c:pt idx="684">
                  <c:v>2.1010525166451715E-3</c:v>
                </c:pt>
                <c:pt idx="685">
                  <c:v>2.1064580536625686E-3</c:v>
                </c:pt>
                <c:pt idx="686">
                  <c:v>2.1226856695146967E-3</c:v>
                </c:pt>
                <c:pt idx="687">
                  <c:v>2.1280984815891207E-3</c:v>
                </c:pt>
                <c:pt idx="688">
                  <c:v>2.1335130663206032E-3</c:v>
                </c:pt>
                <c:pt idx="689">
                  <c:v>2.1389294052662632E-3</c:v>
                </c:pt>
                <c:pt idx="690">
                  <c:v>2.1443474799832233E-3</c:v>
                </c:pt>
                <c:pt idx="691">
                  <c:v>2.1606119343331046E-3</c:v>
                </c:pt>
                <c:pt idx="692">
                  <c:v>2.1660367677064666E-3</c:v>
                </c:pt>
                <c:pt idx="693">
                  <c:v>2.1714632446367304E-3</c:v>
                </c:pt>
                <c:pt idx="694">
                  <c:v>2.1768913466810166E-3</c:v>
                </c:pt>
                <c:pt idx="695">
                  <c:v>2.1823210553964462E-3</c:v>
                </c:pt>
                <c:pt idx="696">
                  <c:v>2.1986196371407965E-3</c:v>
                </c:pt>
                <c:pt idx="697">
                  <c:v>2.204055588112003E-3</c:v>
                </c:pt>
                <c:pt idx="698">
                  <c:v>2.2094930535399553E-3</c:v>
                </c:pt>
                <c:pt idx="699">
                  <c:v>2.2149320149817725E-3</c:v>
                </c:pt>
                <c:pt idx="700">
                  <c:v>2.2203724539945776E-3</c:v>
                </c:pt>
                <c:pt idx="701">
                  <c:v>2.2367024520301157E-3</c:v>
                </c:pt>
                <c:pt idx="702">
                  <c:v>2.2421486168980728E-3</c:v>
                </c:pt>
                <c:pt idx="703">
                  <c:v>2.2475961671226184E-3</c:v>
                </c:pt>
                <c:pt idx="704">
                  <c:v>2.2530450842608734E-3</c:v>
                </c:pt>
                <c:pt idx="705">
                  <c:v>2.2584953498699599E-3</c:v>
                </c:pt>
                <c:pt idx="706">
                  <c:v>2.2748540530934049E-3</c:v>
                </c:pt>
                <c:pt idx="707">
                  <c:v>2.2803095281570176E-3</c:v>
                </c:pt>
                <c:pt idx="708">
                  <c:v>2.2857662594770621E-3</c:v>
                </c:pt>
                <c:pt idx="709">
                  <c:v>2.2912242286106613E-3</c:v>
                </c:pt>
                <c:pt idx="710">
                  <c:v>2.2966834171149349E-3</c:v>
                </c:pt>
                <c:pt idx="711">
                  <c:v>2.3130681144230033E-3</c:v>
                </c:pt>
                <c:pt idx="712">
                  <c:v>2.3185319959811782E-3</c:v>
                </c:pt>
                <c:pt idx="713">
                  <c:v>2.3239970046956301E-3</c:v>
                </c:pt>
                <c:pt idx="714">
                  <c:v>2.3294631221234788E-3</c:v>
                </c:pt>
                <c:pt idx="715">
                  <c:v>2.3349303298218446E-3</c:v>
                </c:pt>
                <c:pt idx="716">
                  <c:v>2.3513383101112562E-3</c:v>
                </c:pt>
                <c:pt idx="717">
                  <c:v>2.3568096944628992E-3</c:v>
                </c:pt>
                <c:pt idx="718">
                  <c:v>2.3622820768706616E-3</c:v>
                </c:pt>
                <c:pt idx="719">
                  <c:v>2.3677554388916657E-3</c:v>
                </c:pt>
                <c:pt idx="720">
                  <c:v>2.3732297620830318E-3</c:v>
                </c:pt>
                <c:pt idx="721">
                  <c:v>2.3896583142505026E-3</c:v>
                </c:pt>
                <c:pt idx="722">
                  <c:v>2.3951362976945192E-3</c:v>
                </c:pt>
                <c:pt idx="723">
                  <c:v>2.4006151500945007E-3</c:v>
                </c:pt>
                <c:pt idx="724">
                  <c:v>2.4060948530075662E-3</c:v>
                </c:pt>
                <c:pt idx="725">
                  <c:v>2.4115753879908369E-3</c:v>
                </c:pt>
                <c:pt idx="726">
                  <c:v>2.4280218009330853E-3</c:v>
                </c:pt>
                <c:pt idx="727">
                  <c:v>2.433505479768382E-3</c:v>
                </c:pt>
                <c:pt idx="728">
                  <c:v>2.4389898984594877E-3</c:v>
                </c:pt>
                <c:pt idx="729">
                  <c:v>2.4444750385635206E-3</c:v>
                </c:pt>
                <c:pt idx="730">
                  <c:v>2.4499608816376025E-3</c:v>
                </c:pt>
                <c:pt idx="731">
                  <c:v>2.4664224442513477E-3</c:v>
                </c:pt>
                <c:pt idx="732">
                  <c:v>2.4719109147768306E-3</c:v>
                </c:pt>
                <c:pt idx="733">
                  <c:v>2.4773999960579643E-3</c:v>
                </c:pt>
                <c:pt idx="734">
                  <c:v>2.4828896696518711E-3</c:v>
                </c:pt>
                <c:pt idx="735">
                  <c:v>2.4883799171156705E-3</c:v>
                </c:pt>
                <c:pt idx="736">
                  <c:v>2.5048539182976302E-3</c:v>
                </c:pt>
                <c:pt idx="737">
                  <c:v>2.5103462768122043E-3</c:v>
                </c:pt>
                <c:pt idx="738">
                  <c:v>2.5158391169822747E-3</c:v>
                </c:pt>
                <c:pt idx="739">
                  <c:v>2.5213324203649614E-3</c:v>
                </c:pt>
                <c:pt idx="740">
                  <c:v>2.5488052399668475E-3</c:v>
                </c:pt>
                <c:pt idx="741">
                  <c:v>2.5543009353247597E-3</c:v>
                </c:pt>
                <c:pt idx="742">
                  <c:v>2.559796964795131E-3</c:v>
                </c:pt>
                <c:pt idx="743">
                  <c:v>2.5652933099350821E-3</c:v>
                </c:pt>
                <c:pt idx="744">
                  <c:v>2.5817840549436223E-3</c:v>
                </c:pt>
                <c:pt idx="745">
                  <c:v>2.5872814783331E-3</c:v>
                </c:pt>
                <c:pt idx="746">
                  <c:v>2.5982769770347231E-3</c:v>
                </c:pt>
                <c:pt idx="747">
                  <c:v>2.6037750154611103E-3</c:v>
                </c:pt>
                <c:pt idx="748">
                  <c:v>2.6202700657280177E-3</c:v>
                </c:pt>
                <c:pt idx="749">
                  <c:v>2.6257686660033047E-3</c:v>
                </c:pt>
                <c:pt idx="750">
                  <c:v>2.6312673606336185E-3</c:v>
                </c:pt>
                <c:pt idx="751">
                  <c:v>2.6367661311760796E-3</c:v>
                </c:pt>
                <c:pt idx="752">
                  <c:v>2.6422649591878074E-3</c:v>
                </c:pt>
                <c:pt idx="753">
                  <c:v>2.658761603609801E-3</c:v>
                </c:pt>
                <c:pt idx="754">
                  <c:v>2.6642604770698046E-3</c:v>
                </c:pt>
                <c:pt idx="755">
                  <c:v>2.6697593157846782E-3</c:v>
                </c:pt>
                <c:pt idx="756">
                  <c:v>2.6752581013115419E-3</c:v>
                </c:pt>
                <c:pt idx="757">
                  <c:v>2.6807568152075164E-3</c:v>
                </c:pt>
                <c:pt idx="758">
                  <c:v>2.697252342681315E-3</c:v>
                </c:pt>
                <c:pt idx="759">
                  <c:v>2.7027505856249399E-3</c:v>
                </c:pt>
                <c:pt idx="760">
                  <c:v>2.7082486647232785E-3</c:v>
                </c:pt>
                <c:pt idx="761">
                  <c:v>2.7137465615334521E-3</c:v>
                </c:pt>
                <c:pt idx="762">
                  <c:v>2.719244257612581E-3</c:v>
                </c:pt>
                <c:pt idx="763">
                  <c:v>2.7357359570348997E-3</c:v>
                </c:pt>
                <c:pt idx="764">
                  <c:v>2.7412326657610536E-3</c:v>
                </c:pt>
                <c:pt idx="765">
                  <c:v>2.7467290815417641E-3</c:v>
                </c:pt>
                <c:pt idx="766">
                  <c:v>2.7522251859341523E-3</c:v>
                </c:pt>
                <c:pt idx="767">
                  <c:v>2.7577209604953403E-3</c:v>
                </c:pt>
                <c:pt idx="768">
                  <c:v>2.7742061207628988E-3</c:v>
                </c:pt>
                <c:pt idx="769">
                  <c:v>2.7797003973381289E-3</c:v>
                </c:pt>
                <c:pt idx="770">
                  <c:v>2.7851942864736213E-3</c:v>
                </c:pt>
                <c:pt idx="771">
                  <c:v>2.7906878043323534E-3</c:v>
                </c:pt>
                <c:pt idx="772">
                  <c:v>2.7961809670773068E-3</c:v>
                </c:pt>
                <c:pt idx="773">
                  <c:v>2.8126584862592945E-3</c:v>
                </c:pt>
                <c:pt idx="774">
                  <c:v>2.8181503901789336E-3</c:v>
                </c:pt>
                <c:pt idx="775">
                  <c:v>2.8236420197996943E-3</c:v>
                </c:pt>
                <c:pt idx="776">
                  <c:v>2.8291333912845583E-3</c:v>
                </c:pt>
                <c:pt idx="777">
                  <c:v>2.8346245207965031E-3</c:v>
                </c:pt>
                <c:pt idx="778">
                  <c:v>2.8510966191246327E-3</c:v>
                </c:pt>
                <c:pt idx="779">
                  <c:v>2.856586942374706E-3</c:v>
                </c:pt>
                <c:pt idx="780">
                  <c:v>2.862077104466764E-3</c:v>
                </c:pt>
                <c:pt idx="781">
                  <c:v>2.867567121563783E-3</c:v>
                </c:pt>
                <c:pt idx="782">
                  <c:v>2.8730570098287464E-3</c:v>
                </c:pt>
                <c:pt idx="783">
                  <c:v>2.8895260632610959E-3</c:v>
                </c:pt>
                <c:pt idx="784">
                  <c:v>2.8950155978276324E-3</c:v>
                </c:pt>
                <c:pt idx="785">
                  <c:v>2.9005050843770126E-3</c:v>
                </c:pt>
                <c:pt idx="786">
                  <c:v>2.9059945390722155E-3</c:v>
                </c:pt>
                <c:pt idx="787">
                  <c:v>2.9114839780762232E-3</c:v>
                </c:pt>
                <c:pt idx="788">
                  <c:v>2.9279523625708715E-3</c:v>
                </c:pt>
                <c:pt idx="789">
                  <c:v>2.933441900439896E-3</c:v>
                </c:pt>
                <c:pt idx="790">
                  <c:v>2.938931503432626E-3</c:v>
                </c:pt>
                <c:pt idx="791">
                  <c:v>2.9444211877120395E-3</c:v>
                </c:pt>
                <c:pt idx="792">
                  <c:v>2.9499109694411186E-3</c:v>
                </c:pt>
                <c:pt idx="793">
                  <c:v>2.9663810609561444E-3</c:v>
                </c:pt>
                <c:pt idx="794">
                  <c:v>2.971871394113684E-3</c:v>
                </c:pt>
                <c:pt idx="795">
                  <c:v>2.9773619055357891E-3</c:v>
                </c:pt>
                <c:pt idx="796">
                  <c:v>2.9828526113854404E-3</c:v>
                </c:pt>
                <c:pt idx="797">
                  <c:v>2.9883435278256166E-3</c:v>
                </c:pt>
                <c:pt idx="798">
                  <c:v>3.0048177023191012E-3</c:v>
                </c:pt>
                <c:pt idx="799">
                  <c:v>3.0103096227511823E-3</c:v>
                </c:pt>
                <c:pt idx="800">
                  <c:v>3.0158018345886892E-3</c:v>
                </c:pt>
                <c:pt idx="801">
                  <c:v>3.0212943539946026E-3</c:v>
                </c:pt>
                <c:pt idx="802">
                  <c:v>3.0267871971319041E-3</c:v>
                </c:pt>
                <c:pt idx="803">
                  <c:v>3.0432678305619266E-3</c:v>
                </c:pt>
                <c:pt idx="804">
                  <c:v>3.0487621302545749E-3</c:v>
                </c:pt>
                <c:pt idx="805">
                  <c:v>3.0542568344935107E-3</c:v>
                </c:pt>
                <c:pt idx="806">
                  <c:v>3.0597519594417148E-3</c:v>
                </c:pt>
                <c:pt idx="807">
                  <c:v>3.0652475212621651E-3</c:v>
                </c:pt>
                <c:pt idx="808">
                  <c:v>3.0817369895868056E-3</c:v>
                </c:pt>
                <c:pt idx="809">
                  <c:v>3.0872344605260482E-3</c:v>
                </c:pt>
                <c:pt idx="810">
                  <c:v>3.09273244915244E-3</c:v>
                </c:pt>
                <c:pt idx="811">
                  <c:v>3.0982309716289587E-3</c:v>
                </c:pt>
                <c:pt idx="812">
                  <c:v>3.1037300441185871E-3</c:v>
                </c:pt>
                <c:pt idx="813">
                  <c:v>3.1202307232959235E-3</c:v>
                </c:pt>
                <c:pt idx="814">
                  <c:v>3.1257321574677875E-3</c:v>
                </c:pt>
                <c:pt idx="815">
                  <c:v>3.1312342224676603E-3</c:v>
                </c:pt>
                <c:pt idx="816">
                  <c:v>3.1367369344585229E-3</c:v>
                </c:pt>
                <c:pt idx="817">
                  <c:v>3.1422403096033544E-3</c:v>
                </c:pt>
                <c:pt idx="818">
                  <c:v>3.158754575591467E-3</c:v>
                </c:pt>
                <c:pt idx="819">
                  <c:v>3.1642607649819774E-3</c:v>
                </c:pt>
                <c:pt idx="820">
                  <c:v>3.1697676983413591E-3</c:v>
                </c:pt>
                <c:pt idx="821">
                  <c:v>3.1752753918325902E-3</c:v>
                </c:pt>
                <c:pt idx="822">
                  <c:v>3.1807838616186523E-3</c:v>
                </c:pt>
                <c:pt idx="823">
                  <c:v>3.1973140903756203E-3</c:v>
                </c:pt>
                <c:pt idx="824">
                  <c:v>3.2028258269708059E-3</c:v>
                </c:pt>
                <c:pt idx="825">
                  <c:v>3.2083384206757206E-3</c:v>
                </c:pt>
                <c:pt idx="826">
                  <c:v>3.2138518876533477E-3</c:v>
                </c:pt>
                <c:pt idx="827">
                  <c:v>3.2193662440666662E-3</c:v>
                </c:pt>
                <c:pt idx="828">
                  <c:v>3.2359148115505706E-3</c:v>
                </c:pt>
                <c:pt idx="829">
                  <c:v>3.2414328873364554E-3</c:v>
                </c:pt>
                <c:pt idx="830">
                  <c:v>3.246951933372932E-3</c:v>
                </c:pt>
                <c:pt idx="831">
                  <c:v>3.2524719658229809E-3</c:v>
                </c:pt>
                <c:pt idx="832">
                  <c:v>3.257993000849582E-3</c:v>
                </c:pt>
                <c:pt idx="833">
                  <c:v>3.2745622830185005E-3</c:v>
                </c:pt>
                <c:pt idx="834">
                  <c:v>3.2800874899811122E-3</c:v>
                </c:pt>
                <c:pt idx="835">
                  <c:v>3.2856137803351773E-3</c:v>
                </c:pt>
                <c:pt idx="836">
                  <c:v>3.2911411702436751E-3</c:v>
                </c:pt>
                <c:pt idx="837">
                  <c:v>3.2966696758695855E-3</c:v>
                </c:pt>
                <c:pt idx="838">
                  <c:v>3.3132620486815978E-3</c:v>
                </c:pt>
                <c:pt idx="839">
                  <c:v>3.3187951788069625E-3</c:v>
                </c:pt>
                <c:pt idx="840">
                  <c:v>3.3243295054646415E-3</c:v>
                </c:pt>
                <c:pt idx="841">
                  <c:v>3.3298650448176145E-3</c:v>
                </c:pt>
                <c:pt idx="842">
                  <c:v>3.3354018130288612E-3</c:v>
                </c:pt>
                <c:pt idx="843">
                  <c:v>3.3520196524420478E-3</c:v>
                </c:pt>
                <c:pt idx="844">
                  <c:v>3.3575614977161914E-3</c:v>
                </c:pt>
                <c:pt idx="845">
                  <c:v>3.3631046526635105E-3</c:v>
                </c:pt>
                <c:pt idx="846">
                  <c:v>3.3686491334469853E-3</c:v>
                </c:pt>
                <c:pt idx="847">
                  <c:v>3.3741949562295947E-3</c:v>
                </c:pt>
                <c:pt idx="848">
                  <c:v>3.3908406382020346E-3</c:v>
                </c:pt>
                <c:pt idx="849">
                  <c:v>3.3963919906109846E-3</c:v>
                </c:pt>
                <c:pt idx="850">
                  <c:v>3.4019447658339714E-3</c:v>
                </c:pt>
                <c:pt idx="851">
                  <c:v>3.4074989800339729E-3</c:v>
                </c:pt>
                <c:pt idx="852">
                  <c:v>3.4130546493739717E-3</c:v>
                </c:pt>
                <c:pt idx="853">
                  <c:v>3.4297305498637446E-3</c:v>
                </c:pt>
                <c:pt idx="854">
                  <c:v>3.4352922013935272E-3</c:v>
                </c:pt>
                <c:pt idx="855">
                  <c:v>3.4408553888782083E-3</c:v>
                </c:pt>
                <c:pt idx="856">
                  <c:v>3.4464201284807642E-3</c:v>
                </c:pt>
                <c:pt idx="857">
                  <c:v>3.4519864363641781E-3</c:v>
                </c:pt>
                <c:pt idx="858">
                  <c:v>3.4686949313293622E-3</c:v>
                </c:pt>
                <c:pt idx="859">
                  <c:v>3.474267673966005E-3</c:v>
                </c:pt>
                <c:pt idx="860">
                  <c:v>3.479842065698405E-3</c:v>
                </c:pt>
                <c:pt idx="861">
                  <c:v>3.4854181226895435E-3</c:v>
                </c:pt>
                <c:pt idx="862">
                  <c:v>3.4909958611023984E-3</c:v>
                </c:pt>
                <c:pt idx="863">
                  <c:v>3.5077393265010742E-3</c:v>
                </c:pt>
                <c:pt idx="864">
                  <c:v>3.5133239522306026E-3</c:v>
                </c:pt>
                <c:pt idx="865">
                  <c:v>3.5189103401967498E-3</c:v>
                </c:pt>
                <c:pt idx="866">
                  <c:v>3.5244985065624951E-3</c:v>
                </c:pt>
                <c:pt idx="867">
                  <c:v>3.5300884674908202E-3</c:v>
                </c:pt>
                <c:pt idx="868">
                  <c:v>3.546869279281066E-3</c:v>
                </c:pt>
                <c:pt idx="869">
                  <c:v>3.552466580089507E-3</c:v>
                </c:pt>
                <c:pt idx="870">
                  <c:v>3.5580657562754264E-3</c:v>
                </c:pt>
                <c:pt idx="871">
                  <c:v>3.5636668240018061E-3</c:v>
                </c:pt>
                <c:pt idx="872">
                  <c:v>3.569269799431625E-3</c:v>
                </c:pt>
                <c:pt idx="873">
                  <c:v>3.5860903335715229E-3</c:v>
                </c:pt>
                <c:pt idx="874">
                  <c:v>3.5917011014449012E-3</c:v>
                </c:pt>
                <c:pt idx="875">
                  <c:v>3.5973138578366212E-3</c:v>
                </c:pt>
                <c:pt idx="876">
                  <c:v>3.602928618909661E-3</c:v>
                </c:pt>
                <c:pt idx="877">
                  <c:v>3.6085454008270013E-3</c:v>
                </c:pt>
                <c:pt idx="878">
                  <c:v>3.6254080332746288E-3</c:v>
                </c:pt>
                <c:pt idx="879">
                  <c:v>3.6310330601989739E-3</c:v>
                </c:pt>
                <c:pt idx="880">
                  <c:v>3.6366601887825195E-3</c:v>
                </c:pt>
                <c:pt idx="881">
                  <c:v>3.6422894351882461E-3</c:v>
                </c:pt>
                <c:pt idx="882">
                  <c:v>3.6479208155791349E-3</c:v>
                </c:pt>
                <c:pt idx="883">
                  <c:v>3.6648279222925707E-3</c:v>
                </c:pt>
                <c:pt idx="884">
                  <c:v>3.6704680002539068E-3</c:v>
                </c:pt>
                <c:pt idx="885">
                  <c:v>3.6761102930153054E-3</c:v>
                </c:pt>
                <c:pt idx="886">
                  <c:v>3.6817548167397463E-3</c:v>
                </c:pt>
                <c:pt idx="887">
                  <c:v>3.6874015875902099E-3</c:v>
                </c:pt>
                <c:pt idx="888">
                  <c:v>3.7043555445275332E-3</c:v>
                </c:pt>
                <c:pt idx="889">
                  <c:v>3.7100114655118878E-3</c:v>
                </c:pt>
                <c:pt idx="890">
                  <c:v>3.7156697144371652E-3</c:v>
                </c:pt>
                <c:pt idx="891">
                  <c:v>3.7213303074663463E-3</c:v>
                </c:pt>
                <c:pt idx="892">
                  <c:v>3.7269932607624109E-3</c:v>
                </c:pt>
                <c:pt idx="893">
                  <c:v>3.7439964438817043E-3</c:v>
                </c:pt>
                <c:pt idx="894">
                  <c:v>3.7496689998751027E-3</c:v>
                </c:pt>
                <c:pt idx="895">
                  <c:v>3.7553439969502849E-3</c:v>
                </c:pt>
                <c:pt idx="896">
                  <c:v>3.7610214512702324E-3</c:v>
                </c:pt>
                <c:pt idx="897">
                  <c:v>3.7667013789979237E-3</c:v>
                </c:pt>
                <c:pt idx="898">
                  <c:v>3.7837561642572659E-3</c:v>
                </c:pt>
                <c:pt idx="899">
                  <c:v>3.7894461472457366E-3</c:v>
                </c:pt>
                <c:pt idx="900">
                  <c:v>3.7951386844568506E-3</c:v>
                </c:pt>
                <c:pt idx="901">
                  <c:v>3.8008337920535915E-3</c:v>
                </c:pt>
                <c:pt idx="902">
                  <c:v>3.8065314861989354E-3</c:v>
                </c:pt>
                <c:pt idx="903">
                  <c:v>3.8236402495564056E-3</c:v>
                </c:pt>
                <c:pt idx="904">
                  <c:v>3.8293484515259726E-3</c:v>
                </c:pt>
                <c:pt idx="905">
                  <c:v>3.8350593208590468E-3</c:v>
                </c:pt>
                <c:pt idx="906">
                  <c:v>3.8407728737186063E-3</c:v>
                </c:pt>
                <c:pt idx="907">
                  <c:v>3.846489126267632E-3</c:v>
                </c:pt>
                <c:pt idx="908">
                  <c:v>3.8636542436813071E-3</c:v>
                </c:pt>
                <c:pt idx="909">
                  <c:v>3.8693814566179993E-3</c:v>
                </c:pt>
                <c:pt idx="910">
                  <c:v>3.8751114500590574E-3</c:v>
                </c:pt>
                <c:pt idx="911">
                  <c:v>3.8808442401674632E-3</c:v>
                </c:pt>
                <c:pt idx="912">
                  <c:v>3.8865798431061962E-3</c:v>
                </c:pt>
                <c:pt idx="913">
                  <c:v>3.903803690534158E-3</c:v>
                </c:pt>
                <c:pt idx="914">
                  <c:v>3.9095507064239995E-3</c:v>
                </c:pt>
                <c:pt idx="915">
                  <c:v>3.9268091806168139E-3</c:v>
                </c:pt>
                <c:pt idx="916">
                  <c:v>3.9440941340171433E-3</c:v>
                </c:pt>
                <c:pt idx="917">
                  <c:v>3.949861744846162E-3</c:v>
                </c:pt>
                <c:pt idx="918">
                  <c:v>3.9613744448335183E-3</c:v>
                </c:pt>
                <c:pt idx="919">
                  <c:v>3.9671353204713579E-3</c:v>
                </c:pt>
                <c:pt idx="920">
                  <c:v>3.9844362423318161E-3</c:v>
                </c:pt>
                <c:pt idx="921">
                  <c:v>3.9902093680371422E-3</c:v>
                </c:pt>
                <c:pt idx="922">
                  <c:v>3.9959855963364885E-3</c:v>
                </c:pt>
                <c:pt idx="923">
                  <c:v>4.0017649432607105E-3</c:v>
                </c:pt>
                <c:pt idx="924">
                  <c:v>4.0075474248406663E-3</c:v>
                </c:pt>
                <c:pt idx="925">
                  <c:v>4.0249138378235291E-3</c:v>
                </c:pt>
                <c:pt idx="926">
                  <c:v>4.0307090183350084E-3</c:v>
                </c:pt>
                <c:pt idx="927">
                  <c:v>4.0365074136565135E-3</c:v>
                </c:pt>
                <c:pt idx="928">
                  <c:v>4.0423090398189034E-3</c:v>
                </c:pt>
                <c:pt idx="929">
                  <c:v>4.048113912853037E-3</c:v>
                </c:pt>
                <c:pt idx="930">
                  <c:v>4.0655481734944779E-3</c:v>
                </c:pt>
                <c:pt idx="931">
                  <c:v>4.071366194324166E-3</c:v>
                </c:pt>
                <c:pt idx="932">
                  <c:v>4.0771875421798899E-3</c:v>
                </c:pt>
                <c:pt idx="933">
                  <c:v>4.0830122330925067E-3</c:v>
                </c:pt>
                <c:pt idx="934">
                  <c:v>4.0888402830928736E-3</c:v>
                </c:pt>
                <c:pt idx="935">
                  <c:v>4.1063447479290699E-3</c:v>
                </c:pt>
                <c:pt idx="936">
                  <c:v>4.1121863945890267E-3</c:v>
                </c:pt>
                <c:pt idx="937">
                  <c:v>4.1180314804910266E-3</c:v>
                </c:pt>
                <c:pt idx="938">
                  <c:v>4.1238800216659268E-3</c:v>
                </c:pt>
                <c:pt idx="939">
                  <c:v>4.1297320341445887E-3</c:v>
                </c:pt>
                <c:pt idx="940">
                  <c:v>4.1473090597117139E-3</c:v>
                </c:pt>
                <c:pt idx="941">
                  <c:v>4.1531751177139977E-3</c:v>
                </c:pt>
                <c:pt idx="942">
                  <c:v>4.1590447271743327E-3</c:v>
                </c:pt>
                <c:pt idx="943">
                  <c:v>4.164917904123577E-3</c:v>
                </c:pt>
                <c:pt idx="944">
                  <c:v>4.1707946645925904E-3</c:v>
                </c:pt>
                <c:pt idx="945">
                  <c:v>4.1884466074268217E-3</c:v>
                </c:pt>
                <c:pt idx="946">
                  <c:v>4.1943378622834896E-3</c:v>
                </c:pt>
                <c:pt idx="947">
                  <c:v>4.2002327808142188E-3</c:v>
                </c:pt>
                <c:pt idx="948">
                  <c:v>4.2061313790498654E-3</c:v>
                </c:pt>
                <c:pt idx="949">
                  <c:v>4.2120336730212876E-3</c:v>
                </c:pt>
                <c:pt idx="950">
                  <c:v>4.2297628896587995E-3</c:v>
                </c:pt>
                <c:pt idx="951">
                  <c:v>4.2356801268819124E-3</c:v>
                </c:pt>
                <c:pt idx="952">
                  <c:v>4.2416011399950913E-3</c:v>
                </c:pt>
                <c:pt idx="953">
                  <c:v>4.2475259450291993E-3</c:v>
                </c:pt>
                <c:pt idx="954">
                  <c:v>4.253454558015091E-3</c:v>
                </c:pt>
                <c:pt idx="955">
                  <c:v>4.2712634049920572E-3</c:v>
                </c:pt>
                <c:pt idx="956">
                  <c:v>4.2772074100936724E-3</c:v>
                </c:pt>
                <c:pt idx="957">
                  <c:v>4.2831553033013626E-3</c:v>
                </c:pt>
                <c:pt idx="958">
                  <c:v>4.2891071006459875E-3</c:v>
                </c:pt>
                <c:pt idx="959">
                  <c:v>4.2950628181584061E-3</c:v>
                </c:pt>
                <c:pt idx="960">
                  <c:v>4.3129536520110055E-3</c:v>
                </c:pt>
                <c:pt idx="961">
                  <c:v>4.3189252105031804E-3</c:v>
                </c:pt>
                <c:pt idx="962">
                  <c:v>4.3249007693174392E-3</c:v>
                </c:pt>
                <c:pt idx="963">
                  <c:v>4.3308803444846418E-3</c:v>
                </c:pt>
                <c:pt idx="964">
                  <c:v>4.3368639520356463E-3</c:v>
                </c:pt>
                <c:pt idx="965">
                  <c:v>4.3548391293000517E-3</c:v>
                </c:pt>
                <c:pt idx="966">
                  <c:v>4.3608390266948452E-3</c:v>
                </c:pt>
                <c:pt idx="967">
                  <c:v>4.3668430366277317E-3</c:v>
                </c:pt>
                <c:pt idx="968">
                  <c:v>4.3728511751295702E-3</c:v>
                </c:pt>
                <c:pt idx="969">
                  <c:v>4.3788634582312179E-3</c:v>
                </c:pt>
                <c:pt idx="970">
                  <c:v>4.3969253354436064E-3</c:v>
                </c:pt>
                <c:pt idx="971">
                  <c:v>4.4029543572530758E-3</c:v>
                </c:pt>
                <c:pt idx="972">
                  <c:v>4.4089876038166491E-3</c:v>
                </c:pt>
                <c:pt idx="973">
                  <c:v>4.4150250911651817E-3</c:v>
                </c:pt>
                <c:pt idx="974">
                  <c:v>4.4210668353295316E-3</c:v>
                </c:pt>
                <c:pt idx="975">
                  <c:v>4.4392177690260777E-3</c:v>
                </c:pt>
                <c:pt idx="976">
                  <c:v>4.4452767007622839E-3</c:v>
                </c:pt>
                <c:pt idx="977">
                  <c:v>4.4513399694686004E-3</c:v>
                </c:pt>
                <c:pt idx="978">
                  <c:v>4.4574075911758843E-3</c:v>
                </c:pt>
                <c:pt idx="979">
                  <c:v>4.4634795819149965E-3</c:v>
                </c:pt>
                <c:pt idx="980">
                  <c:v>4.4817219286318738E-3</c:v>
                </c:pt>
                <c:pt idx="981">
                  <c:v>4.4878115558068758E-3</c:v>
                </c:pt>
                <c:pt idx="982">
                  <c:v>4.4939056321679945E-3</c:v>
                </c:pt>
                <c:pt idx="983">
                  <c:v>4.5000041737460889E-3</c:v>
                </c:pt>
                <c:pt idx="984">
                  <c:v>4.5061071965720205E-3</c:v>
                </c:pt>
                <c:pt idx="985">
                  <c:v>4.5244433128454054E-3</c:v>
                </c:pt>
                <c:pt idx="986">
                  <c:v>4.5305644209712595E-3</c:v>
                </c:pt>
                <c:pt idx="987">
                  <c:v>4.5366900904992404E-3</c:v>
                </c:pt>
                <c:pt idx="988">
                  <c:v>4.5428203374602042E-3</c:v>
                </c:pt>
                <c:pt idx="989">
                  <c:v>4.5735407948398477E-3</c:v>
                </c:pt>
                <c:pt idx="990">
                  <c:v>4.5796988430467471E-3</c:v>
                </c:pt>
                <c:pt idx="991">
                  <c:v>4.5858615809026403E-3</c:v>
                </c:pt>
                <c:pt idx="992">
                  <c:v>4.5920290244383854E-3</c:v>
                </c:pt>
                <c:pt idx="993">
                  <c:v>4.6105597494333125E-3</c:v>
                </c:pt>
                <c:pt idx="994">
                  <c:v>4.6167461759970465E-3</c:v>
                </c:pt>
                <c:pt idx="995">
                  <c:v>4.6229373883949244E-3</c:v>
                </c:pt>
                <c:pt idx="996">
                  <c:v>4.6291334026578044E-3</c:v>
                </c:pt>
                <c:pt idx="997">
                  <c:v>4.6353342348165434E-3</c:v>
                </c:pt>
                <c:pt idx="998">
                  <c:v>4.653965798976506E-3</c:v>
                </c:pt>
                <c:pt idx="999">
                  <c:v>4.6601860630272685E-3</c:v>
                </c:pt>
                <c:pt idx="1000">
                  <c:v>4.6664112251281822E-3</c:v>
                </c:pt>
                <c:pt idx="1001">
                  <c:v>4.672641301310107E-3</c:v>
                </c:pt>
                <c:pt idx="1002">
                  <c:v>4.6976110674650717E-3</c:v>
                </c:pt>
                <c:pt idx="1003">
                  <c:v>4.70386595451492E-3</c:v>
                </c:pt>
                <c:pt idx="1004">
                  <c:v>4.7101258518309303E-3</c:v>
                </c:pt>
                <c:pt idx="1005">
                  <c:v>4.7163907754439564E-3</c:v>
                </c:pt>
                <c:pt idx="1006">
                  <c:v>4.7226607413848607E-3</c:v>
                </c:pt>
                <c:pt idx="1007">
                  <c:v>4.7415010534834169E-3</c:v>
                </c:pt>
                <c:pt idx="1008">
                  <c:v>4.7477913490444109E-3</c:v>
                </c:pt>
                <c:pt idx="1009">
                  <c:v>4.7540867670875717E-3</c:v>
                </c:pt>
                <c:pt idx="1010">
                  <c:v>4.7603873236437616E-3</c:v>
                </c:pt>
                <c:pt idx="1011">
                  <c:v>4.7666930347438361E-3</c:v>
                </c:pt>
                <c:pt idx="1012">
                  <c:v>4.7856412556159522E-3</c:v>
                </c:pt>
                <c:pt idx="1013">
                  <c:v>4.7919677452001493E-3</c:v>
                </c:pt>
                <c:pt idx="1014">
                  <c:v>4.7982994694825247E-3</c:v>
                </c:pt>
                <c:pt idx="1015">
                  <c:v>4.8046364444939323E-3</c:v>
                </c:pt>
                <c:pt idx="1016">
                  <c:v>4.8109786862652361E-3</c:v>
                </c:pt>
                <c:pt idx="1017">
                  <c:v>4.8300371724470884E-3</c:v>
                </c:pt>
                <c:pt idx="1018">
                  <c:v>4.8364006415665467E-3</c:v>
                </c:pt>
                <c:pt idx="1019">
                  <c:v>4.8427694576001915E-3</c:v>
                </c:pt>
                <c:pt idx="1020">
                  <c:v>4.8491436365788801E-3</c:v>
                </c:pt>
                <c:pt idx="1021">
                  <c:v>4.8555231945334697E-3</c:v>
                </c:pt>
                <c:pt idx="1022">
                  <c:v>4.8746943025612319E-3</c:v>
                </c:pt>
                <c:pt idx="1023">
                  <c:v>4.8810955367280121E-3</c:v>
                </c:pt>
                <c:pt idx="1024">
                  <c:v>4.8875022248507484E-3</c:v>
                </c:pt>
                <c:pt idx="1025">
                  <c:v>4.8939143570891188E-3</c:v>
                </c:pt>
                <c:pt idx="1026">
                  <c:v>4.900331918428558E-3</c:v>
                </c:pt>
                <c:pt idx="1027">
                  <c:v>4.9196170269077003E-3</c:v>
                </c:pt>
                <c:pt idx="1028">
                  <c:v>4.926056154505816E-3</c:v>
                </c:pt>
                <c:pt idx="1029">
                  <c:v>4.9325006361322019E-3</c:v>
                </c:pt>
                <c:pt idx="1030">
                  <c:v>4.9389504567722911E-3</c:v>
                </c:pt>
                <c:pt idx="1031">
                  <c:v>4.9454056014115256E-3</c:v>
                </c:pt>
                <c:pt idx="1032">
                  <c:v>4.964802829178494E-3</c:v>
                </c:pt>
                <c:pt idx="1033">
                  <c:v>4.9712791196686989E-3</c:v>
                </c:pt>
                <c:pt idx="1034">
                  <c:v>4.9777606590852451E-3</c:v>
                </c:pt>
                <c:pt idx="1035">
                  <c:v>4.9842474324135709E-3</c:v>
                </c:pt>
                <c:pt idx="1036">
                  <c:v>4.9907394246391148E-3</c:v>
                </c:pt>
                <c:pt idx="1037">
                  <c:v>5.0102465645534486E-3</c:v>
                </c:pt>
                <c:pt idx="1038">
                  <c:v>5.016759282222256E-3</c:v>
                </c:pt>
                <c:pt idx="1039">
                  <c:v>5.023277143715481E-3</c:v>
                </c:pt>
                <c:pt idx="1040">
                  <c:v>5.029800134018555E-3</c:v>
                </c:pt>
                <c:pt idx="1041">
                  <c:v>5.0363282381169243E-3</c:v>
                </c:pt>
                <c:pt idx="1042">
                  <c:v>5.0559430830381686E-3</c:v>
                </c:pt>
                <c:pt idx="1043">
                  <c:v>5.0624914921720927E-3</c:v>
                </c:pt>
                <c:pt idx="1044">
                  <c:v>5.0690449400285081E-3</c:v>
                </c:pt>
                <c:pt idx="1045">
                  <c:v>5.0756034115928455E-3</c:v>
                </c:pt>
                <c:pt idx="1046">
                  <c:v>5.0821668918505508E-3</c:v>
                </c:pt>
                <c:pt idx="1047">
                  <c:v>5.1018872346382501E-3</c:v>
                </c:pt>
                <c:pt idx="1048">
                  <c:v>5.1084705995238068E-3</c:v>
                </c:pt>
                <c:pt idx="1049">
                  <c:v>5.1150588980299234E-3</c:v>
                </c:pt>
                <c:pt idx="1050">
                  <c:v>5.1216521151420408E-3</c:v>
                </c:pt>
                <c:pt idx="1051">
                  <c:v>5.1282502358455991E-3</c:v>
                </c:pt>
                <c:pt idx="1052">
                  <c:v>5.1480738693592933E-3</c:v>
                </c:pt>
                <c:pt idx="1053">
                  <c:v>5.1546914542829961E-3</c:v>
                </c:pt>
                <c:pt idx="1054">
                  <c:v>5.1613138677253341E-3</c:v>
                </c:pt>
                <c:pt idx="1055">
                  <c:v>5.1679410946717441E-3</c:v>
                </c:pt>
                <c:pt idx="1056">
                  <c:v>5.1745731201076695E-3</c:v>
                </c:pt>
                <c:pt idx="1057">
                  <c:v>5.1944978372069012E-3</c:v>
                </c:pt>
                <c:pt idx="1058">
                  <c:v>5.2011489064552642E-3</c:v>
                </c:pt>
                <c:pt idx="1059">
                  <c:v>5.2078046991203353E-3</c:v>
                </c:pt>
                <c:pt idx="1060">
                  <c:v>5.2144652001875538E-3</c:v>
                </c:pt>
                <c:pt idx="1061">
                  <c:v>5.221130394642357E-3</c:v>
                </c:pt>
                <c:pt idx="1062">
                  <c:v>5.2411539881866724E-3</c:v>
                </c:pt>
                <c:pt idx="1063">
                  <c:v>5.2478378060462115E-3</c:v>
                </c:pt>
                <c:pt idx="1064">
                  <c:v>5.2545262422205299E-3</c:v>
                </c:pt>
                <c:pt idx="1065">
                  <c:v>5.2612192816950676E-3</c:v>
                </c:pt>
                <c:pt idx="1066">
                  <c:v>5.2679169094552681E-3</c:v>
                </c:pt>
                <c:pt idx="1067">
                  <c:v>5.2880371723042097E-3</c:v>
                </c:pt>
                <c:pt idx="1068">
                  <c:v>5.2947530030614358E-3</c:v>
                </c:pt>
                <c:pt idx="1069">
                  <c:v>5.3014733470315156E-3</c:v>
                </c:pt>
                <c:pt idx="1070">
                  <c:v>5.3081981891998911E-3</c:v>
                </c:pt>
                <c:pt idx="1071">
                  <c:v>5.3149275145519988E-3</c:v>
                </c:pt>
                <c:pt idx="1072">
                  <c:v>5.3351422395651084E-3</c:v>
                </c:pt>
                <c:pt idx="1073">
                  <c:v>5.3418893475065399E-3</c:v>
                </c:pt>
                <c:pt idx="1074">
                  <c:v>5.3486408635588954E-3</c:v>
                </c:pt>
                <c:pt idx="1075">
                  <c:v>5.355396772707622E-3</c:v>
                </c:pt>
                <c:pt idx="1076">
                  <c:v>5.3621570599381527E-3</c:v>
                </c:pt>
                <c:pt idx="1077">
                  <c:v>5.3824640399749747E-3</c:v>
                </c:pt>
                <c:pt idx="1078">
                  <c:v>5.3892416893871198E-3</c:v>
                </c:pt>
                <c:pt idx="1079">
                  <c:v>5.3960236418082695E-3</c:v>
                </c:pt>
                <c:pt idx="1080">
                  <c:v>5.4028098822238588E-3</c:v>
                </c:pt>
                <c:pt idx="1081">
                  <c:v>5.409600395619326E-3</c:v>
                </c:pt>
                <c:pt idx="1082">
                  <c:v>5.4299974235394047E-3</c:v>
                </c:pt>
                <c:pt idx="1083">
                  <c:v>5.4368048787087819E-3</c:v>
                </c:pt>
                <c:pt idx="1084">
                  <c:v>5.4436165317852349E-3</c:v>
                </c:pt>
                <c:pt idx="1085">
                  <c:v>5.4504323677542045E-3</c:v>
                </c:pt>
                <c:pt idx="1086">
                  <c:v>5.457252371601125E-3</c:v>
                </c:pt>
                <c:pt idx="1087">
                  <c:v>5.4777372402639978E-3</c:v>
                </c:pt>
                <c:pt idx="1088">
                  <c:v>5.4845737654771222E-3</c:v>
                </c:pt>
                <c:pt idx="1089">
                  <c:v>5.491414383495396E-3</c:v>
                </c:pt>
                <c:pt idx="1090">
                  <c:v>5.498259079304256E-3</c:v>
                </c:pt>
                <c:pt idx="1091">
                  <c:v>5.5051078378891456E-3</c:v>
                </c:pt>
                <c:pt idx="1092">
                  <c:v>5.5256783401543578E-3</c:v>
                </c:pt>
                <c:pt idx="1093">
                  <c:v>5.5325431996977436E-3</c:v>
                </c:pt>
                <c:pt idx="1094">
                  <c:v>5.5394120469443508E-3</c:v>
                </c:pt>
                <c:pt idx="1095">
                  <c:v>5.5462848668796196E-3</c:v>
                </c:pt>
                <c:pt idx="1096">
                  <c:v>5.5531616444889865E-3</c:v>
                </c:pt>
                <c:pt idx="1097">
                  <c:v>5.5738155732160859E-3</c:v>
                </c:pt>
                <c:pt idx="1098">
                  <c:v>5.5807080313762438E-3</c:v>
                </c:pt>
                <c:pt idx="1099">
                  <c:v>5.5876043721376995E-3</c:v>
                </c:pt>
                <c:pt idx="1100">
                  <c:v>5.5945045804858878E-3</c:v>
                </c:pt>
                <c:pt idx="1101">
                  <c:v>5.6014086414062532E-3</c:v>
                </c:pt>
                <c:pt idx="1102">
                  <c:v>5.6221437894547754E-3</c:v>
                </c:pt>
                <c:pt idx="1103">
                  <c:v>5.629063110518224E-3</c:v>
                </c:pt>
                <c:pt idx="1104">
                  <c:v>5.6359862090810441E-3</c:v>
                </c:pt>
                <c:pt idx="1105">
                  <c:v>5.6429130701286679E-3</c:v>
                </c:pt>
                <c:pt idx="1106">
                  <c:v>5.6498436786465425E-3</c:v>
                </c:pt>
                <c:pt idx="1107">
                  <c:v>5.6706578388760328E-3</c:v>
                </c:pt>
                <c:pt idx="1108">
                  <c:v>5.6776032871292872E-3</c:v>
                </c:pt>
                <c:pt idx="1109">
                  <c:v>5.6845524077799798E-3</c:v>
                </c:pt>
                <c:pt idx="1110">
                  <c:v>5.6915051858135576E-3</c:v>
                </c:pt>
                <c:pt idx="1111">
                  <c:v>5.6984616062154547E-3</c:v>
                </c:pt>
                <c:pt idx="1112">
                  <c:v>5.7193525714854584E-3</c:v>
                </c:pt>
                <c:pt idx="1113">
                  <c:v>5.7263234112150284E-3</c:v>
                </c:pt>
                <c:pt idx="1114">
                  <c:v>5.7332978182401146E-3</c:v>
                </c:pt>
                <c:pt idx="1115">
                  <c:v>5.7402757775461555E-3</c:v>
                </c:pt>
                <c:pt idx="1116">
                  <c:v>5.7472572741185911E-3</c:v>
                </c:pt>
                <c:pt idx="1117">
                  <c:v>5.7682228372886507E-3</c:v>
                </c:pt>
                <c:pt idx="1118">
                  <c:v>5.7752183327810513E-3</c:v>
                </c:pt>
                <c:pt idx="1119">
                  <c:v>5.782217290467042E-3</c:v>
                </c:pt>
                <c:pt idx="1120">
                  <c:v>5.7892196953320645E-3</c:v>
                </c:pt>
                <c:pt idx="1121">
                  <c:v>5.7962255323615501E-3</c:v>
                </c:pt>
                <c:pt idx="1122">
                  <c:v>5.8172634862912074E-3</c:v>
                </c:pt>
                <c:pt idx="1123">
                  <c:v>5.8242829018329573E-3</c:v>
                </c:pt>
                <c:pt idx="1124">
                  <c:v>5.8313056744663675E-3</c:v>
                </c:pt>
                <c:pt idx="1125">
                  <c:v>5.8383317891768814E-3</c:v>
                </c:pt>
                <c:pt idx="1126">
                  <c:v>5.8453612309499357E-3</c:v>
                </c:pt>
                <c:pt idx="1127">
                  <c:v>5.866469368498735E-3</c:v>
                </c:pt>
                <c:pt idx="1128">
                  <c:v>5.8735119683763423E-3</c:v>
                </c:pt>
                <c:pt idx="1129">
                  <c:v>5.8805578202436887E-3</c:v>
                </c:pt>
                <c:pt idx="1130">
                  <c:v>5.8876069090862092E-3</c:v>
                </c:pt>
                <c:pt idx="1131">
                  <c:v>5.8946592198893437E-3</c:v>
                </c:pt>
                <c:pt idx="1132">
                  <c:v>5.9158353339168286E-3</c:v>
                </c:pt>
                <c:pt idx="1133">
                  <c:v>5.9229003824168118E-3</c:v>
                </c:pt>
                <c:pt idx="1134">
                  <c:v>5.9299685778046052E-3</c:v>
                </c:pt>
                <c:pt idx="1135">
                  <c:v>5.9370399050656499E-3</c:v>
                </c:pt>
                <c:pt idx="1136">
                  <c:v>5.9441143491853789E-3</c:v>
                </c:pt>
                <c:pt idx="1137">
                  <c:v>5.9653562325510884E-3</c:v>
                </c:pt>
                <c:pt idx="1138">
                  <c:v>5.9724429939599618E-3</c:v>
                </c:pt>
                <c:pt idx="1139">
                  <c:v>5.9795327971547199E-3</c:v>
                </c:pt>
                <c:pt idx="1140">
                  <c:v>5.9866256271207969E-3</c:v>
                </c:pt>
                <c:pt idx="1141">
                  <c:v>5.9937214688436389E-3</c:v>
                </c:pt>
                <c:pt idx="1142">
                  <c:v>6.0150269144071192E-3</c:v>
                </c:pt>
                <c:pt idx="1143">
                  <c:v>6.022134653011396E-3</c:v>
                </c:pt>
                <c:pt idx="1144">
                  <c:v>6.0292453282996313E-3</c:v>
                </c:pt>
                <c:pt idx="1145">
                  <c:v>6.0363589252572592E-3</c:v>
                </c:pt>
                <c:pt idx="1146">
                  <c:v>6.043475428869724E-3</c:v>
                </c:pt>
                <c:pt idx="1147">
                  <c:v>6.0648422294905186E-3</c:v>
                </c:pt>
                <c:pt idx="1148">
                  <c:v>6.0719702095767122E-3</c:v>
                </c:pt>
                <c:pt idx="1149">
                  <c:v>6.0791010212449372E-3</c:v>
                </c:pt>
                <c:pt idx="1150">
                  <c:v>6.0862346494806293E-3</c:v>
                </c:pt>
                <c:pt idx="1151">
                  <c:v>6.0933710792692346E-3</c:v>
                </c:pt>
                <c:pt idx="1152">
                  <c:v>6.1147970278068835E-3</c:v>
                </c:pt>
                <c:pt idx="1153">
                  <c:v>6.1219445136615107E-3</c:v>
                </c:pt>
                <c:pt idx="1154">
                  <c:v>6.129094725996243E-3</c:v>
                </c:pt>
                <c:pt idx="1155">
                  <c:v>6.1362476497965153E-3</c:v>
                </c:pt>
                <c:pt idx="1156">
                  <c:v>6.1434032700477719E-3</c:v>
                </c:pt>
                <c:pt idx="1157">
                  <c:v>6.1648861593618185E-3</c:v>
                </c:pt>
                <c:pt idx="1158">
                  <c:v>6.1720524152713944E-3</c:v>
                </c:pt>
                <c:pt idx="1159">
                  <c:v>6.1792212925591439E-3</c:v>
                </c:pt>
                <c:pt idx="1160">
                  <c:v>6.1863927762105123E-3</c:v>
                </c:pt>
                <c:pt idx="1161">
                  <c:v>6.1935668512109344E-3</c:v>
                </c:pt>
                <c:pt idx="1162">
                  <c:v>6.2151044741609249E-3</c:v>
                </c:pt>
                <c:pt idx="1163">
                  <c:v>6.2222887644119602E-3</c:v>
                </c:pt>
                <c:pt idx="1164">
                  <c:v>6.2294755709392472E-3</c:v>
                </c:pt>
                <c:pt idx="1165">
                  <c:v>6.2366648787282198E-3</c:v>
                </c:pt>
                <c:pt idx="1166">
                  <c:v>6.2438566727643259E-3</c:v>
                </c:pt>
                <c:pt idx="1167">
                  <c:v>6.2654468222098011E-3</c:v>
                </c:pt>
                <c:pt idx="1168">
                  <c:v>6.2726484110888093E-3</c:v>
                </c:pt>
                <c:pt idx="1169">
                  <c:v>6.2798524111421436E-3</c:v>
                </c:pt>
                <c:pt idx="1170">
                  <c:v>6.2870588073552424E-3</c:v>
                </c:pt>
                <c:pt idx="1171">
                  <c:v>6.3159080535140442E-3</c:v>
                </c:pt>
                <c:pt idx="1172">
                  <c:v>6.3231262053075454E-3</c:v>
                </c:pt>
                <c:pt idx="1173">
                  <c:v>6.3303466631734412E-3</c:v>
                </c:pt>
                <c:pt idx="1174">
                  <c:v>6.3375694120971779E-3</c:v>
                </c:pt>
                <c:pt idx="1175">
                  <c:v>6.3665622825794963E-3</c:v>
                </c:pt>
                <c:pt idx="1176">
                  <c:v>6.3738161079923503E-3</c:v>
                </c:pt>
                <c:pt idx="1177">
                  <c:v>6.3810721462455007E-3</c:v>
                </c:pt>
                <c:pt idx="1178">
                  <c:v>6.3883303822006438E-3</c:v>
                </c:pt>
                <c:pt idx="1179">
                  <c:v>6.3955908007194678E-3</c:v>
                </c:pt>
                <c:pt idx="1180">
                  <c:v>6.4173850002749696E-3</c:v>
                </c:pt>
                <c:pt idx="1181">
                  <c:v>6.4246539976654613E-3</c:v>
                </c:pt>
                <c:pt idx="1182">
                  <c:v>6.4319251019280994E-3</c:v>
                </c:pt>
                <c:pt idx="1183">
                  <c:v>6.4391982979245836E-3</c:v>
                </c:pt>
                <c:pt idx="1184">
                  <c:v>6.4464735705166022E-3</c:v>
                </c:pt>
                <c:pt idx="1185">
                  <c:v>6.468311696482809E-3</c:v>
                </c:pt>
                <c:pt idx="1186">
                  <c:v>6.4755951240739046E-3</c:v>
                </c:pt>
                <c:pt idx="1187">
                  <c:v>6.4828805525690043E-3</c:v>
                </c:pt>
                <c:pt idx="1188">
                  <c:v>6.4901679668298009E-3</c:v>
                </c:pt>
                <c:pt idx="1189">
                  <c:v>6.4974573517179862E-3</c:v>
                </c:pt>
                <c:pt idx="1190">
                  <c:v>6.519337178763812E-3</c:v>
                </c:pt>
                <c:pt idx="1191">
                  <c:v>6.5266342947784889E-3</c:v>
                </c:pt>
                <c:pt idx="1192">
                  <c:v>6.5339333057290207E-3</c:v>
                </c:pt>
                <c:pt idx="1193">
                  <c:v>6.5412341964771002E-3</c:v>
                </c:pt>
                <c:pt idx="1194">
                  <c:v>6.5485369518844235E-3</c:v>
                </c:pt>
                <c:pt idx="1195">
                  <c:v>6.5704562546787847E-3</c:v>
                </c:pt>
                <c:pt idx="1196">
                  <c:v>6.5777663173400133E-3</c:v>
                </c:pt>
                <c:pt idx="1197">
                  <c:v>6.5850781689689494E-3</c:v>
                </c:pt>
                <c:pt idx="1198">
                  <c:v>6.5923917944272891E-3</c:v>
                </c:pt>
                <c:pt idx="1199">
                  <c:v>6.5997071785767226E-3</c:v>
                </c:pt>
                <c:pt idx="1200">
                  <c:v>6.6216637317885324E-3</c:v>
                </c:pt>
                <c:pt idx="1201">
                  <c:v>6.6289859993192831E-3</c:v>
                </c:pt>
                <c:pt idx="1202">
                  <c:v>6.6363099498495956E-3</c:v>
                </c:pt>
                <c:pt idx="1203">
                  <c:v>6.6436355682411635E-3</c:v>
                </c:pt>
                <c:pt idx="1204">
                  <c:v>6.650962839355682E-3</c:v>
                </c:pt>
                <c:pt idx="1205">
                  <c:v>6.6729544176538568E-3</c:v>
                </c:pt>
                <c:pt idx="1206">
                  <c:v>6.6802881482771036E-3</c:v>
                </c:pt>
                <c:pt idx="1207">
                  <c:v>6.6876234559317647E-3</c:v>
                </c:pt>
                <c:pt idx="1208">
                  <c:v>6.6949603254795346E-3</c:v>
                </c:pt>
                <c:pt idx="1209">
                  <c:v>6.702298741782106E-3</c:v>
                </c:pt>
                <c:pt idx="1210">
                  <c:v>6.7243231198355676E-3</c:v>
                </c:pt>
                <c:pt idx="1211">
                  <c:v>6.7316675717742809E-3</c:v>
                </c:pt>
                <c:pt idx="1212">
                  <c:v>6.7390134947762602E-3</c:v>
                </c:pt>
                <c:pt idx="1213">
                  <c:v>6.7463608737032025E-3</c:v>
                </c:pt>
                <c:pt idx="1214">
                  <c:v>6.7537096934168024E-3</c:v>
                </c:pt>
                <c:pt idx="1215">
                  <c:v>6.775764645894463E-3</c:v>
                </c:pt>
                <c:pt idx="1216">
                  <c:v>6.7831190773716141E-3</c:v>
                </c:pt>
                <c:pt idx="1217">
                  <c:v>6.7904748739438872E-3</c:v>
                </c:pt>
                <c:pt idx="1218">
                  <c:v>6.7978320204729777E-3</c:v>
                </c:pt>
                <c:pt idx="1219">
                  <c:v>6.8051905018205738E-3</c:v>
                </c:pt>
                <c:pt idx="1220">
                  <c:v>6.8272738033913483E-3</c:v>
                </c:pt>
                <c:pt idx="1221">
                  <c:v>6.8346374726299119E-3</c:v>
                </c:pt>
                <c:pt idx="1222">
                  <c:v>6.8420024009954511E-3</c:v>
                </c:pt>
                <c:pt idx="1223">
                  <c:v>6.8493685733496575E-3</c:v>
                </c:pt>
                <c:pt idx="1224">
                  <c:v>6.856735974554223E-3</c:v>
                </c:pt>
                <c:pt idx="1225">
                  <c:v>6.8788453998870286E-3</c:v>
                </c:pt>
                <c:pt idx="1226">
                  <c:v>6.8862175651099753E-3</c:v>
                </c:pt>
                <c:pt idx="1227">
                  <c:v>6.8935908834917509E-3</c:v>
                </c:pt>
                <c:pt idx="1228">
                  <c:v>6.9009653398940472E-3</c:v>
                </c:pt>
                <c:pt idx="1229">
                  <c:v>6.9083409191785586E-3</c:v>
                </c:pt>
                <c:pt idx="1230">
                  <c:v>6.9304742429423093E-3</c:v>
                </c:pt>
                <c:pt idx="1231">
                  <c:v>6.9378541623726113E-3</c:v>
                </c:pt>
                <c:pt idx="1232">
                  <c:v>6.9452351289935954E-3</c:v>
                </c:pt>
                <c:pt idx="1233">
                  <c:v>6.952617127666952E-3</c:v>
                </c:pt>
                <c:pt idx="1234">
                  <c:v>6.9600001432543772E-3</c:v>
                </c:pt>
                <c:pt idx="1235">
                  <c:v>6.9821551401179948E-3</c:v>
                </c:pt>
                <c:pt idx="1236">
                  <c:v>6.9895420719786223E-3</c:v>
                </c:pt>
                <c:pt idx="1237">
                  <c:v>6.9969299450617873E-3</c:v>
                </c:pt>
                <c:pt idx="1238">
                  <c:v>7.0043187442291781E-3</c:v>
                </c:pt>
                <c:pt idx="1239">
                  <c:v>7.0412761014888147E-3</c:v>
                </c:pt>
                <c:pt idx="1240">
                  <c:v>7.0486701392571327E-3</c:v>
                </c:pt>
                <c:pt idx="1241">
                  <c:v>7.0560649971415264E-3</c:v>
                </c:pt>
                <c:pt idx="1242">
                  <c:v>7.0634606600036972E-3</c:v>
                </c:pt>
                <c:pt idx="1243">
                  <c:v>7.0856523270737895E-3</c:v>
                </c:pt>
                <c:pt idx="1244">
                  <c:v>7.0930510584639892E-3</c:v>
                </c:pt>
                <c:pt idx="1245">
                  <c:v>7.1004505191404306E-3</c:v>
                </c:pt>
                <c:pt idx="1246">
                  <c:v>7.1078506939648047E-3</c:v>
                </c:pt>
                <c:pt idx="1247">
                  <c:v>7.1152515677988075E-3</c:v>
                </c:pt>
                <c:pt idx="1248">
                  <c:v>7.1374582319755084E-3</c:v>
                </c:pt>
                <c:pt idx="1249">
                  <c:v>7.1448617504649521E-3</c:v>
                </c:pt>
                <c:pt idx="1250">
                  <c:v>7.1522658922724891E-3</c:v>
                </c:pt>
                <c:pt idx="1251">
                  <c:v>7.1596706422598147E-3</c:v>
                </c:pt>
                <c:pt idx="1252">
                  <c:v>7.16707598528862E-3</c:v>
                </c:pt>
                <c:pt idx="1253">
                  <c:v>7.189295421240847E-3</c:v>
                </c:pt>
                <c:pt idx="1254">
                  <c:v>7.1967029850525076E-3</c:v>
                </c:pt>
                <c:pt idx="1255">
                  <c:v>7.2041110662141123E-3</c:v>
                </c:pt>
                <c:pt idx="1256">
                  <c:v>7.2115196495873592E-3</c:v>
                </c:pt>
                <c:pt idx="1257">
                  <c:v>7.218928720033939E-3</c:v>
                </c:pt>
                <c:pt idx="1258">
                  <c:v>7.241158702430613E-3</c:v>
                </c:pt>
                <c:pt idx="1259">
                  <c:v>7.2485695697874601E-3</c:v>
                </c:pt>
                <c:pt idx="1260">
                  <c:v>7.2559808485261048E-3</c:v>
                </c:pt>
                <c:pt idx="1261">
                  <c:v>7.2633925235082459E-3</c:v>
                </c:pt>
                <c:pt idx="1262">
                  <c:v>7.2708045795955717E-3</c:v>
                </c:pt>
                <c:pt idx="1263">
                  <c:v>7.2930428831056047E-3</c:v>
                </c:pt>
                <c:pt idx="1264">
                  <c:v>7.3004563122306123E-3</c:v>
                </c:pt>
                <c:pt idx="1265">
                  <c:v>7.3078700467692709E-3</c:v>
                </c:pt>
                <c:pt idx="1266">
                  <c:v>7.3152840715832784E-3</c:v>
                </c:pt>
                <c:pt idx="1267">
                  <c:v>7.3226983715343206E-3</c:v>
                </c:pt>
                <c:pt idx="1268">
                  <c:v>7.3449427708266301E-3</c:v>
                </c:pt>
                <c:pt idx="1269">
                  <c:v>7.3523580199427686E-3</c:v>
                </c:pt>
                <c:pt idx="1270">
                  <c:v>7.3597734685044115E-3</c:v>
                </c:pt>
                <c:pt idx="1271">
                  <c:v>7.3671891013732567E-3</c:v>
                </c:pt>
                <c:pt idx="1272">
                  <c:v>7.3746049034109935E-3</c:v>
                </c:pt>
                <c:pt idx="1273">
                  <c:v>7.3968531731544917E-3</c:v>
                </c:pt>
                <c:pt idx="1274">
                  <c:v>7.4042695004847333E-3</c:v>
                </c:pt>
                <c:pt idx="1275">
                  <c:v>7.4116859212923344E-3</c:v>
                </c:pt>
                <c:pt idx="1276">
                  <c:v>7.4191024204389878E-3</c:v>
                </c:pt>
                <c:pt idx="1277">
                  <c:v>7.4265189827863887E-3</c:v>
                </c:pt>
                <c:pt idx="1278">
                  <c:v>7.4487688976499966E-3</c:v>
                </c:pt>
                <c:pt idx="1279">
                  <c:v>7.4561855614173117E-3</c:v>
                </c:pt>
                <c:pt idx="1280">
                  <c:v>7.4636022126938414E-3</c:v>
                </c:pt>
                <c:pt idx="1281">
                  <c:v>7.471018838372671E-3</c:v>
                </c:pt>
                <c:pt idx="1282">
                  <c:v>7.4784354334724631E-3</c:v>
                </c:pt>
                <c:pt idx="1283">
                  <c:v>7.5006850057981718E-3</c:v>
                </c:pt>
                <c:pt idx="1284">
                  <c:v>7.5081014490823725E-3</c:v>
                </c:pt>
                <c:pt idx="1285">
                  <c:v>7.5155178470378177E-3</c:v>
                </c:pt>
                <c:pt idx="1286">
                  <c:v>7.5229341967145581E-3</c:v>
                </c:pt>
                <c:pt idx="1287">
                  <c:v>7.5303504951626564E-3</c:v>
                </c:pt>
                <c:pt idx="1288">
                  <c:v>7.5525990536356473E-3</c:v>
                </c:pt>
                <c:pt idx="1289">
                  <c:v>7.5600151176697279E-3</c:v>
                </c:pt>
                <c:pt idx="1290">
                  <c:v>7.5674311157254452E-3</c:v>
                </c:pt>
                <c:pt idx="1291">
                  <c:v>7.5748470448528549E-3</c:v>
                </c:pt>
                <c:pt idx="1292">
                  <c:v>7.582262902102014E-3</c:v>
                </c:pt>
                <c:pt idx="1293">
                  <c:v>7.6045100130805385E-3</c:v>
                </c:pt>
                <c:pt idx="1294">
                  <c:v>7.6119255533172517E-3</c:v>
                </c:pt>
                <c:pt idx="1295">
                  <c:v>7.6193410069259945E-3</c:v>
                </c:pt>
                <c:pt idx="1296">
                  <c:v>7.6267563709568227E-3</c:v>
                </c:pt>
                <c:pt idx="1297">
                  <c:v>7.6341716424597923E-3</c:v>
                </c:pt>
                <c:pt idx="1298">
                  <c:v>7.6564168723021108E-3</c:v>
                </c:pt>
                <c:pt idx="1299">
                  <c:v>7.6638317441942083E-3</c:v>
                </c:pt>
                <c:pt idx="1300">
                  <c:v>7.6712465088087291E-3</c:v>
                </c:pt>
                <c:pt idx="1301">
                  <c:v>7.6786611631957285E-3</c:v>
                </c:pt>
                <c:pt idx="1302">
                  <c:v>7.6860757044052621E-3</c:v>
                </c:pt>
                <c:pt idx="1303">
                  <c:v>7.7083186194696332E-3</c:v>
                </c:pt>
                <c:pt idx="1304">
                  <c:v>7.7157326784698674E-3</c:v>
                </c:pt>
                <c:pt idx="1305">
                  <c:v>7.7231466095429155E-3</c:v>
                </c:pt>
                <c:pt idx="1306">
                  <c:v>7.7305604097388366E-3</c:v>
                </c:pt>
                <c:pt idx="1307">
                  <c:v>7.7379740761076869E-3</c:v>
                </c:pt>
                <c:pt idx="1308">
                  <c:v>7.7602142427523665E-3</c:v>
                </c:pt>
                <c:pt idx="1309">
                  <c:v>7.7676273443134892E-3</c:v>
                </c:pt>
                <c:pt idx="1310">
                  <c:v>7.7750402972978187E-3</c:v>
                </c:pt>
                <c:pt idx="1311">
                  <c:v>7.7824530987554178E-3</c:v>
                </c:pt>
                <c:pt idx="1312">
                  <c:v>7.7898657457363338E-3</c:v>
                </c:pt>
                <c:pt idx="1313">
                  <c:v>7.8121027303195761E-3</c:v>
                </c:pt>
                <c:pt idx="1314">
                  <c:v>7.8195147298943408E-3</c:v>
                </c:pt>
                <c:pt idx="1315">
                  <c:v>7.8269265602427078E-3</c:v>
                </c:pt>
                <c:pt idx="1316">
                  <c:v>7.8343382184147305E-3</c:v>
                </c:pt>
                <c:pt idx="1317">
                  <c:v>7.8417497014604681E-3</c:v>
                </c:pt>
                <c:pt idx="1318">
                  <c:v>7.8639830703405317E-3</c:v>
                </c:pt>
                <c:pt idx="1319">
                  <c:v>7.8713938233816901E-3</c:v>
                </c:pt>
                <c:pt idx="1320">
                  <c:v>7.8788043865468411E-3</c:v>
                </c:pt>
                <c:pt idx="1321">
                  <c:v>7.8862147568860459E-3</c:v>
                </c:pt>
                <c:pt idx="1322">
                  <c:v>7.893624931449357E-3</c:v>
                </c:pt>
                <c:pt idx="1323">
                  <c:v>7.915854250984497E-3</c:v>
                </c:pt>
                <c:pt idx="1324">
                  <c:v>7.9232636129447972E-3</c:v>
                </c:pt>
                <c:pt idx="1325">
                  <c:v>7.93067276437949E-3</c:v>
                </c:pt>
                <c:pt idx="1326">
                  <c:v>7.9380817023386261E-3</c:v>
                </c:pt>
                <c:pt idx="1327">
                  <c:v>7.9454904238722614E-3</c:v>
                </c:pt>
                <c:pt idx="1328">
                  <c:v>7.9677152604207373E-3</c:v>
                </c:pt>
                <c:pt idx="1329">
                  <c:v>7.9751230867529353E-3</c:v>
                </c:pt>
                <c:pt idx="1330">
                  <c:v>7.9825306819099207E-3</c:v>
                </c:pt>
                <c:pt idx="1331">
                  <c:v>7.9899380429417372E-3</c:v>
                </c:pt>
                <c:pt idx="1332">
                  <c:v>7.9973451668984511E-3</c:v>
                </c:pt>
                <c:pt idx="1333">
                  <c:v>8.0195650868185153E-3</c:v>
                </c:pt>
                <c:pt idx="1334">
                  <c:v>8.0269712329753672E-3</c:v>
                </c:pt>
                <c:pt idx="1335">
                  <c:v>8.0343771273073926E-3</c:v>
                </c:pt>
                <c:pt idx="1336">
                  <c:v>8.0417827668646472E-3</c:v>
                </c:pt>
                <c:pt idx="1337">
                  <c:v>8.0491881486971922E-3</c:v>
                </c:pt>
                <c:pt idx="1338">
                  <c:v>8.0714027183471024E-3</c:v>
                </c:pt>
                <c:pt idx="1339">
                  <c:v>8.0788070397813539E-3</c:v>
                </c:pt>
                <c:pt idx="1340">
                  <c:v>8.0862110887411753E-3</c:v>
                </c:pt>
                <c:pt idx="1341">
                  <c:v>8.0936148622766206E-3</c:v>
                </c:pt>
                <c:pt idx="1342">
                  <c:v>8.1010183574377458E-3</c:v>
                </c:pt>
                <c:pt idx="1343">
                  <c:v>8.1232271431757597E-3</c:v>
                </c:pt>
                <c:pt idx="1344">
                  <c:v>8.1306294953401668E-3</c:v>
                </c:pt>
                <c:pt idx="1345">
                  <c:v>8.138031554380535E-3</c:v>
                </c:pt>
                <c:pt idx="1346">
                  <c:v>8.1454333173469218E-3</c:v>
                </c:pt>
                <c:pt idx="1347">
                  <c:v>8.1528347812893798E-3</c:v>
                </c:pt>
                <c:pt idx="1348">
                  <c:v>8.1750373494737551E-3</c:v>
                </c:pt>
                <c:pt idx="1349">
                  <c:v>8.1824375878210721E-3</c:v>
                </c:pt>
                <c:pt idx="1350">
                  <c:v>8.1898375123947379E-3</c:v>
                </c:pt>
                <c:pt idx="1351">
                  <c:v>8.1972371202448154E-3</c:v>
                </c:pt>
                <c:pt idx="1352">
                  <c:v>8.2046364084213605E-3</c:v>
                </c:pt>
                <c:pt idx="1353">
                  <c:v>8.2268323254103565E-3</c:v>
                </c:pt>
                <c:pt idx="1354">
                  <c:v>8.2342303053933273E-3</c:v>
                </c:pt>
                <c:pt idx="1355">
                  <c:v>8.2416279509530434E-3</c:v>
                </c:pt>
                <c:pt idx="1356">
                  <c:v>8.249025259139571E-3</c:v>
                </c:pt>
                <c:pt idx="1357">
                  <c:v>8.2564222270029505E-3</c:v>
                </c:pt>
                <c:pt idx="1358">
                  <c:v>8.2786110591548199E-3</c:v>
                </c:pt>
                <c:pt idx="1359">
                  <c:v>8.2860066362262039E-3</c:v>
                </c:pt>
                <c:pt idx="1360">
                  <c:v>8.2934018582247297E-3</c:v>
                </c:pt>
                <c:pt idx="1361">
                  <c:v>8.3007967222004497E-3</c:v>
                </c:pt>
                <c:pt idx="1362">
                  <c:v>8.3081912252034196E-3</c:v>
                </c:pt>
                <c:pt idx="1363">
                  <c:v>8.33037253887642E-3</c:v>
                </c:pt>
                <c:pt idx="1364">
                  <c:v>8.3377655684889664E-3</c:v>
                </c:pt>
                <c:pt idx="1365">
                  <c:v>8.3451582223790476E-3</c:v>
                </c:pt>
                <c:pt idx="1366">
                  <c:v>8.3525504975967193E-3</c:v>
                </c:pt>
                <c:pt idx="1367">
                  <c:v>8.3599423911920358E-3</c:v>
                </c:pt>
                <c:pt idx="1368">
                  <c:v>8.3821157527444214E-3</c:v>
                </c:pt>
                <c:pt idx="1369">
                  <c:v>8.3895060903508827E-3</c:v>
                </c:pt>
                <c:pt idx="1370">
                  <c:v>8.3968960315852718E-3</c:v>
                </c:pt>
                <c:pt idx="1371">
                  <c:v>8.4042855734976444E-3</c:v>
                </c:pt>
                <c:pt idx="1372">
                  <c:v>8.4116747131380565E-3</c:v>
                </c:pt>
                <c:pt idx="1373">
                  <c:v>8.4338396889280867E-3</c:v>
                </c:pt>
                <c:pt idx="1374">
                  <c:v>8.4412271899812139E-3</c:v>
                </c:pt>
                <c:pt idx="1375">
                  <c:v>8.4486142740126668E-3</c:v>
                </c:pt>
                <c:pt idx="1376">
                  <c:v>8.4560009380724929E-3</c:v>
                </c:pt>
                <c:pt idx="1377">
                  <c:v>8.4633871792107514E-3</c:v>
                </c:pt>
                <c:pt idx="1378">
                  <c:v>8.4855433355966823E-3</c:v>
                </c:pt>
                <c:pt idx="1379">
                  <c:v>8.4929278555492312E-3</c:v>
                </c:pt>
                <c:pt idx="1380">
                  <c:v>8.5003119378304955E-3</c:v>
                </c:pt>
                <c:pt idx="1381">
                  <c:v>8.5076955794905259E-3</c:v>
                </c:pt>
                <c:pt idx="1382">
                  <c:v>8.5150787775793851E-3</c:v>
                </c:pt>
                <c:pt idx="1383">
                  <c:v>8.5372256809194743E-3</c:v>
                </c:pt>
                <c:pt idx="1384">
                  <c:v>8.5446070752241959E-3</c:v>
                </c:pt>
                <c:pt idx="1385">
                  <c:v>8.551988011208024E-3</c:v>
                </c:pt>
                <c:pt idx="1386">
                  <c:v>8.5593684859210147E-3</c:v>
                </c:pt>
                <c:pt idx="1387">
                  <c:v>8.5667484964132255E-3</c:v>
                </c:pt>
                <c:pt idx="1388">
                  <c:v>8.5888857130657272E-3</c:v>
                </c:pt>
                <c:pt idx="1389">
                  <c:v>8.596263837175374E-3</c:v>
                </c:pt>
                <c:pt idx="1390">
                  <c:v>8.6036414823145186E-3</c:v>
                </c:pt>
                <c:pt idx="1391">
                  <c:v>8.6110186455332204E-3</c:v>
                </c:pt>
                <c:pt idx="1392">
                  <c:v>8.6183953238815336E-3</c:v>
                </c:pt>
                <c:pt idx="1393">
                  <c:v>8.6405224202047073E-3</c:v>
                </c:pt>
                <c:pt idx="1394">
                  <c:v>8.6478971295720318E-3</c:v>
                </c:pt>
                <c:pt idx="1395">
                  <c:v>8.6552713393192472E-3</c:v>
                </c:pt>
                <c:pt idx="1396">
                  <c:v>8.662645046496411E-3</c:v>
                </c:pt>
                <c:pt idx="1397">
                  <c:v>8.6700182481535808E-3</c:v>
                </c:pt>
                <c:pt idx="1398">
                  <c:v>8.6921347905056841E-3</c:v>
                </c:pt>
                <c:pt idx="1399">
                  <c:v>8.6995059405834355E-3</c:v>
                </c:pt>
                <c:pt idx="1400">
                  <c:v>8.7068765703914707E-3</c:v>
                </c:pt>
                <c:pt idx="1401">
                  <c:v>8.7142466769798508E-3</c:v>
                </c:pt>
                <c:pt idx="1402">
                  <c:v>8.7216162573986282E-3</c:v>
                </c:pt>
                <c:pt idx="1403">
                  <c:v>8.7437218121379154E-3</c:v>
                </c:pt>
                <c:pt idx="1404">
                  <c:v>8.7510892583788479E-3</c:v>
                </c:pt>
                <c:pt idx="1405">
                  <c:v>8.7584561637004607E-3</c:v>
                </c:pt>
                <c:pt idx="1406">
                  <c:v>8.7658225251528079E-3</c:v>
                </c:pt>
                <c:pt idx="1407">
                  <c:v>8.7731883397859454E-3</c:v>
                </c:pt>
                <c:pt idx="1408">
                  <c:v>8.7952824732706707E-3</c:v>
                </c:pt>
                <c:pt idx="1409">
                  <c:v>8.8026460711275387E-3</c:v>
                </c:pt>
                <c:pt idx="1410">
                  <c:v>8.8100091074154764E-3</c:v>
                </c:pt>
                <c:pt idx="1411">
                  <c:v>8.8173715791845433E-3</c:v>
                </c:pt>
                <c:pt idx="1412">
                  <c:v>8.8247334834847951E-3</c:v>
                </c:pt>
                <c:pt idx="1413">
                  <c:v>8.8468157620732162E-3</c:v>
                </c:pt>
                <c:pt idx="1414">
                  <c:v>8.8541753669987688E-3</c:v>
                </c:pt>
                <c:pt idx="1415">
                  <c:v>8.8615343897057875E-3</c:v>
                </c:pt>
                <c:pt idx="1416">
                  <c:v>8.8688928272443249E-3</c:v>
                </c:pt>
                <c:pt idx="1417">
                  <c:v>8.8762506766644437E-3</c:v>
                </c:pt>
                <c:pt idx="1418">
                  <c:v>8.8983206667148217E-3</c:v>
                </c:pt>
                <c:pt idx="1419">
                  <c:v>8.9056761341618097E-3</c:v>
                </c:pt>
                <c:pt idx="1420">
                  <c:v>8.9130309987406568E-3</c:v>
                </c:pt>
                <c:pt idx="1421">
                  <c:v>8.9203852575014189E-3</c:v>
                </c:pt>
                <c:pt idx="1422">
                  <c:v>8.9277389074941538E-3</c:v>
                </c:pt>
                <c:pt idx="1423">
                  <c:v>8.949796175364743E-3</c:v>
                </c:pt>
                <c:pt idx="1424">
                  <c:v>8.9571473607859223E-3</c:v>
                </c:pt>
                <c:pt idx="1425">
                  <c:v>8.9644979226893538E-3</c:v>
                </c:pt>
                <c:pt idx="1426">
                  <c:v>8.9718478581250916E-3</c:v>
                </c:pt>
                <c:pt idx="1427">
                  <c:v>8.9791971641431951E-3</c:v>
                </c:pt>
                <c:pt idx="1428">
                  <c:v>9.0012412761922497E-3</c:v>
                </c:pt>
                <c:pt idx="1429">
                  <c:v>9.008588035040373E-3</c:v>
                </c:pt>
                <c:pt idx="1430">
                  <c:v>9.0159341497211398E-3</c:v>
                </c:pt>
                <c:pt idx="1431">
                  <c:v>9.0232796172846075E-3</c:v>
                </c:pt>
                <c:pt idx="1432">
                  <c:v>9.0306244347808321E-3</c:v>
                </c:pt>
                <c:pt idx="1433">
                  <c:v>9.0526549573666116E-3</c:v>
                </c:pt>
                <c:pt idx="1434">
                  <c:v>9.059997145094428E-3</c:v>
                </c:pt>
                <c:pt idx="1435">
                  <c:v>9.0673386680052825E-3</c:v>
                </c:pt>
                <c:pt idx="1436">
                  <c:v>9.074679523149231E-3</c:v>
                </c:pt>
                <c:pt idx="1437">
                  <c:v>9.0820197075763293E-3</c:v>
                </c:pt>
                <c:pt idx="1438">
                  <c:v>9.1040362070570879E-3</c:v>
                </c:pt>
                <c:pt idx="1439">
                  <c:v>9.1113736791173534E-3</c:v>
                </c:pt>
                <c:pt idx="1440">
                  <c:v>9.1187104657110465E-3</c:v>
                </c:pt>
                <c:pt idx="1441">
                  <c:v>9.1260465638882283E-3</c:v>
                </c:pt>
                <c:pt idx="1442">
                  <c:v>9.133381970698953E-3</c:v>
                </c:pt>
                <c:pt idx="1443">
                  <c:v>9.1553840134329517E-3</c:v>
                </c:pt>
                <c:pt idx="1444">
                  <c:v>9.1627166252784137E-3</c:v>
                </c:pt>
                <c:pt idx="1445">
                  <c:v>9.1700485310076962E-3</c:v>
                </c:pt>
                <c:pt idx="1446">
                  <c:v>9.1773797276708639E-3</c:v>
                </c:pt>
                <c:pt idx="1447">
                  <c:v>9.1847102123179675E-3</c:v>
                </c:pt>
                <c:pt idx="1448">
                  <c:v>9.2066973646634607E-3</c:v>
                </c:pt>
                <c:pt idx="1449">
                  <c:v>9.2140249717468734E-3</c:v>
                </c:pt>
                <c:pt idx="1450">
                  <c:v>9.2213518520645032E-3</c:v>
                </c:pt>
                <c:pt idx="1451">
                  <c:v>9.2286780026664093E-3</c:v>
                </c:pt>
                <c:pt idx="1452">
                  <c:v>9.2360034206026408E-3</c:v>
                </c:pt>
                <c:pt idx="1453">
                  <c:v>9.2579752489178845E-3</c:v>
                </c:pt>
                <c:pt idx="1454">
                  <c:v>9.2652977066920005E-3</c:v>
                </c:pt>
                <c:pt idx="1455">
                  <c:v>9.2726194170507266E-3</c:v>
                </c:pt>
                <c:pt idx="1456">
                  <c:v>9.279940377044122E-3</c:v>
                </c:pt>
                <c:pt idx="1457">
                  <c:v>9.2872605837222393E-3</c:v>
                </c:pt>
                <c:pt idx="1458">
                  <c:v>9.3092166543654875E-3</c:v>
                </c:pt>
                <c:pt idx="1459">
                  <c:v>9.3165338182830595E-3</c:v>
                </c:pt>
                <c:pt idx="1460">
                  <c:v>9.3238502141356344E-3</c:v>
                </c:pt>
                <c:pt idx="1461">
                  <c:v>9.3311658389732717E-3</c:v>
                </c:pt>
                <c:pt idx="1462">
                  <c:v>9.3384806898460238E-3</c:v>
                </c:pt>
                <c:pt idx="1463">
                  <c:v>9.3604205691755395E-3</c:v>
                </c:pt>
                <c:pt idx="1464">
                  <c:v>9.3677322946893165E-3</c:v>
                </c:pt>
                <c:pt idx="1465">
                  <c:v>9.3750432314884929E-3</c:v>
                </c:pt>
                <c:pt idx="1466">
                  <c:v>9.3823533766231211E-3</c:v>
                </c:pt>
                <c:pt idx="1467">
                  <c:v>9.3896627271432605E-3</c:v>
                </c:pt>
                <c:pt idx="1468">
                  <c:v>9.4115859815172981E-3</c:v>
                </c:pt>
                <c:pt idx="1469">
                  <c:v>9.4188921240800378E-3</c:v>
                </c:pt>
                <c:pt idx="1470">
                  <c:v>9.4261974572785682E-3</c:v>
                </c:pt>
                <c:pt idx="1471">
                  <c:v>9.4335019781629417E-3</c:v>
                </c:pt>
                <c:pt idx="1472">
                  <c:v>9.4408056837832193E-3</c:v>
                </c:pt>
                <c:pt idx="1473">
                  <c:v>9.4627118795600346E-3</c:v>
                </c:pt>
                <c:pt idx="1474">
                  <c:v>9.4700122946244861E-3</c:v>
                </c:pt>
                <c:pt idx="1475">
                  <c:v>9.4773118796751231E-3</c:v>
                </c:pt>
                <c:pt idx="1476">
                  <c:v>9.4846106317619926E-3</c:v>
                </c:pt>
                <c:pt idx="1477">
                  <c:v>9.4919085479351663E-3</c:v>
                </c:pt>
                <c:pt idx="1478">
                  <c:v>9.5137972514730135E-3</c:v>
                </c:pt>
                <c:pt idx="1479">
                  <c:v>9.5210917944919295E-3</c:v>
                </c:pt>
                <c:pt idx="1480">
                  <c:v>9.5283854868474203E-3</c:v>
                </c:pt>
                <c:pt idx="1481">
                  <c:v>9.5356783255895472E-3</c:v>
                </c:pt>
                <c:pt idx="1482">
                  <c:v>9.5429703077683625E-3</c:v>
                </c:pt>
                <c:pt idx="1483">
                  <c:v>9.5648410854254993E-3</c:v>
                </c:pt>
                <c:pt idx="1484">
                  <c:v>9.5721296118516305E-3</c:v>
                </c:pt>
                <c:pt idx="1485">
                  <c:v>9.5794172669647331E-3</c:v>
                </c:pt>
                <c:pt idx="1486">
                  <c:v>9.5867040478148612E-3</c:v>
                </c:pt>
                <c:pt idx="1487">
                  <c:v>9.5939899514520723E-3</c:v>
                </c:pt>
                <c:pt idx="1488">
                  <c:v>9.6158423695867565E-3</c:v>
                </c:pt>
                <c:pt idx="1489">
                  <c:v>9.623124734872859E-3</c:v>
                </c:pt>
                <c:pt idx="1490">
                  <c:v>9.6304062081963241E-3</c:v>
                </c:pt>
                <c:pt idx="1491">
                  <c:v>9.6376867866072077E-3</c:v>
                </c:pt>
                <c:pt idx="1492">
                  <c:v>9.6449664671555656E-3</c:v>
                </c:pt>
                <c:pt idx="1493">
                  <c:v>9.6668000921260582E-3</c:v>
                </c:pt>
                <c:pt idx="1494">
                  <c:v>9.6740761517248794E-3</c:v>
                </c:pt>
                <c:pt idx="1495">
                  <c:v>9.6813512987114561E-3</c:v>
                </c:pt>
                <c:pt idx="1496">
                  <c:v>9.6886255301358477E-3</c:v>
                </c:pt>
                <c:pt idx="1497">
                  <c:v>9.6958988430481084E-3</c:v>
                </c:pt>
                <c:pt idx="1498">
                  <c:v>9.7177132412126603E-3</c:v>
                </c:pt>
                <c:pt idx="1499">
                  <c:v>9.7249828505769562E-3</c:v>
                </c:pt>
              </c:numCache>
            </c:numRef>
          </c:val>
          <c:smooth val="0"/>
        </c:ser>
        <c:dLbls>
          <c:showLegendKey val="0"/>
          <c:showVal val="0"/>
          <c:showCatName val="0"/>
          <c:showSerName val="0"/>
          <c:showPercent val="0"/>
          <c:showBubbleSize val="0"/>
        </c:dLbls>
        <c:marker val="1"/>
        <c:smooth val="0"/>
        <c:axId val="882693632"/>
        <c:axId val="882695168"/>
      </c:lineChart>
      <c:dateAx>
        <c:axId val="882693632"/>
        <c:scaling>
          <c:orientation val="minMax"/>
        </c:scaling>
        <c:delete val="0"/>
        <c:axPos val="b"/>
        <c:numFmt formatCode="d\-mmm\-yy" sourceLinked="1"/>
        <c:majorTickMark val="out"/>
        <c:minorTickMark val="none"/>
        <c:tickLblPos val="nextTo"/>
        <c:crossAx val="882695168"/>
        <c:crosses val="autoZero"/>
        <c:auto val="1"/>
        <c:lblOffset val="100"/>
        <c:baseTimeUnit val="days"/>
      </c:dateAx>
      <c:valAx>
        <c:axId val="882695168"/>
        <c:scaling>
          <c:orientation val="minMax"/>
        </c:scaling>
        <c:delete val="0"/>
        <c:axPos val="l"/>
        <c:majorGridlines/>
        <c:numFmt formatCode="0.00000%" sourceLinked="1"/>
        <c:majorTickMark val="out"/>
        <c:minorTickMark val="none"/>
        <c:tickLblPos val="nextTo"/>
        <c:crossAx val="88269363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2" customWidth="1"/>
    <col min="5" max="5" width="13.85546875" bestFit="1" customWidth="1"/>
    <col min="6" max="6" width="20.42578125" customWidth="1"/>
    <col min="9" max="9" width="9.140625" style="202" customWidth="1"/>
    <col min="10" max="10" width="20.7109375" style="202" customWidth="1"/>
    <col min="11" max="11" width="16.85546875" style="202" customWidth="1"/>
  </cols>
  <sheetData>
    <row r="2" spans="2:12" x14ac:dyDescent="0.25">
      <c r="B2" s="80"/>
      <c r="C2" s="81"/>
      <c r="D2" s="81"/>
      <c r="E2" s="81"/>
      <c r="F2" s="81"/>
      <c r="G2" s="81"/>
      <c r="H2" s="81"/>
      <c r="I2" s="81"/>
      <c r="J2" s="81"/>
      <c r="K2" s="81"/>
      <c r="L2" s="82"/>
    </row>
    <row r="3" spans="2:12" s="202" customFormat="1" x14ac:dyDescent="0.25">
      <c r="B3" s="83"/>
      <c r="C3" s="207"/>
      <c r="D3" s="207"/>
      <c r="E3" s="207"/>
      <c r="F3" s="207"/>
      <c r="G3" s="207"/>
      <c r="H3" s="207"/>
      <c r="I3" s="207"/>
      <c r="J3" s="207"/>
      <c r="K3" s="207"/>
      <c r="L3" s="84"/>
    </row>
    <row r="4" spans="2:12" x14ac:dyDescent="0.25">
      <c r="B4" s="83"/>
      <c r="C4" s="78" t="s">
        <v>198</v>
      </c>
      <c r="D4" s="78"/>
      <c r="E4" s="78" t="s">
        <v>406</v>
      </c>
      <c r="F4" s="5"/>
      <c r="G4" s="5"/>
      <c r="H4" s="5"/>
      <c r="I4" s="207"/>
      <c r="J4" s="78" t="s">
        <v>405</v>
      </c>
      <c r="K4" s="207"/>
      <c r="L4" s="84"/>
    </row>
    <row r="5" spans="2:12" x14ac:dyDescent="0.25">
      <c r="B5" s="83"/>
      <c r="C5" s="5"/>
      <c r="D5" s="207"/>
      <c r="E5" s="185" t="s">
        <v>197</v>
      </c>
      <c r="F5" s="404">
        <v>42521</v>
      </c>
      <c r="G5" s="5"/>
      <c r="H5" s="5"/>
      <c r="I5" s="207"/>
      <c r="J5" s="400" t="s">
        <v>438</v>
      </c>
      <c r="K5" s="401" t="s">
        <v>428</v>
      </c>
      <c r="L5" s="84"/>
    </row>
    <row r="6" spans="2:12" x14ac:dyDescent="0.25">
      <c r="B6" s="83"/>
      <c r="C6" s="5"/>
      <c r="D6" s="207"/>
      <c r="E6" s="186" t="s">
        <v>110</v>
      </c>
      <c r="F6" s="408" t="s">
        <v>219</v>
      </c>
      <c r="G6" s="158" t="str">
        <f>"fn_"&amp;Interpolation&amp;"Interpolation"</f>
        <v>fn_SplineInterpolation</v>
      </c>
      <c r="H6" s="5"/>
      <c r="I6" s="207"/>
      <c r="J6" s="396" t="s">
        <v>217</v>
      </c>
      <c r="K6" s="397" t="s">
        <v>429</v>
      </c>
      <c r="L6" s="84"/>
    </row>
    <row r="7" spans="2:12" x14ac:dyDescent="0.25">
      <c r="B7" s="83"/>
      <c r="C7" s="5"/>
      <c r="D7" s="207"/>
      <c r="E7" s="187" t="s">
        <v>97</v>
      </c>
      <c r="F7" s="405" t="b">
        <v>1</v>
      </c>
      <c r="G7" s="5"/>
      <c r="H7" s="5"/>
      <c r="I7" s="207"/>
      <c r="J7" s="396" t="s">
        <v>221</v>
      </c>
      <c r="K7" s="397" t="s">
        <v>220</v>
      </c>
      <c r="L7" s="84"/>
    </row>
    <row r="8" spans="2:12" x14ac:dyDescent="0.25">
      <c r="B8" s="83"/>
      <c r="C8" s="159"/>
      <c r="D8" s="159"/>
      <c r="E8" s="5"/>
      <c r="F8" s="5"/>
      <c r="G8" s="5"/>
      <c r="H8" s="5"/>
      <c r="I8" s="207"/>
      <c r="J8" s="396" t="s">
        <v>174</v>
      </c>
      <c r="K8" s="397" t="s">
        <v>28</v>
      </c>
      <c r="L8" s="84"/>
    </row>
    <row r="9" spans="2:12" s="202" customFormat="1" x14ac:dyDescent="0.25">
      <c r="B9" s="83"/>
      <c r="C9" s="159"/>
      <c r="D9" s="159"/>
      <c r="E9" s="78" t="s">
        <v>449</v>
      </c>
      <c r="F9" s="207"/>
      <c r="G9" s="207"/>
      <c r="H9" s="207"/>
      <c r="I9" s="207"/>
      <c r="J9" s="396" t="s">
        <v>162</v>
      </c>
      <c r="K9" s="397" t="s">
        <v>108</v>
      </c>
      <c r="L9" s="84"/>
    </row>
    <row r="10" spans="2:12" s="202" customFormat="1" x14ac:dyDescent="0.25">
      <c r="B10" s="83"/>
      <c r="C10" s="159"/>
      <c r="D10" s="159"/>
      <c r="E10" s="480" t="s">
        <v>450</v>
      </c>
      <c r="F10" s="481" t="s">
        <v>451</v>
      </c>
      <c r="G10" s="159"/>
      <c r="H10" s="207"/>
      <c r="I10" s="207"/>
      <c r="J10" s="398" t="s">
        <v>228</v>
      </c>
      <c r="K10" s="399" t="s">
        <v>26</v>
      </c>
      <c r="L10" s="84"/>
    </row>
    <row r="11" spans="2:12" s="202" customFormat="1" x14ac:dyDescent="0.25">
      <c r="B11" s="83"/>
      <c r="C11" s="159"/>
      <c r="D11" s="159"/>
      <c r="E11" s="159"/>
      <c r="F11" s="159"/>
      <c r="G11" s="159"/>
      <c r="H11" s="207"/>
      <c r="I11" s="207"/>
      <c r="J11" s="207"/>
      <c r="K11" s="207"/>
      <c r="L11" s="84"/>
    </row>
    <row r="12" spans="2:12" s="202" customFormat="1" x14ac:dyDescent="0.25">
      <c r="B12" s="83"/>
      <c r="C12" s="159"/>
      <c r="D12" s="159"/>
      <c r="E12" s="78" t="s">
        <v>407</v>
      </c>
      <c r="F12" s="207"/>
      <c r="G12" s="207"/>
      <c r="H12" s="207"/>
      <c r="I12" s="207"/>
      <c r="J12" s="207"/>
      <c r="K12" s="207"/>
      <c r="L12" s="84"/>
    </row>
    <row r="13" spans="2:12" s="202" customFormat="1" x14ac:dyDescent="0.25">
      <c r="B13" s="83"/>
      <c r="C13" s="159"/>
      <c r="D13" s="159"/>
      <c r="E13" s="185" t="s">
        <v>402</v>
      </c>
      <c r="F13" s="406">
        <v>1</v>
      </c>
      <c r="G13" s="158" t="str">
        <f>F13&amp;" Basis Point(s)"</f>
        <v>1 Basis Point(s)</v>
      </c>
      <c r="H13" s="207"/>
      <c r="I13" s="207"/>
      <c r="J13" s="400" t="s">
        <v>404</v>
      </c>
      <c r="K13" s="401" t="s">
        <v>428</v>
      </c>
      <c r="L13" s="84"/>
    </row>
    <row r="14" spans="2:12" s="202" customFormat="1" x14ac:dyDescent="0.25">
      <c r="B14" s="83"/>
      <c r="C14" s="159"/>
      <c r="D14" s="159"/>
      <c r="E14" s="187" t="s">
        <v>403</v>
      </c>
      <c r="F14" s="407" t="s">
        <v>408</v>
      </c>
      <c r="G14" s="207"/>
      <c r="H14" s="207"/>
      <c r="I14" s="207"/>
      <c r="J14" s="398" t="s">
        <v>373</v>
      </c>
      <c r="K14" s="460" t="s">
        <v>429</v>
      </c>
      <c r="L14" s="84"/>
    </row>
    <row r="15" spans="2:12" s="202" customFormat="1" x14ac:dyDescent="0.25">
      <c r="B15" s="83"/>
      <c r="C15" s="159"/>
      <c r="D15" s="159"/>
      <c r="E15" s="207"/>
      <c r="F15" s="207"/>
      <c r="G15" s="207"/>
      <c r="H15" s="207"/>
      <c r="I15" s="207"/>
      <c r="J15" s="207"/>
      <c r="K15" s="207"/>
      <c r="L15" s="84"/>
    </row>
    <row r="16" spans="2:12" x14ac:dyDescent="0.25">
      <c r="B16" s="83"/>
      <c r="C16" s="5"/>
      <c r="D16" s="207"/>
      <c r="E16" s="5"/>
      <c r="F16" s="5"/>
      <c r="G16" s="5"/>
      <c r="H16" s="5"/>
      <c r="I16" s="207"/>
      <c r="J16" s="207"/>
      <c r="K16" s="207"/>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2" hidden="1" customWidth="1"/>
    <col min="4" max="4" width="4.7109375" style="202" hidden="1" customWidth="1"/>
    <col min="5" max="5" width="25.140625" style="306" bestFit="1" customWidth="1"/>
    <col min="6" max="6" width="32.7109375" style="316" customWidth="1"/>
    <col min="7" max="7" width="4.7109375" style="202" customWidth="1"/>
    <col min="8" max="10" width="10.7109375" customWidth="1"/>
    <col min="11" max="11" width="13.7109375" customWidth="1"/>
    <col min="12" max="12" width="18.28515625" customWidth="1"/>
    <col min="13" max="13" width="4.7109375" style="202" customWidth="1"/>
    <col min="14" max="15" width="10.7109375" customWidth="1"/>
    <col min="16" max="16" width="2.7109375" customWidth="1"/>
  </cols>
  <sheetData>
    <row r="2" spans="2:16" ht="23.25" x14ac:dyDescent="0.35">
      <c r="B2" s="336" t="s">
        <v>368</v>
      </c>
      <c r="C2" s="228"/>
      <c r="D2" s="228"/>
    </row>
    <row r="3" spans="2:16" ht="23.25" x14ac:dyDescent="0.35">
      <c r="B3" s="337" t="s">
        <v>367</v>
      </c>
      <c r="C3" s="228"/>
      <c r="D3" s="228"/>
    </row>
    <row r="4" spans="2:16" x14ac:dyDescent="0.25">
      <c r="B4" s="44"/>
      <c r="C4" s="228"/>
      <c r="D4" s="228"/>
    </row>
    <row r="5" spans="2:16" x14ac:dyDescent="0.25">
      <c r="B5" s="44" t="s">
        <v>277</v>
      </c>
      <c r="C5" s="228"/>
      <c r="D5" s="228"/>
    </row>
    <row r="6" spans="2:16" x14ac:dyDescent="0.25">
      <c r="B6" s="1"/>
      <c r="C6" s="204"/>
      <c r="D6" s="204"/>
      <c r="E6" s="322"/>
      <c r="F6" s="218"/>
      <c r="G6" s="218"/>
      <c r="H6" s="2"/>
      <c r="I6" s="2"/>
      <c r="J6" s="2"/>
      <c r="K6" s="2"/>
      <c r="L6" s="2"/>
      <c r="M6" s="204"/>
      <c r="N6" s="2"/>
      <c r="O6" s="2"/>
      <c r="P6" s="3"/>
    </row>
    <row r="7" spans="2:16" x14ac:dyDescent="0.25">
      <c r="B7" s="4"/>
      <c r="C7" s="221"/>
      <c r="D7" s="207"/>
      <c r="E7" s="323" t="s">
        <v>277</v>
      </c>
      <c r="F7" s="226"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(0.04600 sec)</v>
      </c>
      <c r="G7" s="291"/>
      <c r="H7" s="43"/>
      <c r="I7" s="5"/>
      <c r="J7" s="5"/>
      <c r="K7" s="5"/>
      <c r="L7" s="5"/>
      <c r="M7" s="207"/>
      <c r="N7" s="5"/>
      <c r="O7" s="5"/>
      <c r="P7" s="6"/>
    </row>
    <row r="8" spans="2:16" x14ac:dyDescent="0.25">
      <c r="B8" s="4"/>
      <c r="C8" s="207"/>
      <c r="D8" s="207"/>
      <c r="E8" s="324" t="s">
        <v>167</v>
      </c>
      <c r="F8" s="248" t="b">
        <f ca="1">LEFT(F7,5)=Curve.CollectionName</f>
        <v>1</v>
      </c>
      <c r="G8" s="248"/>
      <c r="H8" s="5"/>
      <c r="I8" s="5"/>
      <c r="J8" s="5"/>
      <c r="K8" s="5"/>
      <c r="L8" s="5"/>
      <c r="M8" s="207"/>
      <c r="N8" s="5"/>
      <c r="O8" s="5"/>
      <c r="P8" s="6"/>
    </row>
    <row r="9" spans="2:16" x14ac:dyDescent="0.25">
      <c r="B9" s="4"/>
      <c r="C9" s="207"/>
      <c r="D9" s="207"/>
      <c r="E9" s="325"/>
      <c r="F9" s="225"/>
      <c r="G9" s="225"/>
      <c r="H9" s="5"/>
      <c r="I9" s="5"/>
      <c r="J9" s="5"/>
      <c r="K9" s="5"/>
      <c r="L9" s="5"/>
      <c r="M9" s="207"/>
      <c r="N9" s="5"/>
      <c r="O9" s="5"/>
      <c r="P9" s="6"/>
    </row>
    <row r="10" spans="2:16" x14ac:dyDescent="0.25">
      <c r="B10" s="4"/>
      <c r="C10" s="211"/>
      <c r="D10" s="207"/>
      <c r="E10" s="326" t="s">
        <v>0</v>
      </c>
      <c r="F10" s="224"/>
      <c r="G10" s="292"/>
      <c r="H10" s="5"/>
      <c r="I10" s="5"/>
      <c r="J10" s="5"/>
      <c r="K10" s="5"/>
      <c r="L10" s="5"/>
      <c r="M10" s="207"/>
      <c r="N10" s="5"/>
      <c r="O10" s="5"/>
      <c r="P10" s="6"/>
    </row>
    <row r="11" spans="2:16" ht="30" x14ac:dyDescent="0.25">
      <c r="B11" s="4"/>
      <c r="C11" s="284" t="s">
        <v>288</v>
      </c>
      <c r="D11" s="207"/>
      <c r="E11" s="327" t="s">
        <v>80</v>
      </c>
      <c r="F11" s="242" t="s">
        <v>78</v>
      </c>
      <c r="G11" s="292"/>
      <c r="H11" s="5"/>
      <c r="I11" s="5"/>
      <c r="J11" s="5"/>
      <c r="K11" s="5"/>
      <c r="L11" s="5"/>
      <c r="M11" s="207"/>
      <c r="N11" s="5"/>
      <c r="O11" s="5"/>
      <c r="P11" s="6"/>
    </row>
    <row r="12" spans="2:16" ht="30" x14ac:dyDescent="0.25">
      <c r="B12" s="4"/>
      <c r="C12" s="284" t="s">
        <v>364</v>
      </c>
      <c r="D12" s="207"/>
      <c r="E12" s="328" t="s">
        <v>79</v>
      </c>
      <c r="F12" s="243" t="s">
        <v>9</v>
      </c>
      <c r="G12" s="292"/>
      <c r="H12" s="5"/>
      <c r="I12" s="5"/>
      <c r="J12" s="5"/>
      <c r="K12" s="5"/>
      <c r="L12" s="5"/>
      <c r="M12" s="207"/>
      <c r="N12" s="5"/>
      <c r="O12" s="5"/>
      <c r="P12" s="6"/>
    </row>
    <row r="13" spans="2:16" ht="30" x14ac:dyDescent="0.25">
      <c r="B13" s="4"/>
      <c r="C13" s="284" t="s">
        <v>365</v>
      </c>
      <c r="D13" s="207"/>
      <c r="E13" s="330" t="s">
        <v>81</v>
      </c>
      <c r="F13" s="244" t="s">
        <v>163</v>
      </c>
      <c r="G13" s="292"/>
      <c r="H13" s="5"/>
      <c r="I13" s="5"/>
      <c r="J13" s="5" t="s">
        <v>4</v>
      </c>
      <c r="K13" s="5" t="s">
        <v>4</v>
      </c>
      <c r="L13" s="5" t="s">
        <v>4</v>
      </c>
      <c r="M13" s="207"/>
      <c r="N13" s="5" t="s">
        <v>4</v>
      </c>
      <c r="O13" s="5" t="s">
        <v>4</v>
      </c>
      <c r="P13" s="6" t="s">
        <v>4</v>
      </c>
    </row>
    <row r="14" spans="2:16" x14ac:dyDescent="0.25">
      <c r="B14" s="9"/>
      <c r="C14" s="211"/>
      <c r="D14" s="211"/>
      <c r="E14" s="309"/>
      <c r="F14" s="317"/>
      <c r="G14" s="211"/>
      <c r="H14" s="10"/>
      <c r="I14" s="10"/>
      <c r="J14" s="10"/>
      <c r="K14" s="10"/>
      <c r="L14" s="10"/>
      <c r="M14" s="211"/>
      <c r="N14" s="10"/>
      <c r="O14" s="10"/>
      <c r="P14" s="11"/>
    </row>
    <row r="17" spans="2:16" x14ac:dyDescent="0.25">
      <c r="B17" s="40" t="s">
        <v>68</v>
      </c>
      <c r="C17" s="223"/>
      <c r="D17" s="223"/>
    </row>
    <row r="18" spans="2:16" x14ac:dyDescent="0.25">
      <c r="B18" s="1"/>
      <c r="C18" s="204"/>
      <c r="D18" s="204"/>
      <c r="E18" s="322"/>
      <c r="F18" s="218"/>
      <c r="G18" s="218"/>
      <c r="H18" s="2"/>
      <c r="I18" s="2"/>
      <c r="J18" s="45"/>
      <c r="K18" s="2"/>
      <c r="L18" s="2"/>
      <c r="M18" s="204"/>
      <c r="N18" s="2"/>
      <c r="O18" s="2"/>
      <c r="P18" s="3"/>
    </row>
    <row r="19" spans="2:16" x14ac:dyDescent="0.25">
      <c r="B19" s="4"/>
      <c r="C19" s="207"/>
      <c r="D19" s="207"/>
      <c r="E19" s="326" t="s">
        <v>68</v>
      </c>
      <c r="F19" s="219"/>
      <c r="G19" s="293"/>
      <c r="H19" s="5"/>
      <c r="I19" s="5"/>
      <c r="J19" s="5"/>
      <c r="K19" s="5"/>
      <c r="L19" s="5"/>
      <c r="M19" s="207"/>
      <c r="N19" s="5"/>
      <c r="O19" s="5"/>
      <c r="P19" s="6"/>
    </row>
    <row r="20" spans="2:16" ht="30" x14ac:dyDescent="0.25">
      <c r="B20" s="4"/>
      <c r="C20" s="284" t="s">
        <v>289</v>
      </c>
      <c r="D20" s="206"/>
      <c r="E20" s="327" t="s">
        <v>10</v>
      </c>
      <c r="F20" s="242">
        <f>COB</f>
        <v>42521</v>
      </c>
      <c r="G20" s="293"/>
      <c r="H20" s="5"/>
      <c r="I20" s="5"/>
      <c r="J20" s="5"/>
      <c r="K20" s="5"/>
      <c r="L20" s="5"/>
      <c r="M20" s="207"/>
      <c r="N20" s="5"/>
      <c r="O20" s="5"/>
      <c r="P20" s="6"/>
    </row>
    <row r="21" spans="2:16" ht="30" x14ac:dyDescent="0.25">
      <c r="B21" s="4"/>
      <c r="C21" s="284" t="s">
        <v>290</v>
      </c>
      <c r="D21" s="206"/>
      <c r="E21" s="328" t="s">
        <v>16</v>
      </c>
      <c r="F21" s="243" t="s">
        <v>17</v>
      </c>
      <c r="G21" s="293"/>
      <c r="H21" s="5"/>
      <c r="I21" s="5"/>
      <c r="J21" s="5"/>
      <c r="K21" s="5"/>
      <c r="L21" s="5"/>
      <c r="M21" s="207"/>
      <c r="N21" s="5"/>
      <c r="O21" s="5"/>
      <c r="P21" s="6"/>
    </row>
    <row r="22" spans="2:16" ht="30" x14ac:dyDescent="0.25">
      <c r="B22" s="4"/>
      <c r="C22" s="284" t="s">
        <v>291</v>
      </c>
      <c r="D22" s="206"/>
      <c r="E22" s="328" t="s">
        <v>83</v>
      </c>
      <c r="F22" s="245" t="str">
        <f>interpolationFunction</f>
        <v>fn_SplineInterpolation</v>
      </c>
      <c r="G22" s="293"/>
      <c r="H22" s="5"/>
      <c r="I22" s="5"/>
      <c r="J22" s="5"/>
      <c r="K22" s="5"/>
      <c r="L22" s="5"/>
      <c r="M22" s="207"/>
      <c r="N22" s="5"/>
      <c r="O22" s="5"/>
      <c r="P22" s="6"/>
    </row>
    <row r="23" spans="2:16" ht="30" x14ac:dyDescent="0.25">
      <c r="B23" s="4"/>
      <c r="C23" s="289" t="s">
        <v>366</v>
      </c>
      <c r="D23" s="206"/>
      <c r="E23" s="328" t="s">
        <v>24</v>
      </c>
      <c r="F23" s="245" t="str">
        <f>interpolationFunction</f>
        <v>fn_SplineInterpolation</v>
      </c>
      <c r="G23" s="293"/>
      <c r="H23" s="5"/>
      <c r="I23" s="5"/>
      <c r="J23" s="5"/>
      <c r="K23" s="5"/>
      <c r="L23" s="5"/>
      <c r="M23" s="207"/>
      <c r="N23" s="5"/>
      <c r="O23" s="5"/>
      <c r="P23" s="6"/>
    </row>
    <row r="24" spans="2:16" x14ac:dyDescent="0.25">
      <c r="B24" s="4"/>
      <c r="C24" s="290"/>
      <c r="D24" s="207"/>
      <c r="E24" s="330"/>
      <c r="F24" s="244"/>
      <c r="G24" s="293"/>
      <c r="H24" s="5"/>
      <c r="I24" s="5"/>
      <c r="J24" s="5"/>
      <c r="K24" s="5"/>
      <c r="L24" s="5"/>
      <c r="M24" s="207"/>
      <c r="N24" s="5"/>
      <c r="O24" s="5"/>
      <c r="P24" s="6"/>
    </row>
    <row r="25" spans="2:16" x14ac:dyDescent="0.25">
      <c r="B25" s="9"/>
      <c r="C25" s="211"/>
      <c r="D25" s="211"/>
      <c r="E25" s="309"/>
      <c r="F25" s="317"/>
      <c r="G25" s="211"/>
      <c r="H25" s="10"/>
      <c r="I25" s="10"/>
      <c r="J25" s="10"/>
      <c r="K25" s="10"/>
      <c r="L25" s="10"/>
      <c r="M25" s="211"/>
      <c r="N25" s="10"/>
      <c r="O25" s="10"/>
      <c r="P25" s="11"/>
    </row>
    <row r="27" spans="2:16" x14ac:dyDescent="0.25">
      <c r="H27" s="46"/>
    </row>
    <row r="28" spans="2:16" x14ac:dyDescent="0.25">
      <c r="B28" s="40" t="s">
        <v>77</v>
      </c>
      <c r="C28" s="223"/>
      <c r="D28" s="223"/>
    </row>
    <row r="29" spans="2:16" x14ac:dyDescent="0.25">
      <c r="B29" s="1"/>
      <c r="C29" s="204"/>
      <c r="D29" s="204"/>
      <c r="E29" s="307"/>
      <c r="F29" s="318"/>
      <c r="G29" s="204"/>
      <c r="H29" s="2"/>
      <c r="I29" s="2"/>
      <c r="J29" s="2"/>
      <c r="K29" s="2"/>
      <c r="L29" s="2"/>
      <c r="M29" s="204"/>
      <c r="N29" s="2"/>
      <c r="O29" s="2"/>
      <c r="P29" s="3"/>
    </row>
    <row r="30" spans="2:16" x14ac:dyDescent="0.25">
      <c r="B30" s="4"/>
      <c r="C30" s="207"/>
      <c r="D30" s="207"/>
      <c r="E30" s="332" t="s">
        <v>5</v>
      </c>
      <c r="F30" s="319"/>
      <c r="G30" s="209"/>
      <c r="H30" s="34" t="s">
        <v>70</v>
      </c>
      <c r="I30" s="8"/>
      <c r="J30" s="8"/>
      <c r="K30" s="8"/>
      <c r="L30" s="8"/>
      <c r="M30" s="209"/>
      <c r="N30" s="34" t="s">
        <v>72</v>
      </c>
      <c r="O30" s="8"/>
      <c r="P30" s="39"/>
    </row>
    <row r="31" spans="2:16" ht="30" x14ac:dyDescent="0.25">
      <c r="B31" s="4"/>
      <c r="C31" s="285" t="s">
        <v>293</v>
      </c>
      <c r="D31" s="206"/>
      <c r="E31" s="327" t="s">
        <v>3</v>
      </c>
      <c r="F31" s="214" t="s">
        <v>2</v>
      </c>
      <c r="G31" s="209"/>
      <c r="H31" s="41" t="s">
        <v>11</v>
      </c>
      <c r="I31" s="41" t="s">
        <v>12</v>
      </c>
      <c r="J31" s="41" t="s">
        <v>13</v>
      </c>
      <c r="K31" s="41" t="s">
        <v>14</v>
      </c>
      <c r="L31" s="41" t="s">
        <v>8</v>
      </c>
      <c r="M31" s="209"/>
      <c r="N31" s="41" t="s">
        <v>73</v>
      </c>
      <c r="O31" s="41" t="s">
        <v>12</v>
      </c>
      <c r="P31" s="39"/>
    </row>
    <row r="32" spans="2:16" ht="30" x14ac:dyDescent="0.25">
      <c r="B32" s="4"/>
      <c r="C32" s="285" t="s">
        <v>292</v>
      </c>
      <c r="D32" s="206"/>
      <c r="E32" s="328" t="s">
        <v>7</v>
      </c>
      <c r="F32" s="215" t="s">
        <v>6</v>
      </c>
      <c r="G32" s="209"/>
      <c r="H32" s="14" t="s">
        <v>46</v>
      </c>
      <c r="I32" s="12">
        <v>-3.4499999999999999E-3</v>
      </c>
      <c r="J32" s="13" t="s">
        <v>37</v>
      </c>
      <c r="K32" s="13" t="s">
        <v>37</v>
      </c>
      <c r="L32" s="31" t="b">
        <v>1</v>
      </c>
      <c r="M32" s="209"/>
      <c r="N32" s="37"/>
      <c r="O32" s="35"/>
      <c r="P32" s="39"/>
    </row>
    <row r="33" spans="2:16" ht="30" x14ac:dyDescent="0.25">
      <c r="B33" s="4"/>
      <c r="C33" s="285" t="s">
        <v>294</v>
      </c>
      <c r="D33" s="206"/>
      <c r="E33" s="328" t="s">
        <v>25</v>
      </c>
      <c r="F33" s="215" t="s">
        <v>26</v>
      </c>
      <c r="G33" s="209"/>
      <c r="H33" s="338" t="s">
        <v>48</v>
      </c>
      <c r="I33" s="339">
        <v>-3.4000000000000002E-3</v>
      </c>
      <c r="J33" s="340">
        <v>42523</v>
      </c>
      <c r="K33" s="340">
        <v>42572</v>
      </c>
      <c r="L33" s="341" t="b">
        <v>1</v>
      </c>
      <c r="M33" s="209"/>
      <c r="N33" s="37"/>
      <c r="O33" s="35"/>
      <c r="P33" s="39"/>
    </row>
    <row r="34" spans="2:16" ht="30" x14ac:dyDescent="0.25">
      <c r="B34" s="4"/>
      <c r="C34" s="285" t="s">
        <v>295</v>
      </c>
      <c r="D34" s="206"/>
      <c r="E34" s="328" t="s">
        <v>15</v>
      </c>
      <c r="F34" s="215" t="s">
        <v>30</v>
      </c>
      <c r="G34" s="209"/>
      <c r="H34" s="338" t="s">
        <v>49</v>
      </c>
      <c r="I34" s="339">
        <v>-3.4999999999999996E-3</v>
      </c>
      <c r="J34" s="340">
        <v>42572</v>
      </c>
      <c r="K34" s="340">
        <v>42621</v>
      </c>
      <c r="L34" s="341" t="b">
        <v>1</v>
      </c>
      <c r="M34" s="209"/>
      <c r="N34" s="37"/>
      <c r="O34" s="35"/>
      <c r="P34" s="39"/>
    </row>
    <row r="35" spans="2:16" ht="30" x14ac:dyDescent="0.25">
      <c r="B35" s="4"/>
      <c r="C35" s="285" t="s">
        <v>318</v>
      </c>
      <c r="D35" s="206"/>
      <c r="E35" s="328" t="s">
        <v>23</v>
      </c>
      <c r="F35" s="215" t="s">
        <v>22</v>
      </c>
      <c r="G35" s="209"/>
      <c r="H35" s="338" t="s">
        <v>51</v>
      </c>
      <c r="I35" s="339">
        <v>-3.7099999999999998E-3</v>
      </c>
      <c r="J35" s="340">
        <v>42621</v>
      </c>
      <c r="K35" s="340">
        <v>42663</v>
      </c>
      <c r="L35" s="341" t="b">
        <v>1</v>
      </c>
      <c r="M35" s="209"/>
      <c r="N35" s="37"/>
      <c r="O35" s="35"/>
      <c r="P35" s="39"/>
    </row>
    <row r="36" spans="2:16" ht="30" x14ac:dyDescent="0.25">
      <c r="B36" s="4"/>
      <c r="C36" s="285" t="s">
        <v>296</v>
      </c>
      <c r="D36" s="206"/>
      <c r="E36" s="328" t="s">
        <v>31</v>
      </c>
      <c r="F36" s="215" t="b">
        <v>1</v>
      </c>
      <c r="G36" s="209"/>
      <c r="H36" s="338" t="s">
        <v>53</v>
      </c>
      <c r="I36" s="339">
        <v>-3.82E-3</v>
      </c>
      <c r="J36" s="340">
        <v>42663</v>
      </c>
      <c r="K36" s="340">
        <v>42712</v>
      </c>
      <c r="L36" s="341" t="b">
        <v>1</v>
      </c>
      <c r="M36" s="209"/>
      <c r="N36" s="37"/>
      <c r="O36" s="35"/>
      <c r="P36" s="39"/>
    </row>
    <row r="37" spans="2:16" ht="30" x14ac:dyDescent="0.25">
      <c r="B37" s="4"/>
      <c r="C37" s="285" t="s">
        <v>297</v>
      </c>
      <c r="D37" s="206"/>
      <c r="E37" s="328" t="s">
        <v>32</v>
      </c>
      <c r="F37" s="216">
        <v>31</v>
      </c>
      <c r="G37" s="209"/>
      <c r="H37" s="14" t="s">
        <v>56</v>
      </c>
      <c r="I37" s="12">
        <v>-3.82E-3</v>
      </c>
      <c r="J37" s="13" t="s">
        <v>37</v>
      </c>
      <c r="K37" s="13" t="s">
        <v>37</v>
      </c>
      <c r="L37" s="31" t="b">
        <v>1</v>
      </c>
      <c r="M37" s="209"/>
      <c r="N37" s="37"/>
      <c r="O37" s="35"/>
      <c r="P37" s="39"/>
    </row>
    <row r="38" spans="2:16" ht="30" x14ac:dyDescent="0.25">
      <c r="B38" s="4"/>
      <c r="C38" s="285" t="s">
        <v>298</v>
      </c>
      <c r="D38" s="206"/>
      <c r="E38" s="328" t="s">
        <v>33</v>
      </c>
      <c r="F38" s="215" t="s">
        <v>34</v>
      </c>
      <c r="G38" s="209"/>
      <c r="H38" s="14" t="s">
        <v>58</v>
      </c>
      <c r="I38" s="12">
        <v>-3.9500000000000004E-3</v>
      </c>
      <c r="J38" s="13" t="s">
        <v>37</v>
      </c>
      <c r="K38" s="13" t="s">
        <v>37</v>
      </c>
      <c r="L38" s="31" t="b">
        <v>1</v>
      </c>
      <c r="M38" s="209"/>
      <c r="N38" s="37"/>
      <c r="O38" s="35"/>
      <c r="P38" s="39"/>
    </row>
    <row r="39" spans="2:16" ht="45" x14ac:dyDescent="0.25">
      <c r="B39" s="4"/>
      <c r="C39" s="285" t="s">
        <v>323</v>
      </c>
      <c r="D39" s="206"/>
      <c r="E39" s="328" t="s">
        <v>35</v>
      </c>
      <c r="F39" s="215" t="s">
        <v>36</v>
      </c>
      <c r="G39" s="209"/>
      <c r="H39" s="14" t="s">
        <v>47</v>
      </c>
      <c r="I39" s="12">
        <v>-4.0100000000000005E-3</v>
      </c>
      <c r="J39" s="13" t="s">
        <v>37</v>
      </c>
      <c r="K39" s="13" t="s">
        <v>37</v>
      </c>
      <c r="L39" s="31" t="b">
        <v>1</v>
      </c>
      <c r="M39" s="209"/>
      <c r="N39" s="37"/>
      <c r="O39" s="35"/>
      <c r="P39" s="39"/>
    </row>
    <row r="40" spans="2:16" ht="45" x14ac:dyDescent="0.25">
      <c r="B40" s="4"/>
      <c r="C40" s="285" t="s">
        <v>299</v>
      </c>
      <c r="D40" s="206"/>
      <c r="E40" s="328" t="s">
        <v>38</v>
      </c>
      <c r="F40" s="215" t="s">
        <v>39</v>
      </c>
      <c r="G40" s="209"/>
      <c r="H40" s="14" t="s">
        <v>43</v>
      </c>
      <c r="I40" s="12">
        <v>-3.8500000000000001E-3</v>
      </c>
      <c r="J40" s="13" t="s">
        <v>37</v>
      </c>
      <c r="K40" s="13" t="s">
        <v>37</v>
      </c>
      <c r="L40" s="31" t="b">
        <v>1</v>
      </c>
      <c r="M40" s="209"/>
      <c r="N40" s="37"/>
      <c r="O40" s="35"/>
      <c r="P40" s="39"/>
    </row>
    <row r="41" spans="2:16" ht="45" x14ac:dyDescent="0.25">
      <c r="B41" s="4"/>
      <c r="C41" s="285" t="s">
        <v>301</v>
      </c>
      <c r="D41" s="206"/>
      <c r="E41" s="328" t="s">
        <v>40</v>
      </c>
      <c r="F41" s="215" t="s">
        <v>41</v>
      </c>
      <c r="G41" s="209"/>
      <c r="H41" s="14" t="s">
        <v>50</v>
      </c>
      <c r="I41" s="12">
        <v>-3.4200000000000003E-3</v>
      </c>
      <c r="J41" s="13" t="s">
        <v>37</v>
      </c>
      <c r="K41" s="13" t="s">
        <v>37</v>
      </c>
      <c r="L41" s="31" t="b">
        <v>1</v>
      </c>
      <c r="M41" s="209"/>
      <c r="N41" s="37"/>
      <c r="O41" s="35"/>
      <c r="P41" s="39"/>
    </row>
    <row r="42" spans="2:16" ht="30" x14ac:dyDescent="0.25">
      <c r="B42" s="4"/>
      <c r="C42" s="285" t="s">
        <v>300</v>
      </c>
      <c r="D42" s="206"/>
      <c r="E42" s="328" t="s">
        <v>42</v>
      </c>
      <c r="F42" s="215" t="s">
        <v>43</v>
      </c>
      <c r="G42" s="209"/>
      <c r="H42" s="14" t="s">
        <v>52</v>
      </c>
      <c r="I42" s="12">
        <v>-2.7100000000000002E-3</v>
      </c>
      <c r="J42" s="13" t="s">
        <v>37</v>
      </c>
      <c r="K42" s="13" t="s">
        <v>37</v>
      </c>
      <c r="L42" s="31" t="b">
        <v>1</v>
      </c>
      <c r="M42" s="209"/>
      <c r="N42" s="37"/>
      <c r="O42" s="35"/>
      <c r="P42" s="39"/>
    </row>
    <row r="43" spans="2:16" ht="45" x14ac:dyDescent="0.25">
      <c r="B43" s="4"/>
      <c r="C43" s="285" t="s">
        <v>302</v>
      </c>
      <c r="D43" s="206"/>
      <c r="E43" s="328" t="s">
        <v>44</v>
      </c>
      <c r="F43" s="215" t="s">
        <v>45</v>
      </c>
      <c r="G43" s="209"/>
      <c r="H43" s="14" t="s">
        <v>54</v>
      </c>
      <c r="I43" s="12">
        <v>-1.7599999999999998E-3</v>
      </c>
      <c r="J43" s="13" t="s">
        <v>37</v>
      </c>
      <c r="K43" s="13" t="s">
        <v>37</v>
      </c>
      <c r="L43" s="31" t="b">
        <v>1</v>
      </c>
      <c r="M43" s="209"/>
      <c r="N43" s="37"/>
      <c r="O43" s="35"/>
      <c r="P43" s="39"/>
    </row>
    <row r="44" spans="2:16" ht="30" x14ac:dyDescent="0.25">
      <c r="B44" s="4"/>
      <c r="C44" s="285" t="s">
        <v>303</v>
      </c>
      <c r="D44" s="206"/>
      <c r="E44" s="328" t="s">
        <v>113</v>
      </c>
      <c r="F44" s="217">
        <v>1E-10</v>
      </c>
      <c r="G44" s="209"/>
      <c r="H44" s="14" t="s">
        <v>55</v>
      </c>
      <c r="I44" s="12">
        <v>-6.6E-4</v>
      </c>
      <c r="J44" s="13" t="s">
        <v>37</v>
      </c>
      <c r="K44" s="13" t="s">
        <v>37</v>
      </c>
      <c r="L44" s="31" t="b">
        <v>1</v>
      </c>
      <c r="M44" s="209"/>
      <c r="N44" s="37"/>
      <c r="O44" s="35"/>
      <c r="P44" s="39"/>
    </row>
    <row r="45" spans="2:16" ht="30" x14ac:dyDescent="0.25">
      <c r="B45" s="4"/>
      <c r="C45" s="285" t="s">
        <v>304</v>
      </c>
      <c r="D45" s="206"/>
      <c r="E45" s="328" t="s">
        <v>114</v>
      </c>
      <c r="F45" s="241">
        <v>1000</v>
      </c>
      <c r="G45" s="209"/>
      <c r="H45" s="14" t="s">
        <v>57</v>
      </c>
      <c r="I45" s="12">
        <v>5.5000000000000003E-4</v>
      </c>
      <c r="J45" s="13" t="s">
        <v>37</v>
      </c>
      <c r="K45" s="13" t="s">
        <v>37</v>
      </c>
      <c r="L45" s="31" t="b">
        <v>1</v>
      </c>
      <c r="M45" s="209"/>
      <c r="N45" s="37"/>
      <c r="O45" s="35"/>
      <c r="P45" s="39"/>
    </row>
    <row r="46" spans="2:16" ht="60" x14ac:dyDescent="0.25">
      <c r="B46" s="4"/>
      <c r="C46" s="286" t="s">
        <v>305</v>
      </c>
      <c r="D46" s="206"/>
      <c r="E46" s="328" t="s">
        <v>218</v>
      </c>
      <c r="F46" s="215" t="b">
        <v>1</v>
      </c>
      <c r="G46" s="209"/>
      <c r="H46" s="14" t="s">
        <v>59</v>
      </c>
      <c r="I46" s="12">
        <v>1.7499999999999998E-3</v>
      </c>
      <c r="J46" s="13" t="s">
        <v>37</v>
      </c>
      <c r="K46" s="13" t="s">
        <v>37</v>
      </c>
      <c r="L46" s="31" t="b">
        <v>1</v>
      </c>
      <c r="M46" s="209"/>
      <c r="N46" s="37"/>
      <c r="O46" s="35"/>
      <c r="P46" s="39"/>
    </row>
    <row r="47" spans="2:16" x14ac:dyDescent="0.25">
      <c r="B47" s="4"/>
      <c r="C47" s="287"/>
      <c r="D47" s="206"/>
      <c r="E47" s="333"/>
      <c r="F47" s="215"/>
      <c r="G47" s="209"/>
      <c r="H47" s="14" t="s">
        <v>60</v>
      </c>
      <c r="I47" s="12">
        <v>2.8399999999999996E-3</v>
      </c>
      <c r="J47" s="13" t="s">
        <v>37</v>
      </c>
      <c r="K47" s="13" t="s">
        <v>37</v>
      </c>
      <c r="L47" s="31" t="b">
        <v>1</v>
      </c>
      <c r="M47" s="209"/>
      <c r="N47" s="37"/>
      <c r="O47" s="35"/>
      <c r="P47" s="39"/>
    </row>
    <row r="48" spans="2:16" x14ac:dyDescent="0.25">
      <c r="B48" s="4"/>
      <c r="C48" s="287"/>
      <c r="D48" s="206"/>
      <c r="E48" s="333"/>
      <c r="F48" s="320"/>
      <c r="G48" s="209"/>
      <c r="H48" s="14" t="s">
        <v>61</v>
      </c>
      <c r="I48" s="12">
        <v>3.8600000000000001E-3</v>
      </c>
      <c r="J48" s="13" t="s">
        <v>37</v>
      </c>
      <c r="K48" s="13" t="s">
        <v>37</v>
      </c>
      <c r="L48" s="31" t="b">
        <v>1</v>
      </c>
      <c r="M48" s="209"/>
      <c r="N48" s="37"/>
      <c r="O48" s="35"/>
      <c r="P48" s="39"/>
    </row>
    <row r="49" spans="2:16" x14ac:dyDescent="0.25">
      <c r="B49" s="4"/>
      <c r="C49" s="287" t="s">
        <v>309</v>
      </c>
      <c r="D49" s="206"/>
      <c r="E49" s="333"/>
      <c r="F49" s="320"/>
      <c r="G49" s="209"/>
      <c r="H49" s="14" t="s">
        <v>62</v>
      </c>
      <c r="I49" s="12">
        <v>4.7699999999999999E-3</v>
      </c>
      <c r="J49" s="13" t="s">
        <v>37</v>
      </c>
      <c r="K49" s="13" t="s">
        <v>37</v>
      </c>
      <c r="L49" s="31" t="b">
        <v>1</v>
      </c>
      <c r="M49" s="209"/>
      <c r="N49" s="37"/>
      <c r="O49" s="35"/>
      <c r="P49" s="39"/>
    </row>
    <row r="50" spans="2:16" x14ac:dyDescent="0.25">
      <c r="B50" s="4"/>
      <c r="C50" s="294" t="s">
        <v>306</v>
      </c>
      <c r="D50" s="206"/>
      <c r="E50" s="333"/>
      <c r="F50" s="320"/>
      <c r="G50" s="209"/>
      <c r="H50" s="14" t="s">
        <v>63</v>
      </c>
      <c r="I50" s="12">
        <v>6.8799999999999998E-3</v>
      </c>
      <c r="J50" s="13" t="s">
        <v>37</v>
      </c>
      <c r="K50" s="13" t="s">
        <v>37</v>
      </c>
      <c r="L50" s="31" t="b">
        <v>1</v>
      </c>
      <c r="M50" s="209"/>
      <c r="N50" s="37"/>
      <c r="O50" s="35"/>
      <c r="P50" s="39"/>
    </row>
    <row r="51" spans="2:16" x14ac:dyDescent="0.25">
      <c r="B51" s="4"/>
      <c r="C51" s="294" t="s">
        <v>307</v>
      </c>
      <c r="D51" s="206"/>
      <c r="E51" s="333"/>
      <c r="F51" s="320"/>
      <c r="G51" s="209"/>
      <c r="H51" s="14" t="s">
        <v>64</v>
      </c>
      <c r="I51" s="12">
        <v>8.7100000000000007E-3</v>
      </c>
      <c r="J51" s="13" t="s">
        <v>37</v>
      </c>
      <c r="K51" s="13" t="s">
        <v>37</v>
      </c>
      <c r="L51" s="31" t="b">
        <v>1</v>
      </c>
      <c r="M51" s="209"/>
      <c r="N51" s="37"/>
      <c r="O51" s="35"/>
      <c r="P51" s="39"/>
    </row>
    <row r="52" spans="2:16" x14ac:dyDescent="0.25">
      <c r="B52" s="4"/>
      <c r="C52" s="294" t="s">
        <v>308</v>
      </c>
      <c r="D52" s="206"/>
      <c r="E52" s="333"/>
      <c r="F52" s="320"/>
      <c r="G52" s="209"/>
      <c r="H52" s="14" t="s">
        <v>65</v>
      </c>
      <c r="I52" s="12">
        <v>9.3600000000000003E-3</v>
      </c>
      <c r="J52" s="13" t="s">
        <v>37</v>
      </c>
      <c r="K52" s="13" t="s">
        <v>37</v>
      </c>
      <c r="L52" s="31" t="b">
        <v>1</v>
      </c>
      <c r="M52" s="209"/>
      <c r="N52" s="37"/>
      <c r="O52" s="35"/>
      <c r="P52" s="39"/>
    </row>
    <row r="53" spans="2:16" x14ac:dyDescent="0.25">
      <c r="B53" s="4"/>
      <c r="C53" s="287"/>
      <c r="D53" s="206"/>
      <c r="E53" s="333"/>
      <c r="F53" s="320"/>
      <c r="G53" s="209"/>
      <c r="H53" s="14" t="s">
        <v>66</v>
      </c>
      <c r="I53" s="12">
        <v>9.6100000000000005E-3</v>
      </c>
      <c r="J53" s="13" t="s">
        <v>37</v>
      </c>
      <c r="K53" s="13" t="s">
        <v>37</v>
      </c>
      <c r="L53" s="31" t="b">
        <v>1</v>
      </c>
      <c r="M53" s="209"/>
      <c r="N53" s="37"/>
      <c r="O53" s="35"/>
      <c r="P53" s="39"/>
    </row>
    <row r="54" spans="2:16" x14ac:dyDescent="0.25">
      <c r="B54" s="4"/>
      <c r="C54" s="287"/>
      <c r="D54" s="206"/>
      <c r="E54" s="333"/>
      <c r="F54" s="320"/>
      <c r="G54" s="209"/>
      <c r="H54" s="14" t="s">
        <v>67</v>
      </c>
      <c r="I54" s="12">
        <v>9.7299999999999991E-3</v>
      </c>
      <c r="J54" s="13" t="s">
        <v>37</v>
      </c>
      <c r="K54" s="13" t="s">
        <v>37</v>
      </c>
      <c r="L54" s="31" t="b">
        <v>1</v>
      </c>
      <c r="M54" s="209"/>
      <c r="N54" s="37"/>
      <c r="O54" s="35"/>
      <c r="P54" s="39"/>
    </row>
    <row r="55" spans="2:16" x14ac:dyDescent="0.25">
      <c r="B55" s="4"/>
      <c r="C55" s="287"/>
      <c r="D55" s="206"/>
      <c r="E55" s="333"/>
      <c r="F55" s="320"/>
      <c r="G55" s="209"/>
      <c r="H55" s="14" t="s">
        <v>224</v>
      </c>
      <c r="I55" s="12">
        <v>9.3200000000000002E-3</v>
      </c>
      <c r="J55" s="13" t="s">
        <v>37</v>
      </c>
      <c r="K55" s="13" t="s">
        <v>37</v>
      </c>
      <c r="L55" s="31" t="b">
        <v>1</v>
      </c>
      <c r="M55" s="209"/>
      <c r="N55" s="37"/>
      <c r="O55" s="35"/>
      <c r="P55" s="39"/>
    </row>
    <row r="56" spans="2:16" x14ac:dyDescent="0.25">
      <c r="B56" s="4"/>
      <c r="C56" s="287"/>
      <c r="D56" s="206"/>
      <c r="E56" s="333"/>
      <c r="F56" s="320"/>
      <c r="G56" s="209"/>
      <c r="H56" s="14"/>
      <c r="I56" s="12"/>
      <c r="J56" s="13"/>
      <c r="K56" s="13"/>
      <c r="L56" s="31"/>
      <c r="M56" s="209"/>
      <c r="N56" s="37"/>
      <c r="O56" s="35"/>
      <c r="P56" s="39"/>
    </row>
    <row r="57" spans="2:16" x14ac:dyDescent="0.25">
      <c r="B57" s="4"/>
      <c r="C57" s="288"/>
      <c r="D57" s="206"/>
      <c r="E57" s="334"/>
      <c r="F57" s="321"/>
      <c r="G57" s="209"/>
      <c r="H57" s="15"/>
      <c r="I57" s="16"/>
      <c r="J57" s="32"/>
      <c r="K57" s="32"/>
      <c r="L57" s="33"/>
      <c r="M57" s="209"/>
      <c r="N57" s="38"/>
      <c r="O57" s="36"/>
      <c r="P57" s="39"/>
    </row>
    <row r="58" spans="2:16" x14ac:dyDescent="0.25">
      <c r="B58" s="9"/>
      <c r="C58" s="211"/>
      <c r="D58" s="211"/>
      <c r="E58" s="309"/>
      <c r="F58" s="317"/>
      <c r="G58" s="211"/>
      <c r="H58" s="10"/>
      <c r="I58" s="10"/>
      <c r="J58" s="10"/>
      <c r="K58" s="10"/>
      <c r="L58" s="10"/>
      <c r="M58" s="211"/>
      <c r="N58" s="10"/>
      <c r="O58" s="10"/>
      <c r="P58" s="11"/>
    </row>
    <row r="61" spans="2:16" x14ac:dyDescent="0.25">
      <c r="B61" s="40" t="s">
        <v>76</v>
      </c>
      <c r="C61" s="223"/>
      <c r="D61" s="223"/>
    </row>
    <row r="62" spans="2:16" x14ac:dyDescent="0.25">
      <c r="B62" s="1"/>
      <c r="C62" s="204"/>
      <c r="D62" s="204"/>
      <c r="E62" s="307"/>
      <c r="F62" s="318"/>
      <c r="G62" s="204"/>
      <c r="H62" s="2"/>
      <c r="I62" s="2"/>
      <c r="J62" s="2"/>
      <c r="K62" s="2"/>
      <c r="L62" s="2"/>
      <c r="M62" s="204"/>
      <c r="N62" s="2"/>
      <c r="O62" s="2"/>
      <c r="P62" s="3"/>
    </row>
    <row r="63" spans="2:16" x14ac:dyDescent="0.25">
      <c r="B63" s="4"/>
      <c r="C63" s="207"/>
      <c r="D63" s="207"/>
      <c r="E63" s="332" t="s">
        <v>69</v>
      </c>
      <c r="F63" s="319"/>
      <c r="G63" s="209"/>
      <c r="H63" s="34" t="s">
        <v>71</v>
      </c>
      <c r="I63" s="8"/>
      <c r="J63" s="8"/>
      <c r="K63" s="34" t="s">
        <v>74</v>
      </c>
      <c r="L63" s="8"/>
      <c r="M63" s="209"/>
      <c r="N63" s="34" t="s">
        <v>75</v>
      </c>
      <c r="O63" s="8"/>
      <c r="P63" s="39"/>
    </row>
    <row r="64" spans="2:16" ht="30" x14ac:dyDescent="0.25">
      <c r="B64" s="4"/>
      <c r="C64" s="285" t="s">
        <v>293</v>
      </c>
      <c r="D64" s="206"/>
      <c r="E64" s="327" t="s">
        <v>1</v>
      </c>
      <c r="F64" s="214" t="s">
        <v>2</v>
      </c>
      <c r="G64" s="209"/>
      <c r="H64" s="41" t="s">
        <v>11</v>
      </c>
      <c r="I64" s="41" t="s">
        <v>12</v>
      </c>
      <c r="J64" s="8"/>
      <c r="K64" s="17" t="s">
        <v>3</v>
      </c>
      <c r="L64" s="24" t="s">
        <v>2</v>
      </c>
      <c r="M64" s="209"/>
      <c r="N64" s="41" t="s">
        <v>11</v>
      </c>
      <c r="O64" s="41" t="s">
        <v>12</v>
      </c>
      <c r="P64" s="39"/>
    </row>
    <row r="65" spans="2:16" ht="30" x14ac:dyDescent="0.25">
      <c r="B65" s="4"/>
      <c r="C65" s="285" t="s">
        <v>292</v>
      </c>
      <c r="D65" s="206"/>
      <c r="E65" s="328" t="s">
        <v>18</v>
      </c>
      <c r="F65" s="215" t="s">
        <v>6</v>
      </c>
      <c r="G65" s="209"/>
      <c r="H65" s="14" t="s">
        <v>47</v>
      </c>
      <c r="I65" s="35">
        <v>1.1099999999999999E-3</v>
      </c>
      <c r="J65" s="8"/>
      <c r="K65" s="18" t="s">
        <v>19</v>
      </c>
      <c r="L65" s="25" t="s">
        <v>20</v>
      </c>
      <c r="M65" s="209"/>
      <c r="N65" s="14" t="s">
        <v>47</v>
      </c>
      <c r="O65" s="35">
        <v>-2.9299999999999999E-3</v>
      </c>
      <c r="P65" s="39"/>
    </row>
    <row r="66" spans="2:16" ht="30" x14ac:dyDescent="0.25">
      <c r="B66" s="4"/>
      <c r="C66" s="285" t="s">
        <v>294</v>
      </c>
      <c r="D66" s="206"/>
      <c r="E66" s="328" t="s">
        <v>27</v>
      </c>
      <c r="F66" s="215" t="s">
        <v>28</v>
      </c>
      <c r="G66" s="209"/>
      <c r="H66" s="14" t="s">
        <v>43</v>
      </c>
      <c r="I66" s="35">
        <v>1.1800000000000001E-3</v>
      </c>
      <c r="J66" s="8"/>
      <c r="K66" s="18" t="s">
        <v>29</v>
      </c>
      <c r="L66" s="25" t="s">
        <v>26</v>
      </c>
      <c r="M66" s="209"/>
      <c r="N66" s="14" t="s">
        <v>43</v>
      </c>
      <c r="O66" s="35">
        <v>-2.7100000000000002E-3</v>
      </c>
      <c r="P66" s="39"/>
    </row>
    <row r="67" spans="2:16" ht="30" x14ac:dyDescent="0.25">
      <c r="B67" s="4"/>
      <c r="C67" s="285" t="s">
        <v>318</v>
      </c>
      <c r="D67" s="206"/>
      <c r="E67" s="328" t="s">
        <v>21</v>
      </c>
      <c r="F67" s="215" t="s">
        <v>22</v>
      </c>
      <c r="G67" s="209"/>
      <c r="H67" s="14" t="s">
        <v>50</v>
      </c>
      <c r="I67" s="35">
        <v>1.24E-3</v>
      </c>
      <c r="J67" s="8"/>
      <c r="K67" s="18" t="s">
        <v>23</v>
      </c>
      <c r="L67" s="25" t="s">
        <v>22</v>
      </c>
      <c r="M67" s="209"/>
      <c r="N67" s="14" t="s">
        <v>50</v>
      </c>
      <c r="O67" s="35">
        <v>-2.2200000000000002E-3</v>
      </c>
      <c r="P67" s="39"/>
    </row>
    <row r="68" spans="2:16" x14ac:dyDescent="0.25">
      <c r="B68" s="4"/>
      <c r="C68" s="287"/>
      <c r="D68" s="206"/>
      <c r="E68" s="328"/>
      <c r="F68" s="215"/>
      <c r="G68" s="209"/>
      <c r="H68" s="14" t="s">
        <v>52</v>
      </c>
      <c r="I68" s="35">
        <v>1.2600000000000001E-3</v>
      </c>
      <c r="J68" s="8"/>
      <c r="K68" s="18"/>
      <c r="L68" s="25"/>
      <c r="M68" s="209"/>
      <c r="N68" s="14" t="s">
        <v>52</v>
      </c>
      <c r="O68" s="35">
        <v>-1.48E-3</v>
      </c>
      <c r="P68" s="39"/>
    </row>
    <row r="69" spans="2:16" x14ac:dyDescent="0.25">
      <c r="B69" s="4"/>
      <c r="C69" s="287"/>
      <c r="D69" s="206"/>
      <c r="E69" s="328"/>
      <c r="F69" s="215"/>
      <c r="G69" s="209"/>
      <c r="H69" s="14" t="s">
        <v>54</v>
      </c>
      <c r="I69" s="35">
        <v>1.2600000000000001E-3</v>
      </c>
      <c r="J69" s="8"/>
      <c r="K69" s="19"/>
      <c r="L69" s="25"/>
      <c r="M69" s="209"/>
      <c r="N69" s="14" t="s">
        <v>54</v>
      </c>
      <c r="O69" s="35">
        <v>-5.0999999999999993E-4</v>
      </c>
      <c r="P69" s="39"/>
    </row>
    <row r="70" spans="2:16" x14ac:dyDescent="0.25">
      <c r="B70" s="4"/>
      <c r="C70" s="287"/>
      <c r="D70" s="206"/>
      <c r="E70" s="328"/>
      <c r="F70" s="216"/>
      <c r="G70" s="209"/>
      <c r="H70" s="14" t="s">
        <v>55</v>
      </c>
      <c r="I70" s="35">
        <v>1.25E-3</v>
      </c>
      <c r="J70" s="8"/>
      <c r="K70" s="20"/>
      <c r="L70" s="26"/>
      <c r="M70" s="209"/>
      <c r="N70" s="14" t="s">
        <v>55</v>
      </c>
      <c r="O70" s="35">
        <v>5.9999999999999995E-4</v>
      </c>
      <c r="P70" s="39"/>
    </row>
    <row r="71" spans="2:16" x14ac:dyDescent="0.25">
      <c r="B71" s="4"/>
      <c r="C71" s="287"/>
      <c r="D71" s="206"/>
      <c r="E71" s="328"/>
      <c r="F71" s="215"/>
      <c r="G71" s="209"/>
      <c r="H71" s="14" t="s">
        <v>57</v>
      </c>
      <c r="I71" s="35">
        <v>1.2199999999999999E-3</v>
      </c>
      <c r="J71" s="8"/>
      <c r="K71" s="18"/>
      <c r="L71" s="25"/>
      <c r="M71" s="209"/>
      <c r="N71" s="14" t="s">
        <v>57</v>
      </c>
      <c r="O71" s="35">
        <v>1.8E-3</v>
      </c>
      <c r="P71" s="39"/>
    </row>
    <row r="72" spans="2:16" x14ac:dyDescent="0.25">
      <c r="B72" s="4"/>
      <c r="C72" s="287"/>
      <c r="D72" s="206"/>
      <c r="E72" s="328"/>
      <c r="F72" s="215"/>
      <c r="G72" s="209"/>
      <c r="H72" s="14" t="s">
        <v>59</v>
      </c>
      <c r="I72" s="35">
        <v>1.1900000000000001E-3</v>
      </c>
      <c r="J72" s="8"/>
      <c r="K72" s="18"/>
      <c r="L72" s="25"/>
      <c r="M72" s="209"/>
      <c r="N72" s="14" t="s">
        <v>59</v>
      </c>
      <c r="O72" s="35">
        <v>2.98E-3</v>
      </c>
      <c r="P72" s="39"/>
    </row>
    <row r="73" spans="2:16" x14ac:dyDescent="0.25">
      <c r="B73" s="4"/>
      <c r="C73" s="287"/>
      <c r="D73" s="206"/>
      <c r="E73" s="328"/>
      <c r="F73" s="215"/>
      <c r="G73" s="209"/>
      <c r="H73" s="14" t="s">
        <v>60</v>
      </c>
      <c r="I73" s="35">
        <v>1.1800000000000001E-3</v>
      </c>
      <c r="J73" s="8"/>
      <c r="K73" s="18"/>
      <c r="L73" s="25"/>
      <c r="M73" s="209"/>
      <c r="N73" s="14" t="s">
        <v>60</v>
      </c>
      <c r="O73" s="35">
        <v>4.0799999999999994E-3</v>
      </c>
      <c r="P73" s="39"/>
    </row>
    <row r="74" spans="2:16" x14ac:dyDescent="0.25">
      <c r="B74" s="4"/>
      <c r="C74" s="287"/>
      <c r="D74" s="206"/>
      <c r="E74" s="328"/>
      <c r="F74" s="215"/>
      <c r="G74" s="209"/>
      <c r="H74" s="14" t="s">
        <v>61</v>
      </c>
      <c r="I74" s="35">
        <v>1.16E-3</v>
      </c>
      <c r="J74" s="8"/>
      <c r="K74" s="18"/>
      <c r="L74" s="25"/>
      <c r="M74" s="209"/>
      <c r="N74" s="14" t="s">
        <v>61</v>
      </c>
      <c r="O74" s="35">
        <v>5.1000000000000004E-3</v>
      </c>
      <c r="P74" s="39"/>
    </row>
    <row r="75" spans="2:16" x14ac:dyDescent="0.25">
      <c r="B75" s="4"/>
      <c r="C75" s="287" t="s">
        <v>309</v>
      </c>
      <c r="D75" s="206"/>
      <c r="E75" s="328"/>
      <c r="F75" s="215"/>
      <c r="G75" s="209"/>
      <c r="H75" s="14" t="s">
        <v>62</v>
      </c>
      <c r="I75" s="35">
        <v>1.15E-3</v>
      </c>
      <c r="J75" s="8"/>
      <c r="K75" s="18"/>
      <c r="L75" s="25"/>
      <c r="M75" s="209"/>
      <c r="N75" s="14" t="s">
        <v>62</v>
      </c>
      <c r="O75" s="35">
        <v>6.0099999999999997E-3</v>
      </c>
      <c r="P75" s="39"/>
    </row>
    <row r="76" spans="2:16" x14ac:dyDescent="0.25">
      <c r="B76" s="4"/>
      <c r="C76" s="294" t="s">
        <v>310</v>
      </c>
      <c r="D76" s="206"/>
      <c r="E76" s="328"/>
      <c r="F76" s="215"/>
      <c r="G76" s="209"/>
      <c r="H76" s="14" t="s">
        <v>63</v>
      </c>
      <c r="I76" s="35">
        <v>1.08E-3</v>
      </c>
      <c r="J76" s="8"/>
      <c r="K76" s="19"/>
      <c r="L76" s="25"/>
      <c r="M76" s="209"/>
      <c r="N76" s="14" t="s">
        <v>63</v>
      </c>
      <c r="O76" s="35">
        <v>8.0700000000000008E-3</v>
      </c>
      <c r="P76" s="39"/>
    </row>
    <row r="77" spans="2:16" x14ac:dyDescent="0.25">
      <c r="B77" s="4"/>
      <c r="C77" s="294" t="s">
        <v>311</v>
      </c>
      <c r="D77" s="206"/>
      <c r="E77" s="335"/>
      <c r="F77" s="320"/>
      <c r="G77" s="209"/>
      <c r="H77" s="14" t="s">
        <v>64</v>
      </c>
      <c r="I77" s="35">
        <v>9.5999999999999992E-4</v>
      </c>
      <c r="J77" s="8"/>
      <c r="K77" s="21"/>
      <c r="L77" s="27"/>
      <c r="M77" s="209"/>
      <c r="N77" s="14" t="s">
        <v>64</v>
      </c>
      <c r="O77" s="35">
        <v>9.8099999999999993E-3</v>
      </c>
      <c r="P77" s="39"/>
    </row>
    <row r="78" spans="2:16" x14ac:dyDescent="0.25">
      <c r="B78" s="4"/>
      <c r="C78" s="294"/>
      <c r="D78" s="206"/>
      <c r="E78" s="335"/>
      <c r="F78" s="217"/>
      <c r="G78" s="209"/>
      <c r="H78" s="14" t="s">
        <v>65</v>
      </c>
      <c r="I78" s="35">
        <v>8.5999999999999998E-4</v>
      </c>
      <c r="J78" s="8"/>
      <c r="K78" s="21"/>
      <c r="L78" s="28"/>
      <c r="M78" s="209"/>
      <c r="N78" s="14" t="s">
        <v>65</v>
      </c>
      <c r="O78" s="35">
        <v>1.0369999999999999E-2</v>
      </c>
      <c r="P78" s="39"/>
    </row>
    <row r="79" spans="2:16" x14ac:dyDescent="0.25">
      <c r="B79" s="4"/>
      <c r="C79" s="287"/>
      <c r="D79" s="206"/>
      <c r="E79" s="335"/>
      <c r="F79" s="320"/>
      <c r="G79" s="209"/>
      <c r="H79" s="14" t="s">
        <v>66</v>
      </c>
      <c r="I79" s="35">
        <v>7.7000000000000007E-4</v>
      </c>
      <c r="J79" s="8"/>
      <c r="K79" s="21"/>
      <c r="L79" s="27"/>
      <c r="M79" s="209"/>
      <c r="N79" s="14" t="s">
        <v>66</v>
      </c>
      <c r="O79" s="35">
        <v>1.0529999999999999E-2</v>
      </c>
      <c r="P79" s="39"/>
    </row>
    <row r="80" spans="2:16" x14ac:dyDescent="0.25">
      <c r="B80" s="4"/>
      <c r="C80" s="287"/>
      <c r="D80" s="206"/>
      <c r="E80" s="333"/>
      <c r="F80" s="215"/>
      <c r="G80" s="209"/>
      <c r="H80" s="14" t="s">
        <v>67</v>
      </c>
      <c r="I80" s="35">
        <v>6.4000000000000005E-4</v>
      </c>
      <c r="J80" s="8"/>
      <c r="K80" s="22"/>
      <c r="L80" s="25"/>
      <c r="M80" s="209"/>
      <c r="N80" s="14" t="s">
        <v>67</v>
      </c>
      <c r="O80" s="35">
        <v>1.0529999999999999E-2</v>
      </c>
      <c r="P80" s="39"/>
    </row>
    <row r="81" spans="2:16" x14ac:dyDescent="0.25">
      <c r="B81" s="4"/>
      <c r="C81" s="287"/>
      <c r="D81" s="206"/>
      <c r="E81" s="333"/>
      <c r="F81" s="320"/>
      <c r="G81" s="209"/>
      <c r="H81" s="14" t="s">
        <v>224</v>
      </c>
      <c r="I81" s="35">
        <v>5.5999999999999995E-4</v>
      </c>
      <c r="J81" s="8"/>
      <c r="K81" s="22"/>
      <c r="L81" s="29"/>
      <c r="M81" s="209"/>
      <c r="N81" s="14" t="s">
        <v>224</v>
      </c>
      <c r="O81" s="35">
        <v>1.0029999999999999E-2</v>
      </c>
      <c r="P81" s="39"/>
    </row>
    <row r="82" spans="2:16" x14ac:dyDescent="0.25">
      <c r="B82" s="4"/>
      <c r="C82" s="287"/>
      <c r="D82" s="206"/>
      <c r="E82" s="333"/>
      <c r="F82" s="320"/>
      <c r="G82" s="209"/>
      <c r="H82" s="14"/>
      <c r="I82" s="35"/>
      <c r="J82" s="8"/>
      <c r="K82" s="22"/>
      <c r="L82" s="29"/>
      <c r="M82" s="209"/>
      <c r="N82" s="14"/>
      <c r="O82" s="35"/>
      <c r="P82" s="39"/>
    </row>
    <row r="83" spans="2:16" x14ac:dyDescent="0.25">
      <c r="B83" s="4"/>
      <c r="C83" s="287"/>
      <c r="D83" s="206"/>
      <c r="E83" s="333"/>
      <c r="F83" s="320"/>
      <c r="G83" s="209"/>
      <c r="H83" s="14"/>
      <c r="I83" s="35"/>
      <c r="J83" s="8"/>
      <c r="K83" s="22"/>
      <c r="L83" s="29"/>
      <c r="M83" s="209"/>
      <c r="N83" s="14"/>
      <c r="O83" s="35"/>
      <c r="P83" s="39"/>
    </row>
    <row r="84" spans="2:16" x14ac:dyDescent="0.25">
      <c r="B84" s="4"/>
      <c r="C84" s="287"/>
      <c r="D84" s="206"/>
      <c r="E84" s="333"/>
      <c r="F84" s="320"/>
      <c r="G84" s="209"/>
      <c r="H84" s="14"/>
      <c r="I84" s="35"/>
      <c r="J84" s="8"/>
      <c r="K84" s="22"/>
      <c r="L84" s="29"/>
      <c r="M84" s="209"/>
      <c r="N84" s="14"/>
      <c r="O84" s="35"/>
      <c r="P84" s="39"/>
    </row>
    <row r="85" spans="2:16" x14ac:dyDescent="0.25">
      <c r="B85" s="4"/>
      <c r="C85" s="287"/>
      <c r="D85" s="206"/>
      <c r="E85" s="333"/>
      <c r="F85" s="320"/>
      <c r="G85" s="209"/>
      <c r="H85" s="14"/>
      <c r="I85" s="35"/>
      <c r="J85" s="8"/>
      <c r="K85" s="22"/>
      <c r="L85" s="29"/>
      <c r="M85" s="209"/>
      <c r="N85" s="14"/>
      <c r="O85" s="35"/>
      <c r="P85" s="39"/>
    </row>
    <row r="86" spans="2:16" x14ac:dyDescent="0.25">
      <c r="B86" s="4"/>
      <c r="C86" s="287"/>
      <c r="D86" s="206"/>
      <c r="E86" s="333"/>
      <c r="F86" s="320"/>
      <c r="G86" s="209"/>
      <c r="H86" s="14"/>
      <c r="I86" s="35"/>
      <c r="J86" s="8"/>
      <c r="K86" s="22"/>
      <c r="L86" s="29"/>
      <c r="M86" s="209"/>
      <c r="N86" s="14"/>
      <c r="O86" s="35"/>
      <c r="P86" s="39"/>
    </row>
    <row r="87" spans="2:16" x14ac:dyDescent="0.25">
      <c r="B87" s="4"/>
      <c r="C87" s="287"/>
      <c r="D87" s="206"/>
      <c r="E87" s="333"/>
      <c r="F87" s="320"/>
      <c r="G87" s="209"/>
      <c r="H87" s="14"/>
      <c r="I87" s="35"/>
      <c r="J87" s="8"/>
      <c r="K87" s="22"/>
      <c r="L87" s="29"/>
      <c r="M87" s="209"/>
      <c r="N87" s="14"/>
      <c r="O87" s="35"/>
      <c r="P87" s="39"/>
    </row>
    <row r="88" spans="2:16" x14ac:dyDescent="0.25">
      <c r="B88" s="4"/>
      <c r="C88" s="287"/>
      <c r="D88" s="206"/>
      <c r="E88" s="333"/>
      <c r="F88" s="320"/>
      <c r="G88" s="209"/>
      <c r="H88" s="14"/>
      <c r="I88" s="35"/>
      <c r="J88" s="8"/>
      <c r="K88" s="22"/>
      <c r="L88" s="29"/>
      <c r="M88" s="209"/>
      <c r="N88" s="14"/>
      <c r="O88" s="35"/>
      <c r="P88" s="39"/>
    </row>
    <row r="89" spans="2:16" x14ac:dyDescent="0.25">
      <c r="B89" s="4"/>
      <c r="C89" s="288"/>
      <c r="D89" s="206"/>
      <c r="E89" s="334"/>
      <c r="F89" s="321"/>
      <c r="G89" s="209"/>
      <c r="H89" s="15"/>
      <c r="I89" s="36"/>
      <c r="J89" s="8"/>
      <c r="K89" s="23"/>
      <c r="L89" s="30"/>
      <c r="M89" s="209"/>
      <c r="N89" s="15"/>
      <c r="O89" s="36"/>
      <c r="P89" s="39"/>
    </row>
    <row r="90" spans="2:16" x14ac:dyDescent="0.25">
      <c r="B90" s="9"/>
      <c r="C90" s="211"/>
      <c r="D90" s="211"/>
      <c r="E90" s="309"/>
      <c r="F90" s="317"/>
      <c r="G90" s="211"/>
      <c r="H90" s="10"/>
      <c r="I90" s="10"/>
      <c r="J90" s="10"/>
      <c r="K90" s="10"/>
      <c r="L90" s="10"/>
      <c r="M90" s="211"/>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topLeftCell="A19" workbookViewId="0"/>
  </sheetViews>
  <sheetFormatPr defaultRowHeight="15" x14ac:dyDescent="0.25"/>
  <cols>
    <col min="2" max="2" width="2.7109375" customWidth="1"/>
    <col min="3" max="3" width="110.7109375" style="198" hidden="1" customWidth="1"/>
    <col min="4" max="4" width="4.7109375" style="202" hidden="1" customWidth="1"/>
    <col min="5" max="5" width="21.85546875" style="306" customWidth="1"/>
    <col min="6" max="6" width="32.7109375" style="316"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2"/>
    </row>
    <row r="2" spans="1:15" ht="23.25" x14ac:dyDescent="0.35">
      <c r="A2" s="202"/>
      <c r="B2" s="429" t="s">
        <v>413</v>
      </c>
      <c r="C2" s="201"/>
      <c r="D2" s="223"/>
    </row>
    <row r="3" spans="1:15" ht="23.25" x14ac:dyDescent="0.35">
      <c r="B3" s="351" t="s">
        <v>370</v>
      </c>
    </row>
    <row r="4" spans="1:15" ht="23.25" x14ac:dyDescent="0.35">
      <c r="B4" s="351" t="s">
        <v>369</v>
      </c>
    </row>
    <row r="5" spans="1:15" s="363" customFormat="1" x14ac:dyDescent="0.25">
      <c r="C5" s="364"/>
      <c r="E5" s="365"/>
      <c r="F5" s="366"/>
    </row>
    <row r="6" spans="1:15" x14ac:dyDescent="0.25">
      <c r="B6" s="40" t="s">
        <v>278</v>
      </c>
      <c r="C6" s="201"/>
      <c r="D6" s="223"/>
    </row>
    <row r="7" spans="1:15" x14ac:dyDescent="0.25">
      <c r="B7" s="1"/>
      <c r="C7" s="204"/>
      <c r="D7" s="204"/>
      <c r="E7" s="322"/>
      <c r="F7" s="218"/>
      <c r="G7" s="2"/>
      <c r="H7" s="2"/>
      <c r="I7" s="2"/>
      <c r="J7" s="2"/>
      <c r="K7" s="2"/>
      <c r="L7" s="2"/>
      <c r="M7" s="2"/>
      <c r="N7" s="2"/>
      <c r="O7" s="3"/>
    </row>
    <row r="8" spans="1:15" x14ac:dyDescent="0.25">
      <c r="B8" s="4"/>
      <c r="C8" s="221"/>
      <c r="D8" s="207"/>
      <c r="E8" s="323" t="s">
        <v>278</v>
      </c>
      <c r="F8" s="226"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207"/>
      <c r="D9" s="207"/>
      <c r="E9" s="324" t="s">
        <v>167</v>
      </c>
      <c r="F9" s="248" t="b">
        <f ca="1">LEFT(F8,5)=STDCurve.CollectionName</f>
        <v>1</v>
      </c>
      <c r="G9" s="5"/>
      <c r="H9" s="5"/>
      <c r="I9" s="5"/>
      <c r="J9" s="5"/>
      <c r="K9" s="5"/>
      <c r="L9" s="5"/>
      <c r="M9" s="5"/>
      <c r="N9" s="5"/>
      <c r="O9" s="6"/>
    </row>
    <row r="10" spans="1:15" x14ac:dyDescent="0.25">
      <c r="B10" s="4"/>
      <c r="C10" s="207"/>
      <c r="D10" s="207"/>
      <c r="E10" s="308"/>
      <c r="F10" s="225"/>
      <c r="G10" s="5"/>
      <c r="H10" s="5"/>
      <c r="I10" s="5"/>
      <c r="J10" s="5"/>
      <c r="K10" s="5"/>
      <c r="L10" s="5"/>
      <c r="M10" s="5"/>
      <c r="N10" s="5"/>
      <c r="O10" s="6"/>
    </row>
    <row r="11" spans="1:15" x14ac:dyDescent="0.25">
      <c r="B11" s="4"/>
      <c r="C11" s="207"/>
      <c r="D11" s="207"/>
      <c r="E11" s="325"/>
      <c r="F11" s="225"/>
      <c r="G11" s="5"/>
      <c r="H11" s="5"/>
      <c r="I11" s="5"/>
      <c r="J11" s="5"/>
      <c r="K11" s="5"/>
      <c r="L11" s="5"/>
      <c r="M11" s="5"/>
      <c r="N11" s="5"/>
      <c r="O11" s="6"/>
    </row>
    <row r="12" spans="1:15" x14ac:dyDescent="0.25">
      <c r="B12" s="4"/>
      <c r="C12" s="207"/>
      <c r="D12" s="207"/>
      <c r="E12" s="326" t="s">
        <v>0</v>
      </c>
      <c r="F12" s="224"/>
      <c r="G12" s="5"/>
      <c r="H12" s="5"/>
      <c r="I12" s="5"/>
      <c r="J12" s="5"/>
      <c r="K12" s="5"/>
      <c r="L12" s="5"/>
      <c r="M12" s="5"/>
      <c r="N12" s="5"/>
      <c r="O12" s="6"/>
    </row>
    <row r="13" spans="1:15" ht="30" x14ac:dyDescent="0.25">
      <c r="B13" s="4"/>
      <c r="C13" s="284" t="s">
        <v>288</v>
      </c>
      <c r="D13" s="207"/>
      <c r="E13" s="327" t="s">
        <v>80</v>
      </c>
      <c r="F13" s="242" t="s">
        <v>78</v>
      </c>
      <c r="G13" s="5"/>
      <c r="H13" s="5"/>
      <c r="I13" s="5"/>
      <c r="J13" s="5"/>
      <c r="K13" s="5"/>
      <c r="L13" s="5"/>
      <c r="M13" s="5"/>
      <c r="N13" s="5"/>
      <c r="O13" s="6"/>
    </row>
    <row r="14" spans="1:15" ht="30" x14ac:dyDescent="0.25">
      <c r="B14" s="4"/>
      <c r="C14" s="284" t="s">
        <v>364</v>
      </c>
      <c r="D14" s="207"/>
      <c r="E14" s="328" t="s">
        <v>79</v>
      </c>
      <c r="F14" s="243" t="s">
        <v>82</v>
      </c>
      <c r="G14" s="5"/>
      <c r="H14" s="5"/>
      <c r="I14" s="5"/>
      <c r="J14" s="5"/>
      <c r="K14" s="5"/>
      <c r="L14" s="5"/>
      <c r="M14" s="5"/>
      <c r="N14" s="5"/>
      <c r="O14" s="6"/>
    </row>
    <row r="15" spans="1:15" ht="30" x14ac:dyDescent="0.25">
      <c r="B15" s="4"/>
      <c r="C15" s="284" t="s">
        <v>365</v>
      </c>
      <c r="D15" s="207"/>
      <c r="E15" s="330" t="s">
        <v>81</v>
      </c>
      <c r="F15" s="244" t="s">
        <v>206</v>
      </c>
      <c r="G15" s="5"/>
      <c r="H15" s="5"/>
      <c r="I15" s="5"/>
      <c r="J15" s="5" t="s">
        <v>4</v>
      </c>
      <c r="K15" s="5" t="s">
        <v>4</v>
      </c>
      <c r="L15" s="5" t="s">
        <v>4</v>
      </c>
      <c r="M15" s="5"/>
      <c r="N15" s="5"/>
      <c r="O15" s="6" t="s">
        <v>4</v>
      </c>
    </row>
    <row r="16" spans="1:15" x14ac:dyDescent="0.25">
      <c r="B16" s="9"/>
      <c r="C16" s="211"/>
      <c r="D16" s="211"/>
      <c r="E16" s="309"/>
      <c r="F16" s="317"/>
      <c r="G16" s="10"/>
      <c r="H16" s="10"/>
      <c r="I16" s="10"/>
      <c r="J16" s="10"/>
      <c r="K16" s="10"/>
      <c r="L16" s="10"/>
      <c r="M16" s="10"/>
      <c r="N16" s="10"/>
      <c r="O16" s="11"/>
    </row>
    <row r="19" spans="2:15" x14ac:dyDescent="0.25">
      <c r="B19" s="40" t="s">
        <v>68</v>
      </c>
      <c r="C19" s="201"/>
      <c r="D19" s="223"/>
    </row>
    <row r="20" spans="2:15" x14ac:dyDescent="0.25">
      <c r="B20" s="1"/>
      <c r="C20" s="204"/>
      <c r="D20" s="204"/>
      <c r="E20" s="322"/>
      <c r="F20" s="218"/>
      <c r="G20" s="2"/>
      <c r="H20" s="2"/>
      <c r="I20" s="2"/>
      <c r="J20" s="45"/>
      <c r="K20" s="2"/>
      <c r="L20" s="2"/>
      <c r="M20" s="2"/>
      <c r="N20" s="2"/>
      <c r="O20" s="3"/>
    </row>
    <row r="21" spans="2:15" x14ac:dyDescent="0.25">
      <c r="B21" s="4"/>
      <c r="C21" s="207"/>
      <c r="D21" s="207"/>
      <c r="E21" s="326" t="s">
        <v>68</v>
      </c>
      <c r="F21" s="219"/>
      <c r="G21" s="5"/>
      <c r="H21" s="5"/>
      <c r="I21" s="5"/>
      <c r="J21" s="5"/>
      <c r="K21" s="5"/>
      <c r="L21" s="5"/>
      <c r="M21" s="5"/>
      <c r="N21" s="5"/>
      <c r="O21" s="6"/>
    </row>
    <row r="22" spans="2:15" ht="30" x14ac:dyDescent="0.25">
      <c r="B22" s="4"/>
      <c r="C22" s="284" t="s">
        <v>289</v>
      </c>
      <c r="D22" s="207"/>
      <c r="E22" s="327" t="s">
        <v>10</v>
      </c>
      <c r="F22" s="242">
        <f>COB</f>
        <v>42521</v>
      </c>
      <c r="G22" s="5"/>
      <c r="H22" s="5"/>
      <c r="I22" s="5"/>
      <c r="J22" s="5"/>
      <c r="K22" s="5"/>
      <c r="L22" s="5"/>
      <c r="M22" s="5"/>
      <c r="N22" s="5"/>
      <c r="O22" s="6"/>
    </row>
    <row r="23" spans="2:15" ht="30" x14ac:dyDescent="0.25">
      <c r="B23" s="4"/>
      <c r="C23" s="284" t="s">
        <v>290</v>
      </c>
      <c r="D23" s="207"/>
      <c r="E23" s="328" t="s">
        <v>16</v>
      </c>
      <c r="F23" s="243" t="s">
        <v>17</v>
      </c>
      <c r="G23" s="5"/>
      <c r="H23" s="5"/>
      <c r="I23" s="5"/>
      <c r="J23" s="5"/>
      <c r="K23" s="5"/>
      <c r="L23" s="5"/>
      <c r="M23" s="5"/>
      <c r="N23" s="5"/>
      <c r="O23" s="6"/>
    </row>
    <row r="24" spans="2:15" ht="30" x14ac:dyDescent="0.25">
      <c r="B24" s="4"/>
      <c r="C24" s="284" t="s">
        <v>291</v>
      </c>
      <c r="D24" s="207"/>
      <c r="E24" s="328" t="s">
        <v>83</v>
      </c>
      <c r="F24" s="245" t="str">
        <f>interpolationFunction</f>
        <v>fn_SplineInterpolation</v>
      </c>
      <c r="G24" s="5"/>
      <c r="H24" s="5"/>
      <c r="I24" s="5"/>
      <c r="J24" s="5"/>
      <c r="K24" s="5"/>
      <c r="L24" s="5"/>
      <c r="M24" s="5"/>
      <c r="N24" s="5"/>
      <c r="O24" s="6"/>
    </row>
    <row r="25" spans="2:15" ht="30" x14ac:dyDescent="0.25">
      <c r="B25" s="4"/>
      <c r="C25" s="289" t="s">
        <v>366</v>
      </c>
      <c r="D25" s="207"/>
      <c r="E25" s="328" t="s">
        <v>24</v>
      </c>
      <c r="F25" s="245" t="str">
        <f>interpolationFunction</f>
        <v>fn_SplineInterpolation</v>
      </c>
      <c r="G25" s="5"/>
      <c r="H25" s="5"/>
      <c r="I25" s="5"/>
      <c r="J25" s="5"/>
      <c r="K25" s="5"/>
      <c r="L25" s="5"/>
      <c r="M25" s="5"/>
      <c r="N25" s="5"/>
      <c r="O25" s="6"/>
    </row>
    <row r="26" spans="2:15" ht="30" x14ac:dyDescent="0.25">
      <c r="B26" s="4"/>
      <c r="C26" s="289" t="s">
        <v>312</v>
      </c>
      <c r="D26" s="207"/>
      <c r="E26" s="328" t="s">
        <v>85</v>
      </c>
      <c r="F26" s="243" t="b">
        <v>0</v>
      </c>
      <c r="G26" s="5"/>
      <c r="H26" s="5"/>
      <c r="I26" s="5"/>
      <c r="J26" s="5"/>
      <c r="K26" s="5"/>
      <c r="L26" s="5"/>
      <c r="M26" s="5"/>
      <c r="N26" s="5"/>
      <c r="O26" s="6"/>
    </row>
    <row r="27" spans="2:15" ht="30" x14ac:dyDescent="0.25">
      <c r="B27" s="4"/>
      <c r="C27" s="289" t="s">
        <v>313</v>
      </c>
      <c r="D27" s="207"/>
      <c r="E27" s="328" t="s">
        <v>84</v>
      </c>
      <c r="F27" s="243" t="b">
        <v>1</v>
      </c>
      <c r="G27" s="5"/>
      <c r="H27" s="5"/>
      <c r="I27" s="5"/>
      <c r="J27" s="5"/>
      <c r="K27" s="5"/>
      <c r="L27" s="5"/>
      <c r="M27" s="5"/>
      <c r="N27" s="5"/>
      <c r="O27" s="6"/>
    </row>
    <row r="28" spans="2:15" ht="30" x14ac:dyDescent="0.25">
      <c r="B28" s="4"/>
      <c r="C28" s="285" t="s">
        <v>314</v>
      </c>
      <c r="D28" s="207"/>
      <c r="E28" s="328" t="s">
        <v>27</v>
      </c>
      <c r="F28" s="243" t="s">
        <v>28</v>
      </c>
      <c r="G28" s="5"/>
      <c r="H28" s="5"/>
      <c r="I28" s="5"/>
      <c r="J28" s="5"/>
      <c r="K28" s="5"/>
      <c r="L28" s="5"/>
      <c r="M28" s="5"/>
      <c r="N28" s="5"/>
      <c r="O28" s="6"/>
    </row>
    <row r="29" spans="2:15" ht="45" x14ac:dyDescent="0.25">
      <c r="B29" s="4"/>
      <c r="C29" s="289" t="s">
        <v>315</v>
      </c>
      <c r="D29" s="207"/>
      <c r="E29" s="328" t="s">
        <v>86</v>
      </c>
      <c r="F29" s="243" t="s">
        <v>9</v>
      </c>
      <c r="G29" s="5"/>
      <c r="H29" s="5"/>
      <c r="I29" s="5"/>
      <c r="J29" s="5"/>
      <c r="K29" s="5"/>
      <c r="L29" s="5"/>
      <c r="M29" s="5"/>
      <c r="N29" s="5"/>
      <c r="O29" s="6"/>
    </row>
    <row r="30" spans="2:15" x14ac:dyDescent="0.25">
      <c r="B30" s="4"/>
      <c r="C30" s="294"/>
      <c r="D30" s="207"/>
      <c r="E30" s="328"/>
      <c r="F30" s="243"/>
      <c r="G30" s="5"/>
      <c r="H30" s="5"/>
      <c r="I30" s="5"/>
      <c r="J30" s="5"/>
      <c r="K30" s="5"/>
      <c r="L30" s="5"/>
      <c r="M30" s="5"/>
      <c r="N30" s="5"/>
      <c r="O30" s="6"/>
    </row>
    <row r="31" spans="2:15" x14ac:dyDescent="0.25">
      <c r="B31" s="4"/>
      <c r="C31" s="290"/>
      <c r="D31" s="207"/>
      <c r="E31" s="330"/>
      <c r="F31" s="244"/>
      <c r="G31" s="5"/>
      <c r="H31" s="5"/>
      <c r="I31" s="5"/>
      <c r="J31" s="5"/>
      <c r="K31" s="5"/>
      <c r="L31" s="5"/>
      <c r="M31" s="5"/>
      <c r="N31" s="5"/>
      <c r="O31" s="6"/>
    </row>
    <row r="32" spans="2:15" x14ac:dyDescent="0.25">
      <c r="B32" s="9"/>
      <c r="C32" s="211"/>
      <c r="D32" s="211"/>
      <c r="E32" s="309"/>
      <c r="F32" s="317"/>
      <c r="G32" s="10"/>
      <c r="H32" s="10"/>
      <c r="I32" s="10"/>
      <c r="J32" s="10"/>
      <c r="K32" s="10"/>
      <c r="L32" s="10"/>
      <c r="M32" s="10"/>
      <c r="N32" s="10"/>
      <c r="O32" s="11"/>
    </row>
    <row r="35" spans="2:15" x14ac:dyDescent="0.25">
      <c r="B35" s="40" t="s">
        <v>87</v>
      </c>
      <c r="C35" s="201"/>
      <c r="D35" s="223"/>
    </row>
    <row r="36" spans="2:15" x14ac:dyDescent="0.25">
      <c r="B36" s="1"/>
      <c r="C36" s="204"/>
      <c r="D36" s="204"/>
      <c r="E36" s="307"/>
      <c r="F36" s="318"/>
      <c r="G36" s="2"/>
      <c r="H36" s="2"/>
      <c r="I36" s="2"/>
      <c r="J36" s="2"/>
      <c r="K36" s="2"/>
      <c r="L36" s="2"/>
      <c r="M36" s="2"/>
      <c r="N36" s="2"/>
      <c r="O36" s="3"/>
    </row>
    <row r="37" spans="2:15" x14ac:dyDescent="0.25">
      <c r="B37" s="4"/>
      <c r="C37" s="207"/>
      <c r="D37" s="207"/>
      <c r="E37" s="332" t="s">
        <v>226</v>
      </c>
      <c r="F37" s="319"/>
      <c r="G37" s="8"/>
      <c r="H37" s="34" t="s">
        <v>227</v>
      </c>
      <c r="I37" s="8"/>
      <c r="J37" s="8"/>
      <c r="K37" s="34" t="s">
        <v>225</v>
      </c>
      <c r="L37" s="8"/>
      <c r="M37" s="8"/>
      <c r="N37" s="8"/>
      <c r="O37" s="39"/>
    </row>
    <row r="38" spans="2:15" ht="30" x14ac:dyDescent="0.25">
      <c r="B38" s="4"/>
      <c r="C38" s="285" t="s">
        <v>293</v>
      </c>
      <c r="D38" s="207"/>
      <c r="E38" s="327" t="s">
        <v>1</v>
      </c>
      <c r="F38" s="214" t="s">
        <v>2</v>
      </c>
      <c r="G38" s="5"/>
      <c r="H38" s="295" t="s">
        <v>1</v>
      </c>
      <c r="I38" s="214" t="s">
        <v>2</v>
      </c>
      <c r="J38" s="8"/>
      <c r="K38" s="53" t="s">
        <v>11</v>
      </c>
      <c r="L38" s="53" t="s">
        <v>12</v>
      </c>
      <c r="M38" s="53"/>
      <c r="N38" s="53"/>
      <c r="O38" s="39"/>
    </row>
    <row r="39" spans="2:15" ht="30" x14ac:dyDescent="0.25">
      <c r="B39" s="4"/>
      <c r="C39" s="285" t="s">
        <v>292</v>
      </c>
      <c r="D39" s="207"/>
      <c r="E39" s="328" t="s">
        <v>88</v>
      </c>
      <c r="F39" s="215" t="s">
        <v>6</v>
      </c>
      <c r="G39" s="7"/>
      <c r="H39" s="197" t="s">
        <v>18</v>
      </c>
      <c r="I39" s="230" t="s">
        <v>6</v>
      </c>
      <c r="J39" s="8"/>
      <c r="K39" s="47" t="s">
        <v>161</v>
      </c>
      <c r="L39" s="50">
        <v>-3.49E-3</v>
      </c>
      <c r="M39" s="53"/>
      <c r="N39" s="53"/>
      <c r="O39" s="39"/>
    </row>
    <row r="40" spans="2:15" ht="30" x14ac:dyDescent="0.25">
      <c r="B40" s="4"/>
      <c r="C40" s="286" t="s">
        <v>318</v>
      </c>
      <c r="D40" s="207"/>
      <c r="E40" s="328" t="s">
        <v>89</v>
      </c>
      <c r="F40" s="215" t="s">
        <v>90</v>
      </c>
      <c r="G40" s="7"/>
      <c r="H40" s="197" t="s">
        <v>27</v>
      </c>
      <c r="I40" s="215" t="s">
        <v>91</v>
      </c>
      <c r="J40" s="8"/>
      <c r="K40" s="48" t="s">
        <v>145</v>
      </c>
      <c r="L40" s="51">
        <v>-2.6099999999999999E-3</v>
      </c>
      <c r="M40" s="53"/>
      <c r="N40" s="53"/>
      <c r="O40" s="39"/>
    </row>
    <row r="41" spans="2:15" x14ac:dyDescent="0.25">
      <c r="B41" s="4"/>
      <c r="C41" s="287"/>
      <c r="D41" s="207"/>
      <c r="E41" s="328"/>
      <c r="F41" s="215"/>
      <c r="G41" s="7"/>
      <c r="H41" s="197" t="s">
        <v>92</v>
      </c>
      <c r="I41" s="230">
        <v>2</v>
      </c>
      <c r="J41" s="8"/>
      <c r="K41" s="48" t="s">
        <v>94</v>
      </c>
      <c r="L41" s="51">
        <v>-1.5299999999999999E-3</v>
      </c>
      <c r="M41" s="53"/>
      <c r="N41" s="53"/>
      <c r="O41" s="39"/>
    </row>
    <row r="42" spans="2:15" x14ac:dyDescent="0.25">
      <c r="B42" s="4"/>
      <c r="C42" s="287"/>
      <c r="D42" s="207"/>
      <c r="E42" s="328"/>
      <c r="F42" s="215"/>
      <c r="G42" s="7"/>
      <c r="H42" s="197" t="s">
        <v>21</v>
      </c>
      <c r="I42" s="230" t="s">
        <v>22</v>
      </c>
      <c r="J42" s="8"/>
      <c r="K42" s="48" t="s">
        <v>56</v>
      </c>
      <c r="L42" s="51">
        <v>-1.4999999999999999E-4</v>
      </c>
      <c r="M42" s="53"/>
      <c r="N42" s="53"/>
      <c r="O42" s="39"/>
    </row>
    <row r="43" spans="2:15" x14ac:dyDescent="0.25">
      <c r="B43" s="4"/>
      <c r="C43" s="288"/>
      <c r="D43" s="207"/>
      <c r="E43" s="334"/>
      <c r="F43" s="321"/>
      <c r="G43" s="7"/>
      <c r="H43" s="296"/>
      <c r="I43" s="231"/>
      <c r="J43" s="8"/>
      <c r="K43" s="49"/>
      <c r="L43" s="52"/>
      <c r="M43" s="53"/>
      <c r="N43" s="53"/>
      <c r="O43" s="39"/>
    </row>
    <row r="44" spans="2:15" x14ac:dyDescent="0.25">
      <c r="B44" s="4"/>
      <c r="C44" s="207"/>
      <c r="D44" s="207"/>
      <c r="E44" s="311"/>
      <c r="F44" s="343"/>
      <c r="G44" s="7"/>
      <c r="H44" s="8"/>
      <c r="I44" s="8"/>
      <c r="J44" s="8"/>
      <c r="K44" s="162" t="s">
        <v>372</v>
      </c>
      <c r="L44" s="8"/>
      <c r="M44" s="8"/>
      <c r="N44" s="8"/>
      <c r="O44" s="39"/>
    </row>
    <row r="45" spans="2:15" x14ac:dyDescent="0.25">
      <c r="B45" s="9"/>
      <c r="C45" s="211"/>
      <c r="D45" s="211"/>
      <c r="E45" s="309"/>
      <c r="F45" s="317"/>
      <c r="G45" s="10"/>
      <c r="H45" s="10"/>
      <c r="I45" s="10"/>
      <c r="J45" s="10"/>
      <c r="K45" s="10"/>
      <c r="L45" s="10"/>
      <c r="M45" s="10"/>
      <c r="N45" s="10"/>
      <c r="O45" s="11"/>
    </row>
    <row r="48" spans="2:15" x14ac:dyDescent="0.25">
      <c r="B48" s="40" t="s">
        <v>95</v>
      </c>
      <c r="C48" s="201"/>
      <c r="D48" s="223"/>
    </row>
    <row r="49" spans="2:15" x14ac:dyDescent="0.25">
      <c r="B49" s="1"/>
      <c r="C49" s="204"/>
      <c r="D49" s="204"/>
      <c r="E49" s="307"/>
      <c r="F49" s="318"/>
      <c r="G49" s="2"/>
      <c r="H49" s="2"/>
      <c r="I49" s="2"/>
      <c r="J49" s="2"/>
      <c r="K49" s="2"/>
      <c r="L49" s="2"/>
      <c r="M49" s="2"/>
      <c r="N49" s="2"/>
      <c r="O49" s="3"/>
    </row>
    <row r="50" spans="2:15" x14ac:dyDescent="0.25">
      <c r="B50" s="4"/>
      <c r="C50" s="207"/>
      <c r="D50" s="207"/>
      <c r="E50" s="332" t="s">
        <v>96</v>
      </c>
      <c r="F50" s="319"/>
      <c r="G50" s="8"/>
      <c r="H50" s="34" t="s">
        <v>115</v>
      </c>
      <c r="I50" s="8"/>
      <c r="J50" s="8"/>
      <c r="K50" s="34" t="s">
        <v>116</v>
      </c>
      <c r="L50" s="8"/>
      <c r="M50" s="8"/>
      <c r="N50" s="8"/>
      <c r="O50" s="39"/>
    </row>
    <row r="51" spans="2:15" x14ac:dyDescent="0.25">
      <c r="B51" s="4"/>
      <c r="C51" s="207"/>
      <c r="D51" s="207"/>
      <c r="E51" s="327"/>
      <c r="F51" s="214"/>
      <c r="G51" s="5"/>
      <c r="H51" s="53" t="s">
        <v>11</v>
      </c>
      <c r="I51" s="53" t="s">
        <v>12</v>
      </c>
      <c r="J51" s="8"/>
      <c r="K51" s="53" t="s">
        <v>11</v>
      </c>
      <c r="L51" s="53" t="s">
        <v>12</v>
      </c>
      <c r="M51" s="53"/>
      <c r="N51" s="53"/>
      <c r="O51" s="39"/>
    </row>
    <row r="52" spans="2:15" x14ac:dyDescent="0.25">
      <c r="B52" s="4"/>
      <c r="C52" s="207"/>
      <c r="D52" s="207"/>
      <c r="E52" s="328"/>
      <c r="F52" s="215"/>
      <c r="G52" s="7"/>
      <c r="H52" s="47"/>
      <c r="I52" s="50"/>
      <c r="J52" s="8"/>
      <c r="K52" s="47"/>
      <c r="L52" s="50"/>
      <c r="M52" s="53"/>
      <c r="N52" s="53"/>
      <c r="O52" s="39"/>
    </row>
    <row r="53" spans="2:15" x14ac:dyDescent="0.25">
      <c r="B53" s="4"/>
      <c r="C53" s="207"/>
      <c r="D53" s="207"/>
      <c r="E53" s="328"/>
      <c r="F53" s="215"/>
      <c r="G53" s="7"/>
      <c r="H53" s="48"/>
      <c r="I53" s="51"/>
      <c r="J53" s="8"/>
      <c r="K53" s="48"/>
      <c r="L53" s="51"/>
      <c r="M53" s="53"/>
      <c r="N53" s="53"/>
      <c r="O53" s="39"/>
    </row>
    <row r="54" spans="2:15" x14ac:dyDescent="0.25">
      <c r="B54" s="4"/>
      <c r="C54" s="207"/>
      <c r="D54" s="207"/>
      <c r="E54" s="328"/>
      <c r="F54" s="215"/>
      <c r="G54" s="7"/>
      <c r="H54" s="48"/>
      <c r="I54" s="51"/>
      <c r="J54" s="8"/>
      <c r="K54" s="48"/>
      <c r="L54" s="51"/>
      <c r="M54" s="53"/>
      <c r="N54" s="53"/>
      <c r="O54" s="39"/>
    </row>
    <row r="55" spans="2:15" x14ac:dyDescent="0.25">
      <c r="B55" s="4"/>
      <c r="C55" s="207"/>
      <c r="D55" s="207"/>
      <c r="E55" s="328"/>
      <c r="F55" s="215"/>
      <c r="G55" s="7"/>
      <c r="H55" s="48"/>
      <c r="I55" s="51"/>
      <c r="J55" s="8"/>
      <c r="K55" s="48"/>
      <c r="L55" s="51"/>
      <c r="M55" s="53"/>
      <c r="N55" s="53"/>
      <c r="O55" s="39"/>
    </row>
    <row r="56" spans="2:15" x14ac:dyDescent="0.25">
      <c r="B56" s="4"/>
      <c r="C56" s="207"/>
      <c r="D56" s="207"/>
      <c r="E56" s="328"/>
      <c r="F56" s="215"/>
      <c r="G56" s="7"/>
      <c r="H56" s="48"/>
      <c r="I56" s="51"/>
      <c r="J56" s="8"/>
      <c r="K56" s="48"/>
      <c r="L56" s="51"/>
      <c r="M56" s="53"/>
      <c r="N56" s="53"/>
      <c r="O56" s="39"/>
    </row>
    <row r="57" spans="2:15" x14ac:dyDescent="0.25">
      <c r="B57" s="4"/>
      <c r="C57" s="207"/>
      <c r="D57" s="207"/>
      <c r="E57" s="328"/>
      <c r="F57" s="215"/>
      <c r="G57" s="7"/>
      <c r="H57" s="48"/>
      <c r="I57" s="51"/>
      <c r="J57" s="8"/>
      <c r="K57" s="48"/>
      <c r="L57" s="51"/>
      <c r="M57" s="53"/>
      <c r="N57" s="53"/>
      <c r="O57" s="39"/>
    </row>
    <row r="58" spans="2:15" x14ac:dyDescent="0.25">
      <c r="B58" s="4"/>
      <c r="C58" s="207"/>
      <c r="D58" s="207"/>
      <c r="E58" s="328"/>
      <c r="F58" s="215"/>
      <c r="G58" s="7"/>
      <c r="H58" s="48"/>
      <c r="I58" s="51"/>
      <c r="J58" s="8"/>
      <c r="K58" s="48"/>
      <c r="L58" s="51"/>
      <c r="M58" s="53"/>
      <c r="N58" s="53"/>
      <c r="O58" s="39"/>
    </row>
    <row r="59" spans="2:15" x14ac:dyDescent="0.25">
      <c r="B59" s="4"/>
      <c r="C59" s="207"/>
      <c r="D59" s="207"/>
      <c r="E59" s="328"/>
      <c r="F59" s="215"/>
      <c r="G59" s="7"/>
      <c r="H59" s="48"/>
      <c r="I59" s="51"/>
      <c r="J59" s="8"/>
      <c r="K59" s="48"/>
      <c r="L59" s="51"/>
      <c r="M59" s="53"/>
      <c r="N59" s="53"/>
      <c r="O59" s="39"/>
    </row>
    <row r="60" spans="2:15" x14ac:dyDescent="0.25">
      <c r="B60" s="4"/>
      <c r="C60" s="207"/>
      <c r="D60" s="207"/>
      <c r="E60" s="328"/>
      <c r="F60" s="215"/>
      <c r="G60" s="7"/>
      <c r="H60" s="48"/>
      <c r="I60" s="51"/>
      <c r="J60" s="8"/>
      <c r="K60" s="48"/>
      <c r="L60" s="51"/>
      <c r="M60" s="53"/>
      <c r="N60" s="53"/>
      <c r="O60" s="39"/>
    </row>
    <row r="61" spans="2:15" x14ac:dyDescent="0.25">
      <c r="B61" s="4"/>
      <c r="C61" s="207"/>
      <c r="D61" s="207"/>
      <c r="E61" s="328"/>
      <c r="F61" s="215"/>
      <c r="G61" s="7"/>
      <c r="H61" s="48"/>
      <c r="I61" s="51"/>
      <c r="J61" s="8"/>
      <c r="K61" s="48"/>
      <c r="L61" s="51"/>
      <c r="M61" s="53"/>
      <c r="N61" s="53"/>
      <c r="O61" s="39"/>
    </row>
    <row r="62" spans="2:15" x14ac:dyDescent="0.25">
      <c r="B62" s="4"/>
      <c r="C62" s="207"/>
      <c r="D62" s="207"/>
      <c r="E62" s="328"/>
      <c r="F62" s="215"/>
      <c r="G62" s="7"/>
      <c r="H62" s="48"/>
      <c r="I62" s="51"/>
      <c r="J62" s="8"/>
      <c r="K62" s="48"/>
      <c r="L62" s="51"/>
      <c r="M62" s="53"/>
      <c r="N62" s="53"/>
      <c r="O62" s="39"/>
    </row>
    <row r="63" spans="2:15" x14ac:dyDescent="0.25">
      <c r="B63" s="4"/>
      <c r="C63" s="207"/>
      <c r="D63" s="207"/>
      <c r="E63" s="328"/>
      <c r="F63" s="215"/>
      <c r="G63" s="7"/>
      <c r="H63" s="48"/>
      <c r="I63" s="51"/>
      <c r="J63" s="8"/>
      <c r="K63" s="48"/>
      <c r="L63" s="51"/>
      <c r="M63" s="53"/>
      <c r="N63" s="53"/>
      <c r="O63" s="39"/>
    </row>
    <row r="64" spans="2:15" x14ac:dyDescent="0.25">
      <c r="B64" s="4"/>
      <c r="C64" s="207"/>
      <c r="D64" s="207"/>
      <c r="E64" s="334"/>
      <c r="F64" s="321"/>
      <c r="G64" s="7"/>
      <c r="H64" s="49"/>
      <c r="I64" s="52"/>
      <c r="J64" s="8"/>
      <c r="K64" s="49"/>
      <c r="L64" s="52"/>
      <c r="M64" s="53"/>
      <c r="N64" s="53"/>
      <c r="O64" s="39"/>
    </row>
    <row r="65" spans="2:15" x14ac:dyDescent="0.25">
      <c r="B65" s="4"/>
      <c r="C65" s="207"/>
      <c r="D65" s="207"/>
      <c r="E65" s="311"/>
      <c r="F65" s="343"/>
      <c r="G65" s="7"/>
      <c r="H65" s="8"/>
      <c r="I65" s="8"/>
      <c r="J65" s="8"/>
      <c r="K65" s="8"/>
      <c r="L65" s="8"/>
      <c r="M65" s="53"/>
      <c r="N65" s="53"/>
      <c r="O65" s="39"/>
    </row>
    <row r="66" spans="2:15" x14ac:dyDescent="0.25">
      <c r="B66" s="9"/>
      <c r="C66" s="211"/>
      <c r="D66" s="211"/>
      <c r="E66" s="309"/>
      <c r="F66" s="317"/>
      <c r="G66" s="10"/>
      <c r="H66" s="10"/>
      <c r="I66" s="10"/>
      <c r="J66" s="10"/>
      <c r="K66" s="10"/>
      <c r="L66" s="10"/>
      <c r="M66" s="10"/>
      <c r="N66" s="10"/>
      <c r="O66" s="11"/>
    </row>
    <row r="69" spans="2:15" x14ac:dyDescent="0.25">
      <c r="B69" s="40" t="s">
        <v>99</v>
      </c>
      <c r="C69" s="201"/>
      <c r="D69" s="223"/>
    </row>
    <row r="70" spans="2:15" x14ac:dyDescent="0.25">
      <c r="B70" s="1"/>
      <c r="C70" s="204"/>
      <c r="D70" s="204"/>
      <c r="E70" s="307"/>
      <c r="F70" s="318"/>
      <c r="G70" s="2"/>
      <c r="H70" s="2"/>
      <c r="I70" s="2"/>
      <c r="J70" s="2"/>
      <c r="K70" s="2"/>
      <c r="L70" s="2"/>
      <c r="M70" s="2"/>
      <c r="N70" s="2"/>
      <c r="O70" s="3"/>
    </row>
    <row r="71" spans="2:15" x14ac:dyDescent="0.25">
      <c r="B71" s="4"/>
      <c r="C71" s="207"/>
      <c r="D71" s="207"/>
      <c r="E71" s="332" t="s">
        <v>100</v>
      </c>
      <c r="F71" s="319"/>
      <c r="G71" s="8"/>
      <c r="H71" s="34" t="s">
        <v>103</v>
      </c>
      <c r="I71" s="8"/>
      <c r="J71" s="8"/>
      <c r="K71" s="8"/>
      <c r="L71" s="8"/>
      <c r="M71" s="8"/>
      <c r="N71" s="8"/>
      <c r="O71" s="39"/>
    </row>
    <row r="72" spans="2:15" ht="30" x14ac:dyDescent="0.25">
      <c r="B72" s="4"/>
      <c r="C72" s="285" t="s">
        <v>293</v>
      </c>
      <c r="D72" s="207"/>
      <c r="E72" s="327" t="s">
        <v>3</v>
      </c>
      <c r="F72" s="214" t="s">
        <v>2</v>
      </c>
      <c r="G72" s="5"/>
      <c r="H72" s="72" t="s">
        <v>117</v>
      </c>
      <c r="I72" s="72" t="s">
        <v>13</v>
      </c>
      <c r="J72" s="72" t="s">
        <v>14</v>
      </c>
      <c r="K72" s="72" t="s">
        <v>12</v>
      </c>
      <c r="L72" s="72" t="s">
        <v>102</v>
      </c>
      <c r="M72" s="79"/>
      <c r="N72" s="79"/>
      <c r="O72" s="39"/>
    </row>
    <row r="73" spans="2:15" ht="30" x14ac:dyDescent="0.25">
      <c r="B73" s="4"/>
      <c r="C73" s="285" t="s">
        <v>292</v>
      </c>
      <c r="D73" s="207"/>
      <c r="E73" s="328" t="s">
        <v>7</v>
      </c>
      <c r="F73" s="215" t="s">
        <v>124</v>
      </c>
      <c r="G73" s="173">
        <v>4</v>
      </c>
      <c r="H73" s="54" t="s">
        <v>207</v>
      </c>
      <c r="I73" s="55">
        <v>42634</v>
      </c>
      <c r="J73" s="55">
        <v>42725</v>
      </c>
      <c r="K73" s="56">
        <v>100.28</v>
      </c>
      <c r="L73" s="57">
        <v>5.1399999999999996E-3</v>
      </c>
      <c r="M73" s="79"/>
      <c r="N73" s="79"/>
      <c r="O73" s="39"/>
    </row>
    <row r="74" spans="2:15" ht="30" x14ac:dyDescent="0.25">
      <c r="B74" s="4"/>
      <c r="C74" s="285" t="s">
        <v>295</v>
      </c>
      <c r="D74" s="207"/>
      <c r="E74" s="328" t="s">
        <v>15</v>
      </c>
      <c r="F74" s="215" t="s">
        <v>101</v>
      </c>
      <c r="G74" s="173">
        <f>G73+1</f>
        <v>5</v>
      </c>
      <c r="H74" s="58" t="s">
        <v>208</v>
      </c>
      <c r="I74" s="55">
        <v>42662</v>
      </c>
      <c r="J74" s="55">
        <v>42753</v>
      </c>
      <c r="K74" s="56">
        <v>100.285</v>
      </c>
      <c r="L74" s="57">
        <v>5.1399999999999996E-3</v>
      </c>
      <c r="M74" s="79"/>
      <c r="N74" s="79"/>
      <c r="O74" s="39"/>
    </row>
    <row r="75" spans="2:15" ht="30" x14ac:dyDescent="0.25">
      <c r="B75" s="4"/>
      <c r="C75" s="285" t="s">
        <v>318</v>
      </c>
      <c r="D75" s="207"/>
      <c r="E75" s="328" t="s">
        <v>23</v>
      </c>
      <c r="F75" s="240" t="s">
        <v>22</v>
      </c>
      <c r="G75" s="173">
        <f t="shared" ref="G75:G81" si="0">G74+1</f>
        <v>6</v>
      </c>
      <c r="H75" s="59" t="s">
        <v>209</v>
      </c>
      <c r="I75" s="60">
        <v>42690</v>
      </c>
      <c r="J75" s="60">
        <v>42781</v>
      </c>
      <c r="K75" s="61">
        <v>100.29</v>
      </c>
      <c r="L75" s="62">
        <v>5.1399999999999996E-3</v>
      </c>
      <c r="M75" s="79"/>
      <c r="N75" s="79"/>
      <c r="O75" s="39"/>
    </row>
    <row r="76" spans="2:15" ht="45" x14ac:dyDescent="0.25">
      <c r="B76" s="4"/>
      <c r="C76" s="285" t="s">
        <v>320</v>
      </c>
      <c r="D76" s="207"/>
      <c r="E76" s="328" t="s">
        <v>164</v>
      </c>
      <c r="F76" s="235">
        <v>0.03</v>
      </c>
      <c r="G76" s="173">
        <f t="shared" si="0"/>
        <v>7</v>
      </c>
      <c r="H76" s="59" t="s">
        <v>210</v>
      </c>
      <c r="I76" s="60">
        <v>42725</v>
      </c>
      <c r="J76" s="60">
        <v>42809</v>
      </c>
      <c r="K76" s="61">
        <v>100.295</v>
      </c>
      <c r="L76" s="62">
        <v>5.1399999999999996E-3</v>
      </c>
      <c r="M76" s="79"/>
      <c r="N76" s="79"/>
      <c r="O76" s="39"/>
    </row>
    <row r="77" spans="2:15" ht="30" x14ac:dyDescent="0.25">
      <c r="B77" s="4"/>
      <c r="C77" s="285" t="s">
        <v>321</v>
      </c>
      <c r="D77" s="207"/>
      <c r="E77" s="328" t="s">
        <v>97</v>
      </c>
      <c r="F77" s="215" t="b">
        <f>ApplyTension</f>
        <v>1</v>
      </c>
      <c r="G77" s="173">
        <f t="shared" si="0"/>
        <v>8</v>
      </c>
      <c r="H77" s="59" t="s">
        <v>211</v>
      </c>
      <c r="I77" s="60">
        <v>42809</v>
      </c>
      <c r="J77" s="60">
        <v>42907</v>
      </c>
      <c r="K77" s="61">
        <v>100.3</v>
      </c>
      <c r="L77" s="62">
        <v>5.1399999999999996E-3</v>
      </c>
      <c r="M77" s="79"/>
      <c r="N77" s="79"/>
      <c r="O77" s="39"/>
    </row>
    <row r="78" spans="2:15" ht="30" x14ac:dyDescent="0.25">
      <c r="B78" s="4"/>
      <c r="C78" s="286" t="s">
        <v>322</v>
      </c>
      <c r="D78" s="207"/>
      <c r="E78" s="328" t="s">
        <v>98</v>
      </c>
      <c r="F78" s="215">
        <v>2</v>
      </c>
      <c r="G78" s="173">
        <f t="shared" si="0"/>
        <v>9</v>
      </c>
      <c r="H78" s="59" t="s">
        <v>212</v>
      </c>
      <c r="I78" s="60">
        <v>42907</v>
      </c>
      <c r="J78" s="60">
        <v>42998</v>
      </c>
      <c r="K78" s="61">
        <v>100.30500000000001</v>
      </c>
      <c r="L78" s="62">
        <v>5.1399999999999996E-3</v>
      </c>
      <c r="M78" s="79"/>
      <c r="N78" s="79"/>
      <c r="O78" s="39"/>
    </row>
    <row r="79" spans="2:15" x14ac:dyDescent="0.25">
      <c r="B79" s="4"/>
      <c r="C79" s="287"/>
      <c r="D79" s="207"/>
      <c r="E79" s="328"/>
      <c r="F79" s="215"/>
      <c r="G79" s="173">
        <f t="shared" si="0"/>
        <v>10</v>
      </c>
      <c r="H79" s="59" t="s">
        <v>213</v>
      </c>
      <c r="I79" s="60">
        <v>42998</v>
      </c>
      <c r="J79" s="60">
        <v>43089</v>
      </c>
      <c r="K79" s="61">
        <v>100.30500000000001</v>
      </c>
      <c r="L79" s="62">
        <v>5.1399999999999996E-3</v>
      </c>
      <c r="M79" s="79"/>
      <c r="N79" s="79"/>
      <c r="O79" s="39"/>
    </row>
    <row r="80" spans="2:15" x14ac:dyDescent="0.25">
      <c r="B80" s="4"/>
      <c r="C80" s="287"/>
      <c r="D80" s="207"/>
      <c r="E80" s="328"/>
      <c r="F80" s="215"/>
      <c r="G80" s="173">
        <f t="shared" si="0"/>
        <v>11</v>
      </c>
      <c r="H80" s="59" t="s">
        <v>214</v>
      </c>
      <c r="I80" s="60">
        <v>43089</v>
      </c>
      <c r="J80" s="60">
        <v>43180</v>
      </c>
      <c r="K80" s="61">
        <v>100.3</v>
      </c>
      <c r="L80" s="62">
        <v>5.1399999999999996E-3</v>
      </c>
      <c r="M80" s="79"/>
      <c r="N80" s="79"/>
      <c r="O80" s="39"/>
    </row>
    <row r="81" spans="2:18" x14ac:dyDescent="0.25">
      <c r="B81" s="4"/>
      <c r="C81" s="287"/>
      <c r="D81" s="207"/>
      <c r="E81" s="328"/>
      <c r="F81" s="215"/>
      <c r="G81" s="173">
        <f t="shared" si="0"/>
        <v>12</v>
      </c>
      <c r="H81" s="59" t="s">
        <v>215</v>
      </c>
      <c r="I81" s="60">
        <v>43180</v>
      </c>
      <c r="J81" s="60">
        <v>43271</v>
      </c>
      <c r="K81" s="61">
        <v>100.285</v>
      </c>
      <c r="L81" s="62">
        <v>5.1399999999999996E-3</v>
      </c>
      <c r="M81" s="79"/>
      <c r="N81" s="79"/>
      <c r="O81" s="39"/>
    </row>
    <row r="82" spans="2:18" x14ac:dyDescent="0.25">
      <c r="B82" s="4"/>
      <c r="C82" s="287"/>
      <c r="D82" s="207"/>
      <c r="E82" s="328"/>
      <c r="F82" s="215"/>
      <c r="G82" s="7"/>
      <c r="H82" s="63"/>
      <c r="I82" s="60"/>
      <c r="J82" s="60"/>
      <c r="K82" s="64"/>
      <c r="L82" s="62"/>
      <c r="M82" s="79"/>
      <c r="N82" s="79"/>
      <c r="O82" s="39"/>
    </row>
    <row r="83" spans="2:18" x14ac:dyDescent="0.25">
      <c r="B83" s="4"/>
      <c r="C83" s="287"/>
      <c r="D83" s="207"/>
      <c r="E83" s="328"/>
      <c r="F83" s="215"/>
      <c r="G83" s="7"/>
      <c r="H83" s="65"/>
      <c r="I83" s="66"/>
      <c r="J83" s="66"/>
      <c r="K83" s="64"/>
      <c r="L83" s="67"/>
      <c r="M83" s="79"/>
      <c r="N83" s="79"/>
      <c r="O83" s="39"/>
      <c r="Q83" s="163"/>
      <c r="R83" s="163"/>
    </row>
    <row r="84" spans="2:18" x14ac:dyDescent="0.25">
      <c r="B84" s="4"/>
      <c r="C84" s="287"/>
      <c r="D84" s="207"/>
      <c r="E84" s="328"/>
      <c r="F84" s="215"/>
      <c r="G84" s="7"/>
      <c r="H84" s="65"/>
      <c r="I84" s="66"/>
      <c r="J84" s="66"/>
      <c r="K84" s="64"/>
      <c r="L84" s="67"/>
      <c r="M84" s="79"/>
      <c r="N84" s="79"/>
      <c r="O84" s="39"/>
    </row>
    <row r="85" spans="2:18" x14ac:dyDescent="0.25">
      <c r="B85" s="4"/>
      <c r="C85" s="288"/>
      <c r="D85" s="207"/>
      <c r="E85" s="334"/>
      <c r="F85" s="344"/>
      <c r="G85" s="7"/>
      <c r="H85" s="68"/>
      <c r="I85" s="69"/>
      <c r="J85" s="69"/>
      <c r="K85" s="70"/>
      <c r="L85" s="71"/>
      <c r="M85" s="79"/>
      <c r="N85" s="79"/>
      <c r="O85" s="39"/>
    </row>
    <row r="86" spans="2:18" x14ac:dyDescent="0.25">
      <c r="B86" s="4"/>
      <c r="C86" s="207"/>
      <c r="D86" s="207"/>
      <c r="E86" s="311"/>
      <c r="F86" s="343"/>
      <c r="G86" s="7"/>
      <c r="H86" s="8"/>
      <c r="I86" s="8"/>
      <c r="J86" s="8"/>
      <c r="K86" s="8"/>
      <c r="L86" s="8"/>
      <c r="M86" s="79"/>
      <c r="N86" s="79"/>
      <c r="O86" s="39"/>
    </row>
    <row r="87" spans="2:18" x14ac:dyDescent="0.25">
      <c r="B87" s="9"/>
      <c r="C87" s="211"/>
      <c r="D87" s="211"/>
      <c r="E87" s="309"/>
      <c r="F87" s="317"/>
      <c r="G87" s="10"/>
      <c r="H87" s="10"/>
      <c r="I87" s="10"/>
      <c r="J87" s="10"/>
      <c r="K87" s="10"/>
      <c r="L87" s="10"/>
      <c r="M87" s="10"/>
      <c r="N87" s="10"/>
      <c r="O87" s="11"/>
    </row>
    <row r="90" spans="2:18" x14ac:dyDescent="0.25">
      <c r="B90" s="40" t="s">
        <v>104</v>
      </c>
      <c r="C90" s="201"/>
      <c r="D90" s="223"/>
    </row>
    <row r="91" spans="2:18" x14ac:dyDescent="0.25">
      <c r="B91" s="1"/>
      <c r="C91" s="204"/>
      <c r="D91" s="204"/>
      <c r="E91" s="307"/>
      <c r="F91" s="318"/>
      <c r="G91" s="2"/>
      <c r="H91" s="2"/>
      <c r="I91" s="2"/>
      <c r="J91" s="2"/>
      <c r="K91" s="2"/>
      <c r="L91" s="2"/>
      <c r="M91" s="2"/>
      <c r="N91" s="2"/>
      <c r="O91" s="3"/>
    </row>
    <row r="92" spans="2:18" x14ac:dyDescent="0.25">
      <c r="B92" s="4"/>
      <c r="C92" s="207"/>
      <c r="D92" s="207"/>
      <c r="E92" s="332" t="s">
        <v>105</v>
      </c>
      <c r="F92" s="319"/>
      <c r="G92" s="8"/>
      <c r="H92" s="34" t="s">
        <v>106</v>
      </c>
      <c r="I92" s="8"/>
      <c r="J92" s="8"/>
      <c r="K92" s="8"/>
      <c r="L92" s="8"/>
      <c r="M92" s="8"/>
      <c r="N92" s="8"/>
      <c r="O92" s="39"/>
    </row>
    <row r="93" spans="2:18" ht="30" x14ac:dyDescent="0.25">
      <c r="B93" s="4"/>
      <c r="C93" s="285" t="s">
        <v>293</v>
      </c>
      <c r="D93" s="207"/>
      <c r="E93" s="342" t="s">
        <v>1</v>
      </c>
      <c r="F93" s="214" t="s">
        <v>2</v>
      </c>
      <c r="G93" s="5"/>
      <c r="H93" s="53" t="s">
        <v>11</v>
      </c>
      <c r="I93" s="53" t="s">
        <v>12</v>
      </c>
      <c r="J93" s="53" t="s">
        <v>8</v>
      </c>
      <c r="K93" s="8"/>
      <c r="L93" s="8"/>
      <c r="M93" s="8"/>
      <c r="N93" s="8"/>
      <c r="O93" s="39"/>
    </row>
    <row r="94" spans="2:18" ht="30" x14ac:dyDescent="0.25">
      <c r="B94" s="4"/>
      <c r="C94" s="285" t="s">
        <v>292</v>
      </c>
      <c r="D94" s="207"/>
      <c r="E94" s="329" t="s">
        <v>88</v>
      </c>
      <c r="F94" s="215" t="s">
        <v>20</v>
      </c>
      <c r="G94" s="7"/>
      <c r="H94" s="76" t="s">
        <v>43</v>
      </c>
      <c r="I94" s="73">
        <v>-2.65E-3</v>
      </c>
      <c r="J94" s="50" t="b">
        <v>1</v>
      </c>
      <c r="K94" s="174"/>
      <c r="L94" s="174"/>
      <c r="M94" s="174"/>
      <c r="N94" s="174"/>
      <c r="O94" s="39"/>
    </row>
    <row r="95" spans="2:18" ht="30" x14ac:dyDescent="0.25">
      <c r="B95" s="4"/>
      <c r="C95" s="285" t="s">
        <v>316</v>
      </c>
      <c r="D95" s="207"/>
      <c r="E95" s="329" t="s">
        <v>107</v>
      </c>
      <c r="F95" s="215" t="s">
        <v>6</v>
      </c>
      <c r="G95" s="7"/>
      <c r="H95" s="14" t="s">
        <v>50</v>
      </c>
      <c r="I95" s="74">
        <v>-2.0500000000000002E-3</v>
      </c>
      <c r="J95" s="51" t="b">
        <v>1</v>
      </c>
      <c r="K95" s="174"/>
      <c r="L95" s="174"/>
      <c r="M95" s="174"/>
      <c r="N95" s="174"/>
      <c r="O95" s="39"/>
    </row>
    <row r="96" spans="2:18" ht="30" x14ac:dyDescent="0.25">
      <c r="B96" s="4"/>
      <c r="C96" s="285" t="s">
        <v>294</v>
      </c>
      <c r="D96" s="207"/>
      <c r="E96" s="329" t="s">
        <v>27</v>
      </c>
      <c r="F96" s="215" t="s">
        <v>26</v>
      </c>
      <c r="G96" s="7"/>
      <c r="H96" s="14" t="s">
        <v>52</v>
      </c>
      <c r="I96" s="74">
        <v>-1.2475000000000001E-3</v>
      </c>
      <c r="J96" s="51" t="b">
        <v>1</v>
      </c>
      <c r="K96" s="174"/>
      <c r="L96" s="174"/>
      <c r="M96" s="174"/>
      <c r="N96" s="174"/>
      <c r="O96" s="39"/>
    </row>
    <row r="97" spans="2:17" ht="30" x14ac:dyDescent="0.25">
      <c r="B97" s="4"/>
      <c r="C97" s="285" t="s">
        <v>317</v>
      </c>
      <c r="D97" s="207"/>
      <c r="E97" s="329" t="s">
        <v>109</v>
      </c>
      <c r="F97" s="215" t="s">
        <v>28</v>
      </c>
      <c r="G97" s="7"/>
      <c r="H97" s="14" t="s">
        <v>54</v>
      </c>
      <c r="I97" s="74">
        <v>-2.4750000000000011E-4</v>
      </c>
      <c r="J97" s="51" t="b">
        <v>1</v>
      </c>
      <c r="K97" s="174"/>
      <c r="L97" s="174"/>
      <c r="M97" s="174"/>
      <c r="N97" s="174"/>
      <c r="O97" s="39"/>
    </row>
    <row r="98" spans="2:17" ht="30" x14ac:dyDescent="0.25">
      <c r="B98" s="4"/>
      <c r="C98" s="284" t="s">
        <v>291</v>
      </c>
      <c r="D98" s="207"/>
      <c r="E98" s="329" t="s">
        <v>110</v>
      </c>
      <c r="F98" s="245" t="str">
        <f>interpolationFunction</f>
        <v>fn_SplineInterpolation</v>
      </c>
      <c r="G98" s="7"/>
      <c r="H98" s="14" t="s">
        <v>55</v>
      </c>
      <c r="I98" s="74">
        <v>9.0249999999999966E-4</v>
      </c>
      <c r="J98" s="51" t="b">
        <v>1</v>
      </c>
      <c r="K98" s="174"/>
      <c r="L98" s="174"/>
      <c r="M98" s="174"/>
      <c r="N98" s="174"/>
      <c r="O98" s="39"/>
    </row>
    <row r="99" spans="2:17" ht="30" x14ac:dyDescent="0.25">
      <c r="B99" s="4"/>
      <c r="C99" s="285" t="s">
        <v>296</v>
      </c>
      <c r="D99" s="207"/>
      <c r="E99" s="329" t="s">
        <v>93</v>
      </c>
      <c r="F99" s="215" t="b">
        <v>1</v>
      </c>
      <c r="G99" s="7"/>
      <c r="H99" s="14" t="s">
        <v>57</v>
      </c>
      <c r="I99" s="74">
        <v>2.1275000000000001E-3</v>
      </c>
      <c r="J99" s="51" t="b">
        <v>1</v>
      </c>
      <c r="K99" s="174"/>
      <c r="L99" s="174"/>
      <c r="M99" s="174"/>
      <c r="N99" s="174"/>
      <c r="O99" s="39"/>
    </row>
    <row r="100" spans="2:17" ht="30" x14ac:dyDescent="0.25">
      <c r="B100" s="4"/>
      <c r="C100" s="285" t="s">
        <v>297</v>
      </c>
      <c r="D100" s="207"/>
      <c r="E100" s="329" t="s">
        <v>216</v>
      </c>
      <c r="F100" s="215">
        <v>31</v>
      </c>
      <c r="G100" s="7"/>
      <c r="H100" s="14" t="s">
        <v>59</v>
      </c>
      <c r="I100" s="74">
        <v>3.3224999999999999E-3</v>
      </c>
      <c r="J100" s="51" t="b">
        <v>1</v>
      </c>
      <c r="K100" s="174"/>
      <c r="L100" s="174"/>
      <c r="M100" s="174"/>
      <c r="N100" s="174"/>
      <c r="O100" s="39"/>
    </row>
    <row r="101" spans="2:17" ht="30" x14ac:dyDescent="0.25">
      <c r="B101" s="4"/>
      <c r="C101" s="285" t="s">
        <v>295</v>
      </c>
      <c r="D101" s="207"/>
      <c r="E101" s="329" t="s">
        <v>92</v>
      </c>
      <c r="F101" s="215">
        <v>2</v>
      </c>
      <c r="G101" s="7"/>
      <c r="H101" s="14" t="s">
        <v>60</v>
      </c>
      <c r="I101" s="74">
        <v>4.4425000000000003E-3</v>
      </c>
      <c r="J101" s="51" t="b">
        <v>1</v>
      </c>
      <c r="K101" s="174"/>
      <c r="L101" s="174"/>
      <c r="M101" s="174"/>
      <c r="N101" s="174"/>
      <c r="O101" s="39"/>
    </row>
    <row r="102" spans="2:17" ht="30" x14ac:dyDescent="0.25">
      <c r="B102" s="4"/>
      <c r="C102" s="285" t="s">
        <v>318</v>
      </c>
      <c r="D102" s="207"/>
      <c r="E102" s="329" t="s">
        <v>21</v>
      </c>
      <c r="F102" s="229" t="s">
        <v>22</v>
      </c>
      <c r="G102" s="7"/>
      <c r="H102" s="14" t="s">
        <v>61</v>
      </c>
      <c r="I102" s="74">
        <v>5.43334E-3</v>
      </c>
      <c r="J102" s="51" t="b">
        <v>1</v>
      </c>
      <c r="K102" s="174"/>
      <c r="L102" s="174"/>
      <c r="M102" s="174"/>
      <c r="N102" s="174"/>
      <c r="O102" s="39"/>
    </row>
    <row r="103" spans="2:17" ht="30" x14ac:dyDescent="0.25">
      <c r="B103" s="4"/>
      <c r="C103" s="285" t="s">
        <v>319</v>
      </c>
      <c r="D103" s="207"/>
      <c r="E103" s="329" t="s">
        <v>111</v>
      </c>
      <c r="F103" s="215" t="b">
        <v>1</v>
      </c>
      <c r="G103" s="7"/>
      <c r="H103" s="14" t="s">
        <v>62</v>
      </c>
      <c r="I103" s="74">
        <v>6.3458400000000002E-3</v>
      </c>
      <c r="J103" s="51" t="b">
        <v>1</v>
      </c>
      <c r="K103" s="174"/>
      <c r="L103" s="174"/>
      <c r="M103" s="174"/>
      <c r="N103" s="174"/>
      <c r="O103" s="39"/>
    </row>
    <row r="104" spans="2:17" ht="30" x14ac:dyDescent="0.25">
      <c r="B104" s="4"/>
      <c r="C104" s="285" t="s">
        <v>357</v>
      </c>
      <c r="D104" s="207"/>
      <c r="E104" s="329" t="s">
        <v>112</v>
      </c>
      <c r="F104" s="215" t="b">
        <v>1</v>
      </c>
      <c r="G104" s="7"/>
      <c r="H104" s="14" t="s">
        <v>63</v>
      </c>
      <c r="I104" s="74">
        <v>8.432499999999999E-3</v>
      </c>
      <c r="J104" s="51" t="b">
        <v>1</v>
      </c>
      <c r="K104" s="174"/>
      <c r="L104" s="174"/>
      <c r="M104" s="174"/>
      <c r="N104" s="174"/>
      <c r="O104" s="39"/>
    </row>
    <row r="105" spans="2:17" ht="30" x14ac:dyDescent="0.25">
      <c r="B105" s="4"/>
      <c r="C105" s="285" t="s">
        <v>303</v>
      </c>
      <c r="D105" s="207"/>
      <c r="E105" s="329" t="s">
        <v>113</v>
      </c>
      <c r="F105" s="217">
        <v>1.0000000000000001E-9</v>
      </c>
      <c r="G105" s="7"/>
      <c r="H105" s="14" t="s">
        <v>64</v>
      </c>
      <c r="I105" s="74">
        <v>1.0167500000000001E-2</v>
      </c>
      <c r="J105" s="51" t="b">
        <v>1</v>
      </c>
      <c r="K105" s="174"/>
      <c r="L105" s="174"/>
      <c r="M105" s="174"/>
      <c r="N105" s="174"/>
      <c r="O105" s="39"/>
    </row>
    <row r="106" spans="2:17" ht="30" x14ac:dyDescent="0.25">
      <c r="B106" s="4"/>
      <c r="C106" s="286" t="s">
        <v>304</v>
      </c>
      <c r="D106" s="207"/>
      <c r="E106" s="329" t="s">
        <v>114</v>
      </c>
      <c r="F106" s="241">
        <v>1000</v>
      </c>
      <c r="G106" s="7"/>
      <c r="H106" s="14" t="s">
        <v>65</v>
      </c>
      <c r="I106" s="74">
        <v>1.069667E-2</v>
      </c>
      <c r="J106" s="51" t="b">
        <v>1</v>
      </c>
      <c r="K106" s="174"/>
      <c r="L106" s="174"/>
      <c r="M106" s="174"/>
      <c r="N106" s="174"/>
      <c r="O106" s="39"/>
    </row>
    <row r="107" spans="2:17" x14ac:dyDescent="0.25">
      <c r="B107" s="4"/>
      <c r="C107" s="287"/>
      <c r="D107" s="207"/>
      <c r="E107" s="329"/>
      <c r="F107" s="215"/>
      <c r="G107" s="7"/>
      <c r="H107" s="14" t="s">
        <v>66</v>
      </c>
      <c r="I107" s="74">
        <v>1.08675E-2</v>
      </c>
      <c r="J107" s="51" t="b">
        <v>1</v>
      </c>
      <c r="K107" s="174"/>
      <c r="L107" s="174"/>
      <c r="M107" s="174"/>
      <c r="N107" s="174"/>
      <c r="O107" s="39"/>
    </row>
    <row r="108" spans="2:17" x14ac:dyDescent="0.25">
      <c r="B108" s="4"/>
      <c r="C108" s="287"/>
      <c r="D108" s="207"/>
      <c r="E108" s="329"/>
      <c r="F108" s="215"/>
      <c r="G108" s="7"/>
      <c r="H108" s="14"/>
      <c r="I108" s="74"/>
      <c r="J108" s="51"/>
      <c r="K108" s="53"/>
      <c r="L108" s="175"/>
      <c r="M108" s="175"/>
      <c r="N108" s="175"/>
      <c r="O108" s="39"/>
    </row>
    <row r="109" spans="2:17" x14ac:dyDescent="0.25">
      <c r="B109" s="4"/>
      <c r="C109" s="287"/>
      <c r="D109" s="207"/>
      <c r="E109" s="329"/>
      <c r="F109" s="215"/>
      <c r="G109" s="7"/>
      <c r="H109" s="14"/>
      <c r="I109" s="74"/>
      <c r="J109" s="51"/>
      <c r="K109" s="53"/>
      <c r="L109" s="175"/>
      <c r="M109" s="175"/>
      <c r="N109" s="175"/>
      <c r="O109" s="39"/>
    </row>
    <row r="110" spans="2:17" x14ac:dyDescent="0.25">
      <c r="B110" s="4"/>
      <c r="C110" s="287"/>
      <c r="D110" s="207"/>
      <c r="E110" s="329"/>
      <c r="F110" s="215"/>
      <c r="G110" s="7"/>
      <c r="H110" s="14"/>
      <c r="I110" s="74"/>
      <c r="J110" s="51"/>
      <c r="K110" s="53"/>
      <c r="L110" s="8"/>
      <c r="M110" s="8"/>
      <c r="N110" s="8"/>
      <c r="O110" s="39"/>
      <c r="Q110" s="168"/>
    </row>
    <row r="111" spans="2:17" x14ac:dyDescent="0.25">
      <c r="B111" s="4"/>
      <c r="C111" s="288"/>
      <c r="D111" s="207"/>
      <c r="E111" s="331"/>
      <c r="F111" s="344"/>
      <c r="G111" s="7"/>
      <c r="H111" s="15"/>
      <c r="I111" s="75"/>
      <c r="J111" s="52"/>
      <c r="K111" s="53"/>
      <c r="L111" s="8"/>
      <c r="M111" s="8"/>
      <c r="N111" s="8"/>
      <c r="O111" s="39"/>
    </row>
    <row r="112" spans="2:17" x14ac:dyDescent="0.25">
      <c r="B112" s="4"/>
      <c r="C112" s="207"/>
      <c r="D112" s="207"/>
      <c r="E112" s="311"/>
      <c r="F112" s="343"/>
      <c r="G112" s="7"/>
      <c r="H112" s="8"/>
      <c r="I112" s="8"/>
      <c r="J112" s="8"/>
      <c r="K112" s="8"/>
      <c r="L112" s="8"/>
      <c r="M112" s="8"/>
      <c r="N112" s="8"/>
      <c r="O112" s="39"/>
    </row>
    <row r="113" spans="2:15" x14ac:dyDescent="0.25">
      <c r="B113" s="9"/>
      <c r="C113" s="211"/>
      <c r="D113" s="211"/>
      <c r="E113" s="309"/>
      <c r="F113" s="317"/>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22" workbookViewId="0"/>
  </sheetViews>
  <sheetFormatPr defaultRowHeight="15" x14ac:dyDescent="0.25"/>
  <cols>
    <col min="2" max="2" width="2.7109375" customWidth="1"/>
    <col min="3" max="3" width="110.7109375" style="202" hidden="1" customWidth="1"/>
    <col min="4" max="4" width="4.7109375" style="202" hidden="1" customWidth="1"/>
    <col min="5" max="5" width="13" style="202" customWidth="1"/>
    <col min="6" max="6" width="26.7109375" style="306" customWidth="1"/>
    <col min="7" max="7" width="32.7109375" style="316" customWidth="1"/>
    <col min="8" max="8" width="4.7109375" style="306" customWidth="1"/>
    <col min="9" max="11" width="12.7109375" customWidth="1"/>
    <col min="12" max="13" width="18.7109375" customWidth="1"/>
    <col min="14" max="14" width="2.7109375" customWidth="1"/>
    <col min="15" max="16" width="9.140625" customWidth="1"/>
  </cols>
  <sheetData>
    <row r="1" spans="1:14" x14ac:dyDescent="0.25">
      <c r="A1" s="202"/>
    </row>
    <row r="2" spans="1:14" s="351" customFormat="1" ht="23.25" x14ac:dyDescent="0.35">
      <c r="B2" s="429" t="s">
        <v>414</v>
      </c>
      <c r="F2" s="430"/>
      <c r="G2" s="431"/>
      <c r="H2" s="430"/>
    </row>
    <row r="3" spans="1:14" s="351" customFormat="1" ht="23.25" x14ac:dyDescent="0.35">
      <c r="B3" s="108" t="s">
        <v>371</v>
      </c>
      <c r="F3" s="430"/>
      <c r="G3" s="431"/>
      <c r="H3" s="430"/>
    </row>
    <row r="5" spans="1:14" x14ac:dyDescent="0.25">
      <c r="B5" s="40" t="s">
        <v>279</v>
      </c>
      <c r="C5" s="223"/>
      <c r="D5" s="223"/>
      <c r="E5" s="223"/>
    </row>
    <row r="6" spans="1:14" x14ac:dyDescent="0.25">
      <c r="B6" s="1"/>
      <c r="C6" s="204"/>
      <c r="D6" s="204"/>
      <c r="E6" s="204"/>
      <c r="F6" s="322"/>
      <c r="G6" s="218"/>
      <c r="H6" s="307"/>
      <c r="I6" s="2"/>
      <c r="J6" s="2"/>
      <c r="K6" s="2"/>
      <c r="L6" s="2"/>
      <c r="M6" s="2"/>
      <c r="N6" s="3"/>
    </row>
    <row r="7" spans="1:14" x14ac:dyDescent="0.25">
      <c r="B7" s="4"/>
      <c r="C7" s="221"/>
      <c r="D7" s="207"/>
      <c r="E7" s="207"/>
      <c r="F7" s="323" t="s">
        <v>279</v>
      </c>
      <c r="G7" s="226"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(0.03100 sec)</v>
      </c>
      <c r="H7" s="291"/>
      <c r="I7" s="43"/>
      <c r="J7" s="5"/>
      <c r="K7" s="5"/>
      <c r="L7" s="5"/>
      <c r="M7" s="5"/>
      <c r="N7" s="6"/>
    </row>
    <row r="8" spans="1:14" x14ac:dyDescent="0.25">
      <c r="B8" s="4"/>
      <c r="C8" s="207"/>
      <c r="D8" s="207"/>
      <c r="E8" s="207"/>
      <c r="F8" s="324" t="s">
        <v>167</v>
      </c>
      <c r="G8" s="248" t="b">
        <f ca="1">LEFT(G7,5)=TenorBasisCurve3M6M.CollectionName</f>
        <v>1</v>
      </c>
      <c r="H8" s="308"/>
      <c r="I8" s="5"/>
      <c r="J8" s="5"/>
      <c r="K8" s="5"/>
      <c r="L8" s="5"/>
      <c r="M8" s="5"/>
      <c r="N8" s="6"/>
    </row>
    <row r="9" spans="1:14" x14ac:dyDescent="0.25">
      <c r="B9" s="4"/>
      <c r="C9" s="207"/>
      <c r="D9" s="207"/>
      <c r="E9" s="207"/>
      <c r="F9" s="325"/>
      <c r="G9" s="225"/>
      <c r="H9" s="308"/>
      <c r="I9" s="5"/>
      <c r="J9" s="5"/>
      <c r="K9" s="5"/>
      <c r="L9" s="5"/>
      <c r="M9" s="5"/>
      <c r="N9" s="6"/>
    </row>
    <row r="10" spans="1:14" x14ac:dyDescent="0.25">
      <c r="B10" s="4"/>
      <c r="C10" s="207"/>
      <c r="D10" s="207"/>
      <c r="E10" s="207"/>
      <c r="F10" s="325"/>
      <c r="G10" s="225"/>
      <c r="H10" s="308"/>
      <c r="I10" s="5"/>
      <c r="J10" s="5"/>
      <c r="K10" s="5"/>
      <c r="L10" s="5"/>
      <c r="M10" s="5"/>
      <c r="N10" s="6"/>
    </row>
    <row r="11" spans="1:14" x14ac:dyDescent="0.25">
      <c r="B11" s="4"/>
      <c r="C11" s="207"/>
      <c r="D11" s="207"/>
      <c r="E11" s="207"/>
      <c r="F11" s="326" t="s">
        <v>0</v>
      </c>
      <c r="G11" s="224"/>
      <c r="H11" s="308"/>
      <c r="I11" s="5"/>
      <c r="J11" s="5"/>
      <c r="K11" s="5"/>
      <c r="L11" s="5"/>
      <c r="M11" s="5"/>
      <c r="N11" s="6"/>
    </row>
    <row r="12" spans="1:14" ht="30" x14ac:dyDescent="0.25">
      <c r="B12" s="4"/>
      <c r="C12" s="284" t="s">
        <v>288</v>
      </c>
      <c r="D12" s="207"/>
      <c r="E12" s="207"/>
      <c r="F12" s="327" t="s">
        <v>80</v>
      </c>
      <c r="G12" s="242" t="s">
        <v>78</v>
      </c>
      <c r="H12" s="308"/>
      <c r="I12" s="5"/>
      <c r="J12" s="5"/>
      <c r="K12" s="5"/>
      <c r="L12" s="5"/>
      <c r="M12" s="5"/>
      <c r="N12" s="6"/>
    </row>
    <row r="13" spans="1:14" ht="30" x14ac:dyDescent="0.25">
      <c r="B13" s="4"/>
      <c r="C13" s="284" t="s">
        <v>364</v>
      </c>
      <c r="D13" s="207"/>
      <c r="E13" s="207"/>
      <c r="F13" s="328" t="s">
        <v>79</v>
      </c>
      <c r="G13" s="243" t="s">
        <v>456</v>
      </c>
      <c r="H13" s="308"/>
      <c r="I13" s="5"/>
      <c r="J13" s="5"/>
      <c r="K13" s="5"/>
      <c r="L13" s="5"/>
      <c r="M13" s="5"/>
      <c r="N13" s="6"/>
    </row>
    <row r="14" spans="1:14" ht="30" x14ac:dyDescent="0.25">
      <c r="B14" s="4"/>
      <c r="C14" s="284" t="s">
        <v>365</v>
      </c>
      <c r="D14" s="207"/>
      <c r="E14" s="207"/>
      <c r="F14" s="330" t="s">
        <v>81</v>
      </c>
      <c r="G14" s="244" t="s">
        <v>457</v>
      </c>
      <c r="H14" s="308"/>
      <c r="I14" s="5"/>
      <c r="J14" s="5"/>
      <c r="K14" s="5"/>
      <c r="L14" s="5"/>
      <c r="M14" s="5"/>
      <c r="N14" s="6" t="s">
        <v>4</v>
      </c>
    </row>
    <row r="15" spans="1:14" x14ac:dyDescent="0.25">
      <c r="B15" s="9"/>
      <c r="C15" s="211"/>
      <c r="D15" s="211"/>
      <c r="E15" s="211"/>
      <c r="F15" s="309"/>
      <c r="G15" s="317"/>
      <c r="H15" s="309"/>
      <c r="I15" s="10"/>
      <c r="J15" s="10"/>
      <c r="K15" s="10"/>
      <c r="L15" s="10"/>
      <c r="M15" s="10"/>
      <c r="N15" s="11"/>
    </row>
    <row r="18" spans="2:14" x14ac:dyDescent="0.25">
      <c r="B18" s="40" t="s">
        <v>68</v>
      </c>
      <c r="C18" s="223"/>
      <c r="D18" s="223"/>
      <c r="E18" s="223"/>
    </row>
    <row r="19" spans="2:14" x14ac:dyDescent="0.25">
      <c r="B19" s="1"/>
      <c r="C19" s="204"/>
      <c r="D19" s="204"/>
      <c r="E19" s="204"/>
      <c r="F19" s="322"/>
      <c r="G19" s="218"/>
      <c r="H19" s="307"/>
      <c r="I19" s="2"/>
      <c r="J19" s="2"/>
      <c r="K19" s="2"/>
      <c r="L19" s="2"/>
      <c r="M19" s="2"/>
      <c r="N19" s="3"/>
    </row>
    <row r="20" spans="2:14" x14ac:dyDescent="0.25">
      <c r="B20" s="4"/>
      <c r="C20" s="207"/>
      <c r="D20" s="207"/>
      <c r="E20" s="207"/>
      <c r="F20" s="326" t="s">
        <v>68</v>
      </c>
      <c r="G20" s="219"/>
      <c r="H20" s="308"/>
      <c r="I20" s="5"/>
      <c r="J20" s="5"/>
      <c r="K20" s="5"/>
      <c r="L20" s="5"/>
      <c r="M20" s="5"/>
      <c r="N20" s="6"/>
    </row>
    <row r="21" spans="2:14" ht="30" x14ac:dyDescent="0.25">
      <c r="B21" s="4"/>
      <c r="C21" s="284" t="s">
        <v>289</v>
      </c>
      <c r="D21" s="207"/>
      <c r="E21" s="207"/>
      <c r="F21" s="327" t="s">
        <v>10</v>
      </c>
      <c r="G21" s="242">
        <f>COB</f>
        <v>42521</v>
      </c>
      <c r="H21" s="308"/>
      <c r="I21" s="5"/>
      <c r="J21" s="5"/>
      <c r="K21" s="5"/>
      <c r="L21" s="5"/>
      <c r="M21" s="5"/>
      <c r="N21" s="6"/>
    </row>
    <row r="22" spans="2:14" ht="30" x14ac:dyDescent="0.25">
      <c r="B22" s="4"/>
      <c r="C22" s="284" t="s">
        <v>290</v>
      </c>
      <c r="D22" s="207"/>
      <c r="E22" s="207"/>
      <c r="F22" s="328" t="s">
        <v>16</v>
      </c>
      <c r="G22" s="243" t="s">
        <v>17</v>
      </c>
      <c r="H22" s="308"/>
      <c r="I22" s="5"/>
      <c r="J22" s="5"/>
      <c r="K22" s="5"/>
      <c r="L22" s="5"/>
      <c r="M22" s="5"/>
      <c r="N22" s="6"/>
    </row>
    <row r="23" spans="2:14" ht="45" x14ac:dyDescent="0.25">
      <c r="B23" s="4"/>
      <c r="C23" s="284" t="s">
        <v>325</v>
      </c>
      <c r="D23" s="207"/>
      <c r="E23" s="207"/>
      <c r="F23" s="328" t="s">
        <v>276</v>
      </c>
      <c r="G23" s="245" t="str">
        <f>interpolationFunction</f>
        <v>fn_SplineInterpolation</v>
      </c>
      <c r="H23" s="308"/>
      <c r="I23" s="5"/>
      <c r="J23" s="5"/>
      <c r="K23" s="5"/>
      <c r="L23" s="5"/>
      <c r="M23" s="5"/>
      <c r="N23" s="6"/>
    </row>
    <row r="24" spans="2:14" ht="45" x14ac:dyDescent="0.25">
      <c r="B24" s="4"/>
      <c r="C24" s="285" t="s">
        <v>324</v>
      </c>
      <c r="D24" s="207"/>
      <c r="E24" s="207"/>
      <c r="F24" s="328" t="s">
        <v>196</v>
      </c>
      <c r="G24" s="243" t="b">
        <v>1</v>
      </c>
      <c r="H24" s="308"/>
      <c r="I24" s="5"/>
      <c r="J24" s="5"/>
      <c r="K24" s="5"/>
      <c r="L24" s="5"/>
      <c r="M24" s="5"/>
      <c r="N24" s="6"/>
    </row>
    <row r="25" spans="2:14" ht="45" x14ac:dyDescent="0.25">
      <c r="B25" s="4"/>
      <c r="C25" s="289" t="s">
        <v>315</v>
      </c>
      <c r="D25" s="207"/>
      <c r="E25" s="207"/>
      <c r="F25" s="328" t="s">
        <v>195</v>
      </c>
      <c r="G25" s="243" t="s">
        <v>9</v>
      </c>
      <c r="H25" s="308"/>
      <c r="I25" s="5"/>
      <c r="J25" s="5"/>
      <c r="K25" s="5"/>
      <c r="L25" s="5"/>
      <c r="M25" s="5"/>
      <c r="N25" s="6"/>
    </row>
    <row r="26" spans="2:14" x14ac:dyDescent="0.25">
      <c r="B26" s="4"/>
      <c r="C26" s="294"/>
      <c r="D26" s="207"/>
      <c r="E26" s="207"/>
      <c r="F26" s="328"/>
      <c r="G26" s="243"/>
      <c r="H26" s="308"/>
      <c r="I26" s="5"/>
      <c r="J26" s="5"/>
      <c r="K26" s="5"/>
      <c r="L26" s="5"/>
      <c r="M26" s="5"/>
      <c r="N26" s="6"/>
    </row>
    <row r="27" spans="2:14" x14ac:dyDescent="0.25">
      <c r="B27" s="4"/>
      <c r="C27" s="290"/>
      <c r="D27" s="207"/>
      <c r="E27" s="207"/>
      <c r="F27" s="330"/>
      <c r="G27" s="244"/>
      <c r="H27" s="308"/>
      <c r="I27" s="5"/>
      <c r="J27" s="5"/>
      <c r="K27" s="5"/>
      <c r="L27" s="5"/>
      <c r="M27" s="5"/>
      <c r="N27" s="6"/>
    </row>
    <row r="28" spans="2:14" x14ac:dyDescent="0.25">
      <c r="B28" s="9"/>
      <c r="C28" s="211"/>
      <c r="D28" s="211"/>
      <c r="E28" s="211"/>
      <c r="F28" s="309"/>
      <c r="G28" s="317"/>
      <c r="H28" s="309"/>
      <c r="I28" s="10"/>
      <c r="J28" s="10"/>
      <c r="K28" s="10"/>
      <c r="L28" s="10"/>
      <c r="M28" s="10"/>
      <c r="N28" s="11"/>
    </row>
    <row r="31" spans="2:14" x14ac:dyDescent="0.25">
      <c r="B31" s="40" t="s">
        <v>118</v>
      </c>
      <c r="C31" s="223"/>
      <c r="D31" s="223"/>
      <c r="E31" s="223"/>
      <c r="L31" s="13"/>
    </row>
    <row r="32" spans="2:14" x14ac:dyDescent="0.25">
      <c r="B32" s="1"/>
      <c r="C32" s="204"/>
      <c r="D32" s="204"/>
      <c r="E32" s="204"/>
      <c r="F32" s="307"/>
      <c r="G32" s="318"/>
      <c r="H32" s="307"/>
      <c r="I32" s="164" t="s">
        <v>204</v>
      </c>
      <c r="J32" s="164"/>
      <c r="K32" s="2"/>
      <c r="L32" s="2"/>
      <c r="M32" s="2"/>
      <c r="N32" s="3"/>
    </row>
    <row r="33" spans="2:14" x14ac:dyDescent="0.25">
      <c r="B33" s="4"/>
      <c r="C33" s="207"/>
      <c r="D33" s="207"/>
      <c r="E33" s="207"/>
      <c r="F33" s="332" t="s">
        <v>160</v>
      </c>
      <c r="G33" s="319"/>
      <c r="H33" s="310"/>
      <c r="I33" s="220" t="s">
        <v>239</v>
      </c>
      <c r="J33" s="209"/>
      <c r="K33" s="8"/>
      <c r="L33" s="8"/>
      <c r="M33" s="8"/>
      <c r="N33" s="39"/>
    </row>
    <row r="34" spans="2:14" ht="45" x14ac:dyDescent="0.25">
      <c r="B34" s="4"/>
      <c r="C34" s="284" t="s">
        <v>326</v>
      </c>
      <c r="D34" s="207"/>
      <c r="E34" s="247"/>
      <c r="F34" s="327" t="s">
        <v>119</v>
      </c>
      <c r="G34" s="214" t="s">
        <v>120</v>
      </c>
      <c r="H34" s="310"/>
      <c r="I34" s="53" t="s">
        <v>11</v>
      </c>
      <c r="J34" s="53" t="s">
        <v>12</v>
      </c>
      <c r="K34" s="53" t="s">
        <v>275</v>
      </c>
      <c r="L34" s="53" t="s">
        <v>202</v>
      </c>
      <c r="M34" s="53" t="s">
        <v>203</v>
      </c>
      <c r="N34" s="39"/>
    </row>
    <row r="35" spans="2:14" ht="45" x14ac:dyDescent="0.25">
      <c r="B35" s="4"/>
      <c r="C35" s="284" t="s">
        <v>327</v>
      </c>
      <c r="D35" s="207"/>
      <c r="E35" s="487" t="s">
        <v>165</v>
      </c>
      <c r="F35" s="345" t="s">
        <v>121</v>
      </c>
      <c r="G35" s="246" t="b">
        <v>1</v>
      </c>
      <c r="H35" s="310"/>
      <c r="I35" s="232" t="s">
        <v>159</v>
      </c>
      <c r="J35" s="237">
        <v>1.2999999999999999E-3</v>
      </c>
      <c r="K35" s="297" t="b">
        <v>0</v>
      </c>
      <c r="L35" s="298" t="s">
        <v>199</v>
      </c>
      <c r="M35" s="299" t="str">
        <f t="shared" ref="M35:M36" si="0">I35</f>
        <v>1Y</v>
      </c>
      <c r="N35" s="39"/>
    </row>
    <row r="36" spans="2:14" ht="30" x14ac:dyDescent="0.25">
      <c r="B36" s="4"/>
      <c r="C36" s="284" t="s">
        <v>328</v>
      </c>
      <c r="D36" s="207"/>
      <c r="E36" s="488"/>
      <c r="F36" s="328" t="s">
        <v>122</v>
      </c>
      <c r="G36" s="215" t="s">
        <v>2</v>
      </c>
      <c r="H36" s="310"/>
      <c r="I36" s="48" t="s">
        <v>47</v>
      </c>
      <c r="J36" s="74">
        <v>1.2999999999999999E-3</v>
      </c>
      <c r="K36" s="300" t="b">
        <v>0</v>
      </c>
      <c r="L36" s="301" t="s">
        <v>199</v>
      </c>
      <c r="M36" s="302" t="str">
        <f t="shared" si="0"/>
        <v>2Y</v>
      </c>
      <c r="N36" s="39"/>
    </row>
    <row r="37" spans="2:14" ht="30" x14ac:dyDescent="0.25">
      <c r="B37" s="4"/>
      <c r="C37" s="284" t="s">
        <v>329</v>
      </c>
      <c r="D37" s="207"/>
      <c r="E37" s="488"/>
      <c r="F37" s="328" t="s">
        <v>123</v>
      </c>
      <c r="G37" s="215" t="s">
        <v>124</v>
      </c>
      <c r="H37" s="310"/>
      <c r="I37" s="233" t="s">
        <v>43</v>
      </c>
      <c r="J37" s="238">
        <v>1.2999999999999999E-3</v>
      </c>
      <c r="K37" s="300" t="b">
        <v>0</v>
      </c>
      <c r="L37" s="301" t="s">
        <v>199</v>
      </c>
      <c r="M37" s="302" t="str">
        <f>I37</f>
        <v>3Y</v>
      </c>
      <c r="N37" s="39"/>
    </row>
    <row r="38" spans="2:14" ht="30" x14ac:dyDescent="0.25">
      <c r="B38" s="4"/>
      <c r="C38" s="284" t="s">
        <v>330</v>
      </c>
      <c r="D38" s="207"/>
      <c r="E38" s="488"/>
      <c r="F38" s="328" t="s">
        <v>125</v>
      </c>
      <c r="G38" s="229" t="s">
        <v>28</v>
      </c>
      <c r="H38" s="310"/>
      <c r="I38" s="233" t="s">
        <v>50</v>
      </c>
      <c r="J38" s="238">
        <v>1.3499999999999999E-3</v>
      </c>
      <c r="K38" s="300" t="b">
        <f t="shared" ref="K38:K50" si="1">ISNUMBER(L38)</f>
        <v>0</v>
      </c>
      <c r="L38" s="301" t="s">
        <v>199</v>
      </c>
      <c r="M38" s="302" t="str">
        <f t="shared" ref="M38:M50" si="2">I38</f>
        <v>4Y</v>
      </c>
      <c r="N38" s="39"/>
    </row>
    <row r="39" spans="2:14" ht="30" x14ac:dyDescent="0.25">
      <c r="B39" s="4"/>
      <c r="C39" s="284" t="s">
        <v>331</v>
      </c>
      <c r="D39" s="207"/>
      <c r="E39" s="488"/>
      <c r="F39" s="328" t="s">
        <v>126</v>
      </c>
      <c r="G39" s="229" t="s">
        <v>22</v>
      </c>
      <c r="H39" s="310"/>
      <c r="I39" s="233" t="s">
        <v>52</v>
      </c>
      <c r="J39" s="238">
        <v>1.39E-3</v>
      </c>
      <c r="K39" s="300" t="b">
        <f t="shared" si="1"/>
        <v>0</v>
      </c>
      <c r="L39" s="301" t="s">
        <v>199</v>
      </c>
      <c r="M39" s="302" t="str">
        <f t="shared" si="2"/>
        <v>5Y</v>
      </c>
      <c r="N39" s="39"/>
    </row>
    <row r="40" spans="2:14" ht="30" x14ac:dyDescent="0.25">
      <c r="B40" s="4"/>
      <c r="C40" s="284" t="s">
        <v>341</v>
      </c>
      <c r="D40" s="207"/>
      <c r="E40" s="488"/>
      <c r="F40" s="328" t="s">
        <v>127</v>
      </c>
      <c r="G40" s="215" t="s">
        <v>101</v>
      </c>
      <c r="H40" s="310"/>
      <c r="I40" s="233" t="s">
        <v>54</v>
      </c>
      <c r="J40" s="238">
        <v>1.39E-3</v>
      </c>
      <c r="K40" s="300" t="b">
        <f t="shared" si="1"/>
        <v>0</v>
      </c>
      <c r="L40" s="301" t="s">
        <v>199</v>
      </c>
      <c r="M40" s="302" t="str">
        <f t="shared" si="2"/>
        <v>6Y</v>
      </c>
      <c r="N40" s="39"/>
    </row>
    <row r="41" spans="2:14" ht="30" x14ac:dyDescent="0.25">
      <c r="B41" s="4"/>
      <c r="C41" s="284" t="s">
        <v>333</v>
      </c>
      <c r="D41" s="207"/>
      <c r="E41" s="488"/>
      <c r="F41" s="328" t="s">
        <v>128</v>
      </c>
      <c r="G41" s="215" t="s">
        <v>9</v>
      </c>
      <c r="H41" s="310"/>
      <c r="I41" s="233" t="s">
        <v>55</v>
      </c>
      <c r="J41" s="238">
        <v>1.3699999999999999E-3</v>
      </c>
      <c r="K41" s="300" t="b">
        <f t="shared" si="1"/>
        <v>0</v>
      </c>
      <c r="L41" s="301" t="s">
        <v>199</v>
      </c>
      <c r="M41" s="302" t="str">
        <f t="shared" si="2"/>
        <v>7Y</v>
      </c>
      <c r="N41" s="39"/>
    </row>
    <row r="42" spans="2:14" ht="30" x14ac:dyDescent="0.25">
      <c r="B42" s="4"/>
      <c r="C42" s="284" t="s">
        <v>332</v>
      </c>
      <c r="D42" s="207"/>
      <c r="E42" s="488"/>
      <c r="F42" s="328" t="s">
        <v>129</v>
      </c>
      <c r="G42" s="215" t="s">
        <v>174</v>
      </c>
      <c r="H42" s="310"/>
      <c r="I42" s="233" t="s">
        <v>57</v>
      </c>
      <c r="J42" s="238">
        <v>1.3249999999999998E-3</v>
      </c>
      <c r="K42" s="300" t="b">
        <f t="shared" si="1"/>
        <v>0</v>
      </c>
      <c r="L42" s="301" t="s">
        <v>199</v>
      </c>
      <c r="M42" s="302" t="str">
        <f t="shared" si="2"/>
        <v>8Y</v>
      </c>
      <c r="N42" s="39"/>
    </row>
    <row r="43" spans="2:14" ht="30" x14ac:dyDescent="0.25">
      <c r="B43" s="4"/>
      <c r="C43" s="284" t="s">
        <v>334</v>
      </c>
      <c r="D43" s="207"/>
      <c r="E43" s="488"/>
      <c r="F43" s="328" t="s">
        <v>130</v>
      </c>
      <c r="G43" s="229" t="s">
        <v>145</v>
      </c>
      <c r="H43" s="310"/>
      <c r="I43" s="233" t="s">
        <v>59</v>
      </c>
      <c r="J43" s="238">
        <v>1.2599999999999998E-3</v>
      </c>
      <c r="K43" s="300" t="b">
        <f t="shared" si="1"/>
        <v>0</v>
      </c>
      <c r="L43" s="301" t="s">
        <v>199</v>
      </c>
      <c r="M43" s="302" t="str">
        <f t="shared" si="2"/>
        <v>9Y</v>
      </c>
      <c r="N43" s="39"/>
    </row>
    <row r="44" spans="2:14" ht="30" x14ac:dyDescent="0.25">
      <c r="B44" s="4"/>
      <c r="C44" s="284" t="s">
        <v>335</v>
      </c>
      <c r="D44" s="207"/>
      <c r="E44" s="488"/>
      <c r="F44" s="328" t="s">
        <v>131</v>
      </c>
      <c r="G44" s="215" t="s">
        <v>124</v>
      </c>
      <c r="H44" s="310"/>
      <c r="I44" s="233" t="s">
        <v>60</v>
      </c>
      <c r="J44" s="238">
        <v>1.1899999999999999E-3</v>
      </c>
      <c r="K44" s="300" t="b">
        <f t="shared" si="1"/>
        <v>0</v>
      </c>
      <c r="L44" s="301" t="s">
        <v>199</v>
      </c>
      <c r="M44" s="302" t="str">
        <f t="shared" si="2"/>
        <v>10Y</v>
      </c>
      <c r="N44" s="39"/>
    </row>
    <row r="45" spans="2:14" ht="30" x14ac:dyDescent="0.25">
      <c r="B45" s="4"/>
      <c r="C45" s="284" t="s">
        <v>336</v>
      </c>
      <c r="D45" s="207"/>
      <c r="E45" s="488"/>
      <c r="F45" s="328" t="s">
        <v>132</v>
      </c>
      <c r="G45" s="215" t="s">
        <v>2</v>
      </c>
      <c r="H45" s="310"/>
      <c r="I45" s="233" t="s">
        <v>61</v>
      </c>
      <c r="J45" s="238">
        <v>1.1249999999999999E-3</v>
      </c>
      <c r="K45" s="300" t="b">
        <f t="shared" si="1"/>
        <v>0</v>
      </c>
      <c r="L45" s="301" t="s">
        <v>199</v>
      </c>
      <c r="M45" s="302" t="str">
        <f t="shared" si="2"/>
        <v>11Y</v>
      </c>
      <c r="N45" s="39"/>
    </row>
    <row r="46" spans="2:14" ht="30" x14ac:dyDescent="0.25">
      <c r="B46" s="4"/>
      <c r="C46" s="284" t="s">
        <v>337</v>
      </c>
      <c r="D46" s="207"/>
      <c r="E46" s="488"/>
      <c r="F46" s="328" t="s">
        <v>133</v>
      </c>
      <c r="G46" s="215" t="s">
        <v>91</v>
      </c>
      <c r="H46" s="310"/>
      <c r="I46" s="233" t="s">
        <v>62</v>
      </c>
      <c r="J46" s="238">
        <v>1.0649999999999998E-3</v>
      </c>
      <c r="K46" s="300" t="b">
        <f t="shared" si="1"/>
        <v>0</v>
      </c>
      <c r="L46" s="301" t="s">
        <v>199</v>
      </c>
      <c r="M46" s="302" t="str">
        <f t="shared" si="2"/>
        <v>12Y</v>
      </c>
      <c r="N46" s="39"/>
    </row>
    <row r="47" spans="2:14" ht="30" x14ac:dyDescent="0.25">
      <c r="B47" s="4"/>
      <c r="C47" s="284" t="s">
        <v>338</v>
      </c>
      <c r="D47" s="207"/>
      <c r="E47" s="488"/>
      <c r="F47" s="328" t="s">
        <v>134</v>
      </c>
      <c r="G47" s="215" t="s">
        <v>2</v>
      </c>
      <c r="H47" s="310"/>
      <c r="I47" s="233" t="s">
        <v>63</v>
      </c>
      <c r="J47" s="238">
        <v>9.0999999999999978E-4</v>
      </c>
      <c r="K47" s="300" t="b">
        <f t="shared" si="1"/>
        <v>0</v>
      </c>
      <c r="L47" s="301" t="s">
        <v>199</v>
      </c>
      <c r="M47" s="302" t="str">
        <f t="shared" si="2"/>
        <v>15Y</v>
      </c>
      <c r="N47" s="39"/>
    </row>
    <row r="48" spans="2:14" ht="30" x14ac:dyDescent="0.25">
      <c r="B48" s="4"/>
      <c r="C48" s="284" t="s">
        <v>339</v>
      </c>
      <c r="D48" s="207"/>
      <c r="E48" s="488"/>
      <c r="F48" s="328" t="s">
        <v>135</v>
      </c>
      <c r="G48" s="215">
        <v>2</v>
      </c>
      <c r="H48" s="310"/>
      <c r="I48" s="233" t="s">
        <v>64</v>
      </c>
      <c r="J48" s="238">
        <v>7.099999999999998E-4</v>
      </c>
      <c r="K48" s="300" t="b">
        <f t="shared" si="1"/>
        <v>0</v>
      </c>
      <c r="L48" s="301" t="s">
        <v>199</v>
      </c>
      <c r="M48" s="302" t="str">
        <f t="shared" si="2"/>
        <v>20Y</v>
      </c>
      <c r="N48" s="39"/>
    </row>
    <row r="49" spans="2:16" ht="30" x14ac:dyDescent="0.25">
      <c r="B49" s="4"/>
      <c r="C49" s="284" t="s">
        <v>340</v>
      </c>
      <c r="D49" s="207"/>
      <c r="E49" s="489"/>
      <c r="F49" s="346" t="s">
        <v>136</v>
      </c>
      <c r="G49" s="229" t="s">
        <v>22</v>
      </c>
      <c r="H49" s="310"/>
      <c r="I49" s="233" t="s">
        <v>65</v>
      </c>
      <c r="J49" s="238">
        <v>5.8249999999999979E-4</v>
      </c>
      <c r="K49" s="300" t="b">
        <f t="shared" si="1"/>
        <v>0</v>
      </c>
      <c r="L49" s="301" t="s">
        <v>199</v>
      </c>
      <c r="M49" s="302" t="str">
        <f t="shared" si="2"/>
        <v>25Y</v>
      </c>
      <c r="N49" s="39"/>
    </row>
    <row r="50" spans="2:16" ht="30" x14ac:dyDescent="0.25">
      <c r="B50" s="4"/>
      <c r="C50" s="284" t="s">
        <v>342</v>
      </c>
      <c r="D50" s="207"/>
      <c r="E50" s="490" t="s">
        <v>166</v>
      </c>
      <c r="F50" s="345" t="s">
        <v>137</v>
      </c>
      <c r="G50" s="246" t="s">
        <v>2</v>
      </c>
      <c r="H50" s="310"/>
      <c r="I50" s="233" t="s">
        <v>66</v>
      </c>
      <c r="J50" s="238">
        <v>4.8999999999999988E-4</v>
      </c>
      <c r="K50" s="300" t="b">
        <f t="shared" si="1"/>
        <v>0</v>
      </c>
      <c r="L50" s="301" t="s">
        <v>199</v>
      </c>
      <c r="M50" s="302" t="str">
        <f t="shared" si="2"/>
        <v>30Y</v>
      </c>
      <c r="N50" s="39"/>
    </row>
    <row r="51" spans="2:16" ht="30" x14ac:dyDescent="0.25">
      <c r="B51" s="4"/>
      <c r="C51" s="284" t="s">
        <v>343</v>
      </c>
      <c r="D51" s="207"/>
      <c r="E51" s="491"/>
      <c r="F51" s="328" t="s">
        <v>138</v>
      </c>
      <c r="G51" s="215" t="s">
        <v>124</v>
      </c>
      <c r="H51" s="310"/>
      <c r="I51" s="233"/>
      <c r="J51" s="238"/>
      <c r="K51" s="300"/>
      <c r="L51" s="301"/>
      <c r="M51" s="302"/>
      <c r="N51" s="39"/>
    </row>
    <row r="52" spans="2:16" ht="30" x14ac:dyDescent="0.25">
      <c r="B52" s="4"/>
      <c r="C52" s="284" t="s">
        <v>344</v>
      </c>
      <c r="D52" s="207"/>
      <c r="E52" s="491"/>
      <c r="F52" s="328" t="s">
        <v>139</v>
      </c>
      <c r="G52" s="229" t="s">
        <v>108</v>
      </c>
      <c r="H52" s="310"/>
      <c r="I52" s="233"/>
      <c r="J52" s="238"/>
      <c r="K52" s="300"/>
      <c r="L52" s="301"/>
      <c r="M52" s="302"/>
      <c r="N52" s="39"/>
    </row>
    <row r="53" spans="2:16" ht="30" x14ac:dyDescent="0.25">
      <c r="B53" s="4"/>
      <c r="C53" s="284" t="s">
        <v>345</v>
      </c>
      <c r="D53" s="207"/>
      <c r="E53" s="491"/>
      <c r="F53" s="328" t="s">
        <v>140</v>
      </c>
      <c r="G53" s="229" t="s">
        <v>22</v>
      </c>
      <c r="H53" s="310"/>
      <c r="I53" s="48"/>
      <c r="J53" s="74"/>
      <c r="K53" s="300"/>
      <c r="L53" s="301"/>
      <c r="M53" s="302"/>
      <c r="N53" s="39"/>
    </row>
    <row r="54" spans="2:16" ht="30" x14ac:dyDescent="0.25">
      <c r="B54" s="4"/>
      <c r="C54" s="284" t="s">
        <v>346</v>
      </c>
      <c r="D54" s="207"/>
      <c r="E54" s="491"/>
      <c r="F54" s="328" t="s">
        <v>141</v>
      </c>
      <c r="G54" s="215" t="s">
        <v>101</v>
      </c>
      <c r="H54" s="311"/>
      <c r="I54" s="48"/>
      <c r="J54" s="74"/>
      <c r="K54" s="300"/>
      <c r="L54" s="301"/>
      <c r="M54" s="302"/>
      <c r="N54" s="39"/>
    </row>
    <row r="55" spans="2:16" ht="30" x14ac:dyDescent="0.25">
      <c r="B55" s="4"/>
      <c r="C55" s="284" t="s">
        <v>347</v>
      </c>
      <c r="D55" s="207"/>
      <c r="E55" s="491"/>
      <c r="F55" s="328" t="s">
        <v>142</v>
      </c>
      <c r="G55" s="215" t="s">
        <v>9</v>
      </c>
      <c r="H55" s="311"/>
      <c r="I55" s="48"/>
      <c r="J55" s="74"/>
      <c r="K55" s="300"/>
      <c r="L55" s="301"/>
      <c r="M55" s="302"/>
      <c r="N55" s="39"/>
    </row>
    <row r="56" spans="2:16" ht="30" x14ac:dyDescent="0.25">
      <c r="B56" s="4"/>
      <c r="C56" s="284" t="s">
        <v>348</v>
      </c>
      <c r="D56" s="207"/>
      <c r="E56" s="491"/>
      <c r="F56" s="328" t="s">
        <v>143</v>
      </c>
      <c r="G56" s="314" t="s">
        <v>82</v>
      </c>
      <c r="H56" s="312" t="s">
        <v>200</v>
      </c>
      <c r="I56" s="48"/>
      <c r="J56" s="74"/>
      <c r="K56" s="300"/>
      <c r="L56" s="301"/>
      <c r="M56" s="302"/>
      <c r="N56" s="39"/>
    </row>
    <row r="57" spans="2:16" ht="30" x14ac:dyDescent="0.25">
      <c r="B57" s="4"/>
      <c r="C57" s="284" t="s">
        <v>349</v>
      </c>
      <c r="D57" s="207"/>
      <c r="E57" s="491"/>
      <c r="F57" s="328" t="s">
        <v>144</v>
      </c>
      <c r="G57" s="229" t="s">
        <v>94</v>
      </c>
      <c r="H57" s="311"/>
      <c r="I57" s="48"/>
      <c r="J57" s="74"/>
      <c r="K57" s="300"/>
      <c r="L57" s="301"/>
      <c r="M57" s="302"/>
      <c r="N57" s="39"/>
      <c r="P57" s="170"/>
    </row>
    <row r="58" spans="2:16" ht="30" x14ac:dyDescent="0.25">
      <c r="B58" s="4"/>
      <c r="C58" s="284" t="s">
        <v>350</v>
      </c>
      <c r="D58" s="207"/>
      <c r="E58" s="491"/>
      <c r="F58" s="328" t="s">
        <v>146</v>
      </c>
      <c r="G58" s="215" t="s">
        <v>124</v>
      </c>
      <c r="H58" s="311"/>
      <c r="I58" s="48"/>
      <c r="J58" s="74"/>
      <c r="K58" s="300"/>
      <c r="L58" s="301"/>
      <c r="M58" s="302"/>
      <c r="N58" s="39"/>
      <c r="P58" s="170"/>
    </row>
    <row r="59" spans="2:16" ht="30" x14ac:dyDescent="0.25">
      <c r="B59" s="4"/>
      <c r="C59" s="284" t="s">
        <v>351</v>
      </c>
      <c r="D59" s="207"/>
      <c r="E59" s="491"/>
      <c r="F59" s="328" t="s">
        <v>147</v>
      </c>
      <c r="G59" s="215" t="s">
        <v>2</v>
      </c>
      <c r="H59" s="311"/>
      <c r="I59" s="48"/>
      <c r="J59" s="74"/>
      <c r="K59" s="300"/>
      <c r="L59" s="301"/>
      <c r="M59" s="302"/>
      <c r="N59" s="39"/>
      <c r="P59" s="170"/>
    </row>
    <row r="60" spans="2:16" ht="30" x14ac:dyDescent="0.25">
      <c r="B60" s="4"/>
      <c r="C60" s="284" t="s">
        <v>352</v>
      </c>
      <c r="D60" s="207"/>
      <c r="E60" s="491"/>
      <c r="F60" s="328" t="s">
        <v>148</v>
      </c>
      <c r="G60" s="215" t="s">
        <v>91</v>
      </c>
      <c r="H60" s="311"/>
      <c r="I60" s="48"/>
      <c r="J60" s="74"/>
      <c r="K60" s="300"/>
      <c r="L60" s="301"/>
      <c r="M60" s="302"/>
      <c r="N60" s="39"/>
      <c r="P60" s="170"/>
    </row>
    <row r="61" spans="2:16" ht="30" x14ac:dyDescent="0.25">
      <c r="B61" s="4"/>
      <c r="C61" s="284" t="s">
        <v>353</v>
      </c>
      <c r="D61" s="207"/>
      <c r="E61" s="491"/>
      <c r="F61" s="328" t="s">
        <v>149</v>
      </c>
      <c r="G61" s="215" t="s">
        <v>2</v>
      </c>
      <c r="H61" s="311"/>
      <c r="I61" s="48"/>
      <c r="J61" s="74"/>
      <c r="K61" s="300"/>
      <c r="L61" s="301"/>
      <c r="M61" s="302"/>
      <c r="N61" s="39"/>
      <c r="P61" s="170"/>
    </row>
    <row r="62" spans="2:16" ht="30" x14ac:dyDescent="0.25">
      <c r="B62" s="4"/>
      <c r="C62" s="284" t="s">
        <v>354</v>
      </c>
      <c r="D62" s="207"/>
      <c r="E62" s="491"/>
      <c r="F62" s="328" t="s">
        <v>150</v>
      </c>
      <c r="G62" s="215">
        <v>2</v>
      </c>
      <c r="H62" s="311"/>
      <c r="I62" s="48"/>
      <c r="J62" s="74"/>
      <c r="K62" s="300"/>
      <c r="L62" s="301"/>
      <c r="M62" s="302"/>
      <c r="N62" s="39"/>
      <c r="P62" s="170"/>
    </row>
    <row r="63" spans="2:16" ht="30" x14ac:dyDescent="0.25">
      <c r="B63" s="4"/>
      <c r="C63" s="284" t="s">
        <v>355</v>
      </c>
      <c r="D63" s="207"/>
      <c r="E63" s="492"/>
      <c r="F63" s="346" t="s">
        <v>151</v>
      </c>
      <c r="G63" s="229" t="s">
        <v>22</v>
      </c>
      <c r="H63" s="311"/>
      <c r="I63" s="48"/>
      <c r="J63" s="74"/>
      <c r="K63" s="300"/>
      <c r="L63" s="301"/>
      <c r="M63" s="302"/>
      <c r="N63" s="39"/>
      <c r="P63" s="170"/>
    </row>
    <row r="64" spans="2:16" ht="30" x14ac:dyDescent="0.25">
      <c r="B64" s="4"/>
      <c r="C64" s="284" t="s">
        <v>356</v>
      </c>
      <c r="D64" s="207"/>
      <c r="E64" s="493" t="str">
        <f>"Solving For :"&amp;CHAR(32)&amp;$H$64</f>
        <v>Solving For : &lt;--- Solver: Target</v>
      </c>
      <c r="F64" s="347" t="s">
        <v>152</v>
      </c>
      <c r="G64" s="313" t="s">
        <v>153</v>
      </c>
      <c r="H64" s="312" t="s">
        <v>201</v>
      </c>
      <c r="I64" s="48"/>
      <c r="J64" s="74"/>
      <c r="K64" s="300"/>
      <c r="L64" s="301"/>
      <c r="M64" s="302"/>
      <c r="N64" s="39"/>
      <c r="P64" s="170"/>
    </row>
    <row r="65" spans="2:16" ht="30" x14ac:dyDescent="0.25">
      <c r="B65" s="4"/>
      <c r="C65" s="285" t="s">
        <v>358</v>
      </c>
      <c r="D65" s="207"/>
      <c r="E65" s="494"/>
      <c r="F65" s="328" t="s">
        <v>112</v>
      </c>
      <c r="G65" s="215" t="b">
        <v>1</v>
      </c>
      <c r="H65" s="311"/>
      <c r="I65" s="48"/>
      <c r="J65" s="74"/>
      <c r="K65" s="300"/>
      <c r="L65" s="301"/>
      <c r="M65" s="302"/>
      <c r="N65" s="39"/>
      <c r="P65" s="170"/>
    </row>
    <row r="66" spans="2:16" ht="30" x14ac:dyDescent="0.25">
      <c r="B66" s="4"/>
      <c r="C66" s="285" t="s">
        <v>359</v>
      </c>
      <c r="D66" s="207"/>
      <c r="E66" s="494"/>
      <c r="F66" s="328" t="s">
        <v>154</v>
      </c>
      <c r="G66" s="245" t="str">
        <f>interpolationFunction</f>
        <v>fn_SplineInterpolation</v>
      </c>
      <c r="H66" s="311"/>
      <c r="I66" s="48"/>
      <c r="J66" s="74"/>
      <c r="K66" s="300"/>
      <c r="L66" s="301"/>
      <c r="M66" s="302"/>
      <c r="N66" s="39"/>
      <c r="P66" s="170"/>
    </row>
    <row r="67" spans="2:16" ht="45" x14ac:dyDescent="0.25">
      <c r="B67" s="4"/>
      <c r="C67" s="285" t="s">
        <v>360</v>
      </c>
      <c r="D67" s="207"/>
      <c r="E67" s="494"/>
      <c r="F67" s="328" t="s">
        <v>155</v>
      </c>
      <c r="G67" s="215" t="b">
        <v>1</v>
      </c>
      <c r="H67" s="311"/>
      <c r="I67" s="48"/>
      <c r="J67" s="74"/>
      <c r="K67" s="300"/>
      <c r="L67" s="301"/>
      <c r="M67" s="302"/>
      <c r="N67" s="39"/>
      <c r="P67" s="170"/>
    </row>
    <row r="68" spans="2:16" ht="45" x14ac:dyDescent="0.25">
      <c r="B68" s="4"/>
      <c r="C68" s="285" t="s">
        <v>361</v>
      </c>
      <c r="D68" s="207"/>
      <c r="E68" s="494"/>
      <c r="F68" s="328" t="s">
        <v>156</v>
      </c>
      <c r="G68" s="215" t="b">
        <v>1</v>
      </c>
      <c r="H68" s="311"/>
      <c r="I68" s="48"/>
      <c r="J68" s="74"/>
      <c r="K68" s="300"/>
      <c r="L68" s="301"/>
      <c r="M68" s="302"/>
      <c r="N68" s="39"/>
      <c r="P68" s="170"/>
    </row>
    <row r="69" spans="2:16" ht="45" x14ac:dyDescent="0.25">
      <c r="B69" s="4"/>
      <c r="C69" s="285" t="s">
        <v>362</v>
      </c>
      <c r="D69" s="207"/>
      <c r="E69" s="494"/>
      <c r="F69" s="328" t="s">
        <v>157</v>
      </c>
      <c r="G69" s="229" t="s">
        <v>94</v>
      </c>
      <c r="H69" s="311"/>
      <c r="I69" s="48"/>
      <c r="J69" s="74"/>
      <c r="K69" s="300"/>
      <c r="L69" s="301"/>
      <c r="M69" s="302"/>
      <c r="N69" s="39"/>
    </row>
    <row r="70" spans="2:16" ht="30" x14ac:dyDescent="0.25">
      <c r="B70" s="4"/>
      <c r="C70" s="285" t="s">
        <v>363</v>
      </c>
      <c r="D70" s="207"/>
      <c r="E70" s="494"/>
      <c r="F70" s="328" t="s">
        <v>158</v>
      </c>
      <c r="G70" s="215" t="b">
        <v>0</v>
      </c>
      <c r="H70" s="311"/>
      <c r="I70" s="48"/>
      <c r="J70" s="74"/>
      <c r="K70" s="300"/>
      <c r="L70" s="301"/>
      <c r="M70" s="302"/>
      <c r="N70" s="39"/>
    </row>
    <row r="71" spans="2:16" ht="30" x14ac:dyDescent="0.25">
      <c r="B71" s="4"/>
      <c r="C71" s="285" t="s">
        <v>303</v>
      </c>
      <c r="D71" s="207"/>
      <c r="E71" s="494"/>
      <c r="F71" s="328" t="s">
        <v>113</v>
      </c>
      <c r="G71" s="217">
        <v>1.0000000000000001E-9</v>
      </c>
      <c r="H71" s="311"/>
      <c r="I71" s="48"/>
      <c r="J71" s="74"/>
      <c r="K71" s="300"/>
      <c r="L71" s="301"/>
      <c r="M71" s="302"/>
      <c r="N71" s="39"/>
    </row>
    <row r="72" spans="2:16" ht="30" x14ac:dyDescent="0.25">
      <c r="B72" s="4"/>
      <c r="C72" s="286" t="s">
        <v>304</v>
      </c>
      <c r="D72" s="207"/>
      <c r="E72" s="494"/>
      <c r="F72" s="328" t="s">
        <v>114</v>
      </c>
      <c r="G72" s="241">
        <v>1000</v>
      </c>
      <c r="H72" s="311"/>
      <c r="I72" s="48"/>
      <c r="J72" s="74"/>
      <c r="K72" s="300"/>
      <c r="L72" s="301"/>
      <c r="M72" s="302"/>
      <c r="N72" s="39"/>
    </row>
    <row r="73" spans="2:16" x14ac:dyDescent="0.25">
      <c r="B73" s="4"/>
      <c r="C73" s="264"/>
      <c r="D73" s="207"/>
      <c r="E73" s="494"/>
      <c r="F73" s="328"/>
      <c r="G73" s="215"/>
      <c r="H73" s="311"/>
      <c r="I73" s="48"/>
      <c r="J73" s="74"/>
      <c r="K73" s="300"/>
      <c r="L73" s="301"/>
      <c r="M73" s="302"/>
      <c r="N73" s="39"/>
    </row>
    <row r="74" spans="2:16" x14ac:dyDescent="0.25">
      <c r="B74" s="4"/>
      <c r="C74" s="264"/>
      <c r="D74" s="207"/>
      <c r="E74" s="494"/>
      <c r="F74" s="328"/>
      <c r="G74" s="215"/>
      <c r="H74" s="311"/>
      <c r="I74" s="48"/>
      <c r="J74" s="74"/>
      <c r="K74" s="300"/>
      <c r="L74" s="301"/>
      <c r="M74" s="302"/>
      <c r="N74" s="39"/>
    </row>
    <row r="75" spans="2:16" x14ac:dyDescent="0.25">
      <c r="B75" s="4"/>
      <c r="C75" s="264"/>
      <c r="D75" s="207"/>
      <c r="E75" s="494"/>
      <c r="F75" s="328"/>
      <c r="G75" s="215"/>
      <c r="H75" s="311"/>
      <c r="I75" s="48"/>
      <c r="J75" s="74"/>
      <c r="K75" s="300"/>
      <c r="L75" s="301"/>
      <c r="M75" s="302"/>
      <c r="N75" s="39"/>
    </row>
    <row r="76" spans="2:16" x14ac:dyDescent="0.25">
      <c r="B76" s="4"/>
      <c r="C76" s="265"/>
      <c r="D76" s="207"/>
      <c r="E76" s="495"/>
      <c r="F76" s="334"/>
      <c r="G76" s="344"/>
      <c r="H76" s="311"/>
      <c r="I76" s="49"/>
      <c r="J76" s="75"/>
      <c r="K76" s="303"/>
      <c r="L76" s="304"/>
      <c r="M76" s="305"/>
      <c r="N76" s="39"/>
    </row>
    <row r="77" spans="2:16" x14ac:dyDescent="0.25">
      <c r="B77" s="4"/>
      <c r="C77" s="207"/>
      <c r="D77" s="207"/>
      <c r="E77" s="207"/>
      <c r="F77" s="311"/>
      <c r="G77" s="343"/>
      <c r="H77" s="311"/>
      <c r="I77" s="8" t="s">
        <v>4</v>
      </c>
      <c r="J77" s="8" t="s">
        <v>4</v>
      </c>
      <c r="K77" s="53" t="s">
        <v>4</v>
      </c>
      <c r="L77" s="160" t="s">
        <v>4</v>
      </c>
      <c r="M77" s="161" t="s">
        <v>4</v>
      </c>
      <c r="N77" s="39"/>
    </row>
    <row r="78" spans="2:16" x14ac:dyDescent="0.25">
      <c r="B78" s="9"/>
      <c r="C78" s="211"/>
      <c r="D78" s="211"/>
      <c r="E78" s="211"/>
      <c r="F78" s="309"/>
      <c r="G78" s="317"/>
      <c r="H78" s="309"/>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topLeftCell="A3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(0.03200 sec)</v>
      </c>
      <c r="H7" s="291"/>
      <c r="I7" s="227"/>
      <c r="J7" s="207"/>
      <c r="K7" s="207"/>
      <c r="L7" s="207"/>
      <c r="M7" s="207"/>
      <c r="N7" s="208"/>
    </row>
    <row r="8" spans="2:14" x14ac:dyDescent="0.25">
      <c r="B8" s="206"/>
      <c r="C8" s="207"/>
      <c r="D8" s="207"/>
      <c r="E8" s="207"/>
      <c r="F8" s="324" t="s">
        <v>167</v>
      </c>
      <c r="G8" s="248" t="b">
        <f ca="1">LEFT(G7,5)=TenorBasisCurve1M3M.CollectionName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458</v>
      </c>
      <c r="H13" s="308"/>
      <c r="I13" s="207"/>
      <c r="J13" s="207"/>
      <c r="K13" s="207"/>
      <c r="L13" s="207"/>
      <c r="M13" s="207"/>
      <c r="N13" s="208"/>
    </row>
    <row r="14" spans="2:14" ht="30" x14ac:dyDescent="0.25">
      <c r="B14" s="206"/>
      <c r="C14" s="284" t="s">
        <v>365</v>
      </c>
      <c r="D14" s="207"/>
      <c r="E14" s="207"/>
      <c r="F14" s="330" t="s">
        <v>81</v>
      </c>
      <c r="G14" s="244" t="s">
        <v>459</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223</v>
      </c>
      <c r="G33" s="236"/>
      <c r="H33" s="310"/>
      <c r="I33" s="220" t="s">
        <v>239</v>
      </c>
      <c r="J33" s="209"/>
      <c r="K33" s="209"/>
      <c r="L33" s="209"/>
      <c r="M33" s="209"/>
      <c r="N33" s="222"/>
    </row>
    <row r="34" spans="2:14" ht="45" x14ac:dyDescent="0.25">
      <c r="B34" s="206"/>
      <c r="C34" s="284" t="s">
        <v>326</v>
      </c>
      <c r="D34" s="207"/>
      <c r="E34" s="247"/>
      <c r="F34" s="327" t="s">
        <v>119</v>
      </c>
      <c r="G34" s="214" t="s">
        <v>222</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0</v>
      </c>
      <c r="H35" s="310"/>
      <c r="I35" s="232" t="s">
        <v>159</v>
      </c>
      <c r="J35" s="237">
        <v>8.9999999999999998E-4</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9.2000000000000003E-4</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9.4000000000000008E-4</v>
      </c>
      <c r="K37" s="300" t="b">
        <v>0</v>
      </c>
      <c r="L37" s="301" t="s">
        <v>199</v>
      </c>
      <c r="M37" s="302" t="str">
        <f>I37</f>
        <v>3Y</v>
      </c>
      <c r="N37" s="222"/>
    </row>
    <row r="38" spans="2:14" ht="30" x14ac:dyDescent="0.25">
      <c r="B38" s="206"/>
      <c r="C38" s="284" t="s">
        <v>330</v>
      </c>
      <c r="D38" s="207"/>
      <c r="E38" s="488"/>
      <c r="F38" s="328" t="s">
        <v>125</v>
      </c>
      <c r="G38" s="229" t="s">
        <v>28</v>
      </c>
      <c r="H38" s="310"/>
      <c r="I38" s="233" t="s">
        <v>50</v>
      </c>
      <c r="J38" s="238">
        <v>9.8999999999999999E-4</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9.8499999999999998E-4</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9.8999999999999999E-4</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9.8999999999999999E-4</v>
      </c>
      <c r="K41" s="300" t="b">
        <f t="shared" si="1"/>
        <v>0</v>
      </c>
      <c r="L41" s="301" t="s">
        <v>199</v>
      </c>
      <c r="M41" s="302" t="str">
        <f t="shared" si="0"/>
        <v>7Y</v>
      </c>
      <c r="N41" s="222"/>
    </row>
    <row r="42" spans="2:14" ht="30" x14ac:dyDescent="0.25">
      <c r="B42" s="206"/>
      <c r="C42" s="284" t="s">
        <v>332</v>
      </c>
      <c r="D42" s="207"/>
      <c r="E42" s="488"/>
      <c r="F42" s="328" t="s">
        <v>129</v>
      </c>
      <c r="G42" s="215" t="s">
        <v>174</v>
      </c>
      <c r="H42" s="310"/>
      <c r="I42" s="233" t="s">
        <v>57</v>
      </c>
      <c r="J42" s="238">
        <v>9.2000000000000003E-4</v>
      </c>
      <c r="K42" s="300" t="b">
        <f t="shared" si="1"/>
        <v>0</v>
      </c>
      <c r="L42" s="301" t="s">
        <v>199</v>
      </c>
      <c r="M42" s="302" t="str">
        <f t="shared" si="0"/>
        <v>8Y</v>
      </c>
      <c r="N42" s="222"/>
    </row>
    <row r="43" spans="2:14" ht="30" x14ac:dyDescent="0.25">
      <c r="B43" s="206"/>
      <c r="C43" s="284" t="s">
        <v>334</v>
      </c>
      <c r="D43" s="207"/>
      <c r="E43" s="488"/>
      <c r="F43" s="328" t="s">
        <v>130</v>
      </c>
      <c r="G43" s="229" t="s">
        <v>145</v>
      </c>
      <c r="H43" s="310"/>
      <c r="I43" s="233" t="s">
        <v>59</v>
      </c>
      <c r="J43" s="238">
        <v>9.2000000000000003E-4</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8.9000000000000006E-4</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7.3500000000000008E-4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5.350000000000001E-4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4.0750000000000009E-4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3.1500000000000018E-4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220</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161</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161</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1"/>
      <c r="I7" s="227"/>
      <c r="J7" s="207"/>
      <c r="K7" s="207"/>
      <c r="L7" s="207"/>
      <c r="M7" s="207"/>
      <c r="N7" s="208"/>
    </row>
    <row r="8" spans="2:14" x14ac:dyDescent="0.25">
      <c r="B8" s="206"/>
      <c r="C8" s="207"/>
      <c r="D8" s="207"/>
      <c r="E8" s="207"/>
      <c r="F8" s="324" t="s">
        <v>167</v>
      </c>
      <c r="G8" s="248" t="b">
        <f ca="1">LEFT(G7,5)=TenorBasisCurve6M12M.CollectionName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460</v>
      </c>
      <c r="H13" s="308"/>
      <c r="I13" s="207"/>
      <c r="J13" s="207"/>
      <c r="K13" s="207"/>
      <c r="L13" s="207"/>
      <c r="M13" s="207"/>
      <c r="N13" s="208"/>
    </row>
    <row r="14" spans="2:14" ht="30" x14ac:dyDescent="0.25">
      <c r="B14" s="206"/>
      <c r="C14" s="284" t="s">
        <v>365</v>
      </c>
      <c r="D14" s="207"/>
      <c r="E14" s="207"/>
      <c r="F14" s="330" t="s">
        <v>81</v>
      </c>
      <c r="G14" s="244" t="s">
        <v>461</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238</v>
      </c>
      <c r="G33" s="236"/>
      <c r="H33" s="310"/>
      <c r="I33" s="220" t="s">
        <v>239</v>
      </c>
      <c r="J33" s="209"/>
      <c r="K33" s="209"/>
      <c r="L33" s="209"/>
      <c r="M33" s="209"/>
      <c r="N33" s="222"/>
    </row>
    <row r="34" spans="2:14" ht="45" x14ac:dyDescent="0.25">
      <c r="B34" s="206"/>
      <c r="C34" s="284" t="s">
        <v>326</v>
      </c>
      <c r="D34" s="207"/>
      <c r="E34" s="247"/>
      <c r="F34" s="327" t="s">
        <v>119</v>
      </c>
      <c r="G34" s="214" t="s">
        <v>237</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1</v>
      </c>
      <c r="H35" s="310"/>
      <c r="I35" s="232" t="s">
        <v>159</v>
      </c>
      <c r="J35" s="237">
        <v>1.4199999999999998E-3</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1.5E-3</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1.5300000000000001E-3</v>
      </c>
      <c r="K37" s="300" t="b">
        <v>0</v>
      </c>
      <c r="L37" s="301" t="s">
        <v>199</v>
      </c>
      <c r="M37" s="302" t="str">
        <f>I37</f>
        <v>3Y</v>
      </c>
      <c r="N37" s="222"/>
    </row>
    <row r="38" spans="2:14" ht="30" x14ac:dyDescent="0.25">
      <c r="B38" s="206"/>
      <c r="C38" s="284" t="s">
        <v>330</v>
      </c>
      <c r="D38" s="207"/>
      <c r="E38" s="488"/>
      <c r="F38" s="328" t="s">
        <v>125</v>
      </c>
      <c r="G38" s="229" t="s">
        <v>108</v>
      </c>
      <c r="H38" s="310"/>
      <c r="I38" s="233" t="s">
        <v>50</v>
      </c>
      <c r="J38" s="238">
        <v>1.5300000000000001E-3</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1.5E-3</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1.47E-3</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1.41E-3</v>
      </c>
      <c r="K41" s="300" t="b">
        <f t="shared" si="1"/>
        <v>0</v>
      </c>
      <c r="L41" s="301" t="s">
        <v>199</v>
      </c>
      <c r="M41" s="302" t="str">
        <f t="shared" si="0"/>
        <v>7Y</v>
      </c>
      <c r="N41" s="222"/>
    </row>
    <row r="42" spans="2:14" ht="30" x14ac:dyDescent="0.25">
      <c r="B42" s="206"/>
      <c r="C42" s="284" t="s">
        <v>332</v>
      </c>
      <c r="D42" s="207"/>
      <c r="E42" s="488"/>
      <c r="F42" s="328" t="s">
        <v>129</v>
      </c>
      <c r="G42" s="215" t="s">
        <v>162</v>
      </c>
      <c r="H42" s="310"/>
      <c r="I42" s="233" t="s">
        <v>57</v>
      </c>
      <c r="J42" s="238">
        <v>1.34E-3</v>
      </c>
      <c r="K42" s="300" t="b">
        <f t="shared" si="1"/>
        <v>0</v>
      </c>
      <c r="L42" s="301" t="s">
        <v>199</v>
      </c>
      <c r="M42" s="302" t="str">
        <f t="shared" si="0"/>
        <v>8Y</v>
      </c>
      <c r="N42" s="222"/>
    </row>
    <row r="43" spans="2:14" ht="30" x14ac:dyDescent="0.25">
      <c r="B43" s="206"/>
      <c r="C43" s="284" t="s">
        <v>334</v>
      </c>
      <c r="D43" s="207"/>
      <c r="E43" s="488"/>
      <c r="F43" s="328" t="s">
        <v>130</v>
      </c>
      <c r="G43" s="229" t="s">
        <v>94</v>
      </c>
      <c r="H43" s="310"/>
      <c r="I43" s="233" t="s">
        <v>59</v>
      </c>
      <c r="J43" s="238">
        <v>1.2800000000000001E-3</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1.2199999999999999E-3</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9.3000000000000005E-4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7.7999999999999999E-4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6.9999999999999999E-4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6.4000000000000005E-4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26</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56</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56</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1" customFormat="1" ht="23.25" x14ac:dyDescent="0.35">
      <c r="A2" s="432"/>
      <c r="B2" s="429" t="s">
        <v>452</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-3.4874538955719106E-3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-1.5233658901697949E-3</v>
      </c>
      <c r="R20" s="5" t="s">
        <v>4</v>
      </c>
      <c r="S20" s="95">
        <f>COB</f>
        <v>42521</v>
      </c>
      <c r="T20" s="96">
        <f ca="1">_xll.meDateFromTenor(S20,T$14,T$11,T$12)</f>
        <v>42886</v>
      </c>
      <c r="U20" s="97">
        <f t="array" aca="1" ref="U20:U1519" ca="1">IF(AND(isEUROISLoaded,T$15,NOW()),_xll.meCurveForwardRatesFromForwardDates(Forwards.StartDate,$D$20:$D$1519,T$8,T$9))</f>
        <v>-1.484155408285231E-4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-3.4887271197833456E-3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-1.5266827173997621E-3</v>
      </c>
      <c r="R21" s="5" t="s">
        <v>4</v>
      </c>
      <c r="S21" s="100">
        <f ca="1">_xll.meDateFromTenor(S20,"1D","FOLLOWING",T$12)</f>
        <v>42522</v>
      </c>
      <c r="T21" s="13">
        <f t="array" aca="1" ref="T21" ca="1">_xll.meDateFromTenor(S21,T$14,T$11,T$12)</f>
        <v>42887</v>
      </c>
      <c r="U21" s="98">
        <f ca="1"/>
        <v>-1.4920773826929294E-4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-3.4899996600854448E-3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-1.529999997903044E-3</v>
      </c>
      <c r="R22" s="5" t="s">
        <v>4</v>
      </c>
      <c r="S22" s="100">
        <f ca="1">_xll.meDateFromTenor(S21,"1D","FOLLOWING",T$12)</f>
        <v>42523</v>
      </c>
      <c r="T22" s="13">
        <f ca="1">_xll.meDateFromTenor(S22,T$14,T$11,T$12)</f>
        <v>42888</v>
      </c>
      <c r="U22" s="98">
        <f ca="1"/>
        <v>-1.4999996589647399E-4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-3.4912722003875435E-3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-1.5333172784063257E-3</v>
      </c>
      <c r="R23" s="5" t="s">
        <v>4</v>
      </c>
      <c r="S23" s="100">
        <f ca="1">_xll.meDateFromTenor(S22,"1D","FOLLOWING",T$12)</f>
        <v>42524</v>
      </c>
      <c r="T23" s="13">
        <f ca="1">_xll.meDateFromTenor(S23,T$14,T$11,T$12)</f>
        <v>42891</v>
      </c>
      <c r="U23" s="98">
        <f ca="1"/>
        <v>-1.5079219352365499E-4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-3.495096660387199E-3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-1.5432645871830276E-3</v>
      </c>
      <c r="R24" s="5" t="s">
        <v>4</v>
      </c>
      <c r="S24" s="100">
        <f ca="1">_xll.meDateFromTenor(S23,"1D","FOLLOWING",T$12)</f>
        <v>42527</v>
      </c>
      <c r="T24" s="13">
        <f ca="1">_xll.meDateFromTenor(S24,T$14,T$11,T$12)</f>
        <v>42892</v>
      </c>
      <c r="U24" s="98">
        <f ca="1"/>
        <v>-1.5316857454108663E-4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-3.4963760397826557E-3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-1.5465773349531656E-3</v>
      </c>
      <c r="R25" s="5" t="s">
        <v>4</v>
      </c>
      <c r="S25" s="100">
        <f ca="1">_xll.meDateFromTenor(S24,"1D","FOLLOWING",T$12)</f>
        <v>42528</v>
      </c>
      <c r="T25" s="13">
        <f ca="1">_xll.meDateFromTenor(S25,T$14,T$11,T$12)</f>
        <v>42893</v>
      </c>
      <c r="U25" s="98">
        <f ca="1"/>
        <v>-1.5396050030415628E-4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-3.4976588387247917E-3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-1.549887816356732E-3</v>
      </c>
      <c r="R26" s="5" t="s">
        <v>4</v>
      </c>
      <c r="S26" s="100">
        <f ca="1">_xll.meDateFromTenor(S25,"1D","FOLLOWING",T$12)</f>
        <v>42529</v>
      </c>
      <c r="T26" s="13">
        <f ca="1">_xll.meDateFromTenor(S26,T$14,T$11,T$12)</f>
        <v>42894</v>
      </c>
      <c r="U26" s="98">
        <f ca="1"/>
        <v>-1.5475227513517031E-4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-3.4989457411229428E-3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-1.5531955781204118E-3</v>
      </c>
      <c r="R27" s="5" t="s">
        <v>4</v>
      </c>
      <c r="S27" s="100">
        <f ca="1">_xll.meDateFromTenor(S26,"1D","FOLLOWING",T$12)</f>
        <v>42530</v>
      </c>
      <c r="T27" s="13">
        <f ca="1">_xll.meDateFromTenor(S27,T$14,T$11,T$12)</f>
        <v>42895</v>
      </c>
      <c r="U27" s="98">
        <f ca="1"/>
        <v>-1.555438688477175E-4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-3.5002374308864435E-3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-1.5565001669708915E-3</v>
      </c>
      <c r="R28" s="5" t="s">
        <v>4</v>
      </c>
      <c r="S28" s="100">
        <f ca="1">_xll.meDateFromTenor(S27,"1D","FOLLOWING",T$12)</f>
        <v>42531</v>
      </c>
      <c r="T28" s="13">
        <f ca="1">_xll.meDateFromTenor(S28,T$14,T$11,T$12)</f>
        <v>42898</v>
      </c>
      <c r="U28" s="98">
        <f ca="1"/>
        <v>-1.5633525125538679E-4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-3.5041480634624088E-3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-1.5663903633099821E-3</v>
      </c>
      <c r="R29" s="5" t="s">
        <v>4</v>
      </c>
      <c r="S29" s="100">
        <f ca="1">_xll.meDateFromTenor(S28,"1D","FOLLOWING",T$12)</f>
        <v>42534</v>
      </c>
      <c r="T29" s="13">
        <f ca="1">_xll.meDateFromTenor(S29,T$14,T$11,T$12)</f>
        <v>42899</v>
      </c>
      <c r="U29" s="98">
        <f ca="1"/>
        <v>-1.5870782878501575E-4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-3.50546574178067E-3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-1.5696777277745154E-3</v>
      </c>
      <c r="R30" s="5" t="s">
        <v>4</v>
      </c>
      <c r="S30" s="100">
        <f ca="1">_xll.meDateFromTenor(S29,"1D","FOLLOWING",T$12)</f>
        <v>42535</v>
      </c>
      <c r="T30" s="13">
        <f ca="1">_xll.meDateFromTenor(S30,T$14,T$11,T$12)</f>
        <v>42900</v>
      </c>
      <c r="U30" s="98">
        <f ca="1"/>
        <v>-1.5949806410906208E-4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-3.5067916270109614E-3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-1.5729596529592759E-3</v>
      </c>
      <c r="R31" s="5" t="s">
        <v>4</v>
      </c>
      <c r="S31" s="100">
        <f ca="1">_xll.meDateFromTenor(S30,"1D","FOLLOWING",T$12)</f>
        <v>42536</v>
      </c>
      <c r="T31" s="13">
        <f ca="1">_xll.meDateFromTenor(S31,T$14,T$11,T$12)</f>
        <v>42901</v>
      </c>
      <c r="U31" s="98">
        <f ca="1"/>
        <v>-1.602879371961747E-4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-3.5081264030626174E-3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-1.5762356855909499E-3</v>
      </c>
      <c r="R32" s="5" t="s">
        <v>4</v>
      </c>
      <c r="S32" s="100">
        <f ca="1">_xll.meDateFromTenor(S31,"1D","FOLLOWING",T$12)</f>
        <v>42537</v>
      </c>
      <c r="T32" s="13">
        <f ca="1">_xll.meDateFromTenor(S32,T$14,T$11,T$12)</f>
        <v>42902</v>
      </c>
      <c r="U32" s="98">
        <f ca="1"/>
        <v>-1.6107741785994267E-4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-3.5094707538449745E-3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-1.5795053723962223E-3</v>
      </c>
      <c r="R33" s="5" t="s">
        <v>4</v>
      </c>
      <c r="S33" s="100">
        <f ca="1">_xll.meDateFromTenor(S32,"1D","FOLLOWING",T$12)</f>
        <v>42538</v>
      </c>
      <c r="T33" s="13">
        <f ca="1">_xll.meDateFromTenor(S33,T$14,T$11,T$12)</f>
        <v>42905</v>
      </c>
      <c r="U33" s="98">
        <f ca="1"/>
        <v>-1.6186647591395477E-4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-3.5135680936696115E-3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-1.589271825120489E-3</v>
      </c>
      <c r="R34" s="5" t="s">
        <v>4</v>
      </c>
      <c r="S34" s="100">
        <f ca="1">_xll.meDateFromTenor(S33,"1D","FOLLOWING",T$12)</f>
        <v>42541</v>
      </c>
      <c r="T34" s="13">
        <f ca="1">_xll.meDateFromTenor(S34,T$14,T$11,T$12)</f>
        <v>42906</v>
      </c>
      <c r="U34" s="98">
        <f ca="1"/>
        <v>-1.6423081255334467E-4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-3.5149575824681314E-3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-1.5925115958870131E-3</v>
      </c>
      <c r="R35" s="5" t="s">
        <v>4</v>
      </c>
      <c r="S35" s="100">
        <f ca="1">_xll.meDateFromTenor(S34,"1D","FOLLOWING",T$12)</f>
        <v>42542</v>
      </c>
      <c r="T35" s="13">
        <f ca="1">_xll.meDateFromTenor(S35,T$14,T$11,T$12)</f>
        <v>42907</v>
      </c>
      <c r="U35" s="98">
        <f ca="1"/>
        <v>-1.6501787830422199E-4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-3.5163600655440308E-3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-1.5957427544605639E-3</v>
      </c>
      <c r="R36" s="5" t="s">
        <v>4</v>
      </c>
      <c r="S36" s="100">
        <f ca="1">_xll.meDateFromTenor(S35,"1D","FOLLOWING",T$12)</f>
        <v>42543</v>
      </c>
      <c r="T36" s="13">
        <f ca="1">_xll.meDateFromTenor(S36,T$14,T$11,T$12)</f>
        <v>42908</v>
      </c>
      <c r="U36" s="98">
        <f ca="1"/>
        <v>-1.6580437051328791E-4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-3.5177762268066471E-3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-1.5989648475678271E-3</v>
      </c>
      <c r="R37" s="5" t="s">
        <v>4</v>
      </c>
      <c r="S37" s="100">
        <f ca="1">_xll.meDateFromTenor(S36,"1D","FOLLOWING",T$12)</f>
        <v>42544</v>
      </c>
      <c r="T37" s="13">
        <f ca="1">_xll.meDateFromTenor(S37,T$14,T$11,T$12)</f>
        <v>42909</v>
      </c>
      <c r="U37" s="98">
        <f ca="1"/>
        <v>-1.6659025899413109E-4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-3.519206750165314E-3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-1.6021774219354885E-3</v>
      </c>
      <c r="R38" s="5" t="s">
        <v>4</v>
      </c>
      <c r="S38" s="100">
        <f ca="1">_xll.meDateFromTenor(S37,"1D","FOLLOWING",T$12)</f>
        <v>42545</v>
      </c>
      <c r="T38" s="13">
        <f ca="1">_xll.meDateFromTenor(S38,T$14,T$11,T$12)</f>
        <v>42912</v>
      </c>
      <c r="U38" s="98">
        <f ca="1"/>
        <v>-1.6737551356034056E-4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-3.5235913319109839E-3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-1.611753499867718E-3</v>
      </c>
      <c r="R39" s="5" t="s">
        <v>4</v>
      </c>
      <c r="S39" s="100">
        <f ca="1">_xll.meDateFromTenor(S38,"1D","FOLLOWING",T$12)</f>
        <v>42548</v>
      </c>
      <c r="T39" s="13">
        <f ca="1">_xll.meDateFromTenor(S39,T$14,T$11,T$12)</f>
        <v>42913</v>
      </c>
      <c r="U39" s="98">
        <f ca="1"/>
        <v>-1.6972717190705483E-4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-3.5250861427472157E-3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-1.6149234665438286E-3</v>
      </c>
      <c r="R40" s="5" t="s">
        <v>4</v>
      </c>
      <c r="S40" s="100">
        <f ca="1">_xll.meDateFromTenor(S39,"1D","FOLLOWING",T$12)</f>
        <v>42549</v>
      </c>
      <c r="T40" s="13">
        <f ca="1">_xll.meDateFromTenor(S40,T$14,T$11,T$12)</f>
        <v>42914</v>
      </c>
      <c r="U40" s="98">
        <f ca="1"/>
        <v>-1.7050958895061785E-4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-3.5265987352261783E-3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-1.6180816481137653E-3</v>
      </c>
      <c r="R41" s="5" t="s">
        <v>4</v>
      </c>
      <c r="S41" s="100">
        <f ca="1">_xll.meDateFromTenor(S40,"1D","FOLLOWING",T$12)</f>
        <v>42550</v>
      </c>
      <c r="T41" s="13">
        <f ca="1">_xll.meDateFromTenor(S41,T$14,T$11,T$12)</f>
        <v>42915</v>
      </c>
      <c r="U41" s="98">
        <f ca="1"/>
        <v>-1.7129122114749136E-4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-3.528129793257207E-3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-1.6212275913042138E-3</v>
      </c>
      <c r="R42" s="5" t="s">
        <v>4</v>
      </c>
      <c r="S42" s="100">
        <f ca="1">_xll.meDateFromTenor(S41,"1D","FOLLOWING",T$12)</f>
        <v>42551</v>
      </c>
      <c r="T42" s="13">
        <f ca="1">_xll.meDateFromTenor(S42,T$14,T$11,T$12)</f>
        <v>42916</v>
      </c>
      <c r="U42" s="98">
        <f ca="1"/>
        <v>-1.7207203831126437E-4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-3.5296800007496385E-3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-1.6243608428418597E-3</v>
      </c>
      <c r="R43" s="5" t="s">
        <v>4</v>
      </c>
      <c r="S43" s="100">
        <f ca="1">_xll.meDateFromTenor(S42,"1D","FOLLOWING",T$12)</f>
        <v>42552</v>
      </c>
      <c r="T43" s="13">
        <f ca="1">_xll.meDateFromTenor(S43,T$14,T$11,T$12)</f>
        <v>42919</v>
      </c>
      <c r="U43" s="98">
        <f ca="1"/>
        <v>-1.7285201025552565E-4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-3.5344523590887028E-3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-1.6336799148048392E-3</v>
      </c>
      <c r="R44" s="5" t="s">
        <v>4</v>
      </c>
      <c r="S44" s="100">
        <f ca="1">_xll.meDateFromTenor(S43,"1D","FOLLOWING",T$12)</f>
        <v>42555</v>
      </c>
      <c r="T44" s="13">
        <f ca="1">_xll.meDateFromTenor(S44,T$14,T$11,T$12)</f>
        <v>42920</v>
      </c>
      <c r="U44" s="98">
        <f ca="1"/>
        <v>-1.7518655290712801E-4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-3.5360857044054411E-3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-1.6367578669981315E-3</v>
      </c>
      <c r="R45" s="5" t="s">
        <v>4</v>
      </c>
      <c r="S45" s="100">
        <f ca="1">_xll.meDateFromTenor(S44,"1D","FOLLOWING",T$12)</f>
        <v>42556</v>
      </c>
      <c r="T45" s="13">
        <f ca="1">_xll.meDateFromTenor(S45,T$14,T$11,T$12)</f>
        <v>42921</v>
      </c>
      <c r="U45" s="98">
        <f ca="1"/>
        <v>-1.7596284210923111E-4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-3.5377398240423017E-3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-1.6398208611720496E-3</v>
      </c>
      <c r="R46" s="5" t="s">
        <v>4</v>
      </c>
      <c r="S46" s="100">
        <f ca="1">_xll.meDateFromTenor(S45,"1D","FOLLOWING",T$12)</f>
        <v>42557</v>
      </c>
      <c r="T46" s="13">
        <f ca="1">_xll.meDateFromTenor(S46,T$14,T$11,T$12)</f>
        <v>42922</v>
      </c>
      <c r="U46" s="98">
        <f ca="1"/>
        <v>-1.7673813515976694E-4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-3.539413607220663E-3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-1.642868444053279E-3</v>
      </c>
      <c r="R47" s="5" t="s">
        <v>4</v>
      </c>
      <c r="S47" s="100">
        <f ca="1">_xll.meDateFromTenor(S46,"1D","FOLLOWING",T$12)</f>
        <v>42558</v>
      </c>
      <c r="T47" s="13">
        <f ca="1">_xll.meDateFromTenor(S47,T$14,T$11,T$12)</f>
        <v>42923</v>
      </c>
      <c r="U47" s="98">
        <f ca="1"/>
        <v>-1.7751240187232419E-4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-3.5411059431619024E-3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-1.645900162368505E-3</v>
      </c>
      <c r="R48" s="5" t="s">
        <v>4</v>
      </c>
      <c r="S48" s="100">
        <f ca="1">_xll.meDateFromTenor(S47,"1D","FOLLOWING",T$12)</f>
        <v>42559</v>
      </c>
      <c r="T48" s="13">
        <f ca="1">_xll.meDateFromTenor(S48,T$14,T$11,T$12)</f>
        <v>42926</v>
      </c>
      <c r="U48" s="98">
        <f ca="1"/>
        <v>-1.7828561206049181E-4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-3.5462831597766601E-3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-1.6548955971850219E-3</v>
      </c>
      <c r="R49" s="5" t="s">
        <v>4</v>
      </c>
      <c r="S49" s="100">
        <f ca="1">_xll.meDateFromTenor(S48,"1D","FOLLOWING",T$12)</f>
        <v>42562</v>
      </c>
      <c r="T49" s="13">
        <f ca="1">_xll.meDateFromTenor(S49,T$14,T$11,T$12)</f>
        <v>42927</v>
      </c>
      <c r="U49" s="98">
        <f ca="1"/>
        <v>-1.8059860161454572E-4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-3.5480385989831846E-3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-1.657859324503092E-3</v>
      </c>
      <c r="R50" s="5" t="s">
        <v>4</v>
      </c>
      <c r="S50" s="100">
        <f ca="1">_xll.meDateFromTenor(S49,"1D","FOLLOWING",T$12)</f>
        <v>42563</v>
      </c>
      <c r="T50" s="13">
        <f ca="1">_xll.meDateFromTenor(S50,T$14,T$11,T$12)</f>
        <v>42928</v>
      </c>
      <c r="U50" s="98">
        <f ca="1"/>
        <v>-1.8136728384104348E-4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-3.5498070370594734E-3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-1.6608049208885871E-3</v>
      </c>
      <c r="R51" s="5" t="s">
        <v>4</v>
      </c>
      <c r="S51" s="100">
        <f ca="1">_xll.meDateFromTenor(S50,"1D","FOLLOWING",T$12)</f>
        <v>42564</v>
      </c>
      <c r="T51" s="13">
        <f ca="1">_xll.meDateFromTenor(S51,T$14,T$11,T$12)</f>
        <v>42929</v>
      </c>
      <c r="U51" s="98">
        <f ca="1"/>
        <v>-1.8213475861109603E-4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-3.5515873632269053E-3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-1.6637319330681929E-3</v>
      </c>
      <c r="R52" s="5" t="s">
        <v>4</v>
      </c>
      <c r="S52" s="100">
        <f ca="1">_xll.meDateFromTenor(S51,"1D","FOLLOWING",T$12)</f>
        <v>42565</v>
      </c>
      <c r="T52" s="13">
        <f ca="1">_xll.meDateFromTenor(S52,T$14,T$11,T$12)</f>
        <v>42930</v>
      </c>
      <c r="U52" s="98">
        <f ca="1"/>
        <v>-1.8290099573829211E-4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-3.553378466706857E-3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-1.6666399077685952E-3</v>
      </c>
      <c r="R53" s="5" t="s">
        <v>4</v>
      </c>
      <c r="S53" s="100">
        <f ca="1">_xll.meDateFromTenor(S52,"1D","FOLLOWING",T$12)</f>
        <v>42566</v>
      </c>
      <c r="T53" s="13">
        <f ca="1">_xll.meDateFromTenor(S53,T$14,T$11,T$12)</f>
        <v>42933</v>
      </c>
      <c r="U53" s="98">
        <f ca="1"/>
        <v>-1.8366596503622068E-4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-3.5588053332356053E-3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-1.6752450742614354E-3</v>
      </c>
      <c r="R54" s="5" t="s">
        <v>4</v>
      </c>
      <c r="S54" s="100">
        <f ca="1">_xll.meDateFromTenor(S53,"1D","FOLLOWING",T$12)</f>
        <v>42569</v>
      </c>
      <c r="T54" s="13">
        <f ca="1">_xll.meDateFromTenor(S54,T$14,T$11,T$12)</f>
        <v>42934</v>
      </c>
      <c r="U54" s="98">
        <f ca="1"/>
        <v>-1.8595296409028961E-4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-3.5606284381794104E-3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-1.6780723663118796E-3</v>
      </c>
      <c r="R55" s="5" t="s">
        <v>4</v>
      </c>
      <c r="S55" s="100">
        <f ca="1">_xll.meDateFromTenor(S54,"1D","FOLLOWING",T$12)</f>
        <v>42570</v>
      </c>
      <c r="T55" s="13">
        <f ca="1">_xll.meDateFromTenor(S55,T$14,T$11,T$12)</f>
        <v>42935</v>
      </c>
      <c r="U55" s="98">
        <f ca="1"/>
        <v>-1.8671256020703661E-4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-3.5624567665426226E-3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-1.6808783545165474E-3</v>
      </c>
      <c r="R56" s="5" t="s">
        <v>4</v>
      </c>
      <c r="S56" s="100">
        <f ca="1">_xll.meDateFromTenor(S55,"1D","FOLLOWING",T$12)</f>
        <v>42571</v>
      </c>
      <c r="T56" s="13">
        <f ca="1">_xll.meDateFromTenor(S56,T$14,T$11,T$12)</f>
        <v>42936</v>
      </c>
      <c r="U56" s="98">
        <f ca="1"/>
        <v>-1.874707375624604E-4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-3.5642892075466192E-3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-1.6836625856021254E-3</v>
      </c>
      <c r="R57" s="5" t="s">
        <v>4</v>
      </c>
      <c r="S57" s="100">
        <f ca="1">_xll.meDateFromTenor(S56,"1D","FOLLOWING",T$12)</f>
        <v>42572</v>
      </c>
      <c r="T57" s="13">
        <f ca="1">_xll.meDateFromTenor(S57,T$14,T$11,T$12)</f>
        <v>42937</v>
      </c>
      <c r="U57" s="98">
        <f ca="1"/>
        <v>-1.8822746597014985E-4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-3.5661246504127778E-3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-1.6864246062952991E-3</v>
      </c>
      <c r="R58" s="5" t="s">
        <v>4</v>
      </c>
      <c r="S58" s="100">
        <f ca="1">_xll.meDateFromTenor(S57,"1D","FOLLOWING",T$12)</f>
        <v>42573</v>
      </c>
      <c r="T58" s="13">
        <f ca="1">_xll.meDateFromTenor(S58,T$14,T$11,T$12)</f>
        <v>42940</v>
      </c>
      <c r="U58" s="98">
        <f ca="1"/>
        <v>-1.8898271524369375E-4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-3.5716378823980005E-3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-1.6945728732872508E-3</v>
      </c>
      <c r="R59" s="5" t="s">
        <v>4</v>
      </c>
      <c r="S59" s="100">
        <f ca="1">_xll.meDateFromTenor(S58,"1D","FOLLOWING",T$12)</f>
        <v>42576</v>
      </c>
      <c r="T59" s="13">
        <f ca="1">_xll.meDateFromTenor(S59,T$14,T$11,T$12)</f>
        <v>42941</v>
      </c>
      <c r="U59" s="98">
        <f ca="1"/>
        <v>-1.9123928639534142E-4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-3.5734742249265818E-3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-1.6972415196776633E-3</v>
      </c>
      <c r="R60" s="5" t="s">
        <v>4</v>
      </c>
      <c r="S60" s="100">
        <f ca="1">_xll.meDateFromTenor(S59,"1D","FOLLOWING",T$12)</f>
        <v>42577</v>
      </c>
      <c r="T60" s="13">
        <f ca="1">_xll.meDateFromTenor(S60,T$14,T$11,T$12)</f>
        <v>42942</v>
      </c>
      <c r="U60" s="98">
        <f ca="1"/>
        <v>-1.9198831726819211E-4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-3.575308015424212E-3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-1.6998856893090998E-3</v>
      </c>
      <c r="R61" s="5" t="s">
        <v>4</v>
      </c>
      <c r="S61" s="100">
        <f ca="1">_xll.meDateFromTenor(S60,"1D","FOLLOWING",T$12)</f>
        <v>42578</v>
      </c>
      <c r="T61" s="13">
        <f ca="1">_xll.meDateFromTenor(S61,T$14,T$11,T$12)</f>
        <v>42943</v>
      </c>
      <c r="U61" s="98">
        <f ca="1"/>
        <v>-1.927357180748417E-4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-3.5771381431122682E-3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-1.702504928908246E-3</v>
      </c>
      <c r="R62" s="5" t="s">
        <v>4</v>
      </c>
      <c r="S62" s="100">
        <f ca="1">_xll.meDateFromTenor(S61,"1D","FOLLOWING",T$12)</f>
        <v>42579</v>
      </c>
      <c r="T62" s="13">
        <f ca="1">_xll.meDateFromTenor(S62,T$14,T$11,T$12)</f>
        <v>42944</v>
      </c>
      <c r="U62" s="98">
        <f ca="1"/>
        <v>-1.9348145862887895E-4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-3.5789634972121297E-3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-1.7050987852017872E-3</v>
      </c>
      <c r="R63" s="5" t="s">
        <v>4</v>
      </c>
      <c r="S63" s="100">
        <f ca="1">_xll.meDateFromTenor(S62,"1D","FOLLOWING",T$12)</f>
        <v>42580</v>
      </c>
      <c r="T63" s="13">
        <f ca="1">_xll.meDateFromTenor(S63,T$14,T$11,T$12)</f>
        <v>42947</v>
      </c>
      <c r="U63" s="98">
        <f ca="1"/>
        <v>-1.9422550874389284E-4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-3.5843998101963105E-3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-1.7127235215156366E-3</v>
      </c>
      <c r="R64" s="5" t="s">
        <v>4</v>
      </c>
      <c r="S64" s="100">
        <f ca="1">_xll.meDateFromTenor(S63,"1D","FOLLOWING",T$12)</f>
        <v>42583</v>
      </c>
      <c r="T64" s="13">
        <f ca="1">_xll.meDateFromTenor(S64,T$14,T$11,T$12)</f>
        <v>42948</v>
      </c>
      <c r="U64" s="98">
        <f ca="1"/>
        <v>-1.9644721459068266E-4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-3.5861949621571626E-3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-1.7152113118536142E-3</v>
      </c>
      <c r="R65" s="5" t="s">
        <v>4</v>
      </c>
      <c r="S65" s="100">
        <f ca="1">_xll.meDateFromTenor(S64,"1D","FOLLOWING",T$12)</f>
        <v>42584</v>
      </c>
      <c r="T65" s="13">
        <f ca="1">_xll.meDateFromTenor(S65,T$14,T$11,T$12)</f>
        <v>42949</v>
      </c>
      <c r="U65" s="98">
        <f ca="1"/>
        <v>-1.9718420108549159E-4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-3.5879800212081201E-3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-1.7176714525194148E-3</v>
      </c>
      <c r="R66" s="5" t="s">
        <v>4</v>
      </c>
      <c r="S66" s="100">
        <f ca="1">_xll.meDateFromTenor(S65,"1D","FOLLOWING",T$12)</f>
        <v>42585</v>
      </c>
      <c r="T66" s="13">
        <f ca="1">_xll.meDateFromTenor(S66,T$14,T$11,T$12)</f>
        <v>42950</v>
      </c>
      <c r="U66" s="98">
        <f ca="1"/>
        <v>-1.9791934620922141E-4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-3.589755049427633E-3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-1.7201034902397244E-3</v>
      </c>
      <c r="R67" s="5" t="s">
        <v>4</v>
      </c>
      <c r="S67" s="100">
        <f ca="1">_xll.meDateFromTenor(S66,"1D","FOLLOWING",T$12)</f>
        <v>42586</v>
      </c>
      <c r="T67" s="13">
        <f ca="1">_xll.meDateFromTenor(S67,T$14,T$11,T$12)</f>
        <v>42951</v>
      </c>
      <c r="U67" s="98">
        <f ca="1"/>
        <v>-1.986526197754611E-4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-3.5915203434655667E-3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-1.7225069717412282E-3</v>
      </c>
      <c r="R68" s="5" t="s">
        <v>4</v>
      </c>
      <c r="S68" s="100">
        <f ca="1">_xll.meDateFromTenor(S67,"1D","FOLLOWING",T$12)</f>
        <v>42587</v>
      </c>
      <c r="T68" s="13">
        <f ca="1">_xll.meDateFromTenor(S68,T$14,T$11,T$12)</f>
        <v>42954</v>
      </c>
      <c r="U68" s="98">
        <f ca="1"/>
        <v>-1.9938399159779934E-4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-3.5967607869885369E-3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-1.7295415461997634E-3</v>
      </c>
      <c r="R69" s="5" t="s">
        <v>4</v>
      </c>
      <c r="S69" s="100">
        <f ca="1">_xll.meDateFromTenor(S68,"1D","FOLLOWING",T$12)</f>
        <v>42590</v>
      </c>
      <c r="T69" s="13">
        <f ca="1">_xll.meDateFromTenor(S69,T$14,T$11,T$12)</f>
        <v>42955</v>
      </c>
      <c r="U69" s="98">
        <f ca="1"/>
        <v>-2.0156639473729502E-4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-3.5984901107987983E-3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-1.7318262700929011E-3</v>
      </c>
      <c r="R70" s="5" t="s">
        <v>4</v>
      </c>
      <c r="S70" s="100">
        <f ca="1">_xll.meDateFromTenor(S69,"1D","FOLLOWING",T$12)</f>
        <v>42591</v>
      </c>
      <c r="T70" s="13">
        <f ca="1">_xll.meDateFromTenor(S70,T$14,T$11,T$12)</f>
        <v>42956</v>
      </c>
      <c r="U70" s="98">
        <f ca="1"/>
        <v>-2.0228985771991669E-4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-3.6002111836768032E-3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-1.7340801714006617E-3</v>
      </c>
      <c r="R71" s="5" t="s">
        <v>4</v>
      </c>
      <c r="S71" s="100">
        <f ca="1">_xll.meDateFromTenor(S70,"1D","FOLLOWING",T$12)</f>
        <v>42592</v>
      </c>
      <c r="T71" s="13">
        <f ca="1">_xll.meDateFromTenor(S71,T$14,T$11,T$12)</f>
        <v>42957</v>
      </c>
      <c r="U71" s="98">
        <f ca="1"/>
        <v>-2.0301126802658136E-4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-3.6019243022724161E-3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-1.7363027968497304E-3</v>
      </c>
      <c r="R72" s="5" t="s">
        <v>4</v>
      </c>
      <c r="S72" s="100">
        <f ca="1">_xll.meDateFromTenor(S71,"1D","FOLLOWING",T$12)</f>
        <v>42593</v>
      </c>
      <c r="T72" s="13">
        <f ca="1">_xll.meDateFromTenor(S72,T$14,T$11,T$12)</f>
        <v>42958</v>
      </c>
      <c r="U72" s="98">
        <f ca="1"/>
        <v>-2.0373059547087785E-4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-3.6036297632355027E-3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-1.7384936931667929E-3</v>
      </c>
      <c r="R73" s="5" t="s">
        <v>4</v>
      </c>
      <c r="S73" s="100">
        <f ca="1">_xll.meDateFromTenor(S72,"1D","FOLLOWING",T$12)</f>
        <v>42594</v>
      </c>
      <c r="T73" s="13">
        <f ca="1">_xll.meDateFromTenor(S73,T$14,T$11,T$12)</f>
        <v>42961</v>
      </c>
      <c r="U73" s="98">
        <f ca="1"/>
        <v>-2.0444780986639515E-4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-3.6087031668282413E-3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-1.7448714745927998E-3</v>
      </c>
      <c r="R74" s="5" t="s">
        <v>4</v>
      </c>
      <c r="S74" s="100">
        <f ca="1">_xll.meDateFromTenor(S73,"1D","FOLLOWING",T$12)</f>
        <v>42597</v>
      </c>
      <c r="T74" s="13">
        <f ca="1">_xll.meDateFromTenor(S74,T$14,T$11,T$12)</f>
        <v>42962</v>
      </c>
      <c r="U74" s="98">
        <f ca="1"/>
        <v>-2.0658647289616006E-4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-3.6103809637598634E-3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-1.7469309216486938E-3</v>
      </c>
      <c r="R75" s="5" t="s">
        <v>4</v>
      </c>
      <c r="S75" s="100">
        <f ca="1">_xll.meDateFromTenor(S74,"1D","FOLLOWING",T$12)</f>
        <v>42598</v>
      </c>
      <c r="T75" s="13">
        <f ca="1">_xll.meDateFromTenor(S75,T$14,T$11,T$12)</f>
        <v>42963</v>
      </c>
      <c r="U75" s="98">
        <f ca="1"/>
        <v>-2.0729493323244896E-4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-3.6120525863082816E-3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-1.74895637320601E-3</v>
      </c>
      <c r="R76" s="5" t="s">
        <v>4</v>
      </c>
      <c r="S76" s="100">
        <f ca="1">_xll.meDateFromTenor(S75,"1D","FOLLOWING",T$12)</f>
        <v>42599</v>
      </c>
      <c r="T76" s="13">
        <f ca="1">_xll.meDateFromTenor(S76,T$14,T$11,T$12)</f>
        <v>42964</v>
      </c>
      <c r="U76" s="98">
        <f ca="1"/>
        <v>-2.0800112958790294E-4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-3.6137183311233602E-3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-1.7509473759914336E-3</v>
      </c>
      <c r="R77" s="5" t="s">
        <v>4</v>
      </c>
      <c r="S77" s="100">
        <f ca="1">_xll.meDateFromTenor(S76,"1D","FOLLOWING",T$12)</f>
        <v>42600</v>
      </c>
      <c r="T77" s="13">
        <f ca="1">_xll.meDateFromTenor(S77,T$14,T$11,T$12)</f>
        <v>42965</v>
      </c>
      <c r="U77" s="98">
        <f ca="1"/>
        <v>-2.0870503177611088E-4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-3.6153784948549624E-3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-1.7529034767316506E-3</v>
      </c>
      <c r="R78" s="5" t="s">
        <v>4</v>
      </c>
      <c r="S78" s="100">
        <f ca="1">_xll.meDateFromTenor(S77,"1D","FOLLOWING",T$12)</f>
        <v>42601</v>
      </c>
      <c r="T78" s="13">
        <f ca="1">_xll.meDateFromTenor(S78,T$14,T$11,T$12)</f>
        <v>42968</v>
      </c>
      <c r="U78" s="98">
        <f ca="1"/>
        <v>-2.0940660961066168E-4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-3.6203284660475663E-3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-1.7585578339479166E-3</v>
      </c>
      <c r="R79" s="5" t="s">
        <v>4</v>
      </c>
      <c r="S79" s="100">
        <f ca="1">_xll.meDateFromTenor(S78,"1D","FOLLOWING",T$12)</f>
        <v>42604</v>
      </c>
      <c r="T79" s="13">
        <f ca="1">_xll.meDateFromTenor(S79,T$14,T$11,T$12)</f>
        <v>42969</v>
      </c>
      <c r="U79" s="98">
        <f ca="1"/>
        <v>-2.1149709512825946E-4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-3.6219692719439149E-3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-1.7603697937741624E-3</v>
      </c>
      <c r="R80" s="5" t="s">
        <v>4</v>
      </c>
      <c r="S80" s="100">
        <f ca="1">_xll.meDateFromTenor(S79,"1D","FOLLOWING",T$12)</f>
        <v>42605</v>
      </c>
      <c r="T80" s="13">
        <f ca="1">_xll.meDateFromTenor(S80,T$14,T$11,T$12)</f>
        <v>42970</v>
      </c>
      <c r="U80" s="98">
        <f ca="1"/>
        <v>-2.1218907368407018E-4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-3.6236059800061103E-3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-1.7621445851886295E-3</v>
      </c>
      <c r="R81" s="5" t="s">
        <v>4</v>
      </c>
      <c r="S81" s="100">
        <f ca="1">_xll.meDateFromTenor(S80,"1D","FOLLOWING",T$12)</f>
        <v>42606</v>
      </c>
      <c r="T81" s="13">
        <f ca="1">_xll.meDateFromTenor(S81,T$14,T$11,T$12)</f>
        <v>42971</v>
      </c>
      <c r="U81" s="98">
        <f ca="1"/>
        <v>-2.1287857695416801E-4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-3.6252388868840196E-3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-1.7638817549180041E-3</v>
      </c>
      <c r="R82" s="5" t="s">
        <v>4</v>
      </c>
      <c r="S82" s="100">
        <f ca="1">_xll.meDateFromTenor(S81,"1D","FOLLOWING",T$12)</f>
        <v>42607</v>
      </c>
      <c r="T82" s="13">
        <f ca="1">_xll.meDateFromTenor(S82,T$14,T$11,T$12)</f>
        <v>42972</v>
      </c>
      <c r="U82" s="98">
        <f ca="1"/>
        <v>-2.1356557475214191E-4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-3.6268682892275053E-3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-1.7655808496889708E-3</v>
      </c>
      <c r="R83" s="5" t="s">
        <v>4</v>
      </c>
      <c r="S83" s="100">
        <f ca="1">_xll.meDateFromTenor(S82,"1D","FOLLOWING",T$12)</f>
        <v>42608</v>
      </c>
      <c r="T83" s="13">
        <f ca="1">_xll.meDateFromTenor(S83,T$14,T$11,T$12)</f>
        <v>42975</v>
      </c>
      <c r="U83" s="98">
        <f ca="1"/>
        <v>-2.1425003689158061E-4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-3.6317384355500693E-3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-1.770445151518283E-3</v>
      </c>
      <c r="R84" s="5" t="s">
        <v>4</v>
      </c>
      <c r="S84" s="100">
        <f ca="1">_xll.meDateFromTenor(S83,"1D","FOLLOWING",T$12)</f>
        <v>42611</v>
      </c>
      <c r="T84" s="13">
        <f ca="1">_xll.meDateFromTenor(S84,T$14,T$11,T$12)</f>
        <v>42976</v>
      </c>
      <c r="U84" s="98">
        <f ca="1"/>
        <v>-2.1628790749457489E-4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-3.6333567862545085E-3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-1.7719874137224765E-3</v>
      </c>
      <c r="R85" s="5" t="s">
        <v>4</v>
      </c>
      <c r="S85" s="100">
        <f ca="1">_xll.meDateFromTenor(S84,"1D","FOLLOWING",T$12)</f>
        <v>42612</v>
      </c>
      <c r="T85" s="13">
        <f ca="1">_xll.meDateFromTenor(S85,T$14,T$11,T$12)</f>
        <v>42977</v>
      </c>
      <c r="U85" s="98">
        <f ca="1"/>
        <v>-2.1696192513576186E-4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-3.6349731156738482E-3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-1.7734893346016906E-3</v>
      </c>
      <c r="R86" s="5" t="s">
        <v>4</v>
      </c>
      <c r="S86" s="100">
        <f ca="1">_xll.meDateFromTenor(S85,"1D","FOLLOWING",T$12)</f>
        <v>42613</v>
      </c>
      <c r="T86" s="13">
        <f ca="1">_xll.meDateFromTenor(S86,T$14,T$11,T$12)</f>
        <v>42978</v>
      </c>
      <c r="U86" s="98">
        <f ca="1"/>
        <v>-2.1763325618635811E-4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-3.6365877204579526E-3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-1.7749504608826113E-3</v>
      </c>
      <c r="R87" s="5" t="s">
        <v>4</v>
      </c>
      <c r="S87" s="100">
        <f ca="1">_xll.meDateFromTenor(S86,"1D","FOLLOWING",T$12)</f>
        <v>42614</v>
      </c>
      <c r="T87" s="13">
        <f ca="1">_xll.meDateFromTenor(S87,T$14,T$11,T$12)</f>
        <v>42979</v>
      </c>
      <c r="U87" s="98">
        <f ca="1"/>
        <v>-2.1830187045995236E-4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-3.6382008972566855E-3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-1.7763703392919235E-3</v>
      </c>
      <c r="R88" s="5" t="s">
        <v>4</v>
      </c>
      <c r="S88" s="100">
        <f ca="1">_xll.meDateFromTenor(S87,"1D","FOLLOWING",T$12)</f>
        <v>42615</v>
      </c>
      <c r="T88" s="13">
        <f ca="1">_xll.meDateFromTenor(S88,T$14,T$11,T$12)</f>
        <v>42982</v>
      </c>
      <c r="U88" s="98">
        <f ca="1"/>
        <v>-2.1896773777013365E-4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-3.6430337187227961E-3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-1.7803779545570691E-3</v>
      </c>
      <c r="R89" s="5" t="s">
        <v>4</v>
      </c>
      <c r="S89" s="100">
        <f ca="1">_xll.meDateFromTenor(S88,"1D","FOLLOWING",T$12)</f>
        <v>42618</v>
      </c>
      <c r="T89" s="13">
        <f ca="1">_xll.meDateFromTenor(S89,T$14,T$11,T$12)</f>
        <v>42983</v>
      </c>
      <c r="U89" s="98">
        <f ca="1"/>
        <v>-2.2094855605608789E-4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-3.6446426323708818E-3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-1.7816283087468056E-3</v>
      </c>
      <c r="R90" s="5" t="s">
        <v>4</v>
      </c>
      <c r="S90" s="100">
        <f ca="1">_xll.meDateFromTenor(S89,"1D","FOLLOWING",T$12)</f>
        <v>42619</v>
      </c>
      <c r="T90" s="13">
        <f ca="1">_xll.meDateFromTenor(S90,T$14,T$11,T$12)</f>
        <v>42984</v>
      </c>
      <c r="U90" s="98">
        <f ca="1"/>
        <v>-2.2160313364850571E-4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-3.6462506168237997E-3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-1.7828351486983624E-3</v>
      </c>
      <c r="R91" s="5" t="s">
        <v>4</v>
      </c>
      <c r="S91" s="100">
        <f ca="1">_xll.meDateFromTenor(S90,"1D","FOLLOWING",T$12)</f>
        <v>42620</v>
      </c>
      <c r="T91" s="13">
        <f ca="1">_xll.meDateFromTenor(S91,T$14,T$11,T$12)</f>
        <v>42985</v>
      </c>
      <c r="U91" s="98">
        <f ca="1"/>
        <v>-2.2225481334545478E-4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-3.6478577226166345E-3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-1.783998021138425E-3</v>
      </c>
      <c r="R92" s="5" t="s">
        <v>4</v>
      </c>
      <c r="S92" s="100">
        <f ca="1">_xll.meDateFromTenor(S91,"1D","FOLLOWING",T$12)</f>
        <v>42621</v>
      </c>
      <c r="T92" s="13">
        <f ca="1">_xll.meDateFromTenor(S92,T$14,T$11,T$12)</f>
        <v>42986</v>
      </c>
      <c r="U92" s="98">
        <f ca="1"/>
        <v>-2.2290356496052405E-4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-3.6494640002844706E-3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-1.7851164727936786E-3</v>
      </c>
      <c r="R93" s="5" t="s">
        <v>4</v>
      </c>
      <c r="S93" s="100">
        <f ca="1">_xll.meDateFromTenor(S92,"1D","FOLLOWING",T$12)</f>
        <v>42622</v>
      </c>
      <c r="T93" s="13">
        <f ca="1">_xll.meDateFromTenor(S93,T$14,T$11,T$12)</f>
        <v>42989</v>
      </c>
      <c r="U93" s="98">
        <f ca="1"/>
        <v>-2.2354935830730231E-4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-3.6542783698888331E-3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-1.7882007703174442E-3</v>
      </c>
      <c r="R94" s="5" t="s">
        <v>4</v>
      </c>
      <c r="S94" s="100">
        <f ca="1">_xll.meDateFromTenor(S93,"1D","FOLLOWING",T$12)</f>
        <v>42625</v>
      </c>
      <c r="T94" s="13">
        <f ca="1">_xll.meDateFromTenor(S94,T$14,T$11,T$12)</f>
        <v>42990</v>
      </c>
      <c r="U94" s="98">
        <f ca="1"/>
        <v>-2.2546868687378017E-4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-3.6558818404075198E-3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-1.7891370061003198E-3</v>
      </c>
      <c r="R95" s="5" t="s">
        <v>4</v>
      </c>
      <c r="S95" s="100">
        <f ca="1">_xll.meDateFromTenor(S94,"1D","FOLLOWING",T$12)</f>
        <v>42626</v>
      </c>
      <c r="T95" s="13">
        <f ca="1">_xll.meDateFromTenor(S95,T$14,T$11,T$12)</f>
        <v>42991</v>
      </c>
      <c r="U95" s="98">
        <f ca="1"/>
        <v>-2.2610234528328325E-4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-3.6574847354766313E-3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-1.7900265547318146E-3</v>
      </c>
      <c r="R96" s="5" t="s">
        <v>4</v>
      </c>
      <c r="S96" s="100">
        <f ca="1">_xll.meDateFromTenor(S95,"1D","FOLLOWING",T$12)</f>
        <v>42627</v>
      </c>
      <c r="T96" s="13">
        <f ca="1">_xll.meDateFromTenor(S96,T$14,T$11,T$12)</f>
        <v>42992</v>
      </c>
      <c r="U96" s="98">
        <f ca="1"/>
        <v>-2.2673289449243975E-4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-3.6590871056312517E-3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-1.7908689629386146E-3</v>
      </c>
      <c r="R97" s="5" t="s">
        <v>4</v>
      </c>
      <c r="S97" s="100">
        <f ca="1">_xll.meDateFromTenor(S96,"1D","FOLLOWING",T$12)</f>
        <v>42628</v>
      </c>
      <c r="T97" s="13">
        <f ca="1">_xll.meDateFromTenor(S97,T$14,T$11,T$12)</f>
        <v>42993</v>
      </c>
      <c r="U97" s="98">
        <f ca="1"/>
        <v>-2.2736030431483848E-4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-3.6606890014064652E-3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-1.7916637774474055E-3</v>
      </c>
      <c r="R98" s="5" t="s">
        <v>4</v>
      </c>
      <c r="S98" s="100">
        <f ca="1">_xll.meDateFromTenor(S97,"1D","FOLLOWING",T$12)</f>
        <v>42629</v>
      </c>
      <c r="T98" s="13">
        <f ca="1">_xll.meDateFromTenor(S98,T$14,T$11,T$12)</f>
        <v>42996</v>
      </c>
      <c r="U98" s="98">
        <f ca="1"/>
        <v>-2.2798454456406835E-4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-3.6654923478065139E-3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-1.7937581260525784E-3</v>
      </c>
      <c r="R99" s="5" t="s">
        <v>4</v>
      </c>
      <c r="S99" s="100">
        <f ca="1">_xll.meDateFromTenor(S98,"1D","FOLLOWING",T$12)</f>
        <v>42632</v>
      </c>
      <c r="T99" s="13">
        <f ca="1">_xll.meDateFromTenor(S99,T$14,T$11,T$12)</f>
        <v>42997</v>
      </c>
      <c r="U99" s="98">
        <f ca="1"/>
        <v>-2.2983794600863323E-4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-3.6670928514149471E-3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-1.7943580330361884E-3</v>
      </c>
      <c r="R100" s="5" t="s">
        <v>4</v>
      </c>
      <c r="S100" s="100">
        <f ca="1">_xll.meDateFromTenor(S99,"1D","FOLLOWING",T$12)</f>
        <v>42633</v>
      </c>
      <c r="T100" s="13">
        <f ca="1">_xll.meDateFromTenor(S100,T$14,T$11,T$12)</f>
        <v>42998</v>
      </c>
      <c r="U100" s="98">
        <f ca="1"/>
        <v>-2.3044920610107618E-4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-3.6686931333193974E-3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-1.7949080799552172E-3</v>
      </c>
      <c r="R101" s="5" t="s">
        <v>4</v>
      </c>
      <c r="S101" s="100">
        <f ca="1">_xll.meDateFromTenor(S100,"1D","FOLLOWING",T$12)</f>
        <v>42634</v>
      </c>
      <c r="T101" s="13">
        <f ca="1">_xll.meDateFromTenor(S101,T$14,T$11,T$12)</f>
        <v>42999</v>
      </c>
      <c r="U101" s="98">
        <f ca="1"/>
        <v>-2.3105714568829461E-4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-3.6702932440549484E-3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-1.7954078135363506E-3</v>
      </c>
      <c r="R102" s="5" t="s">
        <v>4</v>
      </c>
      <c r="S102" s="100">
        <f ca="1">_xll.meDateFromTenor(S101,"1D","FOLLOWING",T$12)</f>
        <v>42635</v>
      </c>
      <c r="T102" s="13">
        <f ca="1">_xll.meDateFromTenor(S102,T$14,T$11,T$12)</f>
        <v>43000</v>
      </c>
      <c r="U102" s="98">
        <f ca="1"/>
        <v>-2.3166173458387732E-4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-3.6718932341566861E-3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-1.7958567805062739E-3</v>
      </c>
      <c r="R103" s="5" t="s">
        <v>4</v>
      </c>
      <c r="S103" s="100">
        <f ca="1">_xll.meDateFromTenor(S102,"1D","FOLLOWING",T$12)</f>
        <v>42636</v>
      </c>
      <c r="T103" s="13">
        <f ca="1">_xll.meDateFromTenor(S103,T$14,T$11,T$12)</f>
        <v>43003</v>
      </c>
      <c r="U103" s="98">
        <f ca="1"/>
        <v>-2.322629426014133E-4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-3.6766929860098554E-3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-1.7968945490156409E-3</v>
      </c>
      <c r="R104" s="5" t="s">
        <v>4</v>
      </c>
      <c r="S104" s="100">
        <f ca="1">_xll.meDateFromTenor(S103,"1D","FOLLOWING",T$12)</f>
        <v>42639</v>
      </c>
      <c r="T104" s="13">
        <f ca="1">_xll.meDateFromTenor(S104,T$14,T$11,T$12)</f>
        <v>43004</v>
      </c>
      <c r="U104" s="98">
        <f ca="1"/>
        <v>-2.3404597952162879E-4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-3.6782929989271807E-3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-1.7971359168075815E-3</v>
      </c>
      <c r="R105" s="5" t="s">
        <v>4</v>
      </c>
      <c r="S105" s="100">
        <f ca="1">_xll.meDateFromTenor(S104,"1D","FOLLOWING",T$12)</f>
        <v>42640</v>
      </c>
      <c r="T105" s="13">
        <f ca="1">_xll.meDateFromTenor(S105,T$14,T$11,T$12)</f>
        <v>43005</v>
      </c>
      <c r="U105" s="98">
        <f ca="1"/>
        <v>-2.3463336216286614E-4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-3.679893143886114E-3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-1.7973242516217396E-3</v>
      </c>
      <c r="R106" s="5" t="s">
        <v>4</v>
      </c>
      <c r="S106" s="100">
        <f ca="1">_xll.meDateFromTenor(S105,"1D","FOLLOWING",T$12)</f>
        <v>42641</v>
      </c>
      <c r="T106" s="13">
        <f ca="1">_xll.meDateFromTenor(S106,T$14,T$11,T$12)</f>
        <v>43006</v>
      </c>
      <c r="U106" s="98">
        <f ca="1"/>
        <v>-2.3521721299400098E-4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-3.6814934714217411E-3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-1.797459100184802E-3</v>
      </c>
      <c r="R107" s="5" t="s">
        <v>4</v>
      </c>
      <c r="S107" s="100">
        <f ca="1">_xll.meDateFromTenor(S106,"1D","FOLLOWING",T$12)</f>
        <v>42642</v>
      </c>
      <c r="T107" s="13">
        <f ca="1">_xll.meDateFromTenor(S107,T$14,T$11,T$12)</f>
        <v>43007</v>
      </c>
      <c r="U107" s="98">
        <f ca="1"/>
        <v>-2.3579750182862232E-4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-3.6830940320691456E-3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-1.7975400092234538E-3</v>
      </c>
      <c r="R108" s="5" t="s">
        <v>4</v>
      </c>
      <c r="S108" s="100">
        <f ca="1">_xll.meDateFromTenor(S107,"1D","FOLLOWING",T$12)</f>
        <v>42643</v>
      </c>
      <c r="T108" s="13">
        <f ca="1">_xll.meDateFromTenor(S108,T$14,T$11,T$12)</f>
        <v>43007</v>
      </c>
      <c r="U108" s="98">
        <f ca="1"/>
        <v>-2.3637419848031877E-4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-3.6878976180328722E-3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-1.7974545664598022E-3</v>
      </c>
      <c r="R109" s="5" t="s">
        <v>4</v>
      </c>
      <c r="S109" s="100">
        <f ca="1">_xll.meDateFromTenor(S108,"1D","FOLLOWING",T$12)</f>
        <v>42646</v>
      </c>
      <c r="T109" s="13">
        <f ca="1">_xll.meDateFromTenor(S109,T$14,T$11,T$12)</f>
        <v>43011</v>
      </c>
      <c r="U109" s="98">
        <f ca="1"/>
        <v>-2.3808243347374852E-4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-3.6894995771649341E-3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-1.7973151846676686E-3</v>
      </c>
      <c r="R110" s="5" t="s">
        <v>4</v>
      </c>
      <c r="S110" s="100">
        <f ca="1">_xll.meDateFromTenor(S109,"1D","FOLLOWING",T$12)</f>
        <v>42647</v>
      </c>
      <c r="T110" s="13">
        <f ca="1">_xll.meDateFromTenor(S110,T$14,T$11,T$12)</f>
        <v>43012</v>
      </c>
      <c r="U110" s="98">
        <f ca="1"/>
        <v>-2.3864445952963474E-4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-3.6911017862044024E-3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-1.7971195969845521E-3</v>
      </c>
      <c r="R111" s="5" t="s">
        <v>4</v>
      </c>
      <c r="S111" s="100">
        <f ca="1">_xll.meDateFromTenor(S110,"1D","FOLLOWING",T$12)</f>
        <v>42648</v>
      </c>
      <c r="T111" s="13">
        <f ca="1">_xll.meDateFromTenor(S111,T$14,T$11,T$12)</f>
        <v>43013</v>
      </c>
      <c r="U111" s="98">
        <f ca="1"/>
        <v>-2.3920274247054055E-4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-3.6927040598065649E-3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-1.7968673501371391E-3</v>
      </c>
      <c r="R112" s="5" t="s">
        <v>4</v>
      </c>
      <c r="S112" s="100">
        <f ca="1">_xll.meDateFromTenor(S111,"1D","FOLLOWING",T$12)</f>
        <v>42649</v>
      </c>
      <c r="T112" s="13">
        <f ca="1">_xll.meDateFromTenor(S112,T$14,T$11,T$12)</f>
        <v>43014</v>
      </c>
      <c r="U112" s="98">
        <f ca="1"/>
        <v>-2.3975725211005484E-4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-3.6943062126267106E-3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-1.7965579908521148E-3</v>
      </c>
      <c r="R113" s="5" t="s">
        <v>4</v>
      </c>
      <c r="S113" s="100">
        <f ca="1">_xll.meDateFromTenor(S112,"1D","FOLLOWING",T$12)</f>
        <v>42650</v>
      </c>
      <c r="T113" s="13">
        <f ca="1">_xll.meDateFromTenor(S113,T$14,T$11,T$12)</f>
        <v>43017</v>
      </c>
      <c r="U113" s="98">
        <f ca="1"/>
        <v>-2.4030795826176647E-4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-3.699110092947946E-3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-1.7952827056382319E-3</v>
      </c>
      <c r="R114" s="5" t="s">
        <v>4</v>
      </c>
      <c r="S114" s="100">
        <f ca="1">_xll.meDateFromTenor(S113,"1D","FOLLOWING",T$12)</f>
        <v>42653</v>
      </c>
      <c r="T114" s="13">
        <f ca="1">_xll.meDateFromTenor(S114,T$14,T$11,T$12)</f>
        <v>43018</v>
      </c>
      <c r="U114" s="98">
        <f ca="1"/>
        <v>-2.4193695392597396E-4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-3.7007099091929205E-3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-1.7947403638696193E-3</v>
      </c>
      <c r="R115" s="5" t="s">
        <v>4</v>
      </c>
      <c r="S115" s="100">
        <f ca="1">_xll.meDateFromTenor(S114,"1D","FOLLOWING",T$12)</f>
        <v>42654</v>
      </c>
      <c r="T115" s="13">
        <f ca="1">_xll.meDateFromTenor(S115,T$14,T$11,T$12)</f>
        <v>43019</v>
      </c>
      <c r="U115" s="98">
        <f ca="1"/>
        <v>-2.4247214426236364E-4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-3.7023086779323249E-3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-1.7941386432968238E-3</v>
      </c>
      <c r="R116" s="5" t="s">
        <v>4</v>
      </c>
      <c r="S116" s="100">
        <f ca="1">_xll.meDateFromTenor(S115,"1D","FOLLOWING",T$12)</f>
        <v>42655</v>
      </c>
      <c r="T116" s="13">
        <f ca="1">_xll.meDateFromTenor(S116,T$14,T$11,T$12)</f>
        <v>43020</v>
      </c>
      <c r="U116" s="98">
        <f ca="1"/>
        <v>-2.4300338017889492E-4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-3.7039062138214496E-3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-1.7934770906465312E-3</v>
      </c>
      <c r="R117" s="5" t="s">
        <v>4</v>
      </c>
      <c r="S117" s="100">
        <f ca="1">_xll.meDateFromTenor(S116,"1D","FOLLOWING",T$12)</f>
        <v>42656</v>
      </c>
      <c r="T117" s="13">
        <f ca="1">_xll.meDateFromTenor(S117,T$14,T$11,T$12)</f>
        <v>43021</v>
      </c>
      <c r="U117" s="98">
        <f ca="1"/>
        <v>-2.4353063148915675E-4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-3.7055023315155831E-3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-1.7927552526454268E-3</v>
      </c>
      <c r="R118" s="5" t="s">
        <v>4</v>
      </c>
      <c r="S118" s="100">
        <f ca="1">_xll.meDateFromTenor(S117,"1D","FOLLOWING",T$12)</f>
        <v>42657</v>
      </c>
      <c r="T118" s="13">
        <f ca="1">_xll.meDateFromTenor(S118,T$14,T$11,T$12)</f>
        <v>43024</v>
      </c>
      <c r="U118" s="98">
        <f ca="1"/>
        <v>-2.4405386800673798E-4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-3.7102803219809261E-3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-1.790223493804099E-3</v>
      </c>
      <c r="R119" s="5" t="s">
        <v>4</v>
      </c>
      <c r="S119" s="100">
        <f ca="1">_xll.meDateFromTenor(S118,"1D","FOLLOWING",T$12)</f>
        <v>42660</v>
      </c>
      <c r="T119" s="13">
        <f ca="1">_xll.meDateFromTenor(S119,T$14,T$11,T$12)</f>
        <v>43025</v>
      </c>
      <c r="U119" s="98">
        <f ca="1"/>
        <v>-2.4559918693928685E-4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-3.7118689134479858E-3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-1.7892559816666039E-3</v>
      </c>
      <c r="R120" s="5" t="s">
        <v>4</v>
      </c>
      <c r="S120" s="100">
        <f ca="1">_xll.meDateFromTenor(S119,"1D","FOLLOWING",T$12)</f>
        <v>42661</v>
      </c>
      <c r="T120" s="13">
        <f ca="1">_xll.meDateFromTenor(S120,T$14,T$11,T$12)</f>
        <v>43026</v>
      </c>
      <c r="U120" s="98">
        <f ca="1"/>
        <v>-2.4610606242203434E-4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-3.7134551599965018E-3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-1.7882259178117249E-3</v>
      </c>
      <c r="R121" s="5" t="s">
        <v>4</v>
      </c>
      <c r="S121" s="100">
        <f ca="1">_xll.meDateFromTenor(S120,"1D","FOLLOWING",T$12)</f>
        <v>42662</v>
      </c>
      <c r="T121" s="13">
        <f ca="1">_xll.meDateFromTenor(S121,T$14,T$11,T$12)</f>
        <v>43027</v>
      </c>
      <c r="U121" s="98">
        <f ca="1"/>
        <v>-2.4660877218004565E-4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-3.7150388762817606E-3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-1.7871328489661483E-3</v>
      </c>
      <c r="R122" s="5" t="s">
        <v>4</v>
      </c>
      <c r="S122" s="100">
        <f ca="1">_xll.meDateFromTenor(S121,"1D","FOLLOWING",T$12)</f>
        <v>42663</v>
      </c>
      <c r="T122" s="13">
        <f ca="1">_xll.meDateFromTenor(S122,T$14,T$11,T$12)</f>
        <v>43028</v>
      </c>
      <c r="U122" s="98">
        <f ca="1"/>
        <v>-2.4710728602690956E-4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-3.7166198769590544E-3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-1.7859763218565589E-3</v>
      </c>
      <c r="R123" s="5" t="s">
        <v>4</v>
      </c>
      <c r="S123" s="100">
        <f ca="1">_xll.meDateFromTenor(S122,"1D","FOLLOWING",T$12)</f>
        <v>42664</v>
      </c>
      <c r="T123" s="13">
        <f ca="1">_xll.meDateFromTenor(S123,T$14,T$11,T$12)</f>
        <v>43031</v>
      </c>
      <c r="U123" s="98">
        <f ca="1"/>
        <v>-2.4760157377621498E-4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-3.721344731896027E-3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-1.7821214582105737E-3</v>
      </c>
      <c r="R124" s="5" t="s">
        <v>4</v>
      </c>
      <c r="S124" s="100">
        <f ca="1">_xll.meDateFromTenor(S123,"1D","FOLLOWING",T$12)</f>
        <v>42667</v>
      </c>
      <c r="T124" s="13">
        <f ca="1">_xll.meDateFromTenor(S124,T$14,T$11,T$12)</f>
        <v>43032</v>
      </c>
      <c r="U124" s="98">
        <f ca="1"/>
        <v>-2.4905877857466863E-4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-3.7229130166943473E-3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-1.7807065653117917E-3</v>
      </c>
      <c r="R125" s="5" t="s">
        <v>4</v>
      </c>
      <c r="S125" s="100">
        <f ca="1">_xll.meDateFromTenor(S124,"1D","FOLLOWING",T$12)</f>
        <v>42668</v>
      </c>
      <c r="T125" s="13">
        <f ca="1">_xll.meDateFromTenor(S125,T$14,T$11,T$12)</f>
        <v>43033</v>
      </c>
      <c r="U125" s="98">
        <f ca="1"/>
        <v>-2.4953586006962858E-4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-3.7244776591611461E-3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-1.779225947782425E-3</v>
      </c>
      <c r="R126" s="5" t="s">
        <v>4</v>
      </c>
      <c r="S126" s="100">
        <f ca="1">_xll.meDateFromTenor(S125,"1D","FOLLOWING",T$12)</f>
        <v>42669</v>
      </c>
      <c r="T126" s="13">
        <f ca="1">_xll.meDateFromTenor(S126,T$14,T$11,T$12)</f>
        <v>43034</v>
      </c>
      <c r="U126" s="98">
        <f ca="1"/>
        <v>-2.5000856453497445E-4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-3.7260384739517152E-3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-1.7776791523491599E-3</v>
      </c>
      <c r="R127" s="5" t="s">
        <v>4</v>
      </c>
      <c r="S127" s="100">
        <f ca="1">_xll.meDateFromTenor(S126,"1D","FOLLOWING",T$12)</f>
        <v>42670</v>
      </c>
      <c r="T127" s="13">
        <f ca="1">_xll.meDateFromTenor(S127,T$14,T$11,T$12)</f>
        <v>43035</v>
      </c>
      <c r="U127" s="98">
        <f ca="1"/>
        <v>-2.5047686178429493E-4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-3.7275952757213427E-3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-1.7760657257386819E-3</v>
      </c>
      <c r="R128" s="5" t="s">
        <v>4</v>
      </c>
      <c r="S128" s="100">
        <f ca="1">_xll.meDateFromTenor(S127,"1D","FOLLOWING",T$12)</f>
        <v>42671</v>
      </c>
      <c r="T128" s="13">
        <f ca="1">_xll.meDateFromTenor(S128,T$14,T$11,T$12)</f>
        <v>43038</v>
      </c>
      <c r="U128" s="98">
        <f ca="1"/>
        <v>-2.5094072163117897E-4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-3.7322397494574657E-3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-1.7708211261108261E-3</v>
      </c>
      <c r="R129" s="5" t="s">
        <v>4</v>
      </c>
      <c r="S129" s="100">
        <f ca="1">_xll.meDateFromTenor(S128,"1D","FOLLOWING",T$12)</f>
        <v>42674</v>
      </c>
      <c r="T129" s="13">
        <f ca="1">_xll.meDateFromTenor(S129,T$14,T$11,T$12)</f>
        <v>43039</v>
      </c>
      <c r="U129" s="98">
        <f ca="1"/>
        <v>-2.5230537489310108E-4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-3.7337786456962184E-3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-1.7689366420583523E-3</v>
      </c>
      <c r="R130" s="5" t="s">
        <v>4</v>
      </c>
      <c r="S130" s="100">
        <f ca="1">_xll.meDateFromTenor(S129,"1D","FOLLOWING",T$12)</f>
        <v>42675</v>
      </c>
      <c r="T130" s="13">
        <f ca="1">_xll.meDateFromTenor(S130,T$14,T$11,T$12)</f>
        <v>43040</v>
      </c>
      <c r="U130" s="98">
        <f ca="1"/>
        <v>-2.5275118326612803E-4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-3.7353126021904761E-3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-1.7669832604620939E-3</v>
      </c>
      <c r="R131" s="5" t="s">
        <v>4</v>
      </c>
      <c r="S131" s="100">
        <f ca="1">_xll.meDateFromTenor(S130,"1D","FOLLOWING",T$12)</f>
        <v>42676</v>
      </c>
      <c r="T131" s="13">
        <f ca="1">_xll.meDateFromTenor(S131,T$14,T$11,T$12)</f>
        <v>43041</v>
      </c>
      <c r="U131" s="98">
        <f ca="1"/>
        <v>-2.5319240330466284E-4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-3.7368416033131862E-3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-1.7649605280487359E-3</v>
      </c>
      <c r="R132" s="5" t="s">
        <v>4</v>
      </c>
      <c r="S132" s="100">
        <f ca="1">_xll.meDateFromTenor(S131,"1D","FOLLOWING",T$12)</f>
        <v>42677</v>
      </c>
      <c r="T132" s="13">
        <f ca="1">_xll.meDateFromTenor(S132,T$14,T$11,T$12)</f>
        <v>43042</v>
      </c>
      <c r="U132" s="98">
        <f ca="1"/>
        <v>-2.5362900482229448E-4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-3.7383663123079286E-3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-1.7628679915449646E-3</v>
      </c>
      <c r="R133" s="5" t="s">
        <v>4</v>
      </c>
      <c r="S133" s="100">
        <f ca="1">_xll.meDateFromTenor(S132,"1D","FOLLOWING",T$12)</f>
        <v>42678</v>
      </c>
      <c r="T133" s="13">
        <f ca="1">_xll.meDateFromTenor(S133,T$14,T$11,T$12)</f>
        <v>43045</v>
      </c>
      <c r="U133" s="98">
        <f ca="1"/>
        <v>-2.5406095763261168E-4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-3.7429230161367473E-3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-1.7561670247580254E-3</v>
      </c>
      <c r="R134" s="5" t="s">
        <v>4</v>
      </c>
      <c r="S134" s="100">
        <f ca="1">_xll.meDateFromTenor(S133,"1D","FOLLOWING",T$12)</f>
        <v>42681</v>
      </c>
      <c r="T134" s="13">
        <f ca="1">_xll.meDateFromTenor(S134,T$14,T$11,T$12)</f>
        <v>43046</v>
      </c>
      <c r="U134" s="98">
        <f ca="1"/>
        <v>-2.553286219555658E-4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-3.7444388862320145E-3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-1.7537907391594557E-3</v>
      </c>
      <c r="R135" s="5" t="s">
        <v>4</v>
      </c>
      <c r="S135" s="100">
        <f ca="1">_xll.meDateFromTenor(S134,"1D","FOLLOWING",T$12)</f>
        <v>42682</v>
      </c>
      <c r="T135" s="13">
        <f ca="1">_xll.meDateFromTenor(S135,T$14,T$11,T$12)</f>
        <v>43047</v>
      </c>
      <c r="U135" s="98">
        <f ca="1"/>
        <v>-2.5574167807251424E-4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-3.7459546290055101E-3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-1.7513423831039007E-3</v>
      </c>
      <c r="R136" s="5" t="s">
        <v>4</v>
      </c>
      <c r="S136" s="100">
        <f ca="1">_xll.meDateFromTenor(S135,"1D","FOLLOWING",T$12)</f>
        <v>42683</v>
      </c>
      <c r="T136" s="13">
        <f ca="1">_xll.meDateFromTenor(S136,T$14,T$11,T$12)</f>
        <v>43048</v>
      </c>
      <c r="U136" s="98">
        <f ca="1"/>
        <v>-2.5614993455009264E-4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-3.747471077418474E-3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-1.7488215033180463E-3</v>
      </c>
      <c r="R137" s="5" t="s">
        <v>4</v>
      </c>
      <c r="S137" s="100">
        <f ca="1">_xll.meDateFromTenor(S136,"1D","FOLLOWING",T$12)</f>
        <v>42684</v>
      </c>
      <c r="T137" s="13">
        <f ca="1">_xll.meDateFromTenor(S137,T$14,T$11,T$12)</f>
        <v>43049</v>
      </c>
      <c r="U137" s="98">
        <f ca="1"/>
        <v>-2.5655336120188987E-4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-3.7489890644321461E-3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-1.7462276465285771E-3</v>
      </c>
      <c r="R138" s="5" t="s">
        <v>4</v>
      </c>
      <c r="S138" s="100">
        <f ca="1">_xll.meDateFromTenor(S137,"1D","FOLLOWING",T$12)</f>
        <v>42685</v>
      </c>
      <c r="T138" s="13">
        <f ca="1">_xll.meDateFromTenor(S138,T$14,T$11,T$12)</f>
        <v>43052</v>
      </c>
      <c r="U138" s="98">
        <f ca="1"/>
        <v>-2.5695192784149482E-4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-3.753560586689797E-3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-1.7380036814053413E-3</v>
      </c>
      <c r="R139" s="5" t="s">
        <v>4</v>
      </c>
      <c r="S139" s="100">
        <f ca="1">_xll.meDateFromTenor(S138,"1D","FOLLOWING",T$12)</f>
        <v>42688</v>
      </c>
      <c r="T139" s="13">
        <f ca="1">_xll.meDateFromTenor(S139,T$14,T$11,T$12)</f>
        <v>43053</v>
      </c>
      <c r="U139" s="98">
        <f ca="1"/>
        <v>-2.5811816582304442E-4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-3.7550930577186902E-3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-1.7351133838682715E-3</v>
      </c>
      <c r="R140" s="5" t="s">
        <v>4</v>
      </c>
      <c r="S140" s="100">
        <f ca="1">_xll.meDateFromTenor(S139,"1D","FOLLOWING",T$12)</f>
        <v>42689</v>
      </c>
      <c r="T140" s="13">
        <f ca="1">_xll.meDateFromTenor(S140,T$14,T$11,T$12)</f>
        <v>43054</v>
      </c>
      <c r="U140" s="98">
        <f ca="1"/>
        <v>-2.5849699054976888E-4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-3.7566312321544869E-3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-1.7321478429610162E-3</v>
      </c>
      <c r="R141" s="5" t="s">
        <v>4</v>
      </c>
      <c r="S141" s="100">
        <f ca="1">_xll.meDateFromTenor(S140,"1D","FOLLOWING",T$12)</f>
        <v>42690</v>
      </c>
      <c r="T141" s="13">
        <f ca="1">_xll.meDateFromTenor(S141,T$14,T$11,T$12)</f>
        <v>43055</v>
      </c>
      <c r="U141" s="98">
        <f ca="1"/>
        <v>-2.588708043322453E-4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-3.7581759429584256E-3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-1.7291066054102599E-3</v>
      </c>
      <c r="R142" s="5" t="s">
        <v>4</v>
      </c>
      <c r="S142" s="100">
        <f ca="1">_xll.meDateFromTenor(S141,"1D","FOLLOWING",T$12)</f>
        <v>42691</v>
      </c>
      <c r="T142" s="13">
        <f ca="1">_xll.meDateFromTenor(S142,T$14,T$11,T$12)</f>
        <v>43056</v>
      </c>
      <c r="U142" s="98">
        <f ca="1"/>
        <v>-2.5923957698406266E-4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-3.7597280230917468E-3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-1.7259892179426893E-3</v>
      </c>
      <c r="R143" s="5" t="s">
        <v>4</v>
      </c>
      <c r="S143" s="100">
        <f ca="1">_xll.meDateFromTenor(S142,"1D","FOLLOWING",T$12)</f>
        <v>42692</v>
      </c>
      <c r="T143" s="13">
        <f ca="1">_xll.meDateFromTenor(S143,T$14,T$11,T$12)</f>
        <v>43059</v>
      </c>
      <c r="U143" s="98">
        <f ca="1"/>
        <v>-2.596032783188098E-4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-3.7644368090803911E-3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-1.7161756233059437E-3</v>
      </c>
      <c r="R144" s="5" t="s">
        <v>4</v>
      </c>
      <c r="S144" s="100">
        <f ca="1">_xll.meDateFromTenor(S143,"1D","FOLLOWING",T$12)</f>
        <v>42695</v>
      </c>
      <c r="T144" s="13">
        <f ca="1">_xll.meDateFromTenor(S144,T$14,T$11,T$12)</f>
        <v>43060</v>
      </c>
      <c r="U144" s="98">
        <f ca="1"/>
        <v>-2.6066365255651859E-4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-3.7660266961436306E-3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-1.71274910343797E-3</v>
      </c>
      <c r="R145" s="5" t="s">
        <v>4</v>
      </c>
      <c r="S145" s="100">
        <f ca="1">_xll.meDateFromTenor(S144,"1D","FOLLOWING",T$12)</f>
        <v>42696</v>
      </c>
      <c r="T145" s="13">
        <f ca="1">_xll.meDateFromTenor(S145,T$14,T$11,T$12)</f>
        <v>43061</v>
      </c>
      <c r="U145" s="98">
        <f ca="1"/>
        <v>-2.610067667588735E-4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-3.7676281173424481E-3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-1.7092441672866092E-3</v>
      </c>
      <c r="R146" s="5" t="s">
        <v>4</v>
      </c>
      <c r="S146" s="100">
        <f ca="1">_xll.meDateFromTenor(S145,"1D","FOLLOWING",T$12)</f>
        <v>42697</v>
      </c>
      <c r="T146" s="13">
        <f ca="1">_xll.meDateFromTenor(S146,T$14,T$11,T$12)</f>
        <v>43062</v>
      </c>
      <c r="U146" s="98">
        <f ca="1"/>
        <v>-2.6134465871210255E-4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-3.7692419056380815E-3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-1.7056603615785476E-3</v>
      </c>
      <c r="R147" s="5" t="s">
        <v>4</v>
      </c>
      <c r="S147" s="100">
        <f ca="1">_xll.meDateFromTenor(S146,"1D","FOLLOWING",T$12)</f>
        <v>42698</v>
      </c>
      <c r="T147" s="13">
        <f ca="1">_xll.meDateFromTenor(S147,T$14,T$11,T$12)</f>
        <v>43063</v>
      </c>
      <c r="U147" s="98">
        <f ca="1"/>
        <v>-2.6167729822979457E-4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-3.7708688939917718E-3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-1.7019972330404702E-3</v>
      </c>
      <c r="R148" s="5" t="s">
        <v>4</v>
      </c>
      <c r="S148" s="100">
        <f ca="1">_xll.meDateFromTenor(S147,"1D","FOLLOWING",T$12)</f>
        <v>42699</v>
      </c>
      <c r="T148" s="13">
        <f ca="1">_xll.meDateFromTenor(S148,T$14,T$11,T$12)</f>
        <v>43066</v>
      </c>
      <c r="U148" s="98">
        <f ca="1"/>
        <v>-2.6200465512553843E-4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-3.7758373890135711E-3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-1.6905273777130028E-3</v>
      </c>
      <c r="R149" s="5" t="s">
        <v>4</v>
      </c>
      <c r="S149" s="100">
        <f ca="1">_xll.meDateFromTenor(S148,"1D","FOLLOWING",T$12)</f>
        <v>42702</v>
      </c>
      <c r="T149" s="13">
        <f ca="1">_xll.meDateFromTenor(S149,T$14,T$11,T$12)</f>
        <v>43067</v>
      </c>
      <c r="U149" s="98">
        <f ca="1"/>
        <v>-2.6295472821696983E-4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-3.777525507211877E-3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-1.6865424251217198E-3</v>
      </c>
      <c r="R150" s="5" t="s">
        <v>4</v>
      </c>
      <c r="S150" s="100">
        <f ca="1">_xll.meDateFromTenor(S149,"1D","FOLLOWING",T$12)</f>
        <v>42703</v>
      </c>
      <c r="T150" s="13">
        <f ca="1">_xll.meDateFromTenor(S150,T$14,T$11,T$12)</f>
        <v>43068</v>
      </c>
      <c r="U150" s="98">
        <f ca="1"/>
        <v>-2.6326065276080978E-4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-3.779230990274436E-3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-1.6824758833338502E-3</v>
      </c>
      <c r="R151" s="5" t="s">
        <v>4</v>
      </c>
      <c r="S151" s="100">
        <f ca="1">_xll.meDateFromTenor(S150,"1D","FOLLOWING",T$12)</f>
        <v>42704</v>
      </c>
      <c r="T151" s="13">
        <f ca="1">_xll.meDateFromTenor(S151,T$14,T$11,T$12)</f>
        <v>43069</v>
      </c>
      <c r="U151" s="98">
        <f ca="1"/>
        <v>-2.6356114375064593E-4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-3.7809546711624854E-3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-1.6783272990760786E-3</v>
      </c>
      <c r="R152" s="5" t="s">
        <v>4</v>
      </c>
      <c r="S152" s="100">
        <f ca="1">_xll.meDateFromTenor(S151,"1D","FOLLOWING",T$12)</f>
        <v>42705</v>
      </c>
      <c r="T152" s="13">
        <f ca="1">_xll.meDateFromTenor(S152,T$14,T$11,T$12)</f>
        <v>43070</v>
      </c>
      <c r="U152" s="98">
        <f ca="1"/>
        <v>-2.6385617100006711E-4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-3.7826973828372652E-3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-1.6740962190750907E-3</v>
      </c>
      <c r="R153" s="5" t="s">
        <v>4</v>
      </c>
      <c r="S153" s="100">
        <f ca="1">_xll.meDateFromTenor(S152,"1D","FOLLOWING",T$12)</f>
        <v>42706</v>
      </c>
      <c r="T153" s="13">
        <f ca="1">_xll.meDateFromTenor(S153,T$14,T$11,T$12)</f>
        <v>43073</v>
      </c>
      <c r="U153" s="98">
        <f ca="1"/>
        <v>-2.6414570432266229E-4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-3.78803702106009E-3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-1.6609154823355996E-3</v>
      </c>
      <c r="R154" s="5" t="s">
        <v>4</v>
      </c>
      <c r="S154" s="100">
        <f ca="1">_xll.meDateFromTenor(S153,"1D","FOLLOWING",T$12)</f>
        <v>42709</v>
      </c>
      <c r="T154" s="13">
        <f ca="1">_xll.meDateFromTenor(S154,T$14,T$11,T$12)</f>
        <v>43074</v>
      </c>
      <c r="U154" s="98">
        <f ca="1"/>
        <v>-2.6498103886537984E-4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-3.7898490961620107E-3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-1.6563663454015204E-3</v>
      </c>
      <c r="R155" s="5" t="s">
        <v>4</v>
      </c>
      <c r="S155" s="100">
        <f ca="1">_xll.meDateFromTenor(S154,"1D","FOLLOWING",T$12)</f>
        <v>42710</v>
      </c>
      <c r="T155" s="13">
        <f ca="1">_xll.meDateFromTenor(S155,T$14,T$11,T$12)</f>
        <v>43075</v>
      </c>
      <c r="U155" s="98">
        <f ca="1"/>
        <v>-2.6524829461655933E-4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-3.7916745791819347E-3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-1.6517431223184642E-3</v>
      </c>
      <c r="R156" s="5" t="s">
        <v>4</v>
      </c>
      <c r="S156" s="100">
        <f ca="1">_xll.meDateFromTenor(S155,"1D","FOLLOWING",T$12)</f>
        <v>42711</v>
      </c>
      <c r="T156" s="13">
        <f ca="1">_xll.meDateFromTenor(S156,T$14,T$11,T$12)</f>
        <v>43076</v>
      </c>
      <c r="U156" s="98">
        <f ca="1"/>
        <v>-2.6550990550885711E-4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-3.7935118561623691E-3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-1.6470480288033186E-3</v>
      </c>
      <c r="R157" s="5" t="s">
        <v>4</v>
      </c>
      <c r="S157" s="100">
        <f ca="1">_xll.meDateFromTenor(S156,"1D","FOLLOWING",T$12)</f>
        <v>42712</v>
      </c>
      <c r="T157" s="13">
        <f ca="1">_xll.meDateFromTenor(S157,T$14,T$11,T$12)</f>
        <v>43077</v>
      </c>
      <c r="U157" s="98">
        <f ca="1"/>
        <v>-2.6576584135586199E-4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-3.7953593131458234E-3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-1.6422832805729731E-3</v>
      </c>
      <c r="R158" s="5" t="s">
        <v>4</v>
      </c>
      <c r="S158" s="100">
        <f ca="1">_xll.meDateFromTenor(S157,"1D","FOLLOWING",T$12)</f>
        <v>42713</v>
      </c>
      <c r="T158" s="13">
        <f ca="1">_xll.meDateFromTenor(S158,T$14,T$11,T$12)</f>
        <v>43080</v>
      </c>
      <c r="U158" s="98">
        <f ca="1"/>
        <v>-2.6601607197116291E-4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-3.8009466245393919E-3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-1.6275932647596149E-3</v>
      </c>
      <c r="R159" s="5" t="s">
        <v>4</v>
      </c>
      <c r="S159" s="100">
        <f ca="1">_xll.meDateFromTenor(S158,"1D","FOLLOWING",T$12)</f>
        <v>42716</v>
      </c>
      <c r="T159" s="13">
        <f ca="1">_xll.meDateFromTenor(S159,T$14,T$11,T$12)</f>
        <v>43081</v>
      </c>
      <c r="U159" s="98">
        <f ca="1"/>
        <v>-2.6673223056273031E-4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-3.8028186619600106E-3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-1.6225720548373502E-3</v>
      </c>
      <c r="R160" s="5" t="s">
        <v>4</v>
      </c>
      <c r="S160" s="100">
        <f ca="1">_xll.meDateFromTenor(S159,"1D","FOLLOWING",T$12)</f>
        <v>42717</v>
      </c>
      <c r="T160" s="13">
        <f ca="1">_xll.meDateFromTenor(S160,T$14,T$11,T$12)</f>
        <v>43082</v>
      </c>
      <c r="U160" s="98">
        <f ca="1"/>
        <v>-2.6695933838710386E-4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-3.8046928095961914E-3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-1.6174922687843261E-3</v>
      </c>
      <c r="R161" s="5" t="s">
        <v>4</v>
      </c>
      <c r="S161" s="100">
        <f ca="1">_xll.meDateFromTenor(S160,"1D","FOLLOWING",T$12)</f>
        <v>42718</v>
      </c>
      <c r="T161" s="13">
        <f ca="1">_xll.meDateFromTenor(S161,T$14,T$11,T$12)</f>
        <v>43083</v>
      </c>
      <c r="U161" s="98">
        <f ca="1"/>
        <v>-2.6718059004771777E-4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-3.8065674534904425E-3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-1.6123561223174315E-3</v>
      </c>
      <c r="R162" s="5" t="s">
        <v>4</v>
      </c>
      <c r="S162" s="100">
        <f ca="1">_xll.meDateFromTenor(S161,"1D","FOLLOWING",T$12)</f>
        <v>42719</v>
      </c>
      <c r="T162" s="13">
        <f ca="1">_xll.meDateFromTenor(S162,T$14,T$11,T$12)</f>
        <v>43084</v>
      </c>
      <c r="U162" s="98">
        <f ca="1"/>
        <v>-2.6739595535816088E-4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-3.8084409796852715E-3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-1.6071658311535538E-3</v>
      </c>
      <c r="R163" s="5" t="s">
        <v>4</v>
      </c>
      <c r="S163" s="100">
        <f ca="1">_xll.meDateFromTenor(S162,"1D","FOLLOWING",T$12)</f>
        <v>42720</v>
      </c>
      <c r="T163" s="13">
        <f ca="1">_xll.meDateFromTenor(S163,T$14,T$11,T$12)</f>
        <v>43087</v>
      </c>
      <c r="U163" s="98">
        <f ca="1"/>
        <v>-2.6760540413202209E-4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-3.8140387124983169E-3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-1.5912922466489112E-3</v>
      </c>
      <c r="R164" s="5" t="s">
        <v>4</v>
      </c>
      <c r="S164" s="100">
        <f ca="1">_xll.meDateFromTenor(S163,"1D","FOLLOWING",T$12)</f>
        <v>42723</v>
      </c>
      <c r="T164" s="13">
        <f ca="1">_xll.meDateFromTenor(S164,T$14,T$11,T$12)</f>
        <v>43088</v>
      </c>
      <c r="U164" s="98">
        <f ca="1"/>
        <v>-2.6819794937000272E-4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-3.8158916283205454E-3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-1.5859075338659869E-3</v>
      </c>
      <c r="R165" s="5" t="s">
        <v>4</v>
      </c>
      <c r="S165" s="100">
        <f ca="1">_xll.meDateFromTenor(S164,"1D","FOLLOWING",T$12)</f>
        <v>42724</v>
      </c>
      <c r="T165" s="13">
        <f ca="1">_xll.meDateFromTenor(S165,T$14,T$11,T$12)</f>
        <v>43089</v>
      </c>
      <c r="U165" s="98">
        <f ca="1"/>
        <v>-2.6838343013342489E-4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-3.8177353566558941E-3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-1.5804797549705224E-3</v>
      </c>
      <c r="R166" s="5" t="s">
        <v>4</v>
      </c>
      <c r="S166" s="100">
        <f ca="1">_xll.meDateFromTenor(S165,"1D","FOLLOWING",T$12)</f>
        <v>42725</v>
      </c>
      <c r="T166" s="13">
        <f ca="1">_xll.meDateFromTenor(S166,T$14,T$11,T$12)</f>
        <v>43090</v>
      </c>
      <c r="U166" s="98">
        <f ca="1"/>
        <v>-2.6856284342820946E-4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-3.8195682835468719E-3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-1.5750111256794049E-3</v>
      </c>
      <c r="R167" s="5" t="s">
        <v>4</v>
      </c>
      <c r="S167" s="100">
        <f ca="1">_xll.meDateFromTenor(S166,"1D","FOLLOWING",T$12)</f>
        <v>42726</v>
      </c>
      <c r="T167" s="13">
        <f ca="1">_xll.meDateFromTenor(S167,T$14,T$11,T$12)</f>
        <v>43091</v>
      </c>
      <c r="U167" s="98">
        <f ca="1"/>
        <v>-2.6873615906794534E-4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-3.8213887950359882E-3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-1.5695038617095237E-3</v>
      </c>
      <c r="R168" s="5" t="s">
        <v>4</v>
      </c>
      <c r="S168" s="100">
        <f ca="1">_xll.meDateFromTenor(S167,"1D","FOLLOWING",T$12)</f>
        <v>42727</v>
      </c>
      <c r="T168" s="13">
        <f ca="1">_xll.meDateFromTenor(S168,T$14,T$11,T$12)</f>
        <v>43096</v>
      </c>
      <c r="U168" s="98">
        <f ca="1"/>
        <v>-2.6890334686622132E-4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-3.8285144078239932E-3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-1.5471327733801213E-3</v>
      </c>
      <c r="R169" s="5" t="s">
        <v>4</v>
      </c>
      <c r="S169" s="100">
        <f ca="1">_xll.meDateFromTenor(S168,"1D","FOLLOWING",T$12)</f>
        <v>42731</v>
      </c>
      <c r="T169" s="13">
        <f ca="1">_xll.meDateFromTenor(S169,T$14,T$11,T$12)</f>
        <v>43096</v>
      </c>
      <c r="U169" s="98">
        <f ca="1"/>
        <v>-2.6951021591650406E-4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-3.8302486329414224E-3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-1.541465571769743E-3</v>
      </c>
      <c r="R170" s="5" t="s">
        <v>4</v>
      </c>
      <c r="S170" s="100">
        <f ca="1">_xll.meDateFromTenor(S169,"1D","FOLLOWING",T$12)</f>
        <v>42732</v>
      </c>
      <c r="T170" s="13">
        <f ca="1">_xll.meDateFromTenor(S170,T$14,T$11,T$12)</f>
        <v>43097</v>
      </c>
      <c r="U170" s="98">
        <f ca="1"/>
        <v>-2.6964631171131384E-4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-3.8319607589120388E-3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-1.5357730297819307E-3</v>
      </c>
      <c r="R171" s="5" t="s">
        <v>4</v>
      </c>
      <c r="S171" s="100">
        <f ca="1">_xll.meDateFromTenor(S170,"1D","FOLLOWING",T$12)</f>
        <v>42733</v>
      </c>
      <c r="T171" s="13">
        <f ca="1">_xll.meDateFromTenor(S171,T$14,T$11,T$12)</f>
        <v>43098</v>
      </c>
      <c r="U171" s="98">
        <f ca="1"/>
        <v>-2.6977609854619697E-4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-3.8336491717783526E-3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-1.5300573631335716E-3</v>
      </c>
      <c r="R172" s="5" t="s">
        <v>4</v>
      </c>
      <c r="S172" s="100">
        <f ca="1">_xll.meDateFromTenor(S171,"1D","FOLLOWING",T$12)</f>
        <v>42734</v>
      </c>
      <c r="T172" s="13">
        <f ca="1">_xll.meDateFromTenor(S172,T$14,T$11,T$12)</f>
        <v>43098</v>
      </c>
      <c r="U172" s="98">
        <f ca="1"/>
        <v>-2.6989954623474226E-4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-3.8385647192542048E-3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-1.5127621050758911E-3</v>
      </c>
      <c r="R173" s="5" t="s">
        <v>4</v>
      </c>
      <c r="S173" s="100">
        <f ca="1">_xll.meDateFromTenor(S172,"1D","FOLLOWING",T$12)</f>
        <v>42737</v>
      </c>
      <c r="T173" s="13">
        <f ca="1">_xll.meDateFromTenor(S173,T$14,T$11,T$12)</f>
        <v>43102</v>
      </c>
      <c r="U173" s="98">
        <f ca="1"/>
        <v>-2.7023210601861096E-4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-3.8401467788497213E-3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-1.5069601550949743E-3</v>
      </c>
      <c r="R174" s="5" t="s">
        <v>4</v>
      </c>
      <c r="S174" s="100">
        <f ca="1">_xll.meDateFromTenor(S173,"1D","FOLLOWING",T$12)</f>
        <v>42738</v>
      </c>
      <c r="T174" s="13">
        <f ca="1">_xll.meDateFromTenor(S174,T$14,T$11,T$12)</f>
        <v>43103</v>
      </c>
      <c r="U174" s="98">
        <f ca="1"/>
        <v>-2.703301186950688E-4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-3.8417000488638609E-3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-1.5011461112529338E-3</v>
      </c>
      <c r="R175" s="5" t="s">
        <v>4</v>
      </c>
      <c r="S175" s="100">
        <f ca="1">_xll.meDateFromTenor(S174,"1D","FOLLOWING",T$12)</f>
        <v>42739</v>
      </c>
      <c r="T175" s="13">
        <f ca="1">_xll.meDateFromTenor(S175,T$14,T$11,T$12)</f>
        <v>43104</v>
      </c>
      <c r="U175" s="98">
        <f ca="1"/>
        <v>-2.7042160543287584E-4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-3.8432260830773219E-3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-1.49532220752797E-3</v>
      </c>
      <c r="R176" s="5" t="s">
        <v>4</v>
      </c>
      <c r="S176" s="100">
        <f ca="1">_xll.meDateFromTenor(S175,"1D","FOLLOWING",T$12)</f>
        <v>42740</v>
      </c>
      <c r="T176" s="13">
        <f ca="1">_xll.meDateFromTenor(S176,T$14,T$11,T$12)</f>
        <v>43105</v>
      </c>
      <c r="U176" s="98">
        <f ca="1"/>
        <v>-2.7050653579683301E-4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-3.8447264352708048E-3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-1.4894906778982824E-3</v>
      </c>
      <c r="R177" s="5" t="s">
        <v>4</v>
      </c>
      <c r="S177" s="100">
        <f ca="1">_xll.meDateFromTenor(S176,"1D","FOLLOWING",T$12)</f>
        <v>42741</v>
      </c>
      <c r="T177" s="13">
        <f ca="1">_xll.meDateFromTenor(S177,T$14,T$11,T$12)</f>
        <v>43108</v>
      </c>
      <c r="U177" s="98">
        <f ca="1"/>
        <v>-2.7058487935174136E-4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-3.8490889375383829E-3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-1.4719726733628739E-3</v>
      </c>
      <c r="R178" s="5" t="s">
        <v>4</v>
      </c>
      <c r="S178" s="100">
        <f ca="1">_xll.meDateFromTenor(S177,"1D","FOLLOWING",T$12)</f>
        <v>42744</v>
      </c>
      <c r="T178" s="13">
        <f ca="1">_xll.meDateFromTenor(S178,T$14,T$11,T$12)</f>
        <v>43109</v>
      </c>
      <c r="U178" s="98">
        <f ca="1"/>
        <v>-2.7078008481018365E-4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-3.8505020994589506E-3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-1.4661329798962884E-3</v>
      </c>
      <c r="R179" s="5" t="s">
        <v>4</v>
      </c>
      <c r="S179" s="100">
        <f ca="1">_xll.meDateFromTenor(S178,"1D","FOLLOWING",T$12)</f>
        <v>42745</v>
      </c>
      <c r="T179" s="13">
        <f ca="1">_xll.meDateFromTenor(S179,T$14,T$11,T$12)</f>
        <v>43110</v>
      </c>
      <c r="U179" s="98">
        <f ca="1"/>
        <v>-2.7083177677690682E-4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-3.851897348263039E-3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-1.4602968304159771E-3</v>
      </c>
      <c r="R180" s="5" t="s">
        <v>4</v>
      </c>
      <c r="S180" s="100">
        <f ca="1">_xll.meDateFromTenor(S179,"1D","FOLLOWING",T$12)</f>
        <v>42746</v>
      </c>
      <c r="T180" s="13">
        <f ca="1">_xll.meDateFromTenor(S180,T$14,T$11,T$12)</f>
        <v>43111</v>
      </c>
      <c r="U180" s="98">
        <f ca="1"/>
        <v>-2.7087672975858632E-4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-3.8532762377313469E-3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-1.4544664589001407E-3</v>
      </c>
      <c r="R181" s="5" t="s">
        <v>4</v>
      </c>
      <c r="S181" s="100">
        <f ca="1">_xll.meDateFromTenor(S180,"1D","FOLLOWING",T$12)</f>
        <v>42747</v>
      </c>
      <c r="T181" s="13">
        <f ca="1">_xll.meDateFromTenor(S181,T$14,T$11,T$12)</f>
        <v>43112</v>
      </c>
      <c r="U181" s="98">
        <f ca="1"/>
        <v>-2.7091491332002299E-4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-3.854640321644575E-3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-1.4486440993269785E-3</v>
      </c>
      <c r="R182" s="5" t="s">
        <v>4</v>
      </c>
      <c r="S182" s="100">
        <f ca="1">_xll.meDateFromTenor(S181,"1D","FOLLOWING",T$12)</f>
        <v>42748</v>
      </c>
      <c r="T182" s="13">
        <f ca="1">_xll.meDateFromTenor(S182,T$14,T$11,T$12)</f>
        <v>43115</v>
      </c>
      <c r="U182" s="98">
        <f ca="1"/>
        <v>-2.7094629702601792E-4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-3.8586592778607751E-3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-1.4312474320455342E-3</v>
      </c>
      <c r="R183" s="5" t="s">
        <v>4</v>
      </c>
      <c r="S183" s="100">
        <f ca="1">_xll.meDateFromTenor(S182,"1D","FOLLOWING",T$12)</f>
        <v>42751</v>
      </c>
      <c r="T183" s="13">
        <f ca="1">_xll.meDateFromTenor(S183,T$14,T$11,T$12)</f>
        <v>43116</v>
      </c>
      <c r="U183" s="98">
        <f ca="1"/>
        <v>-2.7099934465936248E-4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-3.8599796773606792E-3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-1.4254794600250661E-3</v>
      </c>
      <c r="R184" s="5" t="s">
        <v>4</v>
      </c>
      <c r="S184" s="100">
        <f ca="1">_xll.meDateFromTenor(S183,"1D","FOLLOWING",T$12)</f>
        <v>42752</v>
      </c>
      <c r="T184" s="13">
        <f ca="1">_xll.meDateFromTenor(S184,T$14,T$11,T$12)</f>
        <v>43117</v>
      </c>
      <c r="U184" s="98">
        <f ca="1"/>
        <v>-2.7100322459160065E-4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-3.8612930402090019E-3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-1.4197306698382709E-3</v>
      </c>
      <c r="R185" s="5" t="s">
        <v>4</v>
      </c>
      <c r="S185" s="100">
        <f ca="1">_xll.meDateFromTenor(S184,"1D","FOLLOWING",T$12)</f>
        <v>42753</v>
      </c>
      <c r="T185" s="13">
        <f ca="1">_xll.meDateFromTenor(S185,T$14,T$11,T$12)</f>
        <v>43118</v>
      </c>
      <c r="U185" s="98">
        <f ca="1"/>
        <v>-2.7100015249240209E-4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-3.8626009201864426E-3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-1.4140032954633483E-3</v>
      </c>
      <c r="R186" s="5" t="s">
        <v>4</v>
      </c>
      <c r="S186" s="100">
        <f ca="1">_xll.meDateFromTenor(S185,"1D","FOLLOWING",T$12)</f>
        <v>42754</v>
      </c>
      <c r="T186" s="13">
        <f ca="1">_xll.meDateFromTenor(S186,T$14,T$11,T$12)</f>
        <v>43119</v>
      </c>
      <c r="U186" s="98">
        <f ca="1"/>
        <v>-2.7099009792656782E-4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-3.8639048710737015E-3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-1.4082995708784981E-3</v>
      </c>
      <c r="R187" s="5" t="s">
        <v>4</v>
      </c>
      <c r="S187" s="100">
        <f ca="1">_xll.meDateFromTenor(S186,"1D","FOLLOWING",T$12)</f>
        <v>42755</v>
      </c>
      <c r="T187" s="13">
        <f ca="1">_xll.meDateFromTenor(S187,T$14,T$11,T$12)</f>
        <v>43122</v>
      </c>
      <c r="U187" s="98">
        <f ca="1"/>
        <v>-2.7097303045889895E-4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-3.8678086870013802E-3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-1.3913526356463786E-3</v>
      </c>
      <c r="R188" s="5" t="s">
        <v>4</v>
      </c>
      <c r="S188" s="100">
        <f ca="1">_xll.meDateFromTenor(S187,"1D","FOLLOWING",T$12)</f>
        <v>42758</v>
      </c>
      <c r="T188" s="13">
        <f ca="1">_xll.meDateFromTenor(S188,T$14,T$11,T$12)</f>
        <v>43123</v>
      </c>
      <c r="U188" s="98">
        <f ca="1"/>
        <v>-2.7087944629289448E-4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-3.8691124593349066E-3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-1.3857658500038145E-3</v>
      </c>
      <c r="R189" s="5" t="s">
        <v>4</v>
      </c>
      <c r="S189" s="100">
        <f ca="1">_xll.meDateFromTenor(S188,"1D","FOLLOWING",T$12)</f>
        <v>42759</v>
      </c>
      <c r="T189" s="13">
        <f ca="1">_xll.meDateFromTenor(S189,T$14,T$11,T$12)</f>
        <v>43124</v>
      </c>
      <c r="U189" s="98">
        <f ca="1"/>
        <v>-2.7083402286589713E-4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-3.8704200714817488E-3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-1.3802138840423217E-3</v>
      </c>
      <c r="R190" s="5" t="s">
        <v>4</v>
      </c>
      <c r="S190" s="100">
        <f ca="1">_xll.meDateFromTenor(S189,"1D","FOLLOWING",T$12)</f>
        <v>42760</v>
      </c>
      <c r="T190" s="13">
        <f ca="1">_xll.meDateFromTenor(S190,T$14,T$11,T$12)</f>
        <v>43125</v>
      </c>
      <c r="U190" s="98">
        <f ca="1"/>
        <v>-2.7078143436107011E-4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-3.8717330772226077E-3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-1.3746989717400996E-3</v>
      </c>
      <c r="R191" s="5" t="s">
        <v>4</v>
      </c>
      <c r="S191" s="100">
        <f ca="1">_xll.meDateFromTenor(S190,"1D","FOLLOWING",T$12)</f>
        <v>42761</v>
      </c>
      <c r="T191" s="13">
        <f ca="1">_xll.meDateFromTenor(S191,T$14,T$11,T$12)</f>
        <v>43126</v>
      </c>
      <c r="U191" s="98">
        <f ca="1"/>
        <v>-2.7072165034321458E-4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-3.8730530303381816E-3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-1.369223347075348E-3</v>
      </c>
      <c r="R192" s="5" t="s">
        <v>4</v>
      </c>
      <c r="S192" s="100">
        <f ca="1">_xll.meDateFromTenor(S191,"1D","FOLLOWING",T$12)</f>
        <v>42762</v>
      </c>
      <c r="T192" s="13">
        <f ca="1">_xll.meDateFromTenor(S192,T$14,T$11,T$12)</f>
        <v>43129</v>
      </c>
      <c r="U192" s="98">
        <f ca="1"/>
        <v>-2.7065464037713142E-4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-3.8770701117401955E-3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-1.3530545386879129E-3</v>
      </c>
      <c r="R193" s="5" t="s">
        <v>4</v>
      </c>
      <c r="S193" s="100">
        <f ca="1">_xll.meDateFromTenor(S192,"1D","FOLLOWING",T$12)</f>
        <v>42765</v>
      </c>
      <c r="T193" s="13">
        <f ca="1">_xll.meDateFromTenor(S193,T$14,T$11,T$12)</f>
        <v>43130</v>
      </c>
      <c r="U193" s="98">
        <f ca="1"/>
        <v>-2.7040995043752663E-4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-3.8784333921616297E-3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-1.34775840435504E-3</v>
      </c>
      <c r="R194" s="5" t="s">
        <v>4</v>
      </c>
      <c r="S194" s="100">
        <f ca="1">_xll.meDateFromTenor(S193,"1D","FOLLOWING",T$12)</f>
        <v>42766</v>
      </c>
      <c r="T194" s="13">
        <f ca="1">_xll.meDateFromTenor(S194,T$14,T$11,T$12)</f>
        <v>43131</v>
      </c>
      <c r="U194" s="98">
        <f ca="1"/>
        <v>-2.7031373232654326E-4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-3.8798113888612773E-3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-1.3425127275506364E-3</v>
      </c>
      <c r="R195" s="5" t="s">
        <v>4</v>
      </c>
      <c r="S195" s="100">
        <f ca="1">_xll.meDateFromTenor(S194,"1D","FOLLOWING",T$12)</f>
        <v>42767</v>
      </c>
      <c r="T195" s="13">
        <f ca="1">_xll.meDateFromTenor(S195,T$14,T$11,T$12)</f>
        <v>43132</v>
      </c>
      <c r="U195" s="98">
        <f ca="1"/>
        <v>-2.7021013609133753E-4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-3.8812056556198397E-3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-1.3373197422529015E-3</v>
      </c>
      <c r="R196" s="5" t="s">
        <v>4</v>
      </c>
      <c r="S196" s="100">
        <f ca="1">_xll.meDateFromTenor(S195,"1D","FOLLOWING",T$12)</f>
        <v>42768</v>
      </c>
      <c r="T196" s="13">
        <f ca="1">_xll.meDateFromTenor(S196,T$14,T$11,T$12)</f>
        <v>43133</v>
      </c>
      <c r="U196" s="98">
        <f ca="1"/>
        <v>-2.7009913129671015E-4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-3.8826172816318824E-3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-1.332181682440035E-3</v>
      </c>
      <c r="R197" s="5" t="s">
        <v>4</v>
      </c>
      <c r="S197" s="100">
        <f ca="1">_xll.meDateFromTenor(S196,"1D","FOLLOWING",T$12)</f>
        <v>42769</v>
      </c>
      <c r="T197" s="13">
        <f ca="1">_xll.meDateFromTenor(S197,T$14,T$11,T$12)</f>
        <v>43136</v>
      </c>
      <c r="U197" s="98">
        <f ca="1"/>
        <v>-2.6998068750746227E-4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-3.8869467653446935E-3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-1.3171193956926445E-3</v>
      </c>
      <c r="R198" s="5" t="s">
        <v>4</v>
      </c>
      <c r="S198" s="100">
        <f ca="1">_xll.meDateFromTenor(S197,"1D","FOLLOWING",T$12)</f>
        <v>42772</v>
      </c>
      <c r="T198" s="13">
        <f ca="1">_xll.meDateFromTenor(S198,T$14,T$11,T$12)</f>
        <v>43137</v>
      </c>
      <c r="U198" s="98">
        <f ca="1"/>
        <v>-2.6958041782000592E-4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-3.8884173493541939E-3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-1.3122233776012497E-3</v>
      </c>
      <c r="R199" s="5" t="s">
        <v>4</v>
      </c>
      <c r="S199" s="100">
        <f ca="1">_xll.meDateFromTenor(S198,"1D","FOLLOWING",T$12)</f>
        <v>42773</v>
      </c>
      <c r="T199" s="13">
        <f ca="1">_xll.meDateFromTenor(S199,T$14,T$11,T$12)</f>
        <v>43138</v>
      </c>
      <c r="U199" s="98">
        <f ca="1"/>
        <v>-2.6943191370028621E-4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-3.8898995885228087E-3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-1.3073934548857218E-3</v>
      </c>
      <c r="R200" s="5" t="s">
        <v>4</v>
      </c>
      <c r="S200" s="100">
        <f ca="1">_xll.meDateFromTenor(S199,"1D","FOLLOWING",T$12)</f>
        <v>42774</v>
      </c>
      <c r="T200" s="13">
        <f ca="1">_xll.meDateFromTenor(S200,T$14,T$11,T$12)</f>
        <v>43139</v>
      </c>
      <c r="U200" s="98">
        <f ca="1"/>
        <v>-2.6927581840995111E-4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-3.8913922491144396E-3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-1.3026318615242608E-3</v>
      </c>
      <c r="R201" s="5" t="s">
        <v>4</v>
      </c>
      <c r="S201" s="100">
        <f ca="1">_xll.meDateFromTenor(S200,"1D","FOLLOWING",T$12)</f>
        <v>42775</v>
      </c>
      <c r="T201" s="13">
        <f ca="1">_xll.meDateFromTenor(S201,T$14,T$11,T$12)</f>
        <v>43140</v>
      </c>
      <c r="U201" s="98">
        <f ca="1"/>
        <v>-2.6911210151380155E-4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-3.8928940973929865E-3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-1.2979408314950666E-3</v>
      </c>
      <c r="R202" s="5" t="s">
        <v>4</v>
      </c>
      <c r="S202" s="100">
        <f ca="1">_xll.meDateFromTenor(S201,"1D","FOLLOWING",T$12)</f>
        <v>42776</v>
      </c>
      <c r="T202" s="13">
        <f ca="1">_xll.meDateFromTenor(S202,T$14,T$11,T$12)</f>
        <v>43143</v>
      </c>
      <c r="U202" s="98">
        <f ca="1"/>
        <v>-2.6894073257663858E-4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-3.8974424309891247E-3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-1.2843134611830803E-3</v>
      </c>
      <c r="R203" s="5" t="s">
        <v>4</v>
      </c>
      <c r="S203" s="100">
        <f ca="1">_xll.meDateFromTenor(S202,"1D","FOLLOWING",T$12)</f>
        <v>42779</v>
      </c>
      <c r="T203" s="13">
        <f ca="1">_xll.meDateFromTenor(S203,T$14,T$11,T$12)</f>
        <v>43144</v>
      </c>
      <c r="U203" s="98">
        <f ca="1"/>
        <v>-2.6838040916707932E-4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-3.898968692654338E-3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-1.2799270242649494E-3</v>
      </c>
      <c r="R204" s="5" t="s">
        <v>4</v>
      </c>
      <c r="S204" s="100">
        <f ca="1">_xll.meDateFromTenor(S203,"1D","FOLLOWING",T$12)</f>
        <v>42780</v>
      </c>
      <c r="T204" s="13">
        <f ca="1">_xll.meDateFromTenor(S204,T$14,T$11,T$12)</f>
        <v>43145</v>
      </c>
      <c r="U204" s="98">
        <f ca="1"/>
        <v>-2.6817812771387284E-4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-3.900497973325969E-3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-1.2756223205700845E-3</v>
      </c>
      <c r="R205" s="5" t="s">
        <v>4</v>
      </c>
      <c r="S205" s="100">
        <f ca="1">_xll.meDateFromTenor(S204,"1D","FOLLOWING",T$12)</f>
        <v>42781</v>
      </c>
      <c r="T205" s="13">
        <f ca="1">_xll.meDateFromTenor(S205,T$14,T$11,T$12)</f>
        <v>43146</v>
      </c>
      <c r="U205" s="98">
        <f ca="1"/>
        <v>-2.6796804204365799E-4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-3.9020290392679183E-3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-1.2714015840766841E-3</v>
      </c>
      <c r="R206" s="5" t="s">
        <v>4</v>
      </c>
      <c r="S206" s="100">
        <f ca="1">_xll.meDateFromTenor(S205,"1D","FOLLOWING",T$12)</f>
        <v>42782</v>
      </c>
      <c r="T206" s="13">
        <f ca="1">_xll.meDateFromTenor(S206,T$14,T$11,T$12)</f>
        <v>43147</v>
      </c>
      <c r="U206" s="98">
        <f ca="1"/>
        <v>-2.6775012172123582E-4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-3.9035606567440853E-3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-1.2672670487629484E-3</v>
      </c>
      <c r="R207" s="5" t="s">
        <v>4</v>
      </c>
      <c r="S207" s="100">
        <f ca="1">_xll.meDateFromTenor(S206,"1D","FOLLOWING",T$12)</f>
        <v>42783</v>
      </c>
      <c r="T207" s="13">
        <f ca="1">_xll.meDateFromTenor(S207,T$14,T$11,T$12)</f>
        <v>43150</v>
      </c>
      <c r="U207" s="98">
        <f ca="1"/>
        <v>-2.6752433631140732E-4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-3.9081464810168994E-3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-1.2554029896817271E-3</v>
      </c>
      <c r="R208" s="5" t="s">
        <v>4</v>
      </c>
      <c r="S208" s="100">
        <f ca="1">_xll.meDateFromTenor(S207,"1D","FOLLOWING",T$12)</f>
        <v>42786</v>
      </c>
      <c r="T208" s="13">
        <f ca="1">_xll.meDateFromTenor(S208,T$14,T$11,T$12)</f>
        <v>43151</v>
      </c>
      <c r="U208" s="98">
        <f ca="1"/>
        <v>-2.6679948520549391E-4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-3.9096679672689424E-3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-1.2516355988686475E-3</v>
      </c>
      <c r="R209" s="5" t="s">
        <v>4</v>
      </c>
      <c r="S209" s="100">
        <f ca="1">_xll.meDateFromTenor(S208,"1D","FOLLOWING",T$12)</f>
        <v>42787</v>
      </c>
      <c r="T209" s="13">
        <f ca="1">_xll.meDateFromTenor(S209,T$14,T$11,T$12)</f>
        <v>43152</v>
      </c>
      <c r="U209" s="98">
        <f ca="1"/>
        <v>-2.6654193509405017E-4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-3.9111838363747051E-3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-1.2479655791262313E-3</v>
      </c>
      <c r="R210" s="5" t="s">
        <v>4</v>
      </c>
      <c r="S210" s="100">
        <f ca="1">_xll.meDateFromTenor(S209,"1D","FOLLOWING",T$12)</f>
        <v>42788</v>
      </c>
      <c r="T210" s="13">
        <f ca="1">_xll.meDateFromTenor(S210,T$14,T$11,T$12)</f>
        <v>43153</v>
      </c>
      <c r="U210" s="98">
        <f ca="1"/>
        <v>-2.6627636771920515E-4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-3.9126928545980899E-3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-1.2443951644326783E-3</v>
      </c>
      <c r="R211" s="5" t="s">
        <v>4</v>
      </c>
      <c r="S211" s="100">
        <f ca="1">_xll.meDateFromTenor(S210,"1D","FOLLOWING",T$12)</f>
        <v>42789</v>
      </c>
      <c r="T211" s="13">
        <f ca="1">_xll.meDateFromTenor(S211,T$14,T$11,T$12)</f>
        <v>43154</v>
      </c>
      <c r="U211" s="98">
        <f ca="1"/>
        <v>-2.6600275264575989E-4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-3.9141937882029932E-3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-1.2409265887661878E-3</v>
      </c>
      <c r="R212" s="5" t="s">
        <v>4</v>
      </c>
      <c r="S212" s="100">
        <f ca="1">_xll.meDateFromTenor(S211,"1D","FOLLOWING",T$12)</f>
        <v>42790</v>
      </c>
      <c r="T212" s="13">
        <f ca="1">_xll.meDateFromTenor(S212,T$14,T$11,T$12)</f>
        <v>43157</v>
      </c>
      <c r="U212" s="98">
        <f ca="1"/>
        <v>-2.6572105943851537E-4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-3.9186357439458313E-3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-1.2311542357110912E-3</v>
      </c>
      <c r="R213" s="5" t="s">
        <v>4</v>
      </c>
      <c r="S213" s="100">
        <f ca="1">_xll.meDateFromTenor(S212,"1D","FOLLOWING",T$12)</f>
        <v>42793</v>
      </c>
      <c r="T213" s="13">
        <f ca="1">_xll.meDateFromTenor(S213,T$14,T$11,T$12)</f>
        <v>43158</v>
      </c>
      <c r="U213" s="98">
        <f ca="1"/>
        <v>-2.6482720666199652E-4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-3.9200920017158202E-3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-1.2281153559348494E-3</v>
      </c>
      <c r="R214" s="5" t="s">
        <v>4</v>
      </c>
      <c r="S214" s="100">
        <f ca="1">_xll.meDateFromTenor(S213,"1D","FOLLOWING",T$12)</f>
        <v>42794</v>
      </c>
      <c r="T214" s="13">
        <f ca="1">_xll.meDateFromTenor(S214,T$14,T$11,T$12)</f>
        <v>43159</v>
      </c>
      <c r="U214" s="98">
        <f ca="1"/>
        <v>-2.645128965675652E-4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-3.9215340061868314E-3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-1.2251894850766692E-3</v>
      </c>
      <c r="R215" s="5" t="s">
        <v>4</v>
      </c>
      <c r="S215" s="100">
        <f ca="1">_xll.meDateFromTenor(S214,"1D","FOLLOWING",T$12)</f>
        <v>42795</v>
      </c>
      <c r="T215" s="13">
        <f ca="1">_xll.meDateFromTenor(S215,T$14,T$11,T$12)</f>
        <v>43160</v>
      </c>
      <c r="U215" s="98">
        <f ca="1"/>
        <v>-2.6419035616333957E-4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-3.9229605236227654E-3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-1.2223788571147499E-3</v>
      </c>
      <c r="R216" s="5" t="s">
        <v>4</v>
      </c>
      <c r="S216" s="100">
        <f ca="1">_xll.meDateFromTenor(S215,"1D","FOLLOWING",T$12)</f>
        <v>42796</v>
      </c>
      <c r="T216" s="13">
        <f ca="1">_xll.meDateFromTenor(S216,T$14,T$11,T$12)</f>
        <v>43161</v>
      </c>
      <c r="U216" s="98">
        <f ca="1"/>
        <v>-2.6385955501412084E-4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-3.9243706578158946E-3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-1.2196857060272916E-3</v>
      </c>
      <c r="R217" s="5" t="s">
        <v>4</v>
      </c>
      <c r="S217" s="100">
        <f ca="1">_xll.meDateFromTenor(S216,"1D","FOLLOWING",T$12)</f>
        <v>42797</v>
      </c>
      <c r="T217" s="13">
        <f ca="1">_xll.meDateFromTenor(S217,T$14,T$11,T$12)</f>
        <v>43164</v>
      </c>
      <c r="U217" s="98">
        <f ca="1"/>
        <v>-2.6352046268470993E-4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-3.9285086501095962E-3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-1.2123334537936796E-3</v>
      </c>
      <c r="R218" s="5" t="s">
        <v>4</v>
      </c>
      <c r="S218" s="100">
        <f ca="1">_xll.meDateFromTenor(S217,"1D","FOLLOWING",T$12)</f>
        <v>42800</v>
      </c>
      <c r="T218" s="13">
        <f ca="1">_xll.meDateFromTenor(S218,T$14,T$11,T$12)</f>
        <v>43165</v>
      </c>
      <c r="U218" s="98">
        <f ca="1"/>
        <v>-2.6245313426333429E-4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-3.9298598155593943E-3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-1.2101325499860619E-3</v>
      </c>
      <c r="R219" s="5" t="s">
        <v>4</v>
      </c>
      <c r="S219" s="100">
        <f ca="1">_xll.meDateFromTenor(S218,"1D","FOLLOWING",T$12)</f>
        <v>42801</v>
      </c>
      <c r="T219" s="13">
        <f ca="1">_xll.meDateFromTenor(S219,T$14,T$11,T$12)</f>
        <v>43166</v>
      </c>
      <c r="U219" s="98">
        <f ca="1"/>
        <v>-2.6208057286116485E-4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-3.9311982174087007E-3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-1.2080602929439043E-3</v>
      </c>
      <c r="R220" s="5" t="s">
        <v>4</v>
      </c>
      <c r="S220" s="100">
        <f ca="1">_xll.meDateFromTenor(S219,"1D","FOLLOWING",T$12)</f>
        <v>42802</v>
      </c>
      <c r="T220" s="13">
        <f ca="1">_xll.meDateFromTenor(S220,T$14,T$11,T$12)</f>
        <v>43167</v>
      </c>
      <c r="U220" s="98">
        <f ca="1"/>
        <v>-2.6169956810280823E-4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-3.9325246470916578E-3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-1.2061189166454058E-3</v>
      </c>
      <c r="R221" s="5" t="s">
        <v>4</v>
      </c>
      <c r="S221" s="100">
        <f ca="1">_xll.meDateFromTenor(S220,"1D","FOLLOWING",T$12)</f>
        <v>42803</v>
      </c>
      <c r="T221" s="13">
        <f ca="1">_xll.meDateFromTenor(S221,T$14,T$11,T$12)</f>
        <v>43168</v>
      </c>
      <c r="U221" s="98">
        <f ca="1"/>
        <v>-2.613100895530656E-4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-3.9338398960423997E-3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-1.2043106550687663E-3</v>
      </c>
      <c r="R222" s="5" t="s">
        <v>4</v>
      </c>
      <c r="S222" s="100">
        <f ca="1">_xll.meDateFromTenor(S221,"1D","FOLLOWING",T$12)</f>
        <v>42804</v>
      </c>
      <c r="T222" s="13">
        <f ca="1">_xll.meDateFromTenor(S222,T$14,T$11,T$12)</f>
        <v>43171</v>
      </c>
      <c r="U222" s="98">
        <f ca="1"/>
        <v>-2.6091210677673787E-4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-3.9377264728427189E-3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-1.199706898451999E-3</v>
      </c>
      <c r="R223" s="5" t="s">
        <v>4</v>
      </c>
      <c r="S223" s="100">
        <f ca="1">_xll.meDateFromTenor(S222,"1D","FOLLOWING",T$12)</f>
        <v>42807</v>
      </c>
      <c r="T223" s="13">
        <f ca="1">_xll.meDateFromTenor(S223,T$14,T$11,T$12)</f>
        <v>43172</v>
      </c>
      <c r="U223" s="98">
        <f ca="1"/>
        <v>-2.5966682873625419E-4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-3.9390049132059807E-3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-1.1984534355447929E-3</v>
      </c>
      <c r="R224" s="5" t="s">
        <v>4</v>
      </c>
      <c r="S224" s="100">
        <f ca="1">_xll.meDateFromTenor(S223,"1D","FOLLOWING",T$12)</f>
        <v>42808</v>
      </c>
      <c r="T224" s="13">
        <f ca="1">_xll.meDateFromTenor(S224,T$14,T$11,T$12)</f>
        <v>43173</v>
      </c>
      <c r="U224" s="98">
        <f ca="1"/>
        <v>-2.592345247015962E-4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-3.9402761300077168E-3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-1.1973442572504446E-3</v>
      </c>
      <c r="R225" s="5" t="s">
        <v>4</v>
      </c>
      <c r="S225" s="100">
        <f ca="1">_xll.meDateFromTenor(S224,"1D","FOLLOWING",T$12)</f>
        <v>42809</v>
      </c>
      <c r="T225" s="13">
        <f ca="1">_xll.meDateFromTenor(S225,T$14,T$11,T$12)</f>
        <v>43174</v>
      </c>
      <c r="U225" s="98">
        <f ca="1"/>
        <v>-2.5879356426435817E-4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-3.9415409146820648E-3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-1.1963815975471531E-3</v>
      </c>
      <c r="R226" s="5" t="s">
        <v>4</v>
      </c>
      <c r="S226" s="100">
        <f ca="1">_xll.meDateFromTenor(S225,"1D","FOLLOWING",T$12)</f>
        <v>42810</v>
      </c>
      <c r="T226" s="13">
        <f ca="1">_xll.meDateFromTenor(S226,T$14,T$11,T$12)</f>
        <v>43175</v>
      </c>
      <c r="U226" s="98">
        <f ca="1"/>
        <v>-2.5834391698934119E-4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-3.9428000586631626E-3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-1.1955676904131188E-3</v>
      </c>
      <c r="R227" s="5" t="s">
        <v>4</v>
      </c>
      <c r="S227" s="100">
        <f ca="1">_xll.meDateFromTenor(S226,"1D","FOLLOWING",T$12)</f>
        <v>42811</v>
      </c>
      <c r="T227" s="13">
        <f ca="1">_xll.meDateFromTenor(S227,T$14,T$11,T$12)</f>
        <v>43178</v>
      </c>
      <c r="U227" s="98">
        <f ca="1"/>
        <v>-2.5788555244134616E-4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-3.9465515607883242E-3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-1.1940408242085562E-3</v>
      </c>
      <c r="R228" s="5" t="s">
        <v>4</v>
      </c>
      <c r="S228" s="100">
        <f ca="1">_xll.meDateFromTenor(S227,"1D","FOLLOWING",T$12)</f>
        <v>42814</v>
      </c>
      <c r="T228" s="13">
        <f ca="1">_xll.meDateFromTenor(S228,T$14,T$11,T$12)</f>
        <v>43179</v>
      </c>
      <c r="U228" s="98">
        <f ca="1"/>
        <v>-2.5645785080750315E-4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-3.9477960563377946E-3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-1.193844267133548E-3</v>
      </c>
      <c r="R229" s="5" t="s">
        <v>4</v>
      </c>
      <c r="S229" s="100">
        <f ca="1">_xll.meDateFromTenor(S228,"1D","FOLLOWING",T$12)</f>
        <v>42815</v>
      </c>
      <c r="T229" s="13">
        <f ca="1">_xll.meDateFromTenor(S229,T$14,T$11,T$12)</f>
        <v>43180</v>
      </c>
      <c r="U229" s="98">
        <f ca="1"/>
        <v>-2.5596431281560623E-4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-3.9490388683647015E-3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-1.193807632518795E-3</v>
      </c>
      <c r="R230" s="5" t="s">
        <v>4</v>
      </c>
      <c r="S230" s="100">
        <f ca="1">_xll.meDateFromTenor(S229,"1D","FOLLOWING",T$12)</f>
        <v>42816</v>
      </c>
      <c r="T230" s="13">
        <f ca="1">_xll.meDateFromTenor(S230,T$14,T$11,T$12)</f>
        <v>43181</v>
      </c>
      <c r="U230" s="98">
        <f ca="1"/>
        <v>-2.5546190537473635E-4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-3.9502807883031827E-3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-1.1939331543424979E-3</v>
      </c>
      <c r="R231" s="5" t="s">
        <v>4</v>
      </c>
      <c r="S231" s="100">
        <f ca="1">_xll.meDateFromTenor(S230,"1D","FOLLOWING",T$12)</f>
        <v>42817</v>
      </c>
      <c r="T231" s="13">
        <f ca="1">_xll.meDateFromTenor(S231,T$14,T$11,T$12)</f>
        <v>43182</v>
      </c>
      <c r="U231" s="98">
        <f ca="1"/>
        <v>-2.5495059804969455E-4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-3.9515226075873778E-3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-1.1942230665828559E-3</v>
      </c>
      <c r="R232" s="5" t="s">
        <v>4</v>
      </c>
      <c r="S232" s="100">
        <f ca="1">_xll.meDateFromTenor(S231,"1D","FOLLOWING",T$12)</f>
        <v>42818</v>
      </c>
      <c r="T232" s="13">
        <f ca="1">_xll.meDateFromTenor(S232,T$14,T$11,T$12)</f>
        <v>43185</v>
      </c>
      <c r="U232" s="98">
        <f ca="1"/>
        <v>-2.5443036040528178E-4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-3.9552553758556109E-3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-1.1961014855858582E-3</v>
      </c>
      <c r="R233" s="5" t="s">
        <v>4</v>
      </c>
      <c r="S233" s="100">
        <f ca="1">_xll.meDateFromTenor(S232,"1D","FOLLOWING",T$12)</f>
        <v>42821</v>
      </c>
      <c r="T233" s="13">
        <f ca="1">_xll.meDateFromTenor(S233,T$14,T$11,T$12)</f>
        <v>43186</v>
      </c>
      <c r="U233" s="98">
        <f ca="1"/>
        <v>-2.5281576120382825E-4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-3.9565047068640304E-3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-1.1970712992748342E-3</v>
      </c>
      <c r="R234" s="5" t="s">
        <v>4</v>
      </c>
      <c r="S234" s="100">
        <f ca="1">_xll.meDateFromTenor(S233,"1D","FOLLOWING",T$12)</f>
        <v>42822</v>
      </c>
      <c r="T234" s="13">
        <f ca="1">_xll.meDateFromTenor(S234,T$14,T$11,T$12)</f>
        <v>43187</v>
      </c>
      <c r="U234" s="98">
        <f ca="1"/>
        <v>-2.5225949792994192E-4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-3.9577578943888513E-3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-1.198216673271464E-3</v>
      </c>
      <c r="R235" s="5" t="s">
        <v>4</v>
      </c>
      <c r="S235" s="100">
        <f ca="1">_xll.meDateFromTenor(S234,"1D","FOLLOWING",T$12)</f>
        <v>42823</v>
      </c>
      <c r="T235" s="13">
        <f ca="1">_xll.meDateFromTenor(S235,T$14,T$11,T$12)</f>
        <v>43188</v>
      </c>
      <c r="U235" s="98">
        <f ca="1"/>
        <v>-2.5169415216068976E-4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-3.9590157298642096E-3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-1.1995398415539475E-3</v>
      </c>
      <c r="R236" s="5" t="s">
        <v>4</v>
      </c>
      <c r="S236" s="100">
        <f ca="1">_xll.meDateFromTenor(S235,"1D","FOLLOWING",T$12)</f>
        <v>42824</v>
      </c>
      <c r="T236" s="13">
        <f ca="1">_xll.meDateFromTenor(S236,T$14,T$11,T$12)</f>
        <v>43188</v>
      </c>
      <c r="U236" s="98">
        <f ca="1"/>
        <v>-2.5111969346087272E-4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-3.9602790047242433E-3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-1.2010430381004843E-3</v>
      </c>
      <c r="R237" s="5" t="s">
        <v>4</v>
      </c>
      <c r="S237" s="100">
        <f ca="1">_xll.meDateFromTenor(S236,"1D","FOLLOWING",T$12)</f>
        <v>42825</v>
      </c>
      <c r="T237" s="13">
        <f ca="1">_xll.meDateFromTenor(S237,T$14,T$11,T$12)</f>
        <v>43188</v>
      </c>
      <c r="U237" s="98">
        <f ca="1"/>
        <v>-2.5053609139529193E-4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-3.9641093799537746E-3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-1.2066551371064118E-3</v>
      </c>
      <c r="R238" s="5" t="s">
        <v>4</v>
      </c>
      <c r="S238" s="100">
        <f ca="1">_xll.meDateFromTenor(S237,"1D","FOLLOWING",T$12)</f>
        <v>42828</v>
      </c>
      <c r="T238" s="13">
        <f ca="1">_xll.meDateFromTenor(S238,T$14,T$11,T$12)</f>
        <v>43193</v>
      </c>
      <c r="U238" s="98">
        <f ca="1"/>
        <v>-2.4873012065197638E-4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-3.9654021088691279E-3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-1.2089007864911588E-3</v>
      </c>
      <c r="R239" s="5" t="s">
        <v>4</v>
      </c>
      <c r="S239" s="100">
        <f ca="1">_xll.meDateFromTenor(S238,"1D","FOLLOWING",T$12)</f>
        <v>42829</v>
      </c>
      <c r="T239" s="13">
        <f ca="1">_xll.meDateFromTenor(S239,T$14,T$11,T$12)</f>
        <v>43194</v>
      </c>
      <c r="U239" s="98">
        <f ca="1"/>
        <v>-2.4810964077135025E-4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-3.966702927391293E-3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-1.2113376340309578E-3</v>
      </c>
      <c r="R240" s="5" t="s">
        <v>4</v>
      </c>
      <c r="S240" s="100">
        <f ca="1">_xll.meDateFromTenor(S239,"1D","FOLLOWING",T$12)</f>
        <v>42830</v>
      </c>
      <c r="T240" s="13">
        <f ca="1">_xll.meDateFromTenor(S240,T$14,T$11,T$12)</f>
        <v>43195</v>
      </c>
      <c r="U240" s="98">
        <f ca="1"/>
        <v>-2.4747986534896538E-4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-3.9680113200058556E-3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-1.2139679137040085E-3</v>
      </c>
      <c r="R241" s="5" t="s">
        <v>4</v>
      </c>
      <c r="S241" s="100">
        <f ca="1">_xll.meDateFromTenor(S240,"1D","FOLLOWING",T$12)</f>
        <v>42831</v>
      </c>
      <c r="T241" s="13">
        <f ca="1">_xll.meDateFromTenor(S241,T$14,T$11,T$12)</f>
        <v>43196</v>
      </c>
      <c r="U241" s="98">
        <f ca="1"/>
        <v>-2.4684076394962276E-4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-3.9693267711983999E-3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-1.2167938594885106E-3</v>
      </c>
      <c r="R242" s="5" t="s">
        <v>4</v>
      </c>
      <c r="S242" s="100">
        <f ca="1">_xll.meDateFromTenor(S241,"1D","FOLLOWING",T$12)</f>
        <v>42832</v>
      </c>
      <c r="T242" s="13">
        <f ca="1">_xll.meDateFromTenor(S242,T$14,T$11,T$12)</f>
        <v>43199</v>
      </c>
      <c r="U242" s="98">
        <f ca="1"/>
        <v>-2.4619230613812332E-4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-3.9733103210997803E-3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-1.2264680332927228E-3</v>
      </c>
      <c r="R243" s="5" t="s">
        <v>4</v>
      </c>
      <c r="S243" s="100">
        <f ca="1">_xll.meDateFromTenor(S242,"1D","FOLLOWING",T$12)</f>
        <v>42835</v>
      </c>
      <c r="T243" s="13">
        <f ca="1">_xll.meDateFromTenor(S243,T$14,T$11,T$12)</f>
        <v>43200</v>
      </c>
      <c r="U243" s="98">
        <f ca="1"/>
        <v>-2.4419048987869461E-4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-3.9746488514601089E-3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-1.2300989833050279E-3</v>
      </c>
      <c r="R244" s="5" t="s">
        <v>4</v>
      </c>
      <c r="S244" s="100">
        <f ca="1">_xll.meDateFromTenor(S243,"1D","FOLLOWING",T$12)</f>
        <v>42836</v>
      </c>
      <c r="T244" s="13">
        <f ca="1">_xll.meDateFromTenor(S244,T$14,T$11,T$12)</f>
        <v>43201</v>
      </c>
      <c r="U244" s="98">
        <f ca="1"/>
        <v>-2.4350430206657831E-4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-3.9759918628263467E-3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-1.2339367693197829E-3</v>
      </c>
      <c r="R245" s="5" t="s">
        <v>4</v>
      </c>
      <c r="S245" s="100">
        <f ca="1">_xll.meDateFromTenor(S244,"1D","FOLLOWING",T$12)</f>
        <v>42837</v>
      </c>
      <c r="T245" s="13">
        <f ca="1">_xll.meDateFromTenor(S245,T$14,T$11,T$12)</f>
        <v>43202</v>
      </c>
      <c r="U245" s="98">
        <f ca="1"/>
        <v>-2.4280860566631025E-4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-3.9773388396840805E-3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-1.2379836253151879E-3</v>
      </c>
      <c r="R246" s="5" t="s">
        <v>4</v>
      </c>
      <c r="S246" s="100">
        <f ca="1">_xll.meDateFromTenor(S245,"1D","FOLLOWING",T$12)</f>
        <v>42838</v>
      </c>
      <c r="T246" s="13">
        <f ca="1">_xll.meDateFromTenor(S246,T$14,T$11,T$12)</f>
        <v>43203</v>
      </c>
      <c r="U246" s="98">
        <f ca="1"/>
        <v>-2.4210337024269151E-4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-3.9841151633406647E-3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-1.2614321442389485E-3</v>
      </c>
      <c r="R247" s="5" t="s">
        <v>4</v>
      </c>
      <c r="S247" s="100">
        <f ca="1">_xll.meDateFromTenor(S246,"1D","FOLLOWING",T$12)</f>
        <v>42843</v>
      </c>
      <c r="T247" s="13">
        <f ca="1">_xll.meDateFromTenor(S247,T$14,T$11,T$12)</f>
        <v>43208</v>
      </c>
      <c r="U247" s="98">
        <f ca="1"/>
        <v>-2.3843304254237294E-4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-3.9854751073446631E-3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-1.2667803336604457E-3</v>
      </c>
      <c r="R248" s="5" t="s">
        <v>4</v>
      </c>
      <c r="S248" s="100">
        <f ca="1">_xll.meDateFromTenor(S247,"1D","FOLLOWING",T$12)</f>
        <v>42844</v>
      </c>
      <c r="T248" s="13">
        <f ca="1">_xll.meDateFromTenor(S248,T$14,T$11,T$12)</f>
        <v>43209</v>
      </c>
      <c r="U248" s="98">
        <f ca="1"/>
        <v>-2.376699338394713E-4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-3.986835408239256E-3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-1.2723532309099914E-3</v>
      </c>
      <c r="R249" s="5" t="s">
        <v>4</v>
      </c>
      <c r="S249" s="100">
        <f ca="1">_xll.meDateFromTenor(S248,"1D","FOLLOWING",T$12)</f>
        <v>42845</v>
      </c>
      <c r="T249" s="13">
        <f ca="1">_xll.meDateFromTenor(S249,T$14,T$11,T$12)</f>
        <v>43210</v>
      </c>
      <c r="U249" s="98">
        <f ca="1"/>
        <v>-2.3689707306682607E-4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-3.9881955505100264E-3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-1.2781530699657844E-3</v>
      </c>
      <c r="R250" s="5" t="s">
        <v>4</v>
      </c>
      <c r="S250" s="100">
        <f ca="1">_xll.meDateFromTenor(S249,"1D","FOLLOWING",T$12)</f>
        <v>42846</v>
      </c>
      <c r="T250" s="13">
        <f ca="1">_xll.meDateFromTenor(S250,T$14,T$11,T$12)</f>
        <v>43213</v>
      </c>
      <c r="U250" s="98">
        <f ca="1"/>
        <v>-2.3611442978923829E-4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-3.9922698704352669E-3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-1.2969365777526466E-3</v>
      </c>
      <c r="R251" s="5" t="s">
        <v>4</v>
      </c>
      <c r="S251" s="100">
        <f ca="1">_xll.meDateFromTenor(S250,"1D","FOLLOWING",T$12)</f>
        <v>42849</v>
      </c>
      <c r="T251" s="13">
        <f ca="1">_xll.meDateFromTenor(S251,T$14,T$11,T$12)</f>
        <v>43214</v>
      </c>
      <c r="U251" s="98">
        <f ca="1"/>
        <v>-2.3370750057482933E-4</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-3.9936242230666072E-3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-1.3036665238154274E-3</v>
      </c>
      <c r="R252" s="5" t="s">
        <v>4</v>
      </c>
      <c r="S252" s="100">
        <f ca="1">_xll.meDateFromTenor(S251,"1D","FOLLOWING",T$12)</f>
        <v>42850</v>
      </c>
      <c r="T252" s="13">
        <f ca="1">_xll.meDateFromTenor(S252,T$14,T$11,T$12)</f>
        <v>43215</v>
      </c>
      <c r="U252" s="98">
        <f ca="1"/>
        <v>-2.3288542292548123E-4</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-3.9949758395020542E-3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-1.3106345815754544E-3</v>
      </c>
      <c r="R253" s="5" t="s">
        <v>4</v>
      </c>
      <c r="S253" s="100">
        <f ca="1">_xll.meDateFromTenor(S252,"1D","FOLLOWING",T$12)</f>
        <v>42851</v>
      </c>
      <c r="T253" s="13">
        <f ca="1">_xll.meDateFromTenor(S253,T$14,T$11,T$12)</f>
        <v>43216</v>
      </c>
      <c r="U253" s="98">
        <f ca="1"/>
        <v>-2.3205341059519556E-4</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-3.9963242042271932E-3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-1.3178429850109273E-3</v>
      </c>
      <c r="R254" s="5" t="s">
        <v>4</v>
      </c>
      <c r="S254" s="100">
        <f ca="1">_xll.meDateFromTenor(S253,"1D","FOLLOWING",T$12)</f>
        <v>42852</v>
      </c>
      <c r="T254" s="13">
        <f ca="1">_xll.meDateFromTenor(S254,T$14,T$11,T$12)</f>
        <v>43217</v>
      </c>
      <c r="U254" s="98">
        <f ca="1"/>
        <v>-2.3121143314877341E-4</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-3.9976688017276081E-3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-1.3252939681000458E-3</v>
      </c>
      <c r="R255" s="5" t="s">
        <v>4</v>
      </c>
      <c r="S255" s="100">
        <f ca="1">_xll.meDateFromTenor(S254,"1D","FOLLOWING",T$12)</f>
        <v>42853</v>
      </c>
      <c r="T255" s="13">
        <f ca="1">_xll.meDateFromTenor(S255,T$14,T$11,T$12)</f>
        <v>43220</v>
      </c>
      <c r="U255" s="98">
        <f ca="1"/>
        <v>-2.3035946015101576E-4</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-4.002999209193751E-3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-1.3575683765569718E-3</v>
      </c>
      <c r="R256" s="5" t="s">
        <v>4</v>
      </c>
      <c r="S256" s="100">
        <f ca="1">_xll.meDateFromTenor(S255,"1D","FOLLOWING",T$12)</f>
        <v>42857</v>
      </c>
      <c r="T256" s="13">
        <f ca="1">_xll.meDateFromTenor(S256,T$14,T$11,T$12)</f>
        <v>43222</v>
      </c>
      <c r="U256" s="98">
        <f ca="1"/>
        <v>-2.2685100394265011E-4</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-4.0043172960504232E-3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-1.3662657675873144E-3</v>
      </c>
      <c r="R257" s="5" t="s">
        <v>4</v>
      </c>
      <c r="S257" s="100">
        <f ca="1">_xll.meDateFromTenor(S256,"1D","FOLLOWING",T$12)</f>
        <v>42858</v>
      </c>
      <c r="T257" s="13">
        <f ca="1">_xll.meDateFromTenor(S257,T$14,T$11,T$12)</f>
        <v>43223</v>
      </c>
      <c r="U257" s="98">
        <f ca="1"/>
        <v>-2.2594859666023005E-4</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-4.0056288717724257E-3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-1.3752191421405014E-3</v>
      </c>
      <c r="R258" s="5" t="s">
        <v>4</v>
      </c>
      <c r="S258" s="100">
        <f ca="1">_xll.meDateFromTenor(S257,"1D","FOLLOWING",T$12)</f>
        <v>42859</v>
      </c>
      <c r="T258" s="13">
        <f ca="1">_xll.meDateFromTenor(S258,T$14,T$11,T$12)</f>
        <v>43224</v>
      </c>
      <c r="U258" s="98">
        <f ca="1"/>
        <v>-2.2503601121528051E-4</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-4.0069337700218812E-3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-1.384430734194732E-3</v>
      </c>
      <c r="R259" s="5" t="s">
        <v>4</v>
      </c>
      <c r="S259" s="100">
        <f ca="1">_xll.meDateFromTenor(S258,"1D","FOLLOWING",T$12)</f>
        <v>42860</v>
      </c>
      <c r="T259" s="13">
        <f ca="1">_xll.meDateFromTenor(S259,T$14,T$11,T$12)</f>
        <v>43227</v>
      </c>
      <c r="U259" s="98">
        <f ca="1"/>
        <v>-2.2411321717260259E-4</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-4.0108067365562236E-3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-1.4136371551456842E-3</v>
      </c>
      <c r="R260" s="5" t="s">
        <v>4</v>
      </c>
      <c r="S260" s="100">
        <f ca="1">_xll.meDateFromTenor(S259,"1D","FOLLOWING",T$12)</f>
        <v>42863</v>
      </c>
      <c r="T260" s="13">
        <f ca="1">_xll.meDateFromTenor(S260,T$14,T$11,T$12)</f>
        <v>43228</v>
      </c>
      <c r="U260" s="98">
        <f ca="1"/>
        <v>-2.2128327910620827E-4</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-4.012083261536745E-3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-1.4239039569860872E-3</v>
      </c>
      <c r="R261" s="5" t="s">
        <v>4</v>
      </c>
      <c r="S261" s="100">
        <f ca="1">_xll.meDateFromTenor(S260,"1D","FOLLOWING",T$12)</f>
        <v>42864</v>
      </c>
      <c r="T261" s="13">
        <f ca="1">_xll.meDateFromTenor(S261,T$14,T$11,T$12)</f>
        <v>43229</v>
      </c>
      <c r="U261" s="98">
        <f ca="1"/>
        <v>-2.2031934632062671E-4</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-4.013352277355344E-3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-1.4344401462185324E-3</v>
      </c>
      <c r="R262" s="5" t="s">
        <v>4</v>
      </c>
      <c r="S262" s="100">
        <f ca="1">_xll.meDateFromTenor(S261,"1D","FOLLOWING",T$12)</f>
        <v>42865</v>
      </c>
      <c r="T262" s="13">
        <f ca="1">_xll.meDateFromTenor(S262,T$14,T$11,T$12)</f>
        <v>43230</v>
      </c>
      <c r="U262" s="98">
        <f ca="1"/>
        <v>-2.1934505276132175E-4</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-4.0146136176741464E-3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-1.4452479568212203E-3</v>
      </c>
      <c r="R263" s="5" t="s">
        <v>4</v>
      </c>
      <c r="S263" s="100">
        <f ca="1">_xll.meDateFromTenor(S262,"1D","FOLLOWING",T$12)</f>
        <v>42866</v>
      </c>
      <c r="T263" s="13">
        <f ca="1">_xll.meDateFromTenor(S263,T$14,T$11,T$12)</f>
        <v>43231</v>
      </c>
      <c r="U263" s="98">
        <f ca="1"/>
        <v>-2.1836036799309446E-4</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-4.0158671161552783E-3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-1.4563296227723505E-3</v>
      </c>
      <c r="R264" s="5" t="s">
        <v>4</v>
      </c>
      <c r="S264" s="100">
        <f ca="1">_xll.meDateFromTenor(S263,"1D","FOLLOWING",T$12)</f>
        <v>42867</v>
      </c>
      <c r="T264" s="13">
        <f ca="1">_xll.meDateFromTenor(S264,T$14,T$11,T$12)</f>
        <v>43234</v>
      </c>
      <c r="U264" s="98">
        <f ca="1"/>
        <v>-2.1736526158074577E-4</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-4.0195788971938888E-3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-1.4912400924983874E-3</v>
      </c>
      <c r="R265" s="5" t="s">
        <v>4</v>
      </c>
      <c r="S265" s="100">
        <f ca="1">_xll.meDateFromTenor(S264,"1D","FOLLOWING",T$12)</f>
        <v>42870</v>
      </c>
      <c r="T265" s="13">
        <f ca="1">_xll.meDateFromTenor(S265,T$14,T$11,T$12)</f>
        <v>43235</v>
      </c>
      <c r="U265" s="98">
        <f ca="1"/>
        <v>-2.1431710812698182E-4</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-4.0207993649455809E-3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-1.5034395196252819E-3</v>
      </c>
      <c r="R266" s="5" t="s">
        <v>4</v>
      </c>
      <c r="S266" s="100">
        <f ca="1">_xll.meDateFromTenor(S265,"1D","FOLLOWING",T$12)</f>
        <v>42871</v>
      </c>
      <c r="T266" s="13">
        <f ca="1">_xll.meDateFromTenor(S266,T$14,T$11,T$12)</f>
        <v>43236</v>
      </c>
      <c r="U266" s="98">
        <f ca="1"/>
        <v>-2.1328001078615785E-4</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-4.0220111591702254E-3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-1.5159239719916167E-3</v>
      </c>
      <c r="R267" s="5" t="s">
        <v>4</v>
      </c>
      <c r="S267" s="100">
        <f ca="1">_xll.meDateFromTenor(S266,"1D","FOLLOWING",T$12)</f>
        <v>42872</v>
      </c>
      <c r="T267" s="13">
        <f ca="1">_xll.meDateFromTenor(S267,T$14,T$11,T$12)</f>
        <v>43237</v>
      </c>
      <c r="U267" s="98">
        <f ca="1"/>
        <v>-2.1223233962521762E-4</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-4.0232141135299482E-3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-1.5286956835755914E-3</v>
      </c>
      <c r="R268" s="5" t="s">
        <v>4</v>
      </c>
      <c r="S268" s="100">
        <f ca="1">_xll.meDateFromTenor(S267,"1D","FOLLOWING",T$12)</f>
        <v>42873</v>
      </c>
      <c r="T268" s="13">
        <f ca="1">_xll.meDateFromTenor(S268,T$14,T$11,T$12)</f>
        <v>43238</v>
      </c>
      <c r="U268" s="98">
        <f ca="1"/>
        <v>-2.1117406420896205E-4</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-4.0244080616868728E-3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-1.5417568883554064E-3</v>
      </c>
      <c r="R269" s="5" t="s">
        <v>4</v>
      </c>
      <c r="S269" s="100">
        <f ca="1">_xll.meDateFromTenor(S268,"1D","FOLLOWING",T$12)</f>
        <v>42874</v>
      </c>
      <c r="T269" s="13">
        <f ca="1">_xll.meDateFromTenor(S269,T$14,T$11,T$12)</f>
        <v>43241</v>
      </c>
      <c r="U269" s="98">
        <f ca="1"/>
        <v>-2.1010515410219233E-4</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-4.0279342055621085E-3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-1.5826998016518891E-3</v>
      </c>
      <c r="R270" s="5" t="s">
        <v>4</v>
      </c>
      <c r="S270" s="100">
        <f ca="1">_xll.meDateFromTenor(S269,"1D","FOLLOWING",T$12)</f>
        <v>42877</v>
      </c>
      <c r="T270" s="13">
        <f ca="1">_xll.meDateFromTenor(S270,T$14,T$11,T$12)</f>
        <v>43242</v>
      </c>
      <c r="U270" s="98">
        <f ca="1"/>
        <v>-2.068343112868074E-4</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-4.02909046552909E-3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-1.5969413189970613E-3</v>
      </c>
      <c r="R271" s="5" t="s">
        <v>4</v>
      </c>
      <c r="S271" s="100">
        <f ca="1">_xll.meDateFromTenor(S270,"1D","FOLLOWING",T$12)</f>
        <v>42878</v>
      </c>
      <c r="T271" s="13">
        <f ca="1">_xll.meDateFromTenor(S271,T$14,T$11,T$12)</f>
        <v>43243</v>
      </c>
      <c r="U271" s="98">
        <f ca="1"/>
        <v>-2.0572255806599062E-4</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-4.0302368876038996E-3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-1.611483499429072E-3</v>
      </c>
      <c r="R272" s="5" t="s">
        <v>4</v>
      </c>
      <c r="S272" s="100">
        <f ca="1">_xll.meDateFromTenor(S271,"1D","FOLLOWING",T$12)</f>
        <v>42879</v>
      </c>
      <c r="T272" s="13">
        <f ca="1">_xll.meDateFromTenor(S272,T$14,T$11,T$12)</f>
        <v>43244</v>
      </c>
      <c r="U272" s="98">
        <f ca="1"/>
        <v>-2.0460001797866469E-4</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-4.031373305448659E-3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-1.6263285769261213E-3</v>
      </c>
      <c r="R273" s="5" t="s">
        <v>4</v>
      </c>
      <c r="S273" s="100">
        <f ca="1">_xll.meDateFromTenor(S272,"1D","FOLLOWING",T$12)</f>
        <v>42880</v>
      </c>
      <c r="T273" s="13">
        <f ca="1">_xll.meDateFromTenor(S273,T$14,T$11,T$12)</f>
        <v>43245</v>
      </c>
      <c r="U273" s="98">
        <f ca="1"/>
        <v>-2.0346666058963049E-4</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-4.0324995527254949E-3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-1.6414787854664083E-3</v>
      </c>
      <c r="R274" s="5" t="s">
        <v>4</v>
      </c>
      <c r="S274" s="100">
        <f ca="1">_xll.meDateFromTenor(S273,"1D","FOLLOWING",T$12)</f>
        <v>42881</v>
      </c>
      <c r="T274" s="13">
        <f ca="1">_xll.meDateFromTenor(S274,T$14,T$11,T$12)</f>
        <v>43248</v>
      </c>
      <c r="U274" s="98">
        <f ca="1"/>
        <v>-2.0232245546368912E-4</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-4.0358156077697112E-3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-1.6887825371286959E-3</v>
      </c>
      <c r="R275" s="5" t="s">
        <v>4</v>
      </c>
      <c r="S275" s="100">
        <f ca="1">_xll.meDateFromTenor(S274,"1D","FOLLOWING",T$12)</f>
        <v>42884</v>
      </c>
      <c r="T275" s="13">
        <f ca="1">_xll.meDateFromTenor(S275,T$14,T$11,T$12)</f>
        <v>43249</v>
      </c>
      <c r="U275" s="98">
        <f ca="1"/>
        <v>-1.9882444931243207E-4</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-4.0368995093961009E-3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-1.7051756096239327E-3</v>
      </c>
      <c r="R276" s="5" t="s">
        <v>4</v>
      </c>
      <c r="S276" s="100">
        <f ca="1">_xll.meDateFromTenor(S275,"1D","FOLLOWING",T$12)</f>
        <v>42885</v>
      </c>
      <c r="T276" s="13">
        <f ca="1">_xll.meDateFromTenor(S276,T$14,T$11,T$12)</f>
        <v>43250</v>
      </c>
      <c r="U276" s="98">
        <f ca="1"/>
        <v>-1.9763654888687207E-4</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-4.0379724087651926E-3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-1.7218849830534062E-3</v>
      </c>
      <c r="R277" s="5" t="s">
        <v>4</v>
      </c>
      <c r="S277" s="100">
        <f ca="1">_xll.meDateFromTenor(S276,"1D","FOLLOWING",T$12)</f>
        <v>42886</v>
      </c>
      <c r="T277" s="13">
        <f ca="1">_xll.meDateFromTenor(S277,T$14,T$11,T$12)</f>
        <v>43251</v>
      </c>
      <c r="U277" s="98">
        <f ca="1"/>
        <v>-1.9643764854840993E-4</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-4.0390341395391089E-3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-1.7389128913953169E-3</v>
      </c>
      <c r="R278" s="5" t="s">
        <v>4</v>
      </c>
      <c r="S278" s="100">
        <f ca="1">_xll.meDateFromTenor(S277,"1D","FOLLOWING",T$12)</f>
        <v>42887</v>
      </c>
      <c r="T278" s="13">
        <f ca="1">_xll.meDateFromTenor(S278,T$14,T$11,T$12)</f>
        <v>43252</v>
      </c>
      <c r="U278" s="98">
        <f ca="1"/>
        <v>-1.9522771786184662E-4</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-4.0400845353799758E-3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-1.7562615686278621E-3</v>
      </c>
      <c r="R279" s="5" t="s">
        <v>4</v>
      </c>
      <c r="S279" s="100">
        <f ca="1">_xll.meDateFromTenor(S278,"1D","FOLLOWING",T$12)</f>
        <v>42888</v>
      </c>
      <c r="T279" s="13">
        <f ca="1">_xll.meDateFromTenor(S279,T$14,T$11,T$12)</f>
        <v>43255</v>
      </c>
      <c r="U279" s="98">
        <f ca="1"/>
        <v>-1.9400672639198331E-4</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-4.0431669830822119E-3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-1.8092672240919302E-3</v>
      </c>
      <c r="R280" s="5" t="s">
        <v>4</v>
      </c>
      <c r="S280" s="100">
        <f ca="1">_xll.meDateFromTenor(S279,"1D","FOLLOWING",T$12)</f>
        <v>42891</v>
      </c>
      <c r="T280" s="13">
        <f ca="1">_xll.meDateFromTenor(S280,T$14,T$11,T$12)</f>
        <v>43256</v>
      </c>
      <c r="U280" s="98">
        <f ca="1"/>
        <v>-1.902772785191314E-4</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-4.0441716545824022E-3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-1.8266048657773586E-3</v>
      </c>
      <c r="R281" s="5" t="s">
        <v>4</v>
      </c>
      <c r="S281" s="100">
        <f ca="1">_xll.meDateFromTenor(S280,"1D","FOLLOWING",T$12)</f>
        <v>42892</v>
      </c>
      <c r="T281" s="13">
        <f ca="1">_xll.meDateFromTenor(S281,T$14,T$11,T$12)</f>
        <v>43257</v>
      </c>
      <c r="U281" s="98">
        <f ca="1"/>
        <v>-1.8901200759280224E-4</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-4.0451649889327763E-3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-1.8436161561966181E-3</v>
      </c>
      <c r="R282" s="5" t="s">
        <v>4</v>
      </c>
      <c r="S282" s="100">
        <f ca="1">_xll.meDateFromTenor(S281,"1D","FOLLOWING",T$12)</f>
        <v>42893</v>
      </c>
      <c r="T282" s="13">
        <f ca="1">_xll.meDateFromTenor(S282,T$14,T$11,T$12)</f>
        <v>43258</v>
      </c>
      <c r="U282" s="98">
        <f ca="1"/>
        <v>-1.8773569756364808E-4</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-4.0461470271636124E-3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-1.8603032588530315E-3</v>
      </c>
      <c r="R283" s="5" t="s">
        <v>4</v>
      </c>
      <c r="S283" s="100">
        <f ca="1">_xll.meDateFromTenor(S282,"1D","FOLLOWING",T$12)</f>
        <v>42894</v>
      </c>
      <c r="T283" s="13">
        <f ca="1">_xll.meDateFromTenor(S283,T$14,T$11,T$12)</f>
        <v>43259</v>
      </c>
      <c r="U283" s="98">
        <f ca="1"/>
        <v>-1.8644836146058727E-4</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-4.047117810305186E-3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-1.8766683372499168E-3</v>
      </c>
      <c r="R284" s="5" t="s">
        <v>4</v>
      </c>
      <c r="S284" s="100">
        <f ca="1">_xll.meDateFromTenor(S283,"1D","FOLLOWING",T$12)</f>
        <v>42895</v>
      </c>
      <c r="T284" s="13">
        <f ca="1">_xll.meDateFromTenor(S284,T$14,T$11,T$12)</f>
        <v>43262</v>
      </c>
      <c r="U284" s="98">
        <f ca="1"/>
        <v>-1.8515001231253852E-4</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-4.0499630394971124E-3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-1.9238530619166232E-3</v>
      </c>
      <c r="R285" s="5" t="s">
        <v>4</v>
      </c>
      <c r="S285" s="100">
        <f ca="1">_xll.meDateFromTenor(S284,"1D","FOLLOWING",T$12)</f>
        <v>42898</v>
      </c>
      <c r="T285" s="13">
        <f ca="1">_xll.meDateFromTenor(S285,T$14,T$11,T$12)</f>
        <v>43263</v>
      </c>
      <c r="U285" s="98">
        <f ca="1"/>
        <v>-1.8118901688764862E-4</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-4.0508892125844138E-3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-1.9389516783086089E-3</v>
      </c>
      <c r="R286" s="5" t="s">
        <v>4</v>
      </c>
      <c r="S286" s="100">
        <f ca="1">_xll.meDateFromTenor(S285,"1D","FOLLOWING",T$12)</f>
        <v>42899</v>
      </c>
      <c r="T286" s="13">
        <f ca="1">_xll.meDateFromTenor(S286,T$14,T$11,T$12)</f>
        <v>43264</v>
      </c>
      <c r="U286" s="98">
        <f ca="1"/>
        <v>-1.7984674584883265E-4</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-4.0518043357338392E-3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-1.9537390879576723E-3</v>
      </c>
      <c r="R287" s="5" t="s">
        <v>4</v>
      </c>
      <c r="S287" s="100">
        <f ca="1">_xll.meDateFromTenor(S286,"1D","FOLLOWING",T$12)</f>
        <v>42900</v>
      </c>
      <c r="T287" s="13">
        <f ca="1">_xll.meDateFromTenor(S287,T$14,T$11,T$12)</f>
        <v>43265</v>
      </c>
      <c r="U287" s="98">
        <f ca="1"/>
        <v>-1.7849352690962102E-4</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-4.0527084499756665E-3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-1.9682174543671316E-3</v>
      </c>
      <c r="R288" s="5" t="s">
        <v>4</v>
      </c>
      <c r="S288" s="100">
        <f ca="1">_xll.meDateFromTenor(S287,"1D","FOLLOWING",T$12)</f>
        <v>42901</v>
      </c>
      <c r="T288" s="13">
        <f ca="1">_xll.meDateFromTenor(S288,T$14,T$11,T$12)</f>
        <v>43266</v>
      </c>
      <c r="U288" s="98">
        <f ca="1"/>
        <v>-1.7712937309893249E-4</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-4.0536015963401738E-3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-1.9823889410403098E-3</v>
      </c>
      <c r="R289" s="5" t="s">
        <v>4</v>
      </c>
      <c r="S289" s="100">
        <f ca="1">_xll.meDateFromTenor(S288,"1D","FOLLOWING",T$12)</f>
        <v>42902</v>
      </c>
      <c r="T289" s="13">
        <f ca="1">_xll.meDateFromTenor(S289,T$14,T$11,T$12)</f>
        <v>43269</v>
      </c>
      <c r="U289" s="98">
        <f ca="1"/>
        <v>-1.7575429744568529E-4</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-4.0562156384725424E-3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-2.0230837576753575E-3</v>
      </c>
      <c r="R290" s="5" t="s">
        <v>4</v>
      </c>
      <c r="S290" s="100">
        <f ca="1">_xll.meDateFromTenor(S289,"1D","FOLLOWING",T$12)</f>
        <v>42905</v>
      </c>
      <c r="T290" s="13">
        <f ca="1">_xll.meDateFromTenor(S290,T$14,T$11,T$12)</f>
        <v>43270</v>
      </c>
      <c r="U290" s="98">
        <f ca="1"/>
        <v>-1.7156366971977772E-4</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-4.0570653236305394E-3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-2.0360493604366123E-3</v>
      </c>
      <c r="R291" s="5" t="s">
        <v>4</v>
      </c>
      <c r="S291" s="100">
        <f ca="1">_xll.meDateFromTenor(S290,"1D","FOLLOWING",T$12)</f>
        <v>42906</v>
      </c>
      <c r="T291" s="13">
        <f ca="1">_xll.meDateFromTenor(S291,T$14,T$11,T$12)</f>
        <v>43271</v>
      </c>
      <c r="U291" s="98">
        <f ca="1"/>
        <v>-1.7014503698548156E-4</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-4.057904246062601E-3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-2.0487189009781893E-3</v>
      </c>
      <c r="R292" s="5" t="s">
        <v>4</v>
      </c>
      <c r="S292" s="100">
        <f ca="1">_xll.meDateFromTenor(S291,"1D","FOLLOWING",T$12)</f>
        <v>42907</v>
      </c>
      <c r="T292" s="13">
        <f ca="1">_xll.meDateFromTenor(S292,T$14,T$11,T$12)</f>
        <v>43272</v>
      </c>
      <c r="U292" s="98">
        <f ca="1"/>
        <v>-1.6871554755321935E-4</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-4.0587324467990056E-3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-2.0610945428034067E-3</v>
      </c>
      <c r="R293" s="5" t="s">
        <v>4</v>
      </c>
      <c r="S293" s="100">
        <f ca="1">_xll.meDateFromTenor(S292,"1D","FOLLOWING",T$12)</f>
        <v>42908</v>
      </c>
      <c r="T293" s="13">
        <f ca="1">_xll.meDateFromTenor(S293,T$14,T$11,T$12)</f>
        <v>43273</v>
      </c>
      <c r="U293" s="98">
        <f ca="1"/>
        <v>-1.6727521445190972E-4</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-4.0595499668700293E-3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-2.0731784494155874E-3</v>
      </c>
      <c r="R294" s="5" t="s">
        <v>4</v>
      </c>
      <c r="S294" s="100">
        <f ca="1">_xll.meDateFromTenor(S293,"1D","FOLLOWING",T$12)</f>
        <v>42909</v>
      </c>
      <c r="T294" s="13">
        <f ca="1">_xll.meDateFromTenor(S294,T$14,T$11,T$12)</f>
        <v>43276</v>
      </c>
      <c r="U294" s="98">
        <f ca="1"/>
        <v>-1.6582405071047097E-4</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-4.061938853393593E-3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-2.1077013930071082E-3</v>
      </c>
      <c r="R295" s="5" t="s">
        <v>4</v>
      </c>
      <c r="S295" s="100">
        <f ca="1">_xll.meDateFromTenor(S294,"1D","FOLLOWING",T$12)</f>
        <v>42912</v>
      </c>
      <c r="T295" s="13">
        <f ca="1">_xll.meDateFromTenor(S295,T$14,T$11,T$12)</f>
        <v>43277</v>
      </c>
      <c r="U295" s="98">
        <f ca="1"/>
        <v>-1.61405705934566E-4</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-4.0627140611058698E-3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-2.1186399938003431E-3</v>
      </c>
      <c r="R296" s="5" t="s">
        <v>4</v>
      </c>
      <c r="S296" s="100">
        <f ca="1">_xll.meDateFromTenor(S295,"1D","FOLLOWING",T$12)</f>
        <v>42913</v>
      </c>
      <c r="T296" s="13">
        <f ca="1">_xll.meDateFromTenor(S296,T$14,T$11,T$12)</f>
        <v>43278</v>
      </c>
      <c r="U296" s="98">
        <f ca="1"/>
        <v>-1.599113499217965E-4</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-4.0634787933041512E-3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-2.1292976768971443E-3</v>
      </c>
      <c r="R297" s="5" t="s">
        <v>4</v>
      </c>
      <c r="S297" s="100">
        <f ca="1">_xll.meDateFromTenor(S296,"1D","FOLLOWING",T$12)</f>
        <v>42914</v>
      </c>
      <c r="T297" s="13">
        <f ca="1">_xll.meDateFromTenor(S297,T$14,T$11,T$12)</f>
        <v>43279</v>
      </c>
      <c r="U297" s="98">
        <f ca="1"/>
        <v>-1.5840622841349039E-4</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-4.0642330910187173E-3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-2.1396766058008306E-3</v>
      </c>
      <c r="R298" s="5" t="s">
        <v>4</v>
      </c>
      <c r="S298" s="100">
        <f ca="1">_xll.meDateFromTenor(S297,"1D","FOLLOWING",T$12)</f>
        <v>42915</v>
      </c>
      <c r="T298" s="13">
        <f ca="1">_xll.meDateFromTenor(S298,T$14,T$11,T$12)</f>
        <v>43280</v>
      </c>
      <c r="U298" s="98">
        <f ca="1"/>
        <v>-1.5689035443856644E-4</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-4.0649769952798426E-3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-2.1497789440147247E-3</v>
      </c>
      <c r="R299" s="5" t="s">
        <v>4</v>
      </c>
      <c r="S299" s="100">
        <f ca="1">_xll.meDateFromTenor(S298,"1D","FOLLOWING",T$12)</f>
        <v>42916</v>
      </c>
      <c r="T299" s="13">
        <f ca="1">_xll.meDateFromTenor(S299,T$14,T$11,T$12)</f>
        <v>43280</v>
      </c>
      <c r="U299" s="98">
        <f ca="1"/>
        <v>-1.5536374102594286E-4</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-4.0671467576453551E-3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-2.1784480495508508E-3</v>
      </c>
      <c r="R300" s="5" t="s">
        <v>4</v>
      </c>
      <c r="S300" s="100">
        <f ca="1">_xll.meDateFromTenor(S299,"1D","FOLLOWING",T$12)</f>
        <v>42919</v>
      </c>
      <c r="T300" s="13">
        <f ca="1">_xll.meDateFromTenor(S300,T$14,T$11,T$12)</f>
        <v>43284</v>
      </c>
      <c r="U300" s="98">
        <f ca="1"/>
        <v>-1.5071959445106094E-4</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-4.0678494750924533E-3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-2.1874656600387771E-3</v>
      </c>
      <c r="R301" s="5" t="s">
        <v>4</v>
      </c>
      <c r="S301" s="100">
        <f ca="1">_xll.meDateFromTenor(S300,"1D","FOLLOWING",T$12)</f>
        <v>42920</v>
      </c>
      <c r="T301" s="13">
        <f ca="1">_xll.meDateFromTenor(S301,T$14,T$11,T$12)</f>
        <v>43285</v>
      </c>
      <c r="U301" s="98">
        <f ca="1"/>
        <v>-1.4915015357682459E-4</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-4.0685418644192482E-3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-2.1962174973535137E-3</v>
      </c>
      <c r="R302" s="5" t="s">
        <v>4</v>
      </c>
      <c r="S302" s="100">
        <f ca="1">_xll.meDateFromTenor(S301,"1D","FOLLOWING",T$12)</f>
        <v>42921</v>
      </c>
      <c r="T302" s="13">
        <f ca="1">_xll.meDateFromTenor(S302,T$14,T$11,T$12)</f>
        <v>43286</v>
      </c>
      <c r="U302" s="98">
        <f ca="1"/>
        <v>-1.475700384094814E-4</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-4.0692238268377652E-3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-2.2047057249983794E-3</v>
      </c>
      <c r="R303" s="5" t="s">
        <v>4</v>
      </c>
      <c r="S303" s="100">
        <f ca="1">_xll.meDateFromTenor(S302,"1D","FOLLOWING",T$12)</f>
        <v>42922</v>
      </c>
      <c r="T303" s="13">
        <f ca="1">_xll.meDateFromTenor(S303,T$14,T$11,T$12)</f>
        <v>43287</v>
      </c>
      <c r="U303" s="98">
        <f ca="1"/>
        <v>-1.4597926197794988E-4</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-4.069895263560031E-3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-2.2129325064766973E-3</v>
      </c>
      <c r="R304" s="5" t="s">
        <v>4</v>
      </c>
      <c r="S304" s="100">
        <f ca="1">_xll.meDateFromTenor(S303,"1D","FOLLOWING",T$12)</f>
        <v>42923</v>
      </c>
      <c r="T304" s="13">
        <f ca="1">_xll.meDateFromTenor(S304,T$14,T$11,T$12)</f>
        <v>43290</v>
      </c>
      <c r="U304" s="98">
        <f ca="1"/>
        <v>-1.4437783731114834E-4</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-4.0718454316695926E-3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-2.2360658089455613E-3</v>
      </c>
      <c r="R305" s="5" t="s">
        <v>4</v>
      </c>
      <c r="S305" s="100">
        <f ca="1">_xll.meDateFromTenor(S304,"1D","FOLLOWING",T$12)</f>
        <v>42926</v>
      </c>
      <c r="T305" s="13">
        <f ca="1">_xll.meDateFromTenor(S305,T$14,T$11,T$12)</f>
        <v>43291</v>
      </c>
      <c r="U305" s="98">
        <f ca="1"/>
        <v>-1.3950980418830949E-4</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-4.0724737777271224E-3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-2.2432684407908896E-3</v>
      </c>
      <c r="R306" s="5" t="s">
        <v>4</v>
      </c>
      <c r="S306" s="100">
        <f ca="1">_xll.meDateFromTenor(S305,"1D","FOLLOWING",T$12)</f>
        <v>42927</v>
      </c>
      <c r="T306" s="13">
        <f ca="1">_xll.meDateFromTenor(S306,T$14,T$11,T$12)</f>
        <v>43292</v>
      </c>
      <c r="U306" s="98">
        <f ca="1"/>
        <v>-1.3786591686961328E-4</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-4.0730911041485345E-3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-2.2502204439862712E-3</v>
      </c>
      <c r="R307" s="5" t="s">
        <v>4</v>
      </c>
      <c r="S307" s="100">
        <f ca="1">_xll.meDateFromTenor(S306,"1D","FOLLOWING",T$12)</f>
        <v>42928</v>
      </c>
      <c r="T307" s="13">
        <f ca="1">_xll.meDateFromTenor(S307,T$14,T$11,T$12)</f>
        <v>43293</v>
      </c>
      <c r="U307" s="98">
        <f ca="1"/>
        <v>-1.3621144646023989E-4</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-4.0736973121458554E-3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-2.256923982035028E-3</v>
      </c>
      <c r="R308" s="5" t="s">
        <v>4</v>
      </c>
      <c r="S308" s="100">
        <f ca="1">_xll.meDateFromTenor(S307,"1D","FOLLOWING",T$12)</f>
        <v>42929</v>
      </c>
      <c r="T308" s="13">
        <f ca="1">_xll.meDateFromTenor(S308,T$14,T$11,T$12)</f>
        <v>43294</v>
      </c>
      <c r="U308" s="98">
        <f ca="1"/>
        <v>-1.3454640598910744E-4</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-4.0742923029311127E-3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-2.2633812184404802E-3</v>
      </c>
      <c r="R309" s="5" t="s">
        <v>4</v>
      </c>
      <c r="S309" s="100">
        <f ca="1">_xll.meDateFromTenor(S308,"1D","FOLLOWING",T$12)</f>
        <v>42930</v>
      </c>
      <c r="T309" s="13">
        <f ca="1">_xll.meDateFromTenor(S309,T$14,T$11,T$12)</f>
        <v>43297</v>
      </c>
      <c r="U309" s="98">
        <f ca="1"/>
        <v>-1.3287080848513468E-4</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-4.076008984134764E-3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-2.2812967528302156E-3</v>
      </c>
      <c r="R310" s="5" t="s">
        <v>4</v>
      </c>
      <c r="S310" s="100">
        <f ca="1">_xll.meDateFromTenor(S309,"1D","FOLLOWING",T$12)</f>
        <v>42933</v>
      </c>
      <c r="T310" s="13">
        <f ca="1">_xll.meDateFromTenor(S310,T$14,T$11,T$12)</f>
        <v>43298</v>
      </c>
      <c r="U310" s="98">
        <f ca="1"/>
        <v>-1.2778080406535911E-4</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-4.0765581181920309E-3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-2.2867904176956562E-3</v>
      </c>
      <c r="R311" s="5" t="s">
        <v>4</v>
      </c>
      <c r="S311" s="100">
        <f ca="1">_xll.meDateFromTenor(S310,"1D","FOLLOWING",T$12)</f>
        <v>42934</v>
      </c>
      <c r="T311" s="13">
        <f ca="1">_xll.meDateFromTenor(S311,T$14,T$11,T$12)</f>
        <v>43299</v>
      </c>
      <c r="U311" s="98">
        <f ca="1"/>
        <v>-1.2606310871920981E-4</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-4.077095541097365E-3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-2.2920485984343941E-3</v>
      </c>
      <c r="R312" s="5" t="s">
        <v>4</v>
      </c>
      <c r="S312" s="100">
        <f ca="1">_xll.meDateFromTenor(S311,"1D","FOLLOWING",T$12)</f>
        <v>42935</v>
      </c>
      <c r="T312" s="13">
        <f ca="1">_xll.meDateFromTenor(S312,T$14,T$11,T$12)</f>
        <v>43300</v>
      </c>
      <c r="U312" s="98">
        <f ca="1"/>
        <v>-1.243349214848128E-4</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-4.0776211540627964E-3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-2.2970734585497526E-3</v>
      </c>
      <c r="R313" s="5" t="s">
        <v>4</v>
      </c>
      <c r="S313" s="100">
        <f ca="1">_xll.meDateFromTenor(S312,"1D","FOLLOWING",T$12)</f>
        <v>42936</v>
      </c>
      <c r="T313" s="13">
        <f ca="1">_xll.meDateFromTenor(S313,T$14,T$11,T$12)</f>
        <v>43301</v>
      </c>
      <c r="U313" s="98">
        <f ca="1"/>
        <v>-1.2259625539108631E-4</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-4.0781348583003489E-3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-2.3018671615450499E-3</v>
      </c>
      <c r="R314" s="5" t="s">
        <v>4</v>
      </c>
      <c r="S314" s="100">
        <f ca="1">_xll.meDateFromTenor(S313,"1D","FOLLOWING",T$12)</f>
        <v>42937</v>
      </c>
      <c r="T314" s="13">
        <f ca="1">_xll.meDateFromTenor(S314,T$14,T$11,T$12)</f>
        <v>43304</v>
      </c>
      <c r="U314" s="98">
        <f ca="1"/>
        <v>-1.2084712346694911E-4</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-4.079603530766006E-3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-2.3148829628437885E-3</v>
      </c>
      <c r="R315" s="5" t="s">
        <v>4</v>
      </c>
      <c r="S315" s="100">
        <f ca="1">_xll.meDateFromTenor(S314,"1D","FOLLOWING",T$12)</f>
        <v>42940</v>
      </c>
      <c r="T315" s="13">
        <f ca="1">_xll.meDateFromTenor(S315,T$14,T$11,T$12)</f>
        <v>43305</v>
      </c>
      <c r="U315" s="98">
        <f ca="1"/>
        <v>-1.1553706300125713E-4</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-4.080068612212313E-3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-2.3187736723920519E-3</v>
      </c>
      <c r="R316" s="5" t="s">
        <v>4</v>
      </c>
      <c r="S316" s="100">
        <f ca="1">_xll.meDateFromTenor(S315,"1D","FOLLOWING",T$12)</f>
        <v>42941</v>
      </c>
      <c r="T316" s="13">
        <f ca="1">_xll.meDateFromTenor(S316,T$14,T$11,T$12)</f>
        <v>43306</v>
      </c>
      <c r="U316" s="98">
        <f ca="1"/>
        <v>-1.1374619804466146E-4</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-4.0805212909908756E-3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-2.3224440423368579E-3</v>
      </c>
      <c r="R317" s="5" t="s">
        <v>4</v>
      </c>
      <c r="S317" s="100">
        <f ca="1">_xll.meDateFromTenor(S316,"1D","FOLLOWING",T$12)</f>
        <v>42942</v>
      </c>
      <c r="T317" s="13">
        <f ca="1">_xll.meDateFromTenor(S317,T$14,T$11,T$12)</f>
        <v>43307</v>
      </c>
      <c r="U317" s="98">
        <f ca="1"/>
        <v>-1.1194493240224763E-4</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-4.0809614683137204E-3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-2.3258962361815279E-3</v>
      </c>
      <c r="R318" s="5" t="s">
        <v>4</v>
      </c>
      <c r="S318" s="100">
        <f ca="1">_xll.meDateFromTenor(S317,"1D","FOLLOWING",T$12)</f>
        <v>42943</v>
      </c>
      <c r="T318" s="13">
        <f ca="1">_xll.meDateFromTenor(S318,T$14,T$11,T$12)</f>
        <v>43308</v>
      </c>
      <c r="U318" s="98">
        <f ca="1"/>
        <v>-1.1013327910293382E-4</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-4.0813890453928739E-3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-2.3291324174293817E-3</v>
      </c>
      <c r="R319" s="5" t="s">
        <v>4</v>
      </c>
      <c r="S319" s="100">
        <f ca="1">_xll.meDateFromTenor(S318,"1D","FOLLOWING",T$12)</f>
        <v>42944</v>
      </c>
      <c r="T319" s="13">
        <f ca="1">_xll.meDateFromTenor(S319,T$14,T$11,T$12)</f>
        <v>43311</v>
      </c>
      <c r="U319" s="98">
        <f ca="1"/>
        <v>-1.0831125117563885E-4</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-4.08259518728845E-3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-2.3375665206252553E-3</v>
      </c>
      <c r="R320" s="5" t="s">
        <v>4</v>
      </c>
      <c r="S320" s="100">
        <f ca="1">_xll.meDateFromTenor(S319,"1D","FOLLOWING",T$12)</f>
        <v>42947</v>
      </c>
      <c r="T320" s="13">
        <f ca="1">_xll.meDateFromTenor(S320,T$14,T$11,T$12)</f>
        <v>43312</v>
      </c>
      <c r="U320" s="98">
        <f ca="1"/>
        <v>-1.0278304991505087E-4</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-4.0829713755131045E-3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-2.3399602865190523E-3</v>
      </c>
      <c r="R321" s="5" t="s">
        <v>4</v>
      </c>
      <c r="S321" s="100">
        <f ca="1">_xll.meDateFromTenor(S320,"1D","FOLLOWING",T$12)</f>
        <v>42948</v>
      </c>
      <c r="T321" s="13">
        <f ca="1">_xll.meDateFromTenor(S321,T$14,T$11,T$12)</f>
        <v>43313</v>
      </c>
      <c r="U321" s="98">
        <f ca="1"/>
        <v>-1.0091965376501573E-4</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-4.0833344695541994E-3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-2.3421488573326368E-3</v>
      </c>
      <c r="R322" s="5" t="s">
        <v>4</v>
      </c>
      <c r="S322" s="100">
        <f ca="1">_xll.meDateFromTenor(S321,"1D","FOLLOWING",T$12)</f>
        <v>42949</v>
      </c>
      <c r="T322" s="13">
        <f ca="1">_xll.meDateFromTenor(S322,T$14,T$11,T$12)</f>
        <v>43314</v>
      </c>
      <c r="U322" s="98">
        <f ca="1"/>
        <v>-9.9045948131591655E-5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-4.0836843964880453E-3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-2.3441343965693293E-3</v>
      </c>
      <c r="R323" s="5" t="s">
        <v>4</v>
      </c>
      <c r="S323" s="100">
        <f ca="1">_xll.meDateFromTenor(S322,"1D","FOLLOWING",T$12)</f>
        <v>42950</v>
      </c>
      <c r="T323" s="13">
        <f ca="1">_xll.meDateFromTenor(S323,T$14,T$11,T$12)</f>
        <v>43315</v>
      </c>
      <c r="U323" s="98">
        <f ca="1"/>
        <v>-9.7161946043697455E-5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-4.0840211868480789E-3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-2.3459190677324504E-3</v>
      </c>
      <c r="R324" s="5" t="s">
        <v>4</v>
      </c>
      <c r="S324" s="100">
        <f ca="1">_xll.meDateFromTenor(S323,"1D","FOLLOWING",T$12)</f>
        <v>42951</v>
      </c>
      <c r="T324" s="13">
        <f ca="1">_xll.meDateFromTenor(S324,T$14,T$11,T$12)</f>
        <v>43318</v>
      </c>
      <c r="U324" s="98">
        <f ca="1"/>
        <v>-9.5267660530251339E-5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-4.0849533024624922E-3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-2.3500895078135916E-3</v>
      </c>
      <c r="R325" s="5" t="s">
        <v>4</v>
      </c>
      <c r="S325" s="100">
        <f ca="1">_xll.meDateFromTenor(S324,"1D","FOLLOWING",T$12)</f>
        <v>42954</v>
      </c>
      <c r="T325" s="13">
        <f ca="1">_xll.meDateFromTenor(S325,T$14,T$11,T$12)</f>
        <v>43319</v>
      </c>
      <c r="U325" s="98">
        <f ca="1"/>
        <v>-8.9523233725787588E-5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-4.0852381105044655E-3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-2.3510923417156336E-3</v>
      </c>
      <c r="R326" s="5" t="s">
        <v>4</v>
      </c>
      <c r="S326" s="100">
        <f ca="1">_xll.meDateFromTenor(S325,"1D","FOLLOWING",T$12)</f>
        <v>42955</v>
      </c>
      <c r="T326" s="13">
        <f ca="1">_xll.meDateFromTenor(S326,T$14,T$11,T$12)</f>
        <v>43320</v>
      </c>
      <c r="U326" s="98">
        <f ca="1"/>
        <v>-8.7587944799319563E-5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-4.0855100639612205E-3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-2.3519051250607071E-3</v>
      </c>
      <c r="R327" s="5" t="s">
        <v>4</v>
      </c>
      <c r="S327" s="100">
        <f ca="1">_xll.meDateFromTenor(S326,"1D","FOLLOWING",T$12)</f>
        <v>42956</v>
      </c>
      <c r="T327" s="13">
        <f ca="1">_xll.meDateFromTenor(S327,T$14,T$11,T$12)</f>
        <v>43321</v>
      </c>
      <c r="U327" s="98">
        <f ca="1"/>
        <v>-8.5642437591892183E-5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-4.0857692192304779E-3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-2.352530021352133E-3</v>
      </c>
      <c r="R328" s="5" t="s">
        <v>4</v>
      </c>
      <c r="S328" s="100">
        <f ca="1">_xll.meDateFromTenor(S327,"1D","FOLLOWING",T$12)</f>
        <v>42957</v>
      </c>
      <c r="T328" s="13">
        <f ca="1">_xll.meDateFromTenor(S328,T$14,T$11,T$12)</f>
        <v>43322</v>
      </c>
      <c r="U328" s="98">
        <f ca="1"/>
        <v>-8.3686725132424197E-5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-4.0860156327099549E-3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-2.3529691940932318E-3</v>
      </c>
      <c r="R329" s="5" t="s">
        <v>4</v>
      </c>
      <c r="S329" s="100">
        <f ca="1">_xll.meDateFromTenor(S328,"1D","FOLLOWING",T$12)</f>
        <v>42958</v>
      </c>
      <c r="T329" s="13">
        <f ca="1">_xll.meDateFromTenor(S329,T$14,T$11,T$12)</f>
        <v>43325</v>
      </c>
      <c r="U329" s="98">
        <f ca="1"/>
        <v>-8.1720820449833869E-5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-4.0866789863869052E-3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-2.3531940060477733E-3</v>
      </c>
      <c r="R330" s="5" t="s">
        <v>4</v>
      </c>
      <c r="S330" s="100">
        <f ca="1">_xll.meDateFromTenor(S329,"1D","FOLLOWING",T$12)</f>
        <v>42961</v>
      </c>
      <c r="T330" s="13">
        <f ca="1">_xll.meDateFromTenor(S330,T$14,T$11,T$12)</f>
        <v>43326</v>
      </c>
      <c r="U330" s="98">
        <f ca="1"/>
        <v>-7.5762083352514571E-5</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-4.0868749966844562E-3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-2.3529119196207707E-3</v>
      </c>
      <c r="R331" s="5" t="s">
        <v>4</v>
      </c>
      <c r="S331" s="100">
        <f ca="1">_xll.meDateFromTenor(S330,"1D","FOLLOWING",T$12)</f>
        <v>42962</v>
      </c>
      <c r="T331" s="13">
        <f ca="1">_xll.meDateFromTenor(S331,T$14,T$11,T$12)</f>
        <v>43327</v>
      </c>
      <c r="U331" s="98">
        <f ca="1"/>
        <v>-7.3755540066620413E-5</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-4.0870585471808243E-3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-2.3524549271600435E-3</v>
      </c>
      <c r="R332" s="5" t="s">
        <v>4</v>
      </c>
      <c r="S332" s="100">
        <f ca="1">_xll.meDateFromTenor(S331,"1D","FOLLOWING",T$12)</f>
        <v>42963</v>
      </c>
      <c r="T332" s="13">
        <f ca="1">_xll.meDateFromTenor(S332,T$14,T$11,T$12)</f>
        <v>43328</v>
      </c>
      <c r="U332" s="98">
        <f ca="1"/>
        <v>-7.1738869702196514E-5</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-4.0872296942737266E-3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-2.3518251921689141E-3</v>
      </c>
      <c r="R333" s="5" t="s">
        <v>4</v>
      </c>
      <c r="S333" s="100">
        <f ca="1">_xll.meDateFromTenor(S332,"1D","FOLLOWING",T$12)</f>
        <v>42964</v>
      </c>
      <c r="T333" s="13">
        <f ca="1">_xll.meDateFromTenor(S333,T$14,T$11,T$12)</f>
        <v>43329</v>
      </c>
      <c r="U333" s="98">
        <f ca="1"/>
        <v>-6.9712085288161515E-5</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-4.0873884943608838E-3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-2.3510248781507016E-3</v>
      </c>
      <c r="R334" s="5" t="s">
        <v>4</v>
      </c>
      <c r="S334" s="100">
        <f ca="1">_xll.meDateFromTenor(S333,"1D","FOLLOWING",T$12)</f>
        <v>42965</v>
      </c>
      <c r="T334" s="13">
        <f ca="1">_xll.meDateFromTenor(S334,T$14,T$11,T$12)</f>
        <v>43332</v>
      </c>
      <c r="U334" s="98">
        <f ca="1"/>
        <v>-6.7675199853433666E-5</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-4.0877913765650711E-3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-2.3476220969667751E-3</v>
      </c>
      <c r="R335" s="5" t="s">
        <v>4</v>
      </c>
      <c r="S335" s="100">
        <f ca="1">_xll.meDateFromTenor(S334,"1D","FOLLOWING",T$12)</f>
        <v>42968</v>
      </c>
      <c r="T335" s="13">
        <f ca="1">_xll.meDateFromTenor(S335,T$14,T$11,T$12)</f>
        <v>43333</v>
      </c>
      <c r="U335" s="98">
        <f ca="1"/>
        <v>-6.1504067714279306E-5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-4.0879013526064359E-3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-2.3461611018734388E-3</v>
      </c>
      <c r="R336" s="5" t="s">
        <v>4</v>
      </c>
      <c r="S336" s="100">
        <f ca="1">_xll.meDateFromTenor(S335,"1D","FOLLOWING",T$12)</f>
        <v>42969</v>
      </c>
      <c r="T336" s="13">
        <f ca="1">_xll.meDateFromTenor(S336,T$14,T$11,T$12)</f>
        <v>43334</v>
      </c>
      <c r="U336" s="98">
        <f ca="1"/>
        <v>-5.9426908485965692E-5</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-4.0879992636306487E-3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-2.3445403452696228E-3</v>
      </c>
      <c r="R337" s="5" t="s">
        <v>4</v>
      </c>
      <c r="S337" s="100">
        <f ca="1">_xll.meDateFromTenor(S336,"1D","FOLLOWING",T$12)</f>
        <v>42970</v>
      </c>
      <c r="T337" s="13">
        <f ca="1">_xll.meDateFromTenor(S337,T$14,T$11,T$12)</f>
        <v>43335</v>
      </c>
      <c r="U337" s="98">
        <f ca="1"/>
        <v>-5.7339713381552115E-5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-4.088085166035431E-3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-2.3427619906586481E-3</v>
      </c>
      <c r="R338" s="5" t="s">
        <v>4</v>
      </c>
      <c r="S338" s="100">
        <f ca="1">_xll.meDateFromTenor(S337,"1D","FOLLOWING",T$12)</f>
        <v>42971</v>
      </c>
      <c r="T338" s="13">
        <f ca="1">_xll.meDateFromTenor(S338,T$14,T$11,T$12)</f>
        <v>43336</v>
      </c>
      <c r="U338" s="98">
        <f ca="1"/>
        <v>-5.52424954299567E-5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-4.088159116218501E-3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-2.3408282015438347E-3</v>
      </c>
      <c r="R339" s="5" t="s">
        <v>4</v>
      </c>
      <c r="S339" s="100">
        <f ca="1">_xll.meDateFromTenor(S338,"1D","FOLLOWING",T$12)</f>
        <v>42972</v>
      </c>
      <c r="T339" s="13">
        <f ca="1">_xll.meDateFromTenor(S339,T$14,T$11,T$12)</f>
        <v>43339</v>
      </c>
      <c r="U339" s="98">
        <f ca="1"/>
        <v>-5.3135267660098145E-5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-4.0883098174146265E-3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-2.3341158622095732E-3</v>
      </c>
      <c r="R340" s="5" t="s">
        <v>4</v>
      </c>
      <c r="S340" s="100">
        <f ca="1">_xll.meDateFromTenor(S339,"1D","FOLLOWING",T$12)</f>
        <v>42975</v>
      </c>
      <c r="T340" s="13">
        <f ca="1">_xll.meDateFromTenor(S340,T$14,T$11,T$12)</f>
        <v>43340</v>
      </c>
      <c r="U340" s="98">
        <f ca="1"/>
        <v>-4.6753655730128756E-5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-4.0883365226880367E-3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-2.3315819701126136E-3</v>
      </c>
      <c r="R341" s="5" t="s">
        <v>4</v>
      </c>
      <c r="S341" s="100">
        <f ca="1">_xll.meDateFromTenor(S340,"1D","FOLLOWING",T$12)</f>
        <v>42976</v>
      </c>
      <c r="T341" s="13">
        <f ca="1">_xll.meDateFromTenor(S341,T$14,T$11,T$12)</f>
        <v>43341</v>
      </c>
      <c r="U341" s="98">
        <f ca="1"/>
        <v>-4.4606518976402583E-5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-4.0883515577283293E-3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-2.3289034610284192E-3</v>
      </c>
      <c r="R342" s="5" t="s">
        <v>4</v>
      </c>
      <c r="S342" s="100">
        <f ca="1">_xll.meDateFromTenor(S341,"1D","FOLLOWING",T$12)</f>
        <v>42977</v>
      </c>
      <c r="T342" s="13">
        <f ca="1">_xll.meDateFromTenor(S342,T$14,T$11,T$12)</f>
        <v>43342</v>
      </c>
      <c r="U342" s="98">
        <f ca="1"/>
        <v>-4.2449437549005979E-5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-4.0883549789332251E-3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-2.3260824984603096E-3</v>
      </c>
      <c r="R343" s="5" t="s">
        <v>4</v>
      </c>
      <c r="S343" s="100">
        <f ca="1">_xll.meDateFromTenor(S342,"1D","FOLLOWING",T$12)</f>
        <v>42978</v>
      </c>
      <c r="T343" s="13">
        <f ca="1">_xll.meDateFromTenor(S343,T$14,T$11,T$12)</f>
        <v>43343</v>
      </c>
      <c r="U343" s="98">
        <f ca="1"/>
        <v>-4.0282424476857057E-5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-4.0883468427004421E-3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-2.3231212459116075E-3</v>
      </c>
      <c r="R344" s="5" t="s">
        <v>4</v>
      </c>
      <c r="S344" s="100">
        <f ca="1">_xll.meDateFromTenor(S343,"1D","FOLLOWING",T$12)</f>
        <v>42979</v>
      </c>
      <c r="T344" s="13">
        <f ca="1">_xll.meDateFromTenor(S344,T$14,T$11,T$12)</f>
        <v>43346</v>
      </c>
      <c r="U344" s="98">
        <f ca="1"/>
        <v>-3.8105492788874636E-5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-4.0882536533532066E-3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-2.3134173834151424E-3</v>
      </c>
      <c r="R345" s="5" t="s">
        <v>4</v>
      </c>
      <c r="S345" s="100">
        <f ca="1">_xll.meDateFromTenor(S344,"1D","FOLLOWING",T$12)</f>
        <v>42982</v>
      </c>
      <c r="T345" s="13">
        <f ca="1">_xll.meDateFromTenor(S345,T$14,T$11,T$12)</f>
        <v>43347</v>
      </c>
      <c r="U345" s="98">
        <f ca="1"/>
        <v>-3.1515316319110457E-5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-4.0881998269561397E-3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-2.3099166059772705E-3</v>
      </c>
      <c r="R346" s="5" t="s">
        <v>4</v>
      </c>
      <c r="S346" s="100">
        <f ca="1">_xll.meDateFromTenor(S345,"1D","FOLLOWING",T$12)</f>
        <v>42983</v>
      </c>
      <c r="T346" s="13">
        <f ca="1">_xll.meDateFromTenor(S346,T$14,T$11,T$12)</f>
        <v>43348</v>
      </c>
      <c r="U346" s="98">
        <f ca="1"/>
        <v>-2.9298840456978443E-5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-4.088134578765442E-3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-2.3062863560754086E-3</v>
      </c>
      <c r="R347" s="5" t="s">
        <v>4</v>
      </c>
      <c r="S347" s="100">
        <f ca="1">_xll.meDateFromTenor(S346,"1D","FOLLOWING",T$12)</f>
        <v>42984</v>
      </c>
      <c r="T347" s="13">
        <f ca="1">_xll.meDateFromTenor(S347,T$14,T$11,T$12)</f>
        <v>43349</v>
      </c>
      <c r="U347" s="98">
        <f ca="1"/>
        <v>-2.7072511123605518E-5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-4.0880578188342859E-3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-2.3025287972128759E-3</v>
      </c>
      <c r="R348" s="5" t="s">
        <v>4</v>
      </c>
      <c r="S348" s="100">
        <f ca="1">_xll.meDateFromTenor(S347,"1D","FOLLOWING",T$12)</f>
        <v>42985</v>
      </c>
      <c r="T348" s="13">
        <f ca="1">_xll.meDateFromTenor(S348,T$14,T$11,T$12)</f>
        <v>43350</v>
      </c>
      <c r="U348" s="98">
        <f ca="1"/>
        <v>-2.4836341347909822E-5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-4.0879694572158445E-3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-2.2986460928929946E-3</v>
      </c>
      <c r="R349" s="5" t="s">
        <v>4</v>
      </c>
      <c r="S349" s="100">
        <f ca="1">_xll.meDateFromTenor(S348,"1D","FOLLOWING",T$12)</f>
        <v>42986</v>
      </c>
      <c r="T349" s="13">
        <f ca="1">_xll.meDateFromTenor(S349,T$14,T$11,T$12)</f>
        <v>43353</v>
      </c>
      <c r="U349" s="98">
        <f ca="1"/>
        <v>-2.25903441588102E-5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-4.0876338627685322E-3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-2.286268742222459E-3</v>
      </c>
      <c r="R350" s="5" t="s">
        <v>4</v>
      </c>
      <c r="S350" s="100">
        <f ca="1">_xll.meDateFromTenor(S349,"1D","FOLLOWING",T$12)</f>
        <v>42989</v>
      </c>
      <c r="T350" s="13">
        <f ca="1">_xll.meDateFromTenor(S350,T$14,T$11,T$12)</f>
        <v>43354</v>
      </c>
      <c r="U350" s="98">
        <f ca="1"/>
        <v>-1.5793518400271538E-5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-4.0874981949326726E-3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-2.2819070911063856E-3</v>
      </c>
      <c r="R351" s="5" t="s">
        <v>4</v>
      </c>
      <c r="S351" s="100">
        <f ca="1">_xll.meDateFromTenor(S350,"1D","FOLLOWING",T$12)</f>
        <v>42990</v>
      </c>
      <c r="T351" s="13">
        <f ca="1">_xll.meDateFromTenor(S351,T$14,T$11,T$12)</f>
        <v>43355</v>
      </c>
      <c r="U351" s="98">
        <f ca="1"/>
        <v>-1.350834184674047E-5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-4.0873504756753897E-3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-2.2774311120495666E-3</v>
      </c>
      <c r="R352" s="5" t="s">
        <v>4</v>
      </c>
      <c r="S352" s="100">
        <f ca="1">_xll.meDateFromTenor(S351,"1D","FOLLOWING",T$12)</f>
        <v>42991</v>
      </c>
      <c r="T352" s="13">
        <f ca="1">_xll.meDateFromTenor(S352,T$14,T$11,T$12)</f>
        <v>43356</v>
      </c>
      <c r="U352" s="98">
        <f ca="1"/>
        <v>-1.121340302439805E-5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-4.0871906150498566E-3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-2.2728429685553212E-3</v>
      </c>
      <c r="R353" s="5" t="s">
        <v>4</v>
      </c>
      <c r="S353" s="100">
        <f ca="1">_xll.meDateFromTenor(S352,"1D","FOLLOWING",T$12)</f>
        <v>42992</v>
      </c>
      <c r="T353" s="13">
        <f ca="1">_xll.meDateFromTenor(S353,T$14,T$11,T$12)</f>
        <v>43357</v>
      </c>
      <c r="U353" s="98">
        <f ca="1"/>
        <v>-8.9087149621623531E-6</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-4.0870185231092438E-3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-2.2681448241269712E-3</v>
      </c>
      <c r="R354" s="5" t="s">
        <v>4</v>
      </c>
      <c r="S354" s="100">
        <f ca="1">_xll.meDateFromTenor(S353,"1D","FOLLOWING",T$12)</f>
        <v>42993</v>
      </c>
      <c r="T354" s="13">
        <f ca="1">_xll.meDateFromTenor(S354,T$14,T$11,T$12)</f>
        <v>43360</v>
      </c>
      <c r="U354" s="98">
        <f ca="1"/>
        <v>-6.5942906889523316E-6</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-4.0864279599286558E-3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-2.2534120202704977E-3</v>
      </c>
      <c r="R355" s="5" t="s">
        <v>4</v>
      </c>
      <c r="S355" s="100">
        <f ca="1">_xll.meDateFromTenor(S354,"1D","FOLLOWING",T$12)</f>
        <v>42996</v>
      </c>
      <c r="T355" s="13">
        <f ca="1">_xll.meDateFromTenor(S355,T$14,T$11,T$12)</f>
        <v>43361</v>
      </c>
      <c r="U355" s="98">
        <f ca="1"/>
        <v>4.0726910734048116E-7</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-4.0862060432594518E-3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-2.2482955071389341E-3</v>
      </c>
      <c r="R356" s="5" t="s">
        <v>4</v>
      </c>
      <c r="S356" s="100">
        <f ca="1">_xll.meDateFromTenor(S355,"1D","FOLLOWING",T$12)</f>
        <v>42997</v>
      </c>
      <c r="T356" s="13">
        <f ca="1">_xll.meDateFromTenor(S356,T$14,T$11,T$12)</f>
        <v>43362</v>
      </c>
      <c r="U356" s="98">
        <f ca="1"/>
        <v>2.7605079352636811E-6</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-4.085971445541031E-3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-2.2430798105898685E-3</v>
      </c>
      <c r="R357" s="5" t="s">
        <v>4</v>
      </c>
      <c r="S357" s="100">
        <f ca="1">_xll.meDateFromTenor(S356,"1D","FOLLOWING",T$12)</f>
        <v>42998</v>
      </c>
      <c r="T357" s="13">
        <f ca="1">_xll.meDateFromTenor(S357,T$14,T$11,T$12)</f>
        <v>43363</v>
      </c>
      <c r="U357" s="98">
        <f ca="1"/>
        <v>5.1234178295690648E-6</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-4.0857240768265666E-3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-2.2377670941266217E-3</v>
      </c>
      <c r="R358" s="5" t="s">
        <v>4</v>
      </c>
      <c r="S358" s="100">
        <f ca="1">_xll.meDateFromTenor(S357,"1D","FOLLOWING",T$12)</f>
        <v>42999</v>
      </c>
      <c r="T358" s="13">
        <f ca="1">_xll.meDateFromTenor(S358,T$14,T$11,T$12)</f>
        <v>43364</v>
      </c>
      <c r="U358" s="98">
        <f ca="1"/>
        <v>7.4959857613377868E-6</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-4.0854638471692298E-3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-2.232359521252514E-3</v>
      </c>
      <c r="R359" s="5" t="s">
        <v>4</v>
      </c>
      <c r="S359" s="100">
        <f ca="1">_xll.meDateFromTenor(S358,"1D","FOLLOWING",T$12)</f>
        <v>43000</v>
      </c>
      <c r="T359" s="13">
        <f ca="1">_xll.meDateFromTenor(S359,T$14,T$11,T$12)</f>
        <v>43367</v>
      </c>
      <c r="U359" s="98">
        <f ca="1"/>
        <v>9.8781987016517334E-6</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-4.0846050930717125E-3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-2.2155892991982343E-3</v>
      </c>
      <c r="R360" s="5" t="s">
        <v>4</v>
      </c>
      <c r="S360" s="100">
        <f ca="1">_xll.meDateFromTenor(S359,"1D","FOLLOWING",T$12)</f>
        <v>43003</v>
      </c>
      <c r="T360" s="13">
        <f ca="1">_xll.meDateFromTenor(S360,T$14,T$11,T$12)</f>
        <v>43368</v>
      </c>
      <c r="U360" s="98">
        <f ca="1"/>
        <v>1.7082577284678444E-5</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-4.0842925201746124E-3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-2.209823935713891E-3</v>
      </c>
      <c r="R361" s="5" t="s">
        <v>4</v>
      </c>
      <c r="S361" s="100">
        <f ca="1">_xll.meDateFromTenor(S360,"1D","FOLLOWING",T$12)</f>
        <v>43004</v>
      </c>
      <c r="T361" s="13">
        <f ca="1">_xll.meDateFromTenor(S361,T$14,T$11,T$12)</f>
        <v>43369</v>
      </c>
      <c r="U361" s="98">
        <f ca="1"/>
        <v>1.950323996998722E-5</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-4.0839666366005029E-3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-2.2039745333352896E-3</v>
      </c>
      <c r="R362" s="5" t="s">
        <v>4</v>
      </c>
      <c r="S362" s="100">
        <f ca="1">_xll.meDateFromTenor(S361,"1D","FOLLOWING",T$12)</f>
        <v>43005</v>
      </c>
      <c r="T362" s="13">
        <f ca="1">_xll.meDateFromTenor(S362,T$14,T$11,T$12)</f>
        <v>43370</v>
      </c>
      <c r="U362" s="98">
        <f ca="1"/>
        <v>2.1933482519248646E-5</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-4.0836273524025553E-3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-2.1980432555657519E-3</v>
      </c>
      <c r="R363" s="5" t="s">
        <v>4</v>
      </c>
      <c r="S363" s="100">
        <f ca="1">_xll.meDateFromTenor(S362,"1D","FOLLOWING",T$12)</f>
        <v>43006</v>
      </c>
      <c r="T363" s="13">
        <f ca="1">_xll.meDateFromTenor(S363,T$14,T$11,T$12)</f>
        <v>43371</v>
      </c>
      <c r="U363" s="98">
        <f ca="1"/>
        <v>2.4373291903543822E-5</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-4.083274577633942E-3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-2.1920322659085977E-3</v>
      </c>
      <c r="R364" s="5" t="s">
        <v>4</v>
      </c>
      <c r="S364" s="100">
        <f ca="1">_xll.meDateFromTenor(S363,"1D","FOLLOWING",T$12)</f>
        <v>43007</v>
      </c>
      <c r="T364" s="13">
        <f ca="1">_xll.meDateFromTenor(S364,T$14,T$11,T$12)</f>
        <v>43371</v>
      </c>
      <c r="U364" s="98">
        <f ca="1"/>
        <v>2.6822655093954745E-5</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-4.0821344104358375E-3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-2.1735426606446441E-3</v>
      </c>
      <c r="R365" s="5" t="s">
        <v>4</v>
      </c>
      <c r="S365" s="100">
        <f ca="1">_xll.meDateFromTenor(S364,"1D","FOLLOWING",T$12)</f>
        <v>43010</v>
      </c>
      <c r="T365" s="13">
        <f ca="1">_xll.meDateFromTenor(S365,T$14,T$11,T$12)</f>
        <v>43375</v>
      </c>
      <c r="U365" s="98">
        <f ca="1"/>
        <v>3.4227937212695048E-5</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-4.0817268324669816E-3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-2.1672344584702319E-3</v>
      </c>
      <c r="R366" s="5" t="s">
        <v>4</v>
      </c>
      <c r="S366" s="100">
        <f ca="1">_xll.meDateFromTenor(S365,"1D","FOLLOWING",T$12)</f>
        <v>43011</v>
      </c>
      <c r="T366" s="13">
        <f ca="1">_xll.meDateFromTenor(S366,T$14,T$11,T$12)</f>
        <v>43376</v>
      </c>
      <c r="U366" s="98">
        <f ca="1"/>
        <v>3.6715385338382584E-5</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-4.0813056654974778E-3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-2.1608573619248056E-3</v>
      </c>
      <c r="R367" s="5" t="s">
        <v>4</v>
      </c>
      <c r="S367" s="100">
        <f ca="1">_xll.meDateFromTenor(S366,"1D","FOLLOWING",T$12)</f>
        <v>43012</v>
      </c>
      <c r="T367" s="13">
        <f ca="1">_xll.meDateFromTenor(S367,T$14,T$11,T$12)</f>
        <v>43377</v>
      </c>
      <c r="U367" s="98">
        <f ca="1"/>
        <v>3.9212322125593266E-5</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-4.0808711708846535E-3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-2.1544135345116879E-3</v>
      </c>
      <c r="R368" s="5" t="s">
        <v>4</v>
      </c>
      <c r="S368" s="100">
        <f ca="1">_xll.meDateFromTenor(S367,"1D","FOLLOWING",T$12)</f>
        <v>43013</v>
      </c>
      <c r="T368" s="13">
        <f ca="1">_xll.meDateFromTenor(S368,T$14,T$11,T$12)</f>
        <v>43378</v>
      </c>
      <c r="U368" s="98">
        <f ca="1"/>
        <v>4.1718734545408219E-5</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-4.0804236099858376E-3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-2.1479051397341976E-3</v>
      </c>
      <c r="R369" s="5" t="s">
        <v>4</v>
      </c>
      <c r="S369" s="100">
        <f ca="1">_xll.meDateFromTenor(S368,"1D","FOLLOWING",T$12)</f>
        <v>43014</v>
      </c>
      <c r="T369" s="13">
        <f ca="1">_xll.meDateFromTenor(S369,T$14,T$11,T$12)</f>
        <v>43381</v>
      </c>
      <c r="U369" s="98">
        <f ca="1"/>
        <v>4.423460956890933E-5</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-4.0790051431467125E-3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-2.1280141862487036E-3</v>
      </c>
      <c r="R370" s="5" t="s">
        <v>4</v>
      </c>
      <c r="S370" s="100">
        <f ca="1">_xll.meDateFromTenor(S369,"1D","FOLLOWING",T$12)</f>
        <v>43017</v>
      </c>
      <c r="T370" s="13">
        <f ca="1">_xll.meDateFromTenor(S370,T$14,T$11,T$12)</f>
        <v>43382</v>
      </c>
      <c r="U370" s="98">
        <f ca="1"/>
        <v>5.1838879972342702E-5</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-4.0785079306772049E-3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-2.1212691570469322E-3</v>
      </c>
      <c r="R371" s="5" t="s">
        <v>4</v>
      </c>
      <c r="S371" s="100">
        <f ca="1">_xll.meDateFromTenor(S370,"1D","FOLLOWING",T$12)</f>
        <v>43018</v>
      </c>
      <c r="T371" s="13">
        <f ca="1">_xll.meDateFromTenor(S371,T$14,T$11,T$12)</f>
        <v>43383</v>
      </c>
      <c r="U371" s="98">
        <f ca="1"/>
        <v>5.4392475121402511E-5</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-4.0779989587083438E-3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-2.1144703779973932E-3</v>
      </c>
      <c r="R372" s="5" t="s">
        <v>4</v>
      </c>
      <c r="S372" s="100">
        <f ca="1">_xll.meDateFromTenor(S371,"1D","FOLLOWING",T$12)</f>
        <v>43019</v>
      </c>
      <c r="T372" s="13">
        <f ca="1">_xll.meDateFromTenor(S372,T$14,T$11,T$12)</f>
        <v>43384</v>
      </c>
      <c r="U372" s="98">
        <f ca="1"/>
        <v>5.6955467729555498E-5</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-4.0774784885974566E-3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-2.107620012603405E-3</v>
      </c>
      <c r="R373" s="5" t="s">
        <v>4</v>
      </c>
      <c r="S373" s="100">
        <f ca="1">_xll.meDateFromTenor(S372,"1D","FOLLOWING",T$12)</f>
        <v>43020</v>
      </c>
      <c r="T373" s="13">
        <f ca="1">_xll.meDateFromTenor(S373,T$14,T$11,T$12)</f>
        <v>43385</v>
      </c>
      <c r="U373" s="98">
        <f ca="1"/>
        <v>5.9527844767883603E-5</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-4.0769467817018713E-3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-2.1007202243682895E-3</v>
      </c>
      <c r="R374" s="5" t="s">
        <v>4</v>
      </c>
      <c r="S374" s="100">
        <f ca="1">_xll.meDateFromTenor(S373,"1D","FOLLOWING",T$12)</f>
        <v>43021</v>
      </c>
      <c r="T374" s="13">
        <f ca="1">_xll.meDateFromTenor(S374,T$14,T$11,T$12)</f>
        <v>43388</v>
      </c>
      <c r="U374" s="98">
        <f ca="1"/>
        <v>6.2109593207468117E-5</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-4.0752868538802044E-3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-2.0797459576493865E-3</v>
      </c>
      <c r="R375" s="5" t="s">
        <v>4</v>
      </c>
      <c r="S375" s="100">
        <f ca="1">_xll.meDateFromTenor(S374,"1D","FOLLOWING",T$12)</f>
        <v>43024</v>
      </c>
      <c r="T375" s="13">
        <f ca="1">_xll.meDateFromTenor(S375,T$14,T$11,T$12)</f>
        <v>43389</v>
      </c>
      <c r="U375" s="98">
        <f ca="1"/>
        <v>6.9910936644574577E-5</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-4.0747128134191032E-3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-2.0726701130829679E-3</v>
      </c>
      <c r="R376" s="5" t="s">
        <v>4</v>
      </c>
      <c r="S376" s="100">
        <f ca="1">_xll.meDateFromTenor(S375,"1D","FOLLOWING",T$12)</f>
        <v>43025</v>
      </c>
      <c r="T376" s="13">
        <f ca="1">_xll.meDateFromTenor(S376,T$14,T$11,T$12)</f>
        <v>43390</v>
      </c>
      <c r="U376" s="98">
        <f ca="1"/>
        <v>7.253004039999971E-5</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-4.0741288429599438E-3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-2.0655556631920249E-3</v>
      </c>
      <c r="R377" s="5" t="s">
        <v>4</v>
      </c>
      <c r="S377" s="100">
        <f ca="1">_xll.meDateFromTenor(S376,"1D","FOLLOWING",T$12)</f>
        <v>43026</v>
      </c>
      <c r="T377" s="13">
        <f ca="1">_xll.meDateFromTenor(S377,T$14,T$11,T$12)</f>
        <v>43391</v>
      </c>
      <c r="U377" s="98">
        <f ca="1"/>
        <v>7.5158450412088433E-5</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-4.0735352038600526E-3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-2.0584047714798789E-3</v>
      </c>
      <c r="R378" s="5" t="s">
        <v>4</v>
      </c>
      <c r="S378" s="100">
        <f ca="1">_xll.meDateFromTenor(S377,"1D","FOLLOWING",T$12)</f>
        <v>43027</v>
      </c>
      <c r="T378" s="13">
        <f ca="1">_xll.meDateFromTenor(S378,T$14,T$11,T$12)</f>
        <v>43392</v>
      </c>
      <c r="U378" s="98">
        <f ca="1"/>
        <v>7.779615365192274E-5</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-4.0729321574767569E-3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-2.0512196014498495E-3</v>
      </c>
      <c r="R379" s="5" t="s">
        <v>4</v>
      </c>
      <c r="S379" s="100">
        <f ca="1">_xll.meDateFromTenor(S378,"1D","FOLLOWING",T$12)</f>
        <v>43028</v>
      </c>
      <c r="T379" s="13">
        <f ca="1">_xll.meDateFromTenor(S379,T$14,T$11,T$12)</f>
        <v>43395</v>
      </c>
      <c r="U379" s="98">
        <f ca="1"/>
        <v>8.0443137090583733E-5</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-4.0710691881997241E-3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-2.0294800564856692E-3</v>
      </c>
      <c r="R380" s="5" t="s">
        <v>4</v>
      </c>
      <c r="S380" s="100">
        <f ca="1">_xll.meDateFromTenor(S379,"1D","FOLLOWING",T$12)</f>
        <v>43031</v>
      </c>
      <c r="T380" s="13">
        <f ca="1">_xll.meDateFromTenor(S380,T$14,T$11,T$12)</f>
        <v>43396</v>
      </c>
      <c r="U380" s="98">
        <f ca="1"/>
        <v>8.8439638310343246E-5</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-4.07043112625609E-3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-2.0221794082173139E-3</v>
      </c>
      <c r="R381" s="5" t="s">
        <v>4</v>
      </c>
      <c r="S381" s="100">
        <f ca="1">_xll.meDateFromTenor(S380,"1D","FOLLOWING",T$12)</f>
        <v>43032</v>
      </c>
      <c r="T381" s="13">
        <f ca="1">_xll.meDateFromTenor(S381,T$14,T$11,T$12)</f>
        <v>43397</v>
      </c>
      <c r="U381" s="98">
        <f ca="1"/>
        <v>9.1123612255126834E-5</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-4.0697849638156912E-3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-2.0148552991476787E-3</v>
      </c>
      <c r="R382" s="5" t="s">
        <v>4</v>
      </c>
      <c r="S382" s="100">
        <f ca="1">_xll.meDateFromTenor(S381,"1D","FOLLOWING",T$12)</f>
        <v>43033</v>
      </c>
      <c r="T382" s="13">
        <f ca="1">_xll.meDateFromTenor(S382,T$14,T$11,T$12)</f>
        <v>43398</v>
      </c>
      <c r="U382" s="98">
        <f ca="1"/>
        <v>9.3816801254144533E-5</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-4.0691309622358524E-3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-2.0075098927800844E-3</v>
      </c>
      <c r="R383" s="5" t="s">
        <v>4</v>
      </c>
      <c r="S383" s="100">
        <f ca="1">_xll.meDateFromTenor(S382,"1D","FOLLOWING",T$12)</f>
        <v>43034</v>
      </c>
      <c r="T383" s="13">
        <f ca="1">_xll.meDateFromTenor(S383,T$14,T$11,T$12)</f>
        <v>43399</v>
      </c>
      <c r="U383" s="98">
        <f ca="1"/>
        <v>9.6519192278478311E-5</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-4.068469382873907E-3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-2.0001453526178521E-3</v>
      </c>
      <c r="R384" s="5" t="s">
        <v>4</v>
      </c>
      <c r="S384" s="100">
        <f ca="1">_xll.meDateFromTenor(S383,"1D","FOLLOWING",T$12)</f>
        <v>43035</v>
      </c>
      <c r="T384" s="13">
        <f ca="1">_xll.meDateFromTenor(S384,T$14,T$11,T$12)</f>
        <v>43402</v>
      </c>
      <c r="U384" s="98">
        <f ca="1"/>
        <v>9.9230772299209187E-5</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-4.0664417916686842E-3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-1.9779585643965275E-3</v>
      </c>
      <c r="R385" s="5" t="s">
        <v>4</v>
      </c>
      <c r="S385" s="100">
        <f ca="1">_xll.meDateFromTenor(S384,"1D","FOLLOWING",T$12)</f>
        <v>43038</v>
      </c>
      <c r="T385" s="13">
        <f ca="1">_xll.meDateFromTenor(S385,T$14,T$11,T$12)</f>
        <v>43403</v>
      </c>
      <c r="U385" s="98">
        <f ca="1"/>
        <v>1.0742051605060126E-4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-4.0657525147515762E-3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-1.9705391240889465E-3</v>
      </c>
      <c r="R386" s="5" t="s">
        <v>4</v>
      </c>
      <c r="S386" s="100">
        <f ca="1">_xll.meDateFromTenor(S385,"1D","FOLLOWING",T$12)</f>
        <v>43039</v>
      </c>
      <c r="T386" s="13">
        <f ca="1">_xll.meDateFromTenor(S386,T$14,T$11,T$12)</f>
        <v>43404</v>
      </c>
      <c r="U386" s="98">
        <f ca="1"/>
        <v>1.1016872176773638E-4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-4.0650569668389952E-3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-1.9631113675033294E-3</v>
      </c>
      <c r="R387" s="5" t="s">
        <v>4</v>
      </c>
      <c r="S387" s="100">
        <f ca="1">_xll.meDateFromTenor(S386,"1D","FOLLOWING",T$12)</f>
        <v>43040</v>
      </c>
      <c r="T387" s="13">
        <f ca="1">_xll.meDateFromTenor(S387,T$14,T$11,T$12)</f>
        <v>43405</v>
      </c>
      <c r="U387" s="98">
        <f ca="1"/>
        <v>1.1292605133667656E-4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-4.0643554092882721E-3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-1.9556774581429978E-3</v>
      </c>
      <c r="R388" s="5" t="s">
        <v>4</v>
      </c>
      <c r="S388" s="100">
        <f ca="1">_xll.meDateFromTenor(S387,"1D","FOLLOWING",T$12)</f>
        <v>43041</v>
      </c>
      <c r="T388" s="13">
        <f ca="1">_xll.meDateFromTenor(S388,T$14,T$11,T$12)</f>
        <v>43406</v>
      </c>
      <c r="U388" s="98">
        <f ca="1"/>
        <v>1.1569249172850308E-4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-4.0636479776282163E-3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-1.9482395595112724E-3</v>
      </c>
      <c r="R389" s="5" t="s">
        <v>4</v>
      </c>
      <c r="S389" s="100">
        <f ca="1">_xll.meDateFromTenor(S388,"1D","FOLLOWING",T$12)</f>
        <v>43042</v>
      </c>
      <c r="T389" s="13">
        <f ca="1">_xll.meDateFromTenor(S389,T$14,T$11,T$12)</f>
        <v>43409</v>
      </c>
      <c r="U389" s="98">
        <f ca="1"/>
        <v>1.1846802991429708E-4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-4.0614862568253886E-3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-1.925923563020936E-3</v>
      </c>
      <c r="R390" s="5" t="s">
        <v>4</v>
      </c>
      <c r="S390" s="100">
        <f ca="1">_xll.meDateFromTenor(S389,"1D","FOLLOWING",T$12)</f>
        <v>43045</v>
      </c>
      <c r="T390" s="13">
        <f ca="1">_xll.meDateFromTenor(S390,T$14,T$11,T$12)</f>
        <v>43410</v>
      </c>
      <c r="U390" s="98">
        <f ca="1"/>
        <v>1.2684910094630137E-4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-4.0607508959043075E-3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-1.9184913423368401E-3</v>
      </c>
      <c r="R391" s="5" t="s">
        <v>4</v>
      </c>
      <c r="S391" s="100">
        <f ca="1">_xll.meDateFromTenor(S390,"1D","FOLLOWING",T$12)</f>
        <v>43046</v>
      </c>
      <c r="T391" s="13">
        <f ca="1">_xll.meDateFromTenor(S391,T$14,T$11,T$12)</f>
        <v>43411</v>
      </c>
      <c r="U391" s="98">
        <f ca="1"/>
        <v>1.2966090001878154E-4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-4.0600073186335276E-3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-1.9110659498979524E-3</v>
      </c>
      <c r="R392" s="5" t="s">
        <v>4</v>
      </c>
      <c r="S392" s="100">
        <f ca="1">_xll.meDateFromTenor(S391,"1D","FOLLOWING",T$12)</f>
        <v>43047</v>
      </c>
      <c r="T392" s="13">
        <f ca="1">_xll.meDateFromTenor(S392,T$14,T$11,T$12)</f>
        <v>43412</v>
      </c>
      <c r="U392" s="98">
        <f ca="1"/>
        <v>1.324817317406371E-4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-4.0592550313992741E-3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-1.9036495492075946E-3</v>
      </c>
      <c r="R393" s="5" t="s">
        <v>4</v>
      </c>
      <c r="S393" s="100">
        <f ca="1">_xll.meDateFromTenor(S392,"1D","FOLLOWING",T$12)</f>
        <v>43048</v>
      </c>
      <c r="T393" s="13">
        <f ca="1">_xll.meDateFromTenor(S393,T$14,T$11,T$12)</f>
        <v>43413</v>
      </c>
      <c r="U393" s="98">
        <f ca="1"/>
        <v>1.353115830829494E-4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-4.0584935405877723E-3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-1.8962443037690868E-3</v>
      </c>
      <c r="R394" s="5" t="s">
        <v>4</v>
      </c>
      <c r="S394" s="100">
        <f ca="1">_xll.meDateFromTenor(S393,"1D","FOLLOWING",T$12)</f>
        <v>43049</v>
      </c>
      <c r="T394" s="13">
        <f ca="1">_xll.meDateFromTenor(S394,T$14,T$11,T$12)</f>
        <v>43416</v>
      </c>
      <c r="U394" s="98">
        <f ca="1"/>
        <v>1.3815044101680001E-4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-4.0561489105520043E-3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-1.8741171339978705E-3</v>
      </c>
      <c r="R395" s="5" t="s">
        <v>4</v>
      </c>
      <c r="S395" s="100">
        <f ca="1">_xll.meDateFromTenor(S394,"1D","FOLLOWING",T$12)</f>
        <v>43052</v>
      </c>
      <c r="T395" s="13">
        <f ca="1">_xll.meDateFromTenor(S395,T$14,T$11,T$12)</f>
        <v>43417</v>
      </c>
      <c r="U395" s="98">
        <f ca="1"/>
        <v>1.4672092407839633E-4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-4.0553456692937404E-3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-1.8667781445999704E-3</v>
      </c>
      <c r="R396" s="5" t="s">
        <v>4</v>
      </c>
      <c r="S396" s="100">
        <f ca="1">_xll.meDateFromTenor(S395,"1D","FOLLOWING",T$12)</f>
        <v>43053</v>
      </c>
      <c r="T396" s="13">
        <f ca="1">_xll.meDateFromTenor(S396,T$14,T$11,T$12)</f>
        <v>43418</v>
      </c>
      <c r="U396" s="98">
        <f ca="1"/>
        <v>1.4959567808921467E-4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-4.054530756389345E-3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-1.8594611279705228E-3</v>
      </c>
      <c r="R397" s="5" t="s">
        <v>4</v>
      </c>
      <c r="S397" s="100">
        <f ca="1">_xll.meDateFromTenor(S396,"1D","FOLLOWING",T$12)</f>
        <v>43054</v>
      </c>
      <c r="T397" s="13">
        <f ca="1">_xll.meDateFromTenor(S397,T$14,T$11,T$12)</f>
        <v>43419</v>
      </c>
      <c r="U397" s="98">
        <f ca="1"/>
        <v>1.5247937354697904E-4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-4.0537036782250435E-3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-1.8521682476128495E-3</v>
      </c>
      <c r="R398" s="5" t="s">
        <v>4</v>
      </c>
      <c r="S398" s="100">
        <f ca="1">_xll.meDateFromTenor(S397,"1D","FOLLOWING",T$12)</f>
        <v>43055</v>
      </c>
      <c r="T398" s="13">
        <f ca="1">_xll.meDateFromTenor(S398,T$14,T$11,T$12)</f>
        <v>43420</v>
      </c>
      <c r="U398" s="98">
        <f ca="1"/>
        <v>1.5537199742277045E-4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-4.0528639411870574E-3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-1.8449016670302706E-3</v>
      </c>
      <c r="R399" s="5" t="s">
        <v>4</v>
      </c>
      <c r="S399" s="100">
        <f ca="1">_xll.meDateFromTenor(S398,"1D","FOLLOWING",T$12)</f>
        <v>43056</v>
      </c>
      <c r="T399" s="13">
        <f ca="1">_xll.meDateFromTenor(S399,T$14,T$11,T$12)</f>
        <v>43423</v>
      </c>
      <c r="U399" s="98">
        <f ca="1"/>
        <v>1.5827353668767071E-4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-4.0502638406932356E-3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-1.8232813589663078E-3</v>
      </c>
      <c r="R400" s="5" t="s">
        <v>4</v>
      </c>
      <c r="S400" s="100">
        <f ca="1">_xll.meDateFromTenor(S399,"1D","FOLLOWING",T$12)</f>
        <v>43059</v>
      </c>
      <c r="T400" s="13">
        <f ca="1">_xll.meDateFromTenor(S400,T$14,T$11,T$12)</f>
        <v>43424</v>
      </c>
      <c r="U400" s="98">
        <f ca="1"/>
        <v>1.6703151652783848E-4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-4.0493685320227533E-3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-1.8161416125173132E-3</v>
      </c>
      <c r="R401" s="5" t="s">
        <v>4</v>
      </c>
      <c r="S401" s="100">
        <f ca="1">_xll.meDateFromTenor(S400,"1D","FOLLOWING",T$12)</f>
        <v>43060</v>
      </c>
      <c r="T401" s="13">
        <f ca="1">_xll.meDateFromTenor(S401,T$14,T$11,T$12)</f>
        <v>43425</v>
      </c>
      <c r="U401" s="98">
        <f ca="1"/>
        <v>1.6996858705998859E-4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-4.0484580964097053E-3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-1.8090389833600165E-3</v>
      </c>
      <c r="R402" s="5" t="s">
        <v>4</v>
      </c>
      <c r="S402" s="100">
        <f ca="1">_xll.meDateFromTenor(S401,"1D","FOLLOWING",T$12)</f>
        <v>43061</v>
      </c>
      <c r="T402" s="13">
        <f ca="1">_xll.meDateFromTenor(S402,T$14,T$11,T$12)</f>
        <v>43426</v>
      </c>
      <c r="U402" s="98">
        <f ca="1"/>
        <v>1.7291450783665498E-4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-4.0475320402403149E-3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-1.8019756349977386E-3</v>
      </c>
      <c r="R403" s="5" t="s">
        <v>4</v>
      </c>
      <c r="S403" s="100">
        <f ca="1">_xll.meDateFromTenor(S402,"1D","FOLLOWING",T$12)</f>
        <v>43062</v>
      </c>
      <c r="T403" s="13">
        <f ca="1">_xll.meDateFromTenor(S403,T$14,T$11,T$12)</f>
        <v>43427</v>
      </c>
      <c r="U403" s="98">
        <f ca="1"/>
        <v>1.7586926582891874E-4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-4.0465898699008091E-3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-1.7949537309337989E-3</v>
      </c>
      <c r="R404" s="5" t="s">
        <v>4</v>
      </c>
      <c r="S404" s="100">
        <f ca="1">_xll.meDateFromTenor(S403,"1D","FOLLOWING",T$12)</f>
        <v>43063</v>
      </c>
      <c r="T404" s="13">
        <f ca="1">_xll.meDateFromTenor(S404,T$14,T$11,T$12)</f>
        <v>43430</v>
      </c>
      <c r="U404" s="98">
        <f ca="1"/>
        <v>1.7883284800786195E-4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-4.0436617377238209E-3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-1.7741583195652214E-3</v>
      </c>
      <c r="R405" s="5" t="s">
        <v>4</v>
      </c>
      <c r="S405" s="100">
        <f ca="1">_xll.meDateFromTenor(S404,"1D","FOLLOWING",T$12)</f>
        <v>43066</v>
      </c>
      <c r="T405" s="13">
        <f ca="1">_xll.meDateFromTenor(S405,T$14,T$11,T$12)</f>
        <v>43431</v>
      </c>
      <c r="U405" s="98">
        <f ca="1"/>
        <v>1.8777640937558116E-4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-4.0426501745660813E-3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-1.7673238277278441E-3</v>
      </c>
      <c r="R406" s="5" t="s">
        <v>4</v>
      </c>
      <c r="S406" s="100">
        <f ca="1">_xll.meDateFromTenor(S405,"1D","FOLLOWING",T$12)</f>
        <v>43067</v>
      </c>
      <c r="T406" s="13">
        <f ca="1">_xll.meDateFromTenor(S406,T$14,T$11,T$12)</f>
        <v>43432</v>
      </c>
      <c r="U406" s="98">
        <f ca="1"/>
        <v>1.9077515801205596E-4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-4.0416200291693415E-3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-1.7605415977054093E-3</v>
      </c>
      <c r="R407" s="5" t="s">
        <v>4</v>
      </c>
      <c r="S407" s="100">
        <f ca="1">_xll.meDateFromTenor(S406,"1D","FOLLOWING",T$12)</f>
        <v>43068</v>
      </c>
      <c r="T407" s="13">
        <f ca="1">_xll.meDateFromTenor(S407,T$14,T$11,T$12)</f>
        <v>43433</v>
      </c>
      <c r="U407" s="98">
        <f ca="1"/>
        <v>1.9378266569061728E-4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-4.0405708079198285E-3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-1.7538137930012368E-3</v>
      </c>
      <c r="R408" s="5" t="s">
        <v>4</v>
      </c>
      <c r="S408" s="100">
        <f ca="1">_xll.meDateFromTenor(S407,"1D","FOLLOWING",T$12)</f>
        <v>43069</v>
      </c>
      <c r="T408" s="13">
        <f ca="1">_xll.meDateFromTenor(S408,T$14,T$11,T$12)</f>
        <v>43434</v>
      </c>
      <c r="U408" s="98">
        <f ca="1"/>
        <v>1.9679891938234695E-4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-4.039502017203764E-3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-1.7471425771186475E-3</v>
      </c>
      <c r="R409" s="5" t="s">
        <v>4</v>
      </c>
      <c r="S409" s="100">
        <f ca="1">_xll.meDateFromTenor(S408,"1D","FOLLOWING",T$12)</f>
        <v>43070</v>
      </c>
      <c r="T409" s="13">
        <f ca="1">_xll.meDateFromTenor(S409,T$14,T$11,T$12)</f>
        <v>43437</v>
      </c>
      <c r="U409" s="98">
        <f ca="1"/>
        <v>1.9982390605832628E-4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-4.0361732921184957E-3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-1.7274900974335876E-3</v>
      </c>
      <c r="R410" s="5" t="s">
        <v>4</v>
      </c>
      <c r="S410" s="100">
        <f ca="1">_xll.meDateFromTenor(S409,"1D","FOLLOWING",T$12)</f>
        <v>43073</v>
      </c>
      <c r="T410" s="13">
        <f ca="1">_xll.meDateFromTenor(S410,T$14,T$11,T$12)</f>
        <v>43438</v>
      </c>
      <c r="U410" s="98">
        <f ca="1"/>
        <v>2.0895113370257662E-4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-4.035021510853146E-3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-1.7210664261122627E-3</v>
      </c>
      <c r="R411" s="5" t="s">
        <v>4</v>
      </c>
      <c r="S411" s="100">
        <f ca="1">_xll.meDateFromTenor(S410,"1D","FOLLOWING",T$12)</f>
        <v>43074</v>
      </c>
      <c r="T411" s="13">
        <f ca="1">_xll.meDateFromTenor(S411,T$14,T$11,T$12)</f>
        <v>43439</v>
      </c>
      <c r="U411" s="98">
        <f ca="1"/>
        <v>2.1201092202636953E-4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-4.0338490327804701E-3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-1.7147074865794729E-3</v>
      </c>
      <c r="R412" s="5" t="s">
        <v>4</v>
      </c>
      <c r="S412" s="100">
        <f ca="1">_xll.meDateFromTenor(S411,"1D","FOLLOWING",T$12)</f>
        <v>43075</v>
      </c>
      <c r="T412" s="13">
        <f ca="1">_xll.meDateFromTenor(S412,T$14,T$11,T$12)</f>
        <v>43440</v>
      </c>
      <c r="U412" s="98">
        <f ca="1"/>
        <v>2.1507937818981922E-4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-4.0326567050147982E-3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-1.7084127677888853E-3</v>
      </c>
      <c r="R413" s="5" t="s">
        <v>4</v>
      </c>
      <c r="S413" s="100">
        <f ca="1">_xll.meDateFromTenor(S412,"1D","FOLLOWING",T$12)</f>
        <v>43076</v>
      </c>
      <c r="T413" s="13">
        <f ca="1">_xll.meDateFromTenor(S413,T$14,T$11,T$12)</f>
        <v>43441</v>
      </c>
      <c r="U413" s="98">
        <f ca="1"/>
        <v>2.1815648916400786E-4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-4.0314453746704603E-3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-1.7021817586941696E-3</v>
      </c>
      <c r="R414" s="5" t="s">
        <v>4</v>
      </c>
      <c r="S414" s="100">
        <f ca="1">_xll.meDateFromTenor(S413,"1D","FOLLOWING",T$12)</f>
        <v>43077</v>
      </c>
      <c r="T414" s="13">
        <f ca="1">_xll.meDateFromTenor(S414,T$14,T$11,T$12)</f>
        <v>43444</v>
      </c>
      <c r="U414" s="98">
        <f ca="1"/>
        <v>2.2124224192001629E-4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-4.0277058393087531E-3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-1.6838658791219342E-3</v>
      </c>
      <c r="R415" s="5" t="s">
        <v>4</v>
      </c>
      <c r="S415" s="100">
        <f ca="1">_xll.meDateFromTenor(S414,"1D","FOLLOWING",T$12)</f>
        <v>43080</v>
      </c>
      <c r="T415" s="13">
        <f ca="1">_xll.meDateFromTenor(S415,T$14,T$11,T$12)</f>
        <v>43445</v>
      </c>
      <c r="U415" s="98">
        <f ca="1"/>
        <v>2.3055122058977779E-4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-4.0264269697930545E-3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-1.6778845983473883E-3</v>
      </c>
      <c r="R416" s="5" t="s">
        <v>4</v>
      </c>
      <c r="S416" s="100">
        <f ca="1">_xll.meDateFromTenor(S415,"1D","FOLLOWING",T$12)</f>
        <v>43081</v>
      </c>
      <c r="T416" s="13">
        <f ca="1">_xll.meDateFromTenor(S416,T$14,T$11,T$12)</f>
        <v>43446</v>
      </c>
      <c r="U416" s="98">
        <f ca="1"/>
        <v>2.3367141018388194E-4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-4.0251333332703403E-3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-1.6719644720370568E-3</v>
      </c>
      <c r="R417" s="5" t="s">
        <v>4</v>
      </c>
      <c r="S417" s="100">
        <f ca="1">_xll.meDateFromTenor(S416,"1D","FOLLOWING",T$12)</f>
        <v>43082</v>
      </c>
      <c r="T417" s="13">
        <f ca="1">_xll.meDateFromTenor(S417,T$14,T$11,T$12)</f>
        <v>43447</v>
      </c>
      <c r="U417" s="98">
        <f ca="1"/>
        <v>2.3680017641521329E-4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-4.0238257768549415E-3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-1.6661049891446066E-3</v>
      </c>
      <c r="R418" s="5" t="s">
        <v>4</v>
      </c>
      <c r="S418" s="100">
        <f ca="1">_xll.meDateFromTenor(S417,"1D","FOLLOWING",T$12)</f>
        <v>43083</v>
      </c>
      <c r="T418" s="13">
        <f ca="1">_xll.meDateFromTenor(S418,T$14,T$11,T$12)</f>
        <v>43448</v>
      </c>
      <c r="U418" s="98">
        <f ca="1"/>
        <v>2.3993750625485411E-4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-4.0225051476611888E-3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-1.6603056386237079E-3</v>
      </c>
      <c r="R419" s="5" t="s">
        <v>4</v>
      </c>
      <c r="S419" s="100">
        <f ca="1">_xll.meDateFromTenor(S418,"1D","FOLLOWING",T$12)</f>
        <v>43084</v>
      </c>
      <c r="T419" s="13">
        <f ca="1">_xll.meDateFromTenor(S419,T$14,T$11,T$12)</f>
        <v>43451</v>
      </c>
      <c r="U419" s="98">
        <f ca="1"/>
        <v>2.4308338667388511E-4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-4.0184732945531083E-3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-1.643263270827E-3</v>
      </c>
      <c r="R420" s="5" t="s">
        <v>4</v>
      </c>
      <c r="S420" s="100">
        <f ca="1">_xll.meDateFromTenor(S419,"1D","FOLLOWING",T$12)</f>
        <v>43087</v>
      </c>
      <c r="T420" s="13">
        <f ca="1">_xll.meDateFromTenor(S420,T$14,T$11,T$12)</f>
        <v>43452</v>
      </c>
      <c r="U420" s="98">
        <f ca="1"/>
        <v>2.5257220111813729E-4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-4.0171088453892405E-3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-1.6376993393289892E-3</v>
      </c>
      <c r="R421" s="5" t="s">
        <v>4</v>
      </c>
      <c r="S421" s="100">
        <f ca="1">_xll.meDateFromTenor(S420,"1D","FOLLOWING",T$12)</f>
        <v>43088</v>
      </c>
      <c r="T421" s="13">
        <f ca="1">_xll.meDateFromTenor(S421,T$14,T$11,T$12)</f>
        <v>43453</v>
      </c>
      <c r="U421" s="98">
        <f ca="1"/>
        <v>2.5575215356554552E-4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-4.0157355590186693E-3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-1.6321929849708707E-3</v>
      </c>
      <c r="R422" s="5" t="s">
        <v>4</v>
      </c>
      <c r="S422" s="100">
        <f ca="1">_xll.meDateFromTenor(S421,"1D","FOLLOWING",T$12)</f>
        <v>43089</v>
      </c>
      <c r="T422" s="13">
        <f ca="1">_xll.meDateFromTenor(S422,T$14,T$11,T$12)</f>
        <v>43454</v>
      </c>
      <c r="U422" s="98">
        <f ca="1"/>
        <v>2.5894059144775214E-4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-4.0143542825557266E-3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-1.6267436967063141E-3</v>
      </c>
      <c r="R423" s="5" t="s">
        <v>4</v>
      </c>
      <c r="S423" s="100">
        <f ca="1">_xll.meDateFromTenor(S422,"1D","FOLLOWING",T$12)</f>
        <v>43090</v>
      </c>
      <c r="T423" s="13">
        <f ca="1">_xll.meDateFromTenor(S423,T$14,T$11,T$12)</f>
        <v>43455</v>
      </c>
      <c r="U423" s="98">
        <f ca="1"/>
        <v>2.6213750173583828E-4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-4.0129658631147406E-3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-1.6213509634889882E-3</v>
      </c>
      <c r="R424" s="5" t="s">
        <v>4</v>
      </c>
      <c r="S424" s="100">
        <f ca="1">_xll.meDateFromTenor(S423,"1D","FOLLOWING",T$12)</f>
        <v>43091</v>
      </c>
      <c r="T424" s="13">
        <f ca="1">_xll.meDateFromTenor(S424,T$14,T$11,T$12)</f>
        <v>43458</v>
      </c>
      <c r="U424" s="98">
        <f ca="1"/>
        <v>2.6534287140088516E-4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-4.0059462702407298E-3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-1.5952177364892065E-3</v>
      </c>
      <c r="R425" s="5" t="s">
        <v>4</v>
      </c>
      <c r="S425" s="100">
        <f ca="1">_xll.meDateFromTenor(S424,"1D","FOLLOWING",T$12)</f>
        <v>43096</v>
      </c>
      <c r="T425" s="13">
        <f ca="1">_xll.meDateFromTenor(S425,T$14,T$11,T$12)</f>
        <v>43461</v>
      </c>
      <c r="U425" s="98">
        <f ca="1"/>
        <v>2.8149615436838852E-4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-4.0045327823324218E-3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-1.5901536015822996E-3</v>
      </c>
      <c r="R426" s="5" t="s">
        <v>4</v>
      </c>
      <c r="S426" s="100">
        <f ca="1">_xll.meDateFromTenor(S425,"1D","FOLLOWING",T$12)</f>
        <v>43097</v>
      </c>
      <c r="T426" s="13">
        <f ca="1">_xll.meDateFromTenor(S426,T$14,T$11,T$12)</f>
        <v>43462</v>
      </c>
      <c r="U426" s="98">
        <f ca="1"/>
        <v>2.8475200668791301E-4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-4.0031180812463846E-3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-1.5851424443983019E-3</v>
      </c>
      <c r="R427" s="5" t="s">
        <v>4</v>
      </c>
      <c r="S427" s="100">
        <f ca="1">_xll.meDateFromTenor(S426,"1D","FOLLOWING",T$12)</f>
        <v>43098</v>
      </c>
      <c r="T427" s="13">
        <f ca="1">_xll.meDateFromTenor(S427,T$14,T$11,T$12)</f>
        <v>43465</v>
      </c>
      <c r="U427" s="98">
        <f ca="1"/>
        <v>2.880162271819693E-4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-3.9974640874115277E-3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-1.5656173719647767E-3</v>
      </c>
      <c r="R428" s="5" t="s">
        <v>4</v>
      </c>
      <c r="S428" s="100">
        <f ca="1">_xll.meDateFromTenor(S427,"1D","FOLLOWING",T$12)</f>
        <v>43102</v>
      </c>
      <c r="T428" s="13">
        <f ca="1">_xll.meDateFromTenor(S428,T$14,T$11,T$12)</f>
        <v>43467</v>
      </c>
      <c r="U428" s="98">
        <f ca="1"/>
        <v>3.0115653032513874E-4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-3.9960556867018864E-3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-1.5608634377003547E-3</v>
      </c>
      <c r="R429" s="5" t="s">
        <v>4</v>
      </c>
      <c r="S429" s="100">
        <f ca="1">_xll.meDateFromTenor(S428,"1D","FOLLOWING",T$12)</f>
        <v>43103</v>
      </c>
      <c r="T429" s="13">
        <f ca="1">_xll.meDateFromTenor(S429,T$14,T$11,T$12)</f>
        <v>43468</v>
      </c>
      <c r="U429" s="98">
        <f ca="1"/>
        <v>3.0446239625807488E-4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-3.9946491128010821E-3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-1.5561594148808522E-3</v>
      </c>
      <c r="R430" s="5" t="s">
        <v>4</v>
      </c>
      <c r="S430" s="100">
        <f ca="1">_xll.meDateFromTenor(S429,"1D","FOLLOWING",T$12)</f>
        <v>43104</v>
      </c>
      <c r="T430" s="13">
        <f ca="1">_xll.meDateFromTenor(S430,T$14,T$11,T$12)</f>
        <v>43469</v>
      </c>
      <c r="U430" s="98">
        <f ca="1"/>
        <v>3.0777655219203141E-4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-3.9932431701240325E-3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-1.551504792459939E-3</v>
      </c>
      <c r="R431" s="5" t="s">
        <v>4</v>
      </c>
      <c r="S431" s="100">
        <f ca="1">_xll.meDateFromTenor(S430,"1D","FOLLOWING",T$12)</f>
        <v>43105</v>
      </c>
      <c r="T431" s="13">
        <f ca="1">_xll.meDateFromTenor(S431,T$14,T$11,T$12)</f>
        <v>43472</v>
      </c>
      <c r="U431" s="98">
        <f ca="1"/>
        <v>3.1109898509809012E-4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-3.9890171735845852E-3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-1.5378322171254188E-3</v>
      </c>
      <c r="R432" s="5" t="s">
        <v>4</v>
      </c>
      <c r="S432" s="100">
        <f ca="1">_xll.meDateFromTenor(S431,"1D","FOLLOWING",T$12)</f>
        <v>43108</v>
      </c>
      <c r="T432" s="13">
        <f ca="1">_xll.meDateFromTenor(S432,T$14,T$11,T$12)</f>
        <v>43473</v>
      </c>
      <c r="U432" s="98">
        <f ca="1"/>
        <v>3.2111581535969216E-4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-3.9876017999517285E-3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-1.5333700858355462E-3</v>
      </c>
      <c r="R433" s="5" t="s">
        <v>4</v>
      </c>
      <c r="S433" s="100">
        <f ca="1">_xll.meDateFromTenor(S432,"1D","FOLLOWING",T$12)</f>
        <v>43109</v>
      </c>
      <c r="T433" s="13">
        <f ca="1">_xll.meDateFromTenor(S433,T$14,T$11,T$12)</f>
        <v>43474</v>
      </c>
      <c r="U433" s="98">
        <f ca="1"/>
        <v>3.2447122586497354E-4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-3.9861810796172122E-3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-1.5289547997126051E-3</v>
      </c>
      <c r="R434" s="5" t="s">
        <v>4</v>
      </c>
      <c r="S434" s="100">
        <f ca="1">_xll.meDateFromTenor(S433,"1D","FOLLOWING",T$12)</f>
        <v>43110</v>
      </c>
      <c r="T434" s="13">
        <f ca="1">_xll.meDateFromTenor(S434,T$14,T$11,T$12)</f>
        <v>43475</v>
      </c>
      <c r="U434" s="98">
        <f ca="1"/>
        <v>3.2783484819776446E-4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-3.9847538169959533E-3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-1.5245858477102641E-3</v>
      </c>
      <c r="R435" s="5" t="s">
        <v>4</v>
      </c>
      <c r="S435" s="100">
        <f ca="1">_xll.meDateFromTenor(S434,"1D","FOLLOWING",T$12)</f>
        <v>43111</v>
      </c>
      <c r="T435" s="13">
        <f ca="1">_xll.meDateFromTenor(S435,T$14,T$11,T$12)</f>
        <v>43476</v>
      </c>
      <c r="U435" s="98">
        <f ca="1"/>
        <v>3.3120666932914605E-4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-3.983318816502871E-3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-1.5202627187821916E-3</v>
      </c>
      <c r="R436" s="5" t="s">
        <v>4</v>
      </c>
      <c r="S436" s="100">
        <f ca="1">_xll.meDateFromTenor(S435,"1D","FOLLOWING",T$12)</f>
        <v>43112</v>
      </c>
      <c r="T436" s="13">
        <f ca="1">_xll.meDateFromTenor(S436,T$14,T$11,T$12)</f>
        <v>43479</v>
      </c>
      <c r="U436" s="98">
        <f ca="1"/>
        <v>3.3458667623019987E-4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-3.9789554319418496E-3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-1.5075631599802677E-3</v>
      </c>
      <c r="R437" s="5" t="s">
        <v>4</v>
      </c>
      <c r="S437" s="100">
        <f ca="1">_xll.meDateFromTenor(S436,"1D","FOLLOWING",T$12)</f>
        <v>43115</v>
      </c>
      <c r="T437" s="13">
        <f ca="1">_xll.meDateFromTenor(S437,T$14,T$11,T$12)</f>
        <v>43480</v>
      </c>
      <c r="U437" s="98">
        <f ca="1"/>
        <v>3.4477568126221208E-4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-3.9774775241106421E-3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-1.5034182128859535E-3</v>
      </c>
      <c r="R438" s="5" t="s">
        <v>4</v>
      </c>
      <c r="S438" s="100">
        <f ca="1">_xll.meDateFromTenor(S437,"1D","FOLLOWING",T$12)</f>
        <v>43116</v>
      </c>
      <c r="T438" s="13">
        <f ca="1">_xll.meDateFromTenor(S438,T$14,T$11,T$12)</f>
        <v>43481</v>
      </c>
      <c r="U438" s="98">
        <f ca="1"/>
        <v>3.4818830095277066E-4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-3.9759859004821962E-3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-1.4993165336342502E-3</v>
      </c>
      <c r="R439" s="5" t="s">
        <v>4</v>
      </c>
      <c r="S439" s="100">
        <f ca="1">_xll.meDateFromTenor(S438,"1D","FOLLOWING",T$12)</f>
        <v>43117</v>
      </c>
      <c r="T439" s="13">
        <f ca="1">_xll.meDateFromTenor(S439,T$14,T$11,T$12)</f>
        <v>43482</v>
      </c>
      <c r="U439" s="98">
        <f ca="1"/>
        <v>3.5160904126840917E-4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-3.9744793654714313E-3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-1.4952576111788255E-3</v>
      </c>
      <c r="R440" s="5" t="s">
        <v>4</v>
      </c>
      <c r="S440" s="100">
        <f ca="1">_xll.meDateFromTenor(S439,"1D","FOLLOWING",T$12)</f>
        <v>43118</v>
      </c>
      <c r="T440" s="13">
        <f ca="1">_xll.meDateFromTenor(S440,T$14,T$11,T$12)</f>
        <v>43483</v>
      </c>
      <c r="U440" s="98">
        <f ca="1"/>
        <v>3.5503788918020938E-4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-3.9729567234932615E-3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-1.4912409344733485E-3</v>
      </c>
      <c r="R441" s="5" t="s">
        <v>4</v>
      </c>
      <c r="S441" s="100">
        <f ca="1">_xll.meDateFromTenor(S440,"1D","FOLLOWING",T$12)</f>
        <v>43119</v>
      </c>
      <c r="T441" s="13">
        <f ca="1">_xll.meDateFromTenor(S441,T$14,T$11,T$12)</f>
        <v>43486</v>
      </c>
      <c r="U441" s="98">
        <f ca="1"/>
        <v>3.5847483165925233E-4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-3.9682801999035055E-3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-1.4794392683932906E-3</v>
      </c>
      <c r="R442" s="5" t="s">
        <v>4</v>
      </c>
      <c r="S442" s="100">
        <f ca="1">_xll.meDateFromTenor(S441,"1D","FOLLOWING",T$12)</f>
        <v>43122</v>
      </c>
      <c r="T442" s="13">
        <f ca="1">_xll.meDateFromTenor(S442,T$14,T$11,T$12)</f>
        <v>43487</v>
      </c>
      <c r="U442" s="98">
        <f ca="1"/>
        <v>3.6883409621065328E-4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-3.9666811742048941E-3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-1.4755864642242897E-3</v>
      </c>
      <c r="R443" s="5" t="s">
        <v>4</v>
      </c>
      <c r="S443" s="100">
        <f ca="1">_xll.meDateFromTenor(S442,"1D","FOLLOWING",T$12)</f>
        <v>43123</v>
      </c>
      <c r="T443" s="13">
        <f ca="1">_xll.meDateFromTenor(S443,T$14,T$11,T$12)</f>
        <v>43488</v>
      </c>
      <c r="U443" s="98">
        <f ca="1"/>
        <v>3.7230328666948279E-4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-3.9650600636134672E-3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-1.4717733505735789E-3</v>
      </c>
      <c r="R444" s="5" t="s">
        <v>4</v>
      </c>
      <c r="S444" s="100">
        <f ca="1">_xll.meDateFromTenor(S443,"1D","FOLLOWING",T$12)</f>
        <v>43124</v>
      </c>
      <c r="T444" s="13">
        <f ca="1">_xll.meDateFromTenor(S444,T$14,T$11,T$12)</f>
        <v>43489</v>
      </c>
      <c r="U444" s="98">
        <f ca="1"/>
        <v>3.7578050655096278E-4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-3.9634156725441398E-3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-1.4679994163948273E-3</v>
      </c>
      <c r="R445" s="5" t="s">
        <v>4</v>
      </c>
      <c r="S445" s="100">
        <f ca="1">_xll.meDateFromTenor(S444,"1D","FOLLOWING",T$12)</f>
        <v>43125</v>
      </c>
      <c r="T445" s="13">
        <f ca="1">_xll.meDateFromTenor(S445,T$14,T$11,T$12)</f>
        <v>43490</v>
      </c>
      <c r="U445" s="98">
        <f ca="1"/>
        <v>3.7926574282617432E-4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-3.9617468054118296E-3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-1.4642641506417029E-3</v>
      </c>
      <c r="R446" s="5" t="s">
        <v>4</v>
      </c>
      <c r="S446" s="100">
        <f ca="1">_xll.meDateFromTenor(S445,"1D","FOLLOWING",T$12)</f>
        <v>43126</v>
      </c>
      <c r="T446" s="13">
        <f ca="1">_xll.meDateFromTenor(S446,T$14,T$11,T$12)</f>
        <v>43493</v>
      </c>
      <c r="U446" s="98">
        <f ca="1"/>
        <v>3.8275898246619908E-4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-3.956581391786178E-3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-1.4532852534727767E-3</v>
      </c>
      <c r="R447" s="5" t="s">
        <v>4</v>
      </c>
      <c r="S447" s="100">
        <f ca="1">_xll.meDateFromTenor(S446,"1D","FOLLOWING",T$12)</f>
        <v>43129</v>
      </c>
      <c r="T447" s="13">
        <f ca="1">_xll.meDateFromTenor(S447,T$14,T$11,T$12)</f>
        <v>43494</v>
      </c>
      <c r="U447" s="98">
        <f ca="1"/>
        <v>3.9328659128596926E-4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-3.9548026645511106E-3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-1.4496995509588456E-3</v>
      </c>
      <c r="R448" s="5" t="s">
        <v>4</v>
      </c>
      <c r="S448" s="100">
        <f ca="1">_xll.meDateFromTenor(S447,"1D","FOLLOWING",T$12)</f>
        <v>43130</v>
      </c>
      <c r="T448" s="13">
        <f ca="1">_xll.meDateFromTenor(S448,T$14,T$11,T$12)</f>
        <v>43495</v>
      </c>
      <c r="U448" s="98">
        <f ca="1"/>
        <v>3.968117140960624E-4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-3.952993483327648E-3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-1.4461499616388843E-3</v>
      </c>
      <c r="R449" s="5" t="s">
        <v>4</v>
      </c>
      <c r="S449" s="100">
        <f ca="1">_xll.meDateFromTenor(S448,"1D","FOLLOWING",T$12)</f>
        <v>43131</v>
      </c>
      <c r="T449" s="13">
        <f ca="1">_xll.meDateFromTenor(S449,T$14,T$11,T$12)</f>
        <v>43496</v>
      </c>
      <c r="U449" s="98">
        <f ca="1"/>
        <v>4.0034477512637678E-4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-3.9511526525307051E-3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-1.4426359744665609E-3</v>
      </c>
      <c r="R450" s="5" t="s">
        <v>4</v>
      </c>
      <c r="S450" s="100">
        <f ca="1">_xll.meDateFromTenor(S449,"1D","FOLLOWING",T$12)</f>
        <v>43132</v>
      </c>
      <c r="T450" s="13">
        <f ca="1">_xll.meDateFromTenor(S450,T$14,T$11,T$12)</f>
        <v>43497</v>
      </c>
      <c r="U450" s="98">
        <f ca="1"/>
        <v>4.0388576134799337E-4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-3.9492789765752014E-3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-1.4391570783955439E-3</v>
      </c>
      <c r="R451" s="5" t="s">
        <v>4</v>
      </c>
      <c r="S451" s="100">
        <f ca="1">_xll.meDateFromTenor(S450,"1D","FOLLOWING",T$12)</f>
        <v>43133</v>
      </c>
      <c r="T451" s="13">
        <f ca="1">_xll.meDateFromTenor(S451,T$14,T$11,T$12)</f>
        <v>43500</v>
      </c>
      <c r="U451" s="98">
        <f ca="1"/>
        <v>4.0743465973199357E-4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-3.9434621309812293E-3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-1.4289258263270178E-3</v>
      </c>
      <c r="R452" s="5" t="s">
        <v>4</v>
      </c>
      <c r="S452" s="100">
        <f ca="1">_xll.meDateFromTenor(S451,"1D","FOLLOWING",T$12)</f>
        <v>43136</v>
      </c>
      <c r="T452" s="13">
        <f ca="1">_xll.meDateFromTenor(S452,T$14,T$11,T$12)</f>
        <v>43501</v>
      </c>
      <c r="U452" s="98">
        <f ca="1"/>
        <v>4.1812869756911242E-4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-3.9414632198652919E-3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-1.425582184197912E-3</v>
      </c>
      <c r="R453" s="5" t="s">
        <v>4</v>
      </c>
      <c r="S453" s="100">
        <f ca="1">_xll.meDateFromTenor(S452,"1D","FOLLOWING",T$12)</f>
        <v>43137</v>
      </c>
      <c r="T453" s="13">
        <f ca="1">_xll.meDateFromTenor(S453,T$14,T$11,T$12)</f>
        <v>43502</v>
      </c>
      <c r="U453" s="98">
        <f ca="1"/>
        <v>4.2170911431346303E-4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-3.9394372270651441E-3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-1.4222710779384553E-3</v>
      </c>
      <c r="R454" s="5" t="s">
        <v>4</v>
      </c>
      <c r="S454" s="100">
        <f ca="1">_xll.meDateFromTenor(S453,"1D","FOLLOWING",T$12)</f>
        <v>43138</v>
      </c>
      <c r="T454" s="13">
        <f ca="1">_xll.meDateFromTenor(S454,T$14,T$11,T$12)</f>
        <v>43503</v>
      </c>
      <c r="U454" s="98">
        <f ca="1"/>
        <v>4.2529737807560472E-4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-3.9373858923456451E-3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-1.4189919965023167E-3</v>
      </c>
      <c r="R455" s="5" t="s">
        <v>4</v>
      </c>
      <c r="S455" s="100">
        <f ca="1">_xll.meDateFromTenor(S454,"1D","FOLLOWING",T$12)</f>
        <v>43139</v>
      </c>
      <c r="T455" s="13">
        <f ca="1">_xll.meDateFromTenor(S455,T$14,T$11,T$12)</f>
        <v>43504</v>
      </c>
      <c r="U455" s="98">
        <f ca="1"/>
        <v>4.2889347582661917E-4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-3.9353109554716558E-3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-1.4157444288431631E-3</v>
      </c>
      <c r="R456" s="5" t="s">
        <v>4</v>
      </c>
      <c r="S456" s="100">
        <f ca="1">_xll.meDateFromTenor(S455,"1D","FOLLOWING",T$12)</f>
        <v>43140</v>
      </c>
      <c r="T456" s="13">
        <f ca="1">_xll.meDateFromTenor(S456,T$14,T$11,T$12)</f>
        <v>43507</v>
      </c>
      <c r="U456" s="98">
        <f ca="1"/>
        <v>4.324973945375882E-4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-3.9289619295713209E-3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-1.4061856980643046E-3</v>
      </c>
      <c r="R457" s="5" t="s">
        <v>4</v>
      </c>
      <c r="S457" s="100">
        <f ca="1">_xll.meDateFromTenor(S456,"1D","FOLLOWING",T$12)</f>
        <v>43143</v>
      </c>
      <c r="T457" s="13">
        <f ca="1">_xll.meDateFromTenor(S457,T$14,T$11,T$12)</f>
        <v>43508</v>
      </c>
      <c r="U457" s="98">
        <f ca="1"/>
        <v>4.4335594614103551E-4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-3.9268099817279514E-3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-1.4030590750497801E-3</v>
      </c>
      <c r="R458" s="5" t="s">
        <v>4</v>
      </c>
      <c r="S458" s="100">
        <f ca="1">_xll.meDateFromTenor(S457,"1D","FOLLOWING",T$12)</f>
        <v>43144</v>
      </c>
      <c r="T458" s="13">
        <f ca="1">_xll.meDateFromTenor(S458,T$14,T$11,T$12)</f>
        <v>43509</v>
      </c>
      <c r="U458" s="98">
        <f ca="1"/>
        <v>4.4699101840263628E-4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-3.9246431305543826E-3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-1.3999614105805842E-3</v>
      </c>
      <c r="R459" s="5" t="s">
        <v>4</v>
      </c>
      <c r="S459" s="100">
        <f ca="1">_xll.meDateFromTenor(S458,"1D","FOLLOWING",T$12)</f>
        <v>43145</v>
      </c>
      <c r="T459" s="13">
        <f ca="1">_xll.meDateFromTenor(S459,T$14,T$11,T$12)</f>
        <v>43510</v>
      </c>
      <c r="U459" s="98">
        <f ca="1"/>
        <v>4.5063384647959901E-4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-3.9224631158154746E-3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-1.3968921936103849E-3</v>
      </c>
      <c r="R460" s="5" t="s">
        <v>4</v>
      </c>
      <c r="S460" s="100">
        <f ca="1">_xll.meDateFromTenor(S459,"1D","FOLLOWING",T$12)</f>
        <v>43146</v>
      </c>
      <c r="T460" s="13">
        <f ca="1">_xll.meDateFromTenor(S460,T$14,T$11,T$12)</f>
        <v>43511</v>
      </c>
      <c r="U460" s="98">
        <f ca="1"/>
        <v>4.5428441734300521E-4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-3.9202716772760871E-3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-1.3938509130928514E-3</v>
      </c>
      <c r="R461" s="5" t="s">
        <v>4</v>
      </c>
      <c r="S461" s="100">
        <f ca="1">_xll.meDateFromTenor(S460,"1D","FOLLOWING",T$12)</f>
        <v>43147</v>
      </c>
      <c r="T461" s="13">
        <f ca="1">_xll.meDateFromTenor(S461,T$14,T$11,T$12)</f>
        <v>43514</v>
      </c>
      <c r="U461" s="98">
        <f ca="1"/>
        <v>4.5794271796393562E-4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-3.9136462165036256E-3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-1.3848895797929275E-3</v>
      </c>
      <c r="R462" s="5" t="s">
        <v>4</v>
      </c>
      <c r="S462" s="100">
        <f ca="1">_xll.meDateFromTenor(S461,"1D","FOLLOWING",T$12)</f>
        <v>43150</v>
      </c>
      <c r="T462" s="13">
        <f ca="1">_xll.meDateFromTenor(S462,T$14,T$11,T$12)</f>
        <v>43515</v>
      </c>
      <c r="U462" s="98">
        <f ca="1"/>
        <v>4.6896386808269121E-4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-3.9114264804109011E-3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-1.3819549346227402E-3</v>
      </c>
      <c r="R463" s="5" t="s">
        <v>4</v>
      </c>
      <c r="S463" s="100">
        <f ca="1">_xll.meDateFromTenor(S462,"1D","FOLLOWING",T$12)</f>
        <v>43151</v>
      </c>
      <c r="T463" s="13">
        <f ca="1">_xll.meDateFromTenor(S463,T$14,T$11,T$12)</f>
        <v>43516</v>
      </c>
      <c r="U463" s="98">
        <f ca="1"/>
        <v>4.7265295744453555E-4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-3.909204019341991E-3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-1.3790456706735607E-3</v>
      </c>
      <c r="R464" s="5" t="s">
        <v>4</v>
      </c>
      <c r="S464" s="100">
        <f ca="1">_xll.meDateFromTenor(S463,"1D","FOLLOWING",T$12)</f>
        <v>43152</v>
      </c>
      <c r="T464" s="13">
        <f ca="1">_xll.meDateFromTenor(S464,T$14,T$11,T$12)</f>
        <v>43517</v>
      </c>
      <c r="U464" s="98">
        <f ca="1"/>
        <v>4.7634971141931223E-4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-3.9069805730617526E-3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-1.3761612768990574E-3</v>
      </c>
      <c r="R465" s="5" t="s">
        <v>4</v>
      </c>
      <c r="S465" s="100">
        <f ca="1">_xll.meDateFromTenor(S464,"1D","FOLLOWING",T$12)</f>
        <v>43153</v>
      </c>
      <c r="T465" s="13">
        <f ca="1">_xll.meDateFromTenor(S465,T$14,T$11,T$12)</f>
        <v>43518</v>
      </c>
      <c r="U465" s="98">
        <f ca="1"/>
        <v>4.8005411697810287E-4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-3.9047578813350445E-3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-1.3733012422528991E-3</v>
      </c>
      <c r="R466" s="5" t="s">
        <v>4</v>
      </c>
      <c r="S466" s="100">
        <f ca="1">_xll.meDateFromTenor(S465,"1D","FOLLOWING",T$12)</f>
        <v>43154</v>
      </c>
      <c r="T466" s="13">
        <f ca="1">_xll.meDateFromTenor(S466,T$14,T$11,T$12)</f>
        <v>43521</v>
      </c>
      <c r="U466" s="98">
        <f ca="1"/>
        <v>4.837661610919886E-4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-3.8981117311246913E-3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-1.3648621826211774E-3</v>
      </c>
      <c r="R467" s="5" t="s">
        <v>4</v>
      </c>
      <c r="S467" s="100">
        <f ca="1">_xll.meDateFromTenor(S466,"1D","FOLLOWING",T$12)</f>
        <v>43157</v>
      </c>
      <c r="T467" s="13">
        <f ca="1">_xll.meDateFromTenor(S467,T$14,T$11,T$12)</f>
        <v>43522</v>
      </c>
      <c r="U467" s="98">
        <f ca="1"/>
        <v>4.9494799447503187E-4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-3.8959094552606928E-3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-1.362094474025083E-3</v>
      </c>
      <c r="R468" s="5" t="s">
        <v>4</v>
      </c>
      <c r="S468" s="100">
        <f ca="1">_xll.meDateFromTenor(S467,"1D","FOLLOWING",T$12)</f>
        <v>43158</v>
      </c>
      <c r="T468" s="13">
        <f ca="1">_xll.meDateFromTenor(S468,T$14,T$11,T$12)</f>
        <v>43523</v>
      </c>
      <c r="U468" s="98">
        <f ca="1"/>
        <v>4.9869046252011345E-4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-3.8937166327745187E-3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-1.3593485693256758E-3</v>
      </c>
      <c r="R469" s="5" t="s">
        <v>4</v>
      </c>
      <c r="S469" s="100">
        <f ca="1">_xll.meDateFromTenor(S468,"1D","FOLLOWING",T$12)</f>
        <v>43159</v>
      </c>
      <c r="T469" s="13">
        <f ca="1">_xll.meDateFromTenor(S469,T$14,T$11,T$12)</f>
        <v>43524</v>
      </c>
      <c r="U469" s="98">
        <f ca="1"/>
        <v>5.0244050397569781E-4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-3.8915350034310278E-3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-1.3566239574766244E-3</v>
      </c>
      <c r="R470" s="5" t="s">
        <v>4</v>
      </c>
      <c r="S470" s="100">
        <f ca="1">_xll.meDateFromTenor(S469,"1D","FOLLOWING",T$12)</f>
        <v>43160</v>
      </c>
      <c r="T470" s="13">
        <f ca="1">_xll.meDateFromTenor(S470,T$14,T$11,T$12)</f>
        <v>43525</v>
      </c>
      <c r="U470" s="98">
        <f ca="1"/>
        <v>5.0619810581286587E-4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-3.8893663069950782E-3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-1.3539201274315976E-3</v>
      </c>
      <c r="R471" s="5" t="s">
        <v>4</v>
      </c>
      <c r="S471" s="100">
        <f ca="1">_xll.meDateFromTenor(S470,"1D","FOLLOWING",T$12)</f>
        <v>43161</v>
      </c>
      <c r="T471" s="13">
        <f ca="1">_xll.meDateFromTenor(S471,T$14,T$11,T$12)</f>
        <v>43528</v>
      </c>
      <c r="U471" s="98">
        <f ca="1"/>
        <v>5.0996325500269972E-4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-3.8829393091095337E-3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-1.3459282176573454E-3</v>
      </c>
      <c r="R472" s="5" t="s">
        <v>4</v>
      </c>
      <c r="S472" s="100">
        <f ca="1">_xll.meDateFromTenor(S471,"1D","FOLLOWING",T$12)</f>
        <v>43164</v>
      </c>
      <c r="T472" s="13">
        <f ca="1">_xll.meDateFromTenor(S472,T$14,T$11,T$12)</f>
        <v>43529</v>
      </c>
      <c r="U472" s="98">
        <f ca="1"/>
        <v>5.2130385639901126E-4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-3.8808179480320872E-3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-1.3433024043650998E-3</v>
      </c>
      <c r="R473" s="5" t="s">
        <v>4</v>
      </c>
      <c r="S473" s="100">
        <f ca="1">_xll.meDateFromTenor(S472,"1D","FOLLOWING",T$12)</f>
        <v>43165</v>
      </c>
      <c r="T473" s="13">
        <f ca="1">_xll.meDateFromTenor(S473,T$14,T$11,T$12)</f>
        <v>43530</v>
      </c>
      <c r="U473" s="98">
        <f ca="1"/>
        <v>5.250990647103225E-4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-3.8787040820895567E-3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-1.3406948176452212E-3</v>
      </c>
      <c r="R474" s="5" t="s">
        <v>4</v>
      </c>
      <c r="S474" s="100">
        <f ca="1">_xll.meDateFromTenor(S473,"1D","FOLLOWING",T$12)</f>
        <v>43166</v>
      </c>
      <c r="T474" s="13">
        <f ca="1">_xll.meDateFromTenor(S474,T$14,T$11,T$12)</f>
        <v>43531</v>
      </c>
      <c r="U474" s="98">
        <f ca="1"/>
        <v>5.2890175522970714E-4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-3.8765959168975705E-3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-1.338104946451377E-3</v>
      </c>
      <c r="R475" s="5" t="s">
        <v>4</v>
      </c>
      <c r="S475" s="100">
        <f ca="1">_xll.meDateFromTenor(S474,"1D","FOLLOWING",T$12)</f>
        <v>43167</v>
      </c>
      <c r="T475" s="13">
        <f ca="1">_xll.meDateFromTenor(S475,T$14,T$11,T$12)</f>
        <v>43532</v>
      </c>
      <c r="U475" s="98">
        <f ca="1"/>
        <v>5.3271191492824661E-4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-3.8744916580717571E-3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-1.3355322797372366E-3</v>
      </c>
      <c r="R476" s="5" t="s">
        <v>4</v>
      </c>
      <c r="S476" s="100">
        <f ca="1">_xll.meDateFromTenor(S475,"1D","FOLLOWING",T$12)</f>
        <v>43168</v>
      </c>
      <c r="T476" s="13">
        <f ca="1">_xll.meDateFromTenor(S476,T$14,T$11,T$12)</f>
        <v>43535</v>
      </c>
      <c r="U476" s="98">
        <f ca="1"/>
        <v>5.3652953077702238E-4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-3.8681843759476439E-3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-1.3279123960097227E-3</v>
      </c>
      <c r="R477" s="5" t="s">
        <v>4</v>
      </c>
      <c r="S477" s="100">
        <f ca="1">_xll.meDateFromTenor(S476,"1D","FOLLOWING",T$12)</f>
        <v>43171</v>
      </c>
      <c r="T477" s="13">
        <f ca="1">_xll.meDateFromTenor(S477,T$14,T$11,T$12)</f>
        <v>43536</v>
      </c>
      <c r="U477" s="98">
        <f ca="1"/>
        <v>5.4802698493558043E-4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-3.8660777987428101E-3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-1.3254034367510812E-3</v>
      </c>
      <c r="R478" s="5" t="s">
        <v>4</v>
      </c>
      <c r="S478" s="100">
        <f ca="1">_xll.meDateFromTenor(S477,"1D","FOLLOWING",T$12)</f>
        <v>43172</v>
      </c>
      <c r="T478" s="13">
        <f ca="1">_xll.meDateFromTenor(S478,T$14,T$11,T$12)</f>
        <v>43537</v>
      </c>
      <c r="U478" s="98">
        <f ca="1"/>
        <v>5.5187429509611556E-4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-3.8639661559822938E-3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-1.3229091267404863E-3</v>
      </c>
      <c r="R479" s="5" t="s">
        <v>4</v>
      </c>
      <c r="S479" s="100">
        <f ca="1">_xll.meDateFromTenor(S478,"1D","FOLLOWING",T$12)</f>
        <v>43173</v>
      </c>
      <c r="T479" s="13">
        <f ca="1">_xll.meDateFromTenor(S479,T$14,T$11,T$12)</f>
        <v>43538</v>
      </c>
      <c r="U479" s="98">
        <f ca="1"/>
        <v>5.5572899626229447E-4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-3.8618476532817246E-3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-1.320428954931606E-3</v>
      </c>
      <c r="R480" s="5" t="s">
        <v>4</v>
      </c>
      <c r="S480" s="100">
        <f ca="1">_xll.meDateFromTenor(S479,"1D","FOLLOWING",T$12)</f>
        <v>43174</v>
      </c>
      <c r="T480" s="13">
        <f ca="1">_xll.meDateFromTenor(S480,T$14,T$11,T$12)</f>
        <v>43539</v>
      </c>
      <c r="U480" s="98">
        <f ca="1"/>
        <v>5.5959107540519794E-4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-3.8597204962567285E-3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-1.3179624102781088E-3</v>
      </c>
      <c r="R481" s="5" t="s">
        <v>4</v>
      </c>
      <c r="S481" s="100">
        <f ca="1">_xll.meDateFromTenor(S480,"1D","FOLLOWING",T$12)</f>
        <v>43175</v>
      </c>
      <c r="T481" s="13">
        <f ca="1">_xll.meDateFromTenor(S481,T$14,T$11,T$12)</f>
        <v>43542</v>
      </c>
      <c r="U481" s="98">
        <f ca="1"/>
        <v>5.634605194959081E-4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-3.8532691553914756E-3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-1.3106394287865993E-3</v>
      </c>
      <c r="R482" s="5" t="s">
        <v>4</v>
      </c>
      <c r="S482" s="100">
        <f ca="1">_xll.meDateFromTenor(S481,"1D","FOLLOWING",T$12)</f>
        <v>43178</v>
      </c>
      <c r="T482" s="13">
        <f ca="1">_xll.meDateFromTenor(S482,T$14,T$11,T$12)</f>
        <v>43543</v>
      </c>
      <c r="U482" s="98">
        <f ca="1"/>
        <v>5.7511291116569348E-4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-3.8510894372250654E-3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-1.3082222822913187E-3</v>
      </c>
      <c r="R483" s="5" t="s">
        <v>4</v>
      </c>
      <c r="S483" s="100">
        <f ca="1">_xll.meDateFromTenor(S482,"1D","FOLLOWING",T$12)</f>
        <v>43179</v>
      </c>
      <c r="T483" s="13">
        <f ca="1">_xll.meDateFromTenor(S483,T$14,T$11,T$12)</f>
        <v>43544</v>
      </c>
      <c r="U483" s="98">
        <f ca="1"/>
        <v>5.7901168475844498E-4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-3.8488920928123737E-3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-1.3058162077197635E-3</v>
      </c>
      <c r="R484" s="5" t="s">
        <v>4</v>
      </c>
      <c r="S484" s="100">
        <f ca="1">_xll.meDateFromTenor(S483,"1D","FOLLOWING",T$12)</f>
        <v>43180</v>
      </c>
      <c r="T484" s="13">
        <f ca="1">_xll.meDateFromTenor(S484,T$14,T$11,T$12)</f>
        <v>43545</v>
      </c>
      <c r="U484" s="98">
        <f ca="1"/>
        <v>5.8291775815441074E-4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-3.8466753277690293E-3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-1.3034206940256022E-3</v>
      </c>
      <c r="R485" s="5" t="s">
        <v>4</v>
      </c>
      <c r="S485" s="100">
        <f ca="1">_xll.meDateFromTenor(S484,"1D","FOLLOWING",T$12)</f>
        <v>43181</v>
      </c>
      <c r="T485" s="13">
        <f ca="1">_xll.meDateFromTenor(S485,T$14,T$11,T$12)</f>
        <v>43546</v>
      </c>
      <c r="U485" s="98">
        <f ca="1"/>
        <v>5.8683111832467222E-4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-3.8444373477106602E-3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-1.3010352301625035E-3</v>
      </c>
      <c r="R486" s="5" t="s">
        <v>4</v>
      </c>
      <c r="S486" s="100">
        <f ca="1">_xll.meDateFromTenor(S485,"1D","FOLLOWING",T$12)</f>
        <v>43182</v>
      </c>
      <c r="T486" s="13">
        <f ca="1">_xll.meDateFromTenor(S486,T$14,T$11,T$12)</f>
        <v>43549</v>
      </c>
      <c r="U486" s="98">
        <f ca="1"/>
        <v>5.9075175224031033E-4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-3.8375781736016976E-3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-1.2939340270962663E-3</v>
      </c>
      <c r="R487" s="5" t="s">
        <v>4</v>
      </c>
      <c r="S487" s="100">
        <f ca="1">_xll.meDateFromTenor(S486,"1D","FOLLOWING",T$12)</f>
        <v>43185</v>
      </c>
      <c r="T487" s="13">
        <f ca="1">_xll.meDateFromTenor(S487,T$14,T$11,T$12)</f>
        <v>43550</v>
      </c>
      <c r="U487" s="98">
        <f ca="1"/>
        <v>6.0255716617030265E-4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-3.8352373896395203E-3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-1.291583652094102E-3</v>
      </c>
      <c r="R488" s="5" t="s">
        <v>4</v>
      </c>
      <c r="S488" s="100">
        <f ca="1">_xll.meDateFromTenor(S487,"1D","FOLLOWING",T$12)</f>
        <v>43186</v>
      </c>
      <c r="T488" s="13">
        <f ca="1">_xll.meDateFromTenor(S488,T$14,T$11,T$12)</f>
        <v>43551</v>
      </c>
      <c r="U488" s="98">
        <f ca="1"/>
        <v>6.0650676477826441E-4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-3.8328664187404623E-3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-1.2892407716913424E-3</v>
      </c>
      <c r="R489" s="5" t="s">
        <v>4</v>
      </c>
      <c r="S489" s="100">
        <f ca="1">_xll.meDateFromTenor(S488,"1D","FOLLOWING",T$12)</f>
        <v>43187</v>
      </c>
      <c r="T489" s="13">
        <f ca="1">_xll.meDateFromTenor(S489,T$14,T$11,T$12)</f>
        <v>43552</v>
      </c>
      <c r="U489" s="98">
        <f ca="1"/>
        <v>6.1046357198701016E-4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-3.8304634665201538E-3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-1.2869048748416563E-3</v>
      </c>
      <c r="R490" s="5" t="s">
        <v>4</v>
      </c>
      <c r="S490" s="100">
        <f ca="1">_xll.meDateFromTenor(S489,"1D","FOLLOWING",T$12)</f>
        <v>43188</v>
      </c>
      <c r="T490" s="13">
        <f ca="1">_xll.meDateFromTenor(S490,T$14,T$11,T$12)</f>
        <v>43553</v>
      </c>
      <c r="U490" s="98">
        <f ca="1"/>
        <v>6.1442757476762213E-4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-3.8179061821468426E-3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-1.2753122572677226E-3</v>
      </c>
      <c r="R491" s="5" t="s">
        <v>4</v>
      </c>
      <c r="S491" s="100">
        <f ca="1">_xll.meDateFromTenor(S490,"1D","FOLLOWING",T$12)</f>
        <v>43193</v>
      </c>
      <c r="T491" s="13">
        <f ca="1">_xll.meDateFromTenor(S491,T$14,T$11,T$12)</f>
        <v>43558</v>
      </c>
      <c r="U491" s="98">
        <f ca="1"/>
        <v>6.3435506623652502E-4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-3.8152743457389678E-3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-1.2730075297635146E-3</v>
      </c>
      <c r="R492" s="5" t="s">
        <v>4</v>
      </c>
      <c r="S492" s="100">
        <f ca="1">_xll.meDateFromTenor(S491,"1D","FOLLOWING",T$12)</f>
        <v>43194</v>
      </c>
      <c r="T492" s="13">
        <f ca="1">_xll.meDateFromTenor(S492,T$14,T$11,T$12)</f>
        <v>43559</v>
      </c>
      <c r="U492" s="98">
        <f ca="1"/>
        <v>6.3836196884104477E-4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-3.8126020821896787E-3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-1.2707062084880592E-3</v>
      </c>
      <c r="R493" s="5" t="s">
        <v>4</v>
      </c>
      <c r="S493" s="100">
        <f ca="1">_xll.meDateFromTenor(S492,"1D","FOLLOWING",T$12)</f>
        <v>43195</v>
      </c>
      <c r="T493" s="13">
        <f ca="1">_xll.meDateFromTenor(S493,T$14,T$11,T$12)</f>
        <v>43560</v>
      </c>
      <c r="U493" s="98">
        <f ca="1"/>
        <v>6.4237597581500111E-4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-3.8098917119850396E-3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-1.2684077823950253E-3</v>
      </c>
      <c r="R494" s="5" t="s">
        <v>4</v>
      </c>
      <c r="S494" s="100">
        <f ca="1">_xll.meDateFromTenor(S493,"1D","FOLLOWING",T$12)</f>
        <v>43196</v>
      </c>
      <c r="T494" s="13">
        <f ca="1">_xll.meDateFromTenor(S494,T$14,T$11,T$12)</f>
        <v>43563</v>
      </c>
      <c r="U494" s="98">
        <f ca="1"/>
        <v>6.4639707412947485E-4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-3.8015551662996696E-3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-1.2615247647471356E-3</v>
      </c>
      <c r="R495" s="5" t="s">
        <v>4</v>
      </c>
      <c r="S495" s="100">
        <f ca="1">_xll.meDateFromTenor(S494,"1D","FOLLOWING",T$12)</f>
        <v>43199</v>
      </c>
      <c r="T495" s="13">
        <f ca="1">_xll.meDateFromTenor(S495,T$14,T$11,T$12)</f>
        <v>43564</v>
      </c>
      <c r="U495" s="98">
        <f ca="1"/>
        <v>6.5850278682682022E-4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-3.7987155743342774E-3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-1.2592328089204715E-3</v>
      </c>
      <c r="R496" s="5" t="s">
        <v>4</v>
      </c>
      <c r="S496" s="100">
        <f ca="1">_xll.meDateFromTenor(S495,"1D","FOLLOWING",T$12)</f>
        <v>43200</v>
      </c>
      <c r="T496" s="13">
        <f ca="1">_xll.meDateFromTenor(S496,T$14,T$11,T$12)</f>
        <v>43565</v>
      </c>
      <c r="U496" s="98">
        <f ca="1"/>
        <v>6.625521202141809E-4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-3.7958494781438574E-3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-1.2569411930445707E-3</v>
      </c>
      <c r="R497" s="5" t="s">
        <v>4</v>
      </c>
      <c r="S497" s="100">
        <f ca="1">_xll.meDateFromTenor(S496,"1D","FOLLOWING",T$12)</f>
        <v>43201</v>
      </c>
      <c r="T497" s="13">
        <f ca="1">_xll.meDateFromTenor(S497,T$14,T$11,T$12)</f>
        <v>43566</v>
      </c>
      <c r="U497" s="98">
        <f ca="1"/>
        <v>6.6660847979746723E-4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-3.7929591982144746E-3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-1.2546494060731023E-3</v>
      </c>
      <c r="R498" s="5" t="s">
        <v>4</v>
      </c>
      <c r="S498" s="100">
        <f ca="1">_xll.meDateFromTenor(S497,"1D","FOLLOWING",T$12)</f>
        <v>43202</v>
      </c>
      <c r="T498" s="13">
        <f ca="1">_xll.meDateFromTenor(S498,T$14,T$11,T$12)</f>
        <v>43567</v>
      </c>
      <c r="U498" s="98">
        <f ca="1"/>
        <v>6.7067185254776054E-4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-3.790047055032194E-3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-1.2523569369597342E-3</v>
      </c>
      <c r="R499" s="5" t="s">
        <v>4</v>
      </c>
      <c r="S499" s="100">
        <f ca="1">_xll.meDateFromTenor(S498,"1D","FOLLOWING",T$12)</f>
        <v>43203</v>
      </c>
      <c r="T499" s="13">
        <f ca="1">_xll.meDateFromTenor(S499,T$14,T$11,T$12)</f>
        <v>43570</v>
      </c>
      <c r="U499" s="98">
        <f ca="1"/>
        <v>6.7474222543614261E-4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-3.7812026508286076E-3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-1.2454703263049193E-3</v>
      </c>
      <c r="R500" s="5" t="s">
        <v>4</v>
      </c>
      <c r="S500" s="100">
        <f ca="1">_xll.meDateFromTenor(S499,"1D","FOLLOWING",T$12)</f>
        <v>43206</v>
      </c>
      <c r="T500" s="13">
        <f ca="1">_xll.meDateFromTenor(S500,T$14,T$11,T$12)</f>
        <v>43571</v>
      </c>
      <c r="U500" s="98">
        <f ca="1"/>
        <v>6.8699521464063342E-4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-3.77822625949538E-3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-1.2431700181606388E-3</v>
      </c>
      <c r="R501" s="5" t="s">
        <v>4</v>
      </c>
      <c r="S501" s="100">
        <f ca="1">_xll.meDateFromTenor(S500,"1D","FOLLOWING",T$12)</f>
        <v>43207</v>
      </c>
      <c r="T501" s="13">
        <f ca="1">_xll.meDateFromTenor(S501,T$14,T$11,T$12)</f>
        <v>43572</v>
      </c>
      <c r="U501" s="98">
        <f ca="1"/>
        <v>6.9109345779218409E-4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-3.7752396073395759E-3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-1.2408664726428014E-3</v>
      </c>
      <c r="R502" s="5" t="s">
        <v>4</v>
      </c>
      <c r="S502" s="100">
        <f ca="1">_xll.meDateFromTenor(S501,"1D","FOLLOWING",T$12)</f>
        <v>43208</v>
      </c>
      <c r="T502" s="13">
        <f ca="1">_xll.meDateFromTenor(S502,T$14,T$11,T$12)</f>
        <v>43573</v>
      </c>
      <c r="U502" s="98">
        <f ca="1"/>
        <v>6.9519863593723089E-4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-3.7722450148472619E-3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-1.2385591787050754E-3</v>
      </c>
      <c r="R503" s="5" t="s">
        <v>4</v>
      </c>
      <c r="S503" s="100">
        <f ca="1">_xll.meDateFromTenor(S502,"1D","FOLLOWING",T$12)</f>
        <v>43209</v>
      </c>
      <c r="T503" s="13">
        <f ca="1">_xll.meDateFromTenor(S503,T$14,T$11,T$12)</f>
        <v>43578</v>
      </c>
      <c r="U503" s="98">
        <f ca="1"/>
        <v>6.9931073604685451E-4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-3.7692448025045005E-3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-1.2362476253011297E-3</v>
      </c>
      <c r="R504" s="5" t="s">
        <v>4</v>
      </c>
      <c r="S504" s="100">
        <f ca="1">_xll.meDateFromTenor(S503,"1D","FOLLOWING",T$12)</f>
        <v>43210</v>
      </c>
      <c r="T504" s="13">
        <f ca="1">_xll.meDateFromTenor(S504,T$14,T$11,T$12)</f>
        <v>43578</v>
      </c>
      <c r="U504" s="98">
        <f ca="1"/>
        <v>7.0342974509213707E-4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-3.7602336512341842E-3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-1.2292822978286569E-3</v>
      </c>
      <c r="R505" s="5" t="s">
        <v>4</v>
      </c>
      <c r="S505" s="100">
        <f ca="1">_xll.meDateFromTenor(S504,"1D","FOLLOWING",T$12)</f>
        <v>43213</v>
      </c>
      <c r="T505" s="13">
        <f ca="1">_xll.meDateFromTenor(S505,T$14,T$11,T$12)</f>
        <v>43578</v>
      </c>
      <c r="U505" s="98">
        <f ca="1"/>
        <v>7.1582809555275424E-4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-3.7572341643502824E-3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-1.226948596096516E-3</v>
      </c>
      <c r="R506" s="5" t="s">
        <v>4</v>
      </c>
      <c r="S506" s="100">
        <f ca="1">_xll.meDateFromTenor(S505,"1D","FOLLOWING",T$12)</f>
        <v>43214</v>
      </c>
      <c r="T506" s="13">
        <f ca="1">_xll.meDateFromTenor(S506,T$14,T$11,T$12)</f>
        <v>43579</v>
      </c>
      <c r="U506" s="98">
        <f ca="1"/>
        <v>7.1997461005148748E-4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-3.7542406600462575E-3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-1.2246080796664977E-3</v>
      </c>
      <c r="R507" s="5" t="s">
        <v>4</v>
      </c>
      <c r="S507" s="100">
        <f ca="1">_xll.meDateFromTenor(S506,"1D","FOLLOWING",T$12)</f>
        <v>43215</v>
      </c>
      <c r="T507" s="13">
        <f ca="1">_xll.meDateFromTenor(S507,T$14,T$11,T$12)</f>
        <v>43580</v>
      </c>
      <c r="U507" s="98">
        <f ca="1"/>
        <v>7.2412796834128701E-4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-3.7512554588081727E-3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-1.22226023749227E-3</v>
      </c>
      <c r="R508" s="5" t="s">
        <v>4</v>
      </c>
      <c r="S508" s="100">
        <f ca="1">_xll.meDateFromTenor(S507,"1D","FOLLOWING",T$12)</f>
        <v>43216</v>
      </c>
      <c r="T508" s="13">
        <f ca="1">_xll.meDateFromTenor(S508,T$14,T$11,T$12)</f>
        <v>43581</v>
      </c>
      <c r="U508" s="98">
        <f ca="1"/>
        <v>7.2828815739323495E-4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-3.7482808811220934E-3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-1.2199045585275018E-3</v>
      </c>
      <c r="R509" s="5" t="s">
        <v>4</v>
      </c>
      <c r="S509" s="100">
        <f ca="1">_xll.meDateFromTenor(S508,"1D","FOLLOWING",T$12)</f>
        <v>43217</v>
      </c>
      <c r="T509" s="13">
        <f ca="1">_xll.meDateFromTenor(S509,T$14,T$11,T$12)</f>
        <v>43584</v>
      </c>
      <c r="U509" s="98">
        <f ca="1"/>
        <v>7.3245516417841199E-4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-3.7394440942365315E-3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-1.2127853904266392E-3</v>
      </c>
      <c r="R510" s="5" t="s">
        <v>4</v>
      </c>
      <c r="S510" s="100">
        <f ca="1">_xll.meDateFromTenor(S509,"1D","FOLLOWING",T$12)</f>
        <v>43220</v>
      </c>
      <c r="T510" s="13">
        <f ca="1">_xll.meDateFromTenor(S510,T$14,T$11,T$12)</f>
        <v>43585</v>
      </c>
      <c r="U510" s="98">
        <f ca="1"/>
        <v>7.4499696064413417E-4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-3.7336485629840327E-3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-1.2079907252239498E-3</v>
      </c>
      <c r="R511" s="5" t="s">
        <v>4</v>
      </c>
      <c r="S511" s="100">
        <f ca="1">_xll.meDateFromTenor(S510,"1D","FOLLOWING",T$12)</f>
        <v>43222</v>
      </c>
      <c r="T511" s="13">
        <f ca="1">_xll.meDateFromTenor(S511,T$14,T$11,T$12)</f>
        <v>43587</v>
      </c>
      <c r="U511" s="98">
        <f ca="1"/>
        <v>7.5339200809059024E-4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-3.7307857655726898E-3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-1.2055772935429768E-3</v>
      </c>
      <c r="R512" s="5" t="s">
        <v>4</v>
      </c>
      <c r="S512" s="100">
        <f ca="1">_xll.meDateFromTenor(S511,"1D","FOLLOWING",T$12)</f>
        <v>43223</v>
      </c>
      <c r="T512" s="13">
        <f ca="1">_xll.meDateFromTenor(S512,T$14,T$11,T$12)</f>
        <v>43588</v>
      </c>
      <c r="U512" s="98">
        <f ca="1"/>
        <v>7.5759964766785475E-4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-3.7279456876479042E-3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-1.2031524477471424E-3</v>
      </c>
      <c r="R513" s="5" t="s">
        <v>4</v>
      </c>
      <c r="S513" s="100">
        <f ca="1">_xll.meDateFromTenor(S512,"1D","FOLLOWING",T$12)</f>
        <v>43224</v>
      </c>
      <c r="T513" s="13">
        <f ca="1">_xll.meDateFromTenor(S513,T$14,T$11,T$12)</f>
        <v>43591</v>
      </c>
      <c r="U513" s="98">
        <f ca="1"/>
        <v>7.6181401377591897E-4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-3.7195435009745445E-3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-1.195804315207157E-3</v>
      </c>
      <c r="R514" s="5" t="s">
        <v>4</v>
      </c>
      <c r="S514" s="100">
        <f ca="1">_xll.meDateFromTenor(S513,"1D","FOLLOWING",T$12)</f>
        <v>43227</v>
      </c>
      <c r="T514" s="13">
        <f ca="1">_xll.meDateFromTenor(S514,T$14,T$11,T$12)</f>
        <v>43592</v>
      </c>
      <c r="U514" s="98">
        <f ca="1"/>
        <v>7.7449734099572663E-4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-3.7167760311776401E-3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-1.193328702488563E-3</v>
      </c>
      <c r="R515" s="5" t="s">
        <v>4</v>
      </c>
      <c r="S515" s="100">
        <f ca="1">_xll.meDateFromTenor(S514,"1D","FOLLOWING",T$12)</f>
        <v>43228</v>
      </c>
      <c r="T515" s="13">
        <f ca="1">_xll.meDateFromTenor(S515,T$14,T$11,T$12)</f>
        <v>43593</v>
      </c>
      <c r="U515" s="98">
        <f ca="1"/>
        <v>7.7873848293780515E-4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-3.7140221459581188E-3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-1.1908391204234498E-3</v>
      </c>
      <c r="R516" s="5" t="s">
        <v>4</v>
      </c>
      <c r="S516" s="100">
        <f ca="1">_xll.meDateFromTenor(S515,"1D","FOLLOWING",T$12)</f>
        <v>43229</v>
      </c>
      <c r="T516" s="13">
        <f ca="1">_xll.meDateFromTenor(S516,T$14,T$11,T$12)</f>
        <v>43594</v>
      </c>
      <c r="U516" s="98">
        <f ca="1"/>
        <v>7.829862862660914E-4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-3.7112800183341458E-3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-1.1883350579654866E-3</v>
      </c>
      <c r="R517" s="5" t="s">
        <v>4</v>
      </c>
      <c r="S517" s="100">
        <f ca="1">_xll.meDateFromTenor(S516,"1D","FOLLOWING",T$12)</f>
        <v>43230</v>
      </c>
      <c r="T517" s="13">
        <f ca="1">_xll.meDateFromTenor(S517,T$14,T$11,T$12)</f>
        <v>43595</v>
      </c>
      <c r="U517" s="98">
        <f ca="1"/>
        <v>7.8724073795166649E-4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-3.7085478213238869E-3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-1.1858160040683417E-3</v>
      </c>
      <c r="R518" s="5" t="s">
        <v>4</v>
      </c>
      <c r="S518" s="100">
        <f ca="1">_xll.meDateFromTenor(S517,"1D","FOLLOWING",T$12)</f>
        <v>43231</v>
      </c>
      <c r="T518" s="13">
        <f ca="1">_xll.meDateFromTenor(S518,T$14,T$11,T$12)</f>
        <v>43598</v>
      </c>
      <c r="U518" s="98">
        <f ca="1"/>
        <v>7.9150182496561146E-4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-3.7003925441570404E-3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-1.1781637832785007E-3</v>
      </c>
      <c r="R519" s="5" t="s">
        <v>4</v>
      </c>
      <c r="S519" s="100">
        <f ca="1">_xll.meDateFromTenor(S518,"1D","FOLLOWING",T$12)</f>
        <v>43234</v>
      </c>
      <c r="T519" s="13">
        <f ca="1">_xll.meDateFromTenor(S519,T$14,T$11,T$12)</f>
        <v>43599</v>
      </c>
      <c r="U519" s="98">
        <f ca="1"/>
        <v>8.043247676884841E-4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-3.6976817997832856E-3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-1.1755796531613134E-3</v>
      </c>
      <c r="R520" s="5" t="s">
        <v>4</v>
      </c>
      <c r="S520" s="100">
        <f ca="1">_xll.meDateFromTenor(S519,"1D","FOLLOWING",T$12)</f>
        <v>43235</v>
      </c>
      <c r="T520" s="13">
        <f ca="1">_xll.meDateFromTenor(S520,T$14,T$11,T$12)</f>
        <v>43600</v>
      </c>
      <c r="U520" s="98">
        <f ca="1"/>
        <v>8.0861226572672557E-4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-3.6949718511140703E-3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-1.1729779763732873E-3</v>
      </c>
      <c r="R521" s="5" t="s">
        <v>4</v>
      </c>
      <c r="S521" s="100">
        <f ca="1">_xll.meDateFromTenor(S520,"1D","FOLLOWING",T$12)</f>
        <v>43236</v>
      </c>
      <c r="T521" s="13">
        <f ca="1">_xll.meDateFromTenor(S521,T$14,T$11,T$12)</f>
        <v>43601</v>
      </c>
      <c r="U521" s="98">
        <f ca="1"/>
        <v>8.1290633394874448E-4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-3.6922608711675584E-3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-1.17035824186809E-3</v>
      </c>
      <c r="R522" s="5" t="s">
        <v>4</v>
      </c>
      <c r="S522" s="100">
        <f ca="1">_xll.meDateFromTenor(S521,"1D","FOLLOWING",T$12)</f>
        <v>43237</v>
      </c>
      <c r="T522" s="13">
        <f ca="1">_xll.meDateFromTenor(S522,T$14,T$11,T$12)</f>
        <v>43602</v>
      </c>
      <c r="U522" s="98">
        <f ca="1"/>
        <v>8.1720695932562275E-4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-3.6895470329619162E-3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-1.1677199385993905E-3</v>
      </c>
      <c r="R523" s="5" t="s">
        <v>4</v>
      </c>
      <c r="S523" s="100">
        <f ca="1">_xll.meDateFromTenor(S522,"1D","FOLLOWING",T$12)</f>
        <v>43238</v>
      </c>
      <c r="T523" s="13">
        <f ca="1">_xll.meDateFromTenor(S523,T$14,T$11,T$12)</f>
        <v>43605</v>
      </c>
      <c r="U523" s="98">
        <f ca="1"/>
        <v>8.2151412882844202E-4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-3.681370098971857E-3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-1.1596885057489623E-3</v>
      </c>
      <c r="R524" s="5" t="s">
        <v>4</v>
      </c>
      <c r="S524" s="100">
        <f ca="1">_xll.meDateFromTenor(S523,"1D","FOLLOWING",T$12)</f>
        <v>43241</v>
      </c>
      <c r="T524" s="13">
        <f ca="1">_xll.meDateFromTenor(S524,T$14,T$11,T$12)</f>
        <v>43606</v>
      </c>
      <c r="U524" s="98">
        <f ca="1"/>
        <v>8.3447477180335872E-4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-3.6786265579113425E-3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-1.1569708169629381E-3</v>
      </c>
      <c r="R525" s="5" t="s">
        <v>4</v>
      </c>
      <c r="S525" s="100">
        <f ca="1">_xll.meDateFromTenor(S524,"1D","FOLLOWING",T$12)</f>
        <v>43242</v>
      </c>
      <c r="T525" s="13">
        <f ca="1">_xll.meDateFromTenor(S525,T$14,T$11,T$12)</f>
        <v>43607</v>
      </c>
      <c r="U525" s="98">
        <f ca="1"/>
        <v>8.3880798752075615E-4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-3.6758710236825237E-3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-1.1542320041817537E-3</v>
      </c>
      <c r="R526" s="5" t="s">
        <v>4</v>
      </c>
      <c r="S526" s="100">
        <f ca="1">_xll.meDateFromTenor(S525,"1D","FOLLOWING",T$12)</f>
        <v>43243</v>
      </c>
      <c r="T526" s="13">
        <f ca="1">_xll.meDateFromTenor(S526,T$14,T$11,T$12)</f>
        <v>43608</v>
      </c>
      <c r="U526" s="98">
        <f ca="1"/>
        <v>8.4314768221950163E-4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-3.6731016693035646E-3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-1.151471556359078E-3</v>
      </c>
      <c r="R527" s="5" t="s">
        <v>4</v>
      </c>
      <c r="S527" s="100">
        <f ca="1">_xll.meDateFromTenor(S526,"1D","FOLLOWING",T$12)</f>
        <v>43244</v>
      </c>
      <c r="T527" s="13">
        <f ca="1">_xll.meDateFromTenor(S527,T$14,T$11,T$12)</f>
        <v>43609</v>
      </c>
      <c r="U527" s="98">
        <f ca="1"/>
        <v>8.4749384287067706E-4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-3.6703166677926309E-3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-1.1486889624485797E-3</v>
      </c>
      <c r="R528" s="5" t="s">
        <v>4</v>
      </c>
      <c r="S528" s="100">
        <f ca="1">_xll.meDateFromTenor(S527,"1D","FOLLOWING",T$12)</f>
        <v>43245</v>
      </c>
      <c r="T528" s="13">
        <f ca="1">_xll.meDateFromTenor(S528,T$14,T$11,T$12)</f>
        <v>43612</v>
      </c>
      <c r="U528" s="98">
        <f ca="1"/>
        <v>8.5184645644536313E-4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-3.6618495106496311E-3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-1.1402031937268315E-3</v>
      </c>
      <c r="R529" s="5" t="s">
        <v>4</v>
      </c>
      <c r="S529" s="100">
        <f ca="1">_xll.meDateFromTenor(S528,"1D","FOLLOWING",T$12)</f>
        <v>43248</v>
      </c>
      <c r="T529" s="13">
        <f ca="1">_xll.meDateFromTenor(S529,T$14,T$11,T$12)</f>
        <v>43613</v>
      </c>
      <c r="U529" s="98">
        <f ca="1"/>
        <v>8.6494288442130458E-4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-3.6589836507924492E-3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-1.137326905001726E-3</v>
      </c>
      <c r="R530" s="5" t="s">
        <v>4</v>
      </c>
      <c r="S530" s="100">
        <f ca="1">_xll.meDateFromTenor(S529,"1D","FOLLOWING",T$12)</f>
        <v>43249</v>
      </c>
      <c r="T530" s="13">
        <f ca="1">_xll.meDateFromTenor(S530,T$14,T$11,T$12)</f>
        <v>43614</v>
      </c>
      <c r="U530" s="98">
        <f ca="1"/>
        <v>8.6932117940085067E-4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-3.6560930088941185E-3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-1.1344259149571403E-3</v>
      </c>
      <c r="R531" s="5" t="s">
        <v>4</v>
      </c>
      <c r="S531" s="100">
        <f ca="1">_xll.meDateFromTenor(S530,"1D","FOLLOWING",T$12)</f>
        <v>43250</v>
      </c>
      <c r="T531" s="13">
        <f ca="1">_xll.meDateFromTenor(S531,T$14,T$11,T$12)</f>
        <v>43615</v>
      </c>
      <c r="U531" s="98">
        <f ca="1"/>
        <v>8.7370586215931531E-4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-3.6531757579728024E-3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-1.1314997125467421E-3</v>
      </c>
      <c r="R532" s="5" t="s">
        <v>4</v>
      </c>
      <c r="S532" s="100">
        <f ca="1">_xll.meDateFromTenor(S531,"1D","FOLLOWING",T$12)</f>
        <v>43251</v>
      </c>
      <c r="T532" s="13">
        <f ca="1">_xll.meDateFromTenor(S532,T$14,T$11,T$12)</f>
        <v>43616</v>
      </c>
      <c r="U532" s="98">
        <f ca="1"/>
        <v>8.7809691966778071E-4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-3.6502300710466681E-3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-1.1285477867242007E-3</v>
      </c>
      <c r="R533" s="5" t="s">
        <v>4</v>
      </c>
      <c r="S533" s="100">
        <f ca="1">_xll.meDateFromTenor(S532,"1D","FOLLOWING",T$12)</f>
        <v>43252</v>
      </c>
      <c r="T533" s="13">
        <f ca="1">_xll.meDateFromTenor(S533,T$14,T$11,T$12)</f>
        <v>43619</v>
      </c>
      <c r="U533" s="98">
        <f ca="1"/>
        <v>8.8249433889732757E-4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-3.6412041244210025E-3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-1.1195325583203998E-3</v>
      </c>
      <c r="R534" s="5" t="s">
        <v>4</v>
      </c>
      <c r="S534" s="100">
        <f ca="1">_xll.meDateFromTenor(S533,"1D","FOLLOWING",T$12)</f>
        <v>43255</v>
      </c>
      <c r="T534" s="13">
        <f ca="1">_xll.meDateFromTenor(S534,T$14,T$11,T$12)</f>
        <v>43620</v>
      </c>
      <c r="U534" s="98">
        <f ca="1"/>
        <v>8.9572463662327296E-4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-3.6381269816375345E-3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-1.1164727405820099E-3</v>
      </c>
      <c r="R535" s="5" t="s">
        <v>4</v>
      </c>
      <c r="S535" s="100">
        <f ca="1">_xll.meDateFromTenor(S534,"1D","FOLLOWING",T$12)</f>
        <v>43256</v>
      </c>
      <c r="T535" s="13">
        <f ca="1">_xll.meDateFromTenor(S535,T$14,T$11,T$12)</f>
        <v>43621</v>
      </c>
      <c r="U535" s="98">
        <f ca="1"/>
        <v>9.0014737154563487E-4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-3.635015615821819E-3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-1.1133853173760646E-3</v>
      </c>
      <c r="R536" s="5" t="s">
        <v>4</v>
      </c>
      <c r="S536" s="100">
        <f ca="1">_xll.meDateFromTenor(S535,"1D","FOLLOWING",T$12)</f>
        <v>43257</v>
      </c>
      <c r="T536" s="13">
        <f ca="1">_xll.meDateFromTenor(S536,T$14,T$11,T$12)</f>
        <v>43622</v>
      </c>
      <c r="U536" s="98">
        <f ca="1"/>
        <v>9.0457639763052479E-4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-3.6318715478737685E-3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-1.1102704508324777E-3</v>
      </c>
      <c r="R537" s="5" t="s">
        <v>4</v>
      </c>
      <c r="S537" s="100">
        <f ca="1">_xll.meDateFromTenor(S536,"1D","FOLLOWING",T$12)</f>
        <v>43258</v>
      </c>
      <c r="T537" s="13">
        <f ca="1">_xll.meDateFromTenor(S537,T$14,T$11,T$12)</f>
        <v>43623</v>
      </c>
      <c r="U537" s="98">
        <f ca="1"/>
        <v>9.0901169643506363E-4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-3.6286962986932935E-3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-1.1071283030811641E-3</v>
      </c>
      <c r="R538" s="5" t="s">
        <v>4</v>
      </c>
      <c r="S538" s="100">
        <f ca="1">_xll.meDateFromTenor(S537,"1D","FOLLOWING",T$12)</f>
        <v>43259</v>
      </c>
      <c r="T538" s="13">
        <f ca="1">_xll.meDateFromTenor(S538,T$14,T$11,T$12)</f>
        <v>43626</v>
      </c>
      <c r="U538" s="98">
        <f ca="1"/>
        <v>9.134532495163717E-4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-3.6189986727564395E-3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-1.0975397938800039E-3</v>
      </c>
      <c r="R539" s="5" t="s">
        <v>4</v>
      </c>
      <c r="S539" s="100">
        <f ca="1">_xll.meDateFromTenor(S538,"1D","FOLLOWING",T$12)</f>
        <v>43262</v>
      </c>
      <c r="T539" s="13">
        <f ca="1">_xll.meDateFromTenor(S539,T$14,T$11,T$12)</f>
        <v>43627</v>
      </c>
      <c r="U539" s="98">
        <f ca="1"/>
        <v>9.2681524999211511E-4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-3.615713907645382E-3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-1.0942901425969242E-3</v>
      </c>
      <c r="R540" s="5" t="s">
        <v>4</v>
      </c>
      <c r="S540" s="100">
        <f ca="1">_xll.meDateFromTenor(S539,"1D","FOLLOWING",T$12)</f>
        <v>43263</v>
      </c>
      <c r="T540" s="13">
        <f ca="1">_xll.meDateFromTenor(S540,T$14,T$11,T$12)</f>
        <v>43628</v>
      </c>
      <c r="U540" s="98">
        <f ca="1"/>
        <v>9.3128163575170557E-4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-3.6124055658014577E-3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-1.0910140207556886E-3</v>
      </c>
      <c r="R541" s="5" t="s">
        <v>4</v>
      </c>
      <c r="S541" s="100">
        <f ca="1">_xll.meDateFromTenor(S540,"1D","FOLLOWING",T$12)</f>
        <v>43264</v>
      </c>
      <c r="T541" s="13">
        <f ca="1">_xll.meDateFromTenor(S541,T$14,T$11,T$12)</f>
        <v>43629</v>
      </c>
      <c r="U541" s="98">
        <f ca="1"/>
        <v>9.3575418357366789E-4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-3.6090751681245787E-3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-1.0877115904862108E-3</v>
      </c>
      <c r="R542" s="5" t="s">
        <v>4</v>
      </c>
      <c r="S542" s="100">
        <f ca="1">_xll.meDateFromTenor(S541,"1D","FOLLOWING",T$12)</f>
        <v>43265</v>
      </c>
      <c r="T542" s="13">
        <f ca="1">_xll.meDateFromTenor(S542,T$14,T$11,T$12)</f>
        <v>43630</v>
      </c>
      <c r="U542" s="98">
        <f ca="1"/>
        <v>9.4023287501512269E-4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-3.6057242355146553E-3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-1.084383013918405E-3</v>
      </c>
      <c r="R543" s="5" t="s">
        <v>4</v>
      </c>
      <c r="S543" s="100">
        <f ca="1">_xll.meDateFromTenor(S542,"1D","FOLLOWING",T$12)</f>
        <v>43266</v>
      </c>
      <c r="T543" s="13">
        <f ca="1">_xll.meDateFromTenor(S543,T$14,T$11,T$12)</f>
        <v>43633</v>
      </c>
      <c r="U543" s="98">
        <f ca="1"/>
        <v>9.4471769163319036E-4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-3.5955634370857356E-3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-1.0742420277241656E-3</v>
      </c>
      <c r="R544" s="5" t="s">
        <v>4</v>
      </c>
      <c r="S544" s="100">
        <f ca="1">_xll.meDateFromTenor(S543,"1D","FOLLOWING",T$12)</f>
        <v>43269</v>
      </c>
      <c r="T544" s="13">
        <f ca="1">_xll.meDateFromTenor(S544,T$14,T$11,T$12)</f>
        <v>43634</v>
      </c>
      <c r="U544" s="98">
        <f ca="1"/>
        <v>9.5820870811827582E-4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-3.5921455737427501E-3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-1.070810487262191E-3</v>
      </c>
      <c r="R545" s="5" t="s">
        <v>4</v>
      </c>
      <c r="S545" s="100">
        <f ca="1">_xll.meDateFromTenor(S544,"1D","FOLLOWING",T$12)</f>
        <v>43270</v>
      </c>
      <c r="T545" s="13">
        <f ca="1">_xll.meDateFromTenor(S545,T$14,T$11,T$12)</f>
        <v>43635</v>
      </c>
      <c r="U545" s="98">
        <f ca="1"/>
        <v>9.6271784101400072E-4</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-3.5887147799662784E-3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-1.0673536111514609E-3</v>
      </c>
      <c r="R546" s="5" t="s">
        <v>4</v>
      </c>
      <c r="S546" s="100">
        <f ca="1">_xll.meDateFromTenor(S545,"1D","FOLLOWING",T$12)</f>
        <v>43271</v>
      </c>
      <c r="T546" s="13">
        <f ca="1">_xll.meDateFromTenor(S546,T$14,T$11,T$12)</f>
        <v>43636</v>
      </c>
      <c r="U546" s="98">
        <f ca="1"/>
        <v>9.6723300687194059E-4</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-3.5852725766562315E-3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-1.0638715615218875E-3</v>
      </c>
      <c r="R547" s="5" t="s">
        <v>4</v>
      </c>
      <c r="S547" s="100">
        <f ca="1">_xll.meDateFromTenor(S546,"1D","FOLLOWING",T$12)</f>
        <v>43272</v>
      </c>
      <c r="T547" s="13">
        <f ca="1">_xll.meDateFromTenor(S547,T$14,T$11,T$12)</f>
        <v>43637</v>
      </c>
      <c r="U547" s="98">
        <f ca="1"/>
        <v>9.7175418724921735E-4</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-3.58182048471252E-3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-1.0603645005033858E-3</v>
      </c>
      <c r="R548" s="5" t="s">
        <v>4</v>
      </c>
      <c r="S548" s="100">
        <f ca="1">_xll.meDateFromTenor(S547,"1D","FOLLOWING",T$12)</f>
        <v>43273</v>
      </c>
      <c r="T548" s="13">
        <f ca="1">_xll.meDateFromTenor(S548,T$14,T$11,T$12)</f>
        <v>43640</v>
      </c>
      <c r="U548" s="98">
        <f ca="1"/>
        <v>9.7628136370295064E-4</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-3.5714200860785163E-3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-1.0496948704134521E-3</v>
      </c>
      <c r="R549" s="5" t="s">
        <v>4</v>
      </c>
      <c r="S549" s="100">
        <f ca="1">_xll.meDateFromTenor(S548,"1D","FOLLOWING",T$12)</f>
        <v>43276</v>
      </c>
      <c r="T549" s="13">
        <f ca="1">_xll.meDateFromTenor(S549,T$14,T$11,T$12)</f>
        <v>43641</v>
      </c>
      <c r="U549" s="98">
        <f ca="1"/>
        <v>9.8989868509409616E-4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-3.5679436485992642E-3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-1.0460893851383791E-3</v>
      </c>
      <c r="R550" s="5" t="s">
        <v>4</v>
      </c>
      <c r="S550" s="100">
        <f ca="1">_xll.meDateFromTenor(S549,"1D","FOLLOWING",T$12)</f>
        <v>43277</v>
      </c>
      <c r="T550" s="13">
        <f ca="1">_xll.meDateFromTenor(S550,T$14,T$11,T$12)</f>
        <v>43642</v>
      </c>
      <c r="U550" s="98">
        <f ca="1"/>
        <v>9.9444966142486183E-4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-3.5644649269859058E-3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-1.042459699123949E-3</v>
      </c>
      <c r="R551" s="5" t="s">
        <v>4</v>
      </c>
      <c r="S551" s="100">
        <f ca="1">_xll.meDateFromTenor(S550,"1D","FOLLOWING",T$12)</f>
        <v>43278</v>
      </c>
      <c r="T551" s="13">
        <f ca="1">_xll.meDateFromTenor(S551,T$14,T$11,T$12)</f>
        <v>43643</v>
      </c>
      <c r="U551" s="98">
        <f ca="1"/>
        <v>9.9900654161768558E-4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-3.5609854421383507E-3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-1.0388059745000753E-3</v>
      </c>
      <c r="R552" s="5" t="s">
        <v>4</v>
      </c>
      <c r="S552" s="100">
        <f ca="1">_xll.meDateFromTenor(S551,"1D","FOLLOWING",T$12)</f>
        <v>43279</v>
      </c>
      <c r="T552" s="13">
        <f ca="1">_xll.meDateFromTenor(S552,T$14,T$11,T$12)</f>
        <v>43644</v>
      </c>
      <c r="U552" s="98">
        <f ca="1"/>
        <v>1.0035693072296902E-3</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-3.557506714956513E-3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-1.0351283733966733E-3</v>
      </c>
      <c r="R553" s="5" t="s">
        <v>4</v>
      </c>
      <c r="S553" s="100">
        <f ca="1">_xll.meDateFromTenor(S552,"1D","FOLLOWING",T$12)</f>
        <v>43280</v>
      </c>
      <c r="T553" s="13">
        <f ca="1">_xll.meDateFromTenor(S553,T$14,T$11,T$12)</f>
        <v>43644</v>
      </c>
      <c r="U553" s="98">
        <f ca="1"/>
        <v>1.0081379398179946E-3</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-3.5470902884044094E-3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-1.0239539325084333E-3</v>
      </c>
      <c r="R554" s="5" t="s">
        <v>4</v>
      </c>
      <c r="S554" s="100">
        <f ca="1">_xll.meDateFromTenor(S553,"1D","FOLLOWING",T$12)</f>
        <v>43283</v>
      </c>
      <c r="T554" s="13">
        <f ca="1">_xll.meDateFromTenor(S554,T$14,T$11,T$12)</f>
        <v>43648</v>
      </c>
      <c r="U554" s="98">
        <f ca="1"/>
        <v>1.0218788550119173E-3</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-3.5436295608816735E-3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-1.0201824467860566E-3</v>
      </c>
      <c r="R555" s="5" t="s">
        <v>4</v>
      </c>
      <c r="S555" s="100">
        <f ca="1">_xll.meDateFromTenor(S554,"1D","FOLLOWING",T$12)</f>
        <v>43284</v>
      </c>
      <c r="T555" s="13">
        <f ca="1">_xll.meDateFromTenor(S555,T$14,T$11,T$12)</f>
        <v>43649</v>
      </c>
      <c r="U555" s="98">
        <f ca="1"/>
        <v>1.0264707710766292E-3</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-3.54017575550695E-3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-1.0163878952337219E-3</v>
      </c>
      <c r="R556" s="5" t="s">
        <v>4</v>
      </c>
      <c r="S556" s="100">
        <f ca="1">_xll.meDateFromTenor(S555,"1D","FOLLOWING",T$12)</f>
        <v>43285</v>
      </c>
      <c r="T556" s="13">
        <f ca="1">_xll.meDateFromTenor(S556,T$14,T$11,T$12)</f>
        <v>43650</v>
      </c>
      <c r="U556" s="98">
        <f ca="1"/>
        <v>1.0310684619032444E-3</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-3.5367289531628922E-3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-1.0125704399813432E-3</v>
      </c>
      <c r="R557" s="5" t="s">
        <v>4</v>
      </c>
      <c r="S557" s="100">
        <f ca="1">_xll.meDateFromTenor(S556,"1D","FOLLOWING",T$12)</f>
        <v>43286</v>
      </c>
      <c r="T557" s="13">
        <f ca="1">_xll.meDateFromTenor(S557,T$14,T$11,T$12)</f>
        <v>43651</v>
      </c>
      <c r="U557" s="98">
        <f ca="1"/>
        <v>1.0356719090488828E-3</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-3.5332892347321489E-3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-1.0087302431588357E-3</v>
      </c>
      <c r="R558" s="5" t="s">
        <v>4</v>
      </c>
      <c r="S558" s="100">
        <f ca="1">_xll.meDateFromTenor(S557,"1D","FOLLOWING",T$12)</f>
        <v>43287</v>
      </c>
      <c r="T558" s="13">
        <f ca="1">_xll.meDateFromTenor(S558,T$14,T$11,T$12)</f>
        <v>43654</v>
      </c>
      <c r="U558" s="98">
        <f ca="1"/>
        <v>1.0402810940706648E-3</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-3.5230133917463209E-3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-9.970748245696757E-4</v>
      </c>
      <c r="R559" s="5" t="s">
        <v>4</v>
      </c>
      <c r="S559" s="100">
        <f ca="1">_xll.meDateFromTenor(S558,"1D","FOLLOWING",T$12)</f>
        <v>43290</v>
      </c>
      <c r="T559" s="13">
        <f ca="1">_xll.meDateFromTenor(S559,T$14,T$11,T$12)</f>
        <v>43655</v>
      </c>
      <c r="U559" s="98">
        <f ca="1"/>
        <v>1.0541428919640819E-3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-3.5196028177953489E-3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-9.93145282765791E-4</v>
      </c>
      <c r="R560" s="5" t="s">
        <v>4</v>
      </c>
      <c r="S560" s="100">
        <f ca="1">_xll.meDateFromTenor(S559,"1D","FOLLOWING",T$12)</f>
        <v>43291</v>
      </c>
      <c r="T560" s="13">
        <f ca="1">_xll.meDateFromTenor(S560,T$14,T$11,T$12)</f>
        <v>43656</v>
      </c>
      <c r="U560" s="98">
        <f ca="1"/>
        <v>1.0587748440616465E-3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-3.5161997321709474E-3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-9.8919381004134756E-4</v>
      </c>
      <c r="R561" s="5" t="s">
        <v>4</v>
      </c>
      <c r="S561" s="100">
        <f ca="1">_xll.meDateFromTenor(S560,"1D","FOLLOWING",T$12)</f>
        <v>43292</v>
      </c>
      <c r="T561" s="13">
        <f ca="1">_xll.meDateFromTenor(S561,T$14,T$11,T$12)</f>
        <v>43657</v>
      </c>
      <c r="U561" s="98">
        <f ca="1"/>
        <v>1.0634124418209578E-3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-3.5128042157557674E-3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-9.8522056852625947E-4</v>
      </c>
      <c r="R562" s="5" t="s">
        <v>4</v>
      </c>
      <c r="S562" s="100">
        <f ca="1">_xll.meDateFromTenor(S561,"1D","FOLLOWING",T$12)</f>
        <v>43293</v>
      </c>
      <c r="T562" s="13">
        <f ca="1">_xll.meDateFromTenor(S562,T$14,T$11,T$12)</f>
        <v>43658</v>
      </c>
      <c r="U562" s="98">
        <f ca="1"/>
        <v>1.0680556667991361E-3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-3.5094163494324604E-3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-9.8122572035044126E-4</v>
      </c>
      <c r="R563" s="5" t="s">
        <v>4</v>
      </c>
      <c r="S563" s="100">
        <f ca="1">_xll.meDateFromTenor(S562,"1D","FOLLOWING",T$12)</f>
        <v>43294</v>
      </c>
      <c r="T563" s="13">
        <f ca="1">_xll.meDateFromTenor(S563,T$14,T$11,T$12)</f>
        <v>43661</v>
      </c>
      <c r="U563" s="98">
        <f ca="1"/>
        <v>1.0727045005533024E-3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-3.4992994598402874E-3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-9.6911315715774728E-4</v>
      </c>
      <c r="R564" s="5" t="s">
        <v>4</v>
      </c>
      <c r="S564" s="100">
        <f ca="1">_xll.meDateFromTenor(S563,"1D","FOLLOWING",T$12)</f>
        <v>43297</v>
      </c>
      <c r="T564" s="13">
        <f ca="1">_xll.meDateFromTenor(S564,T$14,T$11,T$12)</f>
        <v>43662</v>
      </c>
      <c r="U564" s="98">
        <f ca="1"/>
        <v>1.0866844700429328E-3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-3.4959430027109825E-3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-9.650335036381504E-4</v>
      </c>
      <c r="R565" s="5" t="s">
        <v>4</v>
      </c>
      <c r="S565" s="100">
        <f ca="1">_xll.meDateFromTenor(S564,"1D","FOLLOWING",T$12)</f>
        <v>43298</v>
      </c>
      <c r="T565" s="13">
        <f ca="1">_xll.meDateFromTenor(S565,T$14,T$11,T$12)</f>
        <v>43663</v>
      </c>
      <c r="U565" s="98">
        <f ca="1"/>
        <v>1.0913555544722548E-3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-3.4925946000868057E-3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-9.6093305410739345E-4</v>
      </c>
      <c r="R566" s="5" t="s">
        <v>4</v>
      </c>
      <c r="S566" s="100">
        <f ca="1">_xll.meDateFromTenor(S565,"1D","FOLLOWING",T$12)</f>
        <v>43299</v>
      </c>
      <c r="T566" s="13">
        <f ca="1">_xll.meDateFromTenor(S566,T$14,T$11,T$12)</f>
        <v>43664</v>
      </c>
      <c r="U566" s="98">
        <f ca="1"/>
        <v>1.0960321554631684E-3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-3.4892543328504076E-3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-9.5681197069539148E-4</v>
      </c>
      <c r="R567" s="5" t="s">
        <v>4</v>
      </c>
      <c r="S567" s="100">
        <f ca="1">_xll.meDateFromTenor(S566,"1D","FOLLOWING",T$12)</f>
        <v>43300</v>
      </c>
      <c r="T567" s="13">
        <f ca="1">_xll.meDateFromTenor(S567,T$14,T$11,T$12)</f>
        <v>43665</v>
      </c>
      <c r="U567" s="98">
        <f ca="1"/>
        <v>1.100714254572793E-3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-3.4859222818844392E-3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-9.526704155320586E-4</v>
      </c>
      <c r="R568" s="5" t="s">
        <v>4</v>
      </c>
      <c r="S568" s="100">
        <f ca="1">_xll.meDateFromTenor(S567,"1D","FOLLOWING",T$12)</f>
        <v>43301</v>
      </c>
      <c r="T568" s="13">
        <f ca="1">_xll.meDateFromTenor(S568,T$14,T$11,T$12)</f>
        <v>43668</v>
      </c>
      <c r="U568" s="98">
        <f ca="1"/>
        <v>1.1054018333582487E-3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-3.4759762354356297E-3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-9.4012454083321662E-4</v>
      </c>
      <c r="R569" s="5" t="s">
        <v>4</v>
      </c>
      <c r="S569" s="100">
        <f ca="1">_xll.meDateFromTenor(S568,"1D","FOLLOWING",T$12)</f>
        <v>43304</v>
      </c>
      <c r="T569" s="13">
        <f ca="1">_xll.meDateFromTenor(S569,T$14,T$11,T$12)</f>
        <v>43669</v>
      </c>
      <c r="U569" s="98">
        <f ca="1"/>
        <v>1.1194972633408102E-3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-3.4726778583778943E-3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-9.359027199637019E-4</v>
      </c>
      <c r="R570" s="5" t="s">
        <v>4</v>
      </c>
      <c r="S570" s="100">
        <f ca="1">_xll.meDateFromTenor(S569,"1D","FOLLOWING",T$12)</f>
        <v>43305</v>
      </c>
      <c r="T570" s="13">
        <f ca="1">_xll.meDateFromTenor(S570,T$14,T$11,T$12)</f>
        <v>43670</v>
      </c>
      <c r="U570" s="98">
        <f ca="1"/>
        <v>1.1242065764007977E-3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-3.4693881020038445E-3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-9.3166123799242706E-4</v>
      </c>
      <c r="R571" s="5" t="s">
        <v>4</v>
      </c>
      <c r="S571" s="100">
        <f ca="1">_xll.meDateFromTenor(S570,"1D","FOLLOWING",T$12)</f>
        <v>43306</v>
      </c>
      <c r="T571" s="13">
        <f ca="1">_xll.meDateFromTenor(S571,T$14,T$11,T$12)</f>
        <v>43671</v>
      </c>
      <c r="U571" s="98">
        <f ca="1"/>
        <v>1.1289212769222193E-3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-3.4661070471961315E-3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-9.2740025704930718E-4</v>
      </c>
      <c r="R572" s="5" t="s">
        <v>4</v>
      </c>
      <c r="S572" s="100">
        <f ca="1">_xll.meDateFromTenor(S571,"1D","FOLLOWING",T$12)</f>
        <v>43307</v>
      </c>
      <c r="T572" s="13">
        <f ca="1">_xll.meDateFromTenor(S572,T$14,T$11,T$12)</f>
        <v>43672</v>
      </c>
      <c r="U572" s="98">
        <f ca="1"/>
        <v>1.1336413464621948E-3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-3.4628347748374062E-3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-9.2311993926425515E-4</v>
      </c>
      <c r="R573" s="5" t="s">
        <v>4</v>
      </c>
      <c r="S573" s="100">
        <f ca="1">_xll.meDateFromTenor(S572,"1D","FOLLOWING",T$12)</f>
        <v>43308</v>
      </c>
      <c r="T573" s="13">
        <f ca="1">_xll.meDateFromTenor(S573,T$14,T$11,T$12)</f>
        <v>43675</v>
      </c>
      <c r="U573" s="98">
        <f ca="1"/>
        <v>1.1383667665778464E-3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-3.4530714612816676E-3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-9.1016458615665087E-4</v>
      </c>
      <c r="R574" s="5" t="s">
        <v>4</v>
      </c>
      <c r="S574" s="100">
        <f ca="1">_xll.meDateFromTenor(S573,"1D","FOLLOWING",T$12)</f>
        <v>43311</v>
      </c>
      <c r="T574" s="13">
        <f ca="1">_xll.meDateFromTenor(S574,T$14,T$11,T$12)</f>
        <v>43676</v>
      </c>
      <c r="U574" s="98">
        <f ca="1"/>
        <v>1.1525749459500576E-3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-3.4498351275454035E-3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-9.0580854230301415E-4</v>
      </c>
      <c r="R575" s="5" t="s">
        <v>4</v>
      </c>
      <c r="S575" s="100">
        <f ca="1">_xll.meDateFromTenor(S574,"1D","FOLLOWING",T$12)</f>
        <v>43312</v>
      </c>
      <c r="T575" s="13">
        <f ca="1">_xll.meDateFromTenor(S575,T$14,T$11,T$12)</f>
        <v>43677</v>
      </c>
      <c r="U575" s="98">
        <f ca="1"/>
        <v>1.1573215839396156E-3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-3.4466079806713843E-3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-9.0143397225701772E-4</v>
      </c>
      <c r="R576" s="5" t="s">
        <v>4</v>
      </c>
      <c r="S576" s="100">
        <f ca="1">_xll.meDateFromTenor(S575,"1D","FOLLOWING",T$12)</f>
        <v>43313</v>
      </c>
      <c r="T576" s="13">
        <f ca="1">_xll.meDateFromTenor(S576,T$14,T$11,T$12)</f>
        <v>43678</v>
      </c>
      <c r="U576" s="98">
        <f ca="1"/>
        <v>1.1620734802904504E-3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-3.4433901015422587E-3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-8.9704103814857382E-4</v>
      </c>
      <c r="R577" s="5" t="s">
        <v>4</v>
      </c>
      <c r="S577" s="100">
        <f ca="1">_xll.meDateFromTenor(S576,"1D","FOLLOWING",T$12)</f>
        <v>43314</v>
      </c>
      <c r="T577" s="13">
        <f ca="1">_xll.meDateFromTenor(S577,T$14,T$11,T$12)</f>
        <v>43679</v>
      </c>
      <c r="U577" s="98">
        <f ca="1"/>
        <v>1.1668306165596848E-3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-3.440181390078856E-3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-8.9262990210759851E-4</v>
      </c>
      <c r="R578" s="5" t="s">
        <v>4</v>
      </c>
      <c r="S578" s="100">
        <f ca="1">_xll.meDateFromTenor(S577,"1D","FOLLOWING",T$12)</f>
        <v>43315</v>
      </c>
      <c r="T578" s="13">
        <f ca="1">_xll.meDateFromTenor(S578,T$14,T$11,T$12)</f>
        <v>43682</v>
      </c>
      <c r="U578" s="98">
        <f ca="1"/>
        <v>1.171592974304437E-3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-3.4306012985710851E-3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-8.7928890368861904E-4</v>
      </c>
      <c r="R579" s="5" t="s">
        <v>4</v>
      </c>
      <c r="S579" s="100">
        <f ca="1">_xll.meDateFromTenor(S578,"1D","FOLLOWING",T$12)</f>
        <v>43318</v>
      </c>
      <c r="T579" s="13">
        <f ca="1">_xll.meDateFromTenor(S579,T$14,T$11,T$12)</f>
        <v>43683</v>
      </c>
      <c r="U579" s="98">
        <f ca="1"/>
        <v>1.1859111919630156E-3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-3.4274199327350287E-3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-8.7480658121665586E-4</v>
      </c>
      <c r="R580" s="5" t="s">
        <v>4</v>
      </c>
      <c r="S580" s="100">
        <f ca="1">_xll.meDateFromTenor(S579,"1D","FOLLOWING",T$12)</f>
        <v>43319</v>
      </c>
      <c r="T580" s="13">
        <f ca="1">_xll.meDateFromTenor(S580,T$14,T$11,T$12)</f>
        <v>43684</v>
      </c>
      <c r="U580" s="98">
        <f ca="1"/>
        <v>1.1906942511810499E-3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-3.4242428910850999E-3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-8.7030686746173151E-4</v>
      </c>
      <c r="R581" s="5" t="s">
        <v>4</v>
      </c>
      <c r="S581" s="100">
        <f ca="1">_xll.meDateFromTenor(S580,"1D","FOLLOWING",T$12)</f>
        <v>43320</v>
      </c>
      <c r="T581" s="13">
        <f ca="1">_xll.meDateFromTenor(S581,T$14,T$11,T$12)</f>
        <v>43685</v>
      </c>
      <c r="U581" s="98">
        <f ca="1"/>
        <v>1.1954824396602057E-3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-3.4210691687330159E-3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-8.657899245537601E-4</v>
      </c>
      <c r="R582" s="5" t="s">
        <v>4</v>
      </c>
      <c r="S582" s="100">
        <f ca="1">_xll.meDateFromTenor(S581,"1D","FOLLOWING",T$12)</f>
        <v>43321</v>
      </c>
      <c r="T582" s="13">
        <f ca="1">_xll.meDateFromTenor(S582,T$14,T$11,T$12)</f>
        <v>43686</v>
      </c>
      <c r="U582" s="98">
        <f ca="1"/>
        <v>1.2002757389576037E-3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-3.4178977607904936E-3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-8.6125591462265637E-4</v>
      </c>
      <c r="R583" s="5" t="s">
        <v>4</v>
      </c>
      <c r="S583" s="100">
        <f ca="1">_xll.meDateFromTenor(S582,"1D","FOLLOWING",T$12)</f>
        <v>43322</v>
      </c>
      <c r="T583" s="13">
        <f ca="1">_xll.meDateFromTenor(S583,T$14,T$11,T$12)</f>
        <v>43689</v>
      </c>
      <c r="U583" s="98">
        <f ca="1"/>
        <v>1.2050741306303637E-3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-3.4083873745374567E-3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-8.4755310398968852E-4</v>
      </c>
      <c r="R584" s="5" t="s">
        <v>4</v>
      </c>
      <c r="S584" s="100">
        <f ca="1">_xll.meDateFromTenor(S583,"1D","FOLLOWING",T$12)</f>
        <v>43325</v>
      </c>
      <c r="T584" s="13">
        <f ca="1">_xll.meDateFromTenor(S584,T$14,T$11,T$12)</f>
        <v>43690</v>
      </c>
      <c r="U584" s="98">
        <f ca="1"/>
        <v>1.2194996754720264E-3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-3.4052151753503437E-3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-8.4295244726519439E-4</v>
      </c>
      <c r="R585" s="5" t="s">
        <v>4</v>
      </c>
      <c r="S585" s="100">
        <f ca="1">_xll.meDateFromTenor(S584,"1D","FOLLOWING",T$12)</f>
        <v>43326</v>
      </c>
      <c r="T585" s="13">
        <f ca="1">_xll.meDateFromTenor(S585,T$14,T$11,T$12)</f>
        <v>43691</v>
      </c>
      <c r="U585" s="98">
        <f ca="1"/>
        <v>1.2243182522174434E-3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-3.4020402661313733E-3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-8.3833553416713842E-4</v>
      </c>
      <c r="R586" s="5" t="s">
        <v>4</v>
      </c>
      <c r="S586" s="100">
        <f ca="1">_xll.meDateFromTenor(S585,"1D","FOLLOWING",T$12)</f>
        <v>43327</v>
      </c>
      <c r="T586" s="13">
        <f ca="1">_xll.meDateFromTenor(S586,T$14,T$11,T$12)</f>
        <v>43692</v>
      </c>
      <c r="U586" s="98">
        <f ca="1"/>
        <v>1.2291418291238254E-3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-3.3988616419922632E-3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-8.3370252682543459E-4</v>
      </c>
      <c r="R587" s="5" t="s">
        <v>4</v>
      </c>
      <c r="S587" s="100">
        <f ca="1">_xll.meDateFromTenor(S586,"1D","FOLLOWING",T$12)</f>
        <v>43328</v>
      </c>
      <c r="T587" s="13">
        <f ca="1">_xll.meDateFromTenor(S587,T$14,T$11,T$12)</f>
        <v>43693</v>
      </c>
      <c r="U587" s="98">
        <f ca="1"/>
        <v>1.2339703877482934E-3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-3.3956782980447296E-3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-8.2905358736999721E-4</v>
      </c>
      <c r="R588" s="5" t="s">
        <v>4</v>
      </c>
      <c r="S588" s="100">
        <f ca="1">_xll.meDateFromTenor(S587,"1D","FOLLOWING",T$12)</f>
        <v>43329</v>
      </c>
      <c r="T588" s="13">
        <f ca="1">_xll.meDateFromTenor(S588,T$14,T$11,T$12)</f>
        <v>43696</v>
      </c>
      <c r="U588" s="98">
        <f ca="1"/>
        <v>1.2388039096479675E-3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-3.3860898984687548E-3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-8.1501279762042646E-4</v>
      </c>
      <c r="R589" s="5" t="s">
        <v>4</v>
      </c>
      <c r="S589" s="100">
        <f ca="1">_xll.meDateFromTenor(S588,"1D","FOLLOWING",T$12)</f>
        <v>43332</v>
      </c>
      <c r="T589" s="13">
        <f ca="1">_xll.meDateFromTenor(S589,T$14,T$11,T$12)</f>
        <v>43697</v>
      </c>
      <c r="U589" s="98">
        <f ca="1"/>
        <v>1.2533340705694334E-3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-3.3828776264046936E-3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-8.1030175100919768E-4</v>
      </c>
      <c r="R590" s="5" t="s">
        <v>4</v>
      </c>
      <c r="S590" s="100">
        <f ca="1">_xll.meDateFromTenor(S589,"1D","FOLLOWING",T$12)</f>
        <v>43333</v>
      </c>
      <c r="T590" s="13">
        <f ca="1">_xll.meDateFromTenor(S590,T$14,T$11,T$12)</f>
        <v>43698</v>
      </c>
      <c r="U590" s="98">
        <f ca="1"/>
        <v>1.2581872611411378E-3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-3.3796556100907909E-3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-8.0557558293380528E-4</v>
      </c>
      <c r="R591" s="5" t="s">
        <v>4</v>
      </c>
      <c r="S591" s="100">
        <f ca="1">_xll.meDateFromTenor(S590,"1D","FOLLOWING",T$12)</f>
        <v>43334</v>
      </c>
      <c r="T591" s="13">
        <f ca="1">_xll.meDateFromTenor(S591,T$14,T$11,T$12)</f>
        <v>43699</v>
      </c>
      <c r="U591" s="98">
        <f ca="1"/>
        <v>1.2630453227736517E-3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-3.3764228446387643E-3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-8.0083445552416466E-4</v>
      </c>
      <c r="R592" s="5" t="s">
        <v>4</v>
      </c>
      <c r="S592" s="100">
        <f ca="1">_xll.meDateFromTenor(S591,"1D","FOLLOWING",T$12)</f>
        <v>43335</v>
      </c>
      <c r="T592" s="13">
        <f ca="1">_xll.meDateFromTenor(S592,T$14,T$11,T$12)</f>
        <v>43700</v>
      </c>
      <c r="U592" s="98">
        <f ca="1"/>
        <v>1.2679082370240955E-3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-3.3731783251603293E-3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-7.960785309101897E-4</v>
      </c>
      <c r="R593" s="5" t="s">
        <v>4</v>
      </c>
      <c r="S593" s="100">
        <f ca="1">_xll.meDateFromTenor(S592,"1D","FOLLOWING",T$12)</f>
        <v>43336</v>
      </c>
      <c r="T593" s="13">
        <f ca="1">_xll.meDateFromTenor(S593,T$14,T$11,T$12)</f>
        <v>43703</v>
      </c>
      <c r="U593" s="98">
        <f ca="1"/>
        <v>1.2727759854495894E-3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-3.3633641936837442E-3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-7.8172359514140177E-4</v>
      </c>
      <c r="R594" s="5" t="s">
        <v>4</v>
      </c>
      <c r="S594" s="100">
        <f ca="1">_xll.meDateFromTenor(S593,"1D","FOLLOWING",T$12)</f>
        <v>43339</v>
      </c>
      <c r="T594" s="13">
        <f ca="1">_xll.meDateFromTenor(S594,T$14,T$11,T$12)</f>
        <v>43704</v>
      </c>
      <c r="U594" s="98">
        <f ca="1"/>
        <v>1.2874080513475771E-3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-3.3600626092168445E-3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-7.7691010300923267E-4</v>
      </c>
      <c r="R595" s="5" t="s">
        <v>4</v>
      </c>
      <c r="S595" s="100">
        <f ca="1">_xll.meDateFromTenor(S594,"1D","FOLLOWING",T$12)</f>
        <v>43340</v>
      </c>
      <c r="T595" s="13">
        <f ca="1">_xll.meDateFromTenor(S595,T$14,T$11,T$12)</f>
        <v>43705</v>
      </c>
      <c r="U595" s="98">
        <f ca="1"/>
        <v>1.2922949520444756E-3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-3.3567442462821193E-3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-7.7208262432229959E-4</v>
      </c>
      <c r="R596" s="5" t="s">
        <v>4</v>
      </c>
      <c r="S596" s="100">
        <f ca="1">_xll.meDateFromTenor(S595,"1D","FOLLOWING",T$12)</f>
        <v>43341</v>
      </c>
      <c r="T596" s="13">
        <f ca="1">_xll.meDateFromTenor(S596,T$14,T$11,T$12)</f>
        <v>43706</v>
      </c>
      <c r="U596" s="98">
        <f ca="1"/>
        <v>1.2971865947020282E-3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-3.3534080999912852E-3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-7.6724132121051825E-4</v>
      </c>
      <c r="R597" s="5" t="s">
        <v>4</v>
      </c>
      <c r="S597" s="100">
        <f ca="1">_xll.meDateFromTenor(S596,"1D","FOLLOWING",T$12)</f>
        <v>43342</v>
      </c>
      <c r="T597" s="13">
        <f ca="1">_xll.meDateFromTenor(S597,T$14,T$11,T$12)</f>
        <v>43707</v>
      </c>
      <c r="U597" s="98">
        <f ca="1"/>
        <v>1.3020829608773529E-3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-3.350053165456059E-3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-7.6238635580380123E-4</v>
      </c>
      <c r="R598" s="5" t="s">
        <v>4</v>
      </c>
      <c r="S598" s="100">
        <f ca="1">_xll.meDateFromTenor(S597,"1D","FOLLOWING",T$12)</f>
        <v>43343</v>
      </c>
      <c r="T598" s="13">
        <f ca="1">_xll.meDateFromTenor(S598,T$14,T$11,T$12)</f>
        <v>43707</v>
      </c>
      <c r="U598" s="98">
        <f ca="1"/>
        <v>1.3069840321275725E-3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-3.3398655835011918E-3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-7.4774110711318292E-4</v>
      </c>
      <c r="R599" s="5" t="s">
        <v>4</v>
      </c>
      <c r="S599" s="100">
        <f ca="1">_xll.meDateFromTenor(S598,"1D","FOLLOWING",T$12)</f>
        <v>43346</v>
      </c>
      <c r="T599" s="13">
        <f ca="1">_xll.meDateFromTenor(S599,T$14,T$11,T$12)</f>
        <v>43711</v>
      </c>
      <c r="U599" s="98">
        <f ca="1"/>
        <v>1.3217152918987988E-3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-3.3364257780320694E-3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-7.4283311382586836E-4</v>
      </c>
      <c r="R600" s="5" t="s">
        <v>4</v>
      </c>
      <c r="S600" s="100">
        <f ca="1">_xll.meDateFromTenor(S599,"1D","FOLLOWING",T$12)</f>
        <v>43347</v>
      </c>
      <c r="T600" s="13">
        <f ca="1">_xll.meDateFromTenor(S600,T$14,T$11,T$12)</f>
        <v>43712</v>
      </c>
      <c r="U600" s="98">
        <f ca="1"/>
        <v>1.3266349990197989E-3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-3.3329641454361821E-3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-7.3791226889318991E-4</v>
      </c>
      <c r="R601" s="5" t="s">
        <v>4</v>
      </c>
      <c r="S601" s="100">
        <f ca="1">_xll.meDateFromTenor(S600,"1D","FOLLOWING",T$12)</f>
        <v>43348</v>
      </c>
      <c r="T601" s="13">
        <f ca="1">_xll.meDateFromTenor(S601,T$14,T$11,T$12)</f>
        <v>43713</v>
      </c>
      <c r="U601" s="98">
        <f ca="1"/>
        <v>1.3315593190012954E-3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-3.3294816663842924E-3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-7.329787344450624E-4</v>
      </c>
      <c r="R602" s="5" t="s">
        <v>4</v>
      </c>
      <c r="S602" s="100">
        <f ca="1">_xll.meDateFromTenor(S601,"1D","FOLLOWING",T$12)</f>
        <v>43349</v>
      </c>
      <c r="T602" s="13">
        <f ca="1">_xll.meDateFromTenor(S602,T$14,T$11,T$12)</f>
        <v>43714</v>
      </c>
      <c r="U602" s="98">
        <f ca="1"/>
        <v>1.3364882334004078E-3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-3.3259793215471602E-3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-7.2803267261139875E-4</v>
      </c>
      <c r="R603" s="5" t="s">
        <v>4</v>
      </c>
      <c r="S603" s="100">
        <f ca="1">_xll.meDateFromTenor(S602,"1D","FOLLOWING",T$12)</f>
        <v>43350</v>
      </c>
      <c r="T603" s="13">
        <f ca="1">_xll.meDateFromTenor(S603,T$14,T$11,T$12)</f>
        <v>43717</v>
      </c>
      <c r="U603" s="98">
        <f ca="1"/>
        <v>1.3414217237742588E-3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-3.3153628990319254E-3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-7.1312094409633716E-4</v>
      </c>
      <c r="R604" s="5" t="s">
        <v>4</v>
      </c>
      <c r="S604" s="100">
        <f ca="1">_xll.meDateFromTenor(S603,"1D","FOLLOWING",T$12)</f>
        <v>43353</v>
      </c>
      <c r="T604" s="13">
        <f ca="1">_xll.meDateFromTenor(S604,T$14,T$11,T$12)</f>
        <v>43718</v>
      </c>
      <c r="U604" s="98">
        <f ca="1"/>
        <v>1.3562494663154415E-3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-3.3117908977614388E-3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-7.0812639401967323E-4</v>
      </c>
      <c r="R605" s="5" t="s">
        <v>4</v>
      </c>
      <c r="S605" s="100">
        <f ca="1">_xll.meDateFromTenor(S604,"1D","FOLLOWING",T$12)</f>
        <v>43354</v>
      </c>
      <c r="T605" s="13">
        <f ca="1">_xll.meDateFromTenor(S605,T$14,T$11,T$12)</f>
        <v>43719</v>
      </c>
      <c r="U605" s="98">
        <f ca="1"/>
        <v>1.3612010761594477E-3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-3.3082039340595168E-3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-7.0312012720704481E-4</v>
      </c>
      <c r="R606" s="5" t="s">
        <v>4</v>
      </c>
      <c r="S606" s="100">
        <f ca="1">_xll.meDateFromTenor(S605,"1D","FOLLOWING",T$12)</f>
        <v>43355</v>
      </c>
      <c r="T606" s="13">
        <f ca="1">_xll.meDateFromTenor(S606,T$14,T$11,T$12)</f>
        <v>43720</v>
      </c>
      <c r="U606" s="98">
        <f ca="1"/>
        <v>1.3661571697637944E-3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-3.3046029885969211E-3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-6.9810230578836591E-4</v>
      </c>
      <c r="R607" s="5" t="s">
        <v>4</v>
      </c>
      <c r="S607" s="100">
        <f ca="1">_xll.meDateFromTenor(S606,"1D","FOLLOWING",T$12)</f>
        <v>43356</v>
      </c>
      <c r="T607" s="13">
        <f ca="1">_xll.meDateFromTenor(S607,T$14,T$11,T$12)</f>
        <v>43721</v>
      </c>
      <c r="U607" s="98">
        <f ca="1"/>
        <v>1.3711177286856017E-3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-3.3009890420444121E-3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-6.9307309189355092E-4</v>
      </c>
      <c r="R608" s="5" t="s">
        <v>4</v>
      </c>
      <c r="S608" s="100">
        <f ca="1">_xll.meDateFromTenor(S607,"1D","FOLLOWING",T$12)</f>
        <v>43357</v>
      </c>
      <c r="T608" s="13">
        <f ca="1">_xll.meDateFromTenor(S608,T$14,T$11,T$12)</f>
        <v>43724</v>
      </c>
      <c r="U608" s="98">
        <f ca="1"/>
        <v>1.3760827344819902E-3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-3.2900790025550274E-3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-6.7791871665143254E-4</v>
      </c>
      <c r="R609" s="5" t="s">
        <v>4</v>
      </c>
      <c r="S609" s="100">
        <f ca="1">_xll.meDateFromTenor(S608,"1D","FOLLOWING",T$12)</f>
        <v>43360</v>
      </c>
      <c r="T609" s="13">
        <f ca="1">_xll.meDateFromTenor(S609,T$14,T$11,T$12)</f>
        <v>43725</v>
      </c>
      <c r="U609" s="98">
        <f ca="1"/>
        <v>1.3910042486898466E-3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-3.2864228583504834E-3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-6.7284555415121476E-4</v>
      </c>
      <c r="R610" s="5" t="s">
        <v>4</v>
      </c>
      <c r="S610" s="100">
        <f ca="1">_xll.meDateFromTenor(S609,"1D","FOLLOWING",T$12)</f>
        <v>43361</v>
      </c>
      <c r="T610" s="13">
        <f ca="1">_xll.meDateFromTenor(S610,T$14,T$11,T$12)</f>
        <v>43726</v>
      </c>
      <c r="U610" s="98">
        <f ca="1"/>
        <v>1.3959868575557656E-3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-3.2827586164098327E-3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-6.677618098244318E-4</v>
      </c>
      <c r="R611" s="5" t="s">
        <v>4</v>
      </c>
      <c r="S611" s="100">
        <f ca="1">_xll.meDateFromTenor(S610,"1D","FOLLOWING",T$12)</f>
        <v>43362</v>
      </c>
      <c r="T611" s="13">
        <f ca="1">_xll.meDateFromTenor(S611,T$14,T$11,T$12)</f>
        <v>43727</v>
      </c>
      <c r="U611" s="98">
        <f ca="1"/>
        <v>1.4009738210818681E-3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-3.2790872574038378E-3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-6.6266764580099778E-4</v>
      </c>
      <c r="R612" s="5" t="s">
        <v>4</v>
      </c>
      <c r="S612" s="100">
        <f ca="1">_xll.meDateFromTenor(S611,"1D","FOLLOWING",T$12)</f>
        <v>43363</v>
      </c>
      <c r="T612" s="13">
        <f ca="1">_xll.meDateFromTenor(S612,T$14,T$11,T$12)</f>
        <v>43728</v>
      </c>
      <c r="U612" s="98">
        <f ca="1"/>
        <v>1.4059651208252753E-3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-3.2754097620032608E-3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-6.5756322421082689E-4</v>
      </c>
      <c r="R613" s="5" t="s">
        <v>4</v>
      </c>
      <c r="S613" s="100">
        <f ca="1">_xll.meDateFromTenor(S612,"1D","FOLLOWING",T$12)</f>
        <v>43364</v>
      </c>
      <c r="T613" s="13">
        <f ca="1">_xll.meDateFromTenor(S613,T$14,T$11,T$12)</f>
        <v>43731</v>
      </c>
      <c r="U613" s="98">
        <f ca="1"/>
        <v>1.4109607383431071E-3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-3.2643502641416435E-3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-6.4219003533903622E-4</v>
      </c>
      <c r="R614" s="5" t="s">
        <v>4</v>
      </c>
      <c r="S614" s="100">
        <f ca="1">_xll.meDateFromTenor(S613,"1D","FOLLOWING",T$12)</f>
        <v>43367</v>
      </c>
      <c r="T614" s="13">
        <f ca="1">_xll.meDateFromTenor(S614,T$14,T$11,T$12)</f>
        <v>43732</v>
      </c>
      <c r="U614" s="98">
        <f ca="1"/>
        <v>1.4259733131143577E-3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-3.2606580298703484E-3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-6.3704620478105989E-4</v>
      </c>
      <c r="R615" s="5" t="s">
        <v>4</v>
      </c>
      <c r="S615" s="100">
        <f ca="1">_xll.meDateFromTenor(S614,"1D","FOLLOWING",T$12)</f>
        <v>43368</v>
      </c>
      <c r="T615" s="13">
        <f ca="1">_xll.meDateFromTenor(S615,T$14,T$11,T$12)</f>
        <v>43733</v>
      </c>
      <c r="U615" s="98">
        <f ca="1"/>
        <v>1.4309860173010946E-3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-3.2569645625582762E-3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-6.3189292730591858E-4</v>
      </c>
      <c r="R616" s="5" t="s">
        <v>4</v>
      </c>
      <c r="S616" s="100">
        <f ca="1">_xll.meDateFromTenor(S615,"1D","FOLLOWING",T$12)</f>
        <v>43369</v>
      </c>
      <c r="T616" s="13">
        <f ca="1">_xll.meDateFromTenor(S616,T$14,T$11,T$12)</f>
        <v>43734</v>
      </c>
      <c r="U616" s="98">
        <f ca="1"/>
        <v>1.4360029470478583E-3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-3.2532708428761894E-3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-6.2673036504352474E-4</v>
      </c>
      <c r="R617" s="5" t="s">
        <v>4</v>
      </c>
      <c r="S617" s="100">
        <f ca="1">_xll.meDateFromTenor(S616,"1D","FOLLOWING",T$12)</f>
        <v>43370</v>
      </c>
      <c r="T617" s="13">
        <f ca="1">_xll.meDateFromTenor(S617,T$14,T$11,T$12)</f>
        <v>43735</v>
      </c>
      <c r="U617" s="98">
        <f ca="1"/>
        <v>1.4410240839117711E-3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-3.2495778514948495E-3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-6.2155868012379357E-4</v>
      </c>
      <c r="R618" s="5" t="s">
        <v>4</v>
      </c>
      <c r="S618" s="100">
        <f ca="1">_xll.meDateFromTenor(S617,"1D","FOLLOWING",T$12)</f>
        <v>43371</v>
      </c>
      <c r="T618" s="13">
        <f ca="1">_xll.meDateFromTenor(S618,T$14,T$11,T$12)</f>
        <v>43738</v>
      </c>
      <c r="U618" s="98">
        <f ca="1"/>
        <v>1.4460494094499529E-3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-3.2385130538629208E-3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-6.0599051071971678E-4</v>
      </c>
      <c r="R619" s="5" t="s">
        <v>4</v>
      </c>
      <c r="S619" s="100">
        <f ca="1">_xll.meDateFromTenor(S618,"1D","FOLLOWING",T$12)</f>
        <v>43374</v>
      </c>
      <c r="T619" s="13">
        <f ca="1">_xll.meDateFromTenor(S619,T$14,T$11,T$12)</f>
        <v>43739</v>
      </c>
      <c r="U619" s="98">
        <f ca="1"/>
        <v>1.4611503336813148E-3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-3.2348327823921801E-3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-6.0078395646977743E-4</v>
      </c>
      <c r="R620" s="5" t="s">
        <v>4</v>
      </c>
      <c r="S620" s="100">
        <f ca="1">_xll.meDateFromTenor(S619,"1D","FOLLOWING",T$12)</f>
        <v>43375</v>
      </c>
      <c r="T620" s="13">
        <f ca="1">_xll.meDateFromTenor(S620,T$14,T$11,T$12)</f>
        <v>43740</v>
      </c>
      <c r="U620" s="98">
        <f ca="1"/>
        <v>1.4661922294877763E-3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-3.2311579657487892E-3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-5.9556909021207252E-4</v>
      </c>
      <c r="R621" s="5" t="s">
        <v>4</v>
      </c>
      <c r="S621" s="100">
        <f ca="1">_xll.meDateFromTenor(S620,"1D","FOLLOWING",T$12)</f>
        <v>43376</v>
      </c>
      <c r="T621" s="13">
        <f ca="1">_xll.meDateFromTenor(S621,T$14,T$11,T$12)</f>
        <v>43741</v>
      </c>
      <c r="U621" s="98">
        <f ca="1"/>
        <v>1.4712382217541085E-3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-3.2274887004674841E-3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-5.9034607407651429E-4</v>
      </c>
      <c r="R622" s="5" t="s">
        <v>4</v>
      </c>
      <c r="S622" s="100">
        <f ca="1">_xll.meDateFromTenor(S621,"1D","FOLLOWING",T$12)</f>
        <v>43377</v>
      </c>
      <c r="T622" s="13">
        <f ca="1">_xll.meDateFromTenor(S622,T$14,T$11,T$12)</f>
        <v>43742</v>
      </c>
      <c r="U622" s="98">
        <f ca="1"/>
        <v>1.4762882920374332E-3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-3.2238249062558019E-3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-5.8511507019301892E-4</v>
      </c>
      <c r="R623" s="5" t="s">
        <v>4</v>
      </c>
      <c r="S623" s="100">
        <f ca="1">_xll.meDateFromTenor(S622,"1D","FOLLOWING",T$12)</f>
        <v>43378</v>
      </c>
      <c r="T623" s="13">
        <f ca="1">_xll.meDateFromTenor(S623,T$14,T$11,T$12)</f>
        <v>43745</v>
      </c>
      <c r="U623" s="98">
        <f ca="1"/>
        <v>1.4813424218948692E-3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-3.2128655471138209E-3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-5.6937575335404321E-4</v>
      </c>
      <c r="R624" s="5" t="s">
        <v>4</v>
      </c>
      <c r="S624" s="100">
        <f ca="1">_xll.meDateFromTenor(S623,"1D","FOLLOWING",T$12)</f>
        <v>43381</v>
      </c>
      <c r="T624" s="13">
        <f ca="1">_xll.meDateFromTenor(S624,T$14,T$11,T$12)</f>
        <v>43746</v>
      </c>
      <c r="U624" s="98">
        <f ca="1"/>
        <v>1.49652898448306E-3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-3.2092228342559632E-3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-5.6411441977793637E-4</v>
      </c>
      <c r="R625" s="5" t="s">
        <v>4</v>
      </c>
      <c r="S625" s="100">
        <f ca="1">_xll.meDateFromTenor(S624,"1D","FOLLOWING",T$12)</f>
        <v>43382</v>
      </c>
      <c r="T625" s="13">
        <f ca="1">_xll.meDateFromTenor(S625,T$14,T$11,T$12)</f>
        <v>43747</v>
      </c>
      <c r="U625" s="98">
        <f ca="1"/>
        <v>1.5015991682081518E-3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-3.2055851910053976E-3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-5.5884590910346209E-4</v>
      </c>
      <c r="R626" s="5" t="s">
        <v>4</v>
      </c>
      <c r="S626" s="100">
        <f ca="1">_xll.meDateFromTenor(S625,"1D","FOLLOWING",T$12)</f>
        <v>43383</v>
      </c>
      <c r="T626" s="13">
        <f ca="1">_xll.meDateFromTenor(S626,T$14,T$11,T$12)</f>
        <v>43748</v>
      </c>
      <c r="U626" s="98">
        <f ca="1"/>
        <v>1.5066733192929586E-3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-3.2019525370696584E-3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-5.5357038346053598E-4</v>
      </c>
      <c r="R627" s="5" t="s">
        <v>4</v>
      </c>
      <c r="S627" s="100">
        <f ca="1">_xll.meDateFromTenor(S626,"1D","FOLLOWING",T$12)</f>
        <v>43384</v>
      </c>
      <c r="T627" s="13">
        <f ca="1">_xll.meDateFromTenor(S627,T$14,T$11,T$12)</f>
        <v>43749</v>
      </c>
      <c r="U627" s="98">
        <f ca="1"/>
        <v>1.5117514192946003E-3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-3.1983247921562766E-3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-5.4828800497907007E-4</v>
      </c>
      <c r="R628" s="5" t="s">
        <v>4</v>
      </c>
      <c r="S628" s="100">
        <f ca="1">_xll.meDateFromTenor(S627,"1D","FOLLOWING",T$12)</f>
        <v>43385</v>
      </c>
      <c r="T628" s="13">
        <f ca="1">_xll.meDateFromTenor(S628,T$14,T$11,T$12)</f>
        <v>43752</v>
      </c>
      <c r="U628" s="98">
        <f ca="1"/>
        <v>1.5168334497701985E-3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-3.1874702086256324E-3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-5.3240137380258258E-4</v>
      </c>
      <c r="R629" s="5" t="s">
        <v>4</v>
      </c>
      <c r="S629" s="100">
        <f ca="1">_xll.meDateFromTenor(S628,"1D","FOLLOWING",T$12)</f>
        <v>43388</v>
      </c>
      <c r="T629" s="13">
        <f ca="1">_xll.meDateFromTenor(S629,T$14,T$11,T$12)</f>
        <v>43753</v>
      </c>
      <c r="U629" s="98">
        <f ca="1"/>
        <v>1.5321029396119354E-3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-3.1838612968770304E-3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-5.2709320526610345E-4</v>
      </c>
      <c r="R630" s="5" t="s">
        <v>4</v>
      </c>
      <c r="S630" s="100">
        <f ca="1">_xll.meDateFromTenor(S629,"1D","FOLLOWING",T$12)</f>
        <v>43389</v>
      </c>
      <c r="T630" s="13">
        <f ca="1">_xll.meDateFromTenor(S630,T$14,T$11,T$12)</f>
        <v>43754</v>
      </c>
      <c r="U630" s="98">
        <f ca="1"/>
        <v>1.5372005075545636E-3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-3.1802568926884572E-3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-5.2177899454065651E-4</v>
      </c>
      <c r="R631" s="5" t="s">
        <v>4</v>
      </c>
      <c r="S631" s="100">
        <f ca="1">_xll.meDateFromTenor(S630,"1D","FOLLOWING",T$12)</f>
        <v>43390</v>
      </c>
      <c r="T631" s="13">
        <f ca="1">_xll.meDateFromTenor(S631,T$14,T$11,T$12)</f>
        <v>43755</v>
      </c>
      <c r="U631" s="98">
        <f ca="1"/>
        <v>1.5423019137567504E-3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-3.1766569157674479E-3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-5.1645890375615587E-4</v>
      </c>
      <c r="R632" s="5" t="s">
        <v>4</v>
      </c>
      <c r="S632" s="100">
        <f ca="1">_xll.meDateFromTenor(S631,"1D","FOLLOWING",T$12)</f>
        <v>43391</v>
      </c>
      <c r="T632" s="13">
        <f ca="1">_xll.meDateFromTenor(S632,T$14,T$11,T$12)</f>
        <v>43756</v>
      </c>
      <c r="U632" s="98">
        <f ca="1"/>
        <v>1.5474071397756169E-3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-3.173061285821537E-3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-5.1113309504251584E-4</v>
      </c>
      <c r="R633" s="5" t="s">
        <v>4</v>
      </c>
      <c r="S633" s="100">
        <f ca="1">_xll.meDateFromTenor(S632,"1D","FOLLOWING",T$12)</f>
        <v>43392</v>
      </c>
      <c r="T633" s="13">
        <f ca="1">_xll.meDateFromTenor(S633,T$14,T$11,T$12)</f>
        <v>43759</v>
      </c>
      <c r="U633" s="98">
        <f ca="1"/>
        <v>1.5525161671682828E-3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-3.16229967490973E-3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-4.9512298262590184E-4</v>
      </c>
      <c r="R634" s="5" t="s">
        <v>4</v>
      </c>
      <c r="S634" s="100">
        <f ca="1">_xll.meDateFromTenor(S633,"1D","FOLLOWING",T$12)</f>
        <v>43395</v>
      </c>
      <c r="T634" s="13">
        <f ca="1">_xll.meDateFromTenor(S634,T$14,T$11,T$12)</f>
        <v>43760</v>
      </c>
      <c r="U634" s="98">
        <f ca="1"/>
        <v>1.5678658731602842E-3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-3.1587206299395505E-3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-4.897759234948468E-4</v>
      </c>
      <c r="R635" s="5" t="s">
        <v>4</v>
      </c>
      <c r="S635" s="100">
        <f ca="1">_xll.meDateFromTenor(S634,"1D","FOLLOWING",T$12)</f>
        <v>43396</v>
      </c>
      <c r="T635" s="13">
        <f ca="1">_xll.meDateFromTenor(S635,T$14,T$11,T$12)</f>
        <v>43761</v>
      </c>
      <c r="U635" s="98">
        <f ca="1"/>
        <v>1.5729899216193539E-3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-3.1551455304821376E-3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-4.8442395708422247E-4</v>
      </c>
      <c r="R636" s="5" t="s">
        <v>4</v>
      </c>
      <c r="S636" s="100">
        <f ca="1">_xll.meDateFromTenor(S635,"1D","FOLLOWING",T$12)</f>
        <v>43397</v>
      </c>
      <c r="T636" s="13">
        <f ca="1">_xll.meDateFromTenor(S636,T$14,T$11,T$12)</f>
        <v>43762</v>
      </c>
      <c r="U636" s="98">
        <f ca="1"/>
        <v>1.578117679237827E-3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-3.1515742962450271E-3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-4.7906724552394375E-4</v>
      </c>
      <c r="R637" s="5" t="s">
        <v>4</v>
      </c>
      <c r="S637" s="100">
        <f ca="1">_xll.meDateFromTenor(S636,"1D","FOLLOWING",T$12)</f>
        <v>43398</v>
      </c>
      <c r="T637" s="13">
        <f ca="1">_xll.meDateFromTenor(S637,T$14,T$11,T$12)</f>
        <v>43763</v>
      </c>
      <c r="U637" s="98">
        <f ca="1"/>
        <v>1.5832491275728229E-3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-3.1480068469357516E-3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-4.7370595094392494E-4</v>
      </c>
      <c r="R638" s="5" t="s">
        <v>4</v>
      </c>
      <c r="S638" s="100">
        <f ca="1">_xll.meDateFromTenor(S637,"1D","FOLLOWING",T$12)</f>
        <v>43399</v>
      </c>
      <c r="T638" s="13">
        <f ca="1">_xll.meDateFromTenor(S638,T$14,T$11,T$12)</f>
        <v>43766</v>
      </c>
      <c r="U638" s="98">
        <f ca="1"/>
        <v>1.5883842481814623E-3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-3.1373264056502839E-3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-4.575961903845709E-4</v>
      </c>
      <c r="R639" s="5" t="s">
        <v>4</v>
      </c>
      <c r="S639" s="100">
        <f ca="1">_xll.meDateFromTenor(S638,"1D","FOLLOWING",T$12)</f>
        <v>43402</v>
      </c>
      <c r="T639" s="13">
        <f ca="1">_xll.meDateFromTenor(S639,T$14,T$11,T$12)</f>
        <v>43767</v>
      </c>
      <c r="U639" s="98">
        <f ca="1"/>
        <v>1.6038114592204465E-3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-3.133773293127693E-3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-4.522181850247336E-4</v>
      </c>
      <c r="R640" s="5" t="s">
        <v>4</v>
      </c>
      <c r="S640" s="100">
        <f ca="1">_xll.meDateFromTenor(S639,"1D","FOLLOWING",T$12)</f>
        <v>43403</v>
      </c>
      <c r="T640" s="13">
        <f ca="1">_xll.meDateFromTenor(S640,T$14,T$11,T$12)</f>
        <v>43768</v>
      </c>
      <c r="U640" s="98">
        <f ca="1"/>
        <v>1.608961084494865E-3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-3.1302235640706085E-3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-4.4683640729472804E-4</v>
      </c>
      <c r="R641" s="5" t="s">
        <v>4</v>
      </c>
      <c r="S641" s="100">
        <f ca="1">_xll.meDateFromTenor(S640,"1D","FOLLOWING",T$12)</f>
        <v>43404</v>
      </c>
      <c r="T641" s="13">
        <f ca="1">_xll.meDateFromTenor(S641,T$14,T$11,T$12)</f>
        <v>43769</v>
      </c>
      <c r="U641" s="98">
        <f ca="1"/>
        <v>1.6141142898285293E-3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-3.1266771381865642E-3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-4.4145101932446682E-4</v>
      </c>
      <c r="R642" s="5" t="s">
        <v>4</v>
      </c>
      <c r="S642" s="100">
        <f ca="1">_xll.meDateFromTenor(S641,"1D","FOLLOWING",T$12)</f>
        <v>43405</v>
      </c>
      <c r="T642" s="13">
        <f ca="1">_xll.meDateFromTenor(S642,T$14,T$11,T$12)</f>
        <v>43770</v>
      </c>
      <c r="U642" s="98">
        <f ca="1"/>
        <v>1.6192710567785608E-3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-3.1231339351830926E-3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-4.3606218324386466E-4</v>
      </c>
      <c r="R643" s="5" t="s">
        <v>4</v>
      </c>
      <c r="S643" s="100">
        <f ca="1">_xll.meDateFromTenor(S642,"1D","FOLLOWING",T$12)</f>
        <v>43406</v>
      </c>
      <c r="T643" s="13">
        <f ca="1">_xll.meDateFromTenor(S643,T$14,T$11,T$12)</f>
        <v>43773</v>
      </c>
      <c r="U643" s="98">
        <f ca="1"/>
        <v>1.6244313669020799E-3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-3.1125188855202742E-3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-4.1987660763915586E-4</v>
      </c>
      <c r="R644" s="5" t="s">
        <v>4</v>
      </c>
      <c r="S644" s="100">
        <f ca="1">_xll.meDateFromTenor(S643,"1D","FOLLOWING",T$12)</f>
        <v>43409</v>
      </c>
      <c r="T644" s="13">
        <f ca="1">_xll.meDateFromTenor(S644,T$14,T$11,T$12)</f>
        <v>43774</v>
      </c>
      <c r="U644" s="98">
        <f ca="1"/>
        <v>1.6399333718847655E-3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-3.1089823238768829E-3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-4.1447560041633268E-4</v>
      </c>
      <c r="R645" s="5" t="s">
        <v>4</v>
      </c>
      <c r="S645" s="100">
        <f ca="1">_xll.meDateFromTenor(S644,"1D","FOLLOWING",T$12)</f>
        <v>43410</v>
      </c>
      <c r="T645" s="13">
        <f ca="1">_xll.meDateFromTenor(S645,T$14,T$11,T$12)</f>
        <v>43775</v>
      </c>
      <c r="U645" s="98">
        <f ca="1"/>
        <v>1.6451076702734386E-3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-3.1054450503084558E-3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-4.0907195573274056E-4</v>
      </c>
      <c r="R646" s="5" t="s">
        <v>4</v>
      </c>
      <c r="S646" s="100">
        <f ca="1">_xll.meDateFromTenor(S645,"1D","FOLLOWING",T$12)</f>
        <v>43411</v>
      </c>
      <c r="T646" s="13">
        <f ca="1">_xll.meDateFromTenor(S646,T$14,T$11,T$12)</f>
        <v>43776</v>
      </c>
      <c r="U646" s="98">
        <f ca="1"/>
        <v>1.6502854196212007E-3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-3.1019061011867063E-3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-4.0366583571829198E-4</v>
      </c>
      <c r="R647" s="5" t="s">
        <v>4</v>
      </c>
      <c r="S647" s="100">
        <f ca="1">_xll.meDateFromTenor(S646,"1D","FOLLOWING",T$12)</f>
        <v>43412</v>
      </c>
      <c r="T647" s="13">
        <f ca="1">_xll.meDateFromTenor(S647,T$14,T$11,T$12)</f>
        <v>43777</v>
      </c>
      <c r="U647" s="98">
        <f ca="1"/>
        <v>1.6554666014851744E-3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-3.0983645128833497E-3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-3.9825740250290292E-4</v>
      </c>
      <c r="R648" s="5" t="s">
        <v>4</v>
      </c>
      <c r="S648" s="100">
        <f ca="1">_xll.meDateFromTenor(S647,"1D","FOLLOWING",T$12)</f>
        <v>43413</v>
      </c>
      <c r="T648" s="13">
        <f ca="1">_xll.meDateFromTenor(S648,T$14,T$11,T$12)</f>
        <v>43780</v>
      </c>
      <c r="U648" s="98">
        <f ca="1"/>
        <v>1.6606511974224779E-3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-3.0877142766007701E-3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-3.8201984495022642E-4</v>
      </c>
      <c r="R649" s="5" t="s">
        <v>4</v>
      </c>
      <c r="S649" s="100">
        <f ca="1">_xll.meDateFromTenor(S648,"1D","FOLLOWING",T$12)</f>
        <v>43416</v>
      </c>
      <c r="T649" s="13">
        <f ca="1">_xll.meDateFromTenor(S649,T$14,T$11,T$12)</f>
        <v>43781</v>
      </c>
      <c r="U649" s="98">
        <f ca="1"/>
        <v>1.6762252852455816E-3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-3.0841524952881214E-3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-3.7660378023021267E-4</v>
      </c>
      <c r="R650" s="5" t="s">
        <v>4</v>
      </c>
      <c r="S650" s="100">
        <f ca="1">_xll.meDateFromTenor(S649,"1D","FOLLOWING",T$12)</f>
        <v>43417</v>
      </c>
      <c r="T650" s="13">
        <f ca="1">_xll.meDateFromTenor(S650,T$14,T$11,T$12)</f>
        <v>43782</v>
      </c>
      <c r="U650" s="98">
        <f ca="1"/>
        <v>1.6814233530474153E-3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-3.0805832566524346E-3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-3.7118621295882865E-4</v>
      </c>
      <c r="R651" s="5" t="s">
        <v>4</v>
      </c>
      <c r="S651" s="100">
        <f ca="1">_xll.meDateFromTenor(S650,"1D","FOLLOWING",T$12)</f>
        <v>43418</v>
      </c>
      <c r="T651" s="13">
        <f ca="1">_xll.meDateFromTenor(S651,T$14,T$11,T$12)</f>
        <v>43783</v>
      </c>
      <c r="U651" s="98">
        <f ca="1"/>
        <v>1.6866247427081819E-3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-3.077005597065423E-3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-3.6576730526598818E-4</v>
      </c>
      <c r="R652" s="5" t="s">
        <v>4</v>
      </c>
      <c r="S652" s="100">
        <f ca="1">_xll.meDateFromTenor(S651,"1D","FOLLOWING",T$12)</f>
        <v>43419</v>
      </c>
      <c r="T652" s="13">
        <f ca="1">_xll.meDateFromTenor(S652,T$14,T$11,T$12)</f>
        <v>43784</v>
      </c>
      <c r="U652" s="98">
        <f ca="1"/>
        <v>1.6918294357850035E-3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-3.0734185528988028E-3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-3.6034721928160666E-4</v>
      </c>
      <c r="R653" s="5" t="s">
        <v>4</v>
      </c>
      <c r="S653" s="100">
        <f ca="1">_xll.meDateFromTenor(S652,"1D","FOLLOWING",T$12)</f>
        <v>43420</v>
      </c>
      <c r="T653" s="13">
        <f ca="1">_xll.meDateFromTenor(S653,T$14,T$11,T$12)</f>
        <v>43787</v>
      </c>
      <c r="U653" s="98">
        <f ca="1"/>
        <v>1.6970374138349984E-3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-3.0625914766384201E-3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-3.440815128783497E-4</v>
      </c>
      <c r="R654" s="5" t="s">
        <v>4</v>
      </c>
      <c r="S654" s="100">
        <f ca="1">_xll.meDateFromTenor(S653,"1D","FOLLOWING",T$12)</f>
        <v>43423</v>
      </c>
      <c r="T654" s="13">
        <f ca="1">_xll.meDateFromTenor(S654,T$14,T$11,T$12)</f>
        <v>43788</v>
      </c>
      <c r="U654" s="98">
        <f ca="1"/>
        <v>1.7126808733952384E-3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-3.0589572578704994E-3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-3.3865833502694096E-4</v>
      </c>
      <c r="R655" s="5" t="s">
        <v>4</v>
      </c>
      <c r="S655" s="100">
        <f ca="1">_xll.meDateFromTenor(S654,"1D","FOLLOWING",T$12)</f>
        <v>43424</v>
      </c>
      <c r="T655" s="13">
        <f ca="1">_xll.meDateFromTenor(S655,T$14,T$11,T$12)</f>
        <v>43789</v>
      </c>
      <c r="U655" s="98">
        <f ca="1"/>
        <v>1.717901806909138E-3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-3.0553088363815387E-3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-3.3323478953356116E-4</v>
      </c>
      <c r="R656" s="5" t="s">
        <v>4</v>
      </c>
      <c r="S656" s="100">
        <f ca="1">_xll.meDateFromTenor(S655,"1D","FOLLOWING",T$12)</f>
        <v>43425</v>
      </c>
      <c r="T656" s="13">
        <f ca="1">_xll.meDateFromTenor(S656,T$14,T$11,T$12)</f>
        <v>43790</v>
      </c>
      <c r="U656" s="98">
        <f ca="1"/>
        <v>1.7231259331818149E-3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-3.051645248543251E-3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-3.2781103852812433E-4</v>
      </c>
      <c r="R657" s="5" t="s">
        <v>4</v>
      </c>
      <c r="S657" s="100">
        <f ca="1">_xll.meDateFromTenor(S656,"1D","FOLLOWING",T$12)</f>
        <v>43426</v>
      </c>
      <c r="T657" s="13">
        <f ca="1">_xll.meDateFromTenor(S657,T$14,T$11,T$12)</f>
        <v>43791</v>
      </c>
      <c r="U657" s="98">
        <f ca="1"/>
        <v>1.7283532337703897E-3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-3.0479655307273528E-3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-3.2238724414054485E-4</v>
      </c>
      <c r="R658" s="5" t="s">
        <v>4</v>
      </c>
      <c r="S658" s="100">
        <f ca="1">_xll.meDateFromTenor(S657,"1D","FOLLOWING",T$12)</f>
        <v>43427</v>
      </c>
      <c r="T658" s="13">
        <f ca="1">_xll.meDateFromTenor(S658,T$14,T$11,T$12)</f>
        <v>43794</v>
      </c>
      <c r="U658" s="98">
        <f ca="1"/>
        <v>1.733583690231983E-3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-3.0368199611311244E-3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-3.0611722198409274E-4</v>
      </c>
      <c r="R659" s="5" t="s">
        <v>4</v>
      </c>
      <c r="S659" s="100">
        <f ca="1">_xll.meDateFromTenor(S658,"1D","FOLLOWING",T$12)</f>
        <v>43430</v>
      </c>
      <c r="T659" s="13">
        <f ca="1">_xll.meDateFromTenor(S659,T$14,T$11,T$12)</f>
        <v>43795</v>
      </c>
      <c r="U659" s="98">
        <f ca="1"/>
        <v>1.7492938104260774E-3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-3.0330660871219182E-3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-3.0069487536708519E-4</v>
      </c>
      <c r="R660" s="5" t="s">
        <v>4</v>
      </c>
      <c r="S660" s="100">
        <f ca="1">_xll.meDateFromTenor(S659,"1D","FOLLOWING",T$12)</f>
        <v>43431</v>
      </c>
      <c r="T660" s="13">
        <f ca="1">_xll.meDateFromTenor(S660,T$14,T$11,T$12)</f>
        <v>43796</v>
      </c>
      <c r="U660" s="98">
        <f ca="1"/>
        <v>1.7545367059509484E-3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-3.0292912649936693E-3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-2.9527329601750503E-4</v>
      </c>
      <c r="R661" s="5" t="s">
        <v>4</v>
      </c>
      <c r="S661" s="100">
        <f ca="1">_xll.meDateFromTenor(S660,"1D","FOLLOWING",T$12)</f>
        <v>43432</v>
      </c>
      <c r="T661" s="13">
        <f ca="1">_xll.meDateFromTenor(S661,T$14,T$11,T$12)</f>
        <v>43797</v>
      </c>
      <c r="U661" s="98">
        <f ca="1"/>
        <v>1.7597826651344415E-3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-3.0254945311180923E-3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-2.8985264606526726E-4</v>
      </c>
      <c r="R662" s="5" t="s">
        <v>4</v>
      </c>
      <c r="S662" s="100">
        <f ca="1">_xll.meDateFromTenor(S661,"1D","FOLLOWING",T$12)</f>
        <v>43433</v>
      </c>
      <c r="T662" s="13">
        <f ca="1">_xll.meDateFromTenor(S662,T$14,T$11,T$12)</f>
        <v>43798</v>
      </c>
      <c r="U662" s="98">
        <f ca="1"/>
        <v>1.7650316695336764E-3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-3.0216749218669016E-3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-2.844330876402862E-4</v>
      </c>
      <c r="R663" s="5" t="s">
        <v>4</v>
      </c>
      <c r="S663" s="100">
        <f ca="1">_xll.meDateFromTenor(S662,"1D","FOLLOWING",T$12)</f>
        <v>43434</v>
      </c>
      <c r="T663" s="13">
        <f ca="1">_xll.meDateFromTenor(S663,T$14,T$11,T$12)</f>
        <v>43798</v>
      </c>
      <c r="U663" s="98">
        <f ca="1"/>
        <v>1.7702837007057728E-3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-3.0100692055767845E-3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-2.681825828280245E-4</v>
      </c>
      <c r="R664" s="5" t="s">
        <v>4</v>
      </c>
      <c r="S664" s="100">
        <f ca="1">_xll.meDateFromTenor(S663,"1D","FOLLOWING",T$12)</f>
        <v>43437</v>
      </c>
      <c r="T664" s="13">
        <f ca="1">_xll.meDateFromTenor(S664,T$14,T$11,T$12)</f>
        <v>43802</v>
      </c>
      <c r="U664" s="98">
        <f ca="1"/>
        <v>1.7860577704304408E-3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-3.006148955023978E-3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-2.6276898014936193E-4</v>
      </c>
      <c r="R665" s="5" t="s">
        <v>4</v>
      </c>
      <c r="S665" s="100">
        <f ca="1">_xll.meDateFromTenor(S664,"1D","FOLLOWING",T$12)</f>
        <v>43438</v>
      </c>
      <c r="T665" s="13">
        <f ca="1">_xll.meDateFromTenor(S665,T$14,T$11,T$12)</f>
        <v>43803</v>
      </c>
      <c r="U665" s="98">
        <f ca="1"/>
        <v>1.7913217242651902E-3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-3.0022039898563281E-3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-2.5735708967642156E-4</v>
      </c>
      <c r="R666" s="5" t="s">
        <v>4</v>
      </c>
      <c r="S666" s="100">
        <f ca="1">_xll.meDateFromTenor(S665,"1D","FOLLOWING",T$12)</f>
        <v>43439</v>
      </c>
      <c r="T666" s="13">
        <f ca="1">_xll.meDateFromTenor(S666,T$14,T$11,T$12)</f>
        <v>43804</v>
      </c>
      <c r="U666" s="98">
        <f ca="1"/>
        <v>1.7965886126584051E-3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-2.9982363253477492E-3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-2.5194688356801472E-4</v>
      </c>
      <c r="R667" s="5" t="s">
        <v>4</v>
      </c>
      <c r="S667" s="100">
        <f ca="1">_xll.meDateFromTenor(S666,"1D","FOLLOWING",T$12)</f>
        <v>43440</v>
      </c>
      <c r="T667" s="13">
        <f ca="1">_xll.meDateFromTenor(S667,T$14,T$11,T$12)</f>
        <v>43805</v>
      </c>
      <c r="U667" s="98">
        <f ca="1"/>
        <v>1.8018584171672046E-3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-2.9942479767721551E-3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-2.465383339829494E-4</v>
      </c>
      <c r="R668" s="5" t="s">
        <v>4</v>
      </c>
      <c r="S668" s="100">
        <f ca="1">_xll.meDateFromTenor(S667,"1D","FOLLOWING",T$12)</f>
        <v>43441</v>
      </c>
      <c r="T668" s="13">
        <f ca="1">_xll.meDateFromTenor(S668,T$14,T$11,T$12)</f>
        <v>43808</v>
      </c>
      <c r="U668" s="98">
        <f ca="1"/>
        <v>1.8071311193487104E-3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-2.9821789793824318E-3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-2.303223459559041E-4</v>
      </c>
      <c r="R669" s="5" t="s">
        <v>4</v>
      </c>
      <c r="S669" s="100">
        <f ca="1">_xll.meDateFromTenor(S668,"1D","FOLLOWING",T$12)</f>
        <v>43444</v>
      </c>
      <c r="T669" s="13">
        <f ca="1">_xll.meDateFromTenor(S669,T$14,T$11,T$12)</f>
        <v>43809</v>
      </c>
      <c r="U669" s="98">
        <f ca="1"/>
        <v>1.8229664275006688E-3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-2.9781280472779247E-3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-2.2492014405230471E-4</v>
      </c>
      <c r="R670" s="5" t="s">
        <v>4</v>
      </c>
      <c r="S670" s="100">
        <f ca="1">_xll.meDateFromTenor(S669,"1D","FOLLOWING",T$12)</f>
        <v>43445</v>
      </c>
      <c r="T670" s="13">
        <f ca="1">_xll.meDateFromTenor(S670,T$14,T$11,T$12)</f>
        <v>43810</v>
      </c>
      <c r="U670" s="98">
        <f ca="1"/>
        <v>1.8282505359442033E-3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-2.9740665074759762E-3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-2.1951945946609586E-4</v>
      </c>
      <c r="R671" s="5" t="s">
        <v>4</v>
      </c>
      <c r="S671" s="100">
        <f ca="1">_xll.meDateFromTenor(S670,"1D","FOLLOWING",T$12)</f>
        <v>43446</v>
      </c>
      <c r="T671" s="13">
        <f ca="1">_xll.meDateFromTenor(S671,T$14,T$11,T$12)</f>
        <v>43811</v>
      </c>
      <c r="U671" s="98">
        <f ca="1"/>
        <v>1.8335374498460464E-3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-2.9699963752505007E-3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-2.1412026435608828E-4</v>
      </c>
      <c r="R672" s="5" t="s">
        <v>4</v>
      </c>
      <c r="S672" s="100">
        <f ca="1">_xll.meDateFromTenor(S671,"1D","FOLLOWING",T$12)</f>
        <v>43447</v>
      </c>
      <c r="T672" s="13">
        <f ca="1">_xll.meDateFromTenor(S672,T$14,T$11,T$12)</f>
        <v>43812</v>
      </c>
      <c r="U672" s="98">
        <f ca="1"/>
        <v>1.8388271507633175E-3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-2.9659196658754117E-3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-2.0872253088108966E-4</v>
      </c>
      <c r="R673" s="5" t="s">
        <v>4</v>
      </c>
      <c r="S673" s="100">
        <f ca="1">_xll.meDateFromTenor(S672,"1D","FOLLOWING",T$12)</f>
        <v>43448</v>
      </c>
      <c r="T673" s="13">
        <f ca="1">_xll.meDateFromTenor(S673,T$14,T$11,T$12)</f>
        <v>43815</v>
      </c>
      <c r="U673" s="98">
        <f ca="1"/>
        <v>1.8441196202531387E-3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-2.9536702275916125E-3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-1.9253782185425075E-4</v>
      </c>
      <c r="R674" s="5" t="s">
        <v>4</v>
      </c>
      <c r="S674" s="100">
        <f ca="1">_xll.meDateFromTenor(S673,"1D","FOLLOWING",T$12)</f>
        <v>43451</v>
      </c>
      <c r="T674" s="13">
        <f ca="1">_xll.meDateFromTenor(S674,T$14,T$11,T$12)</f>
        <v>43816</v>
      </c>
      <c r="U674" s="98">
        <f ca="1"/>
        <v>1.8600134557291046E-3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-2.9495873623572163E-3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-1.8714565650738822E-4</v>
      </c>
      <c r="R675" s="5" t="s">
        <v>4</v>
      </c>
      <c r="S675" s="100">
        <f ca="1">_xll.meDateFromTenor(S674,"1D","FOLLOWING",T$12)</f>
        <v>43452</v>
      </c>
      <c r="T675" s="13">
        <f ca="1">_xll.meDateFromTenor(S675,T$14,T$11,T$12)</f>
        <v>43817</v>
      </c>
      <c r="U675" s="98">
        <f ca="1"/>
        <v>1.8653168150803295E-3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-2.9455079963427808E-3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-1.81754813589584E-4</v>
      </c>
      <c r="R676" s="5" t="s">
        <v>4</v>
      </c>
      <c r="S676" s="100">
        <f ca="1">_xll.meDateFromTenor(S675,"1D","FOLLOWING",T$12)</f>
        <v>43453</v>
      </c>
      <c r="T676" s="13">
        <f ca="1">_xll.meDateFromTenor(S676,T$14,T$11,T$12)</f>
        <v>43818</v>
      </c>
      <c r="U676" s="98">
        <f ca="1"/>
        <v>1.8706228507897064E-3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-2.9414341448222186E-3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-1.7636526525964755E-4</v>
      </c>
      <c r="R677" s="5" t="s">
        <v>4</v>
      </c>
      <c r="S677" s="100">
        <f ca="1">_xll.meDateFromTenor(S676,"1D","FOLLOWING",T$12)</f>
        <v>43454</v>
      </c>
      <c r="T677" s="13">
        <f ca="1">_xll.meDateFromTenor(S677,T$14,T$11,T$12)</f>
        <v>43819</v>
      </c>
      <c r="U677" s="98">
        <f ca="1"/>
        <v>1.875931544414356E-3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-2.9373678230694457E-3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-1.7097698367638859E-4</v>
      </c>
      <c r="R678" s="5" t="s">
        <v>4</v>
      </c>
      <c r="S678" s="100">
        <f ca="1">_xll.meDateFromTenor(S677,"1D","FOLLOWING",T$12)</f>
        <v>43455</v>
      </c>
      <c r="T678" s="13">
        <f ca="1">_xll.meDateFromTenor(S678,T$14,T$11,T$12)</f>
        <v>43822</v>
      </c>
      <c r="U678" s="98">
        <f ca="1"/>
        <v>1.8812428775113988E-3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-2.9252341891570039E-3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-1.5481946099477482E-4</v>
      </c>
      <c r="R679" s="5" t="s">
        <v>4</v>
      </c>
      <c r="S679" s="100">
        <f ca="1">_xll.meDateFromTenor(S678,"1D","FOLLOWING",T$12)</f>
        <v>43458</v>
      </c>
      <c r="T679" s="13">
        <f ca="1">_xll.meDateFromTenor(S679,T$14,T$11,T$12)</f>
        <v>43823</v>
      </c>
      <c r="U679" s="98">
        <f ca="1"/>
        <v>1.8971925292080901E-3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-2.9132408730155809E-3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-1.3867233675040399E-4</v>
      </c>
      <c r="R680" s="5" t="s">
        <v>4</v>
      </c>
      <c r="S680" s="100">
        <f ca="1">_xll.meDateFromTenor(S679,"1D","FOLLOWING",T$12)</f>
        <v>43461</v>
      </c>
      <c r="T680" s="13">
        <f ca="1">_xll.meDateFromTenor(S680,T$14,T$11,T$12)</f>
        <v>43826</v>
      </c>
      <c r="U680" s="98">
        <f ca="1"/>
        <v>1.9131652722126616E-3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-2.9092836873069344E-3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-1.3329214284055758E-4</v>
      </c>
      <c r="R681" s="5" t="s">
        <v>4</v>
      </c>
      <c r="S681" s="100">
        <f ca="1">_xll.meDateFromTenor(S680,"1D","FOLLOWING",T$12)</f>
        <v>43462</v>
      </c>
      <c r="T681" s="13">
        <f ca="1">_xll.meDateFromTenor(S681,T$14,T$11,T$12)</f>
        <v>43829</v>
      </c>
      <c r="U681" s="98">
        <f ca="1"/>
        <v>1.9184945652158316E-3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-2.8975621030312821E-3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-1.1715771384918597E-4</v>
      </c>
      <c r="R682" s="5" t="s">
        <v>4</v>
      </c>
      <c r="S682" s="100">
        <f ca="1">_xll.meDateFromTenor(S681,"1D","FOLLOWING",T$12)</f>
        <v>43465</v>
      </c>
      <c r="T682" s="13">
        <f ca="1">_xll.meDateFromTenor(S682,T$14,T$11,T$12)</f>
        <v>43830</v>
      </c>
      <c r="U682" s="98">
        <f ca="1"/>
        <v>1.9344973220299683E-3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-2.889892843628564E-3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-1.0640627672484066E-4</v>
      </c>
      <c r="R683" s="5" t="s">
        <v>4</v>
      </c>
      <c r="S683" s="100">
        <f ca="1">_xll.meDateFromTenor(S682,"1D","FOLLOWING",T$12)</f>
        <v>43467</v>
      </c>
      <c r="T683" s="13">
        <f ca="1">_xll.meDateFromTenor(S683,T$14,T$11,T$12)</f>
        <v>43832</v>
      </c>
      <c r="U683" s="98">
        <f ca="1"/>
        <v>1.9451780403144533E-3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-2.8861071204130543E-3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-1.0103192930006712E-4</v>
      </c>
      <c r="R684" s="5" t="s">
        <v>4</v>
      </c>
      <c r="S684" s="100">
        <f ca="1">_xll.meDateFromTenor(S683,"1D","FOLLOWING",T$12)</f>
        <v>43468</v>
      </c>
      <c r="T684" s="13">
        <f ca="1">_xll.meDateFromTenor(S684,T$14,T$11,T$12)</f>
        <v>43833</v>
      </c>
      <c r="U684" s="98">
        <f ca="1"/>
        <v>1.9505220082505765E-3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-2.882353070578882E-3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-9.5658458845306204E-5</v>
      </c>
      <c r="R685" s="5" t="s">
        <v>4</v>
      </c>
      <c r="S685" s="100">
        <f ca="1">_xll.meDateFromTenor(S684,"1D","FOLLOWING",T$12)</f>
        <v>43469</v>
      </c>
      <c r="T685" s="13">
        <f ca="1">_xll.meDateFromTenor(S685,T$14,T$11,T$12)</f>
        <v>43836</v>
      </c>
      <c r="U685" s="98">
        <f ca="1"/>
        <v>1.95586835745878E-3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-2.8712604118909953E-3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-7.954303088919556E-5</v>
      </c>
      <c r="R686" s="5" t="s">
        <v>4</v>
      </c>
      <c r="S686" s="100">
        <f ca="1">_xll.meDateFromTenor(S685,"1D","FOLLOWING",T$12)</f>
        <v>43472</v>
      </c>
      <c r="T686" s="13">
        <f ca="1">_xll.meDateFromTenor(S686,T$14,T$11,T$12)</f>
        <v>43837</v>
      </c>
      <c r="U686" s="98">
        <f ca="1"/>
        <v>1.9719215082870797E-3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-2.8676125061087767E-3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-7.4172789902582438E-5</v>
      </c>
      <c r="R687" s="5" t="s">
        <v>4</v>
      </c>
      <c r="S687" s="100">
        <f ca="1">_xll.meDateFromTenor(S686,"1D","FOLLOWING",T$12)</f>
        <v>43473</v>
      </c>
      <c r="T687" s="13">
        <f ca="1">_xll.meDateFromTenor(S687,T$14,T$11,T$12)</f>
        <v>43838</v>
      </c>
      <c r="U687" s="98">
        <f ca="1"/>
        <v>1.9772771981548106E-3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-2.8639859989711973E-3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-6.8803286680029242E-5</v>
      </c>
      <c r="R688" s="5" t="s">
        <v>4</v>
      </c>
      <c r="S688" s="100">
        <f ca="1">_xll.meDateFromTenor(S687,"1D","FOLLOWING",T$12)</f>
        <v>43474</v>
      </c>
      <c r="T688" s="13">
        <f ca="1">_xll.meDateFromTenor(S688,T$14,T$11,T$12)</f>
        <v>43839</v>
      </c>
      <c r="U688" s="98">
        <f ca="1"/>
        <v>1.982635177080225E-3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-2.8603788355309172E-3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-6.3434493380346618E-5</v>
      </c>
      <c r="R689" s="5" t="s">
        <v>4</v>
      </c>
      <c r="S689" s="100">
        <f ca="1">_xll.meDateFromTenor(S688,"1D","FOLLOWING",T$12)</f>
        <v>43475</v>
      </c>
      <c r="T689" s="13">
        <f ca="1">_xll.meDateFromTenor(S689,T$14,T$11,T$12)</f>
        <v>43840</v>
      </c>
      <c r="U689" s="98">
        <f ca="1"/>
        <v>1.9879954266204436E-3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-2.8567889608405975E-3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-5.8066382162344972E-5</v>
      </c>
      <c r="R690" s="5" t="s">
        <v>4</v>
      </c>
      <c r="S690" s="100">
        <f ca="1">_xll.meDateFromTenor(S689,"1D","FOLLOWING",T$12)</f>
        <v>43476</v>
      </c>
      <c r="T690" s="13">
        <f ca="1">_xll.meDateFromTenor(S690,T$14,T$11,T$12)</f>
        <v>43843</v>
      </c>
      <c r="U690" s="98">
        <f ca="1"/>
        <v>1.9933579283325856E-3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-2.8461025197959984E-3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-4.196586258651492E-5</v>
      </c>
      <c r="R691" s="5" t="s">
        <v>4</v>
      </c>
      <c r="S691" s="100">
        <f ca="1">_xll.meDateFromTenor(S690,"1D","FOLLOWING",T$12)</f>
        <v>43479</v>
      </c>
      <c r="T691" s="13">
        <f ca="1">_xll.meDateFromTenor(S691,T$14,T$11,T$12)</f>
        <v>43844</v>
      </c>
      <c r="U691" s="98">
        <f ca="1"/>
        <v>2.0094587620717659E-3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-2.8425612506321201E-3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-3.6600201283329524E-5</v>
      </c>
      <c r="R692" s="5" t="s">
        <v>4</v>
      </c>
      <c r="S692" s="100">
        <f ca="1">_xll.meDateFromTenor(S691,"1D","FOLLOWING",T$12)</f>
        <v>43480</v>
      </c>
      <c r="T692" s="13">
        <f ca="1">_xll.meDateFromTenor(S692,T$14,T$11,T$12)</f>
        <v>43845</v>
      </c>
      <c r="U692" s="98">
        <f ca="1"/>
        <v>2.0148300880428113E-3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-2.8390269954815029E-3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-3.1235082855872576E-5</v>
      </c>
      <c r="R693" s="5" t="s">
        <v>4</v>
      </c>
      <c r="S693" s="100">
        <f ca="1">_xll.meDateFromTenor(S692,"1D","FOLLOWING",T$12)</f>
        <v>43481</v>
      </c>
      <c r="T693" s="13">
        <f ca="1">_xll.meDateFromTenor(S693,T$14,T$11,T$12)</f>
        <v>43846</v>
      </c>
      <c r="U693" s="98">
        <f ca="1"/>
        <v>2.0202035739713842E-3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-2.835497699396808E-3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-2.5870479462954577E-5</v>
      </c>
      <c r="R694" s="5" t="s">
        <v>4</v>
      </c>
      <c r="S694" s="100">
        <f ca="1">_xll.meDateFromTenor(S693,"1D","FOLLOWING",T$12)</f>
        <v>43482</v>
      </c>
      <c r="T694" s="13">
        <f ca="1">_xll.meDateFromTenor(S694,T$14,T$11,T$12)</f>
        <v>43847</v>
      </c>
      <c r="U694" s="98">
        <f ca="1"/>
        <v>2.0255792014146033E-3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-2.8319713074306946E-3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-2.050636326338338E-5</v>
      </c>
      <c r="R695" s="5" t="s">
        <v>4</v>
      </c>
      <c r="S695" s="100">
        <f ca="1">_xll.meDateFromTenor(S694,"1D","FOLLOWING",T$12)</f>
        <v>43483</v>
      </c>
      <c r="T695" s="13">
        <f ca="1">_xll.meDateFromTenor(S695,T$14,T$11,T$12)</f>
        <v>43850</v>
      </c>
      <c r="U695" s="98">
        <f ca="1"/>
        <v>2.0309569519295916E-3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-2.8213890067704489E-3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-4.4166594128535705E-6</v>
      </c>
      <c r="R696" s="5" t="s">
        <v>4</v>
      </c>
      <c r="S696" s="100">
        <f ca="1">_xll.meDateFromTenor(S695,"1D","FOLLOWING",T$12)</f>
        <v>43486</v>
      </c>
      <c r="T696" s="13">
        <f ca="1">_xll.meDateFromTenor(S696,T$14,T$11,T$12)</f>
        <v>43851</v>
      </c>
      <c r="U696" s="98">
        <f ca="1"/>
        <v>2.0471027574763688E-3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-2.8178536818052663E-3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9.4578642523022091E-7</v>
      </c>
      <c r="R697" s="5" t="s">
        <v>4</v>
      </c>
      <c r="S697" s="100">
        <f ca="1">_xll.meDateFromTenor(S696,"1D","FOLLOWING",T$12)</f>
        <v>43487</v>
      </c>
      <c r="T697" s="13">
        <f ca="1">_xll.meDateFromTenor(S697,T$14,T$11,T$12)</f>
        <v>43852</v>
      </c>
      <c r="U697" s="98">
        <f ca="1"/>
        <v>2.0524888158496351E-3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-2.8143109862219674E-3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6.307884275918038E-6</v>
      </c>
      <c r="R698" s="5" t="s">
        <v>4</v>
      </c>
      <c r="S698" s="100">
        <f ca="1">_xll.meDateFromTenor(S697,"1D","FOLLOWING",T$12)</f>
        <v>43488</v>
      </c>
      <c r="T698" s="13">
        <f ca="1">_xll.meDateFromTenor(S698,T$14,T$11,T$12)</f>
        <v>43853</v>
      </c>
      <c r="U698" s="98">
        <f ca="1"/>
        <v>2.0578769050802713E-3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-2.8107588650732119E-3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1.1669661980400231E-5</v>
      </c>
      <c r="R699" s="5" t="s">
        <v>4</v>
      </c>
      <c r="S699" s="100">
        <f ca="1">_xll.meDateFromTenor(S698,"1D","FOLLOWING",T$12)</f>
        <v>43489</v>
      </c>
      <c r="T699" s="13">
        <f ca="1">_xll.meDateFromTenor(S699,T$14,T$11,T$12)</f>
        <v>43854</v>
      </c>
      <c r="U699" s="98">
        <f ca="1"/>
        <v>2.063267006725399E-3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-2.8071952634116607E-3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1.7031147379867144E-5</v>
      </c>
      <c r="R700" s="5" t="s">
        <v>4</v>
      </c>
      <c r="S700" s="100">
        <f ca="1">_xll.meDateFromTenor(S699,"1D","FOLLOWING",T$12)</f>
        <v>43490</v>
      </c>
      <c r="T700" s="13">
        <f ca="1">_xll.meDateFromTenor(S700,T$14,T$11,T$12)</f>
        <v>43857</v>
      </c>
      <c r="U700" s="98">
        <f ca="1"/>
        <v>2.0686591023421387E-3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-2.7964150258768341E-3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3.3114128160078858E-5</v>
      </c>
      <c r="R701" s="5" t="s">
        <v>4</v>
      </c>
      <c r="S701" s="100">
        <f ca="1">_xll.meDateFromTenor(S700,"1D","FOLLOWING",T$12)</f>
        <v>43493</v>
      </c>
      <c r="T701" s="13">
        <f ca="1">_xll.meDateFromTenor(S701,T$14,T$11,T$12)</f>
        <v>43858</v>
      </c>
      <c r="U701" s="98">
        <f ca="1"/>
        <v>2.0848471685932326E-3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-2.7927849526907028E-3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3.8474722751387294E-5</v>
      </c>
      <c r="R702" s="5" t="s">
        <v>4</v>
      </c>
      <c r="S702" s="100">
        <f ca="1">_xll.meDateFromTenor(S701,"1D","FOLLOWING",T$12)</f>
        <v>43494</v>
      </c>
      <c r="T702" s="13">
        <f ca="1">_xll.meDateFromTenor(S702,T$14,T$11,T$12)</f>
        <v>43859</v>
      </c>
      <c r="U702" s="98">
        <f ca="1"/>
        <v>2.0902470556676237E-3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-2.7891331242550763E-3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4.3835164243633081E-5</v>
      </c>
      <c r="R703" s="5" t="s">
        <v>4</v>
      </c>
      <c r="S703" s="100">
        <f ca="1">_xll.meDateFromTenor(S702,"1D","FOLLOWING",T$12)</f>
        <v>43495</v>
      </c>
      <c r="T703" s="13">
        <f ca="1">_xll.meDateFromTenor(S703,T$14,T$11,T$12)</f>
        <v>43860</v>
      </c>
      <c r="U703" s="98">
        <f ca="1"/>
        <v>2.0956488444992304E-3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-2.7854574856226158E-3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4.9195480478005655E-5</v>
      </c>
      <c r="R704" s="5" t="s">
        <v>4</v>
      </c>
      <c r="S704" s="100">
        <f ca="1">_xll.meDateFromTenor(S703,"1D","FOLLOWING",T$12)</f>
        <v>43496</v>
      </c>
      <c r="T704" s="13">
        <f ca="1">_xll.meDateFromTenor(S704,T$14,T$11,T$12)</f>
        <v>43861</v>
      </c>
      <c r="U704" s="98">
        <f ca="1"/>
        <v>2.1010525166451715E-3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-2.7817559818459816E-3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5.4555699295695367E-5</v>
      </c>
      <c r="R705" s="5" t="s">
        <v>4</v>
      </c>
      <c r="S705" s="100">
        <f ca="1">_xll.meDateFromTenor(S704,"1D","FOLLOWING",T$12)</f>
        <v>43497</v>
      </c>
      <c r="T705" s="13">
        <f ca="1">_xll.meDateFromTenor(S705,T$14,T$11,T$12)</f>
        <v>43864</v>
      </c>
      <c r="U705" s="98">
        <f ca="1"/>
        <v>2.1064580536625686E-3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-2.7704757301776398E-3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7.0636049660570218E-5</v>
      </c>
      <c r="R706" s="5" t="s">
        <v>4</v>
      </c>
      <c r="S706" s="100">
        <f ca="1">_xll.meDateFromTenor(S705,"1D","FOLLOWING",T$12)</f>
        <v>43500</v>
      </c>
      <c r="T706" s="13">
        <f ca="1">_xll.meDateFromTenor(S706,T$14,T$11,T$12)</f>
        <v>43865</v>
      </c>
      <c r="U706" s="98">
        <f ca="1"/>
        <v>2.1226856695146967E-3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-2.7666508062587736E-3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7.5996157223432063E-5</v>
      </c>
      <c r="R707" s="5" t="s">
        <v>4</v>
      </c>
      <c r="S707" s="100">
        <f ca="1">_xll.meDateFromTenor(S706,"1D","FOLLOWING",T$12)</f>
        <v>43501</v>
      </c>
      <c r="T707" s="13">
        <f ca="1">_xll.meDateFromTenor(S707,T$14,T$11,T$12)</f>
        <v>43866</v>
      </c>
      <c r="U707" s="98">
        <f ca="1"/>
        <v>2.1280984815891207E-3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-2.7627932819061984E-3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8.1356306575562881E-5</v>
      </c>
      <c r="R708" s="5" t="s">
        <v>4</v>
      </c>
      <c r="S708" s="100">
        <f ca="1">_xll.meDateFromTenor(S707,"1D","FOLLOWING",T$12)</f>
        <v>43502</v>
      </c>
      <c r="T708" s="13">
        <f ca="1">_xll.meDateFromTenor(S708,T$14,T$11,T$12)</f>
        <v>43867</v>
      </c>
      <c r="U708" s="98">
        <f ca="1"/>
        <v>2.1335130663206032E-3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-2.758904641619736E-3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8.6716525558152026E-5</v>
      </c>
      <c r="R709" s="5" t="s">
        <v>4</v>
      </c>
      <c r="S709" s="100">
        <f ca="1">_xll.meDateFromTenor(S708,"1D","FOLLOWING",T$12)</f>
        <v>43503</v>
      </c>
      <c r="T709" s="13">
        <f ca="1">_xll.meDateFromTenor(S709,T$14,T$11,T$12)</f>
        <v>43868</v>
      </c>
      <c r="U709" s="98">
        <f ca="1"/>
        <v>2.1389294052662632E-3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-2.754986369899209E-3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9.20768420123917E-5</v>
      </c>
      <c r="R710" s="5" t="s">
        <v>4</v>
      </c>
      <c r="S710" s="100">
        <f ca="1">_xll.meDateFromTenor(S709,"1D","FOLLOWING",T$12)</f>
        <v>43504</v>
      </c>
      <c r="T710" s="13">
        <f ca="1">_xll.meDateFromTenor(S710,T$14,T$11,T$12)</f>
        <v>43871</v>
      </c>
      <c r="U710" s="98">
        <f ca="1"/>
        <v>2.1443474799832233E-3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-2.7430686111314688E-3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1.0815865461691175E-4</v>
      </c>
      <c r="R711" s="5" t="s">
        <v>4</v>
      </c>
      <c r="S711" s="100">
        <f ca="1">_xll.meDateFromTenor(S710,"1D","FOLLOWING",T$12)</f>
        <v>43507</v>
      </c>
      <c r="T711" s="13">
        <f ca="1">_xll.meDateFromTenor(S711,T$14,T$11,T$12)</f>
        <v>43872</v>
      </c>
      <c r="U711" s="98">
        <f ca="1"/>
        <v>2.1606119343331046E-3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-2.739046658672912E-3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1.1351963936965326E-4</v>
      </c>
      <c r="R712" s="5" t="s">
        <v>4</v>
      </c>
      <c r="S712" s="100">
        <f ca="1">_xll.meDateFromTenor(S711,"1D","FOLLOWING",T$12)</f>
        <v>43508</v>
      </c>
      <c r="T712" s="13">
        <f ca="1">_xll.meDateFromTenor(S712,T$14,T$11,T$12)</f>
        <v>43873</v>
      </c>
      <c r="U712" s="98">
        <f ca="1"/>
        <v>2.1660367677064666E-3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-2.7350024972794054E-3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1.188808607999953E-4</v>
      </c>
      <c r="R713" s="5" t="s">
        <v>4</v>
      </c>
      <c r="S713" s="100">
        <f ca="1">_xll.meDateFromTenor(S712,"1D","FOLLOWING",T$12)</f>
        <v>43509</v>
      </c>
      <c r="T713" s="13">
        <f ca="1">_xll.meDateFromTenor(S713,T$14,T$11,T$12)</f>
        <v>43874</v>
      </c>
      <c r="U713" s="98">
        <f ca="1"/>
        <v>2.1714632446367304E-3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-2.730937611450769E-3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1.2424234674912986E-4</v>
      </c>
      <c r="R714" s="5" t="s">
        <v>4</v>
      </c>
      <c r="S714" s="100">
        <f ca="1">_xll.meDateFromTenor(S713,"1D","FOLLOWING",T$12)</f>
        <v>43510</v>
      </c>
      <c r="T714" s="13">
        <f ca="1">_xll.meDateFromTenor(S714,T$14,T$11,T$12)</f>
        <v>43875</v>
      </c>
      <c r="U714" s="98">
        <f ca="1"/>
        <v>2.1768913466810166E-3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-2.7268534856868284E-3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1.2960412505824643E-4</v>
      </c>
      <c r="R715" s="5" t="s">
        <v>4</v>
      </c>
      <c r="S715" s="100">
        <f ca="1">_xll.meDateFromTenor(S714,"1D","FOLLOWING",T$12)</f>
        <v>43511</v>
      </c>
      <c r="T715" s="13">
        <f ca="1">_xll.meDateFromTenor(S715,T$14,T$11,T$12)</f>
        <v>43878</v>
      </c>
      <c r="U715" s="98">
        <f ca="1"/>
        <v>2.1823210553964462E-3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-2.7145005137814023E-3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1.4569149255739121E-4</v>
      </c>
      <c r="R716" s="5" t="s">
        <v>4</v>
      </c>
      <c r="S716" s="100">
        <f ca="1">_xll.meDateFromTenor(S715,"1D","FOLLOWING",T$12)</f>
        <v>43514</v>
      </c>
      <c r="T716" s="13">
        <f ca="1">_xll.meDateFromTenor(S716,T$14,T$11,T$12)</f>
        <v>43879</v>
      </c>
      <c r="U716" s="98">
        <f ca="1"/>
        <v>2.1986196371407965E-3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-2.7103542732744685E-3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1.5105471871833948E-4</v>
      </c>
      <c r="R717" s="5" t="s">
        <v>4</v>
      </c>
      <c r="S717" s="100">
        <f ca="1">_xll.meDateFromTenor(S716,"1D","FOLLOWING",T$12)</f>
        <v>43515</v>
      </c>
      <c r="T717" s="13">
        <f ca="1">_xll.meDateFromTenor(S717,T$14,T$11,T$12)</f>
        <v>43880</v>
      </c>
      <c r="U717" s="98">
        <f ca="1"/>
        <v>2.204055588112003E-3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-2.7061962153313423E-3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1.564183764452215E-4</v>
      </c>
      <c r="R718" s="5" t="s">
        <v>4</v>
      </c>
      <c r="S718" s="100">
        <f ca="1">_xll.meDateFromTenor(S717,"1D","FOLLOWING",T$12)</f>
        <v>43516</v>
      </c>
      <c r="T718" s="13">
        <f ca="1">_xll.meDateFromTenor(S718,T$14,T$11,T$12)</f>
        <v>43881</v>
      </c>
      <c r="U718" s="98">
        <f ca="1"/>
        <v>2.2094930535399553E-3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-2.7020278244518489E-3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1.6178249357922685E-4</v>
      </c>
      <c r="R719" s="5" t="s">
        <v>4</v>
      </c>
      <c r="S719" s="100">
        <f ca="1">_xll.meDateFromTenor(S718,"1D","FOLLOWING",T$12)</f>
        <v>43517</v>
      </c>
      <c r="T719" s="13">
        <f ca="1">_xll.meDateFromTenor(S719,T$14,T$11,T$12)</f>
        <v>43882</v>
      </c>
      <c r="U719" s="98">
        <f ca="1"/>
        <v>2.2149320149817725E-3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-2.6978505851358078E-3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1.6714709796154757E-4</v>
      </c>
      <c r="R720" s="5" t="s">
        <v>4</v>
      </c>
      <c r="S720" s="100">
        <f ca="1">_xll.meDateFromTenor(S719,"1D","FOLLOWING",T$12)</f>
        <v>43518</v>
      </c>
      <c r="T720" s="13">
        <f ca="1">_xll.meDateFromTenor(S720,T$14,T$11,T$12)</f>
        <v>43885</v>
      </c>
      <c r="U720" s="98">
        <f ca="1"/>
        <v>2.2203724539945776E-3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-2.6852806215666371E-3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1.8324411301029909E-4</v>
      </c>
      <c r="R721" s="5" t="s">
        <v>4</v>
      </c>
      <c r="S721" s="100">
        <f ca="1">_xll.meDateFromTenor(S720,"1D","FOLLOWING",T$12)</f>
        <v>43521</v>
      </c>
      <c r="T721" s="13">
        <f ca="1">_xll.meDateFromTenor(S721,T$14,T$11,T$12)</f>
        <v>43886</v>
      </c>
      <c r="U721" s="98">
        <f ca="1"/>
        <v>2.2367024520301157E-3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-2.6810828335026397E-3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1.8861094479778121E-4</v>
      </c>
      <c r="R722" s="5" t="s">
        <v>4</v>
      </c>
      <c r="S722" s="100">
        <f ca="1">_xll.meDateFromTenor(S721,"1D","FOLLOWING",T$12)</f>
        <v>43522</v>
      </c>
      <c r="T722" s="13">
        <f ca="1">_xll.meDateFromTenor(S722,T$14,T$11,T$12)</f>
        <v>43887</v>
      </c>
      <c r="U722" s="98">
        <f ca="1"/>
        <v>2.2421486168980728E-3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-2.6768836195012096E-3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1.9397840303952949E-4</v>
      </c>
      <c r="R723" s="5" t="s">
        <v>4</v>
      </c>
      <c r="S723" s="100">
        <f ca="1">_xll.meDateFromTenor(S722,"1D","FOLLOWING",T$12)</f>
        <v>43523</v>
      </c>
      <c r="T723" s="13">
        <f ca="1">_xll.meDateFromTenor(S723,T$14,T$11,T$12)</f>
        <v>43888</v>
      </c>
      <c r="U723" s="98">
        <f ca="1"/>
        <v>2.2475961671226184E-3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-2.67268446406217E-3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1.9934651557673439E-4</v>
      </c>
      <c r="R724" s="5" t="s">
        <v>4</v>
      </c>
      <c r="S724" s="100">
        <f ca="1">_xll.meDateFromTenor(S723,"1D","FOLLOWING",T$12)</f>
        <v>43524</v>
      </c>
      <c r="T724" s="13">
        <f ca="1">_xll.meDateFromTenor(S724,T$14,T$11,T$12)</f>
        <v>43889</v>
      </c>
      <c r="U724" s="98">
        <f ca="1"/>
        <v>2.2530450842608734E-3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-2.6684868516853432E-3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2.0471531025058622E-4</v>
      </c>
      <c r="R725" s="5" t="s">
        <v>4</v>
      </c>
      <c r="S725" s="100">
        <f ca="1">_xll.meDateFromTenor(S724,"1D","FOLLOWING",T$12)</f>
        <v>43525</v>
      </c>
      <c r="T725" s="13">
        <f ca="1">_xll.meDateFromTenor(S725,T$14,T$11,T$12)</f>
        <v>43892</v>
      </c>
      <c r="U725" s="98">
        <f ca="1"/>
        <v>2.2584953498699599E-3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-2.6559181179263698E-3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2.2082606550392577E-4</v>
      </c>
      <c r="R726" s="5" t="s">
        <v>4</v>
      </c>
      <c r="S726" s="100">
        <f ca="1">_xll.meDateFromTenor(S725,"1D","FOLLOWING",T$12)</f>
        <v>43528</v>
      </c>
      <c r="T726" s="13">
        <f ca="1">_xll.meDateFromTenor(S726,T$14,T$11,T$12)</f>
        <v>43894</v>
      </c>
      <c r="U726" s="98">
        <f ca="1"/>
        <v>2.2748540530934049E-3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-2.6517411362643882E-3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2.2619786713626874E-4</v>
      </c>
      <c r="R727" s="5" t="s">
        <v>4</v>
      </c>
      <c r="S727" s="100">
        <f ca="1">_xll.meDateFromTenor(S726,"1D","FOLLOWING",T$12)</f>
        <v>43529</v>
      </c>
      <c r="T727" s="13">
        <f ca="1">_xll.meDateFromTenor(S727,T$14,T$11,T$12)</f>
        <v>43895</v>
      </c>
      <c r="U727" s="98">
        <f ca="1"/>
        <v>2.2803095281570176E-3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-2.6475708009703288E-3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2.3157049011120954E-4</v>
      </c>
      <c r="R728" s="5" t="s">
        <v>4</v>
      </c>
      <c r="S728" s="100">
        <f ca="1">_xll.meDateFromTenor(S727,"1D","FOLLOWING",T$12)</f>
        <v>43530</v>
      </c>
      <c r="T728" s="13">
        <f ca="1">_xll.meDateFromTenor(S728,T$14,T$11,T$12)</f>
        <v>43896</v>
      </c>
      <c r="U728" s="98">
        <f ca="1"/>
        <v>2.2857662594770621E-3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-2.6434062773506074E-3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2.3694396226994017E-4</v>
      </c>
      <c r="R729" s="5" t="s">
        <v>4</v>
      </c>
      <c r="S729" s="100">
        <f ca="1">_xll.meDateFromTenor(S728,"1D","FOLLOWING",T$12)</f>
        <v>43531</v>
      </c>
      <c r="T729" s="13">
        <f ca="1">_xll.meDateFromTenor(S729,T$14,T$11,T$12)</f>
        <v>43899</v>
      </c>
      <c r="U729" s="98">
        <f ca="1"/>
        <v>2.2912242286106613E-3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-2.6392467307116414E-3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2.4231831145365022E-4</v>
      </c>
      <c r="R730" s="5" t="s">
        <v>4</v>
      </c>
      <c r="S730" s="100">
        <f ca="1">_xll.meDateFromTenor(S729,"1D","FOLLOWING",T$12)</f>
        <v>43532</v>
      </c>
      <c r="T730" s="13">
        <f ca="1">_xll.meDateFromTenor(S730,T$14,T$11,T$12)</f>
        <v>43899</v>
      </c>
      <c r="U730" s="98">
        <f ca="1"/>
        <v>2.2966834171149349E-3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-2.6267896057434502E-3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2.5844689956655906E-4</v>
      </c>
      <c r="R731" s="5" t="s">
        <v>4</v>
      </c>
      <c r="S731" s="100">
        <f ca="1">_xll.meDateFromTenor(S730,"1D","FOLLOWING",T$12)</f>
        <v>43535</v>
      </c>
      <c r="T731" s="13">
        <f ca="1">_xll.meDateFromTenor(S731,T$14,T$11,T$12)</f>
        <v>43901</v>
      </c>
      <c r="U731" s="98">
        <f ca="1"/>
        <v>2.3130681144230033E-3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-2.6226416200916796E-3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2.6382503526208999E-4</v>
      </c>
      <c r="R732" s="5" t="s">
        <v>4</v>
      </c>
      <c r="S732" s="100">
        <f ca="1">_xll.meDateFromTenor(S731,"1D","FOLLOWING",T$12)</f>
        <v>43536</v>
      </c>
      <c r="T732" s="13">
        <f ca="1">_xll.meDateFromTenor(S732,T$14,T$11,T$12)</f>
        <v>43902</v>
      </c>
      <c r="U732" s="98">
        <f ca="1"/>
        <v>2.3185319959811782E-3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-2.6184944379527503E-3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2.6920418718855203E-4</v>
      </c>
      <c r="R733" s="5" t="s">
        <v>4</v>
      </c>
      <c r="S733" s="100">
        <f ca="1">_xll.meDateFromTenor(S732,"1D","FOLLOWING",T$12)</f>
        <v>43537</v>
      </c>
      <c r="T733" s="13">
        <f ca="1">_xll.meDateFromTenor(S733,T$14,T$11,T$12)</f>
        <v>43903</v>
      </c>
      <c r="U733" s="98">
        <f ca="1"/>
        <v>2.3239970046956301E-3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-2.6143472246330803E-3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2.7458438318713559E-4</v>
      </c>
      <c r="R734" s="5" t="s">
        <v>4</v>
      </c>
      <c r="S734" s="100">
        <f ca="1">_xll.meDateFromTenor(S733,"1D","FOLLOWING",T$12)</f>
        <v>43538</v>
      </c>
      <c r="T734" s="13">
        <f ca="1">_xll.meDateFromTenor(S734,T$14,T$11,T$12)</f>
        <v>43906</v>
      </c>
      <c r="U734" s="98">
        <f ca="1"/>
        <v>2.3294631221234788E-3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-2.6101991454390871E-3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2.7996565109903007E-4</v>
      </c>
      <c r="R735" s="5" t="s">
        <v>4</v>
      </c>
      <c r="S735" s="100">
        <f ca="1">_xll.meDateFromTenor(S734,"1D","FOLLOWING",T$12)</f>
        <v>43539</v>
      </c>
      <c r="T735" s="13">
        <f ca="1">_xll.meDateFromTenor(S735,T$14,T$11,T$12)</f>
        <v>43906</v>
      </c>
      <c r="U735" s="98">
        <f ca="1"/>
        <v>2.3349303298218446E-3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-2.5977413656753366E-3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2.9611616472649028E-4</v>
      </c>
      <c r="R736" s="5" t="s">
        <v>4</v>
      </c>
      <c r="S736" s="100">
        <f ca="1">_xll.meDateFromTenor(S735,"1D","FOLLOWING",T$12)</f>
        <v>43542</v>
      </c>
      <c r="T736" s="13">
        <f ca="1">_xll.meDateFromTenor(S736,T$14,T$11,T$12)</f>
        <v>43908</v>
      </c>
      <c r="U736" s="98">
        <f ca="1"/>
        <v>2.3513383101112562E-3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-2.5935814760482206E-3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3.0150199870353624E-4</v>
      </c>
      <c r="R737" s="5" t="s">
        <v>4</v>
      </c>
      <c r="S737" s="100">
        <f ca="1">_xll.meDateFromTenor(S736,"1D","FOLLOWING",T$12)</f>
        <v>43543</v>
      </c>
      <c r="T737" s="13">
        <f ca="1">_xll.meDateFromTenor(S737,T$14,T$11,T$12)</f>
        <v>43909</v>
      </c>
      <c r="U737" s="98">
        <f ca="1"/>
        <v>2.3568096944628992E-3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-2.5894165470788681E-3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3.0688904379984496E-4</v>
      </c>
      <c r="R738" s="5" t="s">
        <v>4</v>
      </c>
      <c r="S738" s="100">
        <f ca="1">_xll.meDateFromTenor(S737,"1D","FOLLOWING",T$12)</f>
        <v>43544</v>
      </c>
      <c r="T738" s="13">
        <f ca="1">_xll.meDateFromTenor(S738,T$14,T$11,T$12)</f>
        <v>43910</v>
      </c>
      <c r="U738" s="98">
        <f ca="1"/>
        <v>2.3622820768706616E-3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-2.5852457440736941E-3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3.1227732785660836E-4</v>
      </c>
      <c r="R739" s="5" t="s">
        <v>4</v>
      </c>
      <c r="S739" s="100">
        <f ca="1">_xll.meDateFromTenor(S738,"1D","FOLLOWING",T$12)</f>
        <v>43545</v>
      </c>
      <c r="T739" s="13">
        <f ca="1">_xll.meDateFromTenor(S739,T$14,T$11,T$12)</f>
        <v>43913</v>
      </c>
      <c r="U739" s="98">
        <f ca="1"/>
        <v>2.3677554388916657E-3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-2.5810682323391164E-3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3.1766687871501598E-4</v>
      </c>
      <c r="R740" s="5" t="s">
        <v>4</v>
      </c>
      <c r="S740" s="100">
        <f ca="1">_xll.meDateFromTenor(S739,"1D","FOLLOWING",T$12)</f>
        <v>43546</v>
      </c>
      <c r="T740" s="13">
        <f ca="1">_xll.meDateFromTenor(S740,T$14,T$11,T$12)</f>
        <v>43913</v>
      </c>
      <c r="U740" s="98">
        <f ca="1"/>
        <v>2.3732297620830318E-3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-2.5684870978231402E-3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3.3384341051200715E-4</v>
      </c>
      <c r="R741" s="5" t="s">
        <v>4</v>
      </c>
      <c r="S741" s="100">
        <f ca="1">_xll.meDateFromTenor(S740,"1D","FOLLOWING",T$12)</f>
        <v>43549</v>
      </c>
      <c r="T741" s="13">
        <f ca="1">_xll.meDateFromTenor(S741,T$14,T$11,T$12)</f>
        <v>43915</v>
      </c>
      <c r="U741" s="98">
        <f ca="1"/>
        <v>2.3896583142505026E-3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-2.5642744042351233E-3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3.392383069888953E-4</v>
      </c>
      <c r="R742" s="5" t="s">
        <v>4</v>
      </c>
      <c r="S742" s="100">
        <f ca="1">_xll.meDateFromTenor(S741,"1D","FOLLOWING",T$12)</f>
        <v>43550</v>
      </c>
      <c r="T742" s="13">
        <f ca="1">_xll.meDateFromTenor(S742,T$14,T$11,T$12)</f>
        <v>43916</v>
      </c>
      <c r="U742" s="98">
        <f ca="1"/>
        <v>2.3951362976945192E-3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-2.5600508284497892E-3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3.4463460947337945E-4</v>
      </c>
      <c r="R743" s="5" t="s">
        <v>4</v>
      </c>
      <c r="S743" s="100">
        <f ca="1">_xll.meDateFromTenor(S742,"1D","FOLLOWING",T$12)</f>
        <v>43551</v>
      </c>
      <c r="T743" s="13">
        <f ca="1">_xll.meDateFromTenor(S743,T$14,T$11,T$12)</f>
        <v>43917</v>
      </c>
      <c r="U743" s="98">
        <f ca="1"/>
        <v>2.4006151500945007E-3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-2.5558155357735552E-3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3.5003234580664987E-4</v>
      </c>
      <c r="R744" s="5" t="s">
        <v>4</v>
      </c>
      <c r="S744" s="100">
        <f ca="1">_xll.meDateFromTenor(S743,"1D","FOLLOWING",T$12)</f>
        <v>43552</v>
      </c>
      <c r="T744" s="13">
        <f ca="1">_xll.meDateFromTenor(S744,T$14,T$11,T$12)</f>
        <v>43920</v>
      </c>
      <c r="U744" s="98">
        <f ca="1"/>
        <v>2.4060948530075662E-3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-2.5515676915128399E-3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3.5543154382989617E-4</v>
      </c>
      <c r="R745" s="5" t="s">
        <v>4</v>
      </c>
      <c r="S745" s="100">
        <f ca="1">_xll.meDateFromTenor(S744,"1D","FOLLOWING",T$12)</f>
        <v>43553</v>
      </c>
      <c r="T745" s="13">
        <f ca="1">_xll.meDateFromTenor(S745,T$14,T$11,T$12)</f>
        <v>43920</v>
      </c>
      <c r="U745" s="98">
        <f ca="1"/>
        <v>2.4115753879908369E-3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-2.5387405022879697E-3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3.716381864514002E-4</v>
      </c>
      <c r="R746" s="5" t="s">
        <v>4</v>
      </c>
      <c r="S746" s="100">
        <f ca="1">_xll.meDateFromTenor(S745,"1D","FOLLOWING",T$12)</f>
        <v>43556</v>
      </c>
      <c r="T746" s="13">
        <f ca="1">_xll.meDateFromTenor(S746,T$14,T$11,T$12)</f>
        <v>43922</v>
      </c>
      <c r="U746" s="98">
        <f ca="1"/>
        <v>2.4280218009330853E-3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-2.5344341047534961E-3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3.770435096464575E-4</v>
      </c>
      <c r="R747" s="5" t="s">
        <v>4</v>
      </c>
      <c r="S747" s="100">
        <f ca="1">_xll.meDateFromTenor(S746,"1D","FOLLOWING",T$12)</f>
        <v>43557</v>
      </c>
      <c r="T747" s="13">
        <f ca="1">_xll.meDateFromTenor(S747,T$14,T$11,T$12)</f>
        <v>43923</v>
      </c>
      <c r="U747" s="98">
        <f ca="1"/>
        <v>2.433505479768382E-3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-2.5301113472252622E-3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3.8245043373744331E-4</v>
      </c>
      <c r="R748" s="5" t="s">
        <v>4</v>
      </c>
      <c r="S748" s="100">
        <f ca="1">_xll.meDateFromTenor(S747,"1D","FOLLOWING",T$12)</f>
        <v>43558</v>
      </c>
      <c r="T748" s="13">
        <f ca="1">_xll.meDateFromTenor(S748,T$14,T$11,T$12)</f>
        <v>43924</v>
      </c>
      <c r="U748" s="98">
        <f ca="1"/>
        <v>2.4389898984594877E-3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-2.525773220302863E-3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3.8785898656554777E-4</v>
      </c>
      <c r="R749" s="5" t="s">
        <v>4</v>
      </c>
      <c r="S749" s="100">
        <f ca="1">_xll.meDateFromTenor(S748,"1D","FOLLOWING",T$12)</f>
        <v>43559</v>
      </c>
      <c r="T749" s="13">
        <f ca="1">_xll.meDateFromTenor(S749,T$14,T$11,T$12)</f>
        <v>43927</v>
      </c>
      <c r="U749" s="98">
        <f ca="1"/>
        <v>2.4444750385635206E-3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-2.5214210796445321E-3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3.9326919597196139E-4</v>
      </c>
      <c r="R750" s="5" t="s">
        <v>4</v>
      </c>
      <c r="S750" s="100">
        <f ca="1">_xll.meDateFromTenor(S749,"1D","FOLLOWING",T$12)</f>
        <v>43560</v>
      </c>
      <c r="T750" s="13">
        <f ca="1">_xll.meDateFromTenor(S750,T$14,T$11,T$12)</f>
        <v>43927</v>
      </c>
      <c r="U750" s="98">
        <f ca="1"/>
        <v>2.4499608816376025E-3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-2.5082941318362584E-3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4.0951004207295967E-4</v>
      </c>
      <c r="R751" s="5" t="s">
        <v>4</v>
      </c>
      <c r="S751" s="100">
        <f ca="1">_xll.meDateFromTenor(S750,"1D","FOLLOWING",T$12)</f>
        <v>43563</v>
      </c>
      <c r="T751" s="13">
        <f ca="1">_xll.meDateFromTenor(S751,T$14,T$11,T$12)</f>
        <v>43929</v>
      </c>
      <c r="U751" s="98">
        <f ca="1"/>
        <v>2.4664224442513477E-3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-2.5038994928165128E-3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4.1492715620451335E-4</v>
      </c>
      <c r="R752" s="5" t="s">
        <v>4</v>
      </c>
      <c r="S752" s="100">
        <f ca="1">_xll.meDateFromTenor(S751,"1D","FOLLOWING",T$12)</f>
        <v>43564</v>
      </c>
      <c r="T752" s="13">
        <f ca="1">_xll.meDateFromTenor(S752,T$14,T$11,T$12)</f>
        <v>43930</v>
      </c>
      <c r="U752" s="98">
        <f ca="1"/>
        <v>2.4719109147768306E-3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-2.4994976183519944E-3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4.2034606612032687E-4</v>
      </c>
      <c r="R753" s="5" t="s">
        <v>4</v>
      </c>
      <c r="S753" s="100">
        <f ca="1">_xll.meDateFromTenor(S752,"1D","FOLLOWING",T$12)</f>
        <v>43565</v>
      </c>
      <c r="T753" s="13">
        <f ca="1">_xll.meDateFromTenor(S753,T$14,T$11,T$12)</f>
        <v>43935</v>
      </c>
      <c r="U753" s="98">
        <f ca="1"/>
        <v>2.4773999960579643E-3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-2.4950898641009321E-3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4.257667996615927E-4</v>
      </c>
      <c r="R754" s="5" t="s">
        <v>4</v>
      </c>
      <c r="S754" s="100">
        <f ca="1">_xll.meDateFromTenor(S753,"1D","FOLLOWING",T$12)</f>
        <v>43566</v>
      </c>
      <c r="T754" s="13">
        <f ca="1">_xll.meDateFromTenor(S754,T$14,T$11,T$12)</f>
        <v>43935</v>
      </c>
      <c r="U754" s="98">
        <f ca="1"/>
        <v>2.4828896696518711E-3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-2.49067758572156E-3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4.3118938466949987E-4</v>
      </c>
      <c r="R755" s="5" t="s">
        <v>4</v>
      </c>
      <c r="S755" s="100">
        <f ca="1">_xll.meDateFromTenor(S754,"1D","FOLLOWING",T$12)</f>
        <v>43567</v>
      </c>
      <c r="T755" s="13">
        <f ca="1">_xll.meDateFromTenor(S755,T$14,T$11,T$12)</f>
        <v>43935</v>
      </c>
      <c r="U755" s="98">
        <f ca="1"/>
        <v>2.4883799171156705E-3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-2.4774271623958961E-3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4.4746852690497437E-4</v>
      </c>
      <c r="R756" s="5" t="s">
        <v>4</v>
      </c>
      <c r="S756" s="100">
        <f ca="1">_xll.meDateFromTenor(S755,"1D","FOLLOWING",T$12)</f>
        <v>43570</v>
      </c>
      <c r="T756" s="13">
        <f ca="1">_xll.meDateFromTenor(S756,T$14,T$11,T$12)</f>
        <v>43936</v>
      </c>
      <c r="U756" s="98">
        <f ca="1"/>
        <v>2.5048539182976302E-3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-2.4730103440855997E-3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4.5289879619135056E-4</v>
      </c>
      <c r="R757" s="5" t="s">
        <v>4</v>
      </c>
      <c r="S757" s="100">
        <f ca="1">_xll.meDateFromTenor(S756,"1D","FOLLOWING",T$12)</f>
        <v>43571</v>
      </c>
      <c r="T757" s="13">
        <f ca="1">_xll.meDateFromTenor(S757,T$14,T$11,T$12)</f>
        <v>43937</v>
      </c>
      <c r="U757" s="98">
        <f ca="1"/>
        <v>2.5103462768122043E-3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-2.4685957799381506E-3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4.583310561503208E-4</v>
      </c>
      <c r="R758" s="5" t="s">
        <v>4</v>
      </c>
      <c r="S758" s="100">
        <f ca="1">_xll.meDateFromTenor(S757,"1D","FOLLOWING",T$12)</f>
        <v>43572</v>
      </c>
      <c r="T758" s="13">
        <f ca="1">_xll.meDateFromTenor(S758,T$14,T$11,T$12)</f>
        <v>43938</v>
      </c>
      <c r="U758" s="98">
        <f ca="1"/>
        <v>2.5158391169822747E-3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-2.4641848256117807E-3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4.6376533462307474E-4</v>
      </c>
      <c r="R759" s="5" t="s">
        <v>4</v>
      </c>
      <c r="S759" s="100">
        <f ca="1">_xll.meDateFromTenor(S758,"1D","FOLLOWING",T$12)</f>
        <v>43573</v>
      </c>
      <c r="T759" s="13">
        <f ca="1">_xll.meDateFromTenor(S759,T$14,T$11,T$12)</f>
        <v>43941</v>
      </c>
      <c r="U759" s="98">
        <f ca="1"/>
        <v>2.5213324203649614E-3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-2.4422316493342431E-3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4.9096797913526042E-4</v>
      </c>
      <c r="R760" s="5" t="s">
        <v>4</v>
      </c>
      <c r="S760" s="100">
        <f ca="1">_xll.meDateFromTenor(S759,"1D","FOLLOWING",T$12)</f>
        <v>43578</v>
      </c>
      <c r="T760" s="13">
        <f ca="1">_xll.meDateFromTenor(S760,T$14,T$11,T$12)</f>
        <v>43944</v>
      </c>
      <c r="U760" s="98">
        <f ca="1"/>
        <v>2.5488052399668475E-3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-2.4378708227572191E-3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4.9641495335571353E-4</v>
      </c>
      <c r="R761" s="5" t="s">
        <v>4</v>
      </c>
      <c r="S761" s="100">
        <f ca="1">_xll.meDateFromTenor(S760,"1D","FOLLOWING",T$12)</f>
        <v>43579</v>
      </c>
      <c r="T761" s="13">
        <f ca="1">_xll.meDateFromTenor(S761,T$14,T$11,T$12)</f>
        <v>43945</v>
      </c>
      <c r="U761" s="98">
        <f ca="1"/>
        <v>2.5543009353247597E-3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-2.4335230956088979E-3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5.0186414097828187E-4</v>
      </c>
      <c r="R762" s="5" t="s">
        <v>4</v>
      </c>
      <c r="S762" s="100">
        <f ca="1">_xll.meDateFromTenor(S761,"1D","FOLLOWING",T$12)</f>
        <v>43580</v>
      </c>
      <c r="T762" s="13">
        <f ca="1">_xll.meDateFromTenor(S762,T$14,T$11,T$12)</f>
        <v>43948</v>
      </c>
      <c r="U762" s="98">
        <f ca="1"/>
        <v>2.559796964795131E-3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-2.4291898235475101E-3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5.0731556984415758E-4</v>
      </c>
      <c r="R763" s="5" t="s">
        <v>4</v>
      </c>
      <c r="S763" s="100">
        <f ca="1">_xll.meDateFromTenor(S762,"1D","FOLLOWING",T$12)</f>
        <v>43581</v>
      </c>
      <c r="T763" s="13">
        <f ca="1">_xll.meDateFromTenor(S763,T$14,T$11,T$12)</f>
        <v>43948</v>
      </c>
      <c r="U763" s="98">
        <f ca="1"/>
        <v>2.5652933099350821E-3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-2.4162902944672676E-3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5.2368358231352579E-4</v>
      </c>
      <c r="R764" s="5" t="s">
        <v>4</v>
      </c>
      <c r="S764" s="100">
        <f ca="1">_xll.meDateFromTenor(S763,"1D","FOLLOWING",T$12)</f>
        <v>43584</v>
      </c>
      <c r="T764" s="13">
        <f ca="1">_xll.meDateFromTenor(S764,T$14,T$11,T$12)</f>
        <v>43950</v>
      </c>
      <c r="U764" s="98">
        <f ca="1"/>
        <v>2.5817840549436223E-3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-2.4120283993359325E-3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5.2914425456453075E-4</v>
      </c>
      <c r="R765" s="5" t="s">
        <v>4</v>
      </c>
      <c r="S765" s="100">
        <f ca="1">_xll.meDateFromTenor(S764,"1D","FOLLOWING",T$12)</f>
        <v>43585</v>
      </c>
      <c r="T765" s="13">
        <f ca="1">_xll.meDateFromTenor(S765,T$14,T$11,T$12)</f>
        <v>43951</v>
      </c>
      <c r="U765" s="98">
        <f ca="1"/>
        <v>2.5872814783331E-3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-2.4035696648657709E-3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5.4007276825550549E-4</v>
      </c>
      <c r="R766" s="5" t="s">
        <v>4</v>
      </c>
      <c r="S766" s="100">
        <f ca="1">_xll.meDateFromTenor(S765,"1D","FOLLOWING",T$12)</f>
        <v>43587</v>
      </c>
      <c r="T766" s="13">
        <f ca="1">_xll.meDateFromTenor(S766,T$14,T$11,T$12)</f>
        <v>43955</v>
      </c>
      <c r="U766" s="98">
        <f ca="1"/>
        <v>2.5982769770347231E-3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-2.3993750057051204E-3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5.4554066537785607E-4</v>
      </c>
      <c r="R767" s="5" t="s">
        <v>4</v>
      </c>
      <c r="S767" s="100">
        <f ca="1">_xll.meDateFromTenor(S766,"1D","FOLLOWING",T$12)</f>
        <v>43588</v>
      </c>
      <c r="T767" s="13">
        <f ca="1">_xll.meDateFromTenor(S767,T$14,T$11,T$12)</f>
        <v>43955</v>
      </c>
      <c r="U767" s="98">
        <f ca="1"/>
        <v>2.6037750154611103E-3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-2.3869163846755308E-3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5.6195925194664335E-4</v>
      </c>
      <c r="R768" s="5" t="s">
        <v>4</v>
      </c>
      <c r="S768" s="100">
        <f ca="1">_xll.meDateFromTenor(S767,"1D","FOLLOWING",T$12)</f>
        <v>43591</v>
      </c>
      <c r="T768" s="13">
        <f ca="1">_xll.meDateFromTenor(S768,T$14,T$11,T$12)</f>
        <v>43957</v>
      </c>
      <c r="U768" s="98">
        <f ca="1"/>
        <v>2.6202700657280177E-3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-2.3827991925781306E-3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5.6743717200745207E-4</v>
      </c>
      <c r="R769" s="5" t="s">
        <v>4</v>
      </c>
      <c r="S769" s="100">
        <f ca="1">_xll.meDateFromTenor(S768,"1D","FOLLOWING",T$12)</f>
        <v>43592</v>
      </c>
      <c r="T769" s="13">
        <f ca="1">_xll.meDateFromTenor(S769,T$14,T$11,T$12)</f>
        <v>43958</v>
      </c>
      <c r="U769" s="98">
        <f ca="1"/>
        <v>2.6257686660033047E-3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-2.3786967893177991E-3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5.729176674058522E-4</v>
      </c>
      <c r="R770" s="5" t="s">
        <v>4</v>
      </c>
      <c r="S770" s="100">
        <f ca="1">_xll.meDateFromTenor(S769,"1D","FOLLOWING",T$12)</f>
        <v>43593</v>
      </c>
      <c r="T770" s="13">
        <f ca="1">_xll.meDateFromTenor(S770,T$14,T$11,T$12)</f>
        <v>43959</v>
      </c>
      <c r="U770" s="98">
        <f ca="1"/>
        <v>2.6312673606336185E-3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-2.3746073437230382E-3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5.7840076598303326E-4</v>
      </c>
      <c r="R771" s="5" t="s">
        <v>4</v>
      </c>
      <c r="S771" s="100">
        <f ca="1">_xll.meDateFromTenor(S770,"1D","FOLLOWING",T$12)</f>
        <v>43594</v>
      </c>
      <c r="T771" s="13">
        <f ca="1">_xll.meDateFromTenor(S771,T$14,T$11,T$12)</f>
        <v>43962</v>
      </c>
      <c r="U771" s="98">
        <f ca="1"/>
        <v>2.6367661311760796E-3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-2.3705290246223525E-3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5.8388649558018565E-4</v>
      </c>
      <c r="R772" s="5" t="s">
        <v>4</v>
      </c>
      <c r="S772" s="100">
        <f ca="1">_xll.meDateFromTenor(S771,"1D","FOLLOWING",T$12)</f>
        <v>43595</v>
      </c>
      <c r="T772" s="13">
        <f ca="1">_xll.meDateFromTenor(S772,T$14,T$11,T$12)</f>
        <v>43962</v>
      </c>
      <c r="U772" s="98">
        <f ca="1"/>
        <v>2.6422649591878074E-3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-2.3583425145697647E-3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6.0035974890337363E-4</v>
      </c>
      <c r="R773" s="5" t="s">
        <v>4</v>
      </c>
      <c r="S773" s="100">
        <f ca="1">_xll.meDateFromTenor(S772,"1D","FOLLOWING",T$12)</f>
        <v>43598</v>
      </c>
      <c r="T773" s="13">
        <f ca="1">_xll.meDateFromTenor(S773,T$14,T$11,T$12)</f>
        <v>43964</v>
      </c>
      <c r="U773" s="98">
        <f ca="1"/>
        <v>2.658761603609801E-3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-2.3542903897304009E-3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6.058562809923147E-4</v>
      </c>
      <c r="R774" s="5" t="s">
        <v>4</v>
      </c>
      <c r="S774" s="100">
        <f ca="1">_xll.meDateFromTenor(S773,"1D","FOLLOWING",T$12)</f>
        <v>43599</v>
      </c>
      <c r="T774" s="13">
        <f ca="1">_xll.meDateFromTenor(S774,T$14,T$11,T$12)</f>
        <v>43965</v>
      </c>
      <c r="U774" s="98">
        <f ca="1"/>
        <v>2.6642604770698046E-3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-2.3502402355276247E-3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6.1135558330717898E-4</v>
      </c>
      <c r="R775" s="5" t="s">
        <v>4</v>
      </c>
      <c r="S775" s="100">
        <f ca="1">_xll.meDateFromTenor(S774,"1D","FOLLOWING",T$12)</f>
        <v>43600</v>
      </c>
      <c r="T775" s="13">
        <f ca="1">_xll.meDateFromTenor(S775,T$14,T$11,T$12)</f>
        <v>43966</v>
      </c>
      <c r="U775" s="98">
        <f ca="1"/>
        <v>2.6697593157846782E-3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-2.3461902207899377E-3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6.168576836891557E-4</v>
      </c>
      <c r="R776" s="5" t="s">
        <v>4</v>
      </c>
      <c r="S776" s="100">
        <f ca="1">_xll.meDateFromTenor(S775,"1D","FOLLOWING",T$12)</f>
        <v>43601</v>
      </c>
      <c r="T776" s="13">
        <f ca="1">_xll.meDateFromTenor(S776,T$14,T$11,T$12)</f>
        <v>43969</v>
      </c>
      <c r="U776" s="98">
        <f ca="1"/>
        <v>2.6752581013115419E-3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-2.3421385143458429E-3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6.2236260997943719E-4</v>
      </c>
      <c r="R777" s="5" t="s">
        <v>4</v>
      </c>
      <c r="S777" s="100">
        <f ca="1">_xll.meDateFromTenor(S776,"1D","FOLLOWING",T$12)</f>
        <v>43602</v>
      </c>
      <c r="T777" s="13">
        <f ca="1">_xll.meDateFromTenor(S777,T$14,T$11,T$12)</f>
        <v>43969</v>
      </c>
      <c r="U777" s="98">
        <f ca="1"/>
        <v>2.6807568152075164E-3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-2.3299549330601374E-3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6.3889462271200738E-4</v>
      </c>
      <c r="R778" s="5" t="s">
        <v>4</v>
      </c>
      <c r="S778" s="100">
        <f ca="1">_xll.meDateFromTenor(S777,"1D","FOLLOWING",T$12)</f>
        <v>43605</v>
      </c>
      <c r="T778" s="13">
        <f ca="1">_xll.meDateFromTenor(S778,T$14,T$11,T$12)</f>
        <v>43971</v>
      </c>
      <c r="U778" s="98">
        <f ca="1"/>
        <v>2.697252342681315E-3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-2.3258781480754377E-3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6.4441113104740633E-4</v>
      </c>
      <c r="R779" s="5" t="s">
        <v>4</v>
      </c>
      <c r="S779" s="100">
        <f ca="1">_xll.meDateFromTenor(S778,"1D","FOLLOWING",T$12)</f>
        <v>43606</v>
      </c>
      <c r="T779" s="13">
        <f ca="1">_xll.meDateFromTenor(S779,T$14,T$11,T$12)</f>
        <v>43972</v>
      </c>
      <c r="U779" s="98">
        <f ca="1"/>
        <v>2.7027505856249399E-3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-2.3217905155268428E-3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6.4993060449706195E-4</v>
      </c>
      <c r="R780" s="5" t="s">
        <v>4</v>
      </c>
      <c r="S780" s="100">
        <f ca="1">_xll.meDateFromTenor(S779,"1D","FOLLOWING",T$12)</f>
        <v>43607</v>
      </c>
      <c r="T780" s="13">
        <f ca="1">_xll.meDateFromTenor(S780,T$14,T$11,T$12)</f>
        <v>43973</v>
      </c>
      <c r="U780" s="98">
        <f ca="1"/>
        <v>2.7082486647232785E-3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-2.3176902042428551E-3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6.5545307090216312E-4</v>
      </c>
      <c r="R781" s="5" t="s">
        <v>4</v>
      </c>
      <c r="S781" s="100">
        <f ca="1">_xll.meDateFromTenor(S780,"1D","FOLLOWING",T$12)</f>
        <v>43608</v>
      </c>
      <c r="T781" s="13">
        <f ca="1">_xll.meDateFromTenor(S781,T$14,T$11,T$12)</f>
        <v>43976</v>
      </c>
      <c r="U781" s="98">
        <f ca="1"/>
        <v>2.7137465615334521E-3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-2.3135753830519782E-3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6.6097855810390066E-4</v>
      </c>
      <c r="R782" s="5" t="s">
        <v>4</v>
      </c>
      <c r="S782" s="100">
        <f ca="1">_xll.meDateFromTenor(S781,"1D","FOLLOWING",T$12)</f>
        <v>43609</v>
      </c>
      <c r="T782" s="13">
        <f ca="1">_xll.meDateFromTenor(S782,T$14,T$11,T$12)</f>
        <v>43976</v>
      </c>
      <c r="U782" s="98">
        <f ca="1"/>
        <v>2.719244257612581E-3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-2.3011255483230356E-3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6.7757342290083284E-4</v>
      </c>
      <c r="R783" s="5" t="s">
        <v>4</v>
      </c>
      <c r="S783" s="100">
        <f ca="1">_xll.meDateFromTenor(S782,"1D","FOLLOWING",T$12)</f>
        <v>43612</v>
      </c>
      <c r="T783" s="13">
        <f ca="1">_xll.meDateFromTenor(S783,T$14,T$11,T$12)</f>
        <v>43978</v>
      </c>
      <c r="U783" s="98">
        <f ca="1"/>
        <v>2.7357359570348997E-3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-2.2969343757896265E-3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6.8311127170101859E-4</v>
      </c>
      <c r="R784" s="5" t="s">
        <v>4</v>
      </c>
      <c r="S784" s="100">
        <f ca="1">_xll.meDateFromTenor(S783,"1D","FOLLOWING",T$12)</f>
        <v>43613</v>
      </c>
      <c r="T784" s="13">
        <f ca="1">_xll.meDateFromTenor(S784,T$14,T$11,T$12)</f>
        <v>43979</v>
      </c>
      <c r="U784" s="98">
        <f ca="1"/>
        <v>2.7412326657610536E-3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-2.2927195374918396E-3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6.8865228050379228E-4</v>
      </c>
      <c r="R785" s="5" t="s">
        <v>4</v>
      </c>
      <c r="S785" s="100">
        <f ca="1">_xll.meDateFromTenor(S784,"1D","FOLLOWING",T$12)</f>
        <v>43614</v>
      </c>
      <c r="T785" s="13">
        <f ca="1">_xll.meDateFromTenor(S785,T$14,T$11,T$12)</f>
        <v>43980</v>
      </c>
      <c r="U785" s="98">
        <f ca="1"/>
        <v>2.7467290815417641E-3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-2.2884792022581798E-3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6.9419647715034333E-4</v>
      </c>
      <c r="R786" s="5" t="s">
        <v>4</v>
      </c>
      <c r="S786" s="100">
        <f ca="1">_xll.meDateFromTenor(S785,"1D","FOLLOWING",T$12)</f>
        <v>43615</v>
      </c>
      <c r="T786" s="13">
        <f ca="1">_xll.meDateFromTenor(S786,T$14,T$11,T$12)</f>
        <v>43980</v>
      </c>
      <c r="U786" s="98">
        <f ca="1"/>
        <v>2.7522251859341523E-3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-2.2842115389171474E-3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6.9974388948186388E-4</v>
      </c>
      <c r="R787" s="5" t="s">
        <v>4</v>
      </c>
      <c r="S787" s="100">
        <f ca="1">_xll.meDateFromTenor(S786,"1D","FOLLOWING",T$12)</f>
        <v>43616</v>
      </c>
      <c r="T787" s="13">
        <f ca="1">_xll.meDateFromTenor(S787,T$14,T$11,T$12)</f>
        <v>43980</v>
      </c>
      <c r="U787" s="98">
        <f ca="1"/>
        <v>2.7577209604953403E-3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-2.2712262685348479E-3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7.1640569899814022E-4</v>
      </c>
      <c r="R788" s="5" t="s">
        <v>4</v>
      </c>
      <c r="S788" s="100">
        <f ca="1">_xll.meDateFromTenor(S787,"1D","FOLLOWING",T$12)</f>
        <v>43619</v>
      </c>
      <c r="T788" s="13">
        <f ca="1">_xll.meDateFromTenor(S788,T$14,T$11,T$12)</f>
        <v>43985</v>
      </c>
      <c r="U788" s="98">
        <f ca="1"/>
        <v>2.7742061207628988E-3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-2.2668315156553608E-3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7.2196624583379353E-4</v>
      </c>
      <c r="R789" s="5" t="s">
        <v>4</v>
      </c>
      <c r="S789" s="100">
        <f ca="1">_xll.meDateFromTenor(S788,"1D","FOLLOWING",T$12)</f>
        <v>43620</v>
      </c>
      <c r="T789" s="13">
        <f ca="1">_xll.meDateFromTenor(S789,T$14,T$11,T$12)</f>
        <v>43986</v>
      </c>
      <c r="U789" s="98">
        <f ca="1"/>
        <v>2.7797003973381289E-3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-2.2624034864470485E-3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7.2753010767449562E-4</v>
      </c>
      <c r="R790" s="5" t="s">
        <v>4</v>
      </c>
      <c r="S790" s="100">
        <f ca="1">_xll.meDateFromTenor(S789,"1D","FOLLOWING",T$12)</f>
        <v>43621</v>
      </c>
      <c r="T790" s="13">
        <f ca="1">_xll.meDateFromTenor(S790,T$14,T$11,T$12)</f>
        <v>43987</v>
      </c>
      <c r="U790" s="98">
        <f ca="1"/>
        <v>2.7851942864736213E-3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-2.2579435573744479E-3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7.3309727247556451E-4</v>
      </c>
      <c r="R791" s="5" t="s">
        <v>4</v>
      </c>
      <c r="S791" s="100">
        <f ca="1">_xll.meDateFromTenor(S790,"1D","FOLLOWING",T$12)</f>
        <v>43622</v>
      </c>
      <c r="T791" s="13">
        <f ca="1">_xll.meDateFromTenor(S791,T$14,T$11,T$12)</f>
        <v>43990</v>
      </c>
      <c r="U791" s="98">
        <f ca="1"/>
        <v>2.7906878043323534E-3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-2.2534531049020938E-3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7.3866772819231941E-4</v>
      </c>
      <c r="R792" s="5" t="s">
        <v>4</v>
      </c>
      <c r="S792" s="100">
        <f ca="1">_xll.meDateFromTenor(S791,"1D","FOLLOWING",T$12)</f>
        <v>43623</v>
      </c>
      <c r="T792" s="13">
        <f ca="1">_xll.meDateFromTenor(S792,T$14,T$11,T$12)</f>
        <v>43990</v>
      </c>
      <c r="U792" s="98">
        <f ca="1"/>
        <v>2.7961809670773068E-3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-2.2398123717318748E-3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7.5539872038988306E-4</v>
      </c>
      <c r="R793" s="5" t="s">
        <v>4</v>
      </c>
      <c r="S793" s="100">
        <f ca="1">_xll.meDateFromTenor(S792,"1D","FOLLOWING",T$12)</f>
        <v>43626</v>
      </c>
      <c r="T793" s="13">
        <f ca="1">_xll.meDateFromTenor(S793,T$14,T$11,T$12)</f>
        <v>43992</v>
      </c>
      <c r="U793" s="98">
        <f ca="1"/>
        <v>2.8126584862592945E-3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-2.2352135903058704E-3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7.6098221932256553E-4</v>
      </c>
      <c r="R794" s="5" t="s">
        <v>4</v>
      </c>
      <c r="S794" s="100">
        <f ca="1">_xll.meDateFromTenor(S793,"1D","FOLLOWING",T$12)</f>
        <v>43627</v>
      </c>
      <c r="T794" s="13">
        <f ca="1">_xll.meDateFromTenor(S794,T$14,T$11,T$12)</f>
        <v>43993</v>
      </c>
      <c r="U794" s="98">
        <f ca="1"/>
        <v>2.8181503901789336E-3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-2.2305911678027926E-3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7.6656894894752746E-4</v>
      </c>
      <c r="R795" s="5" t="s">
        <v>4</v>
      </c>
      <c r="S795" s="100">
        <f ca="1">_xll.meDateFromTenor(S794,"1D","FOLLOWING",T$12)</f>
        <v>43628</v>
      </c>
      <c r="T795" s="13">
        <f ca="1">_xll.meDateFromTenor(S795,T$14,T$11,T$12)</f>
        <v>43994</v>
      </c>
      <c r="U795" s="98">
        <f ca="1"/>
        <v>2.8236420197996943E-3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-2.2259464806871788E-3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7.7215889722008642E-4</v>
      </c>
      <c r="R796" s="5" t="s">
        <v>4</v>
      </c>
      <c r="S796" s="100">
        <f ca="1">_xll.meDateFromTenor(S795,"1D","FOLLOWING",T$12)</f>
        <v>43629</v>
      </c>
      <c r="T796" s="13">
        <f ca="1">_xll.meDateFromTenor(S796,T$14,T$11,T$12)</f>
        <v>43997</v>
      </c>
      <c r="U796" s="98">
        <f ca="1"/>
        <v>2.8291333912845583E-3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-2.2212809054235646E-3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7.777520520955612E-4</v>
      </c>
      <c r="R797" s="5" t="s">
        <v>4</v>
      </c>
      <c r="S797" s="100">
        <f ca="1">_xll.meDateFromTenor(S796,"1D","FOLLOWING",T$12)</f>
        <v>43630</v>
      </c>
      <c r="T797" s="13">
        <f ca="1">_xll.meDateFromTenor(S797,T$14,T$11,T$12)</f>
        <v>43997</v>
      </c>
      <c r="U797" s="98">
        <f ca="1"/>
        <v>2.8346245207965031E-3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-2.2071726153900799E-3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7.9455063589266468E-4</v>
      </c>
      <c r="R798" s="5" t="s">
        <v>4</v>
      </c>
      <c r="S798" s="100">
        <f ca="1">_xll.meDateFromTenor(S797,"1D","FOLLOWING",T$12)</f>
        <v>43633</v>
      </c>
      <c r="T798" s="13">
        <f ca="1">_xll.meDateFromTenor(S798,T$14,T$11,T$12)</f>
        <v>43999</v>
      </c>
      <c r="U798" s="98">
        <f ca="1"/>
        <v>2.8510966191246327E-3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-2.2024372521798259E-3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8.0015649673298688E-4</v>
      </c>
      <c r="R799" s="5" t="s">
        <v>4</v>
      </c>
      <c r="S799" s="100">
        <f ca="1">_xll.meDateFromTenor(S798,"1D","FOLLOWING",T$12)</f>
        <v>43634</v>
      </c>
      <c r="T799" s="13">
        <f ca="1">_xll.meDateFromTenor(S799,T$14,T$11,T$12)</f>
        <v>44000</v>
      </c>
      <c r="U799" s="98">
        <f ca="1"/>
        <v>2.856586942374706E-3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-2.1976878831442511E-3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8.0576550395281823E-4</v>
      </c>
      <c r="R800" s="5" t="s">
        <v>4</v>
      </c>
      <c r="S800" s="100">
        <f ca="1">_xll.meDateFromTenor(S799,"1D","FOLLOWING",T$12)</f>
        <v>43635</v>
      </c>
      <c r="T800" s="13">
        <f ca="1">_xll.meDateFromTenor(S800,T$14,T$11,T$12)</f>
        <v>44001</v>
      </c>
      <c r="U800" s="98">
        <f ca="1"/>
        <v>2.862077104466764E-3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-2.1929258847478931E-3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8.1137764550747577E-4</v>
      </c>
      <c r="R801" s="5" t="s">
        <v>4</v>
      </c>
      <c r="S801" s="100">
        <f ca="1">_xll.meDateFromTenor(S800,"1D","FOLLOWING",T$12)</f>
        <v>43636</v>
      </c>
      <c r="T801" s="13">
        <f ca="1">_xll.meDateFromTenor(S801,T$14,T$11,T$12)</f>
        <v>44004</v>
      </c>
      <c r="U801" s="98">
        <f ca="1"/>
        <v>2.867567121563783E-3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-2.188152633455287E-3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8.1699290935227989E-4</v>
      </c>
      <c r="R802" s="5" t="s">
        <v>4</v>
      </c>
      <c r="S802" s="100">
        <f ca="1">_xll.meDateFromTenor(S801,"1D","FOLLOWING",T$12)</f>
        <v>43637</v>
      </c>
      <c r="T802" s="13">
        <f ca="1">_xll.meDateFromTenor(S802,T$14,T$11,T$12)</f>
        <v>44004</v>
      </c>
      <c r="U802" s="98">
        <f ca="1"/>
        <v>2.8730570098287464E-3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-2.1737791268453418E-3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8.3385731418075164E-4</v>
      </c>
      <c r="R803" s="5" t="s">
        <v>4</v>
      </c>
      <c r="S803" s="100">
        <f ca="1">_xll.meDateFromTenor(S802,"1D","FOLLOWING",T$12)</f>
        <v>43640</v>
      </c>
      <c r="T803" s="13">
        <f ca="1">_xll.meDateFromTenor(S803,T$14,T$11,T$12)</f>
        <v>44006</v>
      </c>
      <c r="U803" s="98">
        <f ca="1"/>
        <v>2.8895260632610959E-3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-2.1689746286131053E-3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8.394849467393237E-4</v>
      </c>
      <c r="R804" s="5" t="s">
        <v>4</v>
      </c>
      <c r="S804" s="100">
        <f ca="1">_xll.meDateFromTenor(S803,"1D","FOLLOWING",T$12)</f>
        <v>43641</v>
      </c>
      <c r="T804" s="13">
        <f ca="1">_xll.meDateFromTenor(S804,T$14,T$11,T$12)</f>
        <v>44007</v>
      </c>
      <c r="U804" s="98">
        <f ca="1"/>
        <v>2.8950155978276324E-3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-2.1641657598073022E-3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8.4511564136463449E-4</v>
      </c>
      <c r="R805" s="5" t="s">
        <v>4</v>
      </c>
      <c r="S805" s="100">
        <f ca="1">_xll.meDateFromTenor(S804,"1D","FOLLOWING",T$12)</f>
        <v>43642</v>
      </c>
      <c r="T805" s="13">
        <f ca="1">_xll.meDateFromTenor(S805,T$14,T$11,T$12)</f>
        <v>44008</v>
      </c>
      <c r="U805" s="98">
        <f ca="1"/>
        <v>2.9005050843770126E-3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-2.1593538968924676E-3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8.5074938601200126E-4</v>
      </c>
      <c r="R806" s="5" t="s">
        <v>4</v>
      </c>
      <c r="S806" s="100">
        <f ca="1">_xll.meDateFromTenor(S805,"1D","FOLLOWING",T$12)</f>
        <v>43643</v>
      </c>
      <c r="T806" s="13">
        <f ca="1">_xll.meDateFromTenor(S806,T$14,T$11,T$12)</f>
        <v>44011</v>
      </c>
      <c r="U806" s="98">
        <f ca="1"/>
        <v>2.9059945390722155E-3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-2.1545404163331376E-3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8.5638616863674432E-4</v>
      </c>
      <c r="R807" s="5" t="s">
        <v>4</v>
      </c>
      <c r="S807" s="100">
        <f ca="1">_xll.meDateFromTenor(S806,"1D","FOLLOWING",T$12)</f>
        <v>43644</v>
      </c>
      <c r="T807" s="13">
        <f ca="1">_xll.meDateFromTenor(S807,T$14,T$11,T$12)</f>
        <v>44011</v>
      </c>
      <c r="U807" s="98">
        <f ca="1"/>
        <v>2.9114839780762232E-3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-2.1401040334335379E-3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8.7331462392841212E-4</v>
      </c>
      <c r="R808" s="5" t="s">
        <v>4</v>
      </c>
      <c r="S808" s="100">
        <f ca="1">_xll.meDateFromTenor(S807,"1D","FOLLOWING",T$12)</f>
        <v>43647</v>
      </c>
      <c r="T808" s="13">
        <f ca="1">_xll.meDateFromTenor(S808,T$14,T$11,T$12)</f>
        <v>44013</v>
      </c>
      <c r="U808" s="98">
        <f ca="1"/>
        <v>2.9279523625708715E-3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-2.1352978469415885E-3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8.7896343801584307E-4</v>
      </c>
      <c r="R809" s="5" t="s">
        <v>4</v>
      </c>
      <c r="S809" s="100">
        <f ca="1">_xll.meDateFromTenor(S808,"1D","FOLLOWING",T$12)</f>
        <v>43648</v>
      </c>
      <c r="T809" s="13">
        <f ca="1">_xll.meDateFromTenor(S809,T$14,T$11,T$12)</f>
        <v>44014</v>
      </c>
      <c r="U809" s="98">
        <f ca="1"/>
        <v>2.933441900439896E-3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-2.1304966791813804E-3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8.8461522985724234E-4</v>
      </c>
      <c r="R810" s="5" t="s">
        <v>4</v>
      </c>
      <c r="S810" s="100">
        <f ca="1">_xll.meDateFromTenor(S809,"1D","FOLLOWING",T$12)</f>
        <v>43649</v>
      </c>
      <c r="T810" s="13">
        <f ca="1">_xll.meDateFromTenor(S810,T$14,T$11,T$12)</f>
        <v>44015</v>
      </c>
      <c r="U810" s="98">
        <f ca="1"/>
        <v>2.938931503432626E-3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-2.1257006768852301E-3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8.9026998740792881E-4</v>
      </c>
      <c r="R811" s="5" t="s">
        <v>4</v>
      </c>
      <c r="S811" s="100">
        <f ca="1">_xll.meDateFromTenor(S810,"1D","FOLLOWING",T$12)</f>
        <v>43650</v>
      </c>
      <c r="T811" s="13">
        <f ca="1">_xll.meDateFromTenor(S811,T$14,T$11,T$12)</f>
        <v>44018</v>
      </c>
      <c r="U811" s="98">
        <f ca="1"/>
        <v>2.9444211877120395E-3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-2.1209097408390119E-3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8.9592769862322072E-4</v>
      </c>
      <c r="R812" s="5" t="s">
        <v>4</v>
      </c>
      <c r="S812" s="100">
        <f ca="1">_xll.meDateFromTenor(S811,"1D","FOLLOWING",T$12)</f>
        <v>43651</v>
      </c>
      <c r="T812" s="13">
        <f ca="1">_xll.meDateFromTenor(S812,T$14,T$11,T$12)</f>
        <v>44018</v>
      </c>
      <c r="U812" s="98">
        <f ca="1"/>
        <v>2.9499109694411186E-3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-2.1065663380586785E-3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9.1291843380991299E-4</v>
      </c>
      <c r="R813" s="5" t="s">
        <v>4</v>
      </c>
      <c r="S813" s="100">
        <f ca="1">_xll.meDateFromTenor(S812,"1D","FOLLOWING",T$12)</f>
        <v>43654</v>
      </c>
      <c r="T813" s="13">
        <f ca="1">_xll.meDateFromTenor(S813,T$14,T$11,T$12)</f>
        <v>44020</v>
      </c>
      <c r="U813" s="98">
        <f ca="1"/>
        <v>2.9663810609561444E-3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-2.1017946748709175E-3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9.1858783923681265E-4</v>
      </c>
      <c r="R814" s="5" t="s">
        <v>4</v>
      </c>
      <c r="S814" s="100">
        <f ca="1">_xll.meDateFromTenor(S813,"1D","FOLLOWING",T$12)</f>
        <v>43655</v>
      </c>
      <c r="T814" s="13">
        <f ca="1">_xll.meDateFromTenor(S814,T$14,T$11,T$12)</f>
        <v>44021</v>
      </c>
      <c r="U814" s="98">
        <f ca="1"/>
        <v>2.971871394113684E-3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-2.0970275818624536E-3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9.2426013810491053E-4</v>
      </c>
      <c r="R815" s="5" t="s">
        <v>4</v>
      </c>
      <c r="S815" s="100">
        <f ca="1">_xll.meDateFromTenor(S814,"1D","FOLLOWING",T$12)</f>
        <v>43656</v>
      </c>
      <c r="T815" s="13">
        <f ca="1">_xll.meDateFromTenor(S815,T$14,T$11,T$12)</f>
        <v>44022</v>
      </c>
      <c r="U815" s="98">
        <f ca="1"/>
        <v>2.9773619055357891E-3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-2.0922649598191594E-3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9.2993531836952519E-4</v>
      </c>
      <c r="R816" s="5" t="s">
        <v>4</v>
      </c>
      <c r="S816" s="100">
        <f ca="1">_xll.meDateFromTenor(S815,"1D","FOLLOWING",T$12)</f>
        <v>43657</v>
      </c>
      <c r="T816" s="13">
        <f ca="1">_xll.meDateFromTenor(S816,T$14,T$11,T$12)</f>
        <v>44025</v>
      </c>
      <c r="U816" s="98">
        <f ca="1"/>
        <v>2.9828526113854404E-3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-2.0875067095269084E-3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9.3561336798597531E-4</v>
      </c>
      <c r="R817" s="5" t="s">
        <v>4</v>
      </c>
      <c r="S817" s="100">
        <f ca="1">_xll.meDateFromTenor(S816,"1D","FOLLOWING",T$12)</f>
        <v>43658</v>
      </c>
      <c r="T817" s="13">
        <f ca="1">_xll.meDateFromTenor(S817,T$14,T$11,T$12)</f>
        <v>44025</v>
      </c>
      <c r="U817" s="98">
        <f ca="1"/>
        <v>2.9883435278256166E-3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-2.0732571970151475E-3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9.5266461249952331E-4</v>
      </c>
      <c r="R818" s="5" t="s">
        <v>4</v>
      </c>
      <c r="S818" s="100">
        <f ca="1">_xll.meDateFromTenor(S817,"1D","FOLLOWING",T$12)</f>
        <v>43661</v>
      </c>
      <c r="T818" s="13">
        <f ca="1">_xll.meDateFromTenor(S818,T$14,T$11,T$12)</f>
        <v>44027</v>
      </c>
      <c r="U818" s="98">
        <f ca="1"/>
        <v>3.0048177023191012E-3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-2.0685154415858008E-3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9.5835401907650092E-4</v>
      </c>
      <c r="R819" s="5" t="s">
        <v>4</v>
      </c>
      <c r="S819" s="100">
        <f ca="1">_xll.meDateFromTenor(S818,"1D","FOLLOWING",T$12)</f>
        <v>43662</v>
      </c>
      <c r="T819" s="13">
        <f ca="1">_xll.meDateFromTenor(S819,T$14,T$11,T$12)</f>
        <v>44028</v>
      </c>
      <c r="U819" s="98">
        <f ca="1"/>
        <v>3.0103096227511823E-3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-2.0637775618368636E-3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9.640462347819057E-4</v>
      </c>
      <c r="R820" s="5" t="s">
        <v>4</v>
      </c>
      <c r="S820" s="100">
        <f ca="1">_xll.meDateFromTenor(S819,"1D","FOLLOWING",T$12)</f>
        <v>43663</v>
      </c>
      <c r="T820" s="13">
        <f ca="1">_xll.meDateFromTenor(S820,T$14,T$11,T$12)</f>
        <v>44029</v>
      </c>
      <c r="U820" s="98">
        <f ca="1"/>
        <v>3.0158018345886892E-3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-2.059043458554208E-3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9.6974124757105836E-4</v>
      </c>
      <c r="R821" s="5" t="s">
        <v>4</v>
      </c>
      <c r="S821" s="100">
        <f ca="1">_xll.meDateFromTenor(S820,"1D","FOLLOWING",T$12)</f>
        <v>43664</v>
      </c>
      <c r="T821" s="13">
        <f ca="1">_xll.meDateFromTenor(S821,T$14,T$11,T$12)</f>
        <v>44032</v>
      </c>
      <c r="U821" s="98">
        <f ca="1"/>
        <v>3.0212943539946026E-3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-2.0543130325237063E-3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9.7543904539927661E-4</v>
      </c>
      <c r="R822" s="5" t="s">
        <v>4</v>
      </c>
      <c r="S822" s="100">
        <f ca="1">_xll.meDateFromTenor(S821,"1D","FOLLOWING",T$12)</f>
        <v>43665</v>
      </c>
      <c r="T822" s="13">
        <f ca="1">_xll.meDateFromTenor(S822,T$14,T$11,T$12)</f>
        <v>44032</v>
      </c>
      <c r="U822" s="98">
        <f ca="1"/>
        <v>3.0267871971319041E-3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-2.0401428258038645E-3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9.9254902867150887E-4</v>
      </c>
      <c r="R823" s="5" t="s">
        <v>4</v>
      </c>
      <c r="S823" s="100">
        <f ca="1">_xll.meDateFromTenor(S822,"1D","FOLLOWING",T$12)</f>
        <v>43668</v>
      </c>
      <c r="T823" s="13">
        <f ca="1">_xll.meDateFromTenor(S823,T$14,T$11,T$12)</f>
        <v>44034</v>
      </c>
      <c r="U823" s="98">
        <f ca="1"/>
        <v>3.0432678305619266E-3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-2.0354261166407148E-3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9.9825784620917305E-4</v>
      </c>
      <c r="R824" s="5" t="s">
        <v>4</v>
      </c>
      <c r="S824" s="100">
        <f ca="1">_xll.meDateFromTenor(S823,"1D","FOLLOWING",T$12)</f>
        <v>43669</v>
      </c>
      <c r="T824" s="13">
        <f ca="1">_xll.meDateFromTenor(S824,T$14,T$11,T$12)</f>
        <v>44035</v>
      </c>
      <c r="U824" s="98">
        <f ca="1"/>
        <v>3.0487621302545749E-3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-2.0307125886590855E-3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1.0039693885624966E-3</v>
      </c>
      <c r="R825" s="5" t="s">
        <v>4</v>
      </c>
      <c r="S825" s="100">
        <f ca="1">_xll.meDateFromTenor(S824,"1D","FOLLOWING",T$12)</f>
        <v>43670</v>
      </c>
      <c r="T825" s="13">
        <f ca="1">_xll.meDateFromTenor(S825,T$14,T$11,T$12)</f>
        <v>44036</v>
      </c>
      <c r="U825" s="98">
        <f ca="1"/>
        <v>3.0542568344935107E-3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-2.0260021426448493E-3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1.0096836436867969E-3</v>
      </c>
      <c r="R826" s="5" t="s">
        <v>4</v>
      </c>
      <c r="S826" s="100">
        <f ca="1">_xll.meDateFromTenor(S825,"1D","FOLLOWING",T$12)</f>
        <v>43671</v>
      </c>
      <c r="T826" s="13">
        <f ca="1">_xll.meDateFromTenor(S826,T$14,T$11,T$12)</f>
        <v>44039</v>
      </c>
      <c r="U826" s="98">
        <f ca="1"/>
        <v>3.0597519594417148E-3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-2.0212946793838811E-3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1.0154005995373916E-3</v>
      </c>
      <c r="R827" s="5" t="s">
        <v>4</v>
      </c>
      <c r="S827" s="100">
        <f ca="1">_xll.meDateFromTenor(S826,"1D","FOLLOWING",T$12)</f>
        <v>43672</v>
      </c>
      <c r="T827" s="13">
        <f ca="1">_xll.meDateFromTenor(S827,T$14,T$11,T$12)</f>
        <v>44039</v>
      </c>
      <c r="U827" s="98">
        <f ca="1"/>
        <v>3.0652475212621651E-3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-2.0071891939793048E-3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1.0325675510001362E-3</v>
      </c>
      <c r="R828" s="5" t="s">
        <v>4</v>
      </c>
      <c r="S828" s="100">
        <f ca="1">_xll.meDateFromTenor(S827,"1D","FOLLOWING",T$12)</f>
        <v>43675</v>
      </c>
      <c r="T828" s="13">
        <f ca="1">_xll.meDateFromTenor(S828,T$14,T$11,T$12)</f>
        <v>44041</v>
      </c>
      <c r="U828" s="98">
        <f ca="1"/>
        <v>3.0817369895868056E-3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-2.0024926695901332E-3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1.0382951893090986E-3</v>
      </c>
      <c r="R829" s="5" t="s">
        <v>4</v>
      </c>
      <c r="S829" s="100">
        <f ca="1">_xll.meDateFromTenor(S828,"1D","FOLLOWING",T$12)</f>
        <v>43676</v>
      </c>
      <c r="T829" s="13">
        <f ca="1">_xll.meDateFromTenor(S829,T$14,T$11,T$12)</f>
        <v>44042</v>
      </c>
      <c r="U829" s="98">
        <f ca="1"/>
        <v>3.0872344605260482E-3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-1.9977986318835939E-3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1.0440254681209494E-3</v>
      </c>
      <c r="R830" s="5" t="s">
        <v>4</v>
      </c>
      <c r="S830" s="100">
        <f ca="1">_xll.meDateFromTenor(S829,"1D","FOLLOWING",T$12)</f>
        <v>43677</v>
      </c>
      <c r="T830" s="13">
        <f ca="1">_xll.meDateFromTenor(S830,T$14,T$11,T$12)</f>
        <v>44043</v>
      </c>
      <c r="U830" s="98">
        <f ca="1"/>
        <v>3.09273244915244E-3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-1.9931069816455614E-3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1.0497583753910061E-3</v>
      </c>
      <c r="R831" s="5" t="s">
        <v>4</v>
      </c>
      <c r="S831" s="100">
        <f ca="1">_xll.meDateFromTenor(S830,"1D","FOLLOWING",T$12)</f>
        <v>43678</v>
      </c>
      <c r="T831" s="13">
        <f ca="1">_xll.meDateFromTenor(S831,T$14,T$11,T$12)</f>
        <v>44046</v>
      </c>
      <c r="U831" s="98">
        <f ca="1"/>
        <v>3.0982309716289587E-3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-1.9884176196619061E-3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1.0554938990745887E-3</v>
      </c>
      <c r="R832" s="5" t="s">
        <v>4</v>
      </c>
      <c r="S832" s="100">
        <f ca="1">_xll.meDateFromTenor(S831,"1D","FOLLOWING",T$12)</f>
        <v>43679</v>
      </c>
      <c r="T832" s="13">
        <f ca="1">_xll.meDateFromTenor(S832,T$14,T$11,T$12)</f>
        <v>44046</v>
      </c>
      <c r="U832" s="98">
        <f ca="1"/>
        <v>3.1037300441185871E-3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-1.9743567139213769E-3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1.0727160481596733E-3</v>
      </c>
      <c r="R833" s="5" t="s">
        <v>4</v>
      </c>
      <c r="S833" s="100">
        <f ca="1">_xll.meDateFromTenor(S832,"1D","FOLLOWING",T$12)</f>
        <v>43682</v>
      </c>
      <c r="T833" s="13">
        <f ca="1">_xll.meDateFromTenor(S833,T$14,T$11,T$12)</f>
        <v>44048</v>
      </c>
      <c r="U833" s="98">
        <f ca="1"/>
        <v>3.1202307232959235E-3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-1.9696678974265983E-3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1.0784619170505429E-3</v>
      </c>
      <c r="R834" s="5" t="s">
        <v>4</v>
      </c>
      <c r="S834" s="100">
        <f ca="1">_xll.meDateFromTenor(S833,"1D","FOLLOWING",T$12)</f>
        <v>43683</v>
      </c>
      <c r="T834" s="13">
        <f ca="1">_xll.meDateFromTenor(S834,T$14,T$11,T$12)</f>
        <v>44049</v>
      </c>
      <c r="U834" s="98">
        <f ca="1"/>
        <v>3.1257321574677875E-3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-1.9649759334048381E-3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1.0842103421315303E-3</v>
      </c>
      <c r="R835" s="5" t="s">
        <v>4</v>
      </c>
      <c r="S835" s="100">
        <f ca="1">_xll.meDateFromTenor(S834,"1D","FOLLOWING",T$12)</f>
        <v>43684</v>
      </c>
      <c r="T835" s="13">
        <f ca="1">_xll.meDateFromTenor(S835,T$14,T$11,T$12)</f>
        <v>44050</v>
      </c>
      <c r="U835" s="98">
        <f ca="1"/>
        <v>3.1312342224676603E-3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-1.9602794877142888E-3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1.0899613113579546E-3</v>
      </c>
      <c r="R836" s="5" t="s">
        <v>4</v>
      </c>
      <c r="S836" s="100">
        <f ca="1">_xll.meDateFromTenor(S835,"1D","FOLLOWING",T$12)</f>
        <v>43685</v>
      </c>
      <c r="T836" s="13">
        <f ca="1">_xll.meDateFromTenor(S836,T$14,T$11,T$12)</f>
        <v>44053</v>
      </c>
      <c r="U836" s="98">
        <f ca="1"/>
        <v>3.1367369344585229E-3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-1.9555772262131411E-3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1.0957148126851341E-3</v>
      </c>
      <c r="R837" s="5" t="s">
        <v>4</v>
      </c>
      <c r="S837" s="100">
        <f ca="1">_xll.meDateFromTenor(S836,"1D","FOLLOWING",T$12)</f>
        <v>43686</v>
      </c>
      <c r="T837" s="13">
        <f ca="1">_xll.meDateFromTenor(S837,T$14,T$11,T$12)</f>
        <v>44053</v>
      </c>
      <c r="U837" s="98">
        <f ca="1"/>
        <v>3.1422403096033544E-3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-1.9414222054280315E-3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1.1129903888243877E-3</v>
      </c>
      <c r="R838" s="5" t="s">
        <v>4</v>
      </c>
      <c r="S838" s="100">
        <f ca="1">_xll.meDateFromTenor(S837,"1D","FOLLOWING",T$12)</f>
        <v>43689</v>
      </c>
      <c r="T838" s="13">
        <f ca="1">_xll.meDateFromTenor(S838,T$14,T$11,T$12)</f>
        <v>44055</v>
      </c>
      <c r="U838" s="98">
        <f ca="1"/>
        <v>3.158754575591467E-3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-1.9366833392664103E-3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1.118753898107774E-3</v>
      </c>
      <c r="R839" s="5" t="s">
        <v>4</v>
      </c>
      <c r="S839" s="100">
        <f ca="1">_xll.meDateFromTenor(S838,"1D","FOLLOWING",T$12)</f>
        <v>43690</v>
      </c>
      <c r="T839" s="13">
        <f ca="1">_xll.meDateFromTenor(S839,T$14,T$11,T$12)</f>
        <v>44056</v>
      </c>
      <c r="U839" s="98">
        <f ca="1"/>
        <v>3.1642607649819774E-3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-1.9319319865851504E-3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1.1245198792685079E-3</v>
      </c>
      <c r="R840" s="5" t="s">
        <v>4</v>
      </c>
      <c r="S840" s="100">
        <f ca="1">_xll.meDateFromTenor(S839,"1D","FOLLOWING",T$12)</f>
        <v>43691</v>
      </c>
      <c r="T840" s="13">
        <f ca="1">_xll.meDateFromTenor(S840,T$14,T$11,T$12)</f>
        <v>44057</v>
      </c>
      <c r="U840" s="98">
        <f ca="1"/>
        <v>3.1697676983413591E-3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-1.9271668132424433E-3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1.1302883202619085E-3</v>
      </c>
      <c r="R841" s="5" t="s">
        <v>4</v>
      </c>
      <c r="S841" s="100">
        <f ca="1">_xll.meDateFromTenor(S840,"1D","FOLLOWING",T$12)</f>
        <v>43692</v>
      </c>
      <c r="T841" s="13">
        <f ca="1">_xll.meDateFromTenor(S841,T$14,T$11,T$12)</f>
        <v>44060</v>
      </c>
      <c r="U841" s="98">
        <f ca="1"/>
        <v>3.1752753918325902E-3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-1.9223864850964811E-3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1.1360592090432946E-3</v>
      </c>
      <c r="R842" s="5" t="s">
        <v>4</v>
      </c>
      <c r="S842" s="100">
        <f ca="1">_xll.meDateFromTenor(S841,"1D","FOLLOWING",T$12)</f>
        <v>43693</v>
      </c>
      <c r="T842" s="13">
        <f ca="1">_xll.meDateFromTenor(S842,T$14,T$11,T$12)</f>
        <v>44060</v>
      </c>
      <c r="U842" s="98">
        <f ca="1"/>
        <v>3.1807838616186523E-3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-1.9079412304209796E-3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1.1533864416685478E-3</v>
      </c>
      <c r="R843" s="5" t="s">
        <v>4</v>
      </c>
      <c r="S843" s="100">
        <f ca="1">_xll.meDateFromTenor(S842,"1D","FOLLOWING",T$12)</f>
        <v>43696</v>
      </c>
      <c r="T843" s="13">
        <f ca="1">_xll.meDateFromTenor(S843,T$14,T$11,T$12)</f>
        <v>44062</v>
      </c>
      <c r="U843" s="98">
        <f ca="1"/>
        <v>3.1973140903756203E-3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-1.9030869416439128E-3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1.15916700115506E-3</v>
      </c>
      <c r="R844" s="5" t="s">
        <v>4</v>
      </c>
      <c r="S844" s="100">
        <f ca="1">_xll.meDateFromTenor(S843,"1D","FOLLOWING",T$12)</f>
        <v>43697</v>
      </c>
      <c r="T844" s="13">
        <f ca="1">_xll.meDateFromTenor(S844,T$14,T$11,T$12)</f>
        <v>44063</v>
      </c>
      <c r="U844" s="98">
        <f ca="1"/>
        <v>3.2028258269708059E-3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-1.8982108273545505E-3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1.1649499482061494E-3</v>
      </c>
      <c r="R845" s="5" t="s">
        <v>4</v>
      </c>
      <c r="S845" s="100">
        <f ca="1">_xll.meDateFromTenor(S844,"1D","FOLLOWING",T$12)</f>
        <v>43698</v>
      </c>
      <c r="T845" s="13">
        <f ca="1">_xll.meDateFromTenor(S845,T$14,T$11,T$12)</f>
        <v>44064</v>
      </c>
      <c r="U845" s="98">
        <f ca="1"/>
        <v>3.2083384206757206E-3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-1.893311553411083E-3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1.1707352707771362E-3</v>
      </c>
      <c r="R846" s="5" t="s">
        <v>4</v>
      </c>
      <c r="S846" s="100">
        <f ca="1">_xll.meDateFromTenor(S845,"1D","FOLLOWING",T$12)</f>
        <v>43699</v>
      </c>
      <c r="T846" s="13">
        <f ca="1">_xll.meDateFromTenor(S846,T$14,T$11,T$12)</f>
        <v>44067</v>
      </c>
      <c r="U846" s="98">
        <f ca="1"/>
        <v>3.2138518876533477E-3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-1.8883877856717018E-3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1.1765229568233379E-3</v>
      </c>
      <c r="R847" s="5" t="s">
        <v>4</v>
      </c>
      <c r="S847" s="100">
        <f ca="1">_xll.meDateFromTenor(S846,"1D","FOLLOWING",T$12)</f>
        <v>43700</v>
      </c>
      <c r="T847" s="13">
        <f ca="1">_xll.meDateFromTenor(S847,T$14,T$11,T$12)</f>
        <v>44067</v>
      </c>
      <c r="U847" s="98">
        <f ca="1"/>
        <v>3.2193662440666662E-3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-1.8734561782599987E-3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1.19390007536642E-3</v>
      </c>
      <c r="R848" s="5" t="s">
        <v>4</v>
      </c>
      <c r="S848" s="100">
        <f ca="1">_xll.meDateFromTenor(S847,"1D","FOLLOWING",T$12)</f>
        <v>43703</v>
      </c>
      <c r="T848" s="13">
        <f ca="1">_xll.meDateFromTenor(S848,T$14,T$11,T$12)</f>
        <v>44069</v>
      </c>
      <c r="U848" s="98">
        <f ca="1"/>
        <v>3.2359148115505706E-3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-1.8684210939188832E-3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1.1996970948666679E-3</v>
      </c>
      <c r="R849" s="5" t="s">
        <v>4</v>
      </c>
      <c r="S849" s="100">
        <f ca="1">_xll.meDateFromTenor(S848,"1D","FOLLOWING",T$12)</f>
        <v>43704</v>
      </c>
      <c r="T849" s="13">
        <f ca="1">_xll.meDateFromTenor(S849,T$14,T$11,T$12)</f>
        <v>44070</v>
      </c>
      <c r="U849" s="98">
        <f ca="1"/>
        <v>3.2414328873364554E-3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-1.8633548450728147E-3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1.2054964176187229E-3</v>
      </c>
      <c r="R850" s="5" t="s">
        <v>4</v>
      </c>
      <c r="S850" s="100">
        <f ca="1">_xll.meDateFromTenor(S849,"1D","FOLLOWING",T$12)</f>
        <v>43705</v>
      </c>
      <c r="T850" s="13">
        <f ca="1">_xll.meDateFromTenor(S850,T$14,T$11,T$12)</f>
        <v>44071</v>
      </c>
      <c r="U850" s="98">
        <f ca="1"/>
        <v>3.246951933372932E-3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-1.8582560975799825E-3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1.2112980315779052E-3</v>
      </c>
      <c r="R851" s="5" t="s">
        <v>4</v>
      </c>
      <c r="S851" s="100">
        <f ca="1">_xll.meDateFromTenor(S850,"1D","FOLLOWING",T$12)</f>
        <v>43706</v>
      </c>
      <c r="T851" s="13">
        <f ca="1">_xll.meDateFromTenor(S851,T$14,T$11,T$12)</f>
        <v>44074</v>
      </c>
      <c r="U851" s="98">
        <f ca="1"/>
        <v>3.2524719658229809E-3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-1.8531235172985811E-3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1.2171019246995315E-3</v>
      </c>
      <c r="R852" s="5" t="s">
        <v>4</v>
      </c>
      <c r="S852" s="100">
        <f ca="1">_xll.meDateFromTenor(S851,"1D","FOLLOWING",T$12)</f>
        <v>43707</v>
      </c>
      <c r="T852" s="13">
        <f ca="1">_xll.meDateFromTenor(S852,T$14,T$11,T$12)</f>
        <v>44074</v>
      </c>
      <c r="U852" s="98">
        <f ca="1"/>
        <v>3.257993000849582E-3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-1.8375094383048674E-3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1.2345271585922702E-3</v>
      </c>
      <c r="R853" s="5" t="s">
        <v>4</v>
      </c>
      <c r="S853" s="100">
        <f ca="1">_xll.meDateFromTenor(S852,"1D","FOLLOWING",T$12)</f>
        <v>43710</v>
      </c>
      <c r="T853" s="13">
        <f ca="1">_xll.meDateFromTenor(S853,T$14,T$11,T$12)</f>
        <v>44076</v>
      </c>
      <c r="U853" s="98">
        <f ca="1"/>
        <v>3.2745622830185005E-3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-1.8322288833905694E-3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1.2403400479168633E-3</v>
      </c>
      <c r="R854" s="5" t="s">
        <v>4</v>
      </c>
      <c r="S854" s="100">
        <f ca="1">_xll.meDateFromTenor(S853,"1D","FOLLOWING",T$12)</f>
        <v>43711</v>
      </c>
      <c r="T854" s="13">
        <f ca="1">_xll.meDateFromTenor(S854,T$14,T$11,T$12)</f>
        <v>44077</v>
      </c>
      <c r="U854" s="98">
        <f ca="1"/>
        <v>3.2800874899811122E-3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-1.8269120126154746E-3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1.2461551561804946E-3</v>
      </c>
      <c r="R855" s="5" t="s">
        <v>4</v>
      </c>
      <c r="S855" s="100">
        <f ca="1">_xll.meDateFromTenor(S854,"1D","FOLLOWING",T$12)</f>
        <v>43712</v>
      </c>
      <c r="T855" s="13">
        <f ca="1">_xll.meDateFromTenor(S855,T$14,T$11,T$12)</f>
        <v>44078</v>
      </c>
      <c r="U855" s="98">
        <f ca="1"/>
        <v>3.2856137803351773E-3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-1.8215616794745914E-3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1.2519724713384824E-3</v>
      </c>
      <c r="R856" s="5" t="s">
        <v>4</v>
      </c>
      <c r="S856" s="100">
        <f ca="1">_xll.meDateFromTenor(S855,"1D","FOLLOWING",T$12)</f>
        <v>43713</v>
      </c>
      <c r="T856" s="13">
        <f ca="1">_xll.meDateFromTenor(S856,T$14,T$11,T$12)</f>
        <v>44081</v>
      </c>
      <c r="U856" s="98">
        <f ca="1"/>
        <v>3.2911411702436751E-3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-1.8161807374629262E-3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1.2577919813461442E-3</v>
      </c>
      <c r="R857" s="5" t="s">
        <v>4</v>
      </c>
      <c r="S857" s="100">
        <f ca="1">_xll.meDateFromTenor(S856,"1D","FOLLOWING",T$12)</f>
        <v>43714</v>
      </c>
      <c r="T857" s="13">
        <f ca="1">_xll.meDateFromTenor(S857,T$14,T$11,T$12)</f>
        <v>44081</v>
      </c>
      <c r="U857" s="98">
        <f ca="1"/>
        <v>3.2966696758695855E-3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-1.79988279315331E-3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1.2752635600203671E-3</v>
      </c>
      <c r="R858" s="5" t="s">
        <v>4</v>
      </c>
      <c r="S858" s="100">
        <f ca="1">_xll.meDateFromTenor(S857,"1D","FOLLOWING",T$12)</f>
        <v>43717</v>
      </c>
      <c r="T858" s="13">
        <f ca="1">_xll.meDateFromTenor(S858,T$14,T$11,T$12)</f>
        <v>44083</v>
      </c>
      <c r="U858" s="98">
        <f ca="1"/>
        <v>3.3132620486815978E-3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-1.7944079506085878E-3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1.2810917289799151E-3</v>
      </c>
      <c r="R859" s="5" t="s">
        <v>4</v>
      </c>
      <c r="S859" s="100">
        <f ca="1">_xll.meDateFromTenor(S858,"1D","FOLLOWING",T$12)</f>
        <v>43718</v>
      </c>
      <c r="T859" s="13">
        <f ca="1">_xll.meDateFromTenor(S859,T$14,T$11,T$12)</f>
        <v>44084</v>
      </c>
      <c r="U859" s="98">
        <f ca="1"/>
        <v>3.3187951788069625E-3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-1.78891676666812E-3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1.2869220325657312E-3</v>
      </c>
      <c r="R860" s="5" t="s">
        <v>4</v>
      </c>
      <c r="S860" s="100">
        <f ca="1">_xll.meDateFromTenor(S859,"1D","FOLLOWING",T$12)</f>
        <v>43719</v>
      </c>
      <c r="T860" s="13">
        <f ca="1">_xll.meDateFromTenor(S860,T$14,T$11,T$12)</f>
        <v>44085</v>
      </c>
      <c r="U860" s="98">
        <f ca="1"/>
        <v>3.3243295054646415E-3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-1.7834120948269129E-3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1.2927544587331341E-3</v>
      </c>
      <c r="R861" s="5" t="s">
        <v>4</v>
      </c>
      <c r="S861" s="100">
        <f ca="1">_xll.meDateFromTenor(S860,"1D","FOLLOWING",T$12)</f>
        <v>43720</v>
      </c>
      <c r="T861" s="13">
        <f ca="1">_xll.meDateFromTenor(S861,T$14,T$11,T$12)</f>
        <v>44088</v>
      </c>
      <c r="U861" s="98">
        <f ca="1"/>
        <v>3.3298650448176145E-3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-1.7778967885799741E-3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1.2985889954374415E-3</v>
      </c>
      <c r="R862" s="5" t="s">
        <v>4</v>
      </c>
      <c r="S862" s="100">
        <f ca="1">_xll.meDateFromTenor(S861,"1D","FOLLOWING",T$12)</f>
        <v>43721</v>
      </c>
      <c r="T862" s="13">
        <f ca="1">_xll.meDateFromTenor(S862,T$14,T$11,T$12)</f>
        <v>44088</v>
      </c>
      <c r="U862" s="98">
        <f ca="1"/>
        <v>3.3354018130288612E-3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-1.7613155983548401E-3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1.3161051483249785E-3</v>
      </c>
      <c r="R863" s="5" t="s">
        <v>4</v>
      </c>
      <c r="S863" s="100">
        <f ca="1">_xll.meDateFromTenor(S862,"1D","FOLLOWING",T$12)</f>
        <v>43724</v>
      </c>
      <c r="T863" s="13">
        <f ca="1">_xll.meDateFromTenor(S863,T$14,T$11,T$12)</f>
        <v>44090</v>
      </c>
      <c r="U863" s="98">
        <f ca="1"/>
        <v>3.3520196524420478E-3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-1.7557862894350474E-3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1.3219480067300905E-3</v>
      </c>
      <c r="R864" s="5" t="s">
        <v>4</v>
      </c>
      <c r="S864" s="100">
        <f ca="1">_xll.meDateFromTenor(S863,"1D","FOLLOWING",T$12)</f>
        <v>43725</v>
      </c>
      <c r="T864" s="13">
        <f ca="1">_xll.meDateFromTenor(S864,T$14,T$11,T$12)</f>
        <v>44091</v>
      </c>
      <c r="U864" s="98">
        <f ca="1"/>
        <v>3.3575614977161914E-3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-1.7502606135845575E-3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1.3277929154487012E-3</v>
      </c>
      <c r="R865" s="5" t="s">
        <v>4</v>
      </c>
      <c r="S865" s="100">
        <f ca="1">_xll.meDateFromTenor(S864,"1D","FOLLOWING",T$12)</f>
        <v>43726</v>
      </c>
      <c r="T865" s="13">
        <f ca="1">_xll.meDateFromTenor(S865,T$14,T$11,T$12)</f>
        <v>44092</v>
      </c>
      <c r="U865" s="98">
        <f ca="1"/>
        <v>3.3631046526635105E-3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-1.7447414242983792E-3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1.3336398624361283E-3</v>
      </c>
      <c r="R866" s="5" t="s">
        <v>4</v>
      </c>
      <c r="S866" s="100">
        <f ca="1">_xll.meDateFromTenor(S865,"1D","FOLLOWING",T$12)</f>
        <v>43727</v>
      </c>
      <c r="T866" s="13">
        <f ca="1">_xll.meDateFromTenor(S866,T$14,T$11,T$12)</f>
        <v>44095</v>
      </c>
      <c r="U866" s="98">
        <f ca="1"/>
        <v>3.3686491334469853E-3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-1.7392315750715196E-3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1.3394888356476902E-3</v>
      </c>
      <c r="R867" s="5" t="s">
        <v>4</v>
      </c>
      <c r="S867" s="100">
        <f ca="1">_xll.meDateFromTenor(S866,"1D","FOLLOWING",T$12)</f>
        <v>43728</v>
      </c>
      <c r="T867" s="13">
        <f ca="1">_xll.meDateFromTenor(S867,T$14,T$11,T$12)</f>
        <v>44095</v>
      </c>
      <c r="U867" s="98">
        <f ca="1"/>
        <v>3.3741949562295947E-3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-1.7227866026969228E-3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1.3570477921803711E-3</v>
      </c>
      <c r="R868" s="5" t="s">
        <v>4</v>
      </c>
      <c r="S868" s="100">
        <f ca="1">_xll.meDateFromTenor(S867,"1D","FOLLOWING",T$12)</f>
        <v>43731</v>
      </c>
      <c r="T868" s="13">
        <f ca="1">_xll.meDateFromTenor(S868,T$14,T$11,T$12)</f>
        <v>44097</v>
      </c>
      <c r="U868" s="98">
        <f ca="1"/>
        <v>3.3908406382020346E-3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-1.7173426486574094E-3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1.3629047498416574E-3</v>
      </c>
      <c r="R869" s="5" t="s">
        <v>4</v>
      </c>
      <c r="S869" s="100">
        <f ca="1">_xll.meDateFromTenor(S868,"1D","FOLLOWING",T$12)</f>
        <v>43732</v>
      </c>
      <c r="T869" s="13">
        <f ca="1">_xll.meDateFromTenor(S869,T$14,T$11,T$12)</f>
        <v>44098</v>
      </c>
      <c r="U869" s="98">
        <f ca="1"/>
        <v>3.3963919906109846E-3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-1.7119223021522499E-3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1.3687636735036719E-3</v>
      </c>
      <c r="R870" s="5" t="s">
        <v>4</v>
      </c>
      <c r="S870" s="100">
        <f ca="1">_xll.meDateFromTenor(S869,"1D","FOLLOWING",T$12)</f>
        <v>43733</v>
      </c>
      <c r="T870" s="13">
        <f ca="1">_xll.meDateFromTenor(S870,T$14,T$11,T$12)</f>
        <v>44099</v>
      </c>
      <c r="U870" s="98">
        <f ca="1"/>
        <v>3.4019447658339714E-3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-1.706528416676453E-3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1.3746245511217325E-3</v>
      </c>
      <c r="R871" s="5" t="s">
        <v>4</v>
      </c>
      <c r="S871" s="100">
        <f ca="1">_xll.meDateFromTenor(S870,"1D","FOLLOWING",T$12)</f>
        <v>43734</v>
      </c>
      <c r="T871" s="13">
        <f ca="1">_xll.meDateFromTenor(S871,T$14,T$11,T$12)</f>
        <v>44102</v>
      </c>
      <c r="U871" s="98">
        <f ca="1"/>
        <v>3.4074989800339729E-3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-1.7011638457250238E-3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1.3804873706511583E-3</v>
      </c>
      <c r="R872" s="5" t="s">
        <v>4</v>
      </c>
      <c r="S872" s="100">
        <f ca="1">_xll.meDateFromTenor(S871,"1D","FOLLOWING",T$12)</f>
        <v>43735</v>
      </c>
      <c r="T872" s="13">
        <f ca="1">_xll.meDateFromTenor(S872,T$14,T$11,T$12)</f>
        <v>44102</v>
      </c>
      <c r="U872" s="98">
        <f ca="1"/>
        <v>3.4130546493739717E-3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-1.6852745549670207E-3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1.3980873602608111E-3</v>
      </c>
      <c r="R873" s="5" t="s">
        <v>4</v>
      </c>
      <c r="S873" s="100">
        <f ca="1">_xll.meDateFromTenor(S872,"1D","FOLLOWING",T$12)</f>
        <v>43738</v>
      </c>
      <c r="T873" s="13">
        <f ca="1">_xll.meDateFromTenor(S873,T$14,T$11,T$12)</f>
        <v>44104</v>
      </c>
      <c r="U873" s="98">
        <f ca="1"/>
        <v>3.4297305498637446E-3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-1.6800557770631384E-3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1.4039578269888823E-3</v>
      </c>
      <c r="R874" s="5" t="s">
        <v>4</v>
      </c>
      <c r="S874" s="100">
        <f ca="1">_xll.meDateFromTenor(S873,"1D","FOLLOWING",T$12)</f>
        <v>43739</v>
      </c>
      <c r="T874" s="13">
        <f ca="1">_xll.meDateFromTenor(S874,T$14,T$11,T$12)</f>
        <v>44105</v>
      </c>
      <c r="U874" s="98">
        <f ca="1"/>
        <v>3.4352922013935272E-3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-1.674880581158661E-3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1.4098301754049108E-3</v>
      </c>
      <c r="R875" s="5" t="s">
        <v>4</v>
      </c>
      <c r="S875" s="100">
        <f ca="1">_xll.meDateFromTenor(S874,"1D","FOLLOWING",T$12)</f>
        <v>43740</v>
      </c>
      <c r="T875" s="13">
        <f ca="1">_xll.meDateFromTenor(S875,T$14,T$11,T$12)</f>
        <v>44106</v>
      </c>
      <c r="U875" s="98">
        <f ca="1"/>
        <v>3.4408553888782083E-3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-1.6697508158384745E-3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1.415704393464215E-3</v>
      </c>
      <c r="R876" s="5" t="s">
        <v>4</v>
      </c>
      <c r="S876" s="100">
        <f ca="1">_xll.meDateFromTenor(S875,"1D","FOLLOWING",T$12)</f>
        <v>43741</v>
      </c>
      <c r="T876" s="13">
        <f ca="1">_xll.meDateFromTenor(S876,T$14,T$11,T$12)</f>
        <v>44109</v>
      </c>
      <c r="U876" s="98">
        <f ca="1"/>
        <v>3.4464201284807642E-3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-1.6646643100469759E-3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1.4215804691221146E-3</v>
      </c>
      <c r="R877" s="5" t="s">
        <v>4</v>
      </c>
      <c r="S877" s="100">
        <f ca="1">_xll.meDateFromTenor(S876,"1D","FOLLOWING",T$12)</f>
        <v>43742</v>
      </c>
      <c r="T877" s="13">
        <f ca="1">_xll.meDateFromTenor(S877,T$14,T$11,T$12)</f>
        <v>44109</v>
      </c>
      <c r="U877" s="98">
        <f ca="1"/>
        <v>3.4519864363641781E-3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-1.6496325901873847E-3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1.4392197212405671E-3</v>
      </c>
      <c r="R878" s="5" t="s">
        <v>4</v>
      </c>
      <c r="S878" s="100">
        <f ca="1">_xll.meDateFromTenor(S877,"1D","FOLLOWING",T$12)</f>
        <v>43745</v>
      </c>
      <c r="T878" s="13">
        <f ca="1">_xll.meDateFromTenor(S878,T$14,T$11,T$12)</f>
        <v>44111</v>
      </c>
      <c r="U878" s="98">
        <f ca="1"/>
        <v>3.4686949313293622E-3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-1.6446873628534113E-3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1.4451031068460317E-3</v>
      </c>
      <c r="R879" s="5" t="s">
        <v>4</v>
      </c>
      <c r="S879" s="100">
        <f ca="1">_xll.meDateFromTenor(S878,"1D","FOLLOWING",T$12)</f>
        <v>43746</v>
      </c>
      <c r="T879" s="13">
        <f ca="1">_xll.meDateFromTenor(S879,T$14,T$11,T$12)</f>
        <v>44112</v>
      </c>
      <c r="U879" s="98">
        <f ca="1"/>
        <v>3.474267673966005E-3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-1.6397695152195124E-3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1.4509882898266838E-3</v>
      </c>
      <c r="R880" s="5" t="s">
        <v>4</v>
      </c>
      <c r="S880" s="100">
        <f ca="1">_xll.meDateFromTenor(S879,"1D","FOLLOWING",T$12)</f>
        <v>43747</v>
      </c>
      <c r="T880" s="13">
        <f ca="1">_xll.meDateFromTenor(S880,T$14,T$11,T$12)</f>
        <v>44113</v>
      </c>
      <c r="U880" s="98">
        <f ca="1"/>
        <v>3.479842065698405E-3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-1.6348758713199641E-3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1.4568752581378421E-3</v>
      </c>
      <c r="R881" s="5" t="s">
        <v>4</v>
      </c>
      <c r="S881" s="100">
        <f ca="1">_xll.meDateFromTenor(S880,"1D","FOLLOWING",T$12)</f>
        <v>43748</v>
      </c>
      <c r="T881" s="13">
        <f ca="1">_xll.meDateFromTenor(S881,T$14,T$11,T$12)</f>
        <v>44116</v>
      </c>
      <c r="U881" s="98">
        <f ca="1"/>
        <v>3.4854181226895435E-3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-1.6300032551890443E-3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1.462763999734824E-3</v>
      </c>
      <c r="R882" s="5" t="s">
        <v>4</v>
      </c>
      <c r="S882" s="100">
        <f ca="1">_xll.meDateFromTenor(S881,"1D","FOLLOWING",T$12)</f>
        <v>43749</v>
      </c>
      <c r="T882" s="13">
        <f ca="1">_xll.meDateFromTenor(S882,T$14,T$11,T$12)</f>
        <v>44116</v>
      </c>
      <c r="U882" s="98">
        <f ca="1"/>
        <v>3.4909958611023984E-3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-1.6154798137508208E-3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1.480440743793906E-3</v>
      </c>
      <c r="R883" s="5" t="s">
        <v>4</v>
      </c>
      <c r="S883" s="100">
        <f ca="1">_xll.meDateFromTenor(S882,"1D","FOLLOWING",T$12)</f>
        <v>43752</v>
      </c>
      <c r="T883" s="13">
        <f ca="1">_xll.meDateFromTenor(S883,T$14,T$11,T$12)</f>
        <v>44118</v>
      </c>
      <c r="U883" s="98">
        <f ca="1"/>
        <v>3.5077393265010742E-3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-1.6106595490371816E-3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1.4863364580873736E-3</v>
      </c>
      <c r="R884" s="5" t="s">
        <v>4</v>
      </c>
      <c r="S884" s="100">
        <f ca="1">_xll.meDateFromTenor(S883,"1D","FOLLOWING",T$12)</f>
        <v>43753</v>
      </c>
      <c r="T884" s="13">
        <f ca="1">_xll.meDateFromTenor(S884,T$14,T$11,T$12)</f>
        <v>44119</v>
      </c>
      <c r="U884" s="98">
        <f ca="1"/>
        <v>3.5133239522306026E-3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-1.6058444322635552E-3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1.4922338854432586E-3</v>
      </c>
      <c r="R885" s="5" t="s">
        <v>4</v>
      </c>
      <c r="S885" s="100">
        <f ca="1">_xll.meDateFromTenor(S884,"1D","FOLLOWING",T$12)</f>
        <v>43754</v>
      </c>
      <c r="T885" s="13">
        <f ca="1">_xll.meDateFromTenor(S885,T$14,T$11,T$12)</f>
        <v>44120</v>
      </c>
      <c r="U885" s="98">
        <f ca="1"/>
        <v>3.5189103401967498E-3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-1.6010312874642188E-3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1.4981330138168799E-3</v>
      </c>
      <c r="R886" s="5" t="s">
        <v>4</v>
      </c>
      <c r="S886" s="100">
        <f ca="1">_xll.meDateFromTenor(S885,"1D","FOLLOWING",T$12)</f>
        <v>43755</v>
      </c>
      <c r="T886" s="13">
        <f ca="1">_xll.meDateFromTenor(S886,T$14,T$11,T$12)</f>
        <v>44123</v>
      </c>
      <c r="U886" s="98">
        <f ca="1"/>
        <v>3.5244985065624951E-3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-1.5962169386734494E-3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1.5040338311635558E-3</v>
      </c>
      <c r="R887" s="5" t="s">
        <v>4</v>
      </c>
      <c r="S887" s="100">
        <f ca="1">_xll.meDateFromTenor(S886,"1D","FOLLOWING",T$12)</f>
        <v>43756</v>
      </c>
      <c r="T887" s="13">
        <f ca="1">_xll.meDateFromTenor(S887,T$14,T$11,T$12)</f>
        <v>44123</v>
      </c>
      <c r="U887" s="98">
        <f ca="1"/>
        <v>3.5300884674908202E-3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-1.5817349086953126E-3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1.5217462965950964E-3</v>
      </c>
      <c r="R888" s="5" t="s">
        <v>4</v>
      </c>
      <c r="S888" s="100">
        <f ca="1">_xll.meDateFromTenor(S887,"1D","FOLLOWING",T$12)</f>
        <v>43759</v>
      </c>
      <c r="T888" s="13">
        <f ca="1">_xll.meDateFromTenor(S888,T$14,T$11,T$12)</f>
        <v>44125</v>
      </c>
      <c r="U888" s="98">
        <f ca="1"/>
        <v>3.546869279281066E-3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-1.5768839842815803E-3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1.5276537493871766E-3</v>
      </c>
      <c r="R889" s="5" t="s">
        <v>4</v>
      </c>
      <c r="S889" s="100">
        <f ca="1">_xll.meDateFromTenor(S888,"1D","FOLLOWING",T$12)</f>
        <v>43760</v>
      </c>
      <c r="T889" s="13">
        <f ca="1">_xll.meDateFromTenor(S889,T$14,T$11,T$12)</f>
        <v>44126</v>
      </c>
      <c r="U889" s="98">
        <f ca="1"/>
        <v>3.552466580089507E-3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-1.5720159760478005E-3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1.5335628309289034E-3</v>
      </c>
      <c r="R890" s="5" t="s">
        <v>4</v>
      </c>
      <c r="S890" s="100">
        <f ca="1">_xll.meDateFromTenor(S889,"1D","FOLLOWING",T$12)</f>
        <v>43761</v>
      </c>
      <c r="T890" s="13">
        <f ca="1">_xll.meDateFromTenor(S890,T$14,T$11,T$12)</f>
        <v>44127</v>
      </c>
      <c r="U890" s="98">
        <f ca="1"/>
        <v>3.5580657562754264E-3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-1.5671277080282491E-3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1.5394735291755972E-3</v>
      </c>
      <c r="R891" s="5" t="s">
        <v>4</v>
      </c>
      <c r="S891" s="100">
        <f ca="1">_xll.meDateFromTenor(S890,"1D","FOLLOWING",T$12)</f>
        <v>43762</v>
      </c>
      <c r="T891" s="13">
        <f ca="1">_xll.meDateFromTenor(S891,T$14,T$11,T$12)</f>
        <v>44130</v>
      </c>
      <c r="U891" s="98">
        <f ca="1"/>
        <v>3.5636668240018061E-3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-1.5622160042572033E-3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1.5453858320825754E-3</v>
      </c>
      <c r="R892" s="5" t="s">
        <v>4</v>
      </c>
      <c r="S892" s="100">
        <f ca="1">_xll.meDateFromTenor(S891,"1D","FOLLOWING",T$12)</f>
        <v>43763</v>
      </c>
      <c r="T892" s="13">
        <f ca="1">_xll.meDateFromTenor(S892,T$14,T$11,T$12)</f>
        <v>44130</v>
      </c>
      <c r="U892" s="98">
        <f ca="1"/>
        <v>3.569269799431625E-3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-1.5473085187778712E-3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1.5631322483184041E-3</v>
      </c>
      <c r="R893" s="5" t="s">
        <v>4</v>
      </c>
      <c r="S893" s="100">
        <f ca="1">_xll.meDateFromTenor(S892,"1D","FOLLOWING",T$12)</f>
        <v>43766</v>
      </c>
      <c r="T893" s="13">
        <f ca="1">_xll.meDateFromTenor(S893,T$14,T$11,T$12)</f>
        <v>44132</v>
      </c>
      <c r="U893" s="98">
        <f ca="1"/>
        <v>3.5860903335715229E-3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-1.5422713123436191E-3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1.5690508494197056E-3</v>
      </c>
      <c r="R894" s="5" t="s">
        <v>4</v>
      </c>
      <c r="S894" s="100">
        <f ca="1">_xll.meDateFromTenor(S893,"1D","FOLLOWING",T$12)</f>
        <v>43767</v>
      </c>
      <c r="T894" s="13">
        <f ca="1">_xll.meDateFromTenor(S894,T$14,T$11,T$12)</f>
        <v>44133</v>
      </c>
      <c r="U894" s="98">
        <f ca="1"/>
        <v>3.5917011014449012E-3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-1.5371947903292573E-3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1.5749709949578856E-3</v>
      </c>
      <c r="R895" s="5" t="s">
        <v>4</v>
      </c>
      <c r="S895" s="100">
        <f ca="1">_xll.meDateFromTenor(S894,"1D","FOLLOWING",T$12)</f>
        <v>43768</v>
      </c>
      <c r="T895" s="13">
        <f ca="1">_xll.meDateFromTenor(S895,T$14,T$11,T$12)</f>
        <v>44134</v>
      </c>
      <c r="U895" s="98">
        <f ca="1"/>
        <v>3.5973138578366212E-3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-1.5320757767690646E-3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1.5808926728882607E-3</v>
      </c>
      <c r="R896" s="5" t="s">
        <v>4</v>
      </c>
      <c r="S896" s="100">
        <f ca="1">_xll.meDateFromTenor(S895,"1D","FOLLOWING",T$12)</f>
        <v>43769</v>
      </c>
      <c r="T896" s="13">
        <f ca="1">_xll.meDateFromTenor(S896,T$14,T$11,T$12)</f>
        <v>44134</v>
      </c>
      <c r="U896" s="98">
        <f ca="1"/>
        <v>3.602928618909661E-3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-1.5269110956973152E-3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1.5868158711661513E-3</v>
      </c>
      <c r="R897" s="5" t="s">
        <v>4</v>
      </c>
      <c r="S897" s="100">
        <f ca="1">_xll.meDateFromTenor(S896,"1D","FOLLOWING",T$12)</f>
        <v>43770</v>
      </c>
      <c r="T897" s="13">
        <f ca="1">_xll.meDateFromTenor(S897,T$14,T$11,T$12)</f>
        <v>44137</v>
      </c>
      <c r="U897" s="98">
        <f ca="1"/>
        <v>3.6085454008270013E-3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-1.5111112877555068E-3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1.604594467638096E-3</v>
      </c>
      <c r="R898" s="5" t="s">
        <v>4</v>
      </c>
      <c r="S898" s="100">
        <f ca="1">_xll.meDateFromTenor(S897,"1D","FOLLOWING",T$12)</f>
        <v>43773</v>
      </c>
      <c r="T898" s="13">
        <f ca="1">_xll.meDateFromTenor(S898,T$14,T$11,T$12)</f>
        <v>44139</v>
      </c>
      <c r="U898" s="98">
        <f ca="1"/>
        <v>3.6254080332746288E-3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-1.5057330627390492E-3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1.6105236268592307E-3</v>
      </c>
      <c r="R899" s="5" t="s">
        <v>4</v>
      </c>
      <c r="S899" s="100">
        <f ca="1">_xll.meDateFromTenor(S898,"1D","FOLLOWING",T$12)</f>
        <v>43774</v>
      </c>
      <c r="T899" s="13">
        <f ca="1">_xll.meDateFromTenor(S899,T$14,T$11,T$12)</f>
        <v>44140</v>
      </c>
      <c r="U899" s="98">
        <f ca="1"/>
        <v>3.6310330601989739E-3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-1.5002986049348738E-3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1.6164542462044722E-3</v>
      </c>
      <c r="R900" s="5" t="s">
        <v>4</v>
      </c>
      <c r="S900" s="100">
        <f ca="1">_xll.meDateFromTenor(S899,"1D","FOLLOWING",T$12)</f>
        <v>43775</v>
      </c>
      <c r="T900" s="13">
        <f ca="1">_xll.meDateFromTenor(S900,T$14,T$11,T$12)</f>
        <v>44141</v>
      </c>
      <c r="U900" s="98">
        <f ca="1"/>
        <v>3.6366601887825195E-3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-1.4948100529297123E-3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1.6223863136291391E-3</v>
      </c>
      <c r="R901" s="5" t="s">
        <v>4</v>
      </c>
      <c r="S901" s="100">
        <f ca="1">_xll.meDateFromTenor(S900,"1D","FOLLOWING",T$12)</f>
        <v>43776</v>
      </c>
      <c r="T901" s="13">
        <f ca="1">_xll.meDateFromTenor(S901,T$14,T$11,T$12)</f>
        <v>44144</v>
      </c>
      <c r="U901" s="98">
        <f ca="1"/>
        <v>3.6422894351882461E-3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-1.489269545310292E-3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1.6283198170885516E-3</v>
      </c>
      <c r="R902" s="5" t="s">
        <v>4</v>
      </c>
      <c r="S902" s="100">
        <f ca="1">_xll.meDateFromTenor(S901,"1D","FOLLOWING",T$12)</f>
        <v>43777</v>
      </c>
      <c r="T902" s="13">
        <f ca="1">_xll.meDateFromTenor(S902,T$14,T$11,T$12)</f>
        <v>44144</v>
      </c>
      <c r="U902" s="98">
        <f ca="1"/>
        <v>3.6479208155791349E-3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-1.472357674633786E-3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1.64612882322844E-3</v>
      </c>
      <c r="R903" s="5" t="s">
        <v>4</v>
      </c>
      <c r="S903" s="100">
        <f ca="1">_xll.meDateFromTenor(S902,"1D","FOLLOWING",T$12)</f>
        <v>43780</v>
      </c>
      <c r="T903" s="13">
        <f ca="1">_xll.meDateFromTenor(S903,T$14,T$11,T$12)</f>
        <v>44146</v>
      </c>
      <c r="U903" s="98">
        <f ca="1"/>
        <v>3.6648279222925707E-3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-1.4666307304246344E-3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1.6520679503800163E-3</v>
      </c>
      <c r="R904" s="5" t="s">
        <v>4</v>
      </c>
      <c r="S904" s="100">
        <f ca="1">_xll.meDateFromTenor(S903,"1D","FOLLOWING",T$12)</f>
        <v>43781</v>
      </c>
      <c r="T904" s="13">
        <f ca="1">_xll.meDateFromTenor(S904,T$14,T$11,T$12)</f>
        <v>44147</v>
      </c>
      <c r="U904" s="98">
        <f ca="1"/>
        <v>3.6704680002539068E-3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-1.4608625235348744E-3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1.6580084533429293E-3</v>
      </c>
      <c r="R905" s="5" t="s">
        <v>4</v>
      </c>
      <c r="S905" s="100">
        <f ca="1">_xll.meDateFromTenor(S904,"1D","FOLLOWING",T$12)</f>
        <v>43782</v>
      </c>
      <c r="T905" s="13">
        <f ca="1">_xll.meDateFromTenor(S905,T$14,T$11,T$12)</f>
        <v>44148</v>
      </c>
      <c r="U905" s="98">
        <f ca="1"/>
        <v>3.6761102930153054E-3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-1.4550551925512363E-3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1.6639503200724986E-3</v>
      </c>
      <c r="R906" s="5" t="s">
        <v>4</v>
      </c>
      <c r="S906" s="100">
        <f ca="1">_xll.meDateFromTenor(S905,"1D","FOLLOWING",T$12)</f>
        <v>43783</v>
      </c>
      <c r="T906" s="13">
        <f ca="1">_xll.meDateFromTenor(S906,T$14,T$11,T$12)</f>
        <v>44151</v>
      </c>
      <c r="U906" s="98">
        <f ca="1"/>
        <v>3.6817548167397463E-3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-1.4492108760604495E-3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1.6698935385240424E-3</v>
      </c>
      <c r="R907" s="5" t="s">
        <v>4</v>
      </c>
      <c r="S907" s="100">
        <f ca="1">_xll.meDateFromTenor(S906,"1D","FOLLOWING",T$12)</f>
        <v>43784</v>
      </c>
      <c r="T907" s="13">
        <f ca="1">_xll.meDateFromTenor(S907,T$14,T$11,T$12)</f>
        <v>44151</v>
      </c>
      <c r="U907" s="98">
        <f ca="1"/>
        <v>3.6874015875902099E-3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-1.4314773994124994E-3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1.6877311837637039E-3</v>
      </c>
      <c r="R908" s="5" t="s">
        <v>4</v>
      </c>
      <c r="S908" s="100">
        <f ca="1">_xll.meDateFromTenor(S907,"1D","FOLLOWING",T$12)</f>
        <v>43787</v>
      </c>
      <c r="T908" s="13">
        <f ca="1">_xll.meDateFromTenor(S908,T$14,T$11,T$12)</f>
        <v>44153</v>
      </c>
      <c r="U908" s="98">
        <f ca="1"/>
        <v>3.7043555445275332E-3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-1.4255065267604176E-3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1.6936796886563308E-3</v>
      </c>
      <c r="R909" s="5" t="s">
        <v>4</v>
      </c>
      <c r="S909" s="100">
        <f ca="1">_xll.meDateFromTenor(S908,"1D","FOLLOWING",T$12)</f>
        <v>43788</v>
      </c>
      <c r="T909" s="13">
        <f ca="1">_xll.meDateFromTenor(S909,T$14,T$11,T$12)</f>
        <v>44154</v>
      </c>
      <c r="U909" s="98">
        <f ca="1"/>
        <v>3.7100114655118878E-3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-1.4195093615348368E-3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1.6996294850475254E-3</v>
      </c>
      <c r="R910" s="5" t="s">
        <v>4</v>
      </c>
      <c r="S910" s="100">
        <f ca="1">_xll.meDateFromTenor(S909,"1D","FOLLOWING",T$12)</f>
        <v>43789</v>
      </c>
      <c r="T910" s="13">
        <f ca="1">_xll.meDateFromTenor(S910,T$14,T$11,T$12)</f>
        <v>44155</v>
      </c>
      <c r="U910" s="98">
        <f ca="1"/>
        <v>3.7156697144371652E-3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-1.4134880423224867E-3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1.7055805608926057E-3</v>
      </c>
      <c r="R911" s="5" t="s">
        <v>4</v>
      </c>
      <c r="S911" s="100">
        <f ca="1">_xll.meDateFromTenor(S910,"1D","FOLLOWING",T$12)</f>
        <v>43790</v>
      </c>
      <c r="T911" s="13">
        <f ca="1">_xll.meDateFromTenor(S911,T$14,T$11,T$12)</f>
        <v>44158</v>
      </c>
      <c r="U911" s="98">
        <f ca="1"/>
        <v>3.7213303074663463E-3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-1.4074447077100974E-3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1.7115329041468906E-3</v>
      </c>
      <c r="R912" s="5" t="s">
        <v>4</v>
      </c>
      <c r="S912" s="100">
        <f ca="1">_xll.meDateFromTenor(S911,"1D","FOLLOWING",T$12)</f>
        <v>43791</v>
      </c>
      <c r="T912" s="13">
        <f ca="1">_xll.meDateFromTenor(S912,T$14,T$11,T$12)</f>
        <v>44158</v>
      </c>
      <c r="U912" s="98">
        <f ca="1"/>
        <v>3.7269932607624109E-3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-1.389203997339993E-3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1.7293974179181553E-3</v>
      </c>
      <c r="R913" s="5" t="s">
        <v>4</v>
      </c>
      <c r="S913" s="100">
        <f ca="1">_xll.meDateFromTenor(S912,"1D","FOLLOWING",T$12)</f>
        <v>43794</v>
      </c>
      <c r="T913" s="13">
        <f ca="1">_xll.meDateFromTenor(S913,T$14,T$11,T$12)</f>
        <v>44160</v>
      </c>
      <c r="U913" s="98">
        <f ca="1"/>
        <v>3.7439964438817043E-3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-1.3830939869947452E-3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1.7353547103624433E-3</v>
      </c>
      <c r="R914" s="5" t="s">
        <v>4</v>
      </c>
      <c r="S914" s="100">
        <f ca="1">_xll.meDateFromTenor(S913,"1D","FOLLOWING",T$12)</f>
        <v>43795</v>
      </c>
      <c r="T914" s="13">
        <f ca="1">_xll.meDateFromTenor(S914,T$14,T$11,T$12)</f>
        <v>44161</v>
      </c>
      <c r="U914" s="98">
        <f ca="1"/>
        <v>3.7496689998751027E-3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-1.376972654183108E-3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1.7413132099925275E-3</v>
      </c>
      <c r="R915" s="5" t="s">
        <v>4</v>
      </c>
      <c r="S915" s="100">
        <f ca="1">_xll.meDateFromTenor(S914,"1D","FOLLOWING",T$12)</f>
        <v>43796</v>
      </c>
      <c r="T915" s="13">
        <f ca="1">_xll.meDateFromTenor(S915,T$14,T$11,T$12)</f>
        <v>44162</v>
      </c>
      <c r="U915" s="98">
        <f ca="1"/>
        <v>3.7553439969502849E-3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-1.3708421374918102E-3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1.7472729047637284E-3</v>
      </c>
      <c r="R916" s="5" t="s">
        <v>4</v>
      </c>
      <c r="S916" s="100">
        <f ca="1">_xll.meDateFromTenor(S915,"1D","FOLLOWING",T$12)</f>
        <v>43797</v>
      </c>
      <c r="T916" s="13">
        <f ca="1">_xll.meDateFromTenor(S916,T$14,T$11,T$12)</f>
        <v>44165</v>
      </c>
      <c r="U916" s="98">
        <f ca="1"/>
        <v>3.7610214512702324E-3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-1.3647045755075817E-3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1.7532337826313637E-3</v>
      </c>
      <c r="R917" s="5" t="s">
        <v>4</v>
      </c>
      <c r="S917" s="100">
        <f ca="1">_xll.meDateFromTenor(S916,"1D","FOLLOWING",T$12)</f>
        <v>43798</v>
      </c>
      <c r="T917" s="13">
        <f ca="1">_xll.meDateFromTenor(S917,T$14,T$11,T$12)</f>
        <v>44165</v>
      </c>
      <c r="U917" s="98">
        <f ca="1"/>
        <v>3.7667013789979237E-3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-1.3462710036646148E-3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1.7711233943660612E-3</v>
      </c>
      <c r="R918" s="5" t="s">
        <v>4</v>
      </c>
      <c r="S918" s="100">
        <f ca="1">_xll.meDateFromTenor(S917,"1D","FOLLOWING",T$12)</f>
        <v>43801</v>
      </c>
      <c r="T918" s="13">
        <f ca="1">_xll.meDateFromTenor(S918,T$14,T$11,T$12)</f>
        <v>44167</v>
      </c>
      <c r="U918" s="98">
        <f ca="1"/>
        <v>3.7837561642572659E-3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-1.3401264501848708E-3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1.7770888882598134E-3</v>
      </c>
      <c r="R919" s="5" t="s">
        <v>4</v>
      </c>
      <c r="S919" s="100">
        <f ca="1">_xll.meDateFromTenor(S918,"1D","FOLLOWING",T$12)</f>
        <v>43802</v>
      </c>
      <c r="T919" s="13">
        <f ca="1">_xll.meDateFromTenor(S919,T$14,T$11,T$12)</f>
        <v>44168</v>
      </c>
      <c r="U919" s="98">
        <f ca="1"/>
        <v>3.7894461472457366E-3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-1.3339843671992828E-3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1.7830555295497549E-3</v>
      </c>
      <c r="R920" s="5" t="s">
        <v>4</v>
      </c>
      <c r="S920" s="100">
        <f ca="1">_xll.meDateFromTenor(S919,"1D","FOLLOWING",T$12)</f>
        <v>43803</v>
      </c>
      <c r="T920" s="13">
        <f ca="1">_xll.meDateFromTenor(S920,T$14,T$11,T$12)</f>
        <v>44169</v>
      </c>
      <c r="U920" s="98">
        <f ca="1"/>
        <v>3.7951386844568506E-3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-1.3278457161480155E-3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1.7890233307143693E-3</v>
      </c>
      <c r="R921" s="5" t="s">
        <v>4</v>
      </c>
      <c r="S921" s="100">
        <f ca="1">_xll.meDateFromTenor(S920,"1D","FOLLOWING",T$12)</f>
        <v>43804</v>
      </c>
      <c r="T921" s="13">
        <f ca="1">_xll.meDateFromTenor(S921,T$14,T$11,T$12)</f>
        <v>44172</v>
      </c>
      <c r="U921" s="98">
        <f ca="1"/>
        <v>3.8008337920535915E-3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-1.3217114584712373E-3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1.7949923042321367E-3</v>
      </c>
      <c r="R922" s="5" t="s">
        <v>4</v>
      </c>
      <c r="S922" s="100">
        <f ca="1">_xll.meDateFromTenor(S921,"1D","FOLLOWING",T$12)</f>
        <v>43805</v>
      </c>
      <c r="T922" s="13">
        <f ca="1">_xll.meDateFromTenor(S922,T$14,T$11,T$12)</f>
        <v>44172</v>
      </c>
      <c r="U922" s="98">
        <f ca="1"/>
        <v>3.8065314861989354E-3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-1.3033446600894862E-3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1.8129063836891824E-3</v>
      </c>
      <c r="R923" s="5" t="s">
        <v>4</v>
      </c>
      <c r="S923" s="100">
        <f ca="1">_xll.meDateFromTenor(S922,"1D","FOLLOWING",T$12)</f>
        <v>43808</v>
      </c>
      <c r="T923" s="13">
        <f ca="1">_xll.meDateFromTenor(S923,T$14,T$11,T$12)</f>
        <v>44174</v>
      </c>
      <c r="U923" s="98">
        <f ca="1"/>
        <v>3.8236402495564056E-3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-1.2972375903123191E-3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1.8188801714043832E-3</v>
      </c>
      <c r="R924" s="5" t="s">
        <v>4</v>
      </c>
      <c r="S924" s="100">
        <f ca="1">_xll.meDateFromTenor(S923,"1D","FOLLOWING",T$12)</f>
        <v>43809</v>
      </c>
      <c r="T924" s="13">
        <f ca="1">_xll.meDateFromTenor(S924,T$14,T$11,T$12)</f>
        <v>44175</v>
      </c>
      <c r="U924" s="98">
        <f ca="1"/>
        <v>3.8293484515259726E-3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-1.2911397211104706E-3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1.824855193865147E-3</v>
      </c>
      <c r="R925" s="5" t="s">
        <v>4</v>
      </c>
      <c r="S925" s="100">
        <f ca="1">_xll.meDateFromTenor(S924,"1D","FOLLOWING",T$12)</f>
        <v>43810</v>
      </c>
      <c r="T925" s="13">
        <f ca="1">_xll.meDateFromTenor(S925,T$14,T$11,T$12)</f>
        <v>44176</v>
      </c>
      <c r="U925" s="98">
        <f ca="1"/>
        <v>3.8350593208590468E-3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-1.2850520139241067E-3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1.8308314635499549E-3</v>
      </c>
      <c r="R926" s="5" t="s">
        <v>4</v>
      </c>
      <c r="S926" s="100">
        <f ca="1">_xll.meDateFromTenor(S925,"1D","FOLLOWING",T$12)</f>
        <v>43811</v>
      </c>
      <c r="T926" s="13">
        <f ca="1">_xll.meDateFromTenor(S926,T$14,T$11,T$12)</f>
        <v>44179</v>
      </c>
      <c r="U926" s="98">
        <f ca="1"/>
        <v>3.8407728737186063E-3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-1.2789754301933943E-3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1.8368089929372876E-3</v>
      </c>
      <c r="R927" s="5" t="s">
        <v>4</v>
      </c>
      <c r="S927" s="100">
        <f ca="1">_xll.meDateFromTenor(S926,"1D","FOLLOWING",T$12)</f>
        <v>43812</v>
      </c>
      <c r="T927" s="13">
        <f ca="1">_xll.meDateFromTenor(S927,T$14,T$11,T$12)</f>
        <v>44179</v>
      </c>
      <c r="U927" s="98">
        <f ca="1"/>
        <v>3.846489126267632E-3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-1.2608220341368212E-3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1.8547492640992613E-3</v>
      </c>
      <c r="R928" s="5" t="s">
        <v>4</v>
      </c>
      <c r="S928" s="100">
        <f ca="1">_xll.meDateFromTenor(S927,"1D","FOLLOWING",T$12)</f>
        <v>43815</v>
      </c>
      <c r="T928" s="13">
        <f ca="1">_xll.meDateFromTenor(S928,T$14,T$11,T$12)</f>
        <v>44181</v>
      </c>
      <c r="U928" s="98">
        <f ca="1"/>
        <v>3.8636542436813071E-3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-1.2547995586303724E-3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1.8607319570815165E-3</v>
      </c>
      <c r="R929" s="5" t="s">
        <v>4</v>
      </c>
      <c r="S929" s="100">
        <f ca="1">_xll.meDateFromTenor(S928,"1D","FOLLOWING",T$12)</f>
        <v>43816</v>
      </c>
      <c r="T929" s="13">
        <f ca="1">_xll.meDateFromTenor(S929,T$14,T$11,T$12)</f>
        <v>44182</v>
      </c>
      <c r="U929" s="98">
        <f ca="1"/>
        <v>3.8693814566179993E-3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-1.248793013780405E-3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1.8667159721587065E-3</v>
      </c>
      <c r="R930" s="5" t="s">
        <v>4</v>
      </c>
      <c r="S930" s="100">
        <f ca="1">_xll.meDateFromTenor(S929,"1D","FOLLOWING",T$12)</f>
        <v>43817</v>
      </c>
      <c r="T930" s="13">
        <f ca="1">_xll.meDateFromTenor(S930,T$14,T$11,T$12)</f>
        <v>44183</v>
      </c>
      <c r="U930" s="98">
        <f ca="1"/>
        <v>3.8751114500590574E-3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-1.2428033610270852E-3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1.8727013218093125E-3</v>
      </c>
      <c r="R931" s="5" t="s">
        <v>4</v>
      </c>
      <c r="S931" s="100">
        <f ca="1">_xll.meDateFromTenor(S930,"1D","FOLLOWING",T$12)</f>
        <v>43818</v>
      </c>
      <c r="T931" s="13">
        <f ca="1">_xll.meDateFromTenor(S931,T$14,T$11,T$12)</f>
        <v>44186</v>
      </c>
      <c r="U931" s="98">
        <f ca="1"/>
        <v>3.8808442401674632E-3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-1.236831561810579E-3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1.878688018511817E-3</v>
      </c>
      <c r="R932" s="5" t="s">
        <v>4</v>
      </c>
      <c r="S932" s="100">
        <f ca="1">_xll.meDateFromTenor(S931,"1D","FOLLOWING",T$12)</f>
        <v>43819</v>
      </c>
      <c r="T932" s="13">
        <f ca="1">_xll.meDateFromTenor(S932,T$14,T$11,T$12)</f>
        <v>44186</v>
      </c>
      <c r="U932" s="98">
        <f ca="1"/>
        <v>3.8865798431061962E-3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-1.2190328997836062E-3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1.8966563157155358E-3</v>
      </c>
      <c r="R933" s="5" t="s">
        <v>4</v>
      </c>
      <c r="S933" s="100">
        <f ca="1">_xll.meDateFromTenor(S932,"1D","FOLLOWING",T$12)</f>
        <v>43822</v>
      </c>
      <c r="T933" s="13">
        <f ca="1">_xll.meDateFromTenor(S933,T$14,T$11,T$12)</f>
        <v>44188</v>
      </c>
      <c r="U933" s="98">
        <f ca="1"/>
        <v>3.903803690534158E-3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-1.2131421291160177E-3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1.9026485254104491E-3</v>
      </c>
      <c r="R934" s="5" t="s">
        <v>4</v>
      </c>
      <c r="S934" s="100">
        <f ca="1">_xll.meDateFromTenor(S933,"1D","FOLLOWING",T$12)</f>
        <v>43823</v>
      </c>
      <c r="T934" s="13">
        <f ca="1">_xll.meDateFromTenor(S934,T$14,T$11,T$12)</f>
        <v>44189</v>
      </c>
      <c r="U934" s="98">
        <f ca="1"/>
        <v>3.9095507064239995E-3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-1.195609627299781E-3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1.9206336610749605E-3</v>
      </c>
      <c r="R935" s="5" t="s">
        <v>4</v>
      </c>
      <c r="S935" s="100">
        <f ca="1">_xll.meDateFromTenor(S934,"1D","FOLLOWING",T$12)</f>
        <v>43826</v>
      </c>
      <c r="T935" s="13">
        <f ca="1">_xll.meDateFromTenor(S935,T$14,T$11,T$12)</f>
        <v>44193</v>
      </c>
      <c r="U935" s="98">
        <f ca="1"/>
        <v>3.9268091806168139E-3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-1.1783070310068305E-3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1.9386318186572406E-3</v>
      </c>
      <c r="R936" s="5" t="s">
        <v>4</v>
      </c>
      <c r="S936" s="100">
        <f ca="1">_xll.meDateFromTenor(S935,"1D","FOLLOWING",T$12)</f>
        <v>43829</v>
      </c>
      <c r="T936" s="13">
        <f ca="1">_xll.meDateFromTenor(S936,T$14,T$11,T$12)</f>
        <v>44195</v>
      </c>
      <c r="U936" s="98">
        <f ca="1"/>
        <v>3.9440941340171433E-3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-1.1725950757462426E-3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1.9446341565104185E-3</v>
      </c>
      <c r="R937" s="5" t="s">
        <v>4</v>
      </c>
      <c r="S937" s="100">
        <f ca="1">_xll.meDateFromTenor(S936,"1D","FOLLOWING",T$12)</f>
        <v>43830</v>
      </c>
      <c r="T937" s="13">
        <f ca="1">_xll.meDateFromTenor(S937,T$14,T$11,T$12)</f>
        <v>44196</v>
      </c>
      <c r="U937" s="98">
        <f ca="1"/>
        <v>3.949861744846162E-3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-1.1612911013135943E-3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1.9566105148656012E-3</v>
      </c>
      <c r="R938" s="5" t="s">
        <v>4</v>
      </c>
      <c r="S938" s="100">
        <f ca="1">_xll.meDateFromTenor(S937,"1D","FOLLOWING",T$12)</f>
        <v>43832</v>
      </c>
      <c r="T938" s="13">
        <f ca="1">_xll.meDateFromTenor(S938,T$14,T$11,T$12)</f>
        <v>44200</v>
      </c>
      <c r="U938" s="98">
        <f ca="1"/>
        <v>3.9613744448335183E-3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-1.1556847298319914E-3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1.9626009579228674E-3</v>
      </c>
      <c r="R939" s="5" t="s">
        <v>4</v>
      </c>
      <c r="S939" s="100">
        <f ca="1">_xll.meDateFromTenor(S938,"1D","FOLLOWING",T$12)</f>
        <v>43833</v>
      </c>
      <c r="T939" s="13">
        <f ca="1">_xll.meDateFromTenor(S939,T$14,T$11,T$12)</f>
        <v>44200</v>
      </c>
      <c r="U939" s="98">
        <f ca="1"/>
        <v>3.9671353204713579E-3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-1.139025144757426E-3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1.9805814911311027E-3</v>
      </c>
      <c r="R940" s="5" t="s">
        <v>4</v>
      </c>
      <c r="S940" s="100">
        <f ca="1">_xll.meDateFromTenor(S939,"1D","FOLLOWING",T$12)</f>
        <v>43836</v>
      </c>
      <c r="T940" s="13">
        <f ca="1">_xll.meDateFromTenor(S940,T$14,T$11,T$12)</f>
        <v>44202</v>
      </c>
      <c r="U940" s="98">
        <f ca="1"/>
        <v>3.9844362423318161E-3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-1.1335160274566888E-3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1.986578111467587E-3</v>
      </c>
      <c r="R941" s="5" t="s">
        <v>4</v>
      </c>
      <c r="S941" s="100">
        <f ca="1">_xll.meDateFromTenor(S940,"1D","FOLLOWING",T$12)</f>
        <v>43837</v>
      </c>
      <c r="T941" s="13">
        <f ca="1">_xll.meDateFromTenor(S941,T$14,T$11,T$12)</f>
        <v>44203</v>
      </c>
      <c r="U941" s="98">
        <f ca="1"/>
        <v>3.9902093680371422E-3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-1.1280243996516935E-3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1.9925763070650728E-3</v>
      </c>
      <c r="R942" s="5" t="s">
        <v>4</v>
      </c>
      <c r="S942" s="100">
        <f ca="1">_xll.meDateFromTenor(S941,"1D","FOLLOWING",T$12)</f>
        <v>43838</v>
      </c>
      <c r="T942" s="13">
        <f ca="1">_xll.meDateFromTenor(S942,T$14,T$11,T$12)</f>
        <v>44204</v>
      </c>
      <c r="U942" s="98">
        <f ca="1"/>
        <v>3.9959855963364885E-3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-1.1225475317226522E-3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1.9985760903000372E-3</v>
      </c>
      <c r="R943" s="5" t="s">
        <v>4</v>
      </c>
      <c r="S943" s="100">
        <f ca="1">_xll.meDateFromTenor(S942,"1D","FOLLOWING",T$12)</f>
        <v>43839</v>
      </c>
      <c r="T943" s="13">
        <f ca="1">_xll.meDateFromTenor(S943,T$14,T$11,T$12)</f>
        <v>44207</v>
      </c>
      <c r="U943" s="98">
        <f ca="1"/>
        <v>4.0017649432607105E-3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-1.1170826940497761E-3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2.0045774735489574E-3</v>
      </c>
      <c r="R944" s="5" t="s">
        <v>4</v>
      </c>
      <c r="S944" s="100">
        <f ca="1">_xll.meDateFromTenor(S943,"1D","FOLLOWING",T$12)</f>
        <v>43840</v>
      </c>
      <c r="T944" s="13">
        <f ca="1">_xll.meDateFromTenor(S944,T$14,T$11,T$12)</f>
        <v>44207</v>
      </c>
      <c r="U944" s="98">
        <f ca="1"/>
        <v>4.0075474248406663E-3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-1.10073306637024E-3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2.0225913471442485E-3</v>
      </c>
      <c r="R945" s="5" t="s">
        <v>4</v>
      </c>
      <c r="S945" s="100">
        <f ca="1">_xll.meDateFromTenor(S944,"1D","FOLLOWING",T$12)</f>
        <v>43843</v>
      </c>
      <c r="T945" s="13">
        <f ca="1">_xll.meDateFromTenor(S945,T$14,T$11,T$12)</f>
        <v>44209</v>
      </c>
      <c r="U945" s="98">
        <f ca="1"/>
        <v>4.0249138378235291E-3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-1.0952890535241282E-3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2.0285992542137818E-3</v>
      </c>
      <c r="R946" s="5" t="s">
        <v>4</v>
      </c>
      <c r="S946" s="100">
        <f ca="1">_xll.meDateFromTenor(S945,"1D","FOLLOWING",T$12)</f>
        <v>43844</v>
      </c>
      <c r="T946" s="13">
        <f ca="1">_xll.meDateFromTenor(S946,T$14,T$11,T$12)</f>
        <v>44210</v>
      </c>
      <c r="U946" s="98">
        <f ca="1"/>
        <v>4.0307090183350084E-3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-1.0898434228352361E-3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2.0346088231796627E-3</v>
      </c>
      <c r="R947" s="5" t="s">
        <v>4</v>
      </c>
      <c r="S947" s="100">
        <f ca="1">_xll.meDateFromTenor(S946,"1D","FOLLOWING",T$12)</f>
        <v>43845</v>
      </c>
      <c r="T947" s="13">
        <f ca="1">_xll.meDateFromTenor(S947,T$14,T$11,T$12)</f>
        <v>44211</v>
      </c>
      <c r="U947" s="98">
        <f ca="1"/>
        <v>4.0365074136565135E-3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-1.0843934446837715E-3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2.0406200664183712E-3</v>
      </c>
      <c r="R948" s="5" t="s">
        <v>4</v>
      </c>
      <c r="S948" s="100">
        <f ca="1">_xll.meDateFromTenor(S947,"1D","FOLLOWING",T$12)</f>
        <v>43846</v>
      </c>
      <c r="T948" s="13">
        <f ca="1">_xll.meDateFromTenor(S948,T$14,T$11,T$12)</f>
        <v>44214</v>
      </c>
      <c r="U948" s="98">
        <f ca="1"/>
        <v>4.0423090398189034E-3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-1.0789363894499466E-3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2.0466329963063855E-3</v>
      </c>
      <c r="R949" s="5" t="s">
        <v>4</v>
      </c>
      <c r="S949" s="100">
        <f ca="1">_xll.meDateFromTenor(S948,"1D","FOLLOWING",T$12)</f>
        <v>43847</v>
      </c>
      <c r="T949" s="13">
        <f ca="1">_xll.meDateFromTenor(S949,T$14,T$11,T$12)</f>
        <v>44214</v>
      </c>
      <c r="U949" s="98">
        <f ca="1"/>
        <v>4.048113912853037E-3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-1.0624954650564184E-3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2.064682029631042E-3</v>
      </c>
      <c r="R950" s="5" t="s">
        <v>4</v>
      </c>
      <c r="S950" s="100">
        <f ca="1">_xll.meDateFromTenor(S949,"1D","FOLLOWING",T$12)</f>
        <v>43850</v>
      </c>
      <c r="T950" s="13">
        <f ca="1">_xll.meDateFromTenor(S950,T$14,T$11,T$12)</f>
        <v>44216</v>
      </c>
      <c r="U950" s="98">
        <f ca="1"/>
        <v>4.0655481734944779E-3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-1.0569828052952592E-3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2.0707018298810605E-3</v>
      </c>
      <c r="R951" s="5" t="s">
        <v>4</v>
      </c>
      <c r="S951" s="100">
        <f ca="1">_xll.meDateFromTenor(S950,"1D","FOLLOWING",T$12)</f>
        <v>43851</v>
      </c>
      <c r="T951" s="13">
        <f ca="1">_xll.meDateFromTenor(S951,T$14,T$11,T$12)</f>
        <v>44217</v>
      </c>
      <c r="U951" s="98">
        <f ca="1"/>
        <v>4.071366194324166E-3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-1.0514494203527939E-3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2.076723378662776E-3</v>
      </c>
      <c r="R952" s="5" t="s">
        <v>4</v>
      </c>
      <c r="S952" s="100">
        <f ca="1">_xll.meDateFromTenor(S951,"1D","FOLLOWING",T$12)</f>
        <v>43852</v>
      </c>
      <c r="T952" s="13">
        <f ca="1">_xll.meDateFromTenor(S952,T$14,T$11,T$12)</f>
        <v>44218</v>
      </c>
      <c r="U952" s="98">
        <f ca="1"/>
        <v>4.0771875421798899E-3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-1.0458925806092331E-3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2.0827466883526656E-3</v>
      </c>
      <c r="R953" s="5" t="s">
        <v>4</v>
      </c>
      <c r="S953" s="100">
        <f ca="1">_xll.meDateFromTenor(S952,"1D","FOLLOWING",T$12)</f>
        <v>43853</v>
      </c>
      <c r="T953" s="13">
        <f ca="1">_xll.meDateFromTenor(S953,T$14,T$11,T$12)</f>
        <v>44221</v>
      </c>
      <c r="U953" s="98">
        <f ca="1"/>
        <v>4.0830122330925067E-3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-1.0403095564447864E-3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2.0887717713272097E-3</v>
      </c>
      <c r="R954" s="5" t="s">
        <v>4</v>
      </c>
      <c r="S954" s="100">
        <f ca="1">_xll.meDateFromTenor(S953,"1D","FOLLOWING",T$12)</f>
        <v>43854</v>
      </c>
      <c r="T954" s="13">
        <f ca="1">_xll.meDateFromTenor(S954,T$14,T$11,T$12)</f>
        <v>44221</v>
      </c>
      <c r="U954" s="98">
        <f ca="1"/>
        <v>4.0888402830928736E-3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-1.0233760812282434E-3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2.1068577837235437E-3</v>
      </c>
      <c r="R955" s="5" t="s">
        <v>4</v>
      </c>
      <c r="S955" s="100">
        <f ca="1">_xll.meDateFromTenor(S954,"1D","FOLLOWING",T$12)</f>
        <v>43857</v>
      </c>
      <c r="T955" s="13">
        <f ca="1">_xll.meDateFromTenor(S955,T$14,T$11,T$12)</f>
        <v>44223</v>
      </c>
      <c r="U955" s="98">
        <f ca="1"/>
        <v>4.1063447479290699E-3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-1.0176610231823634E-3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2.1128900836014843E-3</v>
      </c>
      <c r="R956" s="5" t="s">
        <v>4</v>
      </c>
      <c r="S956" s="100">
        <f ca="1">_xll.meDateFromTenor(S955,"1D","FOLLOWING",T$12)</f>
        <v>43858</v>
      </c>
      <c r="T956" s="13">
        <f ca="1">_xll.meDateFromTenor(S956,T$14,T$11,T$12)</f>
        <v>44224</v>
      </c>
      <c r="U956" s="98">
        <f ca="1"/>
        <v>4.1121863945890267E-3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-1.0119061326166524E-3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2.1189242186464689E-3</v>
      </c>
      <c r="R957" s="5" t="s">
        <v>4</v>
      </c>
      <c r="S957" s="100">
        <f ca="1">_xll.meDateFromTenor(S956,"1D","FOLLOWING",T$12)</f>
        <v>43859</v>
      </c>
      <c r="T957" s="13">
        <f ca="1">_xll.meDateFromTenor(S957,T$14,T$11,T$12)</f>
        <v>44225</v>
      </c>
      <c r="U957" s="98">
        <f ca="1"/>
        <v>4.1180314804910266E-3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-1.0061086799113199E-3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2.1249602012349783E-3</v>
      </c>
      <c r="R958" s="5" t="s">
        <v>4</v>
      </c>
      <c r="S958" s="100">
        <f ca="1">_xll.meDateFromTenor(S957,"1D","FOLLOWING",T$12)</f>
        <v>43860</v>
      </c>
      <c r="T958" s="13">
        <f ca="1">_xll.meDateFromTenor(S958,T$14,T$11,T$12)</f>
        <v>44225</v>
      </c>
      <c r="U958" s="98">
        <f ca="1"/>
        <v>4.1238800216659268E-3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-1.0002659354465774E-3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2.1309980437434887E-3</v>
      </c>
      <c r="R959" s="5" t="s">
        <v>4</v>
      </c>
      <c r="S959" s="100">
        <f ca="1">_xll.meDateFromTenor(S958,"1D","FOLLOWING",T$12)</f>
        <v>43861</v>
      </c>
      <c r="T959" s="13">
        <f ca="1">_xll.meDateFromTenor(S959,T$14,T$11,T$12)</f>
        <v>44225</v>
      </c>
      <c r="U959" s="98">
        <f ca="1"/>
        <v>4.1297320341445887E-3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-9.8243865529799748E-4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2.1491228545538125E-3</v>
      </c>
      <c r="R960" s="5" t="s">
        <v>4</v>
      </c>
      <c r="S960" s="100">
        <f ca="1">_xll.meDateFromTenor(S959,"1D","FOLLOWING",T$12)</f>
        <v>43864</v>
      </c>
      <c r="T960" s="13">
        <f ca="1">_xll.meDateFromTenor(S960,T$14,T$11,T$12)</f>
        <v>44230</v>
      </c>
      <c r="U960" s="98">
        <f ca="1"/>
        <v>4.1473090597117139E-3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-9.7638829936499407E-4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2.1551682605071127E-3</v>
      </c>
      <c r="R961" s="5" t="s">
        <v>4</v>
      </c>
      <c r="S961" s="100">
        <f ca="1">_xll.meDateFromTenor(S960,"1D","FOLLOWING",T$12)</f>
        <v>43865</v>
      </c>
      <c r="T961" s="13">
        <f ca="1">_xll.meDateFromTenor(S961,T$14,T$11,T$12)</f>
        <v>44231</v>
      </c>
      <c r="U961" s="98">
        <f ca="1"/>
        <v>4.1531751177139977E-3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-9.7028411417726581E-4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2.1612155882628058E-3</v>
      </c>
      <c r="R962" s="5" t="s">
        <v>4</v>
      </c>
      <c r="S962" s="100">
        <f ca="1">_xll.meDateFromTenor(S961,"1D","FOLLOWING",T$12)</f>
        <v>43866</v>
      </c>
      <c r="T962" s="13">
        <f ca="1">_xll.meDateFromTenor(S962,T$14,T$11,T$12)</f>
        <v>44232</v>
      </c>
      <c r="U962" s="98">
        <f ca="1"/>
        <v>4.1590447271743327E-3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-9.6412848071865669E-4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2.1672648501973694E-3</v>
      </c>
      <c r="R963" s="5" t="s">
        <v>4</v>
      </c>
      <c r="S963" s="100">
        <f ca="1">_xll.meDateFromTenor(S962,"1D","FOLLOWING",T$12)</f>
        <v>43867</v>
      </c>
      <c r="T963" s="13">
        <f ca="1">_xll.meDateFromTenor(S963,T$14,T$11,T$12)</f>
        <v>44235</v>
      </c>
      <c r="U963" s="98">
        <f ca="1"/>
        <v>4.164917904123577E-3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-9.5792377997300704E-4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2.1733160586872836E-3</v>
      </c>
      <c r="R964" s="5" t="s">
        <v>4</v>
      </c>
      <c r="S964" s="100">
        <f ca="1">_xll.meDateFromTenor(S963,"1D","FOLLOWING",T$12)</f>
        <v>43868</v>
      </c>
      <c r="T964" s="13">
        <f ca="1">_xll.meDateFromTenor(S964,T$14,T$11,T$12)</f>
        <v>44235</v>
      </c>
      <c r="U964" s="98">
        <f ca="1"/>
        <v>4.1707946645925904E-3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-9.3903908385224591E-4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2.191481487253909E-3</v>
      </c>
      <c r="R965" s="5" t="s">
        <v>4</v>
      </c>
      <c r="S965" s="100">
        <f ca="1">_xll.meDateFromTenor(S964,"1D","FOLLOWING",T$12)</f>
        <v>43871</v>
      </c>
      <c r="T965" s="13">
        <f ca="1">_xll.meDateFromTenor(S965,T$14,T$11,T$12)</f>
        <v>44237</v>
      </c>
      <c r="U965" s="98">
        <f ca="1"/>
        <v>4.1884466074268217E-3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-9.3266192379686441E-4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2.1975406057300043E-3</v>
      </c>
      <c r="R966" s="5" t="s">
        <v>4</v>
      </c>
      <c r="S966" s="100">
        <f ca="1">_xll.meDateFromTenor(S965,"1D","FOLLOWING",T$12)</f>
        <v>43872</v>
      </c>
      <c r="T966" s="13">
        <f ca="1">_xll.meDateFromTenor(S966,T$14,T$11,T$12)</f>
        <v>44238</v>
      </c>
      <c r="U966" s="98">
        <f ca="1"/>
        <v>4.1943378622834896E-3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-9.2624760137365492E-4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2.2036017326438431E-3</v>
      </c>
      <c r="R967" s="5" t="s">
        <v>4</v>
      </c>
      <c r="S967" s="100">
        <f ca="1">_xll.meDateFromTenor(S966,"1D","FOLLOWING",T$12)</f>
        <v>43873</v>
      </c>
      <c r="T967" s="13">
        <f ca="1">_xll.meDateFromTenor(S967,T$14,T$11,T$12)</f>
        <v>44239</v>
      </c>
      <c r="U967" s="98">
        <f ca="1"/>
        <v>4.2002327808142188E-3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-9.1979849756646101E-4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2.2096648803719005E-3</v>
      </c>
      <c r="R968" s="5" t="s">
        <v>4</v>
      </c>
      <c r="S968" s="100">
        <f ca="1">_xll.meDateFromTenor(S967,"1D","FOLLOWING",T$12)</f>
        <v>43874</v>
      </c>
      <c r="T968" s="13">
        <f ca="1">_xll.meDateFromTenor(S968,T$14,T$11,T$12)</f>
        <v>44242</v>
      </c>
      <c r="U968" s="98">
        <f ca="1"/>
        <v>4.2061313790498654E-3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-9.1331699335912636E-4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2.2157300612906544E-3</v>
      </c>
      <c r="R969" s="5" t="s">
        <v>4</v>
      </c>
      <c r="S969" s="100">
        <f ca="1">_xll.meDateFromTenor(S968,"1D","FOLLOWING",T$12)</f>
        <v>43875</v>
      </c>
      <c r="T969" s="13">
        <f ca="1">_xll.meDateFromTenor(S969,T$14,T$11,T$12)</f>
        <v>44242</v>
      </c>
      <c r="U969" s="98">
        <f ca="1"/>
        <v>4.2120336730212876E-3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-8.9370188817469351E-4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2.2339379269558915E-3</v>
      </c>
      <c r="R970" s="5" t="s">
        <v>4</v>
      </c>
      <c r="S970" s="100">
        <f ca="1">_xll.meDateFromTenor(S969,"1D","FOLLOWING",T$12)</f>
        <v>43878</v>
      </c>
      <c r="T970" s="13">
        <f ca="1">_xll.meDateFromTenor(S970,T$14,T$11,T$12)</f>
        <v>44244</v>
      </c>
      <c r="U970" s="98">
        <f ca="1"/>
        <v>4.2297628896587995E-3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-8.8711459220521547E-4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2.2400113644022216E-3</v>
      </c>
      <c r="R971" s="5" t="s">
        <v>4</v>
      </c>
      <c r="S971" s="100">
        <f ca="1">_xll.meDateFromTenor(S970,"1D","FOLLOWING",T$12)</f>
        <v>43879</v>
      </c>
      <c r="T971" s="13">
        <f ca="1">_xll.meDateFromTenor(S971,T$14,T$11,T$12)</f>
        <v>44245</v>
      </c>
      <c r="U971" s="98">
        <f ca="1"/>
        <v>4.2356801268819124E-3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-8.8050680075480966E-4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2.2460868969216403E-3</v>
      </c>
      <c r="R972" s="5" t="s">
        <v>4</v>
      </c>
      <c r="S972" s="100">
        <f ca="1">_xll.meDateFromTenor(S971,"1D","FOLLOWING",T$12)</f>
        <v>43880</v>
      </c>
      <c r="T972" s="13">
        <f ca="1">_xll.meDateFromTenor(S972,T$14,T$11,T$12)</f>
        <v>44246</v>
      </c>
      <c r="U972" s="98">
        <f ca="1"/>
        <v>4.2416011399950913E-3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-8.7388089480731597E-4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2.2521645368906275E-3</v>
      </c>
      <c r="R973" s="5" t="s">
        <v>4</v>
      </c>
      <c r="S973" s="100">
        <f ca="1">_xll.meDateFromTenor(S972,"1D","FOLLOWING",T$12)</f>
        <v>43881</v>
      </c>
      <c r="T973" s="13">
        <f ca="1">_xll.meDateFromTenor(S973,T$14,T$11,T$12)</f>
        <v>44249</v>
      </c>
      <c r="U973" s="98">
        <f ca="1"/>
        <v>4.2475259450291993E-3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-8.6723925534657798E-4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2.2582442966856612E-3</v>
      </c>
      <c r="R974" s="5" t="s">
        <v>4</v>
      </c>
      <c r="S974" s="100">
        <f ca="1">_xll.meDateFromTenor(S973,"1D","FOLLOWING",T$12)</f>
        <v>43882</v>
      </c>
      <c r="T974" s="13">
        <f ca="1">_xll.meDateFromTenor(S974,T$14,T$11,T$12)</f>
        <v>44249</v>
      </c>
      <c r="U974" s="98">
        <f ca="1"/>
        <v>4.253454558015091E-3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-8.4724374572332567E-4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2.2764964187918196E-3</v>
      </c>
      <c r="R975" s="5" t="s">
        <v>4</v>
      </c>
      <c r="S975" s="100">
        <f ca="1">_xll.meDateFromTenor(S974,"1D","FOLLOWING",T$12)</f>
        <v>43885</v>
      </c>
      <c r="T975" s="13">
        <f ca="1">_xll.meDateFromTenor(S975,T$14,T$11,T$12)</f>
        <v>44251</v>
      </c>
      <c r="U975" s="98">
        <f ca="1"/>
        <v>4.2712634049920572E-3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-8.4056298204803642E-4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2.2825847816558202E-3</v>
      </c>
      <c r="R976" s="5" t="s">
        <v>4</v>
      </c>
      <c r="S976" s="100">
        <f ca="1">_xll.meDateFromTenor(S975,"1D","FOLLOWING",T$12)</f>
        <v>43886</v>
      </c>
      <c r="T976" s="13">
        <f ca="1">_xll.meDateFromTenor(S976,T$14,T$11,T$12)</f>
        <v>44252</v>
      </c>
      <c r="U976" s="98">
        <f ca="1"/>
        <v>4.2772074100936724E-3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-8.3387838977871552E-4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2.2886753262282588E-3</v>
      </c>
      <c r="R977" s="5" t="s">
        <v>4</v>
      </c>
      <c r="S977" s="100">
        <f ca="1">_xll.meDateFromTenor(S976,"1D","FOLLOWING",T$12)</f>
        <v>43887</v>
      </c>
      <c r="T977" s="13">
        <f ca="1">_xll.meDateFromTenor(S977,T$14,T$11,T$12)</f>
        <v>44253</v>
      </c>
      <c r="U977" s="98">
        <f ca="1"/>
        <v>4.2831553033013626E-3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-8.2719234989920686E-4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2.2947680648856121E-3</v>
      </c>
      <c r="R978" s="5" t="s">
        <v>4</v>
      </c>
      <c r="S978" s="100">
        <f ca="1">_xll.meDateFromTenor(S977,"1D","FOLLOWING",T$12)</f>
        <v>43888</v>
      </c>
      <c r="T978" s="13">
        <f ca="1">_xll.meDateFromTenor(S978,T$14,T$11,T$12)</f>
        <v>44253</v>
      </c>
      <c r="U978" s="98">
        <f ca="1"/>
        <v>4.2891071006459875E-3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-8.2050724339335056E-4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2.3008630100043608E-3</v>
      </c>
      <c r="R979" s="5" t="s">
        <v>4</v>
      </c>
      <c r="S979" s="100">
        <f ca="1">_xll.meDateFromTenor(S978,"1D","FOLLOWING",T$12)</f>
        <v>43889</v>
      </c>
      <c r="T979" s="13">
        <f ca="1">_xll.meDateFromTenor(S979,T$14,T$11,T$12)</f>
        <v>44253</v>
      </c>
      <c r="U979" s="98">
        <f ca="1"/>
        <v>4.2950628181584061E-3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-8.0048133395612927E-4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2.319161207893754E-3</v>
      </c>
      <c r="R980" s="5" t="s">
        <v>4</v>
      </c>
      <c r="S980" s="100">
        <f ca="1">_xll.meDateFromTenor(S979,"1D","FOLLOWING",T$12)</f>
        <v>43892</v>
      </c>
      <c r="T980" s="13">
        <f ca="1">_xll.meDateFromTenor(S980,T$14,T$11,T$12)</f>
        <v>44257</v>
      </c>
      <c r="U980" s="98">
        <f ca="1"/>
        <v>4.3129536520110055E-3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-7.9382339933770888E-4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2.325265102622862E-3</v>
      </c>
      <c r="R981" s="5" t="s">
        <v>4</v>
      </c>
      <c r="S981" s="100">
        <f ca="1">_xll.meDateFromTenor(S980,"1D","FOLLOWING",T$12)</f>
        <v>43893</v>
      </c>
      <c r="T981" s="13">
        <f ca="1">_xll.meDateFromTenor(S981,T$14,T$11,T$12)</f>
        <v>44258</v>
      </c>
      <c r="U981" s="98">
        <f ca="1"/>
        <v>4.3189252105031804E-3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-7.8717607433853457E-4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2.3313712656957558E-3</v>
      </c>
      <c r="R982" s="5" t="s">
        <v>4</v>
      </c>
      <c r="S982" s="100">
        <f ca="1">_xll.meDateFromTenor(S981,"1D","FOLLOWING",T$12)</f>
        <v>43894</v>
      </c>
      <c r="T982" s="13">
        <f ca="1">_xll.meDateFromTenor(S982,T$14,T$11,T$12)</f>
        <v>44259</v>
      </c>
      <c r="U982" s="98">
        <f ca="1"/>
        <v>4.3249007693174392E-3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-7.8053951126882579E-4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2.3374797094889142E-3</v>
      </c>
      <c r="R983" s="5" t="s">
        <v>4</v>
      </c>
      <c r="S983" s="100">
        <f ca="1">_xll.meDateFromTenor(S982,"1D","FOLLOWING",T$12)</f>
        <v>43895</v>
      </c>
      <c r="T983" s="13">
        <f ca="1">_xll.meDateFromTenor(S983,T$14,T$11,T$12)</f>
        <v>44260</v>
      </c>
      <c r="U983" s="98">
        <f ca="1"/>
        <v>4.3308803444846418E-3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-7.7391386243880482E-4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2.343590446378815E-3</v>
      </c>
      <c r="R984" s="5" t="s">
        <v>4</v>
      </c>
      <c r="S984" s="100">
        <f ca="1">_xll.meDateFromTenor(S983,"1D","FOLLOWING",T$12)</f>
        <v>43896</v>
      </c>
      <c r="T984" s="13">
        <f ca="1">_xll.meDateFromTenor(S984,T$14,T$11,T$12)</f>
        <v>44263</v>
      </c>
      <c r="U984" s="98">
        <f ca="1"/>
        <v>4.3368639520356463E-3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-7.5410392448908511E-4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2.3619365393937534E-3</v>
      </c>
      <c r="R985" s="5" t="s">
        <v>4</v>
      </c>
      <c r="S985" s="100">
        <f ca="1">_xll.meDateFromTenor(S984,"1D","FOLLOWING",T$12)</f>
        <v>43899</v>
      </c>
      <c r="T985" s="13">
        <f ca="1">_xll.meDateFromTenor(S985,T$14,T$11,T$12)</f>
        <v>44264</v>
      </c>
      <c r="U985" s="98">
        <f ca="1"/>
        <v>4.3548391293000517E-3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-7.4752345572003023E-4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2.3680565724354067E-3</v>
      </c>
      <c r="R986" s="5" t="s">
        <v>4</v>
      </c>
      <c r="S986" s="100">
        <f ca="1">_xll.meDateFromTenor(S985,"1D","FOLLOWING",T$12)</f>
        <v>43900</v>
      </c>
      <c r="T986" s="13">
        <f ca="1">_xll.meDateFromTenor(S986,T$14,T$11,T$12)</f>
        <v>44265</v>
      </c>
      <c r="U986" s="98">
        <f ca="1"/>
        <v>4.3608390266948452E-3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-7.4095466274177047E-4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2.374178960456194E-3</v>
      </c>
      <c r="R987" s="5" t="s">
        <v>4</v>
      </c>
      <c r="S987" s="100">
        <f ca="1">_xll.meDateFromTenor(S986,"1D","FOLLOWING",T$12)</f>
        <v>43901</v>
      </c>
      <c r="T987" s="13">
        <f ca="1">_xll.meDateFromTenor(S987,T$14,T$11,T$12)</f>
        <v>44266</v>
      </c>
      <c r="U987" s="98">
        <f ca="1"/>
        <v>4.3668430366277317E-3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-7.3439769786452845E-4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2.3803037158325923E-3</v>
      </c>
      <c r="R988" s="5" t="s">
        <v>4</v>
      </c>
      <c r="S988" s="100">
        <f ca="1">_xll.meDateFromTenor(S987,"1D","FOLLOWING",T$12)</f>
        <v>43902</v>
      </c>
      <c r="T988" s="13">
        <f ca="1">_xll.meDateFromTenor(S988,T$14,T$11,T$12)</f>
        <v>44267</v>
      </c>
      <c r="U988" s="98">
        <f ca="1"/>
        <v>4.3728511751295702E-3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-7.2785271339852317E-4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2.3864308509410829E-3</v>
      </c>
      <c r="R989" s="5" t="s">
        <v>4</v>
      </c>
      <c r="S989" s="100">
        <f ca="1">_xll.meDateFromTenor(S988,"1D","FOLLOWING",T$12)</f>
        <v>43903</v>
      </c>
      <c r="T989" s="13">
        <f ca="1">_xll.meDateFromTenor(S989,T$14,T$11,T$12)</f>
        <v>44270</v>
      </c>
      <c r="U989" s="98">
        <f ca="1"/>
        <v>4.3788634582312179E-3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-7.082911655701496E-4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2.4048266584238789E-3</v>
      </c>
      <c r="R990" s="5" t="s">
        <v>4</v>
      </c>
      <c r="S990" s="100">
        <f ca="1">_xll.meDateFromTenor(S989,"1D","FOLLOWING",T$12)</f>
        <v>43906</v>
      </c>
      <c r="T990" s="13">
        <f ca="1">_xll.meDateFromTenor(S990,T$14,T$11,T$12)</f>
        <v>44271</v>
      </c>
      <c r="U990" s="98">
        <f ca="1"/>
        <v>4.3969253354436064E-3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-7.0179562585131171E-4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2.4109634362255135E-3</v>
      </c>
      <c r="R991" s="5" t="s">
        <v>4</v>
      </c>
      <c r="S991" s="100">
        <f ca="1">_xll.meDateFromTenor(S990,"1D","FOLLOWING",T$12)</f>
        <v>43907</v>
      </c>
      <c r="T991" s="13">
        <f ca="1">_xll.meDateFromTenor(S991,T$14,T$11,T$12)</f>
        <v>44272</v>
      </c>
      <c r="U991" s="98">
        <f ca="1"/>
        <v>4.4029543572530758E-3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-6.9531282809481767E-4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2.4171026556416304E-3</v>
      </c>
      <c r="R992" s="5" t="s">
        <v>4</v>
      </c>
      <c r="S992" s="100">
        <f ca="1">_xll.meDateFromTenor(S991,"1D","FOLLOWING",T$12)</f>
        <v>43908</v>
      </c>
      <c r="T992" s="13">
        <f ca="1">_xll.meDateFromTenor(S992,T$14,T$11,T$12)</f>
        <v>44273</v>
      </c>
      <c r="U992" s="98">
        <f ca="1"/>
        <v>4.4089876038166491E-3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-6.888429246108904E-4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2.4232443290487077E-3</v>
      </c>
      <c r="R993" s="5" t="s">
        <v>4</v>
      </c>
      <c r="S993" s="100">
        <f ca="1">_xll.meDateFromTenor(S992,"1D","FOLLOWING",T$12)</f>
        <v>43909</v>
      </c>
      <c r="T993" s="13">
        <f ca="1">_xll.meDateFromTenor(S993,T$14,T$11,T$12)</f>
        <v>44274</v>
      </c>
      <c r="U993" s="98">
        <f ca="1"/>
        <v>4.4150250911651817E-3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-6.8238606770975208E-4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2.4293884688232231E-3</v>
      </c>
      <c r="R994" s="5" t="s">
        <v>4</v>
      </c>
      <c r="S994" s="100">
        <f ca="1">_xll.meDateFromTenor(S993,"1D","FOLLOWING",T$12)</f>
        <v>43910</v>
      </c>
      <c r="T994" s="13">
        <f ca="1">_xll.meDateFromTenor(S994,T$14,T$11,T$12)</f>
        <v>44277</v>
      </c>
      <c r="U994" s="98">
        <f ca="1"/>
        <v>4.4210668353295316E-3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-6.6309529960527651E-4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2.4478358101161874E-3</v>
      </c>
      <c r="R995" s="5" t="s">
        <v>4</v>
      </c>
      <c r="S995" s="100">
        <f ca="1">_xll.meDateFromTenor(S994,"1D","FOLLOWING",T$12)</f>
        <v>43913</v>
      </c>
      <c r="T995" s="13">
        <f ca="1">_xll.meDateFromTenor(S995,T$14,T$11,T$12)</f>
        <v>44278</v>
      </c>
      <c r="U995" s="98">
        <f ca="1"/>
        <v>4.4392177690260777E-3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-6.566921521375035E-4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2.4539899391252422E-3</v>
      </c>
      <c r="R996" s="5" t="s">
        <v>4</v>
      </c>
      <c r="S996" s="100">
        <f ca="1">_xll.meDateFromTenor(S995,"1D","FOLLOWING",T$12)</f>
        <v>43914</v>
      </c>
      <c r="T996" s="13">
        <f ca="1">_xll.meDateFromTenor(S996,T$14,T$11,T$12)</f>
        <v>44279</v>
      </c>
      <c r="U996" s="98">
        <f ca="1"/>
        <v>4.4452767007622839E-3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-6.5030281280362677E-4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2.4601465963841255E-3</v>
      </c>
      <c r="R997" s="5" t="s">
        <v>4</v>
      </c>
      <c r="S997" s="100">
        <f ca="1">_xll.meDateFromTenor(S996,"1D","FOLLOWING",T$12)</f>
        <v>43915</v>
      </c>
      <c r="T997" s="13">
        <f ca="1">_xll.meDateFromTenor(S997,T$14,T$11,T$12)</f>
        <v>44280</v>
      </c>
      <c r="U997" s="98">
        <f ca="1"/>
        <v>4.4513399694686004E-3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-6.4392743391386553E-4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2.4663057942693185E-3</v>
      </c>
      <c r="R998" s="5" t="s">
        <v>4</v>
      </c>
      <c r="S998" s="100">
        <f ca="1">_xll.meDateFromTenor(S997,"1D","FOLLOWING",T$12)</f>
        <v>43916</v>
      </c>
      <c r="T998" s="13">
        <f ca="1">_xll.meDateFromTenor(S998,T$14,T$11,T$12)</f>
        <v>44281</v>
      </c>
      <c r="U998" s="98">
        <f ca="1"/>
        <v>4.4574075911758843E-3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-6.3756616777844229E-4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2.4724675451572981E-3</v>
      </c>
      <c r="R999" s="5" t="s">
        <v>4</v>
      </c>
      <c r="S999" s="100">
        <f ca="1">_xll.meDateFromTenor(S998,"1D","FOLLOWING",T$12)</f>
        <v>43917</v>
      </c>
      <c r="T999" s="13">
        <f ca="1">_xll.meDateFromTenor(S999,T$14,T$11,T$12)</f>
        <v>44284</v>
      </c>
      <c r="U999" s="98">
        <f ca="1"/>
        <v>4.4634795819149965E-3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-6.1856856900041612E-4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2.4909682396027405E-3</v>
      </c>
      <c r="R1000" s="5" t="s">
        <v>4</v>
      </c>
      <c r="S1000" s="100">
        <f ca="1">_xll.meDateFromTenor(S999,"1D","FOLLOWING",T$12)</f>
        <v>43920</v>
      </c>
      <c r="T1000" s="13">
        <f ca="1">_xll.meDateFromTenor(S1000,T$14,T$11,T$12)</f>
        <v>44285</v>
      </c>
      <c r="U1000" s="98">
        <f ca="1"/>
        <v>4.4817219286318738E-3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-6.122652769845595E-4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2.497140326266651E-3</v>
      </c>
      <c r="R1001" s="5" t="s">
        <v>4</v>
      </c>
      <c r="S1001" s="100">
        <f ca="1">_xll.meDateFromTenor(S1000,"1D","FOLLOWING",T$12)</f>
        <v>43921</v>
      </c>
      <c r="T1001" s="13">
        <f ca="1">_xll.meDateFromTenor(S1001,T$14,T$11,T$12)</f>
        <v>44286</v>
      </c>
      <c r="U1001" s="98">
        <f ca="1"/>
        <v>4.4878115558068758E-3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-6.0597685927414797E-4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2.50331502781574E-3</v>
      </c>
      <c r="R1002" s="5" t="s">
        <v>4</v>
      </c>
      <c r="S1002" s="100">
        <f ca="1">_xll.meDateFromTenor(S1001,"1D","FOLLOWING",T$12)</f>
        <v>43922</v>
      </c>
      <c r="T1002" s="13">
        <f ca="1">_xll.meDateFromTenor(S1002,T$14,T$11,T$12)</f>
        <v>44287</v>
      </c>
      <c r="U1002" s="98">
        <f ca="1"/>
        <v>4.4939056321679945E-3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-5.9970346817940414E-4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2.5094923566264843E-3</v>
      </c>
      <c r="R1003" s="5" t="s">
        <v>4</v>
      </c>
      <c r="S1003" s="100">
        <f ca="1">_xll.meDateFromTenor(S1002,"1D","FOLLOWING",T$12)</f>
        <v>43923</v>
      </c>
      <c r="T1003" s="13">
        <f ca="1">_xll.meDateFromTenor(S1003,T$14,T$11,T$12)</f>
        <v>44292</v>
      </c>
      <c r="U1003" s="98">
        <f ca="1"/>
        <v>4.5000041737460889E-3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-5.9344498589493388E-4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2.5156723250753642E-3</v>
      </c>
      <c r="R1004" s="5" t="s">
        <v>4</v>
      </c>
      <c r="S1004" s="100">
        <f ca="1">_xll.meDateFromTenor(S1003,"1D","FOLLOWING",T$12)</f>
        <v>43924</v>
      </c>
      <c r="T1004" s="13">
        <f ca="1">_xll.meDateFromTenor(S1004,T$14,T$11,T$12)</f>
        <v>44292</v>
      </c>
      <c r="U1004" s="98">
        <f ca="1"/>
        <v>4.5061071965720205E-3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-5.7474592876226001E-4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2.5342281920155978E-3</v>
      </c>
      <c r="R1005" s="5" t="s">
        <v>4</v>
      </c>
      <c r="S1005" s="100">
        <f ca="1">_xll.meDateFromTenor(S1004,"1D","FOLLOWING",T$12)</f>
        <v>43927</v>
      </c>
      <c r="T1005" s="13">
        <f ca="1">_xll.meDateFromTenor(S1005,T$14,T$11,T$12)</f>
        <v>44292</v>
      </c>
      <c r="U1005" s="98">
        <f ca="1"/>
        <v>4.5244433128454054E-3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-5.6853347834674966E-4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2.540418842781801E-3</v>
      </c>
      <c r="R1006" s="5" t="s">
        <v>4</v>
      </c>
      <c r="S1006" s="100">
        <f ca="1">_xll.meDateFromTenor(S1005,"1D","FOLLOWING",T$12)</f>
        <v>43928</v>
      </c>
      <c r="T1006" s="13">
        <f ca="1">_xll.meDateFromTenor(S1006,T$14,T$11,T$12)</f>
        <v>44293</v>
      </c>
      <c r="U1006" s="98">
        <f ca="1"/>
        <v>4.5305644209712595E-3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-5.6232886493983206E-4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2.5466121950685301E-3</v>
      </c>
      <c r="R1007" s="5" t="s">
        <v>4</v>
      </c>
      <c r="S1007" s="100">
        <f ca="1">_xll.meDateFromTenor(S1006,"1D","FOLLOWING",T$12)</f>
        <v>43929</v>
      </c>
      <c r="T1007" s="13">
        <f ca="1">_xll.meDateFromTenor(S1007,T$14,T$11,T$12)</f>
        <v>44294</v>
      </c>
      <c r="U1007" s="98">
        <f ca="1"/>
        <v>4.5366900904992404E-3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-5.5613062015804607E-4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2.5528082612522648E-3</v>
      </c>
      <c r="R1008" s="5" t="s">
        <v>4</v>
      </c>
      <c r="S1008" s="100">
        <f ca="1">_xll.meDateFromTenor(S1007,"1D","FOLLOWING",T$12)</f>
        <v>43930</v>
      </c>
      <c r="T1008" s="13">
        <f ca="1">_xll.meDateFromTenor(S1008,T$14,T$11,T$12)</f>
        <v>44295</v>
      </c>
      <c r="U1008" s="98">
        <f ca="1"/>
        <v>4.5428203374602042E-3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-5.2518353220503355E-4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2.5838297338027514E-3</v>
      </c>
      <c r="R1009" s="5" t="s">
        <v>4</v>
      </c>
      <c r="S1009" s="100">
        <f ca="1">_xll.meDateFromTenor(S1008,"1D","FOLLOWING",T$12)</f>
        <v>43935</v>
      </c>
      <c r="T1009" s="13">
        <f ca="1">_xll.meDateFromTenor(S1009,T$14,T$11,T$12)</f>
        <v>44300</v>
      </c>
      <c r="U1009" s="98">
        <f ca="1"/>
        <v>4.5735407948398477E-3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-5.1899266312139939E-4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2.5900423432745597E-3</v>
      </c>
      <c r="R1010" s="5" t="s">
        <v>4</v>
      </c>
      <c r="S1010" s="100">
        <f ca="1">_xll.meDateFromTenor(S1009,"1D","FOLLOWING",T$12)</f>
        <v>43936</v>
      </c>
      <c r="T1010" s="13">
        <f ca="1">_xll.meDateFromTenor(S1010,T$14,T$11,T$12)</f>
        <v>44301</v>
      </c>
      <c r="U1010" s="98">
        <f ca="1"/>
        <v>4.5796988430467471E-3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-5.1279788397868404E-4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2.59625775327872E-3</v>
      </c>
      <c r="R1011" s="5" t="s">
        <v>4</v>
      </c>
      <c r="S1011" s="100">
        <f ca="1">_xll.meDateFromTenor(S1010,"1D","FOLLOWING",T$12)</f>
        <v>43937</v>
      </c>
      <c r="T1011" s="13">
        <f ca="1">_xll.meDateFromTenor(S1011,T$14,T$11,T$12)</f>
        <v>44302</v>
      </c>
      <c r="U1011" s="98">
        <f ca="1"/>
        <v>4.5858615809026403E-3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-5.0659772639342644E-4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2.6024759761917129E-3</v>
      </c>
      <c r="R1012" s="5" t="s">
        <v>4</v>
      </c>
      <c r="S1012" s="100">
        <f ca="1">_xll.meDateFromTenor(S1011,"1D","FOLLOWING",T$12)</f>
        <v>43938</v>
      </c>
      <c r="T1012" s="13">
        <f ca="1">_xll.meDateFromTenor(S1012,T$14,T$11,T$12)</f>
        <v>44305</v>
      </c>
      <c r="U1012" s="98">
        <f ca="1"/>
        <v>4.5920290244383854E-3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-4.8795029914781358E-4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2.6211476461484619E-3</v>
      </c>
      <c r="R1013" s="5" t="s">
        <v>4</v>
      </c>
      <c r="S1013" s="100">
        <f ca="1">_xll.meDateFromTenor(S1012,"1D","FOLLOWING",T$12)</f>
        <v>43941</v>
      </c>
      <c r="T1013" s="13">
        <f ca="1">_xll.meDateFromTenor(S1013,T$14,T$11,T$12)</f>
        <v>44306</v>
      </c>
      <c r="U1013" s="98">
        <f ca="1"/>
        <v>4.6105597494333125E-3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-4.8171394395779939E-4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2.6273772444615623E-3</v>
      </c>
      <c r="R1014" s="5" t="s">
        <v>4</v>
      </c>
      <c r="S1014" s="100">
        <f ca="1">_xll.meDateFromTenor(S1013,"1D","FOLLOWING",T$12)</f>
        <v>43942</v>
      </c>
      <c r="T1014" s="13">
        <f ca="1">_xll.meDateFromTenor(S1014,T$14,T$11,T$12)</f>
        <v>44307</v>
      </c>
      <c r="U1014" s="98">
        <f ca="1"/>
        <v>4.6167461759970465E-3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-4.7546486840794672E-4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2.6336097175658863E-3</v>
      </c>
      <c r="R1015" s="5" t="s">
        <v>4</v>
      </c>
      <c r="S1015" s="100">
        <f ca="1">_xll.meDateFromTenor(S1014,"1D","FOLLOWING",T$12)</f>
        <v>43943</v>
      </c>
      <c r="T1015" s="13">
        <f ca="1">_xll.meDateFromTenor(S1015,T$14,T$11,T$12)</f>
        <v>44308</v>
      </c>
      <c r="U1015" s="98">
        <f ca="1"/>
        <v>4.6229373883949244E-3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-4.6920160411479734E-4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2.6398450778379111E-3</v>
      </c>
      <c r="R1016" s="5" t="s">
        <v>4</v>
      </c>
      <c r="S1016" s="100">
        <f ca="1">_xll.meDateFromTenor(S1015,"1D","FOLLOWING",T$12)</f>
        <v>43944</v>
      </c>
      <c r="T1016" s="13">
        <f ca="1">_xll.meDateFromTenor(S1016,T$14,T$11,T$12)</f>
        <v>44309</v>
      </c>
      <c r="U1016" s="98">
        <f ca="1"/>
        <v>4.6291334026578044E-3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-4.6292268269489291E-4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2.6460833376541143E-3</v>
      </c>
      <c r="R1017" s="5" t="s">
        <v>4</v>
      </c>
      <c r="S1017" s="100">
        <f ca="1">_xll.meDateFromTenor(S1016,"1D","FOLLOWING",T$12)</f>
        <v>43945</v>
      </c>
      <c r="T1017" s="13">
        <f ca="1">_xll.meDateFromTenor(S1017,T$14,T$11,T$12)</f>
        <v>44312</v>
      </c>
      <c r="U1017" s="98">
        <f ca="1"/>
        <v>4.6353342348165434E-3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-4.4397729184004857E-4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2.6648156381325876E-3</v>
      </c>
      <c r="R1018" s="5" t="s">
        <v>4</v>
      </c>
      <c r="S1018" s="100">
        <f ca="1">_xll.meDateFromTenor(S1017,"1D","FOLLOWING",T$12)</f>
        <v>43948</v>
      </c>
      <c r="T1018" s="13">
        <f ca="1">_xll.meDateFromTenor(S1018,T$14,T$11,T$12)</f>
        <v>44313</v>
      </c>
      <c r="U1018" s="98">
        <f ca="1"/>
        <v>4.653965798976506E-3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-4.3762105807852687E-4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2.6710656198902934E-3</v>
      </c>
      <c r="R1019" s="5" t="s">
        <v>4</v>
      </c>
      <c r="S1019" s="100">
        <f ca="1">_xll.meDateFromTenor(S1018,"1D","FOLLOWING",T$12)</f>
        <v>43949</v>
      </c>
      <c r="T1019" s="13">
        <f ca="1">_xll.meDateFromTenor(S1019,T$14,T$11,T$12)</f>
        <v>44314</v>
      </c>
      <c r="U1019" s="98">
        <f ca="1"/>
        <v>4.6601860630272685E-3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-4.312418252729541E-4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2.6773185630745689E-3</v>
      </c>
      <c r="R1020" s="5" t="s">
        <v>4</v>
      </c>
      <c r="S1020" s="100">
        <f ca="1">_xll.meDateFromTenor(S1019,"1D","FOLLOWING",T$12)</f>
        <v>43950</v>
      </c>
      <c r="T1020" s="13">
        <f ca="1">_xll.meDateFromTenor(S1020,T$14,T$11,T$12)</f>
        <v>44315</v>
      </c>
      <c r="U1020" s="98">
        <f ca="1"/>
        <v>4.6664112251281822E-3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-4.2483812503986873E-4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2.6835744800618941E-3</v>
      </c>
      <c r="R1021" s="5" t="s">
        <v>4</v>
      </c>
      <c r="S1021" s="100">
        <f ca="1">_xll.meDateFromTenor(S1020,"1D","FOLLOWING",T$12)</f>
        <v>43951</v>
      </c>
      <c r="T1021" s="13">
        <f ca="1">_xll.meDateFromTenor(S1021,T$14,T$11,T$12)</f>
        <v>44316</v>
      </c>
      <c r="U1021" s="98">
        <f ca="1"/>
        <v>4.672641301310107E-3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-3.9894928216322958E-4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2.708628133571255E-3</v>
      </c>
      <c r="R1022" s="5" t="s">
        <v>4</v>
      </c>
      <c r="S1022" s="100">
        <f ca="1">_xll.meDateFromTenor(S1021,"1D","FOLLOWING",T$12)</f>
        <v>43955</v>
      </c>
      <c r="T1022" s="13">
        <f ca="1">_xll.meDateFromTenor(S1022,T$14,T$11,T$12)</f>
        <v>44320</v>
      </c>
      <c r="U1022" s="98">
        <f ca="1"/>
        <v>4.6976110674650717E-3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-3.9240159751165052E-4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2.7148991052210027E-3</v>
      </c>
      <c r="R1023" s="5" t="s">
        <v>4</v>
      </c>
      <c r="S1023" s="100">
        <f ca="1">_xll.meDateFromTenor(S1022,"1D","FOLLOWING",T$12)</f>
        <v>43956</v>
      </c>
      <c r="T1023" s="13">
        <f ca="1">_xll.meDateFromTenor(S1023,T$14,T$11,T$12)</f>
        <v>44321</v>
      </c>
      <c r="U1023" s="98">
        <f ca="1"/>
        <v>4.70386595451492E-3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-3.8582290595751682E-4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2.7211731249326687E-3</v>
      </c>
      <c r="R1024" s="5" t="s">
        <v>4</v>
      </c>
      <c r="S1024" s="100">
        <f ca="1">_xll.meDateFromTenor(S1023,"1D","FOLLOWING",T$12)</f>
        <v>43957</v>
      </c>
      <c r="T1024" s="13">
        <f ca="1">_xll.meDateFromTenor(S1024,T$14,T$11,T$12)</f>
        <v>44322</v>
      </c>
      <c r="U1024" s="98">
        <f ca="1"/>
        <v>4.7101258518309303E-3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-3.7921400994308212E-4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2.7274502050827309E-3</v>
      </c>
      <c r="R1025" s="5" t="s">
        <v>4</v>
      </c>
      <c r="S1025" s="100">
        <f ca="1">_xll.meDateFromTenor(S1024,"1D","FOLLOWING",T$12)</f>
        <v>43958</v>
      </c>
      <c r="T1025" s="13">
        <f ca="1">_xll.meDateFromTenor(S1025,T$14,T$11,T$12)</f>
        <v>44323</v>
      </c>
      <c r="U1025" s="98">
        <f ca="1"/>
        <v>4.7163907754439564E-3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-3.7257571191059709E-4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2.7337303580476703E-3</v>
      </c>
      <c r="R1026" s="5" t="s">
        <v>4</v>
      </c>
      <c r="S1026" s="100">
        <f ca="1">_xll.meDateFromTenor(S1025,"1D","FOLLOWING",T$12)</f>
        <v>43959</v>
      </c>
      <c r="T1026" s="13">
        <f ca="1">_xll.meDateFromTenor(S1026,T$14,T$11,T$12)</f>
        <v>44326</v>
      </c>
      <c r="U1026" s="98">
        <f ca="1"/>
        <v>4.7226607413848607E-3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-3.5249243012737641E-4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2.752589377596525E-3</v>
      </c>
      <c r="R1027" s="5" t="s">
        <v>4</v>
      </c>
      <c r="S1027" s="100">
        <f ca="1">_xll.meDateFromTenor(S1026,"1D","FOLLOWING",T$12)</f>
        <v>43962</v>
      </c>
      <c r="T1027" s="13">
        <f ca="1">_xll.meDateFromTenor(S1027,T$14,T$11,T$12)</f>
        <v>44327</v>
      </c>
      <c r="U1027" s="98">
        <f ca="1"/>
        <v>4.7415010534834169E-3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-3.4574454844522282E-4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2.7588819455857507E-3</v>
      </c>
      <c r="R1028" s="5" t="s">
        <v>4</v>
      </c>
      <c r="S1028" s="100">
        <f ca="1">_xll.meDateFromTenor(S1027,"1D","FOLLOWING",T$12)</f>
        <v>43963</v>
      </c>
      <c r="T1028" s="13">
        <f ca="1">_xll.meDateFromTenor(S1028,T$14,T$11,T$12)</f>
        <v>44328</v>
      </c>
      <c r="U1028" s="98">
        <f ca="1"/>
        <v>4.7477913490444109E-3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-3.389712769562853E-4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2.7651776482722425E-3</v>
      </c>
      <c r="R1029" s="5" t="s">
        <v>4</v>
      </c>
      <c r="S1029" s="100">
        <f ca="1">_xll.meDateFromTenor(S1028,"1D","FOLLOWING",T$12)</f>
        <v>43964</v>
      </c>
      <c r="T1029" s="13">
        <f ca="1">_xll.meDateFromTenor(S1029,T$14,T$11,T$12)</f>
        <v>44329</v>
      </c>
      <c r="U1029" s="98">
        <f ca="1"/>
        <v>4.7540867670875717E-3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-3.3217341810281437E-4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2.7714764980324809E-3</v>
      </c>
      <c r="R1030" s="5" t="s">
        <v>4</v>
      </c>
      <c r="S1030" s="100">
        <f ca="1">_xll.meDateFromTenor(S1029,"1D","FOLLOWING",T$12)</f>
        <v>43965</v>
      </c>
      <c r="T1030" s="13">
        <f ca="1">_xll.meDateFromTenor(S1030,T$14,T$11,T$12)</f>
        <v>44330</v>
      </c>
      <c r="U1030" s="98">
        <f ca="1"/>
        <v>4.7603873236437616E-3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-3.2535177432706398E-4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2.7777785072429437E-3</v>
      </c>
      <c r="R1031" s="5" t="s">
        <v>4</v>
      </c>
      <c r="S1031" s="100">
        <f ca="1">_xll.meDateFromTenor(S1030,"1D","FOLLOWING",T$12)</f>
        <v>43966</v>
      </c>
      <c r="T1031" s="13">
        <f ca="1">_xll.meDateFromTenor(S1031,T$14,T$11,T$12)</f>
        <v>44333</v>
      </c>
      <c r="U1031" s="98">
        <f ca="1"/>
        <v>4.7666930347438361E-3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-3.0475215788866513E-4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2.7967036153404559E-3</v>
      </c>
      <c r="R1032" s="5" t="s">
        <v>4</v>
      </c>
      <c r="S1032" s="100">
        <f ca="1">_xll.meDateFromTenor(S1031,"1D","FOLLOWING",T$12)</f>
        <v>43969</v>
      </c>
      <c r="T1032" s="13">
        <f ca="1">_xll.meDateFromTenor(S1032,T$14,T$11,T$12)</f>
        <v>44334</v>
      </c>
      <c r="U1032" s="98">
        <f ca="1"/>
        <v>4.7856412556159522E-3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-2.9784339884632495E-4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2.8030183861165975E-3</v>
      </c>
      <c r="R1033" s="5" t="s">
        <v>4</v>
      </c>
      <c r="S1033" s="100">
        <f ca="1">_xll.meDateFromTenor(S1032,"1D","FOLLOWING",T$12)</f>
        <v>43970</v>
      </c>
      <c r="T1033" s="13">
        <f ca="1">_xll.meDateFromTenor(S1033,T$14,T$11,T$12)</f>
        <v>44335</v>
      </c>
      <c r="U1033" s="98">
        <f ca="1"/>
        <v>4.7919677452001493E-3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-2.9091486709296939E-4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2.8093363782253542E-3</v>
      </c>
      <c r="R1034" s="5" t="s">
        <v>4</v>
      </c>
      <c r="S1034" s="100">
        <f ca="1">_xll.meDateFromTenor(S1033,"1D","FOLLOWING",T$12)</f>
        <v>43971</v>
      </c>
      <c r="T1034" s="13">
        <f ca="1">_xll.meDateFromTenor(S1034,T$14,T$11,T$12)</f>
        <v>44336</v>
      </c>
      <c r="U1034" s="98">
        <f ca="1"/>
        <v>4.7982994694825247E-3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-2.8396736507085228E-4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2.8156576040432035E-3</v>
      </c>
      <c r="R1035" s="5" t="s">
        <v>4</v>
      </c>
      <c r="S1035" s="100">
        <f ca="1">_xll.meDateFromTenor(S1034,"1D","FOLLOWING",T$12)</f>
        <v>43972</v>
      </c>
      <c r="T1035" s="13">
        <f ca="1">_xll.meDateFromTenor(S1035,T$14,T$11,T$12)</f>
        <v>44337</v>
      </c>
      <c r="U1035" s="98">
        <f ca="1"/>
        <v>4.8046364444939323E-3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-2.7700169522222433E-4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2.8219820759466259E-3</v>
      </c>
      <c r="R1036" s="5" t="s">
        <v>4</v>
      </c>
      <c r="S1036" s="100">
        <f ca="1">_xll.meDateFromTenor(S1035,"1D","FOLLOWING",T$12)</f>
        <v>43973</v>
      </c>
      <c r="T1036" s="13">
        <f ca="1">_xll.meDateFromTenor(S1036,T$14,T$11,T$12)</f>
        <v>44340</v>
      </c>
      <c r="U1036" s="98">
        <f ca="1"/>
        <v>4.8109786862652361E-3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-2.5600370313980998E-4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2.8409750919351088E-3</v>
      </c>
      <c r="R1037" s="5" t="s">
        <v>4</v>
      </c>
      <c r="S1037" s="100">
        <f ca="1">_xll.meDateFromTenor(S1036,"1D","FOLLOWING",T$12)</f>
        <v>43976</v>
      </c>
      <c r="T1037" s="13">
        <f ca="1">_xll.meDateFromTenor(S1037,T$14,T$11,T$12)</f>
        <v>44341</v>
      </c>
      <c r="U1037" s="98">
        <f ca="1"/>
        <v>4.8300371724470884E-3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-2.4897338640767218E-4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2.8473126719456019E-3</v>
      </c>
      <c r="R1038" s="5" t="s">
        <v>4</v>
      </c>
      <c r="S1038" s="100">
        <f ca="1">_xll.meDateFromTenor(S1037,"1D","FOLLOWING",T$12)</f>
        <v>43977</v>
      </c>
      <c r="T1038" s="13">
        <f ca="1">_xll.meDateFromTenor(S1038,T$14,T$11,T$12)</f>
        <v>44342</v>
      </c>
      <c r="U1038" s="98">
        <f ca="1"/>
        <v>4.8364006415665467E-3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-2.4192891406028756E-4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2.8536535599240596E-3</v>
      </c>
      <c r="R1039" s="5" t="s">
        <v>4</v>
      </c>
      <c r="S1039" s="100">
        <f ca="1">_xll.meDateFromTenor(S1038,"1D","FOLLOWING",T$12)</f>
        <v>43978</v>
      </c>
      <c r="T1039" s="13">
        <f ca="1">_xll.meDateFromTenor(S1039,T$14,T$11,T$12)</f>
        <v>44343</v>
      </c>
      <c r="U1039" s="98">
        <f ca="1"/>
        <v>4.8427694576001915E-3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-2.3487108853991007E-4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2.8599977682469586E-3</v>
      </c>
      <c r="R1040" s="5" t="s">
        <v>4</v>
      </c>
      <c r="S1040" s="100">
        <f ca="1">_xll.meDateFromTenor(S1039,"1D","FOLLOWING",T$12)</f>
        <v>43979</v>
      </c>
      <c r="T1040" s="13">
        <f ca="1">_xll.meDateFromTenor(S1040,T$14,T$11,T$12)</f>
        <v>44344</v>
      </c>
      <c r="U1040" s="98">
        <f ca="1"/>
        <v>4.8491436365788801E-3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-2.278007122887936E-4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2.8663453092907776E-3</v>
      </c>
      <c r="R1041" s="5" t="s">
        <v>4</v>
      </c>
      <c r="S1041" s="100">
        <f ca="1">_xll.meDateFromTenor(S1040,"1D","FOLLOWING",T$12)</f>
        <v>43980</v>
      </c>
      <c r="T1041" s="13">
        <f ca="1">_xll.meDateFromTenor(S1041,T$14,T$11,T$12)</f>
        <v>44347</v>
      </c>
      <c r="U1041" s="98">
        <f ca="1"/>
        <v>4.8555231945334697E-3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-2.0652230357352968E-4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2.8854080525125407E-3</v>
      </c>
      <c r="R1042" s="5" t="s">
        <v>4</v>
      </c>
      <c r="S1042" s="100">
        <f ca="1">_xll.meDateFromTenor(S1041,"1D","FOLLOWING",T$12)</f>
        <v>43983</v>
      </c>
      <c r="T1042" s="13">
        <f ca="1">_xll.meDateFromTenor(S1042,T$14,T$11,T$12)</f>
        <v>44348</v>
      </c>
      <c r="U1042" s="98">
        <f ca="1"/>
        <v>4.8746943025612319E-3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-1.9940974882197874E-4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2.8917690482048253E-3</v>
      </c>
      <c r="R1043" s="5" t="s">
        <v>4</v>
      </c>
      <c r="S1043" s="100">
        <f ca="1">_xll.meDateFromTenor(S1042,"1D","FOLLOWING",T$12)</f>
        <v>43984</v>
      </c>
      <c r="T1043" s="13">
        <f ca="1">_xll.meDateFromTenor(S1043,T$14,T$11,T$12)</f>
        <v>44349</v>
      </c>
      <c r="U1043" s="98">
        <f ca="1"/>
        <v>4.8810955367280121E-3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-1.9228870837120502E-4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2.8981334361115104E-3</v>
      </c>
      <c r="R1044" s="5" t="s">
        <v>4</v>
      </c>
      <c r="S1044" s="100">
        <f ca="1">_xll.meDateFromTenor(S1043,"1D","FOLLOWING",T$12)</f>
        <v>43985</v>
      </c>
      <c r="T1044" s="13">
        <f ca="1">_xll.meDateFromTenor(S1044,T$14,T$11,T$12)</f>
        <v>44350</v>
      </c>
      <c r="U1044" s="98">
        <f ca="1"/>
        <v>4.8875022248507484E-3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-1.85160248764711E-4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2.904501216664533E-3</v>
      </c>
      <c r="R1045" s="5" t="s">
        <v>4</v>
      </c>
      <c r="S1045" s="100">
        <f ca="1">_xll.meDateFromTenor(S1044,"1D","FOLLOWING",T$12)</f>
        <v>43986</v>
      </c>
      <c r="T1045" s="13">
        <f ca="1">_xll.meDateFromTenor(S1045,T$14,T$11,T$12)</f>
        <v>44351</v>
      </c>
      <c r="U1045" s="98">
        <f ca="1"/>
        <v>4.8939143570891188E-3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-1.7802548936625949E-4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2.910872387906912E-3</v>
      </c>
      <c r="R1046" s="5" t="s">
        <v>4</v>
      </c>
      <c r="S1046" s="100">
        <f ca="1">_xll.meDateFromTenor(S1045,"1D","FOLLOWING",T$12)</f>
        <v>43987</v>
      </c>
      <c r="T1046" s="13">
        <f ca="1">_xll.meDateFromTenor(S1046,T$14,T$11,T$12)</f>
        <v>44354</v>
      </c>
      <c r="U1046" s="98">
        <f ca="1"/>
        <v>4.900331918428558E-3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-1.5659460605672415E-4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2.9300062262004353E-3</v>
      </c>
      <c r="R1047" s="5" t="s">
        <v>4</v>
      </c>
      <c r="S1047" s="100">
        <f ca="1">_xll.meDateFromTenor(S1046,"1D","FOLLOWING",T$12)</f>
        <v>43990</v>
      </c>
      <c r="T1047" s="13">
        <f ca="1">_xll.meDateFromTenor(S1047,T$14,T$11,T$12)</f>
        <v>44355</v>
      </c>
      <c r="U1047" s="98">
        <f ca="1"/>
        <v>4.9196170269077003E-3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-1.4944584112801387E-4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2.9363909406304812E-3</v>
      </c>
      <c r="R1048" s="5" t="s">
        <v>4</v>
      </c>
      <c r="S1048" s="100">
        <f ca="1">_xll.meDateFromTenor(S1047,"1D","FOLLOWING",T$12)</f>
        <v>43991</v>
      </c>
      <c r="T1048" s="13">
        <f ca="1">_xll.meDateFromTenor(S1048,T$14,T$11,T$12)</f>
        <v>44356</v>
      </c>
      <c r="U1048" s="98">
        <f ca="1"/>
        <v>4.926056154505816E-3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-1.4229637322613181E-4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2.9427790359650048E-3</v>
      </c>
      <c r="R1049" s="5" t="s">
        <v>4</v>
      </c>
      <c r="S1049" s="100">
        <f ca="1">_xll.meDateFromTenor(S1048,"1D","FOLLOWING",T$12)</f>
        <v>43992</v>
      </c>
      <c r="T1049" s="13">
        <f ca="1">_xll.meDateFromTenor(S1049,T$14,T$11,T$12)</f>
        <v>44357</v>
      </c>
      <c r="U1049" s="98">
        <f ca="1"/>
        <v>4.9325006361322019E-3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-1.3514732171484063E-4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2.9491705102470244E-3</v>
      </c>
      <c r="R1050" s="5" t="s">
        <v>4</v>
      </c>
      <c r="S1050" s="100">
        <f ca="1">_xll.meDateFromTenor(S1049,"1D","FOLLOWING",T$12)</f>
        <v>43993</v>
      </c>
      <c r="T1050" s="13">
        <f ca="1">_xll.meDateFromTenor(S1050,T$14,T$11,T$12)</f>
        <v>44358</v>
      </c>
      <c r="U1050" s="98">
        <f ca="1"/>
        <v>4.9389504567722911E-3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-1.2799980595789608E-4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2.9555653615195659E-3</v>
      </c>
      <c r="R1051" s="5" t="s">
        <v>4</v>
      </c>
      <c r="S1051" s="100">
        <f ca="1">_xll.meDateFromTenor(S1050,"1D","FOLLOWING",T$12)</f>
        <v>43994</v>
      </c>
      <c r="T1051" s="13">
        <f ca="1">_xll.meDateFromTenor(S1051,T$14,T$11,T$12)</f>
        <v>44361</v>
      </c>
      <c r="U1051" s="98">
        <f ca="1"/>
        <v>4.9454056014115256E-3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-1.0657766685071836E-4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2.9747701577105589E-3</v>
      </c>
      <c r="R1052" s="5" t="s">
        <v>4</v>
      </c>
      <c r="S1052" s="100">
        <f ca="1">_xll.meDateFromTenor(S1051,"1D","FOLLOWING",T$12)</f>
        <v>43997</v>
      </c>
      <c r="T1052" s="13">
        <f ca="1">_xll.meDateFromTenor(S1052,T$14,T$11,T$12)</f>
        <v>44362</v>
      </c>
      <c r="U1052" s="98">
        <f ca="1"/>
        <v>4.964802829178494E-3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-9.944748774874112E-5</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2.9811784973754214E-3</v>
      </c>
      <c r="R1053" s="5" t="s">
        <v>4</v>
      </c>
      <c r="S1053" s="100">
        <f ca="1">_xll.meDateFromTenor(S1052,"1D","FOLLOWING",T$12)</f>
        <v>43998</v>
      </c>
      <c r="T1053" s="13">
        <f ca="1">_xll.meDateFromTenor(S1053,T$14,T$11,T$12)</f>
        <v>44363</v>
      </c>
      <c r="U1053" s="98">
        <f ca="1"/>
        <v>4.9712791196686989E-3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-9.2324441219900845E-5</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2.9875902042459219E-3</v>
      </c>
      <c r="R1054" s="5" t="s">
        <v>4</v>
      </c>
      <c r="S1054" s="100">
        <f ca="1">_xll.meDateFromTenor(S1053,"1D","FOLLOWING",T$12)</f>
        <v>43999</v>
      </c>
      <c r="T1054" s="13">
        <f ca="1">_xll.meDateFromTenor(S1054,T$14,T$11,T$12)</f>
        <v>44364</v>
      </c>
      <c r="U1054" s="98">
        <f ca="1"/>
        <v>4.9777606590852451E-3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-8.5209646627953334E-5</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2.9940052763650867E-3</v>
      </c>
      <c r="R1055" s="5" t="s">
        <v>4</v>
      </c>
      <c r="S1055" s="100">
        <f ca="1">_xll.meDateFromTenor(S1054,"1D","FOLLOWING",T$12)</f>
        <v>44000</v>
      </c>
      <c r="T1055" s="13">
        <f ca="1">_xll.meDateFromTenor(S1055,T$14,T$11,T$12)</f>
        <v>44365</v>
      </c>
      <c r="U1055" s="98">
        <f ca="1"/>
        <v>4.9842474324135709E-3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-7.8104223336661308E-5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3.0004237117759341E-3</v>
      </c>
      <c r="R1056" s="5" t="s">
        <v>4</v>
      </c>
      <c r="S1056" s="100">
        <f ca="1">_xll.meDateFromTenor(S1055,"1D","FOLLOWING",T$12)</f>
        <v>44001</v>
      </c>
      <c r="T1056" s="13">
        <f ca="1">_xll.meDateFromTenor(S1056,T$14,T$11,T$12)</f>
        <v>44368</v>
      </c>
      <c r="U1056" s="98">
        <f ca="1"/>
        <v>4.9907394246391148E-3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-5.6855374904282454E-5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3.0196991781888233E-3</v>
      </c>
      <c r="R1057" s="5" t="s">
        <v>4</v>
      </c>
      <c r="S1057" s="100">
        <f ca="1">_xll.meDateFromTenor(S1056,"1D","FOLLOWING",T$12)</f>
        <v>44004</v>
      </c>
      <c r="T1057" s="13">
        <f ca="1">_xll.meDateFromTenor(S1057,T$14,T$11,T$12)</f>
        <v>44369</v>
      </c>
      <c r="U1057" s="98">
        <f ca="1"/>
        <v>5.0102465645534486E-3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-4.9798630453183711E-5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3.0261310471966455E-3</v>
      </c>
      <c r="R1058" s="5" t="s">
        <v>4</v>
      </c>
      <c r="S1058" s="100">
        <f ca="1">_xll.meDateFromTenor(S1057,"1D","FOLLOWING",T$12)</f>
        <v>44005</v>
      </c>
      <c r="T1058" s="13">
        <f ca="1">_xll.meDateFromTenor(S1058,T$14,T$11,T$12)</f>
        <v>44370</v>
      </c>
      <c r="U1058" s="98">
        <f ca="1"/>
        <v>5.016759282222256E-3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-4.275685412152618E-5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3.0325662697112711E-3</v>
      </c>
      <c r="R1059" s="5" t="s">
        <v>4</v>
      </c>
      <c r="S1059" s="100">
        <f ca="1">_xll.meDateFromTenor(S1058,"1D","FOLLOWING",T$12)</f>
        <v>44006</v>
      </c>
      <c r="T1059" s="13">
        <f ca="1">_xll.meDateFromTenor(S1059,T$14,T$11,T$12)</f>
        <v>44371</v>
      </c>
      <c r="U1059" s="98">
        <f ca="1"/>
        <v>5.023277143715481E-3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-3.5731165273072504E-5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3.03900484377572E-3</v>
      </c>
      <c r="R1060" s="5" t="s">
        <v>4</v>
      </c>
      <c r="S1060" s="100">
        <f ca="1">_xll.meDateFromTenor(S1059,"1D","FOLLOWING",T$12)</f>
        <v>44007</v>
      </c>
      <c r="T1060" s="13">
        <f ca="1">_xll.meDateFromTenor(S1060,T$14,T$11,T$12)</f>
        <v>44372</v>
      </c>
      <c r="U1060" s="98">
        <f ca="1"/>
        <v>5.029800134018555E-3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-2.8722683271576204E-5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3.0454467674330189E-3</v>
      </c>
      <c r="R1061" s="5" t="s">
        <v>4</v>
      </c>
      <c r="S1061" s="100">
        <f ca="1">_xll.meDateFromTenor(S1060,"1D","FOLLOWING",T$12)</f>
        <v>44008</v>
      </c>
      <c r="T1061" s="13">
        <f ca="1">_xll.meDateFromTenor(S1061,T$14,T$11,T$12)</f>
        <v>44375</v>
      </c>
      <c r="U1061" s="98">
        <f ca="1"/>
        <v>5.0363282381169243E-3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-7.8116719864304697E-6</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3.0647926163922378E-3</v>
      </c>
      <c r="R1062" s="5" t="s">
        <v>4</v>
      </c>
      <c r="S1062" s="100">
        <f ca="1">_xll.meDateFromTenor(S1061,"1D","FOLLOWING",T$12)</f>
        <v>44011</v>
      </c>
      <c r="T1062" s="13">
        <f ca="1">_xll.meDateFromTenor(S1062,T$14,T$11,T$12)</f>
        <v>44376</v>
      </c>
      <c r="U1062" s="98">
        <f ca="1"/>
        <v>5.0559430830381686E-3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-8.8321101035574832E-7</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3.0712479188511623E-3</v>
      </c>
      <c r="R1063" s="5" t="s">
        <v>4</v>
      </c>
      <c r="S1063" s="100">
        <f ca="1">_xll.meDateFromTenor(S1062,"1D","FOLLOWING",T$12)</f>
        <v>44012</v>
      </c>
      <c r="T1063" s="13">
        <f ca="1">_xll.meDateFromTenor(S1063,T$14,T$11,T$12)</f>
        <v>44377</v>
      </c>
      <c r="U1063" s="98">
        <f ca="1"/>
        <v>5.0624914921720927E-3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6.0224462999712085E-6</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3.0777065611180543E-3</v>
      </c>
      <c r="R1064" s="5" t="s">
        <v>4</v>
      </c>
      <c r="S1064" s="100">
        <f ca="1">_xll.meDateFromTenor(S1063,"1D","FOLLOWING",T$12)</f>
        <v>44013</v>
      </c>
      <c r="T1064" s="13">
        <f ca="1">_xll.meDateFromTenor(S1064,T$14,T$11,T$12)</f>
        <v>44378</v>
      </c>
      <c r="U1064" s="98">
        <f ca="1"/>
        <v>5.0690449400285081E-3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1.2904180580787842E-5</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3.0841685412359332E-3</v>
      </c>
      <c r="R1065" s="5" t="s">
        <v>4</v>
      </c>
      <c r="S1065" s="100">
        <f ca="1">_xll.meDateFromTenor(S1064,"1D","FOLLOWING",T$12)</f>
        <v>44014</v>
      </c>
      <c r="T1065" s="13">
        <f ca="1">_xll.meDateFromTenor(S1065,T$14,T$11,T$12)</f>
        <v>44379</v>
      </c>
      <c r="U1065" s="98">
        <f ca="1"/>
        <v>5.0756034115928455E-3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1.9761280796850574E-5</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3.0906338572478233E-3</v>
      </c>
      <c r="R1066" s="5" t="s">
        <v>4</v>
      </c>
      <c r="S1066" s="100">
        <f ca="1">_xll.meDateFromTenor(S1065,"1D","FOLLOWING",T$12)</f>
        <v>44015</v>
      </c>
      <c r="T1066" s="13">
        <f ca="1">_xll.meDateFromTenor(S1066,T$14,T$11,T$12)</f>
        <v>44382</v>
      </c>
      <c r="U1066" s="98">
        <f ca="1"/>
        <v>5.0821668918505508E-3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4.019563315860022E-5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3.1100498010778036E-3</v>
      </c>
      <c r="R1067" s="5" t="s">
        <v>4</v>
      </c>
      <c r="S1067" s="100">
        <f ca="1">_xll.meDateFromTenor(S1066,"1D","FOLLOWING",T$12)</f>
        <v>44018</v>
      </c>
      <c r="T1067" s="13">
        <f ca="1">_xll.meDateFromTenor(S1067,T$14,T$11,T$12)</f>
        <v>44383</v>
      </c>
      <c r="U1067" s="98">
        <f ca="1"/>
        <v>5.1018872346382501E-3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4.6965869874752269E-5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3.1165284410959748E-3</v>
      </c>
      <c r="R1068" s="5" t="s">
        <v>4</v>
      </c>
      <c r="S1068" s="100">
        <f ca="1">_xll.meDateFromTenor(S1067,"1D","FOLLOWING",T$12)</f>
        <v>44019</v>
      </c>
      <c r="T1068" s="13">
        <f ca="1">_xll.meDateFromTenor(S1068,T$14,T$11,T$12)</f>
        <v>44384</v>
      </c>
      <c r="U1068" s="98">
        <f ca="1"/>
        <v>5.1084705995238068E-3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5.3717717234215142E-5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3.1230104072232745E-3</v>
      </c>
      <c r="R1069" s="5" t="s">
        <v>4</v>
      </c>
      <c r="S1069" s="100">
        <f ca="1">_xll.meDateFromTenor(S1068,"1D","FOLLOWING",T$12)</f>
        <v>44020</v>
      </c>
      <c r="T1069" s="13">
        <f ca="1">_xll.meDateFromTenor(S1069,T$14,T$11,T$12)</f>
        <v>44385</v>
      </c>
      <c r="U1069" s="98">
        <f ca="1"/>
        <v>5.1150588980299234E-3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6.0452505844304205E-5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3.1294956975027261E-3</v>
      </c>
      <c r="R1070" s="5" t="s">
        <v>4</v>
      </c>
      <c r="S1070" s="100">
        <f ca="1">_xll.meDateFromTenor(S1069,"1D","FOLLOWING",T$12)</f>
        <v>44021</v>
      </c>
      <c r="T1070" s="13">
        <f ca="1">_xll.meDateFromTenor(S1070,T$14,T$11,T$12)</f>
        <v>44386</v>
      </c>
      <c r="U1070" s="98">
        <f ca="1"/>
        <v>5.1216521151420408E-3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6.7171566312337056E-5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3.1359843099773555E-3</v>
      </c>
      <c r="R1071" s="5" t="s">
        <v>4</v>
      </c>
      <c r="S1071" s="100">
        <f ca="1">_xll.meDateFromTenor(S1070,"1D","FOLLOWING",T$12)</f>
        <v>44022</v>
      </c>
      <c r="T1071" s="13">
        <f ca="1">_xll.meDateFromTenor(S1071,T$14,T$11,T$12)</f>
        <v>44389</v>
      </c>
      <c r="U1071" s="98">
        <f ca="1"/>
        <v>5.1282502358455991E-3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8.7247684937234737E-5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3.1554700610025238E-3</v>
      </c>
      <c r="R1072" s="5" t="s">
        <v>4</v>
      </c>
      <c r="S1072" s="100">
        <f ca="1">_xll.meDateFromTenor(S1071,"1D","FOLLOWING",T$12)</f>
        <v>44025</v>
      </c>
      <c r="T1072" s="13">
        <f ca="1">_xll.meDateFromTenor(S1072,T$14,T$11,T$12)</f>
        <v>44390</v>
      </c>
      <c r="U1072" s="98">
        <f ca="1"/>
        <v>5.1480738693592933E-3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9.3917138910185724E-5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3.1619719426880851E-3</v>
      </c>
      <c r="R1073" s="5" t="s">
        <v>4</v>
      </c>
      <c r="S1073" s="100">
        <f ca="1">_xll.meDateFromTenor(S1072,"1D","FOLLOWING",T$12)</f>
        <v>44026</v>
      </c>
      <c r="T1073" s="13">
        <f ca="1">_xll.meDateFromTenor(S1073,T$14,T$11,T$12)</f>
        <v>44391</v>
      </c>
      <c r="U1073" s="98">
        <f ca="1"/>
        <v>5.1546914542829961E-3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1.0057751777765742E-4</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3.1684771367839403E-3</v>
      </c>
      <c r="R1074" s="5" t="s">
        <v>4</v>
      </c>
      <c r="S1074" s="100">
        <f ca="1">_xll.meDateFromTenor(S1073,"1D","FOLLOWING",T$12)</f>
        <v>44027</v>
      </c>
      <c r="T1074" s="13">
        <f ca="1">_xll.meDateFromTenor(S1074,T$14,T$11,T$12)</f>
        <v>44392</v>
      </c>
      <c r="U1074" s="98">
        <f ca="1"/>
        <v>5.1613138677253341E-3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1.0723015214696088E-4</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3.174985641333109E-3</v>
      </c>
      <c r="R1075" s="5" t="s">
        <v>4</v>
      </c>
      <c r="S1075" s="100">
        <f ca="1">_xll.meDateFromTenor(S1074,"1D","FOLLOWING",T$12)</f>
        <v>44028</v>
      </c>
      <c r="T1075" s="13">
        <f ca="1">_xll.meDateFromTenor(S1075,T$14,T$11,T$12)</f>
        <v>44393</v>
      </c>
      <c r="U1075" s="98">
        <f ca="1"/>
        <v>5.1679410946717441E-3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1.1387637262541588E-4</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3.1814974543786186E-3</v>
      </c>
      <c r="R1076" s="5" t="s">
        <v>4</v>
      </c>
      <c r="S1076" s="100">
        <f ca="1">_xll.meDateFromTenor(S1075,"1D","FOLLOWING",T$12)</f>
        <v>44029</v>
      </c>
      <c r="T1076" s="13">
        <f ca="1">_xll.meDateFromTenor(S1076,T$14,T$11,T$12)</f>
        <v>44396</v>
      </c>
      <c r="U1076" s="98">
        <f ca="1"/>
        <v>5.1745731201076695E-3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1.3378985678882431E-4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3.201052724923405E-3</v>
      </c>
      <c r="R1077" s="5" t="s">
        <v>4</v>
      </c>
      <c r="S1077" s="100">
        <f ca="1">_xll.meDateFromTenor(S1076,"1D","FOLLOWING",T$12)</f>
        <v>44032</v>
      </c>
      <c r="T1077" s="13">
        <f ca="1">_xll.meDateFromTenor(S1077,T$14,T$11,T$12)</f>
        <v>44397</v>
      </c>
      <c r="U1077" s="98">
        <f ca="1"/>
        <v>5.1944978372069012E-3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1.4042372777703057E-4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3.207577752384502E-3</v>
      </c>
      <c r="R1078" s="5" t="s">
        <v>4</v>
      </c>
      <c r="S1078" s="100">
        <f ca="1">_xll.meDateFromTenor(S1077,"1D","FOLLOWING",T$12)</f>
        <v>44033</v>
      </c>
      <c r="T1078" s="13">
        <f ca="1">_xll.meDateFromTenor(S1078,T$14,T$11,T$12)</f>
        <v>44398</v>
      </c>
      <c r="U1078" s="98">
        <f ca="1"/>
        <v>5.2011489064552642E-3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1.4705783791096099E-4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3.2141060785570519E-3</v>
      </c>
      <c r="R1079" s="5" t="s">
        <v>4</v>
      </c>
      <c r="S1079" s="100">
        <f ca="1">_xll.meDateFromTenor(S1078,"1D","FOLLOWING",T$12)</f>
        <v>44034</v>
      </c>
      <c r="T1079" s="13">
        <f ca="1">_xll.meDateFromTenor(S1079,T$14,T$11,T$12)</f>
        <v>44399</v>
      </c>
      <c r="U1079" s="98">
        <f ca="1"/>
        <v>5.2078046991203353E-3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1.5369351779793525E-4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3.2206377014840832E-3</v>
      </c>
      <c r="R1080" s="5" t="s">
        <v>4</v>
      </c>
      <c r="S1080" s="100">
        <f ca="1">_xll.meDateFromTenor(S1079,"1D","FOLLOWING",T$12)</f>
        <v>44035</v>
      </c>
      <c r="T1080" s="13">
        <f ca="1">_xll.meDateFromTenor(S1080,T$14,T$11,T$12)</f>
        <v>44400</v>
      </c>
      <c r="U1080" s="98">
        <f ca="1"/>
        <v>5.2144652001875538E-3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1.6033209804526443E-4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3.227172619208614E-3</v>
      </c>
      <c r="R1081" s="5" t="s">
        <v>4</v>
      </c>
      <c r="S1081" s="100">
        <f ca="1">_xll.meDateFromTenor(S1080,"1D","FOLLOWING",T$12)</f>
        <v>44036</v>
      </c>
      <c r="T1081" s="13">
        <f ca="1">_xll.meDateFromTenor(S1081,T$14,T$11,T$12)</f>
        <v>44403</v>
      </c>
      <c r="U1081" s="98">
        <f ca="1"/>
        <v>5.221130394642357E-3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1.8027854702255063E-4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3.2467971215974535E-3</v>
      </c>
      <c r="R1082" s="5" t="s">
        <v>4</v>
      </c>
      <c r="S1082" s="100">
        <f ca="1">_xll.meDateFromTenor(S1081,"1D","FOLLOWING",T$12)</f>
        <v>44039</v>
      </c>
      <c r="T1082" s="13">
        <f ca="1">_xll.meDateFromTenor(S1082,T$14,T$11,T$12)</f>
        <v>44404</v>
      </c>
      <c r="U1082" s="98">
        <f ca="1"/>
        <v>5.2411539881866724E-3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1.8694203478446426E-4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3.2533451989422281E-3</v>
      </c>
      <c r="R1083" s="5" t="s">
        <v>4</v>
      </c>
      <c r="S1083" s="100">
        <f ca="1">_xll.meDateFromTenor(S1082,"1D","FOLLOWING",T$12)</f>
        <v>44040</v>
      </c>
      <c r="T1083" s="13">
        <f ca="1">_xll.meDateFromTenor(S1083,T$14,T$11,T$12)</f>
        <v>44405</v>
      </c>
      <c r="U1083" s="98">
        <f ca="1"/>
        <v>5.2478378060462115E-3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1.9361507594330976E-4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3.2598965612996187E-3</v>
      </c>
      <c r="R1084" s="5" t="s">
        <v>4</v>
      </c>
      <c r="S1084" s="100">
        <f ca="1">_xll.meDateFromTenor(S1083,"1D","FOLLOWING",T$12)</f>
        <v>44041</v>
      </c>
      <c r="T1084" s="13">
        <f ca="1">_xll.meDateFromTenor(S1084,T$14,T$11,T$12)</f>
        <v>44406</v>
      </c>
      <c r="U1084" s="98">
        <f ca="1"/>
        <v>5.2545262422205299E-3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2.0029900110640468E-4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3.266451206712651E-3</v>
      </c>
      <c r="R1085" s="5" t="s">
        <v>4</v>
      </c>
      <c r="S1085" s="100">
        <f ca="1">_xll.meDateFromTenor(S1084,"1D","FOLLOWING",T$12)</f>
        <v>44042</v>
      </c>
      <c r="T1085" s="13">
        <f ca="1">_xll.meDateFromTenor(S1085,T$14,T$11,T$12)</f>
        <v>44407</v>
      </c>
      <c r="U1085" s="98">
        <f ca="1"/>
        <v>5.2612192816950676E-3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2.0699514088106665E-4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3.2730091332243516E-3</v>
      </c>
      <c r="R1086" s="5" t="s">
        <v>4</v>
      </c>
      <c r="S1086" s="100">
        <f ca="1">_xll.meDateFromTenor(S1085,"1D","FOLLOWING",T$12)</f>
        <v>44043</v>
      </c>
      <c r="T1086" s="13">
        <f ca="1">_xll.meDateFromTenor(S1086,T$14,T$11,T$12)</f>
        <v>44407</v>
      </c>
      <c r="U1086" s="98">
        <f ca="1"/>
        <v>5.2679169094552681E-3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2.2717015394759109E-4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3.292702579781673E-3</v>
      </c>
      <c r="R1087" s="5" t="s">
        <v>4</v>
      </c>
      <c r="S1087" s="100">
        <f ca="1">_xll.meDateFromTenor(S1086,"1D","FOLLOWING",T$12)</f>
        <v>44046</v>
      </c>
      <c r="T1087" s="13">
        <f ca="1">_xll.meDateFromTenor(S1087,T$14,T$11,T$12)</f>
        <v>44411</v>
      </c>
      <c r="U1087" s="98">
        <f ca="1"/>
        <v>5.2880371723042097E-3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2.3392819470324599E-4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3.2992736111182651E-3</v>
      </c>
      <c r="R1088" s="5" t="s">
        <v>4</v>
      </c>
      <c r="S1088" s="100">
        <f ca="1">_xll.meDateFromTenor(S1087,"1D","FOLLOWING",T$12)</f>
        <v>44047</v>
      </c>
      <c r="T1088" s="13">
        <f ca="1">_xll.meDateFromTenor(S1088,T$14,T$11,T$12)</f>
        <v>44412</v>
      </c>
      <c r="U1088" s="98">
        <f ca="1"/>
        <v>5.2947530030614358E-3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2.4070352187653378E-4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3.30584791376864E-3</v>
      </c>
      <c r="R1089" s="5" t="s">
        <v>4</v>
      </c>
      <c r="S1089" s="100">
        <f ca="1">_xll.meDateFromTenor(S1088,"1D","FOLLOWING",T$12)</f>
        <v>44048</v>
      </c>
      <c r="T1089" s="13">
        <f ca="1">_xll.meDateFromTenor(S1089,T$14,T$11,T$12)</f>
        <v>44413</v>
      </c>
      <c r="U1089" s="98">
        <f ca="1"/>
        <v>5.3014733470315156E-3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2.4749588484426326E-4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3.3124254857758218E-3</v>
      </c>
      <c r="R1090" s="5" t="s">
        <v>4</v>
      </c>
      <c r="S1090" s="100">
        <f ca="1">_xll.meDateFromTenor(S1089,"1D","FOLLOWING",T$12)</f>
        <v>44049</v>
      </c>
      <c r="T1090" s="13">
        <f ca="1">_xll.meDateFromTenor(S1090,T$14,T$11,T$12)</f>
        <v>44414</v>
      </c>
      <c r="U1090" s="98">
        <f ca="1"/>
        <v>5.3081981891998911E-3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2.543050329832365E-4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3.3190063251828305E-3</v>
      </c>
      <c r="R1091" s="5" t="s">
        <v>4</v>
      </c>
      <c r="S1091" s="100">
        <f ca="1">_xll.meDateFromTenor(S1090,"1D","FOLLOWING",T$12)</f>
        <v>44050</v>
      </c>
      <c r="T1091" s="13">
        <f ca="1">_xll.meDateFromTenor(S1091,T$14,T$11,T$12)</f>
        <v>44417</v>
      </c>
      <c r="U1091" s="98">
        <f ca="1"/>
        <v>5.3149275145519988E-3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2.7483068219569956E-4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3.3387684282330642E-3</v>
      </c>
      <c r="R1092" s="5" t="s">
        <v>4</v>
      </c>
      <c r="S1092" s="100">
        <f ca="1">_xll.meDateFromTenor(S1091,"1D","FOLLOWING",T$12)</f>
        <v>44053</v>
      </c>
      <c r="T1092" s="13">
        <f ca="1">_xll.meDateFromTenor(S1092,T$14,T$11,T$12)</f>
        <v>44418</v>
      </c>
      <c r="U1092" s="98">
        <f ca="1"/>
        <v>5.3351422395651084E-3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2.8170446478772418E-4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3.345362317669623E-3</v>
      </c>
      <c r="R1093" s="5" t="s">
        <v>4</v>
      </c>
      <c r="S1093" s="100">
        <f ca="1">_xll.meDateFromTenor(S1092,"1D","FOLLOWING",T$12)</f>
        <v>44054</v>
      </c>
      <c r="T1093" s="13">
        <f ca="1">_xll.meDateFromTenor(S1093,T$14,T$11,T$12)</f>
        <v>44419</v>
      </c>
      <c r="U1093" s="98">
        <f ca="1"/>
        <v>5.3418893475065399E-3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2.8859377943502528E-4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3.3519594647211247E-3</v>
      </c>
      <c r="R1094" s="5" t="s">
        <v>4</v>
      </c>
      <c r="S1094" s="100">
        <f ca="1">_xll.meDateFromTenor(S1093,"1D","FOLLOWING",T$12)</f>
        <v>44055</v>
      </c>
      <c r="T1094" s="13">
        <f ca="1">_xll.meDateFromTenor(S1094,T$14,T$11,T$12)</f>
        <v>44420</v>
      </c>
      <c r="U1094" s="98">
        <f ca="1"/>
        <v>5.3486408635588954E-3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2.9549837551441361E-4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3.3585598674305979E-3</v>
      </c>
      <c r="R1095" s="5" t="s">
        <v>4</v>
      </c>
      <c r="S1095" s="100">
        <f ca="1">_xll.meDateFromTenor(S1094,"1D","FOLLOWING",T$12)</f>
        <v>44056</v>
      </c>
      <c r="T1095" s="13">
        <f ca="1">_xll.meDateFromTenor(S1095,T$14,T$11,T$12)</f>
        <v>44421</v>
      </c>
      <c r="U1095" s="98">
        <f ca="1"/>
        <v>5.355396772707622E-3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3.0241800240269143E-4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3.3651635238410604E-3</v>
      </c>
      <c r="R1096" s="5" t="s">
        <v>4</v>
      </c>
      <c r="S1096" s="100">
        <f ca="1">_xll.meDateFromTenor(S1095,"1D","FOLLOWING",T$12)</f>
        <v>44057</v>
      </c>
      <c r="T1096" s="13">
        <f ca="1">_xll.meDateFromTenor(S1096,T$14,T$11,T$12)</f>
        <v>44424</v>
      </c>
      <c r="U1096" s="98">
        <f ca="1"/>
        <v>5.3621570599381527E-3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3.2326456168894235E-4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3.384993995708636E-3</v>
      </c>
      <c r="R1097" s="5" t="s">
        <v>4</v>
      </c>
      <c r="S1097" s="100">
        <f ca="1">_xll.meDateFromTenor(S1096,"1D","FOLLOWING",T$12)</f>
        <v>44060</v>
      </c>
      <c r="T1097" s="13">
        <f ca="1">_xll.meDateFromTenor(S1097,T$14,T$11,T$12)</f>
        <v>44425</v>
      </c>
      <c r="U1097" s="98">
        <f ca="1"/>
        <v>5.3824640399749747E-3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3.3024180558085197E-4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3.3916106473533009E-3</v>
      </c>
      <c r="R1098" s="5" t="s">
        <v>4</v>
      </c>
      <c r="S1098" s="100">
        <f ca="1">_xll.meDateFromTenor(S1097,"1D","FOLLOWING",T$12)</f>
        <v>44061</v>
      </c>
      <c r="T1098" s="13">
        <f ca="1">_xll.meDateFromTenor(S1098,T$14,T$11,T$12)</f>
        <v>44426</v>
      </c>
      <c r="U1098" s="98">
        <f ca="1"/>
        <v>5.3892416893871198E-3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3.3723282716568824E-4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3.398230542914076E-3</v>
      </c>
      <c r="R1099" s="5" t="s">
        <v>4</v>
      </c>
      <c r="S1099" s="100">
        <f ca="1">_xll.meDateFromTenor(S1098,"1D","FOLLOWING",T$12)</f>
        <v>44062</v>
      </c>
      <c r="T1099" s="13">
        <f ca="1">_xll.meDateFromTenor(S1099,T$14,T$11,T$12)</f>
        <v>44427</v>
      </c>
      <c r="U1099" s="98">
        <f ca="1"/>
        <v>5.3960236418082695E-3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3.4423737582025301E-4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3.4048536804339811E-3</v>
      </c>
      <c r="R1100" s="5" t="s">
        <v>4</v>
      </c>
      <c r="S1100" s="100">
        <f ca="1">_xll.meDateFromTenor(S1099,"1D","FOLLOWING",T$12)</f>
        <v>44063</v>
      </c>
      <c r="T1100" s="13">
        <f ca="1">_xll.meDateFromTenor(S1100,T$14,T$11,T$12)</f>
        <v>44428</v>
      </c>
      <c r="U1100" s="98">
        <f ca="1"/>
        <v>5.4028098822238588E-3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3.5125520092135515E-4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3.4114800579560412E-3</v>
      </c>
      <c r="R1101" s="5" t="s">
        <v>4</v>
      </c>
      <c r="S1101" s="100">
        <f ca="1">_xll.meDateFromTenor(S1100,"1D","FOLLOWING",T$12)</f>
        <v>44064</v>
      </c>
      <c r="T1101" s="13">
        <f ca="1">_xll.meDateFromTenor(S1101,T$14,T$11,T$12)</f>
        <v>44431</v>
      </c>
      <c r="U1101" s="98">
        <f ca="1"/>
        <v>5.409600395619326E-3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3.7238582867195542E-4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3.4313786109653925E-3</v>
      </c>
      <c r="R1102" s="5" t="s">
        <v>4</v>
      </c>
      <c r="S1102" s="100">
        <f ca="1">_xll.meDateFromTenor(S1101,"1D","FOLLOWING",T$12)</f>
        <v>44067</v>
      </c>
      <c r="T1102" s="13">
        <f ca="1">_xll.meDateFromTenor(S1102,T$14,T$11,T$12)</f>
        <v>44432</v>
      </c>
      <c r="U1102" s="98">
        <f ca="1"/>
        <v>5.4299974235394047E-3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3.7945425332727218E-4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3.4380179289263076E-3</v>
      </c>
      <c r="R1103" s="5" t="s">
        <v>4</v>
      </c>
      <c r="S1103" s="100">
        <f ca="1">_xll.meDateFromTenor(S1102,"1D","FOLLOWING",T$12)</f>
        <v>44068</v>
      </c>
      <c r="T1103" s="13">
        <f ca="1">_xll.meDateFromTenor(S1103,T$14,T$11,T$12)</f>
        <v>44433</v>
      </c>
      <c r="U1103" s="98">
        <f ca="1"/>
        <v>5.4368048787087819E-3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3.8653470131315887E-4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3.4446604771044961E-3</v>
      </c>
      <c r="R1104" s="5" t="s">
        <v>4</v>
      </c>
      <c r="S1104" s="100">
        <f ca="1">_xll.meDateFromTenor(S1103,"1D","FOLLOWING",T$12)</f>
        <v>44069</v>
      </c>
      <c r="T1104" s="13">
        <f ca="1">_xll.meDateFromTenor(S1104,T$14,T$11,T$12)</f>
        <v>44434</v>
      </c>
      <c r="U1104" s="98">
        <f ca="1"/>
        <v>5.4436165317852349E-3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3.9362692200642434E-4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3.4513062535429808E-3</v>
      </c>
      <c r="R1105" s="5" t="s">
        <v>4</v>
      </c>
      <c r="S1105" s="100">
        <f ca="1">_xll.meDateFromTenor(S1104,"1D","FOLLOWING",T$12)</f>
        <v>44070</v>
      </c>
      <c r="T1105" s="13">
        <f ca="1">_xll.meDateFromTenor(S1105,T$14,T$11,T$12)</f>
        <v>44435</v>
      </c>
      <c r="U1105" s="98">
        <f ca="1"/>
        <v>5.4504323677542045E-3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4.0073066478387061E-4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3.4579552562847824E-3</v>
      </c>
      <c r="R1106" s="5" t="s">
        <v>4</v>
      </c>
      <c r="S1106" s="100">
        <f ca="1">_xll.meDateFromTenor(S1105,"1D","FOLLOWING",T$12)</f>
        <v>44071</v>
      </c>
      <c r="T1106" s="13">
        <f ca="1">_xll.meDateFromTenor(S1106,T$14,T$11,T$12)</f>
        <v>44438</v>
      </c>
      <c r="U1106" s="98">
        <f ca="1"/>
        <v>5.457252371601125E-3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4.2210851938937502E-4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3.4779216027603348E-3</v>
      </c>
      <c r="R1107" s="5" t="s">
        <v>4</v>
      </c>
      <c r="S1107" s="100">
        <f ca="1">_xll.meDateFromTenor(S1106,"1D","FOLLOWING",T$12)</f>
        <v>44074</v>
      </c>
      <c r="T1107" s="13">
        <f ca="1">_xll.meDateFromTenor(S1107,T$14,T$11,T$12)</f>
        <v>44439</v>
      </c>
      <c r="U1107" s="98">
        <f ca="1"/>
        <v>5.4777372402639978E-3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4.2925584427161851E-4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3.4845834911456444E-3</v>
      </c>
      <c r="R1108" s="5" t="s">
        <v>4</v>
      </c>
      <c r="S1108" s="100">
        <f ca="1">_xll.meDateFromTenor(S1107,"1D","FOLLOWING",T$12)</f>
        <v>44075</v>
      </c>
      <c r="T1108" s="13">
        <f ca="1">_xll.meDateFromTenor(S1108,T$14,T$11,T$12)</f>
        <v>44440</v>
      </c>
      <c r="U1108" s="98">
        <f ca="1"/>
        <v>5.4845737654771222E-3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4.3641343812208004E-4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3.4912485960493923E-3</v>
      </c>
      <c r="R1109" s="5" t="s">
        <v>4</v>
      </c>
      <c r="S1109" s="100">
        <f ca="1">_xll.meDateFromTenor(S1108,"1D","FOLLOWING",T$12)</f>
        <v>44076</v>
      </c>
      <c r="T1109" s="13">
        <f ca="1">_xll.meDateFromTenor(S1109,T$14,T$11,T$12)</f>
        <v>44441</v>
      </c>
      <c r="U1109" s="98">
        <f ca="1"/>
        <v>5.491414383495396E-3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4.4358091592135136E-4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3.4979169155145962E-3</v>
      </c>
      <c r="R1110" s="5" t="s">
        <v>4</v>
      </c>
      <c r="S1110" s="100">
        <f ca="1">_xll.meDateFromTenor(S1109,"1D","FOLLOWING",T$12)</f>
        <v>44077</v>
      </c>
      <c r="T1110" s="13">
        <f ca="1">_xll.meDateFromTenor(S1110,T$14,T$11,T$12)</f>
        <v>44442</v>
      </c>
      <c r="U1110" s="98">
        <f ca="1"/>
        <v>5.498259079304256E-3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4.5075735506519294E-4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3.5045884475842851E-3</v>
      </c>
      <c r="R1111" s="5" t="s">
        <v>4</v>
      </c>
      <c r="S1111" s="100">
        <f ca="1">_xll.meDateFromTenor(S1110,"1D","FOLLOWING",T$12)</f>
        <v>44078</v>
      </c>
      <c r="T1111" s="13">
        <f ca="1">_xll.meDateFromTenor(S1111,T$14,T$11,T$12)</f>
        <v>44445</v>
      </c>
      <c r="U1111" s="98">
        <f ca="1"/>
        <v>5.5051078378891456E-3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4.7232987055958022E-4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3.5246222998504724E-3</v>
      </c>
      <c r="R1112" s="5" t="s">
        <v>4</v>
      </c>
      <c r="S1112" s="100">
        <f ca="1">_xll.meDateFromTenor(S1111,"1D","FOLLOWING",T$12)</f>
        <v>44081</v>
      </c>
      <c r="T1112" s="13">
        <f ca="1">_xll.meDateFromTenor(S1112,T$14,T$11,T$12)</f>
        <v>44446</v>
      </c>
      <c r="U1112" s="98">
        <f ca="1"/>
        <v>5.5256783401543578E-3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4.7953158507715047E-4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3.5313066627683204E-3</v>
      </c>
      <c r="R1113" s="5" t="s">
        <v>4</v>
      </c>
      <c r="S1113" s="100">
        <f ca="1">_xll.meDateFromTenor(S1112,"1D","FOLLOWING",T$12)</f>
        <v>44082</v>
      </c>
      <c r="T1113" s="13">
        <f ca="1">_xll.meDateFromTenor(S1113,T$14,T$11,T$12)</f>
        <v>44447</v>
      </c>
      <c r="U1113" s="98">
        <f ca="1"/>
        <v>5.5325431996977436E-3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4.8673697593702053E-4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3.5379942285057695E-3</v>
      </c>
      <c r="R1114" s="5" t="s">
        <v>4</v>
      </c>
      <c r="S1114" s="100">
        <f ca="1">_xll.meDateFromTenor(S1113,"1D","FOLLOWING",T$12)</f>
        <v>44083</v>
      </c>
      <c r="T1114" s="13">
        <f ca="1">_xll.meDateFromTenor(S1114,T$14,T$11,T$12)</f>
        <v>44448</v>
      </c>
      <c r="U1114" s="98">
        <f ca="1"/>
        <v>5.5394120469443508E-3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4.939449861387315E-4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3.5446849951058382E-3</v>
      </c>
      <c r="R1115" s="5" t="s">
        <v>4</v>
      </c>
      <c r="S1115" s="100">
        <f ca="1">_xll.meDateFromTenor(S1114,"1D","FOLLOWING",T$12)</f>
        <v>44084</v>
      </c>
      <c r="T1115" s="13">
        <f ca="1">_xll.meDateFromTenor(S1115,T$14,T$11,T$12)</f>
        <v>44449</v>
      </c>
      <c r="U1115" s="98">
        <f ca="1"/>
        <v>5.5462848668796196E-3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5.0115455868183167E-4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3.5513789606115525E-3</v>
      </c>
      <c r="R1116" s="5" t="s">
        <v>4</v>
      </c>
      <c r="S1116" s="100">
        <f ca="1">_xll.meDateFromTenor(S1115,"1D","FOLLOWING",T$12)</f>
        <v>44085</v>
      </c>
      <c r="T1116" s="13">
        <f ca="1">_xll.meDateFromTenor(S1116,T$14,T$11,T$12)</f>
        <v>44452</v>
      </c>
      <c r="U1116" s="98">
        <f ca="1"/>
        <v>5.5531616444889865E-3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5.2278208035493056E-4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3.5714800309928066E-3</v>
      </c>
      <c r="R1117" s="5" t="s">
        <v>4</v>
      </c>
      <c r="S1117" s="100">
        <f ca="1">_xll.meDateFromTenor(S1116,"1D","FOLLOWING",T$12)</f>
        <v>44088</v>
      </c>
      <c r="T1117" s="13">
        <f ca="1">_xll.meDateFromTenor(S1117,T$14,T$11,T$12)</f>
        <v>44453</v>
      </c>
      <c r="U1117" s="98">
        <f ca="1"/>
        <v>5.5738155732160859E-3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5.2998733225904622E-4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3.5781867725513368E-3</v>
      </c>
      <c r="R1118" s="5" t="s">
        <v>4</v>
      </c>
      <c r="S1118" s="100">
        <f ca="1">_xll.meDateFromTenor(S1117,"1D","FOLLOWING",T$12)</f>
        <v>44089</v>
      </c>
      <c r="T1118" s="13">
        <f ca="1">_xll.meDateFromTenor(S1118,T$14,T$11,T$12)</f>
        <v>44454</v>
      </c>
      <c r="U1118" s="98">
        <f ca="1"/>
        <v>5.5807080313762438E-3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5.3718886150228029E-4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3.584896703230628E-3</v>
      </c>
      <c r="R1119" s="5" t="s">
        <v>4</v>
      </c>
      <c r="S1119" s="100">
        <f ca="1">_xll.meDateFromTenor(S1118,"1D","FOLLOWING",T$12)</f>
        <v>44090</v>
      </c>
      <c r="T1119" s="13">
        <f ca="1">_xll.meDateFromTenor(S1119,T$14,T$11,T$12)</f>
        <v>44455</v>
      </c>
      <c r="U1119" s="98">
        <f ca="1"/>
        <v>5.5876043721376995E-3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5.443856110841789E-4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3.5916098210737051E-3</v>
      </c>
      <c r="R1120" s="5" t="s">
        <v>4</v>
      </c>
      <c r="S1120" s="100">
        <f ca="1">_xll.meDateFromTenor(S1119,"1D","FOLLOWING",T$12)</f>
        <v>44091</v>
      </c>
      <c r="T1120" s="13">
        <f ca="1">_xll.meDateFromTenor(S1120,T$14,T$11,T$12)</f>
        <v>44456</v>
      </c>
      <c r="U1120" s="98">
        <f ca="1"/>
        <v>5.5945045804858878E-3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5.5157652400429017E-4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3.5983261241235936E-3</v>
      </c>
      <c r="R1121" s="5" t="s">
        <v>4</v>
      </c>
      <c r="S1121" s="100">
        <f ca="1">_xll.meDateFromTenor(S1120,"1D","FOLLOWING",T$12)</f>
        <v>44092</v>
      </c>
      <c r="T1121" s="13">
        <f ca="1">_xll.meDateFromTenor(S1121,T$14,T$11,T$12)</f>
        <v>44459</v>
      </c>
      <c r="U1121" s="98">
        <f ca="1"/>
        <v>5.6014086414062532E-3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5.7310367278933958E-4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3.6184941249443403E-3</v>
      </c>
      <c r="R1122" s="5" t="s">
        <v>4</v>
      </c>
      <c r="S1122" s="100">
        <f ca="1">_xll.meDateFromTenor(S1121,"1D","FOLLOWING",T$12)</f>
        <v>44095</v>
      </c>
      <c r="T1122" s="13">
        <f ca="1">_xll.meDateFromTenor(S1122,T$14,T$11,T$12)</f>
        <v>44460</v>
      </c>
      <c r="U1122" s="98">
        <f ca="1"/>
        <v>5.6221437894547754E-3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5.8026066905774842E-4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3.6252231492516955E-3</v>
      </c>
      <c r="R1123" s="5" t="s">
        <v>4</v>
      </c>
      <c r="S1123" s="100">
        <f ca="1">_xll.meDateFromTenor(S1122,"1D","FOLLOWING",T$12)</f>
        <v>44096</v>
      </c>
      <c r="T1123" s="13">
        <f ca="1">_xll.meDateFromTenor(S1123,T$14,T$11,T$12)</f>
        <v>44461</v>
      </c>
      <c r="U1123" s="98">
        <f ca="1"/>
        <v>5.629063110518224E-3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5.8740654366209912E-4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3.6319553489809779E-3</v>
      </c>
      <c r="R1124" s="5" t="s">
        <v>4</v>
      </c>
      <c r="S1124" s="100">
        <f ca="1">_xll.meDateFromTenor(S1123,"1D","FOLLOWING",T$12)</f>
        <v>44097</v>
      </c>
      <c r="T1124" s="13">
        <f ca="1">_xll.meDateFromTenor(S1124,T$14,T$11,T$12)</f>
        <v>44462</v>
      </c>
      <c r="U1124" s="98">
        <f ca="1"/>
        <v>5.6359862090810441E-3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5.9454023960193319E-4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3.6386907221752072E-3</v>
      </c>
      <c r="R1125" s="5" t="s">
        <v>4</v>
      </c>
      <c r="S1125" s="100">
        <f ca="1">_xll.meDateFromTenor(S1124,"1D","FOLLOWING",T$12)</f>
        <v>44098</v>
      </c>
      <c r="T1125" s="13">
        <f ca="1">_xll.meDateFromTenor(S1125,T$14,T$11,T$12)</f>
        <v>44463</v>
      </c>
      <c r="U1125" s="98">
        <f ca="1"/>
        <v>5.6429130701286679E-3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6.0166069987680089E-4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3.6454292668774103E-3</v>
      </c>
      <c r="R1126" s="5" t="s">
        <v>4</v>
      </c>
      <c r="S1126" s="100">
        <f ca="1">_xll.meDateFromTenor(S1125,"1D","FOLLOWING",T$12)</f>
        <v>44099</v>
      </c>
      <c r="T1126" s="13">
        <f ca="1">_xll.meDateFromTenor(S1126,T$14,T$11,T$12)</f>
        <v>44466</v>
      </c>
      <c r="U1126" s="98">
        <f ca="1"/>
        <v>5.6498436786465425E-3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6.2293209670704469E-4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3.6656639104620807E-3</v>
      </c>
      <c r="R1127" s="5" t="s">
        <v>4</v>
      </c>
      <c r="S1127" s="100">
        <f ca="1">_xll.meDateFromTenor(S1126,"1D","FOLLOWING",T$12)</f>
        <v>44102</v>
      </c>
      <c r="T1127" s="13">
        <f ca="1">_xll.meDateFromTenor(S1127,T$14,T$11,T$12)</f>
        <v>44467</v>
      </c>
      <c r="U1127" s="98">
        <f ca="1"/>
        <v>5.6706578388760328E-3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6.299890443174969E-4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3.6724151216264065E-3</v>
      </c>
      <c r="R1128" s="5" t="s">
        <v>4</v>
      </c>
      <c r="S1128" s="100">
        <f ca="1">_xll.meDateFromTenor(S1127,"1D","FOLLOWING",T$12)</f>
        <v>44103</v>
      </c>
      <c r="T1128" s="13">
        <f ca="1">_xll.meDateFromTenor(S1128,T$14,T$11,T$12)</f>
        <v>44468</v>
      </c>
      <c r="U1128" s="98">
        <f ca="1"/>
        <v>5.6776032871292872E-3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6.3702747126070751E-4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3.6791694945138191E-3</v>
      </c>
      <c r="R1129" s="5" t="s">
        <v>4</v>
      </c>
      <c r="S1129" s="100">
        <f ca="1">_xll.meDateFromTenor(S1128,"1D","FOLLOWING",T$12)</f>
        <v>44104</v>
      </c>
      <c r="T1129" s="13">
        <f ca="1">_xll.meDateFromTenor(S1129,T$14,T$11,T$12)</f>
        <v>44469</v>
      </c>
      <c r="U1129" s="98">
        <f ca="1"/>
        <v>5.6845524077799798E-3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6.4404632053622723E-4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3.6859270271673455E-3</v>
      </c>
      <c r="R1130" s="5" t="s">
        <v>4</v>
      </c>
      <c r="S1130" s="100">
        <f ca="1">_xll.meDateFromTenor(S1129,"1D","FOLLOWING",T$12)</f>
        <v>44105</v>
      </c>
      <c r="T1130" s="13">
        <f ca="1">_xll.meDateFromTenor(S1130,T$14,T$11,T$12)</f>
        <v>44470</v>
      </c>
      <c r="U1130" s="98">
        <f ca="1"/>
        <v>5.6915051858135576E-3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6.5104453514359712E-4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3.6926877176300054E-3</v>
      </c>
      <c r="R1131" s="5" t="s">
        <v>4</v>
      </c>
      <c r="S1131" s="100">
        <f ca="1">_xll.meDateFromTenor(S1130,"1D","FOLLOWING",T$12)</f>
        <v>44106</v>
      </c>
      <c r="T1131" s="13">
        <f ca="1">_xll.meDateFromTenor(S1131,T$14,T$11,T$12)</f>
        <v>44473</v>
      </c>
      <c r="U1131" s="98">
        <f ca="1"/>
        <v>5.6984616062154547E-3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6.7191892769153121E-4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3.7129887163030342E-3</v>
      </c>
      <c r="R1132" s="5" t="s">
        <v>4</v>
      </c>
      <c r="S1132" s="100">
        <f ca="1">_xll.meDateFromTenor(S1131,"1D","FOLLOWING",T$12)</f>
        <v>44109</v>
      </c>
      <c r="T1132" s="13">
        <f ca="1">_xll.meDateFromTenor(S1132,T$14,T$11,T$12)</f>
        <v>44474</v>
      </c>
      <c r="U1132" s="98">
        <f ca="1"/>
        <v>5.7193525714854584E-3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6.78843392486668E-4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3.7197620184324718E-3</v>
      </c>
      <c r="R1133" s="5" t="s">
        <v>4</v>
      </c>
      <c r="S1133" s="100">
        <f ca="1">_xll.meDateFromTenor(S1132,"1D","FOLLOWING",T$12)</f>
        <v>44110</v>
      </c>
      <c r="T1133" s="13">
        <f ca="1">_xll.meDateFromTenor(S1133,T$14,T$11,T$12)</f>
        <v>44475</v>
      </c>
      <c r="U1133" s="98">
        <f ca="1"/>
        <v>5.7263234112150284E-3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6.8575449471293837E-4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3.7265384685861596E-3</v>
      </c>
      <c r="R1134" s="5" t="s">
        <v>4</v>
      </c>
      <c r="S1134" s="100">
        <f ca="1">_xll.meDateFromTenor(S1133,"1D","FOLLOWING",T$12)</f>
        <v>44111</v>
      </c>
      <c r="T1134" s="13">
        <f ca="1">_xll.meDateFromTenor(S1134,T$14,T$11,T$12)</f>
        <v>44476</v>
      </c>
      <c r="U1134" s="98">
        <f ca="1"/>
        <v>5.7332978182401146E-3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6.9265431664527859E-4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3.733318064807123E-3</v>
      </c>
      <c r="R1135" s="5" t="s">
        <v>4</v>
      </c>
      <c r="S1135" s="100">
        <f ca="1">_xll.meDateFromTenor(S1134,"1D","FOLLOWING",T$12)</f>
        <v>44112</v>
      </c>
      <c r="T1135" s="13">
        <f ca="1">_xll.meDateFromTenor(S1135,T$14,T$11,T$12)</f>
        <v>44477</v>
      </c>
      <c r="U1135" s="98">
        <f ca="1"/>
        <v>5.7402757775461555E-3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6.9954494055862585E-4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3.7401008051383875E-3</v>
      </c>
      <c r="R1136" s="5" t="s">
        <v>4</v>
      </c>
      <c r="S1136" s="100">
        <f ca="1">_xll.meDateFromTenor(S1135,"1D","FOLLOWING",T$12)</f>
        <v>44113</v>
      </c>
      <c r="T1136" s="13">
        <f ca="1">_xll.meDateFromTenor(S1136,T$14,T$11,T$12)</f>
        <v>44480</v>
      </c>
      <c r="U1136" s="98">
        <f ca="1"/>
        <v>5.7472572741185911E-3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7.2018244693403295E-4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3.760467871224203E-3</v>
      </c>
      <c r="R1137" s="5" t="s">
        <v>4</v>
      </c>
      <c r="S1137" s="100">
        <f ca="1">_xll.meDateFromTenor(S1136,"1D","FOLLOWING",T$12)</f>
        <v>44116</v>
      </c>
      <c r="T1137" s="13">
        <f ca="1">_xll.meDateFromTenor(S1137,T$14,T$11,T$12)</f>
        <v>44481</v>
      </c>
      <c r="U1137" s="98">
        <f ca="1"/>
        <v>5.7682228372886507E-3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7.2705710152073922E-4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3.7672631684268943E-3</v>
      </c>
      <c r="R1138" s="5" t="s">
        <v>4</v>
      </c>
      <c r="S1138" s="100">
        <f ca="1">_xll.meDateFromTenor(S1137,"1D","FOLLOWING",T$12)</f>
        <v>44117</v>
      </c>
      <c r="T1138" s="13">
        <f ca="1">_xll.meDateFromTenor(S1138,T$14,T$11,T$12)</f>
        <v>44482</v>
      </c>
      <c r="U1138" s="98">
        <f ca="1"/>
        <v>5.7752183327810513E-3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7.3393296946312162E-4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3.774061599955001E-3</v>
      </c>
      <c r="R1139" s="5" t="s">
        <v>4</v>
      </c>
      <c r="S1139" s="100">
        <f ca="1">_xll.meDateFromTenor(S1138,"1D","FOLLOWING",T$12)</f>
        <v>44118</v>
      </c>
      <c r="T1139" s="13">
        <f ca="1">_xll.meDateFromTenor(S1139,T$14,T$11,T$12)</f>
        <v>44483</v>
      </c>
      <c r="U1139" s="98">
        <f ca="1"/>
        <v>5.782217290467042E-3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7.4081213303611693E-4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3.7808631638515488E-3</v>
      </c>
      <c r="R1140" s="5" t="s">
        <v>4</v>
      </c>
      <c r="S1140" s="100">
        <f ca="1">_xll.meDateFromTenor(S1139,"1D","FOLLOWING",T$12)</f>
        <v>44119</v>
      </c>
      <c r="T1140" s="13">
        <f ca="1">_xll.meDateFromTenor(S1140,T$14,T$11,T$12)</f>
        <v>44484</v>
      </c>
      <c r="U1140" s="98">
        <f ca="1"/>
        <v>5.7892196953320645E-3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7.4769667451465469E-4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3.7876678581595566E-3</v>
      </c>
      <c r="R1141" s="5" t="s">
        <v>4</v>
      </c>
      <c r="S1141" s="100">
        <f ca="1">_xll.meDateFromTenor(S1140,"1D","FOLLOWING",T$12)</f>
        <v>44120</v>
      </c>
      <c r="T1141" s="13">
        <f ca="1">_xll.meDateFromTenor(S1141,T$14,T$11,T$12)</f>
        <v>44487</v>
      </c>
      <c r="U1141" s="98">
        <f ca="1"/>
        <v>5.7962255323615501E-3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7.6840338913288344E-4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3.8081007039825897E-3</v>
      </c>
      <c r="R1142" s="5" t="s">
        <v>4</v>
      </c>
      <c r="S1142" s="100">
        <f ca="1">_xll.meDateFromTenor(S1141,"1D","FOLLOWING",T$12)</f>
        <v>44123</v>
      </c>
      <c r="T1142" s="13">
        <f ca="1">_xll.meDateFromTenor(S1142,T$14,T$11,T$12)</f>
        <v>44488</v>
      </c>
      <c r="U1142" s="98">
        <f ca="1"/>
        <v>5.8172634862912074E-3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7.7533026498294668E-4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3.8149179003666824E-3</v>
      </c>
      <c r="R1143" s="5" t="s">
        <v>4</v>
      </c>
      <c r="S1143" s="100">
        <f ca="1">_xll.meDateFromTenor(S1142,"1D","FOLLOWING",T$12)</f>
        <v>44124</v>
      </c>
      <c r="T1143" s="13">
        <f ca="1">_xll.meDateFromTenor(S1143,T$14,T$11,T$12)</f>
        <v>44489</v>
      </c>
      <c r="U1143" s="98">
        <f ca="1"/>
        <v>5.8242829018329573E-3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7.8227293011322416E-4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3.8217382173773512E-3</v>
      </c>
      <c r="R1144" s="5" t="s">
        <v>4</v>
      </c>
      <c r="S1144" s="100">
        <f ca="1">_xll.meDateFromTenor(S1143,"1D","FOLLOWING",T$12)</f>
        <v>44125</v>
      </c>
      <c r="T1144" s="13">
        <f ca="1">_xll.meDateFromTenor(S1144,T$14,T$11,T$12)</f>
        <v>44490</v>
      </c>
      <c r="U1144" s="98">
        <f ca="1"/>
        <v>5.8313056744663675E-3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7.8923346679865493E-4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3.8285616530576252E-3</v>
      </c>
      <c r="R1145" s="5" t="s">
        <v>4</v>
      </c>
      <c r="S1145" s="100">
        <f ca="1">_xll.meDateFromTenor(S1144,"1D","FOLLOWING",T$12)</f>
        <v>44126</v>
      </c>
      <c r="T1145" s="13">
        <f ca="1">_xll.meDateFromTenor(S1145,T$14,T$11,T$12)</f>
        <v>44491</v>
      </c>
      <c r="U1145" s="98">
        <f ca="1"/>
        <v>5.8383317891768814E-3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7.9621395731416863E-4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3.835388205450522E-3</v>
      </c>
      <c r="R1146" s="5" t="s">
        <v>4</v>
      </c>
      <c r="S1146" s="100">
        <f ca="1">_xll.meDateFromTenor(S1145,"1D","FOLLOWING",T$12)</f>
        <v>44127</v>
      </c>
      <c r="T1146" s="13">
        <f ca="1">_xll.meDateFromTenor(S1146,T$14,T$11,T$12)</f>
        <v>44494</v>
      </c>
      <c r="U1146" s="98">
        <f ca="1"/>
        <v>5.8453612309499357E-3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8.1729597459056754E-4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3.855886543335203E-3</v>
      </c>
      <c r="R1147" s="5" t="s">
        <v>4</v>
      </c>
      <c r="S1147" s="100">
        <f ca="1">_xll.meDateFromTenor(S1146,"1D","FOLLOWING",T$12)</f>
        <v>44130</v>
      </c>
      <c r="T1147" s="13">
        <f ca="1">_xll.meDateFromTenor(S1147,T$14,T$11,T$12)</f>
        <v>44495</v>
      </c>
      <c r="U1147" s="98">
        <f ca="1"/>
        <v>5.866469368498735E-3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8.2437710317576573E-4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3.8627255430088358E-3</v>
      </c>
      <c r="R1148" s="5" t="s">
        <v>4</v>
      </c>
      <c r="S1148" s="100">
        <f ca="1">_xll.meDateFromTenor(S1147,"1D","FOLLOWING",T$12)</f>
        <v>44131</v>
      </c>
      <c r="T1148" s="13">
        <f ca="1">_xll.meDateFromTenor(S1148,T$14,T$11,T$12)</f>
        <v>44496</v>
      </c>
      <c r="U1148" s="98">
        <f ca="1"/>
        <v>5.8735119683763423E-3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8.3148859696572362E-4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3.8695676496102132E-3</v>
      </c>
      <c r="R1149" s="5" t="s">
        <v>4</v>
      </c>
      <c r="S1149" s="100">
        <f ca="1">_xll.meDateFromTenor(S1148,"1D","FOLLOWING",T$12)</f>
        <v>44132</v>
      </c>
      <c r="T1149" s="13">
        <f ca="1">_xll.meDateFromTenor(S1149,T$14,T$11,T$12)</f>
        <v>44497</v>
      </c>
      <c r="U1149" s="98">
        <f ca="1"/>
        <v>5.8805578202436887E-3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8.386325382353703E-4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3.8764128611823542E-3</v>
      </c>
      <c r="R1150" s="5" t="s">
        <v>4</v>
      </c>
      <c r="S1150" s="100">
        <f ca="1">_xll.meDateFromTenor(S1149,"1D","FOLLOWING",T$12)</f>
        <v>44133</v>
      </c>
      <c r="T1150" s="13">
        <f ca="1">_xll.meDateFromTenor(S1150,T$14,T$11,T$12)</f>
        <v>44498</v>
      </c>
      <c r="U1150" s="98">
        <f ca="1"/>
        <v>5.8876069090862092E-3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8.4581100925964266E-4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3.8832611757682843E-3</v>
      </c>
      <c r="R1151" s="5" t="s">
        <v>4</v>
      </c>
      <c r="S1151" s="100">
        <f ca="1">_xll.meDateFromTenor(S1150,"1D","FOLLOWING",T$12)</f>
        <v>44134</v>
      </c>
      <c r="T1151" s="13">
        <f ca="1">_xll.meDateFromTenor(S1151,T$14,T$11,T$12)</f>
        <v>44498</v>
      </c>
      <c r="U1151" s="98">
        <f ca="1"/>
        <v>5.8946592198893437E-3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8.6757442360956244E-4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3.9038247180390446E-3</v>
      </c>
      <c r="R1152" s="5" t="s">
        <v>4</v>
      </c>
      <c r="S1152" s="100">
        <f ca="1">_xll.meDateFromTenor(S1151,"1D","FOLLOWING",T$12)</f>
        <v>44137</v>
      </c>
      <c r="T1152" s="13">
        <f ca="1">_xll.meDateFromTenor(S1152,T$14,T$11,T$12)</f>
        <v>44502</v>
      </c>
      <c r="U1152" s="98">
        <f ca="1"/>
        <v>5.9158353339168286E-3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8.7491101931182918E-4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3.9106854251103641E-3</v>
      </c>
      <c r="R1153" s="5" t="s">
        <v>4</v>
      </c>
      <c r="S1153" s="100">
        <f ca="1">_xll.meDateFromTenor(S1152,"1D","FOLLOWING",T$12)</f>
        <v>44138</v>
      </c>
      <c r="T1153" s="13">
        <f ca="1">_xll.meDateFromTenor(S1153,T$14,T$11,T$12)</f>
        <v>44503</v>
      </c>
      <c r="U1153" s="98">
        <f ca="1"/>
        <v>5.9229003824168118E-3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8.8228765360428142E-4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3.9175492254105888E-3</v>
      </c>
      <c r="R1154" s="5" t="s">
        <v>4</v>
      </c>
      <c r="S1154" s="100">
        <f ca="1">_xll.meDateFromTenor(S1153,"1D","FOLLOWING",T$12)</f>
        <v>44139</v>
      </c>
      <c r="T1154" s="13">
        <f ca="1">_xll.meDateFromTenor(S1154,T$14,T$11,T$12)</f>
        <v>44504</v>
      </c>
      <c r="U1154" s="98">
        <f ca="1"/>
        <v>5.9299685778046052E-3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8.8970150622274418E-4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3.9244161169827447E-3</v>
      </c>
      <c r="R1155" s="5" t="s">
        <v>4</v>
      </c>
      <c r="S1155" s="100">
        <f ca="1">_xll.meDateFromTenor(S1154,"1D","FOLLOWING",T$12)</f>
        <v>44140</v>
      </c>
      <c r="T1155" s="13">
        <f ca="1">_xll.meDateFromTenor(S1155,T$14,T$11,T$12)</f>
        <v>44505</v>
      </c>
      <c r="U1155" s="98">
        <f ca="1"/>
        <v>5.9370399050656499E-3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8.971497569030349E-4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3.9312860978698511E-3</v>
      </c>
      <c r="R1156" s="5" t="s">
        <v>4</v>
      </c>
      <c r="S1156" s="100">
        <f ca="1">_xll.meDateFromTenor(S1155,"1D","FOLLOWING",T$12)</f>
        <v>44141</v>
      </c>
      <c r="T1156" s="13">
        <f ca="1">_xll.meDateFromTenor(S1156,T$14,T$11,T$12)</f>
        <v>44508</v>
      </c>
      <c r="U1156" s="98">
        <f ca="1"/>
        <v>5.9441143491853789E-3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9.1967269467311771E-4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3.951914556851119E-3</v>
      </c>
      <c r="R1157" s="5" t="s">
        <v>4</v>
      </c>
      <c r="S1157" s="100">
        <f ca="1">_xll.meDateFromTenor(S1156,"1D","FOLLOWING",T$12)</f>
        <v>44144</v>
      </c>
      <c r="T1157" s="13">
        <f ca="1">_xll.meDateFromTenor(S1157,T$14,T$11,T$12)</f>
        <v>44509</v>
      </c>
      <c r="U1157" s="98">
        <f ca="1"/>
        <v>5.9653562325510884E-3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9.2723033495895535E-4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3.9587968754282677E-3</v>
      </c>
      <c r="R1158" s="5" t="s">
        <v>4</v>
      </c>
      <c r="S1158" s="100">
        <f ca="1">_xll.meDateFromTenor(S1157,"1D","FOLLOWING",T$12)</f>
        <v>44145</v>
      </c>
      <c r="T1158" s="13">
        <f ca="1">_xll.meDateFromTenor(S1158,T$14,T$11,T$12)</f>
        <v>44510</v>
      </c>
      <c r="U1158" s="98">
        <f ca="1"/>
        <v>5.9724429939599618E-3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9.3480827198573826E-4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3.9656822735354876E-3</v>
      </c>
      <c r="R1159" s="5" t="s">
        <v>4</v>
      </c>
      <c r="S1159" s="100">
        <f ca="1">_xll.meDateFromTenor(S1158,"1D","FOLLOWING",T$12)</f>
        <v>44146</v>
      </c>
      <c r="T1159" s="13">
        <f ca="1">_xll.meDateFromTenor(S1159,T$14,T$11,T$12)</f>
        <v>44511</v>
      </c>
      <c r="U1159" s="98">
        <f ca="1"/>
        <v>5.9795327971547199E-3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9.424036854892839E-4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3.9725707492157978E-3</v>
      </c>
      <c r="R1160" s="5" t="s">
        <v>4</v>
      </c>
      <c r="S1160" s="100">
        <f ca="1">_xll.meDateFromTenor(S1159,"1D","FOLLOWING",T$12)</f>
        <v>44147</v>
      </c>
      <c r="T1160" s="13">
        <f ca="1">_xll.meDateFromTenor(S1160,T$14,T$11,T$12)</f>
        <v>44512</v>
      </c>
      <c r="U1160" s="98">
        <f ca="1"/>
        <v>5.9866256271207969E-3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9.5001375520542032E-4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3.9794623005122258E-3</v>
      </c>
      <c r="R1161" s="5" t="s">
        <v>4</v>
      </c>
      <c r="S1161" s="100">
        <f ca="1">_xll.meDateFromTenor(S1160,"1D","FOLLOWING",T$12)</f>
        <v>44148</v>
      </c>
      <c r="T1161" s="13">
        <f ca="1">_xll.meDateFromTenor(S1161,T$14,T$11,T$12)</f>
        <v>44515</v>
      </c>
      <c r="U1161" s="98">
        <f ca="1"/>
        <v>5.9937214688436389E-3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9.7290369898757551E-4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4.0001553885284325E-3</v>
      </c>
      <c r="R1162" s="5" t="s">
        <v>4</v>
      </c>
      <c r="S1162" s="100">
        <f ca="1">_xll.meDateFromTenor(S1161,"1D","FOLLOWING",T$12)</f>
        <v>44151</v>
      </c>
      <c r="T1162" s="13">
        <f ca="1">_xll.meDateFromTenor(S1162,T$14,T$11,T$12)</f>
        <v>44516</v>
      </c>
      <c r="U1162" s="98">
        <f ca="1"/>
        <v>6.0150269144071192E-3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9.8054419091228519E-4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4.0070592227195541E-3</v>
      </c>
      <c r="R1163" s="5" t="s">
        <v>4</v>
      </c>
      <c r="S1163" s="100">
        <f ca="1">_xll.meDateFromTenor(S1162,"1D","FOLLOWING",T$12)</f>
        <v>44152</v>
      </c>
      <c r="T1163" s="13">
        <f ca="1">_xll.meDateFromTenor(S1163,T$14,T$11,T$12)</f>
        <v>44517</v>
      </c>
      <c r="U1163" s="98">
        <f ca="1"/>
        <v>6.022134653011396E-3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9.8818523772869755E-4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4.0139661227419111E-3</v>
      </c>
      <c r="R1164" s="5" t="s">
        <v>4</v>
      </c>
      <c r="S1164" s="100">
        <f ca="1">_xll.meDateFromTenor(S1163,"1D","FOLLOWING",T$12)</f>
        <v>44153</v>
      </c>
      <c r="T1164" s="13">
        <f ca="1">_xll.meDateFromTenor(S1164,T$14,T$11,T$12)</f>
        <v>44518</v>
      </c>
      <c r="U1164" s="98">
        <f ca="1"/>
        <v>6.0292453282996313E-3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9.9582401917263025E-4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4.0208760866385206E-3</v>
      </c>
      <c r="R1165" s="5" t="s">
        <v>4</v>
      </c>
      <c r="S1165" s="100">
        <f ca="1">_xll.meDateFromTenor(S1164,"1D","FOLLOWING",T$12)</f>
        <v>44154</v>
      </c>
      <c r="T1165" s="13">
        <f ca="1">_xll.meDateFromTenor(S1165,T$14,T$11,T$12)</f>
        <v>44519</v>
      </c>
      <c r="U1165" s="98">
        <f ca="1"/>
        <v>6.0363589252572592E-3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1.0034577149799083E-3</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4.0277891124524097E-3</v>
      </c>
      <c r="R1166" s="5" t="s">
        <v>4</v>
      </c>
      <c r="S1166" s="100">
        <f ca="1">_xll.meDateFromTenor(S1165,"1D","FOLLOWING",T$12)</f>
        <v>44155</v>
      </c>
      <c r="T1166" s="13">
        <f ca="1">_xll.meDateFromTenor(S1166,T$14,T$11,T$12)</f>
        <v>44522</v>
      </c>
      <c r="U1166" s="98">
        <f ca="1"/>
        <v>6.043475428869724E-3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1.0263000859400424E-3</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4.0485465418279897E-3</v>
      </c>
      <c r="R1167" s="5" t="s">
        <v>4</v>
      </c>
      <c r="S1167" s="100">
        <f ca="1">_xll.meDateFromTenor(S1166,"1D","FOLLOWING",T$12)</f>
        <v>44158</v>
      </c>
      <c r="T1167" s="13">
        <f ca="1">_xll.meDateFromTenor(S1167,T$14,T$11,T$12)</f>
        <v>44523</v>
      </c>
      <c r="U1167" s="98">
        <f ca="1"/>
        <v>6.0648422294905186E-3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1.0338852365589257E-3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4.0554717957412278E-3</v>
      </c>
      <c r="R1168" s="5" t="s">
        <v>4</v>
      </c>
      <c r="S1168" s="100">
        <f ca="1">_xll.meDateFromTenor(S1167,"1D","FOLLOWING",T$12)</f>
        <v>44159</v>
      </c>
      <c r="T1168" s="13">
        <f ca="1">_xll.meDateFromTenor(S1168,T$14,T$11,T$12)</f>
        <v>44524</v>
      </c>
      <c r="U1168" s="98">
        <f ca="1"/>
        <v>6.0719702095767122E-3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1.0414512002202662E-3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4.0624001017868618E-3</v>
      </c>
      <c r="R1169" s="5" t="s">
        <v>4</v>
      </c>
      <c r="S1169" s="100">
        <f ca="1">_xll.meDateFromTenor(S1168,"1D","FOLLOWING",T$12)</f>
        <v>44160</v>
      </c>
      <c r="T1169" s="13">
        <f ca="1">_xll.meDateFromTenor(S1169,T$14,T$11,T$12)</f>
        <v>44525</v>
      </c>
      <c r="U1169" s="98">
        <f ca="1"/>
        <v>6.0791010212449372E-3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1.0489951566598874E-3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4.0693314580079153E-3</v>
      </c>
      <c r="R1170" s="5" t="s">
        <v>4</v>
      </c>
      <c r="S1170" s="100">
        <f ca="1">_xll.meDateFromTenor(S1169,"1D","FOLLOWING",T$12)</f>
        <v>44161</v>
      </c>
      <c r="T1170" s="13">
        <f ca="1">_xll.meDateFromTenor(S1170,T$14,T$11,T$12)</f>
        <v>44526</v>
      </c>
      <c r="U1170" s="98">
        <f ca="1"/>
        <v>6.0862346494806293E-3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1.056514285613613E-3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4.0762658624474138E-3</v>
      </c>
      <c r="R1171" s="5" t="s">
        <v>4</v>
      </c>
      <c r="S1171" s="100">
        <f ca="1">_xll.meDateFromTenor(S1170,"1D","FOLLOWING",T$12)</f>
        <v>44162</v>
      </c>
      <c r="T1171" s="13">
        <f ca="1">_xll.meDateFromTenor(S1171,T$14,T$11,T$12)</f>
        <v>44529</v>
      </c>
      <c r="U1171" s="98">
        <f ca="1"/>
        <v>6.0933710792692346E-3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1.0788945049176252E-3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4.0970873455067908E-3</v>
      </c>
      <c r="R1172" s="5" t="s">
        <v>4</v>
      </c>
      <c r="S1172" s="100">
        <f ca="1">_xll.meDateFromTenor(S1171,"1D","FOLLOWING",T$12)</f>
        <v>44165</v>
      </c>
      <c r="T1172" s="13">
        <f ca="1">_xll.meDateFromTenor(S1172,T$14,T$11,T$12)</f>
        <v>44530</v>
      </c>
      <c r="U1172" s="98">
        <f ca="1"/>
        <v>6.1147970278068835E-3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1.0862861212859831E-3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4.1040339232502896E-3</v>
      </c>
      <c r="R1173" s="5" t="s">
        <v>4</v>
      </c>
      <c r="S1173" s="100">
        <f ca="1">_xll.meDateFromTenor(S1172,"1D","FOLLOWING",T$12)</f>
        <v>44166</v>
      </c>
      <c r="T1173" s="13">
        <f ca="1">_xll.meDateFromTenor(S1173,T$14,T$11,T$12)</f>
        <v>44531</v>
      </c>
      <c r="U1173" s="98">
        <f ca="1"/>
        <v>6.1219445136615107E-3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1.0936388088475585E-3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4.1109835394273495E-3</v>
      </c>
      <c r="R1174" s="5" t="s">
        <v>4</v>
      </c>
      <c r="S1174" s="100">
        <f ca="1">_xll.meDateFromTenor(S1173,"1D","FOLLOWING",T$12)</f>
        <v>44167</v>
      </c>
      <c r="T1174" s="13">
        <f ca="1">_xll.meDateFromTenor(S1174,T$14,T$11,T$12)</f>
        <v>44532</v>
      </c>
      <c r="U1174" s="98">
        <f ca="1"/>
        <v>6.129094725996243E-3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1.1009504480522776E-3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4.1179361920454698E-3</v>
      </c>
      <c r="R1175" s="5" t="s">
        <v>4</v>
      </c>
      <c r="S1175" s="100">
        <f ca="1">_xll.meDateFromTenor(S1174,"1D","FOLLOWING",T$12)</f>
        <v>44168</v>
      </c>
      <c r="T1175" s="13">
        <f ca="1">_xll.meDateFromTenor(S1175,T$14,T$11,T$12)</f>
        <v>44533</v>
      </c>
      <c r="U1175" s="98">
        <f ca="1"/>
        <v>6.1362476497965153E-3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1.1082217222065109E-3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4.1248918789700793E-3</v>
      </c>
      <c r="R1176" s="5" t="s">
        <v>4</v>
      </c>
      <c r="S1176" s="100">
        <f ca="1">_xll.meDateFromTenor(S1175,"1D","FOLLOWING",T$12)</f>
        <v>44169</v>
      </c>
      <c r="T1176" s="13">
        <f ca="1">_xll.meDateFromTenor(S1176,T$14,T$11,T$12)</f>
        <v>44536</v>
      </c>
      <c r="U1176" s="98">
        <f ca="1"/>
        <v>6.1434032700477719E-3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1.1298071945710253E-3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4.1457771238818638E-3</v>
      </c>
      <c r="R1177" s="5" t="s">
        <v>4</v>
      </c>
      <c r="S1177" s="100">
        <f ca="1">_xll.meDateFromTenor(S1176,"1D","FOLLOWING",T$12)</f>
        <v>44172</v>
      </c>
      <c r="T1177" s="13">
        <f ca="1">_xll.meDateFromTenor(S1177,T$14,T$11,T$12)</f>
        <v>44537</v>
      </c>
      <c r="U1177" s="98">
        <f ca="1"/>
        <v>6.1648861593618185E-3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1.1369308487280555E-3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4.1527449263314619E-3</v>
      </c>
      <c r="R1178" s="5" t="s">
        <v>4</v>
      </c>
      <c r="S1178" s="100">
        <f ca="1">_xll.meDateFromTenor(S1177,"1D","FOLLOWING",T$12)</f>
        <v>44173</v>
      </c>
      <c r="T1178" s="13">
        <f ca="1">_xll.meDateFromTenor(S1178,T$14,T$11,T$12)</f>
        <v>44538</v>
      </c>
      <c r="U1178" s="98">
        <f ca="1"/>
        <v>6.1720524152713944E-3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1.1440210579369697E-3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4.1597157522370656E-3</v>
      </c>
      <c r="R1179" s="5" t="s">
        <v>4</v>
      </c>
      <c r="S1179" s="100">
        <f ca="1">_xll.meDateFromTenor(S1178,"1D","FOLLOWING",T$12)</f>
        <v>44174</v>
      </c>
      <c r="T1179" s="13">
        <f ca="1">_xll.meDateFromTenor(S1179,T$14,T$11,T$12)</f>
        <v>44539</v>
      </c>
      <c r="U1179" s="98">
        <f ca="1"/>
        <v>6.1792212925591439E-3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1.1510792062182471E-3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4.1666895994285852E-3</v>
      </c>
      <c r="R1180" s="5" t="s">
        <v>4</v>
      </c>
      <c r="S1180" s="100">
        <f ca="1">_xll.meDateFromTenor(S1179,"1D","FOLLOWING",T$12)</f>
        <v>44175</v>
      </c>
      <c r="T1180" s="13">
        <f ca="1">_xll.meDateFromTenor(S1180,T$14,T$11,T$12)</f>
        <v>44540</v>
      </c>
      <c r="U1180" s="98">
        <f ca="1"/>
        <v>6.1863927762105123E-3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1.1581066775923578E-3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4.1736664657359181E-3</v>
      </c>
      <c r="R1181" s="5" t="s">
        <v>4</v>
      </c>
      <c r="S1181" s="100">
        <f ca="1">_xll.meDateFromTenor(S1180,"1D","FOLLOWING",T$12)</f>
        <v>44176</v>
      </c>
      <c r="T1181" s="13">
        <f ca="1">_xll.meDateFromTenor(S1181,T$14,T$11,T$12)</f>
        <v>44543</v>
      </c>
      <c r="U1181" s="98">
        <f ca="1"/>
        <v>6.1935668512109344E-3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1.1790188704764557E-3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4.1946151576518608E-3</v>
      </c>
      <c r="R1182" s="5" t="s">
        <v>4</v>
      </c>
      <c r="S1182" s="100">
        <f ca="1">_xll.meDateFromTenor(S1181,"1D","FOLLOWING",T$12)</f>
        <v>44179</v>
      </c>
      <c r="T1182" s="13">
        <f ca="1">_xll.meDateFromTenor(S1182,T$14,T$11,T$12)</f>
        <v>44544</v>
      </c>
      <c r="U1182" s="98">
        <f ca="1"/>
        <v>6.2151044741609249E-3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1.18593747442666E-3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4.2016040787215053E-3</v>
      </c>
      <c r="R1183" s="5" t="s">
        <v>4</v>
      </c>
      <c r="S1183" s="100">
        <f ca="1">_xll.meDateFromTenor(S1182,"1D","FOLLOWING",T$12)</f>
        <v>44180</v>
      </c>
      <c r="T1183" s="13">
        <f ca="1">_xll.meDateFromTenor(S1183,T$14,T$11,T$12)</f>
        <v>44545</v>
      </c>
      <c r="U1183" s="98">
        <f ca="1"/>
        <v>6.2222887644119602E-3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1.1928323215720721E-3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4.2085960080564845E-3</v>
      </c>
      <c r="R1184" s="5" t="s">
        <v>4</v>
      </c>
      <c r="S1184" s="100">
        <f ca="1">_xll.meDateFromTenor(S1183,"1D","FOLLOWING",T$12)</f>
        <v>44181</v>
      </c>
      <c r="T1184" s="13">
        <f ca="1">_xll.meDateFromTenor(S1184,T$14,T$11,T$12)</f>
        <v>44546</v>
      </c>
      <c r="U1184" s="98">
        <f ca="1"/>
        <v>6.2294755709392472E-3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1.1997047959331688E-3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4.2155909434867063E-3</v>
      </c>
      <c r="R1185" s="5" t="s">
        <v>4</v>
      </c>
      <c r="S1185" s="100">
        <f ca="1">_xll.meDateFromTenor(S1184,"1D","FOLLOWING",T$12)</f>
        <v>44182</v>
      </c>
      <c r="T1185" s="13">
        <f ca="1">_xll.meDateFromTenor(S1185,T$14,T$11,T$12)</f>
        <v>44547</v>
      </c>
      <c r="U1185" s="98">
        <f ca="1"/>
        <v>6.2366648787282198E-3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1.2065562815304273E-3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4.2225888828420766E-3</v>
      </c>
      <c r="R1186" s="5" t="s">
        <v>4</v>
      </c>
      <c r="S1186" s="100">
        <f ca="1">_xll.meDateFromTenor(S1185,"1D","FOLLOWING",T$12)</f>
        <v>44183</v>
      </c>
      <c r="T1186" s="13">
        <f ca="1">_xll.meDateFromTenor(S1186,T$14,T$11,T$12)</f>
        <v>44550</v>
      </c>
      <c r="U1186" s="98">
        <f ca="1"/>
        <v>6.2438566727643259E-3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1.2269986459439025E-3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4.2436007027581027E-3</v>
      </c>
      <c r="R1187" s="5" t="s">
        <v>4</v>
      </c>
      <c r="S1187" s="100">
        <f ca="1">_xll.meDateFromTenor(S1186,"1D","FOLLOWING",T$12)</f>
        <v>44186</v>
      </c>
      <c r="T1187" s="13">
        <f ca="1">_xll.meDateFromTenor(S1187,T$14,T$11,T$12)</f>
        <v>44551</v>
      </c>
      <c r="U1187" s="98">
        <f ca="1"/>
        <v>6.2654468222098011E-3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1.2337800166905446E-3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4.2506106361130972E-3</v>
      </c>
      <c r="R1188" s="5" t="s">
        <v>4</v>
      </c>
      <c r="S1188" s="100">
        <f ca="1">_xll.meDateFromTenor(S1187,"1D","FOLLOWING",T$12)</f>
        <v>44187</v>
      </c>
      <c r="T1188" s="13">
        <f ca="1">_xll.meDateFromTenor(S1188,T$14,T$11,T$12)</f>
        <v>44552</v>
      </c>
      <c r="U1188" s="98">
        <f ca="1"/>
        <v>6.2726484110888093E-3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1.2405473187757203E-3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4.2576235625427609E-3</v>
      </c>
      <c r="R1189" s="5" t="s">
        <v>4</v>
      </c>
      <c r="S1189" s="100">
        <f ca="1">_xll.meDateFromTenor(S1188,"1D","FOLLOWING",T$12)</f>
        <v>44188</v>
      </c>
      <c r="T1189" s="13">
        <f ca="1">_xll.meDateFromTenor(S1189,T$14,T$11,T$12)</f>
        <v>44553</v>
      </c>
      <c r="U1189" s="98">
        <f ca="1"/>
        <v>6.2798524111421436E-3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1.2473019362199062E-3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4.2646394798769981E-3</v>
      </c>
      <c r="R1190" s="5" t="s">
        <v>4</v>
      </c>
      <c r="S1190" s="100">
        <f ca="1">_xll.meDateFromTenor(S1189,"1D","FOLLOWING",T$12)</f>
        <v>44189</v>
      </c>
      <c r="T1190" s="13">
        <f ca="1">_xll.meDateFromTenor(S1190,T$14,T$11,T$12)</f>
        <v>44554</v>
      </c>
      <c r="U1190" s="98">
        <f ca="1"/>
        <v>6.2870588073552424E-3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1.2742212399962233E-3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4.2927330148577452E-3</v>
      </c>
      <c r="R1191" s="5" t="s">
        <v>4</v>
      </c>
      <c r="S1191" s="100">
        <f ca="1">_xll.meDateFromTenor(S1190,"1D","FOLLOWING",T$12)</f>
        <v>44193</v>
      </c>
      <c r="T1191" s="13">
        <f ca="1">_xll.meDateFromTenor(S1191,T$14,T$11,T$12)</f>
        <v>44558</v>
      </c>
      <c r="U1191" s="98">
        <f ca="1"/>
        <v>6.3159080535140442E-3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1.2809331945425732E-3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4.2997638541634057E-3</v>
      </c>
      <c r="R1192" s="5" t="s">
        <v>4</v>
      </c>
      <c r="S1192" s="100">
        <f ca="1">_xll.meDateFromTenor(S1191,"1D","FOLLOWING",T$12)</f>
        <v>44194</v>
      </c>
      <c r="T1192" s="13">
        <f ca="1">_xll.meDateFromTenor(S1192,T$14,T$11,T$12)</f>
        <v>44559</v>
      </c>
      <c r="U1192" s="98">
        <f ca="1"/>
        <v>6.3231262053075454E-3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1.2876407685707778E-3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4.3067976713530619E-3</v>
      </c>
      <c r="R1193" s="5" t="s">
        <v>4</v>
      </c>
      <c r="S1193" s="100">
        <f ca="1">_xll.meDateFromTenor(S1192,"1D","FOLLOWING",T$12)</f>
        <v>44195</v>
      </c>
      <c r="T1193" s="13">
        <f ca="1">_xll.meDateFromTenor(S1193,T$14,T$11,T$12)</f>
        <v>44560</v>
      </c>
      <c r="U1193" s="98">
        <f ca="1"/>
        <v>6.3303466631734412E-3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1.2943453461013168E-3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4.3138344642566209E-3</v>
      </c>
      <c r="R1194" s="5" t="s">
        <v>4</v>
      </c>
      <c r="S1194" s="100">
        <f ca="1">_xll.meDateFromTenor(S1193,"1D","FOLLOWING",T$12)</f>
        <v>44196</v>
      </c>
      <c r="T1194" s="13">
        <f ca="1">_xll.meDateFromTenor(S1194,T$14,T$11,T$12)</f>
        <v>44561</v>
      </c>
      <c r="U1194" s="98">
        <f ca="1"/>
        <v>6.3375694120971779E-3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1.3212348860059118E-3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4.3420886117788854E-3</v>
      </c>
      <c r="R1195" s="5" t="s">
        <v>4</v>
      </c>
      <c r="S1195" s="100">
        <f ca="1">_xll.meDateFromTenor(S1194,"1D","FOLLOWING",T$12)</f>
        <v>44200</v>
      </c>
      <c r="T1195" s="13">
        <f ca="1">_xll.meDateFromTenor(S1195,T$14,T$11,T$12)</f>
        <v>44565</v>
      </c>
      <c r="U1195" s="98">
        <f ca="1"/>
        <v>6.3665622825794963E-3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1.3279639478158195E-3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4.3491596068983857E-3</v>
      </c>
      <c r="R1196" s="5" t="s">
        <v>4</v>
      </c>
      <c r="S1196" s="100">
        <f ca="1">_xll.meDateFromTenor(S1195,"1D","FOLLOWING",T$12)</f>
        <v>44201</v>
      </c>
      <c r="T1196" s="13">
        <f ca="1">_xll.meDateFromTenor(S1196,T$14,T$11,T$12)</f>
        <v>44566</v>
      </c>
      <c r="U1196" s="98">
        <f ca="1"/>
        <v>6.3738161079923503E-3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1.334699952088119E-3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4.3562335809374953E-3</v>
      </c>
      <c r="R1197" s="5" t="s">
        <v>4</v>
      </c>
      <c r="S1197" s="100">
        <f ca="1">_xll.meDateFromTenor(S1196,"1D","FOLLOWING",T$12)</f>
        <v>44202</v>
      </c>
      <c r="T1197" s="13">
        <f ca="1">_xll.meDateFromTenor(S1197,T$14,T$11,T$12)</f>
        <v>44567</v>
      </c>
      <c r="U1197" s="98">
        <f ca="1"/>
        <v>6.3810721462455007E-3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1.3414458809012716E-3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4.3633105317082361E-3</v>
      </c>
      <c r="R1198" s="5" t="s">
        <v>4</v>
      </c>
      <c r="S1198" s="100">
        <f ca="1">_xll.meDateFromTenor(S1197,"1D","FOLLOWING",T$12)</f>
        <v>44203</v>
      </c>
      <c r="T1198" s="13">
        <f ca="1">_xll.meDateFromTenor(S1198,T$14,T$11,T$12)</f>
        <v>44568</v>
      </c>
      <c r="U1198" s="98">
        <f ca="1"/>
        <v>6.3883303822006438E-3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1.3482047163337369E-3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4.3703904570226264E-3</v>
      </c>
      <c r="R1199" s="5" t="s">
        <v>4</v>
      </c>
      <c r="S1199" s="100">
        <f ca="1">_xll.meDateFromTenor(S1198,"1D","FOLLOWING",T$12)</f>
        <v>44204</v>
      </c>
      <c r="T1199" s="13">
        <f ca="1">_xll.meDateFromTenor(S1199,T$14,T$11,T$12)</f>
        <v>44571</v>
      </c>
      <c r="U1199" s="98">
        <f ca="1"/>
        <v>6.3955908007194678E-3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1.3685884831316189E-3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4.3916480583478766E-3</v>
      </c>
      <c r="R1200" s="5" t="s">
        <v>4</v>
      </c>
      <c r="S1200" s="100">
        <f ca="1">_xll.meDateFromTenor(S1199,"1D","FOLLOWING",T$12)</f>
        <v>44207</v>
      </c>
      <c r="T1200" s="13">
        <f ca="1">_xll.meDateFromTenor(S1200,T$14,T$11,T$12)</f>
        <v>44572</v>
      </c>
      <c r="U1200" s="98">
        <f ca="1"/>
        <v>6.4173850002749696E-3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1.3754287658259451E-3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4.3987398599570505E-3</v>
      </c>
      <c r="R1201" s="5" t="s">
        <v>4</v>
      </c>
      <c r="S1201" s="100">
        <f ca="1">_xll.meDateFromTenor(S1200,"1D","FOLLOWING",T$12)</f>
        <v>44208</v>
      </c>
      <c r="T1201" s="13">
        <f ca="1">_xll.meDateFromTenor(S1201,T$14,T$11,T$12)</f>
        <v>44573</v>
      </c>
      <c r="U1201" s="98">
        <f ca="1"/>
        <v>6.4246539976654613E-3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1.3822968655318889E-3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4.4058346251699696E-3</v>
      </c>
      <c r="R1202" s="5" t="s">
        <v>4</v>
      </c>
      <c r="S1202" s="100">
        <f ca="1">_xll.meDateFromTenor(S1201,"1D","FOLLOWING",T$12)</f>
        <v>44209</v>
      </c>
      <c r="T1202" s="13">
        <f ca="1">_xll.meDateFromTenor(S1202,T$14,T$11,T$12)</f>
        <v>44574</v>
      </c>
      <c r="U1202" s="98">
        <f ca="1"/>
        <v>6.4319251019280994E-3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1.3891957643279104E-3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4.4129323517986515E-3</v>
      </c>
      <c r="R1203" s="5" t="s">
        <v>4</v>
      </c>
      <c r="S1203" s="100">
        <f ca="1">_xll.meDateFromTenor(S1202,"1D","FOLLOWING",T$12)</f>
        <v>44210</v>
      </c>
      <c r="T1203" s="13">
        <f ca="1">_xll.meDateFromTenor(S1203,T$14,T$11,T$12)</f>
        <v>44575</v>
      </c>
      <c r="U1203" s="98">
        <f ca="1"/>
        <v>6.4391982979245836E-3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1.3961284442924702E-3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4.4200330376551146E-3</v>
      </c>
      <c r="R1204" s="5" t="s">
        <v>4</v>
      </c>
      <c r="S1204" s="100">
        <f ca="1">_xll.meDateFromTenor(S1203,"1D","FOLLOWING",T$12)</f>
        <v>44211</v>
      </c>
      <c r="T1204" s="13">
        <f ca="1">_xll.meDateFromTenor(S1204,T$14,T$11,T$12)</f>
        <v>44578</v>
      </c>
      <c r="U1204" s="98">
        <f ca="1"/>
        <v>6.4464735705166022E-3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1.4171589919819891E-3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4.4413528287113816E-3</v>
      </c>
      <c r="R1205" s="5" t="s">
        <v>4</v>
      </c>
      <c r="S1205" s="100">
        <f ca="1">_xll.meDateFromTenor(S1204,"1D","FOLLOWING",T$12)</f>
        <v>44214</v>
      </c>
      <c r="T1205" s="13">
        <f ca="1">_xll.meDateFromTenor(S1205,T$14,T$11,T$12)</f>
        <v>44579</v>
      </c>
      <c r="U1205" s="98">
        <f ca="1"/>
        <v>6.468311696482809E-3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1.4242566174053088E-3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4.4484653295991591E-3</v>
      </c>
      <c r="R1206" s="5" t="s">
        <v>4</v>
      </c>
      <c r="S1206" s="100">
        <f ca="1">_xll.meDateFromTenor(S1205,"1D","FOLLOWING",T$12)</f>
        <v>44215</v>
      </c>
      <c r="T1206" s="13">
        <f ca="1">_xll.meDateFromTenor(S1206,T$14,T$11,T$12)</f>
        <v>44580</v>
      </c>
      <c r="U1206" s="98">
        <f ca="1"/>
        <v>6.4755951240739046E-3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1.4314029343894725E-3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4.4555807787748144E-3</v>
      </c>
      <c r="R1207" s="5" t="s">
        <v>4</v>
      </c>
      <c r="S1207" s="100">
        <f ca="1">_xll.meDateFromTenor(S1206,"1D","FOLLOWING",T$12)</f>
        <v>44216</v>
      </c>
      <c r="T1207" s="13">
        <f ca="1">_xll.meDateFromTenor(S1207,T$14,T$11,T$12)</f>
        <v>44581</v>
      </c>
      <c r="U1207" s="98">
        <f ca="1"/>
        <v>6.4828805525690043E-3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1.4386009250129401E-3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4.4626991740503641E-3</v>
      </c>
      <c r="R1208" s="5" t="s">
        <v>4</v>
      </c>
      <c r="S1208" s="100">
        <f ca="1">_xll.meDateFromTenor(S1207,"1D","FOLLOWING",T$12)</f>
        <v>44217</v>
      </c>
      <c r="T1208" s="13">
        <f ca="1">_xll.meDateFromTenor(S1208,T$14,T$11,T$12)</f>
        <v>44582</v>
      </c>
      <c r="U1208" s="98">
        <f ca="1"/>
        <v>6.4901679668298009E-3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1.4458535713541712E-3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4.4698205132378283E-3</v>
      </c>
      <c r="R1209" s="5" t="s">
        <v>4</v>
      </c>
      <c r="S1209" s="100">
        <f ca="1">_xll.meDateFromTenor(S1208,"1D","FOLLOWING",T$12)</f>
        <v>44218</v>
      </c>
      <c r="T1209" s="13">
        <f ca="1">_xll.meDateFromTenor(S1209,T$14,T$11,T$12)</f>
        <v>44585</v>
      </c>
      <c r="U1209" s="98">
        <f ca="1"/>
        <v>6.4974573517179862E-3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1.4679692654690549E-3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4.4912021723918965E-3</v>
      </c>
      <c r="R1210" s="5" t="s">
        <v>4</v>
      </c>
      <c r="S1210" s="100">
        <f ca="1">_xll.meDateFromTenor(S1209,"1D","FOLLOWING",T$12)</f>
        <v>44221</v>
      </c>
      <c r="T1210" s="13">
        <f ca="1">_xll.meDateFromTenor(S1210,T$14,T$11,T$12)</f>
        <v>44586</v>
      </c>
      <c r="U1210" s="98">
        <f ca="1"/>
        <v>6.519337178763812E-3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1.4754703554659488E-3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4.4983352653472078E-3</v>
      </c>
      <c r="R1211" s="5" t="s">
        <v>4</v>
      </c>
      <c r="S1211" s="100">
        <f ca="1">_xll.meDateFromTenor(S1210,"1D","FOLLOWING",T$12)</f>
        <v>44222</v>
      </c>
      <c r="T1211" s="13">
        <f ca="1">_xll.meDateFromTenor(S1211,T$14,T$11,T$12)</f>
        <v>44587</v>
      </c>
      <c r="U1211" s="98">
        <f ca="1"/>
        <v>6.5266342947784889E-3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1.4830410115729102E-3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4.5054712912745275E-3</v>
      </c>
      <c r="R1212" s="5" t="s">
        <v>4</v>
      </c>
      <c r="S1212" s="100">
        <f ca="1">_xll.meDateFromTenor(S1211,"1D","FOLLOWING",T$12)</f>
        <v>44223</v>
      </c>
      <c r="T1212" s="13">
        <f ca="1">_xll.meDateFromTenor(S1212,T$14,T$11,T$12)</f>
        <v>44588</v>
      </c>
      <c r="U1212" s="98">
        <f ca="1"/>
        <v>6.5339333057290207E-3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1.4906842158683977E-3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4.5126102479858725E-3</v>
      </c>
      <c r="R1213" s="5" t="s">
        <v>4</v>
      </c>
      <c r="S1213" s="100">
        <f ca="1">_xll.meDateFromTenor(S1212,"1D","FOLLOWING",T$12)</f>
        <v>44224</v>
      </c>
      <c r="T1213" s="13">
        <f ca="1">_xll.meDateFromTenor(S1213,T$14,T$11,T$12)</f>
        <v>44589</v>
      </c>
      <c r="U1213" s="98">
        <f ca="1"/>
        <v>6.5412341964771002E-3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1.4984029504308766E-3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4.5197521332932672E-3</v>
      </c>
      <c r="R1214" s="5" t="s">
        <v>4</v>
      </c>
      <c r="S1214" s="100">
        <f ca="1">_xll.meDateFromTenor(S1213,"1D","FOLLOWING",T$12)</f>
        <v>44225</v>
      </c>
      <c r="T1214" s="13">
        <f ca="1">_xll.meDateFromTenor(S1214,T$14,T$11,T$12)</f>
        <v>44592</v>
      </c>
      <c r="U1214" s="98">
        <f ca="1"/>
        <v>6.5485369518844235E-3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1.522042156504855E-3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4.5411953389119198E-3</v>
      </c>
      <c r="R1215" s="5" t="s">
        <v>4</v>
      </c>
      <c r="S1215" s="100">
        <f ca="1">_xll.meDateFromTenor(S1214,"1D","FOLLOWING",T$12)</f>
        <v>44228</v>
      </c>
      <c r="T1215" s="13">
        <f ca="1">_xll.meDateFromTenor(S1215,T$14,T$11,T$12)</f>
        <v>44593</v>
      </c>
      <c r="U1215" s="98">
        <f ca="1"/>
        <v>6.5704562546787847E-3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1.5300928329198976E-3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4.5483489167236907E-3</v>
      </c>
      <c r="R1216" s="5" t="s">
        <v>4</v>
      </c>
      <c r="S1216" s="100">
        <f ca="1">_xll.meDateFromTenor(S1215,"1D","FOLLOWING",T$12)</f>
        <v>44229</v>
      </c>
      <c r="T1216" s="13">
        <f ca="1">_xll.meDateFromTenor(S1216,T$14,T$11,T$12)</f>
        <v>44594</v>
      </c>
      <c r="U1216" s="98">
        <f ca="1"/>
        <v>6.5777663173400133E-3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1.5382321206273556E-3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4.5555054121916034E-3</v>
      </c>
      <c r="R1217" s="5" t="s">
        <v>4</v>
      </c>
      <c r="S1217" s="100">
        <f ca="1">_xll.meDateFromTenor(S1216,"1D","FOLLOWING",T$12)</f>
        <v>44230</v>
      </c>
      <c r="T1217" s="13">
        <f ca="1">_xll.meDateFromTenor(S1217,T$14,T$11,T$12)</f>
        <v>44595</v>
      </c>
      <c r="U1217" s="98">
        <f ca="1"/>
        <v>6.5850781689689494E-3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1.5464538548713015E-3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4.5626648231276773E-3</v>
      </c>
      <c r="R1218" s="5" t="s">
        <v>4</v>
      </c>
      <c r="S1218" s="100">
        <f ca="1">_xll.meDateFromTenor(S1217,"1D","FOLLOWING",T$12)</f>
        <v>44231</v>
      </c>
      <c r="T1218" s="13">
        <f ca="1">_xll.meDateFromTenor(S1218,T$14,T$11,T$12)</f>
        <v>44596</v>
      </c>
      <c r="U1218" s="98">
        <f ca="1"/>
        <v>6.5923917944272891E-3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1.554750041528931E-3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4.569827147343929E-3</v>
      </c>
      <c r="R1219" s="5" t="s">
        <v>4</v>
      </c>
      <c r="S1219" s="100">
        <f ca="1">_xll.meDateFromTenor(S1218,"1D","FOLLOWING",T$12)</f>
        <v>44232</v>
      </c>
      <c r="T1219" s="13">
        <f ca="1">_xll.meDateFromTenor(S1219,T$14,T$11,T$12)</f>
        <v>44599</v>
      </c>
      <c r="U1219" s="98">
        <f ca="1"/>
        <v>6.5997071785767226E-3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1.58000537475587E-3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4.5913315777939504E-3</v>
      </c>
      <c r="R1220" s="5" t="s">
        <v>4</v>
      </c>
      <c r="S1220" s="100">
        <f ca="1">_xll.meDateFromTenor(S1219,"1D","FOLLOWING",T$12)</f>
        <v>44235</v>
      </c>
      <c r="T1220" s="13">
        <f ca="1">_xll.meDateFromTenor(S1220,T$14,T$11,T$12)</f>
        <v>44600</v>
      </c>
      <c r="U1220" s="98">
        <f ca="1"/>
        <v>6.6216637317885324E-3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1.5885194298401858E-3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4.5985055332511101E-3</v>
      </c>
      <c r="R1221" s="5" t="s">
        <v>4</v>
      </c>
      <c r="S1221" s="100">
        <f ca="1">_xll.meDateFromTenor(S1220,"1D","FOLLOWING",T$12)</f>
        <v>44236</v>
      </c>
      <c r="T1221" s="13">
        <f ca="1">_xll.meDateFromTenor(S1221,T$14,T$11,T$12)</f>
        <v>44601</v>
      </c>
      <c r="U1221" s="98">
        <f ca="1"/>
        <v>6.6289859993192831E-3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1.5970679667241621E-3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4.6056823910485441E-3</v>
      </c>
      <c r="R1222" s="5" t="s">
        <v>4</v>
      </c>
      <c r="S1222" s="100">
        <f ca="1">_xll.meDateFromTenor(S1221,"1D","FOLLOWING",T$12)</f>
        <v>44237</v>
      </c>
      <c r="T1222" s="13">
        <f ca="1">_xll.meDateFromTenor(S1222,T$14,T$11,T$12)</f>
        <v>44602</v>
      </c>
      <c r="U1222" s="98">
        <f ca="1"/>
        <v>6.6363099498495956E-3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1.6056429912849935E-3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4.6128621489982709E-3</v>
      </c>
      <c r="R1223" s="5" t="s">
        <v>4</v>
      </c>
      <c r="S1223" s="100">
        <f ca="1">_xll.meDateFromTenor(S1222,"1D","FOLLOWING",T$12)</f>
        <v>44238</v>
      </c>
      <c r="T1223" s="13">
        <f ca="1">_xll.meDateFromTenor(S1223,T$14,T$11,T$12)</f>
        <v>44603</v>
      </c>
      <c r="U1223" s="98">
        <f ca="1"/>
        <v>6.6436355682411635E-3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1.6142365093998752E-3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4.6200448049123098E-3</v>
      </c>
      <c r="R1224" s="5" t="s">
        <v>4</v>
      </c>
      <c r="S1224" s="100">
        <f ca="1">_xll.meDateFromTenor(S1223,"1D","FOLLOWING",T$12)</f>
        <v>44239</v>
      </c>
      <c r="T1224" s="13">
        <f ca="1">_xll.meDateFromTenor(S1224,T$14,T$11,T$12)</f>
        <v>44606</v>
      </c>
      <c r="U1224" s="98">
        <f ca="1"/>
        <v>6.650962839355682E-3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1.640048083840774E-3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4.6416101385604851E-3</v>
      </c>
      <c r="R1225" s="5" t="s">
        <v>4</v>
      </c>
      <c r="S1225" s="100">
        <f ca="1">_xll.meDateFromTenor(S1224,"1D","FOLLOWING",T$12)</f>
        <v>44242</v>
      </c>
      <c r="T1225" s="13">
        <f ca="1">_xll.meDateFromTenor(S1225,T$14,T$11,T$12)</f>
        <v>44607</v>
      </c>
      <c r="U1225" s="98">
        <f ca="1"/>
        <v>6.6729544176538568E-3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1.6486356349438109E-3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4.6488043644519611E-3</v>
      </c>
      <c r="R1226" s="5" t="s">
        <v>4</v>
      </c>
      <c r="S1226" s="100">
        <f ca="1">_xll.meDateFromTenor(S1225,"1D","FOLLOWING",T$12)</f>
        <v>44243</v>
      </c>
      <c r="T1226" s="13">
        <f ca="1">_xll.meDateFromTenor(S1226,T$14,T$11,T$12)</f>
        <v>44608</v>
      </c>
      <c r="U1226" s="98">
        <f ca="1"/>
        <v>6.6802881482771036E-3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1.6572017089868751E-3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4.6560014773678448E-3</v>
      </c>
      <c r="R1227" s="5" t="s">
        <v>4</v>
      </c>
      <c r="S1227" s="100">
        <f ca="1">_xll.meDateFromTenor(S1226,"1D","FOLLOWING",T$12)</f>
        <v>44244</v>
      </c>
      <c r="T1227" s="13">
        <f ca="1">_xll.meDateFromTenor(S1227,T$14,T$11,T$12)</f>
        <v>44609</v>
      </c>
      <c r="U1227" s="98">
        <f ca="1"/>
        <v>6.6876234559317647E-3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1.6657383118471613E-3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4.6632014751201538E-3</v>
      </c>
      <c r="R1228" s="5" t="s">
        <v>4</v>
      </c>
      <c r="S1228" s="100">
        <f ca="1">_xll.meDateFromTenor(S1227,"1D","FOLLOWING",T$12)</f>
        <v>44245</v>
      </c>
      <c r="T1228" s="13">
        <f ca="1">_xll.meDateFromTenor(S1228,T$14,T$11,T$12)</f>
        <v>44610</v>
      </c>
      <c r="U1228" s="98">
        <f ca="1"/>
        <v>6.6949603254795346E-3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1.6742374494018654E-3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4.6704043555209065E-3</v>
      </c>
      <c r="R1229" s="5" t="s">
        <v>4</v>
      </c>
      <c r="S1229" s="100">
        <f ca="1">_xll.meDateFromTenor(S1228,"1D","FOLLOWING",T$12)</f>
        <v>44246</v>
      </c>
      <c r="T1229" s="13">
        <f ca="1">_xll.meDateFromTenor(S1229,T$14,T$11,T$12)</f>
        <v>44613</v>
      </c>
      <c r="U1229" s="98">
        <f ca="1"/>
        <v>6.702298741782106E-3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1.6994301290044363E-3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4.6920302707340236E-3</v>
      </c>
      <c r="R1230" s="5" t="s">
        <v>4</v>
      </c>
      <c r="S1230" s="100">
        <f ca="1">_xll.meDateFromTenor(S1229,"1D","FOLLOWING",T$12)</f>
        <v>44249</v>
      </c>
      <c r="T1230" s="13">
        <f ca="1">_xll.meDateFromTenor(S1230,T$14,T$11,T$12)</f>
        <v>44614</v>
      </c>
      <c r="U1230" s="98">
        <f ca="1"/>
        <v>6.7243231198355676E-3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1.7076994641087638E-3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4.6992446598487451E-3</v>
      </c>
      <c r="R1231" s="5" t="s">
        <v>4</v>
      </c>
      <c r="S1231" s="100">
        <f ca="1">_xll.meDateFromTenor(S1230,"1D","FOLLOWING",T$12)</f>
        <v>44250</v>
      </c>
      <c r="T1231" s="13">
        <f ca="1">_xll.meDateFromTenor(S1231,T$14,T$11,T$12)</f>
        <v>44615</v>
      </c>
      <c r="U1231" s="98">
        <f ca="1"/>
        <v>6.7316675717742809E-3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1.715891363293483E-3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4.7064619206720042E-3</v>
      </c>
      <c r="R1232" s="5" t="s">
        <v>4</v>
      </c>
      <c r="S1232" s="100">
        <f ca="1">_xll.meDateFromTenor(S1231,"1D","FOLLOWING",T$12)</f>
        <v>44251</v>
      </c>
      <c r="T1232" s="13">
        <f ca="1">_xll.meDateFromTenor(S1232,T$14,T$11,T$12)</f>
        <v>44616</v>
      </c>
      <c r="U1232" s="98">
        <f ca="1"/>
        <v>6.7390134947762602E-3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1.723997832435794E-3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4.7136820510158238E-3</v>
      </c>
      <c r="R1233" s="5" t="s">
        <v>4</v>
      </c>
      <c r="S1233" s="100">
        <f ca="1">_xll.meDateFromTenor(S1232,"1D","FOLLOWING",T$12)</f>
        <v>44252</v>
      </c>
      <c r="T1233" s="13">
        <f ca="1">_xll.meDateFromTenor(S1233,T$14,T$11,T$12)</f>
        <v>44617</v>
      </c>
      <c r="U1233" s="98">
        <f ca="1"/>
        <v>6.7463608737032025E-3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1.7320108774128904E-3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4.7209050486922205E-3</v>
      </c>
      <c r="R1234" s="5" t="s">
        <v>4</v>
      </c>
      <c r="S1234" s="100">
        <f ca="1">_xll.meDateFromTenor(S1233,"1D","FOLLOWING",T$12)</f>
        <v>44253</v>
      </c>
      <c r="T1234" s="13">
        <f ca="1">_xll.meDateFromTenor(S1234,T$14,T$11,T$12)</f>
        <v>44620</v>
      </c>
      <c r="U1234" s="98">
        <f ca="1"/>
        <v>6.7537096934168024E-3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1.75540952612484E-3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4.7425912238370617E-3</v>
      </c>
      <c r="R1235" s="5" t="s">
        <v>4</v>
      </c>
      <c r="S1235" s="100">
        <f ca="1">_xll.meDateFromTenor(S1234,"1D","FOLLOWING",T$12)</f>
        <v>44256</v>
      </c>
      <c r="T1235" s="13">
        <f ca="1">_xll.meDateFromTenor(S1235,T$14,T$11,T$12)</f>
        <v>44621</v>
      </c>
      <c r="U1235" s="98">
        <f ca="1"/>
        <v>6.775764645894463E-3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1.7629689332130279E-3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4.7498256689639563E-3</v>
      </c>
      <c r="R1236" s="5" t="s">
        <v>4</v>
      </c>
      <c r="S1236" s="100">
        <f ca="1">_xll.meDateFromTenor(S1235,"1D","FOLLOWING",T$12)</f>
        <v>44257</v>
      </c>
      <c r="T1236" s="13">
        <f ca="1">_xll.meDateFromTenor(S1236,T$14,T$11,T$12)</f>
        <v>44622</v>
      </c>
      <c r="U1236" s="98">
        <f ca="1"/>
        <v>6.7831190773716141E-3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1.7703974546228909E-3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4.7570629704835219E-3</v>
      </c>
      <c r="R1237" s="5" t="s">
        <v>4</v>
      </c>
      <c r="S1237" s="100">
        <f ca="1">_xll.meDateFromTenor(S1236,"1D","FOLLOWING",T$12)</f>
        <v>44258</v>
      </c>
      <c r="T1237" s="13">
        <f ca="1">_xll.meDateFromTenor(S1237,T$14,T$11,T$12)</f>
        <v>44623</v>
      </c>
      <c r="U1237" s="98">
        <f ca="1"/>
        <v>6.7904748739438872E-3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1.7776996417362119E-3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4.7643031262077813E-3</v>
      </c>
      <c r="R1238" s="5" t="s">
        <v>4</v>
      </c>
      <c r="S1238" s="100">
        <f ca="1">_xll.meDateFromTenor(S1237,"1D","FOLLOWING",T$12)</f>
        <v>44259</v>
      </c>
      <c r="T1238" s="13">
        <f ca="1">_xll.meDateFromTenor(S1238,T$14,T$11,T$12)</f>
        <v>44624</v>
      </c>
      <c r="U1238" s="98">
        <f ca="1"/>
        <v>6.7978320204729777E-3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1.7848825550356732E-3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4.771546133948746E-3</v>
      </c>
      <c r="R1239" s="5" t="s">
        <v>4</v>
      </c>
      <c r="S1239" s="100">
        <f ca="1">_xll.meDateFromTenor(S1238,"1D","FOLLOWING",T$12)</f>
        <v>44260</v>
      </c>
      <c r="T1239" s="13">
        <f ca="1">_xll.meDateFromTenor(S1239,T$14,T$11,T$12)</f>
        <v>44627</v>
      </c>
      <c r="U1239" s="98">
        <f ca="1"/>
        <v>6.8051905018205738E-3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1.8057862568778551E-3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4.7932922473920975E-3</v>
      </c>
      <c r="R1240" s="5" t="s">
        <v>4</v>
      </c>
      <c r="S1240" s="100">
        <f ca="1">_xll.meDateFromTenor(S1239,"1D","FOLLOWING",T$12)</f>
        <v>44263</v>
      </c>
      <c r="T1240" s="13">
        <f ca="1">_xll.meDateFromTenor(S1240,T$14,T$11,T$12)</f>
        <v>44628</v>
      </c>
      <c r="U1240" s="98">
        <f ca="1"/>
        <v>6.8272738033913483E-3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1.8125626797488184E-3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4.8005466413200944E-3</v>
      </c>
      <c r="R1241" s="5" t="s">
        <v>4</v>
      </c>
      <c r="S1241" s="100">
        <f ca="1">_xll.meDateFromTenor(S1240,"1D","FOLLOWING",T$12)</f>
        <v>44264</v>
      </c>
      <c r="T1241" s="13">
        <f ca="1">_xll.meDateFromTenor(S1241,T$14,T$11,T$12)</f>
        <v>44629</v>
      </c>
      <c r="U1241" s="98">
        <f ca="1"/>
        <v>6.8346374726299119E-3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1.8192551312193872E-3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4.8078038763248957E-3</v>
      </c>
      <c r="R1242" s="5" t="s">
        <v>4</v>
      </c>
      <c r="S1242" s="100">
        <f ca="1">_xll.meDateFromTenor(S1241,"1D","FOLLOWING",T$12)</f>
        <v>44265</v>
      </c>
      <c r="T1242" s="13">
        <f ca="1">_xll.meDateFromTenor(S1242,T$14,T$11,T$12)</f>
        <v>44630</v>
      </c>
      <c r="U1242" s="98">
        <f ca="1"/>
        <v>6.8420024009954511E-3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1.8258706717722522E-3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4.8150639502185198E-3</v>
      </c>
      <c r="R1243" s="5" t="s">
        <v>4</v>
      </c>
      <c r="S1243" s="100">
        <f ca="1">_xll.meDateFromTenor(S1242,"1D","FOLLOWING",T$12)</f>
        <v>44266</v>
      </c>
      <c r="T1243" s="13">
        <f ca="1">_xll.meDateFromTenor(S1243,T$14,T$11,T$12)</f>
        <v>44631</v>
      </c>
      <c r="U1243" s="98">
        <f ca="1"/>
        <v>6.8493685733496575E-3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1.8324163618901042E-3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4.8223268608129852E-3</v>
      </c>
      <c r="R1244" s="5" t="s">
        <v>4</v>
      </c>
      <c r="S1244" s="100">
        <f ca="1">_xll.meDateFromTenor(S1243,"1D","FOLLOWING",T$12)</f>
        <v>44267</v>
      </c>
      <c r="T1244" s="13">
        <f ca="1">_xll.meDateFromTenor(S1244,T$14,T$11,T$12)</f>
        <v>44634</v>
      </c>
      <c r="U1244" s="98">
        <f ca="1"/>
        <v>6.856735974554223E-3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1.8517049344605175E-3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4.8441325909216295E-3</v>
      </c>
      <c r="R1245" s="5" t="s">
        <v>4</v>
      </c>
      <c r="S1245" s="100">
        <f ca="1">_xll.meDateFromTenor(S1244,"1D","FOLLOWING",T$12)</f>
        <v>44270</v>
      </c>
      <c r="T1245" s="13">
        <f ca="1">_xll.meDateFromTenor(S1245,T$14,T$11,T$12)</f>
        <v>44635</v>
      </c>
      <c r="U1245" s="98">
        <f ca="1"/>
        <v>6.8788453998870286E-3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1.8580418276652455E-3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4.8514068264396554E-3</v>
      </c>
      <c r="R1246" s="5" t="s">
        <v>4</v>
      </c>
      <c r="S1246" s="100">
        <f ca="1">_xll.meDateFromTenor(S1245,"1D","FOLLOWING",T$12)</f>
        <v>44271</v>
      </c>
      <c r="T1246" s="13">
        <f ca="1">_xll.meDateFromTenor(S1246,T$14,T$11,T$12)</f>
        <v>44636</v>
      </c>
      <c r="U1246" s="98">
        <f ca="1"/>
        <v>6.8862175651099753E-3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1.864344172848422E-3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4.858683887718619E-3</v>
      </c>
      <c r="R1247" s="5" t="s">
        <v>4</v>
      </c>
      <c r="S1247" s="100">
        <f ca="1">_xll.meDateFromTenor(S1246,"1D","FOLLOWING",T$12)</f>
        <v>44272</v>
      </c>
      <c r="T1247" s="13">
        <f ca="1">_xll.meDateFromTenor(S1247,T$14,T$11,T$12)</f>
        <v>44637</v>
      </c>
      <c r="U1247" s="98">
        <f ca="1"/>
        <v>6.8935908834917509E-3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1.8706190304927388E-3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4.8659637725705389E-3</v>
      </c>
      <c r="R1248" s="5" t="s">
        <v>4</v>
      </c>
      <c r="S1248" s="100">
        <f ca="1">_xll.meDateFromTenor(S1247,"1D","FOLLOWING",T$12)</f>
        <v>44273</v>
      </c>
      <c r="T1248" s="13">
        <f ca="1">_xll.meDateFromTenor(S1248,T$14,T$11,T$12)</f>
        <v>44638</v>
      </c>
      <c r="U1248" s="98">
        <f ca="1"/>
        <v>6.9009653398940472E-3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1.8768734610808875E-3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4.8732464788074342E-3</v>
      </c>
      <c r="R1249" s="5" t="s">
        <v>4</v>
      </c>
      <c r="S1249" s="100">
        <f ca="1">_xll.meDateFromTenor(S1248,"1D","FOLLOWING",T$12)</f>
        <v>44274</v>
      </c>
      <c r="T1249" s="13">
        <f ca="1">_xll.meDateFromTenor(S1249,T$14,T$11,T$12)</f>
        <v>44641</v>
      </c>
      <c r="U1249" s="98">
        <f ca="1"/>
        <v>6.9083409191785586E-3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1.8955847953352452E-3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4.8951115039481555E-3</v>
      </c>
      <c r="R1250" s="5" t="s">
        <v>4</v>
      </c>
      <c r="S1250" s="100">
        <f ca="1">_xll.meDateFromTenor(S1249,"1D","FOLLOWING",T$12)</f>
        <v>44277</v>
      </c>
      <c r="T1250" s="13">
        <f ca="1">_xll.meDateFromTenor(S1250,T$14,T$11,T$12)</f>
        <v>44642</v>
      </c>
      <c r="U1250" s="98">
        <f ca="1"/>
        <v>6.9304742429423093E-3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1.9018281225256423E-3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4.9024054738451396E-3</v>
      </c>
      <c r="R1251" s="5" t="s">
        <v>4</v>
      </c>
      <c r="S1251" s="100">
        <f ca="1">_xll.meDateFromTenor(S1250,"1D","FOLLOWING",T$12)</f>
        <v>44278</v>
      </c>
      <c r="T1251" s="13">
        <f ca="1">_xll.meDateFromTenor(S1251,T$14,T$11,T$12)</f>
        <v>44643</v>
      </c>
      <c r="U1251" s="98">
        <f ca="1"/>
        <v>6.9378541623726113E-3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1.9080863250733313E-3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4.909702254187194E-3</v>
      </c>
      <c r="R1252" s="5" t="s">
        <v>4</v>
      </c>
      <c r="S1252" s="100">
        <f ca="1">_xll.meDateFromTenor(S1251,"1D","FOLLOWING",T$12)</f>
        <v>44279</v>
      </c>
      <c r="T1252" s="13">
        <f ca="1">_xll.meDateFromTenor(S1252,T$14,T$11,T$12)</f>
        <v>44644</v>
      </c>
      <c r="U1252" s="98">
        <f ca="1"/>
        <v>6.9452351289935954E-3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1.9143664634610044E-3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4.917001842786338E-3</v>
      </c>
      <c r="R1253" s="5" t="s">
        <v>4</v>
      </c>
      <c r="S1253" s="100">
        <f ca="1">_xll.meDateFromTenor(S1252,"1D","FOLLOWING",T$12)</f>
        <v>44280</v>
      </c>
      <c r="T1253" s="13">
        <f ca="1">_xll.meDateFromTenor(S1253,T$14,T$11,T$12)</f>
        <v>44645</v>
      </c>
      <c r="U1253" s="98">
        <f ca="1"/>
        <v>6.952617127666952E-3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1.9206755981713527E-3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4.9243042374545881E-3</v>
      </c>
      <c r="R1254" s="5" t="s">
        <v>4</v>
      </c>
      <c r="S1254" s="100">
        <f ca="1">_xll.meDateFromTenor(S1253,"1D","FOLLOWING",T$12)</f>
        <v>44281</v>
      </c>
      <c r="T1254" s="13">
        <f ca="1">_xll.meDateFromTenor(S1254,T$14,T$11,T$12)</f>
        <v>44648</v>
      </c>
      <c r="U1254" s="98">
        <f ca="1"/>
        <v>6.9600001432543772E-3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1.9398475850653733E-3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4.9462282359941769E-3</v>
      </c>
      <c r="R1255" s="5" t="s">
        <v>4</v>
      </c>
      <c r="S1255" s="100">
        <f ca="1">_xll.meDateFromTenor(S1254,"1D","FOLLOWING",T$12)</f>
        <v>44284</v>
      </c>
      <c r="T1255" s="13">
        <f ca="1">_xll.meDateFromTenor(S1255,T$14,T$11,T$12)</f>
        <v>44649</v>
      </c>
      <c r="U1255" s="98">
        <f ca="1"/>
        <v>6.9821551401179948E-3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1.9463433098933422E-3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4.953541833059045E-3</v>
      </c>
      <c r="R1256" s="5" t="s">
        <v>4</v>
      </c>
      <c r="S1256" s="100">
        <f ca="1">_xll.meDateFromTenor(S1255,"1D","FOLLOWING",T$12)</f>
        <v>44285</v>
      </c>
      <c r="T1256" s="13">
        <f ca="1">_xll.meDateFromTenor(S1256,T$14,T$11,T$12)</f>
        <v>44650</v>
      </c>
      <c r="U1256" s="98">
        <f ca="1"/>
        <v>6.9895420719786223E-3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1.9529033334574487E-3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4.9608582252531177E-3</v>
      </c>
      <c r="R1257" s="5" t="s">
        <v>4</v>
      </c>
      <c r="S1257" s="100">
        <f ca="1">_xll.meDateFromTenor(S1256,"1D","FOLLOWING",T$12)</f>
        <v>44286</v>
      </c>
      <c r="T1257" s="13">
        <f ca="1">_xll.meDateFromTenor(S1257,T$14,T$11,T$12)</f>
        <v>44651</v>
      </c>
      <c r="U1257" s="98">
        <f ca="1"/>
        <v>6.9969299450617873E-3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1.9595347162403827E-3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4.9681774103884123E-3</v>
      </c>
      <c r="R1258" s="5" t="s">
        <v>4</v>
      </c>
      <c r="S1258" s="100">
        <f ca="1">_xll.meDateFromTenor(S1257,"1D","FOLLOWING",T$12)</f>
        <v>44287</v>
      </c>
      <c r="T1258" s="13">
        <f ca="1">_xll.meDateFromTenor(S1258,T$14,T$11,T$12)</f>
        <v>44652</v>
      </c>
      <c r="U1258" s="98">
        <f ca="1"/>
        <v>7.0043187442291781E-3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1.9940091353316813E-3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5.0048151536038693E-3</v>
      </c>
      <c r="R1259" s="5" t="s">
        <v>4</v>
      </c>
      <c r="S1259" s="100">
        <f ca="1">_xll.meDateFromTenor(S1258,"1D","FOLLOWING",T$12)</f>
        <v>44292</v>
      </c>
      <c r="T1259" s="13">
        <f ca="1">_xll.meDateFromTenor(S1259,T$14,T$11,T$12)</f>
        <v>44657</v>
      </c>
      <c r="U1259" s="98">
        <f ca="1"/>
        <v>7.0412761014888147E-3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2.0012147392402938E-3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5.0121510504388903E-3</v>
      </c>
      <c r="R1260" s="5" t="s">
        <v>4</v>
      </c>
      <c r="S1260" s="100">
        <f ca="1">_xll.meDateFromTenor(S1259,"1D","FOLLOWING",T$12)</f>
        <v>44293</v>
      </c>
      <c r="T1260" s="13">
        <f ca="1">_xll.meDateFromTenor(S1260,T$14,T$11,T$12)</f>
        <v>44658</v>
      </c>
      <c r="U1260" s="98">
        <f ca="1"/>
        <v>7.0486701392571327E-3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2.0085278998036768E-3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5.0194897248992624E-3</v>
      </c>
      <c r="R1261" s="5" t="s">
        <v>4</v>
      </c>
      <c r="S1261" s="100">
        <f ca="1">_xll.meDateFromTenor(S1260,"1D","FOLLOWING",T$12)</f>
        <v>44294</v>
      </c>
      <c r="T1261" s="13">
        <f ca="1">_xll.meDateFromTenor(S1261,T$14,T$11,T$12)</f>
        <v>44659</v>
      </c>
      <c r="U1261" s="98">
        <f ca="1"/>
        <v>7.0560649971415264E-3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2.015942451561629E-3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5.02683117479701E-3</v>
      </c>
      <c r="R1262" s="5" t="s">
        <v>4</v>
      </c>
      <c r="S1262" s="100">
        <f ca="1">_xll.meDateFromTenor(S1261,"1D","FOLLOWING",T$12)</f>
        <v>44295</v>
      </c>
      <c r="T1262" s="13">
        <f ca="1">_xll.meDateFromTenor(S1262,T$14,T$11,T$12)</f>
        <v>44662</v>
      </c>
      <c r="U1262" s="98">
        <f ca="1"/>
        <v>7.0634606600036972E-3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2.03873279940082E-3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5.0488721552346795E-3</v>
      </c>
      <c r="R1263" s="5" t="s">
        <v>4</v>
      </c>
      <c r="S1263" s="100">
        <f ca="1">_xll.meDateFromTenor(S1262,"1D","FOLLOWING",T$12)</f>
        <v>44298</v>
      </c>
      <c r="T1263" s="13">
        <f ca="1">_xll.meDateFromTenor(S1263,T$14,T$11,T$12)</f>
        <v>44663</v>
      </c>
      <c r="U1263" s="98">
        <f ca="1"/>
        <v>7.0856523270737895E-3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2.0464912613349755E-3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5.0562246850021078E-3</v>
      </c>
      <c r="R1264" s="5" t="s">
        <v>4</v>
      </c>
      <c r="S1264" s="100">
        <f ca="1">_xll.meDateFromTenor(S1263,"1D","FOLLOWING",T$12)</f>
        <v>44299</v>
      </c>
      <c r="T1264" s="13">
        <f ca="1">_xll.meDateFromTenor(S1264,T$14,T$11,T$12)</f>
        <v>44664</v>
      </c>
      <c r="U1264" s="98">
        <f ca="1"/>
        <v>7.0930510584639892E-3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2.0543202871626661E-3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5.0635799792670046E-3</v>
      </c>
      <c r="R1265" s="5" t="s">
        <v>4</v>
      </c>
      <c r="S1265" s="100">
        <f ca="1">_xll.meDateFromTenor(S1264,"1D","FOLLOWING",T$12)</f>
        <v>44300</v>
      </c>
      <c r="T1265" s="13">
        <f ca="1">_xll.meDateFromTenor(S1265,T$14,T$11,T$12)</f>
        <v>44665</v>
      </c>
      <c r="U1265" s="98">
        <f ca="1"/>
        <v>7.1004505191404306E-3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2.0622137114236854E-3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5.0709380358413868E-3</v>
      </c>
      <c r="R1266" s="5" t="s">
        <v>4</v>
      </c>
      <c r="S1266" s="100">
        <f ca="1">_xll.meDateFromTenor(S1265,"1D","FOLLOWING",T$12)</f>
        <v>44301</v>
      </c>
      <c r="T1266" s="13">
        <f ca="1">_xll.meDateFromTenor(S1266,T$14,T$11,T$12)</f>
        <v>44670</v>
      </c>
      <c r="U1266" s="98">
        <f ca="1"/>
        <v>7.1078506939648047E-3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2.0701653686578275E-3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5.0782988525372762E-3</v>
      </c>
      <c r="R1267" s="5" t="s">
        <v>4</v>
      </c>
      <c r="S1267" s="100">
        <f ca="1">_xll.meDateFromTenor(S1266,"1D","FOLLOWING",T$12)</f>
        <v>44302</v>
      </c>
      <c r="T1267" s="13">
        <f ca="1">_xll.meDateFromTenor(S1267,T$14,T$11,T$12)</f>
        <v>44670</v>
      </c>
      <c r="U1267" s="98">
        <f ca="1"/>
        <v>7.1152515677988075E-3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2.0943080835969245E-3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5.1003978414741608E-3</v>
      </c>
      <c r="R1268" s="5" t="s">
        <v>4</v>
      </c>
      <c r="S1268" s="100">
        <f ca="1">_xll.meDateFromTenor(S1267,"1D","FOLLOWING",T$12)</f>
        <v>44305</v>
      </c>
      <c r="T1268" s="13">
        <f ca="1">_xll.meDateFromTenor(S1268,T$14,T$11,T$12)</f>
        <v>44670</v>
      </c>
      <c r="U1268" s="98">
        <f ca="1"/>
        <v>7.1374582319755084E-3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2.102431018121494E-3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5.1077696767762608E-3</v>
      </c>
      <c r="R1269" s="5" t="s">
        <v>4</v>
      </c>
      <c r="S1269" s="100">
        <f ca="1">_xll.meDateFromTenor(S1268,"1D","FOLLOWING",T$12)</f>
        <v>44306</v>
      </c>
      <c r="T1269" s="13">
        <f ca="1">_xll.meDateFromTenor(S1269,T$14,T$11,T$12)</f>
        <v>44671</v>
      </c>
      <c r="U1269" s="98">
        <f ca="1"/>
        <v>7.1448617504649521E-3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2.1105813583181562E-3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5.1151442612599601E-3</v>
      </c>
      <c r="R1270" s="5" t="s">
        <v>4</v>
      </c>
      <c r="S1270" s="100">
        <f ca="1">_xll.meDateFromTenor(S1269,"1D","FOLLOWING",T$12)</f>
        <v>44307</v>
      </c>
      <c r="T1270" s="13">
        <f ca="1">_xll.meDateFromTenor(S1270,T$14,T$11,T$12)</f>
        <v>44672</v>
      </c>
      <c r="U1270" s="98">
        <f ca="1"/>
        <v>7.1522658922724891E-3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2.1187529387267025E-3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5.1225215927372799E-3</v>
      </c>
      <c r="R1271" s="5" t="s">
        <v>4</v>
      </c>
      <c r="S1271" s="100">
        <f ca="1">_xll.meDateFromTenor(S1270,"1D","FOLLOWING",T$12)</f>
        <v>44308</v>
      </c>
      <c r="T1271" s="13">
        <f ca="1">_xll.meDateFromTenor(S1271,T$14,T$11,T$12)</f>
        <v>44673</v>
      </c>
      <c r="U1271" s="98">
        <f ca="1"/>
        <v>7.1596706422598147E-3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2.1269395938869284E-3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5.1299016690202369E-3</v>
      </c>
      <c r="R1272" s="5" t="s">
        <v>4</v>
      </c>
      <c r="S1272" s="100">
        <f ca="1">_xll.meDateFromTenor(S1271,"1D","FOLLOWING",T$12)</f>
        <v>44309</v>
      </c>
      <c r="T1272" s="13">
        <f ca="1">_xll.meDateFromTenor(S1272,T$14,T$11,T$12)</f>
        <v>44676</v>
      </c>
      <c r="U1272" s="98">
        <f ca="1"/>
        <v>7.16707598528862E-3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2.151528353275613E-3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5.1520583448231251E-3</v>
      </c>
      <c r="R1273" s="5" t="s">
        <v>4</v>
      </c>
      <c r="S1273" s="100">
        <f ca="1">_xll.meDateFromTenor(S1272,"1D","FOLLOWING",T$12)</f>
        <v>44312</v>
      </c>
      <c r="T1273" s="13">
        <f ca="1">_xll.meDateFromTenor(S1273,T$14,T$11,T$12)</f>
        <v>44677</v>
      </c>
      <c r="U1273" s="98">
        <f ca="1"/>
        <v>7.189295421240847E-3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2.1597136528404919E-3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5.1594493784488243E-3</v>
      </c>
      <c r="R1274" s="5" t="s">
        <v>4</v>
      </c>
      <c r="S1274" s="100">
        <f ca="1">_xll.meDateFromTenor(S1273,"1D","FOLLOWING",T$12)</f>
        <v>44313</v>
      </c>
      <c r="T1274" s="13">
        <f ca="1">_xll.meDateFromTenor(S1274,T$14,T$11,T$12)</f>
        <v>44678</v>
      </c>
      <c r="U1274" s="98">
        <f ca="1"/>
        <v>7.1967029850525076E-3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2.1678831998560174E-3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5.1668431459402572E-3</v>
      </c>
      <c r="R1275" s="5" t="s">
        <v>4</v>
      </c>
      <c r="S1275" s="100">
        <f ca="1">_xll.meDateFromTenor(S1274,"1D","FOLLOWING",T$12)</f>
        <v>44314</v>
      </c>
      <c r="T1275" s="13">
        <f ca="1">_xll.meDateFromTenor(S1275,T$14,T$11,T$12)</f>
        <v>44679</v>
      </c>
      <c r="U1275" s="98">
        <f ca="1"/>
        <v>7.2041110662141123E-3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2.1760308288619854E-3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5.1742396451094413E-3</v>
      </c>
      <c r="R1276" s="5" t="s">
        <v>4</v>
      </c>
      <c r="S1276" s="100">
        <f ca="1">_xll.meDateFromTenor(S1275,"1D","FOLLOWING",T$12)</f>
        <v>44315</v>
      </c>
      <c r="T1276" s="13">
        <f ca="1">_xll.meDateFromTenor(S1276,T$14,T$11,T$12)</f>
        <v>44680</v>
      </c>
      <c r="U1276" s="98">
        <f ca="1"/>
        <v>7.2115196495873592E-3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2.1841503743981875E-3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5.181638873768395E-3</v>
      </c>
      <c r="R1277" s="5" t="s">
        <v>4</v>
      </c>
      <c r="S1277" s="100">
        <f ca="1">_xll.meDateFromTenor(S1276,"1D","FOLLOWING",T$12)</f>
        <v>44316</v>
      </c>
      <c r="T1277" s="13">
        <f ca="1">_xll.meDateFromTenor(S1277,T$14,T$11,T$12)</f>
        <v>44680</v>
      </c>
      <c r="U1277" s="98">
        <f ca="1"/>
        <v>7.218928720033939E-3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2.2082788555861433E-3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5.2038529148040738E-3</v>
      </c>
      <c r="R1278" s="5" t="s">
        <v>4</v>
      </c>
      <c r="S1278" s="100">
        <f ca="1">_xll.meDateFromTenor(S1277,"1D","FOLLOWING",T$12)</f>
        <v>44319</v>
      </c>
      <c r="T1278" s="13">
        <f ca="1">_xll.meDateFromTenor(S1278,T$14,T$11,T$12)</f>
        <v>44684</v>
      </c>
      <c r="U1278" s="98">
        <f ca="1"/>
        <v>7.241158702430613E-3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2.216225874561527E-3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5.2112630395423007E-3</v>
      </c>
      <c r="R1279" s="5" t="s">
        <v>4</v>
      </c>
      <c r="S1279" s="100">
        <f ca="1">_xll.meDateFromTenor(S1278,"1D","FOLLOWING",T$12)</f>
        <v>44320</v>
      </c>
      <c r="T1279" s="13">
        <f ca="1">_xll.meDateFromTenor(S1279,T$14,T$11,T$12)</f>
        <v>44685</v>
      </c>
      <c r="U1279" s="98">
        <f ca="1"/>
        <v>7.2485695697874601E-3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2.2241227542879323E-3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5.2186758828303911E-3</v>
      </c>
      <c r="R1280" s="5" t="s">
        <v>4</v>
      </c>
      <c r="S1280" s="100">
        <f ca="1">_xll.meDateFromTenor(S1279,"1D","FOLLOWING",T$12)</f>
        <v>44321</v>
      </c>
      <c r="T1280" s="13">
        <f ca="1">_xll.meDateFromTenor(S1280,T$14,T$11,T$12)</f>
        <v>44686</v>
      </c>
      <c r="U1280" s="98">
        <f ca="1"/>
        <v>7.2559808485261048E-3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2.2319721008269783E-3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5.2260914424803679E-3</v>
      </c>
      <c r="R1281" s="5" t="s">
        <v>4</v>
      </c>
      <c r="S1281" s="100">
        <f ca="1">_xll.meDateFromTenor(S1280,"1D","FOLLOWING",T$12)</f>
        <v>44322</v>
      </c>
      <c r="T1281" s="13">
        <f ca="1">_xll.meDateFromTenor(S1281,T$14,T$11,T$12)</f>
        <v>44687</v>
      </c>
      <c r="U1281" s="98">
        <f ca="1"/>
        <v>7.2633925235082459E-3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2.2397765202402764E-3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5.2335097163042485E-3</v>
      </c>
      <c r="R1282" s="5" t="s">
        <v>4</v>
      </c>
      <c r="S1282" s="100">
        <f ca="1">_xll.meDateFromTenor(S1281,"1D","FOLLOWING",T$12)</f>
        <v>44323</v>
      </c>
      <c r="T1282" s="13">
        <f ca="1">_xll.meDateFromTenor(S1282,T$14,T$11,T$12)</f>
        <v>44690</v>
      </c>
      <c r="U1282" s="98">
        <f ca="1"/>
        <v>7.2708045795955717E-3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2.2629462763418253E-3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5.2557808009394994E-3</v>
      </c>
      <c r="R1283" s="5" t="s">
        <v>4</v>
      </c>
      <c r="S1283" s="100">
        <f ca="1">_xll.meDateFromTenor(S1282,"1D","FOLLOWING",T$12)</f>
        <v>44326</v>
      </c>
      <c r="T1283" s="13">
        <f ca="1">_xll.meDateFromTenor(S1283,T$14,T$11,T$12)</f>
        <v>44691</v>
      </c>
      <c r="U1283" s="98">
        <f ca="1"/>
        <v>7.2930428831056047E-3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2.2705970478682732E-3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5.2632099095791824E-3</v>
      </c>
      <c r="R1284" s="5" t="s">
        <v>4</v>
      </c>
      <c r="S1284" s="100">
        <f ca="1">_xll.meDateFromTenor(S1283,"1D","FOLLOWING",T$12)</f>
        <v>44327</v>
      </c>
      <c r="T1284" s="13">
        <f ca="1">_xll.meDateFromTenor(S1284,T$14,T$11,T$12)</f>
        <v>44692</v>
      </c>
      <c r="U1284" s="98">
        <f ca="1"/>
        <v>7.3004563122306123E-3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2.2782159225770439E-3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5.2706417214528631E-3</v>
      </c>
      <c r="R1285" s="5" t="s">
        <v>4</v>
      </c>
      <c r="S1285" s="100">
        <f ca="1">_xll.meDateFromTenor(S1284,"1D","FOLLOWING",T$12)</f>
        <v>44328</v>
      </c>
      <c r="T1285" s="13">
        <f ca="1">_xll.meDateFromTenor(S1285,T$14,T$11,T$12)</f>
        <v>44693</v>
      </c>
      <c r="U1285" s="98">
        <f ca="1"/>
        <v>7.3078700467692709E-3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2.2858055065297506E-3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5.2780762343725626E-3</v>
      </c>
      <c r="R1286" s="5" t="s">
        <v>4</v>
      </c>
      <c r="S1286" s="100">
        <f ca="1">_xll.meDateFromTenor(S1285,"1D","FOLLOWING",T$12)</f>
        <v>44329</v>
      </c>
      <c r="T1286" s="13">
        <f ca="1">_xll.meDateFromTenor(S1286,T$14,T$11,T$12)</f>
        <v>44694</v>
      </c>
      <c r="U1286" s="98">
        <f ca="1"/>
        <v>7.3152840715832784E-3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2.2933684057880066E-3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5.2855134461502942E-3</v>
      </c>
      <c r="R1287" s="5" t="s">
        <v>4</v>
      </c>
      <c r="S1287" s="100">
        <f ca="1">_xll.meDateFromTenor(S1286,"1D","FOLLOWING",T$12)</f>
        <v>44330</v>
      </c>
      <c r="T1287" s="13">
        <f ca="1">_xll.meDateFromTenor(S1287,T$14,T$11,T$12)</f>
        <v>44697</v>
      </c>
      <c r="U1287" s="98">
        <f ca="1"/>
        <v>7.3226983715343206E-3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2.3159230560122249E-3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5.3078412527519016E-3</v>
      </c>
      <c r="R1288" s="5" t="s">
        <v>4</v>
      </c>
      <c r="S1288" s="100">
        <f ca="1">_xll.meDateFromTenor(S1287,"1D","FOLLOWING",T$12)</f>
        <v>44333</v>
      </c>
      <c r="T1288" s="13">
        <f ca="1">_xll.meDateFromTenor(S1288,T$14,T$11,T$12)</f>
        <v>44698</v>
      </c>
      <c r="U1288" s="98">
        <f ca="1"/>
        <v>7.3449427708266301E-3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2.3234052771088261E-3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5.315289238081969E-3</v>
      </c>
      <c r="R1289" s="5" t="s">
        <v>4</v>
      </c>
      <c r="S1289" s="100">
        <f ca="1">_xll.meDateFromTenor(S1288,"1D","FOLLOWING",T$12)</f>
        <v>44334</v>
      </c>
      <c r="T1289" s="13">
        <f ca="1">_xll.meDateFromTenor(S1289,T$14,T$11,T$12)</f>
        <v>44699</v>
      </c>
      <c r="U1289" s="98">
        <f ca="1"/>
        <v>7.3523580199427686E-3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2.3308738438190487E-3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5.3227399113301667E-3</v>
      </c>
      <c r="R1290" s="5" t="s">
        <v>4</v>
      </c>
      <c r="S1290" s="100">
        <f ca="1">_xll.meDateFromTenor(S1289,"1D","FOLLOWING",T$12)</f>
        <v>44335</v>
      </c>
      <c r="T1290" s="13">
        <f ca="1">_xll.meDateFromTenor(S1290,T$14,T$11,T$12)</f>
        <v>44700</v>
      </c>
      <c r="U1290" s="98">
        <f ca="1"/>
        <v>7.3597734685044115E-3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2.3383313622045059E-3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5.3301932703085156E-3</v>
      </c>
      <c r="R1291" s="5" t="s">
        <v>4</v>
      </c>
      <c r="S1291" s="100">
        <f ca="1">_xll.meDateFromTenor(S1290,"1D","FOLLOWING",T$12)</f>
        <v>44336</v>
      </c>
      <c r="T1291" s="13">
        <f ca="1">_xll.meDateFromTenor(S1291,T$14,T$11,T$12)</f>
        <v>44701</v>
      </c>
      <c r="U1291" s="98">
        <f ca="1"/>
        <v>7.3671891013732567E-3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2.3457804383268128E-3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5.3376493128290316E-3</v>
      </c>
      <c r="R1292" s="5" t="s">
        <v>4</v>
      </c>
      <c r="S1292" s="100">
        <f ca="1">_xll.meDateFromTenor(S1291,"1D","FOLLOWING",T$12)</f>
        <v>44337</v>
      </c>
      <c r="T1292" s="13">
        <f ca="1">_xll.meDateFromTenor(S1292,T$14,T$11,T$12)</f>
        <v>44704</v>
      </c>
      <c r="U1292" s="98">
        <f ca="1"/>
        <v>7.3746049034109935E-3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2.3681030737309657E-3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5.3600335197637782E-3</v>
      </c>
      <c r="R1293" s="5" t="s">
        <v>4</v>
      </c>
      <c r="S1293" s="100">
        <f ca="1">_xll.meDateFromTenor(S1292,"1D","FOLLOWING",T$12)</f>
        <v>44340</v>
      </c>
      <c r="T1293" s="13">
        <f ca="1">_xll.meDateFromTenor(S1293,T$14,T$11,T$12)</f>
        <v>44705</v>
      </c>
      <c r="U1293" s="98">
        <f ca="1"/>
        <v>7.3968531731544917E-3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2.3755444414168092E-3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5.3675002745731592E-3</v>
      </c>
      <c r="R1294" s="5" t="s">
        <v>4</v>
      </c>
      <c r="S1294" s="100">
        <f ca="1">_xll.meDateFromTenor(S1293,"1D","FOLLOWING",T$12)</f>
        <v>44341</v>
      </c>
      <c r="T1294" s="13">
        <f ca="1">_xll.meDateFromTenor(S1294,T$14,T$11,T$12)</f>
        <v>44706</v>
      </c>
      <c r="U1294" s="98">
        <f ca="1"/>
        <v>7.4042695004847333E-3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2.3829903971475724E-3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5.3749697019848022E-3</v>
      </c>
      <c r="R1295" s="5" t="s">
        <v>4</v>
      </c>
      <c r="S1295" s="100">
        <f ca="1">_xll.meDateFromTenor(S1294,"1D","FOLLOWING",T$12)</f>
        <v>44342</v>
      </c>
      <c r="T1295" s="13">
        <f ca="1">_xll.meDateFromTenor(S1295,T$14,T$11,T$12)</f>
        <v>44707</v>
      </c>
      <c r="U1295" s="98">
        <f ca="1"/>
        <v>7.4116859212923344E-3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2.3904435469848701E-3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5.382441799810728E-3</v>
      </c>
      <c r="R1296" s="5" t="s">
        <v>4</v>
      </c>
      <c r="S1296" s="100">
        <f ca="1">_xll.meDateFromTenor(S1295,"1D","FOLLOWING",T$12)</f>
        <v>44343</v>
      </c>
      <c r="T1296" s="13">
        <f ca="1">_xll.meDateFromTenor(S1296,T$14,T$11,T$12)</f>
        <v>44708</v>
      </c>
      <c r="U1296" s="98">
        <f ca="1"/>
        <v>7.4191024204389878E-3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2.3979064969903143E-3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5.3899165658629544E-3</v>
      </c>
      <c r="R1297" s="5" t="s">
        <v>4</v>
      </c>
      <c r="S1297" s="100">
        <f ca="1">_xll.meDateFromTenor(S1296,"1D","FOLLOWING",T$12)</f>
        <v>44344</v>
      </c>
      <c r="T1297" s="13">
        <f ca="1">_xll.meDateFromTenor(S1297,T$14,T$11,T$12)</f>
        <v>44711</v>
      </c>
      <c r="U1297" s="98">
        <f ca="1"/>
        <v>7.4265189827863887E-3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2.4203802086316742E-3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5.4123568514976321E-3</v>
      </c>
      <c r="R1298" s="5" t="s">
        <v>4</v>
      </c>
      <c r="S1298" s="100">
        <f ca="1">_xll.meDateFromTenor(S1297,"1D","FOLLOWING",T$12)</f>
        <v>44347</v>
      </c>
      <c r="T1298" s="13">
        <f ca="1">_xll.meDateFromTenor(S1298,T$14,T$11,T$12)</f>
        <v>44712</v>
      </c>
      <c r="U1298" s="98">
        <f ca="1"/>
        <v>7.4487688976499966E-3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2.4279084199258479E-3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5.4198422685752508E-3</v>
      </c>
      <c r="R1299" s="5" t="s">
        <v>4</v>
      </c>
      <c r="S1299" s="100">
        <f ca="1">_xll.meDateFromTenor(S1298,"1D","FOLLOWING",T$12)</f>
        <v>44348</v>
      </c>
      <c r="T1299" s="13">
        <f ca="1">_xll.meDateFromTenor(S1299,T$14,T$11,T$12)</f>
        <v>44713</v>
      </c>
      <c r="U1299" s="98">
        <f ca="1"/>
        <v>7.4561855614173117E-3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2.4354594616962416E-3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5.4273303429392674E-3</v>
      </c>
      <c r="R1300" s="5" t="s">
        <v>4</v>
      </c>
      <c r="S1300" s="100">
        <f ca="1">_xll.meDateFromTenor(S1299,"1D","FOLLOWING",T$12)</f>
        <v>44349</v>
      </c>
      <c r="T1300" s="13">
        <f ca="1">_xll.meDateFromTenor(S1300,T$14,T$11,T$12)</f>
        <v>44714</v>
      </c>
      <c r="U1300" s="98">
        <f ca="1"/>
        <v>7.4636022126938414E-3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2.4430352748617767E-3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5.4348210740860544E-3</v>
      </c>
      <c r="R1301" s="5" t="s">
        <v>4</v>
      </c>
      <c r="S1301" s="100">
        <f ca="1">_xll.meDateFromTenor(S1300,"1D","FOLLOWING",T$12)</f>
        <v>44350</v>
      </c>
      <c r="T1301" s="13">
        <f ca="1">_xll.meDateFromTenor(S1301,T$14,T$11,T$12)</f>
        <v>44715</v>
      </c>
      <c r="U1301" s="98">
        <f ca="1"/>
        <v>7.471018838372671E-3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2.4506351397706157E-3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5.442314468249409E-3</v>
      </c>
      <c r="R1302" s="5" t="s">
        <v>4</v>
      </c>
      <c r="S1302" s="100">
        <f ca="1">_xll.meDateFromTenor(S1301,"1D","FOLLOWING",T$12)</f>
        <v>44351</v>
      </c>
      <c r="T1302" s="13">
        <f ca="1">_xll.meDateFromTenor(S1302,T$14,T$11,T$12)</f>
        <v>44718</v>
      </c>
      <c r="U1302" s="98">
        <f ca="1"/>
        <v>7.4784354334724631E-3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2.4735651970116753E-3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5.4648107080203919E-3</v>
      </c>
      <c r="R1303" s="5" t="s">
        <v>4</v>
      </c>
      <c r="S1303" s="100">
        <f ca="1">_xll.meDateFromTenor(S1302,"1D","FOLLOWING",T$12)</f>
        <v>44354</v>
      </c>
      <c r="T1303" s="13">
        <f ca="1">_xll.meDateFromTenor(S1303,T$14,T$11,T$12)</f>
        <v>44719</v>
      </c>
      <c r="U1303" s="98">
        <f ca="1"/>
        <v>7.5006850057981718E-3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2.4812474209484486E-3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5.4723148334315337E-3</v>
      </c>
      <c r="R1304" s="5" t="s">
        <v>4</v>
      </c>
      <c r="S1304" s="100">
        <f ca="1">_xll.meDateFromTenor(S1303,"1D","FOLLOWING",T$12)</f>
        <v>44355</v>
      </c>
      <c r="T1304" s="13">
        <f ca="1">_xll.meDateFromTenor(S1304,T$14,T$11,T$12)</f>
        <v>44720</v>
      </c>
      <c r="U1304" s="98">
        <f ca="1"/>
        <v>7.5081014490823725E-3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2.4889467726558847E-3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5.4798216614500017E-3</v>
      </c>
      <c r="R1305" s="5" t="s">
        <v>4</v>
      </c>
      <c r="S1305" s="100">
        <f ca="1">_xll.meDateFromTenor(S1304,"1D","FOLLOWING",T$12)</f>
        <v>44356</v>
      </c>
      <c r="T1305" s="13">
        <f ca="1">_xll.meDateFromTenor(S1305,T$14,T$11,T$12)</f>
        <v>44721</v>
      </c>
      <c r="U1305" s="98">
        <f ca="1"/>
        <v>7.5155178470378177E-3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2.496661867339454E-3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5.4873311999939457E-3</v>
      </c>
      <c r="R1306" s="5" t="s">
        <v>4</v>
      </c>
      <c r="S1306" s="100">
        <f ca="1">_xll.meDateFromTenor(S1305,"1D","FOLLOWING",T$12)</f>
        <v>44357</v>
      </c>
      <c r="T1306" s="13">
        <f ca="1">_xll.meDateFromTenor(S1306,T$14,T$11,T$12)</f>
        <v>44722</v>
      </c>
      <c r="U1306" s="98">
        <f ca="1"/>
        <v>7.5229341967145581E-3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2.5043913202046322E-3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5.4948434569815231E-3</v>
      </c>
      <c r="R1307" s="5" t="s">
        <v>4</v>
      </c>
      <c r="S1307" s="100">
        <f ca="1">_xll.meDateFromTenor(S1306,"1D","FOLLOWING",T$12)</f>
        <v>44358</v>
      </c>
      <c r="T1307" s="13">
        <f ca="1">_xll.meDateFromTenor(S1307,T$14,T$11,T$12)</f>
        <v>44725</v>
      </c>
      <c r="U1307" s="98">
        <f ca="1"/>
        <v>7.5303504951626564E-3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2.5276519799445276E-3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5.5173966177875606E-3</v>
      </c>
      <c r="R1308" s="5" t="s">
        <v>4</v>
      </c>
      <c r="S1308" s="100">
        <f ca="1">_xll.meDateFromTenor(S1307,"1D","FOLLOWING",T$12)</f>
        <v>44361</v>
      </c>
      <c r="T1308" s="13">
        <f ca="1">_xll.meDateFromTenor(S1308,T$14,T$11,T$12)</f>
        <v>44726</v>
      </c>
      <c r="U1308" s="98">
        <f ca="1"/>
        <v>7.5525990536356473E-3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2.535425017590852E-3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5.524919827731181E-3</v>
      </c>
      <c r="R1309" s="5" t="s">
        <v>4</v>
      </c>
      <c r="S1309" s="100">
        <f ca="1">_xll.meDateFromTenor(S1308,"1D","FOLLOWING",T$12)</f>
        <v>44362</v>
      </c>
      <c r="T1309" s="13">
        <f ca="1">_xll.meDateFromTenor(S1309,T$14,T$11,T$12)</f>
        <v>44727</v>
      </c>
      <c r="U1309" s="98">
        <f ca="1"/>
        <v>7.5600151176697279E-3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2.5432054894461427E-3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5.5324457957091917E-3</v>
      </c>
      <c r="R1310" s="5" t="s">
        <v>4</v>
      </c>
      <c r="S1310" s="100">
        <f ca="1">_xll.meDateFromTenor(S1309,"1D","FOLLOWING",T$12)</f>
        <v>44363</v>
      </c>
      <c r="T1310" s="13">
        <f ca="1">_xll.meDateFromTenor(S1310,T$14,T$11,T$12)</f>
        <v>44728</v>
      </c>
      <c r="U1310" s="98">
        <f ca="1"/>
        <v>7.5674311157254452E-3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2.550992010715872E-3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5.5399745296397457E-3</v>
      </c>
      <c r="R1311" s="5" t="s">
        <v>4</v>
      </c>
      <c r="S1311" s="100">
        <f ca="1">_xll.meDateFromTenor(S1310,"1D","FOLLOWING",T$12)</f>
        <v>44364</v>
      </c>
      <c r="T1311" s="13">
        <f ca="1">_xll.meDateFromTenor(S1311,T$14,T$11,T$12)</f>
        <v>44729</v>
      </c>
      <c r="U1311" s="98">
        <f ca="1"/>
        <v>7.5748470448528549E-3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2.5587831966055112E-3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5.5475060374409937E-3</v>
      </c>
      <c r="R1312" s="5" t="s">
        <v>4</v>
      </c>
      <c r="S1312" s="100">
        <f ca="1">_xll.meDateFromTenor(S1311,"1D","FOLLOWING",T$12)</f>
        <v>44365</v>
      </c>
      <c r="T1312" s="13">
        <f ca="1">_xll.meDateFromTenor(S1312,T$14,T$11,T$12)</f>
        <v>44732</v>
      </c>
      <c r="U1312" s="98">
        <f ca="1"/>
        <v>7.582262902102014E-3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2.5821708940486033E-3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5.5701172832504251E-3</v>
      </c>
      <c r="R1313" s="5" t="s">
        <v>4</v>
      </c>
      <c r="S1313" s="100">
        <f ca="1">_xll.meDateFromTenor(S1312,"1D","FOLLOWING",T$12)</f>
        <v>44368</v>
      </c>
      <c r="T1313" s="13">
        <f ca="1">_xll.meDateFromTenor(S1313,T$14,T$11,T$12)</f>
        <v>44733</v>
      </c>
      <c r="U1313" s="98">
        <f ca="1"/>
        <v>7.6045100130805385E-3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2.5899668904726001E-3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5.577659965715972E-3</v>
      </c>
      <c r="R1314" s="5" t="s">
        <v>4</v>
      </c>
      <c r="S1314" s="100">
        <f ca="1">_xll.meDateFromTenor(S1313,"1D","FOLLOWING",T$12)</f>
        <v>44369</v>
      </c>
      <c r="T1314" s="13">
        <f ca="1">_xll.meDateFromTenor(S1314,T$14,T$11,T$12)</f>
        <v>44734</v>
      </c>
      <c r="U1314" s="98">
        <f ca="1"/>
        <v>7.6119255533172517E-3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2.5977606275438669E-3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5.5852054616429732E-3</v>
      </c>
      <c r="R1315" s="5" t="s">
        <v>4</v>
      </c>
      <c r="S1315" s="100">
        <f ca="1">_xll.meDateFromTenor(S1314,"1D","FOLLOWING",T$12)</f>
        <v>44370</v>
      </c>
      <c r="T1315" s="13">
        <f ca="1">_xll.meDateFromTenor(S1315,T$14,T$11,T$12)</f>
        <v>44735</v>
      </c>
      <c r="U1315" s="98">
        <f ca="1"/>
        <v>7.6193410069259945E-3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2.6055507204678745E-3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5.5927537789495808E-3</v>
      </c>
      <c r="R1316" s="5" t="s">
        <v>4</v>
      </c>
      <c r="S1316" s="100">
        <f ca="1">_xll.meDateFromTenor(S1315,"1D","FOLLOWING",T$12)</f>
        <v>44371</v>
      </c>
      <c r="T1316" s="13">
        <f ca="1">_xll.meDateFromTenor(S1316,T$14,T$11,T$12)</f>
        <v>44736</v>
      </c>
      <c r="U1316" s="98">
        <f ca="1"/>
        <v>7.6267563709568227E-3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2.6133357844500952E-3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5.6003049255539472E-3</v>
      </c>
      <c r="R1317" s="5" t="s">
        <v>4</v>
      </c>
      <c r="S1317" s="100">
        <f ca="1">_xll.meDateFromTenor(S1316,"1D","FOLLOWING",T$12)</f>
        <v>44372</v>
      </c>
      <c r="T1317" s="13">
        <f ca="1">_xll.meDateFromTenor(S1317,T$14,T$11,T$12)</f>
        <v>44739</v>
      </c>
      <c r="U1317" s="98">
        <f ca="1"/>
        <v>7.6341716424597923E-3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2.6366469548007509E-3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5.6229754203351171E-3</v>
      </c>
      <c r="R1318" s="5" t="s">
        <v>4</v>
      </c>
      <c r="S1318" s="100">
        <f ca="1">_xll.meDateFromTenor(S1317,"1D","FOLLOWING",T$12)</f>
        <v>44375</v>
      </c>
      <c r="T1318" s="13">
        <f ca="1">_xll.meDateFromTenor(S1318,T$14,T$11,T$12)</f>
        <v>44740</v>
      </c>
      <c r="U1318" s="98">
        <f ca="1"/>
        <v>7.6564168723021108E-3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2.6443980550705424E-3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5.6305379633120375E-3</v>
      </c>
      <c r="R1319" s="5" t="s">
        <v>4</v>
      </c>
      <c r="S1319" s="100">
        <f ca="1">_xll.meDateFromTenor(S1318,"1D","FOLLOWING",T$12)</f>
        <v>44376</v>
      </c>
      <c r="T1319" s="13">
        <f ca="1">_xll.meDateFromTenor(S1319,T$14,T$11,T$12)</f>
        <v>44741</v>
      </c>
      <c r="U1319" s="98">
        <f ca="1"/>
        <v>7.6638317441942083E-3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2.6521372024259056E-3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5.638103375177477E-3</v>
      </c>
      <c r="R1320" s="5" t="s">
        <v>4</v>
      </c>
      <c r="S1320" s="100">
        <f ca="1">_xll.meDateFromTenor(S1319,"1D","FOLLOWING",T$12)</f>
        <v>44377</v>
      </c>
      <c r="T1320" s="13">
        <f ca="1">_xll.meDateFromTenor(S1320,T$14,T$11,T$12)</f>
        <v>44742</v>
      </c>
      <c r="U1320" s="98">
        <f ca="1"/>
        <v>7.6712465088087291E-3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2.6598630120723134E-3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5.645671663849587E-3</v>
      </c>
      <c r="R1321" s="5" t="s">
        <v>4</v>
      </c>
      <c r="S1321" s="100">
        <f ca="1">_xll.meDateFromTenor(S1320,"1D","FOLLOWING",T$12)</f>
        <v>44378</v>
      </c>
      <c r="T1321" s="13">
        <f ca="1">_xll.meDateFromTenor(S1321,T$14,T$11,T$12)</f>
        <v>44743</v>
      </c>
      <c r="U1321" s="98">
        <f ca="1"/>
        <v>7.6786611631957285E-3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2.6675740992152365E-3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5.6532428372465188E-3</v>
      </c>
      <c r="R1322" s="5" t="s">
        <v>4</v>
      </c>
      <c r="S1322" s="100">
        <f ca="1">_xll.meDateFromTenor(S1321,"1D","FOLLOWING",T$12)</f>
        <v>44379</v>
      </c>
      <c r="T1322" s="13">
        <f ca="1">_xll.meDateFromTenor(S1322,T$14,T$11,T$12)</f>
        <v>44746</v>
      </c>
      <c r="U1322" s="98">
        <f ca="1"/>
        <v>7.6860757044052621E-3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2.690616721420268E-3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5.6759737449677697E-3</v>
      </c>
      <c r="R1323" s="5" t="s">
        <v>4</v>
      </c>
      <c r="S1323" s="100">
        <f ca="1">_xll.meDateFromTenor(S1322,"1D","FOLLOWING",T$12)</f>
        <v>44382</v>
      </c>
      <c r="T1323" s="13">
        <f ca="1">_xll.meDateFromTenor(S1323,T$14,T$11,T$12)</f>
        <v>44747</v>
      </c>
      <c r="U1323" s="98">
        <f ca="1"/>
        <v>7.7083186194696332E-3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2.6982708898065856E-3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5.6835565364455123E-3</v>
      </c>
      <c r="R1324" s="5" t="s">
        <v>4</v>
      </c>
      <c r="S1324" s="100">
        <f ca="1">_xll.meDateFromTenor(S1323,"1D","FOLLOWING",T$12)</f>
        <v>44383</v>
      </c>
      <c r="T1324" s="13">
        <f ca="1">_xll.meDateFromTenor(S1324,T$14,T$11,T$12)</f>
        <v>44748</v>
      </c>
      <c r="U1324" s="98">
        <f ca="1"/>
        <v>7.7157326784698674E-3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2.7059136728211728E-3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5.6911422522388346E-3</v>
      </c>
      <c r="R1325" s="5" t="s">
        <v>4</v>
      </c>
      <c r="S1325" s="100">
        <f ca="1">_xll.meDateFromTenor(S1324,"1D","FOLLOWING",T$12)</f>
        <v>44384</v>
      </c>
      <c r="T1325" s="13">
        <f ca="1">_xll.meDateFromTenor(S1325,T$14,T$11,T$12)</f>
        <v>44749</v>
      </c>
      <c r="U1325" s="98">
        <f ca="1"/>
        <v>7.7231466095429155E-3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2.7135462509456053E-3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5.6987309002658939E-3</v>
      </c>
      <c r="R1326" s="5" t="s">
        <v>4</v>
      </c>
      <c r="S1326" s="100">
        <f ca="1">_xll.meDateFromTenor(S1325,"1D","FOLLOWING",T$12)</f>
        <v>44385</v>
      </c>
      <c r="T1326" s="13">
        <f ca="1">_xll.meDateFromTenor(S1326,T$14,T$11,T$12)</f>
        <v>44750</v>
      </c>
      <c r="U1326" s="98">
        <f ca="1"/>
        <v>7.7305604097388366E-3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2.7211698046614523E-3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5.706322488444839E-3</v>
      </c>
      <c r="R1327" s="5" t="s">
        <v>4</v>
      </c>
      <c r="S1327" s="100">
        <f ca="1">_xll.meDateFromTenor(S1326,"1D","FOLLOWING",T$12)</f>
        <v>44386</v>
      </c>
      <c r="T1327" s="13">
        <f ca="1">_xll.meDateFromTenor(S1327,T$14,T$11,T$12)</f>
        <v>44753</v>
      </c>
      <c r="U1327" s="98">
        <f ca="1"/>
        <v>7.7379740761076869E-3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2.7439981241731862E-3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5.7291149730745138E-3</v>
      </c>
      <c r="R1328" s="5" t="s">
        <v>4</v>
      </c>
      <c r="S1328" s="100">
        <f ca="1">_xll.meDateFromTenor(S1327,"1D","FOLLOWING",T$12)</f>
        <v>44389</v>
      </c>
      <c r="T1328" s="13">
        <f ca="1">_xll.meDateFromTenor(S1328,T$14,T$11,T$12)</f>
        <v>44754</v>
      </c>
      <c r="U1328" s="98">
        <f ca="1"/>
        <v>7.7602142427523665E-3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2.7515973850703989E-3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5.7367184010425239E-3</v>
      </c>
      <c r="R1329" s="5" t="s">
        <v>4</v>
      </c>
      <c r="S1329" s="100">
        <f ca="1">_xll.meDateFromTenor(S1328,"1D","FOLLOWING",T$12)</f>
        <v>44390</v>
      </c>
      <c r="T1329" s="13">
        <f ca="1">_xll.meDateFromTenor(S1329,T$14,T$11,T$12)</f>
        <v>44755</v>
      </c>
      <c r="U1329" s="98">
        <f ca="1"/>
        <v>7.7676273443134892E-3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2.7591935239668782E-3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5.7443248087531784E-3</v>
      </c>
      <c r="R1330" s="5" t="s">
        <v>4</v>
      </c>
      <c r="S1330" s="100">
        <f ca="1">_xll.meDateFromTenor(S1329,"1D","FOLLOWING",T$12)</f>
        <v>44391</v>
      </c>
      <c r="T1330" s="13">
        <f ca="1">_xll.meDateFromTenor(S1330,T$14,T$11,T$12)</f>
        <v>44756</v>
      </c>
      <c r="U1330" s="98">
        <f ca="1"/>
        <v>7.7750402972978187E-3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2.7667877213442024E-3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5.7519342041246367E-3</v>
      </c>
      <c r="R1331" s="5" t="s">
        <v>4</v>
      </c>
      <c r="S1331" s="100">
        <f ca="1">_xll.meDateFromTenor(S1330,"1D","FOLLOWING",T$12)</f>
        <v>44392</v>
      </c>
      <c r="T1331" s="13">
        <f ca="1">_xll.meDateFromTenor(S1331,T$14,T$11,T$12)</f>
        <v>44757</v>
      </c>
      <c r="U1331" s="98">
        <f ca="1"/>
        <v>7.7824530987554178E-3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2.7743811576839334E-3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5.7595465950750395E-3</v>
      </c>
      <c r="R1332" s="5" t="s">
        <v>4</v>
      </c>
      <c r="S1332" s="100">
        <f ca="1">_xll.meDateFromTenor(S1331,"1D","FOLLOWING",T$12)</f>
        <v>44393</v>
      </c>
      <c r="T1332" s="13">
        <f ca="1">_xll.meDateFromTenor(S1332,T$14,T$11,T$12)</f>
        <v>44760</v>
      </c>
      <c r="U1332" s="98">
        <f ca="1"/>
        <v>7.7898657457363338E-3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2.7971687052933095E-3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5.7824018205814781E-3</v>
      </c>
      <c r="R1333" s="5" t="s">
        <v>4</v>
      </c>
      <c r="S1333" s="100">
        <f ca="1">_xll.meDateFromTenor(S1332,"1D","FOLLOWING",T$12)</f>
        <v>44396</v>
      </c>
      <c r="T1333" s="13">
        <f ca="1">_xll.meDateFromTenor(S1333,T$14,T$11,T$12)</f>
        <v>44761</v>
      </c>
      <c r="U1333" s="98">
        <f ca="1"/>
        <v>7.8121027303195761E-3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2.8047709022983973E-3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5.7900262730292045E-3</v>
      </c>
      <c r="R1334" s="5" t="s">
        <v>4</v>
      </c>
      <c r="S1334" s="100">
        <f ca="1">_xll.meDateFromTenor(S1333,"1D","FOLLOWING",T$12)</f>
        <v>44397</v>
      </c>
      <c r="T1334" s="13">
        <f ca="1">_xll.meDateFromTenor(S1334,T$14,T$11,T$12)</f>
        <v>44762</v>
      </c>
      <c r="U1334" s="98">
        <f ca="1"/>
        <v>7.8195147298943408E-3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2.8123782406737517E-3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5.7976537606466427E-3</v>
      </c>
      <c r="R1335" s="5" t="s">
        <v>4</v>
      </c>
      <c r="S1335" s="100">
        <f ca="1">_xll.meDateFromTenor(S1334,"1D","FOLLOWING",T$12)</f>
        <v>44398</v>
      </c>
      <c r="T1335" s="13">
        <f ca="1">_xll.meDateFromTenor(S1335,T$14,T$11,T$12)</f>
        <v>44763</v>
      </c>
      <c r="U1335" s="98">
        <f ca="1"/>
        <v>7.8269265602427078E-3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2.8199919009009428E-3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5.8052842913519417E-3</v>
      </c>
      <c r="R1336" s="5" t="s">
        <v>4</v>
      </c>
      <c r="S1336" s="100">
        <f ca="1">_xll.meDateFromTenor(S1335,"1D","FOLLOWING",T$12)</f>
        <v>44399</v>
      </c>
      <c r="T1336" s="13">
        <f ca="1">_xll.meDateFromTenor(S1336,T$14,T$11,T$12)</f>
        <v>44764</v>
      </c>
      <c r="U1336" s="98">
        <f ca="1"/>
        <v>7.8343382184147305E-3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2.8276130634615399E-3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5.8129178730632527E-3</v>
      </c>
      <c r="R1337" s="5" t="s">
        <v>4</v>
      </c>
      <c r="S1337" s="100">
        <f ca="1">_xll.meDateFromTenor(S1336,"1D","FOLLOWING",T$12)</f>
        <v>44400</v>
      </c>
      <c r="T1337" s="13">
        <f ca="1">_xll.meDateFromTenor(S1337,T$14,T$11,T$12)</f>
        <v>44767</v>
      </c>
      <c r="U1337" s="98">
        <f ca="1"/>
        <v>7.8417497014604681E-3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2.8505333699594989E-3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5.8358370034147979E-3</v>
      </c>
      <c r="R1338" s="5" t="s">
        <v>4</v>
      </c>
      <c r="S1338" s="100">
        <f ca="1">_xll.meDateFromTenor(S1337,"1D","FOLLOWING",T$12)</f>
        <v>44403</v>
      </c>
      <c r="T1338" s="13">
        <f ca="1">_xll.meDateFromTenor(S1338,T$14,T$11,T$12)</f>
        <v>44768</v>
      </c>
      <c r="U1338" s="98">
        <f ca="1"/>
        <v>7.8639830703405317E-3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2.8581963466694422E-3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5.8434828683316883E-3</v>
      </c>
      <c r="R1339" s="5" t="s">
        <v>4</v>
      </c>
      <c r="S1339" s="100">
        <f ca="1">_xll.meDateFromTenor(S1338,"1D","FOLLOWING",T$12)</f>
        <v>44404</v>
      </c>
      <c r="T1339" s="13">
        <f ca="1">_xll.meDateFromTenor(S1339,T$14,T$11,T$12)</f>
        <v>44769</v>
      </c>
      <c r="U1339" s="98">
        <f ca="1"/>
        <v>7.8713938233816901E-3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2.8658727281206486E-3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5.851131823845352E-3</v>
      </c>
      <c r="R1340" s="5" t="s">
        <v>4</v>
      </c>
      <c r="S1340" s="100">
        <f ca="1">_xll.meDateFromTenor(S1339,"1D","FOLLOWING",T$12)</f>
        <v>44405</v>
      </c>
      <c r="T1340" s="13">
        <f ca="1">_xll.meDateFromTenor(S1340,T$14,T$11,T$12)</f>
        <v>44770</v>
      </c>
      <c r="U1340" s="98">
        <f ca="1"/>
        <v>7.8788043865468411E-3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2.8735636947946896E-3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5.858783877873943E-3</v>
      </c>
      <c r="R1341" s="5" t="s">
        <v>4</v>
      </c>
      <c r="S1341" s="100">
        <f ca="1">_xll.meDateFromTenor(S1340,"1D","FOLLOWING",T$12)</f>
        <v>44406</v>
      </c>
      <c r="T1341" s="13">
        <f ca="1">_xll.meDateFromTenor(S1341,T$14,T$11,T$12)</f>
        <v>44771</v>
      </c>
      <c r="U1341" s="98">
        <f ca="1"/>
        <v>7.8862147568860459E-3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2.8812704271731359E-3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5.8664390383356118E-3</v>
      </c>
      <c r="R1342" s="5" t="s">
        <v>4</v>
      </c>
      <c r="S1342" s="100">
        <f ca="1">_xll.meDateFromTenor(S1341,"1D","FOLLOWING",T$12)</f>
        <v>44407</v>
      </c>
      <c r="T1342" s="13">
        <f ca="1">_xll.meDateFromTenor(S1342,T$14,T$11,T$12)</f>
        <v>44771</v>
      </c>
      <c r="U1342" s="98">
        <f ca="1"/>
        <v>7.893624931449357E-3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2.9044970233506173E-3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5.8894232375006064E-3</v>
      </c>
      <c r="R1343" s="5" t="s">
        <v>4</v>
      </c>
      <c r="S1343" s="100">
        <f ca="1">_xll.meDateFromTenor(S1342,"1D","FOLLOWING",T$12)</f>
        <v>44410</v>
      </c>
      <c r="T1343" s="13">
        <f ca="1">_xll.meDateFromTenor(S1343,T$14,T$11,T$12)</f>
        <v>44775</v>
      </c>
      <c r="U1343" s="98">
        <f ca="1"/>
        <v>7.915854250984497E-3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2.9122781264562473E-3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5.8970909028761053E-3</v>
      </c>
      <c r="R1344" s="5" t="s">
        <v>4</v>
      </c>
      <c r="S1344" s="100">
        <f ca="1">_xll.meDateFromTenor(S1343,"1D","FOLLOWING",T$12)</f>
        <v>44411</v>
      </c>
      <c r="T1344" s="13">
        <f ca="1">_xll.meDateFromTenor(S1344,T$14,T$11,T$12)</f>
        <v>44776</v>
      </c>
      <c r="U1344" s="98">
        <f ca="1"/>
        <v>7.9232636129447972E-3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2.9200779162372693E-3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5.9047617142754449E-3</v>
      </c>
      <c r="R1345" s="5" t="s">
        <v>4</v>
      </c>
      <c r="S1345" s="100">
        <f ca="1">_xll.meDateFromTenor(S1344,"1D","FOLLOWING",T$12)</f>
        <v>44412</v>
      </c>
      <c r="T1345" s="13">
        <f ca="1">_xll.meDateFromTenor(S1345,T$14,T$11,T$12)</f>
        <v>44777</v>
      </c>
      <c r="U1345" s="98">
        <f ca="1"/>
        <v>7.93067276437949E-3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2.9278945917383804E-3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5.9124356796167732E-3</v>
      </c>
      <c r="R1346" s="5" t="s">
        <v>4</v>
      </c>
      <c r="S1346" s="100">
        <f ca="1">_xll.meDateFromTenor(S1345,"1D","FOLLOWING",T$12)</f>
        <v>44413</v>
      </c>
      <c r="T1346" s="13">
        <f ca="1">_xll.meDateFromTenor(S1346,T$14,T$11,T$12)</f>
        <v>44778</v>
      </c>
      <c r="U1346" s="98">
        <f ca="1"/>
        <v>7.9380817023386261E-3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2.9357263520042795E-3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5.920112806818245E-3</v>
      </c>
      <c r="R1347" s="5" t="s">
        <v>4</v>
      </c>
      <c r="S1347" s="100">
        <f ca="1">_xll.meDateFromTenor(S1346,"1D","FOLLOWING",T$12)</f>
        <v>44414</v>
      </c>
      <c r="T1347" s="13">
        <f ca="1">_xll.meDateFromTenor(S1347,T$14,T$11,T$12)</f>
        <v>44781</v>
      </c>
      <c r="U1347" s="98">
        <f ca="1"/>
        <v>7.9454904238722614E-3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2.9592941318377012E-3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5.9431632387650308E-3</v>
      </c>
      <c r="R1348" s="5" t="s">
        <v>4</v>
      </c>
      <c r="S1348" s="100">
        <f ca="1">_xll.meDateFromTenor(S1347,"1D","FOLLOWING",T$12)</f>
        <v>44417</v>
      </c>
      <c r="T1348" s="13">
        <f ca="1">_xll.meDateFromTenor(S1348,T$14,T$11,T$12)</f>
        <v>44782</v>
      </c>
      <c r="U1348" s="98">
        <f ca="1"/>
        <v>7.9677152604207373E-3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2.9671682216097471E-3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5.9508530925885868E-3</v>
      </c>
      <c r="R1349" s="5" t="s">
        <v>4</v>
      </c>
      <c r="S1349" s="100">
        <f ca="1">_xll.meDateFromTenor(S1348,"1D","FOLLOWING",T$12)</f>
        <v>44418</v>
      </c>
      <c r="T1349" s="13">
        <f ca="1">_xll.meDateFromTenor(S1349,T$14,T$11,T$12)</f>
        <v>44783</v>
      </c>
      <c r="U1349" s="98">
        <f ca="1"/>
        <v>7.9751230867529353E-3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2.9750483913700831E-3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5.9585461478630511E-3</v>
      </c>
      <c r="R1350" s="5" t="s">
        <v>4</v>
      </c>
      <c r="S1350" s="100">
        <f ca="1">_xll.meDateFromTenor(S1349,"1D","FOLLOWING",T$12)</f>
        <v>44419</v>
      </c>
      <c r="T1350" s="13">
        <f ca="1">_xll.meDateFromTenor(S1350,T$14,T$11,T$12)</f>
        <v>44784</v>
      </c>
      <c r="U1350" s="98">
        <f ca="1"/>
        <v>7.9825306819099207E-3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2.9829328401634004E-3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5.9662424125065637E-3</v>
      </c>
      <c r="R1351" s="5" t="s">
        <v>4</v>
      </c>
      <c r="S1351" s="100">
        <f ca="1">_xll.meDateFromTenor(S1350,"1D","FOLLOWING",T$12)</f>
        <v>44420</v>
      </c>
      <c r="T1351" s="13">
        <f ca="1">_xll.meDateFromTenor(S1351,T$14,T$11,T$12)</f>
        <v>44785</v>
      </c>
      <c r="U1351" s="98">
        <f ca="1"/>
        <v>7.9899380429417372E-3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2.9908197670344061E-3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5.9739418944372855E-3</v>
      </c>
      <c r="R1352" s="5" t="s">
        <v>4</v>
      </c>
      <c r="S1352" s="100">
        <f ca="1">_xll.meDateFromTenor(S1351,"1D","FOLLOWING",T$12)</f>
        <v>44421</v>
      </c>
      <c r="T1352" s="13">
        <f ca="1">_xll.meDateFromTenor(S1352,T$14,T$11,T$12)</f>
        <v>44788</v>
      </c>
      <c r="U1352" s="98">
        <f ca="1"/>
        <v>7.9973451668984511E-3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3.0144774065605294E-3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5.9970597231342043E-3</v>
      </c>
      <c r="R1353" s="5" t="s">
        <v>4</v>
      </c>
      <c r="S1353" s="100">
        <f ca="1">_xll.meDateFromTenor(S1352,"1D","FOLLOWING",T$12)</f>
        <v>44424</v>
      </c>
      <c r="T1353" s="13">
        <f ca="1">_xll.meDateFromTenor(S1353,T$14,T$11,T$12)</f>
        <v>44789</v>
      </c>
      <c r="U1353" s="98">
        <f ca="1"/>
        <v>8.0195650868185153E-3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3.0223562361892712E-3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6.0047721533952689E-3</v>
      </c>
      <c r="R1354" s="5" t="s">
        <v>4</v>
      </c>
      <c r="S1354" s="100">
        <f ca="1">_xll.meDateFromTenor(S1353,"1D","FOLLOWING",T$12)</f>
        <v>44425</v>
      </c>
      <c r="T1354" s="13">
        <f ca="1">_xll.meDateFromTenor(S1354,T$14,T$11,T$12)</f>
        <v>44790</v>
      </c>
      <c r="U1354" s="98">
        <f ca="1"/>
        <v>8.0269712329753672E-3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3.0302285391191966E-3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6.0124878405342997E-3</v>
      </c>
      <c r="R1355" s="5" t="s">
        <v>4</v>
      </c>
      <c r="S1355" s="100">
        <f ca="1">_xll.meDateFromTenor(S1354,"1D","FOLLOWING",T$12)</f>
        <v>44426</v>
      </c>
      <c r="T1355" s="13">
        <f ca="1">_xll.meDateFromTenor(S1355,T$14,T$11,T$12)</f>
        <v>44791</v>
      </c>
      <c r="U1355" s="98">
        <f ca="1"/>
        <v>8.0343771273073926E-3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3.0380925143950023E-3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6.0202067924694453E-3</v>
      </c>
      <c r="R1356" s="5" t="s">
        <v>4</v>
      </c>
      <c r="S1356" s="100">
        <f ca="1">_xll.meDateFromTenor(S1355,"1D","FOLLOWING",T$12)</f>
        <v>44427</v>
      </c>
      <c r="T1356" s="13">
        <f ca="1">_xll.meDateFromTenor(S1356,T$14,T$11,T$12)</f>
        <v>44792</v>
      </c>
      <c r="U1356" s="98">
        <f ca="1"/>
        <v>8.0417827668646472E-3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3.0459463610613955E-3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6.0279290171188667E-3</v>
      </c>
      <c r="R1357" s="5" t="s">
        <v>4</v>
      </c>
      <c r="S1357" s="100">
        <f ca="1">_xll.meDateFromTenor(S1356,"1D","FOLLOWING",T$12)</f>
        <v>44428</v>
      </c>
      <c r="T1357" s="13">
        <f ca="1">_xll.meDateFromTenor(S1357,T$14,T$11,T$12)</f>
        <v>44795</v>
      </c>
      <c r="U1357" s="98">
        <f ca="1"/>
        <v>8.0491881486971922E-3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3.0694291198510555E-3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6.0511154065342587E-3</v>
      </c>
      <c r="R1358" s="5" t="s">
        <v>4</v>
      </c>
      <c r="S1358" s="100">
        <f ca="1">_xll.meDateFromTenor(S1357,"1D","FOLLOWING",T$12)</f>
        <v>44431</v>
      </c>
      <c r="T1358" s="13">
        <f ca="1">_xll.meDateFromTenor(S1358,T$14,T$11,T$12)</f>
        <v>44796</v>
      </c>
      <c r="U1358" s="98">
        <f ca="1"/>
        <v>8.0714027183471024E-3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3.0772244425267712E-3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6.0588508012222771E-3</v>
      </c>
      <c r="R1359" s="5" t="s">
        <v>4</v>
      </c>
      <c r="S1359" s="100">
        <f ca="1">_xll.meDateFromTenor(S1358,"1D","FOLLOWING",T$12)</f>
        <v>44432</v>
      </c>
      <c r="T1359" s="13">
        <f ca="1">_xll.meDateFromTenor(S1359,T$14,T$11,T$12)</f>
        <v>44797</v>
      </c>
      <c r="U1359" s="98">
        <f ca="1"/>
        <v>8.0788070397813539E-3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3.0850006318165688E-3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6.0665895082153247E-3</v>
      </c>
      <c r="R1360" s="5" t="s">
        <v>4</v>
      </c>
      <c r="S1360" s="100">
        <f ca="1">_xll.meDateFromTenor(S1359,"1D","FOLLOWING",T$12)</f>
        <v>44433</v>
      </c>
      <c r="T1360" s="13">
        <f ca="1">_xll.meDateFromTenor(S1360,T$14,T$11,T$12)</f>
        <v>44798</v>
      </c>
      <c r="U1360" s="98">
        <f ca="1"/>
        <v>8.0862110887411753E-3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3.0927558867651448E-3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6.0743315354315538E-3</v>
      </c>
      <c r="R1361" s="5" t="s">
        <v>4</v>
      </c>
      <c r="S1361" s="100">
        <f ca="1">_xll.meDateFromTenor(S1360,"1D","FOLLOWING",T$12)</f>
        <v>44434</v>
      </c>
      <c r="T1361" s="13">
        <f ca="1">_xll.meDateFromTenor(S1361,T$14,T$11,T$12)</f>
        <v>44799</v>
      </c>
      <c r="U1361" s="98">
        <f ca="1"/>
        <v>8.0936148622766206E-3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3.1004884064172009E-3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6.0820768907891174E-3</v>
      </c>
      <c r="R1362" s="5" t="s">
        <v>4</v>
      </c>
      <c r="S1362" s="100">
        <f ca="1">_xll.meDateFromTenor(S1361,"1D","FOLLOWING",T$12)</f>
        <v>44435</v>
      </c>
      <c r="T1362" s="13">
        <f ca="1">_xll.meDateFromTenor(S1362,T$14,T$11,T$12)</f>
        <v>44802</v>
      </c>
      <c r="U1362" s="98">
        <f ca="1"/>
        <v>8.1010183574377458E-3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3.1235315440412384E-3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6.105333004891327E-3</v>
      </c>
      <c r="R1363" s="5" t="s">
        <v>4</v>
      </c>
      <c r="S1363" s="100">
        <f ca="1">_xll.meDateFromTenor(S1362,"1D","FOLLOWING",T$12)</f>
        <v>44438</v>
      </c>
      <c r="T1363" s="13">
        <f ca="1">_xll.meDateFromTenor(S1363,T$14,T$11,T$12)</f>
        <v>44803</v>
      </c>
      <c r="U1363" s="98">
        <f ca="1"/>
        <v>8.1232271431757597E-3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3.1311551129542085E-3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6.1130917519957454E-3</v>
      </c>
      <c r="R1364" s="5" t="s">
        <v>4</v>
      </c>
      <c r="S1364" s="100">
        <f ca="1">_xll.meDateFromTenor(S1363,"1D","FOLLOWING",T$12)</f>
        <v>44439</v>
      </c>
      <c r="T1364" s="13">
        <f ca="1">_xll.meDateFromTenor(S1364,T$14,T$11,T$12)</f>
        <v>44804</v>
      </c>
      <c r="U1364" s="98">
        <f ca="1"/>
        <v>8.1306294953401668E-3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3.1387469417941557E-3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6.1208538668322569E-3</v>
      </c>
      <c r="R1365" s="5" t="s">
        <v>4</v>
      </c>
      <c r="S1365" s="100">
        <f ca="1">_xll.meDateFromTenor(S1364,"1D","FOLLOWING",T$12)</f>
        <v>44440</v>
      </c>
      <c r="T1365" s="13">
        <f ca="1">_xll.meDateFromTenor(S1365,T$14,T$11,T$12)</f>
        <v>44805</v>
      </c>
      <c r="U1365" s="98">
        <f ca="1"/>
        <v>8.138031554380535E-3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3.1463052296057795E-3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6.1286193573190147E-3</v>
      </c>
      <c r="R1366" s="5" t="s">
        <v>4</v>
      </c>
      <c r="S1366" s="100">
        <f ca="1">_xll.meDateFromTenor(S1365,"1D","FOLLOWING",T$12)</f>
        <v>44441</v>
      </c>
      <c r="T1366" s="13">
        <f ca="1">_xll.meDateFromTenor(S1366,T$14,T$11,T$12)</f>
        <v>44806</v>
      </c>
      <c r="U1366" s="98">
        <f ca="1"/>
        <v>8.1454333173469218E-3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3.153828837349543E-3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6.1363882313741703E-3</v>
      </c>
      <c r="R1367" s="5" t="s">
        <v>4</v>
      </c>
      <c r="S1367" s="100">
        <f ca="1">_xll.meDateFromTenor(S1366,"1D","FOLLOWING",T$12)</f>
        <v>44442</v>
      </c>
      <c r="T1367" s="13">
        <f ca="1">_xll.meDateFromTenor(S1367,T$14,T$11,T$12)</f>
        <v>44809</v>
      </c>
      <c r="U1367" s="98">
        <f ca="1"/>
        <v>8.1528347812893798E-3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3.176209314071842E-3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6.1597152341315384E-3</v>
      </c>
      <c r="R1368" s="5" t="s">
        <v>4</v>
      </c>
      <c r="S1368" s="100">
        <f ca="1">_xll.meDateFromTenor(S1367,"1D","FOLLOWING",T$12)</f>
        <v>44445</v>
      </c>
      <c r="T1368" s="13">
        <f ca="1">_xll.meDateFromTenor(S1368,T$14,T$11,T$12)</f>
        <v>44810</v>
      </c>
      <c r="U1368" s="98">
        <f ca="1"/>
        <v>8.1750373494737551E-3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3.1836132592738668E-3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6.1674977216418072E-3</v>
      </c>
      <c r="R1369" s="5" t="s">
        <v>4</v>
      </c>
      <c r="S1369" s="100">
        <f ca="1">_xll.meDateFromTenor(S1368,"1D","FOLLOWING",T$12)</f>
        <v>44446</v>
      </c>
      <c r="T1369" s="13">
        <f ca="1">_xll.meDateFromTenor(S1369,T$14,T$11,T$12)</f>
        <v>44811</v>
      </c>
      <c r="U1369" s="98">
        <f ca="1"/>
        <v>8.1824375878210721E-3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3.1909927151886393E-3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6.1752836323112296E-3</v>
      </c>
      <c r="R1370" s="5" t="s">
        <v>4</v>
      </c>
      <c r="S1370" s="100">
        <f ca="1">_xll.meDateFromTenor(S1369,"1D","FOLLOWING",T$12)</f>
        <v>44447</v>
      </c>
      <c r="T1370" s="13">
        <f ca="1">_xll.meDateFromTenor(S1370,T$14,T$11,T$12)</f>
        <v>44812</v>
      </c>
      <c r="U1370" s="98">
        <f ca="1"/>
        <v>8.1898375123947379E-3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3.1983498523554419E-3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6.1830729740579623E-3</v>
      </c>
      <c r="R1371" s="5" t="s">
        <v>4</v>
      </c>
      <c r="S1371" s="100">
        <f ca="1">_xll.meDateFromTenor(S1370,"1D","FOLLOWING",T$12)</f>
        <v>44448</v>
      </c>
      <c r="T1371" s="13">
        <f ca="1">_xll.meDateFromTenor(S1371,T$14,T$11,T$12)</f>
        <v>44813</v>
      </c>
      <c r="U1371" s="98">
        <f ca="1"/>
        <v>8.1972371202448154E-3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3.2056868413135485E-3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6.1908657548001575E-3</v>
      </c>
      <c r="R1372" s="5" t="s">
        <v>4</v>
      </c>
      <c r="S1372" s="100">
        <f ca="1">_xll.meDateFromTenor(S1371,"1D","FOLLOWING",T$12)</f>
        <v>44449</v>
      </c>
      <c r="T1372" s="13">
        <f ca="1">_xll.meDateFromTenor(S1372,T$14,T$11,T$12)</f>
        <v>44816</v>
      </c>
      <c r="U1372" s="98">
        <f ca="1"/>
        <v>8.2046364084213605E-3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3.22759862432844E-3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6.2142648101810305E-3</v>
      </c>
      <c r="R1373" s="5" t="s">
        <v>4</v>
      </c>
      <c r="S1373" s="100">
        <f ca="1">_xll.meDateFromTenor(S1372,"1D","FOLLOWING",T$12)</f>
        <v>44452</v>
      </c>
      <c r="T1373" s="13">
        <f ca="1">_xll.meDateFromTenor(S1373,T$14,T$11,T$12)</f>
        <v>44817</v>
      </c>
      <c r="U1373" s="98">
        <f ca="1"/>
        <v>8.2268323254103565E-3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3.2348767258445123E-3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6.2220714260865914E-3</v>
      </c>
      <c r="R1374" s="5" t="s">
        <v>4</v>
      </c>
      <c r="S1374" s="100">
        <f ca="1">_xll.meDateFromTenor(S1373,"1D","FOLLOWING",T$12)</f>
        <v>44453</v>
      </c>
      <c r="T1374" s="13">
        <f ca="1">_xll.meDateFromTenor(S1374,T$14,T$11,T$12)</f>
        <v>44818</v>
      </c>
      <c r="U1374" s="98">
        <f ca="1"/>
        <v>8.2342303053933273E-3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3.2421455318482617E-3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6.2298815205783717E-3</v>
      </c>
      <c r="R1375" s="5" t="s">
        <v>4</v>
      </c>
      <c r="S1375" s="100">
        <f ca="1">_xll.meDateFromTenor(S1374,"1D","FOLLOWING",T$12)</f>
        <v>44454</v>
      </c>
      <c r="T1375" s="13">
        <f ca="1">_xll.meDateFromTenor(S1375,T$14,T$11,T$12)</f>
        <v>44819</v>
      </c>
      <c r="U1375" s="98">
        <f ca="1"/>
        <v>8.2416279509530434E-3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3.2494072128789707E-3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6.2376951015745306E-3</v>
      </c>
      <c r="R1376" s="5" t="s">
        <v>4</v>
      </c>
      <c r="S1376" s="100">
        <f ca="1">_xll.meDateFromTenor(S1375,"1D","FOLLOWING",T$12)</f>
        <v>44455</v>
      </c>
      <c r="T1376" s="13">
        <f ca="1">_xll.meDateFromTenor(S1376,T$14,T$11,T$12)</f>
        <v>44820</v>
      </c>
      <c r="U1376" s="98">
        <f ca="1"/>
        <v>8.249025259139571E-3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3.2566639394759054E-3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6.2455121769932108E-3</v>
      </c>
      <c r="R1377" s="5" t="s">
        <v>4</v>
      </c>
      <c r="S1377" s="100">
        <f ca="1">_xll.meDateFromTenor(S1376,"1D","FOLLOWING",T$12)</f>
        <v>44456</v>
      </c>
      <c r="T1377" s="13">
        <f ca="1">_xll.meDateFromTenor(S1377,T$14,T$11,T$12)</f>
        <v>44823</v>
      </c>
      <c r="U1377" s="98">
        <f ca="1"/>
        <v>8.2564222270029505E-3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3.2784260980568492E-3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6.268984448965927E-3</v>
      </c>
      <c r="R1378" s="5" t="s">
        <v>4</v>
      </c>
      <c r="S1378" s="100">
        <f ca="1">_xll.meDateFromTenor(S1377,"1D","FOLLOWING",T$12)</f>
        <v>44459</v>
      </c>
      <c r="T1378" s="13">
        <f ca="1">_xll.meDateFromTenor(S1378,T$14,T$11,T$12)</f>
        <v>44824</v>
      </c>
      <c r="U1378" s="98">
        <f ca="1"/>
        <v>8.2786110591548199E-3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3.2856847123114595E-3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6.2768155812562322E-3</v>
      </c>
      <c r="R1379" s="5" t="s">
        <v>4</v>
      </c>
      <c r="S1379" s="100">
        <f ca="1">_xll.meDateFromTenor(S1378,"1D","FOLLOWING",T$12)</f>
        <v>44460</v>
      </c>
      <c r="T1379" s="13">
        <f ca="1">_xll.meDateFromTenor(S1379,T$14,T$11,T$12)</f>
        <v>44825</v>
      </c>
      <c r="U1379" s="98">
        <f ca="1"/>
        <v>8.2860066362262039E-3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3.292949224828676E-3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6.2846502475598209E-3</v>
      </c>
      <c r="R1380" s="5" t="s">
        <v>4</v>
      </c>
      <c r="S1380" s="100">
        <f ca="1">_xll.meDateFromTenor(S1379,"1D","FOLLOWING",T$12)</f>
        <v>44461</v>
      </c>
      <c r="T1380" s="13">
        <f ca="1">_xll.meDateFromTenor(S1380,T$14,T$11,T$12)</f>
        <v>44826</v>
      </c>
      <c r="U1380" s="98">
        <f ca="1"/>
        <v>8.2934018582247297E-3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3.3002218061477743E-3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6.292488455794846E-3</v>
      </c>
      <c r="R1381" s="5" t="s">
        <v>4</v>
      </c>
      <c r="S1381" s="100">
        <f ca="1">_xll.meDateFromTenor(S1380,"1D","FOLLOWING",T$12)</f>
        <v>44462</v>
      </c>
      <c r="T1381" s="13">
        <f ca="1">_xll.meDateFromTenor(S1381,T$14,T$11,T$12)</f>
        <v>44827</v>
      </c>
      <c r="U1381" s="98">
        <f ca="1"/>
        <v>8.3007967222004497E-3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3.3075046268080267E-3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6.3003302138794591E-3</v>
      </c>
      <c r="R1382" s="5" t="s">
        <v>4</v>
      </c>
      <c r="S1382" s="100">
        <f ca="1">_xll.meDateFromTenor(S1381,"1D","FOLLOWING",T$12)</f>
        <v>44463</v>
      </c>
      <c r="T1382" s="13">
        <f ca="1">_xll.meDateFromTenor(S1382,T$14,T$11,T$12)</f>
        <v>44830</v>
      </c>
      <c r="U1382" s="98">
        <f ca="1"/>
        <v>8.3081912252034196E-3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3.3294362302284863E-3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6.3238768664123637E-3</v>
      </c>
      <c r="R1383" s="5" t="s">
        <v>4</v>
      </c>
      <c r="S1383" s="100">
        <f ca="1">_xll.meDateFromTenor(S1382,"1D","FOLLOWING",T$12)</f>
        <v>44466</v>
      </c>
      <c r="T1383" s="13">
        <f ca="1">_xll.meDateFromTenor(S1383,T$14,T$11,T$12)</f>
        <v>44831</v>
      </c>
      <c r="U1383" s="98">
        <f ca="1"/>
        <v>8.33037253887642E-3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3.3367817136461214E-3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6.3317329030768577E-3</v>
      </c>
      <c r="R1384" s="5" t="s">
        <v>4</v>
      </c>
      <c r="S1384" s="100">
        <f ca="1">_xll.meDateFromTenor(S1383,"1D","FOLLOWING",T$12)</f>
        <v>44467</v>
      </c>
      <c r="T1384" s="13">
        <f ca="1">_xll.meDateFromTenor(S1384,T$14,T$11,T$12)</f>
        <v>44832</v>
      </c>
      <c r="U1384" s="98">
        <f ca="1"/>
        <v>8.3377655684889664E-3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3.3441482891012897E-3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6.3395925291817E-3</v>
      </c>
      <c r="R1385" s="5" t="s">
        <v>4</v>
      </c>
      <c r="S1385" s="100">
        <f ca="1">_xll.meDateFromTenor(S1384,"1D","FOLLOWING",T$12)</f>
        <v>44468</v>
      </c>
      <c r="T1385" s="13">
        <f ca="1">_xll.meDateFromTenor(S1385,T$14,T$11,T$12)</f>
        <v>44833</v>
      </c>
      <c r="U1385" s="98">
        <f ca="1"/>
        <v>8.3451582223790476E-3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3.3515381271332664E-3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6.3474557526450454E-3</v>
      </c>
      <c r="R1386" s="5" t="s">
        <v>4</v>
      </c>
      <c r="S1386" s="100">
        <f ca="1">_xll.meDateFromTenor(S1385,"1D","FOLLOWING",T$12)</f>
        <v>44469</v>
      </c>
      <c r="T1386" s="13">
        <f ca="1">_xll.meDateFromTenor(S1386,T$14,T$11,T$12)</f>
        <v>44834</v>
      </c>
      <c r="U1386" s="98">
        <f ca="1"/>
        <v>8.3525504975967193E-3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3.3589533982813268E-3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6.3553225813850435E-3</v>
      </c>
      <c r="R1387" s="5" t="s">
        <v>4</v>
      </c>
      <c r="S1387" s="100">
        <f ca="1">_xll.meDateFromTenor(S1386,"1D","FOLLOWING",T$12)</f>
        <v>44470</v>
      </c>
      <c r="T1387" s="13">
        <f ca="1">_xll.meDateFromTenor(S1387,T$14,T$11,T$12)</f>
        <v>44837</v>
      </c>
      <c r="U1387" s="98">
        <f ca="1"/>
        <v>8.3599423911920358E-3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3.3813735158147637E-3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6.3789447784464749E-3</v>
      </c>
      <c r="R1388" s="5" t="s">
        <v>4</v>
      </c>
      <c r="S1388" s="100">
        <f ca="1">_xll.meDateFromTenor(S1387,"1D","FOLLOWING",T$12)</f>
        <v>44473</v>
      </c>
      <c r="T1388" s="13">
        <f ca="1">_xll.meDateFromTenor(S1388,T$14,T$11,T$12)</f>
        <v>44838</v>
      </c>
      <c r="U1388" s="98">
        <f ca="1"/>
        <v>8.3821157527444214E-3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3.3889116952885213E-3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6.3868261074746038E-3</v>
      </c>
      <c r="R1389" s="5" t="s">
        <v>4</v>
      </c>
      <c r="S1389" s="100">
        <f ca="1">_xll.meDateFromTenor(S1388,"1D","FOLLOWING",T$12)</f>
        <v>44474</v>
      </c>
      <c r="T1389" s="13">
        <f ca="1">_xll.meDateFromTenor(S1389,T$14,T$11,T$12)</f>
        <v>44839</v>
      </c>
      <c r="U1389" s="98">
        <f ca="1"/>
        <v>8.3895060903508827E-3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3.3964829833864141E-3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6.3947110813701467E-3</v>
      </c>
      <c r="R1390" s="5" t="s">
        <v>4</v>
      </c>
      <c r="S1390" s="100">
        <f ca="1">_xll.meDateFromTenor(S1389,"1D","FOLLOWING",T$12)</f>
        <v>44475</v>
      </c>
      <c r="T1390" s="13">
        <f ca="1">_xll.meDateFromTenor(S1390,T$14,T$11,T$12)</f>
        <v>44840</v>
      </c>
      <c r="U1390" s="98">
        <f ca="1"/>
        <v>8.3968960315852718E-3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3.4040863734593869E-3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6.4025997080512558E-3</v>
      </c>
      <c r="R1391" s="5" t="s">
        <v>4</v>
      </c>
      <c r="S1391" s="100">
        <f ca="1">_xll.meDateFromTenor(S1390,"1D","FOLLOWING",T$12)</f>
        <v>44476</v>
      </c>
      <c r="T1391" s="13">
        <f ca="1">_xll.meDateFromTenor(S1391,T$14,T$11,T$12)</f>
        <v>44841</v>
      </c>
      <c r="U1391" s="98">
        <f ca="1"/>
        <v>8.4042855734976444E-3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3.4117208588583877E-3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6.4104919954360833E-3</v>
      </c>
      <c r="R1392" s="5" t="s">
        <v>4</v>
      </c>
      <c r="S1392" s="100">
        <f ca="1">_xll.meDateFromTenor(S1391,"1D","FOLLOWING",T$12)</f>
        <v>44477</v>
      </c>
      <c r="T1392" s="13">
        <f ca="1">_xll.meDateFromTenor(S1392,T$14,T$11,T$12)</f>
        <v>44844</v>
      </c>
      <c r="U1392" s="98">
        <f ca="1"/>
        <v>8.4116747131380565E-3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3.434800820521037E-3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6.4341909009943861E-3</v>
      </c>
      <c r="R1393" s="5" t="s">
        <v>4</v>
      </c>
      <c r="S1393" s="100">
        <f ca="1">_xll.meDateFromTenor(S1392,"1D","FOLLOWING",T$12)</f>
        <v>44480</v>
      </c>
      <c r="T1393" s="13">
        <f ca="1">_xll.meDateFromTenor(S1393,T$14,T$11,T$12)</f>
        <v>44845</v>
      </c>
      <c r="U1393" s="98">
        <f ca="1"/>
        <v>8.4338396889280867E-3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3.4425496207336256E-3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6.4420979103755995E-3</v>
      </c>
      <c r="R1394" s="5" t="s">
        <v>4</v>
      </c>
      <c r="S1394" s="100">
        <f ca="1">_xll.meDateFromTenor(S1393,"1D","FOLLOWING",T$12)</f>
        <v>44481</v>
      </c>
      <c r="T1394" s="13">
        <f ca="1">_xll.meDateFromTenor(S1394,T$14,T$11,T$12)</f>
        <v>44846</v>
      </c>
      <c r="U1394" s="98">
        <f ca="1"/>
        <v>8.4412271899812139E-3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3.4503244830269854E-3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6.4500086200512943E-3</v>
      </c>
      <c r="R1395" s="5" t="s">
        <v>4</v>
      </c>
      <c r="S1395" s="100">
        <f ca="1">_xll.meDateFromTenor(S1394,"1D","FOLLOWING",T$12)</f>
        <v>44482</v>
      </c>
      <c r="T1395" s="13">
        <f ca="1">_xll.meDateFromTenor(S1395,T$14,T$11,T$12)</f>
        <v>44847</v>
      </c>
      <c r="U1395" s="98">
        <f ca="1"/>
        <v>8.4486142740126668E-3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3.4581244007520565E-3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6.4579230379396141E-3</v>
      </c>
      <c r="R1396" s="5" t="s">
        <v>4</v>
      </c>
      <c r="S1396" s="100">
        <f ca="1">_xll.meDateFromTenor(S1395,"1D","FOLLOWING",T$12)</f>
        <v>44483</v>
      </c>
      <c r="T1396" s="13">
        <f ca="1">_xll.meDateFromTenor(S1396,T$14,T$11,T$12)</f>
        <v>44848</v>
      </c>
      <c r="U1396" s="98">
        <f ca="1"/>
        <v>8.4560009380724929E-3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3.4659483672597915E-3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6.465841171958718E-3</v>
      </c>
      <c r="R1397" s="5" t="s">
        <v>4</v>
      </c>
      <c r="S1397" s="100">
        <f ca="1">_xll.meDateFromTenor(S1396,"1D","FOLLOWING",T$12)</f>
        <v>44484</v>
      </c>
      <c r="T1397" s="13">
        <f ca="1">_xll.meDateFromTenor(S1397,T$14,T$11,T$12)</f>
        <v>44851</v>
      </c>
      <c r="U1397" s="98">
        <f ca="1"/>
        <v>8.4633871792107514E-3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3.489554492988451E-3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6.4896179499822322E-3</v>
      </c>
      <c r="R1398" s="5" t="s">
        <v>4</v>
      </c>
      <c r="S1398" s="100">
        <f ca="1">_xll.meDateFromTenor(S1397,"1D","FOLLOWING",T$12)</f>
        <v>44487</v>
      </c>
      <c r="T1398" s="13">
        <f ca="1">_xll.meDateFromTenor(S1398,T$14,T$11,T$12)</f>
        <v>44852</v>
      </c>
      <c r="U1398" s="98">
        <f ca="1"/>
        <v>8.4855433355966823E-3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3.4974645881363136E-3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6.4975510277059806E-3</v>
      </c>
      <c r="R1399" s="5" t="s">
        <v>4</v>
      </c>
      <c r="S1399" s="100">
        <f ca="1">_xll.meDateFromTenor(S1398,"1D","FOLLOWING",T$12)</f>
        <v>44488</v>
      </c>
      <c r="T1399" s="13">
        <f ca="1">_xll.meDateFromTenor(S1399,T$14,T$11,T$12)</f>
        <v>44853</v>
      </c>
      <c r="U1399" s="98">
        <f ca="1"/>
        <v>8.4929278555492312E-3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3.5053936988215786E-3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6.5054878611512683E-3</v>
      </c>
      <c r="R1400" s="5" t="s">
        <v>4</v>
      </c>
      <c r="S1400" s="100">
        <f ca="1">_xll.meDateFromTenor(S1399,"1D","FOLLOWING",T$12)</f>
        <v>44489</v>
      </c>
      <c r="T1400" s="13">
        <f ca="1">_xll.meDateFromTenor(S1400,T$14,T$11,T$12)</f>
        <v>44854</v>
      </c>
      <c r="U1400" s="98">
        <f ca="1"/>
        <v>8.5003119378304955E-3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3.5133408183951895E-3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6.5134284582362475E-3</v>
      </c>
      <c r="R1401" s="5" t="s">
        <v>4</v>
      </c>
      <c r="S1401" s="100">
        <f ca="1">_xll.meDateFromTenor(S1400,"1D","FOLLOWING",T$12)</f>
        <v>44490</v>
      </c>
      <c r="T1401" s="13">
        <f ca="1">_xll.meDateFromTenor(S1401,T$14,T$11,T$12)</f>
        <v>44855</v>
      </c>
      <c r="U1401" s="98">
        <f ca="1"/>
        <v>8.5076955794905259E-3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3.5213049402081026E-3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6.5213728268790766E-3</v>
      </c>
      <c r="R1402" s="5" t="s">
        <v>4</v>
      </c>
      <c r="S1402" s="100">
        <f ca="1">_xll.meDateFromTenor(S1401,"1D","FOLLOWING",T$12)</f>
        <v>44491</v>
      </c>
      <c r="T1402" s="13">
        <f ca="1">_xll.meDateFromTenor(S1402,T$14,T$11,T$12)</f>
        <v>44858</v>
      </c>
      <c r="U1402" s="98">
        <f ca="1"/>
        <v>8.5150787775793851E-3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3.5452892525920932E-3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6.5452286413361458E-3</v>
      </c>
      <c r="R1403" s="5" t="s">
        <v>4</v>
      </c>
      <c r="S1403" s="100">
        <f ca="1">_xll.meDateFromTenor(S1402,"1D","FOLLOWING",T$12)</f>
        <v>44494</v>
      </c>
      <c r="T1403" s="13">
        <f ca="1">_xll.meDateFromTenor(S1403,T$14,T$11,T$12)</f>
        <v>44859</v>
      </c>
      <c r="U1403" s="98">
        <f ca="1"/>
        <v>8.5372256809194743E-3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3.5533113168716699E-3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6.5531881753918726E-3</v>
      </c>
      <c r="R1404" s="5" t="s">
        <v>4</v>
      </c>
      <c r="S1404" s="100">
        <f ca="1">_xll.meDateFromTenor(S1403,"1D","FOLLOWING",T$12)</f>
        <v>44495</v>
      </c>
      <c r="T1404" s="13">
        <f ca="1">_xll.meDateFromTenor(S1404,T$14,T$11,T$12)</f>
        <v>44860</v>
      </c>
      <c r="U1404" s="98">
        <f ca="1"/>
        <v>8.5446070752241959E-3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3.5613453501452826E-3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6.5611515205962045E-3</v>
      </c>
      <c r="R1405" s="5" t="s">
        <v>4</v>
      </c>
      <c r="S1405" s="100">
        <f ca="1">_xll.meDateFromTenor(S1404,"1D","FOLLOWING",T$12)</f>
        <v>44496</v>
      </c>
      <c r="T1405" s="13">
        <f ca="1">_xll.meDateFromTenor(S1405,T$14,T$11,T$12)</f>
        <v>44861</v>
      </c>
      <c r="U1405" s="98">
        <f ca="1"/>
        <v>8.551988011208024E-3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3.5693903457638789E-3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6.5691186848672927E-3</v>
      </c>
      <c r="R1406" s="5" t="s">
        <v>4</v>
      </c>
      <c r="S1406" s="100">
        <f ca="1">_xll.meDateFromTenor(S1405,"1D","FOLLOWING",T$12)</f>
        <v>44497</v>
      </c>
      <c r="T1406" s="13">
        <f ca="1">_xll.meDateFromTenor(S1406,T$14,T$11,T$12)</f>
        <v>44862</v>
      </c>
      <c r="U1406" s="98">
        <f ca="1"/>
        <v>8.5593684859210147E-3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3.5774452970784069E-3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6.5770896761232914E-3</v>
      </c>
      <c r="R1407" s="5" t="s">
        <v>4</v>
      </c>
      <c r="S1407" s="100">
        <f ca="1">_xll.meDateFromTenor(S1406,"1D","FOLLOWING",T$12)</f>
        <v>44498</v>
      </c>
      <c r="T1407" s="13">
        <f ca="1">_xll.meDateFromTenor(S1407,T$14,T$11,T$12)</f>
        <v>44865</v>
      </c>
      <c r="U1407" s="98">
        <f ca="1"/>
        <v>8.5667484964132255E-3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3.6016598187070545E-3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6.6010256909822566E-3</v>
      </c>
      <c r="R1408" s="5" t="s">
        <v>4</v>
      </c>
      <c r="S1408" s="100">
        <f ca="1">_xll.meDateFromTenor(S1407,"1D","FOLLOWING",T$12)</f>
        <v>44501</v>
      </c>
      <c r="T1408" s="13">
        <f ca="1">_xll.meDateFromTenor(S1408,T$14,T$11,T$12)</f>
        <v>44866</v>
      </c>
      <c r="U1408" s="98">
        <f ca="1"/>
        <v>8.5888857130657272E-3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3.6097445263147858E-3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6.6090120693594115E-3</v>
      </c>
      <c r="R1409" s="5" t="s">
        <v>4</v>
      </c>
      <c r="S1409" s="100">
        <f ca="1">_xll.meDateFromTenor(S1408,"1D","FOLLOWING",T$12)</f>
        <v>44502</v>
      </c>
      <c r="T1409" s="13">
        <f ca="1">_xll.meDateFromTenor(S1409,T$14,T$11,T$12)</f>
        <v>44867</v>
      </c>
      <c r="U1409" s="98">
        <f ca="1"/>
        <v>8.596263837175374E-3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3.6178341824054596E-3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6.6170023143122328E-3</v>
      </c>
      <c r="R1410" s="5" t="s">
        <v>4</v>
      </c>
      <c r="S1410" s="100">
        <f ca="1">_xll.meDateFromTenor(S1409,"1D","FOLLOWING",T$12)</f>
        <v>44503</v>
      </c>
      <c r="T1410" s="13">
        <f ca="1">_xll.meDateFromTenor(S1410,T$14,T$11,T$12)</f>
        <v>44868</v>
      </c>
      <c r="U1410" s="98">
        <f ca="1"/>
        <v>8.6036414823145186E-3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3.6259279104913825E-3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6.6249964337588762E-3</v>
      </c>
      <c r="R1411" s="5" t="s">
        <v>4</v>
      </c>
      <c r="S1411" s="100">
        <f ca="1">_xll.meDateFromTenor(S1410,"1D","FOLLOWING",T$12)</f>
        <v>44504</v>
      </c>
      <c r="T1411" s="13">
        <f ca="1">_xll.meDateFromTenor(S1411,T$14,T$11,T$12)</f>
        <v>44869</v>
      </c>
      <c r="U1411" s="98">
        <f ca="1"/>
        <v>8.6110186455332204E-3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3.6340248601171342E-3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6.6329944356174932E-3</v>
      </c>
      <c r="R1412" s="5" t="s">
        <v>4</v>
      </c>
      <c r="S1412" s="100">
        <f ca="1">_xll.meDateFromTenor(S1411,"1D","FOLLOWING",T$12)</f>
        <v>44505</v>
      </c>
      <c r="T1412" s="13">
        <f ca="1">_xll.meDateFromTenor(S1412,T$14,T$11,T$12)</f>
        <v>44872</v>
      </c>
      <c r="U1412" s="98">
        <f ca="1"/>
        <v>8.6183953238815336E-3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3.6583265336791447E-3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6.6570118148466979E-3</v>
      </c>
      <c r="R1413" s="5" t="s">
        <v>4</v>
      </c>
      <c r="S1413" s="100">
        <f ca="1">_xll.meDateFromTenor(S1412,"1D","FOLLOWING",T$12)</f>
        <v>44508</v>
      </c>
      <c r="T1413" s="13">
        <f ca="1">_xll.meDateFromTenor(S1413,T$14,T$11,T$12)</f>
        <v>44873</v>
      </c>
      <c r="U1413" s="98">
        <f ca="1"/>
        <v>8.6405224202047073E-3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3.666427864909999E-3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6.6650254255347253E-3</v>
      </c>
      <c r="R1414" s="5" t="s">
        <v>4</v>
      </c>
      <c r="S1414" s="100">
        <f ca="1">_xll.meDateFromTenor(S1413,"1D","FOLLOWING",T$12)</f>
        <v>44509</v>
      </c>
      <c r="T1414" s="13">
        <f ca="1">_xll.meDateFromTenor(S1414,T$14,T$11,T$12)</f>
        <v>44874</v>
      </c>
      <c r="U1414" s="98">
        <f ca="1"/>
        <v>8.6478971295720318E-3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3.6745281654035756E-3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6.6730429582254865E-3</v>
      </c>
      <c r="R1415" s="5" t="s">
        <v>4</v>
      </c>
      <c r="S1415" s="100">
        <f ca="1">_xll.meDateFromTenor(S1414,"1D","FOLLOWING",T$12)</f>
        <v>44510</v>
      </c>
      <c r="T1415" s="13">
        <f ca="1">_xll.meDateFromTenor(S1415,T$14,T$11,T$12)</f>
        <v>44875</v>
      </c>
      <c r="U1415" s="98">
        <f ca="1"/>
        <v>8.6552713393192472E-3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3.6826265847044555E-3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6.6810644208371321E-3</v>
      </c>
      <c r="R1416" s="5" t="s">
        <v>4</v>
      </c>
      <c r="S1416" s="100">
        <f ca="1">_xll.meDateFromTenor(S1415,"1D","FOLLOWING",T$12)</f>
        <v>44511</v>
      </c>
      <c r="T1416" s="13">
        <f ca="1">_xll.meDateFromTenor(S1416,T$14,T$11,T$12)</f>
        <v>44876</v>
      </c>
      <c r="U1416" s="98">
        <f ca="1"/>
        <v>8.662645046496411E-3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3.6907222723572154E-3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6.6890898212878143E-3</v>
      </c>
      <c r="R1417" s="5" t="s">
        <v>4</v>
      </c>
      <c r="S1417" s="100">
        <f ca="1">_xll.meDateFromTenor(S1416,"1D","FOLLOWING",T$12)</f>
        <v>44512</v>
      </c>
      <c r="T1417" s="13">
        <f ca="1">_xll.meDateFromTenor(S1417,T$14,T$11,T$12)</f>
        <v>44879</v>
      </c>
      <c r="U1417" s="98">
        <f ca="1"/>
        <v>8.6700182481535808E-3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3.7149844408725717E-3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6.7131897288556031E-3</v>
      </c>
      <c r="R1418" s="5" t="s">
        <v>4</v>
      </c>
      <c r="S1418" s="100">
        <f ca="1">_xll.meDateFromTenor(S1417,"1D","FOLLOWING",T$12)</f>
        <v>44515</v>
      </c>
      <c r="T1418" s="13">
        <f ca="1">_xll.meDateFromTenor(S1418,T$14,T$11,T$12)</f>
        <v>44880</v>
      </c>
      <c r="U1418" s="98">
        <f ca="1"/>
        <v>8.6921347905056841E-3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3.7230606973786455E-3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6.7212309598439525E-3</v>
      </c>
      <c r="R1419" s="5" t="s">
        <v>4</v>
      </c>
      <c r="S1419" s="100">
        <f ca="1">_xll.meDateFromTenor(S1418,"1D","FOLLOWING",T$12)</f>
        <v>44516</v>
      </c>
      <c r="T1419" s="13">
        <f ca="1">_xll.meDateFromTenor(S1419,T$14,T$11,T$12)</f>
        <v>44881</v>
      </c>
      <c r="U1419" s="98">
        <f ca="1"/>
        <v>8.6995059405834355E-3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3.7311299699594926E-3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6.7292761682620963E-3</v>
      </c>
      <c r="R1420" s="5" t="s">
        <v>4</v>
      </c>
      <c r="S1420" s="100">
        <f ca="1">_xll.meDateFromTenor(S1419,"1D","FOLLOWING",T$12)</f>
        <v>44517</v>
      </c>
      <c r="T1420" s="13">
        <f ca="1">_xll.meDateFromTenor(S1420,T$14,T$11,T$12)</f>
        <v>44882</v>
      </c>
      <c r="U1420" s="98">
        <f ca="1"/>
        <v>8.7068765703914707E-3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3.7391914081596964E-3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6.737325362028191E-3</v>
      </c>
      <c r="R1421" s="5" t="s">
        <v>4</v>
      </c>
      <c r="S1421" s="100">
        <f ca="1">_xll.meDateFromTenor(S1420,"1D","FOLLOWING",T$12)</f>
        <v>44518</v>
      </c>
      <c r="T1421" s="13">
        <f ca="1">_xll.meDateFromTenor(S1421,T$14,T$11,T$12)</f>
        <v>44883</v>
      </c>
      <c r="U1421" s="98">
        <f ca="1"/>
        <v>8.7142466769798508E-3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3.7472441615238345E-3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6.7453785490603872E-3</v>
      </c>
      <c r="R1422" s="5" t="s">
        <v>4</v>
      </c>
      <c r="S1422" s="100">
        <f ca="1">_xll.meDateFromTenor(S1421,"1D","FOLLOWING",T$12)</f>
        <v>44519</v>
      </c>
      <c r="T1422" s="13">
        <f ca="1">_xll.meDateFromTenor(S1422,T$14,T$11,T$12)</f>
        <v>44886</v>
      </c>
      <c r="U1422" s="98">
        <f ca="1"/>
        <v>8.7216162573986282E-3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3.7713418080456401E-3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6.7695621489350993E-3</v>
      </c>
      <c r="R1423" s="5" t="s">
        <v>4</v>
      </c>
      <c r="S1423" s="100">
        <f ca="1">_xll.meDateFromTenor(S1422,"1D","FOLLOWING",T$12)</f>
        <v>44522</v>
      </c>
      <c r="T1423" s="13">
        <f ca="1">_xll.meDateFromTenor(S1423,T$14,T$11,T$12)</f>
        <v>44887</v>
      </c>
      <c r="U1423" s="98">
        <f ca="1"/>
        <v>8.7437218121379154E-3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3.7793513175113031E-3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6.7776313882132178E-3</v>
      </c>
      <c r="R1424" s="5" t="s">
        <v>4</v>
      </c>
      <c r="S1424" s="100">
        <f ca="1">_xll.meDateFromTenor(S1423,"1D","FOLLOWING",T$12)</f>
        <v>44523</v>
      </c>
      <c r="T1424" s="13">
        <f ca="1">_xll.meDateFromTenor(S1424,T$14,T$11,T$12)</f>
        <v>44888</v>
      </c>
      <c r="U1424" s="98">
        <f ca="1"/>
        <v>8.7510892583788479E-3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3.7873478898637933E-3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6.7857046603481963E-3</v>
      </c>
      <c r="R1425" s="5" t="s">
        <v>4</v>
      </c>
      <c r="S1425" s="100">
        <f ca="1">_xll.meDateFromTenor(S1424,"1D","FOLLOWING",T$12)</f>
        <v>44524</v>
      </c>
      <c r="T1425" s="13">
        <f ca="1">_xll.meDateFromTenor(S1425,T$14,T$11,T$12)</f>
        <v>44889</v>
      </c>
      <c r="U1425" s="98">
        <f ca="1"/>
        <v>8.7584561637004607E-3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3.7953306746476918E-3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6.7937819732581889E-3</v>
      </c>
      <c r="R1426" s="5" t="s">
        <v>4</v>
      </c>
      <c r="S1426" s="100">
        <f ca="1">_xll.meDateFromTenor(S1425,"1D","FOLLOWING",T$12)</f>
        <v>44525</v>
      </c>
      <c r="T1426" s="13">
        <f ca="1">_xll.meDateFromTenor(S1426,T$14,T$11,T$12)</f>
        <v>44890</v>
      </c>
      <c r="U1426" s="98">
        <f ca="1"/>
        <v>8.7658225251528079E-3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3.803298821407574E-3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6.8018633348613427E-3</v>
      </c>
      <c r="R1427" s="5" t="s">
        <v>4</v>
      </c>
      <c r="S1427" s="100">
        <f ca="1">_xll.meDateFromTenor(S1426,"1D","FOLLOWING",T$12)</f>
        <v>44526</v>
      </c>
      <c r="T1427" s="13">
        <f ca="1">_xll.meDateFromTenor(S1427,T$14,T$11,T$12)</f>
        <v>44893</v>
      </c>
      <c r="U1427" s="98">
        <f ca="1"/>
        <v>8.7731883397859454E-3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3.8271069289889359E-3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6.8261317910113199E-3</v>
      </c>
      <c r="R1428" s="5" t="s">
        <v>4</v>
      </c>
      <c r="S1428" s="100">
        <f ca="1">_xll.meDateFromTenor(S1427,"1D","FOLLOWING",T$12)</f>
        <v>44529</v>
      </c>
      <c r="T1428" s="13">
        <f ca="1">_xll.meDateFromTenor(S1428,T$14,T$11,T$12)</f>
        <v>44894</v>
      </c>
      <c r="U1428" s="98">
        <f ca="1"/>
        <v>8.7952824732706707E-3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3.8350080190985556E-3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6.8342294265686552E-3</v>
      </c>
      <c r="R1429" s="5" t="s">
        <v>4</v>
      </c>
      <c r="S1429" s="100">
        <f ca="1">_xll.meDateFromTenor(S1428,"1D","FOLLOWING",T$12)</f>
        <v>44530</v>
      </c>
      <c r="T1429" s="13">
        <f ca="1">_xll.meDateFromTenor(S1429,T$14,T$11,T$12)</f>
        <v>44895</v>
      </c>
      <c r="U1429" s="98">
        <f ca="1"/>
        <v>8.8026460711275387E-3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3.8428902189070568E-3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6.8423311504099147E-3</v>
      </c>
      <c r="R1430" s="5" t="s">
        <v>4</v>
      </c>
      <c r="S1430" s="100">
        <f ca="1">_xll.meDateFromTenor(S1429,"1D","FOLLOWING",T$12)</f>
        <v>44531</v>
      </c>
      <c r="T1430" s="13">
        <f ca="1">_xll.meDateFromTenor(S1430,T$14,T$11,T$12)</f>
        <v>44896</v>
      </c>
      <c r="U1430" s="98">
        <f ca="1"/>
        <v>8.8100091074154764E-3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3.8507526779590182E-3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6.8504369704532504E-3</v>
      </c>
      <c r="R1431" s="5" t="s">
        <v>4</v>
      </c>
      <c r="S1431" s="100">
        <f ca="1">_xll.meDateFromTenor(S1430,"1D","FOLLOWING",T$12)</f>
        <v>44532</v>
      </c>
      <c r="T1431" s="13">
        <f ca="1">_xll.meDateFromTenor(S1431,T$14,T$11,T$12)</f>
        <v>44897</v>
      </c>
      <c r="U1431" s="98">
        <f ca="1"/>
        <v>8.8173715791845433E-3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3.8585947243578119E-3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6.8585468865439434E-3</v>
      </c>
      <c r="R1432" s="5" t="s">
        <v>4</v>
      </c>
      <c r="S1432" s="100">
        <f ca="1">_xll.meDateFromTenor(S1431,"1D","FOLLOWING",T$12)</f>
        <v>44533</v>
      </c>
      <c r="T1432" s="13">
        <f ca="1">_xll.meDateFromTenor(S1432,T$14,T$11,T$12)</f>
        <v>44900</v>
      </c>
      <c r="U1432" s="98">
        <f ca="1"/>
        <v>8.8247334834847951E-3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3.8819995252558381E-3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6.8829008543466056E-3</v>
      </c>
      <c r="R1433" s="5" t="s">
        <v>4</v>
      </c>
      <c r="S1433" s="100">
        <f ca="1">_xll.meDateFromTenor(S1432,"1D","FOLLOWING",T$12)</f>
        <v>44536</v>
      </c>
      <c r="T1433" s="13">
        <f ca="1">_xll.meDateFromTenor(S1433,T$14,T$11,T$12)</f>
        <v>44901</v>
      </c>
      <c r="U1433" s="98">
        <f ca="1"/>
        <v>8.8468157620732162E-3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3.8897614157802E-3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6.8910267817274291E-3</v>
      </c>
      <c r="R1434" s="5" t="s">
        <v>4</v>
      </c>
      <c r="S1434" s="100">
        <f ca="1">_xll.meDateFromTenor(S1433,"1D","FOLLOWING",T$12)</f>
        <v>44537</v>
      </c>
      <c r="T1434" s="13">
        <f ca="1">_xll.meDateFromTenor(S1434,T$14,T$11,T$12)</f>
        <v>44902</v>
      </c>
      <c r="U1434" s="98">
        <f ca="1"/>
        <v>8.8541753669987688E-3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3.8975038195793077E-3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6.8991566106330875E-3</v>
      </c>
      <c r="R1435" s="5" t="s">
        <v>4</v>
      </c>
      <c r="S1435" s="100">
        <f ca="1">_xll.meDateFromTenor(S1434,"1D","FOLLOWING",T$12)</f>
        <v>44538</v>
      </c>
      <c r="T1435" s="13">
        <f ca="1">_xll.meDateFromTenor(S1435,T$14,T$11,T$12)</f>
        <v>44903</v>
      </c>
      <c r="U1435" s="98">
        <f ca="1"/>
        <v>8.8615343897057875E-3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3.9052269575505006E-3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6.9072903005445042E-3</v>
      </c>
      <c r="R1436" s="5" t="s">
        <v>4</v>
      </c>
      <c r="S1436" s="100">
        <f ca="1">_xll.meDateFromTenor(S1435,"1D","FOLLOWING",T$12)</f>
        <v>44539</v>
      </c>
      <c r="T1436" s="13">
        <f ca="1">_xll.meDateFromTenor(S1436,T$14,T$11,T$12)</f>
        <v>44904</v>
      </c>
      <c r="U1436" s="98">
        <f ca="1"/>
        <v>8.8688928272443249E-3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3.9129310505911213E-3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6.9154278109426013E-3</v>
      </c>
      <c r="R1437" s="5" t="s">
        <v>4</v>
      </c>
      <c r="S1437" s="100">
        <f ca="1">_xll.meDateFromTenor(S1436,"1D","FOLLOWING",T$12)</f>
        <v>44540</v>
      </c>
      <c r="T1437" s="13">
        <f ca="1">_xll.meDateFromTenor(S1437,T$14,T$11,T$12)</f>
        <v>44907</v>
      </c>
      <c r="U1437" s="98">
        <f ca="1"/>
        <v>8.8762506766644437E-3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3.9359312691029588E-3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6.9398628598661832E-3</v>
      </c>
      <c r="R1438" s="5" t="s">
        <v>4</v>
      </c>
      <c r="S1438" s="100">
        <f ca="1">_xll.meDateFromTenor(S1437,"1D","FOLLOWING",T$12)</f>
        <v>44543</v>
      </c>
      <c r="T1438" s="13">
        <f ca="1">_xll.meDateFromTenor(S1438,T$14,T$11,T$12)</f>
        <v>44908</v>
      </c>
      <c r="U1438" s="98">
        <f ca="1"/>
        <v>8.8983206667148217E-3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3.9435613913946978E-3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6.9480152470202108E-3</v>
      </c>
      <c r="R1439" s="5" t="s">
        <v>4</v>
      </c>
      <c r="S1439" s="100">
        <f ca="1">_xll.meDateFromTenor(S1438,"1D","FOLLOWING",T$12)</f>
        <v>44544</v>
      </c>
      <c r="T1439" s="13">
        <f ca="1">_xll.meDateFromTenor(S1439,T$14,T$11,T$12)</f>
        <v>44909</v>
      </c>
      <c r="U1439" s="98">
        <f ca="1"/>
        <v>8.9056761341618097E-3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3.9511735732425729E-3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6.9561712520655287E-3</v>
      </c>
      <c r="R1440" s="5" t="s">
        <v>4</v>
      </c>
      <c r="S1440" s="100">
        <f ca="1">_xll.meDateFromTenor(S1439,"1D","FOLLOWING",T$12)</f>
        <v>44545</v>
      </c>
      <c r="T1440" s="13">
        <f ca="1">_xll.meDateFromTenor(S1440,T$14,T$11,T$12)</f>
        <v>44910</v>
      </c>
      <c r="U1440" s="98">
        <f ca="1"/>
        <v>8.9130309987406568E-3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3.9587680355439216E-3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6.9643308344830542E-3</v>
      </c>
      <c r="R1441" s="5" t="s">
        <v>4</v>
      </c>
      <c r="S1441" s="100">
        <f ca="1">_xll.meDateFromTenor(S1440,"1D","FOLLOWING",T$12)</f>
        <v>44546</v>
      </c>
      <c r="T1441" s="13">
        <f ca="1">_xll.meDateFromTenor(S1441,T$14,T$11,T$12)</f>
        <v>44911</v>
      </c>
      <c r="U1441" s="98">
        <f ca="1"/>
        <v>8.9203852575014189E-3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3.9663449991960871E-3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6.9724939537537103E-3</v>
      </c>
      <c r="R1442" s="5" t="s">
        <v>4</v>
      </c>
      <c r="S1442" s="100">
        <f ca="1">_xll.meDateFromTenor(S1441,"1D","FOLLOWING",T$12)</f>
        <v>44547</v>
      </c>
      <c r="T1442" s="13">
        <f ca="1">_xll.meDateFromTenor(S1442,T$14,T$11,T$12)</f>
        <v>44914</v>
      </c>
      <c r="U1442" s="98">
        <f ca="1"/>
        <v>8.9277389074941538E-3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3.9889731072308855E-3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6.9970041274936782E-3</v>
      </c>
      <c r="R1443" s="5" t="s">
        <v>4</v>
      </c>
      <c r="S1443" s="100">
        <f ca="1">_xll.meDateFromTenor(S1442,"1D","FOLLOWING",T$12)</f>
        <v>44550</v>
      </c>
      <c r="T1443" s="13">
        <f ca="1">_xll.meDateFromTenor(S1443,T$14,T$11,T$12)</f>
        <v>44915</v>
      </c>
      <c r="U1443" s="98">
        <f ca="1"/>
        <v>8.949796175364743E-3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3.9964822852597238E-3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7.0051809889860707E-3</v>
      </c>
      <c r="R1444" s="5" t="s">
        <v>4</v>
      </c>
      <c r="S1444" s="100">
        <f ca="1">_xll.meDateFromTenor(S1443,"1D","FOLLOWING",T$12)</f>
        <v>44551</v>
      </c>
      <c r="T1444" s="13">
        <f ca="1">_xll.meDateFromTenor(S1444,T$14,T$11,T$12)</f>
        <v>44916</v>
      </c>
      <c r="U1444" s="98">
        <f ca="1"/>
        <v>8.9571473607859223E-3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4.0039750691260832E-3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7.013361184736203E-3</v>
      </c>
      <c r="R1445" s="5" t="s">
        <v>4</v>
      </c>
      <c r="S1445" s="100">
        <f ca="1">_xll.meDateFromTenor(S1444,"1D","FOLLOWING",T$12)</f>
        <v>44552</v>
      </c>
      <c r="T1445" s="13">
        <f ca="1">_xll.meDateFromTenor(S1445,T$14,T$11,T$12)</f>
        <v>44917</v>
      </c>
      <c r="U1445" s="98">
        <f ca="1"/>
        <v>8.9644979226893538E-3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4.0114516797273032E-3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7.021544674224992E-3</v>
      </c>
      <c r="R1446" s="5" t="s">
        <v>4</v>
      </c>
      <c r="S1446" s="100">
        <f ca="1">_xll.meDateFromTenor(S1445,"1D","FOLLOWING",T$12)</f>
        <v>44553</v>
      </c>
      <c r="T1446" s="13">
        <f ca="1">_xll.meDateFromTenor(S1446,T$14,T$11,T$12)</f>
        <v>44918</v>
      </c>
      <c r="U1446" s="98">
        <f ca="1"/>
        <v>8.9718478581250916E-3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4.0189123379607301E-3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7.0297314169333646E-3</v>
      </c>
      <c r="R1447" s="5" t="s">
        <v>4</v>
      </c>
      <c r="S1447" s="100">
        <f ca="1">_xll.meDateFromTenor(S1446,"1D","FOLLOWING",T$12)</f>
        <v>44554</v>
      </c>
      <c r="T1447" s="13">
        <f ca="1">_xll.meDateFromTenor(S1447,T$14,T$11,T$12)</f>
        <v>44922</v>
      </c>
      <c r="U1447" s="98">
        <f ca="1"/>
        <v>8.9791971641431951E-3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4.0412008074276421E-3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7.0543107591851889E-3</v>
      </c>
      <c r="R1448" s="5" t="s">
        <v>4</v>
      </c>
      <c r="S1448" s="100">
        <f ca="1">_xll.meDateFromTenor(S1447,"1D","FOLLOWING",T$12)</f>
        <v>44557</v>
      </c>
      <c r="T1448" s="13">
        <f ca="1">_xll.meDateFromTenor(S1448,T$14,T$11,T$12)</f>
        <v>44922</v>
      </c>
      <c r="U1448" s="98">
        <f ca="1"/>
        <v>9.0012412761922497E-3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4.0485998651632951E-3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7.0625101095811021E-3</v>
      </c>
      <c r="R1449" s="5" t="s">
        <v>4</v>
      </c>
      <c r="S1449" s="100">
        <f ca="1">_xll.meDateFromTenor(S1448,"1D","FOLLOWING",T$12)</f>
        <v>44558</v>
      </c>
      <c r="T1449" s="13">
        <f ca="1">_xll.meDateFromTenor(S1449,T$14,T$11,T$12)</f>
        <v>44923</v>
      </c>
      <c r="U1449" s="98">
        <f ca="1"/>
        <v>9.008588035040373E-3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4.0559840750178577E-3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7.0707125106012044E-3</v>
      </c>
      <c r="R1450" s="5" t="s">
        <v>4</v>
      </c>
      <c r="S1450" s="100">
        <f ca="1">_xll.meDateFromTenor(S1449,"1D","FOLLOWING",T$12)</f>
        <v>44559</v>
      </c>
      <c r="T1450" s="13">
        <f ca="1">_xll.meDateFromTenor(S1450,T$14,T$11,T$12)</f>
        <v>44924</v>
      </c>
      <c r="U1450" s="98">
        <f ca="1"/>
        <v>9.0159341497211398E-3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4.0633536578886702E-3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7.0789179217264188E-3</v>
      </c>
      <c r="R1451" s="5" t="s">
        <v>4</v>
      </c>
      <c r="S1451" s="100">
        <f ca="1">_xll.meDateFromTenor(S1450,"1D","FOLLOWING",T$12)</f>
        <v>44560</v>
      </c>
      <c r="T1451" s="13">
        <f ca="1">_xll.meDateFromTenor(S1451,T$14,T$11,T$12)</f>
        <v>44925</v>
      </c>
      <c r="U1451" s="98">
        <f ca="1"/>
        <v>9.0232796172846075E-3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4.0707088346730756E-3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7.0871263024376643E-3</v>
      </c>
      <c r="R1452" s="5" t="s">
        <v>4</v>
      </c>
      <c r="S1452" s="100">
        <f ca="1">_xll.meDateFromTenor(S1451,"1D","FOLLOWING",T$12)</f>
        <v>44561</v>
      </c>
      <c r="T1452" s="13">
        <f ca="1">_xll.meDateFromTenor(S1452,T$14,T$11,T$12)</f>
        <v>44925</v>
      </c>
      <c r="U1452" s="98">
        <f ca="1"/>
        <v>9.0306244347808321E-3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4.0926901374812516E-3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7.1117688568968079E-3</v>
      </c>
      <c r="R1453" s="5" t="s">
        <v>4</v>
      </c>
      <c r="S1453" s="100">
        <f ca="1">_xll.meDateFromTenor(S1452,"1D","FOLLOWING",T$12)</f>
        <v>44564</v>
      </c>
      <c r="T1453" s="13">
        <f ca="1">_xll.meDateFromTenor(S1453,T$14,T$11,T$12)</f>
        <v>44929</v>
      </c>
      <c r="U1453" s="98">
        <f ca="1"/>
        <v>9.0526549573666116E-3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4.0999903854725649E-3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7.1199887107613992E-3</v>
      </c>
      <c r="R1454" s="5" t="s">
        <v>4</v>
      </c>
      <c r="S1454" s="100">
        <f ca="1">_xll.meDateFromTenor(S1453,"1D","FOLLOWING",T$12)</f>
        <v>44565</v>
      </c>
      <c r="T1454" s="13">
        <f ca="1">_xll.meDateFromTenor(S1454,T$14,T$11,T$12)</f>
        <v>44930</v>
      </c>
      <c r="U1454" s="98">
        <f ca="1"/>
        <v>9.059997145094428E-3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4.1072802513389519E-3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7.1282113316166297E-3</v>
      </c>
      <c r="R1455" s="5" t="s">
        <v>4</v>
      </c>
      <c r="S1455" s="100">
        <f ca="1">_xll.meDateFromTenor(S1454,"1D","FOLLOWING",T$12)</f>
        <v>44566</v>
      </c>
      <c r="T1455" s="13">
        <f ca="1">_xll.meDateFromTenor(S1455,T$14,T$11,T$12)</f>
        <v>44931</v>
      </c>
      <c r="U1455" s="98">
        <f ca="1"/>
        <v>9.0673386680052825E-3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4.1145628754525251E-3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7.1364366789434218E-3</v>
      </c>
      <c r="R1456" s="5" t="s">
        <v>4</v>
      </c>
      <c r="S1456" s="100">
        <f ca="1">_xll.meDateFromTenor(S1455,"1D","FOLLOWING",T$12)</f>
        <v>44567</v>
      </c>
      <c r="T1456" s="13">
        <f ca="1">_xll.meDateFromTenor(S1456,T$14,T$11,T$12)</f>
        <v>44932</v>
      </c>
      <c r="U1456" s="98">
        <f ca="1"/>
        <v>9.074679523149231E-3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4.1218413981854041E-3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7.1446647122226968E-3</v>
      </c>
      <c r="R1457" s="5" t="s">
        <v>4</v>
      </c>
      <c r="S1457" s="100">
        <f ca="1">_xll.meDateFromTenor(S1456,"1D","FOLLOWING",T$12)</f>
        <v>44568</v>
      </c>
      <c r="T1457" s="13">
        <f ca="1">_xll.meDateFromTenor(S1457,T$14,T$11,T$12)</f>
        <v>44935</v>
      </c>
      <c r="U1457" s="98">
        <f ca="1"/>
        <v>9.0820197075763293E-3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4.143683761821019E-3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7.1693645225846354E-3</v>
      </c>
      <c r="R1458" s="5" t="s">
        <v>4</v>
      </c>
      <c r="S1458" s="100">
        <f ca="1">_xll.meDateFromTenor(S1457,"1D","FOLLOWING",T$12)</f>
        <v>44571</v>
      </c>
      <c r="T1458" s="13">
        <f ca="1">_xll.meDateFromTenor(S1458,T$14,T$11,T$12)</f>
        <v>44936</v>
      </c>
      <c r="U1458" s="98">
        <f ca="1"/>
        <v>9.1040362070570879E-3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4.1509772827522705E-3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7.1776028944830587E-3</v>
      </c>
      <c r="R1459" s="5" t="s">
        <v>4</v>
      </c>
      <c r="S1459" s="100">
        <f ca="1">_xll.meDateFromTenor(S1458,"1D","FOLLOWING",T$12)</f>
        <v>44572</v>
      </c>
      <c r="T1459" s="13">
        <f ca="1">_xll.meDateFromTenor(S1459,T$14,T$11,T$12)</f>
        <v>44937</v>
      </c>
      <c r="U1459" s="98">
        <f ca="1"/>
        <v>9.1113736791173534E-3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4.1582824041634069E-3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7.1858437497385741E-3</v>
      </c>
      <c r="R1460" s="5" t="s">
        <v>4</v>
      </c>
      <c r="S1460" s="100">
        <f ca="1">_xll.meDateFromTenor(S1459,"1D","FOLLOWING",T$12)</f>
        <v>44573</v>
      </c>
      <c r="T1460" s="13">
        <f ca="1">_xll.meDateFromTenor(S1460,T$14,T$11,T$12)</f>
        <v>44938</v>
      </c>
      <c r="U1460" s="98">
        <f ca="1"/>
        <v>9.1187104657110465E-3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4.1656022664265414E-3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7.1940870478321012E-3</v>
      </c>
      <c r="R1461" s="5" t="s">
        <v>4</v>
      </c>
      <c r="S1461" s="100">
        <f ca="1">_xll.meDateFromTenor(S1460,"1D","FOLLOWING",T$12)</f>
        <v>44574</v>
      </c>
      <c r="T1461" s="13">
        <f ca="1">_xll.meDateFromTenor(S1461,T$14,T$11,T$12)</f>
        <v>44939</v>
      </c>
      <c r="U1461" s="98">
        <f ca="1"/>
        <v>9.1260465638882283E-3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4.1729400099137903E-3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7.2023327482445632E-3</v>
      </c>
      <c r="R1462" s="5" t="s">
        <v>4</v>
      </c>
      <c r="S1462" s="100">
        <f ca="1">_xll.meDateFromTenor(S1461,"1D","FOLLOWING",T$12)</f>
        <v>44575</v>
      </c>
      <c r="T1462" s="13">
        <f ca="1">_xll.meDateFromTenor(S1462,T$14,T$11,T$12)</f>
        <v>44942</v>
      </c>
      <c r="U1462" s="98">
        <f ca="1"/>
        <v>9.133381970698953E-3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4.1950919314413838E-3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7.2270838582047664E-3</v>
      </c>
      <c r="R1463" s="5" t="s">
        <v>4</v>
      </c>
      <c r="S1463" s="100">
        <f ca="1">_xll.meDateFromTenor(S1462,"1D","FOLLOWING",T$12)</f>
        <v>44578</v>
      </c>
      <c r="T1463" s="13">
        <f ca="1">_xll.meDateFromTenor(S1463,T$14,T$11,T$12)</f>
        <v>44943</v>
      </c>
      <c r="U1463" s="98">
        <f ca="1"/>
        <v>9.1553840134329517E-3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4.2025326035462487E-3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7.2353387627021801E-3</v>
      </c>
      <c r="R1464" s="5" t="s">
        <v>4</v>
      </c>
      <c r="S1464" s="100">
        <f ca="1">_xll.meDateFromTenor(S1463,"1D","FOLLOWING",T$12)</f>
        <v>44579</v>
      </c>
      <c r="T1464" s="13">
        <f ca="1">_xll.meDateFromTenor(S1464,T$14,T$11,T$12)</f>
        <v>44944</v>
      </c>
      <c r="U1464" s="98">
        <f ca="1"/>
        <v>9.1627166252784137E-3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4.2100068587358043E-3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7.2435958669231316E-3</v>
      </c>
      <c r="R1465" s="5" t="s">
        <v>4</v>
      </c>
      <c r="S1465" s="100">
        <f ca="1">_xll.meDateFromTenor(S1464,"1D","FOLLOWING",T$12)</f>
        <v>44580</v>
      </c>
      <c r="T1465" s="13">
        <f ca="1">_xll.meDateFromTenor(S1465,T$14,T$11,T$12)</f>
        <v>44945</v>
      </c>
      <c r="U1465" s="98">
        <f ca="1"/>
        <v>9.1700485310076962E-3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4.2175178373821736E-3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7.2518551303485503E-3</v>
      </c>
      <c r="R1466" s="5" t="s">
        <v>4</v>
      </c>
      <c r="S1466" s="100">
        <f ca="1">_xll.meDateFromTenor(S1465,"1D","FOLLOWING",T$12)</f>
        <v>44581</v>
      </c>
      <c r="T1466" s="13">
        <f ca="1">_xll.meDateFromTenor(S1466,T$14,T$11,T$12)</f>
        <v>44946</v>
      </c>
      <c r="U1466" s="98">
        <f ca="1"/>
        <v>9.1773797276708639E-3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4.2250686798574674E-3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7.2601165124593541E-3</v>
      </c>
      <c r="R1467" s="5" t="s">
        <v>4</v>
      </c>
      <c r="S1467" s="100">
        <f ca="1">_xll.meDateFromTenor(S1466,"1D","FOLLOWING",T$12)</f>
        <v>44582</v>
      </c>
      <c r="T1467" s="13">
        <f ca="1">_xll.meDateFromTenor(S1467,T$14,T$11,T$12)</f>
        <v>44949</v>
      </c>
      <c r="U1467" s="98">
        <f ca="1"/>
        <v>9.1847102123179675E-3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4.2479917939780574E-3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7.2849129657132925E-3</v>
      </c>
      <c r="R1468" s="5" t="s">
        <v>4</v>
      </c>
      <c r="S1468" s="100">
        <f ca="1">_xll.meDateFromTenor(S1467,"1D","FOLLOWING",T$12)</f>
        <v>44585</v>
      </c>
      <c r="T1468" s="13">
        <f ca="1">_xll.meDateFromTenor(S1468,T$14,T$11,T$12)</f>
        <v>44950</v>
      </c>
      <c r="U1468" s="98">
        <f ca="1"/>
        <v>9.2066973646634607E-3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4.2557334954902108E-3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7.2931824173748504E-3</v>
      </c>
      <c r="R1469" s="5" t="s">
        <v>4</v>
      </c>
      <c r="S1469" s="100">
        <f ca="1">_xll.meDateFromTenor(S1468,"1D","FOLLOWING",T$12)</f>
        <v>44586</v>
      </c>
      <c r="T1469" s="13">
        <f ca="1">_xll.meDateFromTenor(S1469,T$14,T$11,T$12)</f>
        <v>44951</v>
      </c>
      <c r="U1469" s="98">
        <f ca="1"/>
        <v>9.2140249717468734E-3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4.2635307626918677E-3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7.3014537851264043E-3</v>
      </c>
      <c r="R1470" s="5" t="s">
        <v>4</v>
      </c>
      <c r="S1470" s="100">
        <f ca="1">_xll.meDateFromTenor(S1469,"1D","FOLLOWING",T$12)</f>
        <v>44587</v>
      </c>
      <c r="T1470" s="13">
        <f ca="1">_xll.meDateFromTenor(S1470,T$14,T$11,T$12)</f>
        <v>44952</v>
      </c>
      <c r="U1470" s="98">
        <f ca="1"/>
        <v>9.2213518520645032E-3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4.2713867359551443E-3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7.3097270284488694E-3</v>
      </c>
      <c r="R1471" s="5" t="s">
        <v>4</v>
      </c>
      <c r="S1471" s="100">
        <f ca="1">_xll.meDateFromTenor(S1470,"1D","FOLLOWING",T$12)</f>
        <v>44588</v>
      </c>
      <c r="T1471" s="13">
        <f ca="1">_xll.meDateFromTenor(S1471,T$14,T$11,T$12)</f>
        <v>44953</v>
      </c>
      <c r="U1471" s="98">
        <f ca="1"/>
        <v>9.2286780026664093E-3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4.2793045556521548E-3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7.3180021068231698E-3</v>
      </c>
      <c r="R1472" s="5" t="s">
        <v>4</v>
      </c>
      <c r="S1472" s="100">
        <f ca="1">_xll.meDateFromTenor(S1471,"1D","FOLLOWING",T$12)</f>
        <v>44589</v>
      </c>
      <c r="T1472" s="13">
        <f ca="1">_xll.meDateFromTenor(S1472,T$14,T$11,T$12)</f>
        <v>44956</v>
      </c>
      <c r="U1472" s="98">
        <f ca="1"/>
        <v>9.2360034206026408E-3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4.3034604970667665E-3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7.3428379470663087E-3</v>
      </c>
      <c r="R1473" s="5" t="s">
        <v>4</v>
      </c>
      <c r="S1473" s="100">
        <f ca="1">_xll.meDateFromTenor(S1472,"1D","FOLLOWING",T$12)</f>
        <v>44592</v>
      </c>
      <c r="T1473" s="13">
        <f ca="1">_xll.meDateFromTenor(S1473,T$14,T$11,T$12)</f>
        <v>44957</v>
      </c>
      <c r="U1473" s="98">
        <f ca="1"/>
        <v>9.2579752489178845E-3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4.311657106219881E-3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7.3511199604571701E-3</v>
      </c>
      <c r="R1474" s="5" t="s">
        <v>4</v>
      </c>
      <c r="S1474" s="100">
        <f ca="1">_xll.meDateFromTenor(S1473,"1D","FOLLOWING",T$12)</f>
        <v>44593</v>
      </c>
      <c r="T1474" s="13">
        <f ca="1">_xll.meDateFromTenor(S1474,T$14,T$11,T$12)</f>
        <v>44958</v>
      </c>
      <c r="U1474" s="98">
        <f ca="1"/>
        <v>9.2652977066920005E-3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4.3199312636673093E-3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7.3594036063044758E-3</v>
      </c>
      <c r="R1475" s="5" t="s">
        <v>4</v>
      </c>
      <c r="S1475" s="100">
        <f ca="1">_xll.meDateFromTenor(S1474,"1D","FOLLOWING",T$12)</f>
        <v>44594</v>
      </c>
      <c r="T1475" s="13">
        <f ca="1">_xll.meDateFromTenor(S1475,T$14,T$11,T$12)</f>
        <v>44959</v>
      </c>
      <c r="U1475" s="98">
        <f ca="1"/>
        <v>9.2726194170507266E-3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4.3282844817538017E-3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7.3676888440891482E-3</v>
      </c>
      <c r="R1476" s="5" t="s">
        <v>4</v>
      </c>
      <c r="S1476" s="100">
        <f ca="1">_xll.meDateFromTenor(S1475,"1D","FOLLOWING",T$12)</f>
        <v>44595</v>
      </c>
      <c r="T1476" s="13">
        <f ca="1">_xll.meDateFromTenor(S1476,T$14,T$11,T$12)</f>
        <v>44960</v>
      </c>
      <c r="U1476" s="98">
        <f ca="1"/>
        <v>9.279940377044122E-3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4.3367117607146346E-3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7.3759756332921053E-3</v>
      </c>
      <c r="R1477" s="5" t="s">
        <v>4</v>
      </c>
      <c r="S1477" s="100">
        <f ca="1">_xll.meDateFromTenor(S1476,"1D","FOLLOWING",T$12)</f>
        <v>44596</v>
      </c>
      <c r="T1477" s="13">
        <f ca="1">_xll.meDateFromTenor(S1477,T$14,T$11,T$12)</f>
        <v>44963</v>
      </c>
      <c r="U1477" s="98">
        <f ca="1"/>
        <v>9.2872605837222393E-3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4.3623716849222798E-3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7.4008449042199135E-3</v>
      </c>
      <c r="R1478" s="5" t="s">
        <v>4</v>
      </c>
      <c r="S1478" s="100">
        <f ca="1">_xll.meDateFromTenor(S1477,"1D","FOLLOWING",T$12)</f>
        <v>44599</v>
      </c>
      <c r="T1478" s="13">
        <f ca="1">_xll.meDateFromTenor(S1478,T$14,T$11,T$12)</f>
        <v>44964</v>
      </c>
      <c r="U1478" s="98">
        <f ca="1"/>
        <v>9.3092166543654875E-3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4.3710289294595795E-3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7.409137493905235E-3</v>
      </c>
      <c r="R1479" s="5" t="s">
        <v>4</v>
      </c>
      <c r="S1479" s="100">
        <f ca="1">_xll.meDateFromTenor(S1478,"1D","FOLLOWING",T$12)</f>
        <v>44600</v>
      </c>
      <c r="T1479" s="13">
        <f ca="1">_xll.meDateFromTenor(S1479,T$14,T$11,T$12)</f>
        <v>44965</v>
      </c>
      <c r="U1479" s="98">
        <f ca="1"/>
        <v>9.3165338182830595E-3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4.3797270959107732E-3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7.41743143241345E-3</v>
      </c>
      <c r="R1480" s="5" t="s">
        <v>4</v>
      </c>
      <c r="S1480" s="100">
        <f ca="1">_xll.meDateFromTenor(S1479,"1D","FOLLOWING",T$12)</f>
        <v>44601</v>
      </c>
      <c r="T1480" s="13">
        <f ca="1">_xll.meDateFromTenor(S1480,T$14,T$11,T$12)</f>
        <v>44966</v>
      </c>
      <c r="U1480" s="98">
        <f ca="1"/>
        <v>9.3238502141356344E-3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4.3884595564837696E-3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7.4257266792254811E-3</v>
      </c>
      <c r="R1481" s="5" t="s">
        <v>4</v>
      </c>
      <c r="S1481" s="100">
        <f ca="1">_xll.meDateFromTenor(S1480,"1D","FOLLOWING",T$12)</f>
        <v>44602</v>
      </c>
      <c r="T1481" s="13">
        <f ca="1">_xll.meDateFromTenor(S1481,T$14,T$11,T$12)</f>
        <v>44967</v>
      </c>
      <c r="U1481" s="98">
        <f ca="1"/>
        <v>9.3311658389732717E-3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4.3972196833864784E-3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7.4340231938222522E-3</v>
      </c>
      <c r="R1482" s="5" t="s">
        <v>4</v>
      </c>
      <c r="S1482" s="100">
        <f ca="1">_xll.meDateFromTenor(S1481,"1D","FOLLOWING",T$12)</f>
        <v>44603</v>
      </c>
      <c r="T1482" s="13">
        <f ca="1">_xll.meDateFromTenor(S1482,T$14,T$11,T$12)</f>
        <v>44970</v>
      </c>
      <c r="U1482" s="98">
        <f ca="1"/>
        <v>9.3384806898460238E-3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4.4235997841519893E-3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7.4589199391302029E-3</v>
      </c>
      <c r="R1483" s="5" t="s">
        <v>4</v>
      </c>
      <c r="S1483" s="100">
        <f ca="1">_xll.meDateFromTenor(S1482,"1D","FOLLOWING",T$12)</f>
        <v>44606</v>
      </c>
      <c r="T1483" s="13">
        <f ca="1">_xll.meDateFromTenor(S1483,T$14,T$11,T$12)</f>
        <v>44971</v>
      </c>
      <c r="U1483" s="98">
        <f ca="1"/>
        <v>9.3604205691755395E-3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4.4324042984526532E-3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7.4672211196751366E-3</v>
      </c>
      <c r="R1484" s="5" t="s">
        <v>4</v>
      </c>
      <c r="S1484" s="100">
        <f ca="1">_xll.meDateFromTenor(S1483,"1D","FOLLOWING",T$12)</f>
        <v>44607</v>
      </c>
      <c r="T1484" s="13">
        <f ca="1">_xll.meDateFromTenor(S1484,T$14,T$11,T$12)</f>
        <v>44972</v>
      </c>
      <c r="U1484" s="98">
        <f ca="1"/>
        <v>9.3677322946893165E-3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4.4412033401225832E-3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7.4755233654094193E-3</v>
      </c>
      <c r="R1485" s="5" t="s">
        <v>4</v>
      </c>
      <c r="S1485" s="100">
        <f ca="1">_xll.meDateFromTenor(S1484,"1D","FOLLOWING",T$12)</f>
        <v>44608</v>
      </c>
      <c r="T1485" s="13">
        <f ca="1">_xll.meDateFromTenor(S1485,T$14,T$11,T$12)</f>
        <v>44973</v>
      </c>
      <c r="U1485" s="98">
        <f ca="1"/>
        <v>9.3750432314884929E-3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4.4499902813696897E-3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7.4838266358139673E-3</v>
      </c>
      <c r="R1486" s="5" t="s">
        <v>4</v>
      </c>
      <c r="S1486" s="100">
        <f ca="1">_xll.meDateFromTenor(S1485,"1D","FOLLOWING",T$12)</f>
        <v>44609</v>
      </c>
      <c r="T1486" s="13">
        <f ca="1">_xll.meDateFromTenor(S1486,T$14,T$11,T$12)</f>
        <v>44974</v>
      </c>
      <c r="U1486" s="98">
        <f ca="1"/>
        <v>9.3823533766231211E-3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4.4587584944018824E-3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7.4921308903697055E-3</v>
      </c>
      <c r="R1487" s="5" t="s">
        <v>4</v>
      </c>
      <c r="S1487" s="100">
        <f ca="1">_xll.meDateFromTenor(S1486,"1D","FOLLOWING",T$12)</f>
        <v>44610</v>
      </c>
      <c r="T1487" s="13">
        <f ca="1">_xll.meDateFromTenor(S1487,T$14,T$11,T$12)</f>
        <v>44977</v>
      </c>
      <c r="U1487" s="98">
        <f ca="1"/>
        <v>9.3896627271432605E-3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4.4848844862880755E-3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7.5170491537532675E-3</v>
      </c>
      <c r="R1488" s="5" t="s">
        <v>4</v>
      </c>
      <c r="S1488" s="100">
        <f ca="1">_xll.meDateFromTenor(S1487,"1D","FOLLOWING",T$12)</f>
        <v>44613</v>
      </c>
      <c r="T1488" s="13">
        <f ca="1">_xll.meDateFromTenor(S1488,T$14,T$11,T$12)</f>
        <v>44978</v>
      </c>
      <c r="U1488" s="98">
        <f ca="1"/>
        <v>9.4115859815172981E-3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4.4935115085397125E-3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7.5253569397229769E-3</v>
      </c>
      <c r="R1489" s="5" t="s">
        <v>4</v>
      </c>
      <c r="S1489" s="100">
        <f ca="1">_xll.meDateFromTenor(S1488,"1D","FOLLOWING",T$12)</f>
        <v>44614</v>
      </c>
      <c r="T1489" s="13">
        <f ca="1">_xll.meDateFromTenor(S1489,T$14,T$11,T$12)</f>
        <v>44979</v>
      </c>
      <c r="U1489" s="98">
        <f ca="1"/>
        <v>9.4188921240800378E-3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4.5020866636159874E-3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7.5336655072484812E-3</v>
      </c>
      <c r="R1490" s="5" t="s">
        <v>4</v>
      </c>
      <c r="S1490" s="100">
        <f ca="1">_xll.meDateFromTenor(S1489,"1D","FOLLOWING",T$12)</f>
        <v>44615</v>
      </c>
      <c r="T1490" s="13">
        <f ca="1">_xll.meDateFromTenor(S1490,T$14,T$11,T$12)</f>
        <v>44980</v>
      </c>
      <c r="U1490" s="98">
        <f ca="1"/>
        <v>9.4261974572785682E-3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4.5106033237248076E-3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7.5419748158107027E-3</v>
      </c>
      <c r="R1491" s="5" t="s">
        <v>4</v>
      </c>
      <c r="S1491" s="100">
        <f ca="1">_xll.meDateFromTenor(S1490,"1D","FOLLOWING",T$12)</f>
        <v>44616</v>
      </c>
      <c r="T1491" s="13">
        <f ca="1">_xll.meDateFromTenor(S1491,T$14,T$11,T$12)</f>
        <v>44981</v>
      </c>
      <c r="U1491" s="98">
        <f ca="1"/>
        <v>9.4335019781629417E-3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4.5190548610740894E-3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7.5502848248905656E-3</v>
      </c>
      <c r="R1492" s="5" t="s">
        <v>4</v>
      </c>
      <c r="S1492" s="100">
        <f ca="1">_xll.meDateFromTenor(S1491,"1D","FOLLOWING",T$12)</f>
        <v>44617</v>
      </c>
      <c r="T1492" s="13">
        <f ca="1">_xll.meDateFromTenor(S1492,T$14,T$11,T$12)</f>
        <v>44984</v>
      </c>
      <c r="U1492" s="98">
        <f ca="1"/>
        <v>9.4408056837832193E-3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4.5439524586437831E-3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7.5752186500452068E-3</v>
      </c>
      <c r="R1493" s="5" t="s">
        <v>4</v>
      </c>
      <c r="S1493" s="100">
        <f ca="1">_xll.meDateFromTenor(S1492,"1D","FOLLOWING",T$12)</f>
        <v>44620</v>
      </c>
      <c r="T1493" s="13">
        <f ca="1">_xll.meDateFromTenor(S1493,T$14,T$11,T$12)</f>
        <v>44985</v>
      </c>
      <c r="U1493" s="98">
        <f ca="1"/>
        <v>9.4627118795600346E-3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4.5520772270339991E-3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7.5835310560048441E-3</v>
      </c>
      <c r="R1494" s="5" t="s">
        <v>4</v>
      </c>
      <c r="S1494" s="100">
        <f ca="1">_xll.meDateFromTenor(S1493,"1D","FOLLOWING",T$12)</f>
        <v>44621</v>
      </c>
      <c r="T1494" s="13">
        <f ca="1">_xll.meDateFromTenor(S1494,T$14,T$11,T$12)</f>
        <v>44986</v>
      </c>
      <c r="U1494" s="98">
        <f ca="1"/>
        <v>9.4700122946244861E-3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4.5601037337042252E-3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7.5918439598867283E-3</v>
      </c>
      <c r="R1495" s="5" t="s">
        <v>4</v>
      </c>
      <c r="S1495" s="100">
        <f ca="1">_xll.meDateFromTenor(S1494,"1D","FOLLOWING",T$12)</f>
        <v>44622</v>
      </c>
      <c r="T1495" s="13">
        <f ca="1">_xll.meDateFromTenor(S1495,T$14,T$11,T$12)</f>
        <v>44987</v>
      </c>
      <c r="U1495" s="98">
        <f ca="1"/>
        <v>9.4773118796751231E-3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4.5680274232533929E-3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7.600157321171779E-3</v>
      </c>
      <c r="R1496" s="5" t="s">
        <v>4</v>
      </c>
      <c r="S1496" s="100">
        <f ca="1">_xll.meDateFromTenor(S1495,"1D","FOLLOWING",T$12)</f>
        <v>44623</v>
      </c>
      <c r="T1496" s="13">
        <f ca="1">_xll.meDateFromTenor(S1496,T$14,T$11,T$12)</f>
        <v>44988</v>
      </c>
      <c r="U1496" s="98">
        <f ca="1"/>
        <v>9.4846106317619926E-3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4.5758520298445435E-3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7.6084710993409256E-3</v>
      </c>
      <c r="R1497" s="5" t="s">
        <v>4</v>
      </c>
      <c r="S1497" s="100">
        <f ca="1">_xll.meDateFromTenor(S1496,"1D","FOLLOWING",T$12)</f>
        <v>44624</v>
      </c>
      <c r="T1497" s="13">
        <f ca="1">_xll.meDateFromTenor(S1497,T$14,T$11,T$12)</f>
        <v>44991</v>
      </c>
      <c r="U1497" s="98">
        <f ca="1"/>
        <v>9.4919085479351663E-3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4.5987894174104168E-3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7.6334145299621148E-3</v>
      </c>
      <c r="R1498" s="5" t="s">
        <v>4</v>
      </c>
      <c r="S1498" s="100">
        <f ca="1">_xll.meDateFromTenor(S1497,"1D","FOLLOWING",T$12)</f>
        <v>44627</v>
      </c>
      <c r="T1498" s="13">
        <f ca="1">_xll.meDateFromTenor(S1498,T$14,T$11,T$12)</f>
        <v>44992</v>
      </c>
      <c r="U1498" s="98">
        <f ca="1"/>
        <v>9.5137972514730135E-3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4.6062757577100431E-3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7.6417295704768375E-3</v>
      </c>
      <c r="R1499" s="5" t="s">
        <v>4</v>
      </c>
      <c r="S1499" s="100">
        <f ca="1">_xll.meDateFromTenor(S1498,"1D","FOLLOWING",T$12)</f>
        <v>44628</v>
      </c>
      <c r="T1499" s="13">
        <f ca="1">_xll.meDateFromTenor(S1499,T$14,T$11,T$12)</f>
        <v>44993</v>
      </c>
      <c r="U1499" s="98">
        <f ca="1"/>
        <v>9.5210917944919295E-3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4.613692047821933E-3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7.6500448252802573E-3</v>
      </c>
      <c r="R1500" s="5" t="s">
        <v>4</v>
      </c>
      <c r="S1500" s="100">
        <f ca="1">_xll.meDateFromTenor(S1499,"1D","FOLLOWING",T$12)</f>
        <v>44629</v>
      </c>
      <c r="T1500" s="13">
        <f ca="1">_xll.meDateFromTenor(S1500,T$14,T$11,T$12)</f>
        <v>44994</v>
      </c>
      <c r="U1500" s="98">
        <f ca="1"/>
        <v>9.5283854868474203E-3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4.6210440943001418E-3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7.6583602538532972E-3</v>
      </c>
      <c r="R1501" s="5" t="s">
        <v>4</v>
      </c>
      <c r="S1501" s="100">
        <f ca="1">_xll.meDateFromTenor(S1500,"1D","FOLLOWING",T$12)</f>
        <v>44630</v>
      </c>
      <c r="T1501" s="13">
        <f ca="1">_xll.meDateFromTenor(S1501,T$14,T$11,T$12)</f>
        <v>44995</v>
      </c>
      <c r="U1501" s="98">
        <f ca="1"/>
        <v>9.5356783255895472E-3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4.6283377036987266E-3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7.6666758156768771E-3</v>
      </c>
      <c r="R1502" s="5" t="s">
        <v>4</v>
      </c>
      <c r="S1502" s="100">
        <f ca="1">_xll.meDateFromTenor(S1501,"1D","FOLLOWING",T$12)</f>
        <v>44631</v>
      </c>
      <c r="T1502" s="13">
        <f ca="1">_xll.meDateFromTenor(S1502,T$14,T$11,T$12)</f>
        <v>44998</v>
      </c>
      <c r="U1502" s="98">
        <f ca="1"/>
        <v>9.5429703077683625E-3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4.6499259749573129E-3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7.6916228954600849E-3</v>
      </c>
      <c r="R1503" s="5" t="s">
        <v>4</v>
      </c>
      <c r="S1503" s="100">
        <f ca="1">_xll.meDateFromTenor(S1502,"1D","FOLLOWING",T$12)</f>
        <v>44634</v>
      </c>
      <c r="T1503" s="13">
        <f ca="1">_xll.meDateFromTenor(S1503,T$14,T$11,T$12)</f>
        <v>44999</v>
      </c>
      <c r="U1503" s="98">
        <f ca="1"/>
        <v>9.5648410854254993E-3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4.6570439015779751E-3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7.6999385850950479E-3</v>
      </c>
      <c r="R1504" s="5" t="s">
        <v>4</v>
      </c>
      <c r="S1504" s="100">
        <f ca="1">_xll.meDateFromTenor(S1503,"1D","FOLLOWING",T$12)</f>
        <v>44635</v>
      </c>
      <c r="T1504" s="13">
        <f ca="1">_xll.meDateFromTenor(S1504,T$14,T$11,T$12)</f>
        <v>45000</v>
      </c>
      <c r="U1504" s="98">
        <f ca="1"/>
        <v>9.5721296118516305E-3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4.6641324238893E-3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7.7082542053851615E-3</v>
      </c>
      <c r="R1505" s="5" t="s">
        <v>4</v>
      </c>
      <c r="S1505" s="100">
        <f ca="1">_xll.meDateFromTenor(S1504,"1D","FOLLOWING",T$12)</f>
        <v>44636</v>
      </c>
      <c r="T1505" s="13">
        <f ca="1">_xll.meDateFromTenor(S1505,T$14,T$11,T$12)</f>
        <v>45001</v>
      </c>
      <c r="U1505" s="98">
        <f ca="1"/>
        <v>9.5794172669647331E-3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4.6711973484453448E-3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7.7165697158113455E-3</v>
      </c>
      <c r="R1506" s="5" t="s">
        <v>4</v>
      </c>
      <c r="S1506" s="100">
        <f ca="1">_xll.meDateFromTenor(S1505,"1D","FOLLOWING",T$12)</f>
        <v>44637</v>
      </c>
      <c r="T1506" s="13">
        <f ca="1">_xll.meDateFromTenor(S1506,T$14,T$11,T$12)</f>
        <v>45002</v>
      </c>
      <c r="U1506" s="98">
        <f ca="1"/>
        <v>9.5867040478148612E-3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4.6782444818001664E-3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7.7248850758545205E-3</v>
      </c>
      <c r="R1507" s="5" t="s">
        <v>4</v>
      </c>
      <c r="S1507" s="100">
        <f ca="1">_xll.meDateFromTenor(S1506,"1D","FOLLOWING",T$12)</f>
        <v>44638</v>
      </c>
      <c r="T1507" s="13">
        <f ca="1">_xll.meDateFromTenor(S1507,T$14,T$11,T$12)</f>
        <v>45005</v>
      </c>
      <c r="U1507" s="98">
        <f ca="1"/>
        <v>9.5939899514520723E-3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4.6993372001978536E-3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7.7498298484952165E-3</v>
      </c>
      <c r="R1508" s="5" t="s">
        <v>4</v>
      </c>
      <c r="S1508" s="100">
        <f ca="1">_xll.meDateFromTenor(S1507,"1D","FOLLOWING",T$12)</f>
        <v>44641</v>
      </c>
      <c r="T1508" s="13">
        <f ca="1">_xll.meDateFromTenor(S1508,T$14,T$11,T$12)</f>
        <v>45006</v>
      </c>
      <c r="U1508" s="98">
        <f ca="1"/>
        <v>9.6158423695867565E-3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4.70637123428835E-3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7.7581442018155779E-3</v>
      </c>
      <c r="R1509" s="5" t="s">
        <v>4</v>
      </c>
      <c r="S1509" s="100">
        <f ca="1">_xll.meDateFromTenor(S1508,"1D","FOLLOWING",T$12)</f>
        <v>44642</v>
      </c>
      <c r="T1509" s="13">
        <f ca="1">_xll.meDateFromTenor(S1509,T$14,T$11,T$12)</f>
        <v>45007</v>
      </c>
      <c r="U1509" s="98">
        <f ca="1"/>
        <v>9.623124734872859E-3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4.7134165099479092E-3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7.7664582021575394E-3</v>
      </c>
      <c r="R1510" s="5" t="s">
        <v>4</v>
      </c>
      <c r="S1510" s="100">
        <f ca="1">_xll.meDateFromTenor(S1509,"1D","FOLLOWING",T$12)</f>
        <v>44643</v>
      </c>
      <c r="T1510" s="13">
        <f ca="1">_xll.meDateFromTenor(S1510,T$14,T$11,T$12)</f>
        <v>45008</v>
      </c>
      <c r="U1510" s="98">
        <f ca="1"/>
        <v>9.6304062081963241E-3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4.7204788337305865E-3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7.7747718090020231E-3</v>
      </c>
      <c r="R1511" s="5" t="s">
        <v>4</v>
      </c>
      <c r="S1511" s="100">
        <f ca="1">_xll.meDateFromTenor(S1510,"1D","FOLLOWING",T$12)</f>
        <v>44644</v>
      </c>
      <c r="T1511" s="13">
        <f ca="1">_xll.meDateFromTenor(S1511,T$14,T$11,T$12)</f>
        <v>45009</v>
      </c>
      <c r="U1511" s="98">
        <f ca="1"/>
        <v>9.6376867866072077E-3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4.7275640121904388E-3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7.7830849818299489E-3</v>
      </c>
      <c r="R1512" s="5" t="s">
        <v>4</v>
      </c>
      <c r="S1512" s="100">
        <f ca="1">_xll.meDateFromTenor(S1511,"1D","FOLLOWING",T$12)</f>
        <v>44645</v>
      </c>
      <c r="T1512" s="13">
        <f ca="1">_xll.meDateFromTenor(S1512,T$14,T$11,T$12)</f>
        <v>45012</v>
      </c>
      <c r="U1512" s="98">
        <f ca="1"/>
        <v>9.6449664671555656E-3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4.7490147411736244E-3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7.8080214910236038E-3</v>
      </c>
      <c r="R1513" s="5" t="s">
        <v>4</v>
      </c>
      <c r="S1513" s="100">
        <f ca="1">_xll.meDateFromTenor(S1512,"1D","FOLLOWING",T$12)</f>
        <v>44648</v>
      </c>
      <c r="T1513" s="13">
        <f ca="1">_xll.meDateFromTenor(S1513,T$14,T$11,T$12)</f>
        <v>45013</v>
      </c>
      <c r="U1513" s="98">
        <f ca="1"/>
        <v>9.6668000921260582E-3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4.7562494038827516E-3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7.8163325225945185E-3</v>
      </c>
      <c r="R1514" s="5" t="s">
        <v>4</v>
      </c>
      <c r="S1514" s="100">
        <f ca="1">_xll.meDateFromTenor(S1513,"1D","FOLLOWING",T$12)</f>
        <v>44649</v>
      </c>
      <c r="T1514" s="13">
        <f ca="1">_xll.meDateFromTenor(S1514,T$14,T$11,T$12)</f>
        <v>45014</v>
      </c>
      <c r="U1514" s="98">
        <f ca="1"/>
        <v>9.6740761517248794E-3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4.7635359540393373E-3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7.8246429175534826E-3</v>
      </c>
      <c r="R1515" s="5" t="s">
        <v>4</v>
      </c>
      <c r="S1515" s="100">
        <f ca="1">_xll.meDateFromTenor(S1514,"1D","FOLLOWING",T$12)</f>
        <v>44650</v>
      </c>
      <c r="T1515" s="13">
        <f ca="1">_xll.meDateFromTenor(S1515,T$14,T$11,T$12)</f>
        <v>45015</v>
      </c>
      <c r="U1515" s="98">
        <f ca="1"/>
        <v>9.6813512987114561E-3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4.7708801981974445E-3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7.8329526353814235E-3</v>
      </c>
      <c r="R1516" s="5" t="s">
        <v>4</v>
      </c>
      <c r="S1516" s="100">
        <f ca="1">_xll.meDateFromTenor(S1515,"1D","FOLLOWING",T$12)</f>
        <v>44651</v>
      </c>
      <c r="T1516" s="13">
        <f ca="1">_xll.meDateFromTenor(S1516,T$14,T$11,T$12)</f>
        <v>45016</v>
      </c>
      <c r="U1516" s="98">
        <f ca="1"/>
        <v>9.6886255301358477E-3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4.7782879429111268E-3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7.8412616355592567E-3</v>
      </c>
      <c r="R1517" s="5" t="s">
        <v>4</v>
      </c>
      <c r="S1517" s="100">
        <f ca="1">_xll.meDateFromTenor(S1516,"1D","FOLLOWING",T$12)</f>
        <v>44652</v>
      </c>
      <c r="T1517" s="13">
        <f ca="1">_xll.meDateFromTenor(S1517,T$14,T$11,T$12)</f>
        <v>45019</v>
      </c>
      <c r="U1517" s="98">
        <f ca="1"/>
        <v>9.6958988430481084E-3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4.800950245926197E-3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7.86618392500134E-3</v>
      </c>
      <c r="R1518" s="5" t="s">
        <v>4</v>
      </c>
      <c r="S1518" s="100">
        <f ca="1">_xll.meDateFromTenor(S1517,"1D","FOLLOWING",T$12)</f>
        <v>44655</v>
      </c>
      <c r="T1518" s="13">
        <f ca="1">_xll.meDateFromTenor(S1518,T$14,T$11,T$12)</f>
        <v>45020</v>
      </c>
      <c r="U1518" s="98">
        <f ca="1"/>
        <v>9.7177132412126603E-3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4.8086684185986916E-3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7.8744896493879654E-3</v>
      </c>
      <c r="R1519" s="5" t="s">
        <v>4</v>
      </c>
      <c r="S1519" s="101">
        <f ca="1">_xll.meDateFromTenor(S1518,"1D","FOLLOWING",T$12)</f>
        <v>44656</v>
      </c>
      <c r="T1519" s="102">
        <f ca="1">_xll.meDateFromTenor(S1519,T$14,T$11,T$12)</f>
        <v>45021</v>
      </c>
      <c r="U1519" s="99">
        <f ca="1"/>
        <v>9.7249828505769562E-3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2" hidden="1" customWidth="1" outlineLevel="1"/>
    <col min="16" max="19" width="15.7109375" style="266" hidden="1" customWidth="1" outlineLevel="1"/>
    <col min="20" max="20" width="28.5703125" style="266" hidden="1" customWidth="1" outlineLevel="1"/>
    <col min="21" max="21" width="15.7109375" style="266" hidden="1" customWidth="1" outlineLevel="1"/>
    <col min="22" max="22" width="18.42578125" style="266" hidden="1" customWidth="1" outlineLevel="1"/>
    <col min="23" max="23" width="19" style="266" hidden="1" customWidth="1" outlineLevel="1"/>
    <col min="24" max="24" width="15.7109375" style="266" hidden="1" customWidth="1" outlineLevel="1"/>
    <col min="25" max="25" width="17.42578125" style="266" hidden="1" customWidth="1" outlineLevel="1"/>
    <col min="26" max="29" width="15.7109375" style="266" hidden="1" customWidth="1" outlineLevel="1"/>
    <col min="30" max="30" width="28.140625" style="266" hidden="1" customWidth="1" outlineLevel="1"/>
    <col min="31" max="31" width="15.7109375" style="266" hidden="1" customWidth="1" outlineLevel="1"/>
    <col min="32" max="32" width="18.5703125" style="266" hidden="1" customWidth="1" outlineLevel="1"/>
    <col min="33" max="33" width="16.85546875" style="266" hidden="1" customWidth="1" outlineLevel="1"/>
    <col min="34" max="37" width="15.7109375" style="266" hidden="1" customWidth="1" outlineLevel="1"/>
    <col min="38" max="38" width="18.42578125" style="266" hidden="1" customWidth="1" outlineLevel="1"/>
    <col min="39" max="43" width="15.7109375" style="266"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3" t="s">
        <v>274</v>
      </c>
    </row>
    <row r="2" spans="1:52" ht="23.25" x14ac:dyDescent="0.35">
      <c r="B2" s="108" t="s">
        <v>245</v>
      </c>
      <c r="AS2" s="109"/>
      <c r="AT2" s="496"/>
      <c r="AU2" s="497"/>
      <c r="AV2" s="172"/>
      <c r="AX2" s="108" t="s">
        <v>244</v>
      </c>
    </row>
    <row r="3" spans="1:52" x14ac:dyDescent="0.25">
      <c r="AS3" s="106"/>
      <c r="AT3" s="498"/>
      <c r="AU3" s="497"/>
      <c r="AV3" s="172"/>
    </row>
    <row r="4" spans="1:52" s="40" customFormat="1" x14ac:dyDescent="0.25">
      <c r="B4" s="40" t="s">
        <v>174</v>
      </c>
      <c r="N4" s="223" t="s">
        <v>282</v>
      </c>
      <c r="O4" s="223"/>
      <c r="P4" s="223"/>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40" t="s">
        <v>4</v>
      </c>
      <c r="AS4" s="200"/>
      <c r="AT4" s="282"/>
      <c r="AU4" s="177"/>
      <c r="AV4" s="177"/>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199"/>
      <c r="N5" s="262" t="s">
        <v>175</v>
      </c>
      <c r="O5" s="250" t="s">
        <v>249</v>
      </c>
      <c r="P5" s="250" t="s">
        <v>250</v>
      </c>
      <c r="Q5" s="250" t="s">
        <v>251</v>
      </c>
      <c r="R5" s="250" t="s">
        <v>253</v>
      </c>
      <c r="S5" s="250" t="s">
        <v>254</v>
      </c>
      <c r="T5" s="250" t="s">
        <v>255</v>
      </c>
      <c r="U5" s="250" t="s">
        <v>256</v>
      </c>
      <c r="V5" s="250" t="s">
        <v>283</v>
      </c>
      <c r="W5" s="250" t="s">
        <v>284</v>
      </c>
      <c r="X5" s="250" t="s">
        <v>257</v>
      </c>
      <c r="Y5" s="250" t="s">
        <v>258</v>
      </c>
      <c r="Z5" s="250" t="s">
        <v>259</v>
      </c>
      <c r="AA5" s="250" t="s">
        <v>271</v>
      </c>
      <c r="AB5" s="250" t="s">
        <v>260</v>
      </c>
      <c r="AC5" s="250" t="s">
        <v>261</v>
      </c>
      <c r="AD5" s="250" t="s">
        <v>262</v>
      </c>
      <c r="AE5" s="250" t="s">
        <v>263</v>
      </c>
      <c r="AF5" s="250" t="s">
        <v>285</v>
      </c>
      <c r="AG5" s="250" t="s">
        <v>286</v>
      </c>
      <c r="AH5" s="250" t="s">
        <v>264</v>
      </c>
      <c r="AI5" s="250" t="s">
        <v>265</v>
      </c>
      <c r="AJ5" s="250" t="s">
        <v>266</v>
      </c>
      <c r="AK5" s="250" t="s">
        <v>267</v>
      </c>
      <c r="AL5" s="250" t="s">
        <v>268</v>
      </c>
      <c r="AM5" s="250" t="s">
        <v>270</v>
      </c>
      <c r="AN5" s="250" t="s">
        <v>80</v>
      </c>
      <c r="AO5" s="250" t="s">
        <v>272</v>
      </c>
      <c r="AP5" s="250" t="s">
        <v>269</v>
      </c>
      <c r="AQ5" s="250" t="s">
        <v>252</v>
      </c>
      <c r="AR5" s="281" t="s">
        <v>4</v>
      </c>
      <c r="AS5" s="178" t="s">
        <v>188</v>
      </c>
      <c r="AT5" s="250" t="s">
        <v>189</v>
      </c>
      <c r="AU5" s="250" t="s">
        <v>190</v>
      </c>
      <c r="AV5" s="251" t="s">
        <v>273</v>
      </c>
      <c r="AW5" s="77"/>
      <c r="AX5" s="153" t="str">
        <f t="array" ref="AX5:AY19">'EUR SWAP 3ML'!$H$93:$I$107</f>
        <v>Term</v>
      </c>
      <c r="AY5" s="155" t="str">
        <v>Rate</v>
      </c>
      <c r="AZ5" s="154" t="s">
        <v>194</v>
      </c>
    </row>
    <row r="6" spans="1:52" x14ac:dyDescent="0.25">
      <c r="A6" s="114">
        <v>1</v>
      </c>
      <c r="B6" s="115">
        <f ca="1">IF(OR(D6="",D6=0),"",_xll.meDateFromTenor(COB,C6,$T6,$U6))</f>
        <v>42523</v>
      </c>
      <c r="C6" s="116" t="s">
        <v>191</v>
      </c>
      <c r="D6" s="117">
        <v>1000000</v>
      </c>
      <c r="E6" s="117" t="s">
        <v>17</v>
      </c>
      <c r="F6" s="118" t="s">
        <v>176</v>
      </c>
      <c r="G6" s="119" t="s">
        <v>43</v>
      </c>
      <c r="H6" s="120">
        <v>0.01</v>
      </c>
      <c r="I6" s="165" t="s">
        <v>205</v>
      </c>
      <c r="J6" s="121">
        <v>0</v>
      </c>
      <c r="K6" s="483">
        <f>'EUR SWAP 3ML'!$L$40</f>
        <v>-2.6099999999999999E-3</v>
      </c>
      <c r="L6" s="119" t="s">
        <v>193</v>
      </c>
      <c r="M6" s="199"/>
      <c r="N6" s="276">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-2.6099999999999999E-3</v>
      </c>
      <c r="AK6" s="129"/>
      <c r="AL6" s="126" t="s">
        <v>177</v>
      </c>
      <c r="AM6" s="123" t="s">
        <v>178</v>
      </c>
      <c r="AN6" s="124" t="str">
        <f>E6&amp;"YC"</f>
        <v>EURYC</v>
      </c>
      <c r="AO6" s="127" t="str">
        <f t="shared" ref="AO6:AO19" si="3">LEFT(AN6,3)&amp;"DF_"&amp;L6</f>
        <v>EURDF_NOCSA</v>
      </c>
      <c r="AP6" s="128">
        <f t="shared" ref="AP6:AP19" si="4">J6</f>
        <v>0</v>
      </c>
      <c r="AQ6" s="268">
        <f t="shared" ref="AQ6:AQ19" si="5">H6</f>
        <v>0.01</v>
      </c>
      <c r="AR6" s="281" t="s">
        <v>4</v>
      </c>
      <c r="AS6" s="179">
        <f ca="1">IF(AND(NOW(),isEUR3MLLoaded),IF(OR($D6="",$D6=0),"",_xll.meProductSwapParRate(_xll.meUtilityLVBFromKeysValues($P$5:$AP$5,$P6:$AP6))),"Please Load Yield Curves")</f>
        <v>-2.6499999251703883E-3</v>
      </c>
      <c r="AT6" s="130">
        <f ca="1">IF(AND(NOW(),isEUR3MLLoaded),IF(OR($D6="",$D6=0),"",_xll.meProductSwapPV(_xll.meUtilityLVBFromKeysValues($N$5:$AQ$5,$N6:$AQ6))),"Please Load Yield Curves")</f>
        <v>-38288.48562634868</v>
      </c>
      <c r="AU6" s="130">
        <f ca="1">IF(AND(NOW(),isEUR3MLLoaded),IF(OR($D6="",$D6=0),"",_xll.meProductSwapPV01(_xll.meUtilityLVBFromKeysValues($N$5:$AQ$5,$N6:$AQ6),FALSE)),"Please Load Yield Curves")</f>
        <v>302.67577749280463</v>
      </c>
      <c r="AV6" s="194">
        <f ca="1">IF(AND(NOW(),isEUR3MLLoaded),IF(OR($D6="",$D6=0),"",_xll.meProductSwapDV01(_xll.meUtilityLVBFromKeysValues($N$5:$AQ$5,$N6:$AQ6))),"Please Load Yield Curves")</f>
        <v>294.26635444413353</v>
      </c>
      <c r="AW6" s="77"/>
      <c r="AX6" s="149" t="str">
        <v>3Y</v>
      </c>
      <c r="AY6" s="151">
        <v>-2.65E-3</v>
      </c>
      <c r="AZ6" s="156">
        <f t="shared" ref="AZ6:AZ19" ca="1" si="6">IF(ISNA(VLOOKUP($AX6,$G$6:$AS$19,39,0)),"-",(VLOOKUP($AX6,$G$6:$AS$19,39,0)-AY6)*10000)</f>
        <v>7.4829611691057396E-7</v>
      </c>
    </row>
    <row r="7" spans="1:52" x14ac:dyDescent="0.25">
      <c r="A7" s="114">
        <v>2</v>
      </c>
      <c r="B7" s="131">
        <f ca="1">IF(OR(D7="",D7=0),"",_xll.meDateFromTenor(COB,C7,$T7,$U7))</f>
        <v>42523</v>
      </c>
      <c r="C7" s="132" t="s">
        <v>191</v>
      </c>
      <c r="D7" s="133">
        <v>1000000</v>
      </c>
      <c r="E7" s="133" t="s">
        <v>17</v>
      </c>
      <c r="F7" s="134" t="s">
        <v>176</v>
      </c>
      <c r="G7" s="135" t="s">
        <v>50</v>
      </c>
      <c r="H7" s="136">
        <v>0.01</v>
      </c>
      <c r="I7" s="166" t="s">
        <v>205</v>
      </c>
      <c r="J7" s="137">
        <v>0</v>
      </c>
      <c r="K7" s="238">
        <f>'EUR SWAP 3ML'!$L$40</f>
        <v>-2.6099999999999999E-3</v>
      </c>
      <c r="L7" s="135" t="s">
        <v>193</v>
      </c>
      <c r="M7" s="199"/>
      <c r="N7" s="277">
        <f t="shared" si="0"/>
        <v>1000000</v>
      </c>
      <c r="O7" s="252" t="str">
        <f t="shared" si="1"/>
        <v>PAYER</v>
      </c>
      <c r="P7" s="255">
        <f t="shared" ref="P7:P19" ca="1" si="7">B7</f>
        <v>42523</v>
      </c>
      <c r="Q7" s="255" t="str">
        <f t="shared" ref="Q7:Q19" si="8">G7</f>
        <v>4Y</v>
      </c>
      <c r="R7" s="249" t="s">
        <v>26</v>
      </c>
      <c r="S7" s="254" t="s">
        <v>20</v>
      </c>
      <c r="T7" s="249" t="s">
        <v>22</v>
      </c>
      <c r="U7" s="249" t="s">
        <v>2</v>
      </c>
      <c r="V7" s="255"/>
      <c r="W7" s="255"/>
      <c r="X7" s="256">
        <f t="shared" ref="X7:X19" ca="1" si="9">IF($B7="","",DAY($B7))</f>
        <v>2</v>
      </c>
      <c r="Y7" s="257" t="s">
        <v>177</v>
      </c>
      <c r="Z7" s="254" t="s">
        <v>178</v>
      </c>
      <c r="AA7" s="252" t="str">
        <f t="shared" si="2"/>
        <v>EUR3ML</v>
      </c>
      <c r="AB7" s="256" t="str">
        <f t="shared" ref="AB7:AB19" si="10">IF($I7="1ML","Monthly",IF($I7="3ML","Quarterly",IF($I7="6ML","Semi-Annual","Annual")))</f>
        <v>Quarterly</v>
      </c>
      <c r="AC7" s="254" t="s">
        <v>6</v>
      </c>
      <c r="AD7" s="249" t="s">
        <v>22</v>
      </c>
      <c r="AE7" s="249" t="s">
        <v>2</v>
      </c>
      <c r="AF7" s="255"/>
      <c r="AG7" s="255"/>
      <c r="AH7" s="256">
        <f t="shared" ref="AH7:AH19" ca="1" si="11">IF($B7="","",DAY($B7))</f>
        <v>2</v>
      </c>
      <c r="AI7" s="257" t="s">
        <v>177</v>
      </c>
      <c r="AJ7" s="258">
        <f t="shared" ref="AJ7:AJ19" si="12">$K7</f>
        <v>-2.6099999999999999E-3</v>
      </c>
      <c r="AK7" s="258"/>
      <c r="AL7" s="257" t="s">
        <v>177</v>
      </c>
      <c r="AM7" s="254" t="s">
        <v>178</v>
      </c>
      <c r="AN7" s="255" t="str">
        <f t="shared" ref="AN7:AN19" si="13">E7&amp;"YC"</f>
        <v>EURYC</v>
      </c>
      <c r="AO7" s="252" t="str">
        <f t="shared" si="3"/>
        <v>EURDF_NOCSA</v>
      </c>
      <c r="AP7" s="259">
        <f t="shared" si="4"/>
        <v>0</v>
      </c>
      <c r="AQ7" s="279">
        <f t="shared" si="5"/>
        <v>0.01</v>
      </c>
      <c r="AR7" s="281" t="s">
        <v>4</v>
      </c>
      <c r="AS7" s="180">
        <f ca="1">IF(AND(NOW(),isEUR3MLLoaded),IF(OR($D7="",$D7=0),"",_xll.meProductSwapParRate(_xll.meUtilityLVBFromKeysValues($P$5:$AP$5,$P7:$AP7))),"Please Load Yield Curves")</f>
        <v>-2.0499998907206308E-3</v>
      </c>
      <c r="AT7" s="260">
        <f ca="1">IF(AND(NOW(),isEUR3MLLoaded),IF(OR($D7="",$D7=0),"",_xll.meProductSwapPV(_xll.meUtilityLVBFromKeysValues($N$5:$AQ$5,$N7:$AQ7))),"Please Load Yield Curves")</f>
        <v>-48657.877474850255</v>
      </c>
      <c r="AU7" s="260">
        <f ca="1">IF(AND(NOW(),isEUR3MLLoaded),IF(OR($D7="",$D7=0),"",_xll.meProductSwapPV01(_xll.meUtilityLVBFromKeysValues($N$5:$AQ$5,$N7:$AQ7),FALSE)),"Please Load Yield Curves")</f>
        <v>403.79981673128748</v>
      </c>
      <c r="AV7" s="195">
        <f ca="1">IF(AND(NOW(),isEUR3MLLoaded),IF(OR($D7="",$D7=0),"",_xll.meProductSwapDV01(_xll.meUtilityLVBFromKeysValues($N$5:$AQ$5,$N7:$AQ7))),"Please Load Yield Curves")</f>
        <v>390.36830489935255</v>
      </c>
      <c r="AW7" s="77"/>
      <c r="AX7" s="149" t="str">
        <v>4Y</v>
      </c>
      <c r="AY7" s="151">
        <v>-2.0500000000000002E-3</v>
      </c>
      <c r="AZ7" s="156">
        <f t="shared" ca="1" si="6"/>
        <v>1.0927936940768879E-6</v>
      </c>
    </row>
    <row r="8" spans="1:52" x14ac:dyDescent="0.25">
      <c r="A8" s="114">
        <v>3</v>
      </c>
      <c r="B8" s="131">
        <f ca="1">IF(OR(D8="",D8=0),"",_xll.meDateFromTenor(COB,C8,$T8,$U8))</f>
        <v>42523</v>
      </c>
      <c r="C8" s="139" t="s">
        <v>191</v>
      </c>
      <c r="D8" s="133">
        <v>1000000</v>
      </c>
      <c r="E8" s="133" t="s">
        <v>17</v>
      </c>
      <c r="F8" s="134" t="s">
        <v>176</v>
      </c>
      <c r="G8" s="135" t="s">
        <v>52</v>
      </c>
      <c r="H8" s="136">
        <v>0.01</v>
      </c>
      <c r="I8" s="166" t="s">
        <v>205</v>
      </c>
      <c r="J8" s="137">
        <v>0</v>
      </c>
      <c r="K8" s="238">
        <f>'EUR SWAP 3ML'!$L$40</f>
        <v>-2.6099999999999999E-3</v>
      </c>
      <c r="L8" s="135" t="s">
        <v>193</v>
      </c>
      <c r="M8" s="199"/>
      <c r="N8" s="277">
        <f t="shared" si="0"/>
        <v>1000000</v>
      </c>
      <c r="O8" s="252" t="str">
        <f t="shared" si="1"/>
        <v>PAYER</v>
      </c>
      <c r="P8" s="255">
        <f t="shared" ca="1" si="7"/>
        <v>42523</v>
      </c>
      <c r="Q8" s="255" t="str">
        <f t="shared" si="8"/>
        <v>5Y</v>
      </c>
      <c r="R8" s="249" t="s">
        <v>26</v>
      </c>
      <c r="S8" s="254" t="s">
        <v>20</v>
      </c>
      <c r="T8" s="249" t="s">
        <v>22</v>
      </c>
      <c r="U8" s="249" t="s">
        <v>2</v>
      </c>
      <c r="V8" s="255"/>
      <c r="W8" s="255"/>
      <c r="X8" s="256">
        <f t="shared" ca="1" si="9"/>
        <v>2</v>
      </c>
      <c r="Y8" s="257" t="s">
        <v>177</v>
      </c>
      <c r="Z8" s="254" t="s">
        <v>178</v>
      </c>
      <c r="AA8" s="252" t="str">
        <f t="shared" si="2"/>
        <v>EUR3ML</v>
      </c>
      <c r="AB8" s="256" t="str">
        <f t="shared" si="10"/>
        <v>Quarterly</v>
      </c>
      <c r="AC8" s="254" t="s">
        <v>6</v>
      </c>
      <c r="AD8" s="249" t="s">
        <v>22</v>
      </c>
      <c r="AE8" s="249" t="s">
        <v>2</v>
      </c>
      <c r="AF8" s="255"/>
      <c r="AG8" s="255"/>
      <c r="AH8" s="256">
        <f t="shared" ca="1" si="11"/>
        <v>2</v>
      </c>
      <c r="AI8" s="257" t="s">
        <v>177</v>
      </c>
      <c r="AJ8" s="258">
        <f t="shared" si="12"/>
        <v>-2.6099999999999999E-3</v>
      </c>
      <c r="AK8" s="258"/>
      <c r="AL8" s="257" t="s">
        <v>177</v>
      </c>
      <c r="AM8" s="254" t="s">
        <v>178</v>
      </c>
      <c r="AN8" s="255" t="str">
        <f t="shared" si="13"/>
        <v>EURYC</v>
      </c>
      <c r="AO8" s="252" t="str">
        <f t="shared" si="3"/>
        <v>EURDF_NOCSA</v>
      </c>
      <c r="AP8" s="259">
        <f t="shared" si="4"/>
        <v>0</v>
      </c>
      <c r="AQ8" s="279">
        <f t="shared" si="5"/>
        <v>0.01</v>
      </c>
      <c r="AR8" s="281" t="s">
        <v>4</v>
      </c>
      <c r="AS8" s="180">
        <f ca="1">IF(AND(NOW(),isEUR3MLLoaded),IF(OR($D8="",$D8=0),"",_xll.meProductSwapParRate(_xll.meUtilityLVBFromKeysValues($P$5:$AP$5,$P8:$AP8))),"Please Load Yield Curves")</f>
        <v>-1.2474998146407433E-3</v>
      </c>
      <c r="AT8" s="260">
        <f ca="1">IF(AND(NOW(),isEUR3MLLoaded),IF(OR($D8="",$D8=0),"",_xll.meProductSwapPV(_xll.meUtilityLVBFromKeysValues($N$5:$AQ$5,$N8:$AQ8))),"Please Load Yield Curves")</f>
        <v>-56821.754712234157</v>
      </c>
      <c r="AU8" s="260">
        <f ca="1">IF(AND(NOW(),isEUR3MLLoaded),IF(OR($D8="",$D8=0),"",_xll.meProductSwapPV01(_xll.meUtilityLVBFromKeysValues($N$5:$AQ$5,$N8:$AQ8),FALSE)),"Please Load Yield Curves")</f>
        <v>505.19453788538783</v>
      </c>
      <c r="AV8" s="195">
        <f ca="1">IF(AND(NOW(),isEUR3MLLoaded),IF(OR($D8="",$D8=0),"",_xll.meProductSwapDV01(_xll.meUtilityLVBFromKeysValues($N$5:$AQ$5,$N8:$AQ8))),"Please Load Yield Curves")</f>
        <v>486.08494676953654</v>
      </c>
      <c r="AW8" s="77"/>
      <c r="AX8" s="149" t="str">
        <v>5Y</v>
      </c>
      <c r="AY8" s="151">
        <v>-1.2475000000000001E-3</v>
      </c>
      <c r="AZ8" s="156">
        <f t="shared" ca="1" si="6"/>
        <v>1.8535925680636389E-6</v>
      </c>
    </row>
    <row r="9" spans="1:52" x14ac:dyDescent="0.25">
      <c r="A9" s="114">
        <v>4</v>
      </c>
      <c r="B9" s="131">
        <f ca="1">IF(OR(D9="",D9=0),"",_xll.meDateFromTenor(COB,C9,$T9,$U9))</f>
        <v>42523</v>
      </c>
      <c r="C9" s="139" t="s">
        <v>191</v>
      </c>
      <c r="D9" s="133">
        <v>1000000</v>
      </c>
      <c r="E9" s="133" t="s">
        <v>17</v>
      </c>
      <c r="F9" s="134" t="s">
        <v>176</v>
      </c>
      <c r="G9" s="135" t="s">
        <v>54</v>
      </c>
      <c r="H9" s="136">
        <v>0.01</v>
      </c>
      <c r="I9" s="166" t="s">
        <v>205</v>
      </c>
      <c r="J9" s="137">
        <v>0</v>
      </c>
      <c r="K9" s="238">
        <f>'EUR SWAP 3ML'!$L$40</f>
        <v>-2.6099999999999999E-3</v>
      </c>
      <c r="L9" s="135" t="s">
        <v>193</v>
      </c>
      <c r="M9" s="199"/>
      <c r="N9" s="277">
        <f t="shared" si="0"/>
        <v>1000000</v>
      </c>
      <c r="O9" s="252" t="str">
        <f t="shared" si="1"/>
        <v>PAYER</v>
      </c>
      <c r="P9" s="255">
        <f t="shared" ca="1" si="7"/>
        <v>42523</v>
      </c>
      <c r="Q9" s="255" t="str">
        <f t="shared" si="8"/>
        <v>6Y</v>
      </c>
      <c r="R9" s="249" t="s">
        <v>26</v>
      </c>
      <c r="S9" s="254" t="s">
        <v>20</v>
      </c>
      <c r="T9" s="249" t="s">
        <v>22</v>
      </c>
      <c r="U9" s="249" t="s">
        <v>2</v>
      </c>
      <c r="V9" s="255"/>
      <c r="W9" s="255"/>
      <c r="X9" s="256">
        <f t="shared" ca="1" si="9"/>
        <v>2</v>
      </c>
      <c r="Y9" s="257" t="s">
        <v>177</v>
      </c>
      <c r="Z9" s="254" t="s">
        <v>178</v>
      </c>
      <c r="AA9" s="252" t="str">
        <f t="shared" si="2"/>
        <v>EUR3ML</v>
      </c>
      <c r="AB9" s="256" t="str">
        <f t="shared" si="10"/>
        <v>Quarterly</v>
      </c>
      <c r="AC9" s="254" t="s">
        <v>6</v>
      </c>
      <c r="AD9" s="249" t="s">
        <v>22</v>
      </c>
      <c r="AE9" s="249" t="s">
        <v>2</v>
      </c>
      <c r="AF9" s="255"/>
      <c r="AG9" s="255"/>
      <c r="AH9" s="256">
        <f t="shared" ca="1" si="11"/>
        <v>2</v>
      </c>
      <c r="AI9" s="257" t="s">
        <v>177</v>
      </c>
      <c r="AJ9" s="258">
        <f t="shared" si="12"/>
        <v>-2.6099999999999999E-3</v>
      </c>
      <c r="AK9" s="258"/>
      <c r="AL9" s="257" t="s">
        <v>177</v>
      </c>
      <c r="AM9" s="254" t="s">
        <v>178</v>
      </c>
      <c r="AN9" s="255" t="str">
        <f t="shared" si="13"/>
        <v>EURYC</v>
      </c>
      <c r="AO9" s="252" t="str">
        <f t="shared" si="3"/>
        <v>EURDF_NOCSA</v>
      </c>
      <c r="AP9" s="259">
        <f t="shared" si="4"/>
        <v>0</v>
      </c>
      <c r="AQ9" s="279">
        <f t="shared" si="5"/>
        <v>0.01</v>
      </c>
      <c r="AR9" s="281" t="s">
        <v>4</v>
      </c>
      <c r="AS9" s="180">
        <f ca="1">IF(AND(NOW(),isEUR3MLLoaded),IF(OR($D9="",$D9=0),"",_xll.meProductSwapParRate(_xll.meUtilityLVBFromKeysValues($P$5:$AP$5,$P9:$AP9))),"Please Load Yield Curves")</f>
        <v>-2.4749986798595431E-4</v>
      </c>
      <c r="AT9" s="260">
        <f ca="1">IF(AND(NOW(),isEUR3MLLoaded),IF(OR($D9="",$D9=0),"",_xll.meProductSwapPV(_xll.meUtilityLVBFromKeysValues($N$5:$AQ$5,$N9:$AQ9))),"Please Load Yield Curves")</f>
        <v>-62128.551368103123</v>
      </c>
      <c r="AU9" s="260">
        <f ca="1">IF(AND(NOW(),isEUR3MLLoaded),IF(OR($D9="",$D9=0),"",_xll.meProductSwapPV01(_xll.meUtilityLVBFromKeysValues($N$5:$AQ$5,$N9:$AQ9),FALSE)),"Please Load Yield Curves")</f>
        <v>606.28008947038791</v>
      </c>
      <c r="AV9" s="195">
        <f ca="1">IF(AND(NOW(),isEUR3MLLoaded),IF(OR($D9="",$D9=0),"",_xll.meProductSwapDV01(_xll.meUtilityLVBFromKeysValues($N$5:$AQ$5,$N9:$AQ9))),"Please Load Yield Curves")</f>
        <v>581.42629548651098</v>
      </c>
      <c r="AW9" s="77"/>
      <c r="AX9" s="149" t="str">
        <v>6Y</v>
      </c>
      <c r="AY9" s="151">
        <v>-2.4750000000000011E-4</v>
      </c>
      <c r="AZ9" s="156">
        <f t="shared" ca="1" si="6"/>
        <v>1.3201404579958956E-6</v>
      </c>
    </row>
    <row r="10" spans="1:52" x14ac:dyDescent="0.25">
      <c r="A10" s="114">
        <v>5</v>
      </c>
      <c r="B10" s="131">
        <f ca="1">IF(OR(D10="",D10=0),"",_xll.meDateFromTenor(COB,C10,$T10,$U10))</f>
        <v>42523</v>
      </c>
      <c r="C10" s="139" t="s">
        <v>191</v>
      </c>
      <c r="D10" s="133">
        <v>1000000</v>
      </c>
      <c r="E10" s="133" t="s">
        <v>17</v>
      </c>
      <c r="F10" s="134" t="s">
        <v>176</v>
      </c>
      <c r="G10" s="135" t="s">
        <v>55</v>
      </c>
      <c r="H10" s="136">
        <v>0.01</v>
      </c>
      <c r="I10" s="166" t="s">
        <v>205</v>
      </c>
      <c r="J10" s="137">
        <v>0</v>
      </c>
      <c r="K10" s="238">
        <f>'EUR SWAP 3ML'!$L$40</f>
        <v>-2.6099999999999999E-3</v>
      </c>
      <c r="L10" s="135" t="s">
        <v>193</v>
      </c>
      <c r="M10" s="199"/>
      <c r="N10" s="277">
        <f t="shared" si="0"/>
        <v>1000000</v>
      </c>
      <c r="O10" s="252" t="str">
        <f t="shared" si="1"/>
        <v>PAYER</v>
      </c>
      <c r="P10" s="255">
        <f t="shared" ca="1" si="7"/>
        <v>42523</v>
      </c>
      <c r="Q10" s="255" t="str">
        <f t="shared" si="8"/>
        <v>7Y</v>
      </c>
      <c r="R10" s="249" t="s">
        <v>26</v>
      </c>
      <c r="S10" s="254" t="s">
        <v>20</v>
      </c>
      <c r="T10" s="249" t="s">
        <v>22</v>
      </c>
      <c r="U10" s="249" t="s">
        <v>2</v>
      </c>
      <c r="V10" s="255"/>
      <c r="W10" s="255"/>
      <c r="X10" s="256">
        <f t="shared" ca="1" si="9"/>
        <v>2</v>
      </c>
      <c r="Y10" s="257" t="s">
        <v>177</v>
      </c>
      <c r="Z10" s="254" t="s">
        <v>178</v>
      </c>
      <c r="AA10" s="252" t="str">
        <f t="shared" si="2"/>
        <v>EUR3ML</v>
      </c>
      <c r="AB10" s="256" t="str">
        <f t="shared" si="10"/>
        <v>Quarterly</v>
      </c>
      <c r="AC10" s="254" t="s">
        <v>6</v>
      </c>
      <c r="AD10" s="249" t="s">
        <v>22</v>
      </c>
      <c r="AE10" s="249" t="s">
        <v>2</v>
      </c>
      <c r="AF10" s="255"/>
      <c r="AG10" s="255"/>
      <c r="AH10" s="256">
        <f t="shared" ca="1" si="11"/>
        <v>2</v>
      </c>
      <c r="AI10" s="257" t="s">
        <v>177</v>
      </c>
      <c r="AJ10" s="258">
        <f t="shared" si="12"/>
        <v>-2.6099999999999999E-3</v>
      </c>
      <c r="AK10" s="258"/>
      <c r="AL10" s="257" t="s">
        <v>177</v>
      </c>
      <c r="AM10" s="254" t="s">
        <v>178</v>
      </c>
      <c r="AN10" s="255" t="str">
        <f t="shared" si="13"/>
        <v>EURYC</v>
      </c>
      <c r="AO10" s="252" t="str">
        <f t="shared" si="3"/>
        <v>EURDF_NOCSA</v>
      </c>
      <c r="AP10" s="259">
        <f t="shared" si="4"/>
        <v>0</v>
      </c>
      <c r="AQ10" s="279">
        <f t="shared" si="5"/>
        <v>0.01</v>
      </c>
      <c r="AR10" s="281" t="s">
        <v>4</v>
      </c>
      <c r="AS10" s="180">
        <f ca="1">IF(AND(NOW(),isEUR3MLLoaded),IF(OR($D10="",$D10=0),"",_xll.meProductSwapParRate(_xll.meUtilityLVBFromKeysValues($P$5:$AP$5,$P10:$AP10))),"Please Load Yield Curves")</f>
        <v>9.0249947199434299E-4</v>
      </c>
      <c r="AT10" s="260">
        <f ca="1">IF(AND(NOW(),isEUR3MLLoaded),IF(OR($D10="",$D10=0),"",_xll.meProductSwapPV(_xll.meUtilityLVBFromKeysValues($N$5:$AQ$5,$N10:$AQ10))),"Please Load Yield Curves")</f>
        <v>-64296.939413531429</v>
      </c>
      <c r="AU10" s="260">
        <f ca="1">IF(AND(NOW(),isEUR3MLLoaded),IF(OR($D10="",$D10=0),"",_xll.meProductSwapPV01(_xll.meUtilityLVBFromKeysValues($N$5:$AQ$5,$N10:$AQ10),FALSE)),"Please Load Yield Curves")</f>
        <v>706.75389592559361</v>
      </c>
      <c r="AV10" s="195">
        <f ca="1">IF(AND(NOW(),isEUR3MLLoaded),IF(OR($D10="",$D10=0),"",_xll.meProductSwapDV01(_xll.meUtilityLVBFromKeysValues($N$5:$AQ$5,$N10:$AQ10))),"Please Load Yield Curves")</f>
        <v>676.79844364115149</v>
      </c>
      <c r="AW10" s="77"/>
      <c r="AX10" s="149" t="str">
        <v>7Y</v>
      </c>
      <c r="AY10" s="151">
        <v>9.0249999999999966E-4</v>
      </c>
      <c r="AZ10" s="156">
        <f t="shared" ca="1" si="6"/>
        <v>-5.2800565666661498E-6</v>
      </c>
    </row>
    <row r="11" spans="1:52" x14ac:dyDescent="0.25">
      <c r="A11" s="114">
        <v>6</v>
      </c>
      <c r="B11" s="131">
        <f ca="1">IF(OR(D11="",D11=0),"",_xll.meDateFromTenor(COB,C11,$T11,$U11))</f>
        <v>42523</v>
      </c>
      <c r="C11" s="139" t="s">
        <v>191</v>
      </c>
      <c r="D11" s="133">
        <v>1000000</v>
      </c>
      <c r="E11" s="133" t="s">
        <v>17</v>
      </c>
      <c r="F11" s="134" t="s">
        <v>176</v>
      </c>
      <c r="G11" s="135" t="s">
        <v>57</v>
      </c>
      <c r="H11" s="136">
        <v>0.01</v>
      </c>
      <c r="I11" s="166" t="s">
        <v>205</v>
      </c>
      <c r="J11" s="137">
        <v>0</v>
      </c>
      <c r="K11" s="238">
        <f>'EUR SWAP 3ML'!$L$40</f>
        <v>-2.6099999999999999E-3</v>
      </c>
      <c r="L11" s="135" t="s">
        <v>193</v>
      </c>
      <c r="M11" s="199"/>
      <c r="N11" s="277">
        <f t="shared" si="0"/>
        <v>1000000</v>
      </c>
      <c r="O11" s="252" t="str">
        <f t="shared" si="1"/>
        <v>PAYER</v>
      </c>
      <c r="P11" s="255">
        <f t="shared" ca="1" si="7"/>
        <v>42523</v>
      </c>
      <c r="Q11" s="255" t="str">
        <f t="shared" si="8"/>
        <v>8Y</v>
      </c>
      <c r="R11" s="249" t="s">
        <v>26</v>
      </c>
      <c r="S11" s="254" t="s">
        <v>20</v>
      </c>
      <c r="T11" s="249" t="s">
        <v>22</v>
      </c>
      <c r="U11" s="249" t="s">
        <v>2</v>
      </c>
      <c r="V11" s="255"/>
      <c r="W11" s="255"/>
      <c r="X11" s="256">
        <f t="shared" ca="1" si="9"/>
        <v>2</v>
      </c>
      <c r="Y11" s="257" t="s">
        <v>177</v>
      </c>
      <c r="Z11" s="254" t="s">
        <v>178</v>
      </c>
      <c r="AA11" s="252" t="str">
        <f t="shared" si="2"/>
        <v>EUR3ML</v>
      </c>
      <c r="AB11" s="256" t="str">
        <f t="shared" si="10"/>
        <v>Quarterly</v>
      </c>
      <c r="AC11" s="254" t="s">
        <v>6</v>
      </c>
      <c r="AD11" s="249" t="s">
        <v>22</v>
      </c>
      <c r="AE11" s="249" t="s">
        <v>2</v>
      </c>
      <c r="AF11" s="255"/>
      <c r="AG11" s="255"/>
      <c r="AH11" s="256">
        <f t="shared" ca="1" si="11"/>
        <v>2</v>
      </c>
      <c r="AI11" s="257" t="s">
        <v>177</v>
      </c>
      <c r="AJ11" s="258">
        <f t="shared" si="12"/>
        <v>-2.6099999999999999E-3</v>
      </c>
      <c r="AK11" s="258"/>
      <c r="AL11" s="257" t="s">
        <v>177</v>
      </c>
      <c r="AM11" s="254" t="s">
        <v>178</v>
      </c>
      <c r="AN11" s="255" t="str">
        <f t="shared" si="13"/>
        <v>EURYC</v>
      </c>
      <c r="AO11" s="252" t="str">
        <f t="shared" si="3"/>
        <v>EURDF_NOCSA</v>
      </c>
      <c r="AP11" s="259">
        <f t="shared" si="4"/>
        <v>0</v>
      </c>
      <c r="AQ11" s="279">
        <f t="shared" si="5"/>
        <v>0.01</v>
      </c>
      <c r="AR11" s="281" t="s">
        <v>4</v>
      </c>
      <c r="AS11" s="180">
        <f ca="1">IF(AND(NOW(),isEUR3MLLoaded),IF(OR($D11="",$D11=0),"",_xll.meProductSwapParRate(_xll.meUtilityLVBFromKeysValues($P$5:$AP$5,$P11:$AP11))),"Please Load Yield Curves")</f>
        <v>2.1274998002625083E-3</v>
      </c>
      <c r="AT11" s="260">
        <f ca="1">IF(AND(NOW(),isEUR3MLLoaded),IF(OR($D11="",$D11=0),"",_xll.meProductSwapPV(_xll.meUtilityLVBFromKeysValues($N$5:$AQ$5,$N11:$AQ11))),"Please Load Yield Curves")</f>
        <v>-63497.949625786394</v>
      </c>
      <c r="AU11" s="260">
        <f ca="1">IF(AND(NOW(),isEUR3MLLoaded),IF(OR($D11="",$D11=0),"",_xll.meProductSwapPV01(_xll.meUtilityLVBFromKeysValues($N$5:$AQ$5,$N11:$AQ11),FALSE)),"Please Load Yield Curves")</f>
        <v>806.57920628447516</v>
      </c>
      <c r="AV11" s="195">
        <f ca="1">IF(AND(NOW(),isEUR3MLLoaded),IF(OR($D11="",$D11=0),"",_xll.meProductSwapDV01(_xll.meUtilityLVBFromKeysValues($N$5:$AQ$5,$N11:$AQ11))),"Please Load Yield Curves")</f>
        <v>772.78290494805844</v>
      </c>
      <c r="AW11" s="77"/>
      <c r="AX11" s="149" t="str">
        <v>8Y</v>
      </c>
      <c r="AY11" s="151">
        <v>2.1275000000000001E-3</v>
      </c>
      <c r="AZ11" s="156">
        <f t="shared" ca="1" si="6"/>
        <v>-1.9973749173715638E-6</v>
      </c>
    </row>
    <row r="12" spans="1:52" x14ac:dyDescent="0.25">
      <c r="A12" s="114">
        <v>7</v>
      </c>
      <c r="B12" s="131">
        <f ca="1">IF(OR(D12="",D12=0),"",_xll.meDateFromTenor(COB,C12,$T12,$U12))</f>
        <v>42523</v>
      </c>
      <c r="C12" s="139" t="s">
        <v>191</v>
      </c>
      <c r="D12" s="133">
        <v>1000000</v>
      </c>
      <c r="E12" s="133" t="s">
        <v>17</v>
      </c>
      <c r="F12" s="134" t="s">
        <v>176</v>
      </c>
      <c r="G12" s="135" t="s">
        <v>59</v>
      </c>
      <c r="H12" s="136">
        <v>0.01</v>
      </c>
      <c r="I12" s="166" t="s">
        <v>205</v>
      </c>
      <c r="J12" s="137">
        <v>0</v>
      </c>
      <c r="K12" s="238">
        <f>'EUR SWAP 3ML'!$L$40</f>
        <v>-2.6099999999999999E-3</v>
      </c>
      <c r="L12" s="135" t="s">
        <v>193</v>
      </c>
      <c r="M12" s="199"/>
      <c r="N12" s="277">
        <f t="shared" si="0"/>
        <v>1000000</v>
      </c>
      <c r="O12" s="252" t="str">
        <f t="shared" si="1"/>
        <v>PAYER</v>
      </c>
      <c r="P12" s="255">
        <f t="shared" ca="1" si="7"/>
        <v>42523</v>
      </c>
      <c r="Q12" s="255" t="str">
        <f t="shared" si="8"/>
        <v>9Y</v>
      </c>
      <c r="R12" s="249" t="s">
        <v>26</v>
      </c>
      <c r="S12" s="254" t="s">
        <v>20</v>
      </c>
      <c r="T12" s="249" t="s">
        <v>22</v>
      </c>
      <c r="U12" s="249" t="s">
        <v>2</v>
      </c>
      <c r="V12" s="255"/>
      <c r="W12" s="255"/>
      <c r="X12" s="256">
        <f t="shared" ca="1" si="9"/>
        <v>2</v>
      </c>
      <c r="Y12" s="257" t="s">
        <v>177</v>
      </c>
      <c r="Z12" s="254" t="s">
        <v>178</v>
      </c>
      <c r="AA12" s="252" t="str">
        <f t="shared" si="2"/>
        <v>EUR3ML</v>
      </c>
      <c r="AB12" s="256" t="str">
        <f t="shared" si="10"/>
        <v>Quarterly</v>
      </c>
      <c r="AC12" s="254" t="s">
        <v>6</v>
      </c>
      <c r="AD12" s="249" t="s">
        <v>22</v>
      </c>
      <c r="AE12" s="249" t="s">
        <v>2</v>
      </c>
      <c r="AF12" s="255"/>
      <c r="AG12" s="255"/>
      <c r="AH12" s="256">
        <f t="shared" ca="1" si="11"/>
        <v>2</v>
      </c>
      <c r="AI12" s="257" t="s">
        <v>177</v>
      </c>
      <c r="AJ12" s="258">
        <f t="shared" si="12"/>
        <v>-2.6099999999999999E-3</v>
      </c>
      <c r="AK12" s="258"/>
      <c r="AL12" s="257" t="s">
        <v>177</v>
      </c>
      <c r="AM12" s="254" t="s">
        <v>178</v>
      </c>
      <c r="AN12" s="255" t="str">
        <f t="shared" si="13"/>
        <v>EURYC</v>
      </c>
      <c r="AO12" s="252" t="str">
        <f t="shared" si="3"/>
        <v>EURDF_NOCSA</v>
      </c>
      <c r="AP12" s="259">
        <f t="shared" si="4"/>
        <v>0</v>
      </c>
      <c r="AQ12" s="279">
        <f t="shared" si="5"/>
        <v>0.01</v>
      </c>
      <c r="AR12" s="281" t="s">
        <v>4</v>
      </c>
      <c r="AS12" s="180">
        <f ca="1">IF(AND(NOW(),isEUR3MLLoaded),IF(OR($D12="",$D12=0),"",_xll.meProductSwapParRate(_xll.meUtilityLVBFromKeysValues($P$5:$AP$5,$P12:$AP12))),"Please Load Yield Curves")</f>
        <v>3.3225006274950415E-3</v>
      </c>
      <c r="AT12" s="260">
        <f ca="1">IF(AND(NOW(),isEUR3MLLoaded),IF(OR($D12="",$D12=0),"",_xll.meProductSwapPV(_xll.meUtilityLVBFromKeysValues($N$5:$AQ$5,$N12:$AQ12))),"Please Load Yield Curves")</f>
        <v>-60411.661270002529</v>
      </c>
      <c r="AU12" s="260">
        <f ca="1">IF(AND(NOW(),isEUR3MLLoaded),IF(OR($D12="",$D12=0),"",_xll.meProductSwapPV01(_xll.meUtilityLVBFromKeysValues($N$5:$AQ$5,$N12:$AQ12),FALSE)),"Please Load Yield Curves")</f>
        <v>904.70485880914498</v>
      </c>
      <c r="AV12" s="195">
        <f ca="1">IF(AND(NOW(),isEUR3MLLoaded),IF(OR($D12="",$D12=0),"",_xll.meProductSwapDV01(_xll.meUtilityLVBFromKeysValues($N$5:$AQ$5,$N12:$AQ12))),"Please Load Yield Curves")</f>
        <v>868.65875019093437</v>
      </c>
      <c r="AW12" s="77"/>
      <c r="AX12" s="149" t="str">
        <v>9Y</v>
      </c>
      <c r="AY12" s="151">
        <v>3.3224999999999999E-3</v>
      </c>
      <c r="AZ12" s="156">
        <f t="shared" ca="1" si="6"/>
        <v>6.2749504160450331E-6</v>
      </c>
    </row>
    <row r="13" spans="1:52" x14ac:dyDescent="0.25">
      <c r="A13" s="114">
        <v>8</v>
      </c>
      <c r="B13" s="131">
        <f ca="1">IF(OR(D13="",D13=0),"",_xll.meDateFromTenor(COB,C13,$T13,$U13))</f>
        <v>42523</v>
      </c>
      <c r="C13" s="139" t="s">
        <v>191</v>
      </c>
      <c r="D13" s="133">
        <v>1000000</v>
      </c>
      <c r="E13" s="133" t="s">
        <v>17</v>
      </c>
      <c r="F13" s="134" t="s">
        <v>176</v>
      </c>
      <c r="G13" s="135" t="s">
        <v>60</v>
      </c>
      <c r="H13" s="136">
        <v>0.01</v>
      </c>
      <c r="I13" s="166" t="s">
        <v>205</v>
      </c>
      <c r="J13" s="137">
        <v>0</v>
      </c>
      <c r="K13" s="238">
        <f>'EUR SWAP 3ML'!$L$40</f>
        <v>-2.6099999999999999E-3</v>
      </c>
      <c r="L13" s="135" t="s">
        <v>193</v>
      </c>
      <c r="M13" s="199"/>
      <c r="N13" s="277">
        <f t="shared" si="0"/>
        <v>1000000</v>
      </c>
      <c r="O13" s="252" t="str">
        <f t="shared" si="1"/>
        <v>PAYER</v>
      </c>
      <c r="P13" s="255">
        <f t="shared" ca="1" si="7"/>
        <v>42523</v>
      </c>
      <c r="Q13" s="255" t="str">
        <f t="shared" si="8"/>
        <v>10Y</v>
      </c>
      <c r="R13" s="249" t="s">
        <v>26</v>
      </c>
      <c r="S13" s="254" t="s">
        <v>20</v>
      </c>
      <c r="T13" s="249" t="s">
        <v>22</v>
      </c>
      <c r="U13" s="249" t="s">
        <v>2</v>
      </c>
      <c r="V13" s="255"/>
      <c r="W13" s="255"/>
      <c r="X13" s="256">
        <f t="shared" ca="1" si="9"/>
        <v>2</v>
      </c>
      <c r="Y13" s="257" t="s">
        <v>177</v>
      </c>
      <c r="Z13" s="254" t="s">
        <v>178</v>
      </c>
      <c r="AA13" s="252" t="str">
        <f t="shared" si="2"/>
        <v>EUR3ML</v>
      </c>
      <c r="AB13" s="256" t="str">
        <f t="shared" si="10"/>
        <v>Quarterly</v>
      </c>
      <c r="AC13" s="254" t="s">
        <v>6</v>
      </c>
      <c r="AD13" s="249" t="s">
        <v>22</v>
      </c>
      <c r="AE13" s="249" t="s">
        <v>2</v>
      </c>
      <c r="AF13" s="255"/>
      <c r="AG13" s="255"/>
      <c r="AH13" s="256">
        <f t="shared" ca="1" si="11"/>
        <v>2</v>
      </c>
      <c r="AI13" s="257" t="s">
        <v>177</v>
      </c>
      <c r="AJ13" s="258">
        <f t="shared" si="12"/>
        <v>-2.6099999999999999E-3</v>
      </c>
      <c r="AK13" s="258"/>
      <c r="AL13" s="257" t="s">
        <v>177</v>
      </c>
      <c r="AM13" s="254" t="s">
        <v>178</v>
      </c>
      <c r="AN13" s="255" t="str">
        <f t="shared" si="13"/>
        <v>EURYC</v>
      </c>
      <c r="AO13" s="252" t="str">
        <f t="shared" si="3"/>
        <v>EURDF_NOCSA</v>
      </c>
      <c r="AP13" s="259">
        <f t="shared" si="4"/>
        <v>0</v>
      </c>
      <c r="AQ13" s="279">
        <f t="shared" si="5"/>
        <v>0.01</v>
      </c>
      <c r="AR13" s="281" t="s">
        <v>4</v>
      </c>
      <c r="AS13" s="180">
        <f ca="1">IF(AND(NOW(),isEUR3MLLoaded),IF(OR($D13="",$D13=0),"",_xll.meProductSwapParRate(_xll.meUtilityLVBFromKeysValues($P$5:$AP$5,$P13:$AP13))),"Please Load Yield Curves")</f>
        <v>4.4425005960946166E-3</v>
      </c>
      <c r="AT13" s="260">
        <f ca="1">IF(AND(NOW(),isEUR3MLLoaded),IF(OR($D13="",$D13=0),"",_xll.meProductSwapPV(_xll.meUtilityLVBFromKeysValues($N$5:$AQ$5,$N13:$AQ13))),"Please Load Yield Curves")</f>
        <v>-55676.141883974298</v>
      </c>
      <c r="AU13" s="260">
        <f ca="1">IF(AND(NOW(),isEUR3MLLoaded),IF(OR($D13="",$D13=0),"",_xll.meProductSwapPV01(_xll.meUtilityLVBFromKeysValues($N$5:$AQ$5,$N13:$AQ13),FALSE)),"Please Load Yield Curves")</f>
        <v>1001.8200243953131</v>
      </c>
      <c r="AV13" s="195">
        <f ca="1">IF(AND(NOW(),isEUR3MLLoaded),IF(OR($D13="",$D13=0),"",_xll.meProductSwapDV01(_xll.meUtilityLVBFromKeysValues($N$5:$AQ$5,$N13:$AQ13))),"Please Load Yield Curves")</f>
        <v>965.12308174240991</v>
      </c>
      <c r="AW13" s="77"/>
      <c r="AX13" s="149" t="str">
        <v>10Y</v>
      </c>
      <c r="AY13" s="151">
        <v>4.4425000000000003E-3</v>
      </c>
      <c r="AZ13" s="156">
        <f t="shared" ca="1" si="6"/>
        <v>5.9609461637577521E-6</v>
      </c>
    </row>
    <row r="14" spans="1:52" x14ac:dyDescent="0.25">
      <c r="A14" s="114">
        <v>9</v>
      </c>
      <c r="B14" s="131">
        <f ca="1">IF(OR(D14="",D14=0),"",_xll.meDateFromTenor(COB,C14,$T14,$U14))</f>
        <v>42523</v>
      </c>
      <c r="C14" s="139" t="s">
        <v>191</v>
      </c>
      <c r="D14" s="133">
        <v>1000000</v>
      </c>
      <c r="E14" s="133" t="s">
        <v>17</v>
      </c>
      <c r="F14" s="134" t="s">
        <v>176</v>
      </c>
      <c r="G14" s="135" t="s">
        <v>61</v>
      </c>
      <c r="H14" s="136">
        <v>0.01</v>
      </c>
      <c r="I14" s="166" t="s">
        <v>205</v>
      </c>
      <c r="J14" s="137">
        <v>0</v>
      </c>
      <c r="K14" s="238">
        <f>'EUR SWAP 3ML'!$L$40</f>
        <v>-2.6099999999999999E-3</v>
      </c>
      <c r="L14" s="135" t="s">
        <v>193</v>
      </c>
      <c r="M14" s="199"/>
      <c r="N14" s="277">
        <f t="shared" si="0"/>
        <v>1000000</v>
      </c>
      <c r="O14" s="252" t="str">
        <f t="shared" si="1"/>
        <v>PAYER</v>
      </c>
      <c r="P14" s="255">
        <f t="shared" ca="1" si="7"/>
        <v>42523</v>
      </c>
      <c r="Q14" s="255" t="str">
        <f t="shared" si="8"/>
        <v>11Y</v>
      </c>
      <c r="R14" s="249" t="s">
        <v>26</v>
      </c>
      <c r="S14" s="254" t="s">
        <v>20</v>
      </c>
      <c r="T14" s="249" t="s">
        <v>22</v>
      </c>
      <c r="U14" s="249" t="s">
        <v>2</v>
      </c>
      <c r="V14" s="255"/>
      <c r="W14" s="255"/>
      <c r="X14" s="256">
        <f t="shared" ca="1" si="9"/>
        <v>2</v>
      </c>
      <c r="Y14" s="257" t="s">
        <v>177</v>
      </c>
      <c r="Z14" s="254" t="s">
        <v>178</v>
      </c>
      <c r="AA14" s="252" t="str">
        <f t="shared" si="2"/>
        <v>EUR3ML</v>
      </c>
      <c r="AB14" s="256" t="str">
        <f t="shared" si="10"/>
        <v>Quarterly</v>
      </c>
      <c r="AC14" s="254" t="s">
        <v>6</v>
      </c>
      <c r="AD14" s="249" t="s">
        <v>22</v>
      </c>
      <c r="AE14" s="249" t="s">
        <v>2</v>
      </c>
      <c r="AF14" s="255"/>
      <c r="AG14" s="255"/>
      <c r="AH14" s="256">
        <f t="shared" ca="1" si="11"/>
        <v>2</v>
      </c>
      <c r="AI14" s="257" t="s">
        <v>177</v>
      </c>
      <c r="AJ14" s="258">
        <f t="shared" si="12"/>
        <v>-2.6099999999999999E-3</v>
      </c>
      <c r="AK14" s="258"/>
      <c r="AL14" s="257" t="s">
        <v>177</v>
      </c>
      <c r="AM14" s="254" t="s">
        <v>178</v>
      </c>
      <c r="AN14" s="255" t="str">
        <f t="shared" si="13"/>
        <v>EURYC</v>
      </c>
      <c r="AO14" s="252" t="str">
        <f t="shared" si="3"/>
        <v>EURDF_NOCSA</v>
      </c>
      <c r="AP14" s="259">
        <f t="shared" si="4"/>
        <v>0</v>
      </c>
      <c r="AQ14" s="279">
        <f t="shared" si="5"/>
        <v>0.01</v>
      </c>
      <c r="AR14" s="281" t="s">
        <v>4</v>
      </c>
      <c r="AS14" s="180">
        <f ca="1">IF(AND(NOW(),isEUR3MLLoaded),IF(OR($D14="",$D14=0),"",_xll.meProductSwapParRate(_xll.meUtilityLVBFromKeysValues($P$5:$AP$5,$P14:$AP14))),"Please Load Yield Curves")</f>
        <v>5.4333403380909017E-3</v>
      </c>
      <c r="AT14" s="260">
        <f ca="1">IF(AND(NOW(),isEUR3MLLoaded),IF(OR($D14="",$D14=0),"",_xll.meProductSwapPV(_xll.meUtilityLVBFromKeysValues($N$5:$AQ$5,$N14:$AQ14))),"Please Load Yield Curves")</f>
        <v>-50119.916961791343</v>
      </c>
      <c r="AU14" s="260">
        <f ca="1">IF(AND(NOW(),isEUR3MLLoaded),IF(OR($D14="",$D14=0),"",_xll.meProductSwapPV01(_xll.meUtilityLVBFromKeysValues($N$5:$AQ$5,$N14:$AQ14),FALSE)),"Please Load Yield Curves")</f>
        <v>1097.5181132906814</v>
      </c>
      <c r="AV14" s="195">
        <f ca="1">IF(AND(NOW(),isEUR3MLLoaded),IF(OR($D14="",$D14=0),"",_xll.meProductSwapDV01(_xll.meUtilityLVBFromKeysValues($N$5:$AQ$5,$N14:$AQ14))),"Please Load Yield Curves")</f>
        <v>1061.4952978383471</v>
      </c>
      <c r="AW14" s="77"/>
      <c r="AX14" s="149" t="str">
        <v>11Y</v>
      </c>
      <c r="AY14" s="151">
        <v>5.43334E-3</v>
      </c>
      <c r="AZ14" s="156">
        <f t="shared" ca="1" si="6"/>
        <v>3.3809090162900679E-6</v>
      </c>
    </row>
    <row r="15" spans="1:52" x14ac:dyDescent="0.25">
      <c r="A15" s="114">
        <v>10</v>
      </c>
      <c r="B15" s="131">
        <f ca="1">IF(OR(D15="",D15=0),"",_xll.meDateFromTenor(COB,C15,$T15,$U15))</f>
        <v>42523</v>
      </c>
      <c r="C15" s="139" t="s">
        <v>191</v>
      </c>
      <c r="D15" s="133">
        <v>1000000</v>
      </c>
      <c r="E15" s="133" t="s">
        <v>17</v>
      </c>
      <c r="F15" s="134" t="s">
        <v>176</v>
      </c>
      <c r="G15" s="135" t="s">
        <v>62</v>
      </c>
      <c r="H15" s="136">
        <v>0.01</v>
      </c>
      <c r="I15" s="166" t="s">
        <v>205</v>
      </c>
      <c r="J15" s="137">
        <v>0</v>
      </c>
      <c r="K15" s="238">
        <f>'EUR SWAP 3ML'!$L$40</f>
        <v>-2.6099999999999999E-3</v>
      </c>
      <c r="L15" s="135" t="s">
        <v>193</v>
      </c>
      <c r="M15" s="199"/>
      <c r="N15" s="277">
        <f t="shared" si="0"/>
        <v>1000000</v>
      </c>
      <c r="O15" s="252" t="str">
        <f t="shared" si="1"/>
        <v>PAYER</v>
      </c>
      <c r="P15" s="255">
        <f t="shared" ca="1" si="7"/>
        <v>42523</v>
      </c>
      <c r="Q15" s="255" t="str">
        <f t="shared" si="8"/>
        <v>12Y</v>
      </c>
      <c r="R15" s="249" t="s">
        <v>26</v>
      </c>
      <c r="S15" s="254" t="s">
        <v>20</v>
      </c>
      <c r="T15" s="249" t="s">
        <v>22</v>
      </c>
      <c r="U15" s="249" t="s">
        <v>2</v>
      </c>
      <c r="V15" s="255"/>
      <c r="W15" s="255"/>
      <c r="X15" s="256">
        <f t="shared" ca="1" si="9"/>
        <v>2</v>
      </c>
      <c r="Y15" s="257" t="s">
        <v>177</v>
      </c>
      <c r="Z15" s="254" t="s">
        <v>178</v>
      </c>
      <c r="AA15" s="252" t="str">
        <f t="shared" si="2"/>
        <v>EUR3ML</v>
      </c>
      <c r="AB15" s="256" t="str">
        <f t="shared" si="10"/>
        <v>Quarterly</v>
      </c>
      <c r="AC15" s="254" t="s">
        <v>6</v>
      </c>
      <c r="AD15" s="249" t="s">
        <v>22</v>
      </c>
      <c r="AE15" s="249" t="s">
        <v>2</v>
      </c>
      <c r="AF15" s="255"/>
      <c r="AG15" s="255"/>
      <c r="AH15" s="256">
        <f t="shared" ca="1" si="11"/>
        <v>2</v>
      </c>
      <c r="AI15" s="257" t="s">
        <v>177</v>
      </c>
      <c r="AJ15" s="258">
        <f t="shared" si="12"/>
        <v>-2.6099999999999999E-3</v>
      </c>
      <c r="AK15" s="258"/>
      <c r="AL15" s="257" t="s">
        <v>177</v>
      </c>
      <c r="AM15" s="254" t="s">
        <v>178</v>
      </c>
      <c r="AN15" s="255" t="str">
        <f t="shared" si="13"/>
        <v>EURYC</v>
      </c>
      <c r="AO15" s="252" t="str">
        <f t="shared" si="3"/>
        <v>EURDF_NOCSA</v>
      </c>
      <c r="AP15" s="259">
        <f t="shared" si="4"/>
        <v>0</v>
      </c>
      <c r="AQ15" s="279">
        <f t="shared" si="5"/>
        <v>0.01</v>
      </c>
      <c r="AR15" s="281" t="s">
        <v>4</v>
      </c>
      <c r="AS15" s="180">
        <f ca="1">IF(AND(NOW(),isEUR3MLLoaded),IF(OR($D15="",$D15=0),"",_xll.meProductSwapParRate(_xll.meUtilityLVBFromKeysValues($P$5:$AP$5,$P15:$AP15))),"Please Load Yield Curves")</f>
        <v>6.345840230829067E-3</v>
      </c>
      <c r="AT15" s="260">
        <f ca="1">IF(AND(NOW(),isEUR3MLLoaded),IF(OR($D15="",$D15=0),"",_xll.meProductSwapPV(_xll.meUtilityLVBFromKeysValues($N$5:$AQ$5,$N15:$AQ15))),"Please Load Yield Curves")</f>
        <v>-43548.477854124438</v>
      </c>
      <c r="AU15" s="260">
        <f ca="1">IF(AND(NOW(),isEUR3MLLoaded),IF(OR($D15="",$D15=0),"",_xll.meProductSwapPV01(_xll.meUtilityLVBFromKeysValues($N$5:$AQ$5,$N15:$AQ15),FALSE)),"Please Load Yield Curves")</f>
        <v>1191.750788280526</v>
      </c>
      <c r="AV15" s="195">
        <f ca="1">IF(AND(NOW(),isEUR3MLLoaded),IF(OR($D15="",$D15=0),"",_xll.meProductSwapDV01(_xll.meUtilityLVBFromKeysValues($N$5:$AQ$5,$N15:$AQ15))),"Please Load Yield Curves")</f>
        <v>1157.9133254078963</v>
      </c>
      <c r="AW15" s="77"/>
      <c r="AX15" s="149" t="str">
        <v>12Y</v>
      </c>
      <c r="AY15" s="151">
        <v>6.3458400000000002E-3</v>
      </c>
      <c r="AZ15" s="156">
        <f t="shared" ca="1" si="6"/>
        <v>2.3082906679822157E-6</v>
      </c>
    </row>
    <row r="16" spans="1:52" x14ac:dyDescent="0.25">
      <c r="A16" s="114">
        <v>11</v>
      </c>
      <c r="B16" s="131">
        <f ca="1">IF(OR(D16="",D16=0),"",_xll.meDateFromTenor(COB,C16,$T16,$U16))</f>
        <v>42523</v>
      </c>
      <c r="C16" s="139" t="s">
        <v>191</v>
      </c>
      <c r="D16" s="133">
        <v>1000000</v>
      </c>
      <c r="E16" s="133" t="s">
        <v>17</v>
      </c>
      <c r="F16" s="134" t="s">
        <v>176</v>
      </c>
      <c r="G16" s="135" t="s">
        <v>63</v>
      </c>
      <c r="H16" s="136">
        <v>0.01</v>
      </c>
      <c r="I16" s="166" t="s">
        <v>205</v>
      </c>
      <c r="J16" s="137">
        <v>0</v>
      </c>
      <c r="K16" s="238">
        <f>'EUR SWAP 3ML'!$L$40</f>
        <v>-2.6099999999999999E-3</v>
      </c>
      <c r="L16" s="135" t="s">
        <v>193</v>
      </c>
      <c r="M16" s="199"/>
      <c r="N16" s="277">
        <f t="shared" si="0"/>
        <v>1000000</v>
      </c>
      <c r="O16" s="252" t="str">
        <f t="shared" si="1"/>
        <v>PAYER</v>
      </c>
      <c r="P16" s="255">
        <f t="shared" ca="1" si="7"/>
        <v>42523</v>
      </c>
      <c r="Q16" s="255" t="str">
        <f t="shared" si="8"/>
        <v>15Y</v>
      </c>
      <c r="R16" s="249" t="s">
        <v>26</v>
      </c>
      <c r="S16" s="254" t="s">
        <v>20</v>
      </c>
      <c r="T16" s="249" t="s">
        <v>22</v>
      </c>
      <c r="U16" s="249" t="s">
        <v>2</v>
      </c>
      <c r="V16" s="255"/>
      <c r="W16" s="255"/>
      <c r="X16" s="256">
        <f t="shared" ca="1" si="9"/>
        <v>2</v>
      </c>
      <c r="Y16" s="257" t="s">
        <v>177</v>
      </c>
      <c r="Z16" s="254" t="s">
        <v>178</v>
      </c>
      <c r="AA16" s="252" t="str">
        <f t="shared" si="2"/>
        <v>EUR3ML</v>
      </c>
      <c r="AB16" s="256" t="str">
        <f t="shared" si="10"/>
        <v>Quarterly</v>
      </c>
      <c r="AC16" s="254" t="s">
        <v>6</v>
      </c>
      <c r="AD16" s="249" t="s">
        <v>22</v>
      </c>
      <c r="AE16" s="249" t="s">
        <v>2</v>
      </c>
      <c r="AF16" s="255"/>
      <c r="AG16" s="255"/>
      <c r="AH16" s="256">
        <f t="shared" ca="1" si="11"/>
        <v>2</v>
      </c>
      <c r="AI16" s="257" t="s">
        <v>177</v>
      </c>
      <c r="AJ16" s="258">
        <f t="shared" si="12"/>
        <v>-2.6099999999999999E-3</v>
      </c>
      <c r="AK16" s="258"/>
      <c r="AL16" s="257" t="s">
        <v>177</v>
      </c>
      <c r="AM16" s="254" t="s">
        <v>178</v>
      </c>
      <c r="AN16" s="255" t="str">
        <f t="shared" si="13"/>
        <v>EURYC</v>
      </c>
      <c r="AO16" s="252" t="str">
        <f t="shared" si="3"/>
        <v>EURDF_NOCSA</v>
      </c>
      <c r="AP16" s="259">
        <f t="shared" si="4"/>
        <v>0</v>
      </c>
      <c r="AQ16" s="279">
        <f t="shared" si="5"/>
        <v>0.01</v>
      </c>
      <c r="AR16" s="281" t="s">
        <v>4</v>
      </c>
      <c r="AS16" s="180">
        <f ca="1">IF(AND(NOW(),isEUR3MLLoaded),IF(OR($D16="",$D16=0),"",_xll.meProductSwapParRate(_xll.meUtilityLVBFromKeysValues($P$5:$AP$5,$P16:$AP16))),"Please Load Yield Curves")</f>
        <v>8.4325000370870599E-3</v>
      </c>
      <c r="AT16" s="260">
        <f ca="1">IF(AND(NOW(),isEUR3MLLoaded),IF(OR($D16="",$D16=0),"",_xll.meProductSwapPV(_xll.meUtilityLVBFromKeysValues($N$5:$AQ$5,$N16:$AQ16))),"Please Load Yield Curves")</f>
        <v>-22973.208327523975</v>
      </c>
      <c r="AU16" s="260">
        <f ca="1">IF(AND(NOW(),isEUR3MLLoaded),IF(OR($D16="",$D16=0),"",_xll.meProductSwapPV01(_xll.meUtilityLVBFromKeysValues($N$5:$AQ$5,$N16:$AQ16),FALSE)),"Please Load Yield Curves")</f>
        <v>1465.5954622692336</v>
      </c>
      <c r="AV16" s="195">
        <f ca="1">IF(AND(NOW(),isEUR3MLLoaded),IF(OR($D16="",$D16=0),"",_xll.meProductSwapDV01(_xll.meUtilityLVBFromKeysValues($N$5:$AQ$5,$N16:$AQ16))),"Please Load Yield Curves")</f>
        <v>1444.0113048286723</v>
      </c>
      <c r="AW16" s="77"/>
      <c r="AX16" s="149" t="str">
        <v>15Y</v>
      </c>
      <c r="AY16" s="151">
        <v>8.432499999999999E-3</v>
      </c>
      <c r="AZ16" s="156">
        <f t="shared" ca="1" si="6"/>
        <v>3.7087060852925013E-7</v>
      </c>
    </row>
    <row r="17" spans="1:53" x14ac:dyDescent="0.25">
      <c r="A17" s="114">
        <v>12</v>
      </c>
      <c r="B17" s="131">
        <f ca="1">IF(OR(D17="",D17=0),"",_xll.meDateFromTenor(COB,C17,$T17,$U17))</f>
        <v>42523</v>
      </c>
      <c r="C17" s="139" t="s">
        <v>191</v>
      </c>
      <c r="D17" s="133">
        <v>1000000</v>
      </c>
      <c r="E17" s="133" t="s">
        <v>17</v>
      </c>
      <c r="F17" s="134" t="s">
        <v>176</v>
      </c>
      <c r="G17" s="135" t="s">
        <v>64</v>
      </c>
      <c r="H17" s="136">
        <v>0.01</v>
      </c>
      <c r="I17" s="166" t="s">
        <v>205</v>
      </c>
      <c r="J17" s="137">
        <v>0</v>
      </c>
      <c r="K17" s="238">
        <f>'EUR SWAP 3ML'!$L$40</f>
        <v>-2.6099999999999999E-3</v>
      </c>
      <c r="L17" s="135" t="s">
        <v>193</v>
      </c>
      <c r="M17" s="199"/>
      <c r="N17" s="277">
        <f t="shared" si="0"/>
        <v>1000000</v>
      </c>
      <c r="O17" s="252" t="str">
        <f t="shared" si="1"/>
        <v>PAYER</v>
      </c>
      <c r="P17" s="255">
        <f t="shared" ca="1" si="7"/>
        <v>42523</v>
      </c>
      <c r="Q17" s="255" t="str">
        <f t="shared" si="8"/>
        <v>20Y</v>
      </c>
      <c r="R17" s="249" t="s">
        <v>26</v>
      </c>
      <c r="S17" s="254" t="s">
        <v>20</v>
      </c>
      <c r="T17" s="249" t="s">
        <v>22</v>
      </c>
      <c r="U17" s="249" t="s">
        <v>2</v>
      </c>
      <c r="V17" s="255"/>
      <c r="W17" s="255"/>
      <c r="X17" s="256">
        <f t="shared" ca="1" si="9"/>
        <v>2</v>
      </c>
      <c r="Y17" s="257" t="s">
        <v>177</v>
      </c>
      <c r="Z17" s="254" t="s">
        <v>178</v>
      </c>
      <c r="AA17" s="252" t="str">
        <f t="shared" si="2"/>
        <v>EUR3ML</v>
      </c>
      <c r="AB17" s="256" t="str">
        <f t="shared" si="10"/>
        <v>Quarterly</v>
      </c>
      <c r="AC17" s="254" t="s">
        <v>6</v>
      </c>
      <c r="AD17" s="249" t="s">
        <v>22</v>
      </c>
      <c r="AE17" s="249" t="s">
        <v>2</v>
      </c>
      <c r="AF17" s="255"/>
      <c r="AG17" s="255"/>
      <c r="AH17" s="256">
        <f t="shared" ca="1" si="11"/>
        <v>2</v>
      </c>
      <c r="AI17" s="257" t="s">
        <v>177</v>
      </c>
      <c r="AJ17" s="258">
        <f t="shared" si="12"/>
        <v>-2.6099999999999999E-3</v>
      </c>
      <c r="AK17" s="258"/>
      <c r="AL17" s="257" t="s">
        <v>177</v>
      </c>
      <c r="AM17" s="254" t="s">
        <v>178</v>
      </c>
      <c r="AN17" s="255" t="str">
        <f t="shared" si="13"/>
        <v>EURYC</v>
      </c>
      <c r="AO17" s="252" t="str">
        <f t="shared" si="3"/>
        <v>EURDF_NOCSA</v>
      </c>
      <c r="AP17" s="259">
        <f t="shared" si="4"/>
        <v>0</v>
      </c>
      <c r="AQ17" s="279">
        <f t="shared" si="5"/>
        <v>0.01</v>
      </c>
      <c r="AR17" s="281" t="s">
        <v>4</v>
      </c>
      <c r="AS17" s="180">
        <f ca="1">IF(AND(NOW(),isEUR3MLLoaded),IF(OR($D17="",$D17=0),"",_xll.meProductSwapParRate(_xll.meUtilityLVBFromKeysValues($P$5:$AP$5,$P17:$AP17))),"Please Load Yield Curves")</f>
        <v>1.0167499929526433E-2</v>
      </c>
      <c r="AT17" s="260">
        <f ca="1">IF(AND(NOW(),isEUR3MLLoaded),IF(OR($D17="",$D17=0),"",_xll.meProductSwapPV(_xll.meUtilityLVBFromKeysValues($N$5:$AQ$5,$N17:$AQ17))),"Please Load Yield Curves")</f>
        <v>3172.8990780377221</v>
      </c>
      <c r="AU17" s="260">
        <f ca="1">IF(AND(NOW(),isEUR3MLLoaded),IF(OR($D17="",$D17=0),"",_xll.meProductSwapPV01(_xll.meUtilityLVBFromKeysValues($N$5:$AQ$5,$N17:$AQ17),FALSE)),"Please Load Yield Curves")</f>
        <v>1894.2689032815456</v>
      </c>
      <c r="AV17" s="195">
        <f ca="1">IF(AND(NOW(),isEUR3MLLoaded),IF(OR($D17="",$D17=0),"",_xll.meProductSwapDV01(_xll.meUtilityLVBFromKeysValues($N$5:$AQ$5,$N17:$AQ17))),"Please Load Yield Curves")</f>
        <v>1898.0013837270258</v>
      </c>
      <c r="AW17" s="77"/>
      <c r="AX17" s="149" t="str">
        <v>20Y</v>
      </c>
      <c r="AY17" s="151">
        <v>1.0167500000000001E-2</v>
      </c>
      <c r="AZ17" s="156">
        <f t="shared" ca="1" si="6"/>
        <v>-7.0473567953532879E-7</v>
      </c>
    </row>
    <row r="18" spans="1:53" x14ac:dyDescent="0.25">
      <c r="A18" s="114">
        <v>13</v>
      </c>
      <c r="B18" s="131">
        <f ca="1">IF(OR(D18="",D18=0),"",_xll.meDateFromTenor(COB,C18,$T18,$U18))</f>
        <v>42523</v>
      </c>
      <c r="C18" s="139" t="s">
        <v>191</v>
      </c>
      <c r="D18" s="133">
        <v>1000000</v>
      </c>
      <c r="E18" s="133" t="s">
        <v>17</v>
      </c>
      <c r="F18" s="134" t="s">
        <v>176</v>
      </c>
      <c r="G18" s="135" t="s">
        <v>65</v>
      </c>
      <c r="H18" s="136">
        <v>0.01</v>
      </c>
      <c r="I18" s="166" t="s">
        <v>205</v>
      </c>
      <c r="J18" s="137">
        <v>0</v>
      </c>
      <c r="K18" s="238">
        <f>'EUR SWAP 3ML'!$L$40</f>
        <v>-2.6099999999999999E-3</v>
      </c>
      <c r="L18" s="135" t="s">
        <v>193</v>
      </c>
      <c r="M18" s="199"/>
      <c r="N18" s="277">
        <f t="shared" si="0"/>
        <v>1000000</v>
      </c>
      <c r="O18" s="252" t="str">
        <f t="shared" si="1"/>
        <v>PAYER</v>
      </c>
      <c r="P18" s="255">
        <f t="shared" ca="1" si="7"/>
        <v>42523</v>
      </c>
      <c r="Q18" s="255" t="str">
        <f t="shared" si="8"/>
        <v>25Y</v>
      </c>
      <c r="R18" s="249" t="s">
        <v>26</v>
      </c>
      <c r="S18" s="254" t="s">
        <v>20</v>
      </c>
      <c r="T18" s="249" t="s">
        <v>22</v>
      </c>
      <c r="U18" s="249" t="s">
        <v>2</v>
      </c>
      <c r="V18" s="255"/>
      <c r="W18" s="255"/>
      <c r="X18" s="256">
        <f t="shared" ca="1" si="9"/>
        <v>2</v>
      </c>
      <c r="Y18" s="257" t="s">
        <v>177</v>
      </c>
      <c r="Z18" s="254" t="s">
        <v>178</v>
      </c>
      <c r="AA18" s="252" t="str">
        <f t="shared" si="2"/>
        <v>EUR3ML</v>
      </c>
      <c r="AB18" s="256" t="str">
        <f t="shared" si="10"/>
        <v>Quarterly</v>
      </c>
      <c r="AC18" s="254" t="s">
        <v>6</v>
      </c>
      <c r="AD18" s="249" t="s">
        <v>22</v>
      </c>
      <c r="AE18" s="249" t="s">
        <v>2</v>
      </c>
      <c r="AF18" s="255"/>
      <c r="AG18" s="255"/>
      <c r="AH18" s="256">
        <f t="shared" ca="1" si="11"/>
        <v>2</v>
      </c>
      <c r="AI18" s="257" t="s">
        <v>177</v>
      </c>
      <c r="AJ18" s="258">
        <f t="shared" si="12"/>
        <v>-2.6099999999999999E-3</v>
      </c>
      <c r="AK18" s="258"/>
      <c r="AL18" s="257" t="s">
        <v>177</v>
      </c>
      <c r="AM18" s="254" t="s">
        <v>178</v>
      </c>
      <c r="AN18" s="255" t="str">
        <f t="shared" si="13"/>
        <v>EURYC</v>
      </c>
      <c r="AO18" s="252" t="str">
        <f t="shared" si="3"/>
        <v>EURDF_NOCSA</v>
      </c>
      <c r="AP18" s="259">
        <f t="shared" si="4"/>
        <v>0</v>
      </c>
      <c r="AQ18" s="279">
        <f t="shared" si="5"/>
        <v>0.01</v>
      </c>
      <c r="AR18" s="281" t="s">
        <v>4</v>
      </c>
      <c r="AS18" s="180">
        <f ca="1">IF(AND(NOW(),isEUR3MLLoaded),IF(OR($D18="",$D18=0),"",_xll.meProductSwapParRate(_xll.meUtilityLVBFromKeysValues($P$5:$AP$5,$P18:$AP18))),"Please Load Yield Curves")</f>
        <v>1.0696670082313314E-2</v>
      </c>
      <c r="AT18" s="260">
        <f ca="1">IF(AND(NOW(),isEUR3MLLoaded),IF(OR($D18="",$D18=0),"",_xll.meProductSwapPV(_xll.meUtilityLVBFromKeysValues($N$5:$AQ$5,$N18:$AQ18))),"Please Load Yield Curves")</f>
        <v>15989.302885121431</v>
      </c>
      <c r="AU18" s="260">
        <f ca="1">IF(AND(NOW(),isEUR3MLLoaded),IF(OR($D18="",$D18=0),"",_xll.meProductSwapPV01(_xll.meUtilityLVBFromKeysValues($N$5:$AQ$5,$N18:$AQ18),FALSE)),"Please Load Yield Curves")</f>
        <v>2295.1039941357158</v>
      </c>
      <c r="AV18" s="195">
        <f ca="1">IF(AND(NOW(),isEUR3MLLoaded),IF(OR($D18="",$D18=0),"",_xll.meProductSwapDV01(_xll.meUtilityLVBFromKeysValues($N$5:$AQ$5,$N18:$AQ18))),"Please Load Yield Curves")</f>
        <v>2317.2612123309773</v>
      </c>
      <c r="AW18" s="77"/>
      <c r="AX18" s="149" t="str">
        <v>25Y</v>
      </c>
      <c r="AY18" s="151">
        <v>1.069667E-2</v>
      </c>
      <c r="AZ18" s="156">
        <f t="shared" ca="1" si="6"/>
        <v>8.2313314150872507E-7</v>
      </c>
    </row>
    <row r="19" spans="1:53" x14ac:dyDescent="0.25">
      <c r="A19" s="114">
        <v>14</v>
      </c>
      <c r="B19" s="140">
        <f ca="1">IF(OR(D19="",D19=0),"",_xll.meDateFromTenor(COB,C19,$T19,$U19))</f>
        <v>42523</v>
      </c>
      <c r="C19" s="141" t="s">
        <v>191</v>
      </c>
      <c r="D19" s="142">
        <v>1000000</v>
      </c>
      <c r="E19" s="142" t="s">
        <v>17</v>
      </c>
      <c r="F19" s="143" t="s">
        <v>176</v>
      </c>
      <c r="G19" s="144" t="s">
        <v>66</v>
      </c>
      <c r="H19" s="145">
        <v>0.01</v>
      </c>
      <c r="I19" s="167" t="s">
        <v>205</v>
      </c>
      <c r="J19" s="146">
        <v>0</v>
      </c>
      <c r="K19" s="484">
        <f>'EUR SWAP 3ML'!$L$40</f>
        <v>-2.6099999999999999E-3</v>
      </c>
      <c r="L19" s="144" t="s">
        <v>193</v>
      </c>
      <c r="M19" s="199"/>
      <c r="N19" s="278">
        <f t="shared" si="0"/>
        <v>1000000</v>
      </c>
      <c r="O19" s="253" t="str">
        <f t="shared" si="1"/>
        <v>PAYER</v>
      </c>
      <c r="P19" s="147">
        <f t="shared" ca="1" si="7"/>
        <v>42523</v>
      </c>
      <c r="Q19" s="147" t="str">
        <f t="shared" si="8"/>
        <v>30Y</v>
      </c>
      <c r="R19" s="271" t="s">
        <v>26</v>
      </c>
      <c r="S19" s="272" t="s">
        <v>20</v>
      </c>
      <c r="T19" s="271" t="s">
        <v>22</v>
      </c>
      <c r="U19" s="271" t="s">
        <v>2</v>
      </c>
      <c r="V19" s="147"/>
      <c r="W19" s="147"/>
      <c r="X19" s="263">
        <f t="shared" ca="1" si="9"/>
        <v>2</v>
      </c>
      <c r="Y19" s="273" t="s">
        <v>177</v>
      </c>
      <c r="Z19" s="272" t="s">
        <v>178</v>
      </c>
      <c r="AA19" s="253" t="str">
        <f t="shared" si="2"/>
        <v>EUR3ML</v>
      </c>
      <c r="AB19" s="263" t="str">
        <f t="shared" si="10"/>
        <v>Quarterly</v>
      </c>
      <c r="AC19" s="272" t="s">
        <v>6</v>
      </c>
      <c r="AD19" s="271" t="s">
        <v>22</v>
      </c>
      <c r="AE19" s="271" t="s">
        <v>2</v>
      </c>
      <c r="AF19" s="147"/>
      <c r="AG19" s="147"/>
      <c r="AH19" s="263">
        <f t="shared" ca="1" si="11"/>
        <v>2</v>
      </c>
      <c r="AI19" s="273" t="s">
        <v>177</v>
      </c>
      <c r="AJ19" s="274">
        <f t="shared" si="12"/>
        <v>-2.6099999999999999E-3</v>
      </c>
      <c r="AK19" s="274"/>
      <c r="AL19" s="273" t="s">
        <v>177</v>
      </c>
      <c r="AM19" s="272" t="s">
        <v>178</v>
      </c>
      <c r="AN19" s="147" t="str">
        <f t="shared" si="13"/>
        <v>EURYC</v>
      </c>
      <c r="AO19" s="253" t="str">
        <f t="shared" si="3"/>
        <v>EURDF_NOCSA</v>
      </c>
      <c r="AP19" s="261">
        <f t="shared" si="4"/>
        <v>0</v>
      </c>
      <c r="AQ19" s="280">
        <f t="shared" si="5"/>
        <v>0.01</v>
      </c>
      <c r="AR19" s="281" t="s">
        <v>4</v>
      </c>
      <c r="AS19" s="181">
        <f ca="1">IF(AND(NOW(),isEUR3MLLoaded),IF(OR($D19="",$D19=0),"",_xll.meProductSwapParRate(_xll.meUtilityLVBFromKeysValues($P$5:$AP$5,$P19:$AP19))),"Please Load Yield Curves")</f>
        <v>1.0867500133685502E-2</v>
      </c>
      <c r="AT19" s="148">
        <f ca="1">IF(AND(NOW(),isEUR3MLLoaded),IF(OR($D19="",$D19=0),"",_xll.meProductSwapPV(_xll.meUtilityLVBFromKeysValues($N$5:$AQ$5,$N19:$AQ19))),"Please Load Yield Curves")</f>
        <v>23191.56950636908</v>
      </c>
      <c r="AU19" s="148">
        <f ca="1">IF(AND(NOW(),isEUR3MLLoaded),IF(OR($D19="",$D19=0),"",_xll.meProductSwapPV01(_xll.meUtilityLVBFromKeysValues($N$5:$AQ$5,$N19:$AQ19),FALSE)),"Please Load Yield Curves")</f>
        <v>2673.3793582073149</v>
      </c>
      <c r="AV19" s="196">
        <f ca="1">IF(AND(NOW(),isEUR3MLLoaded),IF(OR($D19="",$D19=0),"",_xll.meProductSwapDV01(_xll.meUtilityLVBFromKeysValues($N$5:$AQ$5,$N19:$AQ19))),"Please Load Yield Curves")</f>
        <v>2710.2024831938711</v>
      </c>
      <c r="AW19" s="77"/>
      <c r="AX19" s="150" t="str">
        <v>30Y</v>
      </c>
      <c r="AY19" s="152">
        <v>1.08675E-2</v>
      </c>
      <c r="AZ19" s="157">
        <f t="shared" ca="1" si="6"/>
        <v>1.3368550190462347E-6</v>
      </c>
    </row>
    <row r="20" spans="1:53" x14ac:dyDescent="0.25">
      <c r="AR20" s="223" t="s">
        <v>4</v>
      </c>
    </row>
    <row r="21" spans="1:53" ht="23.25" x14ac:dyDescent="0.35">
      <c r="B21" s="108" t="s">
        <v>242</v>
      </c>
      <c r="AR21" s="223" t="s">
        <v>4</v>
      </c>
      <c r="AS21" s="109"/>
      <c r="AT21" s="496"/>
      <c r="AU21" s="496"/>
      <c r="AV21" s="171"/>
      <c r="AX21" s="108" t="s">
        <v>243</v>
      </c>
    </row>
    <row r="22" spans="1:53" x14ac:dyDescent="0.25">
      <c r="AR22" s="223" t="s">
        <v>4</v>
      </c>
    </row>
    <row r="23" spans="1:53" x14ac:dyDescent="0.25">
      <c r="A23" s="40"/>
      <c r="B23" s="40" t="s">
        <v>230</v>
      </c>
      <c r="C23" s="40"/>
      <c r="D23" s="40"/>
      <c r="E23" s="40"/>
      <c r="F23" s="40"/>
      <c r="G23" s="40"/>
      <c r="H23" s="40"/>
      <c r="I23" s="40"/>
      <c r="J23" s="40"/>
      <c r="K23" s="40"/>
      <c r="L23" s="40"/>
      <c r="M23" s="40"/>
      <c r="N23" s="223" t="s">
        <v>282</v>
      </c>
      <c r="O23" s="223"/>
      <c r="P23" s="223"/>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23" t="s">
        <v>4</v>
      </c>
      <c r="AS23" s="40"/>
      <c r="AT23" s="40"/>
      <c r="AU23" s="177"/>
      <c r="AV23" s="177"/>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199"/>
      <c r="N24" s="262" t="s">
        <v>175</v>
      </c>
      <c r="O24" s="250" t="s">
        <v>249</v>
      </c>
      <c r="P24" s="250" t="s">
        <v>250</v>
      </c>
      <c r="Q24" s="250" t="s">
        <v>251</v>
      </c>
      <c r="R24" s="250" t="s">
        <v>253</v>
      </c>
      <c r="S24" s="250" t="s">
        <v>254</v>
      </c>
      <c r="T24" s="250" t="s">
        <v>255</v>
      </c>
      <c r="U24" s="250" t="s">
        <v>256</v>
      </c>
      <c r="V24" s="250" t="s">
        <v>283</v>
      </c>
      <c r="W24" s="250" t="s">
        <v>284</v>
      </c>
      <c r="X24" s="250" t="s">
        <v>257</v>
      </c>
      <c r="Y24" s="250" t="s">
        <v>258</v>
      </c>
      <c r="Z24" s="250" t="s">
        <v>259</v>
      </c>
      <c r="AA24" s="250" t="s">
        <v>271</v>
      </c>
      <c r="AB24" s="250" t="s">
        <v>260</v>
      </c>
      <c r="AC24" s="250" t="s">
        <v>261</v>
      </c>
      <c r="AD24" s="250" t="s">
        <v>262</v>
      </c>
      <c r="AE24" s="250" t="s">
        <v>263</v>
      </c>
      <c r="AF24" s="250" t="s">
        <v>285</v>
      </c>
      <c r="AG24" s="250" t="s">
        <v>286</v>
      </c>
      <c r="AH24" s="250" t="s">
        <v>264</v>
      </c>
      <c r="AI24" s="250" t="s">
        <v>265</v>
      </c>
      <c r="AJ24" s="250" t="s">
        <v>266</v>
      </c>
      <c r="AK24" s="250" t="s">
        <v>267</v>
      </c>
      <c r="AL24" s="250" t="s">
        <v>268</v>
      </c>
      <c r="AM24" s="250" t="s">
        <v>270</v>
      </c>
      <c r="AN24" s="250" t="s">
        <v>80</v>
      </c>
      <c r="AO24" s="250" t="s">
        <v>272</v>
      </c>
      <c r="AP24" s="250" t="s">
        <v>269</v>
      </c>
      <c r="AQ24" s="251" t="s">
        <v>252</v>
      </c>
      <c r="AR24" s="223" t="s">
        <v>4</v>
      </c>
      <c r="AS24" s="178" t="s">
        <v>188</v>
      </c>
      <c r="AT24" s="250" t="s">
        <v>189</v>
      </c>
      <c r="AU24" s="250" t="s">
        <v>190</v>
      </c>
      <c r="AV24" s="251" t="s">
        <v>273</v>
      </c>
      <c r="AW24" s="176"/>
      <c r="AX24" s="153" t="s">
        <v>11</v>
      </c>
      <c r="AY24" s="155" t="s">
        <v>231</v>
      </c>
      <c r="AZ24" s="182" t="s">
        <v>232</v>
      </c>
      <c r="BA24" s="191"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5" t="s">
        <v>205</v>
      </c>
      <c r="J25" s="367">
        <f t="shared" ref="J25:J38" si="14">AY25</f>
        <v>13</v>
      </c>
      <c r="K25" s="483">
        <f>'EUR SWAP 3ML'!$L$40</f>
        <v>-2.6099999999999999E-3</v>
      </c>
      <c r="L25" s="119" t="s">
        <v>193</v>
      </c>
      <c r="M25" s="199"/>
      <c r="N25" s="276">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-2.6099999999999999E-3</v>
      </c>
      <c r="AK25" s="129"/>
      <c r="AL25" s="126" t="s">
        <v>177</v>
      </c>
      <c r="AM25" s="123" t="s">
        <v>178</v>
      </c>
      <c r="AN25" s="124" t="str">
        <f>E25&amp;"YC"</f>
        <v>EURYC</v>
      </c>
      <c r="AO25" s="127" t="str">
        <f>LEFT(AN25,3)&amp;"DF_"&amp;L25</f>
        <v>EURDF_NOCSA</v>
      </c>
      <c r="AP25" s="128">
        <f t="shared" ref="AP25:AP38" si="16">J25</f>
        <v>13</v>
      </c>
      <c r="AQ25" s="269">
        <f>H25</f>
        <v>0</v>
      </c>
      <c r="AR25" s="223" t="s">
        <v>4</v>
      </c>
      <c r="AS25" s="179">
        <f ca="1">IF(AND(NOW(),isEUR3MLLoaded),IF(OR($D25="",$D25=0),"",_xll.meProductSwapParRate(_xll.meUtilityLVBFromKeysValues($P$5:$AP$5,$P25:$AP25))),"Please Load Yield Curves")</f>
        <v>-1.3338911927038544E-3</v>
      </c>
      <c r="AT25" s="130">
        <f ca="1">IF(AND(NOW(),isEUR3MLLoaded),IF(OR($D25="",$D25=0),"",_xll.meProductSwapPV(_xll.meUtilityLVBFromKeysValues($N$5:$AQ$5,$N25:$AQ25))),"Please Load Yield Curves")</f>
        <v>-4037.3655384244353</v>
      </c>
      <c r="AU25" s="130">
        <f ca="1">IF(AND(NOW(),isEUR3MLLoaded),IF(OR($D25="",$D25=0),"",_xll.meProductSwapPV01(_xll.meUtilityLVBFromKeysValues($N$5:$AO$5,$N25:$AO25))),"Please Load Yield Curves")</f>
        <v>302.67577749280463</v>
      </c>
      <c r="AV25" s="194">
        <f ca="1">IF(AND(NOW(),isEUR3MLLoaded),IF(OR($D25="",$D25=0),"",_xll.meProductSwapDV01(_xll.meUtilityLVBFromKeysValues($N$5:$AQ$5,$N25:$AQ25))),"Please Load Yield Curves")</f>
        <v>302.11948581536961</v>
      </c>
      <c r="AW25" s="48"/>
      <c r="AX25" s="149" t="s">
        <v>43</v>
      </c>
      <c r="AY25" s="184">
        <f>'EUR BASIS 6ML'!J37*10000</f>
        <v>13</v>
      </c>
      <c r="AZ25" s="183">
        <f ca="1">AS42-AS25</f>
        <v>-1.6278279635698056E-10</v>
      </c>
      <c r="BA25" s="189">
        <f t="shared" ref="BA25:BA38" ca="1" si="17">AT42+AT25</f>
        <v>4.927040954498807E-4</v>
      </c>
    </row>
    <row r="26" spans="1:53" x14ac:dyDescent="0.25">
      <c r="A26" s="114">
        <v>2</v>
      </c>
      <c r="B26" s="131">
        <f ca="1">IF(OR(D26="",D26=0),"",_xll.meDateFromTenor(COB,C26,$T26,$U26))</f>
        <v>42523</v>
      </c>
      <c r="C26" s="132" t="s">
        <v>191</v>
      </c>
      <c r="D26" s="133">
        <v>1000000</v>
      </c>
      <c r="E26" s="133" t="s">
        <v>17</v>
      </c>
      <c r="F26" s="134" t="s">
        <v>176</v>
      </c>
      <c r="G26" s="135" t="s">
        <v>50</v>
      </c>
      <c r="H26" s="136">
        <v>0</v>
      </c>
      <c r="I26" s="166" t="s">
        <v>205</v>
      </c>
      <c r="J26" s="368">
        <f t="shared" si="14"/>
        <v>13.499999999999998</v>
      </c>
      <c r="K26" s="238">
        <f>'EUR SWAP 3ML'!$L$40</f>
        <v>-2.6099999999999999E-3</v>
      </c>
      <c r="L26" s="135" t="s">
        <v>193</v>
      </c>
      <c r="M26" s="199"/>
      <c r="N26" s="277">
        <f t="shared" ref="N26:N38" si="18">D26</f>
        <v>1000000</v>
      </c>
      <c r="O26" s="252" t="str">
        <f t="shared" ref="O26:O38" si="19">F26</f>
        <v>PAYER</v>
      </c>
      <c r="P26" s="255">
        <f t="shared" ref="P26:P38" ca="1" si="20">B26</f>
        <v>42523</v>
      </c>
      <c r="Q26" s="255" t="str">
        <f t="shared" ref="Q26:Q38" si="21">G26</f>
        <v>4Y</v>
      </c>
      <c r="R26" s="249" t="s">
        <v>26</v>
      </c>
      <c r="S26" s="254" t="s">
        <v>20</v>
      </c>
      <c r="T26" s="249" t="s">
        <v>22</v>
      </c>
      <c r="U26" s="249" t="s">
        <v>2</v>
      </c>
      <c r="V26" s="255"/>
      <c r="W26" s="255"/>
      <c r="X26" s="256">
        <f t="shared" ref="X26:X38" ca="1" si="22">IF($B26="","",DAY($B26))</f>
        <v>2</v>
      </c>
      <c r="Y26" s="257" t="s">
        <v>177</v>
      </c>
      <c r="Z26" s="254" t="s">
        <v>178</v>
      </c>
      <c r="AA26" s="252" t="str">
        <f t="shared" si="15"/>
        <v>EUR3ML</v>
      </c>
      <c r="AB26" s="256" t="str">
        <f t="shared" ref="AB26:AB38" si="23">IF($I26="1ML","Monthly",IF($I26="3ML","Quarterly",IF($I26="6ML","Semi-Annual","Annual")))</f>
        <v>Quarterly</v>
      </c>
      <c r="AC26" s="254" t="s">
        <v>6</v>
      </c>
      <c r="AD26" s="249" t="s">
        <v>22</v>
      </c>
      <c r="AE26" s="249" t="s">
        <v>2</v>
      </c>
      <c r="AF26" s="255"/>
      <c r="AG26" s="255"/>
      <c r="AH26" s="256">
        <f t="shared" ref="AH26:AH38" ca="1" si="24">IF($B26="","",DAY($B26))</f>
        <v>2</v>
      </c>
      <c r="AI26" s="257" t="s">
        <v>177</v>
      </c>
      <c r="AJ26" s="258">
        <f t="shared" ref="AJ26:AJ38" si="25">$K26</f>
        <v>-2.6099999999999999E-3</v>
      </c>
      <c r="AK26" s="258"/>
      <c r="AL26" s="257" t="s">
        <v>177</v>
      </c>
      <c r="AM26" s="254" t="s">
        <v>178</v>
      </c>
      <c r="AN26" s="255" t="str">
        <f t="shared" ref="AN26:AN38" si="26">E26&amp;"YC"</f>
        <v>EURYC</v>
      </c>
      <c r="AO26" s="252" t="str">
        <f t="shared" ref="AO26:AO38" si="27">LEFT(AN26,3)&amp;"DF_"&amp;L26</f>
        <v>EURDF_NOCSA</v>
      </c>
      <c r="AP26" s="259">
        <f t="shared" si="16"/>
        <v>13.499999999999998</v>
      </c>
      <c r="AQ26" s="270">
        <f t="shared" ref="AQ26:AQ38" si="28">H26</f>
        <v>0</v>
      </c>
      <c r="AR26" s="223" t="s">
        <v>4</v>
      </c>
      <c r="AS26" s="180">
        <f ca="1">IF(AND(NOW(),isEUR3MLLoaded),IF(OR($D26="",$D26=0),"",_xll.meProductSwapParRate(_xll.meUtilityLVBFromKeysValues($P$5:$AP$5,$P26:$AP26))),"Please Load Yield Curves")</f>
        <v>-6.8204954859661735E-4</v>
      </c>
      <c r="AT26" s="138">
        <f ca="1">IF(AND(NOW(),isEUR3MLLoaded),IF(OR($D26="",$D26=0),"",_xll.meProductSwapPV(_xll.meUtilityLVBFromKeysValues($N$5:$AP$5,$N26:$AP26))),"Please Load Yield Curves")</f>
        <v>-2754.1148272497144</v>
      </c>
      <c r="AU26" s="138">
        <f ca="1">IF(AND(NOW(),isEUR3MLLoaded),IF(OR($D26="",$D26=0),"",_xll.meProductSwapPV01(_xll.meUtilityLVBFromKeysValues($N$5:$AO$5,$N26:$AO26))),"Please Load Yield Curves")</f>
        <v>403.79981673128748</v>
      </c>
      <c r="AV26" s="195">
        <f ca="1">IF(AND(NOW(),isEUR3MLLoaded),IF(OR($D26="",$D26=0),"",_xll.meProductSwapDV01(_xll.meUtilityLVBFromKeysValues($N$5:$AQ$5,$N26:$AQ26))),"Please Load Yield Curves")</f>
        <v>403.69312932559433</v>
      </c>
      <c r="AW26" s="48"/>
      <c r="AX26" s="149" t="s">
        <v>50</v>
      </c>
      <c r="AY26" s="184">
        <f>'EUR BASIS 6ML'!J38*10000</f>
        <v>13.499999999999998</v>
      </c>
      <c r="AZ26" s="183">
        <f t="shared" ref="AZ26:AZ38" ca="1" si="29">AS43-AS26</f>
        <v>-9.6931387612644859E-11</v>
      </c>
      <c r="BA26" s="189">
        <f t="shared" ca="1" si="17"/>
        <v>3.9140876560850302E-4</v>
      </c>
    </row>
    <row r="27" spans="1:53" x14ac:dyDescent="0.25">
      <c r="A27" s="114">
        <v>3</v>
      </c>
      <c r="B27" s="131">
        <f ca="1">IF(OR(D27="",D27=0),"",_xll.meDateFromTenor(COB,C27,$T27,$U27))</f>
        <v>42523</v>
      </c>
      <c r="C27" s="139" t="s">
        <v>191</v>
      </c>
      <c r="D27" s="133">
        <v>1000000</v>
      </c>
      <c r="E27" s="133" t="s">
        <v>17</v>
      </c>
      <c r="F27" s="134" t="s">
        <v>176</v>
      </c>
      <c r="G27" s="135" t="s">
        <v>52</v>
      </c>
      <c r="H27" s="136">
        <v>0</v>
      </c>
      <c r="I27" s="166" t="s">
        <v>205</v>
      </c>
      <c r="J27" s="368">
        <f t="shared" si="14"/>
        <v>13.9</v>
      </c>
      <c r="K27" s="238">
        <f>'EUR SWAP 3ML'!$L$40</f>
        <v>-2.6099999999999999E-3</v>
      </c>
      <c r="L27" s="135" t="s">
        <v>193</v>
      </c>
      <c r="M27" s="199"/>
      <c r="N27" s="277">
        <f t="shared" si="18"/>
        <v>1000000</v>
      </c>
      <c r="O27" s="252" t="str">
        <f t="shared" si="19"/>
        <v>PAYER</v>
      </c>
      <c r="P27" s="255">
        <f t="shared" ca="1" si="20"/>
        <v>42523</v>
      </c>
      <c r="Q27" s="255" t="str">
        <f t="shared" si="21"/>
        <v>5Y</v>
      </c>
      <c r="R27" s="249" t="s">
        <v>26</v>
      </c>
      <c r="S27" s="254" t="s">
        <v>20</v>
      </c>
      <c r="T27" s="249" t="s">
        <v>22</v>
      </c>
      <c r="U27" s="249" t="s">
        <v>2</v>
      </c>
      <c r="V27" s="255"/>
      <c r="W27" s="255"/>
      <c r="X27" s="256">
        <f t="shared" ca="1" si="22"/>
        <v>2</v>
      </c>
      <c r="Y27" s="257" t="s">
        <v>177</v>
      </c>
      <c r="Z27" s="254" t="s">
        <v>178</v>
      </c>
      <c r="AA27" s="252" t="str">
        <f t="shared" si="15"/>
        <v>EUR3ML</v>
      </c>
      <c r="AB27" s="256" t="str">
        <f t="shared" si="23"/>
        <v>Quarterly</v>
      </c>
      <c r="AC27" s="254" t="s">
        <v>6</v>
      </c>
      <c r="AD27" s="249" t="s">
        <v>22</v>
      </c>
      <c r="AE27" s="249" t="s">
        <v>2</v>
      </c>
      <c r="AF27" s="255"/>
      <c r="AG27" s="255"/>
      <c r="AH27" s="256">
        <f t="shared" ca="1" si="24"/>
        <v>2</v>
      </c>
      <c r="AI27" s="257" t="s">
        <v>177</v>
      </c>
      <c r="AJ27" s="258">
        <f t="shared" si="25"/>
        <v>-2.6099999999999999E-3</v>
      </c>
      <c r="AK27" s="258"/>
      <c r="AL27" s="257" t="s">
        <v>177</v>
      </c>
      <c r="AM27" s="254" t="s">
        <v>178</v>
      </c>
      <c r="AN27" s="255" t="str">
        <f t="shared" si="26"/>
        <v>EURYC</v>
      </c>
      <c r="AO27" s="252" t="str">
        <f t="shared" si="27"/>
        <v>EURDF_NOCSA</v>
      </c>
      <c r="AP27" s="259">
        <f t="shared" si="16"/>
        <v>13.9</v>
      </c>
      <c r="AQ27" s="270">
        <f t="shared" si="28"/>
        <v>0</v>
      </c>
      <c r="AR27" s="223" t="s">
        <v>4</v>
      </c>
      <c r="AS27" s="180">
        <f ca="1">IF(AND(NOW(),isEUR3MLLoaded),IF(OR($D27="",$D27=0),"",_xll.meProductSwapParRate(_xll.meUtilityLVBFromKeysValues($P$5:$AP$5,$P27:$AP27))),"Please Load Yield Curves")</f>
        <v>1.6121729139741882E-4</v>
      </c>
      <c r="AT27" s="138">
        <f ca="1">IF(AND(NOW(),isEUR3MLLoaded),IF(OR($D27="",$D27=0),"",_xll.meProductSwapPV(_xll.meUtilityLVBFromKeysValues($N$5:$AP$5,$N27:$AP27))),"Please Load Yield Curves")</f>
        <v>814.46095026652984</v>
      </c>
      <c r="AU27" s="138">
        <f ca="1">IF(AND(NOW(),isEUR3MLLoaded),IF(OR($D27="",$D27=0),"",_xll.meProductSwapPV01(_xll.meUtilityLVBFromKeysValues($N$5:$AO$5,$N27:$AO27))),"Please Load Yield Curves")</f>
        <v>505.19453788538783</v>
      </c>
      <c r="AV27" s="195">
        <f ca="1">IF(AND(NOW(),isEUR3MLLoaded),IF(OR($D27="",$D27=0),"",_xll.meProductSwapDV01(_xll.meUtilityLVBFromKeysValues($N$5:$AQ$5,$N27:$AQ27))),"Please Load Yield Curves")</f>
        <v>506.72162831000759</v>
      </c>
      <c r="AW27" s="48"/>
      <c r="AX27" s="149" t="s">
        <v>52</v>
      </c>
      <c r="AY27" s="184">
        <f>'EUR BASIS 6ML'!J39*10000</f>
        <v>13.9</v>
      </c>
      <c r="AZ27" s="183">
        <f t="shared" ca="1" si="29"/>
        <v>-7.8445311824017899E-11</v>
      </c>
      <c r="BA27" s="189">
        <f t="shared" ca="1" si="17"/>
        <v>3.9630143123758899E-4</v>
      </c>
    </row>
    <row r="28" spans="1:53" x14ac:dyDescent="0.25">
      <c r="A28" s="114">
        <v>4</v>
      </c>
      <c r="B28" s="131">
        <f ca="1">IF(OR(D28="",D28=0),"",_xll.meDateFromTenor(COB,C28,$T28,$U28))</f>
        <v>42523</v>
      </c>
      <c r="C28" s="139" t="s">
        <v>191</v>
      </c>
      <c r="D28" s="133">
        <v>1000000</v>
      </c>
      <c r="E28" s="133" t="s">
        <v>17</v>
      </c>
      <c r="F28" s="134" t="s">
        <v>176</v>
      </c>
      <c r="G28" s="135" t="s">
        <v>54</v>
      </c>
      <c r="H28" s="136">
        <v>0</v>
      </c>
      <c r="I28" s="166" t="s">
        <v>205</v>
      </c>
      <c r="J28" s="368">
        <f t="shared" si="14"/>
        <v>13.9</v>
      </c>
      <c r="K28" s="238">
        <f>'EUR SWAP 3ML'!$L$40</f>
        <v>-2.6099999999999999E-3</v>
      </c>
      <c r="L28" s="135" t="s">
        <v>193</v>
      </c>
      <c r="M28" s="199"/>
      <c r="N28" s="277">
        <f t="shared" si="18"/>
        <v>1000000</v>
      </c>
      <c r="O28" s="252" t="str">
        <f t="shared" si="19"/>
        <v>PAYER</v>
      </c>
      <c r="P28" s="255">
        <f t="shared" ca="1" si="20"/>
        <v>42523</v>
      </c>
      <c r="Q28" s="255" t="str">
        <f t="shared" si="21"/>
        <v>6Y</v>
      </c>
      <c r="R28" s="249" t="s">
        <v>26</v>
      </c>
      <c r="S28" s="254" t="s">
        <v>20</v>
      </c>
      <c r="T28" s="249" t="s">
        <v>22</v>
      </c>
      <c r="U28" s="249" t="s">
        <v>2</v>
      </c>
      <c r="V28" s="255"/>
      <c r="W28" s="255"/>
      <c r="X28" s="256">
        <f t="shared" ca="1" si="22"/>
        <v>2</v>
      </c>
      <c r="Y28" s="257" t="s">
        <v>177</v>
      </c>
      <c r="Z28" s="254" t="s">
        <v>178</v>
      </c>
      <c r="AA28" s="252" t="str">
        <f t="shared" si="15"/>
        <v>EUR3ML</v>
      </c>
      <c r="AB28" s="256" t="str">
        <f t="shared" si="23"/>
        <v>Quarterly</v>
      </c>
      <c r="AC28" s="254" t="s">
        <v>6</v>
      </c>
      <c r="AD28" s="249" t="s">
        <v>22</v>
      </c>
      <c r="AE28" s="249" t="s">
        <v>2</v>
      </c>
      <c r="AF28" s="255"/>
      <c r="AG28" s="255"/>
      <c r="AH28" s="256">
        <f t="shared" ca="1" si="24"/>
        <v>2</v>
      </c>
      <c r="AI28" s="257" t="s">
        <v>177</v>
      </c>
      <c r="AJ28" s="258">
        <f t="shared" si="25"/>
        <v>-2.6099999999999999E-3</v>
      </c>
      <c r="AK28" s="258"/>
      <c r="AL28" s="257" t="s">
        <v>177</v>
      </c>
      <c r="AM28" s="254" t="s">
        <v>178</v>
      </c>
      <c r="AN28" s="255" t="str">
        <f t="shared" si="26"/>
        <v>EURYC</v>
      </c>
      <c r="AO28" s="252" t="str">
        <f t="shared" si="27"/>
        <v>EURDF_NOCSA</v>
      </c>
      <c r="AP28" s="259">
        <f t="shared" si="16"/>
        <v>13.9</v>
      </c>
      <c r="AQ28" s="270">
        <f t="shared" si="28"/>
        <v>0</v>
      </c>
      <c r="AR28" s="223" t="s">
        <v>4</v>
      </c>
      <c r="AS28" s="180">
        <f ca="1">IF(AND(NOW(),isEUR3MLLoaded),IF(OR($D28="",$D28=0),"",_xll.meProductSwapParRate(_xll.meUtilityLVBFromKeysValues($P$5:$AP$5,$P28:$AP28))),"Please Load Yield Curves")</f>
        <v>1.1616405264396146E-3</v>
      </c>
      <c r="AT28" s="138">
        <f ca="1">IF(AND(NOW(),isEUR3MLLoaded),IF(OR($D28="",$D28=0),"",_xll.meProductSwapPV(_xll.meUtilityLVBFromKeysValues($N$5:$AP$5,$N28:$AP28))),"Please Load Yield Curves")</f>
        <v>7042.7952230223809</v>
      </c>
      <c r="AU28" s="138">
        <f ca="1">IF(AND(NOW(),isEUR3MLLoaded),IF(OR($D28="",$D28=0),"",_xll.meProductSwapPV01(_xll.meUtilityLVBFromKeysValues($N$5:$AO$5,$N28:$AO28))),"Please Load Yield Curves")</f>
        <v>606.28008947038791</v>
      </c>
      <c r="AV28" s="195">
        <f ca="1">IF(AND(NOW(),isEUR3MLLoaded),IF(OR($D28="",$D28=0),"",_xll.meProductSwapDV01(_xll.meUtilityLVBFromKeysValues($N$5:$AQ$5,$N28:$AQ28))),"Please Load Yield Curves")</f>
        <v>606.58365337868577</v>
      </c>
      <c r="AW28" s="48"/>
      <c r="AX28" s="149" t="s">
        <v>54</v>
      </c>
      <c r="AY28" s="184">
        <f>'EUR BASIS 6ML'!J40*10000</f>
        <v>13.9</v>
      </c>
      <c r="AZ28" s="183">
        <f t="shared" ca="1" si="29"/>
        <v>-4.0171988131831871E-11</v>
      </c>
      <c r="BA28" s="189">
        <f t="shared" ca="1" si="17"/>
        <v>2.4355476671189535E-4</v>
      </c>
    </row>
    <row r="29" spans="1:53" x14ac:dyDescent="0.25">
      <c r="A29" s="114">
        <v>5</v>
      </c>
      <c r="B29" s="131">
        <f ca="1">IF(OR(D29="",D29=0),"",_xll.meDateFromTenor(COB,C29,$T29,$U29))</f>
        <v>42523</v>
      </c>
      <c r="C29" s="139" t="s">
        <v>191</v>
      </c>
      <c r="D29" s="133">
        <v>1000000</v>
      </c>
      <c r="E29" s="133" t="s">
        <v>17</v>
      </c>
      <c r="F29" s="134" t="s">
        <v>176</v>
      </c>
      <c r="G29" s="135" t="s">
        <v>55</v>
      </c>
      <c r="H29" s="136">
        <v>0</v>
      </c>
      <c r="I29" s="166" t="s">
        <v>205</v>
      </c>
      <c r="J29" s="368">
        <f t="shared" si="14"/>
        <v>13.7</v>
      </c>
      <c r="K29" s="238">
        <f>'EUR SWAP 3ML'!$L$40</f>
        <v>-2.6099999999999999E-3</v>
      </c>
      <c r="L29" s="135" t="s">
        <v>193</v>
      </c>
      <c r="M29" s="199"/>
      <c r="N29" s="277">
        <f t="shared" si="18"/>
        <v>1000000</v>
      </c>
      <c r="O29" s="252" t="str">
        <f t="shared" si="19"/>
        <v>PAYER</v>
      </c>
      <c r="P29" s="255">
        <f t="shared" ca="1" si="20"/>
        <v>42523</v>
      </c>
      <c r="Q29" s="255" t="str">
        <f t="shared" si="21"/>
        <v>7Y</v>
      </c>
      <c r="R29" s="249" t="s">
        <v>26</v>
      </c>
      <c r="S29" s="254" t="s">
        <v>20</v>
      </c>
      <c r="T29" s="249" t="s">
        <v>22</v>
      </c>
      <c r="U29" s="249" t="s">
        <v>2</v>
      </c>
      <c r="V29" s="255"/>
      <c r="W29" s="255"/>
      <c r="X29" s="256">
        <f t="shared" ca="1" si="22"/>
        <v>2</v>
      </c>
      <c r="Y29" s="257" t="s">
        <v>177</v>
      </c>
      <c r="Z29" s="254" t="s">
        <v>178</v>
      </c>
      <c r="AA29" s="252" t="str">
        <f t="shared" si="15"/>
        <v>EUR3ML</v>
      </c>
      <c r="AB29" s="256" t="str">
        <f t="shared" si="23"/>
        <v>Quarterly</v>
      </c>
      <c r="AC29" s="254" t="s">
        <v>6</v>
      </c>
      <c r="AD29" s="249" t="s">
        <v>22</v>
      </c>
      <c r="AE29" s="249" t="s">
        <v>2</v>
      </c>
      <c r="AF29" s="255"/>
      <c r="AG29" s="255"/>
      <c r="AH29" s="256">
        <f t="shared" ca="1" si="24"/>
        <v>2</v>
      </c>
      <c r="AI29" s="257" t="s">
        <v>177</v>
      </c>
      <c r="AJ29" s="258">
        <f t="shared" si="25"/>
        <v>-2.6099999999999999E-3</v>
      </c>
      <c r="AK29" s="258"/>
      <c r="AL29" s="257" t="s">
        <v>177</v>
      </c>
      <c r="AM29" s="254" t="s">
        <v>178</v>
      </c>
      <c r="AN29" s="255" t="str">
        <f t="shared" si="26"/>
        <v>EURYC</v>
      </c>
      <c r="AO29" s="252" t="str">
        <f t="shared" si="27"/>
        <v>EURDF_NOCSA</v>
      </c>
      <c r="AP29" s="259">
        <f t="shared" si="16"/>
        <v>13.7</v>
      </c>
      <c r="AQ29" s="270">
        <f t="shared" si="28"/>
        <v>0</v>
      </c>
      <c r="AR29" s="223" t="s">
        <v>4</v>
      </c>
      <c r="AS29" s="180">
        <f ca="1">IF(AND(NOW(),isEUR3MLLoaded),IF(OR($D29="",$D29=0),"",_xll.meProductSwapParRate(_xll.meUtilityLVBFromKeysValues($P$5:$AP$5,$P29:$AP29))),"Please Load Yield Curves")</f>
        <v>2.2918834513089592E-3</v>
      </c>
      <c r="AT29" s="138">
        <f ca="1">IF(AND(NOW(),isEUR3MLLoaded),IF(OR($D29="",$D29=0),"",_xll.meProductSwapPV(_xll.meUtilityLVBFromKeysValues($N$5:$AP$5,$N29:$AP29))),"Please Load Yield Curves")</f>
        <v>16197.975582200024</v>
      </c>
      <c r="AU29" s="138">
        <f ca="1">IF(AND(NOW(),isEUR3MLLoaded),IF(OR($D29="",$D29=0),"",_xll.meProductSwapPV01(_xll.meUtilityLVBFromKeysValues($N$5:$AO$5,$N29:$AO29))),"Please Load Yield Curves")</f>
        <v>706.75389592559361</v>
      </c>
      <c r="AV29" s="195">
        <f ca="1">IF(AND(NOW(),isEUR3MLLoaded),IF(OR($D29="",$D29=0),"",_xll.meProductSwapDV01(_xll.meUtilityLVBFromKeysValues($N$5:$AQ$5,$N29:$AQ29))),"Please Load Yield Curves")</f>
        <v>717.93385855666384</v>
      </c>
      <c r="AW29" s="48"/>
      <c r="AX29" s="149" t="s">
        <v>55</v>
      </c>
      <c r="AY29" s="184">
        <f>'EUR BASIS 6ML'!J41*10000</f>
        <v>13.7</v>
      </c>
      <c r="AZ29" s="183">
        <f t="shared" ca="1" si="29"/>
        <v>1.1568803640754632E-11</v>
      </c>
      <c r="BA29" s="189">
        <f t="shared" ca="1" si="17"/>
        <v>-8.1762971603893675E-5</v>
      </c>
    </row>
    <row r="30" spans="1:53" x14ac:dyDescent="0.25">
      <c r="A30" s="114">
        <v>6</v>
      </c>
      <c r="B30" s="131">
        <f ca="1">IF(OR(D30="",D30=0),"",_xll.meDateFromTenor(COB,C30,$T30,$U30))</f>
        <v>42523</v>
      </c>
      <c r="C30" s="139" t="s">
        <v>191</v>
      </c>
      <c r="D30" s="133">
        <v>1000000</v>
      </c>
      <c r="E30" s="133" t="s">
        <v>17</v>
      </c>
      <c r="F30" s="134" t="s">
        <v>176</v>
      </c>
      <c r="G30" s="135" t="s">
        <v>57</v>
      </c>
      <c r="H30" s="136">
        <v>0</v>
      </c>
      <c r="I30" s="166" t="s">
        <v>205</v>
      </c>
      <c r="J30" s="368">
        <f t="shared" si="14"/>
        <v>13.249999999999998</v>
      </c>
      <c r="K30" s="238">
        <f>'EUR SWAP 3ML'!$L$40</f>
        <v>-2.6099999999999999E-3</v>
      </c>
      <c r="L30" s="135" t="s">
        <v>193</v>
      </c>
      <c r="M30" s="199"/>
      <c r="N30" s="277">
        <f t="shared" si="18"/>
        <v>1000000</v>
      </c>
      <c r="O30" s="252" t="str">
        <f t="shared" si="19"/>
        <v>PAYER</v>
      </c>
      <c r="P30" s="255">
        <f t="shared" ca="1" si="20"/>
        <v>42523</v>
      </c>
      <c r="Q30" s="255" t="str">
        <f t="shared" si="21"/>
        <v>8Y</v>
      </c>
      <c r="R30" s="249" t="s">
        <v>26</v>
      </c>
      <c r="S30" s="254" t="s">
        <v>20</v>
      </c>
      <c r="T30" s="249" t="s">
        <v>22</v>
      </c>
      <c r="U30" s="249" t="s">
        <v>2</v>
      </c>
      <c r="V30" s="255"/>
      <c r="W30" s="255"/>
      <c r="X30" s="256">
        <f t="shared" ca="1" si="22"/>
        <v>2</v>
      </c>
      <c r="Y30" s="257" t="s">
        <v>177</v>
      </c>
      <c r="Z30" s="254" t="s">
        <v>178</v>
      </c>
      <c r="AA30" s="252" t="str">
        <f t="shared" si="15"/>
        <v>EUR3ML</v>
      </c>
      <c r="AB30" s="256" t="str">
        <f t="shared" si="23"/>
        <v>Quarterly</v>
      </c>
      <c r="AC30" s="254" t="s">
        <v>6</v>
      </c>
      <c r="AD30" s="249" t="s">
        <v>22</v>
      </c>
      <c r="AE30" s="249" t="s">
        <v>2</v>
      </c>
      <c r="AF30" s="255"/>
      <c r="AG30" s="255"/>
      <c r="AH30" s="256">
        <f t="shared" ca="1" si="24"/>
        <v>2</v>
      </c>
      <c r="AI30" s="257" t="s">
        <v>177</v>
      </c>
      <c r="AJ30" s="258">
        <f t="shared" si="25"/>
        <v>-2.6099999999999999E-3</v>
      </c>
      <c r="AK30" s="258"/>
      <c r="AL30" s="257" t="s">
        <v>177</v>
      </c>
      <c r="AM30" s="254" t="s">
        <v>178</v>
      </c>
      <c r="AN30" s="255" t="str">
        <f t="shared" si="26"/>
        <v>EURYC</v>
      </c>
      <c r="AO30" s="252" t="str">
        <f t="shared" si="27"/>
        <v>EURDF_NOCSA</v>
      </c>
      <c r="AP30" s="259">
        <f t="shared" si="16"/>
        <v>13.249999999999998</v>
      </c>
      <c r="AQ30" s="270">
        <f t="shared" si="28"/>
        <v>0</v>
      </c>
      <c r="AR30" s="223" t="s">
        <v>4</v>
      </c>
      <c r="AS30" s="180">
        <f ca="1">IF(AND(NOW(),isEUR3MLLoaded),IF(OR($D30="",$D30=0),"",_xll.meProductSwapParRate(_xll.meUtilityLVBFromKeysValues($P$5:$AP$5,$P30:$AP30))),"Please Load Yield Curves")</f>
        <v>3.4722735421401306E-3</v>
      </c>
      <c r="AT30" s="138">
        <f ca="1">IF(AND(NOW(),isEUR3MLLoaded),IF(OR($D30="",$D30=0),"",_xll.meProductSwapPV(_xll.meUtilityLVBFromKeysValues($N$5:$AP$5,$N30:$AP30))),"Please Load Yield Curves")</f>
        <v>28006.636376219696</v>
      </c>
      <c r="AU30" s="138">
        <f ca="1">IF(AND(NOW(),isEUR3MLLoaded),IF(OR($D30="",$D30=0),"",_xll.meProductSwapPV01(_xll.meUtilityLVBFromKeysValues($N$5:$AO$5,$N30:$AO30))),"Please Load Yield Curves")</f>
        <v>806.57920628447516</v>
      </c>
      <c r="AV30" s="195">
        <f ca="1">IF(AND(NOW(),isEUR3MLLoaded),IF(OR($D30="",$D30=0),"",_xll.meProductSwapDV01(_xll.meUtilityLVBFromKeysValues($N$5:$AQ$5,$N30:$AQ30))),"Please Load Yield Curves")</f>
        <v>826.88701807605992</v>
      </c>
      <c r="AW30" s="48"/>
      <c r="AX30" s="149" t="s">
        <v>57</v>
      </c>
      <c r="AY30" s="184">
        <f>'EUR BASIS 6ML'!J42*10000</f>
        <v>13.249999999999998</v>
      </c>
      <c r="AZ30" s="183">
        <f t="shared" ca="1" si="29"/>
        <v>-6.6725218666324748E-11</v>
      </c>
      <c r="BA30" s="189">
        <f t="shared" ca="1" si="17"/>
        <v>5.3819173990632407E-4</v>
      </c>
    </row>
    <row r="31" spans="1:53" x14ac:dyDescent="0.25">
      <c r="A31" s="114">
        <v>7</v>
      </c>
      <c r="B31" s="131">
        <f ca="1">IF(OR(D31="",D31=0),"",_xll.meDateFromTenor(COB,C31,$T31,$U31))</f>
        <v>42523</v>
      </c>
      <c r="C31" s="139" t="s">
        <v>191</v>
      </c>
      <c r="D31" s="133">
        <v>1000000</v>
      </c>
      <c r="E31" s="133" t="s">
        <v>17</v>
      </c>
      <c r="F31" s="134" t="s">
        <v>176</v>
      </c>
      <c r="G31" s="135" t="s">
        <v>59</v>
      </c>
      <c r="H31" s="136">
        <v>0</v>
      </c>
      <c r="I31" s="166" t="s">
        <v>205</v>
      </c>
      <c r="J31" s="368">
        <f t="shared" si="14"/>
        <v>12.599999999999998</v>
      </c>
      <c r="K31" s="238">
        <f>'EUR SWAP 3ML'!$L$40</f>
        <v>-2.6099999999999999E-3</v>
      </c>
      <c r="L31" s="135" t="s">
        <v>193</v>
      </c>
      <c r="M31" s="199"/>
      <c r="N31" s="277">
        <f t="shared" si="18"/>
        <v>1000000</v>
      </c>
      <c r="O31" s="252" t="str">
        <f t="shared" si="19"/>
        <v>PAYER</v>
      </c>
      <c r="P31" s="255">
        <f t="shared" ca="1" si="20"/>
        <v>42523</v>
      </c>
      <c r="Q31" s="255" t="str">
        <f t="shared" si="21"/>
        <v>9Y</v>
      </c>
      <c r="R31" s="249" t="s">
        <v>26</v>
      </c>
      <c r="S31" s="254" t="s">
        <v>20</v>
      </c>
      <c r="T31" s="249" t="s">
        <v>22</v>
      </c>
      <c r="U31" s="249" t="s">
        <v>2</v>
      </c>
      <c r="V31" s="255"/>
      <c r="W31" s="255"/>
      <c r="X31" s="256">
        <f t="shared" ca="1" si="22"/>
        <v>2</v>
      </c>
      <c r="Y31" s="257" t="s">
        <v>177</v>
      </c>
      <c r="Z31" s="254" t="s">
        <v>178</v>
      </c>
      <c r="AA31" s="252" t="str">
        <f t="shared" si="15"/>
        <v>EUR3ML</v>
      </c>
      <c r="AB31" s="256" t="str">
        <f t="shared" si="23"/>
        <v>Quarterly</v>
      </c>
      <c r="AC31" s="254" t="s">
        <v>6</v>
      </c>
      <c r="AD31" s="249" t="s">
        <v>22</v>
      </c>
      <c r="AE31" s="249" t="s">
        <v>2</v>
      </c>
      <c r="AF31" s="255"/>
      <c r="AG31" s="255"/>
      <c r="AH31" s="256">
        <f t="shared" ca="1" si="24"/>
        <v>2</v>
      </c>
      <c r="AI31" s="257" t="s">
        <v>177</v>
      </c>
      <c r="AJ31" s="258">
        <f t="shared" si="25"/>
        <v>-2.6099999999999999E-3</v>
      </c>
      <c r="AK31" s="258"/>
      <c r="AL31" s="257" t="s">
        <v>177</v>
      </c>
      <c r="AM31" s="254" t="s">
        <v>178</v>
      </c>
      <c r="AN31" s="255" t="str">
        <f t="shared" si="26"/>
        <v>EURYC</v>
      </c>
      <c r="AO31" s="252" t="str">
        <f t="shared" si="27"/>
        <v>EURDF_NOCSA</v>
      </c>
      <c r="AP31" s="259">
        <f t="shared" si="16"/>
        <v>12.599999999999998</v>
      </c>
      <c r="AQ31" s="270">
        <f t="shared" si="28"/>
        <v>0</v>
      </c>
      <c r="AR31" s="223" t="s">
        <v>4</v>
      </c>
      <c r="AS31" s="180">
        <f ca="1">IF(AND(NOW(),isEUR3MLLoaded),IF(OR($D31="",$D31=0),"",_xll.meProductSwapParRate(_xll.meUtilityLVBFromKeysValues($P$5:$AP$5,$P31:$AP31))),"Please Load Yield Curves")</f>
        <v>4.6017974406403189E-3</v>
      </c>
      <c r="AT31" s="138">
        <f ca="1">IF(AND(NOW(),isEUR3MLLoaded),IF(OR($D31="",$D31=0),"",_xll.meProductSwapPV(_xll.meUtilityLVBFromKeysValues($N$5:$AP$5,$N31:$AP31))),"Please Load Yield Curves")</f>
        <v>41632.685038027841</v>
      </c>
      <c r="AU31" s="138">
        <f ca="1">IF(AND(NOW(),isEUR3MLLoaded),IF(OR($D31="",$D31=0),"",_xll.meProductSwapPV01(_xll.meUtilityLVBFromKeysValues($N$5:$AO$5,$N31:$AO31))),"Please Load Yield Curves")</f>
        <v>904.70485880914498</v>
      </c>
      <c r="AV31" s="195">
        <f ca="1">IF(AND(NOW(),isEUR3MLLoaded),IF(OR($D31="",$D31=0),"",_xll.meProductSwapDV01(_xll.meUtilityLVBFromKeysValues($N$5:$AQ$5,$N31:$AQ31))),"Please Load Yield Curves")</f>
        <v>936.96260130280575</v>
      </c>
      <c r="AW31" s="48"/>
      <c r="AX31" s="149" t="s">
        <v>59</v>
      </c>
      <c r="AY31" s="184">
        <f>'EUR BASIS 6ML'!J43*10000</f>
        <v>12.599999999999998</v>
      </c>
      <c r="AZ31" s="183">
        <f t="shared" ca="1" si="29"/>
        <v>6.1972866942372473E-11</v>
      </c>
      <c r="BA31" s="189">
        <f t="shared" ca="1" si="17"/>
        <v>-5.6067154218908399E-4</v>
      </c>
    </row>
    <row r="32" spans="1:53" x14ac:dyDescent="0.25">
      <c r="A32" s="114">
        <v>8</v>
      </c>
      <c r="B32" s="131">
        <f ca="1">IF(OR(D32="",D32=0),"",_xll.meDateFromTenor(COB,C32,$T32,$U32))</f>
        <v>42523</v>
      </c>
      <c r="C32" s="139" t="s">
        <v>191</v>
      </c>
      <c r="D32" s="133">
        <v>1000000</v>
      </c>
      <c r="E32" s="133" t="s">
        <v>17</v>
      </c>
      <c r="F32" s="134" t="s">
        <v>176</v>
      </c>
      <c r="G32" s="135" t="s">
        <v>60</v>
      </c>
      <c r="H32" s="136">
        <v>0</v>
      </c>
      <c r="I32" s="166" t="s">
        <v>205</v>
      </c>
      <c r="J32" s="368">
        <f t="shared" si="14"/>
        <v>11.899999999999999</v>
      </c>
      <c r="K32" s="238">
        <f>'EUR SWAP 3ML'!$L$40</f>
        <v>-2.6099999999999999E-3</v>
      </c>
      <c r="L32" s="135" t="s">
        <v>193</v>
      </c>
      <c r="M32" s="199"/>
      <c r="N32" s="277">
        <f t="shared" si="18"/>
        <v>1000000</v>
      </c>
      <c r="O32" s="252" t="str">
        <f t="shared" si="19"/>
        <v>PAYER</v>
      </c>
      <c r="P32" s="255">
        <f t="shared" ca="1" si="20"/>
        <v>42523</v>
      </c>
      <c r="Q32" s="255" t="str">
        <f t="shared" si="21"/>
        <v>10Y</v>
      </c>
      <c r="R32" s="249" t="s">
        <v>26</v>
      </c>
      <c r="S32" s="254" t="s">
        <v>20</v>
      </c>
      <c r="T32" s="249" t="s">
        <v>22</v>
      </c>
      <c r="U32" s="249" t="s">
        <v>2</v>
      </c>
      <c r="V32" s="255"/>
      <c r="W32" s="255"/>
      <c r="X32" s="256">
        <f t="shared" ca="1" si="22"/>
        <v>2</v>
      </c>
      <c r="Y32" s="257" t="s">
        <v>177</v>
      </c>
      <c r="Z32" s="254" t="s">
        <v>178</v>
      </c>
      <c r="AA32" s="252" t="str">
        <f t="shared" si="15"/>
        <v>EUR3ML</v>
      </c>
      <c r="AB32" s="256" t="str">
        <f t="shared" si="23"/>
        <v>Quarterly</v>
      </c>
      <c r="AC32" s="254" t="s">
        <v>6</v>
      </c>
      <c r="AD32" s="249" t="s">
        <v>22</v>
      </c>
      <c r="AE32" s="249" t="s">
        <v>2</v>
      </c>
      <c r="AF32" s="255"/>
      <c r="AG32" s="255"/>
      <c r="AH32" s="256">
        <f t="shared" ca="1" si="24"/>
        <v>2</v>
      </c>
      <c r="AI32" s="257" t="s">
        <v>177</v>
      </c>
      <c r="AJ32" s="258">
        <f t="shared" si="25"/>
        <v>-2.6099999999999999E-3</v>
      </c>
      <c r="AK32" s="258"/>
      <c r="AL32" s="257" t="s">
        <v>177</v>
      </c>
      <c r="AM32" s="254" t="s">
        <v>178</v>
      </c>
      <c r="AN32" s="255" t="str">
        <f t="shared" si="26"/>
        <v>EURYC</v>
      </c>
      <c r="AO32" s="252" t="str">
        <f t="shared" si="27"/>
        <v>EURDF_NOCSA</v>
      </c>
      <c r="AP32" s="259">
        <f t="shared" si="16"/>
        <v>11.899999999999999</v>
      </c>
      <c r="AQ32" s="270">
        <f t="shared" si="28"/>
        <v>0</v>
      </c>
      <c r="AR32" s="223" t="s">
        <v>4</v>
      </c>
      <c r="AS32" s="180">
        <f ca="1">IF(AND(NOW(),isEUR3MLLoaded),IF(OR($D32="",$D32=0),"",_xll.meProductSwapParRate(_xll.meUtilityLVBFromKeysValues($P$5:$AP$5,$P32:$AP32))),"Please Load Yield Curves")</f>
        <v>5.6511506214625409E-3</v>
      </c>
      <c r="AT32" s="138">
        <f ca="1">IF(AND(NOW(),isEUR3MLLoaded),IF(OR($D32="",$D32=0),"",_xll.meProductSwapPV(_xll.meUtilityLVBFromKeysValues($N$5:$AP$5,$N32:$AP32))),"Please Load Yield Curves")</f>
        <v>56614.35853455191</v>
      </c>
      <c r="AU32" s="138">
        <f ca="1">IF(AND(NOW(),isEUR3MLLoaded),IF(OR($D32="",$D32=0),"",_xll.meProductSwapPV01(_xll.meUtilityLVBFromKeysValues($N$5:$AO$5,$N32:$AO32))),"Please Load Yield Curves")</f>
        <v>1001.8200243953131</v>
      </c>
      <c r="AV32" s="195">
        <f ca="1">IF(AND(NOW(),isEUR3MLLoaded),IF(OR($D32="",$D32=0),"",_xll.meProductSwapDV01(_xll.meUtilityLVBFromKeysValues($N$5:$AQ$5,$N32:$AQ32))),"Please Load Yield Curves")</f>
        <v>1048.7317425098277</v>
      </c>
      <c r="AW32" s="48"/>
      <c r="AX32" s="149" t="s">
        <v>60</v>
      </c>
      <c r="AY32" s="184">
        <f>'EUR BASIS 6ML'!J44*10000</f>
        <v>11.899999999999999</v>
      </c>
      <c r="AZ32" s="183">
        <f t="shared" ca="1" si="29"/>
        <v>-4.1133545874982858E-10</v>
      </c>
      <c r="BA32" s="189">
        <f t="shared" ca="1" si="17"/>
        <v>4.1208409893442877E-3</v>
      </c>
    </row>
    <row r="33" spans="1:55" x14ac:dyDescent="0.25">
      <c r="A33" s="114">
        <v>9</v>
      </c>
      <c r="B33" s="131">
        <f ca="1">IF(OR(D33="",D33=0),"",_xll.meDateFromTenor(COB,C33,$T33,$U33))</f>
        <v>42523</v>
      </c>
      <c r="C33" s="139" t="s">
        <v>191</v>
      </c>
      <c r="D33" s="133">
        <v>1000000</v>
      </c>
      <c r="E33" s="133" t="s">
        <v>17</v>
      </c>
      <c r="F33" s="134" t="s">
        <v>176</v>
      </c>
      <c r="G33" s="135" t="s">
        <v>61</v>
      </c>
      <c r="H33" s="136">
        <v>0</v>
      </c>
      <c r="I33" s="166" t="s">
        <v>205</v>
      </c>
      <c r="J33" s="368">
        <f t="shared" si="14"/>
        <v>11.25</v>
      </c>
      <c r="K33" s="238">
        <f>'EUR SWAP 3ML'!$L$40</f>
        <v>-2.6099999999999999E-3</v>
      </c>
      <c r="L33" s="135" t="s">
        <v>193</v>
      </c>
      <c r="M33" s="199"/>
      <c r="N33" s="277">
        <f t="shared" si="18"/>
        <v>1000000</v>
      </c>
      <c r="O33" s="252" t="str">
        <f t="shared" si="19"/>
        <v>PAYER</v>
      </c>
      <c r="P33" s="255">
        <f t="shared" ca="1" si="20"/>
        <v>42523</v>
      </c>
      <c r="Q33" s="255" t="str">
        <f t="shared" si="21"/>
        <v>11Y</v>
      </c>
      <c r="R33" s="249" t="s">
        <v>26</v>
      </c>
      <c r="S33" s="254" t="s">
        <v>20</v>
      </c>
      <c r="T33" s="249" t="s">
        <v>22</v>
      </c>
      <c r="U33" s="249" t="s">
        <v>2</v>
      </c>
      <c r="V33" s="255"/>
      <c r="W33" s="255"/>
      <c r="X33" s="256">
        <f t="shared" ca="1" si="22"/>
        <v>2</v>
      </c>
      <c r="Y33" s="257" t="s">
        <v>177</v>
      </c>
      <c r="Z33" s="254" t="s">
        <v>178</v>
      </c>
      <c r="AA33" s="252" t="str">
        <f t="shared" si="15"/>
        <v>EUR3ML</v>
      </c>
      <c r="AB33" s="256" t="str">
        <f t="shared" si="23"/>
        <v>Quarterly</v>
      </c>
      <c r="AC33" s="254" t="s">
        <v>6</v>
      </c>
      <c r="AD33" s="249" t="s">
        <v>22</v>
      </c>
      <c r="AE33" s="249" t="s">
        <v>2</v>
      </c>
      <c r="AF33" s="255"/>
      <c r="AG33" s="255"/>
      <c r="AH33" s="256">
        <f t="shared" ca="1" si="24"/>
        <v>2</v>
      </c>
      <c r="AI33" s="257" t="s">
        <v>177</v>
      </c>
      <c r="AJ33" s="258">
        <f t="shared" si="25"/>
        <v>-2.6099999999999999E-3</v>
      </c>
      <c r="AK33" s="258"/>
      <c r="AL33" s="257" t="s">
        <v>177</v>
      </c>
      <c r="AM33" s="254" t="s">
        <v>178</v>
      </c>
      <c r="AN33" s="255" t="str">
        <f t="shared" si="26"/>
        <v>EURYC</v>
      </c>
      <c r="AO33" s="252" t="str">
        <f t="shared" si="27"/>
        <v>EURDF_NOCSA</v>
      </c>
      <c r="AP33" s="259">
        <f t="shared" si="16"/>
        <v>11.25</v>
      </c>
      <c r="AQ33" s="270">
        <f t="shared" si="28"/>
        <v>0</v>
      </c>
      <c r="AR33" s="223" t="s">
        <v>4</v>
      </c>
      <c r="AS33" s="180">
        <f ca="1">IF(AND(NOW(),isEUR3MLLoaded),IF(OR($D33="",$D33=0),"",_xll.meProductSwapParRate(_xll.meUtilityLVBFromKeysValues($P$5:$AP$5,$P33:$AP33))),"Please Load Yield Curves")</f>
        <v>6.5763612011114332E-3</v>
      </c>
      <c r="AT33" s="138">
        <f ca="1">IF(AND(NOW(),isEUR3MLLoaded),IF(OR($D33="",$D33=0),"",_xll.meProductSwapPV(_xll.meUtilityLVBFromKeysValues($N$5:$AP$5,$N33:$AP33))),"Please Load Yield Curves")</f>
        <v>72176.755377618581</v>
      </c>
      <c r="AU33" s="138">
        <f ca="1">IF(AND(NOW(),isEUR3MLLoaded),IF(OR($D33="",$D33=0),"",_xll.meProductSwapPV01(_xll.meUtilityLVBFromKeysValues($N$5:$AO$5,$N33:$AO33))),"Please Load Yield Curves")</f>
        <v>1097.5181132906814</v>
      </c>
      <c r="AV33" s="195">
        <f ca="1">IF(AND(NOW(),isEUR3MLLoaded),IF(OR($D33="",$D33=0),"",_xll.meProductSwapDV01(_xll.meUtilityLVBFromKeysValues($N$5:$AQ$5,$N33:$AQ33))),"Please Load Yield Curves")</f>
        <v>1161.2041317993694</v>
      </c>
      <c r="AW33" s="48"/>
      <c r="AX33" s="149" t="s">
        <v>61</v>
      </c>
      <c r="AY33" s="184">
        <f>'EUR BASIS 6ML'!J45*10000</f>
        <v>11.25</v>
      </c>
      <c r="AZ33" s="183">
        <f t="shared" ca="1" si="29"/>
        <v>1.7573801528586452E-10</v>
      </c>
      <c r="BA33" s="189">
        <f t="shared" ca="1" si="17"/>
        <v>-1.9287565519334748E-3</v>
      </c>
    </row>
    <row r="34" spans="1:55" x14ac:dyDescent="0.25">
      <c r="A34" s="114">
        <v>10</v>
      </c>
      <c r="B34" s="131">
        <f ca="1">IF(OR(D34="",D34=0),"",_xll.meDateFromTenor(COB,C34,$T34,$U34))</f>
        <v>42523</v>
      </c>
      <c r="C34" s="139" t="s">
        <v>191</v>
      </c>
      <c r="D34" s="133">
        <v>1000000</v>
      </c>
      <c r="E34" s="133" t="s">
        <v>17</v>
      </c>
      <c r="F34" s="134" t="s">
        <v>176</v>
      </c>
      <c r="G34" s="135" t="s">
        <v>62</v>
      </c>
      <c r="H34" s="136">
        <v>0</v>
      </c>
      <c r="I34" s="166" t="s">
        <v>205</v>
      </c>
      <c r="J34" s="368">
        <f t="shared" si="14"/>
        <v>10.649999999999997</v>
      </c>
      <c r="K34" s="238">
        <f>'EUR SWAP 3ML'!$L$40</f>
        <v>-2.6099999999999999E-3</v>
      </c>
      <c r="L34" s="135" t="s">
        <v>193</v>
      </c>
      <c r="M34" s="199"/>
      <c r="N34" s="277">
        <f t="shared" si="18"/>
        <v>1000000</v>
      </c>
      <c r="O34" s="252" t="str">
        <f t="shared" si="19"/>
        <v>PAYER</v>
      </c>
      <c r="P34" s="255">
        <f t="shared" ca="1" si="20"/>
        <v>42523</v>
      </c>
      <c r="Q34" s="255" t="str">
        <f t="shared" si="21"/>
        <v>12Y</v>
      </c>
      <c r="R34" s="249" t="s">
        <v>26</v>
      </c>
      <c r="S34" s="254" t="s">
        <v>20</v>
      </c>
      <c r="T34" s="249" t="s">
        <v>22</v>
      </c>
      <c r="U34" s="249" t="s">
        <v>2</v>
      </c>
      <c r="V34" s="255"/>
      <c r="W34" s="255"/>
      <c r="X34" s="256">
        <f t="shared" ca="1" si="22"/>
        <v>2</v>
      </c>
      <c r="Y34" s="257" t="s">
        <v>177</v>
      </c>
      <c r="Z34" s="254" t="s">
        <v>178</v>
      </c>
      <c r="AA34" s="252" t="str">
        <f t="shared" si="15"/>
        <v>EUR3ML</v>
      </c>
      <c r="AB34" s="256" t="str">
        <f t="shared" si="23"/>
        <v>Quarterly</v>
      </c>
      <c r="AC34" s="254" t="s">
        <v>6</v>
      </c>
      <c r="AD34" s="249" t="s">
        <v>22</v>
      </c>
      <c r="AE34" s="249" t="s">
        <v>2</v>
      </c>
      <c r="AF34" s="255"/>
      <c r="AG34" s="255"/>
      <c r="AH34" s="256">
        <f t="shared" ca="1" si="24"/>
        <v>2</v>
      </c>
      <c r="AI34" s="257" t="s">
        <v>177</v>
      </c>
      <c r="AJ34" s="258">
        <f t="shared" si="25"/>
        <v>-2.6099999999999999E-3</v>
      </c>
      <c r="AK34" s="258"/>
      <c r="AL34" s="257" t="s">
        <v>177</v>
      </c>
      <c r="AM34" s="254" t="s">
        <v>178</v>
      </c>
      <c r="AN34" s="255" t="str">
        <f t="shared" si="26"/>
        <v>EURYC</v>
      </c>
      <c r="AO34" s="252" t="str">
        <f t="shared" si="27"/>
        <v>EURDF_NOCSA</v>
      </c>
      <c r="AP34" s="259">
        <f t="shared" si="16"/>
        <v>10.649999999999997</v>
      </c>
      <c r="AQ34" s="270">
        <f t="shared" si="28"/>
        <v>0</v>
      </c>
      <c r="AR34" s="223" t="s">
        <v>4</v>
      </c>
      <c r="AS34" s="180">
        <f ca="1">IF(AND(NOW(),isEUR3MLLoaded),IF(OR($D34="",$D34=0),"",_xll.meProductSwapParRate(_xll.meUtilityLVBFromKeysValues($P$5:$AP$5,$P34:$AP34))),"Please Load Yield Curves")</f>
        <v>7.4284543474910153E-3</v>
      </c>
      <c r="AT34" s="138">
        <f ca="1">IF(AND(NOW(),isEUR3MLLoaded),IF(OR($D34="",$D34=0),"",_xll.meProductSwapPV(_xll.meUtilityLVBFromKeysValues($N$5:$AP$5,$N34:$AP34))),"Please Load Yield Curves")</f>
        <v>88528.663243283168</v>
      </c>
      <c r="AU34" s="138">
        <f ca="1">IF(AND(NOW(),isEUR3MLLoaded),IF(OR($D34="",$D34=0),"",_xll.meProductSwapPV01(_xll.meUtilityLVBFromKeysValues($N$5:$AO$5,$N34:$AO34))),"Please Load Yield Curves")</f>
        <v>1191.750788280526</v>
      </c>
      <c r="AV34" s="195">
        <f ca="1">IF(AND(NOW(),isEUR3MLLoaded),IF(OR($D34="",$D34=0),"",_xll.meProductSwapDV01(_xll.meUtilityLVBFromKeysValues($N$5:$AQ$5,$N34:$AQ34))),"Please Load Yield Curves")</f>
        <v>1274.6825810015289</v>
      </c>
      <c r="AW34" s="48"/>
      <c r="AX34" s="149" t="s">
        <v>62</v>
      </c>
      <c r="AY34" s="184">
        <f>'EUR BASIS 6ML'!J46*10000</f>
        <v>10.649999999999997</v>
      </c>
      <c r="AZ34" s="183">
        <f t="shared" ca="1" si="29"/>
        <v>-2.8143648956452383E-10</v>
      </c>
      <c r="BA34" s="189">
        <f t="shared" ca="1" si="17"/>
        <v>3.3540215808898211E-3</v>
      </c>
    </row>
    <row r="35" spans="1:55" x14ac:dyDescent="0.25">
      <c r="A35" s="114">
        <v>11</v>
      </c>
      <c r="B35" s="131">
        <f ca="1">IF(OR(D35="",D35=0),"",_xll.meDateFromTenor(COB,C35,$T35,$U35))</f>
        <v>42523</v>
      </c>
      <c r="C35" s="139" t="s">
        <v>191</v>
      </c>
      <c r="D35" s="133">
        <v>1000000</v>
      </c>
      <c r="E35" s="133" t="s">
        <v>17</v>
      </c>
      <c r="F35" s="134" t="s">
        <v>176</v>
      </c>
      <c r="G35" s="135" t="s">
        <v>63</v>
      </c>
      <c r="H35" s="136">
        <v>0</v>
      </c>
      <c r="I35" s="166" t="s">
        <v>205</v>
      </c>
      <c r="J35" s="368">
        <f t="shared" si="14"/>
        <v>9.0999999999999979</v>
      </c>
      <c r="K35" s="238">
        <f>'EUR SWAP 3ML'!$L$40</f>
        <v>-2.6099999999999999E-3</v>
      </c>
      <c r="L35" s="135" t="s">
        <v>193</v>
      </c>
      <c r="M35" s="199"/>
      <c r="N35" s="277">
        <f t="shared" si="18"/>
        <v>1000000</v>
      </c>
      <c r="O35" s="252" t="str">
        <f t="shared" si="19"/>
        <v>PAYER</v>
      </c>
      <c r="P35" s="255">
        <f t="shared" ca="1" si="20"/>
        <v>42523</v>
      </c>
      <c r="Q35" s="255" t="str">
        <f t="shared" si="21"/>
        <v>15Y</v>
      </c>
      <c r="R35" s="249" t="s">
        <v>26</v>
      </c>
      <c r="S35" s="254" t="s">
        <v>20</v>
      </c>
      <c r="T35" s="249" t="s">
        <v>22</v>
      </c>
      <c r="U35" s="249" t="s">
        <v>2</v>
      </c>
      <c r="V35" s="255"/>
      <c r="W35" s="255"/>
      <c r="X35" s="256">
        <f t="shared" ca="1" si="22"/>
        <v>2</v>
      </c>
      <c r="Y35" s="257" t="s">
        <v>177</v>
      </c>
      <c r="Z35" s="254" t="s">
        <v>178</v>
      </c>
      <c r="AA35" s="252" t="str">
        <f t="shared" si="15"/>
        <v>EUR3ML</v>
      </c>
      <c r="AB35" s="256" t="str">
        <f t="shared" si="23"/>
        <v>Quarterly</v>
      </c>
      <c r="AC35" s="254" t="s">
        <v>6</v>
      </c>
      <c r="AD35" s="249" t="s">
        <v>22</v>
      </c>
      <c r="AE35" s="249" t="s">
        <v>2</v>
      </c>
      <c r="AF35" s="255"/>
      <c r="AG35" s="255"/>
      <c r="AH35" s="256">
        <f t="shared" ca="1" si="24"/>
        <v>2</v>
      </c>
      <c r="AI35" s="257" t="s">
        <v>177</v>
      </c>
      <c r="AJ35" s="258">
        <f t="shared" si="25"/>
        <v>-2.6099999999999999E-3</v>
      </c>
      <c r="AK35" s="258"/>
      <c r="AL35" s="257" t="s">
        <v>177</v>
      </c>
      <c r="AM35" s="254" t="s">
        <v>178</v>
      </c>
      <c r="AN35" s="255" t="str">
        <f t="shared" si="26"/>
        <v>EURYC</v>
      </c>
      <c r="AO35" s="252" t="str">
        <f t="shared" si="27"/>
        <v>EURDF_NOCSA</v>
      </c>
      <c r="AP35" s="259">
        <f t="shared" si="16"/>
        <v>9.0999999999999979</v>
      </c>
      <c r="AQ35" s="270">
        <f t="shared" si="28"/>
        <v>0</v>
      </c>
      <c r="AR35" s="223" t="s">
        <v>4</v>
      </c>
      <c r="AS35" s="180">
        <f ca="1">IF(AND(NOW(),isEUR3MLLoaded),IF(OR($D35="",$D35=0),"",_xll.meProductSwapParRate(_xll.meUtilityLVBFromKeysValues($P$5:$AP$5,$P35:$AP35))),"Please Load Yield Curves")</f>
        <v>9.3581534184064147E-3</v>
      </c>
      <c r="AT35" s="138">
        <f ca="1">IF(AND(NOW(),isEUR3MLLoaded),IF(OR($D35="",$D35=0),"",_xll.meProductSwapPV(_xll.meUtilityLVBFromKeysValues($N$5:$AP$5,$N35:$AP35))),"Please Load Yield Curves")</f>
        <v>137152.67185235757</v>
      </c>
      <c r="AU35" s="138">
        <f ca="1">IF(AND(NOW(),isEUR3MLLoaded),IF(OR($D35="",$D35=0),"",_xll.meProductSwapPV01(_xll.meUtilityLVBFromKeysValues($N$5:$AO$5,$N35:$AO35))),"Please Load Yield Curves")</f>
        <v>1465.5954622692336</v>
      </c>
      <c r="AV35" s="195">
        <f ca="1">IF(AND(NOW(),isEUR3MLLoaded),IF(OR($D35="",$D35=0),"",_xll.meProductSwapDV01(_xll.meUtilityLVBFromKeysValues($N$5:$AQ$5,$N35:$AQ35))),"Please Load Yield Curves")</f>
        <v>1615.4218605544672</v>
      </c>
      <c r="AW35" s="48"/>
      <c r="AX35" s="149" t="s">
        <v>63</v>
      </c>
      <c r="AY35" s="184">
        <f>'EUR BASIS 6ML'!J47*10000</f>
        <v>9.0999999999999979</v>
      </c>
      <c r="AZ35" s="183">
        <f t="shared" ca="1" si="29"/>
        <v>-2.2023767011492001E-10</v>
      </c>
      <c r="BA35" s="189">
        <f t="shared" ca="1" si="17"/>
        <v>3.2277932914439589E-3</v>
      </c>
    </row>
    <row r="36" spans="1:55" x14ac:dyDescent="0.25">
      <c r="A36" s="114">
        <v>12</v>
      </c>
      <c r="B36" s="131">
        <f ca="1">IF(OR(D36="",D36=0),"",_xll.meDateFromTenor(COB,C36,$T36,$U36))</f>
        <v>42523</v>
      </c>
      <c r="C36" s="139" t="s">
        <v>191</v>
      </c>
      <c r="D36" s="133">
        <v>1000000</v>
      </c>
      <c r="E36" s="133" t="s">
        <v>17</v>
      </c>
      <c r="F36" s="134" t="s">
        <v>176</v>
      </c>
      <c r="G36" s="135" t="s">
        <v>64</v>
      </c>
      <c r="H36" s="136">
        <v>0</v>
      </c>
      <c r="I36" s="166" t="s">
        <v>205</v>
      </c>
      <c r="J36" s="368">
        <f t="shared" si="14"/>
        <v>7.0999999999999979</v>
      </c>
      <c r="K36" s="238">
        <f>'EUR SWAP 3ML'!$L$40</f>
        <v>-2.6099999999999999E-3</v>
      </c>
      <c r="L36" s="135" t="s">
        <v>193</v>
      </c>
      <c r="M36" s="199"/>
      <c r="N36" s="277">
        <f t="shared" si="18"/>
        <v>1000000</v>
      </c>
      <c r="O36" s="252" t="str">
        <f t="shared" si="19"/>
        <v>PAYER</v>
      </c>
      <c r="P36" s="255">
        <f t="shared" ca="1" si="20"/>
        <v>42523</v>
      </c>
      <c r="Q36" s="255" t="str">
        <f t="shared" si="21"/>
        <v>20Y</v>
      </c>
      <c r="R36" s="249" t="s">
        <v>26</v>
      </c>
      <c r="S36" s="254" t="s">
        <v>20</v>
      </c>
      <c r="T36" s="249" t="s">
        <v>22</v>
      </c>
      <c r="U36" s="249" t="s">
        <v>2</v>
      </c>
      <c r="V36" s="255"/>
      <c r="W36" s="255"/>
      <c r="X36" s="256">
        <f t="shared" ca="1" si="22"/>
        <v>2</v>
      </c>
      <c r="Y36" s="257" t="s">
        <v>177</v>
      </c>
      <c r="Z36" s="254" t="s">
        <v>178</v>
      </c>
      <c r="AA36" s="252" t="str">
        <f t="shared" si="15"/>
        <v>EUR3ML</v>
      </c>
      <c r="AB36" s="256" t="str">
        <f t="shared" si="23"/>
        <v>Quarterly</v>
      </c>
      <c r="AC36" s="254" t="s">
        <v>6</v>
      </c>
      <c r="AD36" s="249" t="s">
        <v>22</v>
      </c>
      <c r="AE36" s="249" t="s">
        <v>2</v>
      </c>
      <c r="AF36" s="255"/>
      <c r="AG36" s="255"/>
      <c r="AH36" s="256">
        <f t="shared" ca="1" si="24"/>
        <v>2</v>
      </c>
      <c r="AI36" s="257" t="s">
        <v>177</v>
      </c>
      <c r="AJ36" s="258">
        <f t="shared" si="25"/>
        <v>-2.6099999999999999E-3</v>
      </c>
      <c r="AK36" s="258"/>
      <c r="AL36" s="257" t="s">
        <v>177</v>
      </c>
      <c r="AM36" s="254" t="s">
        <v>178</v>
      </c>
      <c r="AN36" s="255" t="str">
        <f t="shared" si="26"/>
        <v>EURYC</v>
      </c>
      <c r="AO36" s="252" t="str">
        <f t="shared" si="27"/>
        <v>EURDF_NOCSA</v>
      </c>
      <c r="AP36" s="259">
        <f t="shared" si="16"/>
        <v>7.0999999999999979</v>
      </c>
      <c r="AQ36" s="270">
        <f t="shared" si="28"/>
        <v>0</v>
      </c>
      <c r="AR36" s="223" t="s">
        <v>4</v>
      </c>
      <c r="AS36" s="180">
        <f ca="1">IF(AND(NOW(),isEUR3MLLoaded),IF(OR($D36="",$D36=0),"",_xll.meProductSwapParRate(_xll.meUtilityLVBFromKeysValues($P$5:$AP$5,$P36:$AP36))),"Please Load Yield Curves")</f>
        <v>1.0890278567947947E-2</v>
      </c>
      <c r="AT36" s="138">
        <f ca="1">IF(AND(NOW(),isEUR3MLLoaded),IF(OR($D36="",$D36=0),"",_xll.meProductSwapPV(_xll.meUtilityLVBFromKeysValues($N$5:$AP$5,$N36:$AP36))),"Please Load Yield Curves")</f>
        <v>206291.16039337279</v>
      </c>
      <c r="AU36" s="138">
        <f ca="1">IF(AND(NOW(),isEUR3MLLoaded),IF(OR($D36="",$D36=0),"",_xll.meProductSwapPV01(_xll.meUtilityLVBFromKeysValues($N$5:$AO$5,$N36:$AO36))),"Please Load Yield Curves")</f>
        <v>1894.2689032815456</v>
      </c>
      <c r="AV36" s="195">
        <f ca="1">IF(AND(NOW(),isEUR3MLLoaded),IF(OR($D36="",$D36=0),"",_xll.meProductSwapDV01(_xll.meUtilityLVBFromKeysValues($N$5:$AQ$5,$N36:$AQ36))),"Please Load Yield Curves")</f>
        <v>2166.7882610364527</v>
      </c>
      <c r="AW36" s="48"/>
      <c r="AX36" s="149" t="s">
        <v>64</v>
      </c>
      <c r="AY36" s="184">
        <f>'EUR BASIS 6ML'!J48*10000</f>
        <v>7.0999999999999979</v>
      </c>
      <c r="AZ36" s="183">
        <f t="shared" ca="1" si="29"/>
        <v>-1.7646381231251063E-10</v>
      </c>
      <c r="BA36" s="189">
        <f t="shared" ca="1" si="17"/>
        <v>3.3426991140004247E-3</v>
      </c>
    </row>
    <row r="37" spans="1:55" x14ac:dyDescent="0.25">
      <c r="A37" s="114">
        <v>13</v>
      </c>
      <c r="B37" s="131">
        <f ca="1">IF(OR(D37="",D37=0),"",_xll.meDateFromTenor(COB,C37,$T37,$U37))</f>
        <v>42523</v>
      </c>
      <c r="C37" s="139" t="s">
        <v>191</v>
      </c>
      <c r="D37" s="133">
        <v>1000000</v>
      </c>
      <c r="E37" s="133" t="s">
        <v>17</v>
      </c>
      <c r="F37" s="134" t="s">
        <v>176</v>
      </c>
      <c r="G37" s="135" t="s">
        <v>65</v>
      </c>
      <c r="H37" s="136">
        <v>0</v>
      </c>
      <c r="I37" s="166" t="s">
        <v>205</v>
      </c>
      <c r="J37" s="368">
        <f t="shared" si="14"/>
        <v>5.8249999999999975</v>
      </c>
      <c r="K37" s="238">
        <f>'EUR SWAP 3ML'!$L$40</f>
        <v>-2.6099999999999999E-3</v>
      </c>
      <c r="L37" s="135" t="s">
        <v>193</v>
      </c>
      <c r="M37" s="199"/>
      <c r="N37" s="277">
        <f t="shared" si="18"/>
        <v>1000000</v>
      </c>
      <c r="O37" s="252" t="str">
        <f t="shared" si="19"/>
        <v>PAYER</v>
      </c>
      <c r="P37" s="255">
        <f t="shared" ca="1" si="20"/>
        <v>42523</v>
      </c>
      <c r="Q37" s="255" t="str">
        <f t="shared" si="21"/>
        <v>25Y</v>
      </c>
      <c r="R37" s="249" t="s">
        <v>26</v>
      </c>
      <c r="S37" s="254" t="s">
        <v>20</v>
      </c>
      <c r="T37" s="249" t="s">
        <v>22</v>
      </c>
      <c r="U37" s="249" t="s">
        <v>2</v>
      </c>
      <c r="V37" s="255"/>
      <c r="W37" s="255"/>
      <c r="X37" s="256">
        <f t="shared" ca="1" si="22"/>
        <v>2</v>
      </c>
      <c r="Y37" s="257" t="s">
        <v>177</v>
      </c>
      <c r="Z37" s="254" t="s">
        <v>178</v>
      </c>
      <c r="AA37" s="252" t="str">
        <f t="shared" si="15"/>
        <v>EUR3ML</v>
      </c>
      <c r="AB37" s="256" t="str">
        <f t="shared" si="23"/>
        <v>Quarterly</v>
      </c>
      <c r="AC37" s="254" t="s">
        <v>6</v>
      </c>
      <c r="AD37" s="249" t="s">
        <v>22</v>
      </c>
      <c r="AE37" s="249" t="s">
        <v>2</v>
      </c>
      <c r="AF37" s="255"/>
      <c r="AG37" s="255"/>
      <c r="AH37" s="256">
        <f t="shared" ca="1" si="24"/>
        <v>2</v>
      </c>
      <c r="AI37" s="257" t="s">
        <v>177</v>
      </c>
      <c r="AJ37" s="258">
        <f t="shared" si="25"/>
        <v>-2.6099999999999999E-3</v>
      </c>
      <c r="AK37" s="258"/>
      <c r="AL37" s="257" t="s">
        <v>177</v>
      </c>
      <c r="AM37" s="254" t="s">
        <v>178</v>
      </c>
      <c r="AN37" s="255" t="str">
        <f t="shared" si="26"/>
        <v>EURYC</v>
      </c>
      <c r="AO37" s="252" t="str">
        <f t="shared" si="27"/>
        <v>EURDF_NOCSA</v>
      </c>
      <c r="AP37" s="259">
        <f t="shared" si="16"/>
        <v>5.8249999999999975</v>
      </c>
      <c r="AQ37" s="270">
        <f t="shared" si="28"/>
        <v>0</v>
      </c>
      <c r="AR37" s="223" t="s">
        <v>4</v>
      </c>
      <c r="AS37" s="180">
        <f ca="1">IF(AND(NOW(),isEUR3MLLoaded),IF(OR($D37="",$D37=0),"",_xll.meProductSwapParRate(_xll.meUtilityLVBFromKeysValues($P$5:$AP$5,$P37:$AP37))),"Please Load Yield Curves")</f>
        <v>1.1289774166462624E-2</v>
      </c>
      <c r="AT37" s="138">
        <f ca="1">IF(AND(NOW(),isEUR3MLLoaded),IF(OR($D37="",$D37=0),"",_xll.meProductSwapPV(_xll.meUtilityLVBFromKeysValues($N$5:$AP$5,$N37:$AP37))),"Please Load Yield Curves")</f>
        <v>259112.05782338587</v>
      </c>
      <c r="AU37" s="138">
        <f ca="1">IF(AND(NOW(),isEUR3MLLoaded),IF(OR($D37="",$D37=0),"",_xll.meProductSwapPV01(_xll.meUtilityLVBFromKeysValues($N$5:$AO$5,$N37:$AO37))),"Please Load Yield Curves")</f>
        <v>2295.1039941357158</v>
      </c>
      <c r="AV37" s="195">
        <f ca="1">IF(AND(NOW(),isEUR3MLLoaded),IF(OR($D37="",$D37=0),"",_xll.meProductSwapDV01(_xll.meUtilityLVBFromKeysValues($N$5:$AQ$5,$N37:$AQ37))),"Please Load Yield Curves")</f>
        <v>2688.3607553602092</v>
      </c>
      <c r="AW37" s="48"/>
      <c r="AX37" s="149" t="s">
        <v>65</v>
      </c>
      <c r="AY37" s="184">
        <f>'EUR BASIS 6ML'!J49*10000</f>
        <v>5.8249999999999975</v>
      </c>
      <c r="AZ37" s="183">
        <f t="shared" ca="1" si="29"/>
        <v>-1.2161314316694316E-10</v>
      </c>
      <c r="BA37" s="189">
        <f t="shared" ca="1" si="17"/>
        <v>2.7911480865441263E-3</v>
      </c>
    </row>
    <row r="38" spans="1:55" x14ac:dyDescent="0.25">
      <c r="A38" s="114">
        <v>14</v>
      </c>
      <c r="B38" s="140">
        <f ca="1">IF(OR(D38="",D38=0),"",_xll.meDateFromTenor(COB,C38,$T38,$U38))</f>
        <v>42523</v>
      </c>
      <c r="C38" s="141" t="s">
        <v>191</v>
      </c>
      <c r="D38" s="142">
        <v>1000000</v>
      </c>
      <c r="E38" s="142" t="s">
        <v>17</v>
      </c>
      <c r="F38" s="143" t="s">
        <v>176</v>
      </c>
      <c r="G38" s="144" t="s">
        <v>66</v>
      </c>
      <c r="H38" s="145">
        <v>0</v>
      </c>
      <c r="I38" s="167" t="s">
        <v>205</v>
      </c>
      <c r="J38" s="369">
        <f t="shared" si="14"/>
        <v>4.8999999999999986</v>
      </c>
      <c r="K38" s="484">
        <f>'EUR SWAP 3ML'!$L$40</f>
        <v>-2.6099999999999999E-3</v>
      </c>
      <c r="L38" s="144" t="s">
        <v>193</v>
      </c>
      <c r="M38" s="199"/>
      <c r="N38" s="278">
        <f t="shared" si="18"/>
        <v>1000000</v>
      </c>
      <c r="O38" s="253" t="str">
        <f t="shared" si="19"/>
        <v>PAYER</v>
      </c>
      <c r="P38" s="147">
        <f t="shared" ca="1" si="20"/>
        <v>42523</v>
      </c>
      <c r="Q38" s="147" t="str">
        <f t="shared" si="21"/>
        <v>30Y</v>
      </c>
      <c r="R38" s="271" t="s">
        <v>26</v>
      </c>
      <c r="S38" s="272" t="s">
        <v>20</v>
      </c>
      <c r="T38" s="271" t="s">
        <v>22</v>
      </c>
      <c r="U38" s="271" t="s">
        <v>2</v>
      </c>
      <c r="V38" s="147"/>
      <c r="W38" s="147"/>
      <c r="X38" s="263">
        <f t="shared" ca="1" si="22"/>
        <v>2</v>
      </c>
      <c r="Y38" s="273" t="s">
        <v>177</v>
      </c>
      <c r="Z38" s="272" t="s">
        <v>178</v>
      </c>
      <c r="AA38" s="253" t="str">
        <f t="shared" si="15"/>
        <v>EUR3ML</v>
      </c>
      <c r="AB38" s="263" t="str">
        <f t="shared" si="23"/>
        <v>Quarterly</v>
      </c>
      <c r="AC38" s="272" t="s">
        <v>6</v>
      </c>
      <c r="AD38" s="271" t="s">
        <v>22</v>
      </c>
      <c r="AE38" s="271" t="s">
        <v>2</v>
      </c>
      <c r="AF38" s="147"/>
      <c r="AG38" s="147"/>
      <c r="AH38" s="263">
        <f t="shared" ca="1" si="24"/>
        <v>2</v>
      </c>
      <c r="AI38" s="273" t="s">
        <v>177</v>
      </c>
      <c r="AJ38" s="274">
        <f t="shared" si="25"/>
        <v>-2.6099999999999999E-3</v>
      </c>
      <c r="AK38" s="274"/>
      <c r="AL38" s="273" t="s">
        <v>177</v>
      </c>
      <c r="AM38" s="272" t="s">
        <v>178</v>
      </c>
      <c r="AN38" s="147" t="str">
        <f t="shared" si="26"/>
        <v>EURYC</v>
      </c>
      <c r="AO38" s="253" t="str">
        <f t="shared" si="27"/>
        <v>EURDF_NOCSA</v>
      </c>
      <c r="AP38" s="261">
        <f t="shared" si="16"/>
        <v>4.8999999999999986</v>
      </c>
      <c r="AQ38" s="275">
        <f t="shared" si="28"/>
        <v>0</v>
      </c>
      <c r="AR38" s="223" t="s">
        <v>4</v>
      </c>
      <c r="AS38" s="181">
        <f ca="1">IF(AND(NOW(),isEUR3MLLoaded),IF(OR($D38="",$D38=0),"",_xll.meProductSwapParRate(_xll.meUtilityLVBFromKeysValues($P$5:$AP$5,$P38:$AP38))),"Please Load Yield Curves")</f>
        <v>1.1366455109878897E-2</v>
      </c>
      <c r="AT38" s="148">
        <f ca="1">IF(AND(NOW(),isEUR3MLLoaded),IF(OR($D38="",$D38=0),"",_xll.meProductSwapPV(_xll.meUtilityLVBFromKeysValues($N$5:$AP$5,$N38:$AP38))),"Please Load Yield Curves")</f>
        <v>303868.46466740296</v>
      </c>
      <c r="AU38" s="148">
        <f ca="1">IF(AND(NOW(),isEUR3MLLoaded),IF(OR($D38="",$D38=0),"",_xll.meProductSwapPV01(_xll.meUtilityLVBFromKeysValues($N$5:$AO$5,$N38:$AO38))),"Please Load Yield Curves")</f>
        <v>2673.3793582073149</v>
      </c>
      <c r="AV38" s="196">
        <f ca="1">IF(AND(NOW(),isEUR3MLLoaded),IF(OR($D38="",$D38=0),"",_xll.meProductSwapDV01(_xll.meUtilityLVBFromKeysValues($N$5:$AQ$5,$N38:$AQ38))),"Please Load Yield Curves")</f>
        <v>3192.0658253737079</v>
      </c>
      <c r="AW38" s="176"/>
      <c r="AX38" s="150" t="s">
        <v>66</v>
      </c>
      <c r="AY38" s="188">
        <f>'EUR BASIS 6ML'!J50*10000</f>
        <v>4.8999999999999986</v>
      </c>
      <c r="AZ38" s="192">
        <f t="shared" ca="1" si="29"/>
        <v>-1.0534446596294211E-9</v>
      </c>
      <c r="BA38" s="190">
        <f t="shared" ca="1" si="17"/>
        <v>2.816257206723094E-2</v>
      </c>
    </row>
    <row r="39" spans="1:55" x14ac:dyDescent="0.25">
      <c r="AR39" s="223" t="s">
        <v>4</v>
      </c>
    </row>
    <row r="40" spans="1:55" s="40" customFormat="1" x14ac:dyDescent="0.25">
      <c r="B40" s="40" t="s">
        <v>162</v>
      </c>
      <c r="N40" s="223" t="s">
        <v>282</v>
      </c>
      <c r="O40" s="223"/>
      <c r="P40" s="223"/>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23" t="s">
        <v>4</v>
      </c>
      <c r="AU40" s="177"/>
      <c r="AV40" s="177"/>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199"/>
      <c r="N41" s="262" t="s">
        <v>175</v>
      </c>
      <c r="O41" s="250" t="s">
        <v>249</v>
      </c>
      <c r="P41" s="250" t="s">
        <v>250</v>
      </c>
      <c r="Q41" s="250" t="s">
        <v>251</v>
      </c>
      <c r="R41" s="250" t="s">
        <v>253</v>
      </c>
      <c r="S41" s="250" t="s">
        <v>254</v>
      </c>
      <c r="T41" s="250" t="s">
        <v>255</v>
      </c>
      <c r="U41" s="250" t="s">
        <v>256</v>
      </c>
      <c r="V41" s="250" t="s">
        <v>283</v>
      </c>
      <c r="W41" s="250" t="s">
        <v>284</v>
      </c>
      <c r="X41" s="250" t="s">
        <v>257</v>
      </c>
      <c r="Y41" s="250" t="s">
        <v>258</v>
      </c>
      <c r="Z41" s="250" t="s">
        <v>259</v>
      </c>
      <c r="AA41" s="250" t="s">
        <v>271</v>
      </c>
      <c r="AB41" s="250" t="s">
        <v>260</v>
      </c>
      <c r="AC41" s="250" t="s">
        <v>261</v>
      </c>
      <c r="AD41" s="250" t="s">
        <v>262</v>
      </c>
      <c r="AE41" s="250" t="s">
        <v>263</v>
      </c>
      <c r="AF41" s="250" t="s">
        <v>285</v>
      </c>
      <c r="AG41" s="250" t="s">
        <v>286</v>
      </c>
      <c r="AH41" s="250" t="s">
        <v>264</v>
      </c>
      <c r="AI41" s="250" t="s">
        <v>265</v>
      </c>
      <c r="AJ41" s="250" t="s">
        <v>266</v>
      </c>
      <c r="AK41" s="250" t="s">
        <v>267</v>
      </c>
      <c r="AL41" s="250" t="s">
        <v>268</v>
      </c>
      <c r="AM41" s="250" t="s">
        <v>270</v>
      </c>
      <c r="AN41" s="250" t="s">
        <v>80</v>
      </c>
      <c r="AO41" s="250" t="s">
        <v>272</v>
      </c>
      <c r="AP41" s="250" t="s">
        <v>269</v>
      </c>
      <c r="AQ41" s="251" t="s">
        <v>252</v>
      </c>
      <c r="AR41" s="223" t="s">
        <v>4</v>
      </c>
      <c r="AS41" s="178"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5" t="s">
        <v>192</v>
      </c>
      <c r="J42" s="121">
        <v>0</v>
      </c>
      <c r="K42" s="483">
        <f>'EUR SWAP 3ML'!$L$41</f>
        <v>-1.5299999999999999E-3</v>
      </c>
      <c r="L42" s="119" t="s">
        <v>193</v>
      </c>
      <c r="M42" s="199"/>
      <c r="N42" s="276">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-1.5299999999999999E-3</v>
      </c>
      <c r="AK42" s="129"/>
      <c r="AL42" s="126" t="s">
        <v>177</v>
      </c>
      <c r="AM42" s="123" t="s">
        <v>178</v>
      </c>
      <c r="AN42" s="124" t="str">
        <f>E42&amp;"YC"</f>
        <v>EURYC</v>
      </c>
      <c r="AO42" s="127" t="str">
        <f>LEFT(AN42,3)&amp;"DF_"&amp;L42</f>
        <v>EURDF_NOCSA</v>
      </c>
      <c r="AP42" s="128">
        <f t="shared" ref="AP42:AP55" si="31">J42</f>
        <v>0</v>
      </c>
      <c r="AQ42" s="269">
        <f>H42</f>
        <v>0</v>
      </c>
      <c r="AR42" s="223" t="s">
        <v>4</v>
      </c>
      <c r="AS42" s="179">
        <f ca="1">IF(AND(NOW(),isEUR6MLLoaded),IF(OR($D42="",$D42=0),"",_xll.meProductSwapParRate(_xll.meUtilityLVBFromKeysValues($P$5:$AP$5,$P42:$AP42))),"Please Load Yield Curves")</f>
        <v>-1.3338913554866508E-3</v>
      </c>
      <c r="AT42" s="130">
        <f ca="1">IF(AND(NOW(),isEUR6MLLoaded),IF(OR($D42="",$D42=0),"",_xll.meProductSwapPV(_xll.meUtilityLVBFromKeysValues($N$5:$AQ$5,$N42:$AQ42))),"Please Load Yield Curves")</f>
        <v>4037.3660311285307</v>
      </c>
      <c r="AU42" s="130">
        <f ca="1">IF(AND(NOW(),isEUR6MLLoaded),IF(OR($D42="",$D42=0),"",_xll.meProductSwapPV01(_xll.meUtilityLVBFromKeysValues($N$5:$AO$5,$N42:$AO42))),"Please Load Yield Curves")</f>
        <v>302.67577749280463</v>
      </c>
      <c r="AV42" s="194">
        <f ca="1">IF(AND(NOW(),isEUR6MLLoaded),IF(OR($D42="",$D42=0),"",_xll.meProductSwapDV01(_xll.meUtilityLVBFromKeysValues($N$5:$AQ$5,$N42:$AQ42))),"Please Load Yield Curves")</f>
        <v>303.29591615682153</v>
      </c>
      <c r="BC42" s="169"/>
    </row>
    <row r="43" spans="1:55" hidden="1" outlineLevel="1" x14ac:dyDescent="0.25">
      <c r="A43" s="114">
        <v>2</v>
      </c>
      <c r="B43" s="131">
        <f ca="1">IF(OR(D43="",D43=0),"",_xll.meDateFromTenor(COB,C43,$T43,$U43))</f>
        <v>42523</v>
      </c>
      <c r="C43" s="132" t="s">
        <v>191</v>
      </c>
      <c r="D43" s="133">
        <v>1000000</v>
      </c>
      <c r="E43" s="133" t="s">
        <v>17</v>
      </c>
      <c r="F43" s="134" t="s">
        <v>229</v>
      </c>
      <c r="G43" s="135" t="s">
        <v>50</v>
      </c>
      <c r="H43" s="136">
        <v>0</v>
      </c>
      <c r="I43" s="166" t="s">
        <v>192</v>
      </c>
      <c r="J43" s="137">
        <v>0</v>
      </c>
      <c r="K43" s="238">
        <f>'EUR SWAP 3ML'!$L$41</f>
        <v>-1.5299999999999999E-3</v>
      </c>
      <c r="L43" s="135" t="s">
        <v>193</v>
      </c>
      <c r="M43" s="199"/>
      <c r="N43" s="277">
        <f t="shared" ref="N43:N55" si="32">D43</f>
        <v>1000000</v>
      </c>
      <c r="O43" s="252" t="str">
        <f t="shared" ref="O43:O55" si="33">F43</f>
        <v>RECEIVER</v>
      </c>
      <c r="P43" s="255">
        <f t="shared" ref="P43:P55" ca="1" si="34">B43</f>
        <v>42523</v>
      </c>
      <c r="Q43" s="255" t="str">
        <f t="shared" ref="Q43:Q55" si="35">G43</f>
        <v>4Y</v>
      </c>
      <c r="R43" s="249" t="s">
        <v>26</v>
      </c>
      <c r="S43" s="254" t="s">
        <v>20</v>
      </c>
      <c r="T43" s="249" t="s">
        <v>22</v>
      </c>
      <c r="U43" s="249" t="s">
        <v>2</v>
      </c>
      <c r="V43" s="255"/>
      <c r="W43" s="255"/>
      <c r="X43" s="256">
        <f t="shared" ref="X43:X55" ca="1" si="36">IF($B43="","",DAY($B43))</f>
        <v>2</v>
      </c>
      <c r="Y43" s="257" t="s">
        <v>177</v>
      </c>
      <c r="Z43" s="254" t="s">
        <v>178</v>
      </c>
      <c r="AA43" s="252" t="str">
        <f t="shared" si="30"/>
        <v>EUR6ML</v>
      </c>
      <c r="AB43" s="256" t="str">
        <f t="shared" ref="AB43:AB55" si="37">IF($I43="1ML","Monthly",IF($I43="3ML","Quarterly",IF($I43="6ML","Semi-Annual","Annual")))</f>
        <v>Semi-Annual</v>
      </c>
      <c r="AC43" s="254" t="s">
        <v>6</v>
      </c>
      <c r="AD43" s="249" t="s">
        <v>22</v>
      </c>
      <c r="AE43" s="249" t="s">
        <v>2</v>
      </c>
      <c r="AF43" s="255"/>
      <c r="AG43" s="255"/>
      <c r="AH43" s="256">
        <f t="shared" ref="AH43:AH55" ca="1" si="38">IF($B43="","",DAY($B43))</f>
        <v>2</v>
      </c>
      <c r="AI43" s="257" t="s">
        <v>177</v>
      </c>
      <c r="AJ43" s="258">
        <f t="shared" ref="AJ43:AJ55" si="39">$K43</f>
        <v>-1.5299999999999999E-3</v>
      </c>
      <c r="AK43" s="258"/>
      <c r="AL43" s="257" t="s">
        <v>177</v>
      </c>
      <c r="AM43" s="254" t="s">
        <v>178</v>
      </c>
      <c r="AN43" s="255" t="str">
        <f t="shared" ref="AN43:AN55" si="40">E43&amp;"YC"</f>
        <v>EURYC</v>
      </c>
      <c r="AO43" s="252" t="str">
        <f t="shared" ref="AO43:AO55" si="41">LEFT(AN43,3)&amp;"DF_"&amp;L43</f>
        <v>EURDF_NOCSA</v>
      </c>
      <c r="AP43" s="259">
        <f t="shared" si="31"/>
        <v>0</v>
      </c>
      <c r="AQ43" s="270">
        <f t="shared" ref="AQ43:AQ55" si="42">H43</f>
        <v>0</v>
      </c>
      <c r="AR43" s="223" t="s">
        <v>4</v>
      </c>
      <c r="AS43" s="180">
        <f ca="1">IF(AND(NOW(),isEUR6MLLoaded),IF(OR($D43="",$D43=0),"",_xll.meProductSwapParRate(_xll.meUtilityLVBFromKeysValues($P$5:$AP$5,$P43:$AP43))),"Please Load Yield Curves")</f>
        <v>-6.8204964552800497E-4</v>
      </c>
      <c r="AT43" s="138">
        <f ca="1">IF(AND(NOW(),isEUR6MLLoaded),IF(OR($D43="",$D43=0),"",_xll.meProductSwapPV(_xll.meUtilityLVBFromKeysValues($N$5:$AP$5,$N43:$AP43))),"Please Load Yield Curves")</f>
        <v>2754.11521865848</v>
      </c>
      <c r="AU43" s="138">
        <f ca="1">IF(AND(NOW(),isEUR6MLLoaded),IF(OR($D43="",$D43=0),"",_xll.meProductSwapPV01(_xll.meUtilityLVBFromKeysValues($N$5:$AO$5,$N43:$AO43))),"Please Load Yield Curves")</f>
        <v>403.79981673128748</v>
      </c>
      <c r="AV43" s="195">
        <f ca="1">IF(AND(NOW(),isEUR6MLLoaded),IF(OR($D43="",$D43=0),"",_xll.meProductSwapDV01(_xll.meUtilityLVBFromKeysValues($N$5:$AQ$5,$N43:$AQ43))),"Please Load Yield Curves")</f>
        <v>403.92338952633065</v>
      </c>
    </row>
    <row r="44" spans="1:55" hidden="1" outlineLevel="1" x14ac:dyDescent="0.25">
      <c r="A44" s="114">
        <v>3</v>
      </c>
      <c r="B44" s="131">
        <f ca="1">IF(OR(D44="",D44=0),"",_xll.meDateFromTenor(COB,C44,$T44,$U44))</f>
        <v>42523</v>
      </c>
      <c r="C44" s="139" t="s">
        <v>191</v>
      </c>
      <c r="D44" s="133">
        <v>1000000</v>
      </c>
      <c r="E44" s="133" t="s">
        <v>17</v>
      </c>
      <c r="F44" s="134" t="s">
        <v>229</v>
      </c>
      <c r="G44" s="135" t="s">
        <v>52</v>
      </c>
      <c r="H44" s="136">
        <v>0</v>
      </c>
      <c r="I44" s="166" t="s">
        <v>192</v>
      </c>
      <c r="J44" s="137">
        <v>0</v>
      </c>
      <c r="K44" s="238">
        <f>'EUR SWAP 3ML'!$L$41</f>
        <v>-1.5299999999999999E-3</v>
      </c>
      <c r="L44" s="135" t="s">
        <v>193</v>
      </c>
      <c r="M44" s="199"/>
      <c r="N44" s="277">
        <f t="shared" si="32"/>
        <v>1000000</v>
      </c>
      <c r="O44" s="252" t="str">
        <f t="shared" si="33"/>
        <v>RECEIVER</v>
      </c>
      <c r="P44" s="255">
        <f t="shared" ca="1" si="34"/>
        <v>42523</v>
      </c>
      <c r="Q44" s="255" t="str">
        <f t="shared" si="35"/>
        <v>5Y</v>
      </c>
      <c r="R44" s="249" t="s">
        <v>26</v>
      </c>
      <c r="S44" s="254" t="s">
        <v>20</v>
      </c>
      <c r="T44" s="249" t="s">
        <v>22</v>
      </c>
      <c r="U44" s="249" t="s">
        <v>2</v>
      </c>
      <c r="V44" s="255"/>
      <c r="W44" s="255"/>
      <c r="X44" s="256">
        <f t="shared" ca="1" si="36"/>
        <v>2</v>
      </c>
      <c r="Y44" s="257" t="s">
        <v>177</v>
      </c>
      <c r="Z44" s="254" t="s">
        <v>178</v>
      </c>
      <c r="AA44" s="252" t="str">
        <f t="shared" si="30"/>
        <v>EUR6ML</v>
      </c>
      <c r="AB44" s="256" t="str">
        <f t="shared" si="37"/>
        <v>Semi-Annual</v>
      </c>
      <c r="AC44" s="254" t="s">
        <v>6</v>
      </c>
      <c r="AD44" s="249" t="s">
        <v>22</v>
      </c>
      <c r="AE44" s="249" t="s">
        <v>2</v>
      </c>
      <c r="AF44" s="255"/>
      <c r="AG44" s="255"/>
      <c r="AH44" s="256">
        <f t="shared" ca="1" si="38"/>
        <v>2</v>
      </c>
      <c r="AI44" s="257" t="s">
        <v>177</v>
      </c>
      <c r="AJ44" s="258">
        <f t="shared" si="39"/>
        <v>-1.5299999999999999E-3</v>
      </c>
      <c r="AK44" s="258"/>
      <c r="AL44" s="257" t="s">
        <v>177</v>
      </c>
      <c r="AM44" s="254" t="s">
        <v>178</v>
      </c>
      <c r="AN44" s="255" t="str">
        <f t="shared" si="40"/>
        <v>EURYC</v>
      </c>
      <c r="AO44" s="252" t="str">
        <f t="shared" si="41"/>
        <v>EURDF_NOCSA</v>
      </c>
      <c r="AP44" s="259">
        <f t="shared" si="31"/>
        <v>0</v>
      </c>
      <c r="AQ44" s="270">
        <f t="shared" si="42"/>
        <v>0</v>
      </c>
      <c r="AR44" s="223" t="s">
        <v>4</v>
      </c>
      <c r="AS44" s="180">
        <f ca="1">IF(AND(NOW(),isEUR6MLLoaded),IF(OR($D44="",$D44=0),"",_xll.meProductSwapParRate(_xll.meUtilityLVBFromKeysValues($P$5:$AP$5,$P44:$AP44))),"Please Load Yield Curves")</f>
        <v>1.61217212952107E-4</v>
      </c>
      <c r="AT44" s="138">
        <f ca="1">IF(AND(NOW(),isEUR6MLLoaded),IF(OR($D44="",$D44=0),"",_xll.meProductSwapPV(_xll.meUtilityLVBFromKeysValues($N$5:$AP$5,$N44:$AP44))),"Please Load Yield Curves")</f>
        <v>-814.4605539650986</v>
      </c>
      <c r="AU44" s="138">
        <f ca="1">IF(AND(NOW(),isEUR6MLLoaded),IF(OR($D44="",$D44=0),"",_xll.meProductSwapPV01(_xll.meUtilityLVBFromKeysValues($N$5:$AO$5,$N44:$AO44))),"Please Load Yield Curves")</f>
        <v>505.19453788538783</v>
      </c>
      <c r="AV44" s="195">
        <f ca="1">IF(AND(NOW(),isEUR6MLLoaded),IF(OR($D44="",$D44=0),"",_xll.meProductSwapDV01(_xll.meUtilityLVBFromKeysValues($N$5:$AQ$5,$N44:$AQ44))),"Please Load Yield Curves")</f>
        <v>503.60652252104842</v>
      </c>
      <c r="AW44" s="48"/>
    </row>
    <row r="45" spans="1:55" hidden="1" outlineLevel="1" x14ac:dyDescent="0.25">
      <c r="A45" s="114">
        <v>4</v>
      </c>
      <c r="B45" s="131">
        <f ca="1">IF(OR(D45="",D45=0),"",_xll.meDateFromTenor(COB,C45,$T45,$U45))</f>
        <v>42523</v>
      </c>
      <c r="C45" s="139" t="s">
        <v>191</v>
      </c>
      <c r="D45" s="133">
        <v>1000000</v>
      </c>
      <c r="E45" s="133" t="s">
        <v>17</v>
      </c>
      <c r="F45" s="134" t="s">
        <v>229</v>
      </c>
      <c r="G45" s="135" t="s">
        <v>54</v>
      </c>
      <c r="H45" s="136">
        <v>0</v>
      </c>
      <c r="I45" s="166" t="s">
        <v>192</v>
      </c>
      <c r="J45" s="137">
        <v>0</v>
      </c>
      <c r="K45" s="238">
        <f>'EUR SWAP 3ML'!$L$41</f>
        <v>-1.5299999999999999E-3</v>
      </c>
      <c r="L45" s="135" t="s">
        <v>193</v>
      </c>
      <c r="M45" s="199"/>
      <c r="N45" s="277">
        <f t="shared" si="32"/>
        <v>1000000</v>
      </c>
      <c r="O45" s="252" t="str">
        <f t="shared" si="33"/>
        <v>RECEIVER</v>
      </c>
      <c r="P45" s="255">
        <f t="shared" ca="1" si="34"/>
        <v>42523</v>
      </c>
      <c r="Q45" s="255" t="str">
        <f t="shared" si="35"/>
        <v>6Y</v>
      </c>
      <c r="R45" s="249" t="s">
        <v>26</v>
      </c>
      <c r="S45" s="254" t="s">
        <v>20</v>
      </c>
      <c r="T45" s="249" t="s">
        <v>22</v>
      </c>
      <c r="U45" s="249" t="s">
        <v>2</v>
      </c>
      <c r="V45" s="255"/>
      <c r="W45" s="255"/>
      <c r="X45" s="256">
        <f t="shared" ca="1" si="36"/>
        <v>2</v>
      </c>
      <c r="Y45" s="257" t="s">
        <v>177</v>
      </c>
      <c r="Z45" s="254" t="s">
        <v>178</v>
      </c>
      <c r="AA45" s="252" t="str">
        <f t="shared" si="30"/>
        <v>EUR6ML</v>
      </c>
      <c r="AB45" s="256" t="str">
        <f t="shared" si="37"/>
        <v>Semi-Annual</v>
      </c>
      <c r="AC45" s="254" t="s">
        <v>6</v>
      </c>
      <c r="AD45" s="249" t="s">
        <v>22</v>
      </c>
      <c r="AE45" s="249" t="s">
        <v>2</v>
      </c>
      <c r="AF45" s="255"/>
      <c r="AG45" s="255"/>
      <c r="AH45" s="256">
        <f t="shared" ca="1" si="38"/>
        <v>2</v>
      </c>
      <c r="AI45" s="257" t="s">
        <v>177</v>
      </c>
      <c r="AJ45" s="258">
        <f t="shared" si="39"/>
        <v>-1.5299999999999999E-3</v>
      </c>
      <c r="AK45" s="258"/>
      <c r="AL45" s="257" t="s">
        <v>177</v>
      </c>
      <c r="AM45" s="254" t="s">
        <v>178</v>
      </c>
      <c r="AN45" s="255" t="str">
        <f t="shared" si="40"/>
        <v>EURYC</v>
      </c>
      <c r="AO45" s="252" t="str">
        <f t="shared" si="41"/>
        <v>EURDF_NOCSA</v>
      </c>
      <c r="AP45" s="259">
        <f t="shared" si="31"/>
        <v>0</v>
      </c>
      <c r="AQ45" s="270">
        <f t="shared" si="42"/>
        <v>0</v>
      </c>
      <c r="AR45" s="223" t="s">
        <v>4</v>
      </c>
      <c r="AS45" s="180">
        <f ca="1">IF(AND(NOW(),isEUR6MLLoaded),IF(OR($D45="",$D45=0),"",_xll.meProductSwapParRate(_xll.meUtilityLVBFromKeysValues($P$5:$AP$5,$P45:$AP45))),"Please Load Yield Curves")</f>
        <v>1.1616404862676265E-3</v>
      </c>
      <c r="AT45" s="138">
        <f ca="1">IF(AND(NOW(),isEUR6MLLoaded),IF(OR($D45="",$D45=0),"",_xll.meProductSwapPV(_xll.meUtilityLVBFromKeysValues($N$5:$AP$5,$N45:$AP45))),"Please Load Yield Curves")</f>
        <v>-7042.7949794676142</v>
      </c>
      <c r="AU45" s="138">
        <f ca="1">IF(AND(NOW(),isEUR6MLLoaded),IF(OR($D45="",$D45=0),"",_xll.meProductSwapPV01(_xll.meUtilityLVBFromKeysValues($N$5:$AO$5,$N45:$AO45))),"Please Load Yield Curves")</f>
        <v>606.28008947038791</v>
      </c>
      <c r="AV45" s="195">
        <f ca="1">IF(AND(NOW(),isEUR6MLLoaded),IF(OR($D45="",$D45=0),"",_xll.meProductSwapDV01(_xll.meUtilityLVBFromKeysValues($N$5:$AQ$5,$N45:$AQ45))),"Please Load Yield Curves")</f>
        <v>601.09629010306469</v>
      </c>
      <c r="AW45" s="48"/>
    </row>
    <row r="46" spans="1:55" hidden="1" outlineLevel="1" x14ac:dyDescent="0.25">
      <c r="A46" s="114">
        <v>5</v>
      </c>
      <c r="B46" s="131">
        <f ca="1">IF(OR(D46="",D46=0),"",_xll.meDateFromTenor(COB,C46,$T46,$U46))</f>
        <v>42523</v>
      </c>
      <c r="C46" s="139" t="s">
        <v>191</v>
      </c>
      <c r="D46" s="133">
        <v>1000000</v>
      </c>
      <c r="E46" s="133" t="s">
        <v>17</v>
      </c>
      <c r="F46" s="134" t="s">
        <v>229</v>
      </c>
      <c r="G46" s="135" t="s">
        <v>55</v>
      </c>
      <c r="H46" s="136">
        <v>0</v>
      </c>
      <c r="I46" s="166" t="s">
        <v>192</v>
      </c>
      <c r="J46" s="137">
        <v>0</v>
      </c>
      <c r="K46" s="238">
        <f>'EUR SWAP 3ML'!$L$41</f>
        <v>-1.5299999999999999E-3</v>
      </c>
      <c r="L46" s="135" t="s">
        <v>193</v>
      </c>
      <c r="M46" s="199"/>
      <c r="N46" s="277">
        <f t="shared" si="32"/>
        <v>1000000</v>
      </c>
      <c r="O46" s="252" t="str">
        <f t="shared" si="33"/>
        <v>RECEIVER</v>
      </c>
      <c r="P46" s="255">
        <f t="shared" ca="1" si="34"/>
        <v>42523</v>
      </c>
      <c r="Q46" s="255" t="str">
        <f t="shared" si="35"/>
        <v>7Y</v>
      </c>
      <c r="R46" s="249" t="s">
        <v>26</v>
      </c>
      <c r="S46" s="254" t="s">
        <v>20</v>
      </c>
      <c r="T46" s="249" t="s">
        <v>22</v>
      </c>
      <c r="U46" s="249" t="s">
        <v>2</v>
      </c>
      <c r="V46" s="255"/>
      <c r="W46" s="255"/>
      <c r="X46" s="256">
        <f t="shared" ca="1" si="36"/>
        <v>2</v>
      </c>
      <c r="Y46" s="257" t="s">
        <v>177</v>
      </c>
      <c r="Z46" s="254" t="s">
        <v>178</v>
      </c>
      <c r="AA46" s="252" t="str">
        <f t="shared" si="30"/>
        <v>EUR6ML</v>
      </c>
      <c r="AB46" s="256" t="str">
        <f t="shared" si="37"/>
        <v>Semi-Annual</v>
      </c>
      <c r="AC46" s="254" t="s">
        <v>6</v>
      </c>
      <c r="AD46" s="249" t="s">
        <v>22</v>
      </c>
      <c r="AE46" s="249" t="s">
        <v>2</v>
      </c>
      <c r="AF46" s="255"/>
      <c r="AG46" s="255"/>
      <c r="AH46" s="256">
        <f t="shared" ca="1" si="38"/>
        <v>2</v>
      </c>
      <c r="AI46" s="257" t="s">
        <v>177</v>
      </c>
      <c r="AJ46" s="258">
        <f t="shared" si="39"/>
        <v>-1.5299999999999999E-3</v>
      </c>
      <c r="AK46" s="258"/>
      <c r="AL46" s="257" t="s">
        <v>177</v>
      </c>
      <c r="AM46" s="254" t="s">
        <v>178</v>
      </c>
      <c r="AN46" s="255" t="str">
        <f t="shared" si="40"/>
        <v>EURYC</v>
      </c>
      <c r="AO46" s="252" t="str">
        <f t="shared" si="41"/>
        <v>EURDF_NOCSA</v>
      </c>
      <c r="AP46" s="259">
        <f t="shared" si="31"/>
        <v>0</v>
      </c>
      <c r="AQ46" s="270">
        <f t="shared" si="42"/>
        <v>0</v>
      </c>
      <c r="AR46" s="223" t="s">
        <v>4</v>
      </c>
      <c r="AS46" s="180">
        <f ca="1">IF(AND(NOW(),isEUR6MLLoaded),IF(OR($D46="",$D46=0),"",_xll.meProductSwapParRate(_xll.meUtilityLVBFromKeysValues($P$5:$AP$5,$P46:$AP46))),"Please Load Yield Curves")</f>
        <v>2.2918834628777628E-3</v>
      </c>
      <c r="AT46" s="138">
        <f ca="1">IF(AND(NOW(),isEUR6MLLoaded),IF(OR($D46="",$D46=0),"",_xll.meProductSwapPV(_xll.meUtilityLVBFromKeysValues($N$5:$AP$5,$N46:$AP46))),"Please Load Yield Curves")</f>
        <v>-16197.975663962996</v>
      </c>
      <c r="AU46" s="138">
        <f ca="1">IF(AND(NOW(),isEUR6MLLoaded),IF(OR($D46="",$D46=0),"",_xll.meProductSwapPV01(_xll.meUtilityLVBFromKeysValues($N$5:$AO$5,$N46:$AO46))),"Please Load Yield Curves")</f>
        <v>706.75389592559361</v>
      </c>
      <c r="AV46" s="195">
        <f ca="1">IF(AND(NOW(),isEUR6MLLoaded),IF(OR($D46="",$D46=0),"",_xll.meProductSwapDV01(_xll.meUtilityLVBFromKeysValues($N$5:$AQ$5,$N46:$AQ46))),"Please Load Yield Curves")</f>
        <v>695.38898368729951</v>
      </c>
      <c r="AW46" s="48"/>
    </row>
    <row r="47" spans="1:55" hidden="1" outlineLevel="1" x14ac:dyDescent="0.25">
      <c r="A47" s="114">
        <v>6</v>
      </c>
      <c r="B47" s="131">
        <f ca="1">IF(OR(D47="",D47=0),"",_xll.meDateFromTenor(COB,C47,$T47,$U47))</f>
        <v>42523</v>
      </c>
      <c r="C47" s="139" t="s">
        <v>191</v>
      </c>
      <c r="D47" s="133">
        <v>1000000</v>
      </c>
      <c r="E47" s="133" t="s">
        <v>17</v>
      </c>
      <c r="F47" s="134" t="s">
        <v>229</v>
      </c>
      <c r="G47" s="135" t="s">
        <v>57</v>
      </c>
      <c r="H47" s="136">
        <v>0</v>
      </c>
      <c r="I47" s="166" t="s">
        <v>192</v>
      </c>
      <c r="J47" s="137">
        <v>0</v>
      </c>
      <c r="K47" s="238">
        <f>'EUR SWAP 3ML'!$L$41</f>
        <v>-1.5299999999999999E-3</v>
      </c>
      <c r="L47" s="135" t="s">
        <v>193</v>
      </c>
      <c r="M47" s="199"/>
      <c r="N47" s="277">
        <f t="shared" si="32"/>
        <v>1000000</v>
      </c>
      <c r="O47" s="252" t="str">
        <f t="shared" si="33"/>
        <v>RECEIVER</v>
      </c>
      <c r="P47" s="255">
        <f t="shared" ca="1" si="34"/>
        <v>42523</v>
      </c>
      <c r="Q47" s="255" t="str">
        <f t="shared" si="35"/>
        <v>8Y</v>
      </c>
      <c r="R47" s="249" t="s">
        <v>26</v>
      </c>
      <c r="S47" s="254" t="s">
        <v>20</v>
      </c>
      <c r="T47" s="249" t="s">
        <v>22</v>
      </c>
      <c r="U47" s="249" t="s">
        <v>2</v>
      </c>
      <c r="V47" s="255"/>
      <c r="W47" s="255"/>
      <c r="X47" s="256">
        <f t="shared" ca="1" si="36"/>
        <v>2</v>
      </c>
      <c r="Y47" s="257" t="s">
        <v>177</v>
      </c>
      <c r="Z47" s="254" t="s">
        <v>178</v>
      </c>
      <c r="AA47" s="252" t="str">
        <f t="shared" si="30"/>
        <v>EUR6ML</v>
      </c>
      <c r="AB47" s="256" t="str">
        <f t="shared" si="37"/>
        <v>Semi-Annual</v>
      </c>
      <c r="AC47" s="254" t="s">
        <v>6</v>
      </c>
      <c r="AD47" s="249" t="s">
        <v>22</v>
      </c>
      <c r="AE47" s="249" t="s">
        <v>2</v>
      </c>
      <c r="AF47" s="255"/>
      <c r="AG47" s="255"/>
      <c r="AH47" s="256">
        <f t="shared" ca="1" si="38"/>
        <v>2</v>
      </c>
      <c r="AI47" s="257" t="s">
        <v>177</v>
      </c>
      <c r="AJ47" s="258">
        <f t="shared" si="39"/>
        <v>-1.5299999999999999E-3</v>
      </c>
      <c r="AK47" s="258"/>
      <c r="AL47" s="257" t="s">
        <v>177</v>
      </c>
      <c r="AM47" s="254" t="s">
        <v>178</v>
      </c>
      <c r="AN47" s="255" t="str">
        <f t="shared" si="40"/>
        <v>EURYC</v>
      </c>
      <c r="AO47" s="252" t="str">
        <f t="shared" si="41"/>
        <v>EURDF_NOCSA</v>
      </c>
      <c r="AP47" s="259">
        <f t="shared" si="31"/>
        <v>0</v>
      </c>
      <c r="AQ47" s="270">
        <f t="shared" si="42"/>
        <v>0</v>
      </c>
      <c r="AR47" s="223" t="s">
        <v>4</v>
      </c>
      <c r="AS47" s="180">
        <f ca="1">IF(AND(NOW(),isEUR6MLLoaded),IF(OR($D47="",$D47=0),"",_xll.meProductSwapParRate(_xll.meUtilityLVBFromKeysValues($P$5:$AP$5,$P47:$AP47))),"Please Load Yield Curves")</f>
        <v>3.472273475414912E-3</v>
      </c>
      <c r="AT47" s="138">
        <f ca="1">IF(AND(NOW(),isEUR6MLLoaded),IF(OR($D47="",$D47=0),"",_xll.meProductSwapPV(_xll.meUtilityLVBFromKeysValues($N$5:$AP$5,$N47:$AP47))),"Please Load Yield Curves")</f>
        <v>-28006.635838027956</v>
      </c>
      <c r="AU47" s="138">
        <f ca="1">IF(AND(NOW(),isEUR6MLLoaded),IF(OR($D47="",$D47=0),"",_xll.meProductSwapPV01(_xll.meUtilityLVBFromKeysValues($N$5:$AO$5,$N47:$AO47))),"Please Load Yield Curves")</f>
        <v>806.57920628447516</v>
      </c>
      <c r="AV47" s="195">
        <f ca="1">IF(AND(NOW(),isEUR6MLLoaded),IF(OR($D47="",$D47=0),"",_xll.meProductSwapDV01(_xll.meUtilityLVBFromKeysValues($N$5:$AQ$5,$N47:$AQ47))),"Please Load Yield Curves")</f>
        <v>786.08507069628843</v>
      </c>
      <c r="AW47" s="48"/>
    </row>
    <row r="48" spans="1:55" hidden="1" outlineLevel="1" x14ac:dyDescent="0.25">
      <c r="A48" s="114">
        <v>7</v>
      </c>
      <c r="B48" s="131">
        <f ca="1">IF(OR(D48="",D48=0),"",_xll.meDateFromTenor(COB,C48,$T48,$U48))</f>
        <v>42523</v>
      </c>
      <c r="C48" s="139" t="s">
        <v>191</v>
      </c>
      <c r="D48" s="133">
        <v>1000000</v>
      </c>
      <c r="E48" s="133" t="s">
        <v>17</v>
      </c>
      <c r="F48" s="134" t="s">
        <v>229</v>
      </c>
      <c r="G48" s="135" t="s">
        <v>59</v>
      </c>
      <c r="H48" s="136">
        <v>0</v>
      </c>
      <c r="I48" s="166" t="s">
        <v>192</v>
      </c>
      <c r="J48" s="137">
        <v>0</v>
      </c>
      <c r="K48" s="238">
        <f>'EUR SWAP 3ML'!$L$41</f>
        <v>-1.5299999999999999E-3</v>
      </c>
      <c r="L48" s="135" t="s">
        <v>193</v>
      </c>
      <c r="M48" s="199"/>
      <c r="N48" s="277">
        <f t="shared" si="32"/>
        <v>1000000</v>
      </c>
      <c r="O48" s="252" t="str">
        <f t="shared" si="33"/>
        <v>RECEIVER</v>
      </c>
      <c r="P48" s="255">
        <f t="shared" ca="1" si="34"/>
        <v>42523</v>
      </c>
      <c r="Q48" s="255" t="str">
        <f t="shared" si="35"/>
        <v>9Y</v>
      </c>
      <c r="R48" s="249" t="s">
        <v>26</v>
      </c>
      <c r="S48" s="254" t="s">
        <v>20</v>
      </c>
      <c r="T48" s="249" t="s">
        <v>22</v>
      </c>
      <c r="U48" s="249" t="s">
        <v>2</v>
      </c>
      <c r="V48" s="255"/>
      <c r="W48" s="255"/>
      <c r="X48" s="256">
        <f t="shared" ca="1" si="36"/>
        <v>2</v>
      </c>
      <c r="Y48" s="257" t="s">
        <v>177</v>
      </c>
      <c r="Z48" s="254" t="s">
        <v>178</v>
      </c>
      <c r="AA48" s="252" t="str">
        <f t="shared" si="30"/>
        <v>EUR6ML</v>
      </c>
      <c r="AB48" s="256" t="str">
        <f t="shared" si="37"/>
        <v>Semi-Annual</v>
      </c>
      <c r="AC48" s="254" t="s">
        <v>6</v>
      </c>
      <c r="AD48" s="249" t="s">
        <v>22</v>
      </c>
      <c r="AE48" s="249" t="s">
        <v>2</v>
      </c>
      <c r="AF48" s="255"/>
      <c r="AG48" s="255"/>
      <c r="AH48" s="256">
        <f t="shared" ca="1" si="38"/>
        <v>2</v>
      </c>
      <c r="AI48" s="257" t="s">
        <v>177</v>
      </c>
      <c r="AJ48" s="258">
        <f t="shared" si="39"/>
        <v>-1.5299999999999999E-3</v>
      </c>
      <c r="AK48" s="258"/>
      <c r="AL48" s="257" t="s">
        <v>177</v>
      </c>
      <c r="AM48" s="254" t="s">
        <v>178</v>
      </c>
      <c r="AN48" s="255" t="str">
        <f t="shared" si="40"/>
        <v>EURYC</v>
      </c>
      <c r="AO48" s="252" t="str">
        <f t="shared" si="41"/>
        <v>EURDF_NOCSA</v>
      </c>
      <c r="AP48" s="259">
        <f t="shared" si="31"/>
        <v>0</v>
      </c>
      <c r="AQ48" s="270">
        <f t="shared" si="42"/>
        <v>0</v>
      </c>
      <c r="AR48" s="223" t="s">
        <v>4</v>
      </c>
      <c r="AS48" s="180">
        <f ca="1">IF(AND(NOW(),isEUR6MLLoaded),IF(OR($D48="",$D48=0),"",_xll.meProductSwapParRate(_xll.meUtilityLVBFromKeysValues($P$5:$AP$5,$P48:$AP48))),"Please Load Yield Curves")</f>
        <v>4.6017975026131858E-3</v>
      </c>
      <c r="AT48" s="138">
        <f ca="1">IF(AND(NOW(),isEUR6MLLoaded),IF(OR($D48="",$D48=0),"",_xll.meProductSwapPV(_xll.meUtilityLVBFromKeysValues($N$5:$AP$5,$N48:$AP48))),"Please Load Yield Curves")</f>
        <v>-41632.685598699383</v>
      </c>
      <c r="AU48" s="138">
        <f ca="1">IF(AND(NOW(),isEUR6MLLoaded),IF(OR($D48="",$D48=0),"",_xll.meProductSwapPV01(_xll.meUtilityLVBFromKeysValues($N$5:$AO$5,$N48:$AO48))),"Please Load Yield Curves")</f>
        <v>904.70485880914498</v>
      </c>
      <c r="AV48" s="195">
        <f ca="1">IF(AND(NOW(),isEUR6MLLoaded),IF(OR($D48="",$D48=0),"",_xll.meProductSwapDV01(_xll.meUtilityLVBFromKeysValues($N$5:$AQ$5,$N48:$AQ48))),"Please Load Yield Curves")</f>
        <v>872.34875569053224</v>
      </c>
      <c r="AW48" s="48"/>
    </row>
    <row r="49" spans="1:53" hidden="1" outlineLevel="1" x14ac:dyDescent="0.25">
      <c r="A49" s="114">
        <v>8</v>
      </c>
      <c r="B49" s="131">
        <f ca="1">IF(OR(D49="",D49=0),"",_xll.meDateFromTenor(COB,C49,$T49,$U49))</f>
        <v>42523</v>
      </c>
      <c r="C49" s="139" t="s">
        <v>191</v>
      </c>
      <c r="D49" s="133">
        <v>1000000</v>
      </c>
      <c r="E49" s="133" t="s">
        <v>17</v>
      </c>
      <c r="F49" s="134" t="s">
        <v>229</v>
      </c>
      <c r="G49" s="135" t="s">
        <v>60</v>
      </c>
      <c r="H49" s="136">
        <v>0</v>
      </c>
      <c r="I49" s="166" t="s">
        <v>192</v>
      </c>
      <c r="J49" s="137">
        <v>0</v>
      </c>
      <c r="K49" s="238">
        <f>'EUR SWAP 3ML'!$L$41</f>
        <v>-1.5299999999999999E-3</v>
      </c>
      <c r="L49" s="135" t="s">
        <v>193</v>
      </c>
      <c r="M49" s="199"/>
      <c r="N49" s="277">
        <f t="shared" si="32"/>
        <v>1000000</v>
      </c>
      <c r="O49" s="252" t="str">
        <f t="shared" si="33"/>
        <v>RECEIVER</v>
      </c>
      <c r="P49" s="255">
        <f t="shared" ca="1" si="34"/>
        <v>42523</v>
      </c>
      <c r="Q49" s="255" t="str">
        <f t="shared" si="35"/>
        <v>10Y</v>
      </c>
      <c r="R49" s="249" t="s">
        <v>26</v>
      </c>
      <c r="S49" s="254" t="s">
        <v>20</v>
      </c>
      <c r="T49" s="249" t="s">
        <v>22</v>
      </c>
      <c r="U49" s="249" t="s">
        <v>2</v>
      </c>
      <c r="V49" s="255"/>
      <c r="W49" s="255"/>
      <c r="X49" s="256">
        <f t="shared" ca="1" si="36"/>
        <v>2</v>
      </c>
      <c r="Y49" s="257" t="s">
        <v>177</v>
      </c>
      <c r="Z49" s="254" t="s">
        <v>178</v>
      </c>
      <c r="AA49" s="252" t="str">
        <f t="shared" si="30"/>
        <v>EUR6ML</v>
      </c>
      <c r="AB49" s="256" t="str">
        <f t="shared" si="37"/>
        <v>Semi-Annual</v>
      </c>
      <c r="AC49" s="254" t="s">
        <v>6</v>
      </c>
      <c r="AD49" s="249" t="s">
        <v>22</v>
      </c>
      <c r="AE49" s="249" t="s">
        <v>2</v>
      </c>
      <c r="AF49" s="255"/>
      <c r="AG49" s="255"/>
      <c r="AH49" s="256">
        <f t="shared" ca="1" si="38"/>
        <v>2</v>
      </c>
      <c r="AI49" s="257" t="s">
        <v>177</v>
      </c>
      <c r="AJ49" s="258">
        <f t="shared" si="39"/>
        <v>-1.5299999999999999E-3</v>
      </c>
      <c r="AK49" s="258"/>
      <c r="AL49" s="257" t="s">
        <v>177</v>
      </c>
      <c r="AM49" s="254" t="s">
        <v>178</v>
      </c>
      <c r="AN49" s="255" t="str">
        <f t="shared" si="40"/>
        <v>EURYC</v>
      </c>
      <c r="AO49" s="252" t="str">
        <f t="shared" si="41"/>
        <v>EURDF_NOCSA</v>
      </c>
      <c r="AP49" s="259">
        <f t="shared" si="31"/>
        <v>0</v>
      </c>
      <c r="AQ49" s="270">
        <f t="shared" si="42"/>
        <v>0</v>
      </c>
      <c r="AR49" s="223" t="s">
        <v>4</v>
      </c>
      <c r="AS49" s="180">
        <f ca="1">IF(AND(NOW(),isEUR6MLLoaded),IF(OR($D49="",$D49=0),"",_xll.meProductSwapParRate(_xll.meUtilityLVBFromKeysValues($P$5:$AP$5,$P49:$AP49))),"Please Load Yield Curves")</f>
        <v>5.6511502101270822E-3</v>
      </c>
      <c r="AT49" s="138">
        <f ca="1">IF(AND(NOW(),isEUR6MLLoaded),IF(OR($D49="",$D49=0),"",_xll.meProductSwapPV(_xll.meUtilityLVBFromKeysValues($N$5:$AP$5,$N49:$AP49))),"Please Load Yield Curves")</f>
        <v>-56614.35441371092</v>
      </c>
      <c r="AU49" s="138">
        <f ca="1">IF(AND(NOW(),isEUR6MLLoaded),IF(OR($D49="",$D49=0),"",_xll.meProductSwapPV01(_xll.meUtilityLVBFromKeysValues($N$5:$AO$5,$N49:$AO49))),"Please Load Yield Curves")</f>
        <v>1001.8200243953131</v>
      </c>
      <c r="AV49" s="195">
        <f ca="1">IF(AND(NOW(),isEUR6MLLoaded),IF(OR($D49="",$D49=0),"",_xll.meProductSwapDV01(_xll.meUtilityLVBFromKeysValues($N$5:$AQ$5,$N49:$AQ49))),"Please Load Yield Curves")</f>
        <v>954.96170080176023</v>
      </c>
      <c r="AW49" s="48"/>
    </row>
    <row r="50" spans="1:53" hidden="1" outlineLevel="1" x14ac:dyDescent="0.25">
      <c r="A50" s="114">
        <v>9</v>
      </c>
      <c r="B50" s="131">
        <f ca="1">IF(OR(D50="",D50=0),"",_xll.meDateFromTenor(COB,C50,$T50,$U50))</f>
        <v>42523</v>
      </c>
      <c r="C50" s="139" t="s">
        <v>191</v>
      </c>
      <c r="D50" s="133">
        <v>1000000</v>
      </c>
      <c r="E50" s="133" t="s">
        <v>17</v>
      </c>
      <c r="F50" s="134" t="s">
        <v>229</v>
      </c>
      <c r="G50" s="135" t="s">
        <v>61</v>
      </c>
      <c r="H50" s="136">
        <v>0</v>
      </c>
      <c r="I50" s="166" t="s">
        <v>192</v>
      </c>
      <c r="J50" s="137">
        <v>0</v>
      </c>
      <c r="K50" s="238">
        <f>'EUR SWAP 3ML'!$L$41</f>
        <v>-1.5299999999999999E-3</v>
      </c>
      <c r="L50" s="135" t="s">
        <v>193</v>
      </c>
      <c r="M50" s="199"/>
      <c r="N50" s="277">
        <f t="shared" si="32"/>
        <v>1000000</v>
      </c>
      <c r="O50" s="252" t="str">
        <f t="shared" si="33"/>
        <v>RECEIVER</v>
      </c>
      <c r="P50" s="255">
        <f t="shared" ca="1" si="34"/>
        <v>42523</v>
      </c>
      <c r="Q50" s="255" t="str">
        <f t="shared" si="35"/>
        <v>11Y</v>
      </c>
      <c r="R50" s="249" t="s">
        <v>26</v>
      </c>
      <c r="S50" s="254" t="s">
        <v>20</v>
      </c>
      <c r="T50" s="249" t="s">
        <v>22</v>
      </c>
      <c r="U50" s="249" t="s">
        <v>2</v>
      </c>
      <c r="V50" s="255"/>
      <c r="W50" s="255"/>
      <c r="X50" s="256">
        <f t="shared" ca="1" si="36"/>
        <v>2</v>
      </c>
      <c r="Y50" s="257" t="s">
        <v>177</v>
      </c>
      <c r="Z50" s="254" t="s">
        <v>178</v>
      </c>
      <c r="AA50" s="252" t="str">
        <f t="shared" si="30"/>
        <v>EUR6ML</v>
      </c>
      <c r="AB50" s="256" t="str">
        <f t="shared" si="37"/>
        <v>Semi-Annual</v>
      </c>
      <c r="AC50" s="254" t="s">
        <v>6</v>
      </c>
      <c r="AD50" s="249" t="s">
        <v>22</v>
      </c>
      <c r="AE50" s="249" t="s">
        <v>2</v>
      </c>
      <c r="AF50" s="255"/>
      <c r="AG50" s="255"/>
      <c r="AH50" s="256">
        <f t="shared" ca="1" si="38"/>
        <v>2</v>
      </c>
      <c r="AI50" s="257" t="s">
        <v>177</v>
      </c>
      <c r="AJ50" s="258">
        <f t="shared" si="39"/>
        <v>-1.5299999999999999E-3</v>
      </c>
      <c r="AK50" s="258"/>
      <c r="AL50" s="257" t="s">
        <v>177</v>
      </c>
      <c r="AM50" s="254" t="s">
        <v>178</v>
      </c>
      <c r="AN50" s="255" t="str">
        <f t="shared" si="40"/>
        <v>EURYC</v>
      </c>
      <c r="AO50" s="252" t="str">
        <f t="shared" si="41"/>
        <v>EURDF_NOCSA</v>
      </c>
      <c r="AP50" s="259">
        <f t="shared" si="31"/>
        <v>0</v>
      </c>
      <c r="AQ50" s="270">
        <f t="shared" si="42"/>
        <v>0</v>
      </c>
      <c r="AR50" s="223" t="s">
        <v>4</v>
      </c>
      <c r="AS50" s="180">
        <f ca="1">IF(AND(NOW(),isEUR6MLLoaded),IF(OR($D50="",$D50=0),"",_xll.meProductSwapParRate(_xll.meUtilityLVBFromKeysValues($P$5:$AP$5,$P50:$AP50))),"Please Load Yield Curves")</f>
        <v>6.5763613768494485E-3</v>
      </c>
      <c r="AT50" s="138">
        <f ca="1">IF(AND(NOW(),isEUR6MLLoaded),IF(OR($D50="",$D50=0),"",_xll.meProductSwapPV(_xll.meUtilityLVBFromKeysValues($N$5:$AP$5,$N50:$AP50))),"Please Load Yield Curves")</f>
        <v>-72176.757306375133</v>
      </c>
      <c r="AU50" s="138">
        <f ca="1">IF(AND(NOW(),isEUR6MLLoaded),IF(OR($D50="",$D50=0),"",_xll.meProductSwapPV01(_xll.meUtilityLVBFromKeysValues($N$5:$AO$5,$N50:$AO50))),"Please Load Yield Curves")</f>
        <v>1097.5181132906814</v>
      </c>
      <c r="AV50" s="195">
        <f ca="1">IF(AND(NOW(),isEUR6MLLoaded),IF(OR($D50="",$D50=0),"",_xll.meProductSwapDV01(_xll.meUtilityLVBFromKeysValues($N$5:$AQ$5,$N50:$AQ50))),"Please Load Yield Curves")</f>
        <v>1034.072490144956</v>
      </c>
      <c r="AW50" s="48"/>
    </row>
    <row r="51" spans="1:53" hidden="1" outlineLevel="1" x14ac:dyDescent="0.25">
      <c r="A51" s="114">
        <v>10</v>
      </c>
      <c r="B51" s="131">
        <f ca="1">IF(OR(D51="",D51=0),"",_xll.meDateFromTenor(COB,C51,$T51,$U51))</f>
        <v>42523</v>
      </c>
      <c r="C51" s="139" t="s">
        <v>191</v>
      </c>
      <c r="D51" s="133">
        <v>1000000</v>
      </c>
      <c r="E51" s="133" t="s">
        <v>17</v>
      </c>
      <c r="F51" s="134" t="s">
        <v>229</v>
      </c>
      <c r="G51" s="135" t="s">
        <v>62</v>
      </c>
      <c r="H51" s="136">
        <v>0</v>
      </c>
      <c r="I51" s="166" t="s">
        <v>192</v>
      </c>
      <c r="J51" s="137">
        <v>0</v>
      </c>
      <c r="K51" s="238">
        <f>'EUR SWAP 3ML'!$L$41</f>
        <v>-1.5299999999999999E-3</v>
      </c>
      <c r="L51" s="135" t="s">
        <v>193</v>
      </c>
      <c r="M51" s="199"/>
      <c r="N51" s="277">
        <f t="shared" si="32"/>
        <v>1000000</v>
      </c>
      <c r="O51" s="252" t="str">
        <f t="shared" si="33"/>
        <v>RECEIVER</v>
      </c>
      <c r="P51" s="255">
        <f t="shared" ca="1" si="34"/>
        <v>42523</v>
      </c>
      <c r="Q51" s="255" t="str">
        <f t="shared" si="35"/>
        <v>12Y</v>
      </c>
      <c r="R51" s="249" t="s">
        <v>26</v>
      </c>
      <c r="S51" s="254" t="s">
        <v>20</v>
      </c>
      <c r="T51" s="249" t="s">
        <v>22</v>
      </c>
      <c r="U51" s="249" t="s">
        <v>2</v>
      </c>
      <c r="V51" s="255"/>
      <c r="W51" s="255"/>
      <c r="X51" s="256">
        <f t="shared" ca="1" si="36"/>
        <v>2</v>
      </c>
      <c r="Y51" s="257" t="s">
        <v>177</v>
      </c>
      <c r="Z51" s="254" t="s">
        <v>178</v>
      </c>
      <c r="AA51" s="252" t="str">
        <f t="shared" si="30"/>
        <v>EUR6ML</v>
      </c>
      <c r="AB51" s="256" t="str">
        <f t="shared" si="37"/>
        <v>Semi-Annual</v>
      </c>
      <c r="AC51" s="254" t="s">
        <v>6</v>
      </c>
      <c r="AD51" s="249" t="s">
        <v>22</v>
      </c>
      <c r="AE51" s="249" t="s">
        <v>2</v>
      </c>
      <c r="AF51" s="255"/>
      <c r="AG51" s="255"/>
      <c r="AH51" s="256">
        <f t="shared" ca="1" si="38"/>
        <v>2</v>
      </c>
      <c r="AI51" s="257" t="s">
        <v>177</v>
      </c>
      <c r="AJ51" s="258">
        <f t="shared" si="39"/>
        <v>-1.5299999999999999E-3</v>
      </c>
      <c r="AK51" s="258"/>
      <c r="AL51" s="257" t="s">
        <v>177</v>
      </c>
      <c r="AM51" s="254" t="s">
        <v>178</v>
      </c>
      <c r="AN51" s="255" t="str">
        <f t="shared" si="40"/>
        <v>EURYC</v>
      </c>
      <c r="AO51" s="252" t="str">
        <f t="shared" si="41"/>
        <v>EURDF_NOCSA</v>
      </c>
      <c r="AP51" s="259">
        <f t="shared" si="31"/>
        <v>0</v>
      </c>
      <c r="AQ51" s="270">
        <f t="shared" si="42"/>
        <v>0</v>
      </c>
      <c r="AR51" s="223" t="s">
        <v>4</v>
      </c>
      <c r="AS51" s="180">
        <f ca="1">IF(AND(NOW(),isEUR6MLLoaded),IF(OR($D51="",$D51=0),"",_xll.meProductSwapParRate(_xll.meUtilityLVBFromKeysValues($P$5:$AP$5,$P51:$AP51))),"Please Load Yield Curves")</f>
        <v>7.4284540660545257E-3</v>
      </c>
      <c r="AT51" s="138">
        <f ca="1">IF(AND(NOW(),isEUR6MLLoaded),IF(OR($D51="",$D51=0),"",_xll.meProductSwapPV(_xll.meUtilityLVBFromKeysValues($N$5:$AP$5,$N51:$AP51))),"Please Load Yield Curves")</f>
        <v>-88528.659889261588</v>
      </c>
      <c r="AU51" s="138">
        <f ca="1">IF(AND(NOW(),isEUR6MLLoaded),IF(OR($D51="",$D51=0),"",_xll.meProductSwapPV01(_xll.meUtilityLVBFromKeysValues($N$5:$AO$5,$N51:$AO51))),"Please Load Yield Curves")</f>
        <v>1191.750788280526</v>
      </c>
      <c r="AV51" s="195">
        <f ca="1">IF(AND(NOW(),isEUR6MLLoaded),IF(OR($D51="",$D51=0),"",_xll.meProductSwapDV01(_xll.meUtilityLVBFromKeysValues($N$5:$AQ$5,$N51:$AQ51))),"Please Load Yield Curves")</f>
        <v>1109.2753385528567</v>
      </c>
      <c r="AW51" s="48"/>
    </row>
    <row r="52" spans="1:53" hidden="1" outlineLevel="1" x14ac:dyDescent="0.25">
      <c r="A52" s="114">
        <v>11</v>
      </c>
      <c r="B52" s="131">
        <f ca="1">IF(OR(D52="",D52=0),"",_xll.meDateFromTenor(COB,C52,$T52,$U52))</f>
        <v>42523</v>
      </c>
      <c r="C52" s="139" t="s">
        <v>191</v>
      </c>
      <c r="D52" s="133">
        <v>1000000</v>
      </c>
      <c r="E52" s="133" t="s">
        <v>17</v>
      </c>
      <c r="F52" s="134" t="s">
        <v>229</v>
      </c>
      <c r="G52" s="135" t="s">
        <v>63</v>
      </c>
      <c r="H52" s="136">
        <v>0</v>
      </c>
      <c r="I52" s="166" t="s">
        <v>192</v>
      </c>
      <c r="J52" s="137">
        <v>0</v>
      </c>
      <c r="K52" s="238">
        <f>'EUR SWAP 3ML'!$L$41</f>
        <v>-1.5299999999999999E-3</v>
      </c>
      <c r="L52" s="135" t="s">
        <v>193</v>
      </c>
      <c r="M52" s="199"/>
      <c r="N52" s="277">
        <f t="shared" si="32"/>
        <v>1000000</v>
      </c>
      <c r="O52" s="252" t="str">
        <f t="shared" si="33"/>
        <v>RECEIVER</v>
      </c>
      <c r="P52" s="255">
        <f t="shared" ca="1" si="34"/>
        <v>42523</v>
      </c>
      <c r="Q52" s="255" t="str">
        <f t="shared" si="35"/>
        <v>15Y</v>
      </c>
      <c r="R52" s="249" t="s">
        <v>26</v>
      </c>
      <c r="S52" s="254" t="s">
        <v>20</v>
      </c>
      <c r="T52" s="249" t="s">
        <v>22</v>
      </c>
      <c r="U52" s="249" t="s">
        <v>2</v>
      </c>
      <c r="V52" s="255"/>
      <c r="W52" s="255"/>
      <c r="X52" s="256">
        <f t="shared" ca="1" si="36"/>
        <v>2</v>
      </c>
      <c r="Y52" s="257" t="s">
        <v>177</v>
      </c>
      <c r="Z52" s="254" t="s">
        <v>178</v>
      </c>
      <c r="AA52" s="252" t="str">
        <f t="shared" si="30"/>
        <v>EUR6ML</v>
      </c>
      <c r="AB52" s="256" t="str">
        <f t="shared" si="37"/>
        <v>Semi-Annual</v>
      </c>
      <c r="AC52" s="254" t="s">
        <v>6</v>
      </c>
      <c r="AD52" s="249" t="s">
        <v>22</v>
      </c>
      <c r="AE52" s="249" t="s">
        <v>2</v>
      </c>
      <c r="AF52" s="255"/>
      <c r="AG52" s="255"/>
      <c r="AH52" s="256">
        <f t="shared" ca="1" si="38"/>
        <v>2</v>
      </c>
      <c r="AI52" s="257" t="s">
        <v>177</v>
      </c>
      <c r="AJ52" s="258">
        <f t="shared" si="39"/>
        <v>-1.5299999999999999E-3</v>
      </c>
      <c r="AK52" s="258"/>
      <c r="AL52" s="257" t="s">
        <v>177</v>
      </c>
      <c r="AM52" s="254" t="s">
        <v>178</v>
      </c>
      <c r="AN52" s="255" t="str">
        <f t="shared" si="40"/>
        <v>EURYC</v>
      </c>
      <c r="AO52" s="252" t="str">
        <f t="shared" si="41"/>
        <v>EURDF_NOCSA</v>
      </c>
      <c r="AP52" s="259">
        <f t="shared" si="31"/>
        <v>0</v>
      </c>
      <c r="AQ52" s="270">
        <f t="shared" si="42"/>
        <v>0</v>
      </c>
      <c r="AR52" s="223" t="s">
        <v>4</v>
      </c>
      <c r="AS52" s="180">
        <f ca="1">IF(AND(NOW(),isEUR6MLLoaded),IF(OR($D52="",$D52=0),"",_xll.meProductSwapParRate(_xll.meUtilityLVBFromKeysValues($P$5:$AP$5,$P52:$AP52))),"Please Load Yield Curves")</f>
        <v>9.3581531981687446E-3</v>
      </c>
      <c r="AT52" s="138">
        <f ca="1">IF(AND(NOW(),isEUR6MLLoaded),IF(OR($D52="",$D52=0),"",_xll.meProductSwapPV(_xll.meUtilityLVBFromKeysValues($N$5:$AP$5,$N52:$AP52))),"Please Load Yield Curves")</f>
        <v>-137152.66862456428</v>
      </c>
      <c r="AU52" s="138">
        <f ca="1">IF(AND(NOW(),isEUR6MLLoaded),IF(OR($D52="",$D52=0),"",_xll.meProductSwapPV01(_xll.meUtilityLVBFromKeysValues($N$5:$AO$5,$N52:$AO52))),"Please Load Yield Curves")</f>
        <v>1465.5954622692336</v>
      </c>
      <c r="AV52" s="195">
        <f ca="1">IF(AND(NOW(),isEUR6MLLoaded),IF(OR($D52="",$D52=0),"",_xll.meProductSwapDV01(_xll.meUtilityLVBFromKeysValues($N$5:$AQ$5,$N52:$AQ52))),"Please Load Yield Curves")</f>
        <v>1317.0874777236461</v>
      </c>
      <c r="AW52" s="48"/>
    </row>
    <row r="53" spans="1:53" hidden="1" outlineLevel="1" x14ac:dyDescent="0.25">
      <c r="A53" s="114">
        <v>12</v>
      </c>
      <c r="B53" s="131">
        <f ca="1">IF(OR(D53="",D53=0),"",_xll.meDateFromTenor(COB,C53,$T53,$U53))</f>
        <v>42523</v>
      </c>
      <c r="C53" s="139" t="s">
        <v>191</v>
      </c>
      <c r="D53" s="133">
        <v>1000000</v>
      </c>
      <c r="E53" s="133" t="s">
        <v>17</v>
      </c>
      <c r="F53" s="134" t="s">
        <v>229</v>
      </c>
      <c r="G53" s="135" t="s">
        <v>64</v>
      </c>
      <c r="H53" s="136">
        <v>0</v>
      </c>
      <c r="I53" s="166" t="s">
        <v>192</v>
      </c>
      <c r="J53" s="137">
        <v>0</v>
      </c>
      <c r="K53" s="238">
        <f>'EUR SWAP 3ML'!$L$41</f>
        <v>-1.5299999999999999E-3</v>
      </c>
      <c r="L53" s="135" t="s">
        <v>193</v>
      </c>
      <c r="M53" s="199"/>
      <c r="N53" s="277">
        <f t="shared" si="32"/>
        <v>1000000</v>
      </c>
      <c r="O53" s="252" t="str">
        <f t="shared" si="33"/>
        <v>RECEIVER</v>
      </c>
      <c r="P53" s="255">
        <f t="shared" ca="1" si="34"/>
        <v>42523</v>
      </c>
      <c r="Q53" s="255" t="str">
        <f t="shared" si="35"/>
        <v>20Y</v>
      </c>
      <c r="R53" s="249" t="s">
        <v>26</v>
      </c>
      <c r="S53" s="254" t="s">
        <v>20</v>
      </c>
      <c r="T53" s="249" t="s">
        <v>22</v>
      </c>
      <c r="U53" s="249" t="s">
        <v>2</v>
      </c>
      <c r="V53" s="255"/>
      <c r="W53" s="255"/>
      <c r="X53" s="256">
        <f t="shared" ca="1" si="36"/>
        <v>2</v>
      </c>
      <c r="Y53" s="257" t="s">
        <v>177</v>
      </c>
      <c r="Z53" s="254" t="s">
        <v>178</v>
      </c>
      <c r="AA53" s="252" t="str">
        <f t="shared" si="30"/>
        <v>EUR6ML</v>
      </c>
      <c r="AB53" s="256" t="str">
        <f t="shared" si="37"/>
        <v>Semi-Annual</v>
      </c>
      <c r="AC53" s="254" t="s">
        <v>6</v>
      </c>
      <c r="AD53" s="249" t="s">
        <v>22</v>
      </c>
      <c r="AE53" s="249" t="s">
        <v>2</v>
      </c>
      <c r="AF53" s="255"/>
      <c r="AG53" s="255"/>
      <c r="AH53" s="256">
        <f t="shared" ca="1" si="38"/>
        <v>2</v>
      </c>
      <c r="AI53" s="257" t="s">
        <v>177</v>
      </c>
      <c r="AJ53" s="258">
        <f t="shared" si="39"/>
        <v>-1.5299999999999999E-3</v>
      </c>
      <c r="AK53" s="258"/>
      <c r="AL53" s="257" t="s">
        <v>177</v>
      </c>
      <c r="AM53" s="254" t="s">
        <v>178</v>
      </c>
      <c r="AN53" s="255" t="str">
        <f t="shared" si="40"/>
        <v>EURYC</v>
      </c>
      <c r="AO53" s="252" t="str">
        <f t="shared" si="41"/>
        <v>EURDF_NOCSA</v>
      </c>
      <c r="AP53" s="259">
        <f t="shared" si="31"/>
        <v>0</v>
      </c>
      <c r="AQ53" s="270">
        <f t="shared" si="42"/>
        <v>0</v>
      </c>
      <c r="AR53" s="223" t="s">
        <v>4</v>
      </c>
      <c r="AS53" s="180">
        <f ca="1">IF(AND(NOW(),isEUR6MLLoaded),IF(OR($D53="",$D53=0),"",_xll.meProductSwapParRate(_xll.meUtilityLVBFromKeysValues($P$5:$AP$5,$P53:$AP53))),"Please Load Yield Curves")</f>
        <v>1.0890278391484135E-2</v>
      </c>
      <c r="AT53" s="138">
        <f ca="1">IF(AND(NOW(),isEUR6MLLoaded),IF(OR($D53="",$D53=0),"",_xll.meProductSwapPV(_xll.meUtilityLVBFromKeysValues($N$5:$AP$5,$N53:$AP53))),"Please Load Yield Curves")</f>
        <v>-206291.15705067368</v>
      </c>
      <c r="AU53" s="138">
        <f ca="1">IF(AND(NOW(),isEUR6MLLoaded),IF(OR($D53="",$D53=0),"",_xll.meProductSwapPV01(_xll.meUtilityLVBFromKeysValues($N$5:$AO$5,$N53:$AO53))),"Please Load Yield Curves")</f>
        <v>1894.2689032815456</v>
      </c>
      <c r="AV53" s="195">
        <f ca="1">IF(AND(NOW(),isEUR6MLLoaded),IF(OR($D53="",$D53=0),"",_xll.meProductSwapDV01(_xll.meUtilityLVBFromKeysValues($N$5:$AQ$5,$N53:$AQ53))),"Please Load Yield Curves")</f>
        <v>1625.2737049779262</v>
      </c>
      <c r="AW53" s="48"/>
    </row>
    <row r="54" spans="1:53" hidden="1" outlineLevel="1" x14ac:dyDescent="0.25">
      <c r="A54" s="114">
        <v>13</v>
      </c>
      <c r="B54" s="131">
        <f ca="1">IF(OR(D54="",D54=0),"",_xll.meDateFromTenor(COB,C54,$T54,$U54))</f>
        <v>42523</v>
      </c>
      <c r="C54" s="139" t="s">
        <v>191</v>
      </c>
      <c r="D54" s="133">
        <v>1000000</v>
      </c>
      <c r="E54" s="133" t="s">
        <v>17</v>
      </c>
      <c r="F54" s="134" t="s">
        <v>229</v>
      </c>
      <c r="G54" s="135" t="s">
        <v>65</v>
      </c>
      <c r="H54" s="136">
        <v>0</v>
      </c>
      <c r="I54" s="166" t="s">
        <v>192</v>
      </c>
      <c r="J54" s="137">
        <v>0</v>
      </c>
      <c r="K54" s="238">
        <f>'EUR SWAP 3ML'!$L$41</f>
        <v>-1.5299999999999999E-3</v>
      </c>
      <c r="L54" s="135" t="s">
        <v>193</v>
      </c>
      <c r="M54" s="199"/>
      <c r="N54" s="277">
        <f t="shared" si="32"/>
        <v>1000000</v>
      </c>
      <c r="O54" s="252" t="str">
        <f t="shared" si="33"/>
        <v>RECEIVER</v>
      </c>
      <c r="P54" s="255">
        <f t="shared" ca="1" si="34"/>
        <v>42523</v>
      </c>
      <c r="Q54" s="255" t="str">
        <f t="shared" si="35"/>
        <v>25Y</v>
      </c>
      <c r="R54" s="249" t="s">
        <v>26</v>
      </c>
      <c r="S54" s="254" t="s">
        <v>20</v>
      </c>
      <c r="T54" s="249" t="s">
        <v>22</v>
      </c>
      <c r="U54" s="249" t="s">
        <v>2</v>
      </c>
      <c r="V54" s="255"/>
      <c r="W54" s="255"/>
      <c r="X54" s="256">
        <f t="shared" ca="1" si="36"/>
        <v>2</v>
      </c>
      <c r="Y54" s="257" t="s">
        <v>177</v>
      </c>
      <c r="Z54" s="254" t="s">
        <v>178</v>
      </c>
      <c r="AA54" s="252" t="str">
        <f t="shared" si="30"/>
        <v>EUR6ML</v>
      </c>
      <c r="AB54" s="256" t="str">
        <f t="shared" si="37"/>
        <v>Semi-Annual</v>
      </c>
      <c r="AC54" s="254" t="s">
        <v>6</v>
      </c>
      <c r="AD54" s="249" t="s">
        <v>22</v>
      </c>
      <c r="AE54" s="249" t="s">
        <v>2</v>
      </c>
      <c r="AF54" s="255"/>
      <c r="AG54" s="255"/>
      <c r="AH54" s="256">
        <f t="shared" ca="1" si="38"/>
        <v>2</v>
      </c>
      <c r="AI54" s="257" t="s">
        <v>177</v>
      </c>
      <c r="AJ54" s="258">
        <f t="shared" si="39"/>
        <v>-1.5299999999999999E-3</v>
      </c>
      <c r="AK54" s="258"/>
      <c r="AL54" s="257" t="s">
        <v>177</v>
      </c>
      <c r="AM54" s="254" t="s">
        <v>178</v>
      </c>
      <c r="AN54" s="255" t="str">
        <f t="shared" si="40"/>
        <v>EURYC</v>
      </c>
      <c r="AO54" s="252" t="str">
        <f t="shared" si="41"/>
        <v>EURDF_NOCSA</v>
      </c>
      <c r="AP54" s="259">
        <f t="shared" si="31"/>
        <v>0</v>
      </c>
      <c r="AQ54" s="270">
        <f t="shared" si="42"/>
        <v>0</v>
      </c>
      <c r="AR54" s="223" t="s">
        <v>4</v>
      </c>
      <c r="AS54" s="180">
        <f ca="1">IF(AND(NOW(),isEUR6MLLoaded),IF(OR($D54="",$D54=0),"",_xll.meProductSwapParRate(_xll.meUtilityLVBFromKeysValues($P$5:$AP$5,$P54:$AP54))),"Please Load Yield Curves")</f>
        <v>1.1289774044849481E-2</v>
      </c>
      <c r="AT54" s="138">
        <f ca="1">IF(AND(NOW(),isEUR6MLLoaded),IF(OR($D54="",$D54=0),"",_xll.meProductSwapPV(_xll.meUtilityLVBFromKeysValues($N$5:$AP$5,$N54:$AP54))),"Please Load Yield Curves")</f>
        <v>-259112.05503223778</v>
      </c>
      <c r="AU54" s="138">
        <f ca="1">IF(AND(NOW(),isEUR6MLLoaded),IF(OR($D54="",$D54=0),"",_xll.meProductSwapPV01(_xll.meUtilityLVBFromKeysValues($N$5:$AO$5,$N54:$AO54))),"Please Load Yield Curves")</f>
        <v>2295.1039941357158</v>
      </c>
      <c r="AV54" s="195">
        <f ca="1">IF(AND(NOW(),isEUR6MLLoaded),IF(OR($D54="",$D54=0),"",_xll.meProductSwapDV01(_xll.meUtilityLVBFromKeysValues($N$5:$AQ$5,$N54:$AQ54))),"Please Load Yield Curves")</f>
        <v>1907.8711843542496</v>
      </c>
      <c r="AW54" s="48"/>
    </row>
    <row r="55" spans="1:53" hidden="1" outlineLevel="1" x14ac:dyDescent="0.25">
      <c r="A55" s="114">
        <v>14</v>
      </c>
      <c r="B55" s="140">
        <f ca="1">IF(OR(D55="",D55=0),"",_xll.meDateFromTenor(COB,C55,$T55,$U55))</f>
        <v>42523</v>
      </c>
      <c r="C55" s="141" t="s">
        <v>191</v>
      </c>
      <c r="D55" s="142">
        <v>1000000</v>
      </c>
      <c r="E55" s="142" t="s">
        <v>17</v>
      </c>
      <c r="F55" s="143" t="s">
        <v>229</v>
      </c>
      <c r="G55" s="144" t="s">
        <v>66</v>
      </c>
      <c r="H55" s="145">
        <v>0</v>
      </c>
      <c r="I55" s="167" t="s">
        <v>192</v>
      </c>
      <c r="J55" s="146">
        <v>0</v>
      </c>
      <c r="K55" s="484">
        <f>'EUR SWAP 3ML'!$L$41</f>
        <v>-1.5299999999999999E-3</v>
      </c>
      <c r="L55" s="144" t="s">
        <v>193</v>
      </c>
      <c r="M55" s="199"/>
      <c r="N55" s="278">
        <f t="shared" si="32"/>
        <v>1000000</v>
      </c>
      <c r="O55" s="253" t="str">
        <f t="shared" si="33"/>
        <v>RECEIVER</v>
      </c>
      <c r="P55" s="147">
        <f t="shared" ca="1" si="34"/>
        <v>42523</v>
      </c>
      <c r="Q55" s="147" t="str">
        <f t="shared" si="35"/>
        <v>30Y</v>
      </c>
      <c r="R55" s="271" t="s">
        <v>26</v>
      </c>
      <c r="S55" s="272" t="s">
        <v>20</v>
      </c>
      <c r="T55" s="271" t="s">
        <v>22</v>
      </c>
      <c r="U55" s="271" t="s">
        <v>2</v>
      </c>
      <c r="V55" s="147"/>
      <c r="W55" s="147"/>
      <c r="X55" s="263">
        <f t="shared" ca="1" si="36"/>
        <v>2</v>
      </c>
      <c r="Y55" s="273" t="s">
        <v>177</v>
      </c>
      <c r="Z55" s="272" t="s">
        <v>178</v>
      </c>
      <c r="AA55" s="253" t="str">
        <f t="shared" si="30"/>
        <v>EUR6ML</v>
      </c>
      <c r="AB55" s="263" t="str">
        <f t="shared" si="37"/>
        <v>Semi-Annual</v>
      </c>
      <c r="AC55" s="272" t="s">
        <v>6</v>
      </c>
      <c r="AD55" s="271" t="s">
        <v>22</v>
      </c>
      <c r="AE55" s="271" t="s">
        <v>2</v>
      </c>
      <c r="AF55" s="147"/>
      <c r="AG55" s="147"/>
      <c r="AH55" s="263">
        <f t="shared" ca="1" si="38"/>
        <v>2</v>
      </c>
      <c r="AI55" s="273" t="s">
        <v>177</v>
      </c>
      <c r="AJ55" s="274">
        <f t="shared" si="39"/>
        <v>-1.5299999999999999E-3</v>
      </c>
      <c r="AK55" s="274"/>
      <c r="AL55" s="273" t="s">
        <v>177</v>
      </c>
      <c r="AM55" s="272" t="s">
        <v>178</v>
      </c>
      <c r="AN55" s="147" t="str">
        <f t="shared" si="40"/>
        <v>EURYC</v>
      </c>
      <c r="AO55" s="253" t="str">
        <f t="shared" si="41"/>
        <v>EURDF_NOCSA</v>
      </c>
      <c r="AP55" s="261">
        <f t="shared" si="31"/>
        <v>0</v>
      </c>
      <c r="AQ55" s="275">
        <f t="shared" si="42"/>
        <v>0</v>
      </c>
      <c r="AR55" s="223" t="s">
        <v>4</v>
      </c>
      <c r="AS55" s="181">
        <f ca="1">IF(AND(NOW(),isEUR6MLLoaded),IF(OR($D55="",$D55=0),"",_xll.meProductSwapParRate(_xll.meUtilityLVBFromKeysValues($P$5:$AP$5,$P55:$AP55))),"Please Load Yield Curves")</f>
        <v>1.1366454056434237E-2</v>
      </c>
      <c r="AT55" s="148">
        <f ca="1">IF(AND(NOW(),isEUR6MLLoaded),IF(OR($D55="",$D55=0),"",_xll.meProductSwapPV(_xll.meUtilityLVBFromKeysValues($N$5:$AP$5,$N55:$AP55))),"Please Load Yield Curves")</f>
        <v>-303868.4365048309</v>
      </c>
      <c r="AU55" s="148">
        <f ca="1">IF(AND(NOW(),isEUR6MLLoaded),IF(OR($D55="",$D55=0),"",_xll.meProductSwapPV01(_xll.meUtilityLVBFromKeysValues($N$5:$AO$5,$N55:$AO55))),"Please Load Yield Curves")</f>
        <v>2673.3793582073149</v>
      </c>
      <c r="AV55" s="196">
        <f ca="1">IF(AND(NOW(),isEUR6MLLoaded),IF(OR($D55="",$D55=0),"",_xll.meProductSwapDV01(_xll.meUtilityLVBFromKeysValues($N$5:$AQ$5,$N55:$AQ55))),"Please Load Yield Curves")</f>
        <v>2163.5257114094852</v>
      </c>
      <c r="AW55" s="48"/>
    </row>
    <row r="56" spans="1:53" collapsed="1" x14ac:dyDescent="0.25">
      <c r="AR56" s="223" t="s">
        <v>4</v>
      </c>
    </row>
    <row r="57" spans="1:53" ht="23.25" x14ac:dyDescent="0.35">
      <c r="B57" s="108" t="s">
        <v>246</v>
      </c>
      <c r="AR57" s="223" t="s">
        <v>4</v>
      </c>
      <c r="AS57" s="109"/>
      <c r="AT57" s="496"/>
      <c r="AU57" s="496"/>
      <c r="AV57" s="171"/>
      <c r="AX57" s="108" t="s">
        <v>247</v>
      </c>
    </row>
    <row r="58" spans="1:53" x14ac:dyDescent="0.25">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23" t="s">
        <v>4</v>
      </c>
    </row>
    <row r="59" spans="1:53" x14ac:dyDescent="0.25">
      <c r="B59" s="40" t="s">
        <v>234</v>
      </c>
      <c r="C59" s="40"/>
      <c r="D59" s="40"/>
      <c r="E59" s="40"/>
      <c r="F59" s="40"/>
      <c r="G59" s="40"/>
      <c r="H59" s="40"/>
      <c r="I59" s="40"/>
      <c r="J59" s="40"/>
      <c r="K59" s="40"/>
      <c r="L59" s="40"/>
      <c r="M59" s="40"/>
      <c r="N59" s="223" t="s">
        <v>282</v>
      </c>
      <c r="O59" s="223"/>
      <c r="P59" s="223"/>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23" t="s">
        <v>4</v>
      </c>
      <c r="AS59" s="40"/>
      <c r="AT59" s="40"/>
      <c r="AU59" s="177"/>
      <c r="AV59" s="177"/>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199"/>
      <c r="N60" s="262" t="s">
        <v>175</v>
      </c>
      <c r="O60" s="250" t="s">
        <v>249</v>
      </c>
      <c r="P60" s="250" t="s">
        <v>250</v>
      </c>
      <c r="Q60" s="250" t="s">
        <v>251</v>
      </c>
      <c r="R60" s="250" t="s">
        <v>253</v>
      </c>
      <c r="S60" s="250" t="s">
        <v>254</v>
      </c>
      <c r="T60" s="250" t="s">
        <v>255</v>
      </c>
      <c r="U60" s="250" t="s">
        <v>256</v>
      </c>
      <c r="V60" s="250" t="s">
        <v>283</v>
      </c>
      <c r="W60" s="250" t="s">
        <v>284</v>
      </c>
      <c r="X60" s="250" t="s">
        <v>257</v>
      </c>
      <c r="Y60" s="250" t="s">
        <v>258</v>
      </c>
      <c r="Z60" s="250" t="s">
        <v>259</v>
      </c>
      <c r="AA60" s="250" t="s">
        <v>271</v>
      </c>
      <c r="AB60" s="250" t="s">
        <v>260</v>
      </c>
      <c r="AC60" s="250" t="s">
        <v>261</v>
      </c>
      <c r="AD60" s="250" t="s">
        <v>262</v>
      </c>
      <c r="AE60" s="250" t="s">
        <v>263</v>
      </c>
      <c r="AF60" s="250" t="s">
        <v>285</v>
      </c>
      <c r="AG60" s="250" t="s">
        <v>286</v>
      </c>
      <c r="AH60" s="250" t="s">
        <v>264</v>
      </c>
      <c r="AI60" s="250" t="s">
        <v>265</v>
      </c>
      <c r="AJ60" s="250" t="s">
        <v>266</v>
      </c>
      <c r="AK60" s="250" t="s">
        <v>267</v>
      </c>
      <c r="AL60" s="250" t="s">
        <v>268</v>
      </c>
      <c r="AM60" s="250" t="s">
        <v>270</v>
      </c>
      <c r="AN60" s="250" t="s">
        <v>80</v>
      </c>
      <c r="AO60" s="250" t="s">
        <v>272</v>
      </c>
      <c r="AP60" s="250" t="s">
        <v>269</v>
      </c>
      <c r="AQ60" s="251" t="s">
        <v>252</v>
      </c>
      <c r="AR60" s="223" t="s">
        <v>4</v>
      </c>
      <c r="AS60" s="178" t="s">
        <v>188</v>
      </c>
      <c r="AT60" s="112" t="s">
        <v>189</v>
      </c>
      <c r="AU60" s="112" t="s">
        <v>190</v>
      </c>
      <c r="AV60" s="113" t="s">
        <v>273</v>
      </c>
      <c r="AW60" s="176"/>
      <c r="AX60" s="153" t="s">
        <v>11</v>
      </c>
      <c r="AY60" s="155" t="s">
        <v>236</v>
      </c>
      <c r="AZ60" s="182" t="s">
        <v>232</v>
      </c>
      <c r="BA60" s="191" t="s">
        <v>233</v>
      </c>
    </row>
    <row r="61" spans="1:53" x14ac:dyDescent="0.25">
      <c r="B61" s="115">
        <f ca="1">IF(OR(D61="",D61=0),"",_xll.meDateFromTenor(COB,C61,$T61,$U61))</f>
        <v>42523</v>
      </c>
      <c r="C61" s="116" t="s">
        <v>191</v>
      </c>
      <c r="D61" s="117">
        <v>1000000</v>
      </c>
      <c r="E61" s="117" t="s">
        <v>17</v>
      </c>
      <c r="F61" s="118" t="s">
        <v>176</v>
      </c>
      <c r="G61" s="119" t="s">
        <v>159</v>
      </c>
      <c r="H61" s="120">
        <v>0</v>
      </c>
      <c r="I61" s="165" t="s">
        <v>235</v>
      </c>
      <c r="J61" s="367">
        <f>AY61</f>
        <v>9</v>
      </c>
      <c r="K61" s="483">
        <f>'EUR SWAP 3ML'!$L$39</f>
        <v>-3.49E-3</v>
      </c>
      <c r="L61" s="119" t="s">
        <v>193</v>
      </c>
      <c r="M61" s="199"/>
      <c r="N61" s="276">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-3.49E-3</v>
      </c>
      <c r="AK61" s="129"/>
      <c r="AL61" s="126" t="s">
        <v>177</v>
      </c>
      <c r="AM61" s="123" t="s">
        <v>178</v>
      </c>
      <c r="AN61" s="124" t="str">
        <f>E61&amp;"YC"</f>
        <v>EURYC</v>
      </c>
      <c r="AO61" s="127" t="str">
        <f>LEFT(AN61,3)&amp;"DF_"&amp;L61</f>
        <v>EURDF_NOCSA</v>
      </c>
      <c r="AP61" s="128">
        <f>J61</f>
        <v>9</v>
      </c>
      <c r="AQ61" s="269">
        <f>H61</f>
        <v>0</v>
      </c>
      <c r="AR61" s="223" t="s">
        <v>4</v>
      </c>
      <c r="AS61" s="179">
        <f ca="1">IF(AND(NOW(),isEUR1MLLoaded),IF(OR($D61="",$D61=0),"",_xll.meProductSwapParRate(_xll.meUtilityLVBFromKeysValues($P$5:$AP$5,$P61:$AP61))),"Please Load Yield Curves")</f>
        <v>-2.8888512154199085E-3</v>
      </c>
      <c r="AT61" s="130">
        <f ca="1">IF(AND(NOW(),isEUR1MLLoaded),IF(OR($D61="",$D61=0),"",_xll.meProductSwapPV(_xll.meUtilityLVBFromKeysValues($N$5:$AP$5,$N61:$AP61))),"Please Load Yield Curves")</f>
        <v>-2900.1389851503159</v>
      </c>
      <c r="AU61" s="130">
        <f ca="1">IF(AND(NOW(),isEUR1MLLoaded),IF(OR($D61="",$D61=0),"",_xll.meProductSwapPV01(_xll.meUtilityLVBFromKeysValues($N$5:$AO$5,$N61:$AO61))),"Please Load Yield Curves")</f>
        <v>100.39073558617891</v>
      </c>
      <c r="AV61" s="194">
        <f ca="1">IF(AND(NOW(),isEUR1MLLoaded),IF(OR($D61="",$D61=0),"",_xll.meProductSwapDV01(_xll.meUtilityLVBFromKeysValues($N$5:$AQ$5,$N61:$AQ61))),"Please Load Yield Curves")</f>
        <v>100.22687847568334</v>
      </c>
      <c r="AW61" s="48"/>
      <c r="AX61" s="149" t="str">
        <f>'EUR BASIS 1ML'!I35</f>
        <v>1Y</v>
      </c>
      <c r="AY61" s="184">
        <f>'EUR BASIS 1ML'!J35*10000</f>
        <v>9</v>
      </c>
      <c r="AZ61" s="183">
        <f ca="1">AS78-AS61</f>
        <v>4.3973890072135889E-5</v>
      </c>
      <c r="BA61" s="189">
        <f t="shared" ref="BA61:BA74" ca="1" si="44">AT78+AT61</f>
        <v>-44.14571170927502</v>
      </c>
    </row>
    <row r="62" spans="1:53" x14ac:dyDescent="0.25">
      <c r="B62" s="131">
        <f ca="1">IF(OR(D62="",D62=0),"",_xll.meDateFromTenor(COB,C62,$T62,$U62))</f>
        <v>42523</v>
      </c>
      <c r="C62" s="132" t="s">
        <v>191</v>
      </c>
      <c r="D62" s="133">
        <v>1000000</v>
      </c>
      <c r="E62" s="133" t="s">
        <v>17</v>
      </c>
      <c r="F62" s="134" t="s">
        <v>176</v>
      </c>
      <c r="G62" s="135" t="s">
        <v>47</v>
      </c>
      <c r="H62" s="136">
        <v>0</v>
      </c>
      <c r="I62" s="166" t="s">
        <v>235</v>
      </c>
      <c r="J62" s="368">
        <f t="shared" ref="J62:J74" si="45">AY62</f>
        <v>9.2000000000000011</v>
      </c>
      <c r="K62" s="238">
        <f>'EUR SWAP 3ML'!$L$39</f>
        <v>-3.49E-3</v>
      </c>
      <c r="L62" s="135" t="s">
        <v>193</v>
      </c>
      <c r="M62" s="199"/>
      <c r="N62" s="277">
        <f t="shared" ref="N62:N74" si="46">D62</f>
        <v>1000000</v>
      </c>
      <c r="O62" s="252" t="str">
        <f t="shared" ref="O62:O74" si="47">F62</f>
        <v>PAYER</v>
      </c>
      <c r="P62" s="255">
        <f t="shared" ref="P62:P74" ca="1" si="48">B62</f>
        <v>42523</v>
      </c>
      <c r="Q62" s="255" t="str">
        <f t="shared" ref="Q62:Q74" si="49">G62</f>
        <v>2Y</v>
      </c>
      <c r="R62" s="249" t="s">
        <v>26</v>
      </c>
      <c r="S62" s="254" t="s">
        <v>20</v>
      </c>
      <c r="T62" s="249" t="s">
        <v>22</v>
      </c>
      <c r="U62" s="249" t="s">
        <v>2</v>
      </c>
      <c r="V62" s="255"/>
      <c r="W62" s="255"/>
      <c r="X62" s="256">
        <f t="shared" ref="X62:X74" ca="1" si="50">IF($B62="","",DAY($B62))</f>
        <v>2</v>
      </c>
      <c r="Y62" s="257" t="s">
        <v>177</v>
      </c>
      <c r="Z62" s="254" t="s">
        <v>178</v>
      </c>
      <c r="AA62" s="252" t="str">
        <f t="shared" si="43"/>
        <v>EUR1ML</v>
      </c>
      <c r="AB62" s="256" t="str">
        <f t="shared" ref="AB62:AB74" si="51">IF($I62="1ML","Monthly",IF($I62="3ML","Quarterly",IF($I62="6ML","Semi-Annual","Annual")))</f>
        <v>Monthly</v>
      </c>
      <c r="AC62" s="254" t="s">
        <v>6</v>
      </c>
      <c r="AD62" s="249" t="s">
        <v>22</v>
      </c>
      <c r="AE62" s="249" t="s">
        <v>2</v>
      </c>
      <c r="AF62" s="255"/>
      <c r="AG62" s="255"/>
      <c r="AH62" s="256">
        <f t="shared" ref="AH62:AH74" ca="1" si="52">IF($B62="","",DAY($B62))</f>
        <v>2</v>
      </c>
      <c r="AI62" s="257" t="s">
        <v>177</v>
      </c>
      <c r="AJ62" s="258">
        <f t="shared" ref="AJ62:AJ74" si="53">$K62</f>
        <v>-3.49E-3</v>
      </c>
      <c r="AK62" s="258"/>
      <c r="AL62" s="257" t="s">
        <v>177</v>
      </c>
      <c r="AM62" s="254" t="s">
        <v>178</v>
      </c>
      <c r="AN62" s="255" t="str">
        <f t="shared" ref="AN62:AN74" si="54">E62&amp;"YC"</f>
        <v>EURYC</v>
      </c>
      <c r="AO62" s="252" t="str">
        <f t="shared" ref="AO62:AO74" si="55">LEFT(AN62,3)&amp;"DF_"&amp;L62</f>
        <v>EURDF_NOCSA</v>
      </c>
      <c r="AP62" s="259">
        <f t="shared" ref="AP62:AP74" si="56">J62</f>
        <v>9.2000000000000011</v>
      </c>
      <c r="AQ62" s="270">
        <f t="shared" ref="AQ62:AQ74" si="57">H62</f>
        <v>0</v>
      </c>
      <c r="AR62" s="223" t="s">
        <v>4</v>
      </c>
      <c r="AS62" s="180">
        <f ca="1">IF(AND(NOW(),isEUR1MLLoaded),IF(OR($D62="",$D62=0),"",_xll.meProductSwapParRate(_xll.meUtilityLVBFromKeysValues($P$5:$AP$5,$P62:$AP62))),"Please Load Yield Curves")</f>
        <v>-2.9861720741697255E-3</v>
      </c>
      <c r="AT62" s="138">
        <f ca="1">IF(AND(NOW(),isEUR1MLLoaded),IF(OR($D62="",$D62=0),"",_xll.meProductSwapPV(_xll.meUtilityLVBFromKeysValues($N$5:$AP$5,$N62:$AP62))),"Please Load Yield Curves")</f>
        <v>-6025.2917367392456</v>
      </c>
      <c r="AU62" s="138">
        <f ca="1">IF(AND(NOW(),isEUR1MLLoaded),IF(OR($D62="",$D62=0),"",_xll.meProductSwapPV01(_xll.meUtilityLVBFromKeysValues($N$5:$AO$5,$N62:$AO62))),"Please Load Yield Curves")</f>
        <v>201.77309234313017</v>
      </c>
      <c r="AV62" s="195">
        <f ca="1">IF(AND(NOW(),isEUR1MLLoaded),IF(OR($D62="",$D62=0),"",_xll.meProductSwapDV01(_xll.meUtilityLVBFromKeysValues($N$5:$AQ$5,$N62:$AQ62))),"Please Load Yield Curves")</f>
        <v>201.12408112994751</v>
      </c>
      <c r="AW62" s="48"/>
      <c r="AX62" s="149" t="str">
        <f>'EUR BASIS 1ML'!I36</f>
        <v>2Y</v>
      </c>
      <c r="AY62" s="184">
        <f>'EUR BASIS 1ML'!J36*10000</f>
        <v>9.2000000000000011</v>
      </c>
      <c r="AZ62" s="183">
        <f t="shared" ref="AZ62:AZ74" ca="1" si="58">AS79-AS62</f>
        <v>4.3095019532723034E-5</v>
      </c>
      <c r="BA62" s="189">
        <f t="shared" ca="1" si="44"/>
        <v>-86.954153557051541</v>
      </c>
    </row>
    <row r="63" spans="1:53" x14ac:dyDescent="0.25">
      <c r="B63" s="131">
        <f ca="1">IF(OR(D63="",D63=0),"",_xll.meDateFromTenor(COB,C63,$T63,$U63))</f>
        <v>42523</v>
      </c>
      <c r="C63" s="139" t="s">
        <v>191</v>
      </c>
      <c r="D63" s="133">
        <v>1000000</v>
      </c>
      <c r="E63" s="133" t="s">
        <v>17</v>
      </c>
      <c r="F63" s="134" t="s">
        <v>176</v>
      </c>
      <c r="G63" s="135" t="s">
        <v>43</v>
      </c>
      <c r="H63" s="136">
        <v>0</v>
      </c>
      <c r="I63" s="166" t="s">
        <v>235</v>
      </c>
      <c r="J63" s="368">
        <f t="shared" si="45"/>
        <v>9.4</v>
      </c>
      <c r="K63" s="238">
        <f>'EUR SWAP 3ML'!$L$39</f>
        <v>-3.49E-3</v>
      </c>
      <c r="L63" s="135" t="s">
        <v>193</v>
      </c>
      <c r="M63" s="199"/>
      <c r="N63" s="277">
        <f t="shared" si="46"/>
        <v>1000000</v>
      </c>
      <c r="O63" s="252" t="str">
        <f t="shared" si="47"/>
        <v>PAYER</v>
      </c>
      <c r="P63" s="255">
        <f t="shared" ca="1" si="48"/>
        <v>42523</v>
      </c>
      <c r="Q63" s="255" t="str">
        <f t="shared" si="49"/>
        <v>3Y</v>
      </c>
      <c r="R63" s="249" t="s">
        <v>26</v>
      </c>
      <c r="S63" s="254" t="s">
        <v>20</v>
      </c>
      <c r="T63" s="249" t="s">
        <v>22</v>
      </c>
      <c r="U63" s="249" t="s">
        <v>2</v>
      </c>
      <c r="V63" s="255"/>
      <c r="W63" s="255"/>
      <c r="X63" s="256">
        <f t="shared" ca="1" si="50"/>
        <v>2</v>
      </c>
      <c r="Y63" s="257" t="s">
        <v>177</v>
      </c>
      <c r="Z63" s="254" t="s">
        <v>178</v>
      </c>
      <c r="AA63" s="252" t="str">
        <f t="shared" si="43"/>
        <v>EUR1ML</v>
      </c>
      <c r="AB63" s="256" t="str">
        <f t="shared" si="51"/>
        <v>Monthly</v>
      </c>
      <c r="AC63" s="254" t="s">
        <v>6</v>
      </c>
      <c r="AD63" s="249" t="s">
        <v>22</v>
      </c>
      <c r="AE63" s="249" t="s">
        <v>2</v>
      </c>
      <c r="AF63" s="255"/>
      <c r="AG63" s="255"/>
      <c r="AH63" s="256">
        <f t="shared" ca="1" si="52"/>
        <v>2</v>
      </c>
      <c r="AI63" s="257" t="s">
        <v>177</v>
      </c>
      <c r="AJ63" s="258">
        <f t="shared" si="53"/>
        <v>-3.49E-3</v>
      </c>
      <c r="AK63" s="258"/>
      <c r="AL63" s="257" t="s">
        <v>177</v>
      </c>
      <c r="AM63" s="254" t="s">
        <v>178</v>
      </c>
      <c r="AN63" s="255" t="str">
        <f t="shared" si="54"/>
        <v>EURYC</v>
      </c>
      <c r="AO63" s="252" t="str">
        <f t="shared" si="55"/>
        <v>EURDF_NOCSA</v>
      </c>
      <c r="AP63" s="259">
        <f t="shared" si="56"/>
        <v>9.4</v>
      </c>
      <c r="AQ63" s="270">
        <f t="shared" si="57"/>
        <v>0</v>
      </c>
      <c r="AR63" s="223" t="s">
        <v>4</v>
      </c>
      <c r="AS63" s="180">
        <f ca="1">IF(AND(NOW(),isEUR1MLLoaded),IF(OR($D63="",$D63=0),"",_xll.meProductSwapParRate(_xll.meUtilityLVBFromKeysValues($P$5:$AP$5,$P63:$AP63))),"Please Load Yield Curves")</f>
        <v>-2.6882812704629379E-3</v>
      </c>
      <c r="AT63" s="138">
        <f ca="1">IF(AND(NOW(),isEUR1MLLoaded),IF(OR($D63="",$D63=0),"",_xll.meProductSwapPV(_xll.meUtilityLVBFromKeysValues($N$5:$AP$5,$N63:$AP63))),"Please Load Yield Curves")</f>
        <v>-8136.7762365671442</v>
      </c>
      <c r="AU63" s="138">
        <f ca="1">IF(AND(NOW(),isEUR1MLLoaded),IF(OR($D63="",$D63=0),"",_xll.meProductSwapPV01(_xll.meUtilityLVBFromKeysValues($N$5:$AO$5,$N63:$AO63))),"Please Load Yield Curves")</f>
        <v>302.67577749280463</v>
      </c>
      <c r="AV63" s="195">
        <f ca="1">IF(AND(NOW(),isEUR1MLLoaded),IF(OR($D63="",$D63=0),"",_xll.meProductSwapDV01(_xll.meUtilityLVBFromKeysValues($N$5:$AQ$5,$N63:$AQ63))),"Please Load Yield Curves")</f>
        <v>301.49184729818143</v>
      </c>
      <c r="AW63" s="48"/>
      <c r="AX63" s="149" t="str">
        <f>'EUR BASIS 1ML'!I37</f>
        <v>3Y</v>
      </c>
      <c r="AY63" s="184">
        <f>'EUR BASIS 1ML'!J37*10000</f>
        <v>9.4</v>
      </c>
      <c r="AZ63" s="183">
        <f t="shared" ca="1" si="58"/>
        <v>3.828134529254958E-5</v>
      </c>
      <c r="BA63" s="189">
        <f t="shared" ca="1" si="44"/>
        <v>-115.86835949893066</v>
      </c>
    </row>
    <row r="64" spans="1:53" x14ac:dyDescent="0.25">
      <c r="B64" s="131">
        <f ca="1">IF(OR(D64="",D64=0),"",_xll.meDateFromTenor(COB,C64,$T64,$U64))</f>
        <v>42523</v>
      </c>
      <c r="C64" s="139" t="s">
        <v>191</v>
      </c>
      <c r="D64" s="133">
        <v>1000000</v>
      </c>
      <c r="E64" s="133" t="s">
        <v>17</v>
      </c>
      <c r="F64" s="134" t="s">
        <v>176</v>
      </c>
      <c r="G64" s="135" t="s">
        <v>50</v>
      </c>
      <c r="H64" s="136">
        <v>0</v>
      </c>
      <c r="I64" s="166" t="s">
        <v>235</v>
      </c>
      <c r="J64" s="368">
        <f t="shared" si="45"/>
        <v>9.9</v>
      </c>
      <c r="K64" s="238">
        <f>'EUR SWAP 3ML'!$L$39</f>
        <v>-3.49E-3</v>
      </c>
      <c r="L64" s="135" t="s">
        <v>193</v>
      </c>
      <c r="M64" s="199"/>
      <c r="N64" s="277">
        <f t="shared" si="46"/>
        <v>1000000</v>
      </c>
      <c r="O64" s="252" t="str">
        <f t="shared" si="47"/>
        <v>PAYER</v>
      </c>
      <c r="P64" s="255">
        <f t="shared" ca="1" si="48"/>
        <v>42523</v>
      </c>
      <c r="Q64" s="255" t="str">
        <f t="shared" si="49"/>
        <v>4Y</v>
      </c>
      <c r="R64" s="249" t="s">
        <v>26</v>
      </c>
      <c r="S64" s="254" t="s">
        <v>20</v>
      </c>
      <c r="T64" s="249" t="s">
        <v>22</v>
      </c>
      <c r="U64" s="249" t="s">
        <v>2</v>
      </c>
      <c r="V64" s="255"/>
      <c r="W64" s="255"/>
      <c r="X64" s="256">
        <f t="shared" ca="1" si="50"/>
        <v>2</v>
      </c>
      <c r="Y64" s="257" t="s">
        <v>177</v>
      </c>
      <c r="Z64" s="254" t="s">
        <v>178</v>
      </c>
      <c r="AA64" s="252" t="str">
        <f t="shared" si="43"/>
        <v>EUR1ML</v>
      </c>
      <c r="AB64" s="256" t="str">
        <f t="shared" si="51"/>
        <v>Monthly</v>
      </c>
      <c r="AC64" s="254" t="s">
        <v>6</v>
      </c>
      <c r="AD64" s="249" t="s">
        <v>22</v>
      </c>
      <c r="AE64" s="249" t="s">
        <v>2</v>
      </c>
      <c r="AF64" s="255"/>
      <c r="AG64" s="255"/>
      <c r="AH64" s="256">
        <f t="shared" ca="1" si="52"/>
        <v>2</v>
      </c>
      <c r="AI64" s="257" t="s">
        <v>177</v>
      </c>
      <c r="AJ64" s="258">
        <f t="shared" si="53"/>
        <v>-3.49E-3</v>
      </c>
      <c r="AK64" s="258"/>
      <c r="AL64" s="257" t="s">
        <v>177</v>
      </c>
      <c r="AM64" s="254" t="s">
        <v>178</v>
      </c>
      <c r="AN64" s="255" t="str">
        <f t="shared" si="54"/>
        <v>EURYC</v>
      </c>
      <c r="AO64" s="252" t="str">
        <f t="shared" si="55"/>
        <v>EURDF_NOCSA</v>
      </c>
      <c r="AP64" s="259">
        <f t="shared" si="56"/>
        <v>9.9</v>
      </c>
      <c r="AQ64" s="270">
        <f t="shared" si="57"/>
        <v>0</v>
      </c>
      <c r="AR64" s="223" t="s">
        <v>4</v>
      </c>
      <c r="AS64" s="180">
        <f ca="1">IF(AND(NOW(),isEUR1MLLoaded),IF(OR($D64="",$D64=0),"",_xll.meProductSwapParRate(_xll.meUtilityLVBFromKeysValues($P$5:$AP$5,$P64:$AP64))),"Please Load Yield Curves")</f>
        <v>-2.0795123254088812E-3</v>
      </c>
      <c r="AT64" s="138">
        <f ca="1">IF(AND(NOW(),isEUR1MLLoaded),IF(OR($D64="",$D64=0),"",_xll.meProductSwapPV(_xll.meUtilityLVBFromKeysValues($N$5:$AP$5,$N64:$AP64))),"Please Load Yield Curves")</f>
        <v>-8397.0669589055979</v>
      </c>
      <c r="AU64" s="138">
        <f ca="1">IF(AND(NOW(),isEUR1MLLoaded),IF(OR($D64="",$D64=0),"",_xll.meProductSwapPV01(_xll.meUtilityLVBFromKeysValues($N$5:$AO$5,$N64:$AO64))),"Please Load Yield Curves")</f>
        <v>403.79981673128748</v>
      </c>
      <c r="AV64" s="195">
        <f ca="1">IF(AND(NOW(),isEUR1MLLoaded),IF(OR($D64="",$D64=0),"",_xll.meProductSwapDV01(_xll.meUtilityLVBFromKeysValues($N$5:$AQ$5,$N64:$AQ64))),"Please Load Yield Curves")</f>
        <v>402.51054153624568</v>
      </c>
      <c r="AW64" s="48"/>
      <c r="AX64" s="149" t="str">
        <f>'EUR BASIS 1ML'!I38</f>
        <v>4Y</v>
      </c>
      <c r="AY64" s="184">
        <f>'EUR BASIS 1ML'!J38*10000</f>
        <v>9.9</v>
      </c>
      <c r="AZ64" s="183">
        <f t="shared" ca="1" si="58"/>
        <v>2.951243468825044E-5</v>
      </c>
      <c r="BA64" s="189">
        <f t="shared" ca="1" si="44"/>
        <v>-119.17115718409696</v>
      </c>
    </row>
    <row r="65" spans="2:53" x14ac:dyDescent="0.25">
      <c r="B65" s="131">
        <f ca="1">IF(OR(D65="",D65=0),"",_xll.meDateFromTenor(COB,C65,$T65,$U65))</f>
        <v>42523</v>
      </c>
      <c r="C65" s="139" t="s">
        <v>191</v>
      </c>
      <c r="D65" s="133">
        <v>1000000</v>
      </c>
      <c r="E65" s="133" t="s">
        <v>17</v>
      </c>
      <c r="F65" s="134" t="s">
        <v>176</v>
      </c>
      <c r="G65" s="135" t="s">
        <v>52</v>
      </c>
      <c r="H65" s="136">
        <v>0</v>
      </c>
      <c r="I65" s="166" t="s">
        <v>235</v>
      </c>
      <c r="J65" s="368">
        <f t="shared" si="45"/>
        <v>9.85</v>
      </c>
      <c r="K65" s="238">
        <f>'EUR SWAP 3ML'!$L$39</f>
        <v>-3.49E-3</v>
      </c>
      <c r="L65" s="135" t="s">
        <v>193</v>
      </c>
      <c r="M65" s="199"/>
      <c r="N65" s="277">
        <f t="shared" si="46"/>
        <v>1000000</v>
      </c>
      <c r="O65" s="252" t="str">
        <f t="shared" si="47"/>
        <v>PAYER</v>
      </c>
      <c r="P65" s="255">
        <f t="shared" ca="1" si="48"/>
        <v>42523</v>
      </c>
      <c r="Q65" s="255" t="str">
        <f t="shared" si="49"/>
        <v>5Y</v>
      </c>
      <c r="R65" s="249" t="s">
        <v>26</v>
      </c>
      <c r="S65" s="254" t="s">
        <v>20</v>
      </c>
      <c r="T65" s="249" t="s">
        <v>22</v>
      </c>
      <c r="U65" s="249" t="s">
        <v>2</v>
      </c>
      <c r="V65" s="255"/>
      <c r="W65" s="255"/>
      <c r="X65" s="256">
        <f t="shared" ca="1" si="50"/>
        <v>2</v>
      </c>
      <c r="Y65" s="257" t="s">
        <v>177</v>
      </c>
      <c r="Z65" s="254" t="s">
        <v>178</v>
      </c>
      <c r="AA65" s="252" t="str">
        <f t="shared" si="43"/>
        <v>EUR1ML</v>
      </c>
      <c r="AB65" s="256" t="str">
        <f t="shared" si="51"/>
        <v>Monthly</v>
      </c>
      <c r="AC65" s="254" t="s">
        <v>6</v>
      </c>
      <c r="AD65" s="249" t="s">
        <v>22</v>
      </c>
      <c r="AE65" s="249" t="s">
        <v>2</v>
      </c>
      <c r="AF65" s="255"/>
      <c r="AG65" s="255"/>
      <c r="AH65" s="256">
        <f t="shared" ca="1" si="52"/>
        <v>2</v>
      </c>
      <c r="AI65" s="257" t="s">
        <v>177</v>
      </c>
      <c r="AJ65" s="258">
        <f t="shared" si="53"/>
        <v>-3.49E-3</v>
      </c>
      <c r="AK65" s="258"/>
      <c r="AL65" s="257" t="s">
        <v>177</v>
      </c>
      <c r="AM65" s="254" t="s">
        <v>178</v>
      </c>
      <c r="AN65" s="255" t="str">
        <f t="shared" si="54"/>
        <v>EURYC</v>
      </c>
      <c r="AO65" s="252" t="str">
        <f t="shared" si="55"/>
        <v>EURDF_NOCSA</v>
      </c>
      <c r="AP65" s="259">
        <f t="shared" si="56"/>
        <v>9.85</v>
      </c>
      <c r="AQ65" s="270">
        <f t="shared" si="57"/>
        <v>0</v>
      </c>
      <c r="AR65" s="223" t="s">
        <v>4</v>
      </c>
      <c r="AS65" s="180">
        <f ca="1">IF(AND(NOW(),isEUR1MLLoaded),IF(OR($D65="",$D65=0),"",_xll.meProductSwapParRate(_xll.meUtilityLVBFromKeysValues($P$5:$AP$5,$P65:$AP65))),"Please Load Yield Curves")</f>
        <v>-1.2651836464689723E-3</v>
      </c>
      <c r="AT65" s="138">
        <f ca="1">IF(AND(NOW(),isEUR1MLLoaded),IF(OR($D65="",$D65=0),"",_xll.meProductSwapPV(_xll.meUtilityLVBFromKeysValues($N$5:$AP$5,$N65:$AP65))),"Please Load Yield Curves")</f>
        <v>-6391.6386761804233</v>
      </c>
      <c r="AU65" s="138">
        <f ca="1">IF(AND(NOW(),isEUR1MLLoaded),IF(OR($D65="",$D65=0),"",_xll.meProductSwapPV01(_xll.meUtilityLVBFromKeysValues($N$5:$AO$5,$N65:$AO65))),"Please Load Yield Curves")</f>
        <v>505.19453788538783</v>
      </c>
      <c r="AV65" s="195">
        <f ca="1">IF(AND(NOW(),isEUR1MLLoaded),IF(OR($D65="",$D65=0),"",_xll.meProductSwapDV01(_xll.meUtilityLVBFromKeysValues($N$5:$AQ$5,$N65:$AQ65))),"Please Load Yield Curves")</f>
        <v>504.8475155606921</v>
      </c>
      <c r="AW65" s="48"/>
      <c r="AX65" s="149" t="str">
        <f>'EUR BASIS 1ML'!I39</f>
        <v>5Y</v>
      </c>
      <c r="AY65" s="184">
        <f>'EUR BASIS 1ML'!J39*10000</f>
        <v>9.85</v>
      </c>
      <c r="AZ65" s="183">
        <f t="shared" ca="1" si="58"/>
        <v>1.7683831828229019E-5</v>
      </c>
      <c r="BA65" s="189">
        <f t="shared" ca="1" si="44"/>
        <v>-89.33775248505026</v>
      </c>
    </row>
    <row r="66" spans="2:53" x14ac:dyDescent="0.25">
      <c r="B66" s="131">
        <f ca="1">IF(OR(D66="",D66=0),"",_xll.meDateFromTenor(COB,C66,$T66,$U66))</f>
        <v>42523</v>
      </c>
      <c r="C66" s="139" t="s">
        <v>191</v>
      </c>
      <c r="D66" s="133">
        <v>1000000</v>
      </c>
      <c r="E66" s="133" t="s">
        <v>17</v>
      </c>
      <c r="F66" s="134" t="s">
        <v>176</v>
      </c>
      <c r="G66" s="135" t="s">
        <v>54</v>
      </c>
      <c r="H66" s="136">
        <v>0</v>
      </c>
      <c r="I66" s="166" t="s">
        <v>235</v>
      </c>
      <c r="J66" s="368">
        <f t="shared" si="45"/>
        <v>9.9</v>
      </c>
      <c r="K66" s="238">
        <f>'EUR SWAP 3ML'!$L$39</f>
        <v>-3.49E-3</v>
      </c>
      <c r="L66" s="135" t="s">
        <v>193</v>
      </c>
      <c r="M66" s="199"/>
      <c r="N66" s="277">
        <f t="shared" si="46"/>
        <v>1000000</v>
      </c>
      <c r="O66" s="252" t="str">
        <f t="shared" si="47"/>
        <v>PAYER</v>
      </c>
      <c r="P66" s="255">
        <f t="shared" ca="1" si="48"/>
        <v>42523</v>
      </c>
      <c r="Q66" s="255" t="str">
        <f t="shared" si="49"/>
        <v>6Y</v>
      </c>
      <c r="R66" s="249" t="s">
        <v>26</v>
      </c>
      <c r="S66" s="254" t="s">
        <v>20</v>
      </c>
      <c r="T66" s="249" t="s">
        <v>22</v>
      </c>
      <c r="U66" s="249" t="s">
        <v>2</v>
      </c>
      <c r="V66" s="255"/>
      <c r="W66" s="255"/>
      <c r="X66" s="256">
        <f t="shared" ca="1" si="50"/>
        <v>2</v>
      </c>
      <c r="Y66" s="257" t="s">
        <v>177</v>
      </c>
      <c r="Z66" s="254" t="s">
        <v>178</v>
      </c>
      <c r="AA66" s="252" t="str">
        <f t="shared" si="43"/>
        <v>EUR1ML</v>
      </c>
      <c r="AB66" s="256" t="str">
        <f t="shared" si="51"/>
        <v>Monthly</v>
      </c>
      <c r="AC66" s="254" t="s">
        <v>6</v>
      </c>
      <c r="AD66" s="249" t="s">
        <v>22</v>
      </c>
      <c r="AE66" s="249" t="s">
        <v>2</v>
      </c>
      <c r="AF66" s="255"/>
      <c r="AG66" s="255"/>
      <c r="AH66" s="256">
        <f t="shared" ca="1" si="52"/>
        <v>2</v>
      </c>
      <c r="AI66" s="257" t="s">
        <v>177</v>
      </c>
      <c r="AJ66" s="258">
        <f t="shared" si="53"/>
        <v>-3.49E-3</v>
      </c>
      <c r="AK66" s="258"/>
      <c r="AL66" s="257" t="s">
        <v>177</v>
      </c>
      <c r="AM66" s="254" t="s">
        <v>178</v>
      </c>
      <c r="AN66" s="255" t="str">
        <f t="shared" si="54"/>
        <v>EURYC</v>
      </c>
      <c r="AO66" s="252" t="str">
        <f t="shared" si="55"/>
        <v>EURDF_NOCSA</v>
      </c>
      <c r="AP66" s="259">
        <f t="shared" si="56"/>
        <v>9.9</v>
      </c>
      <c r="AQ66" s="270">
        <f t="shared" si="57"/>
        <v>0</v>
      </c>
      <c r="AR66" s="223" t="s">
        <v>4</v>
      </c>
      <c r="AS66" s="180">
        <f ca="1">IF(AND(NOW(),isEUR1MLLoaded),IF(OR($D66="",$D66=0),"",_xll.meProductSwapParRate(_xll.meUtilityLVBFromKeysValues($P$5:$AP$5,$P66:$AP66))),"Please Load Yield Curves")</f>
        <v>-2.5123096579129559E-4</v>
      </c>
      <c r="AT66" s="138">
        <f ca="1">IF(AND(NOW(),isEUR1MLLoaded),IF(OR($D66="",$D66=0),"",_xll.meProductSwapPV(_xll.meUtilityLVBFromKeysValues($N$5:$AP$5,$N66:$AP66))),"Please Load Yield Curves")</f>
        <v>-1523.1633241767863</v>
      </c>
      <c r="AU66" s="138">
        <f ca="1">IF(AND(NOW(),isEUR1MLLoaded),IF(OR($D66="",$D66=0),"",_xll.meProductSwapPV01(_xll.meUtilityLVBFromKeysValues($N$5:$AO$5,$N66:$AO66))),"Please Load Yield Curves")</f>
        <v>606.28008947038791</v>
      </c>
      <c r="AV66" s="195">
        <f ca="1">IF(AND(NOW(),isEUR1MLLoaded),IF(OR($D66="",$D66=0),"",_xll.meProductSwapDV01(_xll.meUtilityLVBFromKeysValues($N$5:$AQ$5,$N66:$AQ66))),"Please Load Yield Curves")</f>
        <v>607.62658849052161</v>
      </c>
      <c r="AW66" s="48"/>
      <c r="AX66" s="149" t="str">
        <f>'EUR BASIS 1ML'!I40</f>
        <v>6Y</v>
      </c>
      <c r="AY66" s="184">
        <f>'EUR BASIS 1ML'!J40*10000</f>
        <v>9.9</v>
      </c>
      <c r="AZ66" s="183">
        <f t="shared" ca="1" si="58"/>
        <v>3.7310978053412816E-6</v>
      </c>
      <c r="BA66" s="189">
        <f t="shared" ca="1" si="44"/>
        <v>-22.620903112450605</v>
      </c>
    </row>
    <row r="67" spans="2:53" x14ac:dyDescent="0.25">
      <c r="B67" s="131">
        <f ca="1">IF(OR(D67="",D67=0),"",_xll.meDateFromTenor(COB,C67,$T67,$U67))</f>
        <v>42523</v>
      </c>
      <c r="C67" s="139" t="s">
        <v>191</v>
      </c>
      <c r="D67" s="133">
        <v>1000000</v>
      </c>
      <c r="E67" s="133" t="s">
        <v>17</v>
      </c>
      <c r="F67" s="134" t="s">
        <v>176</v>
      </c>
      <c r="G67" s="135" t="s">
        <v>55</v>
      </c>
      <c r="H67" s="136">
        <v>0</v>
      </c>
      <c r="I67" s="166" t="s">
        <v>235</v>
      </c>
      <c r="J67" s="368">
        <f t="shared" si="45"/>
        <v>9.9</v>
      </c>
      <c r="K67" s="238">
        <f>'EUR SWAP 3ML'!$L$39</f>
        <v>-3.49E-3</v>
      </c>
      <c r="L67" s="135" t="s">
        <v>193</v>
      </c>
      <c r="M67" s="199"/>
      <c r="N67" s="277">
        <f t="shared" si="46"/>
        <v>1000000</v>
      </c>
      <c r="O67" s="252" t="str">
        <f t="shared" si="47"/>
        <v>PAYER</v>
      </c>
      <c r="P67" s="255">
        <f t="shared" ca="1" si="48"/>
        <v>42523</v>
      </c>
      <c r="Q67" s="255" t="str">
        <f t="shared" si="49"/>
        <v>7Y</v>
      </c>
      <c r="R67" s="249" t="s">
        <v>26</v>
      </c>
      <c r="S67" s="254" t="s">
        <v>20</v>
      </c>
      <c r="T67" s="249" t="s">
        <v>22</v>
      </c>
      <c r="U67" s="249" t="s">
        <v>2</v>
      </c>
      <c r="V67" s="255"/>
      <c r="W67" s="255"/>
      <c r="X67" s="256">
        <f t="shared" ca="1" si="50"/>
        <v>2</v>
      </c>
      <c r="Y67" s="257" t="s">
        <v>177</v>
      </c>
      <c r="Z67" s="254" t="s">
        <v>178</v>
      </c>
      <c r="AA67" s="252" t="str">
        <f t="shared" si="43"/>
        <v>EUR1ML</v>
      </c>
      <c r="AB67" s="256" t="str">
        <f t="shared" si="51"/>
        <v>Monthly</v>
      </c>
      <c r="AC67" s="254" t="s">
        <v>6</v>
      </c>
      <c r="AD67" s="249" t="s">
        <v>22</v>
      </c>
      <c r="AE67" s="249" t="s">
        <v>2</v>
      </c>
      <c r="AF67" s="255"/>
      <c r="AG67" s="255"/>
      <c r="AH67" s="256">
        <f t="shared" ca="1" si="52"/>
        <v>2</v>
      </c>
      <c r="AI67" s="257" t="s">
        <v>177</v>
      </c>
      <c r="AJ67" s="258">
        <f t="shared" si="53"/>
        <v>-3.49E-3</v>
      </c>
      <c r="AK67" s="258"/>
      <c r="AL67" s="257" t="s">
        <v>177</v>
      </c>
      <c r="AM67" s="254" t="s">
        <v>178</v>
      </c>
      <c r="AN67" s="255" t="str">
        <f t="shared" si="54"/>
        <v>EURYC</v>
      </c>
      <c r="AO67" s="252" t="str">
        <f t="shared" si="55"/>
        <v>EURDF_NOCSA</v>
      </c>
      <c r="AP67" s="259">
        <f t="shared" si="56"/>
        <v>9.9</v>
      </c>
      <c r="AQ67" s="270">
        <f t="shared" si="57"/>
        <v>0</v>
      </c>
      <c r="AR67" s="223" t="s">
        <v>4</v>
      </c>
      <c r="AS67" s="180">
        <f ca="1">IF(AND(NOW(),isEUR1MLLoaded),IF(OR($D67="",$D67=0),"",_xll.meProductSwapParRate(_xll.meUtilityLVBFromKeysValues($P$5:$AP$5,$P67:$AP67))),"Please Load Yield Curves")</f>
        <v>9.1478664534724342E-4</v>
      </c>
      <c r="AT67" s="138">
        <f ca="1">IF(AND(NOW(),isEUR1MLLoaded),IF(OR($D67="",$D67=0),"",_xll.meProductSwapPV(_xll.meUtilityLVBFromKeysValues($N$5:$AP$5,$N67:$AP67))),"Please Load Yield Curves")</f>
        <v>6465.290255398686</v>
      </c>
      <c r="AU67" s="138">
        <f ca="1">IF(AND(NOW(),isEUR1MLLoaded),IF(OR($D67="",$D67=0),"",_xll.meProductSwapPV01(_xll.meUtilityLVBFromKeysValues($N$5:$AO$5,$N67:$AO67))),"Please Load Yield Curves")</f>
        <v>706.75389592559361</v>
      </c>
      <c r="AV67" s="195">
        <f ca="1">IF(AND(NOW(),isEUR1MLLoaded),IF(OR($D67="",$D67=0),"",_xll.meProductSwapDV01(_xll.meUtilityLVBFromKeysValues($N$5:$AQ$5,$N67:$AQ67))),"Please Load Yield Curves")</f>
        <v>704.16403061158496</v>
      </c>
      <c r="AW67" s="48"/>
      <c r="AX67" s="149" t="str">
        <f>'EUR BASIS 1ML'!I41</f>
        <v>7Y</v>
      </c>
      <c r="AY67" s="184">
        <f>'EUR BASIS 1ML'!J41*10000</f>
        <v>9.9</v>
      </c>
      <c r="AZ67" s="183">
        <f t="shared" ca="1" si="58"/>
        <v>-1.2287173352900434E-5</v>
      </c>
      <c r="BA67" s="189">
        <f t="shared" ca="1" si="44"/>
        <v>86.840076370755924</v>
      </c>
    </row>
    <row r="68" spans="2:53" x14ac:dyDescent="0.25">
      <c r="B68" s="131">
        <f ca="1">IF(OR(D68="",D68=0),"",_xll.meDateFromTenor(COB,C68,$T68,$U68))</f>
        <v>42523</v>
      </c>
      <c r="C68" s="139" t="s">
        <v>191</v>
      </c>
      <c r="D68" s="133">
        <v>1000000</v>
      </c>
      <c r="E68" s="133" t="s">
        <v>17</v>
      </c>
      <c r="F68" s="134" t="s">
        <v>176</v>
      </c>
      <c r="G68" s="135" t="s">
        <v>57</v>
      </c>
      <c r="H68" s="136">
        <v>0</v>
      </c>
      <c r="I68" s="166" t="s">
        <v>235</v>
      </c>
      <c r="J68" s="368">
        <f t="shared" si="45"/>
        <v>9.2000000000000011</v>
      </c>
      <c r="K68" s="238">
        <f>'EUR SWAP 3ML'!$L$39</f>
        <v>-3.49E-3</v>
      </c>
      <c r="L68" s="135" t="s">
        <v>193</v>
      </c>
      <c r="M68" s="199"/>
      <c r="N68" s="277">
        <f t="shared" si="46"/>
        <v>1000000</v>
      </c>
      <c r="O68" s="252" t="str">
        <f t="shared" si="47"/>
        <v>PAYER</v>
      </c>
      <c r="P68" s="255">
        <f t="shared" ca="1" si="48"/>
        <v>42523</v>
      </c>
      <c r="Q68" s="255" t="str">
        <f t="shared" si="49"/>
        <v>8Y</v>
      </c>
      <c r="R68" s="249" t="s">
        <v>26</v>
      </c>
      <c r="S68" s="254" t="s">
        <v>20</v>
      </c>
      <c r="T68" s="249" t="s">
        <v>22</v>
      </c>
      <c r="U68" s="249" t="s">
        <v>2</v>
      </c>
      <c r="V68" s="255"/>
      <c r="W68" s="255"/>
      <c r="X68" s="256">
        <f t="shared" ca="1" si="50"/>
        <v>2</v>
      </c>
      <c r="Y68" s="257" t="s">
        <v>177</v>
      </c>
      <c r="Z68" s="254" t="s">
        <v>178</v>
      </c>
      <c r="AA68" s="252" t="str">
        <f t="shared" si="43"/>
        <v>EUR1ML</v>
      </c>
      <c r="AB68" s="256" t="str">
        <f t="shared" si="51"/>
        <v>Monthly</v>
      </c>
      <c r="AC68" s="254" t="s">
        <v>6</v>
      </c>
      <c r="AD68" s="249" t="s">
        <v>22</v>
      </c>
      <c r="AE68" s="249" t="s">
        <v>2</v>
      </c>
      <c r="AF68" s="255"/>
      <c r="AG68" s="255"/>
      <c r="AH68" s="256">
        <f t="shared" ca="1" si="52"/>
        <v>2</v>
      </c>
      <c r="AI68" s="257" t="s">
        <v>177</v>
      </c>
      <c r="AJ68" s="258">
        <f t="shared" si="53"/>
        <v>-3.49E-3</v>
      </c>
      <c r="AK68" s="258"/>
      <c r="AL68" s="257" t="s">
        <v>177</v>
      </c>
      <c r="AM68" s="254" t="s">
        <v>178</v>
      </c>
      <c r="AN68" s="255" t="str">
        <f t="shared" si="54"/>
        <v>EURYC</v>
      </c>
      <c r="AO68" s="252" t="str">
        <f t="shared" si="55"/>
        <v>EURDF_NOCSA</v>
      </c>
      <c r="AP68" s="259">
        <f t="shared" si="56"/>
        <v>9.2000000000000011</v>
      </c>
      <c r="AQ68" s="270">
        <f t="shared" si="57"/>
        <v>0</v>
      </c>
      <c r="AR68" s="223" t="s">
        <v>4</v>
      </c>
      <c r="AS68" s="180">
        <f ca="1">IF(AND(NOW(),isEUR1MLLoaded),IF(OR($D68="",$D68=0),"",_xll.meProductSwapParRate(_xll.meUtilityLVBFromKeysValues($P$5:$AP$5,$P68:$AP68))),"Please Load Yield Curves")</f>
        <v>2.1584968111478895E-3</v>
      </c>
      <c r="AT68" s="138">
        <f ca="1">IF(AND(NOW(),isEUR1MLLoaded),IF(OR($D68="",$D68=0),"",_xll.meProductSwapPV(_xll.meUtilityLVBFromKeysValues($N$5:$AP$5,$N68:$AP68))),"Please Load Yield Curves")</f>
        <v>17409.986447032355</v>
      </c>
      <c r="AU68" s="138">
        <f ca="1">IF(AND(NOW(),isEUR1MLLoaded),IF(OR($D68="",$D68=0),"",_xll.meProductSwapPV01(_xll.meUtilityLVBFromKeysValues($N$5:$AO$5,$N68:$AO68))),"Please Load Yield Curves")</f>
        <v>806.57920628447516</v>
      </c>
      <c r="AV68" s="195">
        <f ca="1">IF(AND(NOW(),isEUR1MLLoaded),IF(OR($D68="",$D68=0),"",_xll.meProductSwapDV01(_xll.meUtilityLVBFromKeysValues($N$5:$AQ$5,$N68:$AQ68))),"Please Load Yield Curves")</f>
        <v>822.67150660555285</v>
      </c>
      <c r="AW68" s="48"/>
      <c r="AX68" s="149" t="str">
        <f>'EUR BASIS 1ML'!I42</f>
        <v>8Y</v>
      </c>
      <c r="AY68" s="184">
        <f>'EUR BASIS 1ML'!J42*10000</f>
        <v>9.2000000000000011</v>
      </c>
      <c r="AZ68" s="183">
        <f t="shared" ca="1" si="58"/>
        <v>-3.0997010885381194E-5</v>
      </c>
      <c r="BA68" s="189">
        <f t="shared" ca="1" si="44"/>
        <v>250.01544437121993</v>
      </c>
    </row>
    <row r="69" spans="2:53" x14ac:dyDescent="0.25">
      <c r="B69" s="131">
        <f ca="1">IF(OR(D69="",D69=0),"",_xll.meDateFromTenor(COB,C69,$T69,$U69))</f>
        <v>42523</v>
      </c>
      <c r="C69" s="139" t="s">
        <v>191</v>
      </c>
      <c r="D69" s="133">
        <v>1000000</v>
      </c>
      <c r="E69" s="133" t="s">
        <v>17</v>
      </c>
      <c r="F69" s="134" t="s">
        <v>176</v>
      </c>
      <c r="G69" s="135" t="s">
        <v>59</v>
      </c>
      <c r="H69" s="136">
        <v>0</v>
      </c>
      <c r="I69" s="166" t="s">
        <v>235</v>
      </c>
      <c r="J69" s="368">
        <f t="shared" si="45"/>
        <v>9.2000000000000011</v>
      </c>
      <c r="K69" s="238">
        <f>'EUR SWAP 3ML'!$L$39</f>
        <v>-3.49E-3</v>
      </c>
      <c r="L69" s="135" t="s">
        <v>193</v>
      </c>
      <c r="M69" s="199"/>
      <c r="N69" s="277">
        <f t="shared" si="46"/>
        <v>1000000</v>
      </c>
      <c r="O69" s="252" t="str">
        <f t="shared" si="47"/>
        <v>PAYER</v>
      </c>
      <c r="P69" s="255">
        <f t="shared" ca="1" si="48"/>
        <v>42523</v>
      </c>
      <c r="Q69" s="255" t="str">
        <f t="shared" si="49"/>
        <v>9Y</v>
      </c>
      <c r="R69" s="249" t="s">
        <v>26</v>
      </c>
      <c r="S69" s="254" t="s">
        <v>20</v>
      </c>
      <c r="T69" s="249" t="s">
        <v>22</v>
      </c>
      <c r="U69" s="249" t="s">
        <v>2</v>
      </c>
      <c r="V69" s="255"/>
      <c r="W69" s="255"/>
      <c r="X69" s="256">
        <f t="shared" ca="1" si="50"/>
        <v>2</v>
      </c>
      <c r="Y69" s="257" t="s">
        <v>177</v>
      </c>
      <c r="Z69" s="254" t="s">
        <v>178</v>
      </c>
      <c r="AA69" s="252" t="str">
        <f t="shared" si="43"/>
        <v>EUR1ML</v>
      </c>
      <c r="AB69" s="256" t="str">
        <f t="shared" si="51"/>
        <v>Monthly</v>
      </c>
      <c r="AC69" s="254" t="s">
        <v>6</v>
      </c>
      <c r="AD69" s="249" t="s">
        <v>22</v>
      </c>
      <c r="AE69" s="249" t="s">
        <v>2</v>
      </c>
      <c r="AF69" s="255"/>
      <c r="AG69" s="255"/>
      <c r="AH69" s="256">
        <f t="shared" ca="1" si="52"/>
        <v>2</v>
      </c>
      <c r="AI69" s="257" t="s">
        <v>177</v>
      </c>
      <c r="AJ69" s="258">
        <f t="shared" si="53"/>
        <v>-3.49E-3</v>
      </c>
      <c r="AK69" s="258"/>
      <c r="AL69" s="257" t="s">
        <v>177</v>
      </c>
      <c r="AM69" s="254" t="s">
        <v>178</v>
      </c>
      <c r="AN69" s="255" t="str">
        <f t="shared" si="54"/>
        <v>EURYC</v>
      </c>
      <c r="AO69" s="252" t="str">
        <f t="shared" si="55"/>
        <v>EURDF_NOCSA</v>
      </c>
      <c r="AP69" s="259">
        <f t="shared" si="56"/>
        <v>9.2000000000000011</v>
      </c>
      <c r="AQ69" s="270">
        <f t="shared" si="57"/>
        <v>0</v>
      </c>
      <c r="AR69" s="223" t="s">
        <v>4</v>
      </c>
      <c r="AS69" s="180">
        <f ca="1">IF(AND(NOW(),isEUR1MLLoaded),IF(OR($D69="",$D69=0),"",_xll.meProductSwapParRate(_xll.meUtilityLVBFromKeysValues($P$5:$AP$5,$P69:$AP69))),"Please Load Yield Curves")</f>
        <v>3.3721776429343556E-3</v>
      </c>
      <c r="AT69" s="138">
        <f ca="1">IF(AND(NOW(),isEUR1MLLoaded),IF(OR($D69="",$D69=0),"",_xll.meProductSwapPV(_xll.meUtilityLVBFromKeysValues($N$5:$AP$5,$N69:$AP69))),"Please Load Yield Curves")</f>
        <v>30508.254983302813</v>
      </c>
      <c r="AU69" s="138">
        <f ca="1">IF(AND(NOW(),isEUR1MLLoaded),IF(OR($D69="",$D69=0),"",_xll.meProductSwapPV01(_xll.meUtilityLVBFromKeysValues($N$5:$AO$5,$N69:$AO69))),"Please Load Yield Curves")</f>
        <v>904.70485880914498</v>
      </c>
      <c r="AV69" s="195">
        <f ca="1">IF(AND(NOW(),isEUR1MLLoaded),IF(OR($D69="",$D69=0),"",_xll.meProductSwapDV01(_xll.meUtilityLVBFromKeysValues($N$5:$AQ$5,$N69:$AQ69))),"Please Load Yield Curves")</f>
        <v>931.95964574547963</v>
      </c>
      <c r="AW69" s="48"/>
      <c r="AX69" s="149" t="str">
        <f>'EUR BASIS 1ML'!I43</f>
        <v>9Y</v>
      </c>
      <c r="AY69" s="184">
        <f>'EUR BASIS 1ML'!J43*10000</f>
        <v>9.2000000000000011</v>
      </c>
      <c r="AZ69" s="183">
        <f t="shared" ca="1" si="58"/>
        <v>-4.9677015439314031E-5</v>
      </c>
      <c r="BA69" s="189">
        <f t="shared" ca="1" si="44"/>
        <v>449.43037239084151</v>
      </c>
    </row>
    <row r="70" spans="2:53" x14ac:dyDescent="0.25">
      <c r="B70" s="131">
        <f ca="1">IF(OR(D70="",D70=0),"",_xll.meDateFromTenor(COB,C70,$T70,$U70))</f>
        <v>42523</v>
      </c>
      <c r="C70" s="139" t="s">
        <v>191</v>
      </c>
      <c r="D70" s="133">
        <v>1000000</v>
      </c>
      <c r="E70" s="133" t="s">
        <v>17</v>
      </c>
      <c r="F70" s="134" t="s">
        <v>176</v>
      </c>
      <c r="G70" s="135" t="s">
        <v>60</v>
      </c>
      <c r="H70" s="136">
        <v>0</v>
      </c>
      <c r="I70" s="166" t="s">
        <v>235</v>
      </c>
      <c r="J70" s="368">
        <f t="shared" si="45"/>
        <v>8.9</v>
      </c>
      <c r="K70" s="238">
        <f>'EUR SWAP 3ML'!$L$39</f>
        <v>-3.49E-3</v>
      </c>
      <c r="L70" s="135" t="s">
        <v>193</v>
      </c>
      <c r="M70" s="199"/>
      <c r="N70" s="277">
        <f t="shared" si="46"/>
        <v>1000000</v>
      </c>
      <c r="O70" s="252" t="str">
        <f t="shared" si="47"/>
        <v>PAYER</v>
      </c>
      <c r="P70" s="255">
        <f t="shared" ca="1" si="48"/>
        <v>42523</v>
      </c>
      <c r="Q70" s="255" t="str">
        <f t="shared" si="49"/>
        <v>10Y</v>
      </c>
      <c r="R70" s="249" t="s">
        <v>26</v>
      </c>
      <c r="S70" s="254" t="s">
        <v>20</v>
      </c>
      <c r="T70" s="249" t="s">
        <v>22</v>
      </c>
      <c r="U70" s="249" t="s">
        <v>2</v>
      </c>
      <c r="V70" s="255"/>
      <c r="W70" s="255"/>
      <c r="X70" s="256">
        <f t="shared" ca="1" si="50"/>
        <v>2</v>
      </c>
      <c r="Y70" s="257" t="s">
        <v>177</v>
      </c>
      <c r="Z70" s="254" t="s">
        <v>178</v>
      </c>
      <c r="AA70" s="252" t="str">
        <f t="shared" si="43"/>
        <v>EUR1ML</v>
      </c>
      <c r="AB70" s="256" t="str">
        <f t="shared" si="51"/>
        <v>Monthly</v>
      </c>
      <c r="AC70" s="254" t="s">
        <v>6</v>
      </c>
      <c r="AD70" s="249" t="s">
        <v>22</v>
      </c>
      <c r="AE70" s="249" t="s">
        <v>2</v>
      </c>
      <c r="AF70" s="255"/>
      <c r="AG70" s="255"/>
      <c r="AH70" s="256">
        <f t="shared" ca="1" si="52"/>
        <v>2</v>
      </c>
      <c r="AI70" s="257" t="s">
        <v>177</v>
      </c>
      <c r="AJ70" s="258">
        <f t="shared" si="53"/>
        <v>-3.49E-3</v>
      </c>
      <c r="AK70" s="258"/>
      <c r="AL70" s="257" t="s">
        <v>177</v>
      </c>
      <c r="AM70" s="254" t="s">
        <v>178</v>
      </c>
      <c r="AN70" s="255" t="str">
        <f t="shared" si="54"/>
        <v>EURYC</v>
      </c>
      <c r="AO70" s="252" t="str">
        <f t="shared" si="55"/>
        <v>EURDF_NOCSA</v>
      </c>
      <c r="AP70" s="259">
        <f t="shared" si="56"/>
        <v>8.9</v>
      </c>
      <c r="AQ70" s="270">
        <f t="shared" si="57"/>
        <v>0</v>
      </c>
      <c r="AR70" s="223" t="s">
        <v>4</v>
      </c>
      <c r="AS70" s="180">
        <f ca="1">IF(AND(NOW(),isEUR1MLLoaded),IF(OR($D70="",$D70=0),"",_xll.meProductSwapParRate(_xll.meUtilityLVBFromKeysValues($P$5:$AP$5,$P70:$AP70))),"Please Load Yield Curves")</f>
        <v>4.5073962130724836E-3</v>
      </c>
      <c r="AT70" s="138">
        <f ca="1">IF(AND(NOW(),isEUR1MLLoaded),IF(OR($D70="",$D70=0),"",_xll.meProductSwapPV(_xll.meUtilityLVBFromKeysValues($N$5:$AP$5,$N70:$AP70))),"Please Load Yield Curves")</f>
        <v>45155.997841396173</v>
      </c>
      <c r="AU70" s="138">
        <f ca="1">IF(AND(NOW(),isEUR1MLLoaded),IF(OR($D70="",$D70=0),"",_xll.meProductSwapPV01(_xll.meUtilityLVBFromKeysValues($N$5:$AO$5,$N70:$AO70))),"Please Load Yield Curves")</f>
        <v>1001.8200243953131</v>
      </c>
      <c r="AV70" s="195">
        <f ca="1">IF(AND(NOW(),isEUR1MLLoaded),IF(OR($D70="",$D70=0),"",_xll.meProductSwapDV01(_xll.meUtilityLVBFromKeysValues($N$5:$AQ$5,$N70:$AQ70))),"Please Load Yield Curves")</f>
        <v>1043.1253349073238</v>
      </c>
      <c r="AW70" s="48"/>
      <c r="AX70" s="149" t="str">
        <f>'EUR BASIS 1ML'!I44</f>
        <v>10Y</v>
      </c>
      <c r="AY70" s="184">
        <f>'EUR BASIS 1ML'!J44*10000</f>
        <v>8.9</v>
      </c>
      <c r="AZ70" s="183">
        <f t="shared" ca="1" si="58"/>
        <v>-6.4895616977866943E-5</v>
      </c>
      <c r="BA70" s="189">
        <f t="shared" ca="1" si="44"/>
        <v>650.13728583916236</v>
      </c>
    </row>
    <row r="71" spans="2:53" x14ac:dyDescent="0.25">
      <c r="B71" s="131">
        <f ca="1">IF(OR(D71="",D71=0),"",_xll.meDateFromTenor(COB,C71,$T71,$U71))</f>
        <v>42523</v>
      </c>
      <c r="C71" s="139" t="s">
        <v>191</v>
      </c>
      <c r="D71" s="133">
        <v>1000000</v>
      </c>
      <c r="E71" s="133" t="s">
        <v>17</v>
      </c>
      <c r="F71" s="134" t="s">
        <v>176</v>
      </c>
      <c r="G71" s="135" t="s">
        <v>63</v>
      </c>
      <c r="H71" s="136">
        <v>0</v>
      </c>
      <c r="I71" s="166" t="s">
        <v>235</v>
      </c>
      <c r="J71" s="368">
        <f t="shared" si="45"/>
        <v>7.3500000000000005</v>
      </c>
      <c r="K71" s="238">
        <f>'EUR SWAP 3ML'!$L$39</f>
        <v>-3.49E-3</v>
      </c>
      <c r="L71" s="135" t="s">
        <v>193</v>
      </c>
      <c r="M71" s="199"/>
      <c r="N71" s="277">
        <f t="shared" si="46"/>
        <v>1000000</v>
      </c>
      <c r="O71" s="252" t="str">
        <f t="shared" si="47"/>
        <v>PAYER</v>
      </c>
      <c r="P71" s="255">
        <f t="shared" ca="1" si="48"/>
        <v>42523</v>
      </c>
      <c r="Q71" s="255" t="str">
        <f t="shared" si="49"/>
        <v>15Y</v>
      </c>
      <c r="R71" s="249" t="s">
        <v>26</v>
      </c>
      <c r="S71" s="254" t="s">
        <v>20</v>
      </c>
      <c r="T71" s="249" t="s">
        <v>22</v>
      </c>
      <c r="U71" s="249" t="s">
        <v>2</v>
      </c>
      <c r="V71" s="255"/>
      <c r="W71" s="255"/>
      <c r="X71" s="256">
        <f t="shared" ca="1" si="50"/>
        <v>2</v>
      </c>
      <c r="Y71" s="257" t="s">
        <v>177</v>
      </c>
      <c r="Z71" s="254" t="s">
        <v>178</v>
      </c>
      <c r="AA71" s="252" t="str">
        <f t="shared" si="43"/>
        <v>EUR1ML</v>
      </c>
      <c r="AB71" s="256" t="str">
        <f t="shared" si="51"/>
        <v>Monthly</v>
      </c>
      <c r="AC71" s="254" t="s">
        <v>6</v>
      </c>
      <c r="AD71" s="249" t="s">
        <v>22</v>
      </c>
      <c r="AE71" s="249" t="s">
        <v>2</v>
      </c>
      <c r="AF71" s="255"/>
      <c r="AG71" s="255"/>
      <c r="AH71" s="256">
        <f t="shared" ca="1" si="52"/>
        <v>2</v>
      </c>
      <c r="AI71" s="257" t="s">
        <v>177</v>
      </c>
      <c r="AJ71" s="258">
        <f t="shared" si="53"/>
        <v>-3.49E-3</v>
      </c>
      <c r="AK71" s="258"/>
      <c r="AL71" s="257" t="s">
        <v>177</v>
      </c>
      <c r="AM71" s="254" t="s">
        <v>178</v>
      </c>
      <c r="AN71" s="255" t="str">
        <f t="shared" si="54"/>
        <v>EURYC</v>
      </c>
      <c r="AO71" s="252" t="str">
        <f t="shared" si="55"/>
        <v>EURDF_NOCSA</v>
      </c>
      <c r="AP71" s="259">
        <f t="shared" si="56"/>
        <v>7.3500000000000005</v>
      </c>
      <c r="AQ71" s="270">
        <f t="shared" si="57"/>
        <v>0</v>
      </c>
      <c r="AR71" s="223" t="s">
        <v>4</v>
      </c>
      <c r="AS71" s="180">
        <f ca="1">IF(AND(NOW(),isEUR1MLLoaded),IF(OR($D71="",$D71=0),"",_xll.meProductSwapParRate(_xll.meUtilityLVBFromKeysValues($P$5:$AP$5,$P71:$AP71))),"Please Load Yield Curves")</f>
        <v>8.5548838689984714E-3</v>
      </c>
      <c r="AT71" s="138">
        <f ca="1">IF(AND(NOW(),isEUR1MLLoaded),IF(OR($D71="",$D71=0),"",_xll.meProductSwapPV(_xll.meUtilityLVBFromKeysValues($N$5:$AP$5,$N71:$AP71))),"Please Load Yield Curves")</f>
        <v>125379.98978644425</v>
      </c>
      <c r="AU71" s="138">
        <f ca="1">IF(AND(NOW(),isEUR1MLLoaded),IF(OR($D71="",$D71=0),"",_xll.meProductSwapPV01(_xll.meUtilityLVBFromKeysValues($N$5:$AO$5,$N71:$AO71))),"Please Load Yield Curves")</f>
        <v>1465.5954622692336</v>
      </c>
      <c r="AV71" s="195">
        <f ca="1">IF(AND(NOW(),isEUR1MLLoaded),IF(OR($D71="",$D71=0),"",_xll.meProductSwapDV01(_xll.meUtilityLVBFromKeysValues($N$5:$AQ$5,$N71:$AQ71))),"Please Load Yield Curves")</f>
        <v>1607.9318777247595</v>
      </c>
      <c r="AW71" s="48"/>
      <c r="AX71" s="149" t="str">
        <f>'EUR BASIS 1ML'!I45</f>
        <v>15Y</v>
      </c>
      <c r="AY71" s="184">
        <f>'EUR BASIS 1ML'!J45*10000</f>
        <v>7.3500000000000005</v>
      </c>
      <c r="AZ71" s="183">
        <f t="shared" ca="1" si="58"/>
        <v>-1.223838319114115E-4</v>
      </c>
      <c r="BA71" s="189">
        <f t="shared" ca="1" si="44"/>
        <v>1793.6518870448635</v>
      </c>
    </row>
    <row r="72" spans="2:53" x14ac:dyDescent="0.25">
      <c r="B72" s="131">
        <f ca="1">IF(OR(D72="",D72=0),"",_xll.meDateFromTenor(COB,C72,$T72,$U72))</f>
        <v>42523</v>
      </c>
      <c r="C72" s="139" t="s">
        <v>191</v>
      </c>
      <c r="D72" s="133">
        <v>1000000</v>
      </c>
      <c r="E72" s="133" t="s">
        <v>17</v>
      </c>
      <c r="F72" s="134" t="s">
        <v>176</v>
      </c>
      <c r="G72" s="135" t="s">
        <v>64</v>
      </c>
      <c r="H72" s="136">
        <v>0</v>
      </c>
      <c r="I72" s="166" t="s">
        <v>235</v>
      </c>
      <c r="J72" s="368">
        <f t="shared" si="45"/>
        <v>5.3500000000000014</v>
      </c>
      <c r="K72" s="238">
        <f>'EUR SWAP 3ML'!$L$39</f>
        <v>-3.49E-3</v>
      </c>
      <c r="L72" s="135" t="s">
        <v>193</v>
      </c>
      <c r="M72" s="199"/>
      <c r="N72" s="277">
        <f t="shared" si="46"/>
        <v>1000000</v>
      </c>
      <c r="O72" s="252" t="str">
        <f t="shared" si="47"/>
        <v>PAYER</v>
      </c>
      <c r="P72" s="255">
        <f t="shared" ca="1" si="48"/>
        <v>42523</v>
      </c>
      <c r="Q72" s="255" t="str">
        <f t="shared" si="49"/>
        <v>20Y</v>
      </c>
      <c r="R72" s="249" t="s">
        <v>26</v>
      </c>
      <c r="S72" s="254" t="s">
        <v>20</v>
      </c>
      <c r="T72" s="249" t="s">
        <v>22</v>
      </c>
      <c r="U72" s="249" t="s">
        <v>2</v>
      </c>
      <c r="V72" s="255"/>
      <c r="W72" s="255"/>
      <c r="X72" s="256">
        <f t="shared" ca="1" si="50"/>
        <v>2</v>
      </c>
      <c r="Y72" s="257" t="s">
        <v>177</v>
      </c>
      <c r="Z72" s="254" t="s">
        <v>178</v>
      </c>
      <c r="AA72" s="252" t="str">
        <f t="shared" si="43"/>
        <v>EUR1ML</v>
      </c>
      <c r="AB72" s="256" t="str">
        <f t="shared" si="51"/>
        <v>Monthly</v>
      </c>
      <c r="AC72" s="254" t="s">
        <v>6</v>
      </c>
      <c r="AD72" s="249" t="s">
        <v>22</v>
      </c>
      <c r="AE72" s="249" t="s">
        <v>2</v>
      </c>
      <c r="AF72" s="255"/>
      <c r="AG72" s="255"/>
      <c r="AH72" s="256">
        <f t="shared" ca="1" si="52"/>
        <v>2</v>
      </c>
      <c r="AI72" s="257" t="s">
        <v>177</v>
      </c>
      <c r="AJ72" s="258">
        <f t="shared" si="53"/>
        <v>-3.49E-3</v>
      </c>
      <c r="AK72" s="258"/>
      <c r="AL72" s="257" t="s">
        <v>177</v>
      </c>
      <c r="AM72" s="254" t="s">
        <v>178</v>
      </c>
      <c r="AN72" s="255" t="str">
        <f t="shared" si="54"/>
        <v>EURYC</v>
      </c>
      <c r="AO72" s="252" t="str">
        <f t="shared" si="55"/>
        <v>EURDF_NOCSA</v>
      </c>
      <c r="AP72" s="259">
        <f t="shared" si="56"/>
        <v>5.3500000000000014</v>
      </c>
      <c r="AQ72" s="270">
        <f t="shared" si="57"/>
        <v>0</v>
      </c>
      <c r="AR72" s="223" t="s">
        <v>4</v>
      </c>
      <c r="AS72" s="180">
        <f ca="1">IF(AND(NOW(),isEUR1MLLoaded),IF(OR($D72="",$D72=0),"",_xll.meProductSwapParRate(_xll.meUtilityLVBFromKeysValues($P$5:$AP$5,$P72:$AP72))),"Please Load Yield Curves")</f>
        <v>1.0315714658910678E-2</v>
      </c>
      <c r="AT72" s="138">
        <f ca="1">IF(AND(NOW(),isEUR1MLLoaded),IF(OR($D72="",$D72=0),"",_xll.meProductSwapPV(_xll.meUtilityLVBFromKeysValues($N$5:$AP$5,$N72:$AP72))),"Please Load Yield Curves")</f>
        <v>195407.37493500093</v>
      </c>
      <c r="AU72" s="138">
        <f ca="1">IF(AND(NOW(),isEUR1MLLoaded),IF(OR($D72="",$D72=0),"",_xll.meProductSwapPV01(_xll.meUtilityLVBFromKeysValues($N$5:$AO$5,$N72:$AO72))),"Please Load Yield Curves")</f>
        <v>1894.2689032815456</v>
      </c>
      <c r="AV72" s="195">
        <f ca="1">IF(AND(NOW(),isEUR1MLLoaded),IF(OR($D72="",$D72=0),"",_xll.meProductSwapDV01(_xll.meUtilityLVBFromKeysValues($N$5:$AQ$5,$N72:$AQ72))),"Please Load Yield Curves")</f>
        <v>2160.3551707900606</v>
      </c>
      <c r="AW72" s="48"/>
      <c r="AX72" s="149" t="str">
        <f>'EUR BASIS 1ML'!I46</f>
        <v>20Y</v>
      </c>
      <c r="AY72" s="184">
        <f>'EUR BASIS 1ML'!J46*10000</f>
        <v>5.3500000000000014</v>
      </c>
      <c r="AZ72" s="183">
        <f t="shared" ca="1" si="58"/>
        <v>-1.4821472938424465E-4</v>
      </c>
      <c r="BA72" s="189">
        <f t="shared" ca="1" si="44"/>
        <v>2807.585528808675</v>
      </c>
    </row>
    <row r="73" spans="2:53" x14ac:dyDescent="0.25">
      <c r="B73" s="131">
        <f ca="1">IF(OR(D73="",D73=0),"",_xll.meDateFromTenor(COB,C73,$T73,$U73))</f>
        <v>42523</v>
      </c>
      <c r="C73" s="139" t="s">
        <v>191</v>
      </c>
      <c r="D73" s="133">
        <v>1000000</v>
      </c>
      <c r="E73" s="133" t="s">
        <v>17</v>
      </c>
      <c r="F73" s="134" t="s">
        <v>176</v>
      </c>
      <c r="G73" s="135" t="s">
        <v>65</v>
      </c>
      <c r="H73" s="136">
        <v>0</v>
      </c>
      <c r="I73" s="166" t="s">
        <v>235</v>
      </c>
      <c r="J73" s="368">
        <f t="shared" si="45"/>
        <v>4.0750000000000011</v>
      </c>
      <c r="K73" s="238">
        <f>'EUR SWAP 3ML'!$L$39</f>
        <v>-3.49E-3</v>
      </c>
      <c r="L73" s="135" t="s">
        <v>193</v>
      </c>
      <c r="M73" s="199"/>
      <c r="N73" s="277">
        <f t="shared" si="46"/>
        <v>1000000</v>
      </c>
      <c r="O73" s="252" t="str">
        <f t="shared" si="47"/>
        <v>PAYER</v>
      </c>
      <c r="P73" s="255">
        <f t="shared" ca="1" si="48"/>
        <v>42523</v>
      </c>
      <c r="Q73" s="255" t="str">
        <f t="shared" si="49"/>
        <v>25Y</v>
      </c>
      <c r="R73" s="249" t="s">
        <v>26</v>
      </c>
      <c r="S73" s="254" t="s">
        <v>20</v>
      </c>
      <c r="T73" s="249" t="s">
        <v>22</v>
      </c>
      <c r="U73" s="249" t="s">
        <v>2</v>
      </c>
      <c r="V73" s="255"/>
      <c r="W73" s="255"/>
      <c r="X73" s="256">
        <f t="shared" ca="1" si="50"/>
        <v>2</v>
      </c>
      <c r="Y73" s="257" t="s">
        <v>177</v>
      </c>
      <c r="Z73" s="254" t="s">
        <v>178</v>
      </c>
      <c r="AA73" s="252" t="str">
        <f t="shared" si="43"/>
        <v>EUR1ML</v>
      </c>
      <c r="AB73" s="256" t="str">
        <f t="shared" si="51"/>
        <v>Monthly</v>
      </c>
      <c r="AC73" s="254" t="s">
        <v>6</v>
      </c>
      <c r="AD73" s="249" t="s">
        <v>22</v>
      </c>
      <c r="AE73" s="249" t="s">
        <v>2</v>
      </c>
      <c r="AF73" s="255"/>
      <c r="AG73" s="255"/>
      <c r="AH73" s="256">
        <f t="shared" ca="1" si="52"/>
        <v>2</v>
      </c>
      <c r="AI73" s="257" t="s">
        <v>177</v>
      </c>
      <c r="AJ73" s="258">
        <f t="shared" si="53"/>
        <v>-3.49E-3</v>
      </c>
      <c r="AK73" s="258"/>
      <c r="AL73" s="257" t="s">
        <v>177</v>
      </c>
      <c r="AM73" s="254" t="s">
        <v>178</v>
      </c>
      <c r="AN73" s="255" t="str">
        <f t="shared" si="54"/>
        <v>EURYC</v>
      </c>
      <c r="AO73" s="252" t="str">
        <f t="shared" si="55"/>
        <v>EURDF_NOCSA</v>
      </c>
      <c r="AP73" s="259">
        <f t="shared" si="56"/>
        <v>4.0750000000000011</v>
      </c>
      <c r="AQ73" s="270">
        <f t="shared" si="57"/>
        <v>0</v>
      </c>
      <c r="AR73" s="223" t="s">
        <v>4</v>
      </c>
      <c r="AS73" s="180">
        <f ca="1">IF(AND(NOW(),isEUR1MLLoaded),IF(OR($D73="",$D73=0),"",_xll.meProductSwapParRate(_xll.meUtilityLVBFromKeysValues($P$5:$AP$5,$P73:$AP73))),"Please Load Yield Curves")</f>
        <v>1.0853033699347802E-2</v>
      </c>
      <c r="AT73" s="138">
        <f ca="1">IF(AND(NOW(),isEUR1MLLoaded),IF(OR($D73="",$D73=0),"",_xll.meProductSwapPV(_xll.meUtilityLVBFromKeysValues($N$5:$AP$5,$N73:$AP73))),"Please Load Yield Curves")</f>
        <v>249088.4099186266</v>
      </c>
      <c r="AU73" s="138">
        <f ca="1">IF(AND(NOW(),isEUR1MLLoaded),IF(OR($D73="",$D73=0),"",_xll.meProductSwapPV01(_xll.meUtilityLVBFromKeysValues($N$5:$AO$5,$N73:$AO73))),"Please Load Yield Curves")</f>
        <v>2295.1039941357158</v>
      </c>
      <c r="AV73" s="195">
        <f ca="1">IF(AND(NOW(),isEUR1MLLoaded),IF(OR($D73="",$D73=0),"",_xll.meProductSwapDV01(_xll.meUtilityLVBFromKeysValues($N$5:$AQ$5,$N73:$AQ73))),"Please Load Yield Curves")</f>
        <v>2683.3966402870151</v>
      </c>
      <c r="AW73" s="48"/>
      <c r="AX73" s="149" t="str">
        <f>'EUR BASIS 1ML'!I47</f>
        <v>25Y</v>
      </c>
      <c r="AY73" s="184">
        <f>'EUR BASIS 1ML'!J47*10000</f>
        <v>4.0750000000000011</v>
      </c>
      <c r="AZ73" s="183">
        <f t="shared" ca="1" si="58"/>
        <v>-1.5636361703448738E-4</v>
      </c>
      <c r="BA73" s="189">
        <f t="shared" ca="1" si="44"/>
        <v>3588.7076199335861</v>
      </c>
    </row>
    <row r="74" spans="2:53" x14ac:dyDescent="0.25">
      <c r="B74" s="140">
        <f ca="1">IF(OR(D74="",D74=0),"",_xll.meDateFromTenor(COB,C74,$T74,$U74))</f>
        <v>42523</v>
      </c>
      <c r="C74" s="141" t="s">
        <v>191</v>
      </c>
      <c r="D74" s="142">
        <v>1000000</v>
      </c>
      <c r="E74" s="142" t="s">
        <v>17</v>
      </c>
      <c r="F74" s="143" t="s">
        <v>176</v>
      </c>
      <c r="G74" s="144" t="s">
        <v>66</v>
      </c>
      <c r="H74" s="145">
        <v>0</v>
      </c>
      <c r="I74" s="167" t="s">
        <v>235</v>
      </c>
      <c r="J74" s="369">
        <f t="shared" si="45"/>
        <v>3.1500000000000017</v>
      </c>
      <c r="K74" s="484">
        <f>'EUR SWAP 3ML'!$L$39</f>
        <v>-3.49E-3</v>
      </c>
      <c r="L74" s="144" t="s">
        <v>193</v>
      </c>
      <c r="M74" s="199"/>
      <c r="N74" s="278">
        <f t="shared" si="46"/>
        <v>1000000</v>
      </c>
      <c r="O74" s="253" t="str">
        <f t="shared" si="47"/>
        <v>PAYER</v>
      </c>
      <c r="P74" s="147">
        <f t="shared" ca="1" si="48"/>
        <v>42523</v>
      </c>
      <c r="Q74" s="147" t="str">
        <f t="shared" si="49"/>
        <v>30Y</v>
      </c>
      <c r="R74" s="271" t="s">
        <v>26</v>
      </c>
      <c r="S74" s="272" t="s">
        <v>20</v>
      </c>
      <c r="T74" s="271" t="s">
        <v>22</v>
      </c>
      <c r="U74" s="271" t="s">
        <v>2</v>
      </c>
      <c r="V74" s="147"/>
      <c r="W74" s="147"/>
      <c r="X74" s="263">
        <f t="shared" ca="1" si="50"/>
        <v>2</v>
      </c>
      <c r="Y74" s="273" t="s">
        <v>177</v>
      </c>
      <c r="Z74" s="272" t="s">
        <v>178</v>
      </c>
      <c r="AA74" s="253" t="str">
        <f t="shared" si="43"/>
        <v>EUR1ML</v>
      </c>
      <c r="AB74" s="263" t="str">
        <f t="shared" si="51"/>
        <v>Monthly</v>
      </c>
      <c r="AC74" s="272" t="s">
        <v>6</v>
      </c>
      <c r="AD74" s="271" t="s">
        <v>22</v>
      </c>
      <c r="AE74" s="271" t="s">
        <v>2</v>
      </c>
      <c r="AF74" s="147"/>
      <c r="AG74" s="147"/>
      <c r="AH74" s="263">
        <f t="shared" ca="1" si="52"/>
        <v>2</v>
      </c>
      <c r="AI74" s="273" t="s">
        <v>177</v>
      </c>
      <c r="AJ74" s="274">
        <f t="shared" si="53"/>
        <v>-3.49E-3</v>
      </c>
      <c r="AK74" s="274"/>
      <c r="AL74" s="273" t="s">
        <v>177</v>
      </c>
      <c r="AM74" s="272" t="s">
        <v>178</v>
      </c>
      <c r="AN74" s="147" t="str">
        <f t="shared" si="54"/>
        <v>EURYC</v>
      </c>
      <c r="AO74" s="253" t="str">
        <f t="shared" si="55"/>
        <v>EURDF_NOCSA</v>
      </c>
      <c r="AP74" s="261">
        <f t="shared" si="56"/>
        <v>3.1500000000000017</v>
      </c>
      <c r="AQ74" s="275">
        <f t="shared" si="57"/>
        <v>0</v>
      </c>
      <c r="AR74" s="223" t="s">
        <v>4</v>
      </c>
      <c r="AS74" s="181">
        <f ca="1">IF(AND(NOW(),isEUR1MLLoaded),IF(OR($D74="",$D74=0),"",_xll.meProductSwapParRate(_xll.meUtilityLVBFromKeysValues($P$5:$AP$5,$P74:$AP74))),"Please Load Yield Curves")</f>
        <v>1.1026065986565147E-2</v>
      </c>
      <c r="AT74" s="148">
        <f ca="1">IF(AND(NOW(),isEUR1MLLoaded),IF(OR($D74="",$D74=0),"",_xll.meProductSwapPV(_xll.meUtilityLVBFromKeysValues($N$5:$AP$5,$N74:$AP74))),"Please Load Yield Curves")</f>
        <v>294768.57210715034</v>
      </c>
      <c r="AU74" s="148">
        <f ca="1">IF(AND(NOW(),isEUR1MLLoaded),IF(OR($D74="",$D74=0),"",_xll.meProductSwapPV01(_xll.meUtilityLVBFromKeysValues($N$5:$AO$5,$N74:$AO74))),"Please Load Yield Curves")</f>
        <v>2673.3793582073149</v>
      </c>
      <c r="AV74" s="196">
        <f ca="1">IF(AND(NOW(),isEUR1MLLoaded),IF(OR($D74="",$D74=0),"",_xll.meProductSwapDV01(_xll.meUtilityLVBFromKeysValues($N$5:$AQ$5,$N74:$AQ74))),"Please Load Yield Curves")</f>
        <v>3189.2421550442295</v>
      </c>
      <c r="AW74" s="176"/>
      <c r="AX74" s="150" t="str">
        <f>'EUR BASIS 1ML'!I48</f>
        <v>30Y</v>
      </c>
      <c r="AY74" s="188">
        <f>'EUR BASIS 1ML'!J48*10000</f>
        <v>3.1500000000000017</v>
      </c>
      <c r="AZ74" s="192">
        <f t="shared" ca="1" si="58"/>
        <v>-1.5856585287964478E-4</v>
      </c>
      <c r="BA74" s="190">
        <f t="shared" ca="1" si="44"/>
        <v>4239.0667800498195</v>
      </c>
    </row>
    <row r="75" spans="2:53" x14ac:dyDescent="0.25">
      <c r="AR75" s="223" t="s">
        <v>4</v>
      </c>
    </row>
    <row r="76" spans="2:53" x14ac:dyDescent="0.25">
      <c r="B76" s="40" t="s">
        <v>174</v>
      </c>
      <c r="C76" s="40"/>
      <c r="D76" s="40"/>
      <c r="E76" s="40"/>
      <c r="F76" s="40"/>
      <c r="G76" s="40"/>
      <c r="H76" s="40"/>
      <c r="I76" s="40"/>
      <c r="J76" s="40"/>
      <c r="K76" s="40"/>
      <c r="L76" s="40"/>
      <c r="M76" s="40"/>
      <c r="N76" s="223" t="s">
        <v>282</v>
      </c>
      <c r="O76" s="223"/>
      <c r="P76" s="223"/>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23" t="s">
        <v>4</v>
      </c>
      <c r="AS76" s="40"/>
      <c r="AT76" s="40"/>
      <c r="AU76" s="177"/>
      <c r="AV76" s="177"/>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199"/>
      <c r="N77" s="262" t="s">
        <v>175</v>
      </c>
      <c r="O77" s="250" t="s">
        <v>249</v>
      </c>
      <c r="P77" s="250" t="s">
        <v>250</v>
      </c>
      <c r="Q77" s="250" t="s">
        <v>251</v>
      </c>
      <c r="R77" s="250" t="s">
        <v>253</v>
      </c>
      <c r="S77" s="250" t="s">
        <v>254</v>
      </c>
      <c r="T77" s="250" t="s">
        <v>255</v>
      </c>
      <c r="U77" s="250" t="s">
        <v>256</v>
      </c>
      <c r="V77" s="250" t="s">
        <v>283</v>
      </c>
      <c r="W77" s="250" t="s">
        <v>284</v>
      </c>
      <c r="X77" s="250" t="s">
        <v>257</v>
      </c>
      <c r="Y77" s="250" t="s">
        <v>258</v>
      </c>
      <c r="Z77" s="250" t="s">
        <v>259</v>
      </c>
      <c r="AA77" s="250" t="s">
        <v>271</v>
      </c>
      <c r="AB77" s="250" t="s">
        <v>260</v>
      </c>
      <c r="AC77" s="250" t="s">
        <v>261</v>
      </c>
      <c r="AD77" s="250" t="s">
        <v>262</v>
      </c>
      <c r="AE77" s="250" t="s">
        <v>263</v>
      </c>
      <c r="AF77" s="250" t="s">
        <v>285</v>
      </c>
      <c r="AG77" s="250" t="s">
        <v>286</v>
      </c>
      <c r="AH77" s="250" t="s">
        <v>264</v>
      </c>
      <c r="AI77" s="250" t="s">
        <v>265</v>
      </c>
      <c r="AJ77" s="250" t="s">
        <v>266</v>
      </c>
      <c r="AK77" s="250" t="s">
        <v>267</v>
      </c>
      <c r="AL77" s="250" t="s">
        <v>268</v>
      </c>
      <c r="AM77" s="250" t="s">
        <v>270</v>
      </c>
      <c r="AN77" s="250" t="s">
        <v>80</v>
      </c>
      <c r="AO77" s="250" t="s">
        <v>272</v>
      </c>
      <c r="AP77" s="250" t="s">
        <v>269</v>
      </c>
      <c r="AQ77" s="251" t="s">
        <v>252</v>
      </c>
      <c r="AR77" s="223" t="s">
        <v>4</v>
      </c>
      <c r="AS77" s="178"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5" t="s">
        <v>205</v>
      </c>
      <c r="J78" s="121">
        <v>0</v>
      </c>
      <c r="K78" s="483">
        <f>'EUR SWAP 3ML'!$L$40</f>
        <v>-2.6099999999999999E-3</v>
      </c>
      <c r="L78" s="119" t="s">
        <v>193</v>
      </c>
      <c r="M78" s="199"/>
      <c r="N78" s="276">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-2.6099999999999999E-3</v>
      </c>
      <c r="AK78" s="129"/>
      <c r="AL78" s="126" t="s">
        <v>177</v>
      </c>
      <c r="AM78" s="123" t="s">
        <v>178</v>
      </c>
      <c r="AN78" s="124" t="str">
        <f>E78&amp;"YC"</f>
        <v>EURYC</v>
      </c>
      <c r="AO78" s="127" t="str">
        <f>LEFT(AN78,3)&amp;"DF_"&amp;L78</f>
        <v>EURDF_NOCSA</v>
      </c>
      <c r="AP78" s="128">
        <f t="shared" ref="AP78:AP91" si="60">J78</f>
        <v>0</v>
      </c>
      <c r="AQ78" s="269">
        <f>H78</f>
        <v>0</v>
      </c>
      <c r="AR78" s="223" t="s">
        <v>4</v>
      </c>
      <c r="AS78" s="179">
        <f ca="1">IF(AND(NOW(),isEUR3MLLoaded),IF(OR($D78="",$D78=0),"",_xll.meProductSwapParRate(_xll.meUtilityLVBFromKeysValues($P$5:$AP$5,$P78:$AP78))),"Please Load Yield Curves")</f>
        <v>-2.8448773253477726E-3</v>
      </c>
      <c r="AT78" s="130">
        <f ca="1">IF(AND(NOW(),isEUR3MLLoaded),IF(OR($D78="",$D78=0),"",_xll.meProductSwapPV(_xll.meUtilityLVBFromKeysValues($N$5:$AP$5,$N78:$AP78))),"Please Load Yield Curves")</f>
        <v>2855.9932734410409</v>
      </c>
      <c r="AU78" s="130">
        <f ca="1">IF(AND(NOW(),isEUR3MLLoaded),IF(OR($D78="",$D78=0),"",_xll.meProductSwapPV01(_xll.meUtilityLVBFromKeysValues($N$5:$AO$5,$N78:$AO78))),"Please Load Yield Curves")</f>
        <v>100.39073558617891</v>
      </c>
      <c r="AV78" s="194">
        <f ca="1">IF(AND(NOW(),isEUR3MLLoaded),IF(OR($D78="",$D78=0),"",_xll.meProductSwapDV01(_xll.meUtilityLVBFromKeysValues($N$5:$AQ$5,$N78:$AQ78))),"Please Load Yield Curves")</f>
        <v>100.57465115864309</v>
      </c>
      <c r="AZ78" s="283"/>
    </row>
    <row r="79" spans="2:53" hidden="1" outlineLevel="1" x14ac:dyDescent="0.25">
      <c r="B79" s="131">
        <f ca="1">IF(OR(D79="",D79=0),"",_xll.meDateFromTenor(COB,C79,$T79,$U79))</f>
        <v>42523</v>
      </c>
      <c r="C79" s="132" t="s">
        <v>191</v>
      </c>
      <c r="D79" s="133">
        <v>1000000</v>
      </c>
      <c r="E79" s="133" t="s">
        <v>17</v>
      </c>
      <c r="F79" s="134" t="s">
        <v>229</v>
      </c>
      <c r="G79" s="135" t="s">
        <v>47</v>
      </c>
      <c r="H79" s="136">
        <v>0</v>
      </c>
      <c r="I79" s="166" t="s">
        <v>205</v>
      </c>
      <c r="J79" s="137">
        <v>0</v>
      </c>
      <c r="K79" s="238">
        <f>'EUR SWAP 3ML'!$L$40</f>
        <v>-2.6099999999999999E-3</v>
      </c>
      <c r="L79" s="135" t="s">
        <v>193</v>
      </c>
      <c r="M79" s="199"/>
      <c r="N79" s="277">
        <f t="shared" ref="N79:N91" si="61">D79</f>
        <v>1000000</v>
      </c>
      <c r="O79" s="252" t="str">
        <f t="shared" ref="O79:O91" si="62">F79</f>
        <v>RECEIVER</v>
      </c>
      <c r="P79" s="255">
        <f t="shared" ref="P79:P91" ca="1" si="63">B79</f>
        <v>42523</v>
      </c>
      <c r="Q79" s="255" t="str">
        <f t="shared" ref="Q79:Q91" si="64">G79</f>
        <v>2Y</v>
      </c>
      <c r="R79" s="249" t="s">
        <v>26</v>
      </c>
      <c r="S79" s="254" t="s">
        <v>20</v>
      </c>
      <c r="T79" s="249" t="s">
        <v>22</v>
      </c>
      <c r="U79" s="249" t="s">
        <v>2</v>
      </c>
      <c r="V79" s="255"/>
      <c r="W79" s="255"/>
      <c r="X79" s="256">
        <f t="shared" ref="X79:X91" ca="1" si="65">IF($B79="","",DAY($B79))</f>
        <v>2</v>
      </c>
      <c r="Y79" s="257" t="s">
        <v>177</v>
      </c>
      <c r="Z79" s="254" t="s">
        <v>178</v>
      </c>
      <c r="AA79" s="252" t="str">
        <f t="shared" si="59"/>
        <v>EUR3ML</v>
      </c>
      <c r="AB79" s="256" t="str">
        <f t="shared" ref="AB79:AB91" si="66">IF($I79="1ML","Monthly",IF($I79="3ML","Quarterly",IF($I79="6ML","Semi-Annual","Annual")))</f>
        <v>Quarterly</v>
      </c>
      <c r="AC79" s="254" t="s">
        <v>6</v>
      </c>
      <c r="AD79" s="249" t="s">
        <v>22</v>
      </c>
      <c r="AE79" s="249" t="s">
        <v>2</v>
      </c>
      <c r="AF79" s="255"/>
      <c r="AG79" s="255"/>
      <c r="AH79" s="256">
        <f t="shared" ref="AH79:AH91" ca="1" si="67">IF($B79="","",DAY($B79))</f>
        <v>2</v>
      </c>
      <c r="AI79" s="257" t="s">
        <v>177</v>
      </c>
      <c r="AJ79" s="258">
        <f t="shared" ref="AJ79:AJ91" si="68">$K79</f>
        <v>-2.6099999999999999E-3</v>
      </c>
      <c r="AK79" s="258"/>
      <c r="AL79" s="257" t="s">
        <v>177</v>
      </c>
      <c r="AM79" s="254" t="s">
        <v>178</v>
      </c>
      <c r="AN79" s="255" t="str">
        <f t="shared" ref="AN79:AN91" si="69">E79&amp;"YC"</f>
        <v>EURYC</v>
      </c>
      <c r="AO79" s="252" t="str">
        <f t="shared" ref="AO79:AO91" si="70">LEFT(AN79,3)&amp;"DF_"&amp;L79</f>
        <v>EURDF_NOCSA</v>
      </c>
      <c r="AP79" s="259">
        <f t="shared" si="60"/>
        <v>0</v>
      </c>
      <c r="AQ79" s="270">
        <f t="shared" ref="AQ79:AQ91" si="71">H79</f>
        <v>0</v>
      </c>
      <c r="AR79" s="223" t="s">
        <v>4</v>
      </c>
      <c r="AS79" s="180">
        <f ca="1">IF(AND(NOW(),isEUR3MLLoaded),IF(OR($D79="",$D79=0),"",_xll.meProductSwapParRate(_xll.meUtilityLVBFromKeysValues($P$5:$AP$5,$P79:$AP79))),"Please Load Yield Curves")</f>
        <v>-2.9430770546370025E-3</v>
      </c>
      <c r="AT79" s="138">
        <f ca="1">IF(AND(NOW(),isEUR3MLLoaded),IF(OR($D79="",$D79=0),"",_xll.meProductSwapPV(_xll.meUtilityLVBFromKeysValues($N$5:$AP$5,$N79:$AP79))),"Please Load Yield Curves")</f>
        <v>5938.3375831821941</v>
      </c>
      <c r="AU79" s="138">
        <f ca="1">IF(AND(NOW(),isEUR3MLLoaded),IF(OR($D79="",$D79=0),"",_xll.meProductSwapPV01(_xll.meUtilityLVBFromKeysValues($N$5:$AO$5,$N79:$AO79))),"Please Load Yield Curves")</f>
        <v>201.77309234313017</v>
      </c>
      <c r="AV79" s="195">
        <f ca="1">IF(AND(NOW(),isEUR3MLLoaded),IF(OR($D79="",$D79=0),"",_xll.meProductSwapDV01(_xll.meUtilityLVBFromKeysValues($N$5:$AQ$5,$N79:$AQ79))),"Please Load Yield Curves")</f>
        <v>202.4551425483879</v>
      </c>
    </row>
    <row r="80" spans="2:53" hidden="1" outlineLevel="1" x14ac:dyDescent="0.25">
      <c r="B80" s="131">
        <f ca="1">IF(OR(D80="",D80=0),"",_xll.meDateFromTenor(COB,C80,$T80,$U80))</f>
        <v>42523</v>
      </c>
      <c r="C80" s="139" t="s">
        <v>191</v>
      </c>
      <c r="D80" s="133">
        <v>1000000</v>
      </c>
      <c r="E80" s="133" t="s">
        <v>17</v>
      </c>
      <c r="F80" s="134" t="s">
        <v>229</v>
      </c>
      <c r="G80" s="135" t="s">
        <v>43</v>
      </c>
      <c r="H80" s="136">
        <v>0</v>
      </c>
      <c r="I80" s="166" t="s">
        <v>205</v>
      </c>
      <c r="J80" s="137">
        <v>0</v>
      </c>
      <c r="K80" s="238">
        <f>'EUR SWAP 3ML'!$L$40</f>
        <v>-2.6099999999999999E-3</v>
      </c>
      <c r="L80" s="135" t="s">
        <v>193</v>
      </c>
      <c r="M80" s="199"/>
      <c r="N80" s="277">
        <f t="shared" si="61"/>
        <v>1000000</v>
      </c>
      <c r="O80" s="252" t="str">
        <f t="shared" si="62"/>
        <v>RECEIVER</v>
      </c>
      <c r="P80" s="255">
        <f t="shared" ca="1" si="63"/>
        <v>42523</v>
      </c>
      <c r="Q80" s="255" t="str">
        <f t="shared" si="64"/>
        <v>3Y</v>
      </c>
      <c r="R80" s="249" t="s">
        <v>26</v>
      </c>
      <c r="S80" s="254" t="s">
        <v>20</v>
      </c>
      <c r="T80" s="249" t="s">
        <v>22</v>
      </c>
      <c r="U80" s="249" t="s">
        <v>2</v>
      </c>
      <c r="V80" s="255"/>
      <c r="W80" s="255"/>
      <c r="X80" s="256">
        <f t="shared" ca="1" si="65"/>
        <v>2</v>
      </c>
      <c r="Y80" s="257" t="s">
        <v>177</v>
      </c>
      <c r="Z80" s="254" t="s">
        <v>178</v>
      </c>
      <c r="AA80" s="252" t="str">
        <f t="shared" si="59"/>
        <v>EUR3ML</v>
      </c>
      <c r="AB80" s="256" t="str">
        <f t="shared" si="66"/>
        <v>Quarterly</v>
      </c>
      <c r="AC80" s="254" t="s">
        <v>6</v>
      </c>
      <c r="AD80" s="249" t="s">
        <v>22</v>
      </c>
      <c r="AE80" s="249" t="s">
        <v>2</v>
      </c>
      <c r="AF80" s="255"/>
      <c r="AG80" s="255"/>
      <c r="AH80" s="256">
        <f t="shared" ca="1" si="67"/>
        <v>2</v>
      </c>
      <c r="AI80" s="257" t="s">
        <v>177</v>
      </c>
      <c r="AJ80" s="258">
        <f t="shared" si="68"/>
        <v>-2.6099999999999999E-3</v>
      </c>
      <c r="AK80" s="258"/>
      <c r="AL80" s="257" t="s">
        <v>177</v>
      </c>
      <c r="AM80" s="254" t="s">
        <v>178</v>
      </c>
      <c r="AN80" s="255" t="str">
        <f t="shared" si="69"/>
        <v>EURYC</v>
      </c>
      <c r="AO80" s="252" t="str">
        <f t="shared" si="70"/>
        <v>EURDF_NOCSA</v>
      </c>
      <c r="AP80" s="259">
        <f t="shared" si="60"/>
        <v>0</v>
      </c>
      <c r="AQ80" s="270">
        <f t="shared" si="71"/>
        <v>0</v>
      </c>
      <c r="AR80" s="223" t="s">
        <v>4</v>
      </c>
      <c r="AS80" s="180">
        <f ca="1">IF(AND(NOW(),isEUR3MLLoaded),IF(OR($D80="",$D80=0),"",_xll.meProductSwapParRate(_xll.meUtilityLVBFromKeysValues($P$5:$AP$5,$P80:$AP80))),"Please Load Yield Curves")</f>
        <v>-2.6499999251703883E-3</v>
      </c>
      <c r="AT80" s="138">
        <f ca="1">IF(AND(NOW(),isEUR3MLLoaded),IF(OR($D80="",$D80=0),"",_xll.meProductSwapPV(_xll.meUtilityLVBFromKeysValues($N$5:$AP$5,$N80:$AP80))),"Please Load Yield Curves")</f>
        <v>8020.9078770682136</v>
      </c>
      <c r="AU80" s="138">
        <f ca="1">IF(AND(NOW(),isEUR3MLLoaded),IF(OR($D80="",$D80=0),"",_xll.meProductSwapPV01(_xll.meUtilityLVBFromKeysValues($N$5:$AO$5,$N80:$AO80))),"Please Load Yield Curves")</f>
        <v>302.67577749280463</v>
      </c>
      <c r="AV80" s="195">
        <f ca="1">IF(AND(NOW(),isEUR3MLLoaded),IF(OR($D80="",$D80=0),"",_xll.meProductSwapDV01(_xll.meUtilityLVBFromKeysValues($N$5:$AQ$5,$N80:$AQ80))),"Please Load Yield Curves")</f>
        <v>303.88451252004074</v>
      </c>
      <c r="AW80" s="48"/>
    </row>
    <row r="81" spans="2:53" hidden="1" outlineLevel="1" x14ac:dyDescent="0.25">
      <c r="B81" s="131">
        <f ca="1">IF(OR(D81="",D81=0),"",_xll.meDateFromTenor(COB,C81,$T81,$U81))</f>
        <v>42523</v>
      </c>
      <c r="C81" s="139" t="s">
        <v>191</v>
      </c>
      <c r="D81" s="133">
        <v>1000000</v>
      </c>
      <c r="E81" s="133" t="s">
        <v>17</v>
      </c>
      <c r="F81" s="134" t="s">
        <v>229</v>
      </c>
      <c r="G81" s="135" t="s">
        <v>50</v>
      </c>
      <c r="H81" s="136">
        <v>0</v>
      </c>
      <c r="I81" s="166" t="s">
        <v>205</v>
      </c>
      <c r="J81" s="137">
        <v>0</v>
      </c>
      <c r="K81" s="238">
        <f>'EUR SWAP 3ML'!$L$40</f>
        <v>-2.6099999999999999E-3</v>
      </c>
      <c r="L81" s="135" t="s">
        <v>193</v>
      </c>
      <c r="M81" s="199"/>
      <c r="N81" s="277">
        <f t="shared" si="61"/>
        <v>1000000</v>
      </c>
      <c r="O81" s="252" t="str">
        <f t="shared" si="62"/>
        <v>RECEIVER</v>
      </c>
      <c r="P81" s="255">
        <f t="shared" ca="1" si="63"/>
        <v>42523</v>
      </c>
      <c r="Q81" s="255" t="str">
        <f t="shared" si="64"/>
        <v>4Y</v>
      </c>
      <c r="R81" s="249" t="s">
        <v>26</v>
      </c>
      <c r="S81" s="254" t="s">
        <v>20</v>
      </c>
      <c r="T81" s="249" t="s">
        <v>22</v>
      </c>
      <c r="U81" s="249" t="s">
        <v>2</v>
      </c>
      <c r="V81" s="255"/>
      <c r="W81" s="255"/>
      <c r="X81" s="256">
        <f t="shared" ca="1" si="65"/>
        <v>2</v>
      </c>
      <c r="Y81" s="257" t="s">
        <v>177</v>
      </c>
      <c r="Z81" s="254" t="s">
        <v>178</v>
      </c>
      <c r="AA81" s="252" t="str">
        <f t="shared" si="59"/>
        <v>EUR3ML</v>
      </c>
      <c r="AB81" s="256" t="str">
        <f t="shared" si="66"/>
        <v>Quarterly</v>
      </c>
      <c r="AC81" s="254" t="s">
        <v>6</v>
      </c>
      <c r="AD81" s="249" t="s">
        <v>22</v>
      </c>
      <c r="AE81" s="249" t="s">
        <v>2</v>
      </c>
      <c r="AF81" s="255"/>
      <c r="AG81" s="255"/>
      <c r="AH81" s="256">
        <f t="shared" ca="1" si="67"/>
        <v>2</v>
      </c>
      <c r="AI81" s="257" t="s">
        <v>177</v>
      </c>
      <c r="AJ81" s="258">
        <f t="shared" si="68"/>
        <v>-2.6099999999999999E-3</v>
      </c>
      <c r="AK81" s="258"/>
      <c r="AL81" s="257" t="s">
        <v>177</v>
      </c>
      <c r="AM81" s="254" t="s">
        <v>178</v>
      </c>
      <c r="AN81" s="255" t="str">
        <f t="shared" si="69"/>
        <v>EURYC</v>
      </c>
      <c r="AO81" s="252" t="str">
        <f t="shared" si="70"/>
        <v>EURDF_NOCSA</v>
      </c>
      <c r="AP81" s="259">
        <f t="shared" si="60"/>
        <v>0</v>
      </c>
      <c r="AQ81" s="270">
        <f t="shared" si="71"/>
        <v>0</v>
      </c>
      <c r="AR81" s="223" t="s">
        <v>4</v>
      </c>
      <c r="AS81" s="180">
        <f ca="1">IF(AND(NOW(),isEUR3MLLoaded),IF(OR($D81="",$D81=0),"",_xll.meProductSwapParRate(_xll.meUtilityLVBFromKeysValues($P$5:$AP$5,$P81:$AP81))),"Please Load Yield Curves")</f>
        <v>-2.0499998907206308E-3</v>
      </c>
      <c r="AT81" s="138">
        <f ca="1">IF(AND(NOW(),isEUR3MLLoaded),IF(OR($D81="",$D81=0),"",_xll.meProductSwapPV(_xll.meUtilityLVBFromKeysValues($N$5:$AP$5,$N81:$AP81))),"Please Load Yield Curves")</f>
        <v>8277.8958017215009</v>
      </c>
      <c r="AU81" s="138">
        <f ca="1">IF(AND(NOW(),isEUR3MLLoaded),IF(OR($D81="",$D81=0),"",_xll.meProductSwapPV01(_xll.meUtilityLVBFromKeysValues($N$5:$AO$5,$N81:$AO81))),"Please Load Yield Curves")</f>
        <v>403.79981673128748</v>
      </c>
      <c r="AV81" s="195">
        <f ca="1">IF(AND(NOW(),isEUR3MLLoaded),IF(OR($D81="",$D81=0),"",_xll.meProductSwapDV01(_xll.meUtilityLVBFromKeysValues($N$5:$AQ$5,$N81:$AQ81))),"Please Load Yield Curves")</f>
        <v>405.08834885066057</v>
      </c>
      <c r="AW81" s="48"/>
    </row>
    <row r="82" spans="2:53" hidden="1" outlineLevel="1" x14ac:dyDescent="0.25">
      <c r="B82" s="131">
        <f ca="1">IF(OR(D82="",D82=0),"",_xll.meDateFromTenor(COB,C82,$T82,$U82))</f>
        <v>42523</v>
      </c>
      <c r="C82" s="139" t="s">
        <v>191</v>
      </c>
      <c r="D82" s="133">
        <v>1000000</v>
      </c>
      <c r="E82" s="133" t="s">
        <v>17</v>
      </c>
      <c r="F82" s="134" t="s">
        <v>229</v>
      </c>
      <c r="G82" s="135" t="s">
        <v>52</v>
      </c>
      <c r="H82" s="136">
        <v>0</v>
      </c>
      <c r="I82" s="166" t="s">
        <v>205</v>
      </c>
      <c r="J82" s="137">
        <v>0</v>
      </c>
      <c r="K82" s="238">
        <f>'EUR SWAP 3ML'!$L$40</f>
        <v>-2.6099999999999999E-3</v>
      </c>
      <c r="L82" s="135" t="s">
        <v>193</v>
      </c>
      <c r="M82" s="199"/>
      <c r="N82" s="277">
        <f t="shared" si="61"/>
        <v>1000000</v>
      </c>
      <c r="O82" s="252" t="str">
        <f t="shared" si="62"/>
        <v>RECEIVER</v>
      </c>
      <c r="P82" s="255">
        <f t="shared" ca="1" si="63"/>
        <v>42523</v>
      </c>
      <c r="Q82" s="255" t="str">
        <f t="shared" si="64"/>
        <v>5Y</v>
      </c>
      <c r="R82" s="249" t="s">
        <v>26</v>
      </c>
      <c r="S82" s="254" t="s">
        <v>20</v>
      </c>
      <c r="T82" s="249" t="s">
        <v>22</v>
      </c>
      <c r="U82" s="249" t="s">
        <v>2</v>
      </c>
      <c r="V82" s="255"/>
      <c r="W82" s="255"/>
      <c r="X82" s="256">
        <f t="shared" ca="1" si="65"/>
        <v>2</v>
      </c>
      <c r="Y82" s="257" t="s">
        <v>177</v>
      </c>
      <c r="Z82" s="254" t="s">
        <v>178</v>
      </c>
      <c r="AA82" s="252" t="str">
        <f t="shared" si="59"/>
        <v>EUR3ML</v>
      </c>
      <c r="AB82" s="256" t="str">
        <f t="shared" si="66"/>
        <v>Quarterly</v>
      </c>
      <c r="AC82" s="254" t="s">
        <v>6</v>
      </c>
      <c r="AD82" s="249" t="s">
        <v>22</v>
      </c>
      <c r="AE82" s="249" t="s">
        <v>2</v>
      </c>
      <c r="AF82" s="255"/>
      <c r="AG82" s="255"/>
      <c r="AH82" s="256">
        <f t="shared" ca="1" si="67"/>
        <v>2</v>
      </c>
      <c r="AI82" s="257" t="s">
        <v>177</v>
      </c>
      <c r="AJ82" s="258">
        <f t="shared" si="68"/>
        <v>-2.6099999999999999E-3</v>
      </c>
      <c r="AK82" s="258"/>
      <c r="AL82" s="257" t="s">
        <v>177</v>
      </c>
      <c r="AM82" s="254" t="s">
        <v>178</v>
      </c>
      <c r="AN82" s="255" t="str">
        <f t="shared" si="69"/>
        <v>EURYC</v>
      </c>
      <c r="AO82" s="252" t="str">
        <f t="shared" si="70"/>
        <v>EURDF_NOCSA</v>
      </c>
      <c r="AP82" s="259">
        <f t="shared" si="60"/>
        <v>0</v>
      </c>
      <c r="AQ82" s="270">
        <f t="shared" si="71"/>
        <v>0</v>
      </c>
      <c r="AR82" s="223" t="s">
        <v>4</v>
      </c>
      <c r="AS82" s="180">
        <f ca="1">IF(AND(NOW(),isEUR3MLLoaded),IF(OR($D82="",$D82=0),"",_xll.meProductSwapParRate(_xll.meUtilityLVBFromKeysValues($P$5:$AP$5,$P82:$AP82))),"Please Load Yield Curves")</f>
        <v>-1.2474998146407433E-3</v>
      </c>
      <c r="AT82" s="138">
        <f ca="1">IF(AND(NOW(),isEUR3MLLoaded),IF(OR($D82="",$D82=0),"",_xll.meProductSwapPV(_xll.meUtilityLVBFromKeysValues($N$5:$AP$5,$N82:$AP82))),"Please Load Yield Curves")</f>
        <v>6302.3009236953731</v>
      </c>
      <c r="AU82" s="138">
        <f ca="1">IF(AND(NOW(),isEUR3MLLoaded),IF(OR($D82="",$D82=0),"",_xll.meProductSwapPV01(_xll.meUtilityLVBFromKeysValues($N$5:$AO$5,$N82:$AO82))),"Please Load Yield Curves")</f>
        <v>505.19453788538783</v>
      </c>
      <c r="AV82" s="195">
        <f ca="1">IF(AND(NOW(),isEUR3MLLoaded),IF(OR($D82="",$D82=0),"",_xll.meProductSwapDV01(_xll.meUtilityLVBFromKeysValues($N$5:$AQ$5,$N82:$AQ82))),"Please Load Yield Curves")</f>
        <v>505.5458065562114</v>
      </c>
      <c r="AW82" s="48"/>
    </row>
    <row r="83" spans="2:53" hidden="1" outlineLevel="1" x14ac:dyDescent="0.25">
      <c r="B83" s="131">
        <f ca="1">IF(OR(D83="",D83=0),"",_xll.meDateFromTenor(COB,C83,$T83,$U83))</f>
        <v>42523</v>
      </c>
      <c r="C83" s="139" t="s">
        <v>191</v>
      </c>
      <c r="D83" s="133">
        <v>1000000</v>
      </c>
      <c r="E83" s="133" t="s">
        <v>17</v>
      </c>
      <c r="F83" s="134" t="s">
        <v>229</v>
      </c>
      <c r="G83" s="135" t="s">
        <v>54</v>
      </c>
      <c r="H83" s="136">
        <v>0</v>
      </c>
      <c r="I83" s="166" t="s">
        <v>205</v>
      </c>
      <c r="J83" s="137">
        <v>0</v>
      </c>
      <c r="K83" s="238">
        <f>'EUR SWAP 3ML'!$L$40</f>
        <v>-2.6099999999999999E-3</v>
      </c>
      <c r="L83" s="135" t="s">
        <v>193</v>
      </c>
      <c r="M83" s="199"/>
      <c r="N83" s="277">
        <f t="shared" si="61"/>
        <v>1000000</v>
      </c>
      <c r="O83" s="252" t="str">
        <f t="shared" si="62"/>
        <v>RECEIVER</v>
      </c>
      <c r="P83" s="255">
        <f t="shared" ca="1" si="63"/>
        <v>42523</v>
      </c>
      <c r="Q83" s="255" t="str">
        <f t="shared" si="64"/>
        <v>6Y</v>
      </c>
      <c r="R83" s="249" t="s">
        <v>26</v>
      </c>
      <c r="S83" s="254" t="s">
        <v>20</v>
      </c>
      <c r="T83" s="249" t="s">
        <v>22</v>
      </c>
      <c r="U83" s="249" t="s">
        <v>2</v>
      </c>
      <c r="V83" s="255"/>
      <c r="W83" s="255"/>
      <c r="X83" s="256">
        <f t="shared" ca="1" si="65"/>
        <v>2</v>
      </c>
      <c r="Y83" s="257" t="s">
        <v>177</v>
      </c>
      <c r="Z83" s="254" t="s">
        <v>178</v>
      </c>
      <c r="AA83" s="252" t="str">
        <f t="shared" si="59"/>
        <v>EUR3ML</v>
      </c>
      <c r="AB83" s="256" t="str">
        <f t="shared" si="66"/>
        <v>Quarterly</v>
      </c>
      <c r="AC83" s="254" t="s">
        <v>6</v>
      </c>
      <c r="AD83" s="249" t="s">
        <v>22</v>
      </c>
      <c r="AE83" s="249" t="s">
        <v>2</v>
      </c>
      <c r="AF83" s="255"/>
      <c r="AG83" s="255"/>
      <c r="AH83" s="256">
        <f t="shared" ca="1" si="67"/>
        <v>2</v>
      </c>
      <c r="AI83" s="257" t="s">
        <v>177</v>
      </c>
      <c r="AJ83" s="258">
        <f t="shared" si="68"/>
        <v>-2.6099999999999999E-3</v>
      </c>
      <c r="AK83" s="258"/>
      <c r="AL83" s="257" t="s">
        <v>177</v>
      </c>
      <c r="AM83" s="254" t="s">
        <v>178</v>
      </c>
      <c r="AN83" s="255" t="str">
        <f t="shared" si="69"/>
        <v>EURYC</v>
      </c>
      <c r="AO83" s="252" t="str">
        <f t="shared" si="70"/>
        <v>EURDF_NOCSA</v>
      </c>
      <c r="AP83" s="259">
        <f t="shared" si="60"/>
        <v>0</v>
      </c>
      <c r="AQ83" s="270">
        <f t="shared" si="71"/>
        <v>0</v>
      </c>
      <c r="AR83" s="223" t="s">
        <v>4</v>
      </c>
      <c r="AS83" s="180">
        <f ca="1">IF(AND(NOW(),isEUR3MLLoaded),IF(OR($D83="",$D83=0),"",_xll.meProductSwapParRate(_xll.meUtilityLVBFromKeysValues($P$5:$AP$5,$P83:$AP83))),"Please Load Yield Curves")</f>
        <v>-2.4749986798595431E-4</v>
      </c>
      <c r="AT83" s="138">
        <f ca="1">IF(AND(NOW(),isEUR3MLLoaded),IF(OR($D83="",$D83=0),"",_xll.meProductSwapPV(_xll.meUtilityLVBFromKeysValues($N$5:$AP$5,$N83:$AP83))),"Please Load Yield Curves")</f>
        <v>1500.5424210643357</v>
      </c>
      <c r="AU83" s="138">
        <f ca="1">IF(AND(NOW(),isEUR3MLLoaded),IF(OR($D83="",$D83=0),"",_xll.meProductSwapPV01(_xll.meUtilityLVBFromKeysValues($N$5:$AO$5,$N83:$AO83))),"Please Load Yield Curves")</f>
        <v>606.28008947038791</v>
      </c>
      <c r="AV83" s="195">
        <f ca="1">IF(AND(NOW(),isEUR3MLLoaded),IF(OR($D83="",$D83=0),"",_xll.meProductSwapDV01(_xll.meUtilityLVBFromKeysValues($N$5:$AQ$5,$N83:$AQ83))),"Please Load Yield Curves")</f>
        <v>608.65616963522677</v>
      </c>
      <c r="AW83" s="48"/>
    </row>
    <row r="84" spans="2:53" hidden="1" outlineLevel="1" x14ac:dyDescent="0.25">
      <c r="B84" s="131">
        <f ca="1">IF(OR(D84="",D84=0),"",_xll.meDateFromTenor(COB,C84,$T84,$U84))</f>
        <v>42523</v>
      </c>
      <c r="C84" s="139" t="s">
        <v>191</v>
      </c>
      <c r="D84" s="133">
        <v>1000000</v>
      </c>
      <c r="E84" s="133" t="s">
        <v>17</v>
      </c>
      <c r="F84" s="134" t="s">
        <v>229</v>
      </c>
      <c r="G84" s="135" t="s">
        <v>55</v>
      </c>
      <c r="H84" s="136">
        <v>0</v>
      </c>
      <c r="I84" s="166" t="s">
        <v>205</v>
      </c>
      <c r="J84" s="137">
        <v>0</v>
      </c>
      <c r="K84" s="238">
        <f>'EUR SWAP 3ML'!$L$40</f>
        <v>-2.6099999999999999E-3</v>
      </c>
      <c r="L84" s="135" t="s">
        <v>193</v>
      </c>
      <c r="M84" s="199"/>
      <c r="N84" s="277">
        <f t="shared" si="61"/>
        <v>1000000</v>
      </c>
      <c r="O84" s="252" t="str">
        <f t="shared" si="62"/>
        <v>RECEIVER</v>
      </c>
      <c r="P84" s="255">
        <f t="shared" ca="1" si="63"/>
        <v>42523</v>
      </c>
      <c r="Q84" s="255" t="str">
        <f t="shared" si="64"/>
        <v>7Y</v>
      </c>
      <c r="R84" s="249" t="s">
        <v>26</v>
      </c>
      <c r="S84" s="254" t="s">
        <v>20</v>
      </c>
      <c r="T84" s="249" t="s">
        <v>22</v>
      </c>
      <c r="U84" s="249" t="s">
        <v>2</v>
      </c>
      <c r="V84" s="255"/>
      <c r="W84" s="255"/>
      <c r="X84" s="256">
        <f t="shared" ca="1" si="65"/>
        <v>2</v>
      </c>
      <c r="Y84" s="257" t="s">
        <v>177</v>
      </c>
      <c r="Z84" s="254" t="s">
        <v>178</v>
      </c>
      <c r="AA84" s="252" t="str">
        <f t="shared" si="59"/>
        <v>EUR3ML</v>
      </c>
      <c r="AB84" s="256" t="str">
        <f t="shared" si="66"/>
        <v>Quarterly</v>
      </c>
      <c r="AC84" s="254" t="s">
        <v>6</v>
      </c>
      <c r="AD84" s="249" t="s">
        <v>22</v>
      </c>
      <c r="AE84" s="249" t="s">
        <v>2</v>
      </c>
      <c r="AF84" s="255"/>
      <c r="AG84" s="255"/>
      <c r="AH84" s="256">
        <f t="shared" ca="1" si="67"/>
        <v>2</v>
      </c>
      <c r="AI84" s="257" t="s">
        <v>177</v>
      </c>
      <c r="AJ84" s="258">
        <f t="shared" si="68"/>
        <v>-2.6099999999999999E-3</v>
      </c>
      <c r="AK84" s="258"/>
      <c r="AL84" s="257" t="s">
        <v>177</v>
      </c>
      <c r="AM84" s="254" t="s">
        <v>178</v>
      </c>
      <c r="AN84" s="255" t="str">
        <f t="shared" si="69"/>
        <v>EURYC</v>
      </c>
      <c r="AO84" s="252" t="str">
        <f t="shared" si="70"/>
        <v>EURDF_NOCSA</v>
      </c>
      <c r="AP84" s="259">
        <f t="shared" si="60"/>
        <v>0</v>
      </c>
      <c r="AQ84" s="270">
        <f t="shared" si="71"/>
        <v>0</v>
      </c>
      <c r="AR84" s="223" t="s">
        <v>4</v>
      </c>
      <c r="AS84" s="180">
        <f ca="1">IF(AND(NOW(),isEUR3MLLoaded),IF(OR($D84="",$D84=0),"",_xll.meProductSwapParRate(_xll.meUtilityLVBFromKeysValues($P$5:$AP$5,$P84:$AP84))),"Please Load Yield Curves")</f>
        <v>9.0249947199434299E-4</v>
      </c>
      <c r="AT84" s="138">
        <f ca="1">IF(AND(NOW(),isEUR3MLLoaded),IF(OR($D84="",$D84=0),"",_xll.meProductSwapPV(_xll.meUtilityLVBFromKeysValues($N$5:$AP$5,$N84:$AP84))),"Please Load Yield Curves")</f>
        <v>-6378.4501790279301</v>
      </c>
      <c r="AU84" s="138">
        <f ca="1">IF(AND(NOW(),isEUR3MLLoaded),IF(OR($D84="",$D84=0),"",_xll.meProductSwapPV01(_xll.meUtilityLVBFromKeysValues($N$5:$AO$5,$N84:$AO84))),"Please Load Yield Curves")</f>
        <v>706.75389592559361</v>
      </c>
      <c r="AV84" s="195">
        <f ca="1">IF(AND(NOW(),isEUR3MLLoaded),IF(OR($D84="",$D84=0),"",_xll.meProductSwapDV01(_xll.meUtilityLVBFromKeysValues($N$5:$AQ$5,$N84:$AQ84))),"Please Load Yield Curves")</f>
        <v>699.13853677679708</v>
      </c>
      <c r="AW84" s="48"/>
    </row>
    <row r="85" spans="2:53" hidden="1" outlineLevel="1" x14ac:dyDescent="0.25">
      <c r="B85" s="131">
        <f ca="1">IF(OR(D85="",D85=0),"",_xll.meDateFromTenor(COB,C85,$T85,$U85))</f>
        <v>42523</v>
      </c>
      <c r="C85" s="139" t="s">
        <v>191</v>
      </c>
      <c r="D85" s="133">
        <v>1000000</v>
      </c>
      <c r="E85" s="133" t="s">
        <v>17</v>
      </c>
      <c r="F85" s="134" t="s">
        <v>229</v>
      </c>
      <c r="G85" s="135" t="s">
        <v>57</v>
      </c>
      <c r="H85" s="136">
        <v>0</v>
      </c>
      <c r="I85" s="166" t="s">
        <v>205</v>
      </c>
      <c r="J85" s="137">
        <v>0</v>
      </c>
      <c r="K85" s="238">
        <f>'EUR SWAP 3ML'!$L$40</f>
        <v>-2.6099999999999999E-3</v>
      </c>
      <c r="L85" s="135" t="s">
        <v>193</v>
      </c>
      <c r="M85" s="199"/>
      <c r="N85" s="277">
        <f t="shared" si="61"/>
        <v>1000000</v>
      </c>
      <c r="O85" s="252" t="str">
        <f t="shared" si="62"/>
        <v>RECEIVER</v>
      </c>
      <c r="P85" s="255">
        <f t="shared" ca="1" si="63"/>
        <v>42523</v>
      </c>
      <c r="Q85" s="255" t="str">
        <f t="shared" si="64"/>
        <v>8Y</v>
      </c>
      <c r="R85" s="249" t="s">
        <v>26</v>
      </c>
      <c r="S85" s="254" t="s">
        <v>20</v>
      </c>
      <c r="T85" s="249" t="s">
        <v>22</v>
      </c>
      <c r="U85" s="249" t="s">
        <v>2</v>
      </c>
      <c r="V85" s="255"/>
      <c r="W85" s="255"/>
      <c r="X85" s="256">
        <f t="shared" ca="1" si="65"/>
        <v>2</v>
      </c>
      <c r="Y85" s="257" t="s">
        <v>177</v>
      </c>
      <c r="Z85" s="254" t="s">
        <v>178</v>
      </c>
      <c r="AA85" s="252" t="str">
        <f t="shared" si="59"/>
        <v>EUR3ML</v>
      </c>
      <c r="AB85" s="256" t="str">
        <f t="shared" si="66"/>
        <v>Quarterly</v>
      </c>
      <c r="AC85" s="254" t="s">
        <v>6</v>
      </c>
      <c r="AD85" s="249" t="s">
        <v>22</v>
      </c>
      <c r="AE85" s="249" t="s">
        <v>2</v>
      </c>
      <c r="AF85" s="255"/>
      <c r="AG85" s="255"/>
      <c r="AH85" s="256">
        <f t="shared" ca="1" si="67"/>
        <v>2</v>
      </c>
      <c r="AI85" s="257" t="s">
        <v>177</v>
      </c>
      <c r="AJ85" s="258">
        <f t="shared" si="68"/>
        <v>-2.6099999999999999E-3</v>
      </c>
      <c r="AK85" s="258"/>
      <c r="AL85" s="257" t="s">
        <v>177</v>
      </c>
      <c r="AM85" s="254" t="s">
        <v>178</v>
      </c>
      <c r="AN85" s="255" t="str">
        <f t="shared" si="69"/>
        <v>EURYC</v>
      </c>
      <c r="AO85" s="252" t="str">
        <f t="shared" si="70"/>
        <v>EURDF_NOCSA</v>
      </c>
      <c r="AP85" s="259">
        <f t="shared" si="60"/>
        <v>0</v>
      </c>
      <c r="AQ85" s="270">
        <f t="shared" si="71"/>
        <v>0</v>
      </c>
      <c r="AR85" s="223" t="s">
        <v>4</v>
      </c>
      <c r="AS85" s="180">
        <f ca="1">IF(AND(NOW(),isEUR3MLLoaded),IF(OR($D85="",$D85=0),"",_xll.meProductSwapParRate(_xll.meUtilityLVBFromKeysValues($P$5:$AP$5,$P85:$AP85))),"Please Load Yield Curves")</f>
        <v>2.1274998002625083E-3</v>
      </c>
      <c r="AT85" s="138">
        <f ca="1">IF(AND(NOW(),isEUR3MLLoaded),IF(OR($D85="",$D85=0),"",_xll.meProductSwapPV(_xll.meUtilityLVBFromKeysValues($N$5:$AP$5,$N85:$AP85))),"Please Load Yield Curves")</f>
        <v>-17159.971002661136</v>
      </c>
      <c r="AU85" s="138">
        <f ca="1">IF(AND(NOW(),isEUR3MLLoaded),IF(OR($D85="",$D85=0),"",_xll.meProductSwapPV01(_xll.meUtilityLVBFromKeysValues($N$5:$AO$5,$N85:$AO85))),"Please Load Yield Curves")</f>
        <v>806.57920628447516</v>
      </c>
      <c r="AV85" s="195">
        <f ca="1">IF(AND(NOW(),isEUR3MLLoaded),IF(OR($D85="",$D85=0),"",_xll.meProductSwapDV01(_xll.meUtilityLVBFromKeysValues($N$5:$AQ$5,$N85:$AQ85))),"Please Load Yield Curves")</f>
        <v>790.74247478981658</v>
      </c>
      <c r="AW85" s="48"/>
    </row>
    <row r="86" spans="2:53" hidden="1" outlineLevel="1" x14ac:dyDescent="0.25">
      <c r="B86" s="131">
        <f ca="1">IF(OR(D86="",D86=0),"",_xll.meDateFromTenor(COB,C86,$T86,$U86))</f>
        <v>42523</v>
      </c>
      <c r="C86" s="139" t="s">
        <v>191</v>
      </c>
      <c r="D86" s="133">
        <v>1000000</v>
      </c>
      <c r="E86" s="133" t="s">
        <v>17</v>
      </c>
      <c r="F86" s="134" t="s">
        <v>229</v>
      </c>
      <c r="G86" s="135" t="s">
        <v>59</v>
      </c>
      <c r="H86" s="136">
        <v>0</v>
      </c>
      <c r="I86" s="166" t="s">
        <v>205</v>
      </c>
      <c r="J86" s="137">
        <v>0</v>
      </c>
      <c r="K86" s="238">
        <f>'EUR SWAP 3ML'!$L$40</f>
        <v>-2.6099999999999999E-3</v>
      </c>
      <c r="L86" s="135" t="s">
        <v>193</v>
      </c>
      <c r="M86" s="199"/>
      <c r="N86" s="277">
        <f t="shared" si="61"/>
        <v>1000000</v>
      </c>
      <c r="O86" s="252" t="str">
        <f t="shared" si="62"/>
        <v>RECEIVER</v>
      </c>
      <c r="P86" s="255">
        <f t="shared" ca="1" si="63"/>
        <v>42523</v>
      </c>
      <c r="Q86" s="255" t="str">
        <f t="shared" si="64"/>
        <v>9Y</v>
      </c>
      <c r="R86" s="249" t="s">
        <v>26</v>
      </c>
      <c r="S86" s="254" t="s">
        <v>20</v>
      </c>
      <c r="T86" s="249" t="s">
        <v>22</v>
      </c>
      <c r="U86" s="249" t="s">
        <v>2</v>
      </c>
      <c r="V86" s="255"/>
      <c r="W86" s="255"/>
      <c r="X86" s="256">
        <f t="shared" ca="1" si="65"/>
        <v>2</v>
      </c>
      <c r="Y86" s="257" t="s">
        <v>177</v>
      </c>
      <c r="Z86" s="254" t="s">
        <v>178</v>
      </c>
      <c r="AA86" s="252" t="str">
        <f t="shared" si="59"/>
        <v>EUR3ML</v>
      </c>
      <c r="AB86" s="256" t="str">
        <f t="shared" si="66"/>
        <v>Quarterly</v>
      </c>
      <c r="AC86" s="254" t="s">
        <v>6</v>
      </c>
      <c r="AD86" s="249" t="s">
        <v>22</v>
      </c>
      <c r="AE86" s="249" t="s">
        <v>2</v>
      </c>
      <c r="AF86" s="255"/>
      <c r="AG86" s="255"/>
      <c r="AH86" s="256">
        <f t="shared" ca="1" si="67"/>
        <v>2</v>
      </c>
      <c r="AI86" s="257" t="s">
        <v>177</v>
      </c>
      <c r="AJ86" s="258">
        <f t="shared" si="68"/>
        <v>-2.6099999999999999E-3</v>
      </c>
      <c r="AK86" s="258"/>
      <c r="AL86" s="257" t="s">
        <v>177</v>
      </c>
      <c r="AM86" s="254" t="s">
        <v>178</v>
      </c>
      <c r="AN86" s="255" t="str">
        <f t="shared" si="69"/>
        <v>EURYC</v>
      </c>
      <c r="AO86" s="252" t="str">
        <f t="shared" si="70"/>
        <v>EURDF_NOCSA</v>
      </c>
      <c r="AP86" s="259">
        <f t="shared" si="60"/>
        <v>0</v>
      </c>
      <c r="AQ86" s="270">
        <f t="shared" si="71"/>
        <v>0</v>
      </c>
      <c r="AR86" s="223" t="s">
        <v>4</v>
      </c>
      <c r="AS86" s="180">
        <f ca="1">IF(AND(NOW(),isEUR3MLLoaded),IF(OR($D86="",$D86=0),"",_xll.meProductSwapParRate(_xll.meUtilityLVBFromKeysValues($P$5:$AP$5,$P86:$AP86))),"Please Load Yield Curves")</f>
        <v>3.3225006274950415E-3</v>
      </c>
      <c r="AT86" s="138">
        <f ca="1">IF(AND(NOW(),isEUR3MLLoaded),IF(OR($D86="",$D86=0),"",_xll.meProductSwapPV(_xll.meUtilityLVBFromKeysValues($N$5:$AP$5,$N86:$AP86))),"Please Load Yield Curves")</f>
        <v>-30058.824610911972</v>
      </c>
      <c r="AU86" s="138">
        <f ca="1">IF(AND(NOW(),isEUR3MLLoaded),IF(OR($D86="",$D86=0),"",_xll.meProductSwapPV01(_xll.meUtilityLVBFromKeysValues($N$5:$AO$5,$N86:$AO86))),"Please Load Yield Curves")</f>
        <v>904.70485880914498</v>
      </c>
      <c r="AV86" s="195">
        <f ca="1">IF(AND(NOW(),isEUR3MLLoaded),IF(OR($D86="",$D86=0),"",_xll.meProductSwapDV01(_xll.meUtilityLVBFromKeysValues($N$5:$AQ$5,$N86:$AQ86))),"Please Load Yield Curves")</f>
        <v>877.7768769038305</v>
      </c>
      <c r="AW86" s="48"/>
    </row>
    <row r="87" spans="2:53" hidden="1" outlineLevel="1" x14ac:dyDescent="0.25">
      <c r="B87" s="131">
        <f ca="1">IF(OR(D87="",D87=0),"",_xll.meDateFromTenor(COB,C87,$T87,$U87))</f>
        <v>42523</v>
      </c>
      <c r="C87" s="139" t="s">
        <v>191</v>
      </c>
      <c r="D87" s="133">
        <v>1000000</v>
      </c>
      <c r="E87" s="133" t="s">
        <v>17</v>
      </c>
      <c r="F87" s="134" t="s">
        <v>229</v>
      </c>
      <c r="G87" s="135" t="s">
        <v>60</v>
      </c>
      <c r="H87" s="136">
        <v>0</v>
      </c>
      <c r="I87" s="166" t="s">
        <v>205</v>
      </c>
      <c r="J87" s="137">
        <v>0</v>
      </c>
      <c r="K87" s="238">
        <f>'EUR SWAP 3ML'!$L$40</f>
        <v>-2.6099999999999999E-3</v>
      </c>
      <c r="L87" s="135" t="s">
        <v>193</v>
      </c>
      <c r="M87" s="199"/>
      <c r="N87" s="277">
        <f t="shared" si="61"/>
        <v>1000000</v>
      </c>
      <c r="O87" s="252" t="str">
        <f t="shared" si="62"/>
        <v>RECEIVER</v>
      </c>
      <c r="P87" s="255">
        <f t="shared" ca="1" si="63"/>
        <v>42523</v>
      </c>
      <c r="Q87" s="255" t="str">
        <f t="shared" si="64"/>
        <v>10Y</v>
      </c>
      <c r="R87" s="249" t="s">
        <v>26</v>
      </c>
      <c r="S87" s="254" t="s">
        <v>20</v>
      </c>
      <c r="T87" s="249" t="s">
        <v>22</v>
      </c>
      <c r="U87" s="249" t="s">
        <v>2</v>
      </c>
      <c r="V87" s="255"/>
      <c r="W87" s="255"/>
      <c r="X87" s="256">
        <f t="shared" ca="1" si="65"/>
        <v>2</v>
      </c>
      <c r="Y87" s="257" t="s">
        <v>177</v>
      </c>
      <c r="Z87" s="254" t="s">
        <v>178</v>
      </c>
      <c r="AA87" s="252" t="str">
        <f t="shared" si="59"/>
        <v>EUR3ML</v>
      </c>
      <c r="AB87" s="256" t="str">
        <f t="shared" si="66"/>
        <v>Quarterly</v>
      </c>
      <c r="AC87" s="254" t="s">
        <v>6</v>
      </c>
      <c r="AD87" s="249" t="s">
        <v>22</v>
      </c>
      <c r="AE87" s="249" t="s">
        <v>2</v>
      </c>
      <c r="AF87" s="255"/>
      <c r="AG87" s="255"/>
      <c r="AH87" s="256">
        <f t="shared" ca="1" si="67"/>
        <v>2</v>
      </c>
      <c r="AI87" s="257" t="s">
        <v>177</v>
      </c>
      <c r="AJ87" s="258">
        <f t="shared" si="68"/>
        <v>-2.6099999999999999E-3</v>
      </c>
      <c r="AK87" s="258"/>
      <c r="AL87" s="257" t="s">
        <v>177</v>
      </c>
      <c r="AM87" s="254" t="s">
        <v>178</v>
      </c>
      <c r="AN87" s="255" t="str">
        <f t="shared" si="69"/>
        <v>EURYC</v>
      </c>
      <c r="AO87" s="252" t="str">
        <f t="shared" si="70"/>
        <v>EURDF_NOCSA</v>
      </c>
      <c r="AP87" s="259">
        <f t="shared" si="60"/>
        <v>0</v>
      </c>
      <c r="AQ87" s="270">
        <f t="shared" si="71"/>
        <v>0</v>
      </c>
      <c r="AR87" s="223" t="s">
        <v>4</v>
      </c>
      <c r="AS87" s="180">
        <f ca="1">IF(AND(NOW(),isEUR3MLLoaded),IF(OR($D87="",$D87=0),"",_xll.meProductSwapParRate(_xll.meUtilityLVBFromKeysValues($P$5:$AP$5,$P87:$AP87))),"Please Load Yield Curves")</f>
        <v>4.4425005960946166E-3</v>
      </c>
      <c r="AT87" s="138">
        <f ca="1">IF(AND(NOW(),isEUR3MLLoaded),IF(OR($D87="",$D87=0),"",_xll.meProductSwapPV(_xll.meUtilityLVBFromKeysValues($N$5:$AP$5,$N87:$AP87))),"Please Load Yield Curves")</f>
        <v>-44505.86055555701</v>
      </c>
      <c r="AU87" s="138">
        <f ca="1">IF(AND(NOW(),isEUR3MLLoaded),IF(OR($D87="",$D87=0),"",_xll.meProductSwapPV01(_xll.meUtilityLVBFromKeysValues($N$5:$AO$5,$N87:$AO87))),"Please Load Yield Curves")</f>
        <v>1001.8200243953131</v>
      </c>
      <c r="AV87" s="195">
        <f ca="1">IF(AND(NOW(),isEUR3MLLoaded),IF(OR($D87="",$D87=0),"",_xll.meProductSwapDV01(_xll.meUtilityLVBFromKeysValues($N$5:$AQ$5,$N87:$AQ87))),"Please Load Yield Curves")</f>
        <v>961.06514621670772</v>
      </c>
      <c r="AW87" s="48"/>
    </row>
    <row r="88" spans="2:53" hidden="1" outlineLevel="1" x14ac:dyDescent="0.25">
      <c r="B88" s="131">
        <f ca="1">IF(OR(D88="",D88=0),"",_xll.meDateFromTenor(COB,C88,$T88,$U88))</f>
        <v>42523</v>
      </c>
      <c r="C88" s="139" t="s">
        <v>191</v>
      </c>
      <c r="D88" s="133">
        <v>1000000</v>
      </c>
      <c r="E88" s="133" t="s">
        <v>17</v>
      </c>
      <c r="F88" s="134" t="s">
        <v>229</v>
      </c>
      <c r="G88" s="135" t="s">
        <v>63</v>
      </c>
      <c r="H88" s="136">
        <v>0</v>
      </c>
      <c r="I88" s="166" t="s">
        <v>205</v>
      </c>
      <c r="J88" s="137">
        <v>0</v>
      </c>
      <c r="K88" s="238">
        <f>'EUR SWAP 3ML'!$L$40</f>
        <v>-2.6099999999999999E-3</v>
      </c>
      <c r="L88" s="135" t="s">
        <v>193</v>
      </c>
      <c r="M88" s="199"/>
      <c r="N88" s="277">
        <f t="shared" si="61"/>
        <v>1000000</v>
      </c>
      <c r="O88" s="252" t="str">
        <f t="shared" si="62"/>
        <v>RECEIVER</v>
      </c>
      <c r="P88" s="255">
        <f t="shared" ca="1" si="63"/>
        <v>42523</v>
      </c>
      <c r="Q88" s="255" t="str">
        <f t="shared" si="64"/>
        <v>15Y</v>
      </c>
      <c r="R88" s="249" t="s">
        <v>26</v>
      </c>
      <c r="S88" s="254" t="s">
        <v>20</v>
      </c>
      <c r="T88" s="249" t="s">
        <v>22</v>
      </c>
      <c r="U88" s="249" t="s">
        <v>2</v>
      </c>
      <c r="V88" s="255"/>
      <c r="W88" s="255"/>
      <c r="X88" s="256">
        <f t="shared" ca="1" si="65"/>
        <v>2</v>
      </c>
      <c r="Y88" s="257" t="s">
        <v>177</v>
      </c>
      <c r="Z88" s="254" t="s">
        <v>178</v>
      </c>
      <c r="AA88" s="252" t="str">
        <f t="shared" si="59"/>
        <v>EUR3ML</v>
      </c>
      <c r="AB88" s="256" t="str">
        <f t="shared" si="66"/>
        <v>Quarterly</v>
      </c>
      <c r="AC88" s="254" t="s">
        <v>6</v>
      </c>
      <c r="AD88" s="249" t="s">
        <v>22</v>
      </c>
      <c r="AE88" s="249" t="s">
        <v>2</v>
      </c>
      <c r="AF88" s="255"/>
      <c r="AG88" s="255"/>
      <c r="AH88" s="256">
        <f t="shared" ca="1" si="67"/>
        <v>2</v>
      </c>
      <c r="AI88" s="257" t="s">
        <v>177</v>
      </c>
      <c r="AJ88" s="258">
        <f t="shared" si="68"/>
        <v>-2.6099999999999999E-3</v>
      </c>
      <c r="AK88" s="258"/>
      <c r="AL88" s="257" t="s">
        <v>177</v>
      </c>
      <c r="AM88" s="254" t="s">
        <v>178</v>
      </c>
      <c r="AN88" s="255" t="str">
        <f t="shared" si="69"/>
        <v>EURYC</v>
      </c>
      <c r="AO88" s="252" t="str">
        <f t="shared" si="70"/>
        <v>EURDF_NOCSA</v>
      </c>
      <c r="AP88" s="259">
        <f t="shared" si="60"/>
        <v>0</v>
      </c>
      <c r="AQ88" s="270">
        <f t="shared" si="71"/>
        <v>0</v>
      </c>
      <c r="AR88" s="223" t="s">
        <v>4</v>
      </c>
      <c r="AS88" s="180">
        <f ca="1">IF(AND(NOW(),isEUR3MLLoaded),IF(OR($D88="",$D88=0),"",_xll.meProductSwapParRate(_xll.meUtilityLVBFromKeysValues($P$5:$AP$5,$P88:$AP88))),"Please Load Yield Curves")</f>
        <v>8.4325000370870599E-3</v>
      </c>
      <c r="AT88" s="138">
        <f ca="1">IF(AND(NOW(),isEUR3MLLoaded),IF(OR($D88="",$D88=0),"",_xll.meProductSwapPV(_xll.meUtilityLVBFromKeysValues($N$5:$AP$5,$N88:$AP88))),"Please Load Yield Curves")</f>
        <v>-123586.33789939938</v>
      </c>
      <c r="AU88" s="138">
        <f ca="1">IF(AND(NOW(),isEUR3MLLoaded),IF(OR($D88="",$D88=0),"",_xll.meProductSwapPV01(_xll.meUtilityLVBFromKeysValues($N$5:$AO$5,$N88:$AO88))),"Please Load Yield Curves")</f>
        <v>1465.5954622692336</v>
      </c>
      <c r="AV88" s="195">
        <f ca="1">IF(AND(NOW(),isEUR3MLLoaded),IF(OR($D88="",$D88=0),"",_xll.meProductSwapDV01(_xll.meUtilityLVBFromKeysValues($N$5:$AQ$5,$N88:$AQ88))),"Please Load Yield Curves")</f>
        <v>1325.8381814455281</v>
      </c>
      <c r="AW88" s="48"/>
    </row>
    <row r="89" spans="2:53" hidden="1" outlineLevel="1" x14ac:dyDescent="0.25">
      <c r="B89" s="131">
        <f ca="1">IF(OR(D89="",D89=0),"",_xll.meDateFromTenor(COB,C89,$T89,$U89))</f>
        <v>42523</v>
      </c>
      <c r="C89" s="139" t="s">
        <v>191</v>
      </c>
      <c r="D89" s="133">
        <v>1000000</v>
      </c>
      <c r="E89" s="133" t="s">
        <v>17</v>
      </c>
      <c r="F89" s="134" t="s">
        <v>229</v>
      </c>
      <c r="G89" s="135" t="s">
        <v>64</v>
      </c>
      <c r="H89" s="136">
        <v>0</v>
      </c>
      <c r="I89" s="166" t="s">
        <v>205</v>
      </c>
      <c r="J89" s="137">
        <v>0</v>
      </c>
      <c r="K89" s="238">
        <f>'EUR SWAP 3ML'!$L$40</f>
        <v>-2.6099999999999999E-3</v>
      </c>
      <c r="L89" s="135" t="s">
        <v>193</v>
      </c>
      <c r="M89" s="199"/>
      <c r="N89" s="277">
        <f t="shared" si="61"/>
        <v>1000000</v>
      </c>
      <c r="O89" s="252" t="str">
        <f t="shared" si="62"/>
        <v>RECEIVER</v>
      </c>
      <c r="P89" s="255">
        <f t="shared" ca="1" si="63"/>
        <v>42523</v>
      </c>
      <c r="Q89" s="255" t="str">
        <f t="shared" si="64"/>
        <v>20Y</v>
      </c>
      <c r="R89" s="249" t="s">
        <v>26</v>
      </c>
      <c r="S89" s="254" t="s">
        <v>20</v>
      </c>
      <c r="T89" s="249" t="s">
        <v>22</v>
      </c>
      <c r="U89" s="249" t="s">
        <v>2</v>
      </c>
      <c r="V89" s="255"/>
      <c r="W89" s="255"/>
      <c r="X89" s="256">
        <f t="shared" ca="1" si="65"/>
        <v>2</v>
      </c>
      <c r="Y89" s="257" t="s">
        <v>177</v>
      </c>
      <c r="Z89" s="254" t="s">
        <v>178</v>
      </c>
      <c r="AA89" s="252" t="str">
        <f t="shared" si="59"/>
        <v>EUR3ML</v>
      </c>
      <c r="AB89" s="256" t="str">
        <f t="shared" si="66"/>
        <v>Quarterly</v>
      </c>
      <c r="AC89" s="254" t="s">
        <v>6</v>
      </c>
      <c r="AD89" s="249" t="s">
        <v>22</v>
      </c>
      <c r="AE89" s="249" t="s">
        <v>2</v>
      </c>
      <c r="AF89" s="255"/>
      <c r="AG89" s="255"/>
      <c r="AH89" s="256">
        <f t="shared" ca="1" si="67"/>
        <v>2</v>
      </c>
      <c r="AI89" s="257" t="s">
        <v>177</v>
      </c>
      <c r="AJ89" s="258">
        <f t="shared" si="68"/>
        <v>-2.6099999999999999E-3</v>
      </c>
      <c r="AK89" s="258"/>
      <c r="AL89" s="257" t="s">
        <v>177</v>
      </c>
      <c r="AM89" s="254" t="s">
        <v>178</v>
      </c>
      <c r="AN89" s="255" t="str">
        <f t="shared" si="69"/>
        <v>EURYC</v>
      </c>
      <c r="AO89" s="252" t="str">
        <f t="shared" si="70"/>
        <v>EURDF_NOCSA</v>
      </c>
      <c r="AP89" s="259">
        <f t="shared" si="60"/>
        <v>0</v>
      </c>
      <c r="AQ89" s="270">
        <f t="shared" si="71"/>
        <v>0</v>
      </c>
      <c r="AR89" s="223" t="s">
        <v>4</v>
      </c>
      <c r="AS89" s="180">
        <f ca="1">IF(AND(NOW(),isEUR3MLLoaded),IF(OR($D89="",$D89=0),"",_xll.meProductSwapParRate(_xll.meUtilityLVBFromKeysValues($P$5:$AP$5,$P89:$AP89))),"Please Load Yield Curves")</f>
        <v>1.0167499929526433E-2</v>
      </c>
      <c r="AT89" s="138">
        <f ca="1">IF(AND(NOW(),isEUR3MLLoaded),IF(OR($D89="",$D89=0),"",_xll.meProductSwapPV(_xll.meUtilityLVBFromKeysValues($N$5:$AP$5,$N89:$AP89))),"Please Load Yield Curves")</f>
        <v>-192599.78940619226</v>
      </c>
      <c r="AU89" s="138">
        <f ca="1">IF(AND(NOW(),isEUR3MLLoaded),IF(OR($D89="",$D89=0),"",_xll.meProductSwapPV01(_xll.meUtilityLVBFromKeysValues($N$5:$AO$5,$N89:$AO89))),"Please Load Yield Curves")</f>
        <v>1894.2689032815456</v>
      </c>
      <c r="AV89" s="195">
        <f ca="1">IF(AND(NOW(),isEUR3MLLoaded),IF(OR($D89="",$D89=0),"",_xll.meProductSwapDV01(_xll.meUtilityLVBFromKeysValues($N$5:$AQ$5,$N89:$AQ89))),"Please Load Yield Curves")</f>
        <v>1635.00440712402</v>
      </c>
      <c r="AW89" s="48"/>
    </row>
    <row r="90" spans="2:53" hidden="1" outlineLevel="1" x14ac:dyDescent="0.25">
      <c r="B90" s="131">
        <f ca="1">IF(OR(D90="",D90=0),"",_xll.meDateFromTenor(COB,C90,$T90,$U90))</f>
        <v>42523</v>
      </c>
      <c r="C90" s="139" t="s">
        <v>191</v>
      </c>
      <c r="D90" s="133">
        <v>1000000</v>
      </c>
      <c r="E90" s="133" t="s">
        <v>17</v>
      </c>
      <c r="F90" s="134" t="s">
        <v>229</v>
      </c>
      <c r="G90" s="135" t="s">
        <v>65</v>
      </c>
      <c r="H90" s="136">
        <v>0</v>
      </c>
      <c r="I90" s="166" t="s">
        <v>205</v>
      </c>
      <c r="J90" s="137">
        <v>0</v>
      </c>
      <c r="K90" s="238">
        <f>'EUR SWAP 3ML'!$L$40</f>
        <v>-2.6099999999999999E-3</v>
      </c>
      <c r="L90" s="135" t="s">
        <v>193</v>
      </c>
      <c r="M90" s="199"/>
      <c r="N90" s="277">
        <f t="shared" si="61"/>
        <v>1000000</v>
      </c>
      <c r="O90" s="252" t="str">
        <f t="shared" si="62"/>
        <v>RECEIVER</v>
      </c>
      <c r="P90" s="255">
        <f t="shared" ca="1" si="63"/>
        <v>42523</v>
      </c>
      <c r="Q90" s="255" t="str">
        <f t="shared" si="64"/>
        <v>25Y</v>
      </c>
      <c r="R90" s="249" t="s">
        <v>26</v>
      </c>
      <c r="S90" s="254" t="s">
        <v>20</v>
      </c>
      <c r="T90" s="249" t="s">
        <v>22</v>
      </c>
      <c r="U90" s="249" t="s">
        <v>2</v>
      </c>
      <c r="V90" s="255"/>
      <c r="W90" s="255"/>
      <c r="X90" s="256">
        <f t="shared" ca="1" si="65"/>
        <v>2</v>
      </c>
      <c r="Y90" s="257" t="s">
        <v>177</v>
      </c>
      <c r="Z90" s="254" t="s">
        <v>178</v>
      </c>
      <c r="AA90" s="252" t="str">
        <f t="shared" si="59"/>
        <v>EUR3ML</v>
      </c>
      <c r="AB90" s="256" t="str">
        <f t="shared" si="66"/>
        <v>Quarterly</v>
      </c>
      <c r="AC90" s="254" t="s">
        <v>6</v>
      </c>
      <c r="AD90" s="249" t="s">
        <v>22</v>
      </c>
      <c r="AE90" s="249" t="s">
        <v>2</v>
      </c>
      <c r="AF90" s="255"/>
      <c r="AG90" s="255"/>
      <c r="AH90" s="256">
        <f t="shared" ca="1" si="67"/>
        <v>2</v>
      </c>
      <c r="AI90" s="257" t="s">
        <v>177</v>
      </c>
      <c r="AJ90" s="258">
        <f t="shared" si="68"/>
        <v>-2.6099999999999999E-3</v>
      </c>
      <c r="AK90" s="258"/>
      <c r="AL90" s="257" t="s">
        <v>177</v>
      </c>
      <c r="AM90" s="254" t="s">
        <v>178</v>
      </c>
      <c r="AN90" s="255" t="str">
        <f t="shared" si="69"/>
        <v>EURYC</v>
      </c>
      <c r="AO90" s="252" t="str">
        <f t="shared" si="70"/>
        <v>EURDF_NOCSA</v>
      </c>
      <c r="AP90" s="259">
        <f t="shared" si="60"/>
        <v>0</v>
      </c>
      <c r="AQ90" s="270">
        <f t="shared" si="71"/>
        <v>0</v>
      </c>
      <c r="AR90" s="223" t="s">
        <v>4</v>
      </c>
      <c r="AS90" s="180">
        <f ca="1">IF(AND(NOW(),isEUR3MLLoaded),IF(OR($D90="",$D90=0),"",_xll.meProductSwapParRate(_xll.meUtilityLVBFromKeysValues($P$5:$AP$5,$P90:$AP90))),"Please Load Yield Curves")</f>
        <v>1.0696670082313314E-2</v>
      </c>
      <c r="AT90" s="138">
        <f ca="1">IF(AND(NOW(),isEUR3MLLoaded),IF(OR($D90="",$D90=0),"",_xll.meProductSwapPV(_xll.meUtilityLVBFromKeysValues($N$5:$AP$5,$N90:$AP90))),"Please Load Yield Curves")</f>
        <v>-245499.70229869301</v>
      </c>
      <c r="AU90" s="138">
        <f ca="1">IF(AND(NOW(),isEUR3MLLoaded),IF(OR($D90="",$D90=0),"",_xll.meProductSwapPV01(_xll.meUtilityLVBFromKeysValues($N$5:$AO$5,$N90:$AO90))),"Please Load Yield Curves")</f>
        <v>2295.1039941357158</v>
      </c>
      <c r="AV90" s="195">
        <f ca="1">IF(AND(NOW(),isEUR3MLLoaded),IF(OR($D90="",$D90=0),"",_xll.meProductSwapDV01(_xll.meUtilityLVBFromKeysValues($N$5:$AQ$5,$N90:$AQ90))),"Please Load Yield Curves")</f>
        <v>1918.0385023641632</v>
      </c>
      <c r="AW90" s="48"/>
    </row>
    <row r="91" spans="2:53" hidden="1" outlineLevel="1" x14ac:dyDescent="0.25">
      <c r="B91" s="140">
        <f ca="1">IF(OR(D91="",D91=0),"",_xll.meDateFromTenor(COB,C91,$T91,$U91))</f>
        <v>42523</v>
      </c>
      <c r="C91" s="141" t="s">
        <v>191</v>
      </c>
      <c r="D91" s="142">
        <v>1000000</v>
      </c>
      <c r="E91" s="142" t="s">
        <v>17</v>
      </c>
      <c r="F91" s="143" t="s">
        <v>229</v>
      </c>
      <c r="G91" s="144" t="s">
        <v>66</v>
      </c>
      <c r="H91" s="145">
        <v>0</v>
      </c>
      <c r="I91" s="167" t="s">
        <v>205</v>
      </c>
      <c r="J91" s="146">
        <v>0</v>
      </c>
      <c r="K91" s="484">
        <f>'EUR SWAP 3ML'!$L$40</f>
        <v>-2.6099999999999999E-3</v>
      </c>
      <c r="L91" s="144" t="s">
        <v>193</v>
      </c>
      <c r="M91" s="199"/>
      <c r="N91" s="278">
        <f t="shared" si="61"/>
        <v>1000000</v>
      </c>
      <c r="O91" s="253" t="str">
        <f t="shared" si="62"/>
        <v>RECEIVER</v>
      </c>
      <c r="P91" s="147">
        <f t="shared" ca="1" si="63"/>
        <v>42523</v>
      </c>
      <c r="Q91" s="147" t="str">
        <f t="shared" si="64"/>
        <v>30Y</v>
      </c>
      <c r="R91" s="271" t="s">
        <v>26</v>
      </c>
      <c r="S91" s="272" t="s">
        <v>20</v>
      </c>
      <c r="T91" s="271" t="s">
        <v>22</v>
      </c>
      <c r="U91" s="271" t="s">
        <v>2</v>
      </c>
      <c r="V91" s="147"/>
      <c r="W91" s="147"/>
      <c r="X91" s="263">
        <f t="shared" ca="1" si="65"/>
        <v>2</v>
      </c>
      <c r="Y91" s="273" t="s">
        <v>177</v>
      </c>
      <c r="Z91" s="272" t="s">
        <v>178</v>
      </c>
      <c r="AA91" s="253" t="str">
        <f t="shared" si="59"/>
        <v>EUR3ML</v>
      </c>
      <c r="AB91" s="263" t="str">
        <f t="shared" si="66"/>
        <v>Quarterly</v>
      </c>
      <c r="AC91" s="272" t="s">
        <v>6</v>
      </c>
      <c r="AD91" s="271" t="s">
        <v>22</v>
      </c>
      <c r="AE91" s="271" t="s">
        <v>2</v>
      </c>
      <c r="AF91" s="147"/>
      <c r="AG91" s="147"/>
      <c r="AH91" s="263">
        <f t="shared" ca="1" si="67"/>
        <v>2</v>
      </c>
      <c r="AI91" s="273" t="s">
        <v>177</v>
      </c>
      <c r="AJ91" s="274">
        <f t="shared" si="68"/>
        <v>-2.6099999999999999E-3</v>
      </c>
      <c r="AK91" s="274"/>
      <c r="AL91" s="273" t="s">
        <v>177</v>
      </c>
      <c r="AM91" s="272" t="s">
        <v>178</v>
      </c>
      <c r="AN91" s="147" t="str">
        <f t="shared" si="69"/>
        <v>EURYC</v>
      </c>
      <c r="AO91" s="253" t="str">
        <f t="shared" si="70"/>
        <v>EURDF_NOCSA</v>
      </c>
      <c r="AP91" s="261">
        <f t="shared" si="60"/>
        <v>0</v>
      </c>
      <c r="AQ91" s="275">
        <f t="shared" si="71"/>
        <v>0</v>
      </c>
      <c r="AR91" s="223" t="s">
        <v>4</v>
      </c>
      <c r="AS91" s="181">
        <f ca="1">IF(AND(NOW(),isEUR3MLLoaded),IF(OR($D91="",$D91=0),"",_xll.meProductSwapParRate(_xll.meUtilityLVBFromKeysValues($P$5:$AP$5,$P91:$AP91))),"Please Load Yield Curves")</f>
        <v>1.0867500133685502E-2</v>
      </c>
      <c r="AT91" s="148">
        <f ca="1">IF(AND(NOW(),isEUR3MLLoaded),IF(OR($D91="",$D91=0),"",_xll.meProductSwapPV(_xll.meUtilityLVBFromKeysValues($N$5:$AP$5,$N91:$AP91))),"Please Load Yield Curves")</f>
        <v>-290529.50532710052</v>
      </c>
      <c r="AU91" s="148">
        <f ca="1">IF(AND(NOW(),isEUR3MLLoaded),IF(OR($D91="",$D91=0),"",_xll.meProductSwapPV01(_xll.meUtilityLVBFromKeysValues($N$5:$AO$5,$N91:$AO91))),"Please Load Yield Curves")</f>
        <v>2673.3793582073149</v>
      </c>
      <c r="AV91" s="196">
        <f ca="1">IF(AND(NOW(),isEUR3MLLoaded),IF(OR($D91="",$D91=0),"",_xll.meProductSwapDV01(_xll.meUtilityLVBFromKeysValues($N$5:$AQ$5,$N91:$AQ91))),"Please Load Yield Curves")</f>
        <v>2173.4680805390003</v>
      </c>
      <c r="AW91" s="48"/>
    </row>
    <row r="92" spans="2:53" collapsed="1" x14ac:dyDescent="0.25">
      <c r="AR92" s="223" t="s">
        <v>4</v>
      </c>
    </row>
    <row r="93" spans="2:53" ht="23.25" x14ac:dyDescent="0.35">
      <c r="B93" s="108" t="s">
        <v>241</v>
      </c>
      <c r="AR93" s="223" t="s">
        <v>4</v>
      </c>
      <c r="AS93" s="109"/>
      <c r="AT93" s="496"/>
      <c r="AU93" s="496"/>
      <c r="AV93" s="171"/>
      <c r="AX93" s="108" t="s">
        <v>248</v>
      </c>
    </row>
    <row r="94" spans="2:53" x14ac:dyDescent="0.25">
      <c r="AR94" s="223" t="s">
        <v>4</v>
      </c>
    </row>
    <row r="95" spans="2:53" x14ac:dyDescent="0.25">
      <c r="B95" s="40" t="s">
        <v>230</v>
      </c>
      <c r="C95" s="40"/>
      <c r="D95" s="40"/>
      <c r="E95" s="40"/>
      <c r="F95" s="40"/>
      <c r="G95" s="40"/>
      <c r="H95" s="40"/>
      <c r="I95" s="40"/>
      <c r="J95" s="40"/>
      <c r="K95" s="40"/>
      <c r="L95" s="40"/>
      <c r="M95" s="40"/>
      <c r="N95" s="223" t="s">
        <v>282</v>
      </c>
      <c r="O95" s="223"/>
      <c r="P95" s="223"/>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23" t="s">
        <v>4</v>
      </c>
      <c r="AS95" s="40"/>
      <c r="AT95" s="40"/>
      <c r="AU95" s="177"/>
      <c r="AV95" s="177"/>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199"/>
      <c r="N96" s="262" t="s">
        <v>175</v>
      </c>
      <c r="O96" s="250" t="s">
        <v>249</v>
      </c>
      <c r="P96" s="250" t="s">
        <v>250</v>
      </c>
      <c r="Q96" s="250" t="s">
        <v>251</v>
      </c>
      <c r="R96" s="250" t="s">
        <v>253</v>
      </c>
      <c r="S96" s="250" t="s">
        <v>254</v>
      </c>
      <c r="T96" s="250" t="s">
        <v>255</v>
      </c>
      <c r="U96" s="250" t="s">
        <v>256</v>
      </c>
      <c r="V96" s="250" t="s">
        <v>283</v>
      </c>
      <c r="W96" s="250" t="s">
        <v>284</v>
      </c>
      <c r="X96" s="250" t="s">
        <v>257</v>
      </c>
      <c r="Y96" s="250" t="s">
        <v>258</v>
      </c>
      <c r="Z96" s="250" t="s">
        <v>259</v>
      </c>
      <c r="AA96" s="250" t="s">
        <v>271</v>
      </c>
      <c r="AB96" s="250" t="s">
        <v>260</v>
      </c>
      <c r="AC96" s="250" t="s">
        <v>261</v>
      </c>
      <c r="AD96" s="250" t="s">
        <v>262</v>
      </c>
      <c r="AE96" s="250" t="s">
        <v>263</v>
      </c>
      <c r="AF96" s="250" t="s">
        <v>285</v>
      </c>
      <c r="AG96" s="250" t="s">
        <v>286</v>
      </c>
      <c r="AH96" s="250" t="s">
        <v>264</v>
      </c>
      <c r="AI96" s="250" t="s">
        <v>265</v>
      </c>
      <c r="AJ96" s="250" t="s">
        <v>266</v>
      </c>
      <c r="AK96" s="250" t="s">
        <v>267</v>
      </c>
      <c r="AL96" s="250" t="s">
        <v>268</v>
      </c>
      <c r="AM96" s="250" t="s">
        <v>270</v>
      </c>
      <c r="AN96" s="250" t="s">
        <v>80</v>
      </c>
      <c r="AO96" s="250" t="s">
        <v>272</v>
      </c>
      <c r="AP96" s="250" t="s">
        <v>269</v>
      </c>
      <c r="AQ96" s="251" t="s">
        <v>252</v>
      </c>
      <c r="AR96" s="223" t="s">
        <v>4</v>
      </c>
      <c r="AS96" s="178" t="s">
        <v>188</v>
      </c>
      <c r="AT96" s="112" t="s">
        <v>189</v>
      </c>
      <c r="AU96" s="112" t="s">
        <v>190</v>
      </c>
      <c r="AV96" s="113" t="s">
        <v>273</v>
      </c>
      <c r="AW96" s="176"/>
      <c r="AX96" s="153" t="s">
        <v>11</v>
      </c>
      <c r="AY96" s="155" t="s">
        <v>287</v>
      </c>
      <c r="AZ96" s="182" t="s">
        <v>232</v>
      </c>
      <c r="BA96" s="191" t="s">
        <v>233</v>
      </c>
    </row>
    <row r="97" spans="2:53" x14ac:dyDescent="0.25">
      <c r="B97" s="115">
        <f ca="1">IF(OR(D97="",D97=0),"",_xll.meDateFromTenor(COB,C97,$T97,$U97))</f>
        <v>42523</v>
      </c>
      <c r="C97" s="132" t="s">
        <v>191</v>
      </c>
      <c r="D97" s="133">
        <v>1000000</v>
      </c>
      <c r="E97" s="133" t="s">
        <v>17</v>
      </c>
      <c r="F97" s="134" t="s">
        <v>176</v>
      </c>
      <c r="G97" s="135" t="s">
        <v>47</v>
      </c>
      <c r="H97" s="136">
        <v>0</v>
      </c>
      <c r="I97" s="166" t="s">
        <v>192</v>
      </c>
      <c r="J97" s="368">
        <f t="shared" ref="J97:J109" si="72">AY97</f>
        <v>15</v>
      </c>
      <c r="K97" s="238">
        <f>'EUR SWAP 3ML'!$L$41</f>
        <v>-1.5299999999999999E-3</v>
      </c>
      <c r="L97" s="135" t="s">
        <v>193</v>
      </c>
      <c r="M97" s="199"/>
      <c r="N97" s="276">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-1.5299999999999999E-3</v>
      </c>
      <c r="AK97" s="129"/>
      <c r="AL97" s="126" t="s">
        <v>177</v>
      </c>
      <c r="AM97" s="123" t="s">
        <v>178</v>
      </c>
      <c r="AN97" s="124" t="str">
        <f>E97&amp;"YC"</f>
        <v>EURYC</v>
      </c>
      <c r="AO97" s="127" t="str">
        <f>LEFT(AN97,3)&amp;"DF_"&amp;L97</f>
        <v>EURDF_NOCSA</v>
      </c>
      <c r="AP97" s="128">
        <f t="shared" ref="AP97:AP109" si="74">J97</f>
        <v>15</v>
      </c>
      <c r="AQ97" s="269">
        <f>H97</f>
        <v>0</v>
      </c>
      <c r="AR97" s="223" t="s">
        <v>4</v>
      </c>
      <c r="AS97" s="179">
        <f ca="1">IF(AND(NOW(),isEUR6MLLoaded),IF(OR($D97="",$D97=0),"",_xll.meProductSwapParRate(_xll.meUtilityLVBFromKeysValues($P$5:$AP$5,$P97:$AP97))),"Please Load Yield Curves")</f>
        <v>-1.0795542531373717E-4</v>
      </c>
      <c r="AT97" s="130">
        <f ca="1">IF(AND(NOW(),isEUR6MLLoaded),IF(OR($D97="",$D97=0),"",_xll.meProductSwapPV(_xll.meUtilityLVBFromKeysValues($N$5:$AP$5,$N97:$AP97))),"Please Load Yield Curves")</f>
        <v>-217.8250000077058</v>
      </c>
      <c r="AU97" s="130">
        <f ca="1">IF(AND(NOW(),isEUR6MLLoaded),IF(OR($D97="",$D97=0),"",_xll.meProductSwapPV01(_xll.meUtilityLVBFromKeysValues($N$5:$AO$5,$N97:$AO97))),"Please Load Yield Curves")</f>
        <v>201.77309234313017</v>
      </c>
      <c r="AV97" s="194">
        <f ca="1">IF(AND(NOW(),isEUR6MLLoaded),IF(OR($D97="",$D97=0),"",_xll.meProductSwapDV01(_xll.meUtilityLVBFromKeysValues($N$5:$AQ$5,$N97:$AQ97))),"Please Load Yield Curves")</f>
        <v>201.73708135417706</v>
      </c>
      <c r="AW97" s="48"/>
      <c r="AX97" s="149" t="str">
        <f>'EUR BASIS 12ML'!I36</f>
        <v>2Y</v>
      </c>
      <c r="AY97" s="184">
        <f>'EUR BASIS 12ML'!J36*10000</f>
        <v>15</v>
      </c>
      <c r="AZ97" s="183">
        <f t="shared" ref="AZ97:AZ109" ca="1" si="75">AS113-AS97</f>
        <v>-2.3842864410315902E-5</v>
      </c>
      <c r="BA97" s="189">
        <f t="shared" ref="BA97:BA109" ca="1" si="76">AT113+AT97</f>
        <v>48.108484823874051</v>
      </c>
    </row>
    <row r="98" spans="2:53" x14ac:dyDescent="0.25">
      <c r="B98" s="131">
        <f ca="1">IF(OR(D98="",D98=0),"",_xll.meDateFromTenor(COB,C98,$T98,$U98))</f>
        <v>42523</v>
      </c>
      <c r="C98" s="139" t="s">
        <v>191</v>
      </c>
      <c r="D98" s="133">
        <v>1000000</v>
      </c>
      <c r="E98" s="133" t="s">
        <v>17</v>
      </c>
      <c r="F98" s="134" t="s">
        <v>176</v>
      </c>
      <c r="G98" s="135" t="s">
        <v>43</v>
      </c>
      <c r="H98" s="136">
        <v>0</v>
      </c>
      <c r="I98" s="166" t="s">
        <v>192</v>
      </c>
      <c r="J98" s="368">
        <f t="shared" si="72"/>
        <v>15.3</v>
      </c>
      <c r="K98" s="238">
        <f>'EUR SWAP 3ML'!$L$41</f>
        <v>-1.5299999999999999E-3</v>
      </c>
      <c r="L98" s="135" t="s">
        <v>193</v>
      </c>
      <c r="M98" s="199"/>
      <c r="N98" s="277">
        <f t="shared" ref="N98:N109" si="77">D98</f>
        <v>1000000</v>
      </c>
      <c r="O98" s="252" t="str">
        <f t="shared" ref="O98:O109" si="78">F98</f>
        <v>PAYER</v>
      </c>
      <c r="P98" s="255">
        <f t="shared" ref="P98:P109" ca="1" si="79">B98</f>
        <v>42523</v>
      </c>
      <c r="Q98" s="255" t="str">
        <f t="shared" ref="Q98:Q109" si="80">G98</f>
        <v>3Y</v>
      </c>
      <c r="R98" s="249" t="s">
        <v>26</v>
      </c>
      <c r="S98" s="254" t="s">
        <v>20</v>
      </c>
      <c r="T98" s="249" t="s">
        <v>22</v>
      </c>
      <c r="U98" s="249" t="s">
        <v>2</v>
      </c>
      <c r="V98" s="255"/>
      <c r="W98" s="255"/>
      <c r="X98" s="256">
        <f t="shared" ref="X98:X109" ca="1" si="81">IF($B98="","",DAY($B98))</f>
        <v>2</v>
      </c>
      <c r="Y98" s="257" t="s">
        <v>177</v>
      </c>
      <c r="Z98" s="254" t="s">
        <v>178</v>
      </c>
      <c r="AA98" s="252" t="str">
        <f t="shared" si="73"/>
        <v>EUR6ML</v>
      </c>
      <c r="AB98" s="256" t="str">
        <f t="shared" ref="AB98:AB109" si="82">IF($I98="1ML","Monthly",IF($I98="3ML","Quarterly",IF($I98="6ML","Semi-Annual","Annual")))</f>
        <v>Semi-Annual</v>
      </c>
      <c r="AC98" s="254" t="s">
        <v>6</v>
      </c>
      <c r="AD98" s="249" t="s">
        <v>22</v>
      </c>
      <c r="AE98" s="249" t="s">
        <v>2</v>
      </c>
      <c r="AF98" s="255"/>
      <c r="AG98" s="255"/>
      <c r="AH98" s="256">
        <f t="shared" ref="AH98:AH109" ca="1" si="83">IF($B98="","",DAY($B98))</f>
        <v>2</v>
      </c>
      <c r="AI98" s="257" t="s">
        <v>177</v>
      </c>
      <c r="AJ98" s="258">
        <f t="shared" ref="AJ98:AJ109" si="84">$K98</f>
        <v>-1.5299999999999999E-3</v>
      </c>
      <c r="AK98" s="258"/>
      <c r="AL98" s="257" t="s">
        <v>177</v>
      </c>
      <c r="AM98" s="254" t="s">
        <v>178</v>
      </c>
      <c r="AN98" s="255" t="str">
        <f t="shared" ref="AN98:AN109" si="85">E98&amp;"YC"</f>
        <v>EURYC</v>
      </c>
      <c r="AO98" s="252" t="str">
        <f t="shared" ref="AO98:AO109" si="86">LEFT(AN98,3)&amp;"DF_"&amp;L98</f>
        <v>EURDF_NOCSA</v>
      </c>
      <c r="AP98" s="259">
        <f t="shared" si="74"/>
        <v>15.3</v>
      </c>
      <c r="AQ98" s="270">
        <f t="shared" ref="AQ98:AQ109" si="87">H98</f>
        <v>0</v>
      </c>
      <c r="AR98" s="223" t="s">
        <v>4</v>
      </c>
      <c r="AS98" s="180">
        <f ca="1">IF(AND(NOW(),isEUR6MLLoaded),IF(OR($D98="",$D98=0),"",_xll.meProductSwapParRate(_xll.meUtilityLVBFromKeysValues($P$5:$AP$5,$P98:$AP98))),"Please Load Yield Curves")</f>
        <v>2.1582487822167045E-4</v>
      </c>
      <c r="AT98" s="138">
        <f ca="1">IF(AND(NOW(),isEUR6MLLoaded),IF(OR($D98="",$D98=0),"",_xll.meProductSwapPV(_xll.meUtilityLVBFromKeysValues($N$5:$AP$5,$N98:$AP98))),"Please Load Yield Curves")</f>
        <v>653.24962818033987</v>
      </c>
      <c r="AU98" s="138">
        <f ca="1">IF(AND(NOW(),isEUR6MLLoaded),IF(OR($D98="",$D98=0),"",_xll.meProductSwapPV01(_xll.meUtilityLVBFromKeysValues($N$5:$AO$5,$N98:$AO98))),"Please Load Yield Curves")</f>
        <v>302.67577749280463</v>
      </c>
      <c r="AV98" s="195">
        <f ca="1">IF(AND(NOW(),isEUR6MLLoaded),IF(OR($D98="",$D98=0),"",_xll.meProductSwapDV01(_xll.meUtilityLVBFromKeysValues($N$5:$AQ$5,$N98:$AQ98))),"Please Load Yield Curves")</f>
        <v>302.88156216994554</v>
      </c>
      <c r="AW98" s="48"/>
      <c r="AX98" s="149" t="str">
        <f>'EUR BASIS 12ML'!I37</f>
        <v>3Y</v>
      </c>
      <c r="AY98" s="184">
        <f>'EUR BASIS 12ML'!J37*10000</f>
        <v>15.3</v>
      </c>
      <c r="AZ98" s="183">
        <f t="shared" ca="1" si="75"/>
        <v>-1.9355377544524432E-5</v>
      </c>
      <c r="BA98" s="189">
        <f t="shared" ca="1" si="76"/>
        <v>58.584039469557069</v>
      </c>
    </row>
    <row r="99" spans="2:53" x14ac:dyDescent="0.25">
      <c r="B99" s="131">
        <f ca="1">IF(OR(D99="",D99=0),"",_xll.meDateFromTenor(COB,C99,$T99,$U99))</f>
        <v>42523</v>
      </c>
      <c r="C99" s="139" t="s">
        <v>191</v>
      </c>
      <c r="D99" s="133">
        <v>1000000</v>
      </c>
      <c r="E99" s="133" t="s">
        <v>17</v>
      </c>
      <c r="F99" s="134" t="s">
        <v>176</v>
      </c>
      <c r="G99" s="135" t="s">
        <v>50</v>
      </c>
      <c r="H99" s="136">
        <v>0</v>
      </c>
      <c r="I99" s="166" t="s">
        <v>192</v>
      </c>
      <c r="J99" s="368">
        <f t="shared" si="72"/>
        <v>15.3</v>
      </c>
      <c r="K99" s="238">
        <f>'EUR SWAP 3ML'!$L$41</f>
        <v>-1.5299999999999999E-3</v>
      </c>
      <c r="L99" s="135" t="s">
        <v>193</v>
      </c>
      <c r="M99" s="199"/>
      <c r="N99" s="277">
        <f t="shared" si="77"/>
        <v>1000000</v>
      </c>
      <c r="O99" s="252" t="str">
        <f t="shared" si="78"/>
        <v>PAYER</v>
      </c>
      <c r="P99" s="255">
        <f t="shared" ca="1" si="79"/>
        <v>42523</v>
      </c>
      <c r="Q99" s="255" t="str">
        <f t="shared" si="80"/>
        <v>4Y</v>
      </c>
      <c r="R99" s="249" t="s">
        <v>26</v>
      </c>
      <c r="S99" s="254" t="s">
        <v>20</v>
      </c>
      <c r="T99" s="249" t="s">
        <v>22</v>
      </c>
      <c r="U99" s="249" t="s">
        <v>2</v>
      </c>
      <c r="V99" s="255"/>
      <c r="W99" s="255"/>
      <c r="X99" s="256">
        <f t="shared" ca="1" si="81"/>
        <v>2</v>
      </c>
      <c r="Y99" s="257" t="s">
        <v>177</v>
      </c>
      <c r="Z99" s="254" t="s">
        <v>178</v>
      </c>
      <c r="AA99" s="252" t="str">
        <f t="shared" si="73"/>
        <v>EUR6ML</v>
      </c>
      <c r="AB99" s="256" t="str">
        <f t="shared" si="82"/>
        <v>Semi-Annual</v>
      </c>
      <c r="AC99" s="254" t="s">
        <v>6</v>
      </c>
      <c r="AD99" s="249" t="s">
        <v>22</v>
      </c>
      <c r="AE99" s="249" t="s">
        <v>2</v>
      </c>
      <c r="AF99" s="255"/>
      <c r="AG99" s="255"/>
      <c r="AH99" s="256">
        <f t="shared" ca="1" si="83"/>
        <v>2</v>
      </c>
      <c r="AI99" s="257" t="s">
        <v>177</v>
      </c>
      <c r="AJ99" s="258">
        <f t="shared" si="84"/>
        <v>-1.5299999999999999E-3</v>
      </c>
      <c r="AK99" s="258"/>
      <c r="AL99" s="257" t="s">
        <v>177</v>
      </c>
      <c r="AM99" s="254" t="s">
        <v>178</v>
      </c>
      <c r="AN99" s="255" t="str">
        <f t="shared" si="85"/>
        <v>EURYC</v>
      </c>
      <c r="AO99" s="252" t="str">
        <f t="shared" si="86"/>
        <v>EURDF_NOCSA</v>
      </c>
      <c r="AP99" s="259">
        <f t="shared" si="74"/>
        <v>15.3</v>
      </c>
      <c r="AQ99" s="270">
        <f t="shared" si="87"/>
        <v>0</v>
      </c>
      <c r="AR99" s="223" t="s">
        <v>4</v>
      </c>
      <c r="AS99" s="180">
        <f ca="1">IF(AND(NOW(),isEUR6MLLoaded),IF(OR($D99="",$D99=0),"",_xll.meProductSwapParRate(_xll.meUtilityLVBFromKeysValues($P$5:$AP$5,$P99:$AP99))),"Please Load Yield Curves")</f>
        <v>8.6895881806713299E-4</v>
      </c>
      <c r="AT99" s="138">
        <f ca="1">IF(AND(NOW(),isEUR6MLLoaded),IF(OR($D99="",$D99=0),"",_xll.meProductSwapPV(_xll.meUtilityLVBFromKeysValues($N$5:$AP$5,$N99:$AP99))),"Please Load Yield Curves")</f>
        <v>3508.8541148254449</v>
      </c>
      <c r="AU99" s="138">
        <f ca="1">IF(AND(NOW(),isEUR6MLLoaded),IF(OR($D99="",$D99=0),"",_xll.meProductSwapPV01(_xll.meUtilityLVBFromKeysValues($N$5:$AO$5,$N99:$AO99))),"Please Load Yield Curves")</f>
        <v>403.79981673128748</v>
      </c>
      <c r="AV99" s="195">
        <f ca="1">IF(AND(NOW(),isEUR6MLLoaded),IF(OR($D99="",$D99=0),"",_xll.meProductSwapDV01(_xll.meUtilityLVBFromKeysValues($N$5:$AQ$5,$N99:$AQ99))),"Please Load Yield Curves")</f>
        <v>405.09263176580919</v>
      </c>
      <c r="AW99" s="48"/>
      <c r="AX99" s="149" t="str">
        <f>'EUR BASIS 12ML'!I38</f>
        <v>4Y</v>
      </c>
      <c r="AY99" s="184">
        <f>'EUR BASIS 12ML'!J38*10000</f>
        <v>15.3</v>
      </c>
      <c r="AZ99" s="183">
        <f t="shared" ca="1" si="75"/>
        <v>-9.5655721505448314E-6</v>
      </c>
      <c r="BA99" s="189">
        <f t="shared" ca="1" si="76"/>
        <v>38.625762813199344</v>
      </c>
    </row>
    <row r="100" spans="2:53" x14ac:dyDescent="0.25">
      <c r="B100" s="131">
        <f ca="1">IF(OR(D100="",D100=0),"",_xll.meDateFromTenor(COB,C100,$T100,$U100))</f>
        <v>42523</v>
      </c>
      <c r="C100" s="139" t="s">
        <v>191</v>
      </c>
      <c r="D100" s="133">
        <v>1000000</v>
      </c>
      <c r="E100" s="133" t="s">
        <v>17</v>
      </c>
      <c r="F100" s="134" t="s">
        <v>176</v>
      </c>
      <c r="G100" s="135" t="s">
        <v>52</v>
      </c>
      <c r="H100" s="136">
        <v>0</v>
      </c>
      <c r="I100" s="166" t="s">
        <v>192</v>
      </c>
      <c r="J100" s="368">
        <f t="shared" si="72"/>
        <v>15</v>
      </c>
      <c r="K100" s="238">
        <f>'EUR SWAP 3ML'!$L$41</f>
        <v>-1.5299999999999999E-3</v>
      </c>
      <c r="L100" s="135" t="s">
        <v>193</v>
      </c>
      <c r="M100" s="199"/>
      <c r="N100" s="277">
        <f t="shared" si="77"/>
        <v>1000000</v>
      </c>
      <c r="O100" s="252" t="str">
        <f t="shared" si="78"/>
        <v>PAYER</v>
      </c>
      <c r="P100" s="255">
        <f t="shared" ca="1" si="79"/>
        <v>42523</v>
      </c>
      <c r="Q100" s="255" t="str">
        <f t="shared" si="80"/>
        <v>5Y</v>
      </c>
      <c r="R100" s="249" t="s">
        <v>26</v>
      </c>
      <c r="S100" s="254" t="s">
        <v>20</v>
      </c>
      <c r="T100" s="249" t="s">
        <v>22</v>
      </c>
      <c r="U100" s="249" t="s">
        <v>2</v>
      </c>
      <c r="V100" s="255"/>
      <c r="W100" s="255"/>
      <c r="X100" s="256">
        <f t="shared" ca="1" si="81"/>
        <v>2</v>
      </c>
      <c r="Y100" s="257" t="s">
        <v>177</v>
      </c>
      <c r="Z100" s="254" t="s">
        <v>178</v>
      </c>
      <c r="AA100" s="252" t="str">
        <f t="shared" si="73"/>
        <v>EUR6ML</v>
      </c>
      <c r="AB100" s="256" t="str">
        <f t="shared" si="82"/>
        <v>Semi-Annual</v>
      </c>
      <c r="AC100" s="254" t="s">
        <v>6</v>
      </c>
      <c r="AD100" s="249" t="s">
        <v>22</v>
      </c>
      <c r="AE100" s="249" t="s">
        <v>2</v>
      </c>
      <c r="AF100" s="255"/>
      <c r="AG100" s="255"/>
      <c r="AH100" s="256">
        <f t="shared" ca="1" si="83"/>
        <v>2</v>
      </c>
      <c r="AI100" s="257" t="s">
        <v>177</v>
      </c>
      <c r="AJ100" s="258">
        <f t="shared" si="84"/>
        <v>-1.5299999999999999E-3</v>
      </c>
      <c r="AK100" s="258"/>
      <c r="AL100" s="257" t="s">
        <v>177</v>
      </c>
      <c r="AM100" s="254" t="s">
        <v>178</v>
      </c>
      <c r="AN100" s="255" t="str">
        <f t="shared" si="85"/>
        <v>EURYC</v>
      </c>
      <c r="AO100" s="252" t="str">
        <f t="shared" si="86"/>
        <v>EURDF_NOCSA</v>
      </c>
      <c r="AP100" s="259">
        <f t="shared" si="74"/>
        <v>15</v>
      </c>
      <c r="AQ100" s="270">
        <f t="shared" si="87"/>
        <v>0</v>
      </c>
      <c r="AR100" s="223" t="s">
        <v>4</v>
      </c>
      <c r="AS100" s="180">
        <f ca="1">IF(AND(NOW(),isEUR6MLLoaded),IF(OR($D100="",$D100=0),"",_xll.meProductSwapParRate(_xll.meUtilityLVBFromKeysValues($P$5:$AP$5,$P100:$AP100))),"Please Load Yield Curves")</f>
        <v>1.6819199606731585E-3</v>
      </c>
      <c r="AT100" s="138">
        <f ca="1">IF(AND(NOW(),isEUR6MLLoaded),IF(OR($D100="",$D100=0),"",_xll.meProductSwapPV(_xll.meUtilityLVBFromKeysValues($N$5:$AP$5,$N100:$AP100))),"Please Load Yield Curves")</f>
        <v>8496.9677729248597</v>
      </c>
      <c r="AU100" s="138">
        <f ca="1">IF(AND(NOW(),isEUR6MLLoaded),IF(OR($D100="",$D100=0),"",_xll.meProductSwapPV01(_xll.meUtilityLVBFromKeysValues($N$5:$AO$5,$N100:$AO100))),"Please Load Yield Curves")</f>
        <v>505.19453788538783</v>
      </c>
      <c r="AV100" s="195">
        <f ca="1">IF(AND(NOW(),isEUR6MLLoaded),IF(OR($D100="",$D100=0),"",_xll.meProductSwapDV01(_xll.meUtilityLVBFromKeysValues($N$5:$AQ$5,$N100:$AQ100))),"Please Load Yield Curves")</f>
        <v>508.90309962423908</v>
      </c>
      <c r="AW100" s="48"/>
      <c r="AX100" s="149" t="str">
        <f>'EUR BASIS 12ML'!I39</f>
        <v>5Y</v>
      </c>
      <c r="AY100" s="184">
        <f>'EUR BASIS 12ML'!J39*10000</f>
        <v>15</v>
      </c>
      <c r="AZ100" s="183">
        <f t="shared" ca="1" si="75"/>
        <v>3.169057248255747E-6</v>
      </c>
      <c r="BA100" s="189">
        <f t="shared" ca="1" si="76"/>
        <v>-16.009904120648571</v>
      </c>
    </row>
    <row r="101" spans="2:53" x14ac:dyDescent="0.25">
      <c r="B101" s="131">
        <f ca="1">IF(OR(D101="",D101=0),"",_xll.meDateFromTenor(COB,C101,$T101,$U101))</f>
        <v>42523</v>
      </c>
      <c r="C101" s="139" t="s">
        <v>191</v>
      </c>
      <c r="D101" s="133">
        <v>1000000</v>
      </c>
      <c r="E101" s="133" t="s">
        <v>17</v>
      </c>
      <c r="F101" s="134" t="s">
        <v>176</v>
      </c>
      <c r="G101" s="135" t="s">
        <v>54</v>
      </c>
      <c r="H101" s="136">
        <v>0</v>
      </c>
      <c r="I101" s="166" t="s">
        <v>192</v>
      </c>
      <c r="J101" s="368">
        <f t="shared" si="72"/>
        <v>14.7</v>
      </c>
      <c r="K101" s="238">
        <f>'EUR SWAP 3ML'!$L$41</f>
        <v>-1.5299999999999999E-3</v>
      </c>
      <c r="L101" s="135" t="s">
        <v>193</v>
      </c>
      <c r="M101" s="199"/>
      <c r="N101" s="277">
        <f t="shared" si="77"/>
        <v>1000000</v>
      </c>
      <c r="O101" s="252" t="str">
        <f t="shared" si="78"/>
        <v>PAYER</v>
      </c>
      <c r="P101" s="255">
        <f t="shared" ca="1" si="79"/>
        <v>42523</v>
      </c>
      <c r="Q101" s="255" t="str">
        <f t="shared" si="80"/>
        <v>6Y</v>
      </c>
      <c r="R101" s="249" t="s">
        <v>26</v>
      </c>
      <c r="S101" s="254" t="s">
        <v>20</v>
      </c>
      <c r="T101" s="249" t="s">
        <v>22</v>
      </c>
      <c r="U101" s="249" t="s">
        <v>2</v>
      </c>
      <c r="V101" s="255"/>
      <c r="W101" s="255"/>
      <c r="X101" s="256">
        <f t="shared" ca="1" si="81"/>
        <v>2</v>
      </c>
      <c r="Y101" s="257" t="s">
        <v>177</v>
      </c>
      <c r="Z101" s="254" t="s">
        <v>178</v>
      </c>
      <c r="AA101" s="252" t="str">
        <f t="shared" si="73"/>
        <v>EUR6ML</v>
      </c>
      <c r="AB101" s="256" t="str">
        <f t="shared" si="82"/>
        <v>Semi-Annual</v>
      </c>
      <c r="AC101" s="254" t="s">
        <v>6</v>
      </c>
      <c r="AD101" s="249" t="s">
        <v>22</v>
      </c>
      <c r="AE101" s="249" t="s">
        <v>2</v>
      </c>
      <c r="AF101" s="255"/>
      <c r="AG101" s="255"/>
      <c r="AH101" s="256">
        <f t="shared" ca="1" si="83"/>
        <v>2</v>
      </c>
      <c r="AI101" s="257" t="s">
        <v>177</v>
      </c>
      <c r="AJ101" s="258">
        <f t="shared" si="84"/>
        <v>-1.5299999999999999E-3</v>
      </c>
      <c r="AK101" s="258"/>
      <c r="AL101" s="257" t="s">
        <v>177</v>
      </c>
      <c r="AM101" s="254" t="s">
        <v>178</v>
      </c>
      <c r="AN101" s="255" t="str">
        <f t="shared" si="85"/>
        <v>EURYC</v>
      </c>
      <c r="AO101" s="252" t="str">
        <f t="shared" si="86"/>
        <v>EURDF_NOCSA</v>
      </c>
      <c r="AP101" s="259">
        <f t="shared" si="74"/>
        <v>14.7</v>
      </c>
      <c r="AQ101" s="270">
        <f t="shared" si="87"/>
        <v>0</v>
      </c>
      <c r="AR101" s="223" t="s">
        <v>4</v>
      </c>
      <c r="AS101" s="180">
        <f ca="1">IF(AND(NOW(),isEUR6MLLoaded),IF(OR($D101="",$D101=0),"",_xll.meProductSwapParRate(_xll.meUtilityLVBFromKeysValues($P$5:$AP$5,$P101:$AP101))),"Please Load Yield Curves")</f>
        <v>2.6521877927149903E-3</v>
      </c>
      <c r="AT101" s="138">
        <f ca="1">IF(AND(NOW(),isEUR6MLLoaded),IF(OR($D101="",$D101=0),"",_xll.meProductSwapPV(_xll.meUtilityLVBFromKeysValues($N$5:$AP$5,$N101:$AP101))),"Please Load Yield Curves")</f>
        <v>16079.686522595148</v>
      </c>
      <c r="AU101" s="138">
        <f ca="1">IF(AND(NOW(),isEUR6MLLoaded),IF(OR($D101="",$D101=0),"",_xll.meProductSwapPV01(_xll.meUtilityLVBFromKeysValues($N$5:$AO$5,$N101:$AO101))),"Please Load Yield Curves")</f>
        <v>606.28008947038791</v>
      </c>
      <c r="AV101" s="195">
        <f ca="1">IF(AND(NOW(),isEUR6MLLoaded),IF(OR($D101="",$D101=0),"",_xll.meProductSwapDV01(_xll.meUtilityLVBFromKeysValues($N$5:$AQ$5,$N101:$AQ101))),"Please Load Yield Curves")</f>
        <v>614.40661001282672</v>
      </c>
      <c r="AW101" s="48"/>
      <c r="AX101" s="149" t="str">
        <f>'EUR BASIS 12ML'!I40</f>
        <v>6Y</v>
      </c>
      <c r="AY101" s="184">
        <f>'EUR BASIS 12ML'!J40*10000</f>
        <v>14.7</v>
      </c>
      <c r="AZ101" s="183">
        <f t="shared" ca="1" si="75"/>
        <v>1.6908789730552595E-5</v>
      </c>
      <c r="BA101" s="189">
        <f t="shared" ca="1" si="76"/>
        <v>-102.51462550675387</v>
      </c>
    </row>
    <row r="102" spans="2:53" x14ac:dyDescent="0.25">
      <c r="B102" s="131">
        <f ca="1">IF(OR(D102="",D102=0),"",_xll.meDateFromTenor(COB,C102,$T102,$U102))</f>
        <v>42523</v>
      </c>
      <c r="C102" s="139" t="s">
        <v>191</v>
      </c>
      <c r="D102" s="133">
        <v>1000000</v>
      </c>
      <c r="E102" s="133" t="s">
        <v>17</v>
      </c>
      <c r="F102" s="134" t="s">
        <v>176</v>
      </c>
      <c r="G102" s="135" t="s">
        <v>55</v>
      </c>
      <c r="H102" s="136">
        <v>0</v>
      </c>
      <c r="I102" s="166" t="s">
        <v>192</v>
      </c>
      <c r="J102" s="368">
        <f t="shared" si="72"/>
        <v>14.1</v>
      </c>
      <c r="K102" s="238">
        <f>'EUR SWAP 3ML'!$L$41</f>
        <v>-1.5299999999999999E-3</v>
      </c>
      <c r="L102" s="135" t="s">
        <v>193</v>
      </c>
      <c r="M102" s="199"/>
      <c r="N102" s="277">
        <f t="shared" si="77"/>
        <v>1000000</v>
      </c>
      <c r="O102" s="252" t="str">
        <f t="shared" si="78"/>
        <v>PAYER</v>
      </c>
      <c r="P102" s="255">
        <f t="shared" ca="1" si="79"/>
        <v>42523</v>
      </c>
      <c r="Q102" s="255" t="str">
        <f t="shared" si="80"/>
        <v>7Y</v>
      </c>
      <c r="R102" s="249" t="s">
        <v>26</v>
      </c>
      <c r="S102" s="254" t="s">
        <v>20</v>
      </c>
      <c r="T102" s="249" t="s">
        <v>22</v>
      </c>
      <c r="U102" s="249" t="s">
        <v>2</v>
      </c>
      <c r="V102" s="255"/>
      <c r="W102" s="255"/>
      <c r="X102" s="256">
        <f t="shared" ca="1" si="81"/>
        <v>2</v>
      </c>
      <c r="Y102" s="257" t="s">
        <v>177</v>
      </c>
      <c r="Z102" s="254" t="s">
        <v>178</v>
      </c>
      <c r="AA102" s="252" t="str">
        <f t="shared" si="73"/>
        <v>EUR6ML</v>
      </c>
      <c r="AB102" s="256" t="str">
        <f t="shared" si="82"/>
        <v>Semi-Annual</v>
      </c>
      <c r="AC102" s="254" t="s">
        <v>6</v>
      </c>
      <c r="AD102" s="249" t="s">
        <v>22</v>
      </c>
      <c r="AE102" s="249" t="s">
        <v>2</v>
      </c>
      <c r="AF102" s="255"/>
      <c r="AG102" s="255"/>
      <c r="AH102" s="256">
        <f t="shared" ca="1" si="83"/>
        <v>2</v>
      </c>
      <c r="AI102" s="257" t="s">
        <v>177</v>
      </c>
      <c r="AJ102" s="258">
        <f t="shared" si="84"/>
        <v>-1.5299999999999999E-3</v>
      </c>
      <c r="AK102" s="258"/>
      <c r="AL102" s="257" t="s">
        <v>177</v>
      </c>
      <c r="AM102" s="254" t="s">
        <v>178</v>
      </c>
      <c r="AN102" s="255" t="str">
        <f t="shared" si="85"/>
        <v>EURYC</v>
      </c>
      <c r="AO102" s="252" t="str">
        <f t="shared" si="86"/>
        <v>EURDF_NOCSA</v>
      </c>
      <c r="AP102" s="259">
        <f t="shared" si="74"/>
        <v>14.1</v>
      </c>
      <c r="AQ102" s="270">
        <f t="shared" si="87"/>
        <v>0</v>
      </c>
      <c r="AR102" s="223" t="s">
        <v>4</v>
      </c>
      <c r="AS102" s="180">
        <f ca="1">IF(AND(NOW(),isEUR6MLLoaded),IF(OR($D102="",$D102=0),"",_xll.meProductSwapParRate(_xll.meUtilityLVBFromKeysValues($P$5:$AP$5,$P102:$AP102))),"Please Load Yield Curves")</f>
        <v>3.7219207884195459E-3</v>
      </c>
      <c r="AT102" s="138">
        <f ca="1">IF(AND(NOW(),isEUR6MLLoaded),IF(OR($D102="",$D102=0),"",_xll.meProductSwapPV(_xll.meUtilityLVBFromKeysValues($N$5:$AP$5,$N102:$AP102))),"Please Load Yield Curves")</f>
        <v>26304.820175419711</v>
      </c>
      <c r="AU102" s="138">
        <f ca="1">IF(AND(NOW(),isEUR6MLLoaded),IF(OR($D102="",$D102=0),"",_xll.meProductSwapPV01(_xll.meUtilityLVBFromKeysValues($N$5:$AO$5,$N102:$AO102))),"Please Load Yield Curves")</f>
        <v>706.75389592559361</v>
      </c>
      <c r="AV102" s="195">
        <f ca="1">IF(AND(NOW(),isEUR6MLLoaded),IF(OR($D102="",$D102=0),"",_xll.meProductSwapDV01(_xll.meUtilityLVBFromKeysValues($N$5:$AQ$5,$N102:$AQ102))),"Please Load Yield Curves")</f>
        <v>721.90770454153562</v>
      </c>
      <c r="AW102" s="48"/>
      <c r="AX102" s="149" t="str">
        <f>'EUR BASIS 12ML'!I41</f>
        <v>7Y</v>
      </c>
      <c r="AY102" s="184">
        <f>'EUR BASIS 12ML'!J41*10000</f>
        <v>14.1</v>
      </c>
      <c r="AZ102" s="183">
        <f t="shared" ca="1" si="75"/>
        <v>3.2496449985542665E-5</v>
      </c>
      <c r="BA102" s="189">
        <f t="shared" ca="1" si="76"/>
        <v>-229.66992631033645</v>
      </c>
    </row>
    <row r="103" spans="2:53" x14ac:dyDescent="0.25">
      <c r="B103" s="131">
        <f ca="1">IF(OR(D103="",D103=0),"",_xll.meDateFromTenor(COB,C103,$T103,$U103))</f>
        <v>42523</v>
      </c>
      <c r="C103" s="139" t="s">
        <v>191</v>
      </c>
      <c r="D103" s="133">
        <v>1000000</v>
      </c>
      <c r="E103" s="133" t="s">
        <v>17</v>
      </c>
      <c r="F103" s="134" t="s">
        <v>176</v>
      </c>
      <c r="G103" s="135" t="s">
        <v>57</v>
      </c>
      <c r="H103" s="136">
        <v>0</v>
      </c>
      <c r="I103" s="166" t="s">
        <v>192</v>
      </c>
      <c r="J103" s="368">
        <f t="shared" si="72"/>
        <v>13.4</v>
      </c>
      <c r="K103" s="238">
        <f>'EUR SWAP 3ML'!$L$41</f>
        <v>-1.5299999999999999E-3</v>
      </c>
      <c r="L103" s="135" t="s">
        <v>193</v>
      </c>
      <c r="M103" s="199"/>
      <c r="N103" s="277">
        <f t="shared" si="77"/>
        <v>1000000</v>
      </c>
      <c r="O103" s="252" t="str">
        <f t="shared" si="78"/>
        <v>PAYER</v>
      </c>
      <c r="P103" s="255">
        <f t="shared" ca="1" si="79"/>
        <v>42523</v>
      </c>
      <c r="Q103" s="255" t="str">
        <f t="shared" si="80"/>
        <v>8Y</v>
      </c>
      <c r="R103" s="249" t="s">
        <v>26</v>
      </c>
      <c r="S103" s="254" t="s">
        <v>20</v>
      </c>
      <c r="T103" s="249" t="s">
        <v>22</v>
      </c>
      <c r="U103" s="249" t="s">
        <v>2</v>
      </c>
      <c r="V103" s="255"/>
      <c r="W103" s="255"/>
      <c r="X103" s="256">
        <f t="shared" ca="1" si="81"/>
        <v>2</v>
      </c>
      <c r="Y103" s="257" t="s">
        <v>177</v>
      </c>
      <c r="Z103" s="254" t="s">
        <v>178</v>
      </c>
      <c r="AA103" s="252" t="str">
        <f t="shared" si="73"/>
        <v>EUR6ML</v>
      </c>
      <c r="AB103" s="256" t="str">
        <f t="shared" si="82"/>
        <v>Semi-Annual</v>
      </c>
      <c r="AC103" s="254" t="s">
        <v>6</v>
      </c>
      <c r="AD103" s="249" t="s">
        <v>22</v>
      </c>
      <c r="AE103" s="249" t="s">
        <v>2</v>
      </c>
      <c r="AF103" s="255"/>
      <c r="AG103" s="255"/>
      <c r="AH103" s="256">
        <f t="shared" ca="1" si="83"/>
        <v>2</v>
      </c>
      <c r="AI103" s="257" t="s">
        <v>177</v>
      </c>
      <c r="AJ103" s="258">
        <f t="shared" si="84"/>
        <v>-1.5299999999999999E-3</v>
      </c>
      <c r="AK103" s="258"/>
      <c r="AL103" s="257" t="s">
        <v>177</v>
      </c>
      <c r="AM103" s="254" t="s">
        <v>178</v>
      </c>
      <c r="AN103" s="255" t="str">
        <f t="shared" si="85"/>
        <v>EURYC</v>
      </c>
      <c r="AO103" s="252" t="str">
        <f t="shared" si="86"/>
        <v>EURDF_NOCSA</v>
      </c>
      <c r="AP103" s="259">
        <f t="shared" si="74"/>
        <v>13.4</v>
      </c>
      <c r="AQ103" s="270">
        <f t="shared" si="87"/>
        <v>0</v>
      </c>
      <c r="AR103" s="223" t="s">
        <v>4</v>
      </c>
      <c r="AS103" s="180">
        <f ca="1">IF(AND(NOW(),isEUR6MLLoaded),IF(OR($D103="",$D103=0),"",_xll.meProductSwapParRate(_xll.meUtilityLVBFromKeysValues($P$5:$AP$5,$P103:$AP103))),"Please Load Yield Curves")</f>
        <v>4.8321399298208731E-3</v>
      </c>
      <c r="AT103" s="138">
        <f ca="1">IF(AND(NOW(),isEUR6MLLoaded),IF(OR($D103="",$D103=0),"",_xll.meProductSwapPV(_xll.meUtilityLVBFromKeysValues($N$5:$AP$5,$N103:$AP103))),"Please Load Yield Curves")</f>
        <v>38975.035892504398</v>
      </c>
      <c r="AU103" s="138">
        <f ca="1">IF(AND(NOW(),isEUR6MLLoaded),IF(OR($D103="",$D103=0),"",_xll.meProductSwapPV01(_xll.meUtilityLVBFromKeysValues($N$5:$AO$5,$N103:$AO103))),"Please Load Yield Curves")</f>
        <v>806.57920628447516</v>
      </c>
      <c r="AV103" s="195">
        <f ca="1">IF(AND(NOW(),isEUR6MLLoaded),IF(OR($D103="",$D103=0),"",_xll.meProductSwapDV01(_xll.meUtilityLVBFromKeysValues($N$5:$AQ$5,$N103:$AQ103))),"Please Load Yield Curves")</f>
        <v>831.72373866451323</v>
      </c>
      <c r="AW103" s="48"/>
      <c r="AX103" s="149" t="str">
        <f>'EUR BASIS 12ML'!I42</f>
        <v>8Y</v>
      </c>
      <c r="AY103" s="184">
        <f>'EUR BASIS 12ML'!J42*10000</f>
        <v>13.4</v>
      </c>
      <c r="AZ103" s="183">
        <f t="shared" ca="1" si="75"/>
        <v>5.0595390460790937E-5</v>
      </c>
      <c r="BA103" s="189">
        <f t="shared" ca="1" si="76"/>
        <v>-408.09189879517362</v>
      </c>
    </row>
    <row r="104" spans="2:53" x14ac:dyDescent="0.25">
      <c r="B104" s="131">
        <f ca="1">IF(OR(D104="",D104=0),"",_xll.meDateFromTenor(COB,C104,$T104,$U104))</f>
        <v>42523</v>
      </c>
      <c r="C104" s="139" t="s">
        <v>191</v>
      </c>
      <c r="D104" s="133">
        <v>1000000</v>
      </c>
      <c r="E104" s="133" t="s">
        <v>17</v>
      </c>
      <c r="F104" s="134" t="s">
        <v>176</v>
      </c>
      <c r="G104" s="135" t="s">
        <v>59</v>
      </c>
      <c r="H104" s="136">
        <v>0</v>
      </c>
      <c r="I104" s="166" t="s">
        <v>192</v>
      </c>
      <c r="J104" s="368">
        <f t="shared" si="72"/>
        <v>12.8</v>
      </c>
      <c r="K104" s="238">
        <f>'EUR SWAP 3ML'!$L$41</f>
        <v>-1.5299999999999999E-3</v>
      </c>
      <c r="L104" s="135" t="s">
        <v>193</v>
      </c>
      <c r="M104" s="199"/>
      <c r="N104" s="277">
        <f t="shared" si="77"/>
        <v>1000000</v>
      </c>
      <c r="O104" s="252" t="str">
        <f t="shared" si="78"/>
        <v>PAYER</v>
      </c>
      <c r="P104" s="255">
        <f t="shared" ca="1" si="79"/>
        <v>42523</v>
      </c>
      <c r="Q104" s="255" t="str">
        <f t="shared" si="80"/>
        <v>9Y</v>
      </c>
      <c r="R104" s="249" t="s">
        <v>26</v>
      </c>
      <c r="S104" s="254" t="s">
        <v>20</v>
      </c>
      <c r="T104" s="249" t="s">
        <v>22</v>
      </c>
      <c r="U104" s="249" t="s">
        <v>2</v>
      </c>
      <c r="V104" s="255"/>
      <c r="W104" s="255"/>
      <c r="X104" s="256">
        <f t="shared" ca="1" si="81"/>
        <v>2</v>
      </c>
      <c r="Y104" s="257" t="s">
        <v>177</v>
      </c>
      <c r="Z104" s="254" t="s">
        <v>178</v>
      </c>
      <c r="AA104" s="252" t="str">
        <f t="shared" si="73"/>
        <v>EUR6ML</v>
      </c>
      <c r="AB104" s="256" t="str">
        <f t="shared" si="82"/>
        <v>Semi-Annual</v>
      </c>
      <c r="AC104" s="254" t="s">
        <v>6</v>
      </c>
      <c r="AD104" s="249" t="s">
        <v>22</v>
      </c>
      <c r="AE104" s="249" t="s">
        <v>2</v>
      </c>
      <c r="AF104" s="255"/>
      <c r="AG104" s="255"/>
      <c r="AH104" s="256">
        <f t="shared" ca="1" si="83"/>
        <v>2</v>
      </c>
      <c r="AI104" s="257" t="s">
        <v>177</v>
      </c>
      <c r="AJ104" s="258">
        <f t="shared" si="84"/>
        <v>-1.5299999999999999E-3</v>
      </c>
      <c r="AK104" s="258"/>
      <c r="AL104" s="257" t="s">
        <v>177</v>
      </c>
      <c r="AM104" s="254" t="s">
        <v>178</v>
      </c>
      <c r="AN104" s="255" t="str">
        <f t="shared" si="85"/>
        <v>EURYC</v>
      </c>
      <c r="AO104" s="252" t="str">
        <f t="shared" si="86"/>
        <v>EURDF_NOCSA</v>
      </c>
      <c r="AP104" s="259">
        <f t="shared" si="74"/>
        <v>12.8</v>
      </c>
      <c r="AQ104" s="270">
        <f t="shared" si="87"/>
        <v>0</v>
      </c>
      <c r="AR104" s="223" t="s">
        <v>4</v>
      </c>
      <c r="AS104" s="180">
        <f ca="1">IF(AND(NOW(),isEUR6MLLoaded),IF(OR($D104="",$D104=0),"",_xll.meProductSwapParRate(_xll.meUtilityLVBFromKeysValues($P$5:$AP$5,$P104:$AP104))),"Please Load Yield Curves")</f>
        <v>5.9010788976233833E-3</v>
      </c>
      <c r="AT104" s="138">
        <f ca="1">IF(AND(NOW(),isEUR6MLLoaded),IF(OR($D104="",$D104=0),"",_xll.meProductSwapPV(_xll.meUtilityLVBFromKeysValues($N$5:$AP$5,$N104:$AP104))),"Please Load Yield Curves")</f>
        <v>53387.347508959872</v>
      </c>
      <c r="AU104" s="138">
        <f ca="1">IF(AND(NOW(),isEUR6MLLoaded),IF(OR($D104="",$D104=0),"",_xll.meProductSwapPV01(_xll.meUtilityLVBFromKeysValues($N$5:$AO$5,$N104:$AO104))),"Please Load Yield Curves")</f>
        <v>904.70485880914498</v>
      </c>
      <c r="AV104" s="195">
        <f ca="1">IF(AND(NOW(),isEUR6MLLoaded),IF(OR($D104="",$D104=0),"",_xll.meProductSwapDV01(_xll.meUtilityLVBFromKeysValues($N$5:$AQ$5,$N104:$AQ104))),"Please Load Yield Curves")</f>
        <v>942.61122635619654</v>
      </c>
      <c r="AW104" s="48"/>
      <c r="AX104" s="149" t="str">
        <f>'EUR BASIS 12ML'!I43</f>
        <v>9Y</v>
      </c>
      <c r="AY104" s="184">
        <f>'EUR BASIS 12ML'!J43*10000</f>
        <v>12.8</v>
      </c>
      <c r="AZ104" s="183">
        <f t="shared" ca="1" si="75"/>
        <v>6.8407832533538132E-5</v>
      </c>
      <c r="BA104" s="189">
        <f t="shared" ca="1" si="76"/>
        <v>-618.8889847369428</v>
      </c>
    </row>
    <row r="105" spans="2:53" x14ac:dyDescent="0.25">
      <c r="B105" s="131">
        <f ca="1">IF(OR(D105="",D105=0),"",_xll.meDateFromTenor(COB,C105,$T105,$U105))</f>
        <v>42523</v>
      </c>
      <c r="C105" s="139" t="s">
        <v>191</v>
      </c>
      <c r="D105" s="133">
        <v>1000000</v>
      </c>
      <c r="E105" s="133" t="s">
        <v>17</v>
      </c>
      <c r="F105" s="134" t="s">
        <v>176</v>
      </c>
      <c r="G105" s="135" t="s">
        <v>60</v>
      </c>
      <c r="H105" s="136">
        <v>0</v>
      </c>
      <c r="I105" s="166" t="s">
        <v>192</v>
      </c>
      <c r="J105" s="368">
        <f t="shared" si="72"/>
        <v>12.2</v>
      </c>
      <c r="K105" s="238">
        <f>'EUR SWAP 3ML'!$L$41</f>
        <v>-1.5299999999999999E-3</v>
      </c>
      <c r="L105" s="135" t="s">
        <v>193</v>
      </c>
      <c r="M105" s="199"/>
      <c r="N105" s="277">
        <f t="shared" si="77"/>
        <v>1000000</v>
      </c>
      <c r="O105" s="252" t="str">
        <f t="shared" si="78"/>
        <v>PAYER</v>
      </c>
      <c r="P105" s="255">
        <f t="shared" ca="1" si="79"/>
        <v>42523</v>
      </c>
      <c r="Q105" s="255" t="str">
        <f t="shared" si="80"/>
        <v>10Y</v>
      </c>
      <c r="R105" s="249" t="s">
        <v>26</v>
      </c>
      <c r="S105" s="254" t="s">
        <v>20</v>
      </c>
      <c r="T105" s="249" t="s">
        <v>22</v>
      </c>
      <c r="U105" s="249" t="s">
        <v>2</v>
      </c>
      <c r="V105" s="255"/>
      <c r="W105" s="255"/>
      <c r="X105" s="256">
        <f t="shared" ca="1" si="81"/>
        <v>2</v>
      </c>
      <c r="Y105" s="257" t="s">
        <v>177</v>
      </c>
      <c r="Z105" s="254" t="s">
        <v>178</v>
      </c>
      <c r="AA105" s="252" t="str">
        <f t="shared" si="73"/>
        <v>EUR6ML</v>
      </c>
      <c r="AB105" s="256" t="str">
        <f t="shared" si="82"/>
        <v>Semi-Annual</v>
      </c>
      <c r="AC105" s="254" t="s">
        <v>6</v>
      </c>
      <c r="AD105" s="249" t="s">
        <v>22</v>
      </c>
      <c r="AE105" s="249" t="s">
        <v>2</v>
      </c>
      <c r="AF105" s="255"/>
      <c r="AG105" s="255"/>
      <c r="AH105" s="256">
        <f t="shared" ca="1" si="83"/>
        <v>2</v>
      </c>
      <c r="AI105" s="257" t="s">
        <v>177</v>
      </c>
      <c r="AJ105" s="258">
        <f t="shared" si="84"/>
        <v>-1.5299999999999999E-3</v>
      </c>
      <c r="AK105" s="258"/>
      <c r="AL105" s="257" t="s">
        <v>177</v>
      </c>
      <c r="AM105" s="254" t="s">
        <v>178</v>
      </c>
      <c r="AN105" s="255" t="str">
        <f t="shared" si="85"/>
        <v>EURYC</v>
      </c>
      <c r="AO105" s="252" t="str">
        <f t="shared" si="86"/>
        <v>EURDF_NOCSA</v>
      </c>
      <c r="AP105" s="259">
        <f t="shared" si="74"/>
        <v>12.2</v>
      </c>
      <c r="AQ105" s="270">
        <f t="shared" si="87"/>
        <v>0</v>
      </c>
      <c r="AR105" s="223" t="s">
        <v>4</v>
      </c>
      <c r="AS105" s="180">
        <f ca="1">IF(AND(NOW(),isEUR6MLLoaded),IF(OR($D105="",$D105=0),"",_xll.meProductSwapParRate(_xll.meUtilityLVBFromKeysValues($P$5:$AP$5,$P105:$AP105))),"Please Load Yield Curves")</f>
        <v>6.8897933314280126E-3</v>
      </c>
      <c r="AT105" s="138">
        <f ca="1">IF(AND(NOW(),isEUR6MLLoaded),IF(OR($D105="",$D105=0),"",_xll.meProductSwapPV(_xll.meUtilityLVBFromKeysValues($N$5:$AP$5,$N105:$AP105))),"Please Load Yield Curves")</f>
        <v>69023.329233698765</v>
      </c>
      <c r="AU105" s="138">
        <f ca="1">IF(AND(NOW(),isEUR6MLLoaded),IF(OR($D105="",$D105=0),"",_xll.meProductSwapPV01(_xll.meUtilityLVBFromKeysValues($N$5:$AO$5,$N105:$AO105))),"Please Load Yield Curves")</f>
        <v>1001.8200243953131</v>
      </c>
      <c r="AV105" s="195">
        <f ca="1">IF(AND(NOW(),isEUR6MLLoaded),IF(OR($D105="",$D105=0),"",_xll.meProductSwapDV01(_xll.meUtilityLVBFromKeysValues($N$5:$AQ$5,$N105:$AQ105))),"Please Load Yield Curves")</f>
        <v>1055.1318646431534</v>
      </c>
      <c r="AW105" s="48"/>
      <c r="AX105" s="149" t="str">
        <f>'EUR BASIS 12ML'!I44</f>
        <v>10Y</v>
      </c>
      <c r="AY105" s="184">
        <f>'EUR BASIS 12ML'!J44*10000</f>
        <v>12.2</v>
      </c>
      <c r="AZ105" s="183">
        <f t="shared" ca="1" si="75"/>
        <v>8.2546548331828909E-5</v>
      </c>
      <c r="BA105" s="189">
        <f t="shared" ca="1" si="76"/>
        <v>-826.96785063542484</v>
      </c>
    </row>
    <row r="106" spans="2:53" x14ac:dyDescent="0.25">
      <c r="B106" s="131">
        <f ca="1">IF(OR(D106="",D106=0),"",_xll.meDateFromTenor(COB,C106,$T106,$U106))</f>
        <v>42523</v>
      </c>
      <c r="C106" s="139" t="s">
        <v>191</v>
      </c>
      <c r="D106" s="133">
        <v>1000000</v>
      </c>
      <c r="E106" s="133" t="s">
        <v>17</v>
      </c>
      <c r="F106" s="134" t="s">
        <v>176</v>
      </c>
      <c r="G106" s="135" t="s">
        <v>63</v>
      </c>
      <c r="H106" s="136">
        <v>0</v>
      </c>
      <c r="I106" s="166" t="s">
        <v>192</v>
      </c>
      <c r="J106" s="368">
        <f t="shared" si="72"/>
        <v>9.3000000000000007</v>
      </c>
      <c r="K106" s="238">
        <f>'EUR SWAP 3ML'!$L$41</f>
        <v>-1.5299999999999999E-3</v>
      </c>
      <c r="L106" s="135" t="s">
        <v>193</v>
      </c>
      <c r="M106" s="199"/>
      <c r="N106" s="277">
        <f t="shared" si="77"/>
        <v>1000000</v>
      </c>
      <c r="O106" s="252" t="str">
        <f t="shared" si="78"/>
        <v>PAYER</v>
      </c>
      <c r="P106" s="255">
        <f t="shared" ca="1" si="79"/>
        <v>42523</v>
      </c>
      <c r="Q106" s="255" t="str">
        <f t="shared" si="80"/>
        <v>15Y</v>
      </c>
      <c r="R106" s="249" t="s">
        <v>26</v>
      </c>
      <c r="S106" s="254" t="s">
        <v>20</v>
      </c>
      <c r="T106" s="249" t="s">
        <v>22</v>
      </c>
      <c r="U106" s="249" t="s">
        <v>2</v>
      </c>
      <c r="V106" s="255"/>
      <c r="W106" s="255"/>
      <c r="X106" s="256">
        <f t="shared" ca="1" si="81"/>
        <v>2</v>
      </c>
      <c r="Y106" s="257" t="s">
        <v>177</v>
      </c>
      <c r="Z106" s="254" t="s">
        <v>178</v>
      </c>
      <c r="AA106" s="252" t="str">
        <f t="shared" si="73"/>
        <v>EUR6ML</v>
      </c>
      <c r="AB106" s="256" t="str">
        <f t="shared" si="82"/>
        <v>Semi-Annual</v>
      </c>
      <c r="AC106" s="254" t="s">
        <v>6</v>
      </c>
      <c r="AD106" s="249" t="s">
        <v>22</v>
      </c>
      <c r="AE106" s="249" t="s">
        <v>2</v>
      </c>
      <c r="AF106" s="255"/>
      <c r="AG106" s="255"/>
      <c r="AH106" s="256">
        <f t="shared" ca="1" si="83"/>
        <v>2</v>
      </c>
      <c r="AI106" s="257" t="s">
        <v>177</v>
      </c>
      <c r="AJ106" s="258">
        <f t="shared" si="84"/>
        <v>-1.5299999999999999E-3</v>
      </c>
      <c r="AK106" s="258"/>
      <c r="AL106" s="257" t="s">
        <v>177</v>
      </c>
      <c r="AM106" s="254" t="s">
        <v>178</v>
      </c>
      <c r="AN106" s="255" t="str">
        <f t="shared" si="85"/>
        <v>EURYC</v>
      </c>
      <c r="AO106" s="252" t="str">
        <f t="shared" si="86"/>
        <v>EURDF_NOCSA</v>
      </c>
      <c r="AP106" s="259">
        <f t="shared" si="74"/>
        <v>9.3000000000000007</v>
      </c>
      <c r="AQ106" s="270">
        <f t="shared" si="87"/>
        <v>0</v>
      </c>
      <c r="AR106" s="223" t="s">
        <v>4</v>
      </c>
      <c r="AS106" s="180">
        <f ca="1">IF(AND(NOW(),isEUR6MLLoaded),IF(OR($D106="",$D106=0),"",_xll.meProductSwapParRate(_xll.meUtilityLVBFromKeysValues($P$5:$AP$5,$P106:$AP106))),"Please Load Yield Curves")</f>
        <v>1.0303309940130879E-2</v>
      </c>
      <c r="AT106" s="138">
        <f ca="1">IF(AND(NOW(),isEUR6MLLoaded),IF(OR($D106="",$D106=0),"",_xll.meProductSwapPV(_xll.meUtilityLVBFromKeysValues($N$5:$AP$5,$N106:$AP106))),"Please Load Yield Curves")</f>
        <v>151004.84294609303</v>
      </c>
      <c r="AU106" s="138">
        <f ca="1">IF(AND(NOW(),isEUR6MLLoaded),IF(OR($D106="",$D106=0),"",_xll.meProductSwapPV01(_xll.meUtilityLVBFromKeysValues($N$5:$AO$5,$N106:$AO106))),"Please Load Yield Curves")</f>
        <v>1465.5954622692336</v>
      </c>
      <c r="AV106" s="195">
        <f ca="1">IF(AND(NOW(),isEUR6MLLoaded),IF(OR($D106="",$D106=0),"",_xll.meProductSwapDV01(_xll.meUtilityLVBFromKeysValues($N$5:$AQ$5,$N106:$AQ106))),"Please Load Yield Curves")</f>
        <v>1624.5412555042267</v>
      </c>
      <c r="AW106" s="48"/>
      <c r="AX106" s="149" t="str">
        <f>'EUR BASIS 12ML'!I45</f>
        <v>15Y</v>
      </c>
      <c r="AY106" s="184">
        <f>'EUR BASIS 12ML'!J45*10000</f>
        <v>9.3000000000000007</v>
      </c>
      <c r="AZ106" s="183">
        <f t="shared" ca="1" si="75"/>
        <v>1.3587445139255985E-4</v>
      </c>
      <c r="BA106" s="189">
        <f t="shared" ca="1" si="76"/>
        <v>-1991.3697939925769</v>
      </c>
    </row>
    <row r="107" spans="2:53" x14ac:dyDescent="0.25">
      <c r="B107" s="131">
        <f ca="1">IF(OR(D107="",D107=0),"",_xll.meDateFromTenor(COB,C107,$T107,$U107))</f>
        <v>42523</v>
      </c>
      <c r="C107" s="139" t="s">
        <v>191</v>
      </c>
      <c r="D107" s="133">
        <v>1000000</v>
      </c>
      <c r="E107" s="133" t="s">
        <v>17</v>
      </c>
      <c r="F107" s="134" t="s">
        <v>176</v>
      </c>
      <c r="G107" s="135" t="s">
        <v>64</v>
      </c>
      <c r="H107" s="136">
        <v>0</v>
      </c>
      <c r="I107" s="166" t="s">
        <v>192</v>
      </c>
      <c r="J107" s="368">
        <f t="shared" si="72"/>
        <v>7.8</v>
      </c>
      <c r="K107" s="238">
        <f>'EUR SWAP 3ML'!$L$41</f>
        <v>-1.5299999999999999E-3</v>
      </c>
      <c r="L107" s="135" t="s">
        <v>193</v>
      </c>
      <c r="M107" s="199"/>
      <c r="N107" s="277">
        <f t="shared" si="77"/>
        <v>1000000</v>
      </c>
      <c r="O107" s="252" t="str">
        <f t="shared" si="78"/>
        <v>PAYER</v>
      </c>
      <c r="P107" s="255">
        <f t="shared" ca="1" si="79"/>
        <v>42523</v>
      </c>
      <c r="Q107" s="255" t="str">
        <f t="shared" si="80"/>
        <v>20Y</v>
      </c>
      <c r="R107" s="249" t="s">
        <v>26</v>
      </c>
      <c r="S107" s="254" t="s">
        <v>20</v>
      </c>
      <c r="T107" s="249" t="s">
        <v>22</v>
      </c>
      <c r="U107" s="249" t="s">
        <v>2</v>
      </c>
      <c r="V107" s="255"/>
      <c r="W107" s="255"/>
      <c r="X107" s="256">
        <f t="shared" ca="1" si="81"/>
        <v>2</v>
      </c>
      <c r="Y107" s="257" t="s">
        <v>177</v>
      </c>
      <c r="Z107" s="254" t="s">
        <v>178</v>
      </c>
      <c r="AA107" s="252" t="str">
        <f t="shared" si="73"/>
        <v>EUR6ML</v>
      </c>
      <c r="AB107" s="256" t="str">
        <f t="shared" si="82"/>
        <v>Semi-Annual</v>
      </c>
      <c r="AC107" s="254" t="s">
        <v>6</v>
      </c>
      <c r="AD107" s="249" t="s">
        <v>22</v>
      </c>
      <c r="AE107" s="249" t="s">
        <v>2</v>
      </c>
      <c r="AF107" s="255"/>
      <c r="AG107" s="255"/>
      <c r="AH107" s="256">
        <f t="shared" ca="1" si="83"/>
        <v>2</v>
      </c>
      <c r="AI107" s="257" t="s">
        <v>177</v>
      </c>
      <c r="AJ107" s="258">
        <f t="shared" si="84"/>
        <v>-1.5299999999999999E-3</v>
      </c>
      <c r="AK107" s="258"/>
      <c r="AL107" s="257" t="s">
        <v>177</v>
      </c>
      <c r="AM107" s="254" t="s">
        <v>178</v>
      </c>
      <c r="AN107" s="255" t="str">
        <f t="shared" si="85"/>
        <v>EURYC</v>
      </c>
      <c r="AO107" s="252" t="str">
        <f t="shared" si="86"/>
        <v>EURDF_NOCSA</v>
      </c>
      <c r="AP107" s="259">
        <f t="shared" si="74"/>
        <v>7.8</v>
      </c>
      <c r="AQ107" s="270">
        <f t="shared" si="87"/>
        <v>0</v>
      </c>
      <c r="AR107" s="223" t="s">
        <v>4</v>
      </c>
      <c r="AS107" s="180">
        <f ca="1">IF(AND(NOW(),isEUR6MLLoaded),IF(OR($D107="",$D107=0),"",_xll.meProductSwapParRate(_xll.meUtilityLVBFromKeysValues($P$5:$AP$5,$P107:$AP107))),"Please Load Yield Curves")</f>
        <v>1.168343327467701E-2</v>
      </c>
      <c r="AT107" s="138">
        <f ca="1">IF(AND(NOW(),isEUR6MLLoaded),IF(OR($D107="",$D107=0),"",_xll.meProductSwapPV(_xll.meUtilityLVBFromKeysValues($N$5:$AP$5,$N107:$AP107))),"Please Load Yield Curves")</f>
        <v>221315.64335785536</v>
      </c>
      <c r="AU107" s="138">
        <f ca="1">IF(AND(NOW(),isEUR6MLLoaded),IF(OR($D107="",$D107=0),"",_xll.meProductSwapPV01(_xll.meUtilityLVBFromKeysValues($N$5:$AO$5,$N107:$AO107))),"Please Load Yield Curves")</f>
        <v>1894.2689032815456</v>
      </c>
      <c r="AV107" s="195">
        <f ca="1">IF(AND(NOW(),isEUR6MLLoaded),IF(OR($D107="",$D107=0),"",_xll.meProductSwapDV01(_xll.meUtilityLVBFromKeysValues($N$5:$AQ$5,$N107:$AQ107))),"Please Load Yield Curves")</f>
        <v>2177.9778121124496</v>
      </c>
      <c r="AW107" s="48"/>
      <c r="AX107" s="149" t="str">
        <f>'EUR BASIS 12ML'!I46</f>
        <v>20Y</v>
      </c>
      <c r="AY107" s="184">
        <f>'EUR BASIS 12ML'!J46*10000</f>
        <v>7.8</v>
      </c>
      <c r="AZ107" s="183">
        <f t="shared" ca="1" si="75"/>
        <v>1.5874037849519275E-4</v>
      </c>
      <c r="BA107" s="189">
        <f t="shared" ca="1" si="76"/>
        <v>-3006.9696267858671</v>
      </c>
    </row>
    <row r="108" spans="2:53" x14ac:dyDescent="0.25">
      <c r="B108" s="131">
        <f ca="1">IF(OR(D108="",D108=0),"",_xll.meDateFromTenor(COB,C108,$T108,$U108))</f>
        <v>42523</v>
      </c>
      <c r="C108" s="139" t="s">
        <v>191</v>
      </c>
      <c r="D108" s="133">
        <v>1000000</v>
      </c>
      <c r="E108" s="133" t="s">
        <v>17</v>
      </c>
      <c r="F108" s="134" t="s">
        <v>176</v>
      </c>
      <c r="G108" s="135" t="s">
        <v>65</v>
      </c>
      <c r="H108" s="136">
        <v>0</v>
      </c>
      <c r="I108" s="166" t="s">
        <v>192</v>
      </c>
      <c r="J108" s="368">
        <f t="shared" si="72"/>
        <v>7</v>
      </c>
      <c r="K108" s="238">
        <f>'EUR SWAP 3ML'!$L$41</f>
        <v>-1.5299999999999999E-3</v>
      </c>
      <c r="L108" s="135" t="s">
        <v>193</v>
      </c>
      <c r="M108" s="199"/>
      <c r="N108" s="277">
        <f t="shared" si="77"/>
        <v>1000000</v>
      </c>
      <c r="O108" s="252" t="str">
        <f t="shared" si="78"/>
        <v>PAYER</v>
      </c>
      <c r="P108" s="255">
        <f t="shared" ca="1" si="79"/>
        <v>42523</v>
      </c>
      <c r="Q108" s="255" t="str">
        <f t="shared" si="80"/>
        <v>25Y</v>
      </c>
      <c r="R108" s="249" t="s">
        <v>26</v>
      </c>
      <c r="S108" s="254" t="s">
        <v>20</v>
      </c>
      <c r="T108" s="249" t="s">
        <v>22</v>
      </c>
      <c r="U108" s="249" t="s">
        <v>2</v>
      </c>
      <c r="V108" s="255"/>
      <c r="W108" s="255"/>
      <c r="X108" s="256">
        <f t="shared" ca="1" si="81"/>
        <v>2</v>
      </c>
      <c r="Y108" s="257" t="s">
        <v>177</v>
      </c>
      <c r="Z108" s="254" t="s">
        <v>178</v>
      </c>
      <c r="AA108" s="252" t="str">
        <f t="shared" si="73"/>
        <v>EUR6ML</v>
      </c>
      <c r="AB108" s="256" t="str">
        <f t="shared" si="82"/>
        <v>Semi-Annual</v>
      </c>
      <c r="AC108" s="254" t="s">
        <v>6</v>
      </c>
      <c r="AD108" s="249" t="s">
        <v>22</v>
      </c>
      <c r="AE108" s="249" t="s">
        <v>2</v>
      </c>
      <c r="AF108" s="255"/>
      <c r="AG108" s="255"/>
      <c r="AH108" s="256">
        <f t="shared" ca="1" si="83"/>
        <v>2</v>
      </c>
      <c r="AI108" s="257" t="s">
        <v>177</v>
      </c>
      <c r="AJ108" s="258">
        <f t="shared" si="84"/>
        <v>-1.5299999999999999E-3</v>
      </c>
      <c r="AK108" s="258"/>
      <c r="AL108" s="257" t="s">
        <v>177</v>
      </c>
      <c r="AM108" s="254" t="s">
        <v>178</v>
      </c>
      <c r="AN108" s="255" t="str">
        <f t="shared" si="85"/>
        <v>EURYC</v>
      </c>
      <c r="AO108" s="252" t="str">
        <f t="shared" si="86"/>
        <v>EURDF_NOCSA</v>
      </c>
      <c r="AP108" s="259">
        <f t="shared" si="74"/>
        <v>7</v>
      </c>
      <c r="AQ108" s="270">
        <f t="shared" si="87"/>
        <v>0</v>
      </c>
      <c r="AR108" s="223" t="s">
        <v>4</v>
      </c>
      <c r="AS108" s="180">
        <f ca="1">IF(AND(NOW(),isEUR6MLLoaded),IF(OR($D108="",$D108=0),"",_xll.meProductSwapParRate(_xll.meUtilityLVBFromKeysValues($P$5:$AP$5,$P108:$AP108))),"Please Load Yield Curves")</f>
        <v>1.2001668220327655E-2</v>
      </c>
      <c r="AT108" s="138">
        <f ca="1">IF(AND(NOW(),isEUR6MLLoaded),IF(OR($D108="",$D108=0),"",_xll.meProductSwapPV(_xll.meUtilityLVBFromKeysValues($N$5:$AP$5,$N108:$AP108))),"Please Load Yield Curves")</f>
        <v>275450.76668765687</v>
      </c>
      <c r="AU108" s="138">
        <f ca="1">IF(AND(NOW(),isEUR6MLLoaded),IF(OR($D108="",$D108=0),"",_xll.meProductSwapPV01(_xll.meUtilityLVBFromKeysValues($N$5:$AO$5,$N108:$AO108))),"Please Load Yield Curves")</f>
        <v>2295.1039941357158</v>
      </c>
      <c r="AV108" s="195">
        <f ca="1">IF(AND(NOW(),isEUR6MLLoaded),IF(OR($D108="",$D108=0),"",_xll.meProductSwapDV01(_xll.meUtilityLVBFromKeysValues($N$5:$AQ$5,$N108:$AQ108))),"Please Load Yield Curves")</f>
        <v>2701.9538538821344</v>
      </c>
      <c r="AW108" s="48"/>
      <c r="AX108" s="149" t="str">
        <f>'EUR BASIS 12ML'!I47</f>
        <v>25Y</v>
      </c>
      <c r="AY108" s="184">
        <f>'EUR BASIS 12ML'!J47*10000</f>
        <v>7</v>
      </c>
      <c r="AZ108" s="183">
        <f t="shared" ca="1" si="75"/>
        <v>1.6499694502969918E-4</v>
      </c>
      <c r="BA108" s="189">
        <f t="shared" ca="1" si="76"/>
        <v>-3786.8514755785</v>
      </c>
    </row>
    <row r="109" spans="2:53" x14ac:dyDescent="0.25">
      <c r="B109" s="140">
        <f ca="1">IF(OR(D109="",D109=0),"",_xll.meDateFromTenor(COB,C109,$T109,$U109))</f>
        <v>42523</v>
      </c>
      <c r="C109" s="141" t="s">
        <v>191</v>
      </c>
      <c r="D109" s="142">
        <v>1000000</v>
      </c>
      <c r="E109" s="142" t="s">
        <v>17</v>
      </c>
      <c r="F109" s="143" t="s">
        <v>176</v>
      </c>
      <c r="G109" s="144" t="s">
        <v>66</v>
      </c>
      <c r="H109" s="145">
        <v>0</v>
      </c>
      <c r="I109" s="167" t="s">
        <v>192</v>
      </c>
      <c r="J109" s="369">
        <f t="shared" si="72"/>
        <v>6.4</v>
      </c>
      <c r="K109" s="484">
        <f>'EUR SWAP 3ML'!$L$41</f>
        <v>-1.5299999999999999E-3</v>
      </c>
      <c r="L109" s="144" t="s">
        <v>193</v>
      </c>
      <c r="M109" s="199"/>
      <c r="N109" s="278">
        <f t="shared" si="77"/>
        <v>1000000</v>
      </c>
      <c r="O109" s="253" t="str">
        <f t="shared" si="78"/>
        <v>PAYER</v>
      </c>
      <c r="P109" s="147">
        <f t="shared" ca="1" si="79"/>
        <v>42523</v>
      </c>
      <c r="Q109" s="147" t="str">
        <f t="shared" si="80"/>
        <v>30Y</v>
      </c>
      <c r="R109" s="271" t="s">
        <v>26</v>
      </c>
      <c r="S109" s="272" t="s">
        <v>20</v>
      </c>
      <c r="T109" s="271" t="s">
        <v>22</v>
      </c>
      <c r="U109" s="271" t="s">
        <v>2</v>
      </c>
      <c r="V109" s="147"/>
      <c r="W109" s="147"/>
      <c r="X109" s="263">
        <f t="shared" ca="1" si="81"/>
        <v>2</v>
      </c>
      <c r="Y109" s="273" t="s">
        <v>177</v>
      </c>
      <c r="Z109" s="272" t="s">
        <v>178</v>
      </c>
      <c r="AA109" s="253" t="str">
        <f t="shared" si="73"/>
        <v>EUR6ML</v>
      </c>
      <c r="AB109" s="263" t="str">
        <f t="shared" si="82"/>
        <v>Semi-Annual</v>
      </c>
      <c r="AC109" s="272" t="s">
        <v>6</v>
      </c>
      <c r="AD109" s="271" t="s">
        <v>22</v>
      </c>
      <c r="AE109" s="271" t="s">
        <v>2</v>
      </c>
      <c r="AF109" s="147"/>
      <c r="AG109" s="147"/>
      <c r="AH109" s="263">
        <f t="shared" ca="1" si="83"/>
        <v>2</v>
      </c>
      <c r="AI109" s="273" t="s">
        <v>177</v>
      </c>
      <c r="AJ109" s="485">
        <f t="shared" si="84"/>
        <v>-1.5299999999999999E-3</v>
      </c>
      <c r="AK109" s="485"/>
      <c r="AL109" s="486" t="s">
        <v>177</v>
      </c>
      <c r="AM109" s="272" t="s">
        <v>178</v>
      </c>
      <c r="AN109" s="147" t="str">
        <f t="shared" si="85"/>
        <v>EURYC</v>
      </c>
      <c r="AO109" s="253" t="str">
        <f t="shared" si="86"/>
        <v>EURDF_NOCSA</v>
      </c>
      <c r="AP109" s="261">
        <f t="shared" si="74"/>
        <v>6.4</v>
      </c>
      <c r="AQ109" s="275">
        <f t="shared" si="87"/>
        <v>0</v>
      </c>
      <c r="AR109" s="223" t="s">
        <v>4</v>
      </c>
      <c r="AS109" s="181">
        <f ca="1">IF(AND(NOW(),isEUR6MLLoaded),IF(OR($D109="",$D109=0),"",_xll.meProductSwapParRate(_xll.meUtilityLVBFromKeysValues($P$5:$AP$5,$P109:$AP109))),"Please Load Yield Curves")</f>
        <v>1.2017354894055338E-2</v>
      </c>
      <c r="AT109" s="148">
        <f ca="1">IF(AND(NOW(),isEUR6MLLoaded),IF(OR($D109="",$D109=0),"",_xll.meProductSwapPV(_xll.meUtilityLVBFromKeysValues($N$5:$AP$5,$N109:$AP109))),"Please Load Yield Curves")</f>
        <v>321269.48514019191</v>
      </c>
      <c r="AU109" s="148">
        <f ca="1">IF(AND(NOW(),isEUR6MLLoaded),IF(OR($D109="",$D109=0),"",_xll.meProductSwapPV01(_xll.meUtilityLVBFromKeysValues($N$5:$AO$5,$N109:$AO109))),"Please Load Yield Curves")</f>
        <v>2673.3793582073149</v>
      </c>
      <c r="AV109" s="196">
        <f ca="1">IF(AND(NOW(),isEUR6MLLoaded),IF(OR($D109="",$D109=0),"",_xll.meProductSwapDV01(_xll.meUtilityLVBFromKeysValues($N$5:$AQ$5,$N109:$AQ109))),"Please Load Yield Curves")</f>
        <v>3207.9211411065889</v>
      </c>
      <c r="AW109" s="176"/>
      <c r="AX109" s="150" t="str">
        <f>'EUR BASIS 12ML'!I48</f>
        <v>30Y</v>
      </c>
      <c r="AY109" s="188">
        <f>'EUR BASIS 12ML'!J48*10000</f>
        <v>6.4</v>
      </c>
      <c r="AZ109" s="192">
        <f t="shared" ca="1" si="75"/>
        <v>1.6581773943376635E-4</v>
      </c>
      <c r="BA109" s="190">
        <f t="shared" ca="1" si="76"/>
        <v>-4432.9372182682855</v>
      </c>
    </row>
    <row r="110" spans="2:53" x14ac:dyDescent="0.25">
      <c r="AR110" s="223" t="s">
        <v>4</v>
      </c>
      <c r="AU110" s="177"/>
      <c r="AV110" s="177"/>
    </row>
    <row r="111" spans="2:53" x14ac:dyDescent="0.25">
      <c r="B111" s="40" t="s">
        <v>228</v>
      </c>
      <c r="C111" s="40"/>
      <c r="D111" s="40"/>
      <c r="E111" s="40"/>
      <c r="F111" s="40"/>
      <c r="G111" s="40"/>
      <c r="H111" s="40"/>
      <c r="I111" s="40"/>
      <c r="J111" s="40"/>
      <c r="K111" s="40"/>
      <c r="L111" s="40"/>
      <c r="M111" s="40"/>
      <c r="N111" s="223" t="s">
        <v>282</v>
      </c>
      <c r="O111" s="223"/>
      <c r="P111" s="223"/>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23" t="s">
        <v>4</v>
      </c>
      <c r="AS111" s="40"/>
      <c r="AT111" s="40"/>
      <c r="AU111" s="177"/>
      <c r="AV111" s="177"/>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199"/>
      <c r="N112" s="262" t="s">
        <v>175</v>
      </c>
      <c r="O112" s="250" t="s">
        <v>249</v>
      </c>
      <c r="P112" s="250" t="s">
        <v>250</v>
      </c>
      <c r="Q112" s="250" t="s">
        <v>251</v>
      </c>
      <c r="R112" s="250" t="s">
        <v>253</v>
      </c>
      <c r="S112" s="250" t="s">
        <v>254</v>
      </c>
      <c r="T112" s="250" t="s">
        <v>255</v>
      </c>
      <c r="U112" s="250" t="s">
        <v>256</v>
      </c>
      <c r="V112" s="250" t="s">
        <v>283</v>
      </c>
      <c r="W112" s="250" t="s">
        <v>284</v>
      </c>
      <c r="X112" s="250" t="s">
        <v>257</v>
      </c>
      <c r="Y112" s="250" t="s">
        <v>258</v>
      </c>
      <c r="Z112" s="250" t="s">
        <v>259</v>
      </c>
      <c r="AA112" s="250" t="s">
        <v>271</v>
      </c>
      <c r="AB112" s="250" t="s">
        <v>260</v>
      </c>
      <c r="AC112" s="250" t="s">
        <v>261</v>
      </c>
      <c r="AD112" s="250" t="s">
        <v>262</v>
      </c>
      <c r="AE112" s="250" t="s">
        <v>263</v>
      </c>
      <c r="AF112" s="250" t="s">
        <v>285</v>
      </c>
      <c r="AG112" s="250" t="s">
        <v>286</v>
      </c>
      <c r="AH112" s="250" t="s">
        <v>264</v>
      </c>
      <c r="AI112" s="250" t="s">
        <v>265</v>
      </c>
      <c r="AJ112" s="250" t="s">
        <v>266</v>
      </c>
      <c r="AK112" s="250" t="s">
        <v>267</v>
      </c>
      <c r="AL112" s="250" t="s">
        <v>268</v>
      </c>
      <c r="AM112" s="250" t="s">
        <v>270</v>
      </c>
      <c r="AN112" s="250" t="s">
        <v>80</v>
      </c>
      <c r="AO112" s="250" t="s">
        <v>272</v>
      </c>
      <c r="AP112" s="250" t="s">
        <v>269</v>
      </c>
      <c r="AQ112" s="251" t="s">
        <v>252</v>
      </c>
      <c r="AR112" s="223" t="s">
        <v>4</v>
      </c>
      <c r="AS112" s="178" t="s">
        <v>188</v>
      </c>
      <c r="AT112" s="112" t="s">
        <v>189</v>
      </c>
      <c r="AU112" s="112" t="s">
        <v>190</v>
      </c>
      <c r="AV112" s="113" t="s">
        <v>273</v>
      </c>
    </row>
    <row r="113" spans="2:49" hidden="1" outlineLevel="1" x14ac:dyDescent="0.25">
      <c r="B113" s="115">
        <f ca="1">IF(OR(D113="",D113=0),"",_xll.meDateFromTenor(COB,C113,$T113,$U113))</f>
        <v>42523</v>
      </c>
      <c r="C113" s="132" t="s">
        <v>191</v>
      </c>
      <c r="D113" s="133">
        <v>1000000</v>
      </c>
      <c r="E113" s="133" t="s">
        <v>17</v>
      </c>
      <c r="F113" s="134" t="s">
        <v>229</v>
      </c>
      <c r="G113" s="135" t="s">
        <v>47</v>
      </c>
      <c r="H113" s="136">
        <v>0</v>
      </c>
      <c r="I113" s="166" t="s">
        <v>240</v>
      </c>
      <c r="J113" s="137">
        <v>0</v>
      </c>
      <c r="K113" s="238">
        <f>'EUR SWAP 3ML'!$L$42</f>
        <v>-1.4999999999999999E-4</v>
      </c>
      <c r="L113" s="135" t="s">
        <v>193</v>
      </c>
      <c r="M113" s="199"/>
      <c r="N113" s="276">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-1.4999999999999999E-4</v>
      </c>
      <c r="AK113" s="129"/>
      <c r="AL113" s="126" t="s">
        <v>177</v>
      </c>
      <c r="AM113" s="123" t="s">
        <v>178</v>
      </c>
      <c r="AN113" s="124" t="str">
        <f>E113&amp;"YC"</f>
        <v>EURYC</v>
      </c>
      <c r="AO113" s="127" t="str">
        <f>LEFT(AN113,3)&amp;"DF_"&amp;L113</f>
        <v>EURDF_NOCSA</v>
      </c>
      <c r="AP113" s="128">
        <f t="shared" ref="AP113:AP125" si="89">J113</f>
        <v>0</v>
      </c>
      <c r="AQ113" s="269">
        <f>H113</f>
        <v>0</v>
      </c>
      <c r="AR113" s="223" t="s">
        <v>4</v>
      </c>
      <c r="AS113" s="179">
        <f ca="1">IF(AND(NOW(),isEUR12MLLoaded),IF(OR($D113="",$D113=0),"",_xll.meProductSwapParRate(_xll.meUtilityLVBFromKeysValues($P$5:$AP$5,$P113:$AP113))),"Please Load Yield Curves")</f>
        <v>-1.3179828972405307E-4</v>
      </c>
      <c r="AT113" s="130">
        <f ca="1">IF(AND(NOW(),isEUR12MLLoaded),IF(OR($D113="",$D113=0),"",_xll.meProductSwapPV(_xll.meUtilityLVBFromKeysValues($N$5:$AP$5,$N113:$AP113))),"Please Load Yield Curves")</f>
        <v>265.93348483157985</v>
      </c>
      <c r="AU113" s="130">
        <f ca="1">IF(AND(NOW(),isEUR12MLLoaded),IF(OR($D113="",$D113=0),"",_xll.meProductSwapPV01(_xll.meUtilityLVBFromKeysValues($N$5:$AO$5,$N113:$AO113))),"Please Load Yield Curves")</f>
        <v>201.77309234313017</v>
      </c>
      <c r="AV113" s="194">
        <f ca="1">IF(AND(NOW(),isEUR12MLLoaded),IF(OR($D113="",$D113=0),"",_xll.meProductSwapDV01(_xll.meUtilityLVBFromKeysValues($N$5:$AQ$5,$N113:$AQ113))),"Please Load Yield Curves")</f>
        <v>201.8111814771664</v>
      </c>
    </row>
    <row r="114" spans="2:49" hidden="1" outlineLevel="1" x14ac:dyDescent="0.25">
      <c r="B114" s="131">
        <f ca="1">IF(OR(D114="",D114=0),"",_xll.meDateFromTenor(COB,C114,$T114,$U114))</f>
        <v>42523</v>
      </c>
      <c r="C114" s="139" t="s">
        <v>191</v>
      </c>
      <c r="D114" s="133">
        <v>1000000</v>
      </c>
      <c r="E114" s="133" t="s">
        <v>17</v>
      </c>
      <c r="F114" s="134" t="s">
        <v>229</v>
      </c>
      <c r="G114" s="135" t="s">
        <v>43</v>
      </c>
      <c r="H114" s="136">
        <v>0</v>
      </c>
      <c r="I114" s="166" t="s">
        <v>240</v>
      </c>
      <c r="J114" s="137">
        <v>0</v>
      </c>
      <c r="K114" s="238">
        <f>'EUR SWAP 3ML'!$L$42</f>
        <v>-1.4999999999999999E-4</v>
      </c>
      <c r="L114" s="135" t="s">
        <v>193</v>
      </c>
      <c r="M114" s="199"/>
      <c r="N114" s="277">
        <f t="shared" ref="N114:N125" si="90">D114</f>
        <v>1000000</v>
      </c>
      <c r="O114" s="252" t="str">
        <f t="shared" ref="O114:O125" si="91">F114</f>
        <v>RECEIVER</v>
      </c>
      <c r="P114" s="255">
        <f t="shared" ref="P114:P125" ca="1" si="92">B114</f>
        <v>42523</v>
      </c>
      <c r="Q114" s="255" t="str">
        <f t="shared" ref="Q114:Q125" si="93">G114</f>
        <v>3Y</v>
      </c>
      <c r="R114" s="249" t="s">
        <v>26</v>
      </c>
      <c r="S114" s="254" t="s">
        <v>20</v>
      </c>
      <c r="T114" s="249" t="s">
        <v>22</v>
      </c>
      <c r="U114" s="249" t="s">
        <v>2</v>
      </c>
      <c r="V114" s="255"/>
      <c r="W114" s="255"/>
      <c r="X114" s="256">
        <f t="shared" ref="X114:X125" ca="1" si="94">IF($B114="","",DAY($B114))</f>
        <v>2</v>
      </c>
      <c r="Y114" s="257" t="s">
        <v>177</v>
      </c>
      <c r="Z114" s="254" t="s">
        <v>178</v>
      </c>
      <c r="AA114" s="252" t="str">
        <f t="shared" si="88"/>
        <v>EUR12ML</v>
      </c>
      <c r="AB114" s="256" t="str">
        <f t="shared" ref="AB114:AB125" si="95">IF($I114="1ML","Monthly",IF($I114="3ML","Quarterly",IF($I114="6ML","Semi-Annual","Annual")))</f>
        <v>Annual</v>
      </c>
      <c r="AC114" s="254" t="s">
        <v>6</v>
      </c>
      <c r="AD114" s="249" t="s">
        <v>22</v>
      </c>
      <c r="AE114" s="249" t="s">
        <v>2</v>
      </c>
      <c r="AF114" s="255"/>
      <c r="AG114" s="255"/>
      <c r="AH114" s="256">
        <f t="shared" ref="AH114:AH125" ca="1" si="96">IF($B114="","",DAY($B114))</f>
        <v>2</v>
      </c>
      <c r="AI114" s="257" t="s">
        <v>177</v>
      </c>
      <c r="AJ114" s="258">
        <f t="shared" ref="AJ114:AJ125" si="97">$K114</f>
        <v>-1.4999999999999999E-4</v>
      </c>
      <c r="AK114" s="258"/>
      <c r="AL114" s="257" t="s">
        <v>177</v>
      </c>
      <c r="AM114" s="254" t="s">
        <v>178</v>
      </c>
      <c r="AN114" s="255" t="str">
        <f t="shared" ref="AN114:AN125" si="98">E114&amp;"YC"</f>
        <v>EURYC</v>
      </c>
      <c r="AO114" s="252" t="str">
        <f t="shared" ref="AO114:AO125" si="99">LEFT(AN114,3)&amp;"DF_"&amp;L114</f>
        <v>EURDF_NOCSA</v>
      </c>
      <c r="AP114" s="259">
        <f t="shared" si="89"/>
        <v>0</v>
      </c>
      <c r="AQ114" s="270">
        <f t="shared" ref="AQ114:AQ125" si="100">H114</f>
        <v>0</v>
      </c>
      <c r="AR114" s="223" t="s">
        <v>4</v>
      </c>
      <c r="AS114" s="180">
        <f ca="1">IF(AND(NOW(),isEUR12MLLoaded),IF(OR($D114="",$D114=0),"",_xll.meProductSwapParRate(_xll.meUtilityLVBFromKeysValues($P$5:$AP$5,$P114:$AP114))),"Please Load Yield Curves")</f>
        <v>1.9646950067714602E-4</v>
      </c>
      <c r="AT114" s="138">
        <f ca="1">IF(AND(NOW(),isEUR12MLLoaded),IF(OR($D114="",$D114=0),"",_xll.meProductSwapPV(_xll.meUtilityLVBFromKeysValues($N$5:$AP$5,$N114:$AP114))),"Please Load Yield Curves")</f>
        <v>-594.6655887107828</v>
      </c>
      <c r="AU114" s="138">
        <f ca="1">IF(AND(NOW(),isEUR12MLLoaded),IF(OR($D114="",$D114=0),"",_xll.meProductSwapPV01(_xll.meUtilityLVBFromKeysValues($N$5:$AO$5,$N114:$AO114))),"Please Load Yield Curves")</f>
        <v>302.67577749280463</v>
      </c>
      <c r="AV114" s="195">
        <f ca="1">IF(AND(NOW(),isEUR12MLLoaded),IF(OR($D114="",$D114=0),"",_xll.meProductSwapDV01(_xll.meUtilityLVBFromKeysValues($N$5:$AQ$5,$N114:$AQ114))),"Please Load Yield Curves")</f>
        <v>302.45515574920432</v>
      </c>
      <c r="AW114" s="48"/>
    </row>
    <row r="115" spans="2:49" hidden="1" outlineLevel="1" x14ac:dyDescent="0.25">
      <c r="B115" s="131">
        <f ca="1">IF(OR(D115="",D115=0),"",_xll.meDateFromTenor(COB,C115,$T115,$U115))</f>
        <v>42523</v>
      </c>
      <c r="C115" s="139" t="s">
        <v>191</v>
      </c>
      <c r="D115" s="133">
        <v>1000000</v>
      </c>
      <c r="E115" s="133" t="s">
        <v>17</v>
      </c>
      <c r="F115" s="134" t="s">
        <v>229</v>
      </c>
      <c r="G115" s="135" t="s">
        <v>50</v>
      </c>
      <c r="H115" s="136">
        <v>0</v>
      </c>
      <c r="I115" s="166" t="s">
        <v>240</v>
      </c>
      <c r="J115" s="137">
        <v>0</v>
      </c>
      <c r="K115" s="238">
        <f>'EUR SWAP 3ML'!$L$42</f>
        <v>-1.4999999999999999E-4</v>
      </c>
      <c r="L115" s="135" t="s">
        <v>193</v>
      </c>
      <c r="M115" s="199"/>
      <c r="N115" s="277">
        <f t="shared" si="90"/>
        <v>1000000</v>
      </c>
      <c r="O115" s="252" t="str">
        <f t="shared" si="91"/>
        <v>RECEIVER</v>
      </c>
      <c r="P115" s="255">
        <f t="shared" ca="1" si="92"/>
        <v>42523</v>
      </c>
      <c r="Q115" s="255" t="str">
        <f t="shared" si="93"/>
        <v>4Y</v>
      </c>
      <c r="R115" s="249" t="s">
        <v>26</v>
      </c>
      <c r="S115" s="254" t="s">
        <v>20</v>
      </c>
      <c r="T115" s="249" t="s">
        <v>22</v>
      </c>
      <c r="U115" s="249" t="s">
        <v>2</v>
      </c>
      <c r="V115" s="255"/>
      <c r="W115" s="255"/>
      <c r="X115" s="256">
        <f t="shared" ca="1" si="94"/>
        <v>2</v>
      </c>
      <c r="Y115" s="257" t="s">
        <v>177</v>
      </c>
      <c r="Z115" s="254" t="s">
        <v>178</v>
      </c>
      <c r="AA115" s="252" t="str">
        <f t="shared" si="88"/>
        <v>EUR12ML</v>
      </c>
      <c r="AB115" s="256" t="str">
        <f t="shared" si="95"/>
        <v>Annual</v>
      </c>
      <c r="AC115" s="254" t="s">
        <v>6</v>
      </c>
      <c r="AD115" s="249" t="s">
        <v>22</v>
      </c>
      <c r="AE115" s="249" t="s">
        <v>2</v>
      </c>
      <c r="AF115" s="255"/>
      <c r="AG115" s="255"/>
      <c r="AH115" s="256">
        <f t="shared" ca="1" si="96"/>
        <v>2</v>
      </c>
      <c r="AI115" s="257" t="s">
        <v>177</v>
      </c>
      <c r="AJ115" s="258">
        <f t="shared" si="97"/>
        <v>-1.4999999999999999E-4</v>
      </c>
      <c r="AK115" s="258"/>
      <c r="AL115" s="257" t="s">
        <v>177</v>
      </c>
      <c r="AM115" s="254" t="s">
        <v>178</v>
      </c>
      <c r="AN115" s="255" t="str">
        <f t="shared" si="98"/>
        <v>EURYC</v>
      </c>
      <c r="AO115" s="252" t="str">
        <f t="shared" si="99"/>
        <v>EURDF_NOCSA</v>
      </c>
      <c r="AP115" s="259">
        <f t="shared" si="89"/>
        <v>0</v>
      </c>
      <c r="AQ115" s="270">
        <f t="shared" si="100"/>
        <v>0</v>
      </c>
      <c r="AR115" s="223" t="s">
        <v>4</v>
      </c>
      <c r="AS115" s="180">
        <f ca="1">IF(AND(NOW(),isEUR12MLLoaded),IF(OR($D115="",$D115=0),"",_xll.meProductSwapParRate(_xll.meUtilityLVBFromKeysValues($P$5:$AP$5,$P115:$AP115))),"Please Load Yield Curves")</f>
        <v>8.5939324591658816E-4</v>
      </c>
      <c r="AT115" s="138">
        <f ca="1">IF(AND(NOW(),isEUR12MLLoaded),IF(OR($D115="",$D115=0),"",_xll.meProductSwapPV(_xll.meUtilityLVBFromKeysValues($N$5:$AP$5,$N115:$AP115))),"Please Load Yield Curves")</f>
        <v>-3470.2283520122455</v>
      </c>
      <c r="AU115" s="138">
        <f ca="1">IF(AND(NOW(),isEUR12MLLoaded),IF(OR($D115="",$D115=0),"",_xll.meProductSwapPV01(_xll.meUtilityLVBFromKeysValues($N$5:$AO$5,$N115:$AO115))),"Please Load Yield Curves")</f>
        <v>403.79981673128748</v>
      </c>
      <c r="AV115" s="195">
        <f ca="1">IF(AND(NOW(),isEUR12MLLoaded),IF(OR($D115="",$D115=0),"",_xll.meProductSwapDV01(_xll.meUtilityLVBFromKeysValues($N$5:$AQ$5,$N115:$AQ115))),"Please Load Yield Curves")</f>
        <v>402.42853366255798</v>
      </c>
      <c r="AW115" s="48"/>
    </row>
    <row r="116" spans="2:49" hidden="1" outlineLevel="1" x14ac:dyDescent="0.25">
      <c r="B116" s="131">
        <f ca="1">IF(OR(D116="",D116=0),"",_xll.meDateFromTenor(COB,C116,$T116,$U116))</f>
        <v>42523</v>
      </c>
      <c r="C116" s="139" t="s">
        <v>191</v>
      </c>
      <c r="D116" s="133">
        <v>1000000</v>
      </c>
      <c r="E116" s="133" t="s">
        <v>17</v>
      </c>
      <c r="F116" s="134" t="s">
        <v>229</v>
      </c>
      <c r="G116" s="135" t="s">
        <v>52</v>
      </c>
      <c r="H116" s="136">
        <v>0</v>
      </c>
      <c r="I116" s="166" t="s">
        <v>240</v>
      </c>
      <c r="J116" s="137">
        <v>0</v>
      </c>
      <c r="K116" s="238">
        <f>'EUR SWAP 3ML'!$L$42</f>
        <v>-1.4999999999999999E-4</v>
      </c>
      <c r="L116" s="135" t="s">
        <v>193</v>
      </c>
      <c r="M116" s="199"/>
      <c r="N116" s="277">
        <f t="shared" si="90"/>
        <v>1000000</v>
      </c>
      <c r="O116" s="252" t="str">
        <f t="shared" si="91"/>
        <v>RECEIVER</v>
      </c>
      <c r="P116" s="255">
        <f t="shared" ca="1" si="92"/>
        <v>42523</v>
      </c>
      <c r="Q116" s="255" t="str">
        <f t="shared" si="93"/>
        <v>5Y</v>
      </c>
      <c r="R116" s="249" t="s">
        <v>26</v>
      </c>
      <c r="S116" s="254" t="s">
        <v>20</v>
      </c>
      <c r="T116" s="249" t="s">
        <v>22</v>
      </c>
      <c r="U116" s="249" t="s">
        <v>2</v>
      </c>
      <c r="V116" s="255"/>
      <c r="W116" s="255"/>
      <c r="X116" s="256">
        <f t="shared" ca="1" si="94"/>
        <v>2</v>
      </c>
      <c r="Y116" s="257" t="s">
        <v>177</v>
      </c>
      <c r="Z116" s="254" t="s">
        <v>178</v>
      </c>
      <c r="AA116" s="252" t="str">
        <f t="shared" si="88"/>
        <v>EUR12ML</v>
      </c>
      <c r="AB116" s="256" t="str">
        <f t="shared" si="95"/>
        <v>Annual</v>
      </c>
      <c r="AC116" s="254" t="s">
        <v>6</v>
      </c>
      <c r="AD116" s="249" t="s">
        <v>22</v>
      </c>
      <c r="AE116" s="249" t="s">
        <v>2</v>
      </c>
      <c r="AF116" s="255"/>
      <c r="AG116" s="255"/>
      <c r="AH116" s="256">
        <f t="shared" ca="1" si="96"/>
        <v>2</v>
      </c>
      <c r="AI116" s="257" t="s">
        <v>177</v>
      </c>
      <c r="AJ116" s="258">
        <f t="shared" si="97"/>
        <v>-1.4999999999999999E-4</v>
      </c>
      <c r="AK116" s="258"/>
      <c r="AL116" s="257" t="s">
        <v>177</v>
      </c>
      <c r="AM116" s="254" t="s">
        <v>178</v>
      </c>
      <c r="AN116" s="255" t="str">
        <f t="shared" si="98"/>
        <v>EURYC</v>
      </c>
      <c r="AO116" s="252" t="str">
        <f t="shared" si="99"/>
        <v>EURDF_NOCSA</v>
      </c>
      <c r="AP116" s="259">
        <f t="shared" si="89"/>
        <v>0</v>
      </c>
      <c r="AQ116" s="270">
        <f t="shared" si="100"/>
        <v>0</v>
      </c>
      <c r="AR116" s="223" t="s">
        <v>4</v>
      </c>
      <c r="AS116" s="180">
        <f ca="1">IF(AND(NOW(),isEUR12MLLoaded),IF(OR($D116="",$D116=0),"",_xll.meProductSwapParRate(_xll.meUtilityLVBFromKeysValues($P$5:$AP$5,$P116:$AP116))),"Please Load Yield Curves")</f>
        <v>1.6850890179214142E-3</v>
      </c>
      <c r="AT116" s="138">
        <f ca="1">IF(AND(NOW(),isEUR12MLLoaded),IF(OR($D116="",$D116=0),"",_xll.meProductSwapPV(_xll.meUtilityLVBFromKeysValues($N$5:$AP$5,$N116:$AP116))),"Please Load Yield Curves")</f>
        <v>-8512.9776770455082</v>
      </c>
      <c r="AU116" s="138">
        <f ca="1">IF(AND(NOW(),isEUR12MLLoaded),IF(OR($D116="",$D116=0),"",_xll.meProductSwapPV01(_xll.meUtilityLVBFromKeysValues($N$5:$AO$5,$N116:$AO116))),"Please Load Yield Curves")</f>
        <v>505.19453788538783</v>
      </c>
      <c r="AV116" s="195">
        <f ca="1">IF(AND(NOW(),isEUR12MLLoaded),IF(OR($D116="",$D116=0),"",_xll.meProductSwapDV01(_xll.meUtilityLVBFromKeysValues($N$5:$AQ$5,$N116:$AQ116))),"Please Load Yield Curves")</f>
        <v>501.30530005062224</v>
      </c>
      <c r="AW116" s="48"/>
    </row>
    <row r="117" spans="2:49" hidden="1" outlineLevel="1" x14ac:dyDescent="0.25">
      <c r="B117" s="131">
        <f ca="1">IF(OR(D117="",D117=0),"",_xll.meDateFromTenor(COB,C117,$T117,$U117))</f>
        <v>42523</v>
      </c>
      <c r="C117" s="139" t="s">
        <v>191</v>
      </c>
      <c r="D117" s="133">
        <v>1000000</v>
      </c>
      <c r="E117" s="133" t="s">
        <v>17</v>
      </c>
      <c r="F117" s="134" t="s">
        <v>229</v>
      </c>
      <c r="G117" s="135" t="s">
        <v>54</v>
      </c>
      <c r="H117" s="136">
        <v>0</v>
      </c>
      <c r="I117" s="166" t="s">
        <v>240</v>
      </c>
      <c r="J117" s="137">
        <v>0</v>
      </c>
      <c r="K117" s="238">
        <f>'EUR SWAP 3ML'!$L$42</f>
        <v>-1.4999999999999999E-4</v>
      </c>
      <c r="L117" s="135" t="s">
        <v>193</v>
      </c>
      <c r="M117" s="199"/>
      <c r="N117" s="277">
        <f t="shared" si="90"/>
        <v>1000000</v>
      </c>
      <c r="O117" s="252" t="str">
        <f t="shared" si="91"/>
        <v>RECEIVER</v>
      </c>
      <c r="P117" s="255">
        <f t="shared" ca="1" si="92"/>
        <v>42523</v>
      </c>
      <c r="Q117" s="255" t="str">
        <f t="shared" si="93"/>
        <v>6Y</v>
      </c>
      <c r="R117" s="249" t="s">
        <v>26</v>
      </c>
      <c r="S117" s="254" t="s">
        <v>20</v>
      </c>
      <c r="T117" s="249" t="s">
        <v>22</v>
      </c>
      <c r="U117" s="249" t="s">
        <v>2</v>
      </c>
      <c r="V117" s="255"/>
      <c r="W117" s="255"/>
      <c r="X117" s="256">
        <f t="shared" ca="1" si="94"/>
        <v>2</v>
      </c>
      <c r="Y117" s="257" t="s">
        <v>177</v>
      </c>
      <c r="Z117" s="254" t="s">
        <v>178</v>
      </c>
      <c r="AA117" s="252" t="str">
        <f t="shared" si="88"/>
        <v>EUR12ML</v>
      </c>
      <c r="AB117" s="256" t="str">
        <f t="shared" si="95"/>
        <v>Annual</v>
      </c>
      <c r="AC117" s="254" t="s">
        <v>6</v>
      </c>
      <c r="AD117" s="249" t="s">
        <v>22</v>
      </c>
      <c r="AE117" s="249" t="s">
        <v>2</v>
      </c>
      <c r="AF117" s="255"/>
      <c r="AG117" s="255"/>
      <c r="AH117" s="256">
        <f t="shared" ca="1" si="96"/>
        <v>2</v>
      </c>
      <c r="AI117" s="257" t="s">
        <v>177</v>
      </c>
      <c r="AJ117" s="258">
        <f t="shared" si="97"/>
        <v>-1.4999999999999999E-4</v>
      </c>
      <c r="AK117" s="258"/>
      <c r="AL117" s="257" t="s">
        <v>177</v>
      </c>
      <c r="AM117" s="254" t="s">
        <v>178</v>
      </c>
      <c r="AN117" s="255" t="str">
        <f t="shared" si="98"/>
        <v>EURYC</v>
      </c>
      <c r="AO117" s="252" t="str">
        <f t="shared" si="99"/>
        <v>EURDF_NOCSA</v>
      </c>
      <c r="AP117" s="259">
        <f t="shared" si="89"/>
        <v>0</v>
      </c>
      <c r="AQ117" s="270">
        <f t="shared" si="100"/>
        <v>0</v>
      </c>
      <c r="AR117" s="223" t="s">
        <v>4</v>
      </c>
      <c r="AS117" s="180">
        <f ca="1">IF(AND(NOW(),isEUR12MLLoaded),IF(OR($D117="",$D117=0),"",_xll.meProductSwapParRate(_xll.meUtilityLVBFromKeysValues($P$5:$AP$5,$P117:$AP117))),"Please Load Yield Curves")</f>
        <v>2.6690965824455429E-3</v>
      </c>
      <c r="AT117" s="138">
        <f ca="1">IF(AND(NOW(),isEUR12MLLoaded),IF(OR($D117="",$D117=0),"",_xll.meProductSwapPV(_xll.meUtilityLVBFromKeysValues($N$5:$AP$5,$N117:$AP117))),"Please Load Yield Curves")</f>
        <v>-16182.201148101902</v>
      </c>
      <c r="AU117" s="138">
        <f ca="1">IF(AND(NOW(),isEUR12MLLoaded),IF(OR($D117="",$D117=0),"",_xll.meProductSwapPV01(_xll.meUtilityLVBFromKeysValues($N$5:$AO$5,$N117:$AO117))),"Please Load Yield Curves")</f>
        <v>606.28008947038791</v>
      </c>
      <c r="AV117" s="195">
        <f ca="1">IF(AND(NOW(),isEUR12MLLoaded),IF(OR($D117="",$D117=0),"",_xll.meProductSwapDV01(_xll.meUtilityLVBFromKeysValues($N$5:$AQ$5,$N117:$AQ117))),"Please Load Yield Curves")</f>
        <v>597.80241779670268</v>
      </c>
      <c r="AW117" s="48"/>
    </row>
    <row r="118" spans="2:49" hidden="1" outlineLevel="1" x14ac:dyDescent="0.25">
      <c r="B118" s="131">
        <f ca="1">IF(OR(D118="",D118=0),"",_xll.meDateFromTenor(COB,C118,$T118,$U118))</f>
        <v>42523</v>
      </c>
      <c r="C118" s="139" t="s">
        <v>191</v>
      </c>
      <c r="D118" s="133">
        <v>1000000</v>
      </c>
      <c r="E118" s="133" t="s">
        <v>17</v>
      </c>
      <c r="F118" s="134" t="s">
        <v>229</v>
      </c>
      <c r="G118" s="135" t="s">
        <v>55</v>
      </c>
      <c r="H118" s="136">
        <v>0</v>
      </c>
      <c r="I118" s="166" t="s">
        <v>240</v>
      </c>
      <c r="J118" s="137">
        <v>0</v>
      </c>
      <c r="K118" s="238">
        <f>'EUR SWAP 3ML'!$L$42</f>
        <v>-1.4999999999999999E-4</v>
      </c>
      <c r="L118" s="135" t="s">
        <v>193</v>
      </c>
      <c r="M118" s="199"/>
      <c r="N118" s="277">
        <f t="shared" si="90"/>
        <v>1000000</v>
      </c>
      <c r="O118" s="252" t="str">
        <f t="shared" si="91"/>
        <v>RECEIVER</v>
      </c>
      <c r="P118" s="255">
        <f t="shared" ca="1" si="92"/>
        <v>42523</v>
      </c>
      <c r="Q118" s="255" t="str">
        <f t="shared" si="93"/>
        <v>7Y</v>
      </c>
      <c r="R118" s="249" t="s">
        <v>26</v>
      </c>
      <c r="S118" s="254" t="s">
        <v>20</v>
      </c>
      <c r="T118" s="249" t="s">
        <v>22</v>
      </c>
      <c r="U118" s="249" t="s">
        <v>2</v>
      </c>
      <c r="V118" s="255"/>
      <c r="W118" s="255"/>
      <c r="X118" s="256">
        <f t="shared" ca="1" si="94"/>
        <v>2</v>
      </c>
      <c r="Y118" s="257" t="s">
        <v>177</v>
      </c>
      <c r="Z118" s="254" t="s">
        <v>178</v>
      </c>
      <c r="AA118" s="252" t="str">
        <f t="shared" si="88"/>
        <v>EUR12ML</v>
      </c>
      <c r="AB118" s="256" t="str">
        <f t="shared" si="95"/>
        <v>Annual</v>
      </c>
      <c r="AC118" s="254" t="s">
        <v>6</v>
      </c>
      <c r="AD118" s="249" t="s">
        <v>22</v>
      </c>
      <c r="AE118" s="249" t="s">
        <v>2</v>
      </c>
      <c r="AF118" s="255"/>
      <c r="AG118" s="255"/>
      <c r="AH118" s="256">
        <f t="shared" ca="1" si="96"/>
        <v>2</v>
      </c>
      <c r="AI118" s="257" t="s">
        <v>177</v>
      </c>
      <c r="AJ118" s="258">
        <f t="shared" si="97"/>
        <v>-1.4999999999999999E-4</v>
      </c>
      <c r="AK118" s="258"/>
      <c r="AL118" s="257" t="s">
        <v>177</v>
      </c>
      <c r="AM118" s="254" t="s">
        <v>178</v>
      </c>
      <c r="AN118" s="255" t="str">
        <f t="shared" si="98"/>
        <v>EURYC</v>
      </c>
      <c r="AO118" s="252" t="str">
        <f t="shared" si="99"/>
        <v>EURDF_NOCSA</v>
      </c>
      <c r="AP118" s="259">
        <f t="shared" si="89"/>
        <v>0</v>
      </c>
      <c r="AQ118" s="270">
        <f t="shared" si="100"/>
        <v>0</v>
      </c>
      <c r="AR118" s="223" t="s">
        <v>4</v>
      </c>
      <c r="AS118" s="180">
        <f ca="1">IF(AND(NOW(),isEUR12MLLoaded),IF(OR($D118="",$D118=0),"",_xll.meProductSwapParRate(_xll.meUtilityLVBFromKeysValues($P$5:$AP$5,$P118:$AP118))),"Please Load Yield Curves")</f>
        <v>3.7544172384050885E-3</v>
      </c>
      <c r="AT118" s="138">
        <f ca="1">IF(AND(NOW(),isEUR12MLLoaded),IF(OR($D118="",$D118=0),"",_xll.meProductSwapPV(_xll.meUtilityLVBFromKeysValues($N$5:$AP$5,$N118:$AP118))),"Please Load Yield Curves")</f>
        <v>-26534.490101730047</v>
      </c>
      <c r="AU118" s="138">
        <f ca="1">IF(AND(NOW(),isEUR12MLLoaded),IF(OR($D118="",$D118=0),"",_xll.meProductSwapPV01(_xll.meUtilityLVBFromKeysValues($N$5:$AO$5,$N118:$AO118))),"Please Load Yield Curves")</f>
        <v>706.75389592559361</v>
      </c>
      <c r="AV118" s="195">
        <f ca="1">IF(AND(NOW(),isEUR12MLLoaded),IF(OR($D118="",$D118=0),"",_xll.meProductSwapDV01(_xll.meUtilityLVBFromKeysValues($N$5:$AQ$5,$N118:$AQ118))),"Please Load Yield Curves")</f>
        <v>691.06189444370148</v>
      </c>
      <c r="AW118" s="48"/>
    </row>
    <row r="119" spans="2:49" hidden="1" outlineLevel="1" x14ac:dyDescent="0.25">
      <c r="B119" s="131">
        <f ca="1">IF(OR(D119="",D119=0),"",_xll.meDateFromTenor(COB,C119,$T119,$U119))</f>
        <v>42523</v>
      </c>
      <c r="C119" s="139" t="s">
        <v>191</v>
      </c>
      <c r="D119" s="133">
        <v>1000000</v>
      </c>
      <c r="E119" s="133" t="s">
        <v>17</v>
      </c>
      <c r="F119" s="134" t="s">
        <v>229</v>
      </c>
      <c r="G119" s="135" t="s">
        <v>57</v>
      </c>
      <c r="H119" s="136">
        <v>0</v>
      </c>
      <c r="I119" s="166" t="s">
        <v>240</v>
      </c>
      <c r="J119" s="137">
        <v>0</v>
      </c>
      <c r="K119" s="238">
        <f>'EUR SWAP 3ML'!$L$42</f>
        <v>-1.4999999999999999E-4</v>
      </c>
      <c r="L119" s="135" t="s">
        <v>193</v>
      </c>
      <c r="M119" s="199"/>
      <c r="N119" s="277">
        <f t="shared" si="90"/>
        <v>1000000</v>
      </c>
      <c r="O119" s="252" t="str">
        <f t="shared" si="91"/>
        <v>RECEIVER</v>
      </c>
      <c r="P119" s="255">
        <f t="shared" ca="1" si="92"/>
        <v>42523</v>
      </c>
      <c r="Q119" s="255" t="str">
        <f t="shared" si="93"/>
        <v>8Y</v>
      </c>
      <c r="R119" s="249" t="s">
        <v>26</v>
      </c>
      <c r="S119" s="254" t="s">
        <v>20</v>
      </c>
      <c r="T119" s="249" t="s">
        <v>22</v>
      </c>
      <c r="U119" s="249" t="s">
        <v>2</v>
      </c>
      <c r="V119" s="255"/>
      <c r="W119" s="255"/>
      <c r="X119" s="256">
        <f t="shared" ca="1" si="94"/>
        <v>2</v>
      </c>
      <c r="Y119" s="257" t="s">
        <v>177</v>
      </c>
      <c r="Z119" s="254" t="s">
        <v>178</v>
      </c>
      <c r="AA119" s="252" t="str">
        <f t="shared" si="88"/>
        <v>EUR12ML</v>
      </c>
      <c r="AB119" s="256" t="str">
        <f t="shared" si="95"/>
        <v>Annual</v>
      </c>
      <c r="AC119" s="254" t="s">
        <v>6</v>
      </c>
      <c r="AD119" s="249" t="s">
        <v>22</v>
      </c>
      <c r="AE119" s="249" t="s">
        <v>2</v>
      </c>
      <c r="AF119" s="255"/>
      <c r="AG119" s="255"/>
      <c r="AH119" s="256">
        <f t="shared" ca="1" si="96"/>
        <v>2</v>
      </c>
      <c r="AI119" s="257" t="s">
        <v>177</v>
      </c>
      <c r="AJ119" s="258">
        <f t="shared" si="97"/>
        <v>-1.4999999999999999E-4</v>
      </c>
      <c r="AK119" s="258"/>
      <c r="AL119" s="257" t="s">
        <v>177</v>
      </c>
      <c r="AM119" s="254" t="s">
        <v>178</v>
      </c>
      <c r="AN119" s="255" t="str">
        <f t="shared" si="98"/>
        <v>EURYC</v>
      </c>
      <c r="AO119" s="252" t="str">
        <f t="shared" si="99"/>
        <v>EURDF_NOCSA</v>
      </c>
      <c r="AP119" s="259">
        <f t="shared" si="89"/>
        <v>0</v>
      </c>
      <c r="AQ119" s="270">
        <f t="shared" si="100"/>
        <v>0</v>
      </c>
      <c r="AR119" s="223" t="s">
        <v>4</v>
      </c>
      <c r="AS119" s="180">
        <f ca="1">IF(AND(NOW(),isEUR12MLLoaded),IF(OR($D119="",$D119=0),"",_xll.meProductSwapParRate(_xll.meUtilityLVBFromKeysValues($P$5:$AP$5,$P119:$AP119))),"Please Load Yield Curves")</f>
        <v>4.8827353202816641E-3</v>
      </c>
      <c r="AT119" s="138">
        <f ca="1">IF(AND(NOW(),isEUR12MLLoaded),IF(OR($D119="",$D119=0),"",_xll.meProductSwapPV(_xll.meUtilityLVBFromKeysValues($N$5:$AP$5,$N119:$AP119))),"Please Load Yield Curves")</f>
        <v>-39383.127791299572</v>
      </c>
      <c r="AU119" s="138">
        <f ca="1">IF(AND(NOW(),isEUR12MLLoaded),IF(OR($D119="",$D119=0),"",_xll.meProductSwapPV01(_xll.meUtilityLVBFromKeysValues($N$5:$AO$5,$N119:$AO119))),"Please Load Yield Curves")</f>
        <v>806.57920628447516</v>
      </c>
      <c r="AV119" s="195">
        <f ca="1">IF(AND(NOW(),isEUR12MLLoaded),IF(OR($D119="",$D119=0),"",_xll.meProductSwapDV01(_xll.meUtilityLVBFromKeysValues($N$5:$AQ$5,$N119:$AQ119))),"Please Load Yield Curves")</f>
        <v>780.66537901949175</v>
      </c>
      <c r="AW119" s="48"/>
    </row>
    <row r="120" spans="2:49" hidden="1" outlineLevel="1" x14ac:dyDescent="0.25">
      <c r="B120" s="131">
        <f ca="1">IF(OR(D120="",D120=0),"",_xll.meDateFromTenor(COB,C120,$T120,$U120))</f>
        <v>42523</v>
      </c>
      <c r="C120" s="139" t="s">
        <v>191</v>
      </c>
      <c r="D120" s="133">
        <v>1000000</v>
      </c>
      <c r="E120" s="133" t="s">
        <v>17</v>
      </c>
      <c r="F120" s="134" t="s">
        <v>229</v>
      </c>
      <c r="G120" s="135" t="s">
        <v>59</v>
      </c>
      <c r="H120" s="136">
        <v>0</v>
      </c>
      <c r="I120" s="166" t="s">
        <v>240</v>
      </c>
      <c r="J120" s="137">
        <v>0</v>
      </c>
      <c r="K120" s="238">
        <f>'EUR SWAP 3ML'!$L$42</f>
        <v>-1.4999999999999999E-4</v>
      </c>
      <c r="L120" s="135" t="s">
        <v>193</v>
      </c>
      <c r="M120" s="199"/>
      <c r="N120" s="277">
        <f t="shared" si="90"/>
        <v>1000000</v>
      </c>
      <c r="O120" s="252" t="str">
        <f t="shared" si="91"/>
        <v>RECEIVER</v>
      </c>
      <c r="P120" s="255">
        <f t="shared" ca="1" si="92"/>
        <v>42523</v>
      </c>
      <c r="Q120" s="255" t="str">
        <f t="shared" si="93"/>
        <v>9Y</v>
      </c>
      <c r="R120" s="249" t="s">
        <v>26</v>
      </c>
      <c r="S120" s="254" t="s">
        <v>20</v>
      </c>
      <c r="T120" s="249" t="s">
        <v>22</v>
      </c>
      <c r="U120" s="249" t="s">
        <v>2</v>
      </c>
      <c r="V120" s="255"/>
      <c r="W120" s="255"/>
      <c r="X120" s="256">
        <f t="shared" ca="1" si="94"/>
        <v>2</v>
      </c>
      <c r="Y120" s="257" t="s">
        <v>177</v>
      </c>
      <c r="Z120" s="254" t="s">
        <v>178</v>
      </c>
      <c r="AA120" s="252" t="str">
        <f t="shared" si="88"/>
        <v>EUR12ML</v>
      </c>
      <c r="AB120" s="256" t="str">
        <f t="shared" si="95"/>
        <v>Annual</v>
      </c>
      <c r="AC120" s="254" t="s">
        <v>6</v>
      </c>
      <c r="AD120" s="249" t="s">
        <v>22</v>
      </c>
      <c r="AE120" s="249" t="s">
        <v>2</v>
      </c>
      <c r="AF120" s="255"/>
      <c r="AG120" s="255"/>
      <c r="AH120" s="256">
        <f t="shared" ca="1" si="96"/>
        <v>2</v>
      </c>
      <c r="AI120" s="257" t="s">
        <v>177</v>
      </c>
      <c r="AJ120" s="258">
        <f t="shared" si="97"/>
        <v>-1.4999999999999999E-4</v>
      </c>
      <c r="AK120" s="258"/>
      <c r="AL120" s="257" t="s">
        <v>177</v>
      </c>
      <c r="AM120" s="254" t="s">
        <v>178</v>
      </c>
      <c r="AN120" s="255" t="str">
        <f t="shared" si="98"/>
        <v>EURYC</v>
      </c>
      <c r="AO120" s="252" t="str">
        <f t="shared" si="99"/>
        <v>EURDF_NOCSA</v>
      </c>
      <c r="AP120" s="259">
        <f t="shared" si="89"/>
        <v>0</v>
      </c>
      <c r="AQ120" s="270">
        <f t="shared" si="100"/>
        <v>0</v>
      </c>
      <c r="AR120" s="223" t="s">
        <v>4</v>
      </c>
      <c r="AS120" s="180">
        <f ca="1">IF(AND(NOW(),isEUR12MLLoaded),IF(OR($D120="",$D120=0),"",_xll.meProductSwapParRate(_xll.meUtilityLVBFromKeysValues($P$5:$AP$5,$P120:$AP120))),"Please Load Yield Curves")</f>
        <v>5.9694867301569214E-3</v>
      </c>
      <c r="AT120" s="138">
        <f ca="1">IF(AND(NOW(),isEUR12MLLoaded),IF(OR($D120="",$D120=0),"",_xll.meProductSwapPV(_xll.meUtilityLVBFromKeysValues($N$5:$AP$5,$N120:$AP120))),"Please Load Yield Curves")</f>
        <v>-54006.236493696815</v>
      </c>
      <c r="AU120" s="138">
        <f ca="1">IF(AND(NOW(),isEUR12MLLoaded),IF(OR($D120="",$D120=0),"",_xll.meProductSwapPV01(_xll.meUtilityLVBFromKeysValues($N$5:$AO$5,$N120:$AO120))),"Please Load Yield Curves")</f>
        <v>904.70485880914498</v>
      </c>
      <c r="AV120" s="195">
        <f ca="1">IF(AND(NOW(),isEUR12MLLoaded),IF(OR($D120="",$D120=0),"",_xll.meProductSwapDV01(_xll.meUtilityLVBFromKeysValues($N$5:$AQ$5,$N120:$AQ120))),"Please Load Yield Curves")</f>
        <v>865.7306889792842</v>
      </c>
      <c r="AW120" s="48"/>
    </row>
    <row r="121" spans="2:49" hidden="1" outlineLevel="1" x14ac:dyDescent="0.25">
      <c r="B121" s="131">
        <f ca="1">IF(OR(D121="",D121=0),"",_xll.meDateFromTenor(COB,C121,$T121,$U121))</f>
        <v>42523</v>
      </c>
      <c r="C121" s="139" t="s">
        <v>191</v>
      </c>
      <c r="D121" s="133">
        <v>1000000</v>
      </c>
      <c r="E121" s="133" t="s">
        <v>17</v>
      </c>
      <c r="F121" s="134" t="s">
        <v>229</v>
      </c>
      <c r="G121" s="135" t="s">
        <v>60</v>
      </c>
      <c r="H121" s="136">
        <v>0</v>
      </c>
      <c r="I121" s="166" t="s">
        <v>240</v>
      </c>
      <c r="J121" s="137">
        <v>0</v>
      </c>
      <c r="K121" s="238">
        <f>'EUR SWAP 3ML'!$L$42</f>
        <v>-1.4999999999999999E-4</v>
      </c>
      <c r="L121" s="135" t="s">
        <v>193</v>
      </c>
      <c r="M121" s="199"/>
      <c r="N121" s="277">
        <f t="shared" si="90"/>
        <v>1000000</v>
      </c>
      <c r="O121" s="252" t="str">
        <f t="shared" si="91"/>
        <v>RECEIVER</v>
      </c>
      <c r="P121" s="255">
        <f t="shared" ca="1" si="92"/>
        <v>42523</v>
      </c>
      <c r="Q121" s="255" t="str">
        <f t="shared" si="93"/>
        <v>10Y</v>
      </c>
      <c r="R121" s="249" t="s">
        <v>26</v>
      </c>
      <c r="S121" s="254" t="s">
        <v>20</v>
      </c>
      <c r="T121" s="249" t="s">
        <v>22</v>
      </c>
      <c r="U121" s="249" t="s">
        <v>2</v>
      </c>
      <c r="V121" s="255"/>
      <c r="W121" s="255"/>
      <c r="X121" s="256">
        <f t="shared" ca="1" si="94"/>
        <v>2</v>
      </c>
      <c r="Y121" s="257" t="s">
        <v>177</v>
      </c>
      <c r="Z121" s="254" t="s">
        <v>178</v>
      </c>
      <c r="AA121" s="252" t="str">
        <f t="shared" si="88"/>
        <v>EUR12ML</v>
      </c>
      <c r="AB121" s="256" t="str">
        <f t="shared" si="95"/>
        <v>Annual</v>
      </c>
      <c r="AC121" s="254" t="s">
        <v>6</v>
      </c>
      <c r="AD121" s="249" t="s">
        <v>22</v>
      </c>
      <c r="AE121" s="249" t="s">
        <v>2</v>
      </c>
      <c r="AF121" s="255"/>
      <c r="AG121" s="255"/>
      <c r="AH121" s="256">
        <f t="shared" ca="1" si="96"/>
        <v>2</v>
      </c>
      <c r="AI121" s="257" t="s">
        <v>177</v>
      </c>
      <c r="AJ121" s="258">
        <f t="shared" si="97"/>
        <v>-1.4999999999999999E-4</v>
      </c>
      <c r="AK121" s="258"/>
      <c r="AL121" s="257" t="s">
        <v>177</v>
      </c>
      <c r="AM121" s="254" t="s">
        <v>178</v>
      </c>
      <c r="AN121" s="255" t="str">
        <f t="shared" si="98"/>
        <v>EURYC</v>
      </c>
      <c r="AO121" s="252" t="str">
        <f t="shared" si="99"/>
        <v>EURDF_NOCSA</v>
      </c>
      <c r="AP121" s="259">
        <f t="shared" si="89"/>
        <v>0</v>
      </c>
      <c r="AQ121" s="270">
        <f t="shared" si="100"/>
        <v>0</v>
      </c>
      <c r="AR121" s="223" t="s">
        <v>4</v>
      </c>
      <c r="AS121" s="180">
        <f ca="1">IF(AND(NOW(),isEUR12MLLoaded),IF(OR($D121="",$D121=0),"",_xll.meProductSwapParRate(_xll.meUtilityLVBFromKeysValues($P$5:$AP$5,$P121:$AP121))),"Please Load Yield Curves")</f>
        <v>6.9723398797598415E-3</v>
      </c>
      <c r="AT121" s="138">
        <f ca="1">IF(AND(NOW(),isEUR12MLLoaded),IF(OR($D121="",$D121=0),"",_xll.meProductSwapPV(_xll.meUtilityLVBFromKeysValues($N$5:$AP$5,$N121:$AP121))),"Please Load Yield Curves")</f>
        <v>-69850.29708433419</v>
      </c>
      <c r="AU121" s="138">
        <f ca="1">IF(AND(NOW(),isEUR12MLLoaded),IF(OR($D121="",$D121=0),"",_xll.meProductSwapPV01(_xll.meUtilityLVBFromKeysValues($N$5:$AO$5,$N121:$AO121))),"Please Load Yield Curves")</f>
        <v>1001.8200243953131</v>
      </c>
      <c r="AV121" s="195">
        <f ca="1">IF(AND(NOW(),isEUR12MLLoaded),IF(OR($D121="",$D121=0),"",_xll.meProductSwapDV01(_xll.meUtilityLVBFromKeysValues($N$5:$AQ$5,$N121:$AQ121))),"Please Load Yield Curves")</f>
        <v>947.1442129347746</v>
      </c>
      <c r="AW121" s="48"/>
    </row>
    <row r="122" spans="2:49" hidden="1" outlineLevel="1" x14ac:dyDescent="0.25">
      <c r="B122" s="131">
        <f ca="1">IF(OR(D122="",D122=0),"",_xll.meDateFromTenor(COB,C122,$T122,$U122))</f>
        <v>42523</v>
      </c>
      <c r="C122" s="139" t="s">
        <v>191</v>
      </c>
      <c r="D122" s="133">
        <v>1000000</v>
      </c>
      <c r="E122" s="133" t="s">
        <v>17</v>
      </c>
      <c r="F122" s="134" t="s">
        <v>229</v>
      </c>
      <c r="G122" s="135" t="s">
        <v>63</v>
      </c>
      <c r="H122" s="136">
        <v>0</v>
      </c>
      <c r="I122" s="166" t="s">
        <v>240</v>
      </c>
      <c r="J122" s="137">
        <v>0</v>
      </c>
      <c r="K122" s="238">
        <f>'EUR SWAP 3ML'!$L$42</f>
        <v>-1.4999999999999999E-4</v>
      </c>
      <c r="L122" s="135" t="s">
        <v>193</v>
      </c>
      <c r="M122" s="199"/>
      <c r="N122" s="277">
        <f t="shared" si="90"/>
        <v>1000000</v>
      </c>
      <c r="O122" s="252" t="str">
        <f t="shared" si="91"/>
        <v>RECEIVER</v>
      </c>
      <c r="P122" s="255">
        <f t="shared" ca="1" si="92"/>
        <v>42523</v>
      </c>
      <c r="Q122" s="255" t="str">
        <f t="shared" si="93"/>
        <v>15Y</v>
      </c>
      <c r="R122" s="249" t="s">
        <v>26</v>
      </c>
      <c r="S122" s="254" t="s">
        <v>20</v>
      </c>
      <c r="T122" s="249" t="s">
        <v>22</v>
      </c>
      <c r="U122" s="249" t="s">
        <v>2</v>
      </c>
      <c r="V122" s="255"/>
      <c r="W122" s="255"/>
      <c r="X122" s="256">
        <f t="shared" ca="1" si="94"/>
        <v>2</v>
      </c>
      <c r="Y122" s="257" t="s">
        <v>177</v>
      </c>
      <c r="Z122" s="254" t="s">
        <v>178</v>
      </c>
      <c r="AA122" s="252" t="str">
        <f t="shared" si="88"/>
        <v>EUR12ML</v>
      </c>
      <c r="AB122" s="256" t="str">
        <f t="shared" si="95"/>
        <v>Annual</v>
      </c>
      <c r="AC122" s="254" t="s">
        <v>6</v>
      </c>
      <c r="AD122" s="249" t="s">
        <v>22</v>
      </c>
      <c r="AE122" s="249" t="s">
        <v>2</v>
      </c>
      <c r="AF122" s="255"/>
      <c r="AG122" s="255"/>
      <c r="AH122" s="256">
        <f t="shared" ca="1" si="96"/>
        <v>2</v>
      </c>
      <c r="AI122" s="257" t="s">
        <v>177</v>
      </c>
      <c r="AJ122" s="258">
        <f t="shared" si="97"/>
        <v>-1.4999999999999999E-4</v>
      </c>
      <c r="AK122" s="258"/>
      <c r="AL122" s="257" t="s">
        <v>177</v>
      </c>
      <c r="AM122" s="254" t="s">
        <v>178</v>
      </c>
      <c r="AN122" s="255" t="str">
        <f t="shared" si="98"/>
        <v>EURYC</v>
      </c>
      <c r="AO122" s="252" t="str">
        <f t="shared" si="99"/>
        <v>EURDF_NOCSA</v>
      </c>
      <c r="AP122" s="259">
        <f t="shared" si="89"/>
        <v>0</v>
      </c>
      <c r="AQ122" s="270">
        <f t="shared" si="100"/>
        <v>0</v>
      </c>
      <c r="AR122" s="223" t="s">
        <v>4</v>
      </c>
      <c r="AS122" s="180">
        <f ca="1">IF(AND(NOW(),isEUR12MLLoaded),IF(OR($D122="",$D122=0),"",_xll.meProductSwapParRate(_xll.meUtilityLVBFromKeysValues($P$5:$AP$5,$P122:$AP122))),"Please Load Yield Curves")</f>
        <v>1.0439184391523439E-2</v>
      </c>
      <c r="AT122" s="138">
        <f ca="1">IF(AND(NOW(),isEUR12MLLoaded),IF(OR($D122="",$D122=0),"",_xll.meProductSwapPV(_xll.meUtilityLVBFromKeysValues($N$5:$AP$5,$N122:$AP122))),"Please Load Yield Curves")</f>
        <v>-152996.21274008561</v>
      </c>
      <c r="AU122" s="138">
        <f ca="1">IF(AND(NOW(),isEUR12MLLoaded),IF(OR($D122="",$D122=0),"",_xll.meProductSwapPV01(_xll.meUtilityLVBFromKeysValues($N$5:$AO$5,$N122:$AO122))),"Please Load Yield Curves")</f>
        <v>1465.5954622692336</v>
      </c>
      <c r="AV122" s="195">
        <f ca="1">IF(AND(NOW(),isEUR12MLLoaded),IF(OR($D122="",$D122=0),"",_xll.meProductSwapDV01(_xll.meUtilityLVBFromKeysValues($N$5:$AQ$5,$N122:$AQ122))),"Please Load Yield Curves")</f>
        <v>1304.1584630025422</v>
      </c>
      <c r="AW122" s="48"/>
    </row>
    <row r="123" spans="2:49" hidden="1" outlineLevel="1" x14ac:dyDescent="0.25">
      <c r="B123" s="131">
        <f ca="1">IF(OR(D123="",D123=0),"",_xll.meDateFromTenor(COB,C123,$T123,$U123))</f>
        <v>42523</v>
      </c>
      <c r="C123" s="139" t="s">
        <v>191</v>
      </c>
      <c r="D123" s="133">
        <v>1000000</v>
      </c>
      <c r="E123" s="133" t="s">
        <v>17</v>
      </c>
      <c r="F123" s="134" t="s">
        <v>229</v>
      </c>
      <c r="G123" s="135" t="s">
        <v>64</v>
      </c>
      <c r="H123" s="136">
        <v>0</v>
      </c>
      <c r="I123" s="166" t="s">
        <v>240</v>
      </c>
      <c r="J123" s="137">
        <v>0</v>
      </c>
      <c r="K123" s="238">
        <f>'EUR SWAP 3ML'!$L$42</f>
        <v>-1.4999999999999999E-4</v>
      </c>
      <c r="L123" s="135" t="s">
        <v>193</v>
      </c>
      <c r="M123" s="199"/>
      <c r="N123" s="277">
        <f t="shared" si="90"/>
        <v>1000000</v>
      </c>
      <c r="O123" s="252" t="str">
        <f t="shared" si="91"/>
        <v>RECEIVER</v>
      </c>
      <c r="P123" s="255">
        <f t="shared" ca="1" si="92"/>
        <v>42523</v>
      </c>
      <c r="Q123" s="255" t="str">
        <f t="shared" si="93"/>
        <v>20Y</v>
      </c>
      <c r="R123" s="249" t="s">
        <v>26</v>
      </c>
      <c r="S123" s="254" t="s">
        <v>20</v>
      </c>
      <c r="T123" s="249" t="s">
        <v>22</v>
      </c>
      <c r="U123" s="249" t="s">
        <v>2</v>
      </c>
      <c r="V123" s="255"/>
      <c r="W123" s="255"/>
      <c r="X123" s="256">
        <f t="shared" ca="1" si="94"/>
        <v>2</v>
      </c>
      <c r="Y123" s="257" t="s">
        <v>177</v>
      </c>
      <c r="Z123" s="254" t="s">
        <v>178</v>
      </c>
      <c r="AA123" s="252" t="str">
        <f t="shared" si="88"/>
        <v>EUR12ML</v>
      </c>
      <c r="AB123" s="256" t="str">
        <f t="shared" si="95"/>
        <v>Annual</v>
      </c>
      <c r="AC123" s="254" t="s">
        <v>6</v>
      </c>
      <c r="AD123" s="249" t="s">
        <v>22</v>
      </c>
      <c r="AE123" s="249" t="s">
        <v>2</v>
      </c>
      <c r="AF123" s="255"/>
      <c r="AG123" s="255"/>
      <c r="AH123" s="256">
        <f t="shared" ca="1" si="96"/>
        <v>2</v>
      </c>
      <c r="AI123" s="257" t="s">
        <v>177</v>
      </c>
      <c r="AJ123" s="258">
        <f t="shared" si="97"/>
        <v>-1.4999999999999999E-4</v>
      </c>
      <c r="AK123" s="258"/>
      <c r="AL123" s="257" t="s">
        <v>177</v>
      </c>
      <c r="AM123" s="254" t="s">
        <v>178</v>
      </c>
      <c r="AN123" s="255" t="str">
        <f t="shared" si="98"/>
        <v>EURYC</v>
      </c>
      <c r="AO123" s="252" t="str">
        <f t="shared" si="99"/>
        <v>EURDF_NOCSA</v>
      </c>
      <c r="AP123" s="259">
        <f t="shared" si="89"/>
        <v>0</v>
      </c>
      <c r="AQ123" s="270">
        <f t="shared" si="100"/>
        <v>0</v>
      </c>
      <c r="AR123" s="223" t="s">
        <v>4</v>
      </c>
      <c r="AS123" s="180">
        <f ca="1">IF(AND(NOW(),isEUR12MLLoaded),IF(OR($D123="",$D123=0),"",_xll.meProductSwapParRate(_xll.meUtilityLVBFromKeysValues($P$5:$AP$5,$P123:$AP123))),"Please Load Yield Curves")</f>
        <v>1.1842173653172203E-2</v>
      </c>
      <c r="AT123" s="138">
        <f ca="1">IF(AND(NOW(),isEUR12MLLoaded),IF(OR($D123="",$D123=0),"",_xll.meProductSwapPV(_xll.meUtilityLVBFromKeysValues($N$5:$AP$5,$N123:$AP123))),"Please Load Yield Curves")</f>
        <v>-224322.61298464122</v>
      </c>
      <c r="AU123" s="138">
        <f ca="1">IF(AND(NOW(),isEUR12MLLoaded),IF(OR($D123="",$D123=0),"",_xll.meProductSwapPV01(_xll.meUtilityLVBFromKeysValues($N$5:$AO$5,$N123:$AO123))),"Please Load Yield Curves")</f>
        <v>1894.2689032815456</v>
      </c>
      <c r="AV123" s="195">
        <f ca="1">IF(AND(NOW(),isEUR12MLLoaded),IF(OR($D123="",$D123=0),"",_xll.meProductSwapDV01(_xll.meUtilityLVBFromKeysValues($N$5:$AQ$5,$N123:$AQ123))),"Please Load Yield Curves")</f>
        <v>1606.8285101236575</v>
      </c>
      <c r="AW123" s="48"/>
    </row>
    <row r="124" spans="2:49" hidden="1" outlineLevel="1" x14ac:dyDescent="0.25">
      <c r="B124" s="131">
        <f ca="1">IF(OR(D124="",D124=0),"",_xll.meDateFromTenor(COB,C124,$T124,$U124))</f>
        <v>42523</v>
      </c>
      <c r="C124" s="139" t="s">
        <v>191</v>
      </c>
      <c r="D124" s="133">
        <v>1000000</v>
      </c>
      <c r="E124" s="133" t="s">
        <v>17</v>
      </c>
      <c r="F124" s="134" t="s">
        <v>229</v>
      </c>
      <c r="G124" s="135" t="s">
        <v>65</v>
      </c>
      <c r="H124" s="136">
        <v>0</v>
      </c>
      <c r="I124" s="166" t="s">
        <v>240</v>
      </c>
      <c r="J124" s="137">
        <v>0</v>
      </c>
      <c r="K124" s="238">
        <f>'EUR SWAP 3ML'!$L$42</f>
        <v>-1.4999999999999999E-4</v>
      </c>
      <c r="L124" s="135" t="s">
        <v>193</v>
      </c>
      <c r="M124" s="199"/>
      <c r="N124" s="277">
        <f t="shared" si="90"/>
        <v>1000000</v>
      </c>
      <c r="O124" s="252" t="str">
        <f t="shared" si="91"/>
        <v>RECEIVER</v>
      </c>
      <c r="P124" s="255">
        <f t="shared" ca="1" si="92"/>
        <v>42523</v>
      </c>
      <c r="Q124" s="255" t="str">
        <f t="shared" si="93"/>
        <v>25Y</v>
      </c>
      <c r="R124" s="249" t="s">
        <v>26</v>
      </c>
      <c r="S124" s="254" t="s">
        <v>20</v>
      </c>
      <c r="T124" s="249" t="s">
        <v>22</v>
      </c>
      <c r="U124" s="249" t="s">
        <v>2</v>
      </c>
      <c r="V124" s="255"/>
      <c r="W124" s="255"/>
      <c r="X124" s="256">
        <f t="shared" ca="1" si="94"/>
        <v>2</v>
      </c>
      <c r="Y124" s="257" t="s">
        <v>177</v>
      </c>
      <c r="Z124" s="254" t="s">
        <v>178</v>
      </c>
      <c r="AA124" s="252" t="str">
        <f t="shared" si="88"/>
        <v>EUR12ML</v>
      </c>
      <c r="AB124" s="256" t="str">
        <f t="shared" si="95"/>
        <v>Annual</v>
      </c>
      <c r="AC124" s="254" t="s">
        <v>6</v>
      </c>
      <c r="AD124" s="249" t="s">
        <v>22</v>
      </c>
      <c r="AE124" s="249" t="s">
        <v>2</v>
      </c>
      <c r="AF124" s="255"/>
      <c r="AG124" s="255"/>
      <c r="AH124" s="256">
        <f t="shared" ca="1" si="96"/>
        <v>2</v>
      </c>
      <c r="AI124" s="257" t="s">
        <v>177</v>
      </c>
      <c r="AJ124" s="258">
        <f t="shared" si="97"/>
        <v>-1.4999999999999999E-4</v>
      </c>
      <c r="AK124" s="258"/>
      <c r="AL124" s="257" t="s">
        <v>177</v>
      </c>
      <c r="AM124" s="254" t="s">
        <v>178</v>
      </c>
      <c r="AN124" s="255" t="str">
        <f t="shared" si="98"/>
        <v>EURYC</v>
      </c>
      <c r="AO124" s="252" t="str">
        <f t="shared" si="99"/>
        <v>EURDF_NOCSA</v>
      </c>
      <c r="AP124" s="259">
        <f t="shared" si="89"/>
        <v>0</v>
      </c>
      <c r="AQ124" s="270">
        <f t="shared" si="100"/>
        <v>0</v>
      </c>
      <c r="AR124" s="223" t="s">
        <v>4</v>
      </c>
      <c r="AS124" s="180">
        <f ca="1">IF(AND(NOW(),isEUR12MLLoaded),IF(OR($D124="",$D124=0),"",_xll.meProductSwapParRate(_xll.meUtilityLVBFromKeysValues($P$5:$AP$5,$P124:$AP124))),"Please Load Yield Curves")</f>
        <v>1.2166665165357355E-2</v>
      </c>
      <c r="AT124" s="138">
        <f ca="1">IF(AND(NOW(),isEUR12MLLoaded),IF(OR($D124="",$D124=0),"",_xll.meProductSwapPV(_xll.meUtilityLVBFromKeysValues($N$5:$AP$5,$N124:$AP124))),"Please Load Yield Curves")</f>
        <v>-279237.61816323537</v>
      </c>
      <c r="AU124" s="138">
        <f ca="1">IF(AND(NOW(),isEUR12MLLoaded),IF(OR($D124="",$D124=0),"",_xll.meProductSwapPV01(_xll.meUtilityLVBFromKeysValues($N$5:$AO$5,$N124:$AO124))),"Please Load Yield Curves")</f>
        <v>2295.1039941357158</v>
      </c>
      <c r="AV124" s="195">
        <f ca="1">IF(AND(NOW(),isEUR12MLLoaded),IF(OR($D124="",$D124=0),"",_xll.meProductSwapDV01(_xll.meUtilityLVBFromKeysValues($N$5:$AQ$5,$N124:$AQ124))),"Please Load Yield Curves")</f>
        <v>1883.4461989956385</v>
      </c>
      <c r="AW124" s="48"/>
    </row>
    <row r="125" spans="2:49" hidden="1" outlineLevel="1" x14ac:dyDescent="0.25">
      <c r="B125" s="140">
        <f ca="1">IF(OR(D125="",D125=0),"",_xll.meDateFromTenor(COB,C125,$T125,$U125))</f>
        <v>42523</v>
      </c>
      <c r="C125" s="141" t="s">
        <v>191</v>
      </c>
      <c r="D125" s="142">
        <v>1000000</v>
      </c>
      <c r="E125" s="142" t="s">
        <v>17</v>
      </c>
      <c r="F125" s="143" t="s">
        <v>229</v>
      </c>
      <c r="G125" s="144" t="s">
        <v>66</v>
      </c>
      <c r="H125" s="145">
        <v>0</v>
      </c>
      <c r="I125" s="167" t="s">
        <v>240</v>
      </c>
      <c r="J125" s="146">
        <v>0</v>
      </c>
      <c r="K125" s="484">
        <f>'EUR SWAP 3ML'!$L$42</f>
        <v>-1.4999999999999999E-4</v>
      </c>
      <c r="L125" s="144" t="s">
        <v>193</v>
      </c>
      <c r="M125" s="199"/>
      <c r="N125" s="278">
        <f t="shared" si="90"/>
        <v>1000000</v>
      </c>
      <c r="O125" s="253" t="str">
        <f t="shared" si="91"/>
        <v>RECEIVER</v>
      </c>
      <c r="P125" s="147">
        <f t="shared" ca="1" si="92"/>
        <v>42523</v>
      </c>
      <c r="Q125" s="147" t="str">
        <f t="shared" si="93"/>
        <v>30Y</v>
      </c>
      <c r="R125" s="271" t="s">
        <v>26</v>
      </c>
      <c r="S125" s="272" t="s">
        <v>20</v>
      </c>
      <c r="T125" s="271" t="s">
        <v>22</v>
      </c>
      <c r="U125" s="271" t="s">
        <v>2</v>
      </c>
      <c r="V125" s="147"/>
      <c r="W125" s="147"/>
      <c r="X125" s="263">
        <f t="shared" ca="1" si="94"/>
        <v>2</v>
      </c>
      <c r="Y125" s="273" t="s">
        <v>177</v>
      </c>
      <c r="Z125" s="272" t="s">
        <v>178</v>
      </c>
      <c r="AA125" s="253" t="str">
        <f t="shared" si="88"/>
        <v>EUR12ML</v>
      </c>
      <c r="AB125" s="263" t="str">
        <f t="shared" si="95"/>
        <v>Annual</v>
      </c>
      <c r="AC125" s="272" t="s">
        <v>6</v>
      </c>
      <c r="AD125" s="271" t="s">
        <v>22</v>
      </c>
      <c r="AE125" s="271" t="s">
        <v>2</v>
      </c>
      <c r="AF125" s="147"/>
      <c r="AG125" s="147"/>
      <c r="AH125" s="263">
        <f t="shared" ca="1" si="96"/>
        <v>2</v>
      </c>
      <c r="AI125" s="273" t="s">
        <v>177</v>
      </c>
      <c r="AJ125" s="485">
        <f t="shared" si="97"/>
        <v>-1.4999999999999999E-4</v>
      </c>
      <c r="AK125" s="485"/>
      <c r="AL125" s="486" t="s">
        <v>177</v>
      </c>
      <c r="AM125" s="272" t="s">
        <v>178</v>
      </c>
      <c r="AN125" s="147" t="str">
        <f t="shared" si="98"/>
        <v>EURYC</v>
      </c>
      <c r="AO125" s="253" t="str">
        <f t="shared" si="99"/>
        <v>EURDF_NOCSA</v>
      </c>
      <c r="AP125" s="261">
        <f t="shared" si="89"/>
        <v>0</v>
      </c>
      <c r="AQ125" s="275">
        <f t="shared" si="100"/>
        <v>0</v>
      </c>
      <c r="AR125" s="223" t="s">
        <v>4</v>
      </c>
      <c r="AS125" s="181">
        <f ca="1">IF(AND(NOW(),isEUR12MLLoaded),IF(OR($D125="",$D125=0),"",_xll.meProductSwapParRate(_xll.meUtilityLVBFromKeysValues($P$5:$AP$5,$P125:$AP125))),"Please Load Yield Curves")</f>
        <v>1.2183172633489104E-2</v>
      </c>
      <c r="AT125" s="148">
        <f ca="1">IF(AND(NOW(),isEUR12MLLoaded),IF(OR($D125="",$D125=0),"",_xll.meProductSwapPV(_xll.meUtilityLVBFromKeysValues($N$5:$AP$5,$N125:$AP125))),"Please Load Yield Curves")</f>
        <v>-325702.4223584602</v>
      </c>
      <c r="AU125" s="148">
        <f ca="1">IF(AND(NOW(),isEUR12MLLoaded),IF(OR($D125="",$D125=0),"",_xll.meProductSwapPV01(_xll.meUtilityLVBFromKeysValues($N$5:$AO$5,$N125:$AO125))),"Please Load Yield Curves")</f>
        <v>2673.3793582073149</v>
      </c>
      <c r="AV125" s="196">
        <f ca="1">IF(AND(NOW(),isEUR12MLLoaded),IF(OR($D125="",$D125=0),"",_xll.meProductSwapDV01(_xll.meUtilityLVBFromKeysValues($N$5:$AQ$5,$N125:$AQ125))),"Please Load Yield Curves")</f>
        <v>2133.3500128439209</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topLeftCell="A4" workbookViewId="0"/>
  </sheetViews>
  <sheetFormatPr defaultRowHeight="15" x14ac:dyDescent="0.25"/>
  <cols>
    <col min="1" max="1" width="12.7109375" style="202" customWidth="1"/>
    <col min="2" max="2" width="36.42578125" style="202" customWidth="1"/>
    <col min="3" max="7" width="25.7109375" style="202" customWidth="1"/>
    <col min="8" max="16384" width="9.140625" style="202"/>
  </cols>
  <sheetData>
    <row r="2" spans="1:7" ht="23.25" x14ac:dyDescent="0.35">
      <c r="B2" s="108" t="s">
        <v>447</v>
      </c>
    </row>
    <row r="4" spans="1:7" ht="23.25" x14ac:dyDescent="0.35">
      <c r="B4" s="429" t="s">
        <v>440</v>
      </c>
    </row>
    <row r="5" spans="1:7" ht="23.25" x14ac:dyDescent="0.35">
      <c r="B5" s="429" t="s">
        <v>439</v>
      </c>
    </row>
    <row r="7" spans="1:7" x14ac:dyDescent="0.25">
      <c r="B7" s="223" t="s">
        <v>420</v>
      </c>
      <c r="C7" s="462" t="s">
        <v>423</v>
      </c>
      <c r="D7" s="462" t="s">
        <v>424</v>
      </c>
      <c r="E7" s="462" t="s">
        <v>425</v>
      </c>
      <c r="F7" s="462" t="s">
        <v>426</v>
      </c>
      <c r="G7" s="462" t="s">
        <v>427</v>
      </c>
    </row>
    <row r="8" spans="1:7" x14ac:dyDescent="0.25">
      <c r="B8" s="437" t="s">
        <v>175</v>
      </c>
      <c r="C8" s="452">
        <v>1000000</v>
      </c>
      <c r="D8" s="452">
        <v>1000000</v>
      </c>
      <c r="E8" s="452">
        <v>1000000</v>
      </c>
      <c r="F8" s="452">
        <v>1000000</v>
      </c>
      <c r="G8" s="452">
        <v>1000000</v>
      </c>
    </row>
    <row r="9" spans="1:7" x14ac:dyDescent="0.25">
      <c r="A9" s="370" t="s">
        <v>386</v>
      </c>
      <c r="B9" s="438" t="s">
        <v>249</v>
      </c>
      <c r="C9" s="453" t="s">
        <v>229</v>
      </c>
      <c r="D9" s="453" t="s">
        <v>229</v>
      </c>
      <c r="E9" s="453" t="s">
        <v>229</v>
      </c>
      <c r="F9" s="453" t="s">
        <v>229</v>
      </c>
      <c r="G9" s="453" t="s">
        <v>229</v>
      </c>
    </row>
    <row r="10" spans="1:7" x14ac:dyDescent="0.25">
      <c r="A10" s="371" t="s">
        <v>191</v>
      </c>
      <c r="B10" s="438" t="s">
        <v>250</v>
      </c>
      <c r="C10" s="454">
        <f ca="1">_xll.meDateFromTenor(COB,$A$10,C$20,C$21)</f>
        <v>42523</v>
      </c>
      <c r="D10" s="454">
        <f ca="1">_xll.meDateFromTenor(COB,$A$10,D$20,D$21)</f>
        <v>42523</v>
      </c>
      <c r="E10" s="454">
        <f ca="1">_xll.meDateFromTenor(COB,$A$10,E$20,E$21)</f>
        <v>42523</v>
      </c>
      <c r="F10" s="454">
        <f ca="1">_xll.meDateFromTenor(COB,$A$10,F$20,F$21)</f>
        <v>42523</v>
      </c>
      <c r="G10" s="454">
        <f ca="1">_xll.meDateFromTenor(COB,$A$10,G$20,G$21)</f>
        <v>42523</v>
      </c>
    </row>
    <row r="11" spans="1:7" x14ac:dyDescent="0.25">
      <c r="B11" s="438" t="s">
        <v>80</v>
      </c>
      <c r="C11" s="455" t="s">
        <v>78</v>
      </c>
      <c r="D11" s="455" t="s">
        <v>78</v>
      </c>
      <c r="E11" s="455" t="s">
        <v>78</v>
      </c>
      <c r="F11" s="455" t="s">
        <v>78</v>
      </c>
      <c r="G11" s="455" t="s">
        <v>78</v>
      </c>
    </row>
    <row r="12" spans="1:7" x14ac:dyDescent="0.25">
      <c r="B12" s="438" t="s">
        <v>271</v>
      </c>
      <c r="C12" s="455" t="s">
        <v>9</v>
      </c>
      <c r="D12" s="455" t="s">
        <v>9</v>
      </c>
      <c r="E12" s="455" t="s">
        <v>9</v>
      </c>
      <c r="F12" s="455" t="s">
        <v>9</v>
      </c>
      <c r="G12" s="455" t="s">
        <v>9</v>
      </c>
    </row>
    <row r="13" spans="1:7" x14ac:dyDescent="0.25">
      <c r="B13" s="438" t="s">
        <v>272</v>
      </c>
      <c r="C13" s="456" t="s">
        <v>373</v>
      </c>
      <c r="D13" s="453" t="s">
        <v>373</v>
      </c>
      <c r="E13" s="453" t="s">
        <v>373</v>
      </c>
      <c r="F13" s="453" t="s">
        <v>373</v>
      </c>
      <c r="G13" s="453" t="s">
        <v>373</v>
      </c>
    </row>
    <row r="14" spans="1:7" x14ac:dyDescent="0.25">
      <c r="B14" s="438" t="s">
        <v>415</v>
      </c>
      <c r="C14" s="453" t="s">
        <v>416</v>
      </c>
      <c r="D14" s="453" t="s">
        <v>416</v>
      </c>
      <c r="E14" s="453" t="s">
        <v>416</v>
      </c>
      <c r="F14" s="453" t="s">
        <v>416</v>
      </c>
      <c r="G14" s="453" t="s">
        <v>416</v>
      </c>
    </row>
    <row r="15" spans="1:7" x14ac:dyDescent="0.25">
      <c r="B15" s="438" t="s">
        <v>251</v>
      </c>
      <c r="C15" s="457" t="s">
        <v>159</v>
      </c>
      <c r="D15" s="457" t="s">
        <v>47</v>
      </c>
      <c r="E15" s="457" t="s">
        <v>43</v>
      </c>
      <c r="F15" s="457" t="s">
        <v>50</v>
      </c>
      <c r="G15" s="457" t="s">
        <v>52</v>
      </c>
    </row>
    <row r="16" spans="1:7" x14ac:dyDescent="0.25">
      <c r="B16" s="438" t="s">
        <v>253</v>
      </c>
      <c r="C16" s="444" t="s">
        <v>26</v>
      </c>
      <c r="D16" s="444" t="s">
        <v>26</v>
      </c>
      <c r="E16" s="444" t="s">
        <v>26</v>
      </c>
      <c r="F16" s="444" t="s">
        <v>26</v>
      </c>
      <c r="G16" s="444" t="s">
        <v>26</v>
      </c>
    </row>
    <row r="17" spans="2:7" x14ac:dyDescent="0.25">
      <c r="B17" s="438" t="s">
        <v>254</v>
      </c>
      <c r="C17" s="435" t="s">
        <v>124</v>
      </c>
      <c r="D17" s="435" t="s">
        <v>124</v>
      </c>
      <c r="E17" s="435" t="s">
        <v>124</v>
      </c>
      <c r="F17" s="435" t="s">
        <v>124</v>
      </c>
      <c r="G17" s="435" t="s">
        <v>124</v>
      </c>
    </row>
    <row r="18" spans="2:7" x14ac:dyDescent="0.25">
      <c r="B18" s="438" t="s">
        <v>389</v>
      </c>
      <c r="C18" s="435" t="s">
        <v>22</v>
      </c>
      <c r="D18" s="435" t="s">
        <v>22</v>
      </c>
      <c r="E18" s="435" t="s">
        <v>22</v>
      </c>
      <c r="F18" s="435" t="s">
        <v>22</v>
      </c>
      <c r="G18" s="435" t="s">
        <v>22</v>
      </c>
    </row>
    <row r="19" spans="2:7" x14ac:dyDescent="0.25">
      <c r="B19" s="438" t="s">
        <v>391</v>
      </c>
      <c r="C19" s="435" t="s">
        <v>2</v>
      </c>
      <c r="D19" s="435" t="s">
        <v>2</v>
      </c>
      <c r="E19" s="435" t="s">
        <v>2</v>
      </c>
      <c r="F19" s="435" t="s">
        <v>2</v>
      </c>
      <c r="G19" s="435" t="s">
        <v>2</v>
      </c>
    </row>
    <row r="20" spans="2:7" x14ac:dyDescent="0.25">
      <c r="B20" s="438" t="s">
        <v>390</v>
      </c>
      <c r="C20" s="435" t="s">
        <v>22</v>
      </c>
      <c r="D20" s="435" t="s">
        <v>22</v>
      </c>
      <c r="E20" s="435" t="s">
        <v>22</v>
      </c>
      <c r="F20" s="435" t="s">
        <v>22</v>
      </c>
      <c r="G20" s="435" t="s">
        <v>22</v>
      </c>
    </row>
    <row r="21" spans="2:7" x14ac:dyDescent="0.25">
      <c r="B21" s="438" t="s">
        <v>392</v>
      </c>
      <c r="C21" s="435" t="s">
        <v>2</v>
      </c>
      <c r="D21" s="435" t="s">
        <v>2</v>
      </c>
      <c r="E21" s="435" t="s">
        <v>2</v>
      </c>
      <c r="F21" s="435" t="s">
        <v>2</v>
      </c>
      <c r="G21" s="435" t="s">
        <v>2</v>
      </c>
    </row>
    <row r="22" spans="2:7" x14ac:dyDescent="0.25">
      <c r="B22" s="438" t="s">
        <v>283</v>
      </c>
      <c r="C22" s="435"/>
      <c r="D22" s="435"/>
      <c r="E22" s="435"/>
      <c r="F22" s="435"/>
      <c r="G22" s="435"/>
    </row>
    <row r="23" spans="2:7" x14ac:dyDescent="0.25">
      <c r="B23" s="438" t="s">
        <v>284</v>
      </c>
      <c r="C23" s="435"/>
      <c r="D23" s="435"/>
      <c r="E23" s="435"/>
      <c r="F23" s="435"/>
      <c r="G23" s="435"/>
    </row>
    <row r="24" spans="2:7" x14ac:dyDescent="0.25">
      <c r="B24" s="438" t="s">
        <v>257</v>
      </c>
      <c r="C24" s="435" t="s">
        <v>417</v>
      </c>
      <c r="D24" s="435" t="s">
        <v>417</v>
      </c>
      <c r="E24" s="435" t="s">
        <v>417</v>
      </c>
      <c r="F24" s="435" t="s">
        <v>417</v>
      </c>
      <c r="G24" s="435" t="s">
        <v>417</v>
      </c>
    </row>
    <row r="25" spans="2:7" x14ac:dyDescent="0.25">
      <c r="B25" s="438" t="s">
        <v>258</v>
      </c>
      <c r="C25" s="435" t="s">
        <v>177</v>
      </c>
      <c r="D25" s="435" t="s">
        <v>177</v>
      </c>
      <c r="E25" s="435" t="s">
        <v>177</v>
      </c>
      <c r="F25" s="435" t="s">
        <v>177</v>
      </c>
      <c r="G25" s="435" t="s">
        <v>177</v>
      </c>
    </row>
    <row r="26" spans="2:7" x14ac:dyDescent="0.25">
      <c r="B26" s="438" t="s">
        <v>259</v>
      </c>
      <c r="C26" s="435" t="s">
        <v>418</v>
      </c>
      <c r="D26" s="435" t="s">
        <v>418</v>
      </c>
      <c r="E26" s="435" t="s">
        <v>418</v>
      </c>
      <c r="F26" s="435" t="s">
        <v>418</v>
      </c>
      <c r="G26" s="435" t="s">
        <v>418</v>
      </c>
    </row>
    <row r="27" spans="2:7" x14ac:dyDescent="0.25">
      <c r="B27" s="438" t="s">
        <v>252</v>
      </c>
      <c r="C27" s="451">
        <v>0.01</v>
      </c>
      <c r="D27" s="451">
        <v>0.01</v>
      </c>
      <c r="E27" s="451">
        <v>0.01</v>
      </c>
      <c r="F27" s="451">
        <v>0.01</v>
      </c>
      <c r="G27" s="451">
        <v>0.01</v>
      </c>
    </row>
    <row r="28" spans="2:7" x14ac:dyDescent="0.25">
      <c r="B28" s="438" t="s">
        <v>260</v>
      </c>
      <c r="C28" s="435" t="s">
        <v>26</v>
      </c>
      <c r="D28" s="435" t="s">
        <v>26</v>
      </c>
      <c r="E28" s="435" t="s">
        <v>26</v>
      </c>
      <c r="F28" s="435" t="s">
        <v>26</v>
      </c>
      <c r="G28" s="435" t="s">
        <v>26</v>
      </c>
    </row>
    <row r="29" spans="2:7" x14ac:dyDescent="0.25">
      <c r="B29" s="438" t="s">
        <v>261</v>
      </c>
      <c r="C29" s="435" t="s">
        <v>124</v>
      </c>
      <c r="D29" s="435" t="s">
        <v>124</v>
      </c>
      <c r="E29" s="435" t="s">
        <v>124</v>
      </c>
      <c r="F29" s="435" t="s">
        <v>124</v>
      </c>
      <c r="G29" s="435" t="s">
        <v>124</v>
      </c>
    </row>
    <row r="30" spans="2:7" x14ac:dyDescent="0.25">
      <c r="B30" s="438" t="s">
        <v>397</v>
      </c>
      <c r="C30" s="435" t="s">
        <v>22</v>
      </c>
      <c r="D30" s="435" t="s">
        <v>22</v>
      </c>
      <c r="E30" s="435" t="s">
        <v>22</v>
      </c>
      <c r="F30" s="435" t="s">
        <v>22</v>
      </c>
      <c r="G30" s="435" t="s">
        <v>22</v>
      </c>
    </row>
    <row r="31" spans="2:7" x14ac:dyDescent="0.25">
      <c r="B31" s="438" t="s">
        <v>398</v>
      </c>
      <c r="C31" s="435" t="s">
        <v>2</v>
      </c>
      <c r="D31" s="435" t="s">
        <v>2</v>
      </c>
      <c r="E31" s="435" t="s">
        <v>2</v>
      </c>
      <c r="F31" s="435" t="s">
        <v>2</v>
      </c>
      <c r="G31" s="435" t="s">
        <v>2</v>
      </c>
    </row>
    <row r="32" spans="2:7" x14ac:dyDescent="0.25">
      <c r="B32" s="438" t="s">
        <v>393</v>
      </c>
      <c r="C32" s="435" t="s">
        <v>22</v>
      </c>
      <c r="D32" s="435" t="s">
        <v>22</v>
      </c>
      <c r="E32" s="435" t="s">
        <v>22</v>
      </c>
      <c r="F32" s="435" t="s">
        <v>22</v>
      </c>
      <c r="G32" s="435" t="s">
        <v>22</v>
      </c>
    </row>
    <row r="33" spans="2:7" x14ac:dyDescent="0.25">
      <c r="B33" s="438" t="s">
        <v>394</v>
      </c>
      <c r="C33" s="435" t="s">
        <v>2</v>
      </c>
      <c r="D33" s="435" t="s">
        <v>2</v>
      </c>
      <c r="E33" s="435" t="s">
        <v>2</v>
      </c>
      <c r="F33" s="435" t="s">
        <v>2</v>
      </c>
      <c r="G33" s="435" t="s">
        <v>2</v>
      </c>
    </row>
    <row r="34" spans="2:7" x14ac:dyDescent="0.25">
      <c r="B34" s="438" t="s">
        <v>395</v>
      </c>
      <c r="C34" s="435" t="s">
        <v>22</v>
      </c>
      <c r="D34" s="435" t="s">
        <v>22</v>
      </c>
      <c r="E34" s="435" t="s">
        <v>22</v>
      </c>
      <c r="F34" s="435" t="s">
        <v>22</v>
      </c>
      <c r="G34" s="435" t="s">
        <v>22</v>
      </c>
    </row>
    <row r="35" spans="2:7" x14ac:dyDescent="0.25">
      <c r="B35" s="438" t="s">
        <v>396</v>
      </c>
      <c r="C35" s="435" t="s">
        <v>2</v>
      </c>
      <c r="D35" s="435" t="s">
        <v>2</v>
      </c>
      <c r="E35" s="435" t="s">
        <v>2</v>
      </c>
      <c r="F35" s="435" t="s">
        <v>2</v>
      </c>
      <c r="G35" s="435" t="s">
        <v>2</v>
      </c>
    </row>
    <row r="36" spans="2:7" x14ac:dyDescent="0.25">
      <c r="B36" s="438" t="s">
        <v>285</v>
      </c>
      <c r="C36" s="435"/>
      <c r="D36" s="435"/>
      <c r="E36" s="435"/>
      <c r="F36" s="435"/>
      <c r="G36" s="435"/>
    </row>
    <row r="37" spans="2:7" x14ac:dyDescent="0.25">
      <c r="B37" s="438" t="s">
        <v>286</v>
      </c>
      <c r="C37" s="435"/>
      <c r="D37" s="435"/>
      <c r="E37" s="435"/>
      <c r="F37" s="435"/>
      <c r="G37" s="435"/>
    </row>
    <row r="38" spans="2:7" x14ac:dyDescent="0.25">
      <c r="B38" s="438" t="s">
        <v>264</v>
      </c>
      <c r="C38" s="435" t="s">
        <v>417</v>
      </c>
      <c r="D38" s="435" t="s">
        <v>417</v>
      </c>
      <c r="E38" s="435" t="s">
        <v>417</v>
      </c>
      <c r="F38" s="435" t="s">
        <v>417</v>
      </c>
      <c r="G38" s="435" t="s">
        <v>417</v>
      </c>
    </row>
    <row r="39" spans="2:7" x14ac:dyDescent="0.25">
      <c r="B39" s="438" t="s">
        <v>268</v>
      </c>
      <c r="C39" s="435" t="s">
        <v>177</v>
      </c>
      <c r="D39" s="435" t="s">
        <v>177</v>
      </c>
      <c r="E39" s="435" t="s">
        <v>177</v>
      </c>
      <c r="F39" s="435" t="s">
        <v>177</v>
      </c>
      <c r="G39" s="435" t="s">
        <v>177</v>
      </c>
    </row>
    <row r="40" spans="2:7" x14ac:dyDescent="0.25">
      <c r="B40" s="438" t="s">
        <v>270</v>
      </c>
      <c r="C40" s="435" t="s">
        <v>418</v>
      </c>
      <c r="D40" s="435" t="s">
        <v>418</v>
      </c>
      <c r="E40" s="435" t="s">
        <v>418</v>
      </c>
      <c r="F40" s="435" t="s">
        <v>418</v>
      </c>
      <c r="G40" s="435" t="s">
        <v>418</v>
      </c>
    </row>
    <row r="41" spans="2:7" x14ac:dyDescent="0.25">
      <c r="B41" s="438" t="s">
        <v>269</v>
      </c>
      <c r="C41" s="450">
        <v>0</v>
      </c>
      <c r="D41" s="450">
        <v>0</v>
      </c>
      <c r="E41" s="450">
        <v>0</v>
      </c>
      <c r="F41" s="450">
        <v>0</v>
      </c>
      <c r="G41" s="450">
        <v>0</v>
      </c>
    </row>
    <row r="42" spans="2:7" x14ac:dyDescent="0.25">
      <c r="B42" s="438" t="s">
        <v>265</v>
      </c>
      <c r="C42" s="435" t="s">
        <v>191</v>
      </c>
      <c r="D42" s="435" t="s">
        <v>191</v>
      </c>
      <c r="E42" s="435" t="s">
        <v>191</v>
      </c>
      <c r="F42" s="435" t="s">
        <v>191</v>
      </c>
      <c r="G42" s="435" t="s">
        <v>191</v>
      </c>
    </row>
    <row r="43" spans="2:7" x14ac:dyDescent="0.25">
      <c r="B43" s="438" t="s">
        <v>266</v>
      </c>
      <c r="C43" s="435"/>
      <c r="D43" s="435"/>
      <c r="E43" s="435"/>
      <c r="F43" s="435"/>
      <c r="G43" s="435"/>
    </row>
    <row r="44" spans="2:7" x14ac:dyDescent="0.25">
      <c r="B44" s="439" t="s">
        <v>267</v>
      </c>
      <c r="C44" s="436"/>
      <c r="D44" s="436"/>
      <c r="E44" s="436"/>
      <c r="F44" s="436"/>
      <c r="G44" s="436"/>
    </row>
    <row r="45" spans="2:7" x14ac:dyDescent="0.25">
      <c r="C45" s="433"/>
      <c r="D45" s="433"/>
      <c r="E45" s="433"/>
      <c r="F45" s="433"/>
      <c r="G45" s="433"/>
    </row>
    <row r="46" spans="2:7" x14ac:dyDescent="0.25">
      <c r="B46" s="383" t="s">
        <v>422</v>
      </c>
      <c r="C46" s="433"/>
      <c r="D46" s="433"/>
      <c r="E46" s="433"/>
      <c r="F46" s="433"/>
      <c r="G46" s="433"/>
    </row>
    <row r="47" spans="2:7" x14ac:dyDescent="0.25">
      <c r="B47" s="380" t="s">
        <v>421</v>
      </c>
      <c r="C47" s="442">
        <f ca="1">IF(AND(NOW(),isEUROISLoaded),_xll.meProductOISPV(B8:C44,FALSE),"Load Curve")</f>
        <v>14066.694055419011</v>
      </c>
      <c r="D47" s="442">
        <f ca="1">IF(AND(NOW(),isEUROISLoaded),_xll.meProductOISPV(_xll.meUtilityLVBFromKeysValues($B$8:$B$44,D8:D44),FALSE),"Load Curve")</f>
        <v>28659.937138394544</v>
      </c>
      <c r="E47" s="442">
        <f ca="1">IF(AND(NOW(),isEUROISLoaded),_xll.meProductOISPV(_xll.meUtilityLVBFromKeysValues($B$8:$B$44,E8:E44),FALSE),"Load Curve")</f>
        <v>42505.917501683463</v>
      </c>
      <c r="F47" s="442">
        <f ca="1">IF(AND(NOW(),isEUROISLoaded),_xll.meProductOISPV(_xll.meUtilityLVBFromKeysValues($B$8:$B$44,F8:F44),FALSE),"Load Curve")</f>
        <v>55007.037702002599</v>
      </c>
      <c r="G47" s="442">
        <f ca="1">IF(AND(NOW(),isEUROISLoaded),_xll.meProductOISPV(_xll.meUtilityLVBFromKeysValues($B$8:$B$44,G8:G44),FALSE),"Load Curve")</f>
        <v>65177.329369664461</v>
      </c>
    </row>
    <row r="48" spans="2:7" x14ac:dyDescent="0.25">
      <c r="B48" s="382" t="s">
        <v>188</v>
      </c>
      <c r="C48" s="443">
        <f ca="1">IF(AND(NOW(),isEUROISLoaded),_xll.meProductOISParRate(B8:C44,FALSE),"Load Curve")</f>
        <v>-3.8199999584560855E-3</v>
      </c>
      <c r="D48" s="443">
        <f ca="1">IF(AND(NOW(),isEUROISLoaded),_xll.meProductOISParRate(_xll.meUtilityLVBFromKeysValues($B$8:$B$44,D8:D44),FALSE),"Load Curve")</f>
        <v>-4.00999999964955E-3</v>
      </c>
      <c r="E48" s="443">
        <f ca="1">IF(AND(NOW(),isEUROISLoaded),_xll.meProductOISParRate(_xll.meUtilityLVBFromKeysValues($B$8:$B$44,E8:E44),FALSE),"Load Curve")</f>
        <v>-3.8511824423024411E-3</v>
      </c>
      <c r="F48" s="443">
        <f ca="1">IF(AND(NOW(),isEUROISLoaded),_xll.meProductOISParRate(_xll.meUtilityLVBFromKeysValues($B$8:$B$44,F8:F44),FALSE),"Load Curve")</f>
        <v>-3.4265067785982459E-3</v>
      </c>
      <c r="G48" s="443">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tabSelected="1" workbookViewId="0"/>
  </sheetViews>
  <sheetFormatPr defaultRowHeight="15" outlineLevelRow="1" x14ac:dyDescent="0.25"/>
  <cols>
    <col min="1" max="1" width="12.7109375" style="202" customWidth="1"/>
    <col min="2" max="2" width="37.5703125" style="202" customWidth="1"/>
    <col min="3" max="7" width="25.7109375" style="202" customWidth="1"/>
    <col min="8" max="16384" width="9.140625" style="202"/>
  </cols>
  <sheetData>
    <row r="2" spans="1:9" ht="23.25" x14ac:dyDescent="0.35">
      <c r="B2" s="108" t="s">
        <v>446</v>
      </c>
    </row>
    <row r="3" spans="1:9" s="363" customFormat="1" x14ac:dyDescent="0.25">
      <c r="B3" s="409"/>
    </row>
    <row r="4" spans="1:9" ht="23.25" x14ac:dyDescent="0.35">
      <c r="B4" s="351" t="s">
        <v>444</v>
      </c>
      <c r="D4" s="351" t="s">
        <v>442</v>
      </c>
      <c r="I4" s="351"/>
    </row>
    <row r="5" spans="1:9" ht="23.25" x14ac:dyDescent="0.35">
      <c r="B5" s="351" t="s">
        <v>443</v>
      </c>
      <c r="D5" s="351" t="s">
        <v>441</v>
      </c>
      <c r="I5" s="351"/>
    </row>
    <row r="6" spans="1:9" s="363" customFormat="1" x14ac:dyDescent="0.25"/>
    <row r="7" spans="1:9" s="363" customFormat="1" x14ac:dyDescent="0.25"/>
    <row r="8" spans="1:9" s="363" customFormat="1" x14ac:dyDescent="0.25">
      <c r="B8" s="458" t="s">
        <v>385</v>
      </c>
      <c r="C8" s="461" t="s">
        <v>423</v>
      </c>
      <c r="D8" s="461" t="s">
        <v>424</v>
      </c>
      <c r="E8" s="461" t="s">
        <v>425</v>
      </c>
      <c r="F8" s="461" t="s">
        <v>426</v>
      </c>
      <c r="G8" s="461" t="s">
        <v>427</v>
      </c>
    </row>
    <row r="9" spans="1:9" x14ac:dyDescent="0.25">
      <c r="B9" s="465" t="s">
        <v>175</v>
      </c>
      <c r="C9" s="466">
        <v>1000000</v>
      </c>
      <c r="D9" s="466">
        <v>1000000</v>
      </c>
      <c r="E9" s="466">
        <v>1000000</v>
      </c>
      <c r="F9" s="466">
        <v>1000000</v>
      </c>
      <c r="G9" s="466">
        <v>1000000</v>
      </c>
    </row>
    <row r="10" spans="1:9" x14ac:dyDescent="0.25">
      <c r="A10" s="370" t="s">
        <v>386</v>
      </c>
      <c r="B10" s="354" t="s">
        <v>249</v>
      </c>
      <c r="C10" s="352" t="s">
        <v>229</v>
      </c>
      <c r="D10" s="352" t="s">
        <v>229</v>
      </c>
      <c r="E10" s="352" t="s">
        <v>229</v>
      </c>
      <c r="F10" s="352" t="s">
        <v>229</v>
      </c>
      <c r="G10" s="352" t="s">
        <v>229</v>
      </c>
    </row>
    <row r="11" spans="1:9" x14ac:dyDescent="0.25">
      <c r="A11" s="371" t="s">
        <v>191</v>
      </c>
      <c r="B11" s="354" t="s">
        <v>250</v>
      </c>
      <c r="C11" s="463">
        <f ca="1">_xll.meDateFromTenor(COB,$A$11,C20,C21)</f>
        <v>42523</v>
      </c>
      <c r="D11" s="463">
        <f ca="1">_xll.meDateFromTenor(COB,$A$11,D20,D21)</f>
        <v>42523</v>
      </c>
      <c r="E11" s="463">
        <f ca="1">_xll.meDateFromTenor(COB,$A$11,E20,E21)</f>
        <v>42523</v>
      </c>
      <c r="F11" s="463">
        <f ca="1">_xll.meDateFromTenor(COB,$A$11,F20,F21)</f>
        <v>42523</v>
      </c>
      <c r="G11" s="463">
        <f ca="1">_xll.meDateFromTenor(COB,$A$11,G20,G21)</f>
        <v>42523</v>
      </c>
    </row>
    <row r="12" spans="1:9" x14ac:dyDescent="0.25">
      <c r="B12" s="354" t="s">
        <v>251</v>
      </c>
      <c r="C12" s="464" t="s">
        <v>159</v>
      </c>
      <c r="D12" s="464" t="s">
        <v>47</v>
      </c>
      <c r="E12" s="464" t="s">
        <v>43</v>
      </c>
      <c r="F12" s="464" t="s">
        <v>50</v>
      </c>
      <c r="G12" s="464" t="s">
        <v>52</v>
      </c>
    </row>
    <row r="13" spans="1:9" x14ac:dyDescent="0.25">
      <c r="B13" s="354" t="s">
        <v>80</v>
      </c>
      <c r="C13" s="464" t="s">
        <v>78</v>
      </c>
      <c r="D13" s="464" t="s">
        <v>78</v>
      </c>
      <c r="E13" s="464" t="s">
        <v>78</v>
      </c>
      <c r="F13" s="464" t="s">
        <v>78</v>
      </c>
      <c r="G13" s="464" t="s">
        <v>78</v>
      </c>
    </row>
    <row r="14" spans="1:9" x14ac:dyDescent="0.25">
      <c r="B14" s="354" t="s">
        <v>271</v>
      </c>
      <c r="C14" s="353" t="s">
        <v>162</v>
      </c>
      <c r="D14" s="353" t="s">
        <v>162</v>
      </c>
      <c r="E14" s="353" t="s">
        <v>162</v>
      </c>
      <c r="F14" s="353" t="s">
        <v>162</v>
      </c>
      <c r="G14" s="353" t="s">
        <v>162</v>
      </c>
    </row>
    <row r="15" spans="1:9" x14ac:dyDescent="0.25">
      <c r="B15" s="354" t="s">
        <v>272</v>
      </c>
      <c r="C15" s="467" t="s">
        <v>9</v>
      </c>
      <c r="D15" s="467" t="s">
        <v>9</v>
      </c>
      <c r="E15" s="467" t="s">
        <v>9</v>
      </c>
      <c r="F15" s="467" t="s">
        <v>9</v>
      </c>
      <c r="G15" s="467" t="s">
        <v>9</v>
      </c>
    </row>
    <row r="16" spans="1:9" s="223" customFormat="1" x14ac:dyDescent="0.25">
      <c r="B16" s="354" t="s">
        <v>253</v>
      </c>
      <c r="C16" s="375" t="s">
        <v>26</v>
      </c>
      <c r="D16" s="375" t="s">
        <v>26</v>
      </c>
      <c r="E16" s="375" t="s">
        <v>26</v>
      </c>
      <c r="F16" s="375" t="s">
        <v>26</v>
      </c>
      <c r="G16" s="375" t="s">
        <v>26</v>
      </c>
    </row>
    <row r="17" spans="2:7" x14ac:dyDescent="0.25">
      <c r="B17" s="354" t="s">
        <v>254</v>
      </c>
      <c r="C17" s="374" t="s">
        <v>20</v>
      </c>
      <c r="D17" s="374" t="s">
        <v>20</v>
      </c>
      <c r="E17" s="374" t="s">
        <v>20</v>
      </c>
      <c r="F17" s="374" t="s">
        <v>20</v>
      </c>
      <c r="G17" s="374" t="s">
        <v>20</v>
      </c>
    </row>
    <row r="18" spans="2:7" x14ac:dyDescent="0.25">
      <c r="B18" s="354" t="s">
        <v>389</v>
      </c>
      <c r="C18" s="375" t="s">
        <v>22</v>
      </c>
      <c r="D18" s="375" t="s">
        <v>22</v>
      </c>
      <c r="E18" s="375" t="s">
        <v>22</v>
      </c>
      <c r="F18" s="375" t="s">
        <v>22</v>
      </c>
      <c r="G18" s="375" t="s">
        <v>22</v>
      </c>
    </row>
    <row r="19" spans="2:7" x14ac:dyDescent="0.25">
      <c r="B19" s="354" t="s">
        <v>391</v>
      </c>
      <c r="C19" s="375" t="s">
        <v>2</v>
      </c>
      <c r="D19" s="375" t="s">
        <v>2</v>
      </c>
      <c r="E19" s="375" t="s">
        <v>2</v>
      </c>
      <c r="F19" s="375" t="s">
        <v>2</v>
      </c>
      <c r="G19" s="375" t="s">
        <v>2</v>
      </c>
    </row>
    <row r="20" spans="2:7" x14ac:dyDescent="0.25">
      <c r="B20" s="354" t="s">
        <v>390</v>
      </c>
      <c r="C20" s="375" t="s">
        <v>22</v>
      </c>
      <c r="D20" s="375" t="s">
        <v>22</v>
      </c>
      <c r="E20" s="375" t="s">
        <v>22</v>
      </c>
      <c r="F20" s="375" t="s">
        <v>22</v>
      </c>
      <c r="G20" s="375" t="s">
        <v>22</v>
      </c>
    </row>
    <row r="21" spans="2:7" x14ac:dyDescent="0.25">
      <c r="B21" s="354" t="s">
        <v>392</v>
      </c>
      <c r="C21" s="375" t="s">
        <v>2</v>
      </c>
      <c r="D21" s="375" t="s">
        <v>2</v>
      </c>
      <c r="E21" s="375" t="s">
        <v>2</v>
      </c>
      <c r="F21" s="375" t="s">
        <v>2</v>
      </c>
      <c r="G21" s="375" t="s">
        <v>2</v>
      </c>
    </row>
    <row r="22" spans="2:7" x14ac:dyDescent="0.25">
      <c r="B22" s="354" t="s">
        <v>283</v>
      </c>
      <c r="C22" s="376"/>
      <c r="D22" s="376"/>
      <c r="E22" s="376"/>
      <c r="F22" s="376"/>
      <c r="G22" s="376"/>
    </row>
    <row r="23" spans="2:7" x14ac:dyDescent="0.25">
      <c r="B23" s="354" t="s">
        <v>284</v>
      </c>
      <c r="C23" s="376"/>
      <c r="D23" s="376"/>
      <c r="E23" s="376"/>
      <c r="F23" s="376"/>
      <c r="G23" s="376"/>
    </row>
    <row r="24" spans="2:7" x14ac:dyDescent="0.25">
      <c r="B24" s="354" t="s">
        <v>257</v>
      </c>
      <c r="C24" s="375" t="s">
        <v>417</v>
      </c>
      <c r="D24" s="375" t="s">
        <v>417</v>
      </c>
      <c r="E24" s="375" t="s">
        <v>417</v>
      </c>
      <c r="F24" s="375" t="s">
        <v>417</v>
      </c>
      <c r="G24" s="375" t="s">
        <v>417</v>
      </c>
    </row>
    <row r="25" spans="2:7" x14ac:dyDescent="0.25">
      <c r="B25" s="354" t="s">
        <v>258</v>
      </c>
      <c r="C25" s="374" t="s">
        <v>177</v>
      </c>
      <c r="D25" s="374" t="s">
        <v>177</v>
      </c>
      <c r="E25" s="374" t="s">
        <v>177</v>
      </c>
      <c r="F25" s="374" t="s">
        <v>177</v>
      </c>
      <c r="G25" s="374" t="s">
        <v>177</v>
      </c>
    </row>
    <row r="26" spans="2:7" x14ac:dyDescent="0.25">
      <c r="B26" s="354" t="s">
        <v>259</v>
      </c>
      <c r="C26" s="374" t="s">
        <v>178</v>
      </c>
      <c r="D26" s="374" t="s">
        <v>178</v>
      </c>
      <c r="E26" s="374" t="s">
        <v>178</v>
      </c>
      <c r="F26" s="374" t="s">
        <v>178</v>
      </c>
      <c r="G26" s="374" t="s">
        <v>178</v>
      </c>
    </row>
    <row r="27" spans="2:7" x14ac:dyDescent="0.25">
      <c r="B27" s="354" t="s">
        <v>252</v>
      </c>
      <c r="C27" s="459">
        <v>0.01</v>
      </c>
      <c r="D27" s="459">
        <v>0.01</v>
      </c>
      <c r="E27" s="459">
        <v>0.01</v>
      </c>
      <c r="F27" s="459">
        <v>0.01</v>
      </c>
      <c r="G27" s="459">
        <v>0.01</v>
      </c>
    </row>
    <row r="28" spans="2:7" x14ac:dyDescent="0.25">
      <c r="B28" s="354" t="s">
        <v>260</v>
      </c>
      <c r="C28" s="377" t="str">
        <f>VLOOKUP(C14,Settings.LookupTable.ForecastCurve,2,0)</f>
        <v>Semi-Annual</v>
      </c>
      <c r="D28" s="377" t="str">
        <f>VLOOKUP(D14,Settings.LookupTable.ForecastCurve,2,0)</f>
        <v>Semi-Annual</v>
      </c>
      <c r="E28" s="377" t="str">
        <f>VLOOKUP(E14,Settings.LookupTable.ForecastCurve,2,0)</f>
        <v>Semi-Annual</v>
      </c>
      <c r="F28" s="377" t="str">
        <f>VLOOKUP(F14,Settings.LookupTable.ForecastCurve,2,0)</f>
        <v>Semi-Annual</v>
      </c>
      <c r="G28" s="377" t="str">
        <f>VLOOKUP(G14,Settings.LookupTable.ForecastCurve,2,0)</f>
        <v>Semi-Annual</v>
      </c>
    </row>
    <row r="29" spans="2:7" x14ac:dyDescent="0.25">
      <c r="B29" s="354" t="s">
        <v>261</v>
      </c>
      <c r="C29" s="374" t="s">
        <v>6</v>
      </c>
      <c r="D29" s="374" t="s">
        <v>6</v>
      </c>
      <c r="E29" s="374" t="s">
        <v>6</v>
      </c>
      <c r="F29" s="374" t="s">
        <v>6</v>
      </c>
      <c r="G29" s="374" t="s">
        <v>6</v>
      </c>
    </row>
    <row r="30" spans="2:7" x14ac:dyDescent="0.25">
      <c r="B30" s="354" t="s">
        <v>397</v>
      </c>
      <c r="C30" s="375" t="s">
        <v>22</v>
      </c>
      <c r="D30" s="375" t="s">
        <v>22</v>
      </c>
      <c r="E30" s="375" t="s">
        <v>22</v>
      </c>
      <c r="F30" s="375" t="s">
        <v>22</v>
      </c>
      <c r="G30" s="375" t="s">
        <v>22</v>
      </c>
    </row>
    <row r="31" spans="2:7" x14ac:dyDescent="0.25">
      <c r="B31" s="354" t="s">
        <v>398</v>
      </c>
      <c r="C31" s="375" t="s">
        <v>2</v>
      </c>
      <c r="D31" s="375" t="s">
        <v>2</v>
      </c>
      <c r="E31" s="375" t="s">
        <v>2</v>
      </c>
      <c r="F31" s="375" t="s">
        <v>2</v>
      </c>
      <c r="G31" s="375" t="s">
        <v>2</v>
      </c>
    </row>
    <row r="32" spans="2:7" x14ac:dyDescent="0.25">
      <c r="B32" s="354" t="s">
        <v>393</v>
      </c>
      <c r="C32" s="375" t="s">
        <v>22</v>
      </c>
      <c r="D32" s="375" t="s">
        <v>22</v>
      </c>
      <c r="E32" s="375" t="s">
        <v>22</v>
      </c>
      <c r="F32" s="375" t="s">
        <v>22</v>
      </c>
      <c r="G32" s="375" t="s">
        <v>22</v>
      </c>
    </row>
    <row r="33" spans="2:7" x14ac:dyDescent="0.25">
      <c r="B33" s="354" t="s">
        <v>394</v>
      </c>
      <c r="C33" s="375" t="s">
        <v>2</v>
      </c>
      <c r="D33" s="375" t="s">
        <v>2</v>
      </c>
      <c r="E33" s="375" t="s">
        <v>2</v>
      </c>
      <c r="F33" s="375" t="s">
        <v>2</v>
      </c>
      <c r="G33" s="375" t="s">
        <v>2</v>
      </c>
    </row>
    <row r="34" spans="2:7" x14ac:dyDescent="0.25">
      <c r="B34" s="354" t="s">
        <v>395</v>
      </c>
      <c r="C34" s="375" t="s">
        <v>22</v>
      </c>
      <c r="D34" s="375" t="s">
        <v>22</v>
      </c>
      <c r="E34" s="375" t="s">
        <v>22</v>
      </c>
      <c r="F34" s="375" t="s">
        <v>22</v>
      </c>
      <c r="G34" s="375" t="s">
        <v>22</v>
      </c>
    </row>
    <row r="35" spans="2:7" x14ac:dyDescent="0.25">
      <c r="B35" s="354" t="s">
        <v>396</v>
      </c>
      <c r="C35" s="375" t="s">
        <v>2</v>
      </c>
      <c r="D35" s="375" t="s">
        <v>2</v>
      </c>
      <c r="E35" s="375" t="s">
        <v>2</v>
      </c>
      <c r="F35" s="375" t="s">
        <v>2</v>
      </c>
      <c r="G35" s="375" t="s">
        <v>2</v>
      </c>
    </row>
    <row r="36" spans="2:7" x14ac:dyDescent="0.25">
      <c r="B36" s="354" t="s">
        <v>285</v>
      </c>
      <c r="C36" s="376"/>
      <c r="D36" s="376"/>
      <c r="E36" s="376"/>
      <c r="F36" s="376"/>
      <c r="G36" s="376"/>
    </row>
    <row r="37" spans="2:7" x14ac:dyDescent="0.25">
      <c r="B37" s="354" t="s">
        <v>286</v>
      </c>
      <c r="C37" s="376"/>
      <c r="D37" s="376"/>
      <c r="E37" s="376"/>
      <c r="F37" s="376"/>
      <c r="G37" s="376"/>
    </row>
    <row r="38" spans="2:7" x14ac:dyDescent="0.25">
      <c r="B38" s="354" t="s">
        <v>264</v>
      </c>
      <c r="C38" s="375" t="s">
        <v>417</v>
      </c>
      <c r="D38" s="375" t="s">
        <v>417</v>
      </c>
      <c r="E38" s="375" t="s">
        <v>417</v>
      </c>
      <c r="F38" s="375" t="s">
        <v>417</v>
      </c>
      <c r="G38" s="375" t="s">
        <v>417</v>
      </c>
    </row>
    <row r="39" spans="2:7" x14ac:dyDescent="0.25">
      <c r="B39" s="354" t="s">
        <v>265</v>
      </c>
      <c r="C39" s="374" t="s">
        <v>177</v>
      </c>
      <c r="D39" s="374" t="s">
        <v>177</v>
      </c>
      <c r="E39" s="374" t="s">
        <v>177</v>
      </c>
      <c r="F39" s="374" t="s">
        <v>177</v>
      </c>
      <c r="G39" s="374" t="s">
        <v>177</v>
      </c>
    </row>
    <row r="40" spans="2:7" x14ac:dyDescent="0.25">
      <c r="B40" s="354" t="s">
        <v>266</v>
      </c>
      <c r="C40" s="378"/>
      <c r="D40" s="378"/>
      <c r="E40" s="378"/>
      <c r="F40" s="378"/>
      <c r="G40" s="378"/>
    </row>
    <row r="41" spans="2:7" x14ac:dyDescent="0.25">
      <c r="B41" s="354" t="s">
        <v>267</v>
      </c>
      <c r="C41" s="378"/>
      <c r="D41" s="378"/>
      <c r="E41" s="378"/>
      <c r="F41" s="378"/>
      <c r="G41" s="378"/>
    </row>
    <row r="42" spans="2:7" x14ac:dyDescent="0.25">
      <c r="B42" s="354" t="s">
        <v>268</v>
      </c>
      <c r="C42" s="374" t="s">
        <v>177</v>
      </c>
      <c r="D42" s="374" t="s">
        <v>177</v>
      </c>
      <c r="E42" s="374" t="s">
        <v>177</v>
      </c>
      <c r="F42" s="374" t="s">
        <v>177</v>
      </c>
      <c r="G42" s="374" t="s">
        <v>177</v>
      </c>
    </row>
    <row r="43" spans="2:7" x14ac:dyDescent="0.25">
      <c r="B43" s="354" t="s">
        <v>270</v>
      </c>
      <c r="C43" s="374" t="s">
        <v>178</v>
      </c>
      <c r="D43" s="374" t="s">
        <v>178</v>
      </c>
      <c r="E43" s="374" t="s">
        <v>178</v>
      </c>
      <c r="F43" s="374" t="s">
        <v>178</v>
      </c>
      <c r="G43" s="374" t="s">
        <v>178</v>
      </c>
    </row>
    <row r="44" spans="2:7" x14ac:dyDescent="0.25">
      <c r="B44" s="355" t="s">
        <v>269</v>
      </c>
      <c r="C44" s="468">
        <v>0</v>
      </c>
      <c r="D44" s="468">
        <v>0</v>
      </c>
      <c r="E44" s="468">
        <v>0</v>
      </c>
      <c r="F44" s="468">
        <v>0</v>
      </c>
      <c r="G44" s="468">
        <v>0</v>
      </c>
    </row>
    <row r="47" spans="2:7" x14ac:dyDescent="0.25">
      <c r="B47" s="383" t="s">
        <v>387</v>
      </c>
      <c r="C47" s="379"/>
    </row>
    <row r="48" spans="2:7" x14ac:dyDescent="0.25">
      <c r="B48" s="357" t="s">
        <v>375</v>
      </c>
      <c r="C48" s="358">
        <f ca="1">IF(AND(NOW(),isEUR12MLLoaded),_xll.meProductSwapParRate($B$9:$C$44,FALSE),"Load Curve")</f>
        <v>-1.528836551109039E-3</v>
      </c>
      <c r="D48" s="358">
        <f ca="1">IF(AND(NOW(),isEUR12MLLoaded),_xll.meProductSwapParRate(_xll.meUtilityLVBFromKeysValues($B$9:$B$44,D9:D44),FALSE),"Load Curve")</f>
        <v>-1.6271355013666011E-3</v>
      </c>
      <c r="E48" s="358">
        <f ca="1">IF(AND(NOW(),isEUR12MLLoaded),_xll.meProductSwapParRate(_xll.meUtilityLVBFromKeysValues($B$9:$B$44,E9:E44),FALSE),"Load Curve")</f>
        <v>-1.333891355133787E-3</v>
      </c>
      <c r="F48" s="358">
        <f ca="1">IF(AND(NOW(),isEUR12MLLoaded),_xll.meProductSwapParRate(_xll.meUtilityLVBFromKeysValues($B$9:$B$44,F9:F44),FALSE),"Load Curve")</f>
        <v>-6.820496452635094E-4</v>
      </c>
      <c r="G48" s="358">
        <f ca="1">IF(AND(NOW(),isEUR12MLLoaded),_xll.meProductSwapParRate(_xll.meUtilityLVBFromKeysValues($B$9:$B$44,G9:G44),FALSE),"Load Curve")</f>
        <v>1.612172131635172E-4</v>
      </c>
    </row>
    <row r="49" spans="2:8" x14ac:dyDescent="0.25">
      <c r="B49" s="359" t="s">
        <v>376</v>
      </c>
      <c r="C49" s="361">
        <f ca="1">IF(AND(NOW(),isEUR12MLLoaded),_xll.meProductSwapPV(B9:C44,FALSE),"Load Curve")</f>
        <v>11573.883818186623</v>
      </c>
      <c r="D49" s="361">
        <f ca="1">IF(AND(NOW(),isEUR12MLLoaded),_xll.meProductSwapPV(_xll.meUtilityLVBFromKeysValues($B$9:$B$44,D9:D44),FALSE),"Load Curve")</f>
        <v>23460.4308520333</v>
      </c>
      <c r="E49" s="361">
        <f ca="1">IF(AND(NOW(),isEUR12MLLoaded),_xll.meProductSwapPV(_xll.meUtilityLVBFromKeysValues($B$9:$B$44,E9:E44),FALSE),"Load Curve")</f>
        <v>34304.943779340967</v>
      </c>
      <c r="F49" s="361">
        <f ca="1">IF(AND(NOW(),isEUR12MLLoaded),_xll.meProductSwapPV(_xll.meUtilityLVBFromKeysValues($B$9:$B$44,F9:F44),FALSE),"Load Curve")</f>
        <v>43134.0968907192</v>
      </c>
      <c r="G49" s="361">
        <f ca="1">IF(AND(NOW(),isEUR12MLLoaded),_xll.meProductSwapPV(_xll.meUtilityLVBFromKeysValues($B$9:$B$44,G9:G44),FALSE),"Load Curve")</f>
        <v>49704.993233505651</v>
      </c>
    </row>
    <row r="50" spans="2:8" x14ac:dyDescent="0.25">
      <c r="B50" s="359" t="s">
        <v>377</v>
      </c>
      <c r="C50" s="361">
        <f ca="1">IF(AND(NOW(),isEUR12MLLoaded),_xll.meProductSwapPV01(B9:C44,FALSE),"Load Curve")</f>
        <v>100.39073558617891</v>
      </c>
      <c r="D50" s="361">
        <f ca="1">IF(AND(NOW(),isEUR12MLLoaded),_xll.meProductSwapPV01(_xll.meUtilityLVBFromKeysValues($B$9:$B$44,D9:D44),FALSE),"Load Curve")</f>
        <v>201.77309234313017</v>
      </c>
      <c r="E50" s="361">
        <f ca="1">IF(AND(NOW(),isEUR12MLLoaded),_xll.meProductSwapPV01(_xll.meUtilityLVBFromKeysValues($B$9:$B$44,E9:E44),FALSE),"Load Curve")</f>
        <v>302.67577749280463</v>
      </c>
      <c r="F50" s="361">
        <f ca="1">IF(AND(NOW(),isEUR12MLLoaded),_xll.meProductSwapPV01(_xll.meUtilityLVBFromKeysValues($B$9:$B$44,F9:F44),FALSE),"Load Curve")</f>
        <v>403.79981673128748</v>
      </c>
      <c r="G50" s="361">
        <f ca="1">IF(AND(NOW(),isEUR12MLLoaded),_xll.meProductSwapPV01(_xll.meUtilityLVBFromKeysValues($B$9:$B$44,G9:G44),FALSE),"Load Curve")</f>
        <v>505.19453788538783</v>
      </c>
    </row>
    <row r="51" spans="2:8" x14ac:dyDescent="0.25">
      <c r="B51" s="360" t="s">
        <v>378</v>
      </c>
      <c r="C51" s="362">
        <f ca="1">IF(AND(NOW(),isEUR12MLLoaded),_xll.meProductSwapDV01(B9:C44,FALSE),"Load Curve")</f>
        <v>101.60732530312661</v>
      </c>
      <c r="D51" s="362">
        <f ca="1">IF(AND(NOW(),isEUR12MLLoaded),_xll.meProductSwapDV01(_xll.meUtilityLVBFromKeysValues($B$9:$B$44,D9:D44),FALSE),"Load Curve")</f>
        <v>205.42172133296003</v>
      </c>
      <c r="E51" s="362">
        <f ca="1">IF(AND(NOW(),isEUR12MLLoaded),_xll.meProductSwapDV01(_xll.meUtilityLVBFromKeysValues($B$9:$B$44,E9:E44),FALSE),"Load Curve")</f>
        <v>309.82531413743664</v>
      </c>
      <c r="F51" s="362">
        <f ca="1">IF(AND(NOW(),isEUR12MLLoaded),_xll.meProductSwapDV01(_xll.meUtilityLVBFromKeysValues($B$9:$B$44,F9:F44),FALSE),"Load Curve")</f>
        <v>415.27811631207624</v>
      </c>
      <c r="G51" s="362">
        <f ca="1">IF(AND(NOW(),isEUR12MLLoaded),_xll.meProductSwapDV01(_xll.meUtilityLVBFromKeysValues($B$9:$B$44,G9:G44),FALSE),"Load Curve")</f>
        <v>521.45022121360387</v>
      </c>
      <c r="H51" s="434"/>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2" customFormat="1" ht="23.25" x14ac:dyDescent="0.35">
      <c r="B2" s="108" t="s">
        <v>448</v>
      </c>
    </row>
    <row r="3" spans="1:3" s="363" customFormat="1" x14ac:dyDescent="0.25">
      <c r="B3" s="409"/>
    </row>
    <row r="4" spans="1:3" ht="23.25" x14ac:dyDescent="0.35">
      <c r="B4" s="351" t="s">
        <v>445</v>
      </c>
    </row>
    <row r="5" spans="1:3" s="202" customFormat="1" x14ac:dyDescent="0.25"/>
    <row r="6" spans="1:3" s="202" customFormat="1" x14ac:dyDescent="0.25">
      <c r="B6" s="458" t="s">
        <v>437</v>
      </c>
    </row>
    <row r="7" spans="1:3" s="202" customFormat="1" x14ac:dyDescent="0.25">
      <c r="B7" s="465" t="s">
        <v>432</v>
      </c>
      <c r="C7" s="475" t="s">
        <v>433</v>
      </c>
    </row>
    <row r="8" spans="1:3" s="202" customFormat="1" x14ac:dyDescent="0.25">
      <c r="B8" s="354" t="s">
        <v>431</v>
      </c>
      <c r="C8" s="476">
        <v>104.68</v>
      </c>
    </row>
    <row r="9" spans="1:3" s="202" customFormat="1" x14ac:dyDescent="0.25">
      <c r="B9" s="354" t="s">
        <v>252</v>
      </c>
      <c r="C9" s="477">
        <v>5.0000000000000001E-3</v>
      </c>
    </row>
    <row r="10" spans="1:3" s="202" customFormat="1" x14ac:dyDescent="0.25">
      <c r="B10" s="355" t="s">
        <v>251</v>
      </c>
      <c r="C10" s="478">
        <v>46068</v>
      </c>
    </row>
    <row r="11" spans="1:3" s="202" customFormat="1" x14ac:dyDescent="0.25"/>
    <row r="12" spans="1:3" x14ac:dyDescent="0.25">
      <c r="A12" s="370"/>
      <c r="B12" s="458" t="s">
        <v>385</v>
      </c>
      <c r="C12" s="461" t="s">
        <v>430</v>
      </c>
    </row>
    <row r="13" spans="1:3" s="202" customFormat="1" x14ac:dyDescent="0.25">
      <c r="B13" s="354" t="s">
        <v>432</v>
      </c>
      <c r="C13" s="463" t="str">
        <f>C7</f>
        <v>DBR 0.5% 15/02/2026</v>
      </c>
    </row>
    <row r="14" spans="1:3" x14ac:dyDescent="0.25">
      <c r="B14" s="354" t="s">
        <v>431</v>
      </c>
      <c r="C14" s="472">
        <f>C8</f>
        <v>104.68</v>
      </c>
    </row>
    <row r="15" spans="1:3" s="202" customFormat="1" x14ac:dyDescent="0.25">
      <c r="B15" s="438" t="s">
        <v>453</v>
      </c>
      <c r="C15" s="470" t="b">
        <v>1</v>
      </c>
    </row>
    <row r="16" spans="1:3" s="202" customFormat="1" x14ac:dyDescent="0.25">
      <c r="B16" s="438" t="s">
        <v>454</v>
      </c>
      <c r="C16" s="482">
        <v>42019</v>
      </c>
    </row>
    <row r="17" spans="1:6" x14ac:dyDescent="0.25">
      <c r="A17" s="202"/>
      <c r="B17" s="438" t="s">
        <v>175</v>
      </c>
      <c r="C17" s="470">
        <v>1000000</v>
      </c>
    </row>
    <row r="18" spans="1:6" x14ac:dyDescent="0.25">
      <c r="A18" s="370" t="s">
        <v>386</v>
      </c>
      <c r="B18" s="438" t="s">
        <v>249</v>
      </c>
      <c r="C18" s="453" t="s">
        <v>229</v>
      </c>
      <c r="E18" s="202"/>
      <c r="F18" s="202"/>
    </row>
    <row r="19" spans="1:6" x14ac:dyDescent="0.25">
      <c r="A19" s="371" t="s">
        <v>191</v>
      </c>
      <c r="B19" s="354" t="s">
        <v>250</v>
      </c>
      <c r="C19" s="463">
        <f ca="1">_xll.meDateFromTenor(COB,$A$19,C28,C29)</f>
        <v>42523</v>
      </c>
    </row>
    <row r="20" spans="1:6" x14ac:dyDescent="0.25">
      <c r="A20" s="202"/>
      <c r="B20" s="354" t="s">
        <v>251</v>
      </c>
      <c r="C20" s="463">
        <f>C10</f>
        <v>46068</v>
      </c>
    </row>
    <row r="21" spans="1:6" x14ac:dyDescent="0.25">
      <c r="A21" s="223"/>
      <c r="B21" s="354" t="s">
        <v>80</v>
      </c>
      <c r="C21" s="464" t="s">
        <v>78</v>
      </c>
    </row>
    <row r="22" spans="1:6" x14ac:dyDescent="0.25">
      <c r="A22" s="202"/>
      <c r="B22" s="354" t="s">
        <v>271</v>
      </c>
      <c r="C22" s="353" t="s">
        <v>162</v>
      </c>
    </row>
    <row r="23" spans="1:6" x14ac:dyDescent="0.25">
      <c r="A23" s="202"/>
      <c r="B23" s="354" t="s">
        <v>272</v>
      </c>
      <c r="C23" s="467" t="s">
        <v>9</v>
      </c>
    </row>
    <row r="24" spans="1:6" x14ac:dyDescent="0.25">
      <c r="A24" s="202"/>
      <c r="B24" s="354" t="s">
        <v>253</v>
      </c>
      <c r="C24" s="375" t="s">
        <v>26</v>
      </c>
    </row>
    <row r="25" spans="1:6" x14ac:dyDescent="0.25">
      <c r="A25" s="202"/>
      <c r="B25" s="354" t="s">
        <v>254</v>
      </c>
      <c r="C25" s="374" t="s">
        <v>20</v>
      </c>
    </row>
    <row r="26" spans="1:6" x14ac:dyDescent="0.25">
      <c r="A26" s="202"/>
      <c r="B26" s="354" t="s">
        <v>389</v>
      </c>
      <c r="C26" s="375" t="s">
        <v>22</v>
      </c>
    </row>
    <row r="27" spans="1:6" x14ac:dyDescent="0.25">
      <c r="A27" s="202"/>
      <c r="B27" s="354" t="s">
        <v>391</v>
      </c>
      <c r="C27" s="375" t="s">
        <v>2</v>
      </c>
    </row>
    <row r="28" spans="1:6" x14ac:dyDescent="0.25">
      <c r="A28" s="202"/>
      <c r="B28" s="354" t="s">
        <v>390</v>
      </c>
      <c r="C28" s="375" t="s">
        <v>22</v>
      </c>
    </row>
    <row r="29" spans="1:6" x14ac:dyDescent="0.25">
      <c r="A29" s="202"/>
      <c r="B29" s="354" t="s">
        <v>392</v>
      </c>
      <c r="C29" s="375" t="s">
        <v>2</v>
      </c>
    </row>
    <row r="30" spans="1:6" x14ac:dyDescent="0.25">
      <c r="A30" s="202"/>
      <c r="B30" s="354" t="s">
        <v>283</v>
      </c>
      <c r="C30" s="376"/>
    </row>
    <row r="31" spans="1:6" x14ac:dyDescent="0.25">
      <c r="A31" s="202"/>
      <c r="B31" s="354" t="s">
        <v>284</v>
      </c>
      <c r="C31" s="376"/>
    </row>
    <row r="32" spans="1:6" x14ac:dyDescent="0.25">
      <c r="A32" s="202"/>
      <c r="B32" s="354" t="s">
        <v>257</v>
      </c>
      <c r="C32" s="375" t="s">
        <v>417</v>
      </c>
    </row>
    <row r="33" spans="1:3" x14ac:dyDescent="0.25">
      <c r="A33" s="202"/>
      <c r="B33" s="354" t="s">
        <v>258</v>
      </c>
      <c r="C33" s="374" t="s">
        <v>177</v>
      </c>
    </row>
    <row r="34" spans="1:3" x14ac:dyDescent="0.25">
      <c r="A34" s="202"/>
      <c r="B34" s="354" t="s">
        <v>259</v>
      </c>
      <c r="C34" s="374" t="s">
        <v>455</v>
      </c>
    </row>
    <row r="35" spans="1:3" ht="15.75" x14ac:dyDescent="0.25">
      <c r="A35" s="202"/>
      <c r="B35" s="354" t="s">
        <v>252</v>
      </c>
      <c r="C35" s="473">
        <v>5.0000000000000001E-3</v>
      </c>
    </row>
    <row r="36" spans="1:3" x14ac:dyDescent="0.25">
      <c r="A36" s="202"/>
      <c r="B36" s="354" t="s">
        <v>260</v>
      </c>
      <c r="C36" s="377" t="str">
        <f>VLOOKUP(C22,Settings.LookupTable.ForecastCurve,2,0)</f>
        <v>Semi-Annual</v>
      </c>
    </row>
    <row r="37" spans="1:3" x14ac:dyDescent="0.25">
      <c r="A37" s="202"/>
      <c r="B37" s="354" t="s">
        <v>261</v>
      </c>
      <c r="C37" s="374" t="s">
        <v>6</v>
      </c>
    </row>
    <row r="38" spans="1:3" x14ac:dyDescent="0.25">
      <c r="A38" s="202"/>
      <c r="B38" s="354" t="s">
        <v>397</v>
      </c>
      <c r="C38" s="375" t="s">
        <v>22</v>
      </c>
    </row>
    <row r="39" spans="1:3" x14ac:dyDescent="0.25">
      <c r="A39" s="202"/>
      <c r="B39" s="354" t="s">
        <v>398</v>
      </c>
      <c r="C39" s="375" t="s">
        <v>2</v>
      </c>
    </row>
    <row r="40" spans="1:3" x14ac:dyDescent="0.25">
      <c r="A40" s="202"/>
      <c r="B40" s="354" t="s">
        <v>393</v>
      </c>
      <c r="C40" s="375" t="s">
        <v>22</v>
      </c>
    </row>
    <row r="41" spans="1:3" x14ac:dyDescent="0.25">
      <c r="A41" s="202"/>
      <c r="B41" s="354" t="s">
        <v>394</v>
      </c>
      <c r="C41" s="375" t="s">
        <v>2</v>
      </c>
    </row>
    <row r="42" spans="1:3" x14ac:dyDescent="0.25">
      <c r="A42" s="202"/>
      <c r="B42" s="354" t="s">
        <v>395</v>
      </c>
      <c r="C42" s="375" t="s">
        <v>22</v>
      </c>
    </row>
    <row r="43" spans="1:3" x14ac:dyDescent="0.25">
      <c r="A43" s="202"/>
      <c r="B43" s="354" t="s">
        <v>396</v>
      </c>
      <c r="C43" s="375" t="s">
        <v>2</v>
      </c>
    </row>
    <row r="44" spans="1:3" x14ac:dyDescent="0.25">
      <c r="A44" s="202"/>
      <c r="B44" s="354" t="s">
        <v>285</v>
      </c>
      <c r="C44" s="376"/>
    </row>
    <row r="45" spans="1:3" x14ac:dyDescent="0.25">
      <c r="A45" s="202"/>
      <c r="B45" s="354" t="s">
        <v>286</v>
      </c>
      <c r="C45" s="376"/>
    </row>
    <row r="46" spans="1:3" x14ac:dyDescent="0.25">
      <c r="A46" s="202"/>
      <c r="B46" s="354" t="s">
        <v>264</v>
      </c>
      <c r="C46" s="375" t="s">
        <v>417</v>
      </c>
    </row>
    <row r="47" spans="1:3" x14ac:dyDescent="0.25">
      <c r="A47" s="202"/>
      <c r="B47" s="354" t="s">
        <v>265</v>
      </c>
      <c r="C47" s="374" t="s">
        <v>177</v>
      </c>
    </row>
    <row r="48" spans="1:3" x14ac:dyDescent="0.25">
      <c r="A48" s="202"/>
      <c r="B48" s="354" t="s">
        <v>266</v>
      </c>
      <c r="C48" s="378"/>
    </row>
    <row r="49" spans="1:4" x14ac:dyDescent="0.25">
      <c r="A49" s="202"/>
      <c r="B49" s="354" t="s">
        <v>267</v>
      </c>
      <c r="C49" s="378"/>
    </row>
    <row r="50" spans="1:4" x14ac:dyDescent="0.25">
      <c r="B50" s="354" t="s">
        <v>268</v>
      </c>
      <c r="C50" s="374" t="s">
        <v>177</v>
      </c>
    </row>
    <row r="51" spans="1:4" x14ac:dyDescent="0.25">
      <c r="B51" s="354" t="s">
        <v>270</v>
      </c>
      <c r="C51" s="374" t="s">
        <v>178</v>
      </c>
    </row>
    <row r="52" spans="1:4" ht="15.75" x14ac:dyDescent="0.25">
      <c r="A52" s="202"/>
      <c r="B52" s="355" t="s">
        <v>269</v>
      </c>
      <c r="C52" s="474">
        <f ca="1">C55</f>
        <v>-50.907796819346345</v>
      </c>
      <c r="D52" s="471" t="s">
        <v>435</v>
      </c>
    </row>
    <row r="53" spans="1:4" x14ac:dyDescent="0.25">
      <c r="A53" s="202"/>
      <c r="B53" s="202"/>
      <c r="C53" s="202"/>
    </row>
    <row r="54" spans="1:4" x14ac:dyDescent="0.25">
      <c r="A54" s="202"/>
      <c r="B54" s="383" t="s">
        <v>387</v>
      </c>
      <c r="C54" s="379"/>
    </row>
    <row r="55" spans="1:4" x14ac:dyDescent="0.25">
      <c r="A55" s="202"/>
      <c r="B55" s="357" t="s">
        <v>436</v>
      </c>
      <c r="C55" s="469">
        <f ca="1">IF(AND(NOW(),isEUR12MLLoaded),_xll.meProductAssetSwapSpread(C14,B15:C51,FALSE),"Load Curve")</f>
        <v>-50.907796819346345</v>
      </c>
    </row>
    <row r="56" spans="1:4" x14ac:dyDescent="0.25">
      <c r="A56" s="202"/>
      <c r="B56" s="359" t="s">
        <v>376</v>
      </c>
      <c r="C56" s="361">
        <f ca="1">IF(AND(NOW(),isEUR12MLLoaded),_xll.meProductSwapPV(B17:C52,FALSE),"Load Curve")</f>
        <v>46815.035311461485</v>
      </c>
    </row>
    <row r="57" spans="1:4" x14ac:dyDescent="0.25">
      <c r="A57" s="202"/>
      <c r="B57" s="360" t="s">
        <v>434</v>
      </c>
      <c r="C57" s="362">
        <f>((C14-100)/100)*C17</f>
        <v>46800.000000000073</v>
      </c>
    </row>
    <row r="58" spans="1:4" x14ac:dyDescent="0.25">
      <c r="A58" s="202"/>
    </row>
  </sheetData>
  <dataValidations disablePrompts="1"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2" customFormat="1" ht="23.25" x14ac:dyDescent="0.35">
      <c r="B2" s="351" t="s">
        <v>419</v>
      </c>
    </row>
    <row r="3" spans="1:12" s="202" customFormat="1" x14ac:dyDescent="0.25"/>
    <row r="4" spans="1:12" s="202" customFormat="1" x14ac:dyDescent="0.25">
      <c r="B4" s="383" t="s">
        <v>384</v>
      </c>
    </row>
    <row r="5" spans="1:12" s="202" customFormat="1" x14ac:dyDescent="0.25">
      <c r="B5" s="380" t="s">
        <v>388</v>
      </c>
      <c r="C5" s="391">
        <v>1</v>
      </c>
      <c r="D5" s="391">
        <v>1</v>
      </c>
      <c r="E5" s="391">
        <v>1</v>
      </c>
      <c r="F5" s="391">
        <v>1</v>
      </c>
      <c r="G5" s="391">
        <v>1</v>
      </c>
      <c r="H5" s="391">
        <v>1</v>
      </c>
      <c r="I5" s="391">
        <v>1</v>
      </c>
      <c r="J5" s="391">
        <v>1</v>
      </c>
      <c r="K5" s="391">
        <v>1</v>
      </c>
      <c r="L5" s="391">
        <v>1</v>
      </c>
    </row>
    <row r="6" spans="1:12" s="202" customFormat="1" x14ac:dyDescent="0.25">
      <c r="B6" s="381" t="s">
        <v>379</v>
      </c>
      <c r="C6" s="352" t="s">
        <v>229</v>
      </c>
      <c r="D6" s="352" t="s">
        <v>229</v>
      </c>
      <c r="E6" s="352" t="s">
        <v>229</v>
      </c>
      <c r="F6" s="352" t="s">
        <v>229</v>
      </c>
      <c r="G6" s="352" t="s">
        <v>229</v>
      </c>
      <c r="H6" s="352" t="s">
        <v>229</v>
      </c>
      <c r="I6" s="352" t="s">
        <v>229</v>
      </c>
      <c r="J6" s="352" t="s">
        <v>229</v>
      </c>
      <c r="K6" s="352" t="s">
        <v>229</v>
      </c>
      <c r="L6" s="352" t="s">
        <v>229</v>
      </c>
    </row>
    <row r="7" spans="1:12" s="202" customFormat="1" x14ac:dyDescent="0.25">
      <c r="B7" s="381" t="s">
        <v>382</v>
      </c>
      <c r="C7" s="389">
        <v>0.01</v>
      </c>
      <c r="D7" s="389">
        <v>0.01</v>
      </c>
      <c r="E7" s="389">
        <v>0.01</v>
      </c>
      <c r="F7" s="389">
        <v>0.01</v>
      </c>
      <c r="G7" s="389">
        <v>0.01</v>
      </c>
      <c r="H7" s="389">
        <v>0.01</v>
      </c>
      <c r="I7" s="389">
        <v>0.01</v>
      </c>
      <c r="J7" s="389">
        <v>0.01</v>
      </c>
      <c r="K7" s="389">
        <v>0.01</v>
      </c>
      <c r="L7" s="389">
        <v>0.01</v>
      </c>
    </row>
    <row r="8" spans="1:12" s="202" customFormat="1" x14ac:dyDescent="0.25">
      <c r="B8" s="381" t="s">
        <v>380</v>
      </c>
      <c r="C8" s="376" t="s">
        <v>159</v>
      </c>
      <c r="D8" s="449" t="s">
        <v>47</v>
      </c>
      <c r="E8" s="449" t="s">
        <v>43</v>
      </c>
      <c r="F8" s="449" t="s">
        <v>50</v>
      </c>
      <c r="G8" s="449" t="s">
        <v>52</v>
      </c>
      <c r="H8" s="449" t="s">
        <v>54</v>
      </c>
      <c r="I8" s="449" t="s">
        <v>55</v>
      </c>
      <c r="J8" s="449" t="s">
        <v>57</v>
      </c>
      <c r="K8" s="449" t="s">
        <v>59</v>
      </c>
      <c r="L8" s="449" t="s">
        <v>60</v>
      </c>
    </row>
    <row r="9" spans="1:12" s="202" customFormat="1" x14ac:dyDescent="0.25">
      <c r="B9" s="381" t="s">
        <v>383</v>
      </c>
      <c r="C9" s="402">
        <v>0</v>
      </c>
      <c r="D9" s="402">
        <v>0</v>
      </c>
      <c r="E9" s="402">
        <v>0</v>
      </c>
      <c r="F9" s="402">
        <v>0</v>
      </c>
      <c r="G9" s="402">
        <v>0</v>
      </c>
      <c r="H9" s="402">
        <v>0</v>
      </c>
      <c r="I9" s="402">
        <v>0</v>
      </c>
      <c r="J9" s="402">
        <v>0</v>
      </c>
      <c r="K9" s="402">
        <v>0</v>
      </c>
      <c r="L9" s="402">
        <v>0</v>
      </c>
    </row>
    <row r="10" spans="1:12" s="202" customFormat="1" x14ac:dyDescent="0.25">
      <c r="B10" s="382" t="s">
        <v>187</v>
      </c>
      <c r="C10" s="390" t="s">
        <v>373</v>
      </c>
      <c r="D10" s="390" t="s">
        <v>373</v>
      </c>
      <c r="E10" s="390" t="s">
        <v>373</v>
      </c>
      <c r="F10" s="390" t="s">
        <v>373</v>
      </c>
      <c r="G10" s="390" t="s">
        <v>373</v>
      </c>
      <c r="H10" s="390" t="s">
        <v>373</v>
      </c>
      <c r="I10" s="390" t="s">
        <v>373</v>
      </c>
      <c r="J10" s="390" t="s">
        <v>373</v>
      </c>
      <c r="K10" s="390" t="s">
        <v>373</v>
      </c>
      <c r="L10" s="390" t="s">
        <v>373</v>
      </c>
    </row>
    <row r="11" spans="1:12" s="202" customFormat="1" hidden="1" x14ac:dyDescent="0.25"/>
    <row r="12" spans="1:12" s="202" customFormat="1" hidden="1" x14ac:dyDescent="0.25">
      <c r="B12" s="223" t="s">
        <v>420</v>
      </c>
    </row>
    <row r="13" spans="1:12" hidden="1" x14ac:dyDescent="0.25">
      <c r="B13" s="437" t="s">
        <v>175</v>
      </c>
      <c r="C13" s="440">
        <f>C5*1000000</f>
        <v>1000000</v>
      </c>
      <c r="D13" s="440">
        <f t="shared" ref="D13:I13" si="0">D5*1000000</f>
        <v>1000000</v>
      </c>
      <c r="E13" s="440">
        <f t="shared" si="0"/>
        <v>1000000</v>
      </c>
      <c r="F13" s="440">
        <f t="shared" si="0"/>
        <v>1000000</v>
      </c>
      <c r="G13" s="440">
        <f t="shared" si="0"/>
        <v>1000000</v>
      </c>
      <c r="H13" s="440">
        <f t="shared" si="0"/>
        <v>1000000</v>
      </c>
      <c r="I13" s="440">
        <f t="shared" si="0"/>
        <v>1000000</v>
      </c>
      <c r="J13" s="440">
        <f t="shared" ref="J13:L13" si="1">J5*1000000</f>
        <v>1000000</v>
      </c>
      <c r="K13" s="440">
        <f t="shared" si="1"/>
        <v>1000000</v>
      </c>
      <c r="L13" s="440">
        <f t="shared" si="1"/>
        <v>1000000</v>
      </c>
    </row>
    <row r="14" spans="1:12" hidden="1" x14ac:dyDescent="0.25">
      <c r="A14" s="370" t="s">
        <v>386</v>
      </c>
      <c r="B14" s="438" t="s">
        <v>249</v>
      </c>
      <c r="C14" s="446" t="str">
        <f>C6</f>
        <v>RECEIVER</v>
      </c>
      <c r="D14" s="446" t="str">
        <f>D6</f>
        <v>RECEIVER</v>
      </c>
      <c r="E14" s="446" t="str">
        <f t="shared" ref="E14:I14" si="2">E6</f>
        <v>RECEIVER</v>
      </c>
      <c r="F14" s="446" t="str">
        <f t="shared" si="2"/>
        <v>RECEIVER</v>
      </c>
      <c r="G14" s="446" t="str">
        <f t="shared" si="2"/>
        <v>RECEIVER</v>
      </c>
      <c r="H14" s="446" t="str">
        <f t="shared" si="2"/>
        <v>RECEIVER</v>
      </c>
      <c r="I14" s="446" t="str">
        <f t="shared" si="2"/>
        <v>RECEIVER</v>
      </c>
      <c r="J14" s="446" t="str">
        <f t="shared" ref="J14:L14" si="3">J6</f>
        <v>RECEIVER</v>
      </c>
      <c r="K14" s="446" t="str">
        <f t="shared" si="3"/>
        <v>RECEIVER</v>
      </c>
      <c r="L14" s="446" t="str">
        <f t="shared" si="3"/>
        <v>RECEIVER</v>
      </c>
    </row>
    <row r="15" spans="1:12" hidden="1" x14ac:dyDescent="0.25">
      <c r="A15" s="371" t="s">
        <v>191</v>
      </c>
      <c r="B15" s="438" t="s">
        <v>250</v>
      </c>
      <c r="C15" s="445">
        <f ca="1">_xll.meDateFromTenor(COB,$A$15,C$26,C$27)</f>
        <v>42523</v>
      </c>
      <c r="D15" s="445">
        <f ca="1">_xll.meDateFromTenor(COB,$A$15,D$26,D$27)</f>
        <v>42523</v>
      </c>
      <c r="E15" s="445">
        <f ca="1">_xll.meDateFromTenor(COB,$A$15,E$26,E$27)</f>
        <v>42523</v>
      </c>
      <c r="F15" s="445">
        <f ca="1">_xll.meDateFromTenor(COB,$A$15,F$26,F$27)</f>
        <v>42523</v>
      </c>
      <c r="G15" s="445">
        <f ca="1">_xll.meDateFromTenor(COB,$A$15,G$26,G$27)</f>
        <v>42523</v>
      </c>
      <c r="H15" s="445">
        <f ca="1">_xll.meDateFromTenor(COB,$A$15,H$26,H$27)</f>
        <v>42523</v>
      </c>
      <c r="I15" s="445">
        <f ca="1">_xll.meDateFromTenor(COB,$A$15,I$26,I$27)</f>
        <v>42523</v>
      </c>
      <c r="J15" s="445">
        <f ca="1">_xll.meDateFromTenor(COB,$A$15,J$26,J$27)</f>
        <v>42523</v>
      </c>
      <c r="K15" s="445">
        <f ca="1">_xll.meDateFromTenor(COB,$A$15,K$26,K$27)</f>
        <v>42523</v>
      </c>
      <c r="L15" s="445">
        <f ca="1">_xll.meDateFromTenor(COB,$A$15,L$26,L$27)</f>
        <v>42523</v>
      </c>
    </row>
    <row r="16" spans="1:12" hidden="1" x14ac:dyDescent="0.25">
      <c r="B16" s="438" t="s">
        <v>80</v>
      </c>
      <c r="C16" s="435" t="s">
        <v>78</v>
      </c>
      <c r="D16" s="435" t="s">
        <v>78</v>
      </c>
      <c r="E16" s="435" t="s">
        <v>78</v>
      </c>
      <c r="F16" s="435" t="s">
        <v>78</v>
      </c>
      <c r="G16" s="435" t="s">
        <v>78</v>
      </c>
      <c r="H16" s="435" t="s">
        <v>78</v>
      </c>
      <c r="I16" s="435" t="s">
        <v>78</v>
      </c>
      <c r="J16" s="435" t="s">
        <v>78</v>
      </c>
      <c r="K16" s="435" t="s">
        <v>78</v>
      </c>
      <c r="L16" s="435" t="s">
        <v>78</v>
      </c>
    </row>
    <row r="17" spans="1:12" hidden="1" x14ac:dyDescent="0.25">
      <c r="B17" s="438" t="s">
        <v>110</v>
      </c>
      <c r="C17" s="446" t="str">
        <f t="shared" ref="C17:L17" si="4">Interpolation</f>
        <v>Spline</v>
      </c>
      <c r="D17" s="446" t="str">
        <f t="shared" si="4"/>
        <v>Spline</v>
      </c>
      <c r="E17" s="446" t="str">
        <f t="shared" si="4"/>
        <v>Spline</v>
      </c>
      <c r="F17" s="446" t="str">
        <f t="shared" si="4"/>
        <v>Spline</v>
      </c>
      <c r="G17" s="446" t="str">
        <f t="shared" si="4"/>
        <v>Spline</v>
      </c>
      <c r="H17" s="446" t="str">
        <f t="shared" si="4"/>
        <v>Spline</v>
      </c>
      <c r="I17" s="446" t="str">
        <f t="shared" si="4"/>
        <v>Spline</v>
      </c>
      <c r="J17" s="446" t="str">
        <f t="shared" si="4"/>
        <v>Spline</v>
      </c>
      <c r="K17" s="446" t="str">
        <f t="shared" si="4"/>
        <v>Spline</v>
      </c>
      <c r="L17" s="446" t="str">
        <f t="shared" si="4"/>
        <v>Spline</v>
      </c>
    </row>
    <row r="18" spans="1:12" hidden="1" x14ac:dyDescent="0.25">
      <c r="B18" s="438" t="s">
        <v>271</v>
      </c>
      <c r="C18" s="435" t="s">
        <v>9</v>
      </c>
      <c r="D18" s="435" t="s">
        <v>9</v>
      </c>
      <c r="E18" s="435" t="s">
        <v>9</v>
      </c>
      <c r="F18" s="435" t="s">
        <v>9</v>
      </c>
      <c r="G18" s="435" t="s">
        <v>9</v>
      </c>
      <c r="H18" s="435" t="s">
        <v>9</v>
      </c>
      <c r="I18" s="435" t="s">
        <v>9</v>
      </c>
      <c r="J18" s="435" t="s">
        <v>9</v>
      </c>
      <c r="K18" s="435" t="s">
        <v>9</v>
      </c>
      <c r="L18" s="435" t="s">
        <v>9</v>
      </c>
    </row>
    <row r="19" spans="1:12" hidden="1" x14ac:dyDescent="0.25">
      <c r="B19" s="438" t="s">
        <v>272</v>
      </c>
      <c r="C19" s="447" t="str">
        <f>C10</f>
        <v>EURDF_NOCSA</v>
      </c>
      <c r="D19" s="446" t="str">
        <f t="shared" ref="D19:L19" si="5">D10</f>
        <v>EURDF_NOCSA</v>
      </c>
      <c r="E19" s="446" t="str">
        <f t="shared" si="5"/>
        <v>EURDF_NOCSA</v>
      </c>
      <c r="F19" s="446" t="str">
        <f t="shared" si="5"/>
        <v>EURDF_NOCSA</v>
      </c>
      <c r="G19" s="446" t="str">
        <f t="shared" si="5"/>
        <v>EURDF_NOCSA</v>
      </c>
      <c r="H19" s="446" t="str">
        <f t="shared" si="5"/>
        <v>EURDF_NOCSA</v>
      </c>
      <c r="I19" s="446" t="str">
        <f t="shared" si="5"/>
        <v>EURDF_NOCSA</v>
      </c>
      <c r="J19" s="446" t="str">
        <f t="shared" si="5"/>
        <v>EURDF_NOCSA</v>
      </c>
      <c r="K19" s="446" t="str">
        <f t="shared" si="5"/>
        <v>EURDF_NOCSA</v>
      </c>
      <c r="L19" s="446" t="str">
        <f t="shared" si="5"/>
        <v>EURDF_NOCSA</v>
      </c>
    </row>
    <row r="20" spans="1:12" hidden="1" x14ac:dyDescent="0.25">
      <c r="B20" s="438" t="s">
        <v>415</v>
      </c>
      <c r="C20" s="435" t="s">
        <v>416</v>
      </c>
      <c r="D20" s="435" t="s">
        <v>416</v>
      </c>
      <c r="E20" s="435" t="s">
        <v>416</v>
      </c>
      <c r="F20" s="435" t="s">
        <v>416</v>
      </c>
      <c r="G20" s="435" t="s">
        <v>416</v>
      </c>
      <c r="H20" s="435" t="s">
        <v>416</v>
      </c>
      <c r="I20" s="435" t="s">
        <v>416</v>
      </c>
      <c r="J20" s="435" t="s">
        <v>416</v>
      </c>
      <c r="K20" s="435" t="s">
        <v>416</v>
      </c>
      <c r="L20" s="435" t="s">
        <v>416</v>
      </c>
    </row>
    <row r="21" spans="1:12" hidden="1" x14ac:dyDescent="0.25">
      <c r="A21" s="202"/>
      <c r="B21" s="438" t="s">
        <v>251</v>
      </c>
      <c r="C21" s="441" t="str">
        <f>C8</f>
        <v>1Y</v>
      </c>
      <c r="D21" s="441" t="str">
        <f t="shared" ref="D21:L21" si="6">D8</f>
        <v>2Y</v>
      </c>
      <c r="E21" s="441" t="str">
        <f t="shared" si="6"/>
        <v>3Y</v>
      </c>
      <c r="F21" s="441" t="str">
        <f t="shared" si="6"/>
        <v>4Y</v>
      </c>
      <c r="G21" s="441" t="str">
        <f t="shared" si="6"/>
        <v>5Y</v>
      </c>
      <c r="H21" s="441" t="str">
        <f t="shared" si="6"/>
        <v>6Y</v>
      </c>
      <c r="I21" s="441" t="str">
        <f t="shared" si="6"/>
        <v>7Y</v>
      </c>
      <c r="J21" s="441" t="str">
        <f t="shared" si="6"/>
        <v>8Y</v>
      </c>
      <c r="K21" s="441" t="str">
        <f t="shared" si="6"/>
        <v>9Y</v>
      </c>
      <c r="L21" s="441" t="str">
        <f t="shared" si="6"/>
        <v>10Y</v>
      </c>
    </row>
    <row r="22" spans="1:12" hidden="1" x14ac:dyDescent="0.25">
      <c r="B22" s="438" t="s">
        <v>253</v>
      </c>
      <c r="C22" s="444" t="s">
        <v>26</v>
      </c>
      <c r="D22" s="444" t="s">
        <v>26</v>
      </c>
      <c r="E22" s="444" t="s">
        <v>26</v>
      </c>
      <c r="F22" s="444" t="s">
        <v>26</v>
      </c>
      <c r="G22" s="444" t="s">
        <v>26</v>
      </c>
      <c r="H22" s="444" t="s">
        <v>26</v>
      </c>
      <c r="I22" s="444" t="s">
        <v>26</v>
      </c>
      <c r="J22" s="444" t="s">
        <v>26</v>
      </c>
      <c r="K22" s="444" t="s">
        <v>26</v>
      </c>
      <c r="L22" s="444" t="s">
        <v>26</v>
      </c>
    </row>
    <row r="23" spans="1:12" hidden="1" x14ac:dyDescent="0.25">
      <c r="A23" s="202"/>
      <c r="B23" s="438" t="s">
        <v>254</v>
      </c>
      <c r="C23" s="435" t="s">
        <v>124</v>
      </c>
      <c r="D23" s="435" t="s">
        <v>124</v>
      </c>
      <c r="E23" s="435" t="s">
        <v>124</v>
      </c>
      <c r="F23" s="435" t="s">
        <v>124</v>
      </c>
      <c r="G23" s="435" t="s">
        <v>124</v>
      </c>
      <c r="H23" s="435" t="s">
        <v>124</v>
      </c>
      <c r="I23" s="435" t="s">
        <v>124</v>
      </c>
      <c r="J23" s="435" t="s">
        <v>124</v>
      </c>
      <c r="K23" s="435" t="s">
        <v>124</v>
      </c>
      <c r="L23" s="435" t="s">
        <v>124</v>
      </c>
    </row>
    <row r="24" spans="1:12" s="202" customFormat="1" hidden="1" x14ac:dyDescent="0.25">
      <c r="B24" s="438" t="s">
        <v>389</v>
      </c>
      <c r="C24" s="435" t="s">
        <v>22</v>
      </c>
      <c r="D24" s="435" t="s">
        <v>22</v>
      </c>
      <c r="E24" s="435" t="s">
        <v>22</v>
      </c>
      <c r="F24" s="435" t="s">
        <v>22</v>
      </c>
      <c r="G24" s="435" t="s">
        <v>22</v>
      </c>
      <c r="H24" s="435" t="s">
        <v>22</v>
      </c>
      <c r="I24" s="435" t="s">
        <v>22</v>
      </c>
      <c r="J24" s="435" t="s">
        <v>22</v>
      </c>
      <c r="K24" s="435" t="s">
        <v>22</v>
      </c>
      <c r="L24" s="435" t="s">
        <v>22</v>
      </c>
    </row>
    <row r="25" spans="1:12" s="202" customFormat="1" hidden="1" x14ac:dyDescent="0.25">
      <c r="B25" s="438" t="s">
        <v>391</v>
      </c>
      <c r="C25" s="435" t="s">
        <v>2</v>
      </c>
      <c r="D25" s="435" t="s">
        <v>2</v>
      </c>
      <c r="E25" s="435" t="s">
        <v>2</v>
      </c>
      <c r="F25" s="435" t="s">
        <v>2</v>
      </c>
      <c r="G25" s="435" t="s">
        <v>2</v>
      </c>
      <c r="H25" s="435" t="s">
        <v>2</v>
      </c>
      <c r="I25" s="435" t="s">
        <v>2</v>
      </c>
      <c r="J25" s="435" t="s">
        <v>2</v>
      </c>
      <c r="K25" s="435" t="s">
        <v>2</v>
      </c>
      <c r="L25" s="435" t="s">
        <v>2</v>
      </c>
    </row>
    <row r="26" spans="1:12" s="202" customFormat="1" hidden="1" x14ac:dyDescent="0.25">
      <c r="B26" s="438" t="s">
        <v>390</v>
      </c>
      <c r="C26" s="435" t="s">
        <v>22</v>
      </c>
      <c r="D26" s="435" t="s">
        <v>22</v>
      </c>
      <c r="E26" s="435" t="s">
        <v>22</v>
      </c>
      <c r="F26" s="435" t="s">
        <v>22</v>
      </c>
      <c r="G26" s="435" t="s">
        <v>22</v>
      </c>
      <c r="H26" s="435" t="s">
        <v>22</v>
      </c>
      <c r="I26" s="435" t="s">
        <v>22</v>
      </c>
      <c r="J26" s="435" t="s">
        <v>22</v>
      </c>
      <c r="K26" s="435" t="s">
        <v>22</v>
      </c>
      <c r="L26" s="435" t="s">
        <v>22</v>
      </c>
    </row>
    <row r="27" spans="1:12" s="202" customFormat="1" hidden="1" x14ac:dyDescent="0.25">
      <c r="B27" s="438" t="s">
        <v>392</v>
      </c>
      <c r="C27" s="435" t="s">
        <v>2</v>
      </c>
      <c r="D27" s="435" t="s">
        <v>2</v>
      </c>
      <c r="E27" s="435" t="s">
        <v>2</v>
      </c>
      <c r="F27" s="435" t="s">
        <v>2</v>
      </c>
      <c r="G27" s="435" t="s">
        <v>2</v>
      </c>
      <c r="H27" s="435" t="s">
        <v>2</v>
      </c>
      <c r="I27" s="435" t="s">
        <v>2</v>
      </c>
      <c r="J27" s="435" t="s">
        <v>2</v>
      </c>
      <c r="K27" s="435" t="s">
        <v>2</v>
      </c>
      <c r="L27" s="435" t="s">
        <v>2</v>
      </c>
    </row>
    <row r="28" spans="1:12" hidden="1" x14ac:dyDescent="0.25">
      <c r="A28" s="202"/>
      <c r="B28" s="438" t="s">
        <v>283</v>
      </c>
      <c r="C28" s="435"/>
      <c r="D28" s="435"/>
      <c r="E28" s="435"/>
      <c r="F28" s="435"/>
      <c r="G28" s="435"/>
      <c r="H28" s="435"/>
      <c r="I28" s="435"/>
      <c r="J28" s="435"/>
      <c r="K28" s="435"/>
      <c r="L28" s="435"/>
    </row>
    <row r="29" spans="1:12" hidden="1" x14ac:dyDescent="0.25">
      <c r="A29" s="202"/>
      <c r="B29" s="438" t="s">
        <v>284</v>
      </c>
      <c r="C29" s="435"/>
      <c r="D29" s="435"/>
      <c r="E29" s="435"/>
      <c r="F29" s="435"/>
      <c r="G29" s="435"/>
      <c r="H29" s="435"/>
      <c r="I29" s="435"/>
      <c r="J29" s="435"/>
      <c r="K29" s="435"/>
      <c r="L29" s="435"/>
    </row>
    <row r="30" spans="1:12" hidden="1" x14ac:dyDescent="0.25">
      <c r="A30" s="202"/>
      <c r="B30" s="438" t="s">
        <v>257</v>
      </c>
      <c r="C30" s="435" t="s">
        <v>417</v>
      </c>
      <c r="D30" s="435" t="s">
        <v>417</v>
      </c>
      <c r="E30" s="435" t="s">
        <v>417</v>
      </c>
      <c r="F30" s="435" t="s">
        <v>417</v>
      </c>
      <c r="G30" s="435" t="s">
        <v>417</v>
      </c>
      <c r="H30" s="435" t="s">
        <v>417</v>
      </c>
      <c r="I30" s="435" t="s">
        <v>417</v>
      </c>
      <c r="J30" s="435" t="s">
        <v>417</v>
      </c>
      <c r="K30" s="435" t="s">
        <v>417</v>
      </c>
      <c r="L30" s="435" t="s">
        <v>417</v>
      </c>
    </row>
    <row r="31" spans="1:12" hidden="1" x14ac:dyDescent="0.25">
      <c r="A31" s="202"/>
      <c r="B31" s="438" t="s">
        <v>258</v>
      </c>
      <c r="C31" s="435" t="s">
        <v>177</v>
      </c>
      <c r="D31" s="435" t="s">
        <v>177</v>
      </c>
      <c r="E31" s="435" t="s">
        <v>177</v>
      </c>
      <c r="F31" s="435" t="s">
        <v>177</v>
      </c>
      <c r="G31" s="435" t="s">
        <v>177</v>
      </c>
      <c r="H31" s="435" t="s">
        <v>177</v>
      </c>
      <c r="I31" s="435" t="s">
        <v>177</v>
      </c>
      <c r="J31" s="435" t="s">
        <v>177</v>
      </c>
      <c r="K31" s="435" t="s">
        <v>177</v>
      </c>
      <c r="L31" s="435" t="s">
        <v>177</v>
      </c>
    </row>
    <row r="32" spans="1:12" hidden="1" x14ac:dyDescent="0.25">
      <c r="A32" s="202"/>
      <c r="B32" s="438" t="s">
        <v>259</v>
      </c>
      <c r="C32" s="435" t="s">
        <v>418</v>
      </c>
      <c r="D32" s="435" t="s">
        <v>418</v>
      </c>
      <c r="E32" s="435" t="s">
        <v>418</v>
      </c>
      <c r="F32" s="435" t="s">
        <v>418</v>
      </c>
      <c r="G32" s="435" t="s">
        <v>418</v>
      </c>
      <c r="H32" s="435" t="s">
        <v>418</v>
      </c>
      <c r="I32" s="435" t="s">
        <v>418</v>
      </c>
      <c r="J32" s="435" t="s">
        <v>418</v>
      </c>
      <c r="K32" s="435" t="s">
        <v>418</v>
      </c>
      <c r="L32" s="435" t="s">
        <v>418</v>
      </c>
    </row>
    <row r="33" spans="1:12" s="202" customFormat="1" hidden="1" x14ac:dyDescent="0.25">
      <c r="B33" s="438" t="s">
        <v>252</v>
      </c>
      <c r="C33" s="448">
        <f>C7</f>
        <v>0.01</v>
      </c>
      <c r="D33" s="448">
        <f t="shared" ref="D33:L33" si="7">D7</f>
        <v>0.01</v>
      </c>
      <c r="E33" s="448">
        <f t="shared" si="7"/>
        <v>0.01</v>
      </c>
      <c r="F33" s="448">
        <f t="shared" si="7"/>
        <v>0.01</v>
      </c>
      <c r="G33" s="448">
        <f t="shared" si="7"/>
        <v>0.01</v>
      </c>
      <c r="H33" s="448">
        <f t="shared" si="7"/>
        <v>0.01</v>
      </c>
      <c r="I33" s="448">
        <f t="shared" si="7"/>
        <v>0.01</v>
      </c>
      <c r="J33" s="448">
        <f t="shared" si="7"/>
        <v>0.01</v>
      </c>
      <c r="K33" s="448">
        <f t="shared" si="7"/>
        <v>0.01</v>
      </c>
      <c r="L33" s="448">
        <f t="shared" si="7"/>
        <v>0.01</v>
      </c>
    </row>
    <row r="34" spans="1:12" hidden="1" x14ac:dyDescent="0.25">
      <c r="B34" s="438" t="s">
        <v>260</v>
      </c>
      <c r="C34" s="435" t="s">
        <v>26</v>
      </c>
      <c r="D34" s="435" t="s">
        <v>26</v>
      </c>
      <c r="E34" s="435" t="s">
        <v>26</v>
      </c>
      <c r="F34" s="435" t="s">
        <v>26</v>
      </c>
      <c r="G34" s="435" t="s">
        <v>26</v>
      </c>
      <c r="H34" s="435" t="s">
        <v>26</v>
      </c>
      <c r="I34" s="435" t="s">
        <v>26</v>
      </c>
      <c r="J34" s="435" t="s">
        <v>26</v>
      </c>
      <c r="K34" s="435" t="s">
        <v>26</v>
      </c>
      <c r="L34" s="435" t="s">
        <v>26</v>
      </c>
    </row>
    <row r="35" spans="1:12" hidden="1" x14ac:dyDescent="0.25">
      <c r="A35" s="202"/>
      <c r="B35" s="438" t="s">
        <v>261</v>
      </c>
      <c r="C35" s="435" t="s">
        <v>124</v>
      </c>
      <c r="D35" s="435" t="s">
        <v>124</v>
      </c>
      <c r="E35" s="435" t="s">
        <v>124</v>
      </c>
      <c r="F35" s="435" t="s">
        <v>124</v>
      </c>
      <c r="G35" s="435" t="s">
        <v>124</v>
      </c>
      <c r="H35" s="435" t="s">
        <v>124</v>
      </c>
      <c r="I35" s="435" t="s">
        <v>124</v>
      </c>
      <c r="J35" s="435" t="s">
        <v>124</v>
      </c>
      <c r="K35" s="435" t="s">
        <v>124</v>
      </c>
      <c r="L35" s="435" t="s">
        <v>124</v>
      </c>
    </row>
    <row r="36" spans="1:12" s="202" customFormat="1" hidden="1" x14ac:dyDescent="0.25">
      <c r="B36" s="438" t="s">
        <v>397</v>
      </c>
      <c r="C36" s="435" t="s">
        <v>22</v>
      </c>
      <c r="D36" s="435" t="s">
        <v>22</v>
      </c>
      <c r="E36" s="435" t="s">
        <v>22</v>
      </c>
      <c r="F36" s="435" t="s">
        <v>22</v>
      </c>
      <c r="G36" s="435" t="s">
        <v>22</v>
      </c>
      <c r="H36" s="435" t="s">
        <v>22</v>
      </c>
      <c r="I36" s="435" t="s">
        <v>22</v>
      </c>
      <c r="J36" s="435" t="s">
        <v>22</v>
      </c>
      <c r="K36" s="435" t="s">
        <v>22</v>
      </c>
      <c r="L36" s="435" t="s">
        <v>22</v>
      </c>
    </row>
    <row r="37" spans="1:12" s="202" customFormat="1" hidden="1" x14ac:dyDescent="0.25">
      <c r="B37" s="438" t="s">
        <v>398</v>
      </c>
      <c r="C37" s="435" t="s">
        <v>2</v>
      </c>
      <c r="D37" s="435" t="s">
        <v>2</v>
      </c>
      <c r="E37" s="435" t="s">
        <v>2</v>
      </c>
      <c r="F37" s="435" t="s">
        <v>2</v>
      </c>
      <c r="G37" s="435" t="s">
        <v>2</v>
      </c>
      <c r="H37" s="435" t="s">
        <v>2</v>
      </c>
      <c r="I37" s="435" t="s">
        <v>2</v>
      </c>
      <c r="J37" s="435" t="s">
        <v>2</v>
      </c>
      <c r="K37" s="435" t="s">
        <v>2</v>
      </c>
      <c r="L37" s="435" t="s">
        <v>2</v>
      </c>
    </row>
    <row r="38" spans="1:12" s="202" customFormat="1" hidden="1" x14ac:dyDescent="0.25">
      <c r="B38" s="438" t="s">
        <v>393</v>
      </c>
      <c r="C38" s="435" t="s">
        <v>22</v>
      </c>
      <c r="D38" s="435" t="s">
        <v>22</v>
      </c>
      <c r="E38" s="435" t="s">
        <v>22</v>
      </c>
      <c r="F38" s="435" t="s">
        <v>22</v>
      </c>
      <c r="G38" s="435" t="s">
        <v>22</v>
      </c>
      <c r="H38" s="435" t="s">
        <v>22</v>
      </c>
      <c r="I38" s="435" t="s">
        <v>22</v>
      </c>
      <c r="J38" s="435" t="s">
        <v>22</v>
      </c>
      <c r="K38" s="435" t="s">
        <v>22</v>
      </c>
      <c r="L38" s="435" t="s">
        <v>22</v>
      </c>
    </row>
    <row r="39" spans="1:12" s="202" customFormat="1" hidden="1" x14ac:dyDescent="0.25">
      <c r="B39" s="438" t="s">
        <v>394</v>
      </c>
      <c r="C39" s="435" t="s">
        <v>2</v>
      </c>
      <c r="D39" s="435" t="s">
        <v>2</v>
      </c>
      <c r="E39" s="435" t="s">
        <v>2</v>
      </c>
      <c r="F39" s="435" t="s">
        <v>2</v>
      </c>
      <c r="G39" s="435" t="s">
        <v>2</v>
      </c>
      <c r="H39" s="435" t="s">
        <v>2</v>
      </c>
      <c r="I39" s="435" t="s">
        <v>2</v>
      </c>
      <c r="J39" s="435" t="s">
        <v>2</v>
      </c>
      <c r="K39" s="435" t="s">
        <v>2</v>
      </c>
      <c r="L39" s="435" t="s">
        <v>2</v>
      </c>
    </row>
    <row r="40" spans="1:12" s="202" customFormat="1" hidden="1" x14ac:dyDescent="0.25">
      <c r="B40" s="438" t="s">
        <v>395</v>
      </c>
      <c r="C40" s="435" t="s">
        <v>22</v>
      </c>
      <c r="D40" s="435" t="s">
        <v>22</v>
      </c>
      <c r="E40" s="435" t="s">
        <v>22</v>
      </c>
      <c r="F40" s="435" t="s">
        <v>22</v>
      </c>
      <c r="G40" s="435" t="s">
        <v>22</v>
      </c>
      <c r="H40" s="435" t="s">
        <v>22</v>
      </c>
      <c r="I40" s="435" t="s">
        <v>22</v>
      </c>
      <c r="J40" s="435" t="s">
        <v>22</v>
      </c>
      <c r="K40" s="435" t="s">
        <v>22</v>
      </c>
      <c r="L40" s="435" t="s">
        <v>22</v>
      </c>
    </row>
    <row r="41" spans="1:12" s="202" customFormat="1" hidden="1" x14ac:dyDescent="0.25">
      <c r="B41" s="438" t="s">
        <v>396</v>
      </c>
      <c r="C41" s="435" t="s">
        <v>2</v>
      </c>
      <c r="D41" s="435" t="s">
        <v>2</v>
      </c>
      <c r="E41" s="435" t="s">
        <v>2</v>
      </c>
      <c r="F41" s="435" t="s">
        <v>2</v>
      </c>
      <c r="G41" s="435" t="s">
        <v>2</v>
      </c>
      <c r="H41" s="435" t="s">
        <v>2</v>
      </c>
      <c r="I41" s="435" t="s">
        <v>2</v>
      </c>
      <c r="J41" s="435" t="s">
        <v>2</v>
      </c>
      <c r="K41" s="435" t="s">
        <v>2</v>
      </c>
      <c r="L41" s="435" t="s">
        <v>2</v>
      </c>
    </row>
    <row r="42" spans="1:12" hidden="1" x14ac:dyDescent="0.25">
      <c r="A42" s="202"/>
      <c r="B42" s="438" t="s">
        <v>285</v>
      </c>
      <c r="C42" s="435"/>
      <c r="D42" s="435"/>
      <c r="E42" s="435"/>
      <c r="F42" s="435"/>
      <c r="G42" s="435"/>
      <c r="H42" s="435"/>
      <c r="I42" s="435"/>
      <c r="J42" s="435"/>
      <c r="K42" s="435"/>
      <c r="L42" s="435"/>
    </row>
    <row r="43" spans="1:12" hidden="1" x14ac:dyDescent="0.25">
      <c r="A43" s="202"/>
      <c r="B43" s="438" t="s">
        <v>286</v>
      </c>
      <c r="C43" s="435"/>
      <c r="D43" s="435"/>
      <c r="E43" s="435"/>
      <c r="F43" s="435"/>
      <c r="G43" s="435"/>
      <c r="H43" s="435"/>
      <c r="I43" s="435"/>
      <c r="J43" s="435"/>
      <c r="K43" s="435"/>
      <c r="L43" s="435"/>
    </row>
    <row r="44" spans="1:12" hidden="1" x14ac:dyDescent="0.25">
      <c r="A44" s="202"/>
      <c r="B44" s="438" t="s">
        <v>264</v>
      </c>
      <c r="C44" s="435" t="s">
        <v>417</v>
      </c>
      <c r="D44" s="435" t="s">
        <v>417</v>
      </c>
      <c r="E44" s="435" t="s">
        <v>417</v>
      </c>
      <c r="F44" s="435" t="s">
        <v>417</v>
      </c>
      <c r="G44" s="435" t="s">
        <v>417</v>
      </c>
      <c r="H44" s="435" t="s">
        <v>417</v>
      </c>
      <c r="I44" s="435" t="s">
        <v>417</v>
      </c>
      <c r="J44" s="435" t="s">
        <v>417</v>
      </c>
      <c r="K44" s="435" t="s">
        <v>417</v>
      </c>
      <c r="L44" s="435" t="s">
        <v>417</v>
      </c>
    </row>
    <row r="45" spans="1:12" hidden="1" x14ac:dyDescent="0.25">
      <c r="A45" s="202"/>
      <c r="B45" s="438" t="s">
        <v>268</v>
      </c>
      <c r="C45" s="435" t="s">
        <v>177</v>
      </c>
      <c r="D45" s="435" t="s">
        <v>177</v>
      </c>
      <c r="E45" s="435" t="s">
        <v>177</v>
      </c>
      <c r="F45" s="435" t="s">
        <v>177</v>
      </c>
      <c r="G45" s="435" t="s">
        <v>177</v>
      </c>
      <c r="H45" s="435" t="s">
        <v>177</v>
      </c>
      <c r="I45" s="435" t="s">
        <v>177</v>
      </c>
      <c r="J45" s="435" t="s">
        <v>177</v>
      </c>
      <c r="K45" s="435" t="s">
        <v>177</v>
      </c>
      <c r="L45" s="435" t="s">
        <v>177</v>
      </c>
    </row>
    <row r="46" spans="1:12" hidden="1" x14ac:dyDescent="0.25">
      <c r="A46" s="202"/>
      <c r="B46" s="438" t="s">
        <v>270</v>
      </c>
      <c r="C46" s="435" t="s">
        <v>418</v>
      </c>
      <c r="D46" s="435" t="s">
        <v>418</v>
      </c>
      <c r="E46" s="435" t="s">
        <v>418</v>
      </c>
      <c r="F46" s="435" t="s">
        <v>418</v>
      </c>
      <c r="G46" s="435" t="s">
        <v>418</v>
      </c>
      <c r="H46" s="435" t="s">
        <v>418</v>
      </c>
      <c r="I46" s="435" t="s">
        <v>418</v>
      </c>
      <c r="J46" s="435" t="s">
        <v>418</v>
      </c>
      <c r="K46" s="435" t="s">
        <v>418</v>
      </c>
      <c r="L46" s="435" t="s">
        <v>418</v>
      </c>
    </row>
    <row r="47" spans="1:12" hidden="1" x14ac:dyDescent="0.25">
      <c r="A47" s="202"/>
      <c r="B47" s="438" t="s">
        <v>269</v>
      </c>
      <c r="C47" s="447">
        <f>C9</f>
        <v>0</v>
      </c>
      <c r="D47" s="447">
        <f t="shared" ref="D47:L47" si="8">D9</f>
        <v>0</v>
      </c>
      <c r="E47" s="447">
        <f t="shared" si="8"/>
        <v>0</v>
      </c>
      <c r="F47" s="447">
        <f t="shared" si="8"/>
        <v>0</v>
      </c>
      <c r="G47" s="447">
        <f t="shared" si="8"/>
        <v>0</v>
      </c>
      <c r="H47" s="447">
        <f t="shared" si="8"/>
        <v>0</v>
      </c>
      <c r="I47" s="447">
        <f t="shared" si="8"/>
        <v>0</v>
      </c>
      <c r="J47" s="447">
        <f t="shared" si="8"/>
        <v>0</v>
      </c>
      <c r="K47" s="447">
        <f t="shared" si="8"/>
        <v>0</v>
      </c>
      <c r="L47" s="447">
        <f t="shared" si="8"/>
        <v>0</v>
      </c>
    </row>
    <row r="48" spans="1:12" hidden="1" x14ac:dyDescent="0.25">
      <c r="A48" s="202"/>
      <c r="B48" s="438" t="s">
        <v>265</v>
      </c>
      <c r="C48" s="435" t="s">
        <v>191</v>
      </c>
      <c r="D48" s="435" t="s">
        <v>191</v>
      </c>
      <c r="E48" s="435" t="s">
        <v>191</v>
      </c>
      <c r="F48" s="435" t="s">
        <v>191</v>
      </c>
      <c r="G48" s="435" t="s">
        <v>191</v>
      </c>
      <c r="H48" s="435" t="s">
        <v>191</v>
      </c>
      <c r="I48" s="435" t="s">
        <v>191</v>
      </c>
      <c r="J48" s="435" t="s">
        <v>191</v>
      </c>
      <c r="K48" s="435" t="s">
        <v>191</v>
      </c>
      <c r="L48" s="435" t="s">
        <v>191</v>
      </c>
    </row>
    <row r="49" spans="1:12" hidden="1" x14ac:dyDescent="0.25">
      <c r="A49" s="202"/>
      <c r="B49" s="438" t="s">
        <v>266</v>
      </c>
      <c r="C49" s="435"/>
      <c r="D49" s="435"/>
      <c r="E49" s="435"/>
      <c r="F49" s="435"/>
      <c r="G49" s="435"/>
      <c r="H49" s="435"/>
      <c r="I49" s="435"/>
      <c r="J49" s="435"/>
      <c r="K49" s="435"/>
      <c r="L49" s="435"/>
    </row>
    <row r="50" spans="1:12" hidden="1" x14ac:dyDescent="0.25">
      <c r="A50" s="202"/>
      <c r="B50" s="439" t="s">
        <v>267</v>
      </c>
      <c r="C50" s="436"/>
      <c r="D50" s="436"/>
      <c r="E50" s="436"/>
      <c r="F50" s="436"/>
      <c r="G50" s="436"/>
      <c r="H50" s="436"/>
      <c r="I50" s="436"/>
      <c r="J50" s="436"/>
      <c r="K50" s="436"/>
      <c r="L50" s="436"/>
    </row>
    <row r="51" spans="1:12" x14ac:dyDescent="0.25">
      <c r="C51" s="433"/>
      <c r="D51" s="433"/>
      <c r="E51" s="433"/>
      <c r="F51" s="433"/>
      <c r="G51" s="433"/>
      <c r="H51" s="433"/>
      <c r="I51" s="433"/>
    </row>
    <row r="52" spans="1:12" x14ac:dyDescent="0.25">
      <c r="B52" s="383" t="s">
        <v>422</v>
      </c>
      <c r="C52" s="433"/>
      <c r="D52" s="433"/>
      <c r="E52" s="433"/>
      <c r="F52" s="433"/>
      <c r="G52" s="433"/>
      <c r="H52" s="433"/>
      <c r="I52" s="433"/>
    </row>
    <row r="53" spans="1:12" x14ac:dyDescent="0.25">
      <c r="B53" s="380" t="s">
        <v>421</v>
      </c>
      <c r="C53" s="442">
        <f ca="1">IF(AND(NOW(),isEUROISLoaded),_xll.meProductOISPV(B13:C50,FALSE),"Load Curve")</f>
        <v>14066.694055419011</v>
      </c>
      <c r="D53" s="442">
        <f ca="1">IF(AND(NOW(),isEUROISLoaded),_xll.meProductOISPV(_xll.meUtilityLVBFromKeysValues($B$13:$B$50,D13:D50),FALSE),"Load Curve")</f>
        <v>28659.937138394544</v>
      </c>
      <c r="E53" s="442">
        <f ca="1">IF(AND(NOW(),isEUROISLoaded),_xll.meProductOISPV(_xll.meUtilityLVBFromKeysValues($B$13:$B$50,E13:E50),FALSE),"Load Curve")</f>
        <v>42505.917501683463</v>
      </c>
      <c r="F53" s="442">
        <f ca="1">IF(AND(NOW(),isEUROISLoaded),_xll.meProductOISPV(_xll.meUtilityLVBFromKeysValues($B$13:$B$50,F13:F50),FALSE),"Load Curve")</f>
        <v>55007.037702002599</v>
      </c>
      <c r="G53" s="442">
        <f ca="1">IF(AND(NOW(),isEUROISLoaded),_xll.meProductOISPV(_xll.meUtilityLVBFromKeysValues($B$13:$B$50,G13:G50),FALSE),"Load Curve")</f>
        <v>65177.329369664461</v>
      </c>
      <c r="H53" s="442">
        <f ca="1">IF(AND(NOW(),isEUROISLoaded),_xll.meProductOISPV(_xll.meUtilityLVBFromKeysValues($B$13:$B$50,H13:H50),FALSE),"Load Curve")</f>
        <v>72334.585436585476</v>
      </c>
      <c r="I53" s="442">
        <f ca="1">IF(AND(NOW(),isEUROISLoaded),_xll.meProductOISPV(_xll.meUtilityLVBFromKeysValues($B$13:$B$50,I13:I50),FALSE),"Load Curve")</f>
        <v>76404.061737572963</v>
      </c>
      <c r="J53" s="442">
        <f ca="1">IF(AND(NOW(),isEUROISLoaded),_xll.meProductOISPV(_xll.meUtilityLVBFromKeysValues($B$13:$B$50,J13:J50),FALSE),"Load Curve")</f>
        <v>77302.302399211956</v>
      </c>
      <c r="K53" s="442">
        <f ca="1">IF(AND(NOW(),isEUROISLoaded),_xll.meProductOISPV(_xll.meUtilityLVBFromKeysValues($B$13:$B$50,K13:K50),FALSE),"Load Curve")</f>
        <v>75753.503702289687</v>
      </c>
      <c r="L53" s="442">
        <f ca="1">IF(AND(NOW(),isEUROISLoaded),_xll.meProductOISPV(_xll.meUtilityLVBFromKeysValues($B$13:$B$50,L13:L50),FALSE),"Load Curve")</f>
        <v>72761.727966062259</v>
      </c>
    </row>
    <row r="54" spans="1:12" x14ac:dyDescent="0.25">
      <c r="B54" s="382" t="s">
        <v>188</v>
      </c>
      <c r="C54" s="443">
        <f ca="1">IF(AND(NOW(),isEUROISLoaded),_xll.meProductOISParRate(B13:C50,FALSE),"Load Curve")</f>
        <v>-3.8199999584560855E-3</v>
      </c>
      <c r="D54" s="443">
        <f ca="1">IF(AND(NOW(),isEUROISLoaded),_xll.meProductOISParRate(_xll.meUtilityLVBFromKeysValues($B$13:$B$50,D13:D50),FALSE),"Load Curve")</f>
        <v>-4.00999999964955E-3</v>
      </c>
      <c r="E54" s="443">
        <f ca="1">IF(AND(NOW(),isEUROISLoaded),_xll.meProductOISParRate(_xll.meUtilityLVBFromKeysValues($B$13:$B$50,E13:E50),FALSE),"Load Curve")</f>
        <v>-3.8511824423024411E-3</v>
      </c>
      <c r="F54" s="443">
        <f ca="1">IF(AND(NOW(),isEUROISLoaded),_xll.meProductOISParRate(_xll.meUtilityLVBFromKeysValues($B$13:$B$50,F13:F50),FALSE),"Load Curve")</f>
        <v>-3.4265067785982459E-3</v>
      </c>
      <c r="G54" s="443">
        <f ca="1">IF(AND(NOW(),isEUROISLoaded),_xll.meProductOISParRate(_xll.meUtilityLVBFromKeysValues($B$13:$B$50,G13:G50),FALSE),"Load Curve")</f>
        <v>-2.7177051662461999E-3</v>
      </c>
      <c r="H54" s="443">
        <f ca="1">IF(AND(NOW(),isEUROISLoaded),_xll.meProductOISParRate(_xll.meUtilityLVBFromKeysValues($B$13:$B$50,H13:H50),FALSE),"Load Curve")</f>
        <v>-1.7620584783343142E-3</v>
      </c>
      <c r="I54" s="443">
        <f ca="1">IF(AND(NOW(),isEUROISLoaded),_xll.meProductOISParRate(_xll.meUtilityLVBFromKeysValues($B$13:$B$50,I13:I50),FALSE),"Load Curve")</f>
        <v>-6.5828092427376919E-4</v>
      </c>
      <c r="J54" s="443">
        <f ca="1">IF(AND(NOW(),isEUROISLoaded),_xll.meProductOISParRate(_xll.meUtilityLVBFromKeysValues($B$13:$B$50,J13:J50),FALSE),"Load Curve")</f>
        <v>5.5372204871936099E-4</v>
      </c>
      <c r="K54" s="443">
        <f ca="1">IF(AND(NOW(),isEUROISLoaded),_xll.meProductOISParRate(_xll.meUtilityLVBFromKeysValues($B$13:$B$50,K13:K50),FALSE),"Load Curve")</f>
        <v>1.7464415523077228E-3</v>
      </c>
      <c r="L54" s="443">
        <f ca="1">IF(AND(NOW(),isEUROISLoaded),_xll.meProductOISParRate(_xll.meUtilityLVBFromKeysValues($B$13:$B$50,L13:L50),FALSE),"Load Curve")</f>
        <v>2.8404730126217431E-3</v>
      </c>
    </row>
    <row r="57" spans="1:12" x14ac:dyDescent="0.25">
      <c r="D57" s="202"/>
      <c r="E57" s="202"/>
      <c r="F57" s="202"/>
    </row>
    <row r="58" spans="1:12" x14ac:dyDescent="0.25">
      <c r="C58" s="202"/>
      <c r="D58" s="202"/>
      <c r="E58" s="202"/>
      <c r="F58" s="202"/>
    </row>
    <row r="59" spans="1:12" x14ac:dyDescent="0.25">
      <c r="C59" s="202"/>
      <c r="D59" s="202"/>
      <c r="E59" s="202"/>
      <c r="F59" s="202"/>
    </row>
    <row r="60" spans="1:12" x14ac:dyDescent="0.25">
      <c r="C60" s="202"/>
      <c r="D60" s="202"/>
      <c r="E60" s="202"/>
      <c r="F60" s="202"/>
    </row>
    <row r="61" spans="1:12" x14ac:dyDescent="0.25">
      <c r="C61" s="202"/>
      <c r="D61" s="202"/>
      <c r="E61" s="202"/>
      <c r="F61" s="202"/>
    </row>
    <row r="62" spans="1:12" x14ac:dyDescent="0.25">
      <c r="C62" s="202"/>
      <c r="D62" s="202"/>
      <c r="E62" s="202"/>
      <c r="F62" s="202"/>
    </row>
    <row r="63" spans="1:12" x14ac:dyDescent="0.25">
      <c r="C63" s="202"/>
      <c r="D63" s="202"/>
      <c r="E63" s="202"/>
      <c r="F63" s="202"/>
    </row>
    <row r="64" spans="1:12" x14ac:dyDescent="0.25">
      <c r="C64" s="202"/>
      <c r="D64" s="202"/>
      <c r="E64" s="202"/>
      <c r="F64" s="202"/>
    </row>
    <row r="65" spans="3:6" x14ac:dyDescent="0.25">
      <c r="C65" s="202"/>
      <c r="D65" s="202"/>
      <c r="E65" s="202"/>
      <c r="F65" s="202"/>
    </row>
    <row r="66" spans="3:6" x14ac:dyDescent="0.25">
      <c r="C66" s="202"/>
      <c r="D66" s="202"/>
      <c r="E66" s="202"/>
      <c r="F66" s="202"/>
    </row>
    <row r="67" spans="3:6" x14ac:dyDescent="0.25">
      <c r="C67" s="202"/>
      <c r="D67" s="202"/>
      <c r="E67" s="202"/>
      <c r="F67" s="202"/>
    </row>
    <row r="68" spans="3:6" x14ac:dyDescent="0.25">
      <c r="C68" s="202"/>
      <c r="D68" s="202"/>
      <c r="E68" s="202"/>
      <c r="F68" s="202"/>
    </row>
    <row r="69" spans="3:6" x14ac:dyDescent="0.25">
      <c r="C69" s="202"/>
      <c r="D69" s="202"/>
      <c r="E69" s="202"/>
      <c r="F69" s="202"/>
    </row>
    <row r="70" spans="3:6" x14ac:dyDescent="0.25">
      <c r="C70" s="202"/>
      <c r="D70" s="202"/>
      <c r="E70" s="202"/>
      <c r="F70" s="202"/>
    </row>
    <row r="71" spans="3:6" x14ac:dyDescent="0.25">
      <c r="C71" s="202"/>
      <c r="D71" s="202"/>
      <c r="E71" s="202"/>
      <c r="F71" s="202"/>
    </row>
    <row r="72" spans="3:6" x14ac:dyDescent="0.25">
      <c r="C72" s="202"/>
      <c r="D72" s="202"/>
      <c r="E72" s="202"/>
      <c r="F72" s="202"/>
    </row>
    <row r="73" spans="3:6" x14ac:dyDescent="0.25">
      <c r="C73" s="202"/>
      <c r="D73" s="202"/>
      <c r="E73" s="202"/>
      <c r="F73" s="202"/>
    </row>
    <row r="74" spans="3:6" x14ac:dyDescent="0.25">
      <c r="C74" s="202"/>
      <c r="D74" s="202"/>
      <c r="E74" s="202"/>
      <c r="F74" s="202"/>
    </row>
    <row r="75" spans="3:6" x14ac:dyDescent="0.25">
      <c r="C75" s="202"/>
      <c r="D75" s="202"/>
      <c r="E75" s="202"/>
      <c r="F75" s="202"/>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2" customWidth="1"/>
    <col min="2" max="2" width="37.5703125" style="202" customWidth="1"/>
    <col min="3" max="9" width="25.7109375" style="202" customWidth="1"/>
    <col min="10" max="16384" width="9.140625" style="202"/>
  </cols>
  <sheetData>
    <row r="2" spans="2:11" ht="23.25" x14ac:dyDescent="0.35">
      <c r="B2" s="351" t="s">
        <v>374</v>
      </c>
      <c r="K2" s="351"/>
    </row>
    <row r="3" spans="2:11" s="363" customFormat="1" x14ac:dyDescent="0.25"/>
    <row r="4" spans="2:11" x14ac:dyDescent="0.25">
      <c r="B4" s="383" t="s">
        <v>384</v>
      </c>
    </row>
    <row r="5" spans="2:11" x14ac:dyDescent="0.25">
      <c r="B5" s="380" t="s">
        <v>388</v>
      </c>
      <c r="C5" s="391">
        <v>1</v>
      </c>
      <c r="D5" s="391">
        <v>1</v>
      </c>
      <c r="E5" s="391">
        <v>1</v>
      </c>
      <c r="F5" s="391">
        <v>1</v>
      </c>
      <c r="G5" s="391">
        <v>1</v>
      </c>
      <c r="H5" s="391">
        <v>1</v>
      </c>
      <c r="I5" s="391">
        <v>1</v>
      </c>
    </row>
    <row r="6" spans="2:11" x14ac:dyDescent="0.25">
      <c r="B6" s="381" t="s">
        <v>379</v>
      </c>
      <c r="C6" s="352" t="s">
        <v>229</v>
      </c>
      <c r="D6" s="352" t="s">
        <v>229</v>
      </c>
      <c r="E6" s="352" t="s">
        <v>229</v>
      </c>
      <c r="F6" s="352" t="s">
        <v>229</v>
      </c>
      <c r="G6" s="352" t="s">
        <v>229</v>
      </c>
      <c r="H6" s="352" t="s">
        <v>229</v>
      </c>
      <c r="I6" s="352" t="s">
        <v>229</v>
      </c>
    </row>
    <row r="7" spans="2:11" x14ac:dyDescent="0.25">
      <c r="B7" s="381" t="s">
        <v>382</v>
      </c>
      <c r="C7" s="389">
        <v>0.01</v>
      </c>
      <c r="D7" s="389">
        <v>0.01</v>
      </c>
      <c r="E7" s="389">
        <v>0.01</v>
      </c>
      <c r="F7" s="389">
        <v>0.01</v>
      </c>
      <c r="G7" s="389">
        <v>0.01</v>
      </c>
      <c r="H7" s="389">
        <v>0.01</v>
      </c>
      <c r="I7" s="389">
        <v>0.01</v>
      </c>
    </row>
    <row r="8" spans="2:11" x14ac:dyDescent="0.25">
      <c r="B8" s="381" t="s">
        <v>380</v>
      </c>
      <c r="C8" s="376" t="s">
        <v>159</v>
      </c>
      <c r="D8" s="376" t="s">
        <v>47</v>
      </c>
      <c r="E8" s="376" t="s">
        <v>43</v>
      </c>
      <c r="F8" s="376" t="s">
        <v>50</v>
      </c>
      <c r="G8" s="376" t="s">
        <v>52</v>
      </c>
      <c r="H8" s="376" t="s">
        <v>60</v>
      </c>
      <c r="I8" s="376" t="s">
        <v>64</v>
      </c>
    </row>
    <row r="9" spans="2:11" x14ac:dyDescent="0.25">
      <c r="B9" s="381" t="s">
        <v>381</v>
      </c>
      <c r="C9" s="353" t="s">
        <v>174</v>
      </c>
      <c r="D9" s="353" t="s">
        <v>174</v>
      </c>
      <c r="E9" s="353" t="s">
        <v>174</v>
      </c>
      <c r="F9" s="353" t="s">
        <v>174</v>
      </c>
      <c r="G9" s="353" t="s">
        <v>174</v>
      </c>
      <c r="H9" s="353" t="s">
        <v>174</v>
      </c>
      <c r="I9" s="353" t="s">
        <v>174</v>
      </c>
    </row>
    <row r="10" spans="2:11" x14ac:dyDescent="0.25">
      <c r="B10" s="381" t="s">
        <v>383</v>
      </c>
      <c r="C10" s="402">
        <v>0</v>
      </c>
      <c r="D10" s="402">
        <v>0</v>
      </c>
      <c r="E10" s="402">
        <v>0</v>
      </c>
      <c r="F10" s="402">
        <v>0</v>
      </c>
      <c r="G10" s="402">
        <v>0</v>
      </c>
      <c r="H10" s="402">
        <v>0</v>
      </c>
      <c r="I10" s="402">
        <v>0</v>
      </c>
    </row>
    <row r="11" spans="2:11" x14ac:dyDescent="0.25">
      <c r="B11" s="382" t="s">
        <v>187</v>
      </c>
      <c r="C11" s="390" t="s">
        <v>217</v>
      </c>
      <c r="D11" s="390" t="s">
        <v>217</v>
      </c>
      <c r="E11" s="390" t="s">
        <v>217</v>
      </c>
      <c r="F11" s="390" t="s">
        <v>217</v>
      </c>
      <c r="G11" s="390" t="s">
        <v>217</v>
      </c>
      <c r="H11" s="390" t="s">
        <v>217</v>
      </c>
      <c r="I11" s="390" t="s">
        <v>217</v>
      </c>
    </row>
    <row r="12" spans="2:11" s="363" customFormat="1" hidden="1" x14ac:dyDescent="0.25"/>
    <row r="13" spans="2:11" s="363" customFormat="1" hidden="1" x14ac:dyDescent="0.25">
      <c r="B13" s="223" t="s">
        <v>385</v>
      </c>
      <c r="C13" s="417"/>
      <c r="D13" s="417"/>
      <c r="E13" s="417"/>
      <c r="F13" s="417"/>
      <c r="G13" s="417"/>
      <c r="H13" s="417"/>
      <c r="I13" s="417"/>
    </row>
    <row r="14" spans="2:11" s="363" customFormat="1" hidden="1" x14ac:dyDescent="0.25">
      <c r="B14" s="392" t="s">
        <v>401</v>
      </c>
      <c r="C14" s="387" t="str">
        <f>"IRS_"&amp;C19</f>
        <v>IRS_1Y</v>
      </c>
      <c r="D14" s="387" t="str">
        <f t="shared" ref="D14:I14" si="0">"IRS_"&amp;D19</f>
        <v>IRS_2Y</v>
      </c>
      <c r="E14" s="387" t="str">
        <f t="shared" si="0"/>
        <v>IRS_3Y</v>
      </c>
      <c r="F14" s="387" t="str">
        <f t="shared" si="0"/>
        <v>IRS_4Y</v>
      </c>
      <c r="G14" s="387" t="str">
        <f t="shared" si="0"/>
        <v>IRS_5Y</v>
      </c>
      <c r="H14" s="387" t="str">
        <f t="shared" si="0"/>
        <v>IRS_10Y</v>
      </c>
      <c r="I14" s="387" t="str">
        <f t="shared" si="0"/>
        <v>IRS_20Y</v>
      </c>
    </row>
    <row r="15" spans="2:11" s="363" customFormat="1" hidden="1" x14ac:dyDescent="0.25">
      <c r="B15" s="394" t="s">
        <v>399</v>
      </c>
      <c r="C15" s="395" t="s">
        <v>400</v>
      </c>
      <c r="D15" s="395" t="s">
        <v>400</v>
      </c>
      <c r="E15" s="395" t="s">
        <v>400</v>
      </c>
      <c r="F15" s="395" t="s">
        <v>400</v>
      </c>
      <c r="G15" s="395" t="s">
        <v>400</v>
      </c>
      <c r="H15" s="395" t="s">
        <v>400</v>
      </c>
      <c r="I15" s="395" t="s">
        <v>400</v>
      </c>
    </row>
    <row r="16" spans="2:11" hidden="1" x14ac:dyDescent="0.25">
      <c r="B16" s="354" t="s">
        <v>175</v>
      </c>
      <c r="C16" s="393">
        <f>C5*1000000</f>
        <v>1000000</v>
      </c>
      <c r="D16" s="393">
        <f t="shared" ref="D16:I16" si="1">D5*1000000</f>
        <v>1000000</v>
      </c>
      <c r="E16" s="393">
        <f t="shared" si="1"/>
        <v>1000000</v>
      </c>
      <c r="F16" s="393">
        <f t="shared" si="1"/>
        <v>1000000</v>
      </c>
      <c r="G16" s="393">
        <f t="shared" si="1"/>
        <v>1000000</v>
      </c>
      <c r="H16" s="393">
        <f t="shared" si="1"/>
        <v>1000000</v>
      </c>
      <c r="I16" s="393">
        <f t="shared" si="1"/>
        <v>1000000</v>
      </c>
    </row>
    <row r="17" spans="1:9" hidden="1" x14ac:dyDescent="0.25">
      <c r="A17" s="370" t="s">
        <v>386</v>
      </c>
      <c r="B17" s="354" t="s">
        <v>249</v>
      </c>
      <c r="C17" s="377" t="str">
        <f t="shared" ref="C17:I17" si="2">C6</f>
        <v>RECEIVER</v>
      </c>
      <c r="D17" s="377" t="str">
        <f t="shared" si="2"/>
        <v>RECEIVER</v>
      </c>
      <c r="E17" s="377" t="str">
        <f t="shared" si="2"/>
        <v>RECEIVER</v>
      </c>
      <c r="F17" s="377" t="str">
        <f t="shared" si="2"/>
        <v>RECEIVER</v>
      </c>
      <c r="G17" s="377" t="str">
        <f t="shared" si="2"/>
        <v>RECEIVER</v>
      </c>
      <c r="H17" s="377" t="str">
        <f t="shared" si="2"/>
        <v>RECEIVER</v>
      </c>
      <c r="I17" s="377" t="str">
        <f t="shared" si="2"/>
        <v>RECEIVER</v>
      </c>
    </row>
    <row r="18" spans="1:9" hidden="1" x14ac:dyDescent="0.25">
      <c r="A18" s="371" t="s">
        <v>191</v>
      </c>
      <c r="B18" s="354" t="s">
        <v>250</v>
      </c>
      <c r="C18" s="372">
        <f ca="1">_xll.meDateFromTenor(COB,$A$18,C24,C25)</f>
        <v>42523</v>
      </c>
      <c r="D18" s="372">
        <f ca="1">_xll.meDateFromTenor(COB,$A$18,D24,D25)</f>
        <v>42523</v>
      </c>
      <c r="E18" s="372">
        <f ca="1">_xll.meDateFromTenor(COB,$A$18,E24,E25)</f>
        <v>42523</v>
      </c>
      <c r="F18" s="372">
        <f ca="1">_xll.meDateFromTenor(COB,$A$18,F24,F25)</f>
        <v>42523</v>
      </c>
      <c r="G18" s="372">
        <f ca="1">_xll.meDateFromTenor(COB,$A$18,G24,G25)</f>
        <v>42523</v>
      </c>
      <c r="H18" s="372">
        <f ca="1">_xll.meDateFromTenor(COB,$A$18,H24,H25)</f>
        <v>42523</v>
      </c>
      <c r="I18" s="372">
        <f ca="1">_xll.meDateFromTenor(COB,$A$18,I24,I25)</f>
        <v>42523</v>
      </c>
    </row>
    <row r="19" spans="1:9" hidden="1" x14ac:dyDescent="0.25">
      <c r="B19" s="354" t="s">
        <v>251</v>
      </c>
      <c r="C19" s="388" t="str">
        <f t="shared" ref="C19:I19" si="3">C8</f>
        <v>1Y</v>
      </c>
      <c r="D19" s="388" t="str">
        <f t="shared" si="3"/>
        <v>2Y</v>
      </c>
      <c r="E19" s="388" t="str">
        <f t="shared" si="3"/>
        <v>3Y</v>
      </c>
      <c r="F19" s="388" t="str">
        <f t="shared" si="3"/>
        <v>4Y</v>
      </c>
      <c r="G19" s="388" t="str">
        <f t="shared" si="3"/>
        <v>5Y</v>
      </c>
      <c r="H19" s="388" t="str">
        <f t="shared" si="3"/>
        <v>10Y</v>
      </c>
      <c r="I19" s="388" t="str">
        <f t="shared" si="3"/>
        <v>20Y</v>
      </c>
    </row>
    <row r="20" spans="1:9" s="223" customFormat="1" hidden="1" x14ac:dyDescent="0.25">
      <c r="B20" s="354" t="s">
        <v>253</v>
      </c>
      <c r="C20" s="373" t="s">
        <v>26</v>
      </c>
      <c r="D20" s="373" t="s">
        <v>26</v>
      </c>
      <c r="E20" s="373" t="s">
        <v>26</v>
      </c>
      <c r="F20" s="373" t="s">
        <v>26</v>
      </c>
      <c r="G20" s="373" t="s">
        <v>26</v>
      </c>
      <c r="H20" s="373" t="s">
        <v>26</v>
      </c>
      <c r="I20" s="373" t="s">
        <v>26</v>
      </c>
    </row>
    <row r="21" spans="1:9" hidden="1" x14ac:dyDescent="0.25">
      <c r="B21" s="354" t="s">
        <v>254</v>
      </c>
      <c r="C21" s="374" t="s">
        <v>20</v>
      </c>
      <c r="D21" s="374" t="s">
        <v>20</v>
      </c>
      <c r="E21" s="374" t="s">
        <v>20</v>
      </c>
      <c r="F21" s="374" t="s">
        <v>20</v>
      </c>
      <c r="G21" s="374" t="s">
        <v>20</v>
      </c>
      <c r="H21" s="374" t="s">
        <v>20</v>
      </c>
      <c r="I21" s="374" t="s">
        <v>20</v>
      </c>
    </row>
    <row r="22" spans="1:9" hidden="1" x14ac:dyDescent="0.25">
      <c r="B22" s="354" t="s">
        <v>389</v>
      </c>
      <c r="C22" s="375" t="s">
        <v>22</v>
      </c>
      <c r="D22" s="375" t="s">
        <v>22</v>
      </c>
      <c r="E22" s="375" t="s">
        <v>22</v>
      </c>
      <c r="F22" s="375" t="s">
        <v>22</v>
      </c>
      <c r="G22" s="375" t="s">
        <v>22</v>
      </c>
      <c r="H22" s="375" t="s">
        <v>22</v>
      </c>
      <c r="I22" s="375" t="s">
        <v>22</v>
      </c>
    </row>
    <row r="23" spans="1:9" hidden="1" x14ac:dyDescent="0.25">
      <c r="B23" s="354" t="s">
        <v>391</v>
      </c>
      <c r="C23" s="375" t="s">
        <v>2</v>
      </c>
      <c r="D23" s="375" t="s">
        <v>2</v>
      </c>
      <c r="E23" s="375" t="s">
        <v>2</v>
      </c>
      <c r="F23" s="375" t="s">
        <v>2</v>
      </c>
      <c r="G23" s="375" t="s">
        <v>2</v>
      </c>
      <c r="H23" s="375" t="s">
        <v>2</v>
      </c>
      <c r="I23" s="375" t="s">
        <v>2</v>
      </c>
    </row>
    <row r="24" spans="1:9" hidden="1" x14ac:dyDescent="0.25">
      <c r="B24" s="354" t="s">
        <v>390</v>
      </c>
      <c r="C24" s="375" t="s">
        <v>22</v>
      </c>
      <c r="D24" s="375" t="s">
        <v>22</v>
      </c>
      <c r="E24" s="375" t="s">
        <v>22</v>
      </c>
      <c r="F24" s="375" t="s">
        <v>22</v>
      </c>
      <c r="G24" s="375" t="s">
        <v>22</v>
      </c>
      <c r="H24" s="375" t="s">
        <v>22</v>
      </c>
      <c r="I24" s="375" t="s">
        <v>22</v>
      </c>
    </row>
    <row r="25" spans="1:9" hidden="1" x14ac:dyDescent="0.25">
      <c r="B25" s="354" t="s">
        <v>392</v>
      </c>
      <c r="C25" s="375" t="s">
        <v>2</v>
      </c>
      <c r="D25" s="375" t="s">
        <v>2</v>
      </c>
      <c r="E25" s="375" t="s">
        <v>2</v>
      </c>
      <c r="F25" s="375" t="s">
        <v>2</v>
      </c>
      <c r="G25" s="375" t="s">
        <v>2</v>
      </c>
      <c r="H25" s="375" t="s">
        <v>2</v>
      </c>
      <c r="I25" s="375" t="s">
        <v>2</v>
      </c>
    </row>
    <row r="26" spans="1:9" hidden="1" x14ac:dyDescent="0.25">
      <c r="B26" s="354" t="s">
        <v>283</v>
      </c>
      <c r="C26" s="376"/>
      <c r="D26" s="376"/>
      <c r="E26" s="376"/>
      <c r="F26" s="376"/>
      <c r="G26" s="376"/>
      <c r="H26" s="376"/>
      <c r="I26" s="376"/>
    </row>
    <row r="27" spans="1:9" hidden="1" x14ac:dyDescent="0.25">
      <c r="B27" s="354" t="s">
        <v>284</v>
      </c>
      <c r="C27" s="376"/>
      <c r="D27" s="376"/>
      <c r="E27" s="376"/>
      <c r="F27" s="376"/>
      <c r="G27" s="376"/>
      <c r="H27" s="376"/>
      <c r="I27" s="376"/>
    </row>
    <row r="28" spans="1:9" hidden="1" x14ac:dyDescent="0.25">
      <c r="B28" s="354" t="s">
        <v>257</v>
      </c>
      <c r="C28" s="375" t="s">
        <v>417</v>
      </c>
      <c r="D28" s="375" t="s">
        <v>417</v>
      </c>
      <c r="E28" s="375" t="s">
        <v>417</v>
      </c>
      <c r="F28" s="375" t="s">
        <v>417</v>
      </c>
      <c r="G28" s="375" t="s">
        <v>417</v>
      </c>
      <c r="H28" s="375" t="s">
        <v>417</v>
      </c>
      <c r="I28" s="375" t="s">
        <v>417</v>
      </c>
    </row>
    <row r="29" spans="1:9" hidden="1" x14ac:dyDescent="0.25">
      <c r="B29" s="354" t="s">
        <v>258</v>
      </c>
      <c r="C29" s="374" t="s">
        <v>177</v>
      </c>
      <c r="D29" s="374" t="s">
        <v>177</v>
      </c>
      <c r="E29" s="374" t="s">
        <v>177</v>
      </c>
      <c r="F29" s="374" t="s">
        <v>177</v>
      </c>
      <c r="G29" s="374" t="s">
        <v>177</v>
      </c>
      <c r="H29" s="374" t="s">
        <v>177</v>
      </c>
      <c r="I29" s="374" t="s">
        <v>177</v>
      </c>
    </row>
    <row r="30" spans="1:9" hidden="1" x14ac:dyDescent="0.25">
      <c r="B30" s="354" t="s">
        <v>259</v>
      </c>
      <c r="C30" s="374" t="s">
        <v>178</v>
      </c>
      <c r="D30" s="374" t="s">
        <v>178</v>
      </c>
      <c r="E30" s="374" t="s">
        <v>178</v>
      </c>
      <c r="F30" s="374" t="s">
        <v>178</v>
      </c>
      <c r="G30" s="374" t="s">
        <v>178</v>
      </c>
      <c r="H30" s="374" t="s">
        <v>178</v>
      </c>
      <c r="I30" s="374" t="s">
        <v>178</v>
      </c>
    </row>
    <row r="31" spans="1:9" hidden="1" x14ac:dyDescent="0.25">
      <c r="B31" s="354" t="s">
        <v>252</v>
      </c>
      <c r="C31" s="384">
        <f t="shared" ref="C31:I31" si="4">C7</f>
        <v>0.01</v>
      </c>
      <c r="D31" s="384">
        <f t="shared" si="4"/>
        <v>0.01</v>
      </c>
      <c r="E31" s="384">
        <f t="shared" si="4"/>
        <v>0.01</v>
      </c>
      <c r="F31" s="384">
        <f t="shared" si="4"/>
        <v>0.01</v>
      </c>
      <c r="G31" s="384">
        <f t="shared" si="4"/>
        <v>0.01</v>
      </c>
      <c r="H31" s="384">
        <f t="shared" si="4"/>
        <v>0.01</v>
      </c>
      <c r="I31" s="384">
        <f t="shared" si="4"/>
        <v>0.01</v>
      </c>
    </row>
    <row r="32" spans="1:9" hidden="1" x14ac:dyDescent="0.25">
      <c r="B32" s="354" t="s">
        <v>271</v>
      </c>
      <c r="C32" s="385" t="str">
        <f>C9</f>
        <v>EUR3ML</v>
      </c>
      <c r="D32" s="385" t="str">
        <f t="shared" ref="D32:I32" si="5">D9</f>
        <v>EUR3ML</v>
      </c>
      <c r="E32" s="385" t="str">
        <f t="shared" si="5"/>
        <v>EUR3ML</v>
      </c>
      <c r="F32" s="385" t="str">
        <f t="shared" si="5"/>
        <v>EUR3ML</v>
      </c>
      <c r="G32" s="385" t="str">
        <f t="shared" si="5"/>
        <v>EUR3ML</v>
      </c>
      <c r="H32" s="385" t="str">
        <f t="shared" si="5"/>
        <v>EUR3ML</v>
      </c>
      <c r="I32" s="385" t="str">
        <f t="shared" si="5"/>
        <v>EUR3ML</v>
      </c>
    </row>
    <row r="33" spans="2:9" hidden="1" x14ac:dyDescent="0.25">
      <c r="B33" s="354" t="s">
        <v>269</v>
      </c>
      <c r="C33" s="386">
        <f t="shared" ref="C33:I33" si="6">C10</f>
        <v>0</v>
      </c>
      <c r="D33" s="386">
        <f t="shared" si="6"/>
        <v>0</v>
      </c>
      <c r="E33" s="386">
        <f t="shared" si="6"/>
        <v>0</v>
      </c>
      <c r="F33" s="386">
        <f t="shared" si="6"/>
        <v>0</v>
      </c>
      <c r="G33" s="386">
        <f t="shared" si="6"/>
        <v>0</v>
      </c>
      <c r="H33" s="386">
        <f t="shared" si="6"/>
        <v>0</v>
      </c>
      <c r="I33" s="386">
        <f t="shared" si="6"/>
        <v>0</v>
      </c>
    </row>
    <row r="34" spans="2:9" hidden="1" x14ac:dyDescent="0.25">
      <c r="B34" s="354" t="s">
        <v>260</v>
      </c>
      <c r="C34" s="377" t="str">
        <f t="shared" ref="C34:I34" si="7">VLOOKUP(C9,Settings.LookupTable.ForecastCurve,2,0)</f>
        <v>Quarterly</v>
      </c>
      <c r="D34" s="377" t="str">
        <f t="shared" si="7"/>
        <v>Quarterly</v>
      </c>
      <c r="E34" s="377" t="str">
        <f t="shared" si="7"/>
        <v>Quarterly</v>
      </c>
      <c r="F34" s="377" t="str">
        <f t="shared" si="7"/>
        <v>Quarterly</v>
      </c>
      <c r="G34" s="377" t="str">
        <f t="shared" si="7"/>
        <v>Quarterly</v>
      </c>
      <c r="H34" s="377" t="str">
        <f t="shared" si="7"/>
        <v>Quarterly</v>
      </c>
      <c r="I34" s="377" t="str">
        <f t="shared" si="7"/>
        <v>Quarterly</v>
      </c>
    </row>
    <row r="35" spans="2:9" hidden="1" x14ac:dyDescent="0.25">
      <c r="B35" s="354" t="s">
        <v>261</v>
      </c>
      <c r="C35" s="374" t="s">
        <v>6</v>
      </c>
      <c r="D35" s="374" t="s">
        <v>6</v>
      </c>
      <c r="E35" s="374" t="s">
        <v>6</v>
      </c>
      <c r="F35" s="374" t="s">
        <v>6</v>
      </c>
      <c r="G35" s="374" t="s">
        <v>6</v>
      </c>
      <c r="H35" s="374" t="s">
        <v>6</v>
      </c>
      <c r="I35" s="374" t="s">
        <v>6</v>
      </c>
    </row>
    <row r="36" spans="2:9" hidden="1" x14ac:dyDescent="0.25">
      <c r="B36" s="354" t="s">
        <v>397</v>
      </c>
      <c r="C36" s="375" t="s">
        <v>22</v>
      </c>
      <c r="D36" s="375" t="s">
        <v>22</v>
      </c>
      <c r="E36" s="375" t="s">
        <v>22</v>
      </c>
      <c r="F36" s="375" t="s">
        <v>22</v>
      </c>
      <c r="G36" s="375" t="s">
        <v>22</v>
      </c>
      <c r="H36" s="375" t="s">
        <v>22</v>
      </c>
      <c r="I36" s="375" t="s">
        <v>22</v>
      </c>
    </row>
    <row r="37" spans="2:9" hidden="1" x14ac:dyDescent="0.25">
      <c r="B37" s="354" t="s">
        <v>398</v>
      </c>
      <c r="C37" s="375" t="s">
        <v>2</v>
      </c>
      <c r="D37" s="375" t="s">
        <v>2</v>
      </c>
      <c r="E37" s="375" t="s">
        <v>2</v>
      </c>
      <c r="F37" s="375" t="s">
        <v>2</v>
      </c>
      <c r="G37" s="375" t="s">
        <v>2</v>
      </c>
      <c r="H37" s="375" t="s">
        <v>2</v>
      </c>
      <c r="I37" s="375" t="s">
        <v>2</v>
      </c>
    </row>
    <row r="38" spans="2:9" hidden="1" x14ac:dyDescent="0.25">
      <c r="B38" s="354" t="s">
        <v>393</v>
      </c>
      <c r="C38" s="375" t="s">
        <v>22</v>
      </c>
      <c r="D38" s="375" t="s">
        <v>22</v>
      </c>
      <c r="E38" s="375" t="s">
        <v>22</v>
      </c>
      <c r="F38" s="375" t="s">
        <v>22</v>
      </c>
      <c r="G38" s="375" t="s">
        <v>22</v>
      </c>
      <c r="H38" s="375" t="s">
        <v>22</v>
      </c>
      <c r="I38" s="375" t="s">
        <v>22</v>
      </c>
    </row>
    <row r="39" spans="2:9" hidden="1" x14ac:dyDescent="0.25">
      <c r="B39" s="354" t="s">
        <v>394</v>
      </c>
      <c r="C39" s="375" t="s">
        <v>2</v>
      </c>
      <c r="D39" s="375" t="s">
        <v>2</v>
      </c>
      <c r="E39" s="375" t="s">
        <v>2</v>
      </c>
      <c r="F39" s="375" t="s">
        <v>2</v>
      </c>
      <c r="G39" s="375" t="s">
        <v>2</v>
      </c>
      <c r="H39" s="375" t="s">
        <v>2</v>
      </c>
      <c r="I39" s="375" t="s">
        <v>2</v>
      </c>
    </row>
    <row r="40" spans="2:9" hidden="1" x14ac:dyDescent="0.25">
      <c r="B40" s="354" t="s">
        <v>395</v>
      </c>
      <c r="C40" s="375" t="s">
        <v>22</v>
      </c>
      <c r="D40" s="375" t="s">
        <v>22</v>
      </c>
      <c r="E40" s="375" t="s">
        <v>22</v>
      </c>
      <c r="F40" s="375" t="s">
        <v>22</v>
      </c>
      <c r="G40" s="375" t="s">
        <v>22</v>
      </c>
      <c r="H40" s="375" t="s">
        <v>22</v>
      </c>
      <c r="I40" s="375" t="s">
        <v>22</v>
      </c>
    </row>
    <row r="41" spans="2:9" hidden="1" x14ac:dyDescent="0.25">
      <c r="B41" s="354" t="s">
        <v>396</v>
      </c>
      <c r="C41" s="375" t="s">
        <v>2</v>
      </c>
      <c r="D41" s="375" t="s">
        <v>2</v>
      </c>
      <c r="E41" s="375" t="s">
        <v>2</v>
      </c>
      <c r="F41" s="375" t="s">
        <v>2</v>
      </c>
      <c r="G41" s="375" t="s">
        <v>2</v>
      </c>
      <c r="H41" s="375" t="s">
        <v>2</v>
      </c>
      <c r="I41" s="375" t="s">
        <v>2</v>
      </c>
    </row>
    <row r="42" spans="2:9" hidden="1" x14ac:dyDescent="0.25">
      <c r="B42" s="354" t="s">
        <v>285</v>
      </c>
      <c r="C42" s="376"/>
      <c r="D42" s="376"/>
      <c r="E42" s="376"/>
      <c r="F42" s="376"/>
      <c r="G42" s="376"/>
      <c r="H42" s="376"/>
      <c r="I42" s="376"/>
    </row>
    <row r="43" spans="2:9" hidden="1" x14ac:dyDescent="0.25">
      <c r="B43" s="354" t="s">
        <v>286</v>
      </c>
      <c r="C43" s="376"/>
      <c r="D43" s="376"/>
      <c r="E43" s="376"/>
      <c r="F43" s="376"/>
      <c r="G43" s="376"/>
      <c r="H43" s="376"/>
      <c r="I43" s="376"/>
    </row>
    <row r="44" spans="2:9" hidden="1" x14ac:dyDescent="0.25">
      <c r="B44" s="354" t="s">
        <v>264</v>
      </c>
      <c r="C44" s="375" t="s">
        <v>417</v>
      </c>
      <c r="D44" s="375" t="s">
        <v>417</v>
      </c>
      <c r="E44" s="375" t="s">
        <v>417</v>
      </c>
      <c r="F44" s="375" t="s">
        <v>417</v>
      </c>
      <c r="G44" s="375" t="s">
        <v>417</v>
      </c>
      <c r="H44" s="375" t="s">
        <v>417</v>
      </c>
      <c r="I44" s="375" t="s">
        <v>417</v>
      </c>
    </row>
    <row r="45" spans="2:9" hidden="1" x14ac:dyDescent="0.25">
      <c r="B45" s="354" t="s">
        <v>265</v>
      </c>
      <c r="C45" s="374" t="s">
        <v>177</v>
      </c>
      <c r="D45" s="374" t="s">
        <v>177</v>
      </c>
      <c r="E45" s="374" t="s">
        <v>177</v>
      </c>
      <c r="F45" s="374" t="s">
        <v>177</v>
      </c>
      <c r="G45" s="374" t="s">
        <v>177</v>
      </c>
      <c r="H45" s="374" t="s">
        <v>177</v>
      </c>
      <c r="I45" s="374" t="s">
        <v>177</v>
      </c>
    </row>
    <row r="46" spans="2:9" hidden="1" x14ac:dyDescent="0.25">
      <c r="B46" s="354" t="s">
        <v>266</v>
      </c>
      <c r="C46" s="378"/>
      <c r="D46" s="378"/>
      <c r="E46" s="378"/>
      <c r="F46" s="378"/>
      <c r="G46" s="378"/>
      <c r="H46" s="378"/>
      <c r="I46" s="378"/>
    </row>
    <row r="47" spans="2:9" hidden="1" x14ac:dyDescent="0.25">
      <c r="B47" s="354" t="s">
        <v>267</v>
      </c>
      <c r="C47" s="378"/>
      <c r="D47" s="378"/>
      <c r="E47" s="378"/>
      <c r="F47" s="378"/>
      <c r="G47" s="378"/>
      <c r="H47" s="378"/>
      <c r="I47" s="378"/>
    </row>
    <row r="48" spans="2:9" hidden="1" x14ac:dyDescent="0.25">
      <c r="B48" s="354" t="s">
        <v>268</v>
      </c>
      <c r="C48" s="374" t="s">
        <v>177</v>
      </c>
      <c r="D48" s="374" t="s">
        <v>177</v>
      </c>
      <c r="E48" s="374" t="s">
        <v>177</v>
      </c>
      <c r="F48" s="374" t="s">
        <v>177</v>
      </c>
      <c r="G48" s="374" t="s">
        <v>177</v>
      </c>
      <c r="H48" s="374" t="s">
        <v>177</v>
      </c>
      <c r="I48" s="374" t="s">
        <v>177</v>
      </c>
    </row>
    <row r="49" spans="2:10" hidden="1" x14ac:dyDescent="0.25">
      <c r="B49" s="354" t="s">
        <v>270</v>
      </c>
      <c r="C49" s="374" t="s">
        <v>178</v>
      </c>
      <c r="D49" s="374" t="s">
        <v>178</v>
      </c>
      <c r="E49" s="374" t="s">
        <v>178</v>
      </c>
      <c r="F49" s="374" t="s">
        <v>178</v>
      </c>
      <c r="G49" s="374" t="s">
        <v>178</v>
      </c>
      <c r="H49" s="374" t="s">
        <v>178</v>
      </c>
      <c r="I49" s="374" t="s">
        <v>178</v>
      </c>
    </row>
    <row r="50" spans="2:10" hidden="1" x14ac:dyDescent="0.25">
      <c r="B50" s="354" t="s">
        <v>80</v>
      </c>
      <c r="C50" s="356" t="s">
        <v>78</v>
      </c>
      <c r="D50" s="356" t="s">
        <v>78</v>
      </c>
      <c r="E50" s="356" t="s">
        <v>78</v>
      </c>
      <c r="F50" s="356" t="s">
        <v>78</v>
      </c>
      <c r="G50" s="356" t="s">
        <v>78</v>
      </c>
      <c r="H50" s="356" t="s">
        <v>78</v>
      </c>
      <c r="I50" s="356" t="s">
        <v>78</v>
      </c>
    </row>
    <row r="51" spans="2:10" hidden="1" x14ac:dyDescent="0.25">
      <c r="B51" s="355" t="s">
        <v>272</v>
      </c>
      <c r="C51" s="479" t="str">
        <f>C11</f>
        <v>EUROIS</v>
      </c>
      <c r="D51" s="403" t="str">
        <f t="shared" ref="D51:I51" si="8">D11</f>
        <v>EUROIS</v>
      </c>
      <c r="E51" s="403" t="str">
        <f t="shared" si="8"/>
        <v>EUROIS</v>
      </c>
      <c r="F51" s="403" t="str">
        <f t="shared" si="8"/>
        <v>EUROIS</v>
      </c>
      <c r="G51" s="403" t="str">
        <f t="shared" si="8"/>
        <v>EUROIS</v>
      </c>
      <c r="H51" s="403" t="str">
        <f t="shared" si="8"/>
        <v>EUROIS</v>
      </c>
      <c r="I51" s="403" t="str">
        <f t="shared" si="8"/>
        <v>EUROIS</v>
      </c>
    </row>
    <row r="53" spans="2:10" x14ac:dyDescent="0.25">
      <c r="B53" s="383" t="s">
        <v>387</v>
      </c>
      <c r="C53" s="379"/>
    </row>
    <row r="54" spans="2:10" x14ac:dyDescent="0.25">
      <c r="B54" s="357" t="s">
        <v>375</v>
      </c>
      <c r="C54" s="358">
        <f ca="1">IF(AND(NOW(),isEUR12MLLoaded),_xll.meProductSwapParRate($B$14:$C$51,FALSE),"Load Curve")</f>
        <v>-2.8448773253477266E-3</v>
      </c>
      <c r="D54" s="358">
        <f ca="1">IF(AND(NOW(),isEUR12MLLoaded),_xll.meProductSwapParRate(_xll.meUtilityLVBFromKeysValues($B$15:$B$51,D15:D51),FALSE),"Load Curve")</f>
        <v>-2.9430770546369795E-3</v>
      </c>
      <c r="E54" s="358">
        <f ca="1">IF(AND(NOW(),isEUR12MLLoaded),_xll.meProductSwapParRate(_xll.meUtilityLVBFromKeysValues($B$15:$B$51,E15:E51),FALSE),"Load Curve")</f>
        <v>-2.6499999251703731E-3</v>
      </c>
      <c r="F54" s="358">
        <f ca="1">IF(AND(NOW(),isEUR12MLLoaded),_xll.meProductSwapParRate(_xll.meUtilityLVBFromKeysValues($B$15:$B$51,F15:F51),FALSE),"Load Curve")</f>
        <v>-2.0499998907206195E-3</v>
      </c>
      <c r="G54" s="358">
        <f ca="1">IF(AND(NOW(),isEUR12MLLoaded),_xll.meProductSwapParRate(_xll.meUtilityLVBFromKeysValues($B$15:$B$51,G15:G51),FALSE),"Load Curve")</f>
        <v>-1.2474998146407344E-3</v>
      </c>
      <c r="H54" s="358">
        <f ca="1">IF(AND(NOW(),isEUR12MLLoaded),_xll.meProductSwapParRate(_xll.meUtilityLVBFromKeysValues($B$15:$B$51,H15:H51),FALSE),"Load Curve")</f>
        <v>4.442500596094621E-3</v>
      </c>
      <c r="I54" s="358">
        <f ca="1">IF(AND(NOW(),isEUR12MLLoaded),_xll.meProductSwapParRate(_xll.meUtilityLVBFromKeysValues($B$15:$B$51,I15:I51),FALSE),"Load Curve")</f>
        <v>1.0167499929526435E-2</v>
      </c>
      <c r="J54" s="202" t="s">
        <v>4</v>
      </c>
    </row>
    <row r="55" spans="2:10" x14ac:dyDescent="0.25">
      <c r="B55" s="359" t="s">
        <v>376</v>
      </c>
      <c r="C55" s="361">
        <f ca="1">IF(AND(NOW(),isEUR12MLLoaded),_xll.meProductSwapPV(B14:C51,FALSE),"Load Curve")</f>
        <v>12895.066832058885</v>
      </c>
      <c r="D55" s="361">
        <f ca="1">IF(AND(NOW(),isEUR12MLLoaded),_xll.meProductSwapPV(_xll.meUtilityLVBFromKeysValues($B$15:$B$51,D15:D51),FALSE),"Load Curve")</f>
        <v>26115.646817495162</v>
      </c>
      <c r="E55" s="361">
        <f ca="1">IF(AND(NOW(),isEUR12MLLoaded),_xll.meProductSwapPV(_xll.meUtilityLVBFromKeysValues($B$15:$B$51,E15:E51),FALSE),"Load Curve")</f>
        <v>38288.485626348636</v>
      </c>
      <c r="F55" s="361">
        <f ca="1">IF(AND(NOW(),isEUR12MLLoaded),_xll.meProductSwapPV(_xll.meUtilityLVBFromKeysValues($B$15:$B$51,F15:F51),FALSE),"Load Curve")</f>
        <v>48657.877474850204</v>
      </c>
      <c r="G55" s="361">
        <f ca="1">IF(AND(NOW(),isEUR12MLLoaded),_xll.meProductSwapPV(_xll.meUtilityLVBFromKeysValues($B$15:$B$51,G15:G51),FALSE),"Load Curve")</f>
        <v>56821.754712234106</v>
      </c>
      <c r="H55" s="361">
        <f ca="1">IF(AND(NOW(),isEUR12MLLoaded),_xll.meProductSwapPV(_xll.meUtilityLVBFromKeysValues($B$15:$B$51,H15:H51),FALSE),"Load Curve")</f>
        <v>55676.141883974247</v>
      </c>
      <c r="I55" s="361">
        <f ca="1">IF(AND(NOW(),isEUR12MLLoaded),_xll.meProductSwapPV(_xll.meUtilityLVBFromKeysValues($B$15:$B$51,I15:I51),FALSE),"Load Curve")</f>
        <v>-3172.8990780377776</v>
      </c>
      <c r="J55" s="202" t="s">
        <v>4</v>
      </c>
    </row>
    <row r="56" spans="2:10" x14ac:dyDescent="0.25">
      <c r="B56" s="359" t="s">
        <v>377</v>
      </c>
      <c r="C56" s="361">
        <f ca="1">IF(AND(NOW(),isEUR12MLLoaded),_xll.meProductSwapPV01(B15:C51,FALSE),"Load Curve")</f>
        <v>100.39073558617891</v>
      </c>
      <c r="D56" s="361">
        <f ca="1">IF(AND(NOW(),isEUR12MLLoaded),_xll.meProductSwapPV01(_xll.meUtilityLVBFromKeysValues($B$15:$B$51,D15:D51),FALSE),"Load Curve")</f>
        <v>201.77309234313017</v>
      </c>
      <c r="E56" s="361">
        <f ca="1">IF(AND(NOW(),isEUR12MLLoaded),_xll.meProductSwapPV01(_xll.meUtilityLVBFromKeysValues($B$15:$B$51,E15:E51),FALSE),"Load Curve")</f>
        <v>302.67577749280463</v>
      </c>
      <c r="F56" s="361">
        <f ca="1">IF(AND(NOW(),isEUR12MLLoaded),_xll.meProductSwapPV01(_xll.meUtilityLVBFromKeysValues($B$15:$B$51,F15:F51),FALSE),"Load Curve")</f>
        <v>403.79981673128748</v>
      </c>
      <c r="G56" s="361">
        <f ca="1">IF(AND(NOW(),isEUR12MLLoaded),_xll.meProductSwapPV01(_xll.meUtilityLVBFromKeysValues($B$15:$B$51,G15:G51),FALSE),"Load Curve")</f>
        <v>505.19453788538783</v>
      </c>
      <c r="H56" s="361">
        <f ca="1">IF(AND(NOW(),isEUR12MLLoaded),_xll.meProductSwapPV01(_xll.meUtilityLVBFromKeysValues($B$15:$B$51,H15:H51),FALSE),"Load Curve")</f>
        <v>1001.8200243953131</v>
      </c>
      <c r="I56" s="361">
        <f ca="1">IF(AND(NOW(),isEUR12MLLoaded),_xll.meProductSwapPV01(_xll.meUtilityLVBFromKeysValues($B$15:$B$51,I15:I51),FALSE),"Load Curve")</f>
        <v>1894.2689032815456</v>
      </c>
      <c r="J56" s="202" t="s">
        <v>4</v>
      </c>
    </row>
    <row r="57" spans="2:10" x14ac:dyDescent="0.25">
      <c r="B57" s="360" t="s">
        <v>378</v>
      </c>
      <c r="C57" s="362">
        <f ca="1">IF(AND(NOW(),isEUR12MLLoaded),_xll.meProductSwapDV01(B15:C51,FALSE),"Load Curve")</f>
        <v>101.87493475769986</v>
      </c>
      <c r="D57" s="362">
        <f ca="1">IF(AND(NOW(),isEUR12MLLoaded),_xll.meProductSwapDV01(_xll.meUtilityLVBFromKeysValues($B$15:$B$51,D15:D51),FALSE),"Load Curve")</f>
        <v>206.12333291361378</v>
      </c>
      <c r="E57" s="362">
        <f ca="1">IF(AND(NOW(),isEUR12MLLoaded),_xll.meProductSwapDV01(_xll.meUtilityLVBFromKeysValues($B$15:$B$51,E15:E51),FALSE),"Load Curve")</f>
        <v>311.08520054147573</v>
      </c>
      <c r="F57" s="362">
        <f ca="1">IF(AND(NOW(),isEUR12MLLoaded),_xll.meProductSwapDV01(_xll.meUtilityLVBFromKeysValues($B$15:$B$51,F15:F51),FALSE),"Load Curve")</f>
        <v>417.23132856322241</v>
      </c>
      <c r="G57" s="362">
        <f ca="1">IF(AND(NOW(),isEUR12MLLoaded),_xll.meProductSwapDV01(_xll.meUtilityLVBFromKeysValues($B$15:$B$51,G15:G51),FALSE),"Load Curve")</f>
        <v>524.30412900123918</v>
      </c>
      <c r="H57" s="362">
        <f ca="1">IF(AND(NOW(),isEUR12MLLoaded),_xll.meProductSwapDV01(_xll.meUtilityLVBFromKeysValues($B$15:$B$51,H15:H51),FALSE),"Load Curve")</f>
        <v>1038.5169670482162</v>
      </c>
      <c r="I57" s="362">
        <f ca="1">IF(AND(NOW(),isEUR12MLLoaded),_xll.meProductSwapDV01(_xll.meUtilityLVBFromKeysValues($B$15:$B$51,I15:I51),FALSE),"Load Curve")</f>
        <v>1890.5364228360659</v>
      </c>
      <c r="J57" s="434"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09"/>
    <col min="2" max="2" width="35.5703125" style="412" customWidth="1"/>
    <col min="3" max="9" width="15.7109375" style="411" customWidth="1"/>
    <col min="10" max="10" width="15.7109375" style="413" customWidth="1"/>
    <col min="11" max="16384" width="9.140625" style="409"/>
  </cols>
  <sheetData>
    <row r="2" spans="2:11" ht="23.25" x14ac:dyDescent="0.25">
      <c r="B2" s="414" t="s">
        <v>410</v>
      </c>
    </row>
    <row r="4" spans="2:11" ht="23.25" x14ac:dyDescent="0.25">
      <c r="B4" s="415" t="s">
        <v>409</v>
      </c>
    </row>
    <row r="5" spans="2:11" x14ac:dyDescent="0.25">
      <c r="B5" s="416"/>
    </row>
    <row r="6" spans="2:11" x14ac:dyDescent="0.25">
      <c r="B6" s="416"/>
      <c r="C6" s="410"/>
      <c r="D6" s="410"/>
      <c r="E6" s="410"/>
      <c r="F6" s="410"/>
      <c r="G6" s="410"/>
      <c r="H6" s="410"/>
      <c r="I6" s="410"/>
    </row>
    <row r="7" spans="2:11" x14ac:dyDescent="0.25">
      <c r="B7" s="424" t="s">
        <v>412</v>
      </c>
      <c r="C7" s="427">
        <f t="shared" ref="C7:I7" ca="1" si="0">SUBTOTAL(9,C10:C78)</f>
        <v>-102.82766027497291</v>
      </c>
      <c r="D7" s="427">
        <f t="shared" ca="1" si="0"/>
        <v>-205.63923518666343</v>
      </c>
      <c r="E7" s="427">
        <f t="shared" ca="1" si="0"/>
        <v>-609.25276693879641</v>
      </c>
      <c r="F7" s="427">
        <f t="shared" ca="1" si="0"/>
        <v>-811.26787680625785</v>
      </c>
      <c r="G7" s="427">
        <f t="shared" ca="1" si="0"/>
        <v>-1013.7530196755361</v>
      </c>
      <c r="H7" s="427">
        <f t="shared" ca="1" si="0"/>
        <v>-2004.9545435930995</v>
      </c>
      <c r="I7" s="427">
        <f t="shared" ca="1" si="0"/>
        <v>-3788.5048041773193</v>
      </c>
      <c r="J7" s="428" t="s">
        <v>411</v>
      </c>
    </row>
    <row r="9" spans="2:11" x14ac:dyDescent="0.25">
      <c r="B9" s="424" t="str">
        <f t="array" aca="1" ref="B9:J78" ca="1">_xll.meProductSwapDeltaLadder(EURSwaps.Portfolio,Curve.CollectionName,Settings.ForecastCurveSet,Settings.Risk.BumpSize,Settings.Risk.BumpMode)</f>
        <v>Pillars</v>
      </c>
      <c r="C9" s="425" t="str">
        <f ca="1"/>
        <v>IRS_1Y</v>
      </c>
      <c r="D9" s="425" t="str">
        <f ca="1"/>
        <v>IRS_2Y</v>
      </c>
      <c r="E9" s="425" t="str">
        <f ca="1"/>
        <v>IRS_3Y</v>
      </c>
      <c r="F9" s="425" t="str">
        <f ca="1"/>
        <v>IRS_4Y</v>
      </c>
      <c r="G9" s="425" t="str">
        <f ca="1"/>
        <v>IRS_5Y</v>
      </c>
      <c r="H9" s="425" t="str">
        <f ca="1"/>
        <v>IRS_10Y</v>
      </c>
      <c r="I9" s="425" t="str">
        <f ca="1"/>
        <v>IRS_20Y</v>
      </c>
      <c r="J9" s="426" t="str">
        <f ca="1"/>
        <v>Total</v>
      </c>
      <c r="K9" s="409" t="s">
        <v>4</v>
      </c>
    </row>
    <row r="10" spans="2:11" x14ac:dyDescent="0.25">
      <c r="B10" s="418" t="str">
        <f ca="1"/>
        <v>EURYC_STD_O_N</v>
      </c>
      <c r="C10" s="419">
        <f ca="1"/>
        <v>3.3651303965598345E-11</v>
      </c>
      <c r="D10" s="419">
        <f ca="1"/>
        <v>4.7293724492192268E-11</v>
      </c>
      <c r="E10" s="419">
        <f ca="1"/>
        <v>2.9103830456733704E-11</v>
      </c>
      <c r="F10" s="419">
        <f ca="1"/>
        <v>6.184563972055912E-11</v>
      </c>
      <c r="G10" s="419">
        <f ca="1"/>
        <v>-8.0035533756017685E-11</v>
      </c>
      <c r="H10" s="419">
        <f ca="1"/>
        <v>-4.0017766878008842E-11</v>
      </c>
      <c r="I10" s="419">
        <f ca="1"/>
        <v>0</v>
      </c>
      <c r="J10" s="420">
        <f ca="1"/>
        <v>5.184119800105691E-11</v>
      </c>
      <c r="K10" s="409" t="s">
        <v>4</v>
      </c>
    </row>
    <row r="11" spans="2:11" x14ac:dyDescent="0.25">
      <c r="B11" s="418" t="str">
        <f ca="1"/>
        <v>EURYC_STD_T_N</v>
      </c>
      <c r="C11" s="419">
        <f ca="1"/>
        <v>3.3651303965598345E-11</v>
      </c>
      <c r="D11" s="419">
        <f ca="1"/>
        <v>4.7293724492192268E-11</v>
      </c>
      <c r="E11" s="419">
        <f ca="1"/>
        <v>2.9103830456733704E-11</v>
      </c>
      <c r="F11" s="419">
        <f ca="1"/>
        <v>6.184563972055912E-11</v>
      </c>
      <c r="G11" s="419">
        <f ca="1"/>
        <v>-8.0035533756017685E-11</v>
      </c>
      <c r="H11" s="419">
        <f ca="1"/>
        <v>-4.0017766878008842E-11</v>
      </c>
      <c r="I11" s="419">
        <f ca="1"/>
        <v>0</v>
      </c>
      <c r="J11" s="420">
        <f ca="1"/>
        <v>5.184119800105691E-11</v>
      </c>
      <c r="K11" s="409" t="s">
        <v>4</v>
      </c>
    </row>
    <row r="12" spans="2:11" x14ac:dyDescent="0.25">
      <c r="B12" s="418" t="str">
        <f ca="1"/>
        <v>EURYC_STD_LIBOR_1M</v>
      </c>
      <c r="C12" s="419">
        <f ca="1"/>
        <v>0</v>
      </c>
      <c r="D12" s="419">
        <f ca="1"/>
        <v>0</v>
      </c>
      <c r="E12" s="419">
        <f ca="1"/>
        <v>0</v>
      </c>
      <c r="F12" s="419">
        <f ca="1"/>
        <v>0</v>
      </c>
      <c r="G12" s="419">
        <f ca="1"/>
        <v>0</v>
      </c>
      <c r="H12" s="419">
        <f ca="1"/>
        <v>0</v>
      </c>
      <c r="I12" s="419">
        <f ca="1"/>
        <v>0</v>
      </c>
      <c r="J12" s="420">
        <f ca="1"/>
        <v>0</v>
      </c>
      <c r="K12" s="409" t="s">
        <v>4</v>
      </c>
    </row>
    <row r="13" spans="2:11" x14ac:dyDescent="0.25">
      <c r="B13" s="418" t="str">
        <f ca="1"/>
        <v>EURYC_STD_LIBOR_3M</v>
      </c>
      <c r="C13" s="419">
        <f ca="1"/>
        <v>-38.128465839989985</v>
      </c>
      <c r="D13" s="419">
        <f ca="1"/>
        <v>-50.642919864663781</v>
      </c>
      <c r="E13" s="419">
        <f ca="1"/>
        <v>4.0629985960549675E-4</v>
      </c>
      <c r="F13" s="419">
        <f ca="1"/>
        <v>4.6004441901459359E-4</v>
      </c>
      <c r="G13" s="419">
        <f ca="1"/>
        <v>5.8960091337212361E-4</v>
      </c>
      <c r="H13" s="419">
        <f ca="1"/>
        <v>-6.1961298633832484E-3</v>
      </c>
      <c r="I13" s="419">
        <f ca="1"/>
        <v>-1.2226945164456993E-2</v>
      </c>
      <c r="J13" s="420">
        <f ca="1"/>
        <v>-88.788352834489615</v>
      </c>
      <c r="K13" s="409" t="s">
        <v>4</v>
      </c>
    </row>
    <row r="14" spans="2:11" x14ac:dyDescent="0.25">
      <c r="B14" s="418" t="str">
        <f ca="1"/>
        <v>EURYC_STD_LIBOR_6M</v>
      </c>
      <c r="C14" s="419">
        <f ca="1"/>
        <v>0</v>
      </c>
      <c r="D14" s="419">
        <f ca="1"/>
        <v>0</v>
      </c>
      <c r="E14" s="419">
        <f ca="1"/>
        <v>0</v>
      </c>
      <c r="F14" s="419">
        <f ca="1"/>
        <v>0</v>
      </c>
      <c r="G14" s="419">
        <f ca="1"/>
        <v>0</v>
      </c>
      <c r="H14" s="419">
        <f ca="1"/>
        <v>0</v>
      </c>
      <c r="I14" s="419">
        <f ca="1"/>
        <v>0</v>
      </c>
      <c r="J14" s="420">
        <f ca="1"/>
        <v>0</v>
      </c>
      <c r="K14" s="409" t="s">
        <v>4</v>
      </c>
    </row>
    <row r="15" spans="2:11" x14ac:dyDescent="0.25">
      <c r="B15" s="418" t="str">
        <f ca="1"/>
        <v>EURYC_STD_LIBOR_12M</v>
      </c>
      <c r="C15" s="419">
        <f ca="1"/>
        <v>0</v>
      </c>
      <c r="D15" s="419">
        <f ca="1"/>
        <v>0</v>
      </c>
      <c r="E15" s="419">
        <f ca="1"/>
        <v>0</v>
      </c>
      <c r="F15" s="419">
        <f ca="1"/>
        <v>0</v>
      </c>
      <c r="G15" s="419">
        <f ca="1"/>
        <v>0</v>
      </c>
      <c r="H15" s="419">
        <f ca="1"/>
        <v>0</v>
      </c>
      <c r="I15" s="419">
        <f ca="1"/>
        <v>0</v>
      </c>
      <c r="J15" s="420">
        <f ca="1"/>
        <v>0</v>
      </c>
      <c r="K15" s="409" t="s">
        <v>4</v>
      </c>
    </row>
    <row r="16" spans="2:11" x14ac:dyDescent="0.25">
      <c r="B16" s="418" t="str">
        <f ca="1"/>
        <v>EURYC_STD_FUTURE_ERU6 COMDTY_20160921_20161221</v>
      </c>
      <c r="C16" s="419">
        <f ca="1"/>
        <v>-16.396488636477443</v>
      </c>
      <c r="D16" s="419">
        <f ca="1"/>
        <v>-8.3330043011646922</v>
      </c>
      <c r="E16" s="419">
        <f ca="1"/>
        <v>-4.2531598592177033E-4</v>
      </c>
      <c r="F16" s="419">
        <f ca="1"/>
        <v>-8.5167968791211024E-5</v>
      </c>
      <c r="G16" s="419">
        <f ca="1"/>
        <v>-2.7406326626078226E-4</v>
      </c>
      <c r="H16" s="419">
        <f ca="1"/>
        <v>-1.6612580911896657E-3</v>
      </c>
      <c r="I16" s="419">
        <f ca="1"/>
        <v>5.2046855021217198E-3</v>
      </c>
      <c r="J16" s="420">
        <f ca="1"/>
        <v>-24.726734057452177</v>
      </c>
      <c r="K16" s="409" t="s">
        <v>4</v>
      </c>
    </row>
    <row r="17" spans="2:11" x14ac:dyDescent="0.25">
      <c r="B17" s="418" t="str">
        <f ca="1"/>
        <v>EURYC_STD_FUTURE_ERV6 COMDTY_20161019_20170118</v>
      </c>
      <c r="C17" s="419">
        <f ca="1"/>
        <v>1.6855767579709209</v>
      </c>
      <c r="D17" s="419">
        <f ca="1"/>
        <v>4.2633282914375741</v>
      </c>
      <c r="E17" s="419">
        <f ca="1"/>
        <v>-1.2598469766089693E-4</v>
      </c>
      <c r="F17" s="419">
        <f ca="1"/>
        <v>-1.5985729623935185E-4</v>
      </c>
      <c r="G17" s="419">
        <f ca="1"/>
        <v>1.577820694365073E-4</v>
      </c>
      <c r="H17" s="419">
        <f ca="1"/>
        <v>1.983523070521187E-4</v>
      </c>
      <c r="I17" s="419">
        <f ca="1"/>
        <v>-1.2419646061744061E-2</v>
      </c>
      <c r="J17" s="420">
        <f ca="1"/>
        <v>5.9365556957293393</v>
      </c>
      <c r="K17" s="409" t="s">
        <v>4</v>
      </c>
    </row>
    <row r="18" spans="2:11" x14ac:dyDescent="0.25">
      <c r="B18" s="418" t="str">
        <f ca="1"/>
        <v>EURYC_STD_FUTURE_ERX6 COMDTY_20161116_20170215</v>
      </c>
      <c r="C18" s="419">
        <f ca="1"/>
        <v>-8.6877338190843147</v>
      </c>
      <c r="D18" s="419">
        <f ca="1"/>
        <v>-5.0005801489078294</v>
      </c>
      <c r="E18" s="419">
        <f ca="1"/>
        <v>9.5388593763345852E-5</v>
      </c>
      <c r="F18" s="419">
        <f ca="1"/>
        <v>3.0630163746536709E-4</v>
      </c>
      <c r="G18" s="419">
        <f ca="1"/>
        <v>-4.9438411951996386E-4</v>
      </c>
      <c r="H18" s="419">
        <f ca="1"/>
        <v>3.0120066585368477E-3</v>
      </c>
      <c r="I18" s="419">
        <f ca="1"/>
        <v>9.7598578383895074E-3</v>
      </c>
      <c r="J18" s="420">
        <f ca="1"/>
        <v>-13.675634797383509</v>
      </c>
      <c r="K18" s="409" t="s">
        <v>4</v>
      </c>
    </row>
    <row r="19" spans="2:11" x14ac:dyDescent="0.25">
      <c r="B19" s="418" t="str">
        <f ca="1"/>
        <v>EURYC_STD_FUTURE_ERZ6 COMDTY_20161221_20170315</v>
      </c>
      <c r="C19" s="419">
        <f ca="1"/>
        <v>-18.057706939519448</v>
      </c>
      <c r="D19" s="419">
        <f ca="1"/>
        <v>-20.525512891859762</v>
      </c>
      <c r="E19" s="419">
        <f ca="1"/>
        <v>9.6855739684542641E-5</v>
      </c>
      <c r="F19" s="419">
        <f ca="1"/>
        <v>-1.0128500798600726E-4</v>
      </c>
      <c r="G19" s="419">
        <f ca="1"/>
        <v>-2.6410387363284826E-4</v>
      </c>
      <c r="H19" s="419">
        <f ca="1"/>
        <v>2.3830909158277791E-3</v>
      </c>
      <c r="I19" s="419">
        <f ca="1"/>
        <v>4.4526846932058106E-3</v>
      </c>
      <c r="J19" s="420">
        <f ca="1"/>
        <v>-38.576652588912111</v>
      </c>
      <c r="K19" s="409" t="s">
        <v>4</v>
      </c>
    </row>
    <row r="20" spans="2:11" x14ac:dyDescent="0.25">
      <c r="B20" s="418" t="str">
        <f ca="1"/>
        <v>EURYC_STD_FUTURE_ERH7 COMDTY_20170315_20170621</v>
      </c>
      <c r="C20" s="419">
        <f ca="1"/>
        <v>-22.028860337652986</v>
      </c>
      <c r="D20" s="419">
        <f ca="1"/>
        <v>-27.725618245620353</v>
      </c>
      <c r="E20" s="419">
        <f ca="1"/>
        <v>-1.8833508875104599E-4</v>
      </c>
      <c r="F20" s="419">
        <f ca="1"/>
        <v>1.8499386715120636E-4</v>
      </c>
      <c r="G20" s="419">
        <f ca="1"/>
        <v>-2.5318775442428887E-5</v>
      </c>
      <c r="H20" s="419">
        <f ca="1"/>
        <v>4.9200485009350814E-3</v>
      </c>
      <c r="I20" s="419">
        <f ca="1"/>
        <v>-9.9850061565120996E-4</v>
      </c>
      <c r="J20" s="420">
        <f ca="1"/>
        <v>-49.750585695385098</v>
      </c>
      <c r="K20" s="409" t="s">
        <v>4</v>
      </c>
    </row>
    <row r="21" spans="2:11" x14ac:dyDescent="0.25">
      <c r="B21" s="418" t="str">
        <f ca="1"/>
        <v>EURYC_STD_FUTURE_ERM7 COMDTY_20170621_20170920</v>
      </c>
      <c r="C21" s="419">
        <f ca="1"/>
        <v>1.8846614602807676E-4</v>
      </c>
      <c r="D21" s="419">
        <f ca="1"/>
        <v>-25.466714496711575</v>
      </c>
      <c r="E21" s="419">
        <f ca="1"/>
        <v>-3.1193854374578223E-4</v>
      </c>
      <c r="F21" s="419">
        <f ca="1"/>
        <v>1.6010308536351658E-4</v>
      </c>
      <c r="G21" s="419">
        <f ca="1"/>
        <v>7.8357916208915412E-6</v>
      </c>
      <c r="H21" s="419">
        <f ca="1"/>
        <v>1.8392829952063039E-4</v>
      </c>
      <c r="I21" s="419">
        <f ca="1"/>
        <v>5.9552097557116213E-3</v>
      </c>
      <c r="J21" s="420">
        <f ca="1"/>
        <v>-25.460530892177076</v>
      </c>
      <c r="K21" s="409" t="s">
        <v>4</v>
      </c>
    </row>
    <row r="22" spans="2:11" x14ac:dyDescent="0.25">
      <c r="B22" s="418" t="str">
        <f ca="1"/>
        <v>EURYC_STD_FUTURE_ERU7 COMDTY_20170920_20171220</v>
      </c>
      <c r="C22" s="419">
        <f ca="1"/>
        <v>0</v>
      </c>
      <c r="D22" s="419">
        <f ca="1"/>
        <v>-25.128712915060532</v>
      </c>
      <c r="E22" s="419">
        <f ca="1"/>
        <v>1.1256553261773661E-4</v>
      </c>
      <c r="F22" s="419">
        <f ca="1"/>
        <v>-4.2635401769075543E-5</v>
      </c>
      <c r="G22" s="419">
        <f ca="1"/>
        <v>6.5175590862054378E-6</v>
      </c>
      <c r="H22" s="419">
        <f ca="1"/>
        <v>2.0923666306771338E-4</v>
      </c>
      <c r="I22" s="419">
        <f ca="1"/>
        <v>7.2737238315312425E-3</v>
      </c>
      <c r="J22" s="420">
        <f ca="1"/>
        <v>-25.121153506875999</v>
      </c>
      <c r="K22" s="409" t="s">
        <v>4</v>
      </c>
    </row>
    <row r="23" spans="2:11" x14ac:dyDescent="0.25">
      <c r="B23" s="418" t="str">
        <f ca="1"/>
        <v>EURYC_STD_FUTURE_ERZ7 COMDTY_20171220_20180321</v>
      </c>
      <c r="C23" s="419">
        <f ca="1"/>
        <v>0</v>
      </c>
      <c r="D23" s="419">
        <f ca="1"/>
        <v>-27.251208872756251</v>
      </c>
      <c r="E23" s="419">
        <f ca="1"/>
        <v>1.1988418191322125E-4</v>
      </c>
      <c r="F23" s="419">
        <f ca="1"/>
        <v>2.2457429440692067E-4</v>
      </c>
      <c r="G23" s="419">
        <f ca="1"/>
        <v>7.4004256020998582E-4</v>
      </c>
      <c r="H23" s="419">
        <f ca="1"/>
        <v>1.5755354615976103E-4</v>
      </c>
      <c r="I23" s="419">
        <f ca="1"/>
        <v>1.0805117217387306E-3</v>
      </c>
      <c r="J23" s="420">
        <f ca="1"/>
        <v>-27.248886306451823</v>
      </c>
      <c r="K23" s="409" t="s">
        <v>4</v>
      </c>
    </row>
    <row r="24" spans="2:11" x14ac:dyDescent="0.25">
      <c r="B24" s="418" t="str">
        <f ca="1"/>
        <v>EURYC_STD_FUTURE_ERH8 COMDTY_20180321_20180620</v>
      </c>
      <c r="C24" s="419">
        <f ca="1"/>
        <v>0</v>
      </c>
      <c r="D24" s="419">
        <f ca="1"/>
        <v>-20.832316472442471</v>
      </c>
      <c r="E24" s="419">
        <f ca="1"/>
        <v>-3.8657472032355145E-5</v>
      </c>
      <c r="F24" s="419">
        <f ca="1"/>
        <v>-1.7132912398665212E-4</v>
      </c>
      <c r="G24" s="419">
        <f ca="1"/>
        <v>-1.8481342340237461E-4</v>
      </c>
      <c r="H24" s="419">
        <f ca="1"/>
        <v>-5.782768323115306E-3</v>
      </c>
      <c r="I24" s="419">
        <f ca="1"/>
        <v>-7.0378432387769863E-3</v>
      </c>
      <c r="J24" s="420">
        <f ca="1"/>
        <v>-20.845531884023785</v>
      </c>
      <c r="K24" s="409" t="s">
        <v>4</v>
      </c>
    </row>
    <row r="25" spans="2:11" x14ac:dyDescent="0.25">
      <c r="B25" s="418" t="str">
        <f ca="1"/>
        <v>EURYC_STD_3MLIBORSWAP_3Y</v>
      </c>
      <c r="C25" s="419">
        <f ca="1"/>
        <v>0</v>
      </c>
      <c r="D25" s="419">
        <f ca="1"/>
        <v>3.2167314256275858</v>
      </c>
      <c r="E25" s="419">
        <f ca="1"/>
        <v>-302.67582895137093</v>
      </c>
      <c r="F25" s="419">
        <f ca="1"/>
        <v>-2.7243845033808611E-4</v>
      </c>
      <c r="G25" s="419">
        <f ca="1"/>
        <v>5.0256748363608494E-4</v>
      </c>
      <c r="H25" s="419">
        <f ca="1"/>
        <v>-2.4586053987150081E-3</v>
      </c>
      <c r="I25" s="419">
        <f ca="1"/>
        <v>7.6128249122575653E-3</v>
      </c>
      <c r="J25" s="420">
        <f ca="1"/>
        <v>-299.45371317719651</v>
      </c>
      <c r="K25" s="409" t="s">
        <v>4</v>
      </c>
    </row>
    <row r="26" spans="2:11" x14ac:dyDescent="0.25">
      <c r="B26" s="418" t="str">
        <f ca="1"/>
        <v>EURYC_STD_3MLIBORSWAP_4Y</v>
      </c>
      <c r="C26" s="419">
        <f ca="1"/>
        <v>0</v>
      </c>
      <c r="D26" s="419">
        <f ca="1"/>
        <v>-1.0911166811747535</v>
      </c>
      <c r="E26" s="419">
        <f ca="1"/>
        <v>-1.0705099339247681E-4</v>
      </c>
      <c r="F26" s="419">
        <f ca="1"/>
        <v>-403.79952187533127</v>
      </c>
      <c r="G26" s="419">
        <f ca="1"/>
        <v>6.3378821869264357E-4</v>
      </c>
      <c r="H26" s="419">
        <f ca="1"/>
        <v>-7.2522523078077938E-3</v>
      </c>
      <c r="I26" s="419">
        <f ca="1"/>
        <v>-1.0061619981570402E-2</v>
      </c>
      <c r="J26" s="420">
        <f ca="1"/>
        <v>-404.9074256915701</v>
      </c>
      <c r="K26" s="409" t="s">
        <v>4</v>
      </c>
    </row>
    <row r="27" spans="2:11" x14ac:dyDescent="0.25">
      <c r="B27" s="418" t="str">
        <f ca="1"/>
        <v>EURYC_STD_3MLIBORSWAP_5Y</v>
      </c>
      <c r="C27" s="419">
        <f ca="1"/>
        <v>0</v>
      </c>
      <c r="D27" s="419">
        <f ca="1"/>
        <v>0.36559372569354309</v>
      </c>
      <c r="E27" s="419">
        <f ca="1"/>
        <v>2.3458487703464925E-6</v>
      </c>
      <c r="F27" s="419">
        <f ca="1"/>
        <v>2.9672096206923015E-4</v>
      </c>
      <c r="G27" s="419">
        <f ca="1"/>
        <v>-505.19466595264385</v>
      </c>
      <c r="H27" s="419">
        <f ca="1"/>
        <v>-2.3580601919093169E-3</v>
      </c>
      <c r="I27" s="419">
        <f ca="1"/>
        <v>-2.4219325850936002E-3</v>
      </c>
      <c r="J27" s="420">
        <f ca="1"/>
        <v>-504.83355315291647</v>
      </c>
      <c r="K27" s="409" t="s">
        <v>4</v>
      </c>
    </row>
    <row r="28" spans="2:11" x14ac:dyDescent="0.25">
      <c r="B28" s="418" t="str">
        <f ca="1"/>
        <v>EURYC_STD_3MLIBORSWAP_6Y</v>
      </c>
      <c r="C28" s="419">
        <f ca="1"/>
        <v>0</v>
      </c>
      <c r="D28" s="419">
        <f ca="1"/>
        <v>-0.11755369635829993</v>
      </c>
      <c r="E28" s="419">
        <f ca="1"/>
        <v>-3.7505076761590317E-5</v>
      </c>
      <c r="F28" s="419">
        <f ca="1"/>
        <v>-4.9159643822349608E-6</v>
      </c>
      <c r="G28" s="419">
        <f ca="1"/>
        <v>2.9678169084945694E-4</v>
      </c>
      <c r="H28" s="419">
        <f ca="1"/>
        <v>1.8859251758840401E-3</v>
      </c>
      <c r="I28" s="419">
        <f ca="1"/>
        <v>-9.8628540888512362E-3</v>
      </c>
      <c r="J28" s="420">
        <f ca="1"/>
        <v>-0.1252762646215615</v>
      </c>
      <c r="K28" s="409" t="s">
        <v>4</v>
      </c>
    </row>
    <row r="29" spans="2:11" x14ac:dyDescent="0.25">
      <c r="B29" s="418" t="str">
        <f ca="1"/>
        <v>EURYC_STD_3MLIBORSWAP_7Y</v>
      </c>
      <c r="C29" s="419">
        <f ca="1"/>
        <v>0</v>
      </c>
      <c r="D29" s="419">
        <f ca="1"/>
        <v>3.6815154289797647E-2</v>
      </c>
      <c r="E29" s="419">
        <f ca="1"/>
        <v>1.0548107093200088E-4</v>
      </c>
      <c r="F29" s="419">
        <f ca="1"/>
        <v>-2.356997320021037E-4</v>
      </c>
      <c r="G29" s="419">
        <f ca="1"/>
        <v>3.678533794300165E-4</v>
      </c>
      <c r="H29" s="419">
        <f ca="1"/>
        <v>-3.3154775883303955E-4</v>
      </c>
      <c r="I29" s="419">
        <f ca="1"/>
        <v>-7.5145282080484321E-3</v>
      </c>
      <c r="J29" s="420">
        <f ca="1"/>
        <v>2.9206713041276089E-2</v>
      </c>
      <c r="K29" s="409" t="s">
        <v>4</v>
      </c>
    </row>
    <row r="30" spans="2:11" x14ac:dyDescent="0.25">
      <c r="B30" s="418" t="str">
        <f ca="1"/>
        <v>EURYC_STD_3MLIBORSWAP_8Y</v>
      </c>
      <c r="C30" s="419">
        <f ca="1"/>
        <v>0</v>
      </c>
      <c r="D30" s="419">
        <f ca="1"/>
        <v>-1.131335794525512E-2</v>
      </c>
      <c r="E30" s="419">
        <f ca="1"/>
        <v>-1.4875748820486479E-4</v>
      </c>
      <c r="F30" s="419">
        <f ca="1"/>
        <v>-5.1928516768384725E-5</v>
      </c>
      <c r="G30" s="419">
        <f ca="1"/>
        <v>-9.4789880677126348E-5</v>
      </c>
      <c r="H30" s="419">
        <f ca="1"/>
        <v>1.4035484931810061E-2</v>
      </c>
      <c r="I30" s="419">
        <f ca="1"/>
        <v>1.395576933191478E-2</v>
      </c>
      <c r="J30" s="420">
        <f ca="1"/>
        <v>1.6382420432819345E-2</v>
      </c>
      <c r="K30" s="409" t="s">
        <v>4</v>
      </c>
    </row>
    <row r="31" spans="2:11" x14ac:dyDescent="0.25">
      <c r="B31" s="418" t="str">
        <f ca="1"/>
        <v>EURYC_STD_3MLIBORSWAP_9Y</v>
      </c>
      <c r="C31" s="419">
        <f ca="1"/>
        <v>0</v>
      </c>
      <c r="D31" s="419">
        <f ca="1"/>
        <v>3.4575553436297923E-3</v>
      </c>
      <c r="E31" s="419">
        <f ca="1"/>
        <v>-2.6962422634824179E-4</v>
      </c>
      <c r="F31" s="419">
        <f ca="1"/>
        <v>-2.0738040257128887E-4</v>
      </c>
      <c r="G31" s="419">
        <f ca="1"/>
        <v>-3.6994090987718664E-4</v>
      </c>
      <c r="H31" s="419">
        <f ca="1"/>
        <v>-1.2521021377324359E-2</v>
      </c>
      <c r="I31" s="419">
        <f ca="1"/>
        <v>4.2761860304381116E-3</v>
      </c>
      <c r="J31" s="420">
        <f ca="1"/>
        <v>-5.6342255420531728E-3</v>
      </c>
      <c r="K31" s="409" t="s">
        <v>4</v>
      </c>
    </row>
    <row r="32" spans="2:11" x14ac:dyDescent="0.25">
      <c r="B32" s="418" t="str">
        <f ca="1"/>
        <v>EURYC_STD_3MLIBORSWAP_10Y</v>
      </c>
      <c r="C32" s="419">
        <f ca="1"/>
        <v>0</v>
      </c>
      <c r="D32" s="419">
        <f ca="1"/>
        <v>-1.0265889086440438E-3</v>
      </c>
      <c r="E32" s="419">
        <f ca="1"/>
        <v>-4.62504212919157E-5</v>
      </c>
      <c r="F32" s="419">
        <f ca="1"/>
        <v>2.8762728470610455E-4</v>
      </c>
      <c r="G32" s="419">
        <f ca="1"/>
        <v>1.973905491468031E-4</v>
      </c>
      <c r="H32" s="419">
        <f ca="1"/>
        <v>-1001.7964931098104</v>
      </c>
      <c r="I32" s="419">
        <f ca="1"/>
        <v>7.7731600601964601E-3</v>
      </c>
      <c r="J32" s="420">
        <f ca="1"/>
        <v>-1001.7893077712463</v>
      </c>
      <c r="K32" s="409" t="s">
        <v>4</v>
      </c>
    </row>
    <row r="33" spans="2:11" x14ac:dyDescent="0.25">
      <c r="B33" s="418" t="str">
        <f ca="1"/>
        <v>EURYC_STD_3MLIBORSWAP_11Y</v>
      </c>
      <c r="C33" s="419">
        <f ca="1"/>
        <v>0</v>
      </c>
      <c r="D33" s="419">
        <f ca="1"/>
        <v>2.9462756901921239E-4</v>
      </c>
      <c r="E33" s="419">
        <f ca="1"/>
        <v>-1.0226567610516213E-4</v>
      </c>
      <c r="F33" s="419">
        <f ca="1"/>
        <v>-5.0068838390870951E-4</v>
      </c>
      <c r="G33" s="419">
        <f ca="1"/>
        <v>-8.7438073751400225E-4</v>
      </c>
      <c r="H33" s="419">
        <f ca="1"/>
        <v>-2.2813852363469778E-2</v>
      </c>
      <c r="I33" s="419">
        <f ca="1"/>
        <v>-5.9088313687425398E-3</v>
      </c>
      <c r="J33" s="420">
        <f ca="1"/>
        <v>-2.9905390960720979E-2</v>
      </c>
      <c r="K33" s="409" t="s">
        <v>4</v>
      </c>
    </row>
    <row r="34" spans="2:11" x14ac:dyDescent="0.25">
      <c r="B34" s="418" t="str">
        <f ca="1"/>
        <v>EURYC_STD_3MLIBORSWAP_12Y</v>
      </c>
      <c r="C34" s="419">
        <f ca="1"/>
        <v>0</v>
      </c>
      <c r="D34" s="419">
        <f ca="1"/>
        <v>-6.4553521951893345E-5</v>
      </c>
      <c r="E34" s="419">
        <f ca="1"/>
        <v>-1.044862437993288E-5</v>
      </c>
      <c r="F34" s="419">
        <f ca="1"/>
        <v>-2.0999718617531471E-4</v>
      </c>
      <c r="G34" s="419">
        <f ca="1"/>
        <v>-5.2117295126663521E-5</v>
      </c>
      <c r="H34" s="419">
        <f ca="1"/>
        <v>6.7498555363272317E-3</v>
      </c>
      <c r="I34" s="419">
        <f ca="1"/>
        <v>-5.2182521496888512E-3</v>
      </c>
      <c r="J34" s="420">
        <f ca="1"/>
        <v>1.194486759004576E-3</v>
      </c>
      <c r="K34" s="409" t="s">
        <v>4</v>
      </c>
    </row>
    <row r="35" spans="2:11" x14ac:dyDescent="0.25">
      <c r="B35" s="418" t="str">
        <f ca="1"/>
        <v>EURYC_STD_3MLIBORSWAP_15Y</v>
      </c>
      <c r="C35" s="419">
        <f ca="1"/>
        <v>0</v>
      </c>
      <c r="D35" s="419">
        <f ca="1"/>
        <v>4.9831051001092419E-6</v>
      </c>
      <c r="E35" s="419">
        <f ca="1"/>
        <v>-1.88016529136803E-5</v>
      </c>
      <c r="F35" s="419">
        <f ca="1"/>
        <v>1.9141819211654365E-4</v>
      </c>
      <c r="G35" s="419">
        <f ca="1"/>
        <v>-1.1354561138432473E-4</v>
      </c>
      <c r="H35" s="419">
        <f ca="1"/>
        <v>-8.6201471276581287E-5</v>
      </c>
      <c r="I35" s="419">
        <f ca="1"/>
        <v>-8.9217622733031021E-3</v>
      </c>
      <c r="J35" s="420">
        <f ca="1"/>
        <v>-8.9439097116610355E-3</v>
      </c>
      <c r="K35" s="409" t="s">
        <v>4</v>
      </c>
    </row>
    <row r="36" spans="2:11" x14ac:dyDescent="0.25">
      <c r="B36" s="418" t="str">
        <f ca="1"/>
        <v>EURYC_STD_3MLIBORSWAP_20Y</v>
      </c>
      <c r="C36" s="419">
        <f ca="1"/>
        <v>0</v>
      </c>
      <c r="D36" s="419">
        <f ca="1"/>
        <v>-2.4185465008486062E-7</v>
      </c>
      <c r="E36" s="419">
        <f ca="1"/>
        <v>-1.7278449377045035E-5</v>
      </c>
      <c r="F36" s="419">
        <f ca="1"/>
        <v>2.250368743261788E-4</v>
      </c>
      <c r="G36" s="419">
        <f ca="1"/>
        <v>2.8266375375096686E-4</v>
      </c>
      <c r="H36" s="419">
        <f ca="1"/>
        <v>3.2997562339005526E-3</v>
      </c>
      <c r="I36" s="419">
        <f ca="1"/>
        <v>-1894.2616782373079</v>
      </c>
      <c r="J36" s="420">
        <f ca="1"/>
        <v>-1894.25788830075</v>
      </c>
      <c r="K36" s="409" t="s">
        <v>4</v>
      </c>
    </row>
    <row r="37" spans="2:11" x14ac:dyDescent="0.25">
      <c r="B37" s="418" t="str">
        <f ca="1"/>
        <v>EURYC_STD_3MLIBORSWAP_25Y</v>
      </c>
      <c r="C37" s="419">
        <f ca="1"/>
        <v>0</v>
      </c>
      <c r="D37" s="419">
        <f ca="1"/>
        <v>1.5918358258204535E-6</v>
      </c>
      <c r="E37" s="419">
        <f ca="1"/>
        <v>-5.9343252360122278E-5</v>
      </c>
      <c r="F37" s="419">
        <f ca="1"/>
        <v>2.0433464669622481E-4</v>
      </c>
      <c r="G37" s="419">
        <f ca="1"/>
        <v>-3.0522339147864841E-4</v>
      </c>
      <c r="H37" s="419">
        <f ca="1"/>
        <v>2.9944533671368845E-3</v>
      </c>
      <c r="I37" s="419">
        <f ca="1"/>
        <v>-9.937282524560942E-3</v>
      </c>
      <c r="J37" s="420">
        <f ca="1"/>
        <v>-7.1014693187407829E-3</v>
      </c>
      <c r="K37" s="409" t="s">
        <v>4</v>
      </c>
    </row>
    <row r="38" spans="2:11" x14ac:dyDescent="0.25">
      <c r="B38" s="418" t="str">
        <f ca="1"/>
        <v>EURYC_STD_3MLIBORSWAP_30Y</v>
      </c>
      <c r="C38" s="419">
        <f ca="1"/>
        <v>0</v>
      </c>
      <c r="D38" s="419">
        <f ca="1"/>
        <v>3.1694253266323358E-7</v>
      </c>
      <c r="E38" s="419">
        <f ca="1"/>
        <v>-2.783326999633573E-5</v>
      </c>
      <c r="F38" s="419">
        <f ca="1"/>
        <v>2.0255803974578157E-4</v>
      </c>
      <c r="G38" s="419">
        <f ca="1"/>
        <v>5.6878531177062541E-4</v>
      </c>
      <c r="H38" s="419">
        <f ca="1"/>
        <v>4.2027740710182115E-3</v>
      </c>
      <c r="I38" s="419">
        <f ca="1"/>
        <v>9.0756564759431058E-4</v>
      </c>
      <c r="J38" s="420">
        <f ca="1"/>
        <v>5.8541667426652566E-3</v>
      </c>
      <c r="K38" s="409" t="s">
        <v>4</v>
      </c>
    </row>
    <row r="39" spans="2:11" x14ac:dyDescent="0.25">
      <c r="B39" s="418" t="str">
        <f ca="1"/>
        <v>EURYC_OIS_OUTRIGHTOISSWAP_ON</v>
      </c>
      <c r="C39" s="419">
        <f ca="1"/>
        <v>-7.1639946736468119E-3</v>
      </c>
      <c r="D39" s="419">
        <f ca="1"/>
        <v>-1.4508831780403852E-2</v>
      </c>
      <c r="E39" s="419">
        <f ca="1"/>
        <v>-2.1271585035719909E-2</v>
      </c>
      <c r="F39" s="419">
        <f ca="1"/>
        <v>-2.7032413428969448E-2</v>
      </c>
      <c r="G39" s="419">
        <f ca="1"/>
        <v>-3.1567944253765745E-2</v>
      </c>
      <c r="H39" s="419">
        <f ca="1"/>
        <v>-3.0931488628993975E-2</v>
      </c>
      <c r="I39" s="419">
        <f ca="1"/>
        <v>1.762736789714836E-3</v>
      </c>
      <c r="J39" s="420">
        <f ca="1"/>
        <v>-0.13071352101178491</v>
      </c>
      <c r="K39" s="409" t="s">
        <v>4</v>
      </c>
    </row>
    <row r="40" spans="2:11" x14ac:dyDescent="0.25">
      <c r="B40" s="418" t="str">
        <f ca="1"/>
        <v>EURYC_OIS_CBRate_EUSF1A</v>
      </c>
      <c r="C40" s="419">
        <f ca="1"/>
        <v>-2.5551879954946344E-2</v>
      </c>
      <c r="D40" s="419">
        <f ca="1"/>
        <v>-2.4398085884968168E-2</v>
      </c>
      <c r="E40" s="419">
        <f ca="1"/>
        <v>-2.0348046746221371E-4</v>
      </c>
      <c r="F40" s="419">
        <f ca="1"/>
        <v>-4.4216224341653287E-4</v>
      </c>
      <c r="G40" s="419">
        <f ca="1"/>
        <v>6.2965915276436135E-5</v>
      </c>
      <c r="H40" s="419">
        <f ca="1"/>
        <v>5.3656817071896512E-3</v>
      </c>
      <c r="I40" s="419">
        <f ca="1"/>
        <v>1.1942394656443867E-2</v>
      </c>
      <c r="J40" s="420">
        <f ca="1"/>
        <v>-3.3224566271883305E-2</v>
      </c>
      <c r="K40" s="409" t="s">
        <v>4</v>
      </c>
    </row>
    <row r="41" spans="2:11" x14ac:dyDescent="0.25">
      <c r="B41" s="418" t="str">
        <f ca="1"/>
        <v>EURYC_OIS_CBRate_EUSF2A</v>
      </c>
      <c r="C41" s="419">
        <f ca="1"/>
        <v>-2.4439203980364255E-2</v>
      </c>
      <c r="D41" s="419">
        <f ca="1"/>
        <v>-2.3274492727068719E-2</v>
      </c>
      <c r="E41" s="419">
        <f ca="1"/>
        <v>-2.568655509094242E-4</v>
      </c>
      <c r="F41" s="419">
        <f ca="1"/>
        <v>-1.7212853344972245E-4</v>
      </c>
      <c r="G41" s="419">
        <f ca="1"/>
        <v>7.4158750066999346E-5</v>
      </c>
      <c r="H41" s="419">
        <f ca="1"/>
        <v>3.7923762065474875E-3</v>
      </c>
      <c r="I41" s="419">
        <f ca="1"/>
        <v>8.4342620386905764E-3</v>
      </c>
      <c r="J41" s="420">
        <f ca="1"/>
        <v>-3.5841893796487057E-2</v>
      </c>
      <c r="K41" s="409" t="s">
        <v>4</v>
      </c>
    </row>
    <row r="42" spans="2:11" x14ac:dyDescent="0.25">
      <c r="B42" s="418" t="str">
        <f ca="1"/>
        <v>EURYC_OIS_CBRate_EUSF3A</v>
      </c>
      <c r="C42" s="419">
        <f ca="1"/>
        <v>-1.4112824691437709E-2</v>
      </c>
      <c r="D42" s="419">
        <f ca="1"/>
        <v>-1.3057358095466043E-2</v>
      </c>
      <c r="E42" s="419">
        <f ca="1"/>
        <v>-5.2923671319149435E-5</v>
      </c>
      <c r="F42" s="419">
        <f ca="1"/>
        <v>7.3845192673616111E-5</v>
      </c>
      <c r="G42" s="419">
        <f ca="1"/>
        <v>-5.2480364684015512E-4</v>
      </c>
      <c r="H42" s="419">
        <f ca="1"/>
        <v>8.8432792254025117E-3</v>
      </c>
      <c r="I42" s="419">
        <f ca="1"/>
        <v>2.0855311186323888E-2</v>
      </c>
      <c r="J42" s="420">
        <f ca="1"/>
        <v>2.0245254993369599E-3</v>
      </c>
      <c r="K42" s="409" t="s">
        <v>4</v>
      </c>
    </row>
    <row r="43" spans="2:11" x14ac:dyDescent="0.25">
      <c r="B43" s="418" t="str">
        <f ca="1"/>
        <v>EURYC_OIS_CBRate_EUSF4A</v>
      </c>
      <c r="C43" s="419">
        <f ca="1"/>
        <v>-2.3765570860632579E-2</v>
      </c>
      <c r="D43" s="419">
        <f ca="1"/>
        <v>-2.0115735578656313E-2</v>
      </c>
      <c r="E43" s="419">
        <f ca="1"/>
        <v>1.9937275283155032E-4</v>
      </c>
      <c r="F43" s="419">
        <f ca="1"/>
        <v>3.4286863956367597E-4</v>
      </c>
      <c r="G43" s="419">
        <f ca="1"/>
        <v>1.5602416533511132E-4</v>
      </c>
      <c r="H43" s="419">
        <f ca="1"/>
        <v>5.3755851076857653E-3</v>
      </c>
      <c r="I43" s="419">
        <f ca="1"/>
        <v>5.7722804870081745E-3</v>
      </c>
      <c r="J43" s="420">
        <f ca="1"/>
        <v>-3.2035175286864614E-2</v>
      </c>
      <c r="K43" s="409" t="s">
        <v>4</v>
      </c>
    </row>
    <row r="44" spans="2:11" x14ac:dyDescent="0.25">
      <c r="B44" s="418" t="str">
        <f ca="1"/>
        <v>EURYC_OIS_OUTRIGHTOISSWAP_12M</v>
      </c>
      <c r="C44" s="419">
        <f ca="1"/>
        <v>-1.122686417937075</v>
      </c>
      <c r="D44" s="419">
        <f ca="1"/>
        <v>-1.1686339233619947</v>
      </c>
      <c r="E44" s="419">
        <f ca="1"/>
        <v>-1.3025068043061765</v>
      </c>
      <c r="F44" s="419">
        <f ca="1"/>
        <v>-1.2444308565281972</v>
      </c>
      <c r="G44" s="419">
        <f ca="1"/>
        <v>-1.1643063599949528</v>
      </c>
      <c r="H44" s="419">
        <f ca="1"/>
        <v>-0.57439806128968485</v>
      </c>
      <c r="I44" s="419">
        <f ca="1"/>
        <v>1.1556680654166485E-2</v>
      </c>
      <c r="J44" s="420">
        <f ca="1"/>
        <v>-6.5654057427639145</v>
      </c>
      <c r="K44" s="409" t="s">
        <v>4</v>
      </c>
    </row>
    <row r="45" spans="2:11" x14ac:dyDescent="0.25">
      <c r="B45" s="418" t="str">
        <f ca="1"/>
        <v>EURYC_OIS_OUTRIGHTOISSWAP_18M</v>
      </c>
      <c r="C45" s="419">
        <f ca="1"/>
        <v>4.5054523889120901E-3</v>
      </c>
      <c r="D45" s="419">
        <f ca="1"/>
        <v>-0.28359961236856179</v>
      </c>
      <c r="E45" s="419">
        <f ca="1"/>
        <v>-3.8228814446483739E-4</v>
      </c>
      <c r="F45" s="419">
        <f ca="1"/>
        <v>-1.0074364508909639E-3</v>
      </c>
      <c r="G45" s="419">
        <f ca="1"/>
        <v>-1.5837191895116121E-3</v>
      </c>
      <c r="H45" s="419">
        <f ca="1"/>
        <v>-3.1547274338663556E-3</v>
      </c>
      <c r="I45" s="419">
        <f ca="1"/>
        <v>3.5505583750818914E-3</v>
      </c>
      <c r="J45" s="420">
        <f ca="1"/>
        <v>-0.28167177282330158</v>
      </c>
      <c r="K45" s="409" t="s">
        <v>4</v>
      </c>
    </row>
    <row r="46" spans="2:11" x14ac:dyDescent="0.25">
      <c r="B46" s="418" t="str">
        <f ca="1"/>
        <v>EURYC_OIS_OUTRIGHTOISSWAP_2Y</v>
      </c>
      <c r="C46" s="419">
        <f ca="1"/>
        <v>-9.5471082022413611E-4</v>
      </c>
      <c r="D46" s="419">
        <f ca="1"/>
        <v>-2.2519382714763196</v>
      </c>
      <c r="E46" s="419">
        <f ca="1"/>
        <v>-2.6234132312674774</v>
      </c>
      <c r="F46" s="419">
        <f ca="1"/>
        <v>-2.5070248180309136</v>
      </c>
      <c r="G46" s="419">
        <f ca="1"/>
        <v>-2.347291553956893</v>
      </c>
      <c r="H46" s="419">
        <f ca="1"/>
        <v>-1.1565888452314539</v>
      </c>
      <c r="I46" s="419">
        <f ca="1"/>
        <v>3.3604663163259829E-2</v>
      </c>
      <c r="J46" s="420">
        <f ca="1"/>
        <v>-10.853606767620022</v>
      </c>
      <c r="K46" s="409" t="s">
        <v>4</v>
      </c>
    </row>
    <row r="47" spans="2:11" x14ac:dyDescent="0.25">
      <c r="B47" s="418" t="str">
        <f ca="1"/>
        <v>EURYC_OIS_BASISRATE_3Y</v>
      </c>
      <c r="C47" s="419">
        <f ca="1"/>
        <v>-6.3392539232154377E-5</v>
      </c>
      <c r="D47" s="419">
        <f ca="1"/>
        <v>-8.4107744314678712E-3</v>
      </c>
      <c r="E47" s="419">
        <f ca="1"/>
        <v>3.8783811934154073</v>
      </c>
      <c r="F47" s="419">
        <f ca="1"/>
        <v>3.7084944415983045</v>
      </c>
      <c r="G47" s="419">
        <f ca="1"/>
        <v>3.471022604877362</v>
      </c>
      <c r="H47" s="419">
        <f ca="1"/>
        <v>1.7065051083482103</v>
      </c>
      <c r="I47" s="419">
        <f ca="1"/>
        <v>-6.0618407140964337E-2</v>
      </c>
      <c r="J47" s="420">
        <f ca="1"/>
        <v>12.69531077412762</v>
      </c>
      <c r="K47" s="409" t="s">
        <v>4</v>
      </c>
    </row>
    <row r="48" spans="2:11" x14ac:dyDescent="0.25">
      <c r="B48" s="418" t="str">
        <f ca="1"/>
        <v>EURYC_OIS_3MLIBORSWAP_3Y</v>
      </c>
      <c r="C48" s="419">
        <f ca="1"/>
        <v>6.2616635659651365E-5</v>
      </c>
      <c r="D48" s="419">
        <f ca="1"/>
        <v>3.2250377251311875</v>
      </c>
      <c r="E48" s="419">
        <f ca="1"/>
        <v>-306.50641822094622</v>
      </c>
      <c r="F48" s="419">
        <f ca="1"/>
        <v>-3.6626657775850617</v>
      </c>
      <c r="G48" s="419">
        <f ca="1"/>
        <v>-3.4280057705182116</v>
      </c>
      <c r="H48" s="419">
        <f ca="1"/>
        <v>-1.6860807552184269</v>
      </c>
      <c r="I48" s="419">
        <f ca="1"/>
        <v>5.3024725998739086E-2</v>
      </c>
      <c r="J48" s="420">
        <f ca="1"/>
        <v>-312.00504545650233</v>
      </c>
      <c r="K48" s="409" t="s">
        <v>4</v>
      </c>
    </row>
    <row r="49" spans="2:11" x14ac:dyDescent="0.25">
      <c r="B49" s="418" t="str">
        <f ca="1"/>
        <v>EURYC_OIS_BASISRATE_4Y</v>
      </c>
      <c r="C49" s="419">
        <f ca="1"/>
        <v>0</v>
      </c>
      <c r="D49" s="419">
        <f ca="1"/>
        <v>1.6274902009172365E-3</v>
      </c>
      <c r="E49" s="419">
        <f ca="1"/>
        <v>1.1765108865802176E-4</v>
      </c>
      <c r="F49" s="419">
        <f ca="1"/>
        <v>4.9309515064378502</v>
      </c>
      <c r="G49" s="419">
        <f ca="1"/>
        <v>4.6156875483393378</v>
      </c>
      <c r="H49" s="419">
        <f ca="1"/>
        <v>2.2772045388628612</v>
      </c>
      <c r="I49" s="419">
        <f ca="1"/>
        <v>-5.2569203323628244E-2</v>
      </c>
      <c r="J49" s="420">
        <f ca="1"/>
        <v>11.773019531605996</v>
      </c>
      <c r="K49" s="409" t="s">
        <v>4</v>
      </c>
    </row>
    <row r="50" spans="2:11" x14ac:dyDescent="0.25">
      <c r="B50" s="418" t="str">
        <f ca="1"/>
        <v>EURYC_OIS_3MLIBORSWAP_4Y</v>
      </c>
      <c r="C50" s="419">
        <f ca="1"/>
        <v>0</v>
      </c>
      <c r="D50" s="419">
        <f ca="1"/>
        <v>-1.0927264116016886</v>
      </c>
      <c r="E50" s="419">
        <f ca="1"/>
        <v>1.6561414304305799E-4</v>
      </c>
      <c r="F50" s="419">
        <f ca="1"/>
        <v>-408.66563955961828</v>
      </c>
      <c r="G50" s="419">
        <f ca="1"/>
        <v>-4.5549743505289371</v>
      </c>
      <c r="H50" s="419">
        <f ca="1"/>
        <v>-2.2395958893794159</v>
      </c>
      <c r="I50" s="419">
        <f ca="1"/>
        <v>6.6717999985939969E-2</v>
      </c>
      <c r="J50" s="420">
        <f ca="1"/>
        <v>-416.48605259699934</v>
      </c>
      <c r="K50" s="409" t="s">
        <v>4</v>
      </c>
    </row>
    <row r="51" spans="2:11" x14ac:dyDescent="0.25">
      <c r="B51" s="418" t="str">
        <f ca="1"/>
        <v>EURYC_OIS_BASISRATE_5Y</v>
      </c>
      <c r="C51" s="419">
        <f ca="1"/>
        <v>0</v>
      </c>
      <c r="D51" s="419">
        <f ca="1"/>
        <v>-5.2097126899752766E-4</v>
      </c>
      <c r="E51" s="419">
        <f ca="1"/>
        <v>-1.1855649063363671E-5</v>
      </c>
      <c r="F51" s="419">
        <f ca="1"/>
        <v>3.8962571852607653E-4</v>
      </c>
      <c r="G51" s="419">
        <f ca="1"/>
        <v>5.7715771941184357</v>
      </c>
      <c r="H51" s="419">
        <f ca="1"/>
        <v>2.8442076058599923</v>
      </c>
      <c r="I51" s="419">
        <f ca="1"/>
        <v>-6.8273933964746902E-2</v>
      </c>
      <c r="J51" s="420">
        <f ca="1"/>
        <v>8.5473676648141463</v>
      </c>
      <c r="K51" s="409" t="s">
        <v>4</v>
      </c>
    </row>
    <row r="52" spans="2:11" x14ac:dyDescent="0.25">
      <c r="B52" s="418" t="str">
        <f ca="1"/>
        <v>EURYC_OIS_3MLIBORSWAP_5Y</v>
      </c>
      <c r="C52" s="419">
        <f ca="1"/>
        <v>0</v>
      </c>
      <c r="D52" s="419">
        <f ca="1"/>
        <v>0.36610958845267305</v>
      </c>
      <c r="E52" s="419">
        <f ca="1"/>
        <v>-1.8523328981245868E-4</v>
      </c>
      <c r="F52" s="419">
        <f ca="1"/>
        <v>-2.3206224432215095E-4</v>
      </c>
      <c r="G52" s="419">
        <f ca="1"/>
        <v>-510.8895085795848</v>
      </c>
      <c r="H52" s="419">
        <f ca="1"/>
        <v>-2.8156913176244416</v>
      </c>
      <c r="I52" s="419">
        <f ca="1"/>
        <v>6.7639276360523581E-2</v>
      </c>
      <c r="J52" s="420">
        <f ca="1"/>
        <v>-513.27186832793018</v>
      </c>
      <c r="K52" s="409" t="s">
        <v>4</v>
      </c>
    </row>
    <row r="53" spans="2:11" x14ac:dyDescent="0.25">
      <c r="B53" s="418" t="str">
        <f ca="1"/>
        <v>EURYC_OIS_BASISRATE_6Y</v>
      </c>
      <c r="C53" s="419">
        <f ca="1"/>
        <v>0</v>
      </c>
      <c r="D53" s="419">
        <f ca="1"/>
        <v>1.6340088950528298E-4</v>
      </c>
      <c r="E53" s="419">
        <f ca="1"/>
        <v>-2.3378854530164972E-4</v>
      </c>
      <c r="F53" s="419">
        <f ca="1"/>
        <v>-2.2489294133265503E-4</v>
      </c>
      <c r="G53" s="419">
        <f ca="1"/>
        <v>-7.4363401290611364E-4</v>
      </c>
      <c r="H53" s="419">
        <f ca="1"/>
        <v>3.3997855316301866</v>
      </c>
      <c r="I53" s="419">
        <f ca="1"/>
        <v>-0.10619092914726025</v>
      </c>
      <c r="J53" s="420">
        <f ca="1"/>
        <v>3.2925556878728912</v>
      </c>
      <c r="K53" s="409" t="s">
        <v>4</v>
      </c>
    </row>
    <row r="54" spans="2:11" x14ac:dyDescent="0.25">
      <c r="B54" s="418" t="str">
        <f ca="1"/>
        <v>EURYC_OIS_3MLIBORSWAP_6Y</v>
      </c>
      <c r="C54" s="419">
        <f ca="1"/>
        <v>0</v>
      </c>
      <c r="D54" s="419">
        <f ca="1"/>
        <v>-0.11771319325998775</v>
      </c>
      <c r="E54" s="419">
        <f ca="1"/>
        <v>-8.5837385995546356E-5</v>
      </c>
      <c r="F54" s="419">
        <f ca="1"/>
        <v>-6.6171750222565606E-4</v>
      </c>
      <c r="G54" s="419">
        <f ca="1"/>
        <v>-9.047981548064854E-4</v>
      </c>
      <c r="H54" s="419">
        <f ca="1"/>
        <v>-3.3614011251484044</v>
      </c>
      <c r="I54" s="419">
        <f ca="1"/>
        <v>8.8975249168470327E-2</v>
      </c>
      <c r="J54" s="420">
        <f ca="1"/>
        <v>-3.3917914222829495</v>
      </c>
      <c r="K54" s="409" t="s">
        <v>4</v>
      </c>
    </row>
    <row r="55" spans="2:11" x14ac:dyDescent="0.25">
      <c r="B55" s="418" t="str">
        <f ca="1"/>
        <v>EURYC_OIS_BASISRATE_7Y</v>
      </c>
      <c r="C55" s="419">
        <f ca="1"/>
        <v>0</v>
      </c>
      <c r="D55" s="419">
        <f ca="1"/>
        <v>-4.6230605221353471E-5</v>
      </c>
      <c r="E55" s="419">
        <f ca="1"/>
        <v>-1.1784001617343165E-4</v>
      </c>
      <c r="F55" s="419">
        <f ca="1"/>
        <v>3.1512884015683085E-4</v>
      </c>
      <c r="G55" s="419">
        <f ca="1"/>
        <v>4.1228187910746783E-4</v>
      </c>
      <c r="H55" s="419">
        <f ca="1"/>
        <v>3.96563207370491</v>
      </c>
      <c r="I55" s="419">
        <f ca="1"/>
        <v>-0.11709274315421681</v>
      </c>
      <c r="J55" s="420">
        <f ca="1"/>
        <v>3.8491026706485627</v>
      </c>
      <c r="K55" s="409" t="s">
        <v>4</v>
      </c>
    </row>
    <row r="56" spans="2:11" x14ac:dyDescent="0.25">
      <c r="B56" s="418" t="str">
        <f ca="1"/>
        <v>EURYC_OIS_3MLIBORSWAP_7Y</v>
      </c>
      <c r="C56" s="419">
        <f ca="1"/>
        <v>0</v>
      </c>
      <c r="D56" s="419">
        <f ca="1"/>
        <v>3.6863513494608924E-2</v>
      </c>
      <c r="E56" s="419">
        <f ca="1"/>
        <v>1.0982904132106341E-4</v>
      </c>
      <c r="F56" s="419">
        <f ca="1"/>
        <v>1.7162770018330775E-4</v>
      </c>
      <c r="G56" s="419">
        <f ca="1"/>
        <v>7.858923272578977E-4</v>
      </c>
      <c r="H56" s="419">
        <f ca="1"/>
        <v>-3.9062097322275804</v>
      </c>
      <c r="I56" s="419">
        <f ca="1"/>
        <v>0.11623801586551963</v>
      </c>
      <c r="J56" s="420">
        <f ca="1"/>
        <v>-3.7520408537986896</v>
      </c>
      <c r="K56" s="409" t="s">
        <v>4</v>
      </c>
    </row>
    <row r="57" spans="2:11" x14ac:dyDescent="0.25">
      <c r="B57" s="418" t="str">
        <f ca="1"/>
        <v>EURYC_OIS_BASISRATE_8Y</v>
      </c>
      <c r="C57" s="419">
        <f ca="1"/>
        <v>0</v>
      </c>
      <c r="D57" s="419">
        <f ca="1"/>
        <v>1.299621544603724E-5</v>
      </c>
      <c r="E57" s="419">
        <f ca="1"/>
        <v>-5.3441173804458231E-5</v>
      </c>
      <c r="F57" s="419">
        <f ca="1"/>
        <v>-3.3816634459071793E-4</v>
      </c>
      <c r="G57" s="419">
        <f ca="1"/>
        <v>-3.6862275737803429E-4</v>
      </c>
      <c r="H57" s="419">
        <f ca="1"/>
        <v>4.5313758858646906</v>
      </c>
      <c r="I57" s="419">
        <f ca="1"/>
        <v>-0.10399158041627743</v>
      </c>
      <c r="J57" s="420">
        <f ca="1"/>
        <v>4.426637071388086</v>
      </c>
      <c r="K57" s="409" t="s">
        <v>4</v>
      </c>
    </row>
    <row r="58" spans="2:11" x14ac:dyDescent="0.25">
      <c r="B58" s="418" t="str">
        <f ca="1"/>
        <v>EURYC_OIS_3MLIBORSWAP_8Y</v>
      </c>
      <c r="C58" s="419">
        <f ca="1"/>
        <v>0</v>
      </c>
      <c r="D58" s="419">
        <f ca="1"/>
        <v>-1.1328109638270689E-2</v>
      </c>
      <c r="E58" s="419">
        <f ca="1"/>
        <v>2.5200119125656784E-5</v>
      </c>
      <c r="F58" s="419">
        <f ca="1"/>
        <v>-1.0536061017774045E-4</v>
      </c>
      <c r="G58" s="419">
        <f ca="1"/>
        <v>-5.205285815463867E-4</v>
      </c>
      <c r="H58" s="419">
        <f ca="1"/>
        <v>-4.4617594204937632</v>
      </c>
      <c r="I58" s="419">
        <f ca="1"/>
        <v>0.11184218395851531</v>
      </c>
      <c r="J58" s="420">
        <f ca="1"/>
        <v>-4.361846035246117</v>
      </c>
      <c r="K58" s="409" t="s">
        <v>4</v>
      </c>
    </row>
    <row r="59" spans="2:11" x14ac:dyDescent="0.25">
      <c r="B59" s="418" t="str">
        <f ca="1"/>
        <v>EURYC_OIS_BASISRATE_9Y</v>
      </c>
      <c r="C59" s="419">
        <f ca="1"/>
        <v>0</v>
      </c>
      <c r="D59" s="419">
        <f ca="1"/>
        <v>-3.9172318793134764E-6</v>
      </c>
      <c r="E59" s="419">
        <f ca="1"/>
        <v>5.8155092119704932E-5</v>
      </c>
      <c r="F59" s="419">
        <f ca="1"/>
        <v>-1.0868877870962024E-4</v>
      </c>
      <c r="G59" s="419">
        <f ca="1"/>
        <v>-2.2488987087854184E-4</v>
      </c>
      <c r="H59" s="419">
        <f ca="1"/>
        <v>5.0651909726002486</v>
      </c>
      <c r="I59" s="419">
        <f ca="1"/>
        <v>-0.18963655275274505</v>
      </c>
      <c r="J59" s="420">
        <f ca="1"/>
        <v>4.8752750790581558</v>
      </c>
      <c r="K59" s="409" t="s">
        <v>4</v>
      </c>
    </row>
    <row r="60" spans="2:11" x14ac:dyDescent="0.25">
      <c r="B60" s="418" t="str">
        <f ca="1"/>
        <v>EURYC_OIS_3MLIBORSWAP_9Y</v>
      </c>
      <c r="C60" s="419">
        <f ca="1"/>
        <v>0</v>
      </c>
      <c r="D60" s="419">
        <f ca="1"/>
        <v>3.4574562250782037E-3</v>
      </c>
      <c r="E60" s="419">
        <f ca="1"/>
        <v>4.7382858610944822E-5</v>
      </c>
      <c r="F60" s="419">
        <f ca="1"/>
        <v>8.5741765360580757E-5</v>
      </c>
      <c r="G60" s="419">
        <f ca="1"/>
        <v>1.6509467968717217E-4</v>
      </c>
      <c r="H60" s="419">
        <f ca="1"/>
        <v>-5.0064989208003681</v>
      </c>
      <c r="I60" s="419">
        <f ca="1"/>
        <v>0.18091695942734987</v>
      </c>
      <c r="J60" s="420">
        <f ca="1"/>
        <v>-4.8218262858442813</v>
      </c>
      <c r="K60" s="409" t="s">
        <v>4</v>
      </c>
    </row>
    <row r="61" spans="2:11" x14ac:dyDescent="0.25">
      <c r="B61" s="418" t="str">
        <f ca="1"/>
        <v>EURYC_OIS_BASISRATE_10Y</v>
      </c>
      <c r="C61" s="419">
        <f ca="1"/>
        <v>0</v>
      </c>
      <c r="D61" s="419">
        <f ca="1"/>
        <v>9.7663723863661289E-7</v>
      </c>
      <c r="E61" s="419">
        <f ca="1"/>
        <v>-5.2443036111071706E-5</v>
      </c>
      <c r="F61" s="419">
        <f ca="1"/>
        <v>1.8866845493903384E-5</v>
      </c>
      <c r="G61" s="419">
        <f ca="1"/>
        <v>-1.7527322415844537E-4</v>
      </c>
      <c r="H61" s="419">
        <f ca="1"/>
        <v>5.6320277859413181</v>
      </c>
      <c r="I61" s="419">
        <f ca="1"/>
        <v>-3.848213497872166E-2</v>
      </c>
      <c r="J61" s="420">
        <f ca="1"/>
        <v>5.5933377781850595</v>
      </c>
      <c r="K61" s="409" t="s">
        <v>4</v>
      </c>
    </row>
    <row r="62" spans="2:11" x14ac:dyDescent="0.25">
      <c r="B62" s="418" t="str">
        <f ca="1"/>
        <v>EURYC_OIS_3MLIBORSWAP_10Y</v>
      </c>
      <c r="C62" s="419">
        <f ca="1"/>
        <v>0</v>
      </c>
      <c r="D62" s="419">
        <f ca="1"/>
        <v>-1.0279725993314059E-3</v>
      </c>
      <c r="E62" s="419">
        <f ca="1"/>
        <v>-1.5705165060353465E-4</v>
      </c>
      <c r="F62" s="419">
        <f ca="1"/>
        <v>-3.961180082114879E-4</v>
      </c>
      <c r="G62" s="419">
        <f ca="1"/>
        <v>4.6057638246566057E-4</v>
      </c>
      <c r="H62" s="419">
        <f ca="1"/>
        <v>-1007.3524955349385</v>
      </c>
      <c r="I62" s="419">
        <f ca="1"/>
        <v>2.7551024406420765E-2</v>
      </c>
      <c r="J62" s="420">
        <f ca="1"/>
        <v>-1007.3260650764078</v>
      </c>
      <c r="K62" s="409" t="s">
        <v>4</v>
      </c>
    </row>
    <row r="63" spans="2:11" x14ac:dyDescent="0.25">
      <c r="B63" s="418" t="str">
        <f ca="1"/>
        <v>EURYC_OIS_BASISRATE_11Y</v>
      </c>
      <c r="C63" s="419">
        <f ca="1"/>
        <v>0</v>
      </c>
      <c r="D63" s="419">
        <f ca="1"/>
        <v>2.5286499294452369E-7</v>
      </c>
      <c r="E63" s="419">
        <f ca="1"/>
        <v>-1.0297852713847533E-4</v>
      </c>
      <c r="F63" s="419">
        <f ca="1"/>
        <v>-3.6970420114812441E-4</v>
      </c>
      <c r="G63" s="419">
        <f ca="1"/>
        <v>-3.0545986373908818E-4</v>
      </c>
      <c r="H63" s="419">
        <f ca="1"/>
        <v>3.2219063396041747E-3</v>
      </c>
      <c r="I63" s="419">
        <f ca="1"/>
        <v>-0.47775231486184566</v>
      </c>
      <c r="J63" s="420">
        <f ca="1"/>
        <v>-0.47530829824927423</v>
      </c>
      <c r="K63" s="409" t="s">
        <v>4</v>
      </c>
    </row>
    <row r="64" spans="2:11" x14ac:dyDescent="0.25">
      <c r="B64" s="418" t="str">
        <f ca="1"/>
        <v>EURYC_OIS_3MLIBORSWAP_11Y</v>
      </c>
      <c r="C64" s="419">
        <f ca="1"/>
        <v>0</v>
      </c>
      <c r="D64" s="419">
        <f ca="1"/>
        <v>2.9555347646237351E-4</v>
      </c>
      <c r="E64" s="419">
        <f ca="1"/>
        <v>-5.755149686592631E-5</v>
      </c>
      <c r="F64" s="419">
        <f ca="1"/>
        <v>6.6643136960919946E-5</v>
      </c>
      <c r="G64" s="419">
        <f ca="1"/>
        <v>-4.5372926615527831E-4</v>
      </c>
      <c r="H64" s="419">
        <f ca="1"/>
        <v>-8.0154078168561682E-3</v>
      </c>
      <c r="I64" s="419">
        <f ca="1"/>
        <v>0.48790462300894433</v>
      </c>
      <c r="J64" s="420">
        <f ca="1"/>
        <v>0.47974013104249025</v>
      </c>
      <c r="K64" s="409" t="s">
        <v>4</v>
      </c>
    </row>
    <row r="65" spans="2:11" x14ac:dyDescent="0.25">
      <c r="B65" s="418" t="str">
        <f ca="1"/>
        <v>EURYC_OIS_BASISRATE_12Y</v>
      </c>
      <c r="C65" s="419">
        <f ca="1"/>
        <v>0</v>
      </c>
      <c r="D65" s="419">
        <f ca="1"/>
        <v>-4.0360464481636882E-7</v>
      </c>
      <c r="E65" s="419">
        <f ca="1"/>
        <v>8.3319428085815161E-6</v>
      </c>
      <c r="F65" s="419">
        <f ca="1"/>
        <v>-1.8152685879613273E-4</v>
      </c>
      <c r="G65" s="419">
        <f ca="1"/>
        <v>6.2657269154442474E-5</v>
      </c>
      <c r="H65" s="419">
        <f ca="1"/>
        <v>-4.7963853357941844E-3</v>
      </c>
      <c r="I65" s="419">
        <f ca="1"/>
        <v>0.12638383037347012</v>
      </c>
      <c r="J65" s="420">
        <f ca="1"/>
        <v>0.12147650378619801</v>
      </c>
      <c r="K65" s="409" t="s">
        <v>4</v>
      </c>
    </row>
    <row r="66" spans="2:11" x14ac:dyDescent="0.25">
      <c r="B66" s="418" t="str">
        <f ca="1"/>
        <v>EURYC_OIS_3MLIBORSWAP_12Y</v>
      </c>
      <c r="C66" s="419">
        <f ca="1"/>
        <v>0</v>
      </c>
      <c r="D66" s="419">
        <f ca="1"/>
        <v>-6.380505146807991E-5</v>
      </c>
      <c r="E66" s="419">
        <f ca="1"/>
        <v>8.3799670392181724E-5</v>
      </c>
      <c r="F66" s="419">
        <f ca="1"/>
        <v>5.8143433125223964E-4</v>
      </c>
      <c r="G66" s="419">
        <f ca="1"/>
        <v>4.164269776083529E-4</v>
      </c>
      <c r="H66" s="419">
        <f ca="1"/>
        <v>7.1353360799548682E-3</v>
      </c>
      <c r="I66" s="419">
        <f ca="1"/>
        <v>-0.12509934949048329</v>
      </c>
      <c r="J66" s="420">
        <f ca="1"/>
        <v>-0.11694615748274373</v>
      </c>
      <c r="K66" s="409" t="s">
        <v>4</v>
      </c>
    </row>
    <row r="67" spans="2:11" x14ac:dyDescent="0.25">
      <c r="B67" s="418" t="str">
        <f ca="1"/>
        <v>EURYC_OIS_BASISRATE_15Y</v>
      </c>
      <c r="C67" s="419">
        <f ca="1"/>
        <v>0</v>
      </c>
      <c r="D67" s="419">
        <f ca="1"/>
        <v>-2.6949601306114346E-6</v>
      </c>
      <c r="E67" s="419">
        <f ca="1"/>
        <v>2.4229853806900792E-4</v>
      </c>
      <c r="F67" s="419">
        <f ca="1"/>
        <v>6.2715189415030181E-6</v>
      </c>
      <c r="G67" s="419">
        <f ca="1"/>
        <v>1.8897735571954399E-4</v>
      </c>
      <c r="H67" s="419">
        <f ca="1"/>
        <v>2.9871842671127524E-3</v>
      </c>
      <c r="I67" s="419">
        <f ca="1"/>
        <v>-1.4618502658104262</v>
      </c>
      <c r="J67" s="420">
        <f ca="1"/>
        <v>-1.458428229090714</v>
      </c>
      <c r="K67" s="409" t="s">
        <v>4</v>
      </c>
    </row>
    <row r="68" spans="2:11" x14ac:dyDescent="0.25">
      <c r="B68" s="418" t="str">
        <f ca="1"/>
        <v>EURYC_OIS_3MLIBORSWAP_15Y</v>
      </c>
      <c r="C68" s="419">
        <f ca="1"/>
        <v>0</v>
      </c>
      <c r="D68" s="419">
        <f ca="1"/>
        <v>4.5029628381598741E-6</v>
      </c>
      <c r="E68" s="419">
        <f ca="1"/>
        <v>-8.2592134276637807E-5</v>
      </c>
      <c r="F68" s="419">
        <f ca="1"/>
        <v>-3.2508230651728809E-4</v>
      </c>
      <c r="G68" s="419">
        <f ca="1"/>
        <v>-6.8999668656033464E-4</v>
      </c>
      <c r="H68" s="419">
        <f ca="1"/>
        <v>-1.5320940037781838E-3</v>
      </c>
      <c r="I68" s="419">
        <f ca="1"/>
        <v>1.4257042623285088</v>
      </c>
      <c r="J68" s="420">
        <f ca="1"/>
        <v>1.4230790001602145</v>
      </c>
      <c r="K68" s="409" t="s">
        <v>4</v>
      </c>
    </row>
    <row r="69" spans="2:11" x14ac:dyDescent="0.25">
      <c r="B69" s="418" t="str">
        <f ca="1"/>
        <v>EURYC_OIS_BASISRATE_20Y</v>
      </c>
      <c r="C69" s="419">
        <f ca="1"/>
        <v>0</v>
      </c>
      <c r="D69" s="419">
        <f ca="1"/>
        <v>-2.0221377781126648E-6</v>
      </c>
      <c r="E69" s="419">
        <f ca="1"/>
        <v>2.4921249132603407E-4</v>
      </c>
      <c r="F69" s="419">
        <f ca="1"/>
        <v>1.4653166363132186E-4</v>
      </c>
      <c r="G69" s="419">
        <f ca="1"/>
        <v>-9.1709876869572327E-5</v>
      </c>
      <c r="H69" s="419">
        <f ca="1"/>
        <v>-1.7163169904961251E-3</v>
      </c>
      <c r="I69" s="419">
        <f ca="1"/>
        <v>-0.74490079576821699</v>
      </c>
      <c r="J69" s="420">
        <f ca="1"/>
        <v>-0.74631510061840345</v>
      </c>
      <c r="K69" s="409" t="s">
        <v>4</v>
      </c>
    </row>
    <row r="70" spans="2:11" x14ac:dyDescent="0.25">
      <c r="B70" s="418" t="str">
        <f ca="1"/>
        <v>EURYC_OIS_3MLIBORSWAP_20Y</v>
      </c>
      <c r="C70" s="419">
        <f ca="1"/>
        <v>0</v>
      </c>
      <c r="D70" s="419">
        <f ca="1"/>
        <v>-6.7048677010461688E-7</v>
      </c>
      <c r="E70" s="419">
        <f ca="1"/>
        <v>9.4745697424514219E-5</v>
      </c>
      <c r="F70" s="419">
        <f ca="1"/>
        <v>4.1733752368600108E-4</v>
      </c>
      <c r="G70" s="419">
        <f ca="1"/>
        <v>1.3719100024900399E-4</v>
      </c>
      <c r="H70" s="419">
        <f ca="1"/>
        <v>3.688585216877982E-3</v>
      </c>
      <c r="I70" s="419">
        <f ca="1"/>
        <v>-1893.5397471519095</v>
      </c>
      <c r="J70" s="420">
        <f ca="1"/>
        <v>-1893.5354099629581</v>
      </c>
      <c r="K70" s="409" t="s">
        <v>4</v>
      </c>
    </row>
    <row r="71" spans="2:11" x14ac:dyDescent="0.25">
      <c r="B71" s="418" t="str">
        <f ca="1"/>
        <v>EURYC_OIS_BASISRATE_25Y</v>
      </c>
      <c r="C71" s="419">
        <f ca="1"/>
        <v>0</v>
      </c>
      <c r="D71" s="419">
        <f ca="1"/>
        <v>1.7237744032172486E-6</v>
      </c>
      <c r="E71" s="419">
        <f ca="1"/>
        <v>-2.121736943081487E-4</v>
      </c>
      <c r="F71" s="419">
        <f ca="1"/>
        <v>-9.4586514023831114E-5</v>
      </c>
      <c r="G71" s="419">
        <f ca="1"/>
        <v>3.4004967892542481E-4</v>
      </c>
      <c r="H71" s="419">
        <f ca="1"/>
        <v>9.0121500761597417E-3</v>
      </c>
      <c r="I71" s="419">
        <f ca="1"/>
        <v>-5.5799481697249576E-4</v>
      </c>
      <c r="J71" s="420">
        <f ca="1"/>
        <v>8.4891685041839082E-3</v>
      </c>
      <c r="K71" s="409" t="s">
        <v>4</v>
      </c>
    </row>
    <row r="72" spans="2:11" x14ac:dyDescent="0.25">
      <c r="B72" s="418" t="str">
        <f ca="1"/>
        <v>EURYC_OIS_3MLIBORSWAP_25Y</v>
      </c>
      <c r="C72" s="419">
        <f ca="1"/>
        <v>0</v>
      </c>
      <c r="D72" s="419">
        <f ca="1"/>
        <v>-1.7791735444916412E-6</v>
      </c>
      <c r="E72" s="419">
        <f ca="1"/>
        <v>2.1519861547858454E-4</v>
      </c>
      <c r="F72" s="419">
        <f ca="1"/>
        <v>1.9676933152368292E-4</v>
      </c>
      <c r="G72" s="419">
        <f ca="1"/>
        <v>5.3667688916902989E-4</v>
      </c>
      <c r="H72" s="419">
        <f ca="1"/>
        <v>2.7550072627491318E-4</v>
      </c>
      <c r="I72" s="419">
        <f ca="1"/>
        <v>1.9609647379184025E-3</v>
      </c>
      <c r="J72" s="420">
        <f ca="1"/>
        <v>3.1833311268201214E-3</v>
      </c>
      <c r="K72" s="409" t="s">
        <v>4</v>
      </c>
    </row>
    <row r="73" spans="2:11" x14ac:dyDescent="0.25">
      <c r="B73" s="418" t="str">
        <f ca="1"/>
        <v>EURYC_OIS_BASISRATE_30Y</v>
      </c>
      <c r="C73" s="419">
        <f ca="1"/>
        <v>0</v>
      </c>
      <c r="D73" s="419">
        <f ca="1"/>
        <v>-3.1716444937046617E-7</v>
      </c>
      <c r="E73" s="419">
        <f ca="1"/>
        <v>9.8101954790763557E-6</v>
      </c>
      <c r="F73" s="419">
        <f ca="1"/>
        <v>2.3517713998444378E-6</v>
      </c>
      <c r="G73" s="419">
        <f ca="1"/>
        <v>1.694337697699666E-6</v>
      </c>
      <c r="H73" s="419">
        <f ca="1"/>
        <v>-2.9829780978616327E-3</v>
      </c>
      <c r="I73" s="419">
        <f ca="1"/>
        <v>5.2115762400717358E-3</v>
      </c>
      <c r="J73" s="420">
        <f ca="1"/>
        <v>2.2421372823373531E-3</v>
      </c>
      <c r="K73" s="409" t="s">
        <v>4</v>
      </c>
    </row>
    <row r="74" spans="2:11" x14ac:dyDescent="0.25">
      <c r="B74" s="418" t="str">
        <f ca="1"/>
        <v>EURYC_OIS_3MLIBORSWAP_30Y</v>
      </c>
      <c r="C74" s="419">
        <f ca="1"/>
        <v>0</v>
      </c>
      <c r="D74" s="419">
        <f ca="1"/>
        <v>8.7451189756393433E-7</v>
      </c>
      <c r="E74" s="419">
        <f ca="1"/>
        <v>-9.1027064627269283E-5</v>
      </c>
      <c r="F74" s="419">
        <f ca="1"/>
        <v>1.3674579531652853E-4</v>
      </c>
      <c r="G74" s="419">
        <f ca="1"/>
        <v>5.010582972317934E-4</v>
      </c>
      <c r="H74" s="419">
        <f ca="1"/>
        <v>1.4006606252223719E-3</v>
      </c>
      <c r="I74" s="419">
        <f ca="1"/>
        <v>1.036565724916727E-2</v>
      </c>
      <c r="J74" s="420">
        <f ca="1"/>
        <v>1.2313969414208259E-2</v>
      </c>
      <c r="K74" s="409" t="s">
        <v>4</v>
      </c>
    </row>
    <row r="75" spans="2:11" x14ac:dyDescent="0.25">
      <c r="B75" s="418" t="str">
        <f ca="1"/>
        <v>EURYC_OIS_BASISRATE_40Y</v>
      </c>
      <c r="C75" s="419">
        <f ca="1"/>
        <v>0</v>
      </c>
      <c r="D75" s="419">
        <f ca="1"/>
        <v>0</v>
      </c>
      <c r="E75" s="419">
        <f ca="1"/>
        <v>0</v>
      </c>
      <c r="F75" s="419">
        <f ca="1"/>
        <v>0</v>
      </c>
      <c r="G75" s="419">
        <f ca="1"/>
        <v>0</v>
      </c>
      <c r="H75" s="419">
        <f ca="1"/>
        <v>0</v>
      </c>
      <c r="I75" s="419">
        <f ca="1"/>
        <v>0</v>
      </c>
      <c r="J75" s="420">
        <f ca="1"/>
        <v>0</v>
      </c>
      <c r="K75" s="409" t="s">
        <v>4</v>
      </c>
    </row>
    <row r="76" spans="2:11" x14ac:dyDescent="0.25">
      <c r="B76" s="418" t="str">
        <f ca="1"/>
        <v>EURYC_OIS_3MLIBORSWAP_40Y</v>
      </c>
      <c r="C76" s="419">
        <f ca="1"/>
        <v>0</v>
      </c>
      <c r="D76" s="419">
        <f ca="1"/>
        <v>0</v>
      </c>
      <c r="E76" s="419">
        <f ca="1"/>
        <v>0</v>
      </c>
      <c r="F76" s="419">
        <f ca="1"/>
        <v>0</v>
      </c>
      <c r="G76" s="419">
        <f ca="1"/>
        <v>0</v>
      </c>
      <c r="H76" s="419">
        <f ca="1"/>
        <v>0</v>
      </c>
      <c r="I76" s="419">
        <f ca="1"/>
        <v>0</v>
      </c>
      <c r="J76" s="420">
        <f ca="1"/>
        <v>0</v>
      </c>
      <c r="K76" s="409" t="s">
        <v>4</v>
      </c>
    </row>
    <row r="77" spans="2:11" x14ac:dyDescent="0.25">
      <c r="B77" s="418" t="str">
        <f ca="1"/>
        <v>EURYC_OIS_BASISRATE_50Y</v>
      </c>
      <c r="C77" s="419">
        <f ca="1"/>
        <v>0</v>
      </c>
      <c r="D77" s="419">
        <f ca="1"/>
        <v>0</v>
      </c>
      <c r="E77" s="419">
        <f ca="1"/>
        <v>0</v>
      </c>
      <c r="F77" s="419">
        <f ca="1"/>
        <v>0</v>
      </c>
      <c r="G77" s="419">
        <f ca="1"/>
        <v>0</v>
      </c>
      <c r="H77" s="419">
        <f ca="1"/>
        <v>0</v>
      </c>
      <c r="I77" s="419">
        <f ca="1"/>
        <v>0</v>
      </c>
      <c r="J77" s="420">
        <f ca="1"/>
        <v>0</v>
      </c>
      <c r="K77" s="409" t="s">
        <v>4</v>
      </c>
    </row>
    <row r="78" spans="2:11" x14ac:dyDescent="0.25">
      <c r="B78" s="421" t="str">
        <f ca="1"/>
        <v>EURYC_OIS_3MLIBORSWAP_50Y</v>
      </c>
      <c r="C78" s="422">
        <f ca="1"/>
        <v>0</v>
      </c>
      <c r="D78" s="422">
        <f ca="1"/>
        <v>0</v>
      </c>
      <c r="E78" s="422">
        <f ca="1"/>
        <v>0</v>
      </c>
      <c r="F78" s="422">
        <f ca="1"/>
        <v>0</v>
      </c>
      <c r="G78" s="422">
        <f ca="1"/>
        <v>0</v>
      </c>
      <c r="H78" s="422">
        <f ca="1"/>
        <v>0</v>
      </c>
      <c r="I78" s="422">
        <f ca="1"/>
        <v>0</v>
      </c>
      <c r="J78" s="423">
        <f ca="1"/>
        <v>0</v>
      </c>
      <c r="K78" s="409"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2016-10-10T16:11:54Z</dcterms:modified>
</cp:coreProperties>
</file>