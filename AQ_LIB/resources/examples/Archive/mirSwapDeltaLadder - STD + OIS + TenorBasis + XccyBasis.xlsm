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660" yWindow="2130" windowWidth="23235" windowHeight="11445" activeTab="6"/>
  </bookViews>
  <sheets>
    <sheet name="EUR OIS" sheetId="2" r:id="rId1"/>
    <sheet name="EUR STD" sheetId="3" r:id="rId2"/>
    <sheet name="EUR Tenor Basis" sheetId="12" r:id="rId3"/>
    <sheet name="USD OIS" sheetId="8" r:id="rId4"/>
    <sheet name="USD STD" sheetId="9" r:id="rId5"/>
    <sheet name="XCCY BASIS" sheetId="10" r:id="rId6"/>
    <sheet name="Portfolio" sheetId="13" r:id="rId7"/>
  </sheets>
  <externalReferences>
    <externalReference r:id="rId8"/>
    <externalReference r:id="rId9"/>
    <externalReference r:id="rId10"/>
    <externalReference r:id="rId11"/>
  </externalReferences>
  <definedNames>
    <definedName name="COB" localSheetId="2">[1]Settings!$C$2</definedName>
    <definedName name="COB">'EUR OIS'!$D$20</definedName>
    <definedName name="Curve.BuildProperties" localSheetId="2">'[2]OIS Curve'!$C$20:$D$24</definedName>
    <definedName name="Curve.BuildProperties" localSheetId="6">'[3]OIS Curve'!$C$20:$D$24</definedName>
    <definedName name="Curve.BuildProperties" localSheetId="5">'[4]EUR OIS'!$C$20:$D$24</definedName>
    <definedName name="Curve.BuildProperties">'EUR OIS'!$C$20:$D$24</definedName>
    <definedName name="Curve.CollectionName" localSheetId="2">'[2]OIS Curve'!$D$11</definedName>
    <definedName name="Curve.CollectionName" localSheetId="6">'[3]OIS Curve'!$D$11</definedName>
    <definedName name="Curve.CollectionName" localSheetId="5">'[4]EUR OIS'!$D$11</definedName>
    <definedName name="Curve.CollectionName">'EUR OIS'!$D$11</definedName>
    <definedName name="Curve.MarketDataTable" localSheetId="2">'[2]OIS Curve'!$D$12</definedName>
    <definedName name="Curve.MarketDataTable" localSheetId="6">'[3]OIS Curve'!$D$12</definedName>
    <definedName name="Curve.MarketDataTable" localSheetId="5">'[4]EUR OIS'!$D$12</definedName>
    <definedName name="Curve.MarketDataTable">'EUR OIS'!$D$12</definedName>
    <definedName name="Curve.OISIndexName" localSheetId="2">'[2]OIS Curve'!$D$13</definedName>
    <definedName name="Curve.OISIndexName" localSheetId="6">'[3]OIS Curve'!$D$13</definedName>
    <definedName name="Curve.OISIndexName" localSheetId="5">'[4]EUR OIS'!$D$13</definedName>
    <definedName name="Curve.OISIndexName">'EUR OIS'!$D$13</definedName>
    <definedName name="CurveBuildProperties" localSheetId="3">'USD OIS'!$C$20:$D$24</definedName>
    <definedName name="CurveBuildProperties" localSheetId="4">'USD STD'!$C$22:$D$31</definedName>
    <definedName name="CurveBuildProperties" localSheetId="5">'XCCY BASIS'!$C$21:$D$26</definedName>
    <definedName name="CurveCollection" localSheetId="3">'USD OIS'!$D$11</definedName>
    <definedName name="CurveCollection" localSheetId="4">'USD STD'!$D$13</definedName>
    <definedName name="CurveCollection" localSheetId="5">'XCCY BASIS'!$D$12</definedName>
    <definedName name="ForwardCurves.CurveID" localSheetId="2">#REF!</definedName>
    <definedName name="ForwardCurves.CurveID" localSheetId="6">#REF!</definedName>
    <definedName name="ForwardCurves.CurveID">#REF!</definedName>
    <definedName name="ForwardCurves.Interpolation" localSheetId="2">#REF!</definedName>
    <definedName name="ForwardCurves.Interpolation" localSheetId="6">#REF!</definedName>
    <definedName name="ForwardCurves.Interpolation">#REF!</definedName>
    <definedName name="ForwardCurves.Periodicity" localSheetId="2">#REF!</definedName>
    <definedName name="ForwardCurves.Periodicity" localSheetId="6">#REF!</definedName>
    <definedName name="ForwardCurves.Periodicity">#REF!</definedName>
    <definedName name="Forwards.EUR12ML" localSheetId="6">#REF!</definedName>
    <definedName name="Forwards.EUR12ML">#REF!</definedName>
    <definedName name="Forwards.EUR1ML" localSheetId="6">#REF!</definedName>
    <definedName name="Forwards.EUR1ML">#REF!</definedName>
    <definedName name="Forwards.EUR3ML" localSheetId="6">#REF!</definedName>
    <definedName name="Forwards.EUR3ML">#REF!</definedName>
    <definedName name="Forwards.EUR6ML" localSheetId="6">#REF!</definedName>
    <definedName name="Forwards.EUR6ML">#REF!</definedName>
    <definedName name="Forwards.OIS" localSheetId="6">#REF!</definedName>
    <definedName name="Forwards.OIS">#REF!</definedName>
    <definedName name="Forwards.StartDate" localSheetId="6">#REF!</definedName>
    <definedName name="Forwards.StartDate">#REF!</definedName>
    <definedName name="FRA.Conventions" localSheetId="2">'[2]Swap Curve'!$C$51:$D$64</definedName>
    <definedName name="FRA.Conventions" localSheetId="6">'[3]Swap Curve'!$C$51:$D$64</definedName>
    <definedName name="FRA.Conventions" localSheetId="5">'[4]EUR SWAP 6ML'!$C$51:$D$64</definedName>
    <definedName name="FRA.Conventions">'EUR STD'!$C$51:$D$64</definedName>
    <definedName name="FRA.MarketDataX3" localSheetId="2">'[2]Swap Curve'!$F$52:$G$64</definedName>
    <definedName name="FRA.MarketDataX3" localSheetId="6">'[3]Swap Curve'!$F$52:$G$64</definedName>
    <definedName name="FRA.MarketDataX3" localSheetId="5">'[4]EUR SWAP 6ML'!$F$52:$G$64</definedName>
    <definedName name="FRA.MarketDataX3">'EUR STD'!$F$52:$G$64</definedName>
    <definedName name="FRA.MarketDataX6" localSheetId="2">'[2]Swap Curve'!$I$52:$J$64</definedName>
    <definedName name="FRA.MarketDataX6" localSheetId="6">'[3]Swap Curve'!$I$52:$J$64</definedName>
    <definedName name="FRA.MarketDataX6" localSheetId="5">'[4]EUR SWAP 6ML'!$I$52:$J$64</definedName>
    <definedName name="FRA.MarketDataX6">'EUR STD'!$I$52:$J$64</definedName>
    <definedName name="FRAConventions" localSheetId="4">'USD STD'!$C$51:$D$64</definedName>
    <definedName name="FRAMarketData3M" localSheetId="4">'USD STD'!$F$52:$G$64</definedName>
    <definedName name="FRAMarketData6M" localSheetId="4">'USD STD'!$I$52:$J$64</definedName>
    <definedName name="Futures.Conventions" localSheetId="2">'[2]Swap Curve'!$C$72:$D$85</definedName>
    <definedName name="Futures.Conventions" localSheetId="6">'[3]Swap Curve'!$C$72:$D$85</definedName>
    <definedName name="Futures.Conventions" localSheetId="5">'[4]EUR SWAP 6ML'!$C$72:$D$85</definedName>
    <definedName name="Futures.Conventions">'EUR STD'!$C$72:$D$85</definedName>
    <definedName name="Futures.MarketData" localSheetId="2">'[2]Swap Curve'!$F$73:$J$85</definedName>
    <definedName name="Futures.MarketData" localSheetId="6">'[3]Swap Curve'!$F$73:$J$85</definedName>
    <definedName name="Futures.MarketData" localSheetId="5">'[4]EUR SWAP 6ML'!$F$73:$J$85</definedName>
    <definedName name="Futures.MarketData">'EUR STD'!$F$73:$J$85</definedName>
    <definedName name="FuturesConventions" localSheetId="4">'USD STD'!$C$72:$D$85</definedName>
    <definedName name="FuturesMarketData" localSheetId="4">'USD STD'!$F$73:$J$85</definedName>
    <definedName name="IndexName" localSheetId="3">'USD OIS'!$D$13</definedName>
    <definedName name="IndexName" localSheetId="4">'USD STD'!$D$15</definedName>
    <definedName name="IndexName" localSheetId="5">'XCCY BASIS'!$D$14</definedName>
    <definedName name="Libor.Conventions" localSheetId="2">'[2]Swap Curve'!$F$38:$G$43</definedName>
    <definedName name="Libor.Conventions" localSheetId="6">'[3]Swap Curve'!$F$38:$G$43</definedName>
    <definedName name="Libor.Conventions" localSheetId="5">'[4]EUR SWAP 6ML'!$F$38:$G$43</definedName>
    <definedName name="Libor.Conventions">'EUR STD'!$F$38:$G$43</definedName>
    <definedName name="Libor.MarketData" localSheetId="2">'[2]Swap Curve'!$I$39:$J$43</definedName>
    <definedName name="Libor.MarketData" localSheetId="6">'[3]Swap Curve'!$I$39:$J$43</definedName>
    <definedName name="Libor.MarketData" localSheetId="5">'[4]EUR SWAP 6ML'!$I$39:$J$43</definedName>
    <definedName name="Libor.MarketData">'EUR STD'!$I$39:$J$43</definedName>
    <definedName name="LiborConventions" localSheetId="4">'USD STD'!$F$38:$G$43</definedName>
    <definedName name="LiborMarketData" localSheetId="4">'USD STD'!$I$39:$J$43</definedName>
    <definedName name="LiborOISBasis.Conventions" localSheetId="2">'[2]OIS Curve'!$C$64:$D$89</definedName>
    <definedName name="LiborOISBasis.Conventions" localSheetId="6">'[3]OIS Curve'!$C$64:$D$89</definedName>
    <definedName name="LiborOISBasis.Conventions" localSheetId="5">'[4]EUR OIS'!$C$64:$D$89</definedName>
    <definedName name="LiborOISBasis.Conventions">'EUR OIS'!$C$64:$D$89</definedName>
    <definedName name="LiborOISBasis.MarketData" localSheetId="2">'[2]OIS Curve'!$F$65:$G$89</definedName>
    <definedName name="LiborOISBasis.MarketData" localSheetId="6">'[3]OIS Curve'!$F$65:$G$89</definedName>
    <definedName name="LiborOISBasis.MarketData" localSheetId="5">'[4]EUR OIS'!$F$65:$G$89</definedName>
    <definedName name="LiborOISBasis.MarketData">'EUR OIS'!$F$65:$G$89</definedName>
    <definedName name="LiborSwap.Conventions" localSheetId="2">'[2]OIS Curve'!$I$64:$J$89</definedName>
    <definedName name="LiborSwap.Conventions" localSheetId="6">'[3]OIS Curve'!$I$64:$J$89</definedName>
    <definedName name="LiborSwap.Conventions" localSheetId="3">'USD OIS'!$I$64:$J$89</definedName>
    <definedName name="LiborSwap.Conventions" localSheetId="5">'[4]EUR OIS'!$I$64:$J$89</definedName>
    <definedName name="LiborSwap.Conventions">'EUR OIS'!$I$64:$J$89</definedName>
    <definedName name="LiborSwap.MarketData" localSheetId="2">'[2]OIS Curve'!$L$65:$M$89</definedName>
    <definedName name="LiborSwap.MarketData" localSheetId="6">'[3]OIS Curve'!$L$65:$M$89</definedName>
    <definedName name="LiborSwap.MarketData" localSheetId="3">'USD OIS'!$L$65:$M$89</definedName>
    <definedName name="LiborSwap.MarketData" localSheetId="5">'[4]EUR OIS'!$L$65:$M$89</definedName>
    <definedName name="LiborSwap.MarketData">'EUR OIS'!$L$65:$M$89</definedName>
    <definedName name="MoneyMarket.Conventions" localSheetId="2">'[2]Swap Curve'!$C$38:$D$43</definedName>
    <definedName name="MoneyMarket.Conventions" localSheetId="6">'[3]Swap Curve'!$C$38:$D$43</definedName>
    <definedName name="MoneyMarket.Conventions" localSheetId="5">'[4]EUR SWAP 6ML'!$C$38:$D$43</definedName>
    <definedName name="MoneyMarket.Conventions">'EUR STD'!$C$38:$D$43</definedName>
    <definedName name="MoneyMarketConventions" localSheetId="4">'USD STD'!$C$38:$D$43</definedName>
    <definedName name="OIS.Conventions" localSheetId="2">'[2]OIS Curve'!$C$31:$D$57</definedName>
    <definedName name="OIS.Conventions" localSheetId="6">'[3]OIS Curve'!$C$31:$D$57</definedName>
    <definedName name="OIS.Conventions" localSheetId="5">'[4]EUR OIS'!$C$31:$D$57</definedName>
    <definedName name="OIS.Conventions">'EUR OIS'!$C$31:$D$57</definedName>
    <definedName name="OIS.FixingTable" localSheetId="2">'[2]OIS Curve'!$L$32:$M$57</definedName>
    <definedName name="OIS.FixingTable" localSheetId="6">'[3]OIS Curve'!$L$32:$M$57</definedName>
    <definedName name="OIS.FixingTable" localSheetId="5">'[4]EUR OIS'!$L$32:$M$57</definedName>
    <definedName name="OIS.FixingTable">'EUR OIS'!$L$32:$M$57</definedName>
    <definedName name="OIS.MarketData" localSheetId="2">'[2]OIS Curve'!$F$32:$J$57</definedName>
    <definedName name="OIS.MarketData" localSheetId="6">'[3]OIS Curve'!$F$32:$J$57</definedName>
    <definedName name="OIS.MarketData" localSheetId="5">'[4]EUR OIS'!$F$32:$J$57</definedName>
    <definedName name="OIS.MarketData">'EUR OIS'!$F$32:$J$57</definedName>
    <definedName name="OISBasis.Conventions" localSheetId="3">'USD OIS'!$C$64:$D$89</definedName>
    <definedName name="OISBasis.Spreads" localSheetId="3">'USD OIS'!$F$65:$G$89</definedName>
    <definedName name="OISConventions" localSheetId="3">'USD OIS'!$C$31:$D$57</definedName>
    <definedName name="OISFixingTable" localSheetId="3">'USD OIS'!$L$32:$M$57</definedName>
    <definedName name="OISMarketData" localSheetId="3">'USD OIS'!$F$32:$J$57</definedName>
    <definedName name="StaticDataTable" localSheetId="3">'USD OIS'!$D$12</definedName>
    <definedName name="StaticDataTable" localSheetId="4">'USD STD'!$D$14</definedName>
    <definedName name="StaticDataTable" localSheetId="5">'XCCY BASIS'!$D$13</definedName>
    <definedName name="STDCurve.Buildproperties" localSheetId="2">'[2]Swap Curve'!$C$22:$D$31</definedName>
    <definedName name="STDCurve.Buildproperties" localSheetId="6">'[3]Swap Curve'!$C$22:$D$31</definedName>
    <definedName name="STDCurve.Buildproperties" localSheetId="5">'[4]EUR SWAP 6ML'!$C$22:$D$31</definedName>
    <definedName name="STDCurve.Buildproperties">'EUR STD'!$C$22:$D$31</definedName>
    <definedName name="STDCurve.CollectionName" localSheetId="2">'[2]Swap Curve'!$D$13</definedName>
    <definedName name="STDCurve.CollectionName" localSheetId="6">'[3]Swap Curve'!$D$13</definedName>
    <definedName name="STDCurve.CollectionName" localSheetId="5">'[4]EUR SWAP 6ML'!$D$13</definedName>
    <definedName name="STDCurve.CollectionName">'EUR STD'!$D$13</definedName>
    <definedName name="STDCurve.IndexName" localSheetId="2">'[2]Swap Curve'!$D$15</definedName>
    <definedName name="STDCurve.IndexName" localSheetId="6">'[3]Swap Curve'!$D$15</definedName>
    <definedName name="STDCurve.IndexName" localSheetId="5">'[4]EUR SWAP 6ML'!$D$15</definedName>
    <definedName name="STDCurve.IndexName">'EUR STD'!$D$15</definedName>
    <definedName name="STDCurve.StaticDataTable" localSheetId="2">'[2]Swap Curve'!$D$14</definedName>
    <definedName name="STDCurve.StaticDataTable" localSheetId="6">'[3]Swap Curve'!$D$14</definedName>
    <definedName name="STDCurve.StaticDataTable" localSheetId="5">'[4]EUR SWAP 6ML'!$D$14</definedName>
    <definedName name="STDCurve.StaticDataTable">'EUR STD'!$D$14</definedName>
    <definedName name="Swap.Conventions" localSheetId="2">'[2]Swap Curve'!$C$93:$D$111</definedName>
    <definedName name="Swap.Conventions" localSheetId="6">'[3]Swap Curve'!$C$93:$D$111</definedName>
    <definedName name="Swap.Conventions" localSheetId="5">'[4]EUR SWAP 6ML'!$C$93:$D$111</definedName>
    <definedName name="Swap.Conventions">'EUR STD'!$C$93:$D$111</definedName>
    <definedName name="Swap.MarketData" localSheetId="2">'[2]Swap Curve'!$F$94:$H$111</definedName>
    <definedName name="Swap.MarketData" localSheetId="6">'[3]Swap Curve'!$F$94:$H$111</definedName>
    <definedName name="Swap.MarketData" localSheetId="5">'[4]EUR SWAP 6ML'!$F$94:$H$111</definedName>
    <definedName name="Swap.MarketData">'EUR STD'!$F$94:$H$111</definedName>
    <definedName name="SwapConventions" localSheetId="4">'USD STD'!$C$93:$D$111</definedName>
    <definedName name="SwapMarketData" localSheetId="4">'USD STD'!$F$94:$H$111</definedName>
    <definedName name="TenorBasisCurve3M6M.BuildProperties" localSheetId="2">'EUR Tenor Basis'!$C$21:$D$31</definedName>
    <definedName name="TenorBasisCurve3M6M.BuildProperties" localSheetId="6">#REF!</definedName>
    <definedName name="TenorBasisCurve3M6M.BuildProperties" localSheetId="5">'[4]EUR BASIS 3ML'!$C$21:$D$31</definedName>
    <definedName name="TenorBasisCurve3M6M.BuildProperties">#REF!</definedName>
    <definedName name="TenorBasisCurve3M6M.CollectionName" localSheetId="2">'EUR Tenor Basis'!$D$12</definedName>
    <definedName name="TenorBasisCurve3M6M.CollectionName" localSheetId="6">#REF!</definedName>
    <definedName name="TenorBasisCurve3M6M.CollectionName" localSheetId="5">'[4]EUR BASIS 3ML'!$D$12</definedName>
    <definedName name="TenorBasisCurve3M6M.CollectionName">#REF!</definedName>
    <definedName name="TenorBasisCurve3M6M.IndexName" localSheetId="2">'EUR Tenor Basis'!$D$14</definedName>
    <definedName name="TenorBasisCurve3M6M.IndexName" localSheetId="6">#REF!</definedName>
    <definedName name="TenorBasisCurve3M6M.IndexName" localSheetId="5">'[4]EUR BASIS 3ML'!$D$14</definedName>
    <definedName name="TenorBasisCurve3M6M.IndexName">#REF!</definedName>
    <definedName name="TenorBasisCurve3M6M.StaticDataTable" localSheetId="2">'EUR Tenor Basis'!$D$13</definedName>
    <definedName name="TenorBasisCurve3M6M.StaticDataTable" localSheetId="6">#REF!</definedName>
    <definedName name="TenorBasisCurve3M6M.StaticDataTable" localSheetId="5">'[4]EUR BASIS 3ML'!$D$13</definedName>
    <definedName name="TenorBasisCurve3M6M.StaticDataTable">#REF!</definedName>
    <definedName name="TenorBasisSwap3M6M.Conventions" localSheetId="2">'EUR Tenor Basis'!$C$38:$D$80</definedName>
    <definedName name="TenorBasisSwap3M6M.Conventions" localSheetId="6">#REF!</definedName>
    <definedName name="TenorBasisSwap3M6M.Conventions" localSheetId="5">'[4]EUR BASIS 3ML'!$C$38:$D$80</definedName>
    <definedName name="TenorBasisSwap3M6M.Conventions">#REF!</definedName>
    <definedName name="TenorBasisSwap3M6M.MarketData" localSheetId="2">'EUR Tenor Basis'!$F$39:$G$80</definedName>
    <definedName name="TenorBasisSwap3M6M.MarketData" localSheetId="6">#REF!</definedName>
    <definedName name="TenorBasisSwap3M6M.MarketData" localSheetId="5">'[4]EUR BASIS 3ML'!$F$39:$G$80</definedName>
    <definedName name="TenorBasisSwap3M6M.MarketData">#REF!</definedName>
    <definedName name="XccyBasisMarketData" localSheetId="5">'XCCY BASIS'!$F$34:$G$75</definedName>
    <definedName name="XccyBasisSwapConventions" localSheetId="5">'XCCY BASIS'!$C$33:$D$75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D7" i="10" l="1"/>
  <c r="D8" i="9"/>
  <c r="D7" i="8"/>
  <c r="D7" i="12"/>
  <c r="D8" i="3"/>
  <c r="D7" i="2"/>
  <c r="D12" i="12" l="1"/>
  <c r="H5" i="13" a="1"/>
  <c r="K12" i="12"/>
  <c r="H5" i="13" l="1"/>
  <c r="L5" i="13"/>
  <c r="J6" i="13"/>
  <c r="H7" i="13"/>
  <c r="L7" i="13"/>
  <c r="J8" i="13"/>
  <c r="H9" i="13"/>
  <c r="L9" i="13"/>
  <c r="J10" i="13"/>
  <c r="H11" i="13"/>
  <c r="L11" i="13"/>
  <c r="J12" i="13"/>
  <c r="H13" i="13"/>
  <c r="L13" i="13"/>
  <c r="J14" i="13"/>
  <c r="H15" i="13"/>
  <c r="L15" i="13"/>
  <c r="J16" i="13"/>
  <c r="H17" i="13"/>
  <c r="L17" i="13"/>
  <c r="J18" i="13"/>
  <c r="H19" i="13"/>
  <c r="L19" i="13"/>
  <c r="J20" i="13"/>
  <c r="H21" i="13"/>
  <c r="L21" i="13"/>
  <c r="J22" i="13"/>
  <c r="H23" i="13"/>
  <c r="L23" i="13"/>
  <c r="J24" i="13"/>
  <c r="H25" i="13"/>
  <c r="L25" i="13"/>
  <c r="J26" i="13"/>
  <c r="H27" i="13"/>
  <c r="L27" i="13"/>
  <c r="J28" i="13"/>
  <c r="H29" i="13"/>
  <c r="L29" i="13"/>
  <c r="J30" i="13"/>
  <c r="H31" i="13"/>
  <c r="L31" i="13"/>
  <c r="J32" i="13"/>
  <c r="H33" i="13"/>
  <c r="L33" i="13"/>
  <c r="J34" i="13"/>
  <c r="H35" i="13"/>
  <c r="L35" i="13"/>
  <c r="J36" i="13"/>
  <c r="H37" i="13"/>
  <c r="L37" i="13"/>
  <c r="J38" i="13"/>
  <c r="H39" i="13"/>
  <c r="L39" i="13"/>
  <c r="J40" i="13"/>
  <c r="H41" i="13"/>
  <c r="L41" i="13"/>
  <c r="J42" i="13"/>
  <c r="H43" i="13"/>
  <c r="L43" i="13"/>
  <c r="J44" i="13"/>
  <c r="H45" i="13"/>
  <c r="L45" i="13"/>
  <c r="J46" i="13"/>
  <c r="H47" i="13"/>
  <c r="L47" i="13"/>
  <c r="J48" i="13"/>
  <c r="H49" i="13"/>
  <c r="L49" i="13"/>
  <c r="J50" i="13"/>
  <c r="H51" i="13"/>
  <c r="L51" i="13"/>
  <c r="J52" i="13"/>
  <c r="H53" i="13"/>
  <c r="L53" i="13"/>
  <c r="J54" i="13"/>
  <c r="H55" i="13"/>
  <c r="L55" i="13"/>
  <c r="J56" i="13"/>
  <c r="H57" i="13"/>
  <c r="L57" i="13"/>
  <c r="J58" i="13"/>
  <c r="H59" i="13"/>
  <c r="L59" i="13"/>
  <c r="J60" i="13"/>
  <c r="H61" i="13"/>
  <c r="I5" i="13"/>
  <c r="J5" i="13"/>
  <c r="K5" i="13"/>
  <c r="K6" i="13"/>
  <c r="J7" i="13"/>
  <c r="I8" i="13"/>
  <c r="I9" i="13"/>
  <c r="H10" i="13"/>
  <c r="M10" i="13"/>
  <c r="M11" i="13"/>
  <c r="L12" i="13"/>
  <c r="K13" i="13"/>
  <c r="K14" i="13"/>
  <c r="J15" i="13"/>
  <c r="I16" i="13"/>
  <c r="I17" i="13"/>
  <c r="H18" i="13"/>
  <c r="M18" i="13"/>
  <c r="M19" i="13"/>
  <c r="L20" i="13"/>
  <c r="K21" i="13"/>
  <c r="K22" i="13"/>
  <c r="J23" i="13"/>
  <c r="I24" i="13"/>
  <c r="I25" i="13"/>
  <c r="H26" i="13"/>
  <c r="M26" i="13"/>
  <c r="M27" i="13"/>
  <c r="L28" i="13"/>
  <c r="K29" i="13"/>
  <c r="K30" i="13"/>
  <c r="J31" i="13"/>
  <c r="I32" i="13"/>
  <c r="I33" i="13"/>
  <c r="H34" i="13"/>
  <c r="M34" i="13"/>
  <c r="M35" i="13"/>
  <c r="L36" i="13"/>
  <c r="K37" i="13"/>
  <c r="K38" i="13"/>
  <c r="J39" i="13"/>
  <c r="I40" i="13"/>
  <c r="I41" i="13"/>
  <c r="H42" i="13"/>
  <c r="M42" i="13"/>
  <c r="M43" i="13"/>
  <c r="L44" i="13"/>
  <c r="K45" i="13"/>
  <c r="K46" i="13"/>
  <c r="J47" i="13"/>
  <c r="I48" i="13"/>
  <c r="I49" i="13"/>
  <c r="H50" i="13"/>
  <c r="M50" i="13"/>
  <c r="M51" i="13"/>
  <c r="L52" i="13"/>
  <c r="K53" i="13"/>
  <c r="K54" i="13"/>
  <c r="J55" i="13"/>
  <c r="I56" i="13"/>
  <c r="I57" i="13"/>
  <c r="H58" i="13"/>
  <c r="M58" i="13"/>
  <c r="M59" i="13"/>
  <c r="L60" i="13"/>
  <c r="K61" i="13"/>
  <c r="I62" i="13"/>
  <c r="M62" i="13"/>
  <c r="K63" i="13"/>
  <c r="I64" i="13"/>
  <c r="M64" i="13"/>
  <c r="K65" i="13"/>
  <c r="I66" i="13"/>
  <c r="M66" i="13"/>
  <c r="K67" i="13"/>
  <c r="I68" i="13"/>
  <c r="M68" i="13"/>
  <c r="K69" i="13"/>
  <c r="I70" i="13"/>
  <c r="M70" i="13"/>
  <c r="K71" i="13"/>
  <c r="I72" i="13"/>
  <c r="M72" i="13"/>
  <c r="K73" i="13"/>
  <c r="I74" i="13"/>
  <c r="M74" i="13"/>
  <c r="K75" i="13"/>
  <c r="H6" i="13"/>
  <c r="M6" i="13"/>
  <c r="M7" i="13"/>
  <c r="L8" i="13"/>
  <c r="K9" i="13"/>
  <c r="K10" i="13"/>
  <c r="J11" i="13"/>
  <c r="I12" i="13"/>
  <c r="I13" i="13"/>
  <c r="H14" i="13"/>
  <c r="M14" i="13"/>
  <c r="M15" i="13"/>
  <c r="L16" i="13"/>
  <c r="K17" i="13"/>
  <c r="K18" i="13"/>
  <c r="J19" i="13"/>
  <c r="I20" i="13"/>
  <c r="I21" i="13"/>
  <c r="H22" i="13"/>
  <c r="M22" i="13"/>
  <c r="M23" i="13"/>
  <c r="L24" i="13"/>
  <c r="K25" i="13"/>
  <c r="K26" i="13"/>
  <c r="J27" i="13"/>
  <c r="I28" i="13"/>
  <c r="I29" i="13"/>
  <c r="H30" i="13"/>
  <c r="M30" i="13"/>
  <c r="M31" i="13"/>
  <c r="L32" i="13"/>
  <c r="K33" i="13"/>
  <c r="K34" i="13"/>
  <c r="J35" i="13"/>
  <c r="I36" i="13"/>
  <c r="I37" i="13"/>
  <c r="H38" i="13"/>
  <c r="M38" i="13"/>
  <c r="M39" i="13"/>
  <c r="L40" i="13"/>
  <c r="K41" i="13"/>
  <c r="K42" i="13"/>
  <c r="J43" i="13"/>
  <c r="I44" i="13"/>
  <c r="I45" i="13"/>
  <c r="H46" i="13"/>
  <c r="M46" i="13"/>
  <c r="M47" i="13"/>
  <c r="L48" i="13"/>
  <c r="K49" i="13"/>
  <c r="K50" i="13"/>
  <c r="J51" i="13"/>
  <c r="I52" i="13"/>
  <c r="I53" i="13"/>
  <c r="H54" i="13"/>
  <c r="M54" i="13"/>
  <c r="M55" i="13"/>
  <c r="L56" i="13"/>
  <c r="K57" i="13"/>
  <c r="K58" i="13"/>
  <c r="J59" i="13"/>
  <c r="I60" i="13"/>
  <c r="I61" i="13"/>
  <c r="M61" i="13"/>
  <c r="K62" i="13"/>
  <c r="I63" i="13"/>
  <c r="M63" i="13"/>
  <c r="K64" i="13"/>
  <c r="I65" i="13"/>
  <c r="M65" i="13"/>
  <c r="K66" i="13"/>
  <c r="I67" i="13"/>
  <c r="M67" i="13"/>
  <c r="K68" i="13"/>
  <c r="I69" i="13"/>
  <c r="M69" i="13"/>
  <c r="K70" i="13"/>
  <c r="I71" i="13"/>
  <c r="M71" i="13"/>
  <c r="K72" i="13"/>
  <c r="I73" i="13"/>
  <c r="M73" i="13"/>
  <c r="K74" i="13"/>
  <c r="I75" i="13"/>
  <c r="I6" i="13"/>
  <c r="I7" i="13"/>
  <c r="H8" i="13"/>
  <c r="M8" i="13"/>
  <c r="M9" i="13"/>
  <c r="L10" i="13"/>
  <c r="K11" i="13"/>
  <c r="K12" i="13"/>
  <c r="J13" i="13"/>
  <c r="I14" i="13"/>
  <c r="I15" i="13"/>
  <c r="H16" i="13"/>
  <c r="M16" i="13"/>
  <c r="M17" i="13"/>
  <c r="L18" i="13"/>
  <c r="K19" i="13"/>
  <c r="K20" i="13"/>
  <c r="J21" i="13"/>
  <c r="I22" i="13"/>
  <c r="I23" i="13"/>
  <c r="H24" i="13"/>
  <c r="M24" i="13"/>
  <c r="M25" i="13"/>
  <c r="L26" i="13"/>
  <c r="K27" i="13"/>
  <c r="K28" i="13"/>
  <c r="J29" i="13"/>
  <c r="I30" i="13"/>
  <c r="I31" i="13"/>
  <c r="H32" i="13"/>
  <c r="M32" i="13"/>
  <c r="M33" i="13"/>
  <c r="L34" i="13"/>
  <c r="K35" i="13"/>
  <c r="K36" i="13"/>
  <c r="J37" i="13"/>
  <c r="I38" i="13"/>
  <c r="I39" i="13"/>
  <c r="H40" i="13"/>
  <c r="M40" i="13"/>
  <c r="M41" i="13"/>
  <c r="L42" i="13"/>
  <c r="K43" i="13"/>
  <c r="K44" i="13"/>
  <c r="J45" i="13"/>
  <c r="I46" i="13"/>
  <c r="I47" i="13"/>
  <c r="H48" i="13"/>
  <c r="M48" i="13"/>
  <c r="M49" i="13"/>
  <c r="L50" i="13"/>
  <c r="K51" i="13"/>
  <c r="K52" i="13"/>
  <c r="J53" i="13"/>
  <c r="I54" i="13"/>
  <c r="I55" i="13"/>
  <c r="H56" i="13"/>
  <c r="M56" i="13"/>
  <c r="M57" i="13"/>
  <c r="L58" i="13"/>
  <c r="K59" i="13"/>
  <c r="K60" i="13"/>
  <c r="J61" i="13"/>
  <c r="H62" i="13"/>
  <c r="L62" i="13"/>
  <c r="J63" i="13"/>
  <c r="H64" i="13"/>
  <c r="L64" i="13"/>
  <c r="J65" i="13"/>
  <c r="H66" i="13"/>
  <c r="L66" i="13"/>
  <c r="J67" i="13"/>
  <c r="H68" i="13"/>
  <c r="L68" i="13"/>
  <c r="J69" i="13"/>
  <c r="H70" i="13"/>
  <c r="L70" i="13"/>
  <c r="J71" i="13"/>
  <c r="H72" i="13"/>
  <c r="L72" i="13"/>
  <c r="J73" i="13"/>
  <c r="H74" i="13"/>
  <c r="L74" i="13"/>
  <c r="J75" i="13"/>
  <c r="H76" i="13"/>
  <c r="M5" i="13"/>
  <c r="J9" i="13"/>
  <c r="M12" i="13"/>
  <c r="K16" i="13"/>
  <c r="H20" i="13"/>
  <c r="K23" i="13"/>
  <c r="I27" i="13"/>
  <c r="L30" i="13"/>
  <c r="I34" i="13"/>
  <c r="M37" i="13"/>
  <c r="J41" i="13"/>
  <c r="M44" i="13"/>
  <c r="K48" i="13"/>
  <c r="H52" i="13"/>
  <c r="K55" i="13"/>
  <c r="I59" i="13"/>
  <c r="J62" i="13"/>
  <c r="H65" i="13"/>
  <c r="L67" i="13"/>
  <c r="J70" i="13"/>
  <c r="H73" i="13"/>
  <c r="L75" i="13"/>
  <c r="K76" i="13"/>
  <c r="I77" i="13"/>
  <c r="M77" i="13"/>
  <c r="K78" i="13"/>
  <c r="I79" i="13"/>
  <c r="M79" i="13"/>
  <c r="K80" i="13"/>
  <c r="I81" i="13"/>
  <c r="M81" i="13"/>
  <c r="K82" i="13"/>
  <c r="I83" i="13"/>
  <c r="M83" i="13"/>
  <c r="K84" i="13"/>
  <c r="I85" i="13"/>
  <c r="M85" i="13"/>
  <c r="K86" i="13"/>
  <c r="I87" i="13"/>
  <c r="M87" i="13"/>
  <c r="K88" i="13"/>
  <c r="I89" i="13"/>
  <c r="M89" i="13"/>
  <c r="K90" i="13"/>
  <c r="I91" i="13"/>
  <c r="M91" i="13"/>
  <c r="K92" i="13"/>
  <c r="I93" i="13"/>
  <c r="M93" i="13"/>
  <c r="K94" i="13"/>
  <c r="I95" i="13"/>
  <c r="M95" i="13"/>
  <c r="K96" i="13"/>
  <c r="I97" i="13"/>
  <c r="M97" i="13"/>
  <c r="K98" i="13"/>
  <c r="I99" i="13"/>
  <c r="L6" i="13"/>
  <c r="I10" i="13"/>
  <c r="M13" i="13"/>
  <c r="J17" i="13"/>
  <c r="M20" i="13"/>
  <c r="K24" i="13"/>
  <c r="H28" i="13"/>
  <c r="K31" i="13"/>
  <c r="I35" i="13"/>
  <c r="L38" i="13"/>
  <c r="I42" i="13"/>
  <c r="M45" i="13"/>
  <c r="J49" i="13"/>
  <c r="M52" i="13"/>
  <c r="K56" i="13"/>
  <c r="H60" i="13"/>
  <c r="H63" i="13"/>
  <c r="L65" i="13"/>
  <c r="J68" i="13"/>
  <c r="H71" i="13"/>
  <c r="L73" i="13"/>
  <c r="M75" i="13"/>
  <c r="L76" i="13"/>
  <c r="J77" i="13"/>
  <c r="H78" i="13"/>
  <c r="L78" i="13"/>
  <c r="J79" i="13"/>
  <c r="H80" i="13"/>
  <c r="L80" i="13"/>
  <c r="J81" i="13"/>
  <c r="H82" i="13"/>
  <c r="L82" i="13"/>
  <c r="J83" i="13"/>
  <c r="H84" i="13"/>
  <c r="L84" i="13"/>
  <c r="J85" i="13"/>
  <c r="H86" i="13"/>
  <c r="L86" i="13"/>
  <c r="J87" i="13"/>
  <c r="H88" i="13"/>
  <c r="L88" i="13"/>
  <c r="J89" i="13"/>
  <c r="H90" i="13"/>
  <c r="L90" i="13"/>
  <c r="J91" i="13"/>
  <c r="H92" i="13"/>
  <c r="L92" i="13"/>
  <c r="J93" i="13"/>
  <c r="H94" i="13"/>
  <c r="L94" i="13"/>
  <c r="J95" i="13"/>
  <c r="H96" i="13"/>
  <c r="L96" i="13"/>
  <c r="K7" i="13"/>
  <c r="I11" i="13"/>
  <c r="L14" i="13"/>
  <c r="I18" i="13"/>
  <c r="M21" i="13"/>
  <c r="J25" i="13"/>
  <c r="M28" i="13"/>
  <c r="K32" i="13"/>
  <c r="H36" i="13"/>
  <c r="K39" i="13"/>
  <c r="I43" i="13"/>
  <c r="L46" i="13"/>
  <c r="I50" i="13"/>
  <c r="M53" i="13"/>
  <c r="J57" i="13"/>
  <c r="M60" i="13"/>
  <c r="L63" i="13"/>
  <c r="J66" i="13"/>
  <c r="H69" i="13"/>
  <c r="L71" i="13"/>
  <c r="J74" i="13"/>
  <c r="I76" i="13"/>
  <c r="M76" i="13"/>
  <c r="K77" i="13"/>
  <c r="I78" i="13"/>
  <c r="M78" i="13"/>
  <c r="K79" i="13"/>
  <c r="I80" i="13"/>
  <c r="M80" i="13"/>
  <c r="K81" i="13"/>
  <c r="I82" i="13"/>
  <c r="M82" i="13"/>
  <c r="K83" i="13"/>
  <c r="I84" i="13"/>
  <c r="M84" i="13"/>
  <c r="K85" i="13"/>
  <c r="I86" i="13"/>
  <c r="M86" i="13"/>
  <c r="K87" i="13"/>
  <c r="I88" i="13"/>
  <c r="M88" i="13"/>
  <c r="K89" i="13"/>
  <c r="I90" i="13"/>
  <c r="M90" i="13"/>
  <c r="K91" i="13"/>
  <c r="I92" i="13"/>
  <c r="M92" i="13"/>
  <c r="K93" i="13"/>
  <c r="I94" i="13"/>
  <c r="M94" i="13"/>
  <c r="K95" i="13"/>
  <c r="I96" i="13"/>
  <c r="M96" i="13"/>
  <c r="K97" i="13"/>
  <c r="I98" i="13"/>
  <c r="M98" i="13"/>
  <c r="K99" i="13"/>
  <c r="I100" i="13"/>
  <c r="M100" i="13"/>
  <c r="K101" i="13"/>
  <c r="I102" i="13"/>
  <c r="M102" i="13"/>
  <c r="K103" i="13"/>
  <c r="I104" i="13"/>
  <c r="M104" i="13"/>
  <c r="K105" i="13"/>
  <c r="I106" i="13"/>
  <c r="M106" i="13"/>
  <c r="K107" i="13"/>
  <c r="I108" i="13"/>
  <c r="M108" i="13"/>
  <c r="K109" i="13"/>
  <c r="I110" i="13"/>
  <c r="M110" i="13"/>
  <c r="K111" i="13"/>
  <c r="I112" i="13"/>
  <c r="M112" i="13"/>
  <c r="K113" i="13"/>
  <c r="I114" i="13"/>
  <c r="M114" i="13"/>
  <c r="K115" i="13"/>
  <c r="I116" i="13"/>
  <c r="M116" i="13"/>
  <c r="K117" i="13"/>
  <c r="I118" i="13"/>
  <c r="K8" i="13"/>
  <c r="L22" i="13"/>
  <c r="M36" i="13"/>
  <c r="I51" i="13"/>
  <c r="J64" i="13"/>
  <c r="H75" i="13"/>
  <c r="J78" i="13"/>
  <c r="H81" i="13"/>
  <c r="L83" i="13"/>
  <c r="J86" i="13"/>
  <c r="H89" i="13"/>
  <c r="L91" i="13"/>
  <c r="J94" i="13"/>
  <c r="H97" i="13"/>
  <c r="J98" i="13"/>
  <c r="L99" i="13"/>
  <c r="K100" i="13"/>
  <c r="J101" i="13"/>
  <c r="J102" i="13"/>
  <c r="I103" i="13"/>
  <c r="H104" i="13"/>
  <c r="H105" i="13"/>
  <c r="M105" i="13"/>
  <c r="L106" i="13"/>
  <c r="L107" i="13"/>
  <c r="K108" i="13"/>
  <c r="J109" i="13"/>
  <c r="J110" i="13"/>
  <c r="I111" i="13"/>
  <c r="H112" i="13"/>
  <c r="H113" i="13"/>
  <c r="M113" i="13"/>
  <c r="L114" i="13"/>
  <c r="L115" i="13"/>
  <c r="K116" i="13"/>
  <c r="J117" i="13"/>
  <c r="J118" i="13"/>
  <c r="H119" i="13"/>
  <c r="L119" i="13"/>
  <c r="J120" i="13"/>
  <c r="H121" i="13"/>
  <c r="L121" i="13"/>
  <c r="J122" i="13"/>
  <c r="H123" i="13"/>
  <c r="L123" i="13"/>
  <c r="J124" i="13"/>
  <c r="H125" i="13"/>
  <c r="L125" i="13"/>
  <c r="J126" i="13"/>
  <c r="H127" i="13"/>
  <c r="L127" i="13"/>
  <c r="J128" i="13"/>
  <c r="H129" i="13"/>
  <c r="L129" i="13"/>
  <c r="J130" i="13"/>
  <c r="H131" i="13"/>
  <c r="L131" i="13"/>
  <c r="J132" i="13"/>
  <c r="H133" i="13"/>
  <c r="L133" i="13"/>
  <c r="J134" i="13"/>
  <c r="H135" i="13"/>
  <c r="L135" i="13"/>
  <c r="J136" i="13"/>
  <c r="H137" i="13"/>
  <c r="L137" i="13"/>
  <c r="J138" i="13"/>
  <c r="H139" i="13"/>
  <c r="L139" i="13"/>
  <c r="J140" i="13"/>
  <c r="H141" i="13"/>
  <c r="L141" i="13"/>
  <c r="J142" i="13"/>
  <c r="H143" i="13"/>
  <c r="L143" i="13"/>
  <c r="J144" i="13"/>
  <c r="H145" i="13"/>
  <c r="L145" i="13"/>
  <c r="J146" i="13"/>
  <c r="H147" i="13"/>
  <c r="L147" i="13"/>
  <c r="J148" i="13"/>
  <c r="H149" i="13"/>
  <c r="L149" i="13"/>
  <c r="J150" i="13"/>
  <c r="K15" i="13"/>
  <c r="M29" i="13"/>
  <c r="H44" i="13"/>
  <c r="I58" i="13"/>
  <c r="L69" i="13"/>
  <c r="H77" i="13"/>
  <c r="L79" i="13"/>
  <c r="J82" i="13"/>
  <c r="H85" i="13"/>
  <c r="L87" i="13"/>
  <c r="J90" i="13"/>
  <c r="H93" i="13"/>
  <c r="L95" i="13"/>
  <c r="L97" i="13"/>
  <c r="H99" i="13"/>
  <c r="H100" i="13"/>
  <c r="H101" i="13"/>
  <c r="M101" i="13"/>
  <c r="L102" i="13"/>
  <c r="L103" i="13"/>
  <c r="K104" i="13"/>
  <c r="J105" i="13"/>
  <c r="J106" i="13"/>
  <c r="I107" i="13"/>
  <c r="H108" i="13"/>
  <c r="H109" i="13"/>
  <c r="M109" i="13"/>
  <c r="L110" i="13"/>
  <c r="L111" i="13"/>
  <c r="K112" i="13"/>
  <c r="J113" i="13"/>
  <c r="J114" i="13"/>
  <c r="I115" i="13"/>
  <c r="H116" i="13"/>
  <c r="H117" i="13"/>
  <c r="M117" i="13"/>
  <c r="L118" i="13"/>
  <c r="J119" i="13"/>
  <c r="H120" i="13"/>
  <c r="L120" i="13"/>
  <c r="J121" i="13"/>
  <c r="H122" i="13"/>
  <c r="L122" i="13"/>
  <c r="J123" i="13"/>
  <c r="H124" i="13"/>
  <c r="L124" i="13"/>
  <c r="J125" i="13"/>
  <c r="H126" i="13"/>
  <c r="L126" i="13"/>
  <c r="J127" i="13"/>
  <c r="I19" i="13"/>
  <c r="J33" i="13"/>
  <c r="K47" i="13"/>
  <c r="L61" i="13"/>
  <c r="J72" i="13"/>
  <c r="L77" i="13"/>
  <c r="J80" i="13"/>
  <c r="H83" i="13"/>
  <c r="L85" i="13"/>
  <c r="J88" i="13"/>
  <c r="H91" i="13"/>
  <c r="L93" i="13"/>
  <c r="J96" i="13"/>
  <c r="H98" i="13"/>
  <c r="H12" i="13"/>
  <c r="H67" i="13"/>
  <c r="J84" i="13"/>
  <c r="H95" i="13"/>
  <c r="M99" i="13"/>
  <c r="L101" i="13"/>
  <c r="J103" i="13"/>
  <c r="I105" i="13"/>
  <c r="H107" i="13"/>
  <c r="L108" i="13"/>
  <c r="K110" i="13"/>
  <c r="J112" i="13"/>
  <c r="H114" i="13"/>
  <c r="M115" i="13"/>
  <c r="L117" i="13"/>
  <c r="I119" i="13"/>
  <c r="K120" i="13"/>
  <c r="M121" i="13"/>
  <c r="I123" i="13"/>
  <c r="K124" i="13"/>
  <c r="M125" i="13"/>
  <c r="I127" i="13"/>
  <c r="I128" i="13"/>
  <c r="I129" i="13"/>
  <c r="H130" i="13"/>
  <c r="M130" i="13"/>
  <c r="M131" i="13"/>
  <c r="L132" i="13"/>
  <c r="K133" i="13"/>
  <c r="K134" i="13"/>
  <c r="J135" i="13"/>
  <c r="I136" i="13"/>
  <c r="I137" i="13"/>
  <c r="H138" i="13"/>
  <c r="M138" i="13"/>
  <c r="M139" i="13"/>
  <c r="L140" i="13"/>
  <c r="K141" i="13"/>
  <c r="K142" i="13"/>
  <c r="J143" i="13"/>
  <c r="I144" i="13"/>
  <c r="I145" i="13"/>
  <c r="H146" i="13"/>
  <c r="M146" i="13"/>
  <c r="M147" i="13"/>
  <c r="L148" i="13"/>
  <c r="K149" i="13"/>
  <c r="K150" i="13"/>
  <c r="I151" i="13"/>
  <c r="M151" i="13"/>
  <c r="K152" i="13"/>
  <c r="I153" i="13"/>
  <c r="M153" i="13"/>
  <c r="K154" i="13"/>
  <c r="I155" i="13"/>
  <c r="M155" i="13"/>
  <c r="K156" i="13"/>
  <c r="I157" i="13"/>
  <c r="M157" i="13"/>
  <c r="K158" i="13"/>
  <c r="I159" i="13"/>
  <c r="M159" i="13"/>
  <c r="K160" i="13"/>
  <c r="I161" i="13"/>
  <c r="M161" i="13"/>
  <c r="K162" i="13"/>
  <c r="I163" i="13"/>
  <c r="M163" i="13"/>
  <c r="K164" i="13"/>
  <c r="I165" i="13"/>
  <c r="M165" i="13"/>
  <c r="K166" i="13"/>
  <c r="I167" i="13"/>
  <c r="M167" i="13"/>
  <c r="K168" i="13"/>
  <c r="I169" i="13"/>
  <c r="M169" i="13"/>
  <c r="K170" i="13"/>
  <c r="I171" i="13"/>
  <c r="M171" i="13"/>
  <c r="I26" i="13"/>
  <c r="J76" i="13"/>
  <c r="H87" i="13"/>
  <c r="J97" i="13"/>
  <c r="J100" i="13"/>
  <c r="H102" i="13"/>
  <c r="M103" i="13"/>
  <c r="L105" i="13"/>
  <c r="J107" i="13"/>
  <c r="I109" i="13"/>
  <c r="H111" i="13"/>
  <c r="L112" i="13"/>
  <c r="K114" i="13"/>
  <c r="J116" i="13"/>
  <c r="H118" i="13"/>
  <c r="K119" i="13"/>
  <c r="M120" i="13"/>
  <c r="I122" i="13"/>
  <c r="K123" i="13"/>
  <c r="M124" i="13"/>
  <c r="I126" i="13"/>
  <c r="K127" i="13"/>
  <c r="K128" i="13"/>
  <c r="J129" i="13"/>
  <c r="I130" i="13"/>
  <c r="I131" i="13"/>
  <c r="H132" i="13"/>
  <c r="M132" i="13"/>
  <c r="M133" i="13"/>
  <c r="L134" i="13"/>
  <c r="K135" i="13"/>
  <c r="K136" i="13"/>
  <c r="J137" i="13"/>
  <c r="I138" i="13"/>
  <c r="I139" i="13"/>
  <c r="H140" i="13"/>
  <c r="M140" i="13"/>
  <c r="M141" i="13"/>
  <c r="L142" i="13"/>
  <c r="K143" i="13"/>
  <c r="K144" i="13"/>
  <c r="J145" i="13"/>
  <c r="I146" i="13"/>
  <c r="I147" i="13"/>
  <c r="H148" i="13"/>
  <c r="M148" i="13"/>
  <c r="M149" i="13"/>
  <c r="L150" i="13"/>
  <c r="H152" i="13"/>
  <c r="L152" i="13"/>
  <c r="J153" i="13"/>
  <c r="H154" i="13"/>
  <c r="L154" i="13"/>
  <c r="J155" i="13"/>
  <c r="H156" i="13"/>
  <c r="J157" i="13"/>
  <c r="H158" i="13"/>
  <c r="J159" i="13"/>
  <c r="L160" i="13"/>
  <c r="H162" i="13"/>
  <c r="J163" i="13"/>
  <c r="L164" i="13"/>
  <c r="H166" i="13"/>
  <c r="J167" i="13"/>
  <c r="J169" i="13"/>
  <c r="L170" i="13"/>
  <c r="K40" i="13"/>
  <c r="H79" i="13"/>
  <c r="L89" i="13"/>
  <c r="L98" i="13"/>
  <c r="L100" i="13"/>
  <c r="K102" i="13"/>
  <c r="J104" i="13"/>
  <c r="H106" i="13"/>
  <c r="M107" i="13"/>
  <c r="L109" i="13"/>
  <c r="J111" i="13"/>
  <c r="I113" i="13"/>
  <c r="H115" i="13"/>
  <c r="L116" i="13"/>
  <c r="K118" i="13"/>
  <c r="M119" i="13"/>
  <c r="I121" i="13"/>
  <c r="K122" i="13"/>
  <c r="M123" i="13"/>
  <c r="I125" i="13"/>
  <c r="K126" i="13"/>
  <c r="M127" i="13"/>
  <c r="L128" i="13"/>
  <c r="K129" i="13"/>
  <c r="K130" i="13"/>
  <c r="J131" i="13"/>
  <c r="I132" i="13"/>
  <c r="I133" i="13"/>
  <c r="H134" i="13"/>
  <c r="M134" i="13"/>
  <c r="M135" i="13"/>
  <c r="L136" i="13"/>
  <c r="K137" i="13"/>
  <c r="K138" i="13"/>
  <c r="J139" i="13"/>
  <c r="I140" i="13"/>
  <c r="I141" i="13"/>
  <c r="H142" i="13"/>
  <c r="M142" i="13"/>
  <c r="M143" i="13"/>
  <c r="L144" i="13"/>
  <c r="K145" i="13"/>
  <c r="K146" i="13"/>
  <c r="J147" i="13"/>
  <c r="I148" i="13"/>
  <c r="I149" i="13"/>
  <c r="H150" i="13"/>
  <c r="M150" i="13"/>
  <c r="K151" i="13"/>
  <c r="I152" i="13"/>
  <c r="M152" i="13"/>
  <c r="K153" i="13"/>
  <c r="I154" i="13"/>
  <c r="M154" i="13"/>
  <c r="K155" i="13"/>
  <c r="I156" i="13"/>
  <c r="M156" i="13"/>
  <c r="K157" i="13"/>
  <c r="I158" i="13"/>
  <c r="M158" i="13"/>
  <c r="K159" i="13"/>
  <c r="I160" i="13"/>
  <c r="M160" i="13"/>
  <c r="K161" i="13"/>
  <c r="I162" i="13"/>
  <c r="M162" i="13"/>
  <c r="K163" i="13"/>
  <c r="I164" i="13"/>
  <c r="M164" i="13"/>
  <c r="K165" i="13"/>
  <c r="I166" i="13"/>
  <c r="M166" i="13"/>
  <c r="K167" i="13"/>
  <c r="I168" i="13"/>
  <c r="M168" i="13"/>
  <c r="K169" i="13"/>
  <c r="I170" i="13"/>
  <c r="M170" i="13"/>
  <c r="K171" i="13"/>
  <c r="L54" i="13"/>
  <c r="L81" i="13"/>
  <c r="J92" i="13"/>
  <c r="J99" i="13"/>
  <c r="I101" i="13"/>
  <c r="H103" i="13"/>
  <c r="L104" i="13"/>
  <c r="K106" i="13"/>
  <c r="J108" i="13"/>
  <c r="H110" i="13"/>
  <c r="M111" i="13"/>
  <c r="L113" i="13"/>
  <c r="J115" i="13"/>
  <c r="I117" i="13"/>
  <c r="M118" i="13"/>
  <c r="I120" i="13"/>
  <c r="K121" i="13"/>
  <c r="M122" i="13"/>
  <c r="I124" i="13"/>
  <c r="K125" i="13"/>
  <c r="M126" i="13"/>
  <c r="H128" i="13"/>
  <c r="M128" i="13"/>
  <c r="M129" i="13"/>
  <c r="L130" i="13"/>
  <c r="K131" i="13"/>
  <c r="K132" i="13"/>
  <c r="J133" i="13"/>
  <c r="I134" i="13"/>
  <c r="I135" i="13"/>
  <c r="H136" i="13"/>
  <c r="M136" i="13"/>
  <c r="M137" i="13"/>
  <c r="L138" i="13"/>
  <c r="K139" i="13"/>
  <c r="K140" i="13"/>
  <c r="J141" i="13"/>
  <c r="I142" i="13"/>
  <c r="I143" i="13"/>
  <c r="H144" i="13"/>
  <c r="M144" i="13"/>
  <c r="M145" i="13"/>
  <c r="L146" i="13"/>
  <c r="K147" i="13"/>
  <c r="K148" i="13"/>
  <c r="J149" i="13"/>
  <c r="I150" i="13"/>
  <c r="H151" i="13"/>
  <c r="L151" i="13"/>
  <c r="J152" i="13"/>
  <c r="H153" i="13"/>
  <c r="L153" i="13"/>
  <c r="J154" i="13"/>
  <c r="H155" i="13"/>
  <c r="L155" i="13"/>
  <c r="J156" i="13"/>
  <c r="H157" i="13"/>
  <c r="L157" i="13"/>
  <c r="J158" i="13"/>
  <c r="H159" i="13"/>
  <c r="L159" i="13"/>
  <c r="J160" i="13"/>
  <c r="H161" i="13"/>
  <c r="L161" i="13"/>
  <c r="J162" i="13"/>
  <c r="H163" i="13"/>
  <c r="L163" i="13"/>
  <c r="J164" i="13"/>
  <c r="H165" i="13"/>
  <c r="L165" i="13"/>
  <c r="J166" i="13"/>
  <c r="H167" i="13"/>
  <c r="L167" i="13"/>
  <c r="J168" i="13"/>
  <c r="H169" i="13"/>
  <c r="L169" i="13"/>
  <c r="J170" i="13"/>
  <c r="H171" i="13"/>
  <c r="L171" i="13"/>
  <c r="J151" i="13"/>
  <c r="L156" i="13"/>
  <c r="L158" i="13"/>
  <c r="H160" i="13"/>
  <c r="J161" i="13"/>
  <c r="L162" i="13"/>
  <c r="H164" i="13"/>
  <c r="J165" i="13"/>
  <c r="L166" i="13"/>
  <c r="H168" i="13"/>
  <c r="L168" i="13"/>
  <c r="H170" i="13"/>
  <c r="J171" i="13"/>
  <c r="G94" i="9"/>
  <c r="G66" i="8"/>
  <c r="G44" i="8"/>
  <c r="G34" i="10"/>
  <c r="G95" i="3"/>
  <c r="M68" i="2"/>
  <c r="G40" i="2"/>
  <c r="G66" i="2" l="1"/>
  <c r="G97" i="3"/>
  <c r="G33" i="8"/>
  <c r="D33" i="10"/>
  <c r="G38" i="2" l="1"/>
  <c r="G68" i="8" l="1"/>
  <c r="M68" i="8"/>
  <c r="M67" i="8"/>
  <c r="J92" i="3" l="1"/>
  <c r="D12" i="10" l="1"/>
</calcChain>
</file>

<file path=xl/comments1.xml><?xml version="1.0" encoding="utf-8"?>
<comments xmlns="http://schemas.openxmlformats.org/spreadsheetml/2006/main">
  <authors>
    <author>Nicholas Burgess</author>
  </authors>
  <commentList>
    <comment ref="D42" authorId="0">
      <text>
        <r>
          <rPr>
            <i/>
            <u/>
            <sz val="12"/>
            <color indexed="12"/>
            <rFont val="Tahoma"/>
            <family val="2"/>
          </rPr>
          <t>LongTerm</t>
        </r>
        <r>
          <rPr>
            <sz val="12"/>
            <color indexed="81"/>
            <rFont val="Tahoma"/>
            <family val="2"/>
          </rPr>
          <t xml:space="preserve">
Defines the first Libor-OIS Basis Instrument to be used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4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45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2.xml><?xml version="1.0" encoding="utf-8"?>
<comments xmlns="http://schemas.openxmlformats.org/spreadsheetml/2006/main">
  <authors>
    <author>Nicholas Burgess</author>
  </authors>
  <commentList>
    <comment ref="D24" authorId="0">
      <text>
        <r>
          <rPr>
            <u/>
            <sz val="12"/>
            <color indexed="12"/>
            <rFont val="Tahoma"/>
            <family val="2"/>
          </rPr>
          <t>Future.Interpolation</t>
        </r>
        <r>
          <rPr>
            <sz val="12"/>
            <color indexed="81"/>
            <rFont val="Tahoma"/>
            <family val="2"/>
          </rPr>
          <t xml:space="preserve">
The interpolation method to be used for futures' start discount factor; when implying forwards from pairs of discount factors.</t>
        </r>
      </text>
    </comment>
    <comment ref="D25" authorId="0">
      <text>
        <r>
          <rPr>
            <u/>
            <sz val="12"/>
            <color indexed="12"/>
            <rFont val="Tahoma"/>
            <family val="2"/>
          </rPr>
          <t>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OIS Discount Curve</t>
        </r>
      </text>
    </comment>
    <comment ref="D26" authorId="0">
      <text>
        <r>
          <rPr>
            <u/>
            <sz val="12"/>
            <color indexed="12"/>
            <rFont val="Tahoma"/>
            <family val="2"/>
          </rPr>
          <t>YieldGen.Interpolation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target curve (i.e. for this Swap Curve)</t>
        </r>
      </text>
    </comment>
    <comment ref="D106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107" authorId="0">
      <text>
        <r>
          <rPr>
            <u/>
            <sz val="12"/>
            <color indexed="39"/>
            <rFont val="Tahoma"/>
            <family val="2"/>
          </rPr>
          <t>GradientEpsilon</t>
        </r>
        <r>
          <rPr>
            <sz val="12"/>
            <color indexed="81"/>
            <rFont val="Tahoma"/>
            <family val="2"/>
          </rPr>
          <t xml:space="preserve">
Swap Solver Gradient Precission Critereon
</t>
        </r>
      </text>
    </comment>
    <comment ref="D108" authorId="0">
      <text>
        <r>
          <rPr>
            <u/>
            <sz val="12"/>
            <color indexed="39"/>
            <rFont val="Tahoma"/>
            <family val="2"/>
          </rPr>
          <t>Delta</t>
        </r>
        <r>
          <rPr>
            <sz val="12"/>
            <color indexed="81"/>
            <rFont val="Tahoma"/>
            <family val="2"/>
          </rPr>
          <t xml:space="preserve">
Swap Solver Bump or Shift Size
</t>
        </r>
      </text>
    </comment>
    <comment ref="D109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3.xml><?xml version="1.0" encoding="utf-8"?>
<comments xmlns="http://schemas.openxmlformats.org/spreadsheetml/2006/main">
  <authors>
    <author>Nicholas Burgess</author>
  </authors>
  <commentList>
    <comment ref="D23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D75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76" authorId="0">
      <text>
        <r>
          <rPr>
            <u/>
            <sz val="12"/>
            <color indexed="39"/>
            <rFont val="Tahoma"/>
            <family val="2"/>
          </rPr>
          <t>GradientEpsilon</t>
        </r>
        <r>
          <rPr>
            <sz val="12"/>
            <color indexed="81"/>
            <rFont val="Tahoma"/>
            <family val="2"/>
          </rPr>
          <t xml:space="preserve">
Swap Solver Gradient Precission Critereon
</t>
        </r>
      </text>
    </comment>
    <comment ref="D77" authorId="0">
      <text>
        <r>
          <rPr>
            <u/>
            <sz val="12"/>
            <color indexed="39"/>
            <rFont val="Tahoma"/>
            <family val="2"/>
          </rPr>
          <t>Delta</t>
        </r>
        <r>
          <rPr>
            <sz val="12"/>
            <color indexed="81"/>
            <rFont val="Tahoma"/>
            <family val="2"/>
          </rPr>
          <t xml:space="preserve">
Swap Solver Bump or Shift Size
</t>
        </r>
      </text>
    </comment>
    <comment ref="D78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4.xml><?xml version="1.0" encoding="utf-8"?>
<comments xmlns="http://schemas.openxmlformats.org/spreadsheetml/2006/main">
  <authors>
    <author>Nicholas Burgess</author>
  </authors>
  <commentList>
    <comment ref="D43" authorId="0">
      <text>
        <r>
          <rPr>
            <i/>
            <u/>
            <sz val="12"/>
            <color indexed="12"/>
            <rFont val="Tahoma"/>
            <family val="2"/>
          </rPr>
          <t>LongTerm</t>
        </r>
        <r>
          <rPr>
            <sz val="12"/>
            <color indexed="81"/>
            <rFont val="Tahoma"/>
            <family val="2"/>
          </rPr>
          <t xml:space="preserve">
Defines the first Libor-OIS Basis Instrument to be used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5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46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5.xml><?xml version="1.0" encoding="utf-8"?>
<comments xmlns="http://schemas.openxmlformats.org/spreadsheetml/2006/main">
  <authors>
    <author>Nicholas Burgess</author>
  </authors>
  <commentList>
    <comment ref="D24" authorId="0">
      <text>
        <r>
          <rPr>
            <u/>
            <sz val="12"/>
            <color indexed="12"/>
            <rFont val="Tahoma"/>
            <family val="2"/>
          </rPr>
          <t>Future.Interpolation</t>
        </r>
        <r>
          <rPr>
            <sz val="12"/>
            <color indexed="81"/>
            <rFont val="Tahoma"/>
            <family val="2"/>
          </rPr>
          <t xml:space="preserve">
The interpolation method to be used for futures' start discount factor; when implying forwards from pairs of discount factors.</t>
        </r>
      </text>
    </comment>
    <comment ref="D25" authorId="0">
      <text>
        <r>
          <rPr>
            <u/>
            <sz val="12"/>
            <color indexed="12"/>
            <rFont val="Tahoma"/>
            <family val="2"/>
          </rPr>
          <t>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OIS Discount Curve</t>
        </r>
      </text>
    </comment>
    <comment ref="D26" authorId="0">
      <text>
        <r>
          <rPr>
            <u/>
            <sz val="12"/>
            <color indexed="12"/>
            <rFont val="Tahoma"/>
            <family val="2"/>
          </rPr>
          <t>YieldGen.Interpolation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target curve (i.e. for this Swap Curve)</t>
        </r>
      </text>
    </comment>
    <comment ref="D107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108" authorId="0">
      <text>
        <r>
          <rPr>
            <u/>
            <sz val="12"/>
            <color indexed="39"/>
            <rFont val="Tahoma"/>
            <family val="2"/>
          </rPr>
          <t>GradientEpsilon</t>
        </r>
        <r>
          <rPr>
            <sz val="12"/>
            <color indexed="81"/>
            <rFont val="Tahoma"/>
            <family val="2"/>
          </rPr>
          <t xml:space="preserve">
Swap Solver Gradient Precission Critereon
</t>
        </r>
      </text>
    </comment>
    <comment ref="D109" authorId="0">
      <text>
        <r>
          <rPr>
            <u/>
            <sz val="12"/>
            <color indexed="39"/>
            <rFont val="Tahoma"/>
            <family val="2"/>
          </rPr>
          <t>Delta</t>
        </r>
        <r>
          <rPr>
            <sz val="12"/>
            <color indexed="81"/>
            <rFont val="Tahoma"/>
            <family val="2"/>
          </rPr>
          <t xml:space="preserve">
Swap Solver Bump or Shift Size
</t>
        </r>
      </text>
    </comment>
    <comment ref="D110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6.xml><?xml version="1.0" encoding="utf-8"?>
<comments xmlns="http://schemas.openxmlformats.org/spreadsheetml/2006/main">
  <authors>
    <author>Nicholas Burgess</author>
  </authors>
  <commentList>
    <comment ref="D23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D70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71" authorId="0">
      <text>
        <r>
          <rPr>
            <u/>
            <sz val="12"/>
            <color indexed="39"/>
            <rFont val="Tahoma"/>
            <family val="2"/>
          </rPr>
          <t>GradientEpsilon</t>
        </r>
        <r>
          <rPr>
            <sz val="12"/>
            <color indexed="81"/>
            <rFont val="Tahoma"/>
            <family val="2"/>
          </rPr>
          <t xml:space="preserve">
Swap Solver Gradient Precission Critereon
</t>
        </r>
      </text>
    </comment>
    <comment ref="D72" authorId="0">
      <text>
        <r>
          <rPr>
            <u/>
            <sz val="12"/>
            <color indexed="39"/>
            <rFont val="Tahoma"/>
            <family val="2"/>
          </rPr>
          <t>Delta</t>
        </r>
        <r>
          <rPr>
            <sz val="12"/>
            <color indexed="81"/>
            <rFont val="Tahoma"/>
            <family val="2"/>
          </rPr>
          <t xml:space="preserve">
Swap Solver Bump or Shift Size
</t>
        </r>
      </text>
    </comment>
    <comment ref="D73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7.xml><?xml version="1.0" encoding="utf-8"?>
<comments xmlns="http://schemas.openxmlformats.org/spreadsheetml/2006/main">
  <authors>
    <author>Ye Joseph</author>
  </authors>
  <commentList>
    <comment ref="B14" authorId="0">
      <text>
        <r>
          <rPr>
            <b/>
            <sz val="9"/>
            <color indexed="81"/>
            <rFont val="Tahoma"/>
            <charset val="1"/>
          </rPr>
          <t>New name for roll convention</t>
        </r>
      </text>
    </comment>
    <comment ref="B23" authorId="0">
      <text>
        <r>
          <rPr>
            <b/>
            <sz val="9"/>
            <color indexed="81"/>
            <rFont val="Tahoma"/>
            <charset val="1"/>
          </rPr>
          <t>new name for roll convention</t>
        </r>
      </text>
    </comment>
  </commentList>
</comments>
</file>

<file path=xl/sharedStrings.xml><?xml version="1.0" encoding="utf-8"?>
<sst xmlns="http://schemas.openxmlformats.org/spreadsheetml/2006/main" count="993" uniqueCount="344">
  <si>
    <t>Curve Names</t>
  </si>
  <si>
    <t>Calendar</t>
  </si>
  <si>
    <t>TGT</t>
  </si>
  <si>
    <t>calendar</t>
  </si>
  <si>
    <t xml:space="preserve"> </t>
  </si>
  <si>
    <t>OIS Conventions</t>
  </si>
  <si>
    <t>ACT/360</t>
  </si>
  <si>
    <t>daycount</t>
  </si>
  <si>
    <t>Use</t>
  </si>
  <si>
    <t>OIS</t>
  </si>
  <si>
    <t>AsOfDate</t>
  </si>
  <si>
    <t>Term</t>
  </si>
  <si>
    <t>Rate</t>
  </si>
  <si>
    <t>StartDate</t>
  </si>
  <si>
    <t>EndDate</t>
  </si>
  <si>
    <t>resetlag</t>
  </si>
  <si>
    <t>Currency</t>
  </si>
  <si>
    <t>EUR</t>
  </si>
  <si>
    <t>Daycount</t>
  </si>
  <si>
    <t>daycountfix</t>
  </si>
  <si>
    <t>30/360</t>
  </si>
  <si>
    <t>SlidingRule</t>
  </si>
  <si>
    <t>MOD_FOLLOWING</t>
  </si>
  <si>
    <t>slidingrule</t>
  </si>
  <si>
    <t>yieldgen.interpolation</t>
  </si>
  <si>
    <t>frequency</t>
  </si>
  <si>
    <t>Annual</t>
  </si>
  <si>
    <t>Frequency</t>
  </si>
  <si>
    <t>Quarterly</t>
  </si>
  <si>
    <t>frequencyfix</t>
  </si>
  <si>
    <t>2d</t>
  </si>
  <si>
    <t>iseomroll</t>
    <phoneticPr fontId="0"/>
  </si>
  <si>
    <t>eomday</t>
    <phoneticPr fontId="0"/>
  </si>
  <si>
    <t>generatemethod</t>
  </si>
  <si>
    <t>dailycompounding</t>
  </si>
  <si>
    <t>firstrate</t>
  </si>
  <si>
    <t>ShortMarket</t>
  </si>
  <si>
    <t/>
  </si>
  <si>
    <t>shorttermconvention</t>
  </si>
  <si>
    <t>arithmeticaverage</t>
  </si>
  <si>
    <t>longtermconvention</t>
  </si>
  <si>
    <t>LOBASIS</t>
  </si>
  <si>
    <t>longterm</t>
  </si>
  <si>
    <t>3Y</t>
  </si>
  <si>
    <t>longterm.generatemethod</t>
  </si>
  <si>
    <t>dailyaveraging</t>
  </si>
  <si>
    <t>ON</t>
  </si>
  <si>
    <t>2Y</t>
  </si>
  <si>
    <t>EUSF1A</t>
  </si>
  <si>
    <t>EUSF2A</t>
  </si>
  <si>
    <t>4Y</t>
  </si>
  <si>
    <t>EUSF3A</t>
  </si>
  <si>
    <t>5Y</t>
  </si>
  <si>
    <t>EUSF4A</t>
  </si>
  <si>
    <t>6Y</t>
  </si>
  <si>
    <t>EUSF5A</t>
  </si>
  <si>
    <t>7Y</t>
  </si>
  <si>
    <t>12M</t>
  </si>
  <si>
    <t>8Y</t>
  </si>
  <si>
    <t>18M</t>
  </si>
  <si>
    <t>9Y</t>
  </si>
  <si>
    <t>10Y</t>
  </si>
  <si>
    <t>11Y</t>
  </si>
  <si>
    <t>12Y</t>
  </si>
  <si>
    <t>15Y</t>
  </si>
  <si>
    <t>20Y</t>
  </si>
  <si>
    <t>25Y</t>
  </si>
  <si>
    <t>30Y</t>
  </si>
  <si>
    <t>40Y</t>
  </si>
  <si>
    <t>Curve Build Properties</t>
  </si>
  <si>
    <t>Libor-OIS Tenor Basis Conventions</t>
  </si>
  <si>
    <t>OIS Par Rates</t>
  </si>
  <si>
    <t>Libor-OIS  Spreads</t>
  </si>
  <si>
    <t>OIS Fixing Table</t>
  </si>
  <si>
    <t>Date</t>
  </si>
  <si>
    <t>Libor Swap Conventions</t>
  </si>
  <si>
    <t>Libor Swap  Rates</t>
  </si>
  <si>
    <t>Libor-OIS Basis Swaps</t>
  </si>
  <si>
    <t>Overnight Indexed Swaps</t>
  </si>
  <si>
    <t>mirSetUpOISCurve</t>
  </si>
  <si>
    <t>EURYC</t>
  </si>
  <si>
    <t>&lt;- This is a reference to a property file table and should remain fixed.</t>
  </si>
  <si>
    <t>Interpolation Options</t>
  </si>
  <si>
    <t>fn_LinearInterpolation</t>
  </si>
  <si>
    <t>fn_StepInterpolation</t>
  </si>
  <si>
    <t>fn_MonotoneConvexInterpolation</t>
  </si>
  <si>
    <t>fn_SplineInterpolation</t>
  </si>
  <si>
    <t>fn_ConstrainedSplineInterpolation</t>
  </si>
  <si>
    <t>CurveCollection</t>
  </si>
  <si>
    <t>IndexName(s)</t>
  </si>
  <si>
    <r>
      <t>mirSetUpOISCurve</t>
    </r>
    <r>
      <rPr>
        <i/>
        <sz val="11"/>
        <rFont val="Calibri"/>
        <family val="2"/>
        <scheme val="minor"/>
      </rPr>
      <t>("CurveCollection","StaticDataTable","CurveBuildProperties","OISConventions","OISMarketData","IndexName","OISFixingTable","OISBasisMarketData","SwapConventions","SwapMarketData","OISBasisConventions")</t>
    </r>
  </si>
  <si>
    <t>mirSetUpSwapCurve</t>
  </si>
  <si>
    <t>STD</t>
  </si>
  <si>
    <t>future.interpolation</t>
  </si>
  <si>
    <t>interpolation</t>
  </si>
  <si>
    <t>isfutureuse</t>
  </si>
  <si>
    <t>isfrause</t>
  </si>
  <si>
    <t>dfcurvename</t>
  </si>
  <si>
    <t>Cash Instruments</t>
  </si>
  <si>
    <t>Money Market Conventions</t>
  </si>
  <si>
    <t>DayCount</t>
  </si>
  <si>
    <t>Slidingrule</t>
  </si>
  <si>
    <t>FOLLOWING</t>
  </si>
  <si>
    <t>Simple</t>
  </si>
  <si>
    <t>Resetlag</t>
  </si>
  <si>
    <t>IsEomRoll</t>
  </si>
  <si>
    <t>Libor Conventions</t>
  </si>
  <si>
    <t>6M</t>
  </si>
  <si>
    <t>FRA Instruments</t>
  </si>
  <si>
    <t>FRA Conventions</t>
  </si>
  <si>
    <t>ResetLag</t>
  </si>
  <si>
    <t>ApplyTension</t>
  </si>
  <si>
    <t>TensionGap</t>
  </si>
  <si>
    <t>2X8</t>
  </si>
  <si>
    <t>3X9</t>
  </si>
  <si>
    <t>4X10</t>
  </si>
  <si>
    <t>5X11</t>
  </si>
  <si>
    <t>6X12</t>
  </si>
  <si>
    <t>7X13</t>
  </si>
  <si>
    <t>8X14</t>
  </si>
  <si>
    <t>9X15</t>
  </si>
  <si>
    <t>10X16</t>
  </si>
  <si>
    <t>11X17</t>
  </si>
  <si>
    <t>12X18</t>
  </si>
  <si>
    <t>Futures Instruments</t>
  </si>
  <si>
    <t>Futures Conventions</t>
  </si>
  <si>
    <t>Volatility</t>
  </si>
  <si>
    <t>Futures Data</t>
  </si>
  <si>
    <t>Swap Instruments</t>
  </si>
  <si>
    <t>Swap Conventions</t>
  </si>
  <si>
    <t>Swap Data</t>
  </si>
  <si>
    <t>DayCountFix</t>
  </si>
  <si>
    <t>DayCountFloat</t>
  </si>
  <si>
    <t>Semi-Annual</t>
  </si>
  <si>
    <t>FrequencyFloat</t>
  </si>
  <si>
    <t>Interpolation</t>
  </si>
  <si>
    <t>IsNewtonraphson</t>
  </si>
  <si>
    <t>issimultaneouseq</t>
  </si>
  <si>
    <t>optimizemethod</t>
  </si>
  <si>
    <t>NL2SOL</t>
  </si>
  <si>
    <t>Epsilon</t>
  </si>
  <si>
    <t>GradientEpsilon</t>
  </si>
  <si>
    <t>Delta</t>
  </si>
  <si>
    <t>MaxLoop</t>
  </si>
  <si>
    <t>Libor Market Data</t>
  </si>
  <si>
    <t>FRA Market Data X3</t>
  </si>
  <si>
    <t>FRA Market Data x6</t>
  </si>
  <si>
    <t>Term / Ticker</t>
  </si>
  <si>
    <t>3M</t>
  </si>
  <si>
    <r>
      <t>Prior to building the Swap Curve must construct an OIS Curve using '</t>
    </r>
    <r>
      <rPr>
        <i/>
        <sz val="11"/>
        <color rgb="FF0000FF"/>
        <rFont val="Calibri"/>
        <family val="2"/>
        <scheme val="minor"/>
      </rPr>
      <t>mirSetUpOISCUrve</t>
    </r>
    <r>
      <rPr>
        <i/>
        <sz val="11"/>
        <color theme="1"/>
        <rFont val="Calibri"/>
        <family val="2"/>
        <scheme val="minor"/>
      </rPr>
      <t>'</t>
    </r>
  </si>
  <si>
    <t>1M</t>
  </si>
  <si>
    <r>
      <t>* These fixings are used in the tenor basis curves see '</t>
    </r>
    <r>
      <rPr>
        <sz val="11"/>
        <color rgb="FF0000FF"/>
        <rFont val="Calibri"/>
        <family val="2"/>
        <scheme val="minor"/>
      </rPr>
      <t>SpotRateTerm</t>
    </r>
    <r>
      <rPr>
        <sz val="11"/>
        <rFont val="Calibri"/>
        <family val="2"/>
        <scheme val="minor"/>
      </rPr>
      <t>'</t>
    </r>
  </si>
  <si>
    <t>OIS:EUROIS:EURDF</t>
  </si>
  <si>
    <t>ForecastCurve</t>
  </si>
  <si>
    <t>CurveSetID</t>
  </si>
  <si>
    <t>DiscountCurve</t>
  </si>
  <si>
    <t>BumpSize</t>
  </si>
  <si>
    <t>BumpMode</t>
  </si>
  <si>
    <t>Central</t>
  </si>
  <si>
    <t>Notional</t>
  </si>
  <si>
    <t>PAYER</t>
  </si>
  <si>
    <t>Act/360</t>
  </si>
  <si>
    <t>0D</t>
  </si>
  <si>
    <t>ShortStart</t>
  </si>
  <si>
    <t>Swap Spec</t>
  </si>
  <si>
    <t>FixedFrequency</t>
  </si>
  <si>
    <t>FixedDaycount</t>
  </si>
  <si>
    <t>FixedCalendar</t>
  </si>
  <si>
    <t>FixedFirstStub</t>
  </si>
  <si>
    <t>FixedLastStub</t>
  </si>
  <si>
    <t>FixedRollDay</t>
  </si>
  <si>
    <t>FixedPaymentLag</t>
  </si>
  <si>
    <t>FixedStubType</t>
  </si>
  <si>
    <t>FloatFrequency</t>
  </si>
  <si>
    <t>FloatDaycount</t>
  </si>
  <si>
    <t>FloatFirstStub</t>
  </si>
  <si>
    <t>FloatCalendar</t>
  </si>
  <si>
    <t>FloatLastStub</t>
  </si>
  <si>
    <t>FloatRollDay</t>
  </si>
  <si>
    <t>FloatFixingLag</t>
  </si>
  <si>
    <t>FloatFirstFixing</t>
  </si>
  <si>
    <t>FloatLastFixing</t>
  </si>
  <si>
    <t>FloatPaymentLag</t>
  </si>
  <si>
    <t>FloatStubType</t>
  </si>
  <si>
    <t>FloatSpread</t>
  </si>
  <si>
    <t>PayerReceiver</t>
  </si>
  <si>
    <t>EffectiveDate</t>
  </si>
  <si>
    <t>MaturityDate</t>
  </si>
  <si>
    <t>FixedRate</t>
  </si>
  <si>
    <t>UP</t>
  </si>
  <si>
    <t>DOWN</t>
  </si>
  <si>
    <t>Calculation times - Release (in seconds)</t>
  </si>
  <si>
    <t>Up</t>
  </si>
  <si>
    <t>mirSetUpBasisSwapCurve</t>
  </si>
  <si>
    <r>
      <t>Prior to building the Basis Curve must construct an OIS Curve using '</t>
    </r>
    <r>
      <rPr>
        <i/>
        <sz val="11"/>
        <color rgb="FF0000FF"/>
        <rFont val="Calibri"/>
        <family val="2"/>
        <scheme val="minor"/>
      </rPr>
      <t>mirSetUpOISCUrve</t>
    </r>
    <r>
      <rPr>
        <i/>
        <sz val="11"/>
        <color theme="1"/>
        <rFont val="Calibri"/>
        <family val="2"/>
        <scheme val="minor"/>
      </rPr>
      <t>' and a Swap Curve using '</t>
    </r>
    <r>
      <rPr>
        <i/>
        <sz val="11"/>
        <color rgb="FF0000FF"/>
        <rFont val="Calibri"/>
        <family val="2"/>
        <scheme val="minor"/>
      </rPr>
      <t>mirSetUpSwapCurve</t>
    </r>
    <r>
      <rPr>
        <i/>
        <sz val="11"/>
        <color theme="1"/>
        <rFont val="Calibri"/>
        <family val="2"/>
        <scheme val="minor"/>
      </rPr>
      <t>'</t>
    </r>
  </si>
  <si>
    <t>MarketName</t>
  </si>
  <si>
    <t>1Y</t>
  </si>
  <si>
    <t>2</t>
  </si>
  <si>
    <t>fwdinterpolation</t>
  </si>
  <si>
    <t>isfwdinter</t>
  </si>
  <si>
    <t>spotrateterm</t>
  </si>
  <si>
    <t>isyieldspreadcalc</t>
  </si>
  <si>
    <t>USDYC</t>
  </si>
  <si>
    <t>USD</t>
  </si>
  <si>
    <t>NYB</t>
  </si>
  <si>
    <t>FFJ6</t>
  </si>
  <si>
    <t>FFK6</t>
  </si>
  <si>
    <t>FFM6</t>
  </si>
  <si>
    <t>FFN6</t>
  </si>
  <si>
    <t>FFQ6</t>
  </si>
  <si>
    <t>FFU6</t>
  </si>
  <si>
    <t>eomday</t>
  </si>
  <si>
    <t>FFV6</t>
  </si>
  <si>
    <t>iseomroll</t>
  </si>
  <si>
    <t>FFX6</t>
  </si>
  <si>
    <t>FFZ7</t>
  </si>
  <si>
    <t>LNB:NYB</t>
  </si>
  <si>
    <t>SEMI-ANNUAL</t>
  </si>
  <si>
    <t>simple</t>
  </si>
  <si>
    <t>ED1  COMB Comdty</t>
  </si>
  <si>
    <t>ED2 COMB Comdty</t>
  </si>
  <si>
    <t>ED3 COMB Comdty</t>
  </si>
  <si>
    <t>MeanReversion</t>
  </si>
  <si>
    <t>ED4  COMB Comdty</t>
  </si>
  <si>
    <t>ED5  COMB Comdty</t>
  </si>
  <si>
    <t>ED6  COMB Comdty</t>
  </si>
  <si>
    <t>ED7  COMB Comdty</t>
  </si>
  <si>
    <t>ED8  COMB Comdty</t>
  </si>
  <si>
    <t>ED9 COMB Comdty</t>
  </si>
  <si>
    <t>ED10  COMB Comdty</t>
  </si>
  <si>
    <t>ED11  COMB Comdty</t>
  </si>
  <si>
    <t>ED12  COMB Comdty</t>
  </si>
  <si>
    <t>IsTimeInterpolation</t>
  </si>
  <si>
    <t>XccyBasis</t>
  </si>
  <si>
    <t>Xccy Basis Swaps</t>
  </si>
  <si>
    <t>Xccy Basis Swap Conventions</t>
  </si>
  <si>
    <t>Xccy Basis Spreads</t>
  </si>
  <si>
    <t>adjustvalue.interpolation</t>
  </si>
  <si>
    <t>isleg1spread</t>
  </si>
  <si>
    <t>leg1cashlet.calendar</t>
  </si>
  <si>
    <t>LNB:NYB:TGT</t>
  </si>
  <si>
    <t>leg1cashlet.daycount</t>
  </si>
  <si>
    <t>leg1cashlet.frequency</t>
  </si>
  <si>
    <t>leg1cashlet.slidingrule</t>
  </si>
  <si>
    <t>leg1cashlet.spotlag</t>
  </si>
  <si>
    <t>leg1discount</t>
  </si>
  <si>
    <t>EURYC:OIS</t>
  </si>
  <si>
    <t>leg1forecast</t>
  </si>
  <si>
    <t>leg1index.accessary</t>
  </si>
  <si>
    <t>leg1index.daycount</t>
  </si>
  <si>
    <t>leg1index.fixing.calendar</t>
  </si>
  <si>
    <t>leg1index.frequency</t>
  </si>
  <si>
    <t>leg1index.payment.calendar</t>
  </si>
  <si>
    <t>LNB</t>
  </si>
  <si>
    <t>leg1index.resetlag</t>
  </si>
  <si>
    <t>leg1index.slidingrule</t>
  </si>
  <si>
    <t>leg2cashlet.calendar</t>
  </si>
  <si>
    <t>leg2cashlet.daycount</t>
  </si>
  <si>
    <t>leg2cashlet.frequency</t>
  </si>
  <si>
    <t>leg2cashlet.slidingrule</t>
  </si>
  <si>
    <t>leg2cashlet.spotlag</t>
  </si>
  <si>
    <t>leg2discount</t>
  </si>
  <si>
    <t>USDYC:OIS</t>
  </si>
  <si>
    <t>leg2forecast</t>
  </si>
  <si>
    <t>USDYC:USD3ML</t>
  </si>
  <si>
    <t>leg2index.accessary</t>
  </si>
  <si>
    <t>leg2index.daycount</t>
  </si>
  <si>
    <t>leg2index.fixing.calendar</t>
  </si>
  <si>
    <t>leg2index.frequency</t>
  </si>
  <si>
    <t>leg2index.payment.calendar</t>
  </si>
  <si>
    <t>leg2index.resetlag</t>
  </si>
  <si>
    <t>leg2index.slidingrule</t>
  </si>
  <si>
    <t>target</t>
  </si>
  <si>
    <t>Leg1Discount</t>
  </si>
  <si>
    <t>FALSE</t>
  </si>
  <si>
    <t>SwapTenor</t>
  </si>
  <si>
    <t>SwapType</t>
  </si>
  <si>
    <t>LIBOR</t>
  </si>
  <si>
    <t xml:space="preserve">Important: </t>
  </si>
  <si>
    <t>When a curve is built, all its properties are set directly to the mpPropertyAccessor global object.</t>
  </si>
  <si>
    <t>When the same curve is built again in the same Excel session, those properties will be reused. They are never removed from mpPropertyAccessor at the beginning of a curve build.</t>
  </si>
  <si>
    <t>This simply means that, if property 'SwapTenor' was defined as part of the curve build inputs the first time round but gets removed in the second curve build,</t>
  </si>
  <si>
    <t>the second curve build will still use the old value of 'SwapTenor' because its old value was remembered in the Entity Pool.</t>
  </si>
  <si>
    <t>FixedBusinessDayAdjustment</t>
  </si>
  <si>
    <t>FloatBusinessDayAdjustment</t>
  </si>
  <si>
    <t>CurveType</t>
  </si>
  <si>
    <t>Swap</t>
  </si>
  <si>
    <t>STD:EUR6ML</t>
  </si>
  <si>
    <t>USDYC:STD</t>
  </si>
  <si>
    <t>TradeType</t>
  </si>
  <si>
    <t>mirSwapDeltaLadder</t>
  </si>
  <si>
    <t>Delta Settings</t>
  </si>
  <si>
    <t>EURYC:STD</t>
  </si>
  <si>
    <t>TradeID</t>
  </si>
  <si>
    <t>VanillaIRS</t>
  </si>
  <si>
    <t>RECEIVER</t>
  </si>
  <si>
    <t>3m6mbasis</t>
  </si>
  <si>
    <t>3m6mbasis:EUR3ML</t>
  </si>
  <si>
    <t>basis.interpolation</t>
  </si>
  <si>
    <t>Basis</t>
  </si>
  <si>
    <t>Tenor Basis Swaps</t>
  </si>
  <si>
    <t>Tenor Basis Conventions ( 3 X 6 )</t>
  </si>
  <si>
    <t>Tenor Basis Spreads ( 3 X 6 )</t>
  </si>
  <si>
    <t>EUR3ML</t>
  </si>
  <si>
    <t>IsLeg1Spread</t>
  </si>
  <si>
    <t>Leg1cashlet.calendar</t>
  </si>
  <si>
    <t>Leg1cashlet.daycount</t>
  </si>
  <si>
    <t>Leg1cashlet.frequency</t>
  </si>
  <si>
    <t>Leg1cashlet.slidingrule</t>
  </si>
  <si>
    <t>Leg1cashlet.spotlag</t>
  </si>
  <si>
    <t>Leg1discount</t>
  </si>
  <si>
    <t>Leg1forecast</t>
  </si>
  <si>
    <t>EUR6ML</t>
  </si>
  <si>
    <t>Leg1index.accessary</t>
  </si>
  <si>
    <t>Leg1index.daycount</t>
  </si>
  <si>
    <t>Leg1index.fixing.calendar</t>
  </si>
  <si>
    <t>Leg1index.frequency</t>
  </si>
  <si>
    <t>Leg1index.payment.calendar</t>
  </si>
  <si>
    <t>Leg1index.resetlag</t>
  </si>
  <si>
    <t>Leg1index.slidingrule</t>
  </si>
  <si>
    <t>Leg2cashlet.calendar</t>
  </si>
  <si>
    <t>Leg2cashlet.daycount</t>
  </si>
  <si>
    <t>Leg2cashlet.frequency</t>
  </si>
  <si>
    <t>Leg2cashlet.slidingrule</t>
  </si>
  <si>
    <t>Leg2cashlet.spotlag</t>
  </si>
  <si>
    <t>Leg2discount</t>
  </si>
  <si>
    <t>Leg2forecast</t>
  </si>
  <si>
    <t>Leg2index.accessary</t>
  </si>
  <si>
    <t>Leg2index.daycount</t>
  </si>
  <si>
    <t>Leg2index.fixing.calendar</t>
  </si>
  <si>
    <t>Leg2index.frequency</t>
  </si>
  <si>
    <t>Leg2index.payment.calendar</t>
  </si>
  <si>
    <t>Leg2index.resetlag</t>
  </si>
  <si>
    <t>Leg2index.slidingrule</t>
  </si>
  <si>
    <t>Target</t>
  </si>
  <si>
    <t>Leg2Forecast</t>
  </si>
  <si>
    <t>issamegridindex</t>
  </si>
  <si>
    <t>Trade_6M</t>
  </si>
  <si>
    <t>Trade_3M</t>
  </si>
  <si>
    <t>Trade_OIS</t>
  </si>
  <si>
    <t>CompoundMethod</t>
  </si>
  <si>
    <t>Geometric</t>
  </si>
  <si>
    <t>Curve Collection</t>
  </si>
  <si>
    <t>Trade_EUR_USDCSA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</si>
</sst>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1" formatCode="_-* #,##0_-;\-* #,##0_-;_-* &quot;-&quot;_-;_-@_-"/>
    <numFmt numFmtId="164" formatCode="0.000%"/>
    <numFmt numFmtId="165" formatCode="0.00000%"/>
    <numFmt numFmtId="166" formatCode="#,##0.0000"/>
    <numFmt numFmtId="167" formatCode="ddd\ d\-mmm\-yy"/>
    <numFmt numFmtId="168" formatCode="#,##0.00_ ;[Red]\-#,##0.00\ "/>
    <numFmt numFmtId="169" formatCode="#,##0.000000000_ ;[Red]\-#,##0.000000000\ "/>
    <numFmt numFmtId="170" formatCode="#,##0_ ;[Red]\-#,##0\ "/>
  </numFmts>
  <fonts count="25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rgb="FF006600"/>
      <name val="Calibri"/>
      <family val="2"/>
      <scheme val="minor"/>
    </font>
    <font>
      <sz val="11"/>
      <name val="Times New Roman"/>
      <family val="1"/>
    </font>
    <font>
      <b/>
      <sz val="11"/>
      <color rgb="FF006600"/>
      <name val="Calibri"/>
      <family val="2"/>
      <scheme val="minor"/>
    </font>
    <font>
      <i/>
      <sz val="11"/>
      <color rgb="FF0000FF"/>
      <name val="Calibri"/>
      <family val="2"/>
      <scheme val="minor"/>
    </font>
    <font>
      <i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2"/>
      <color indexed="81"/>
      <name val="Tahoma"/>
      <family val="2"/>
    </font>
    <font>
      <i/>
      <u/>
      <sz val="12"/>
      <color indexed="12"/>
      <name val="Tahoma"/>
      <family val="2"/>
    </font>
    <font>
      <sz val="11"/>
      <color theme="1"/>
      <name val="Calibri"/>
      <family val="2"/>
      <scheme val="minor"/>
    </font>
    <font>
      <u/>
      <sz val="12"/>
      <color indexed="12"/>
      <name val="Tahoma"/>
      <family val="2"/>
    </font>
    <font>
      <u/>
      <sz val="12"/>
      <color indexed="39"/>
      <name val="Tahoma"/>
      <family val="2"/>
    </font>
    <font>
      <i/>
      <sz val="11"/>
      <color theme="1"/>
      <name val="Calibri"/>
      <family val="2"/>
      <scheme val="minor"/>
    </font>
    <font>
      <b/>
      <u/>
      <sz val="15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indexed="81"/>
      <name val="Tahoma"/>
      <charset val="1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27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dotted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dotted">
        <color theme="0" tint="-0.24994659260841701"/>
      </bottom>
      <diagonal/>
    </border>
    <border>
      <left style="thin">
        <color theme="0" tint="-0.24994659260841701"/>
      </left>
      <right/>
      <top style="dotted">
        <color theme="0" tint="-0.24994659260841701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dotted">
        <color theme="0" tint="-0.24994659260841701"/>
      </bottom>
      <diagonal/>
    </border>
    <border>
      <left/>
      <right style="thin">
        <color theme="0" tint="-0.24994659260841701"/>
      </right>
      <top style="dotted">
        <color theme="0" tint="-0.24994659260841701"/>
      </top>
      <bottom/>
      <diagonal/>
    </border>
  </borders>
  <cellStyleXfs count="3">
    <xf numFmtId="0" fontId="0" fillId="0" borderId="0"/>
    <xf numFmtId="0" fontId="10" fillId="0" borderId="0">
      <alignment vertical="center"/>
    </xf>
    <xf numFmtId="41" fontId="18" fillId="0" borderId="0" applyFont="0" applyFill="0" applyBorder="0" applyAlignment="0" applyProtection="0"/>
  </cellStyleXfs>
  <cellXfs count="190">
    <xf numFmtId="0" fontId="0" fillId="0" borderId="0" xfId="0"/>
    <xf numFmtId="0" fontId="0" fillId="0" borderId="0" xfId="0" applyFill="1" applyBorder="1"/>
    <xf numFmtId="0" fontId="0" fillId="2" borderId="5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9" xfId="0" applyFill="1" applyBorder="1"/>
    <xf numFmtId="0" fontId="4" fillId="2" borderId="0" xfId="0" applyFont="1" applyFill="1" applyBorder="1"/>
    <xf numFmtId="0" fontId="0" fillId="2" borderId="0" xfId="0" applyFill="1" applyBorder="1"/>
    <xf numFmtId="0" fontId="0" fillId="2" borderId="10" xfId="0" applyFill="1" applyBorder="1"/>
    <xf numFmtId="0" fontId="8" fillId="2" borderId="0" xfId="0" applyFont="1" applyFill="1" applyBorder="1"/>
    <xf numFmtId="0" fontId="6" fillId="2" borderId="0" xfId="0" applyFont="1" applyFill="1" applyBorder="1"/>
    <xf numFmtId="0" fontId="0" fillId="2" borderId="14" xfId="0" applyFill="1" applyBorder="1"/>
    <xf numFmtId="0" fontId="0" fillId="2" borderId="12" xfId="0" applyFill="1" applyBorder="1"/>
    <xf numFmtId="0" fontId="0" fillId="2" borderId="13" xfId="0" applyFill="1" applyBorder="1"/>
    <xf numFmtId="0" fontId="0" fillId="0" borderId="5" xfId="0" applyFill="1" applyBorder="1"/>
    <xf numFmtId="0" fontId="0" fillId="0" borderId="2" xfId="0" applyFill="1" applyBorder="1"/>
    <xf numFmtId="0" fontId="0" fillId="0" borderId="3" xfId="0" applyFill="1" applyBorder="1"/>
    <xf numFmtId="0" fontId="0" fillId="0" borderId="9" xfId="0" applyFill="1" applyBorder="1"/>
    <xf numFmtId="0" fontId="0" fillId="0" borderId="10" xfId="0" applyFill="1" applyBorder="1"/>
    <xf numFmtId="164" fontId="9" fillId="0" borderId="0" xfId="0" applyNumberFormat="1" applyFont="1" applyFill="1" applyBorder="1" applyAlignment="1">
      <alignment horizontal="center" vertical="center"/>
    </xf>
    <xf numFmtId="15" fontId="9" fillId="0" borderId="0" xfId="0" applyNumberFormat="1" applyFont="1" applyFill="1" applyBorder="1" applyAlignment="1">
      <alignment horizontal="center" vertical="center"/>
    </xf>
    <xf numFmtId="0" fontId="0" fillId="0" borderId="14" xfId="0" applyFill="1" applyBorder="1"/>
    <xf numFmtId="0" fontId="0" fillId="0" borderId="13" xfId="0" applyFill="1" applyBorder="1"/>
    <xf numFmtId="0" fontId="0" fillId="0" borderId="12" xfId="0" applyFill="1" applyBorder="1"/>
    <xf numFmtId="0" fontId="9" fillId="0" borderId="9" xfId="0" applyFont="1" applyFill="1" applyBorder="1" applyAlignment="1">
      <alignment horizontal="center" vertical="center"/>
    </xf>
    <xf numFmtId="0" fontId="9" fillId="0" borderId="14" xfId="0" applyFont="1" applyFill="1" applyBorder="1" applyAlignment="1">
      <alignment horizontal="center" vertical="center"/>
    </xf>
    <xf numFmtId="164" fontId="9" fillId="0" borderId="12" xfId="0" applyNumberFormat="1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center"/>
    </xf>
    <xf numFmtId="0" fontId="6" fillId="0" borderId="4" xfId="0" applyFont="1" applyFill="1" applyBorder="1" applyAlignment="1">
      <alignment vertical="center"/>
    </xf>
    <xf numFmtId="0" fontId="6" fillId="0" borderId="4" xfId="0" applyFont="1" applyFill="1" applyBorder="1"/>
    <xf numFmtId="0" fontId="6" fillId="0" borderId="4" xfId="0" applyFont="1" applyFill="1" applyBorder="1" applyAlignment="1"/>
    <xf numFmtId="0" fontId="1" fillId="0" borderId="4" xfId="0" applyFont="1" applyFill="1" applyBorder="1" applyAlignment="1"/>
    <xf numFmtId="0" fontId="0" fillId="0" borderId="4" xfId="0" applyFont="1" applyFill="1" applyBorder="1"/>
    <xf numFmtId="0" fontId="0" fillId="0" borderId="11" xfId="0" applyFont="1" applyFill="1" applyBorder="1"/>
    <xf numFmtId="0" fontId="9" fillId="0" borderId="3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 vertical="center"/>
    </xf>
    <xf numFmtId="0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 applyAlignment="1"/>
    <xf numFmtId="11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/>
    <xf numFmtId="0" fontId="9" fillId="0" borderId="13" xfId="0" applyFont="1" applyFill="1" applyBorder="1"/>
    <xf numFmtId="15" fontId="9" fillId="0" borderId="10" xfId="0" applyNumberFormat="1" applyFont="1" applyFill="1" applyBorder="1" applyAlignment="1">
      <alignment horizontal="center" vertical="center"/>
    </xf>
    <xf numFmtId="15" fontId="9" fillId="0" borderId="12" xfId="0" applyNumberFormat="1" applyFont="1" applyFill="1" applyBorder="1" applyAlignment="1">
      <alignment horizontal="center" vertical="center"/>
    </xf>
    <xf numFmtId="15" fontId="9" fillId="0" borderId="13" xfId="0" applyNumberFormat="1" applyFont="1" applyFill="1" applyBorder="1" applyAlignment="1">
      <alignment horizontal="center" vertical="center"/>
    </xf>
    <xf numFmtId="0" fontId="6" fillId="0" borderId="11" xfId="0" applyFont="1" applyFill="1" applyBorder="1"/>
    <xf numFmtId="0" fontId="4" fillId="2" borderId="2" xfId="0" applyFont="1" applyFill="1" applyBorder="1"/>
    <xf numFmtId="0" fontId="5" fillId="2" borderId="2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7" fillId="2" borderId="12" xfId="0" applyFont="1" applyFill="1" applyBorder="1"/>
    <xf numFmtId="0" fontId="7" fillId="2" borderId="0" xfId="0" applyFont="1" applyFill="1" applyBorder="1"/>
    <xf numFmtId="0" fontId="2" fillId="2" borderId="0" xfId="0" applyFont="1" applyFill="1" applyBorder="1"/>
    <xf numFmtId="164" fontId="9" fillId="0" borderId="10" xfId="0" applyNumberFormat="1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 vertical="center"/>
    </xf>
    <xf numFmtId="15" fontId="9" fillId="0" borderId="9" xfId="0" applyNumberFormat="1" applyFont="1" applyFill="1" applyBorder="1" applyAlignment="1">
      <alignment horizontal="center" vertical="center"/>
    </xf>
    <xf numFmtId="15" fontId="9" fillId="0" borderId="14" xfId="0" applyNumberFormat="1" applyFont="1" applyFill="1" applyBorder="1" applyAlignment="1">
      <alignment horizontal="center" vertical="center"/>
    </xf>
    <xf numFmtId="0" fontId="6" fillId="2" borderId="10" xfId="0" applyFont="1" applyFill="1" applyBorder="1"/>
    <xf numFmtId="0" fontId="5" fillId="0" borderId="0" xfId="0" applyFont="1"/>
    <xf numFmtId="0" fontId="3" fillId="2" borderId="12" xfId="0" applyFont="1" applyFill="1" applyBorder="1" applyAlignment="1">
      <alignment horizontal="center" vertical="center"/>
    </xf>
    <xf numFmtId="0" fontId="6" fillId="2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vertical="center"/>
    </xf>
    <xf numFmtId="0" fontId="5" fillId="2" borderId="0" xfId="0" applyFont="1" applyFill="1" applyBorder="1" applyAlignment="1">
      <alignment horizontal="center" vertical="center"/>
    </xf>
    <xf numFmtId="0" fontId="11" fillId="0" borderId="6" xfId="0" applyFont="1" applyFill="1" applyBorder="1" applyAlignment="1">
      <alignment horizontal="left" vertical="center"/>
    </xf>
    <xf numFmtId="0" fontId="11" fillId="0" borderId="7" xfId="0" applyFont="1" applyFill="1" applyBorder="1" applyAlignment="1">
      <alignment horizontal="center" vertical="center"/>
    </xf>
    <xf numFmtId="0" fontId="11" fillId="0" borderId="8" xfId="0" applyFont="1" applyFill="1" applyBorder="1" applyAlignment="1">
      <alignment horizontal="center" vertical="center"/>
    </xf>
    <xf numFmtId="0" fontId="13" fillId="0" borderId="15" xfId="0" applyFont="1" applyFill="1" applyBorder="1"/>
    <xf numFmtId="0" fontId="12" fillId="0" borderId="0" xfId="0" applyFont="1"/>
    <xf numFmtId="0" fontId="14" fillId="2" borderId="2" xfId="0" applyFont="1" applyFill="1" applyBorder="1"/>
    <xf numFmtId="0" fontId="0" fillId="0" borderId="0" xfId="0" quotePrefix="1"/>
    <xf numFmtId="0" fontId="11" fillId="2" borderId="10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/>
    </xf>
    <xf numFmtId="0" fontId="9" fillId="0" borderId="13" xfId="0" applyFont="1" applyFill="1" applyBorder="1" applyAlignment="1">
      <alignment horizontal="center"/>
    </xf>
    <xf numFmtId="0" fontId="6" fillId="0" borderId="5" xfId="0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6" fillId="0" borderId="14" xfId="0" applyFont="1" applyFill="1" applyBorder="1" applyAlignment="1">
      <alignment horizontal="center" vertical="center"/>
    </xf>
    <xf numFmtId="10" fontId="9" fillId="0" borderId="10" xfId="0" applyNumberFormat="1" applyFont="1" applyFill="1" applyBorder="1" applyAlignment="1">
      <alignment horizontal="center" vertical="center"/>
    </xf>
    <xf numFmtId="165" fontId="9" fillId="0" borderId="3" xfId="0" applyNumberFormat="1" applyFont="1" applyFill="1" applyBorder="1" applyAlignment="1">
      <alignment horizontal="center" vertical="center"/>
    </xf>
    <xf numFmtId="165" fontId="9" fillId="0" borderId="10" xfId="0" applyNumberFormat="1" applyFont="1" applyFill="1" applyBorder="1" applyAlignment="1">
      <alignment horizontal="center" vertical="center"/>
    </xf>
    <xf numFmtId="165" fontId="9" fillId="0" borderId="13" xfId="0" applyNumberFormat="1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4" fontId="9" fillId="0" borderId="9" xfId="1" quotePrefix="1" applyNumberFormat="1" applyFont="1" applyFill="1" applyBorder="1" applyAlignment="1">
      <alignment horizontal="center" vertical="center"/>
    </xf>
    <xf numFmtId="15" fontId="9" fillId="0" borderId="0" xfId="1" quotePrefix="1" applyNumberFormat="1" applyFont="1" applyFill="1" applyBorder="1" applyAlignment="1">
      <alignment horizontal="center" vertical="center"/>
    </xf>
    <xf numFmtId="166" fontId="9" fillId="0" borderId="0" xfId="2" quotePrefix="1" applyNumberFormat="1" applyFont="1" applyFill="1" applyBorder="1" applyAlignment="1">
      <alignment horizontal="center" vertical="center"/>
    </xf>
    <xf numFmtId="164" fontId="9" fillId="0" borderId="10" xfId="2" quotePrefix="1" applyNumberFormat="1" applyFont="1" applyFill="1" applyBorder="1" applyAlignment="1">
      <alignment horizontal="center" vertical="center"/>
    </xf>
    <xf numFmtId="165" fontId="9" fillId="0" borderId="9" xfId="1" quotePrefix="1" applyNumberFormat="1" applyFont="1" applyFill="1" applyBorder="1" applyAlignment="1">
      <alignment horizontal="center" vertical="center"/>
    </xf>
    <xf numFmtId="165" fontId="9" fillId="0" borderId="9" xfId="1" applyNumberFormat="1" applyFont="1" applyFill="1" applyBorder="1" applyAlignment="1">
      <alignment horizontal="center" vertical="center"/>
    </xf>
    <xf numFmtId="15" fontId="9" fillId="0" borderId="0" xfId="1" applyNumberFormat="1" applyFont="1" applyFill="1" applyBorder="1" applyAlignment="1">
      <alignment horizontal="center" vertical="center"/>
    </xf>
    <xf numFmtId="166" fontId="9" fillId="0" borderId="0" xfId="2" applyNumberFormat="1" applyFont="1" applyFill="1" applyBorder="1" applyAlignment="1">
      <alignment horizontal="center" vertical="center"/>
    </xf>
    <xf numFmtId="164" fontId="9" fillId="0" borderId="10" xfId="2" applyNumberFormat="1" applyFont="1" applyFill="1" applyBorder="1" applyAlignment="1">
      <alignment horizontal="center" vertical="center"/>
    </xf>
    <xf numFmtId="0" fontId="9" fillId="0" borderId="9" xfId="1" applyFont="1" applyFill="1" applyBorder="1" applyAlignment="1">
      <alignment horizontal="center" vertical="center"/>
    </xf>
    <xf numFmtId="166" fontId="9" fillId="0" borderId="0" xfId="1" applyNumberFormat="1" applyFont="1" applyFill="1" applyBorder="1" applyAlignment="1">
      <alignment horizontal="center" vertical="center"/>
    </xf>
    <xf numFmtId="0" fontId="9" fillId="0" borderId="9" xfId="0" applyFont="1" applyFill="1" applyBorder="1" applyAlignment="1">
      <alignment horizontal="center"/>
    </xf>
    <xf numFmtId="15" fontId="9" fillId="0" borderId="0" xfId="0" applyNumberFormat="1" applyFont="1" applyFill="1" applyBorder="1" applyAlignment="1">
      <alignment horizontal="center"/>
    </xf>
    <xf numFmtId="164" fontId="9" fillId="0" borderId="10" xfId="0" applyNumberFormat="1" applyFont="1" applyFill="1" applyBorder="1" applyAlignment="1">
      <alignment horizontal="center"/>
    </xf>
    <xf numFmtId="0" fontId="9" fillId="0" borderId="14" xfId="0" applyFont="1" applyFill="1" applyBorder="1" applyAlignment="1">
      <alignment horizontal="center"/>
    </xf>
    <xf numFmtId="15" fontId="9" fillId="0" borderId="12" xfId="0" applyNumberFormat="1" applyFont="1" applyFill="1" applyBorder="1" applyAlignment="1">
      <alignment horizontal="center"/>
    </xf>
    <xf numFmtId="166" fontId="9" fillId="0" borderId="12" xfId="1" applyNumberFormat="1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/>
    </xf>
    <xf numFmtId="0" fontId="0" fillId="2" borderId="12" xfId="0" applyFont="1" applyFill="1" applyBorder="1" applyAlignment="1">
      <alignment horizontal="center" vertical="center"/>
    </xf>
    <xf numFmtId="165" fontId="9" fillId="0" borderId="2" xfId="0" applyNumberFormat="1" applyFont="1" applyFill="1" applyBorder="1" applyAlignment="1">
      <alignment horizontal="center" vertical="center"/>
    </xf>
    <xf numFmtId="165" fontId="9" fillId="0" borderId="0" xfId="0" applyNumberFormat="1" applyFont="1" applyFill="1" applyBorder="1" applyAlignment="1">
      <alignment horizontal="center" vertical="center"/>
    </xf>
    <xf numFmtId="165" fontId="9" fillId="0" borderId="12" xfId="0" applyNumberFormat="1" applyFont="1" applyFill="1" applyBorder="1" applyAlignment="1">
      <alignment horizontal="center" vertical="center"/>
    </xf>
    <xf numFmtId="0" fontId="9" fillId="0" borderId="5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vertical="center"/>
    </xf>
    <xf numFmtId="0" fontId="9" fillId="0" borderId="4" xfId="0" applyFont="1" applyFill="1" applyBorder="1" applyAlignment="1">
      <alignment vertical="center"/>
    </xf>
    <xf numFmtId="0" fontId="9" fillId="0" borderId="11" xfId="0" applyFont="1" applyFill="1" applyBorder="1"/>
    <xf numFmtId="0" fontId="11" fillId="0" borderId="10" xfId="0" applyFont="1" applyFill="1" applyBorder="1" applyAlignment="1">
      <alignment horizontal="center" vertical="center"/>
    </xf>
    <xf numFmtId="3" fontId="9" fillId="0" borderId="10" xfId="0" applyNumberFormat="1" applyFont="1" applyFill="1" applyBorder="1" applyAlignment="1">
      <alignment horizontal="center" vertical="center"/>
    </xf>
    <xf numFmtId="15" fontId="9" fillId="0" borderId="1" xfId="0" applyNumberFormat="1" applyFont="1" applyFill="1" applyBorder="1" applyAlignment="1">
      <alignment horizontal="center" vertical="center"/>
    </xf>
    <xf numFmtId="0" fontId="9" fillId="0" borderId="4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left" vertical="center"/>
    </xf>
    <xf numFmtId="0" fontId="9" fillId="0" borderId="11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center" vertical="center"/>
    </xf>
    <xf numFmtId="0" fontId="21" fillId="2" borderId="0" xfId="0" applyFont="1" applyFill="1" applyBorder="1"/>
    <xf numFmtId="0" fontId="11" fillId="0" borderId="6" xfId="0" quotePrefix="1" applyFont="1" applyFill="1" applyBorder="1" applyAlignment="1">
      <alignment horizontal="left" vertical="center"/>
    </xf>
    <xf numFmtId="0" fontId="1" fillId="0" borderId="0" xfId="0" applyFont="1"/>
    <xf numFmtId="0" fontId="0" fillId="0" borderId="4" xfId="0" applyBorder="1" applyAlignment="1">
      <alignment horizontal="center" vertical="center"/>
    </xf>
    <xf numFmtId="0" fontId="0" fillId="0" borderId="4" xfId="0" quotePrefix="1" applyBorder="1" applyAlignment="1">
      <alignment horizontal="center" vertical="center"/>
    </xf>
    <xf numFmtId="3" fontId="0" fillId="3" borderId="1" xfId="0" applyNumberFormat="1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167" fontId="6" fillId="3" borderId="4" xfId="0" applyNumberFormat="1" applyFont="1" applyFill="1" applyBorder="1" applyAlignment="1">
      <alignment horizontal="center" vertical="center"/>
    </xf>
    <xf numFmtId="0" fontId="0" fillId="4" borderId="4" xfId="0" applyFill="1" applyBorder="1"/>
    <xf numFmtId="0" fontId="0" fillId="4" borderId="9" xfId="0" applyFill="1" applyBorder="1"/>
    <xf numFmtId="0" fontId="0" fillId="4" borderId="14" xfId="0" applyFill="1" applyBorder="1"/>
    <xf numFmtId="0" fontId="0" fillId="5" borderId="4" xfId="0" applyFill="1" applyBorder="1"/>
    <xf numFmtId="0" fontId="0" fillId="5" borderId="9" xfId="0" applyFill="1" applyBorder="1"/>
    <xf numFmtId="0" fontId="0" fillId="5" borderId="14" xfId="0" applyFill="1" applyBorder="1"/>
    <xf numFmtId="0" fontId="0" fillId="6" borderId="1" xfId="0" applyFill="1" applyBorder="1"/>
    <xf numFmtId="0" fontId="0" fillId="6" borderId="4" xfId="0" applyFill="1" applyBorder="1"/>
    <xf numFmtId="167" fontId="6" fillId="3" borderId="11" xfId="0" applyNumberFormat="1" applyFont="1" applyFill="1" applyBorder="1" applyAlignment="1">
      <alignment horizontal="center" vertical="center"/>
    </xf>
    <xf numFmtId="0" fontId="0" fillId="7" borderId="1" xfId="0" applyFill="1" applyBorder="1"/>
    <xf numFmtId="0" fontId="0" fillId="7" borderId="4" xfId="0" applyFill="1" applyBorder="1"/>
    <xf numFmtId="0" fontId="0" fillId="7" borderId="11" xfId="0" applyFill="1" applyBorder="1"/>
    <xf numFmtId="0" fontId="1" fillId="3" borderId="0" xfId="0" applyFont="1" applyFill="1" applyBorder="1"/>
    <xf numFmtId="0" fontId="0" fillId="2" borderId="0" xfId="0" applyFill="1" applyBorder="1" applyAlignment="1">
      <alignment horizontal="left"/>
    </xf>
    <xf numFmtId="169" fontId="9" fillId="0" borderId="15" xfId="0" quotePrefix="1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2" fillId="0" borderId="0" xfId="0" applyFont="1"/>
    <xf numFmtId="0" fontId="0" fillId="0" borderId="0" xfId="0" applyAlignment="1">
      <alignment horizontal="left"/>
    </xf>
    <xf numFmtId="0" fontId="22" fillId="0" borderId="0" xfId="0" applyFont="1" applyAlignment="1">
      <alignment horizontal="left" vertical="center"/>
    </xf>
    <xf numFmtId="4" fontId="9" fillId="0" borderId="0" xfId="0" applyNumberFormat="1" applyFont="1" applyFill="1" applyBorder="1" applyAlignment="1">
      <alignment horizontal="center" vertical="center"/>
    </xf>
    <xf numFmtId="0" fontId="0" fillId="0" borderId="10" xfId="0" applyBorder="1"/>
    <xf numFmtId="11" fontId="9" fillId="0" borderId="4" xfId="0" applyNumberFormat="1" applyFont="1" applyFill="1" applyBorder="1" applyAlignment="1">
      <alignment horizontal="center" vertical="center"/>
    </xf>
    <xf numFmtId="0" fontId="6" fillId="0" borderId="19" xfId="0" applyFont="1" applyFill="1" applyBorder="1"/>
    <xf numFmtId="0" fontId="6" fillId="0" borderId="18" xfId="0" applyFont="1" applyFill="1" applyBorder="1"/>
    <xf numFmtId="15" fontId="9" fillId="0" borderId="4" xfId="0" applyNumberFormat="1" applyFont="1" applyFill="1" applyBorder="1" applyAlignment="1">
      <alignment horizontal="center" vertical="center"/>
    </xf>
    <xf numFmtId="0" fontId="9" fillId="0" borderId="18" xfId="0" applyFont="1" applyFill="1" applyBorder="1" applyAlignment="1">
      <alignment horizontal="center" vertical="center"/>
    </xf>
    <xf numFmtId="0" fontId="9" fillId="8" borderId="10" xfId="0" applyFont="1" applyFill="1" applyBorder="1" applyAlignment="1">
      <alignment horizontal="center" vertical="center"/>
    </xf>
    <xf numFmtId="0" fontId="9" fillId="8" borderId="4" xfId="0" applyFont="1" applyFill="1" applyBorder="1" applyAlignment="1">
      <alignment vertical="center"/>
    </xf>
    <xf numFmtId="168" fontId="0" fillId="3" borderId="0" xfId="0" quotePrefix="1" applyNumberFormat="1" applyFill="1" applyAlignment="1">
      <alignment horizontal="left"/>
    </xf>
    <xf numFmtId="0" fontId="23" fillId="0" borderId="0" xfId="0" applyFont="1"/>
    <xf numFmtId="0" fontId="13" fillId="0" borderId="0" xfId="0" applyFont="1"/>
    <xf numFmtId="0" fontId="6" fillId="0" borderId="16" xfId="0" applyFont="1" applyFill="1" applyBorder="1"/>
    <xf numFmtId="0" fontId="6" fillId="0" borderId="20" xfId="0" applyFont="1" applyFill="1" applyBorder="1"/>
    <xf numFmtId="0" fontId="6" fillId="8" borderId="4" xfId="0" applyFont="1" applyFill="1" applyBorder="1"/>
    <xf numFmtId="0" fontId="9" fillId="8" borderId="4" xfId="0" applyFont="1" applyFill="1" applyBorder="1" applyAlignment="1">
      <alignment horizontal="center" vertical="center"/>
    </xf>
    <xf numFmtId="0" fontId="9" fillId="9" borderId="16" xfId="0" applyFont="1" applyFill="1" applyBorder="1" applyAlignment="1">
      <alignment horizontal="center" vertical="center"/>
    </xf>
    <xf numFmtId="0" fontId="0" fillId="3" borderId="23" xfId="0" quotePrefix="1" applyFill="1" applyBorder="1" applyAlignment="1">
      <alignment horizontal="left"/>
    </xf>
    <xf numFmtId="170" fontId="0" fillId="3" borderId="17" xfId="0" quotePrefix="1" applyNumberFormat="1" applyFill="1" applyBorder="1" applyAlignment="1">
      <alignment horizontal="left"/>
    </xf>
    <xf numFmtId="0" fontId="0" fillId="3" borderId="24" xfId="0" quotePrefix="1" applyFill="1" applyBorder="1" applyAlignment="1">
      <alignment horizontal="left"/>
    </xf>
    <xf numFmtId="170" fontId="0" fillId="3" borderId="21" xfId="0" quotePrefix="1" applyNumberFormat="1" applyFill="1" applyBorder="1" applyAlignment="1">
      <alignment horizontal="left"/>
    </xf>
    <xf numFmtId="0" fontId="0" fillId="0" borderId="23" xfId="0" quotePrefix="1" applyFill="1" applyBorder="1" applyAlignment="1">
      <alignment horizontal="left"/>
    </xf>
    <xf numFmtId="170" fontId="0" fillId="0" borderId="17" xfId="0" quotePrefix="1" applyNumberFormat="1" applyFill="1" applyBorder="1" applyAlignment="1">
      <alignment horizontal="left"/>
    </xf>
    <xf numFmtId="168" fontId="0" fillId="0" borderId="0" xfId="0" quotePrefix="1" applyNumberFormat="1" applyFill="1" applyAlignment="1">
      <alignment horizontal="left"/>
    </xf>
    <xf numFmtId="0" fontId="0" fillId="0" borderId="0" xfId="0" applyFill="1" applyAlignment="1">
      <alignment horizontal="left"/>
    </xf>
    <xf numFmtId="168" fontId="0" fillId="3" borderId="0" xfId="0" quotePrefix="1" applyNumberFormat="1" applyFill="1" applyBorder="1" applyAlignment="1">
      <alignment horizontal="left"/>
    </xf>
    <xf numFmtId="170" fontId="0" fillId="3" borderId="23" xfId="0" quotePrefix="1" applyNumberFormat="1" applyFill="1" applyBorder="1" applyAlignment="1">
      <alignment horizontal="left"/>
    </xf>
    <xf numFmtId="0" fontId="0" fillId="10" borderId="1" xfId="0" applyFill="1" applyBorder="1"/>
    <xf numFmtId="3" fontId="0" fillId="3" borderId="0" xfId="0" applyNumberFormat="1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167" fontId="6" fillId="3" borderId="0" xfId="0" applyNumberFormat="1" applyFont="1" applyFill="1" applyBorder="1" applyAlignment="1">
      <alignment horizontal="center" vertical="center"/>
    </xf>
    <xf numFmtId="0" fontId="0" fillId="3" borderId="16" xfId="0" quotePrefix="1" applyFill="1" applyBorder="1" applyAlignment="1">
      <alignment horizontal="left"/>
    </xf>
    <xf numFmtId="170" fontId="0" fillId="3" borderId="16" xfId="0" quotePrefix="1" applyNumberFormat="1" applyFill="1" applyBorder="1" applyAlignment="1">
      <alignment horizontal="left"/>
    </xf>
    <xf numFmtId="0" fontId="6" fillId="0" borderId="20" xfId="0" applyFont="1" applyFill="1" applyBorder="1" applyAlignment="1">
      <alignment vertical="center"/>
    </xf>
    <xf numFmtId="0" fontId="9" fillId="8" borderId="16" xfId="0" applyFont="1" applyFill="1" applyBorder="1" applyAlignment="1">
      <alignment horizontal="center" vertical="center"/>
    </xf>
    <xf numFmtId="0" fontId="6" fillId="0" borderId="25" xfId="0" applyFont="1" applyFill="1" applyBorder="1" applyAlignment="1">
      <alignment vertical="center"/>
    </xf>
    <xf numFmtId="0" fontId="6" fillId="0" borderId="18" xfId="0" applyFont="1" applyFill="1" applyBorder="1" applyAlignment="1">
      <alignment vertical="center"/>
    </xf>
    <xf numFmtId="0" fontId="9" fillId="0" borderId="26" xfId="0" applyFont="1" applyFill="1" applyBorder="1" applyAlignment="1">
      <alignment horizontal="center" vertical="center"/>
    </xf>
    <xf numFmtId="0" fontId="6" fillId="0" borderId="9" xfId="0" applyFont="1" applyFill="1" applyBorder="1" applyAlignment="1">
      <alignment vertical="center"/>
    </xf>
    <xf numFmtId="0" fontId="0" fillId="2" borderId="4" xfId="0" applyFill="1" applyBorder="1" applyAlignment="1">
      <alignment horizontal="center"/>
    </xf>
    <xf numFmtId="0" fontId="0" fillId="11" borderId="4" xfId="0" applyFill="1" applyBorder="1"/>
    <xf numFmtId="0" fontId="0" fillId="11" borderId="14" xfId="0" applyFill="1" applyBorder="1"/>
    <xf numFmtId="0" fontId="6" fillId="0" borderId="11" xfId="0" applyFont="1" applyFill="1" applyBorder="1" applyAlignment="1">
      <alignment horizontal="center" vertical="center"/>
    </xf>
    <xf numFmtId="0" fontId="0" fillId="6" borderId="22" xfId="0" applyFill="1" applyBorder="1" applyAlignment="1">
      <alignment horizontal="center"/>
    </xf>
    <xf numFmtId="0" fontId="0" fillId="6" borderId="23" xfId="0" applyFill="1" applyBorder="1" applyAlignment="1">
      <alignment horizontal="center"/>
    </xf>
    <xf numFmtId="0" fontId="0" fillId="6" borderId="24" xfId="0" applyFill="1" applyBorder="1" applyAlignment="1">
      <alignment horizontal="center"/>
    </xf>
    <xf numFmtId="170" fontId="0" fillId="3" borderId="24" xfId="0" quotePrefix="1" applyNumberFormat="1" applyFill="1" applyBorder="1" applyAlignment="1">
      <alignment horizontal="left"/>
    </xf>
    <xf numFmtId="0" fontId="0" fillId="0" borderId="24" xfId="0" quotePrefix="1" applyFill="1" applyBorder="1" applyAlignment="1">
      <alignment horizontal="left"/>
    </xf>
    <xf numFmtId="170" fontId="0" fillId="0" borderId="21" xfId="0" quotePrefix="1" applyNumberFormat="1" applyFill="1" applyBorder="1" applyAlignment="1">
      <alignment horizontal="left"/>
    </xf>
    <xf numFmtId="0" fontId="2" fillId="0" borderId="4" xfId="0" applyFont="1" applyBorder="1" applyAlignment="1">
      <alignment horizontal="center" vertical="center"/>
    </xf>
    <xf numFmtId="167" fontId="7" fillId="3" borderId="11" xfId="0" applyNumberFormat="1" applyFont="1" applyFill="1" applyBorder="1" applyAlignment="1">
      <alignment horizontal="center" vertical="center"/>
    </xf>
  </cellXfs>
  <cellStyles count="3">
    <cellStyle name="Comma [0]" xfId="2" builtinId="6"/>
    <cellStyle name="Normal" xfId="0" builtinId="0"/>
    <cellStyle name="標準_Input_OutPut20060417" xfId="1"/>
  </cellStyles>
  <dxfs count="0"/>
  <tableStyles count="0" defaultTableStyle="TableStyleMedium2" defaultPivotStyle="PivotStyleLight16"/>
  <colors>
    <mruColors>
      <color rgb="FF006600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4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DESKTOP\ExampleSwapGenerator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Secure\DIR_MLib_Analytics\MLIB%20Examples\mirSetUpBasisSwapCurve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DeltaLadder%20-%20STD%20(forecast)%20-%20OIS%20(discount)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Secure\DIR_MLib_Analytics\MLIB%20Examples\mirSetUpBasisCurves%20(%20Xccy%20Basis%20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tings"/>
      <sheetName val="Instruments"/>
      <sheetName val="Instrument Data"/>
      <sheetName val="EUR Market Data"/>
      <sheetName val="USD Market Data"/>
      <sheetName val="GBP Market Data"/>
      <sheetName val="JPY Market Data"/>
      <sheetName val="EUR Curve Config"/>
      <sheetName val="USD Curve Config"/>
      <sheetName val="GBP Curve Config"/>
      <sheetName val="JPY Curve Config"/>
      <sheetName val="Multi-Curves"/>
      <sheetName val="Display Curves"/>
      <sheetName val="Curve Charts"/>
      <sheetName val="Forward Charts"/>
      <sheetName val="EUR Swaps"/>
      <sheetName val="USD Swaps"/>
      <sheetName val="GBP Swaps"/>
      <sheetName val="JPY Swaps"/>
      <sheetName val="Custom EUR Swaps"/>
      <sheetName val="Custom USD Swaps"/>
      <sheetName val="Custom GBP Swaps"/>
      <sheetName val="Custom JPY Swaps"/>
      <sheetName val="EUR Asset Swaps"/>
      <sheetName val="USD Asset Swaps"/>
      <sheetName val="GBP Asset Swaps"/>
      <sheetName val="JPY Asset Swaps"/>
    </sheetNames>
    <sheetDataSet>
      <sheetData sheetId="0">
        <row r="2">
          <cell r="C2">
            <v>42445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IS Curve"/>
      <sheetName val="Swap Curve"/>
      <sheetName val="Tenor Basis Curve"/>
    </sheetNames>
    <sheetDataSet>
      <sheetData sheetId="0">
        <row r="11">
          <cell r="D11" t="str">
            <v>EURYC</v>
          </cell>
        </row>
        <row r="12">
          <cell r="D12" t="str">
            <v>OIS</v>
          </cell>
        </row>
        <row r="13">
          <cell r="D13" t="str">
            <v>OIS:EUROIS:EURDF</v>
          </cell>
        </row>
        <row r="20">
          <cell r="C20" t="str">
            <v>AsOfDate</v>
          </cell>
          <cell r="D20">
            <v>42419</v>
          </cell>
        </row>
        <row r="21">
          <cell r="C21" t="str">
            <v>Currency</v>
          </cell>
          <cell r="D21" t="str">
            <v>EUR</v>
          </cell>
        </row>
        <row r="22">
          <cell r="C22" t="str">
            <v>yieldgen.interpolation</v>
          </cell>
          <cell r="D22" t="str">
            <v>fn_MonotoneConvexInterpolation</v>
          </cell>
        </row>
        <row r="23">
          <cell r="C23">
            <v>0</v>
          </cell>
          <cell r="D23">
            <v>0</v>
          </cell>
        </row>
        <row r="24">
          <cell r="C24">
            <v>0</v>
          </cell>
          <cell r="D24">
            <v>0</v>
          </cell>
        </row>
        <row r="31">
          <cell r="C31" t="str">
            <v>calendar</v>
          </cell>
          <cell r="D31" t="str">
            <v>TGT</v>
          </cell>
        </row>
        <row r="32">
          <cell r="C32" t="str">
            <v>daycount</v>
          </cell>
          <cell r="D32" t="str">
            <v>ACT/360</v>
          </cell>
          <cell r="F32" t="str">
            <v>ON</v>
          </cell>
          <cell r="G32">
            <v>-2.4299999999999999E-3</v>
          </cell>
          <cell r="H32" t="str">
            <v/>
          </cell>
          <cell r="I32" t="str">
            <v/>
          </cell>
          <cell r="J32" t="b">
            <v>1</v>
          </cell>
          <cell r="L32">
            <v>0</v>
          </cell>
          <cell r="M32">
            <v>0</v>
          </cell>
        </row>
        <row r="33">
          <cell r="C33" t="str">
            <v>frequency</v>
          </cell>
          <cell r="D33" t="str">
            <v>Annual</v>
          </cell>
          <cell r="F33" t="str">
            <v>EUSF1A</v>
          </cell>
          <cell r="G33">
            <v>-3.3900000000000002E-3</v>
          </cell>
          <cell r="H33">
            <v>42481</v>
          </cell>
          <cell r="I33">
            <v>42523</v>
          </cell>
          <cell r="J33" t="b">
            <v>1</v>
          </cell>
          <cell r="L33">
            <v>0</v>
          </cell>
          <cell r="M33">
            <v>0</v>
          </cell>
        </row>
        <row r="34">
          <cell r="C34" t="str">
            <v>resetlag</v>
          </cell>
          <cell r="D34" t="str">
            <v>2d</v>
          </cell>
          <cell r="F34" t="str">
            <v>EUSF2A</v>
          </cell>
          <cell r="G34">
            <v>-3.5299999999999997E-3</v>
          </cell>
          <cell r="H34">
            <v>42523</v>
          </cell>
          <cell r="I34">
            <v>42572</v>
          </cell>
          <cell r="J34" t="b">
            <v>1</v>
          </cell>
          <cell r="L34">
            <v>0</v>
          </cell>
          <cell r="M34">
            <v>0</v>
          </cell>
        </row>
        <row r="35">
          <cell r="C35" t="str">
            <v>slidingrule</v>
          </cell>
          <cell r="D35" t="str">
            <v>MOD_FOLLOWING</v>
          </cell>
          <cell r="F35" t="str">
            <v>EUSF3A</v>
          </cell>
          <cell r="G35">
            <v>-3.5699999999999998E-3</v>
          </cell>
          <cell r="H35">
            <v>42572</v>
          </cell>
          <cell r="I35">
            <v>42621</v>
          </cell>
          <cell r="J35" t="b">
            <v>1</v>
          </cell>
          <cell r="L35">
            <v>0</v>
          </cell>
          <cell r="M35">
            <v>0</v>
          </cell>
        </row>
        <row r="36">
          <cell r="C36" t="str">
            <v>iseomroll</v>
          </cell>
          <cell r="D36" t="b">
            <v>1</v>
          </cell>
          <cell r="F36" t="str">
            <v>EUSF4A</v>
          </cell>
          <cell r="G36">
            <v>-3.7799999999999999E-3</v>
          </cell>
          <cell r="H36">
            <v>42621</v>
          </cell>
          <cell r="I36">
            <v>42663</v>
          </cell>
          <cell r="J36" t="b">
            <v>1</v>
          </cell>
          <cell r="L36">
            <v>0</v>
          </cell>
          <cell r="M36">
            <v>0</v>
          </cell>
        </row>
        <row r="37">
          <cell r="C37" t="str">
            <v>eomday</v>
          </cell>
          <cell r="D37">
            <v>31</v>
          </cell>
          <cell r="F37" t="str">
            <v>EUSF5A</v>
          </cell>
          <cell r="G37">
            <v>-3.8600000000000001E-3</v>
          </cell>
          <cell r="H37">
            <v>42663</v>
          </cell>
          <cell r="I37">
            <v>42712</v>
          </cell>
          <cell r="J37" t="b">
            <v>1</v>
          </cell>
          <cell r="L37">
            <v>0</v>
          </cell>
          <cell r="M37">
            <v>0</v>
          </cell>
        </row>
        <row r="38">
          <cell r="C38" t="str">
            <v>generatemethod</v>
          </cell>
          <cell r="D38" t="str">
            <v>dailycompounding</v>
          </cell>
          <cell r="F38" t="str">
            <v>12M</v>
          </cell>
          <cell r="G38">
            <v>-3.6900000000000001E-3</v>
          </cell>
          <cell r="H38" t="str">
            <v/>
          </cell>
          <cell r="I38" t="str">
            <v/>
          </cell>
          <cell r="J38" t="b">
            <v>1</v>
          </cell>
          <cell r="L38">
            <v>0</v>
          </cell>
          <cell r="M38">
            <v>0</v>
          </cell>
        </row>
        <row r="39">
          <cell r="C39" t="str">
            <v>firstrate</v>
          </cell>
          <cell r="D39" t="str">
            <v>ShortMarket</v>
          </cell>
          <cell r="F39" t="str">
            <v>18M</v>
          </cell>
          <cell r="G39">
            <v>-3.79E-3</v>
          </cell>
          <cell r="H39" t="str">
            <v/>
          </cell>
          <cell r="I39" t="str">
            <v/>
          </cell>
          <cell r="J39" t="b">
            <v>1</v>
          </cell>
          <cell r="L39">
            <v>0</v>
          </cell>
          <cell r="M39">
            <v>0</v>
          </cell>
        </row>
        <row r="40">
          <cell r="C40" t="str">
            <v>shorttermconvention</v>
          </cell>
          <cell r="D40" t="str">
            <v>arithmeticaverage</v>
          </cell>
          <cell r="F40" t="str">
            <v>2Y</v>
          </cell>
          <cell r="G40">
            <v>-3.7699999999999999E-3</v>
          </cell>
          <cell r="H40" t="str">
            <v/>
          </cell>
          <cell r="I40" t="str">
            <v/>
          </cell>
          <cell r="J40" t="b">
            <v>1</v>
          </cell>
          <cell r="L40">
            <v>0</v>
          </cell>
          <cell r="M40">
            <v>0</v>
          </cell>
        </row>
        <row r="41">
          <cell r="C41" t="str">
            <v>longtermconvention</v>
          </cell>
          <cell r="D41" t="str">
            <v>LOBASIS</v>
          </cell>
          <cell r="F41" t="str">
            <v>3Y</v>
          </cell>
          <cell r="G41">
            <v>-3.4000000000000002E-3</v>
          </cell>
          <cell r="H41" t="str">
            <v/>
          </cell>
          <cell r="I41" t="str">
            <v/>
          </cell>
          <cell r="J41" t="b">
            <v>1</v>
          </cell>
          <cell r="L41">
            <v>0</v>
          </cell>
          <cell r="M41">
            <v>0</v>
          </cell>
        </row>
        <row r="42">
          <cell r="C42" t="str">
            <v>longterm</v>
          </cell>
          <cell r="D42" t="str">
            <v>3Y</v>
          </cell>
          <cell r="F42" t="str">
            <v>4Y</v>
          </cell>
          <cell r="G42">
            <v>-2.6900000000000001E-3</v>
          </cell>
          <cell r="H42" t="str">
            <v/>
          </cell>
          <cell r="I42" t="str">
            <v/>
          </cell>
          <cell r="J42" t="b">
            <v>1</v>
          </cell>
          <cell r="L42">
            <v>0</v>
          </cell>
          <cell r="M42">
            <v>0</v>
          </cell>
        </row>
        <row r="43">
          <cell r="C43" t="str">
            <v>longterm.generatemethod</v>
          </cell>
          <cell r="D43" t="str">
            <v>dailyaveraging</v>
          </cell>
          <cell r="F43" t="str">
            <v>5Y</v>
          </cell>
          <cell r="G43">
            <v>-1.7499999999999998E-3</v>
          </cell>
          <cell r="H43" t="str">
            <v/>
          </cell>
          <cell r="I43" t="str">
            <v/>
          </cell>
          <cell r="J43" t="b">
            <v>1</v>
          </cell>
          <cell r="L43">
            <v>0</v>
          </cell>
          <cell r="M43">
            <v>0</v>
          </cell>
        </row>
        <row r="44">
          <cell r="C44" t="str">
            <v>Epsilon</v>
          </cell>
          <cell r="D44">
            <v>1E-10</v>
          </cell>
          <cell r="F44" t="str">
            <v>6Y</v>
          </cell>
          <cell r="G44">
            <v>-6.4000000000000005E-4</v>
          </cell>
          <cell r="H44" t="str">
            <v/>
          </cell>
          <cell r="I44" t="str">
            <v/>
          </cell>
          <cell r="J44" t="b">
            <v>1</v>
          </cell>
          <cell r="L44">
            <v>0</v>
          </cell>
          <cell r="M44">
            <v>0</v>
          </cell>
        </row>
        <row r="45">
          <cell r="C45" t="str">
            <v>MaxLoop</v>
          </cell>
          <cell r="D45">
            <v>1000</v>
          </cell>
          <cell r="F45" t="str">
            <v>7Y</v>
          </cell>
          <cell r="G45">
            <v>5.6999999999999998E-4</v>
          </cell>
          <cell r="H45" t="str">
            <v/>
          </cell>
          <cell r="I45" t="str">
            <v/>
          </cell>
          <cell r="J45" t="b">
            <v>1</v>
          </cell>
          <cell r="L45">
            <v>0</v>
          </cell>
          <cell r="M45">
            <v>0</v>
          </cell>
        </row>
        <row r="46">
          <cell r="C46">
            <v>0</v>
          </cell>
          <cell r="D46">
            <v>0</v>
          </cell>
          <cell r="F46" t="str">
            <v>8Y</v>
          </cell>
          <cell r="G46">
            <v>1.83E-3</v>
          </cell>
          <cell r="H46" t="str">
            <v/>
          </cell>
          <cell r="I46" t="str">
            <v/>
          </cell>
          <cell r="J46" t="b">
            <v>1</v>
          </cell>
          <cell r="L46">
            <v>0</v>
          </cell>
          <cell r="M46">
            <v>0</v>
          </cell>
        </row>
        <row r="47">
          <cell r="C47">
            <v>0</v>
          </cell>
          <cell r="D47">
            <v>0</v>
          </cell>
          <cell r="F47" t="str">
            <v>9Y</v>
          </cell>
          <cell r="G47">
            <v>3.0599999999999998E-3</v>
          </cell>
          <cell r="H47" t="str">
            <v/>
          </cell>
          <cell r="I47" t="str">
            <v/>
          </cell>
          <cell r="J47" t="b">
            <v>1</v>
          </cell>
          <cell r="L47">
            <v>0</v>
          </cell>
          <cell r="M47">
            <v>0</v>
          </cell>
        </row>
        <row r="48">
          <cell r="C48">
            <v>0</v>
          </cell>
          <cell r="D48">
            <v>0</v>
          </cell>
          <cell r="F48" t="str">
            <v>10Y</v>
          </cell>
          <cell r="G48">
            <v>4.1900000000000001E-3</v>
          </cell>
          <cell r="H48" t="str">
            <v/>
          </cell>
          <cell r="I48" t="str">
            <v/>
          </cell>
          <cell r="J48" t="b">
            <v>1</v>
          </cell>
          <cell r="L48">
            <v>0</v>
          </cell>
          <cell r="M48">
            <v>0</v>
          </cell>
        </row>
        <row r="49">
          <cell r="C49">
            <v>0</v>
          </cell>
          <cell r="D49">
            <v>0</v>
          </cell>
          <cell r="F49" t="str">
            <v>11Y</v>
          </cell>
          <cell r="G49">
            <v>5.2100000000000002E-3</v>
          </cell>
          <cell r="H49" t="str">
            <v/>
          </cell>
          <cell r="I49" t="str">
            <v/>
          </cell>
          <cell r="J49" t="b">
            <v>1</v>
          </cell>
          <cell r="L49">
            <v>0</v>
          </cell>
          <cell r="M49">
            <v>0</v>
          </cell>
        </row>
        <row r="50">
          <cell r="C50">
            <v>0</v>
          </cell>
          <cell r="D50">
            <v>0</v>
          </cell>
          <cell r="F50" t="str">
            <v>12Y</v>
          </cell>
          <cell r="G50">
            <v>6.0899999999999999E-3</v>
          </cell>
          <cell r="H50" t="str">
            <v/>
          </cell>
          <cell r="I50" t="str">
            <v/>
          </cell>
          <cell r="J50" t="b">
            <v>1</v>
          </cell>
          <cell r="L50">
            <v>0</v>
          </cell>
          <cell r="M50">
            <v>0</v>
          </cell>
        </row>
        <row r="51">
          <cell r="C51">
            <v>0</v>
          </cell>
          <cell r="D51">
            <v>0</v>
          </cell>
          <cell r="F51" t="str">
            <v>15Y</v>
          </cell>
          <cell r="G51">
            <v>8.1000000000000013E-3</v>
          </cell>
          <cell r="H51" t="str">
            <v/>
          </cell>
          <cell r="I51" t="str">
            <v/>
          </cell>
          <cell r="J51" t="b">
            <v>1</v>
          </cell>
          <cell r="L51">
            <v>0</v>
          </cell>
          <cell r="M51">
            <v>0</v>
          </cell>
        </row>
        <row r="52">
          <cell r="C52">
            <v>0</v>
          </cell>
          <cell r="D52">
            <v>0</v>
          </cell>
          <cell r="F52" t="str">
            <v>20Y</v>
          </cell>
          <cell r="G52">
            <v>9.75E-3</v>
          </cell>
          <cell r="H52" t="str">
            <v/>
          </cell>
          <cell r="I52" t="str">
            <v/>
          </cell>
          <cell r="J52" t="b">
            <v>1</v>
          </cell>
          <cell r="L52">
            <v>0</v>
          </cell>
          <cell r="M52">
            <v>0</v>
          </cell>
        </row>
        <row r="53">
          <cell r="C53">
            <v>0</v>
          </cell>
          <cell r="D53">
            <v>0</v>
          </cell>
          <cell r="F53" t="str">
            <v>25Y</v>
          </cell>
          <cell r="G53">
            <v>1.0329999999999999E-2</v>
          </cell>
          <cell r="H53" t="str">
            <v/>
          </cell>
          <cell r="I53" t="str">
            <v/>
          </cell>
          <cell r="J53" t="b">
            <v>1</v>
          </cell>
          <cell r="L53">
            <v>0</v>
          </cell>
          <cell r="M53">
            <v>0</v>
          </cell>
        </row>
        <row r="54">
          <cell r="C54">
            <v>0</v>
          </cell>
          <cell r="D54">
            <v>0</v>
          </cell>
          <cell r="F54" t="str">
            <v>30Y</v>
          </cell>
          <cell r="G54">
            <v>1.0529999999999999E-2</v>
          </cell>
          <cell r="H54" t="str">
            <v/>
          </cell>
          <cell r="I54" t="str">
            <v/>
          </cell>
          <cell r="J54" t="b">
            <v>1</v>
          </cell>
          <cell r="L54">
            <v>0</v>
          </cell>
          <cell r="M54">
            <v>0</v>
          </cell>
        </row>
        <row r="55">
          <cell r="C55">
            <v>0</v>
          </cell>
          <cell r="D55">
            <v>0</v>
          </cell>
          <cell r="F55" t="str">
            <v>40Y</v>
          </cell>
          <cell r="G55">
            <v>1.061E-2</v>
          </cell>
          <cell r="H55" t="str">
            <v/>
          </cell>
          <cell r="I55" t="str">
            <v/>
          </cell>
          <cell r="J55" t="b">
            <v>1</v>
          </cell>
          <cell r="L55">
            <v>0</v>
          </cell>
          <cell r="M55">
            <v>0</v>
          </cell>
        </row>
        <row r="56">
          <cell r="C56">
            <v>0</v>
          </cell>
          <cell r="D56">
            <v>0</v>
          </cell>
          <cell r="F56" t="str">
            <v>50Y</v>
          </cell>
          <cell r="G56">
            <v>1.01E-2</v>
          </cell>
          <cell r="H56" t="str">
            <v/>
          </cell>
          <cell r="I56" t="str">
            <v/>
          </cell>
          <cell r="J56" t="b">
            <v>1</v>
          </cell>
          <cell r="L56">
            <v>0</v>
          </cell>
          <cell r="M56">
            <v>0</v>
          </cell>
        </row>
        <row r="57">
          <cell r="C57">
            <v>0</v>
          </cell>
          <cell r="D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L57">
            <v>0</v>
          </cell>
          <cell r="M57">
            <v>0</v>
          </cell>
        </row>
        <row r="64">
          <cell r="C64" t="str">
            <v>Calendar</v>
          </cell>
          <cell r="D64" t="str">
            <v>TGT</v>
          </cell>
          <cell r="I64" t="str">
            <v>calendar</v>
          </cell>
          <cell r="J64" t="str">
            <v>TGT</v>
          </cell>
        </row>
        <row r="65">
          <cell r="C65" t="str">
            <v>Daycount</v>
          </cell>
          <cell r="D65" t="str">
            <v>ACT/360</v>
          </cell>
          <cell r="F65" t="str">
            <v>2Y</v>
          </cell>
          <cell r="G65">
            <v>1.2600000000000001E-3</v>
          </cell>
          <cell r="I65" t="str">
            <v>daycountfix</v>
          </cell>
          <cell r="J65" t="str">
            <v>30/360</v>
          </cell>
          <cell r="L65" t="str">
            <v>2Y</v>
          </cell>
          <cell r="M65">
            <v>-2.5400000000000002E-3</v>
          </cell>
        </row>
        <row r="66">
          <cell r="C66" t="str">
            <v>Frequency</v>
          </cell>
          <cell r="D66" t="str">
            <v>Quarterly</v>
          </cell>
          <cell r="F66" t="str">
            <v>3Y</v>
          </cell>
          <cell r="G66">
            <v>1.2999999999999999E-3</v>
          </cell>
          <cell r="I66" t="str">
            <v>frequencyfix</v>
          </cell>
          <cell r="J66" t="str">
            <v>Annual</v>
          </cell>
          <cell r="L66" t="str">
            <v>3Y</v>
          </cell>
          <cell r="M66">
            <v>-2.14E-3</v>
          </cell>
        </row>
        <row r="67">
          <cell r="C67" t="str">
            <v>SlidingRule</v>
          </cell>
          <cell r="D67" t="str">
            <v>MOD_FOLLOWING</v>
          </cell>
          <cell r="F67" t="str">
            <v>4Y</v>
          </cell>
          <cell r="G67">
            <v>1.32E-3</v>
          </cell>
          <cell r="I67" t="str">
            <v>slidingrule</v>
          </cell>
          <cell r="J67" t="str">
            <v>MOD_FOLLOWING</v>
          </cell>
          <cell r="L67" t="str">
            <v>4Y</v>
          </cell>
          <cell r="M67">
            <v>-1.4000000000000002E-3</v>
          </cell>
        </row>
        <row r="68">
          <cell r="C68">
            <v>0</v>
          </cell>
          <cell r="D68">
            <v>0</v>
          </cell>
          <cell r="F68" t="str">
            <v>5Y</v>
          </cell>
          <cell r="G68">
            <v>1.34E-3</v>
          </cell>
          <cell r="I68">
            <v>0</v>
          </cell>
          <cell r="J68">
            <v>0</v>
          </cell>
          <cell r="L68" t="str">
            <v>5Y</v>
          </cell>
          <cell r="M68">
            <v>-4.2000000000000002E-4</v>
          </cell>
        </row>
        <row r="69">
          <cell r="C69">
            <v>0</v>
          </cell>
          <cell r="D69">
            <v>0</v>
          </cell>
          <cell r="F69" t="str">
            <v>6Y</v>
          </cell>
          <cell r="G69">
            <v>1.33E-3</v>
          </cell>
          <cell r="I69">
            <v>0</v>
          </cell>
          <cell r="J69">
            <v>0</v>
          </cell>
          <cell r="L69" t="str">
            <v>6Y</v>
          </cell>
          <cell r="M69">
            <v>7.000000000000001E-4</v>
          </cell>
        </row>
        <row r="70">
          <cell r="C70">
            <v>0</v>
          </cell>
          <cell r="D70">
            <v>0</v>
          </cell>
          <cell r="F70" t="str">
            <v>7Y</v>
          </cell>
          <cell r="G70">
            <v>1.32E-3</v>
          </cell>
          <cell r="I70">
            <v>0</v>
          </cell>
          <cell r="J70">
            <v>0</v>
          </cell>
          <cell r="L70" t="str">
            <v>7Y</v>
          </cell>
          <cell r="M70">
            <v>1.92E-3</v>
          </cell>
        </row>
        <row r="71">
          <cell r="C71">
            <v>0</v>
          </cell>
          <cell r="D71">
            <v>0</v>
          </cell>
          <cell r="F71" t="str">
            <v>8Y</v>
          </cell>
          <cell r="G71">
            <v>1.31E-3</v>
          </cell>
          <cell r="I71">
            <v>0</v>
          </cell>
          <cell r="J71">
            <v>0</v>
          </cell>
          <cell r="L71" t="str">
            <v>8Y</v>
          </cell>
          <cell r="M71">
            <v>3.1900000000000001E-3</v>
          </cell>
        </row>
        <row r="72">
          <cell r="C72">
            <v>0</v>
          </cell>
          <cell r="D72">
            <v>0</v>
          </cell>
          <cell r="F72" t="str">
            <v>9Y</v>
          </cell>
          <cell r="G72">
            <v>1.2999999999999999E-3</v>
          </cell>
          <cell r="I72">
            <v>0</v>
          </cell>
          <cell r="J72">
            <v>0</v>
          </cell>
          <cell r="L72" t="str">
            <v>9Y</v>
          </cell>
          <cell r="M72">
            <v>4.4299999999999999E-3</v>
          </cell>
        </row>
        <row r="73">
          <cell r="C73">
            <v>0</v>
          </cell>
          <cell r="D73">
            <v>0</v>
          </cell>
          <cell r="F73" t="str">
            <v>10Y</v>
          </cell>
          <cell r="G73">
            <v>1.2800000000000001E-3</v>
          </cell>
          <cell r="I73">
            <v>0</v>
          </cell>
          <cell r="J73">
            <v>0</v>
          </cell>
          <cell r="L73" t="str">
            <v>10Y</v>
          </cell>
          <cell r="M73">
            <v>5.5500000000000002E-3</v>
          </cell>
        </row>
        <row r="74">
          <cell r="C74">
            <v>0</v>
          </cell>
          <cell r="D74">
            <v>0</v>
          </cell>
          <cell r="F74" t="str">
            <v>11Y</v>
          </cell>
          <cell r="G74">
            <v>1.2699999999999999E-3</v>
          </cell>
          <cell r="I74">
            <v>0</v>
          </cell>
          <cell r="J74">
            <v>0</v>
          </cell>
          <cell r="L74" t="str">
            <v>11Y</v>
          </cell>
          <cell r="M74">
            <v>6.5700000000000003E-3</v>
          </cell>
        </row>
        <row r="75">
          <cell r="C75">
            <v>0</v>
          </cell>
          <cell r="D75">
            <v>0</v>
          </cell>
          <cell r="F75" t="str">
            <v>12Y</v>
          </cell>
          <cell r="G75">
            <v>1.2600000000000001E-3</v>
          </cell>
          <cell r="I75">
            <v>0</v>
          </cell>
          <cell r="J75">
            <v>0</v>
          </cell>
          <cell r="L75" t="str">
            <v>12Y</v>
          </cell>
          <cell r="M75">
            <v>7.4599999999999996E-3</v>
          </cell>
        </row>
        <row r="76">
          <cell r="C76">
            <v>0</v>
          </cell>
          <cell r="D76">
            <v>0</v>
          </cell>
          <cell r="F76" t="str">
            <v>15Y</v>
          </cell>
          <cell r="G76">
            <v>1.1900000000000001E-3</v>
          </cell>
          <cell r="I76">
            <v>0</v>
          </cell>
          <cell r="J76">
            <v>0</v>
          </cell>
          <cell r="L76" t="str">
            <v>15Y</v>
          </cell>
          <cell r="M76">
            <v>9.4199999999999996E-3</v>
          </cell>
        </row>
        <row r="77">
          <cell r="C77">
            <v>0</v>
          </cell>
          <cell r="D77">
            <v>0</v>
          </cell>
          <cell r="F77" t="str">
            <v>20Y</v>
          </cell>
          <cell r="G77">
            <v>1.0400000000000001E-3</v>
          </cell>
          <cell r="I77">
            <v>0</v>
          </cell>
          <cell r="J77">
            <v>0</v>
          </cell>
          <cell r="L77" t="str">
            <v>20Y</v>
          </cell>
          <cell r="M77">
            <v>1.095E-2</v>
          </cell>
        </row>
        <row r="78">
          <cell r="C78">
            <v>0</v>
          </cell>
          <cell r="D78">
            <v>0</v>
          </cell>
          <cell r="F78" t="str">
            <v>25Y</v>
          </cell>
          <cell r="G78">
            <v>9.1999999999999992E-4</v>
          </cell>
          <cell r="I78">
            <v>0</v>
          </cell>
          <cell r="J78">
            <v>0</v>
          </cell>
          <cell r="L78" t="str">
            <v>25Y</v>
          </cell>
          <cell r="M78">
            <v>1.142E-2</v>
          </cell>
        </row>
        <row r="79">
          <cell r="C79">
            <v>0</v>
          </cell>
          <cell r="D79">
            <v>0</v>
          </cell>
          <cell r="F79" t="str">
            <v>30Y</v>
          </cell>
          <cell r="G79">
            <v>8.1999999999999998E-4</v>
          </cell>
          <cell r="I79">
            <v>0</v>
          </cell>
          <cell r="J79">
            <v>0</v>
          </cell>
          <cell r="L79" t="str">
            <v>30Y</v>
          </cell>
          <cell r="M79">
            <v>1.1519999999999999E-2</v>
          </cell>
        </row>
        <row r="80">
          <cell r="C80">
            <v>0</v>
          </cell>
          <cell r="D80">
            <v>0</v>
          </cell>
          <cell r="F80" t="str">
            <v>40Y</v>
          </cell>
          <cell r="G80">
            <v>6.6E-4</v>
          </cell>
          <cell r="I80">
            <v>0</v>
          </cell>
          <cell r="J80">
            <v>0</v>
          </cell>
          <cell r="L80" t="str">
            <v>40Y</v>
          </cell>
          <cell r="M80">
            <v>1.1439999999999999E-2</v>
          </cell>
        </row>
        <row r="81">
          <cell r="C81">
            <v>0</v>
          </cell>
          <cell r="D81">
            <v>0</v>
          </cell>
          <cell r="F81" t="str">
            <v>50Y</v>
          </cell>
          <cell r="G81">
            <v>5.6999999999999998E-4</v>
          </cell>
          <cell r="I81">
            <v>0</v>
          </cell>
          <cell r="J81">
            <v>0</v>
          </cell>
          <cell r="L81" t="str">
            <v>50Y</v>
          </cell>
          <cell r="M81">
            <v>1.0829999999999999E-2</v>
          </cell>
        </row>
        <row r="82">
          <cell r="C82">
            <v>0</v>
          </cell>
          <cell r="D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L82">
            <v>0</v>
          </cell>
          <cell r="M82">
            <v>0</v>
          </cell>
        </row>
        <row r="83">
          <cell r="C83">
            <v>0</v>
          </cell>
          <cell r="D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L83">
            <v>0</v>
          </cell>
          <cell r="M83">
            <v>0</v>
          </cell>
        </row>
        <row r="84">
          <cell r="C84">
            <v>0</v>
          </cell>
          <cell r="D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L84">
            <v>0</v>
          </cell>
          <cell r="M84">
            <v>0</v>
          </cell>
        </row>
        <row r="85">
          <cell r="C85">
            <v>0</v>
          </cell>
          <cell r="D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L85">
            <v>0</v>
          </cell>
          <cell r="M85">
            <v>0</v>
          </cell>
        </row>
        <row r="86">
          <cell r="C86">
            <v>0</v>
          </cell>
          <cell r="D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L86">
            <v>0</v>
          </cell>
          <cell r="M86">
            <v>0</v>
          </cell>
        </row>
        <row r="87">
          <cell r="C87">
            <v>0</v>
          </cell>
          <cell r="D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L87">
            <v>0</v>
          </cell>
          <cell r="M87">
            <v>0</v>
          </cell>
        </row>
        <row r="88">
          <cell r="C88">
            <v>0</v>
          </cell>
          <cell r="D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L88">
            <v>0</v>
          </cell>
          <cell r="M88">
            <v>0</v>
          </cell>
        </row>
        <row r="89">
          <cell r="C89">
            <v>0</v>
          </cell>
          <cell r="D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L89">
            <v>0</v>
          </cell>
          <cell r="M89">
            <v>0</v>
          </cell>
        </row>
      </sheetData>
      <sheetData sheetId="1">
        <row r="13">
          <cell r="D13" t="str">
            <v>EURYC</v>
          </cell>
        </row>
        <row r="14">
          <cell r="D14" t="str">
            <v>STD</v>
          </cell>
        </row>
        <row r="15">
          <cell r="D15" t="str">
            <v>STD:EUR6ML</v>
          </cell>
        </row>
        <row r="22">
          <cell r="C22" t="str">
            <v>AsOfDate</v>
          </cell>
          <cell r="D22">
            <v>42419</v>
          </cell>
        </row>
        <row r="23">
          <cell r="C23" t="str">
            <v>Currency</v>
          </cell>
          <cell r="D23" t="str">
            <v>EUR</v>
          </cell>
        </row>
        <row r="24">
          <cell r="C24" t="str">
            <v>future.interpolation</v>
          </cell>
          <cell r="D24" t="str">
            <v>fn_MonotoneConvexInterpolation</v>
          </cell>
        </row>
        <row r="25">
          <cell r="C25" t="str">
            <v>interpolation</v>
          </cell>
          <cell r="D25" t="str">
            <v>fn_MonotoneConvexInterpolation</v>
          </cell>
        </row>
        <row r="26">
          <cell r="C26" t="str">
            <v>yieldgen.interpolation</v>
          </cell>
          <cell r="D26" t="str">
            <v>fn_MonotoneConvexInterpolation</v>
          </cell>
        </row>
        <row r="27">
          <cell r="C27" t="str">
            <v>isfrause</v>
          </cell>
          <cell r="D27" t="b">
            <v>1</v>
          </cell>
        </row>
        <row r="28">
          <cell r="C28" t="str">
            <v>isfutureuse</v>
          </cell>
          <cell r="D28" t="b">
            <v>0</v>
          </cell>
        </row>
        <row r="29">
          <cell r="C29" t="str">
            <v>Frequency</v>
          </cell>
          <cell r="D29" t="str">
            <v>Semi-Annual</v>
          </cell>
        </row>
        <row r="30">
          <cell r="C30" t="str">
            <v>dfcurvename</v>
          </cell>
          <cell r="D30" t="str">
            <v>OIS</v>
          </cell>
        </row>
        <row r="31">
          <cell r="C31">
            <v>0</v>
          </cell>
          <cell r="D31">
            <v>0</v>
          </cell>
        </row>
        <row r="38">
          <cell r="C38" t="str">
            <v>Calendar</v>
          </cell>
          <cell r="D38" t="str">
            <v>TGT</v>
          </cell>
          <cell r="F38" t="str">
            <v>Calendar</v>
          </cell>
          <cell r="G38" t="str">
            <v>TGT</v>
          </cell>
        </row>
        <row r="39">
          <cell r="C39" t="str">
            <v>DayCount</v>
          </cell>
          <cell r="D39" t="str">
            <v>ACT/360</v>
          </cell>
          <cell r="F39" t="str">
            <v>Daycount</v>
          </cell>
          <cell r="G39" t="str">
            <v>ACT/360</v>
          </cell>
          <cell r="I39" t="str">
            <v>1M</v>
          </cell>
          <cell r="J39">
            <v>-2.8E-3</v>
          </cell>
        </row>
        <row r="40">
          <cell r="C40" t="str">
            <v>Slidingrule</v>
          </cell>
          <cell r="D40" t="str">
            <v>FOLLOWING</v>
          </cell>
          <cell r="F40" t="str">
            <v>Frequency</v>
          </cell>
          <cell r="G40" t="str">
            <v>Simple</v>
          </cell>
          <cell r="I40" t="str">
            <v>3M</v>
          </cell>
          <cell r="J40">
            <v>-2.2000000000000001E-3</v>
          </cell>
        </row>
        <row r="41">
          <cell r="C41">
            <v>0</v>
          </cell>
          <cell r="D41">
            <v>0</v>
          </cell>
          <cell r="F41" t="str">
            <v>Resetlag</v>
          </cell>
          <cell r="G41">
            <v>2</v>
          </cell>
          <cell r="I41" t="str">
            <v>6M</v>
          </cell>
          <cell r="J41">
            <v>-1.31E-3</v>
          </cell>
        </row>
        <row r="42">
          <cell r="C42">
            <v>0</v>
          </cell>
          <cell r="D42">
            <v>0</v>
          </cell>
          <cell r="F42" t="str">
            <v>SlidingRule</v>
          </cell>
          <cell r="G42" t="str">
            <v>MOD_FOLLOWING</v>
          </cell>
          <cell r="I42" t="str">
            <v>12M</v>
          </cell>
          <cell r="J42">
            <v>-1E-4</v>
          </cell>
        </row>
        <row r="43">
          <cell r="C43">
            <v>0</v>
          </cell>
          <cell r="D43">
            <v>0</v>
          </cell>
          <cell r="F43">
            <v>0</v>
          </cell>
          <cell r="G43">
            <v>0</v>
          </cell>
          <cell r="I43">
            <v>0</v>
          </cell>
          <cell r="J43">
            <v>0</v>
          </cell>
        </row>
        <row r="51">
          <cell r="C51" t="str">
            <v>Calendar</v>
          </cell>
          <cell r="D51" t="str">
            <v>TGT</v>
          </cell>
        </row>
        <row r="52">
          <cell r="C52" t="str">
            <v>DayCount</v>
          </cell>
          <cell r="D52" t="str">
            <v>ACT/360</v>
          </cell>
          <cell r="F52">
            <v>0</v>
          </cell>
          <cell r="G52">
            <v>0</v>
          </cell>
          <cell r="I52" t="str">
            <v>2X8</v>
          </cell>
          <cell r="J52">
            <v>-1.2900000000000001E-3</v>
          </cell>
        </row>
        <row r="53">
          <cell r="C53" t="str">
            <v>ResetLag</v>
          </cell>
          <cell r="D53">
            <v>2</v>
          </cell>
          <cell r="F53">
            <v>0</v>
          </cell>
          <cell r="G53">
            <v>0</v>
          </cell>
          <cell r="I53" t="str">
            <v>3X9</v>
          </cell>
          <cell r="J53">
            <v>-1.2900000000000001E-3</v>
          </cell>
        </row>
        <row r="54">
          <cell r="C54" t="str">
            <v>SlidingRule</v>
          </cell>
          <cell r="D54" t="str">
            <v>MOD_FOLLOWING</v>
          </cell>
          <cell r="F54">
            <v>0</v>
          </cell>
          <cell r="G54">
            <v>0</v>
          </cell>
          <cell r="I54" t="str">
            <v>4X10</v>
          </cell>
          <cell r="J54">
            <v>-1.33E-3</v>
          </cell>
        </row>
        <row r="55">
          <cell r="C55" t="str">
            <v>IsEomRoll</v>
          </cell>
          <cell r="D55" t="b">
            <v>0</v>
          </cell>
          <cell r="F55">
            <v>0</v>
          </cell>
          <cell r="G55">
            <v>0</v>
          </cell>
          <cell r="I55" t="str">
            <v>5X11</v>
          </cell>
          <cell r="J55">
            <v>-1.3900000000000002E-3</v>
          </cell>
        </row>
        <row r="56">
          <cell r="C56" t="str">
            <v>ApplyTension</v>
          </cell>
          <cell r="D56" t="b">
            <v>1</v>
          </cell>
          <cell r="F56">
            <v>0</v>
          </cell>
          <cell r="G56">
            <v>0</v>
          </cell>
          <cell r="I56" t="str">
            <v>6X12</v>
          </cell>
          <cell r="J56">
            <v>-1.4399999999999999E-3</v>
          </cell>
        </row>
        <row r="57">
          <cell r="C57" t="str">
            <v>TensionGap</v>
          </cell>
          <cell r="D57">
            <v>2</v>
          </cell>
          <cell r="F57">
            <v>0</v>
          </cell>
          <cell r="G57">
            <v>0</v>
          </cell>
          <cell r="I57" t="str">
            <v>7X13</v>
          </cell>
          <cell r="J57">
            <v>-1.4399999999999999E-3</v>
          </cell>
        </row>
        <row r="58">
          <cell r="C58">
            <v>0</v>
          </cell>
          <cell r="D58">
            <v>0</v>
          </cell>
          <cell r="F58">
            <v>0</v>
          </cell>
          <cell r="G58">
            <v>0</v>
          </cell>
          <cell r="I58" t="str">
            <v>8X14</v>
          </cell>
          <cell r="J58">
            <v>-1.4599999999999999E-3</v>
          </cell>
        </row>
        <row r="59">
          <cell r="C59">
            <v>0</v>
          </cell>
          <cell r="D59">
            <v>0</v>
          </cell>
          <cell r="F59">
            <v>0</v>
          </cell>
          <cell r="G59">
            <v>0</v>
          </cell>
          <cell r="I59" t="str">
            <v>9X15</v>
          </cell>
          <cell r="J59">
            <v>-1.47E-3</v>
          </cell>
        </row>
        <row r="60">
          <cell r="C60">
            <v>0</v>
          </cell>
          <cell r="D60">
            <v>0</v>
          </cell>
          <cell r="F60">
            <v>0</v>
          </cell>
          <cell r="G60">
            <v>0</v>
          </cell>
          <cell r="I60" t="str">
            <v>10X16</v>
          </cell>
          <cell r="J60">
            <v>-1.4599999999999999E-3</v>
          </cell>
        </row>
        <row r="61">
          <cell r="C61">
            <v>0</v>
          </cell>
          <cell r="D61">
            <v>0</v>
          </cell>
          <cell r="F61">
            <v>0</v>
          </cell>
          <cell r="G61">
            <v>0</v>
          </cell>
          <cell r="I61" t="str">
            <v>11X17</v>
          </cell>
          <cell r="J61">
            <v>-1.4299999999999998E-3</v>
          </cell>
        </row>
        <row r="62">
          <cell r="C62">
            <v>0</v>
          </cell>
          <cell r="D62">
            <v>0</v>
          </cell>
          <cell r="F62">
            <v>0</v>
          </cell>
          <cell r="G62">
            <v>0</v>
          </cell>
          <cell r="I62" t="str">
            <v>12X18</v>
          </cell>
          <cell r="J62">
            <v>-1.4099999999999998E-3</v>
          </cell>
        </row>
        <row r="63">
          <cell r="C63">
            <v>0</v>
          </cell>
          <cell r="D63">
            <v>0</v>
          </cell>
          <cell r="F63">
            <v>0</v>
          </cell>
          <cell r="G63">
            <v>0</v>
          </cell>
          <cell r="I63">
            <v>0</v>
          </cell>
          <cell r="J63">
            <v>0</v>
          </cell>
        </row>
        <row r="64">
          <cell r="C64">
            <v>0</v>
          </cell>
          <cell r="D64">
            <v>0</v>
          </cell>
          <cell r="F64">
            <v>0</v>
          </cell>
          <cell r="G64">
            <v>0</v>
          </cell>
          <cell r="I64">
            <v>0</v>
          </cell>
          <cell r="J64">
            <v>0</v>
          </cell>
        </row>
        <row r="72">
          <cell r="C72">
            <v>0</v>
          </cell>
          <cell r="D72">
            <v>0</v>
          </cell>
        </row>
        <row r="73">
          <cell r="C73">
            <v>0</v>
          </cell>
          <cell r="D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</row>
        <row r="74">
          <cell r="C74">
            <v>0</v>
          </cell>
          <cell r="D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</row>
        <row r="75">
          <cell r="C75">
            <v>0</v>
          </cell>
          <cell r="D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</row>
        <row r="76">
          <cell r="C76">
            <v>0</v>
          </cell>
          <cell r="D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</row>
        <row r="77">
          <cell r="C77">
            <v>0</v>
          </cell>
          <cell r="D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</row>
        <row r="78">
          <cell r="C78">
            <v>0</v>
          </cell>
          <cell r="D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</row>
        <row r="79">
          <cell r="C79">
            <v>0</v>
          </cell>
          <cell r="D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</row>
        <row r="80">
          <cell r="C80">
            <v>0</v>
          </cell>
          <cell r="D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</row>
        <row r="81">
          <cell r="C81">
            <v>0</v>
          </cell>
          <cell r="D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</row>
        <row r="82">
          <cell r="C82">
            <v>0</v>
          </cell>
          <cell r="D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</row>
        <row r="83">
          <cell r="C83">
            <v>0</v>
          </cell>
          <cell r="D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</row>
        <row r="84">
          <cell r="C84">
            <v>0</v>
          </cell>
          <cell r="D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</row>
        <row r="85">
          <cell r="C85">
            <v>0</v>
          </cell>
          <cell r="D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</row>
        <row r="93">
          <cell r="C93" t="str">
            <v>Calendar</v>
          </cell>
          <cell r="D93" t="str">
            <v>TGT</v>
          </cell>
        </row>
        <row r="94">
          <cell r="C94" t="str">
            <v>DayCount</v>
          </cell>
          <cell r="D94" t="str">
            <v>30/360</v>
          </cell>
          <cell r="F94" t="str">
            <v>2Y</v>
          </cell>
          <cell r="G94">
            <v>-1.33E-3</v>
          </cell>
          <cell r="H94" t="b">
            <v>1</v>
          </cell>
        </row>
        <row r="95">
          <cell r="C95" t="str">
            <v>DayCountFix</v>
          </cell>
          <cell r="D95" t="str">
            <v>30/360</v>
          </cell>
          <cell r="F95" t="str">
            <v>3Y</v>
          </cell>
          <cell r="G95">
            <v>-8.699999999999999E-4</v>
          </cell>
          <cell r="H95" t="b">
            <v>1</v>
          </cell>
        </row>
        <row r="96">
          <cell r="C96" t="str">
            <v>DayCountFloat</v>
          </cell>
          <cell r="D96" t="str">
            <v>ACT/360</v>
          </cell>
          <cell r="F96" t="str">
            <v>4Y</v>
          </cell>
          <cell r="G96">
            <v>-8.0000000000000007E-5</v>
          </cell>
          <cell r="H96" t="b">
            <v>1</v>
          </cell>
        </row>
        <row r="97">
          <cell r="C97" t="str">
            <v>Frequency</v>
          </cell>
          <cell r="D97" t="str">
            <v>Annual</v>
          </cell>
          <cell r="F97" t="str">
            <v>5Y</v>
          </cell>
          <cell r="G97">
            <v>9.2999999999999995E-4</v>
          </cell>
          <cell r="H97" t="b">
            <v>1</v>
          </cell>
        </row>
        <row r="98">
          <cell r="C98" t="str">
            <v>FrequencyFloat</v>
          </cell>
          <cell r="D98" t="str">
            <v>Semi-Annual</v>
          </cell>
          <cell r="F98" t="str">
            <v>6Y</v>
          </cell>
          <cell r="G98">
            <v>2.0200000000000001E-3</v>
          </cell>
          <cell r="H98" t="b">
            <v>1</v>
          </cell>
        </row>
        <row r="99">
          <cell r="C99" t="str">
            <v>Interpolation</v>
          </cell>
          <cell r="D99" t="str">
            <v>fn_MonotoneConvexInterpolation</v>
          </cell>
          <cell r="F99" t="str">
            <v>7Y</v>
          </cell>
          <cell r="G99">
            <v>3.2100000000000002E-3</v>
          </cell>
          <cell r="H99" t="b">
            <v>1</v>
          </cell>
        </row>
        <row r="100">
          <cell r="C100" t="str">
            <v>IsEomRoll</v>
          </cell>
          <cell r="D100" t="b">
            <v>0</v>
          </cell>
          <cell r="F100" t="str">
            <v>8Y</v>
          </cell>
          <cell r="G100">
            <v>4.4400000000000004E-3</v>
          </cell>
          <cell r="H100" t="b">
            <v>1</v>
          </cell>
        </row>
        <row r="101">
          <cell r="C101" t="str">
            <v>Resetlag</v>
          </cell>
          <cell r="D101">
            <v>2</v>
          </cell>
          <cell r="F101" t="str">
            <v>9Y</v>
          </cell>
          <cell r="G101">
            <v>5.6100000000000004E-3</v>
          </cell>
          <cell r="H101" t="b">
            <v>1</v>
          </cell>
        </row>
        <row r="102">
          <cell r="C102" t="str">
            <v>SlidingRule</v>
          </cell>
          <cell r="D102" t="str">
            <v>MOD_FOLLOWING</v>
          </cell>
          <cell r="F102" t="str">
            <v>10Y</v>
          </cell>
          <cell r="G102">
            <v>6.6700000000000006E-3</v>
          </cell>
          <cell r="H102" t="b">
            <v>1</v>
          </cell>
        </row>
        <row r="103">
          <cell r="C103" t="str">
            <v>IsNewtonraphson</v>
          </cell>
          <cell r="D103" t="b">
            <v>1</v>
          </cell>
          <cell r="F103" t="str">
            <v>11Y</v>
          </cell>
          <cell r="G103">
            <v>7.6300000000000005E-3</v>
          </cell>
          <cell r="H103" t="b">
            <v>1</v>
          </cell>
        </row>
        <row r="104">
          <cell r="C104" t="str">
            <v>issimultaneouseq</v>
          </cell>
          <cell r="D104" t="b">
            <v>1</v>
          </cell>
          <cell r="F104" t="str">
            <v>12Y</v>
          </cell>
          <cell r="G104">
            <v>8.4700000000000001E-3</v>
          </cell>
          <cell r="H104" t="b">
            <v>1</v>
          </cell>
        </row>
        <row r="105">
          <cell r="C105" t="str">
            <v>optimizemethod</v>
          </cell>
          <cell r="D105" t="str">
            <v>NL2SOL</v>
          </cell>
          <cell r="F105" t="str">
            <v>15Y</v>
          </cell>
          <cell r="G105">
            <v>1.03E-2</v>
          </cell>
          <cell r="H105" t="b">
            <v>1</v>
          </cell>
        </row>
        <row r="106">
          <cell r="C106" t="str">
            <v>Epsilon</v>
          </cell>
          <cell r="D106">
            <v>1.0000000000000001E-9</v>
          </cell>
          <cell r="F106" t="str">
            <v>20Y</v>
          </cell>
          <cell r="G106">
            <v>1.1659999999999998E-2</v>
          </cell>
          <cell r="H106" t="b">
            <v>1</v>
          </cell>
        </row>
        <row r="107">
          <cell r="C107" t="str">
            <v>GradientEpsilon</v>
          </cell>
          <cell r="D107">
            <v>1.0000000000000001E-15</v>
          </cell>
          <cell r="F107" t="str">
            <v>25Y</v>
          </cell>
          <cell r="G107">
            <v>1.201E-2</v>
          </cell>
          <cell r="H107" t="b">
            <v>1</v>
          </cell>
        </row>
        <row r="108">
          <cell r="C108" t="str">
            <v>Delta</v>
          </cell>
          <cell r="D108">
            <v>1E-10</v>
          </cell>
          <cell r="F108" t="str">
            <v>30Y</v>
          </cell>
          <cell r="G108">
            <v>1.204E-2</v>
          </cell>
          <cell r="H108" t="b">
            <v>1</v>
          </cell>
        </row>
        <row r="109">
          <cell r="C109" t="str">
            <v>MaxLoop</v>
          </cell>
          <cell r="D109">
            <v>1000</v>
          </cell>
          <cell r="F109" t="str">
            <v>40Y</v>
          </cell>
          <cell r="G109">
            <v>1.1859999999999999E-2</v>
          </cell>
          <cell r="H109" t="b">
            <v>1</v>
          </cell>
        </row>
        <row r="110">
          <cell r="C110">
            <v>0</v>
          </cell>
          <cell r="D110">
            <v>0</v>
          </cell>
          <cell r="F110" t="str">
            <v>50Y</v>
          </cell>
          <cell r="G110">
            <v>1.1200000000000002E-2</v>
          </cell>
          <cell r="H110" t="b">
            <v>1</v>
          </cell>
        </row>
        <row r="111">
          <cell r="C111">
            <v>0</v>
          </cell>
          <cell r="D111">
            <v>0</v>
          </cell>
          <cell r="F111">
            <v>0</v>
          </cell>
          <cell r="G111">
            <v>0</v>
          </cell>
          <cell r="H111">
            <v>0</v>
          </cell>
        </row>
      </sheetData>
      <sheetData sheetId="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IS Curve"/>
      <sheetName val="Swap Curve"/>
      <sheetName val="Portfolio"/>
    </sheetNames>
    <sheetDataSet>
      <sheetData sheetId="0">
        <row r="11">
          <cell r="D11" t="str">
            <v>EURYC</v>
          </cell>
        </row>
        <row r="12">
          <cell r="D12" t="str">
            <v>OIS</v>
          </cell>
        </row>
        <row r="13">
          <cell r="D13" t="str">
            <v>OIS:EUROIS:EURDF</v>
          </cell>
        </row>
        <row r="20">
          <cell r="C20" t="str">
            <v>AsOfDate</v>
          </cell>
          <cell r="D20">
            <v>42419</v>
          </cell>
        </row>
        <row r="21">
          <cell r="C21" t="str">
            <v>Currency</v>
          </cell>
          <cell r="D21" t="str">
            <v>EUR</v>
          </cell>
        </row>
        <row r="22">
          <cell r="C22" t="str">
            <v>yieldgen.interpolation</v>
          </cell>
          <cell r="D22" t="str">
            <v>fn_MonotoneConvexInterpolation</v>
          </cell>
        </row>
        <row r="23">
          <cell r="C23" t="str">
            <v>CurveType</v>
          </cell>
          <cell r="D23" t="str">
            <v>OIS</v>
          </cell>
        </row>
        <row r="31">
          <cell r="C31" t="str">
            <v>calendar</v>
          </cell>
          <cell r="D31" t="str">
            <v>TGT</v>
          </cell>
        </row>
        <row r="32">
          <cell r="C32" t="str">
            <v>daycount</v>
          </cell>
          <cell r="D32" t="str">
            <v>ACT/360</v>
          </cell>
          <cell r="F32" t="str">
            <v>ON</v>
          </cell>
          <cell r="G32">
            <v>-2.4299999999999999E-3</v>
          </cell>
          <cell r="H32" t="str">
            <v/>
          </cell>
          <cell r="I32" t="str">
            <v/>
          </cell>
          <cell r="J32" t="b">
            <v>1</v>
          </cell>
        </row>
        <row r="33">
          <cell r="C33" t="str">
            <v>frequency</v>
          </cell>
          <cell r="D33" t="str">
            <v>Annual</v>
          </cell>
          <cell r="F33" t="str">
            <v>EUSF1A</v>
          </cell>
          <cell r="G33">
            <v>-3.3900000000000002E-3</v>
          </cell>
          <cell r="H33">
            <v>42481</v>
          </cell>
          <cell r="I33">
            <v>42523</v>
          </cell>
          <cell r="J33" t="b">
            <v>1</v>
          </cell>
        </row>
        <row r="34">
          <cell r="C34" t="str">
            <v>resetlag</v>
          </cell>
          <cell r="D34" t="str">
            <v>2d</v>
          </cell>
          <cell r="F34" t="str">
            <v>EUSF2A</v>
          </cell>
          <cell r="G34">
            <v>-3.5299999999999997E-3</v>
          </cell>
          <cell r="H34">
            <v>42523</v>
          </cell>
          <cell r="I34">
            <v>42572</v>
          </cell>
          <cell r="J34" t="b">
            <v>1</v>
          </cell>
        </row>
        <row r="35">
          <cell r="C35" t="str">
            <v>slidingrule</v>
          </cell>
          <cell r="D35" t="str">
            <v>MOD_FOLLOWING</v>
          </cell>
          <cell r="F35" t="str">
            <v>EUSF3A</v>
          </cell>
          <cell r="G35">
            <v>-3.5699999999999998E-3</v>
          </cell>
          <cell r="H35">
            <v>42572</v>
          </cell>
          <cell r="I35">
            <v>42621</v>
          </cell>
          <cell r="J35" t="b">
            <v>1</v>
          </cell>
        </row>
        <row r="36">
          <cell r="C36" t="str">
            <v>iseomroll</v>
          </cell>
          <cell r="D36" t="b">
            <v>1</v>
          </cell>
          <cell r="F36" t="str">
            <v>EUSF4A</v>
          </cell>
          <cell r="G36">
            <v>-3.7799999999999999E-3</v>
          </cell>
          <cell r="H36">
            <v>42621</v>
          </cell>
          <cell r="I36">
            <v>42663</v>
          </cell>
          <cell r="J36" t="b">
            <v>1</v>
          </cell>
        </row>
        <row r="37">
          <cell r="C37" t="str">
            <v>eomday</v>
          </cell>
          <cell r="D37">
            <v>31</v>
          </cell>
          <cell r="F37" t="str">
            <v>EUSF5A</v>
          </cell>
          <cell r="G37">
            <v>-3.8600000000000001E-3</v>
          </cell>
          <cell r="H37">
            <v>42663</v>
          </cell>
          <cell r="I37">
            <v>42712</v>
          </cell>
          <cell r="J37" t="b">
            <v>1</v>
          </cell>
        </row>
        <row r="38">
          <cell r="C38" t="str">
            <v>generatemethod</v>
          </cell>
          <cell r="D38" t="str">
            <v>dailycompounding</v>
          </cell>
          <cell r="F38" t="str">
            <v>12M</v>
          </cell>
          <cell r="G38">
            <v>-3.6900000000000001E-3</v>
          </cell>
          <cell r="H38" t="str">
            <v/>
          </cell>
          <cell r="I38" t="str">
            <v/>
          </cell>
          <cell r="J38" t="b">
            <v>1</v>
          </cell>
        </row>
        <row r="39">
          <cell r="C39" t="str">
            <v>firstrate</v>
          </cell>
          <cell r="D39" t="str">
            <v>ShortMarket</v>
          </cell>
          <cell r="F39" t="str">
            <v>18M</v>
          </cell>
          <cell r="G39">
            <v>-3.79E-3</v>
          </cell>
          <cell r="H39" t="str">
            <v/>
          </cell>
          <cell r="I39" t="str">
            <v/>
          </cell>
          <cell r="J39" t="b">
            <v>1</v>
          </cell>
        </row>
        <row r="40">
          <cell r="C40" t="str">
            <v>shorttermconvention</v>
          </cell>
          <cell r="D40" t="str">
            <v>arithmeticaverage</v>
          </cell>
          <cell r="F40" t="str">
            <v>2Y</v>
          </cell>
          <cell r="G40">
            <v>-3.7699999999999999E-3</v>
          </cell>
          <cell r="H40" t="str">
            <v/>
          </cell>
          <cell r="I40" t="str">
            <v/>
          </cell>
          <cell r="J40" t="b">
            <v>1</v>
          </cell>
        </row>
        <row r="41">
          <cell r="C41" t="str">
            <v>longtermconvention</v>
          </cell>
          <cell r="D41" t="str">
            <v>LOBASIS</v>
          </cell>
          <cell r="F41" t="str">
            <v>3Y</v>
          </cell>
          <cell r="G41">
            <v>-3.4000000000000002E-3</v>
          </cell>
          <cell r="H41" t="str">
            <v/>
          </cell>
          <cell r="I41" t="str">
            <v/>
          </cell>
          <cell r="J41" t="b">
            <v>1</v>
          </cell>
        </row>
        <row r="42">
          <cell r="C42" t="str">
            <v>longterm</v>
          </cell>
          <cell r="D42" t="str">
            <v>3Y</v>
          </cell>
          <cell r="F42" t="str">
            <v>4Y</v>
          </cell>
          <cell r="G42">
            <v>-2.6900000000000001E-3</v>
          </cell>
          <cell r="H42" t="str">
            <v/>
          </cell>
          <cell r="I42" t="str">
            <v/>
          </cell>
          <cell r="J42" t="b">
            <v>1</v>
          </cell>
        </row>
        <row r="43">
          <cell r="C43" t="str">
            <v>longterm.generatemethod</v>
          </cell>
          <cell r="D43" t="str">
            <v>dailyaveraging</v>
          </cell>
          <cell r="F43" t="str">
            <v>5Y</v>
          </cell>
          <cell r="G43">
            <v>-1.7499999999999998E-3</v>
          </cell>
          <cell r="H43" t="str">
            <v/>
          </cell>
          <cell r="I43" t="str">
            <v/>
          </cell>
          <cell r="J43" t="b">
            <v>1</v>
          </cell>
        </row>
        <row r="44">
          <cell r="C44" t="str">
            <v>Epsilon</v>
          </cell>
          <cell r="D44">
            <v>1E-10</v>
          </cell>
          <cell r="F44" t="str">
            <v>6Y</v>
          </cell>
          <cell r="G44">
            <v>-6.4000000000000005E-4</v>
          </cell>
          <cell r="H44" t="str">
            <v/>
          </cell>
          <cell r="I44" t="str">
            <v/>
          </cell>
          <cell r="J44" t="b">
            <v>1</v>
          </cell>
        </row>
        <row r="45">
          <cell r="C45" t="str">
            <v>MaxLoop</v>
          </cell>
          <cell r="D45">
            <v>1000</v>
          </cell>
          <cell r="F45" t="str">
            <v>7Y</v>
          </cell>
          <cell r="G45">
            <v>5.6999999999999998E-4</v>
          </cell>
          <cell r="H45" t="str">
            <v/>
          </cell>
          <cell r="I45" t="str">
            <v/>
          </cell>
          <cell r="J45" t="b">
            <v>1</v>
          </cell>
        </row>
        <row r="46">
          <cell r="C46" t="str">
            <v>SwapType</v>
          </cell>
          <cell r="D46" t="str">
            <v>OIS</v>
          </cell>
          <cell r="F46" t="str">
            <v>8Y</v>
          </cell>
          <cell r="G46">
            <v>1.83E-3</v>
          </cell>
          <cell r="H46" t="str">
            <v/>
          </cell>
          <cell r="I46" t="str">
            <v/>
          </cell>
          <cell r="J46" t="b">
            <v>1</v>
          </cell>
        </row>
        <row r="47">
          <cell r="F47" t="str">
            <v>9Y</v>
          </cell>
          <cell r="G47">
            <v>3.0599999999999998E-3</v>
          </cell>
          <cell r="H47" t="str">
            <v/>
          </cell>
          <cell r="I47" t="str">
            <v/>
          </cell>
          <cell r="J47" t="b">
            <v>1</v>
          </cell>
        </row>
        <row r="48">
          <cell r="F48" t="str">
            <v>10Y</v>
          </cell>
          <cell r="G48">
            <v>4.1900000000000001E-3</v>
          </cell>
          <cell r="H48" t="str">
            <v/>
          </cell>
          <cell r="I48" t="str">
            <v/>
          </cell>
          <cell r="J48" t="b">
            <v>1</v>
          </cell>
        </row>
        <row r="64">
          <cell r="C64" t="str">
            <v>Calendar</v>
          </cell>
          <cell r="D64" t="str">
            <v>TGT</v>
          </cell>
          <cell r="I64" t="str">
            <v>calendar</v>
          </cell>
          <cell r="J64" t="str">
            <v>TGT</v>
          </cell>
        </row>
        <row r="65">
          <cell r="C65" t="str">
            <v>Daycount</v>
          </cell>
          <cell r="D65" t="str">
            <v>ACT/360</v>
          </cell>
          <cell r="F65" t="str">
            <v>2Y</v>
          </cell>
          <cell r="G65">
            <v>1.2600000000000001E-3</v>
          </cell>
          <cell r="I65" t="str">
            <v>daycountfix</v>
          </cell>
          <cell r="J65" t="str">
            <v>30/360</v>
          </cell>
          <cell r="L65" t="str">
            <v>2Y</v>
          </cell>
          <cell r="M65">
            <v>-1.33E-3</v>
          </cell>
        </row>
        <row r="66">
          <cell r="C66" t="str">
            <v>Frequency</v>
          </cell>
          <cell r="D66" t="str">
            <v>Quarterly</v>
          </cell>
          <cell r="F66" t="str">
            <v>3Y</v>
          </cell>
          <cell r="G66">
            <v>1.2999999999999999E-3</v>
          </cell>
          <cell r="I66" t="str">
            <v>frequencyfix</v>
          </cell>
          <cell r="J66" t="str">
            <v>Annual</v>
          </cell>
          <cell r="L66" t="str">
            <v>3Y</v>
          </cell>
          <cell r="M66">
            <v>-8.699999999999999E-4</v>
          </cell>
        </row>
        <row r="67">
          <cell r="C67" t="str">
            <v>SlidingRule</v>
          </cell>
          <cell r="D67" t="str">
            <v>MOD_FOLLOWING</v>
          </cell>
          <cell r="F67" t="str">
            <v>4Y</v>
          </cell>
          <cell r="G67">
            <v>1.32E-3</v>
          </cell>
          <cell r="I67" t="str">
            <v>slidingrule</v>
          </cell>
          <cell r="J67" t="str">
            <v>MOD_FOLLOWING</v>
          </cell>
          <cell r="L67" t="str">
            <v>4Y</v>
          </cell>
          <cell r="M67">
            <v>-8.0000000000000007E-5</v>
          </cell>
        </row>
        <row r="68">
          <cell r="F68" t="str">
            <v>5Y</v>
          </cell>
          <cell r="G68">
            <v>1.34E-3</v>
          </cell>
          <cell r="I68" t="str">
            <v>SwapTenor</v>
          </cell>
          <cell r="J68" t="str">
            <v>6M</v>
          </cell>
          <cell r="L68" t="str">
            <v>5Y</v>
          </cell>
          <cell r="M68">
            <v>9.2999999999999995E-4</v>
          </cell>
        </row>
        <row r="69">
          <cell r="F69" t="str">
            <v>6Y</v>
          </cell>
          <cell r="G69">
            <v>1.33E-3</v>
          </cell>
          <cell r="I69" t="str">
            <v>SwapType</v>
          </cell>
          <cell r="J69" t="str">
            <v>LIBOR</v>
          </cell>
          <cell r="L69" t="str">
            <v>6Y</v>
          </cell>
          <cell r="M69">
            <v>2.0200000000000001E-3</v>
          </cell>
        </row>
        <row r="70">
          <cell r="F70" t="str">
            <v>7Y</v>
          </cell>
          <cell r="G70">
            <v>1.32E-3</v>
          </cell>
          <cell r="L70" t="str">
            <v>7Y</v>
          </cell>
          <cell r="M70">
            <v>3.2100000000000002E-3</v>
          </cell>
        </row>
        <row r="71">
          <cell r="F71" t="str">
            <v>8Y</v>
          </cell>
          <cell r="G71">
            <v>1.31E-3</v>
          </cell>
          <cell r="L71" t="str">
            <v>8Y</v>
          </cell>
          <cell r="M71">
            <v>4.4400000000000004E-3</v>
          </cell>
        </row>
        <row r="72">
          <cell r="F72" t="str">
            <v>9Y</v>
          </cell>
          <cell r="G72">
            <v>1.2999999999999999E-3</v>
          </cell>
          <cell r="L72" t="str">
            <v>9Y</v>
          </cell>
          <cell r="M72">
            <v>5.6100000000000004E-3</v>
          </cell>
        </row>
        <row r="73">
          <cell r="F73" t="str">
            <v>10Y</v>
          </cell>
          <cell r="G73">
            <v>1.2800000000000001E-3</v>
          </cell>
          <cell r="L73" t="str">
            <v>10Y</v>
          </cell>
          <cell r="M73">
            <v>6.6700000000000006E-3</v>
          </cell>
        </row>
      </sheetData>
      <sheetData sheetId="1">
        <row r="13">
          <cell r="D13" t="str">
            <v>EURYC</v>
          </cell>
        </row>
        <row r="14">
          <cell r="D14" t="str">
            <v>STD</v>
          </cell>
        </row>
        <row r="15">
          <cell r="D15" t="str">
            <v>STD:EUR6ML</v>
          </cell>
        </row>
        <row r="22">
          <cell r="C22" t="str">
            <v>AsOfDate</v>
          </cell>
          <cell r="D22">
            <v>42419</v>
          </cell>
        </row>
        <row r="23">
          <cell r="C23" t="str">
            <v>Currency</v>
          </cell>
          <cell r="D23" t="str">
            <v>EUR</v>
          </cell>
        </row>
        <row r="24">
          <cell r="C24" t="str">
            <v>future.interpolation</v>
          </cell>
          <cell r="D24" t="str">
            <v>fn_MonotoneConvexInterpolation</v>
          </cell>
        </row>
        <row r="25">
          <cell r="C25" t="str">
            <v>interpolation</v>
          </cell>
          <cell r="D25" t="str">
            <v>fn_MonotoneConvexInterpolation</v>
          </cell>
        </row>
        <row r="26">
          <cell r="C26" t="str">
            <v>yieldgen.interpolation</v>
          </cell>
          <cell r="D26" t="str">
            <v>fn_MonotoneConvexInterpolation</v>
          </cell>
        </row>
        <row r="27">
          <cell r="C27" t="str">
            <v>isfrause</v>
          </cell>
          <cell r="D27" t="b">
            <v>1</v>
          </cell>
        </row>
        <row r="28">
          <cell r="C28" t="str">
            <v>isfutureuse</v>
          </cell>
          <cell r="D28" t="b">
            <v>0</v>
          </cell>
        </row>
        <row r="29">
          <cell r="C29" t="str">
            <v>Frequency</v>
          </cell>
          <cell r="D29" t="str">
            <v>Semi-Annual</v>
          </cell>
        </row>
        <row r="30">
          <cell r="C30" t="str">
            <v>dfcurvename</v>
          </cell>
          <cell r="D30" t="str">
            <v>OIS</v>
          </cell>
        </row>
        <row r="31">
          <cell r="C31" t="str">
            <v>CurveType</v>
          </cell>
          <cell r="D31" t="str">
            <v>Swap</v>
          </cell>
        </row>
        <row r="38">
          <cell r="C38" t="str">
            <v>Calendar</v>
          </cell>
          <cell r="D38" t="str">
            <v>TGT</v>
          </cell>
          <cell r="F38" t="str">
            <v>Calendar</v>
          </cell>
          <cell r="G38" t="str">
            <v>TGT</v>
          </cell>
        </row>
        <row r="39">
          <cell r="C39" t="str">
            <v>DayCount</v>
          </cell>
          <cell r="D39" t="str">
            <v>ACT/360</v>
          </cell>
          <cell r="F39" t="str">
            <v>Daycount</v>
          </cell>
          <cell r="G39" t="str">
            <v>ACT/360</v>
          </cell>
          <cell r="I39" t="str">
            <v>1M</v>
          </cell>
          <cell r="J39">
            <v>-2.8E-3</v>
          </cell>
        </row>
        <row r="40">
          <cell r="C40" t="str">
            <v>Slidingrule</v>
          </cell>
          <cell r="D40" t="str">
            <v>FOLLOWING</v>
          </cell>
          <cell r="F40" t="str">
            <v>Frequency</v>
          </cell>
          <cell r="G40" t="str">
            <v>Simple</v>
          </cell>
          <cell r="I40" t="str">
            <v>3M</v>
          </cell>
          <cell r="J40">
            <v>-2.2000000000000001E-3</v>
          </cell>
        </row>
        <row r="41">
          <cell r="F41" t="str">
            <v>Resetlag</v>
          </cell>
          <cell r="G41">
            <v>2</v>
          </cell>
          <cell r="I41" t="str">
            <v>6M</v>
          </cell>
          <cell r="J41">
            <v>-1.31E-3</v>
          </cell>
        </row>
        <row r="42">
          <cell r="F42" t="str">
            <v>SlidingRule</v>
          </cell>
          <cell r="G42" t="str">
            <v>MOD_FOLLOWING</v>
          </cell>
          <cell r="I42" t="str">
            <v>12M</v>
          </cell>
          <cell r="J42">
            <v>-1E-4</v>
          </cell>
        </row>
        <row r="51">
          <cell r="C51" t="str">
            <v>Calendar</v>
          </cell>
          <cell r="D51" t="str">
            <v>TGT</v>
          </cell>
        </row>
        <row r="52">
          <cell r="C52" t="str">
            <v>DayCount</v>
          </cell>
          <cell r="D52" t="str">
            <v>ACT/360</v>
          </cell>
          <cell r="I52" t="str">
            <v>2X8</v>
          </cell>
          <cell r="J52">
            <v>-1.2900000000000001E-3</v>
          </cell>
        </row>
        <row r="53">
          <cell r="C53" t="str">
            <v>ResetLag</v>
          </cell>
          <cell r="D53">
            <v>2</v>
          </cell>
          <cell r="I53" t="str">
            <v>3X9</v>
          </cell>
          <cell r="J53">
            <v>-1.2900000000000001E-3</v>
          </cell>
        </row>
        <row r="54">
          <cell r="C54" t="str">
            <v>SlidingRule</v>
          </cell>
          <cell r="D54" t="str">
            <v>MOD_FOLLOWING</v>
          </cell>
          <cell r="I54" t="str">
            <v>4X10</v>
          </cell>
          <cell r="J54">
            <v>-1.33E-3</v>
          </cell>
        </row>
        <row r="55">
          <cell r="C55" t="str">
            <v>IsEomRoll</v>
          </cell>
          <cell r="D55" t="b">
            <v>0</v>
          </cell>
          <cell r="I55" t="str">
            <v>5X11</v>
          </cell>
          <cell r="J55">
            <v>-1.3900000000000002E-3</v>
          </cell>
        </row>
        <row r="56">
          <cell r="C56" t="str">
            <v>ApplyTension</v>
          </cell>
          <cell r="D56" t="b">
            <v>1</v>
          </cell>
          <cell r="I56" t="str">
            <v>6X12</v>
          </cell>
          <cell r="J56">
            <v>-1.4399999999999999E-3</v>
          </cell>
        </row>
        <row r="57">
          <cell r="C57" t="str">
            <v>TensionGap</v>
          </cell>
          <cell r="D57">
            <v>2</v>
          </cell>
          <cell r="I57" t="str">
            <v>7X13</v>
          </cell>
          <cell r="J57">
            <v>-1.4399999999999999E-3</v>
          </cell>
        </row>
        <row r="58">
          <cell r="I58" t="str">
            <v>8X14</v>
          </cell>
          <cell r="J58">
            <v>-1.4599999999999999E-3</v>
          </cell>
        </row>
        <row r="59">
          <cell r="I59" t="str">
            <v>9X15</v>
          </cell>
          <cell r="J59">
            <v>-1.47E-3</v>
          </cell>
        </row>
        <row r="60">
          <cell r="I60" t="str">
            <v>10X16</v>
          </cell>
          <cell r="J60">
            <v>-1.4599999999999999E-3</v>
          </cell>
        </row>
        <row r="61">
          <cell r="I61" t="str">
            <v>11X17</v>
          </cell>
          <cell r="J61">
            <v>-1.4299999999999998E-3</v>
          </cell>
        </row>
        <row r="62">
          <cell r="I62" t="str">
            <v>12X18</v>
          </cell>
          <cell r="J62">
            <v>-1.4099999999999998E-3</v>
          </cell>
        </row>
        <row r="93">
          <cell r="C93" t="str">
            <v>Calendar</v>
          </cell>
          <cell r="D93" t="str">
            <v>TGT</v>
          </cell>
        </row>
        <row r="94">
          <cell r="C94" t="str">
            <v>DayCount</v>
          </cell>
          <cell r="D94" t="str">
            <v>30/360</v>
          </cell>
          <cell r="F94" t="str">
            <v>2Y</v>
          </cell>
          <cell r="G94">
            <v>-1.33E-3</v>
          </cell>
          <cell r="H94" t="b">
            <v>1</v>
          </cell>
        </row>
        <row r="95">
          <cell r="C95" t="str">
            <v>DayCountFix</v>
          </cell>
          <cell r="D95" t="str">
            <v>30/360</v>
          </cell>
          <cell r="F95" t="str">
            <v>3Y</v>
          </cell>
          <cell r="G95">
            <v>-8.699999999999999E-4</v>
          </cell>
          <cell r="H95" t="b">
            <v>1</v>
          </cell>
        </row>
        <row r="96">
          <cell r="C96" t="str">
            <v>DayCountFloat</v>
          </cell>
          <cell r="D96" t="str">
            <v>ACT/360</v>
          </cell>
          <cell r="F96" t="str">
            <v>4Y</v>
          </cell>
          <cell r="G96">
            <v>-8.0000000000000007E-5</v>
          </cell>
          <cell r="H96" t="b">
            <v>1</v>
          </cell>
        </row>
        <row r="97">
          <cell r="C97" t="str">
            <v>Frequency</v>
          </cell>
          <cell r="D97" t="str">
            <v>Annual</v>
          </cell>
          <cell r="F97" t="str">
            <v>5Y</v>
          </cell>
          <cell r="G97">
            <v>9.2999999999999995E-4</v>
          </cell>
          <cell r="H97" t="b">
            <v>1</v>
          </cell>
        </row>
        <row r="98">
          <cell r="C98" t="str">
            <v>FrequencyFloat</v>
          </cell>
          <cell r="D98" t="str">
            <v>Semi-Annual</v>
          </cell>
          <cell r="F98" t="str">
            <v>6Y</v>
          </cell>
          <cell r="G98">
            <v>2.0200000000000001E-3</v>
          </cell>
          <cell r="H98" t="b">
            <v>1</v>
          </cell>
        </row>
        <row r="99">
          <cell r="C99" t="str">
            <v>Interpolation</v>
          </cell>
          <cell r="D99" t="str">
            <v>fn_MonotoneConvexInterpolation</v>
          </cell>
          <cell r="F99" t="str">
            <v>7Y</v>
          </cell>
          <cell r="G99">
            <v>3.2100000000000002E-3</v>
          </cell>
          <cell r="H99" t="b">
            <v>1</v>
          </cell>
        </row>
        <row r="100">
          <cell r="C100" t="str">
            <v>IsEomRoll</v>
          </cell>
          <cell r="D100" t="b">
            <v>0</v>
          </cell>
          <cell r="F100" t="str">
            <v>8Y</v>
          </cell>
          <cell r="G100">
            <v>4.4400000000000004E-3</v>
          </cell>
          <cell r="H100" t="b">
            <v>1</v>
          </cell>
        </row>
        <row r="101">
          <cell r="C101" t="str">
            <v>Resetlag</v>
          </cell>
          <cell r="D101">
            <v>2</v>
          </cell>
          <cell r="F101" t="str">
            <v>9Y</v>
          </cell>
          <cell r="G101">
            <v>5.6100000000000004E-3</v>
          </cell>
          <cell r="H101" t="b">
            <v>1</v>
          </cell>
        </row>
        <row r="102">
          <cell r="C102" t="str">
            <v>SlidingRule</v>
          </cell>
          <cell r="D102" t="str">
            <v>MOD_FOLLOWING</v>
          </cell>
          <cell r="F102" t="str">
            <v>10Y</v>
          </cell>
          <cell r="G102">
            <v>6.6700000000000006E-3</v>
          </cell>
          <cell r="H102" t="b">
            <v>1</v>
          </cell>
        </row>
        <row r="103">
          <cell r="C103" t="str">
            <v>IsNewtonraphson</v>
          </cell>
          <cell r="D103" t="b">
            <v>1</v>
          </cell>
        </row>
        <row r="104">
          <cell r="C104" t="str">
            <v>issimultaneouseq</v>
          </cell>
          <cell r="D104" t="b">
            <v>1</v>
          </cell>
        </row>
        <row r="105">
          <cell r="C105" t="str">
            <v>optimizemethod</v>
          </cell>
          <cell r="D105" t="str">
            <v>NL2SOL</v>
          </cell>
        </row>
        <row r="106">
          <cell r="C106" t="str">
            <v>Epsilon</v>
          </cell>
          <cell r="D106">
            <v>1.0000000000000001E-9</v>
          </cell>
        </row>
        <row r="107">
          <cell r="C107" t="str">
            <v>GradientEpsilon</v>
          </cell>
          <cell r="D107">
            <v>1.0000000000000001E-15</v>
          </cell>
        </row>
        <row r="108">
          <cell r="C108" t="str">
            <v>Delta</v>
          </cell>
          <cell r="D108">
            <v>1E-10</v>
          </cell>
        </row>
        <row r="109">
          <cell r="C109" t="str">
            <v>MaxLoop</v>
          </cell>
          <cell r="D109">
            <v>1000</v>
          </cell>
        </row>
        <row r="110">
          <cell r="C110" t="str">
            <v>SwapTenor</v>
          </cell>
          <cell r="D110" t="str">
            <v>6M</v>
          </cell>
        </row>
        <row r="111">
          <cell r="C111" t="str">
            <v>SwapType</v>
          </cell>
          <cell r="D111" t="str">
            <v>LIBOR</v>
          </cell>
        </row>
      </sheetData>
      <sheetData sheetId="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UR OIS"/>
      <sheetName val="EUR SWAP 6ML"/>
      <sheetName val="EUR BASIS 3ML"/>
      <sheetName val="USD OIS"/>
      <sheetName val="USD SWAP 3ML"/>
      <sheetName val="XCCY BASIS"/>
    </sheetNames>
    <sheetDataSet>
      <sheetData sheetId="0">
        <row r="11">
          <cell r="D11" t="str">
            <v>EURYC</v>
          </cell>
        </row>
        <row r="12">
          <cell r="D12" t="str">
            <v>OIS</v>
          </cell>
        </row>
        <row r="13">
          <cell r="D13" t="str">
            <v>OIS:EUROIS:EURDF:EURDF_NOCSA</v>
          </cell>
        </row>
        <row r="20">
          <cell r="C20" t="str">
            <v>AsOfDate</v>
          </cell>
          <cell r="D20">
            <v>42419</v>
          </cell>
        </row>
        <row r="21">
          <cell r="C21" t="str">
            <v>Currency</v>
          </cell>
          <cell r="D21" t="str">
            <v>EUR</v>
          </cell>
        </row>
        <row r="22">
          <cell r="C22" t="str">
            <v>yieldgen.interpolation</v>
          </cell>
          <cell r="D22" t="str">
            <v>fn_MonotoneConvexInterpolation</v>
          </cell>
        </row>
        <row r="31">
          <cell r="C31" t="str">
            <v>calendar</v>
          </cell>
          <cell r="D31" t="str">
            <v>TGT</v>
          </cell>
        </row>
        <row r="32">
          <cell r="C32" t="str">
            <v>daycount</v>
          </cell>
          <cell r="D32" t="str">
            <v>ACT/360</v>
          </cell>
          <cell r="F32" t="str">
            <v>ON</v>
          </cell>
          <cell r="G32">
            <v>-2.4299999999999999E-3</v>
          </cell>
          <cell r="H32" t="str">
            <v/>
          </cell>
          <cell r="I32" t="str">
            <v/>
          </cell>
          <cell r="J32" t="b">
            <v>1</v>
          </cell>
        </row>
        <row r="33">
          <cell r="C33" t="str">
            <v>frequency</v>
          </cell>
          <cell r="D33" t="str">
            <v>Annual</v>
          </cell>
          <cell r="F33" t="str">
            <v>EUSF1A</v>
          </cell>
          <cell r="G33">
            <v>-3.3900000000000002E-3</v>
          </cell>
          <cell r="H33">
            <v>42481</v>
          </cell>
          <cell r="I33">
            <v>42523</v>
          </cell>
          <cell r="J33" t="b">
            <v>1</v>
          </cell>
        </row>
        <row r="34">
          <cell r="C34" t="str">
            <v>resetlag</v>
          </cell>
          <cell r="D34" t="str">
            <v>2d</v>
          </cell>
          <cell r="F34" t="str">
            <v>EUSF2A</v>
          </cell>
          <cell r="G34">
            <v>-3.5299999999999997E-3</v>
          </cell>
          <cell r="H34">
            <v>42523</v>
          </cell>
          <cell r="I34">
            <v>42572</v>
          </cell>
          <cell r="J34" t="b">
            <v>1</v>
          </cell>
        </row>
        <row r="35">
          <cell r="C35" t="str">
            <v>slidingrule</v>
          </cell>
          <cell r="D35" t="str">
            <v>MOD_FOLLOWING</v>
          </cell>
          <cell r="F35" t="str">
            <v>EUSF3A</v>
          </cell>
          <cell r="G35">
            <v>-3.5699999999999998E-3</v>
          </cell>
          <cell r="H35">
            <v>42572</v>
          </cell>
          <cell r="I35">
            <v>42621</v>
          </cell>
          <cell r="J35" t="b">
            <v>1</v>
          </cell>
        </row>
        <row r="36">
          <cell r="C36" t="str">
            <v>iseomroll</v>
          </cell>
          <cell r="D36" t="b">
            <v>1</v>
          </cell>
          <cell r="F36" t="str">
            <v>EUSF4A</v>
          </cell>
          <cell r="G36">
            <v>-3.7799999999999999E-3</v>
          </cell>
          <cell r="H36">
            <v>42621</v>
          </cell>
          <cell r="I36">
            <v>42663</v>
          </cell>
          <cell r="J36" t="b">
            <v>1</v>
          </cell>
        </row>
        <row r="37">
          <cell r="C37" t="str">
            <v>eomday</v>
          </cell>
          <cell r="D37">
            <v>31</v>
          </cell>
          <cell r="F37" t="str">
            <v>EUSF5A</v>
          </cell>
          <cell r="G37">
            <v>-3.8600000000000001E-3</v>
          </cell>
          <cell r="H37">
            <v>42663</v>
          </cell>
          <cell r="I37">
            <v>42712</v>
          </cell>
          <cell r="J37" t="b">
            <v>1</v>
          </cell>
        </row>
        <row r="38">
          <cell r="C38" t="str">
            <v>generatemethod</v>
          </cell>
          <cell r="D38" t="str">
            <v>dailycompounding</v>
          </cell>
          <cell r="F38" t="str">
            <v>12M</v>
          </cell>
          <cell r="G38">
            <v>-3.6900000000000001E-3</v>
          </cell>
          <cell r="H38" t="str">
            <v/>
          </cell>
          <cell r="I38" t="str">
            <v/>
          </cell>
          <cell r="J38" t="b">
            <v>1</v>
          </cell>
        </row>
        <row r="39">
          <cell r="C39" t="str">
            <v>firstrate</v>
          </cell>
          <cell r="D39" t="str">
            <v>ShortMarket</v>
          </cell>
          <cell r="F39" t="str">
            <v>18M</v>
          </cell>
          <cell r="G39">
            <v>-3.79E-3</v>
          </cell>
          <cell r="H39" t="str">
            <v/>
          </cell>
          <cell r="I39" t="str">
            <v/>
          </cell>
          <cell r="J39" t="b">
            <v>1</v>
          </cell>
        </row>
        <row r="40">
          <cell r="C40" t="str">
            <v>shorttermconvention</v>
          </cell>
          <cell r="D40" t="str">
            <v>arithmeticaverage</v>
          </cell>
          <cell r="F40" t="str">
            <v>2Y</v>
          </cell>
          <cell r="G40">
            <v>-3.7699999999999999E-3</v>
          </cell>
          <cell r="H40" t="str">
            <v/>
          </cell>
          <cell r="I40" t="str">
            <v/>
          </cell>
          <cell r="J40" t="b">
            <v>1</v>
          </cell>
        </row>
        <row r="41">
          <cell r="C41" t="str">
            <v>longtermconvention</v>
          </cell>
          <cell r="D41" t="str">
            <v>LOBASIS</v>
          </cell>
          <cell r="F41" t="str">
            <v>3Y</v>
          </cell>
          <cell r="G41">
            <v>-3.4000000000000002E-3</v>
          </cell>
          <cell r="H41" t="str">
            <v/>
          </cell>
          <cell r="I41" t="str">
            <v/>
          </cell>
          <cell r="J41" t="b">
            <v>1</v>
          </cell>
        </row>
        <row r="42">
          <cell r="C42" t="str">
            <v>longterm</v>
          </cell>
          <cell r="D42" t="str">
            <v>3Y</v>
          </cell>
          <cell r="F42" t="str">
            <v>4Y</v>
          </cell>
          <cell r="G42">
            <v>-2.6900000000000001E-3</v>
          </cell>
          <cell r="H42" t="str">
            <v/>
          </cell>
          <cell r="I42" t="str">
            <v/>
          </cell>
          <cell r="J42" t="b">
            <v>1</v>
          </cell>
        </row>
        <row r="43">
          <cell r="C43" t="str">
            <v>longterm.generatemethod</v>
          </cell>
          <cell r="D43" t="str">
            <v>dailyaveraging</v>
          </cell>
          <cell r="F43" t="str">
            <v>5Y</v>
          </cell>
          <cell r="G43">
            <v>-1.7499999999999998E-3</v>
          </cell>
          <cell r="H43" t="str">
            <v/>
          </cell>
          <cell r="I43" t="str">
            <v/>
          </cell>
          <cell r="J43" t="b">
            <v>1</v>
          </cell>
        </row>
        <row r="44">
          <cell r="C44" t="str">
            <v>Epsilon</v>
          </cell>
          <cell r="D44">
            <v>1E-10</v>
          </cell>
          <cell r="F44" t="str">
            <v>6Y</v>
          </cell>
          <cell r="G44">
            <v>-6.4000000000000005E-4</v>
          </cell>
          <cell r="H44" t="str">
            <v/>
          </cell>
          <cell r="I44" t="str">
            <v/>
          </cell>
          <cell r="J44" t="b">
            <v>1</v>
          </cell>
        </row>
        <row r="45">
          <cell r="C45" t="str">
            <v>MaxLoop</v>
          </cell>
          <cell r="D45">
            <v>1000</v>
          </cell>
          <cell r="F45" t="str">
            <v>7Y</v>
          </cell>
          <cell r="G45">
            <v>5.6999999999999998E-4</v>
          </cell>
          <cell r="H45" t="str">
            <v/>
          </cell>
          <cell r="I45" t="str">
            <v/>
          </cell>
          <cell r="J45" t="b">
            <v>1</v>
          </cell>
        </row>
        <row r="46">
          <cell r="F46" t="str">
            <v>8Y</v>
          </cell>
          <cell r="G46">
            <v>1.83E-3</v>
          </cell>
          <cell r="H46" t="str">
            <v/>
          </cell>
          <cell r="I46" t="str">
            <v/>
          </cell>
          <cell r="J46" t="b">
            <v>1</v>
          </cell>
        </row>
        <row r="47">
          <cell r="F47" t="str">
            <v>9Y</v>
          </cell>
          <cell r="G47">
            <v>3.0599999999999998E-3</v>
          </cell>
          <cell r="H47" t="str">
            <v/>
          </cell>
          <cell r="I47" t="str">
            <v/>
          </cell>
          <cell r="J47" t="b">
            <v>1</v>
          </cell>
        </row>
        <row r="48">
          <cell r="F48" t="str">
            <v>10Y</v>
          </cell>
          <cell r="G48">
            <v>4.1900000000000001E-3</v>
          </cell>
          <cell r="H48" t="str">
            <v/>
          </cell>
          <cell r="I48" t="str">
            <v/>
          </cell>
          <cell r="J48" t="b">
            <v>1</v>
          </cell>
        </row>
        <row r="49">
          <cell r="F49" t="str">
            <v>11Y</v>
          </cell>
          <cell r="G49">
            <v>5.2100000000000002E-3</v>
          </cell>
          <cell r="H49" t="str">
            <v/>
          </cell>
          <cell r="I49" t="str">
            <v/>
          </cell>
          <cell r="J49" t="b">
            <v>1</v>
          </cell>
        </row>
        <row r="50">
          <cell r="F50" t="str">
            <v>12Y</v>
          </cell>
          <cell r="G50">
            <v>6.0899999999999999E-3</v>
          </cell>
          <cell r="H50" t="str">
            <v/>
          </cell>
          <cell r="I50" t="str">
            <v/>
          </cell>
          <cell r="J50" t="b">
            <v>1</v>
          </cell>
        </row>
        <row r="51">
          <cell r="F51" t="str">
            <v>15Y</v>
          </cell>
          <cell r="G51">
            <v>8.1000000000000013E-3</v>
          </cell>
          <cell r="H51" t="str">
            <v/>
          </cell>
          <cell r="I51" t="str">
            <v/>
          </cell>
          <cell r="J51" t="b">
            <v>1</v>
          </cell>
        </row>
        <row r="52">
          <cell r="F52" t="str">
            <v>20Y</v>
          </cell>
          <cell r="G52">
            <v>9.75E-3</v>
          </cell>
          <cell r="H52" t="str">
            <v/>
          </cell>
          <cell r="I52" t="str">
            <v/>
          </cell>
          <cell r="J52" t="b">
            <v>1</v>
          </cell>
        </row>
        <row r="53">
          <cell r="F53" t="str">
            <v>25Y</v>
          </cell>
          <cell r="G53">
            <v>1.0329999999999999E-2</v>
          </cell>
          <cell r="H53" t="str">
            <v/>
          </cell>
          <cell r="I53" t="str">
            <v/>
          </cell>
          <cell r="J53" t="b">
            <v>1</v>
          </cell>
        </row>
        <row r="54">
          <cell r="F54" t="str">
            <v>30Y</v>
          </cell>
          <cell r="G54">
            <v>1.0529999999999999E-2</v>
          </cell>
          <cell r="H54" t="str">
            <v/>
          </cell>
          <cell r="I54" t="str">
            <v/>
          </cell>
          <cell r="J54" t="b">
            <v>1</v>
          </cell>
        </row>
        <row r="55">
          <cell r="F55" t="str">
            <v>40Y</v>
          </cell>
          <cell r="G55">
            <v>1.061E-2</v>
          </cell>
          <cell r="H55" t="str">
            <v/>
          </cell>
          <cell r="I55" t="str">
            <v/>
          </cell>
          <cell r="J55" t="b">
            <v>1</v>
          </cell>
        </row>
        <row r="56">
          <cell r="F56" t="str">
            <v>50Y</v>
          </cell>
          <cell r="G56">
            <v>1.01E-2</v>
          </cell>
          <cell r="H56" t="str">
            <v/>
          </cell>
          <cell r="I56" t="str">
            <v/>
          </cell>
          <cell r="J56" t="b">
            <v>1</v>
          </cell>
        </row>
        <row r="64">
          <cell r="C64" t="str">
            <v>Calendar</v>
          </cell>
          <cell r="D64" t="str">
            <v>TGT</v>
          </cell>
          <cell r="I64" t="str">
            <v>calendar</v>
          </cell>
          <cell r="J64" t="str">
            <v>TGT</v>
          </cell>
        </row>
        <row r="65">
          <cell r="C65" t="str">
            <v>Daycount</v>
          </cell>
          <cell r="D65" t="str">
            <v>ACT/360</v>
          </cell>
          <cell r="F65" t="str">
            <v>2Y</v>
          </cell>
          <cell r="G65">
            <v>1.2600000000000001E-3</v>
          </cell>
          <cell r="I65" t="str">
            <v>daycountfix</v>
          </cell>
          <cell r="J65" t="str">
            <v>30/360</v>
          </cell>
          <cell r="L65" t="str">
            <v>2Y</v>
          </cell>
          <cell r="M65">
            <v>-2.5400000000000002E-3</v>
          </cell>
        </row>
        <row r="66">
          <cell r="C66" t="str">
            <v>Frequency</v>
          </cell>
          <cell r="D66" t="str">
            <v>Quarterly</v>
          </cell>
          <cell r="F66" t="str">
            <v>3Y</v>
          </cell>
          <cell r="G66">
            <v>1.2999999999999999E-3</v>
          </cell>
          <cell r="I66" t="str">
            <v>frequencyfix</v>
          </cell>
          <cell r="J66" t="str">
            <v>Annual</v>
          </cell>
          <cell r="L66" t="str">
            <v>3Y</v>
          </cell>
          <cell r="M66">
            <v>-2.14E-3</v>
          </cell>
        </row>
        <row r="67">
          <cell r="C67" t="str">
            <v>SlidingRule</v>
          </cell>
          <cell r="D67" t="str">
            <v>MOD_FOLLOWING</v>
          </cell>
          <cell r="F67" t="str">
            <v>4Y</v>
          </cell>
          <cell r="G67">
            <v>1.32E-3</v>
          </cell>
          <cell r="I67" t="str">
            <v>slidingrule</v>
          </cell>
          <cell r="J67" t="str">
            <v>MOD_FOLLOWING</v>
          </cell>
          <cell r="L67" t="str">
            <v>4Y</v>
          </cell>
          <cell r="M67">
            <v>-1.4000000000000002E-3</v>
          </cell>
        </row>
        <row r="68">
          <cell r="F68" t="str">
            <v>5Y</v>
          </cell>
          <cell r="G68">
            <v>1.34E-3</v>
          </cell>
          <cell r="L68" t="str">
            <v>5Y</v>
          </cell>
          <cell r="M68">
            <v>-4.2000000000000002E-4</v>
          </cell>
        </row>
        <row r="69">
          <cell r="F69" t="str">
            <v>6Y</v>
          </cell>
          <cell r="G69">
            <v>1.33E-3</v>
          </cell>
          <cell r="L69" t="str">
            <v>6Y</v>
          </cell>
          <cell r="M69">
            <v>7.000000000000001E-4</v>
          </cell>
        </row>
        <row r="70">
          <cell r="F70" t="str">
            <v>7Y</v>
          </cell>
          <cell r="G70">
            <v>1.32E-3</v>
          </cell>
          <cell r="L70" t="str">
            <v>7Y</v>
          </cell>
          <cell r="M70">
            <v>1.92E-3</v>
          </cell>
        </row>
        <row r="71">
          <cell r="F71" t="str">
            <v>8Y</v>
          </cell>
          <cell r="G71">
            <v>1.31E-3</v>
          </cell>
          <cell r="L71" t="str">
            <v>8Y</v>
          </cell>
          <cell r="M71">
            <v>3.1900000000000001E-3</v>
          </cell>
        </row>
        <row r="72">
          <cell r="F72" t="str">
            <v>9Y</v>
          </cell>
          <cell r="G72">
            <v>1.2999999999999999E-3</v>
          </cell>
          <cell r="L72" t="str">
            <v>9Y</v>
          </cell>
          <cell r="M72">
            <v>4.4299999999999999E-3</v>
          </cell>
        </row>
        <row r="73">
          <cell r="F73" t="str">
            <v>10Y</v>
          </cell>
          <cell r="G73">
            <v>1.2800000000000001E-3</v>
          </cell>
          <cell r="L73" t="str">
            <v>10Y</v>
          </cell>
          <cell r="M73">
            <v>5.5500000000000002E-3</v>
          </cell>
        </row>
        <row r="74">
          <cell r="F74" t="str">
            <v>11Y</v>
          </cell>
          <cell r="G74">
            <v>1.2699999999999999E-3</v>
          </cell>
          <cell r="L74" t="str">
            <v>11Y</v>
          </cell>
          <cell r="M74">
            <v>6.5700000000000003E-3</v>
          </cell>
        </row>
        <row r="75">
          <cell r="F75" t="str">
            <v>12Y</v>
          </cell>
          <cell r="G75">
            <v>1.2600000000000001E-3</v>
          </cell>
          <cell r="L75" t="str">
            <v>12Y</v>
          </cell>
          <cell r="M75">
            <v>7.4599999999999996E-3</v>
          </cell>
        </row>
        <row r="76">
          <cell r="F76" t="str">
            <v>15Y</v>
          </cell>
          <cell r="G76">
            <v>1.1900000000000001E-3</v>
          </cell>
          <cell r="L76" t="str">
            <v>15Y</v>
          </cell>
          <cell r="M76">
            <v>9.4199999999999996E-3</v>
          </cell>
        </row>
        <row r="77">
          <cell r="F77" t="str">
            <v>20Y</v>
          </cell>
          <cell r="G77">
            <v>1.0400000000000001E-3</v>
          </cell>
          <cell r="L77" t="str">
            <v>20Y</v>
          </cell>
          <cell r="M77">
            <v>1.095E-2</v>
          </cell>
        </row>
        <row r="78">
          <cell r="F78" t="str">
            <v>25Y</v>
          </cell>
          <cell r="G78">
            <v>9.1999999999999992E-4</v>
          </cell>
          <cell r="L78" t="str">
            <v>25Y</v>
          </cell>
          <cell r="M78">
            <v>1.142E-2</v>
          </cell>
        </row>
        <row r="79">
          <cell r="F79" t="str">
            <v>30Y</v>
          </cell>
          <cell r="G79">
            <v>8.1999999999999998E-4</v>
          </cell>
          <cell r="L79" t="str">
            <v>30Y</v>
          </cell>
          <cell r="M79">
            <v>1.1519999999999999E-2</v>
          </cell>
        </row>
        <row r="80">
          <cell r="F80" t="str">
            <v>40Y</v>
          </cell>
          <cell r="G80">
            <v>6.6E-4</v>
          </cell>
          <cell r="L80" t="str">
            <v>40Y</v>
          </cell>
          <cell r="M80">
            <v>1.1439999999999999E-2</v>
          </cell>
        </row>
        <row r="81">
          <cell r="F81" t="str">
            <v>50Y</v>
          </cell>
          <cell r="G81">
            <v>5.6999999999999998E-4</v>
          </cell>
          <cell r="L81" t="str">
            <v>50Y</v>
          </cell>
          <cell r="M81">
            <v>1.0829999999999999E-2</v>
          </cell>
        </row>
      </sheetData>
      <sheetData sheetId="1">
        <row r="13">
          <cell r="D13" t="str">
            <v>EURYC</v>
          </cell>
        </row>
        <row r="14">
          <cell r="D14" t="str">
            <v>STD</v>
          </cell>
        </row>
        <row r="15">
          <cell r="D15" t="str">
            <v>STD:EUR6ML</v>
          </cell>
        </row>
        <row r="22">
          <cell r="C22" t="str">
            <v>AsOfDate</v>
          </cell>
          <cell r="D22">
            <v>42419</v>
          </cell>
        </row>
        <row r="23">
          <cell r="C23" t="str">
            <v>Currency</v>
          </cell>
          <cell r="D23" t="str">
            <v>EUR</v>
          </cell>
        </row>
        <row r="24">
          <cell r="C24" t="str">
            <v>future.interpolation</v>
          </cell>
          <cell r="D24" t="str">
            <v>fn_MonotoneConvexInterpolation</v>
          </cell>
        </row>
        <row r="25">
          <cell r="C25" t="str">
            <v>interpolation</v>
          </cell>
          <cell r="D25" t="str">
            <v>fn_MonotoneConvexInterpolation</v>
          </cell>
        </row>
        <row r="26">
          <cell r="C26" t="str">
            <v>yieldgen.interpolation</v>
          </cell>
          <cell r="D26" t="str">
            <v>fn_MonotoneConvexInterpolation</v>
          </cell>
        </row>
        <row r="27">
          <cell r="C27" t="str">
            <v>isfrause</v>
          </cell>
          <cell r="D27" t="b">
            <v>1</v>
          </cell>
        </row>
        <row r="28">
          <cell r="C28" t="str">
            <v>isfutureuse</v>
          </cell>
          <cell r="D28" t="b">
            <v>0</v>
          </cell>
        </row>
        <row r="29">
          <cell r="C29" t="str">
            <v>Frequency</v>
          </cell>
          <cell r="D29" t="str">
            <v>Semi-Annual</v>
          </cell>
        </row>
        <row r="30">
          <cell r="C30" t="str">
            <v>dfcurvename</v>
          </cell>
          <cell r="D30" t="str">
            <v>OIS</v>
          </cell>
        </row>
        <row r="38">
          <cell r="C38" t="str">
            <v>Calendar</v>
          </cell>
          <cell r="D38" t="str">
            <v>TGT</v>
          </cell>
          <cell r="F38" t="str">
            <v>Calendar</v>
          </cell>
          <cell r="G38" t="str">
            <v>TGT</v>
          </cell>
        </row>
        <row r="39">
          <cell r="C39" t="str">
            <v>DayCount</v>
          </cell>
          <cell r="D39" t="str">
            <v>ACT/360</v>
          </cell>
          <cell r="F39" t="str">
            <v>Daycount</v>
          </cell>
          <cell r="G39" t="str">
            <v>ACT/360</v>
          </cell>
          <cell r="I39" t="str">
            <v>1M</v>
          </cell>
          <cell r="J39">
            <v>-2.8E-3</v>
          </cell>
        </row>
        <row r="40">
          <cell r="C40" t="str">
            <v>Slidingrule</v>
          </cell>
          <cell r="D40" t="str">
            <v>FOLLOWING</v>
          </cell>
          <cell r="F40" t="str">
            <v>Frequency</v>
          </cell>
          <cell r="G40" t="str">
            <v>Simple</v>
          </cell>
          <cell r="I40" t="str">
            <v>3M</v>
          </cell>
          <cell r="J40">
            <v>-2.2000000000000001E-3</v>
          </cell>
        </row>
        <row r="41">
          <cell r="F41" t="str">
            <v>Resetlag</v>
          </cell>
          <cell r="G41">
            <v>2</v>
          </cell>
          <cell r="I41" t="str">
            <v>6M</v>
          </cell>
          <cell r="J41">
            <v>-1.31E-3</v>
          </cell>
        </row>
        <row r="42">
          <cell r="F42" t="str">
            <v>SlidingRule</v>
          </cell>
          <cell r="G42" t="str">
            <v>MOD_FOLLOWING</v>
          </cell>
          <cell r="I42" t="str">
            <v>12M</v>
          </cell>
          <cell r="J42">
            <v>-1E-4</v>
          </cell>
        </row>
        <row r="51">
          <cell r="C51" t="str">
            <v>Calendar</v>
          </cell>
          <cell r="D51" t="str">
            <v>TGT</v>
          </cell>
        </row>
        <row r="52">
          <cell r="C52" t="str">
            <v>DayCount</v>
          </cell>
          <cell r="D52" t="str">
            <v>ACT/360</v>
          </cell>
          <cell r="I52" t="str">
            <v>2X8</v>
          </cell>
          <cell r="J52">
            <v>-1.2900000000000001E-3</v>
          </cell>
        </row>
        <row r="53">
          <cell r="C53" t="str">
            <v>ResetLag</v>
          </cell>
          <cell r="D53">
            <v>2</v>
          </cell>
          <cell r="I53" t="str">
            <v>3X9</v>
          </cell>
          <cell r="J53">
            <v>-1.2900000000000001E-3</v>
          </cell>
        </row>
        <row r="54">
          <cell r="C54" t="str">
            <v>SlidingRule</v>
          </cell>
          <cell r="D54" t="str">
            <v>MOD_FOLLOWING</v>
          </cell>
          <cell r="I54" t="str">
            <v>4X10</v>
          </cell>
          <cell r="J54">
            <v>-1.33E-3</v>
          </cell>
        </row>
        <row r="55">
          <cell r="C55" t="str">
            <v>IsEomRoll</v>
          </cell>
          <cell r="D55" t="b">
            <v>0</v>
          </cell>
          <cell r="I55" t="str">
            <v>5X11</v>
          </cell>
          <cell r="J55">
            <v>-1.3900000000000002E-3</v>
          </cell>
        </row>
        <row r="56">
          <cell r="C56" t="str">
            <v>ApplyTension</v>
          </cell>
          <cell r="D56" t="b">
            <v>1</v>
          </cell>
          <cell r="I56" t="str">
            <v>6X12</v>
          </cell>
          <cell r="J56">
            <v>-1.4399999999999999E-3</v>
          </cell>
        </row>
        <row r="57">
          <cell r="C57" t="str">
            <v>TensionGap</v>
          </cell>
          <cell r="D57">
            <v>2</v>
          </cell>
          <cell r="I57" t="str">
            <v>7X13</v>
          </cell>
          <cell r="J57">
            <v>-1.4399999999999999E-3</v>
          </cell>
        </row>
        <row r="58">
          <cell r="I58" t="str">
            <v>8X14</v>
          </cell>
          <cell r="J58">
            <v>-1.4599999999999999E-3</v>
          </cell>
        </row>
        <row r="59">
          <cell r="I59" t="str">
            <v>9X15</v>
          </cell>
          <cell r="J59">
            <v>-1.47E-3</v>
          </cell>
        </row>
        <row r="60">
          <cell r="I60" t="str">
            <v>10X16</v>
          </cell>
          <cell r="J60">
            <v>-1.4599999999999999E-3</v>
          </cell>
        </row>
        <row r="61">
          <cell r="I61" t="str">
            <v>11X17</v>
          </cell>
          <cell r="J61">
            <v>-1.4299999999999998E-3</v>
          </cell>
        </row>
        <row r="62">
          <cell r="I62" t="str">
            <v>12X18</v>
          </cell>
          <cell r="J62">
            <v>-1.4099999999999998E-3</v>
          </cell>
        </row>
        <row r="93">
          <cell r="C93" t="str">
            <v>Calendar</v>
          </cell>
          <cell r="D93" t="str">
            <v>TGT</v>
          </cell>
        </row>
        <row r="94">
          <cell r="C94" t="str">
            <v>DayCount</v>
          </cell>
          <cell r="D94" t="str">
            <v>30/360</v>
          </cell>
          <cell r="F94" t="str">
            <v>2Y</v>
          </cell>
          <cell r="G94">
            <v>-1.33E-3</v>
          </cell>
          <cell r="H94" t="b">
            <v>1</v>
          </cell>
        </row>
        <row r="95">
          <cell r="C95" t="str">
            <v>DayCountFix</v>
          </cell>
          <cell r="D95" t="str">
            <v>30/360</v>
          </cell>
          <cell r="F95" t="str">
            <v>3Y</v>
          </cell>
          <cell r="G95">
            <v>-8.699999999999999E-4</v>
          </cell>
          <cell r="H95" t="b">
            <v>1</v>
          </cell>
        </row>
        <row r="96">
          <cell r="C96" t="str">
            <v>DayCountFloat</v>
          </cell>
          <cell r="D96" t="str">
            <v>ACT/360</v>
          </cell>
          <cell r="F96" t="str">
            <v>4Y</v>
          </cell>
          <cell r="G96">
            <v>-8.0000000000000007E-5</v>
          </cell>
          <cell r="H96" t="b">
            <v>1</v>
          </cell>
        </row>
        <row r="97">
          <cell r="C97" t="str">
            <v>Frequency</v>
          </cell>
          <cell r="D97" t="str">
            <v>Annual</v>
          </cell>
          <cell r="F97" t="str">
            <v>5Y</v>
          </cell>
          <cell r="G97">
            <v>9.2999999999999995E-4</v>
          </cell>
          <cell r="H97" t="b">
            <v>1</v>
          </cell>
        </row>
        <row r="98">
          <cell r="C98" t="str">
            <v>FrequencyFloat</v>
          </cell>
          <cell r="D98" t="str">
            <v>Semi-Annual</v>
          </cell>
          <cell r="F98" t="str">
            <v>6Y</v>
          </cell>
          <cell r="G98">
            <v>2.0200000000000001E-3</v>
          </cell>
          <cell r="H98" t="b">
            <v>1</v>
          </cell>
        </row>
        <row r="99">
          <cell r="C99" t="str">
            <v>Interpolation</v>
          </cell>
          <cell r="D99" t="str">
            <v>fn_MonotoneConvexInterpolation</v>
          </cell>
          <cell r="F99" t="str">
            <v>7Y</v>
          </cell>
          <cell r="G99">
            <v>3.2100000000000002E-3</v>
          </cell>
          <cell r="H99" t="b">
            <v>1</v>
          </cell>
        </row>
        <row r="100">
          <cell r="C100" t="str">
            <v>IsEomRoll</v>
          </cell>
          <cell r="D100" t="b">
            <v>0</v>
          </cell>
          <cell r="F100" t="str">
            <v>8Y</v>
          </cell>
          <cell r="G100">
            <v>4.4400000000000004E-3</v>
          </cell>
          <cell r="H100" t="b">
            <v>1</v>
          </cell>
        </row>
        <row r="101">
          <cell r="C101" t="str">
            <v>Resetlag</v>
          </cell>
          <cell r="D101">
            <v>2</v>
          </cell>
          <cell r="F101" t="str">
            <v>9Y</v>
          </cell>
          <cell r="G101">
            <v>5.6100000000000004E-3</v>
          </cell>
          <cell r="H101" t="b">
            <v>1</v>
          </cell>
        </row>
        <row r="102">
          <cell r="C102" t="str">
            <v>SlidingRule</v>
          </cell>
          <cell r="D102" t="str">
            <v>MOD_FOLLOWING</v>
          </cell>
          <cell r="F102" t="str">
            <v>10Y</v>
          </cell>
          <cell r="G102">
            <v>6.6700000000000006E-3</v>
          </cell>
          <cell r="H102" t="b">
            <v>1</v>
          </cell>
        </row>
        <row r="103">
          <cell r="C103" t="str">
            <v>IsNewtonraphson</v>
          </cell>
          <cell r="D103" t="b">
            <v>1</v>
          </cell>
          <cell r="F103" t="str">
            <v>11Y</v>
          </cell>
          <cell r="G103">
            <v>7.6300000000000005E-3</v>
          </cell>
          <cell r="H103" t="b">
            <v>1</v>
          </cell>
        </row>
        <row r="104">
          <cell r="C104" t="str">
            <v>issimultaneouseq</v>
          </cell>
          <cell r="D104" t="b">
            <v>1</v>
          </cell>
          <cell r="F104" t="str">
            <v>12Y</v>
          </cell>
          <cell r="G104">
            <v>8.4700000000000001E-3</v>
          </cell>
          <cell r="H104" t="b">
            <v>1</v>
          </cell>
        </row>
        <row r="105">
          <cell r="C105" t="str">
            <v>optimizemethod</v>
          </cell>
          <cell r="D105" t="str">
            <v>NL2SOL</v>
          </cell>
          <cell r="F105" t="str">
            <v>15Y</v>
          </cell>
          <cell r="G105">
            <v>1.03E-2</v>
          </cell>
          <cell r="H105" t="b">
            <v>1</v>
          </cell>
        </row>
        <row r="106">
          <cell r="C106" t="str">
            <v>Epsilon</v>
          </cell>
          <cell r="D106">
            <v>1.0000000000000001E-9</v>
          </cell>
          <cell r="F106" t="str">
            <v>20Y</v>
          </cell>
          <cell r="G106">
            <v>1.1659999999999998E-2</v>
          </cell>
          <cell r="H106" t="b">
            <v>1</v>
          </cell>
        </row>
        <row r="107">
          <cell r="C107" t="str">
            <v>GradientEpsilon</v>
          </cell>
          <cell r="D107">
            <v>1.0000000000000001E-15</v>
          </cell>
          <cell r="F107" t="str">
            <v>25Y</v>
          </cell>
          <cell r="G107">
            <v>1.201E-2</v>
          </cell>
          <cell r="H107" t="b">
            <v>1</v>
          </cell>
        </row>
        <row r="108">
          <cell r="C108" t="str">
            <v>Delta</v>
          </cell>
          <cell r="D108">
            <v>1E-10</v>
          </cell>
          <cell r="F108" t="str">
            <v>30Y</v>
          </cell>
          <cell r="G108">
            <v>1.204E-2</v>
          </cell>
          <cell r="H108" t="b">
            <v>1</v>
          </cell>
        </row>
        <row r="109">
          <cell r="C109" t="str">
            <v>MaxLoop</v>
          </cell>
          <cell r="D109">
            <v>1000</v>
          </cell>
          <cell r="F109" t="str">
            <v>40Y</v>
          </cell>
          <cell r="G109">
            <v>1.1859999999999999E-2</v>
          </cell>
          <cell r="H109" t="b">
            <v>1</v>
          </cell>
        </row>
        <row r="110">
          <cell r="F110" t="str">
            <v>50Y</v>
          </cell>
          <cell r="G110">
            <v>1.1200000000000002E-2</v>
          </cell>
          <cell r="H110" t="b">
            <v>1</v>
          </cell>
        </row>
      </sheetData>
      <sheetData sheetId="2">
        <row r="12">
          <cell r="D12" t="str">
            <v>EURYC</v>
          </cell>
        </row>
        <row r="13">
          <cell r="D13" t="str">
            <v>3M6MBasis</v>
          </cell>
        </row>
        <row r="14">
          <cell r="D14" t="str">
            <v>3M6MBasis:EUR3ML</v>
          </cell>
        </row>
        <row r="21">
          <cell r="C21" t="str">
            <v>AsOfDate</v>
          </cell>
          <cell r="D21">
            <v>42419</v>
          </cell>
        </row>
        <row r="22">
          <cell r="C22" t="str">
            <v>Currency</v>
          </cell>
          <cell r="D22" t="str">
            <v>EUR</v>
          </cell>
        </row>
        <row r="23">
          <cell r="C23" t="str">
            <v>basis.interpolation.3m6mbasis</v>
          </cell>
          <cell r="D23" t="str">
            <v>fn_MonotoneConvexInterpolation</v>
          </cell>
        </row>
        <row r="24">
          <cell r="C24" t="str">
            <v>basis.interpolation.1m3mbasis</v>
          </cell>
          <cell r="D24" t="str">
            <v>fn_MonotoneConvexInterpolation</v>
          </cell>
        </row>
        <row r="25">
          <cell r="C25" t="str">
            <v>basis.interpolation.6m12mbasis</v>
          </cell>
          <cell r="D25" t="str">
            <v>fn_MonotoneConvexInterpolation</v>
          </cell>
        </row>
        <row r="38">
          <cell r="C38" t="str">
            <v>MarketName</v>
          </cell>
          <cell r="D38" t="str">
            <v>EUR3M6MBASIS</v>
          </cell>
        </row>
        <row r="39">
          <cell r="C39" t="str">
            <v>IsLeg1Spread</v>
          </cell>
          <cell r="D39" t="b">
            <v>0</v>
          </cell>
          <cell r="F39" t="str">
            <v>1Y</v>
          </cell>
          <cell r="G39">
            <v>1.1300000000000001E-3</v>
          </cell>
        </row>
        <row r="40">
          <cell r="C40" t="str">
            <v>Leg1cashlet.calendar</v>
          </cell>
          <cell r="D40" t="str">
            <v>TGT</v>
          </cell>
          <cell r="F40" t="str">
            <v>2Y</v>
          </cell>
          <cell r="G40">
            <v>1.1925E-3</v>
          </cell>
        </row>
        <row r="41">
          <cell r="C41" t="str">
            <v>Leg1cashlet.daycount</v>
          </cell>
          <cell r="D41" t="str">
            <v>Act/360</v>
          </cell>
          <cell r="F41" t="str">
            <v>3Y</v>
          </cell>
          <cell r="G41">
            <v>1.2425000000000001E-3</v>
          </cell>
        </row>
        <row r="42">
          <cell r="C42" t="str">
            <v>Leg1cashlet.frequency</v>
          </cell>
          <cell r="D42" t="str">
            <v>Semi-Annual</v>
          </cell>
          <cell r="F42" t="str">
            <v>4Y</v>
          </cell>
          <cell r="G42">
            <v>1.2975E-3</v>
          </cell>
        </row>
        <row r="43">
          <cell r="C43" t="str">
            <v>Leg1cashlet.slidingrule</v>
          </cell>
          <cell r="D43" t="str">
            <v>MOD_FOLLOWING</v>
          </cell>
          <cell r="F43" t="str">
            <v>5Y</v>
          </cell>
          <cell r="G43">
            <v>1.3324999999999999E-3</v>
          </cell>
        </row>
        <row r="44">
          <cell r="C44" t="str">
            <v>Leg1cashlet.spotlag</v>
          </cell>
          <cell r="D44" t="str">
            <v>2</v>
          </cell>
          <cell r="F44" t="str">
            <v>6Y</v>
          </cell>
          <cell r="G44">
            <v>1.3074999999999999E-3</v>
          </cell>
        </row>
        <row r="45">
          <cell r="C45" t="str">
            <v>Leg1discount</v>
          </cell>
          <cell r="D45" t="str">
            <v>OIS</v>
          </cell>
          <cell r="F45" t="str">
            <v>7Y</v>
          </cell>
          <cell r="G45">
            <v>1.2725E-3</v>
          </cell>
        </row>
        <row r="46">
          <cell r="C46" t="str">
            <v>Leg1forecast</v>
          </cell>
          <cell r="D46" t="str">
            <v>EUR6ML</v>
          </cell>
          <cell r="F46" t="str">
            <v>8Y</v>
          </cell>
          <cell r="G46">
            <v>1.2275000000000001E-3</v>
          </cell>
        </row>
        <row r="47">
          <cell r="C47" t="str">
            <v>Leg1index.accessary</v>
          </cell>
          <cell r="D47" t="str">
            <v>6M</v>
          </cell>
          <cell r="F47" t="str">
            <v>9Y</v>
          </cell>
          <cell r="G47">
            <v>1.1675000000000001E-3</v>
          </cell>
        </row>
        <row r="48">
          <cell r="C48" t="str">
            <v>Leg1index.daycount</v>
          </cell>
          <cell r="D48" t="str">
            <v>Act/360</v>
          </cell>
          <cell r="F48" t="str">
            <v>10Y</v>
          </cell>
          <cell r="G48">
            <v>1.1025E-3</v>
          </cell>
        </row>
        <row r="49">
          <cell r="C49" t="str">
            <v>Leg1index.fixing.calendar</v>
          </cell>
          <cell r="D49" t="str">
            <v>TGT</v>
          </cell>
          <cell r="F49" t="str">
            <v>11Y</v>
          </cell>
          <cell r="G49">
            <v>1.0425E-3</v>
          </cell>
        </row>
        <row r="50">
          <cell r="C50" t="str">
            <v>Leg1index.frequency</v>
          </cell>
          <cell r="D50" t="str">
            <v>Simple</v>
          </cell>
          <cell r="F50" t="str">
            <v>12Y</v>
          </cell>
          <cell r="G50">
            <v>9.9250000000000011E-4</v>
          </cell>
        </row>
        <row r="51">
          <cell r="C51" t="str">
            <v>Leg1index.payment.calendar</v>
          </cell>
          <cell r="D51" t="str">
            <v>TGT</v>
          </cell>
          <cell r="F51" t="str">
            <v>15Y</v>
          </cell>
          <cell r="G51">
            <v>8.6249999999999999E-4</v>
          </cell>
        </row>
        <row r="52">
          <cell r="C52" t="str">
            <v>Leg1index.resetlag</v>
          </cell>
          <cell r="D52" t="str">
            <v>2</v>
          </cell>
          <cell r="F52" t="str">
            <v>20Y</v>
          </cell>
          <cell r="G52">
            <v>6.8749999999999996E-4</v>
          </cell>
        </row>
        <row r="53">
          <cell r="C53" t="str">
            <v>Leg1index.slidingrule</v>
          </cell>
          <cell r="D53" t="str">
            <v>MOD_FOLLOWING</v>
          </cell>
          <cell r="F53" t="str">
            <v>25Y</v>
          </cell>
          <cell r="G53">
            <v>5.8250000000000001E-4</v>
          </cell>
        </row>
        <row r="54">
          <cell r="C54" t="str">
            <v>Leg2cashlet.calendar</v>
          </cell>
          <cell r="D54" t="str">
            <v>TGT</v>
          </cell>
          <cell r="F54" t="str">
            <v>30Y</v>
          </cell>
          <cell r="G54">
            <v>5.1250000000000004E-4</v>
          </cell>
        </row>
        <row r="55">
          <cell r="C55" t="str">
            <v>Leg2cashlet.daycount</v>
          </cell>
          <cell r="D55" t="str">
            <v>Act/360</v>
          </cell>
        </row>
        <row r="56">
          <cell r="C56" t="str">
            <v>Leg2cashlet.frequency</v>
          </cell>
          <cell r="D56" t="str">
            <v>Quarterly</v>
          </cell>
        </row>
        <row r="57">
          <cell r="C57" t="str">
            <v>Leg2cashlet.slidingrule</v>
          </cell>
          <cell r="D57" t="str">
            <v>MOD_FOLLOWING</v>
          </cell>
        </row>
        <row r="58">
          <cell r="C58" t="str">
            <v>Leg2cashlet.spotlag</v>
          </cell>
          <cell r="D58" t="str">
            <v>2</v>
          </cell>
        </row>
        <row r="59">
          <cell r="C59" t="str">
            <v>Leg2discount</v>
          </cell>
          <cell r="D59" t="str">
            <v>OIS</v>
          </cell>
        </row>
        <row r="60">
          <cell r="C60" t="str">
            <v>Leg2forecast</v>
          </cell>
          <cell r="D60" t="str">
            <v>STD</v>
          </cell>
        </row>
        <row r="61">
          <cell r="C61" t="str">
            <v>Leg2index.accessary</v>
          </cell>
          <cell r="D61" t="str">
            <v>3M</v>
          </cell>
        </row>
        <row r="62">
          <cell r="C62" t="str">
            <v>Leg2index.daycount</v>
          </cell>
          <cell r="D62" t="str">
            <v>Act/360</v>
          </cell>
        </row>
        <row r="63">
          <cell r="C63" t="str">
            <v>Leg2index.fixing.calendar</v>
          </cell>
          <cell r="D63" t="str">
            <v>TGT</v>
          </cell>
        </row>
        <row r="64">
          <cell r="C64" t="str">
            <v>Leg2index.frequency</v>
          </cell>
          <cell r="D64" t="str">
            <v>Simple</v>
          </cell>
        </row>
        <row r="65">
          <cell r="C65" t="str">
            <v>Leg2index.payment.calendar</v>
          </cell>
          <cell r="D65" t="str">
            <v>TGT</v>
          </cell>
        </row>
        <row r="66">
          <cell r="C66" t="str">
            <v>Leg2index.resetlag</v>
          </cell>
          <cell r="D66" t="str">
            <v>2</v>
          </cell>
        </row>
        <row r="67">
          <cell r="C67" t="str">
            <v>Leg2index.slidingrule</v>
          </cell>
          <cell r="D67" t="str">
            <v>MOD_FOLLOWING</v>
          </cell>
        </row>
        <row r="68">
          <cell r="C68" t="str">
            <v>Target</v>
          </cell>
          <cell r="D68" t="str">
            <v>Leg2Forecast</v>
          </cell>
        </row>
        <row r="69">
          <cell r="C69" t="str">
            <v>issimultaneouseq</v>
          </cell>
          <cell r="D69" t="b">
            <v>1</v>
          </cell>
        </row>
        <row r="70">
          <cell r="C70" t="str">
            <v>fwdinterpolation</v>
          </cell>
          <cell r="D70" t="str">
            <v>fn_MonotoneConvexInterpolation</v>
          </cell>
        </row>
        <row r="71">
          <cell r="C71" t="str">
            <v>isfwdinter</v>
          </cell>
          <cell r="D71" t="b">
            <v>1</v>
          </cell>
        </row>
        <row r="72">
          <cell r="C72" t="str">
            <v>issamegridindex</v>
          </cell>
          <cell r="D72" t="b">
            <v>1</v>
          </cell>
        </row>
        <row r="73">
          <cell r="C73" t="str">
            <v>spotrateterm</v>
          </cell>
          <cell r="D73" t="str">
            <v>3M</v>
          </cell>
        </row>
        <row r="74">
          <cell r="C74" t="str">
            <v>isyieldspreadcalc</v>
          </cell>
          <cell r="D74" t="b">
            <v>0</v>
          </cell>
        </row>
        <row r="75">
          <cell r="C75" t="str">
            <v>Epsilon</v>
          </cell>
          <cell r="D75">
            <v>1.0000000000000001E-9</v>
          </cell>
        </row>
        <row r="76">
          <cell r="C76" t="str">
            <v>GradientEpsilon</v>
          </cell>
          <cell r="D76">
            <v>1E-10</v>
          </cell>
        </row>
        <row r="77">
          <cell r="C77" t="str">
            <v>Delta</v>
          </cell>
          <cell r="D77">
            <v>1E-10</v>
          </cell>
        </row>
        <row r="78">
          <cell r="C78" t="str">
            <v>MaxLoop</v>
          </cell>
          <cell r="D78">
            <v>1000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2:P90"/>
  <sheetViews>
    <sheetView showGridLines="0" workbookViewId="0">
      <selection activeCell="D8" sqref="D8"/>
    </sheetView>
  </sheetViews>
  <sheetFormatPr defaultRowHeight="15" x14ac:dyDescent="0.25"/>
  <cols>
    <col min="1" max="1" width="10.7109375" customWidth="1"/>
    <col min="2" max="2" width="2.7109375" customWidth="1"/>
    <col min="3" max="3" width="25.140625" bestFit="1" customWidth="1"/>
    <col min="4" max="4" width="32.85546875" customWidth="1"/>
    <col min="5" max="5" width="10.7109375" customWidth="1"/>
    <col min="6" max="8" width="12.7109375" customWidth="1"/>
    <col min="9" max="9" width="15.7109375" customWidth="1"/>
    <col min="10" max="10" width="20.7109375" customWidth="1"/>
    <col min="11" max="11" width="12.7109375" customWidth="1"/>
    <col min="12" max="13" width="15.7109375" customWidth="1"/>
    <col min="14" max="14" width="2.7109375" customWidth="1"/>
    <col min="16" max="16" width="11" customWidth="1"/>
  </cols>
  <sheetData>
    <row r="2" spans="2:14" x14ac:dyDescent="0.25">
      <c r="B2" s="65"/>
    </row>
    <row r="3" spans="2:14" x14ac:dyDescent="0.25">
      <c r="B3" s="65"/>
    </row>
    <row r="4" spans="2:14" x14ac:dyDescent="0.25">
      <c r="B4" s="65"/>
    </row>
    <row r="5" spans="2:14" x14ac:dyDescent="0.25">
      <c r="B5" s="65" t="s">
        <v>79</v>
      </c>
    </row>
    <row r="6" spans="2:14" x14ac:dyDescent="0.25">
      <c r="B6" s="2"/>
      <c r="C6" s="45"/>
      <c r="D6" s="46"/>
      <c r="E6" s="3"/>
      <c r="F6" s="3"/>
      <c r="G6" s="3"/>
      <c r="H6" s="3"/>
      <c r="I6" s="3"/>
      <c r="J6" s="3"/>
      <c r="K6" s="3"/>
      <c r="L6" s="3"/>
      <c r="M6" s="3"/>
      <c r="N6" s="4"/>
    </row>
    <row r="7" spans="2:14" x14ac:dyDescent="0.25">
      <c r="B7" s="5"/>
      <c r="C7" s="64" t="s">
        <v>79</v>
      </c>
      <c r="D7" s="113" t="str">
        <f ca="1">_xll.mirSetUpOISCurve(Curve.CollectionName,Curve.MarketDataTable,Curve.BuildProperties,OIS.Conventions,OIS.MarketData,Curve.OISIndexName,OIS.FixingTable,LiborOISBasis.MarketData,LiborSwap.Conventions,LiborSwap.MarketData,LiborOISBasis.Conventions)</f>
        <v>OIS OIS Curve has been set (0.01000 sec)</v>
      </c>
      <c r="E7" s="62"/>
      <c r="F7" s="63"/>
      <c r="G7" s="7"/>
      <c r="H7" s="133"/>
      <c r="I7" s="7"/>
      <c r="J7" s="7"/>
      <c r="K7" s="7"/>
      <c r="L7" s="7"/>
      <c r="M7" s="7"/>
      <c r="N7" s="8"/>
    </row>
    <row r="8" spans="2:14" x14ac:dyDescent="0.25">
      <c r="B8" s="5"/>
      <c r="C8" s="6"/>
      <c r="D8" s="60"/>
      <c r="E8" s="7"/>
      <c r="F8" s="7"/>
      <c r="G8" s="7"/>
      <c r="H8" s="133"/>
      <c r="I8" s="7"/>
      <c r="J8" s="7"/>
      <c r="K8" s="7"/>
      <c r="L8" s="7"/>
      <c r="M8" s="7"/>
      <c r="N8" s="8"/>
    </row>
    <row r="9" spans="2:14" x14ac:dyDescent="0.25">
      <c r="B9" s="5"/>
      <c r="C9" s="6"/>
      <c r="D9" s="60"/>
      <c r="E9" s="7"/>
      <c r="F9" s="7"/>
      <c r="G9" s="7"/>
      <c r="H9" s="7"/>
      <c r="I9" s="7"/>
      <c r="J9" s="7"/>
      <c r="K9" s="7"/>
      <c r="L9" s="7"/>
      <c r="M9" s="7"/>
      <c r="N9" s="8"/>
    </row>
    <row r="10" spans="2:14" x14ac:dyDescent="0.25">
      <c r="B10" s="5"/>
      <c r="C10" s="48" t="s">
        <v>0</v>
      </c>
      <c r="D10" s="57"/>
      <c r="E10" s="7"/>
      <c r="F10" s="7"/>
      <c r="G10" s="7"/>
      <c r="H10" s="7"/>
      <c r="I10" s="7"/>
      <c r="J10" s="7"/>
      <c r="K10" s="7"/>
      <c r="L10" s="7"/>
      <c r="M10" s="7"/>
      <c r="N10" s="8"/>
    </row>
    <row r="11" spans="2:14" x14ac:dyDescent="0.25">
      <c r="B11" s="5"/>
      <c r="C11" s="27" t="s">
        <v>88</v>
      </c>
      <c r="D11" s="107" t="s">
        <v>80</v>
      </c>
      <c r="E11" s="7"/>
      <c r="F11" s="7"/>
      <c r="G11" s="7"/>
      <c r="H11" s="7"/>
      <c r="I11" s="7"/>
      <c r="J11" s="7"/>
      <c r="K11" s="7"/>
      <c r="L11" s="7"/>
      <c r="M11" s="7"/>
      <c r="N11" s="8"/>
    </row>
    <row r="12" spans="2:14" x14ac:dyDescent="0.25">
      <c r="B12" s="5"/>
      <c r="C12" s="28" t="s">
        <v>195</v>
      </c>
      <c r="D12" s="108" t="s">
        <v>9</v>
      </c>
      <c r="E12" s="7" t="s">
        <v>81</v>
      </c>
      <c r="F12" s="7"/>
      <c r="G12" s="7"/>
      <c r="H12" s="7"/>
      <c r="I12" s="7"/>
      <c r="J12" s="7"/>
      <c r="K12" s="7"/>
      <c r="L12" s="7"/>
      <c r="M12" s="7"/>
      <c r="N12" s="8"/>
    </row>
    <row r="13" spans="2:14" x14ac:dyDescent="0.25">
      <c r="B13" s="5"/>
      <c r="C13" s="59" t="s">
        <v>89</v>
      </c>
      <c r="D13" s="110" t="s">
        <v>152</v>
      </c>
      <c r="E13" s="7"/>
      <c r="F13" s="7"/>
      <c r="G13" s="7"/>
      <c r="H13" s="7" t="s">
        <v>4</v>
      </c>
      <c r="I13" s="7" t="s">
        <v>4</v>
      </c>
      <c r="J13" s="7" t="s">
        <v>4</v>
      </c>
      <c r="K13" s="7" t="s">
        <v>4</v>
      </c>
      <c r="L13" s="7" t="s">
        <v>4</v>
      </c>
      <c r="M13" s="7" t="s">
        <v>4</v>
      </c>
      <c r="N13" s="8" t="s">
        <v>4</v>
      </c>
    </row>
    <row r="14" spans="2:14" x14ac:dyDescent="0.25">
      <c r="B14" s="11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3"/>
    </row>
    <row r="17" spans="2:14" x14ac:dyDescent="0.25">
      <c r="B17" s="56" t="s">
        <v>69</v>
      </c>
    </row>
    <row r="18" spans="2:14" x14ac:dyDescent="0.25">
      <c r="B18" s="2"/>
      <c r="C18" s="45"/>
      <c r="D18" s="46"/>
      <c r="E18" s="3"/>
      <c r="F18" s="3"/>
      <c r="G18" s="3"/>
      <c r="H18" s="66"/>
      <c r="I18" s="3"/>
      <c r="J18" s="3"/>
      <c r="K18" s="3"/>
      <c r="L18" s="3"/>
      <c r="M18" s="3"/>
      <c r="N18" s="4"/>
    </row>
    <row r="19" spans="2:14" x14ac:dyDescent="0.25">
      <c r="B19" s="5"/>
      <c r="C19" s="48" t="s">
        <v>69</v>
      </c>
      <c r="D19" s="47"/>
      <c r="E19" s="7"/>
      <c r="F19" s="50" t="s">
        <v>82</v>
      </c>
      <c r="G19" s="7"/>
      <c r="H19" s="7"/>
      <c r="I19" s="7"/>
      <c r="J19" s="7"/>
      <c r="K19" s="7"/>
      <c r="L19" s="7"/>
      <c r="M19" s="7"/>
      <c r="N19" s="8"/>
    </row>
    <row r="20" spans="2:14" x14ac:dyDescent="0.25">
      <c r="B20" s="5"/>
      <c r="C20" s="27" t="s">
        <v>10</v>
      </c>
      <c r="D20" s="107">
        <v>42419</v>
      </c>
      <c r="E20" s="7"/>
      <c r="F20" s="14" t="s">
        <v>83</v>
      </c>
      <c r="G20" s="15"/>
      <c r="H20" s="16"/>
      <c r="I20" s="7"/>
      <c r="J20" s="7"/>
      <c r="K20" s="7"/>
      <c r="L20" s="7"/>
      <c r="M20" s="7"/>
      <c r="N20" s="8"/>
    </row>
    <row r="21" spans="2:14" x14ac:dyDescent="0.25">
      <c r="B21" s="5"/>
      <c r="C21" s="28" t="s">
        <v>16</v>
      </c>
      <c r="D21" s="108" t="s">
        <v>17</v>
      </c>
      <c r="E21" s="7"/>
      <c r="F21" s="17" t="s">
        <v>84</v>
      </c>
      <c r="G21" s="1"/>
      <c r="H21" s="18"/>
      <c r="I21" s="7"/>
      <c r="J21" s="7"/>
      <c r="K21" s="7"/>
      <c r="L21" s="7"/>
      <c r="M21" s="7"/>
      <c r="N21" s="8"/>
    </row>
    <row r="22" spans="2:14" x14ac:dyDescent="0.25">
      <c r="B22" s="5"/>
      <c r="C22" s="28" t="s">
        <v>24</v>
      </c>
      <c r="D22" s="111" t="s">
        <v>85</v>
      </c>
      <c r="E22" s="7"/>
      <c r="F22" s="17" t="s">
        <v>85</v>
      </c>
      <c r="G22" s="1"/>
      <c r="H22" s="18"/>
      <c r="I22" s="7"/>
      <c r="J22" s="7"/>
      <c r="K22" s="7"/>
      <c r="L22" s="7"/>
      <c r="M22" s="7"/>
      <c r="N22" s="8"/>
    </row>
    <row r="23" spans="2:14" x14ac:dyDescent="0.25">
      <c r="B23" s="5"/>
      <c r="C23" s="153" t="s">
        <v>285</v>
      </c>
      <c r="D23" s="154" t="s">
        <v>9</v>
      </c>
      <c r="E23" s="7"/>
      <c r="F23" s="17" t="s">
        <v>86</v>
      </c>
      <c r="G23" s="1"/>
      <c r="H23" s="18"/>
      <c r="I23" s="7"/>
      <c r="J23" s="7"/>
      <c r="K23" s="7"/>
      <c r="L23" s="7"/>
      <c r="M23" s="7"/>
      <c r="N23" s="8"/>
    </row>
    <row r="24" spans="2:14" x14ac:dyDescent="0.25">
      <c r="B24" s="5"/>
      <c r="C24" s="44"/>
      <c r="D24" s="110"/>
      <c r="E24" s="7"/>
      <c r="F24" s="21" t="s">
        <v>87</v>
      </c>
      <c r="G24" s="23"/>
      <c r="H24" s="22"/>
      <c r="I24" s="7"/>
      <c r="J24" s="7"/>
      <c r="K24" s="7"/>
      <c r="L24" s="7"/>
      <c r="M24" s="7"/>
      <c r="N24" s="8"/>
    </row>
    <row r="25" spans="2:14" x14ac:dyDescent="0.25">
      <c r="B25" s="11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3"/>
    </row>
    <row r="27" spans="2:14" x14ac:dyDescent="0.25">
      <c r="F27" s="67"/>
      <c r="K27">
        <v>1E-4</v>
      </c>
    </row>
    <row r="28" spans="2:14" x14ac:dyDescent="0.25">
      <c r="B28" s="56" t="s">
        <v>78</v>
      </c>
    </row>
    <row r="29" spans="2:14" x14ac:dyDescent="0.25">
      <c r="B29" s="2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4"/>
    </row>
    <row r="30" spans="2:14" x14ac:dyDescent="0.25">
      <c r="B30" s="5"/>
      <c r="C30" s="49" t="s">
        <v>5</v>
      </c>
      <c r="D30" s="10"/>
      <c r="E30" s="10"/>
      <c r="F30" s="49" t="s">
        <v>71</v>
      </c>
      <c r="G30" s="10"/>
      <c r="H30" s="10"/>
      <c r="I30" s="10"/>
      <c r="J30" s="10"/>
      <c r="K30" s="10"/>
      <c r="L30" s="49" t="s">
        <v>73</v>
      </c>
      <c r="M30" s="10"/>
      <c r="N30" s="55"/>
    </row>
    <row r="31" spans="2:14" x14ac:dyDescent="0.25">
      <c r="B31" s="5"/>
      <c r="C31" s="27" t="s">
        <v>3</v>
      </c>
      <c r="D31" s="34" t="s">
        <v>2</v>
      </c>
      <c r="E31" s="7"/>
      <c r="F31" s="58" t="s">
        <v>11</v>
      </c>
      <c r="G31" s="58" t="s">
        <v>12</v>
      </c>
      <c r="H31" s="58" t="s">
        <v>13</v>
      </c>
      <c r="I31" s="58" t="s">
        <v>14</v>
      </c>
      <c r="J31" s="58" t="s">
        <v>8</v>
      </c>
      <c r="K31" s="10"/>
      <c r="L31" s="58" t="s">
        <v>74</v>
      </c>
      <c r="M31" s="58" t="s">
        <v>12</v>
      </c>
      <c r="N31" s="55"/>
    </row>
    <row r="32" spans="2:14" x14ac:dyDescent="0.25">
      <c r="B32" s="5"/>
      <c r="C32" s="28" t="s">
        <v>7</v>
      </c>
      <c r="D32" s="35" t="s">
        <v>6</v>
      </c>
      <c r="E32" s="9"/>
      <c r="F32" s="24" t="s">
        <v>46</v>
      </c>
      <c r="G32" s="19">
        <v>-2.4299999999999999E-3</v>
      </c>
      <c r="H32" s="20" t="s">
        <v>37</v>
      </c>
      <c r="I32" s="20" t="s">
        <v>37</v>
      </c>
      <c r="J32" s="41" t="b">
        <v>1</v>
      </c>
      <c r="K32" s="19">
        <v>-2.4299999999999999E-3</v>
      </c>
      <c r="L32" s="53"/>
      <c r="M32" s="51"/>
      <c r="N32" s="55"/>
    </row>
    <row r="33" spans="2:14" x14ac:dyDescent="0.25">
      <c r="B33" s="5"/>
      <c r="C33" s="28" t="s">
        <v>25</v>
      </c>
      <c r="D33" s="35" t="s">
        <v>26</v>
      </c>
      <c r="E33" s="9"/>
      <c r="F33" s="24" t="s">
        <v>48</v>
      </c>
      <c r="G33" s="19">
        <v>-3.3900000000000002E-3</v>
      </c>
      <c r="H33" s="20">
        <v>42481</v>
      </c>
      <c r="I33" s="20">
        <v>42523</v>
      </c>
      <c r="J33" s="41" t="b">
        <v>1</v>
      </c>
      <c r="K33" s="19">
        <v>-3.3900000000000002E-3</v>
      </c>
      <c r="L33" s="53"/>
      <c r="M33" s="51"/>
      <c r="N33" s="55"/>
    </row>
    <row r="34" spans="2:14" x14ac:dyDescent="0.25">
      <c r="B34" s="5"/>
      <c r="C34" s="28" t="s">
        <v>15</v>
      </c>
      <c r="D34" s="35" t="s">
        <v>30</v>
      </c>
      <c r="E34" s="9"/>
      <c r="F34" s="24" t="s">
        <v>49</v>
      </c>
      <c r="G34" s="19">
        <v>-3.5299999999999997E-3</v>
      </c>
      <c r="H34" s="20">
        <v>42523</v>
      </c>
      <c r="I34" s="20">
        <v>42572</v>
      </c>
      <c r="J34" s="41" t="b">
        <v>1</v>
      </c>
      <c r="K34" s="19">
        <v>-3.5299999999999997E-3</v>
      </c>
      <c r="L34" s="53"/>
      <c r="M34" s="51"/>
      <c r="N34" s="55"/>
    </row>
    <row r="35" spans="2:14" x14ac:dyDescent="0.25">
      <c r="B35" s="5"/>
      <c r="C35" s="28" t="s">
        <v>23</v>
      </c>
      <c r="D35" s="35" t="s">
        <v>22</v>
      </c>
      <c r="E35" s="9"/>
      <c r="F35" s="24" t="s">
        <v>51</v>
      </c>
      <c r="G35" s="19">
        <v>-3.5699999999999998E-3</v>
      </c>
      <c r="H35" s="20">
        <v>42572</v>
      </c>
      <c r="I35" s="20">
        <v>42621</v>
      </c>
      <c r="J35" s="41" t="b">
        <v>1</v>
      </c>
      <c r="K35" s="19">
        <v>-3.5699999999999998E-3</v>
      </c>
      <c r="L35" s="53"/>
      <c r="M35" s="51"/>
      <c r="N35" s="55"/>
    </row>
    <row r="36" spans="2:14" x14ac:dyDescent="0.25">
      <c r="B36" s="5"/>
      <c r="C36" s="29" t="s">
        <v>31</v>
      </c>
      <c r="D36" s="35" t="b">
        <v>1</v>
      </c>
      <c r="E36" s="9"/>
      <c r="F36" s="24" t="s">
        <v>53</v>
      </c>
      <c r="G36" s="19">
        <v>-3.7799999999999999E-3</v>
      </c>
      <c r="H36" s="20">
        <v>42621</v>
      </c>
      <c r="I36" s="20">
        <v>42663</v>
      </c>
      <c r="J36" s="41" t="b">
        <v>1</v>
      </c>
      <c r="K36" s="19">
        <v>-3.7799999999999999E-3</v>
      </c>
      <c r="L36" s="53"/>
      <c r="M36" s="51"/>
      <c r="N36" s="55"/>
    </row>
    <row r="37" spans="2:14" x14ac:dyDescent="0.25">
      <c r="B37" s="5"/>
      <c r="C37" s="30" t="s">
        <v>32</v>
      </c>
      <c r="D37" s="36">
        <v>31</v>
      </c>
      <c r="E37" s="9"/>
      <c r="F37" s="24" t="s">
        <v>55</v>
      </c>
      <c r="G37" s="19">
        <v>-3.8600000000000001E-3</v>
      </c>
      <c r="H37" s="20">
        <v>42663</v>
      </c>
      <c r="I37" s="20">
        <v>42712</v>
      </c>
      <c r="J37" s="41" t="b">
        <v>1</v>
      </c>
      <c r="K37" s="19">
        <v>-3.8600000000000001E-3</v>
      </c>
      <c r="L37" s="53"/>
      <c r="M37" s="51"/>
      <c r="N37" s="55"/>
    </row>
    <row r="38" spans="2:14" x14ac:dyDescent="0.25">
      <c r="B38" s="5"/>
      <c r="C38" s="28" t="s">
        <v>33</v>
      </c>
      <c r="D38" s="35" t="s">
        <v>34</v>
      </c>
      <c r="E38" s="9"/>
      <c r="F38" s="24" t="s">
        <v>57</v>
      </c>
      <c r="G38" s="19">
        <f>K38</f>
        <v>-3.6900000000000001E-3</v>
      </c>
      <c r="H38" s="20" t="s">
        <v>37</v>
      </c>
      <c r="I38" s="20" t="s">
        <v>37</v>
      </c>
      <c r="J38" s="41" t="b">
        <v>1</v>
      </c>
      <c r="K38" s="19">
        <v>-3.6900000000000001E-3</v>
      </c>
      <c r="L38" s="53"/>
      <c r="M38" s="51"/>
      <c r="N38" s="55"/>
    </row>
    <row r="39" spans="2:14" x14ac:dyDescent="0.25">
      <c r="B39" s="5"/>
      <c r="C39" s="28" t="s">
        <v>35</v>
      </c>
      <c r="D39" s="35" t="s">
        <v>36</v>
      </c>
      <c r="E39" s="9"/>
      <c r="F39" s="24" t="s">
        <v>59</v>
      </c>
      <c r="G39" s="19">
        <v>-3.79E-3</v>
      </c>
      <c r="H39" s="20" t="s">
        <v>37</v>
      </c>
      <c r="I39" s="20" t="s">
        <v>37</v>
      </c>
      <c r="J39" s="41" t="b">
        <v>1</v>
      </c>
      <c r="K39" s="19">
        <v>-3.79E-3</v>
      </c>
      <c r="L39" s="53"/>
      <c r="M39" s="51"/>
      <c r="N39" s="55"/>
    </row>
    <row r="40" spans="2:14" x14ac:dyDescent="0.25">
      <c r="B40" s="5"/>
      <c r="C40" s="28" t="s">
        <v>38</v>
      </c>
      <c r="D40" s="35" t="s">
        <v>39</v>
      </c>
      <c r="E40" s="9"/>
      <c r="F40" s="24" t="s">
        <v>47</v>
      </c>
      <c r="G40" s="19">
        <f>K40</f>
        <v>-3.7699999999999999E-3</v>
      </c>
      <c r="H40" s="20" t="s">
        <v>37</v>
      </c>
      <c r="I40" s="20" t="s">
        <v>37</v>
      </c>
      <c r="J40" s="41" t="b">
        <v>1</v>
      </c>
      <c r="K40" s="19">
        <v>-3.7699999999999999E-3</v>
      </c>
      <c r="L40" s="53"/>
      <c r="M40" s="51"/>
      <c r="N40" s="55"/>
    </row>
    <row r="41" spans="2:14" x14ac:dyDescent="0.25">
      <c r="B41" s="5"/>
      <c r="C41" s="28" t="s">
        <v>40</v>
      </c>
      <c r="D41" s="35" t="s">
        <v>41</v>
      </c>
      <c r="E41" s="9"/>
      <c r="F41" s="24" t="s">
        <v>43</v>
      </c>
      <c r="G41" s="19">
        <v>-3.4000000000000002E-3</v>
      </c>
      <c r="H41" s="20" t="s">
        <v>37</v>
      </c>
      <c r="I41" s="20" t="s">
        <v>37</v>
      </c>
      <c r="J41" s="41" t="b">
        <v>1</v>
      </c>
      <c r="K41" s="19">
        <v>-3.4000000000000002E-3</v>
      </c>
      <c r="L41" s="53"/>
      <c r="M41" s="51"/>
      <c r="N41" s="55"/>
    </row>
    <row r="42" spans="2:14" x14ac:dyDescent="0.25">
      <c r="B42" s="5"/>
      <c r="C42" s="28" t="s">
        <v>42</v>
      </c>
      <c r="D42" s="35" t="s">
        <v>43</v>
      </c>
      <c r="E42" s="9"/>
      <c r="F42" s="24" t="s">
        <v>50</v>
      </c>
      <c r="G42" s="19">
        <v>-2.6900000000000001E-3</v>
      </c>
      <c r="H42" s="20" t="s">
        <v>37</v>
      </c>
      <c r="I42" s="20" t="s">
        <v>37</v>
      </c>
      <c r="J42" s="41" t="b">
        <v>1</v>
      </c>
      <c r="K42" s="19">
        <v>-2.6900000000000001E-3</v>
      </c>
      <c r="L42" s="53"/>
      <c r="M42" s="51"/>
      <c r="N42" s="55"/>
    </row>
    <row r="43" spans="2:14" x14ac:dyDescent="0.25">
      <c r="B43" s="5"/>
      <c r="C43" s="29" t="s">
        <v>44</v>
      </c>
      <c r="D43" s="35" t="s">
        <v>45</v>
      </c>
      <c r="E43" s="9"/>
      <c r="F43" s="24" t="s">
        <v>52</v>
      </c>
      <c r="G43" s="19">
        <v>-1.7499999999999998E-3</v>
      </c>
      <c r="H43" s="20" t="s">
        <v>37</v>
      </c>
      <c r="I43" s="20" t="s">
        <v>37</v>
      </c>
      <c r="J43" s="41" t="b">
        <v>1</v>
      </c>
      <c r="K43" s="19">
        <v>-1.7499999999999998E-3</v>
      </c>
      <c r="L43" s="53"/>
      <c r="M43" s="51"/>
      <c r="N43" s="55"/>
    </row>
    <row r="44" spans="2:14" x14ac:dyDescent="0.25">
      <c r="B44" s="5"/>
      <c r="C44" s="28" t="s">
        <v>140</v>
      </c>
      <c r="D44" s="38">
        <v>1E-10</v>
      </c>
      <c r="E44" s="9"/>
      <c r="F44" s="24" t="s">
        <v>54</v>
      </c>
      <c r="G44" s="19">
        <v>-6.4000000000000005E-4</v>
      </c>
      <c r="H44" s="20" t="s">
        <v>37</v>
      </c>
      <c r="I44" s="20" t="s">
        <v>37</v>
      </c>
      <c r="J44" s="41" t="b">
        <v>1</v>
      </c>
      <c r="K44" s="19">
        <v>-6.4000000000000005E-4</v>
      </c>
      <c r="L44" s="53"/>
      <c r="M44" s="51"/>
      <c r="N44" s="55"/>
    </row>
    <row r="45" spans="2:14" x14ac:dyDescent="0.25">
      <c r="B45" s="5"/>
      <c r="C45" s="28" t="s">
        <v>143</v>
      </c>
      <c r="D45" s="106">
        <v>1000</v>
      </c>
      <c r="E45" s="9"/>
      <c r="F45" s="24" t="s">
        <v>56</v>
      </c>
      <c r="G45" s="19">
        <v>5.6999999999999998E-4</v>
      </c>
      <c r="H45" s="20" t="s">
        <v>37</v>
      </c>
      <c r="I45" s="20" t="s">
        <v>37</v>
      </c>
      <c r="J45" s="41" t="b">
        <v>1</v>
      </c>
      <c r="K45" s="19">
        <v>5.6999999999999998E-4</v>
      </c>
      <c r="L45" s="53"/>
      <c r="M45" s="51"/>
      <c r="N45" s="55"/>
    </row>
    <row r="46" spans="2:14" x14ac:dyDescent="0.25">
      <c r="B46" s="5"/>
      <c r="C46" s="147" t="s">
        <v>276</v>
      </c>
      <c r="D46" s="146" t="s">
        <v>9</v>
      </c>
      <c r="E46" s="9"/>
      <c r="F46" s="24" t="s">
        <v>58</v>
      </c>
      <c r="G46" s="19">
        <v>1.83E-3</v>
      </c>
      <c r="H46" s="20" t="s">
        <v>37</v>
      </c>
      <c r="I46" s="20" t="s">
        <v>37</v>
      </c>
      <c r="J46" s="41" t="b">
        <v>1</v>
      </c>
      <c r="K46" s="19">
        <v>1.83E-3</v>
      </c>
      <c r="L46" s="53"/>
      <c r="M46" s="51"/>
      <c r="N46" s="55"/>
    </row>
    <row r="47" spans="2:14" x14ac:dyDescent="0.25">
      <c r="B47" s="5"/>
      <c r="C47" s="32"/>
      <c r="D47" s="35"/>
      <c r="E47" s="9"/>
      <c r="F47" s="24" t="s">
        <v>60</v>
      </c>
      <c r="G47" s="19">
        <v>3.0599999999999998E-3</v>
      </c>
      <c r="H47" s="20" t="s">
        <v>37</v>
      </c>
      <c r="I47" s="20" t="s">
        <v>37</v>
      </c>
      <c r="J47" s="41" t="b">
        <v>1</v>
      </c>
      <c r="K47" s="19">
        <v>3.0599999999999998E-3</v>
      </c>
      <c r="L47" s="53"/>
      <c r="M47" s="51"/>
      <c r="N47" s="55"/>
    </row>
    <row r="48" spans="2:14" x14ac:dyDescent="0.25">
      <c r="B48" s="5"/>
      <c r="C48" s="32"/>
      <c r="D48" s="39"/>
      <c r="E48" s="9"/>
      <c r="F48" s="24" t="s">
        <v>61</v>
      </c>
      <c r="G48" s="19">
        <v>4.1900000000000001E-3</v>
      </c>
      <c r="H48" s="20" t="s">
        <v>37</v>
      </c>
      <c r="I48" s="20" t="s">
        <v>37</v>
      </c>
      <c r="J48" s="41" t="b">
        <v>1</v>
      </c>
      <c r="K48" s="19">
        <v>4.1900000000000001E-3</v>
      </c>
      <c r="L48" s="53"/>
      <c r="M48" s="51"/>
      <c r="N48" s="55"/>
    </row>
    <row r="49" spans="2:16" x14ac:dyDescent="0.25">
      <c r="B49" s="5"/>
      <c r="C49" s="32"/>
      <c r="D49" s="39"/>
      <c r="E49" s="9"/>
      <c r="F49" s="24"/>
      <c r="G49" s="19"/>
      <c r="H49" s="20"/>
      <c r="I49" s="20"/>
      <c r="J49" s="41"/>
      <c r="K49" s="10"/>
      <c r="L49" s="53"/>
      <c r="M49" s="51"/>
      <c r="N49" s="55"/>
    </row>
    <row r="50" spans="2:16" x14ac:dyDescent="0.25">
      <c r="B50" s="5"/>
      <c r="C50" s="32"/>
      <c r="D50" s="39"/>
      <c r="E50" s="9"/>
      <c r="F50" s="24"/>
      <c r="G50" s="19"/>
      <c r="H50" s="20"/>
      <c r="I50" s="20"/>
      <c r="J50" s="41"/>
      <c r="K50" s="10"/>
      <c r="L50" s="53"/>
      <c r="M50" s="51"/>
      <c r="N50" s="55"/>
    </row>
    <row r="51" spans="2:16" x14ac:dyDescent="0.25">
      <c r="B51" s="5"/>
      <c r="C51" s="32"/>
      <c r="D51" s="39"/>
      <c r="E51" s="9"/>
      <c r="F51" s="24"/>
      <c r="G51" s="19"/>
      <c r="H51" s="20"/>
      <c r="I51" s="20"/>
      <c r="J51" s="41"/>
      <c r="K51" s="10"/>
      <c r="L51" s="53"/>
      <c r="M51" s="51"/>
      <c r="N51" s="55"/>
    </row>
    <row r="52" spans="2:16" x14ac:dyDescent="0.25">
      <c r="B52" s="5"/>
      <c r="C52" s="32"/>
      <c r="D52" s="39"/>
      <c r="E52" s="9"/>
      <c r="F52" s="24"/>
      <c r="G52" s="19"/>
      <c r="H52" s="20"/>
      <c r="I52" s="20"/>
      <c r="J52" s="41"/>
      <c r="K52" s="10"/>
      <c r="L52" s="53"/>
      <c r="M52" s="51"/>
      <c r="N52" s="55"/>
    </row>
    <row r="53" spans="2:16" x14ac:dyDescent="0.25">
      <c r="B53" s="5"/>
      <c r="C53" s="32"/>
      <c r="D53" s="39"/>
      <c r="E53" s="9"/>
      <c r="F53" s="24"/>
      <c r="G53" s="19"/>
      <c r="H53" s="20"/>
      <c r="I53" s="20"/>
      <c r="J53" s="41"/>
      <c r="K53" s="10"/>
      <c r="L53" s="53"/>
      <c r="M53" s="51"/>
      <c r="N53" s="55"/>
    </row>
    <row r="54" spans="2:16" x14ac:dyDescent="0.25">
      <c r="B54" s="5"/>
      <c r="C54" s="32"/>
      <c r="D54" s="39"/>
      <c r="E54" s="9"/>
      <c r="F54" s="24"/>
      <c r="G54" s="19"/>
      <c r="H54" s="20"/>
      <c r="I54" s="20"/>
      <c r="J54" s="41"/>
      <c r="K54" s="10"/>
      <c r="L54" s="53"/>
      <c r="M54" s="51"/>
      <c r="N54" s="55"/>
    </row>
    <row r="55" spans="2:16" x14ac:dyDescent="0.25">
      <c r="B55" s="5"/>
      <c r="C55" s="32"/>
      <c r="D55" s="39"/>
      <c r="E55" s="9"/>
      <c r="F55" s="24"/>
      <c r="G55" s="19"/>
      <c r="H55" s="20"/>
      <c r="I55" s="20"/>
      <c r="J55" s="41"/>
      <c r="K55" s="10"/>
      <c r="L55" s="53"/>
      <c r="M55" s="51"/>
      <c r="N55" s="55"/>
    </row>
    <row r="56" spans="2:16" x14ac:dyDescent="0.25">
      <c r="B56" s="5"/>
      <c r="C56" s="32"/>
      <c r="D56" s="39"/>
      <c r="E56" s="9"/>
      <c r="F56" s="24"/>
      <c r="G56" s="19"/>
      <c r="H56" s="20"/>
      <c r="I56" s="20"/>
      <c r="J56" s="41"/>
      <c r="K56" s="10"/>
      <c r="L56" s="53"/>
      <c r="M56" s="51"/>
      <c r="N56" s="55"/>
    </row>
    <row r="57" spans="2:16" x14ac:dyDescent="0.25">
      <c r="B57" s="5"/>
      <c r="C57" s="33"/>
      <c r="D57" s="40"/>
      <c r="E57" s="9"/>
      <c r="F57" s="25"/>
      <c r="G57" s="26"/>
      <c r="H57" s="42"/>
      <c r="I57" s="42"/>
      <c r="J57" s="43"/>
      <c r="K57" s="10"/>
      <c r="L57" s="54"/>
      <c r="M57" s="52"/>
      <c r="N57" s="55"/>
    </row>
    <row r="58" spans="2:16" x14ac:dyDescent="0.25">
      <c r="B58" s="11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3"/>
    </row>
    <row r="59" spans="2:16" x14ac:dyDescent="0.25">
      <c r="F59" s="149"/>
      <c r="P59">
        <v>1E-4</v>
      </c>
    </row>
    <row r="60" spans="2:16" x14ac:dyDescent="0.25">
      <c r="F60" s="149"/>
    </row>
    <row r="61" spans="2:16" x14ac:dyDescent="0.25">
      <c r="B61" s="56" t="s">
        <v>77</v>
      </c>
      <c r="F61" s="149"/>
    </row>
    <row r="62" spans="2:16" x14ac:dyDescent="0.25">
      <c r="B62" s="2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4"/>
    </row>
    <row r="63" spans="2:16" x14ac:dyDescent="0.25">
      <c r="B63" s="5"/>
      <c r="C63" s="49" t="s">
        <v>70</v>
      </c>
      <c r="D63" s="10"/>
      <c r="E63" s="10"/>
      <c r="F63" s="49" t="s">
        <v>72</v>
      </c>
      <c r="G63" s="10"/>
      <c r="H63" s="10"/>
      <c r="I63" s="49" t="s">
        <v>75</v>
      </c>
      <c r="J63" s="10"/>
      <c r="K63" s="10"/>
      <c r="L63" s="49" t="s">
        <v>76</v>
      </c>
      <c r="M63" s="10"/>
      <c r="N63" s="55"/>
    </row>
    <row r="64" spans="2:16" x14ac:dyDescent="0.25">
      <c r="B64" s="5"/>
      <c r="C64" s="27" t="s">
        <v>1</v>
      </c>
      <c r="D64" s="34" t="s">
        <v>2</v>
      </c>
      <c r="E64" s="7"/>
      <c r="F64" s="58" t="s">
        <v>11</v>
      </c>
      <c r="G64" s="58" t="s">
        <v>12</v>
      </c>
      <c r="H64" s="10"/>
      <c r="I64" s="27" t="s">
        <v>3</v>
      </c>
      <c r="J64" s="34" t="s">
        <v>2</v>
      </c>
      <c r="K64" s="10"/>
      <c r="L64" s="58" t="s">
        <v>11</v>
      </c>
      <c r="M64" s="58" t="s">
        <v>12</v>
      </c>
      <c r="N64" s="55"/>
    </row>
    <row r="65" spans="2:16" x14ac:dyDescent="0.25">
      <c r="B65" s="5"/>
      <c r="C65" s="28" t="s">
        <v>18</v>
      </c>
      <c r="D65" s="35" t="s">
        <v>6</v>
      </c>
      <c r="E65" s="9"/>
      <c r="F65" s="24" t="s">
        <v>47</v>
      </c>
      <c r="G65" s="51">
        <v>1.2600000000000001E-3</v>
      </c>
      <c r="H65" s="51">
        <v>1.2600000000000001E-3</v>
      </c>
      <c r="I65" s="28" t="s">
        <v>19</v>
      </c>
      <c r="J65" s="35" t="s">
        <v>20</v>
      </c>
      <c r="K65" s="10"/>
      <c r="L65" s="24" t="s">
        <v>47</v>
      </c>
      <c r="M65" s="98">
        <v>-1.33E-3</v>
      </c>
      <c r="N65" s="55"/>
      <c r="P65" s="98">
        <v>-1.33E-3</v>
      </c>
    </row>
    <row r="66" spans="2:16" x14ac:dyDescent="0.25">
      <c r="B66" s="5"/>
      <c r="C66" s="28" t="s">
        <v>27</v>
      </c>
      <c r="D66" s="35" t="s">
        <v>28</v>
      </c>
      <c r="E66" s="9"/>
      <c r="F66" s="24" t="s">
        <v>43</v>
      </c>
      <c r="G66" s="51">
        <f>H66</f>
        <v>1.2999999999999999E-3</v>
      </c>
      <c r="H66" s="51">
        <v>1.2999999999999999E-3</v>
      </c>
      <c r="I66" s="28" t="s">
        <v>29</v>
      </c>
      <c r="J66" s="35" t="s">
        <v>26</v>
      </c>
      <c r="K66" s="10"/>
      <c r="L66" s="24" t="s">
        <v>43</v>
      </c>
      <c r="M66" s="99">
        <v>-8.699999999999999E-4</v>
      </c>
      <c r="N66" s="55"/>
      <c r="P66" s="99">
        <v>-8.699999999999999E-4</v>
      </c>
    </row>
    <row r="67" spans="2:16" x14ac:dyDescent="0.25">
      <c r="B67" s="5"/>
      <c r="C67" s="28" t="s">
        <v>21</v>
      </c>
      <c r="D67" s="35" t="s">
        <v>22</v>
      </c>
      <c r="E67" s="9"/>
      <c r="F67" s="24" t="s">
        <v>50</v>
      </c>
      <c r="G67" s="51">
        <v>1.32E-3</v>
      </c>
      <c r="H67" s="51">
        <v>1.32E-3</v>
      </c>
      <c r="I67" s="28" t="s">
        <v>23</v>
      </c>
      <c r="J67" s="35" t="s">
        <v>22</v>
      </c>
      <c r="K67" s="10"/>
      <c r="L67" s="24" t="s">
        <v>50</v>
      </c>
      <c r="M67" s="99">
        <v>-8.0000000000000007E-5</v>
      </c>
      <c r="N67" s="55"/>
      <c r="P67" s="99">
        <v>-8.0000000000000007E-5</v>
      </c>
    </row>
    <row r="68" spans="2:16" x14ac:dyDescent="0.25">
      <c r="B68" s="5"/>
      <c r="C68" s="28"/>
      <c r="D68" s="35"/>
      <c r="E68" s="9"/>
      <c r="F68" s="24" t="s">
        <v>52</v>
      </c>
      <c r="G68" s="51">
        <v>1.34E-3</v>
      </c>
      <c r="H68" s="51">
        <v>1.34E-3</v>
      </c>
      <c r="I68" s="147" t="s">
        <v>275</v>
      </c>
      <c r="J68" s="146" t="s">
        <v>107</v>
      </c>
      <c r="K68" s="10"/>
      <c r="L68" s="24" t="s">
        <v>52</v>
      </c>
      <c r="M68" s="99">
        <f>P68</f>
        <v>9.2999999999999995E-4</v>
      </c>
      <c r="N68" s="55"/>
      <c r="P68" s="99">
        <v>9.2999999999999995E-4</v>
      </c>
    </row>
    <row r="69" spans="2:16" x14ac:dyDescent="0.25">
      <c r="B69" s="5"/>
      <c r="C69" s="29"/>
      <c r="D69" s="35"/>
      <c r="E69" s="9"/>
      <c r="F69" s="24" t="s">
        <v>54</v>
      </c>
      <c r="G69" s="51">
        <v>1.33E-3</v>
      </c>
      <c r="H69" s="51">
        <v>1.33E-3</v>
      </c>
      <c r="I69" s="147" t="s">
        <v>276</v>
      </c>
      <c r="J69" s="146" t="s">
        <v>277</v>
      </c>
      <c r="K69" s="10"/>
      <c r="L69" s="24" t="s">
        <v>54</v>
      </c>
      <c r="M69" s="99">
        <v>2.0200000000000001E-3</v>
      </c>
      <c r="N69" s="55"/>
      <c r="P69" s="99">
        <v>2.0200000000000001E-3</v>
      </c>
    </row>
    <row r="70" spans="2:16" x14ac:dyDescent="0.25">
      <c r="B70" s="5"/>
      <c r="C70" s="30"/>
      <c r="D70" s="36"/>
      <c r="E70" s="9"/>
      <c r="F70" s="24" t="s">
        <v>56</v>
      </c>
      <c r="G70" s="51">
        <v>1.32E-3</v>
      </c>
      <c r="H70" s="51">
        <v>1.32E-3</v>
      </c>
      <c r="I70" s="30"/>
      <c r="J70" s="36"/>
      <c r="K70" s="10"/>
      <c r="L70" s="24" t="s">
        <v>56</v>
      </c>
      <c r="M70" s="99">
        <v>3.2100000000000002E-3</v>
      </c>
      <c r="N70" s="55"/>
      <c r="P70" s="99">
        <v>3.2100000000000002E-3</v>
      </c>
    </row>
    <row r="71" spans="2:16" x14ac:dyDescent="0.25">
      <c r="B71" s="5"/>
      <c r="C71" s="28"/>
      <c r="D71" s="35"/>
      <c r="E71" s="9"/>
      <c r="F71" s="24" t="s">
        <v>58</v>
      </c>
      <c r="G71" s="51">
        <v>1.31E-3</v>
      </c>
      <c r="H71" s="51">
        <v>1.31E-3</v>
      </c>
      <c r="I71" s="28"/>
      <c r="J71" s="35"/>
      <c r="K71" s="10"/>
      <c r="L71" s="24" t="s">
        <v>58</v>
      </c>
      <c r="M71" s="99">
        <v>4.4400000000000004E-3</v>
      </c>
      <c r="N71" s="55"/>
      <c r="P71" s="99">
        <v>4.4400000000000004E-3</v>
      </c>
    </row>
    <row r="72" spans="2:16" x14ac:dyDescent="0.25">
      <c r="B72" s="5"/>
      <c r="C72" s="28"/>
      <c r="D72" s="35"/>
      <c r="E72" s="9"/>
      <c r="F72" s="24" t="s">
        <v>60</v>
      </c>
      <c r="G72" s="51">
        <v>1.2999999999999999E-3</v>
      </c>
      <c r="H72" s="51">
        <v>1.2999999999999999E-3</v>
      </c>
      <c r="I72" s="28"/>
      <c r="J72" s="35"/>
      <c r="K72" s="10"/>
      <c r="L72" s="24" t="s">
        <v>60</v>
      </c>
      <c r="M72" s="99">
        <v>5.6100000000000004E-3</v>
      </c>
      <c r="N72" s="55"/>
      <c r="P72" s="99">
        <v>5.6100000000000004E-3</v>
      </c>
    </row>
    <row r="73" spans="2:16" x14ac:dyDescent="0.25">
      <c r="B73" s="5"/>
      <c r="C73" s="28"/>
      <c r="D73" s="35"/>
      <c r="E73" s="9"/>
      <c r="F73" s="24" t="s">
        <v>61</v>
      </c>
      <c r="G73" s="51">
        <v>1.2800000000000001E-3</v>
      </c>
      <c r="H73" s="51">
        <v>1.2800000000000001E-3</v>
      </c>
      <c r="I73" s="28"/>
      <c r="J73" s="35"/>
      <c r="K73" s="10"/>
      <c r="L73" s="24" t="s">
        <v>61</v>
      </c>
      <c r="M73" s="99">
        <v>6.6700000000000006E-3</v>
      </c>
      <c r="N73" s="55"/>
      <c r="P73" s="99">
        <v>6.6700000000000006E-3</v>
      </c>
    </row>
    <row r="74" spans="2:16" x14ac:dyDescent="0.25">
      <c r="B74" s="5"/>
      <c r="C74" s="28"/>
      <c r="D74" s="35"/>
      <c r="E74" s="9"/>
      <c r="F74" s="24"/>
      <c r="G74" s="51"/>
      <c r="H74" s="10"/>
      <c r="I74" s="28"/>
      <c r="J74" s="35"/>
      <c r="K74" s="10"/>
      <c r="L74" s="24"/>
      <c r="M74" s="99"/>
      <c r="N74" s="55"/>
    </row>
    <row r="75" spans="2:16" x14ac:dyDescent="0.25">
      <c r="B75" s="5"/>
      <c r="C75" s="28"/>
      <c r="D75" s="35"/>
      <c r="E75" s="9"/>
      <c r="F75" s="24"/>
      <c r="G75" s="51"/>
      <c r="H75" s="10"/>
      <c r="I75" s="28"/>
      <c r="J75" s="35"/>
      <c r="K75" s="10"/>
      <c r="L75" s="24"/>
      <c r="M75" s="99"/>
      <c r="N75" s="55"/>
    </row>
    <row r="76" spans="2:16" x14ac:dyDescent="0.25">
      <c r="B76" s="5"/>
      <c r="C76" s="29"/>
      <c r="D76" s="35"/>
      <c r="E76" s="9"/>
      <c r="F76" s="24"/>
      <c r="G76" s="51"/>
      <c r="H76" s="10"/>
      <c r="I76" s="29"/>
      <c r="J76" s="35"/>
      <c r="K76" s="10"/>
      <c r="L76" s="24"/>
      <c r="M76" s="99"/>
      <c r="N76" s="55"/>
    </row>
    <row r="77" spans="2:16" x14ac:dyDescent="0.25">
      <c r="B77" s="5"/>
      <c r="C77" s="31"/>
      <c r="D77" s="37"/>
      <c r="E77" s="9"/>
      <c r="F77" s="24"/>
      <c r="G77" s="51"/>
      <c r="H77" s="10"/>
      <c r="I77" s="31"/>
      <c r="J77" s="37"/>
      <c r="K77" s="10"/>
      <c r="L77" s="24"/>
      <c r="M77" s="99"/>
      <c r="N77" s="55"/>
    </row>
    <row r="78" spans="2:16" x14ac:dyDescent="0.25">
      <c r="B78" s="5"/>
      <c r="C78" s="31"/>
      <c r="D78" s="38"/>
      <c r="E78" s="9"/>
      <c r="F78" s="24"/>
      <c r="G78" s="51"/>
      <c r="H78" s="10"/>
      <c r="I78" s="31"/>
      <c r="J78" s="38"/>
      <c r="K78" s="10"/>
      <c r="L78" s="24"/>
      <c r="M78" s="99"/>
      <c r="N78" s="55"/>
    </row>
    <row r="79" spans="2:16" x14ac:dyDescent="0.25">
      <c r="B79" s="5"/>
      <c r="C79" s="31"/>
      <c r="D79" s="37"/>
      <c r="E79" s="9"/>
      <c r="F79" s="24"/>
      <c r="G79" s="51"/>
      <c r="H79" s="10"/>
      <c r="I79" s="31"/>
      <c r="J79" s="37"/>
      <c r="K79" s="10"/>
      <c r="L79" s="24"/>
      <c r="M79" s="99"/>
      <c r="N79" s="55"/>
    </row>
    <row r="80" spans="2:16" x14ac:dyDescent="0.25">
      <c r="B80" s="5"/>
      <c r="C80" s="32"/>
      <c r="D80" s="35"/>
      <c r="E80" s="9"/>
      <c r="F80" s="24"/>
      <c r="G80" s="51"/>
      <c r="H80" s="10"/>
      <c r="I80" s="32"/>
      <c r="J80" s="35"/>
      <c r="K80" s="10"/>
      <c r="L80" s="24"/>
      <c r="M80" s="99"/>
      <c r="N80" s="55"/>
    </row>
    <row r="81" spans="2:14" x14ac:dyDescent="0.25">
      <c r="B81" s="5"/>
      <c r="C81" s="32"/>
      <c r="D81" s="39"/>
      <c r="E81" s="9"/>
      <c r="F81" s="24"/>
      <c r="G81" s="51"/>
      <c r="H81" s="10"/>
      <c r="I81" s="32"/>
      <c r="J81" s="39"/>
      <c r="K81" s="10"/>
      <c r="L81" s="24"/>
      <c r="M81" s="99"/>
      <c r="N81" s="55"/>
    </row>
    <row r="82" spans="2:14" x14ac:dyDescent="0.25">
      <c r="B82" s="5"/>
      <c r="C82" s="32"/>
      <c r="D82" s="39"/>
      <c r="E82" s="9"/>
      <c r="F82" s="24"/>
      <c r="G82" s="51"/>
      <c r="H82" s="10"/>
      <c r="I82" s="32"/>
      <c r="J82" s="39"/>
      <c r="K82" s="10"/>
      <c r="L82" s="24"/>
      <c r="M82" s="51"/>
      <c r="N82" s="55"/>
    </row>
    <row r="83" spans="2:14" x14ac:dyDescent="0.25">
      <c r="B83" s="5"/>
      <c r="C83" s="32"/>
      <c r="D83" s="39"/>
      <c r="E83" s="9"/>
      <c r="F83" s="24"/>
      <c r="G83" s="51"/>
      <c r="H83" s="10"/>
      <c r="I83" s="32"/>
      <c r="J83" s="39"/>
      <c r="K83" s="10"/>
      <c r="L83" s="24"/>
      <c r="M83" s="51"/>
      <c r="N83" s="55"/>
    </row>
    <row r="84" spans="2:14" x14ac:dyDescent="0.25">
      <c r="B84" s="5"/>
      <c r="C84" s="32"/>
      <c r="D84" s="39"/>
      <c r="E84" s="9"/>
      <c r="F84" s="24"/>
      <c r="G84" s="51"/>
      <c r="H84" s="10"/>
      <c r="I84" s="32"/>
      <c r="J84" s="39"/>
      <c r="K84" s="10"/>
      <c r="L84" s="24"/>
      <c r="M84" s="51"/>
      <c r="N84" s="55"/>
    </row>
    <row r="85" spans="2:14" x14ac:dyDescent="0.25">
      <c r="B85" s="5"/>
      <c r="C85" s="32"/>
      <c r="D85" s="39"/>
      <c r="E85" s="9"/>
      <c r="F85" s="24"/>
      <c r="G85" s="51"/>
      <c r="H85" s="10"/>
      <c r="I85" s="32"/>
      <c r="J85" s="39"/>
      <c r="K85" s="10"/>
      <c r="L85" s="24"/>
      <c r="M85" s="51"/>
      <c r="N85" s="55"/>
    </row>
    <row r="86" spans="2:14" x14ac:dyDescent="0.25">
      <c r="B86" s="5"/>
      <c r="C86" s="32"/>
      <c r="D86" s="39"/>
      <c r="E86" s="9"/>
      <c r="F86" s="24"/>
      <c r="G86" s="51"/>
      <c r="H86" s="10"/>
      <c r="I86" s="32"/>
      <c r="J86" s="39"/>
      <c r="K86" s="10"/>
      <c r="L86" s="24"/>
      <c r="M86" s="51"/>
      <c r="N86" s="55"/>
    </row>
    <row r="87" spans="2:14" x14ac:dyDescent="0.25">
      <c r="B87" s="5"/>
      <c r="C87" s="32"/>
      <c r="D87" s="39"/>
      <c r="E87" s="9"/>
      <c r="F87" s="24"/>
      <c r="G87" s="51"/>
      <c r="H87" s="10"/>
      <c r="I87" s="32"/>
      <c r="J87" s="39"/>
      <c r="K87" s="10"/>
      <c r="L87" s="24"/>
      <c r="M87" s="51"/>
      <c r="N87" s="55"/>
    </row>
    <row r="88" spans="2:14" x14ac:dyDescent="0.25">
      <c r="B88" s="5"/>
      <c r="C88" s="32"/>
      <c r="D88" s="39"/>
      <c r="E88" s="9"/>
      <c r="F88" s="24"/>
      <c r="G88" s="51"/>
      <c r="H88" s="10"/>
      <c r="I88" s="32"/>
      <c r="J88" s="39"/>
      <c r="K88" s="10"/>
      <c r="L88" s="24"/>
      <c r="M88" s="51"/>
      <c r="N88" s="55"/>
    </row>
    <row r="89" spans="2:14" x14ac:dyDescent="0.25">
      <c r="B89" s="5"/>
      <c r="C89" s="33"/>
      <c r="D89" s="40"/>
      <c r="E89" s="9"/>
      <c r="F89" s="25"/>
      <c r="G89" s="52"/>
      <c r="H89" s="10"/>
      <c r="I89" s="33"/>
      <c r="J89" s="40"/>
      <c r="K89" s="10"/>
      <c r="L89" s="25"/>
      <c r="M89" s="52"/>
      <c r="N89" s="55"/>
    </row>
    <row r="90" spans="2:14" x14ac:dyDescent="0.25"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3"/>
    </row>
  </sheetData>
  <dataValidations count="1">
    <dataValidation type="list" allowBlank="1" showInputMessage="1" showErrorMessage="1" sqref="D22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4:L120"/>
  <sheetViews>
    <sheetView showGridLines="0" workbookViewId="0">
      <selection activeCell="D9" sqref="D9"/>
    </sheetView>
  </sheetViews>
  <sheetFormatPr defaultRowHeight="15" x14ac:dyDescent="0.25"/>
  <cols>
    <col min="2" max="2" width="2.7109375" customWidth="1"/>
    <col min="3" max="3" width="20.42578125" customWidth="1"/>
    <col min="4" max="4" width="31.5703125" customWidth="1"/>
    <col min="6" max="7" width="18.7109375" customWidth="1"/>
    <col min="8" max="8" width="18.42578125" customWidth="1"/>
    <col min="9" max="11" width="18.7109375" customWidth="1"/>
    <col min="12" max="12" width="2.7109375" customWidth="1"/>
    <col min="14" max="15" width="15.7109375" customWidth="1"/>
  </cols>
  <sheetData>
    <row r="4" spans="2:12" x14ac:dyDescent="0.25">
      <c r="B4" s="150"/>
    </row>
    <row r="6" spans="2:12" x14ac:dyDescent="0.25">
      <c r="B6" s="56" t="s">
        <v>91</v>
      </c>
    </row>
    <row r="7" spans="2:12" x14ac:dyDescent="0.25">
      <c r="B7" s="2"/>
      <c r="C7" s="45"/>
      <c r="D7" s="46"/>
      <c r="E7" s="3"/>
      <c r="F7" s="3"/>
      <c r="G7" s="3"/>
      <c r="H7" s="3"/>
      <c r="I7" s="3"/>
      <c r="J7" s="3"/>
      <c r="K7" s="3"/>
      <c r="L7" s="4"/>
    </row>
    <row r="8" spans="2:12" x14ac:dyDescent="0.25">
      <c r="B8" s="5"/>
      <c r="C8" s="64" t="s">
        <v>91</v>
      </c>
      <c r="D8" s="113" t="str">
        <f ca="1">_xll.mirSetUpSwapCurve(STDCurve.CollectionName,STDCurve.StaticDataTable,STDCurve.Buildproperties,MoneyMarket.Conventions,Libor.Conventions,Libor.MarketData,Swap.Conventions,Swap.MarketData,FRA.Conventions,FRA.MarketDataX3,FRA.MarketDataX6,Futures.Conventions,Futures.MarketData,,,STDCurve.IndexName)</f>
        <v>STD Swap Curve has been set (0.01000 sec)</v>
      </c>
      <c r="E8" s="62"/>
      <c r="F8" s="63"/>
      <c r="G8" s="7"/>
      <c r="H8" s="7"/>
      <c r="I8" s="7"/>
      <c r="J8" s="7"/>
      <c r="K8" s="7"/>
      <c r="L8" s="8"/>
    </row>
    <row r="9" spans="2:12" x14ac:dyDescent="0.25">
      <c r="B9" s="5"/>
      <c r="C9" s="112" t="s">
        <v>149</v>
      </c>
      <c r="D9" s="60"/>
      <c r="E9" s="7"/>
      <c r="F9" s="7"/>
      <c r="G9" s="7"/>
      <c r="H9" s="7"/>
      <c r="I9" s="7"/>
      <c r="J9" s="7"/>
      <c r="K9" s="7"/>
      <c r="L9" s="8"/>
    </row>
    <row r="10" spans="2:12" x14ac:dyDescent="0.25">
      <c r="B10" s="5"/>
      <c r="C10" s="7"/>
      <c r="D10" s="60"/>
      <c r="E10" s="7"/>
      <c r="F10" s="7"/>
      <c r="G10" s="7"/>
      <c r="H10" s="7"/>
      <c r="I10" s="7"/>
      <c r="J10" s="7"/>
      <c r="K10" s="7"/>
      <c r="L10" s="8"/>
    </row>
    <row r="11" spans="2:12" x14ac:dyDescent="0.25">
      <c r="B11" s="5"/>
      <c r="C11" s="6"/>
      <c r="D11" s="60"/>
      <c r="E11" s="7"/>
      <c r="F11" s="7"/>
      <c r="G11" s="7"/>
      <c r="H11" s="7"/>
      <c r="I11" s="7"/>
      <c r="J11" s="7"/>
      <c r="K11" s="7"/>
      <c r="L11" s="8"/>
    </row>
    <row r="12" spans="2:12" x14ac:dyDescent="0.25">
      <c r="B12" s="5"/>
      <c r="C12" s="48" t="s">
        <v>0</v>
      </c>
      <c r="D12" s="57"/>
      <c r="E12" s="7"/>
      <c r="F12" s="7"/>
      <c r="G12" s="7"/>
      <c r="H12" s="7"/>
      <c r="I12" s="7"/>
      <c r="J12" s="7"/>
      <c r="K12" s="7"/>
      <c r="L12" s="8"/>
    </row>
    <row r="13" spans="2:12" x14ac:dyDescent="0.25">
      <c r="B13" s="5"/>
      <c r="C13" s="27" t="s">
        <v>88</v>
      </c>
      <c r="D13" s="107" t="s">
        <v>80</v>
      </c>
      <c r="E13" s="7"/>
      <c r="F13" s="7"/>
      <c r="G13" s="7"/>
      <c r="H13" s="7"/>
      <c r="I13" s="7"/>
      <c r="J13" s="7"/>
      <c r="K13" s="7"/>
      <c r="L13" s="8"/>
    </row>
    <row r="14" spans="2:12" x14ac:dyDescent="0.25">
      <c r="B14" s="5"/>
      <c r="C14" s="28" t="s">
        <v>195</v>
      </c>
      <c r="D14" s="108" t="s">
        <v>92</v>
      </c>
      <c r="E14" s="7" t="s">
        <v>81</v>
      </c>
      <c r="F14" s="7"/>
      <c r="G14" s="7"/>
      <c r="H14" s="7"/>
      <c r="I14" s="7"/>
      <c r="J14" s="7"/>
      <c r="K14" s="7"/>
      <c r="L14" s="8"/>
    </row>
    <row r="15" spans="2:12" x14ac:dyDescent="0.25">
      <c r="B15" s="5"/>
      <c r="C15" s="59" t="s">
        <v>89</v>
      </c>
      <c r="D15" s="110" t="s">
        <v>287</v>
      </c>
      <c r="E15" s="7"/>
      <c r="F15" s="7"/>
      <c r="G15" s="7"/>
      <c r="H15" s="7" t="s">
        <v>4</v>
      </c>
      <c r="I15" s="7" t="s">
        <v>4</v>
      </c>
      <c r="J15" s="7" t="s">
        <v>4</v>
      </c>
      <c r="K15" s="7"/>
      <c r="L15" s="8" t="s">
        <v>4</v>
      </c>
    </row>
    <row r="16" spans="2:12" x14ac:dyDescent="0.25">
      <c r="B16" s="11"/>
      <c r="C16" s="12"/>
      <c r="D16" s="12"/>
      <c r="E16" s="12"/>
      <c r="F16" s="12"/>
      <c r="G16" s="12"/>
      <c r="H16" s="12"/>
      <c r="I16" s="12"/>
      <c r="J16" s="12"/>
      <c r="K16" s="12"/>
      <c r="L16" s="13"/>
    </row>
    <row r="19" spans="2:12" x14ac:dyDescent="0.25">
      <c r="B19" s="56" t="s">
        <v>69</v>
      </c>
    </row>
    <row r="20" spans="2:12" x14ac:dyDescent="0.25">
      <c r="B20" s="2"/>
      <c r="C20" s="45"/>
      <c r="D20" s="46"/>
      <c r="E20" s="3"/>
      <c r="F20" s="3"/>
      <c r="G20" s="3"/>
      <c r="H20" s="66"/>
      <c r="I20" s="3"/>
      <c r="J20" s="3"/>
      <c r="K20" s="3"/>
      <c r="L20" s="4"/>
    </row>
    <row r="21" spans="2:12" x14ac:dyDescent="0.25">
      <c r="B21" s="5"/>
      <c r="C21" s="48" t="s">
        <v>69</v>
      </c>
      <c r="D21" s="47"/>
      <c r="E21" s="7"/>
      <c r="F21" s="50" t="s">
        <v>82</v>
      </c>
      <c r="G21" s="7"/>
      <c r="H21" s="7"/>
      <c r="I21" s="7"/>
      <c r="J21" s="7"/>
      <c r="K21" s="7"/>
      <c r="L21" s="8"/>
    </row>
    <row r="22" spans="2:12" x14ac:dyDescent="0.25">
      <c r="B22" s="5"/>
      <c r="C22" s="27" t="s">
        <v>10</v>
      </c>
      <c r="D22" s="107">
        <v>42419</v>
      </c>
      <c r="E22" s="7"/>
      <c r="F22" s="14" t="s">
        <v>83</v>
      </c>
      <c r="G22" s="16"/>
      <c r="H22" s="7"/>
      <c r="I22" s="7"/>
      <c r="J22" s="7"/>
      <c r="K22" s="7"/>
      <c r="L22" s="8"/>
    </row>
    <row r="23" spans="2:12" x14ac:dyDescent="0.25">
      <c r="B23" s="5"/>
      <c r="C23" s="28" t="s">
        <v>16</v>
      </c>
      <c r="D23" s="108" t="s">
        <v>17</v>
      </c>
      <c r="E23" s="7"/>
      <c r="F23" s="17" t="s">
        <v>84</v>
      </c>
      <c r="G23" s="18"/>
      <c r="H23" s="7"/>
      <c r="I23" s="7"/>
      <c r="J23" s="7"/>
      <c r="K23" s="7"/>
      <c r="L23" s="8"/>
    </row>
    <row r="24" spans="2:12" x14ac:dyDescent="0.25">
      <c r="B24" s="5"/>
      <c r="C24" s="28" t="s">
        <v>93</v>
      </c>
      <c r="D24" s="109" t="s">
        <v>85</v>
      </c>
      <c r="E24" s="7"/>
      <c r="F24" s="17" t="s">
        <v>85</v>
      </c>
      <c r="G24" s="18"/>
      <c r="H24" s="7"/>
      <c r="I24" s="7"/>
      <c r="J24" s="7"/>
      <c r="K24" s="7"/>
      <c r="L24" s="8"/>
    </row>
    <row r="25" spans="2:12" x14ac:dyDescent="0.25">
      <c r="B25" s="5"/>
      <c r="C25" s="29" t="s">
        <v>94</v>
      </c>
      <c r="D25" s="109" t="s">
        <v>85</v>
      </c>
      <c r="E25" s="7"/>
      <c r="F25" s="17" t="s">
        <v>86</v>
      </c>
      <c r="G25" s="18"/>
      <c r="H25" s="7"/>
      <c r="I25" s="7"/>
      <c r="J25" s="7"/>
      <c r="K25" s="7"/>
      <c r="L25" s="8"/>
    </row>
    <row r="26" spans="2:12" x14ac:dyDescent="0.25">
      <c r="B26" s="5"/>
      <c r="C26" s="29" t="s">
        <v>24</v>
      </c>
      <c r="D26" s="109" t="s">
        <v>85</v>
      </c>
      <c r="E26" s="7"/>
      <c r="F26" s="17" t="s">
        <v>87</v>
      </c>
      <c r="G26" s="18"/>
      <c r="H26" s="7"/>
      <c r="I26" s="7"/>
      <c r="J26" s="7"/>
      <c r="K26" s="7"/>
      <c r="L26" s="8"/>
    </row>
    <row r="27" spans="2:12" x14ac:dyDescent="0.25">
      <c r="B27" s="5"/>
      <c r="C27" s="29" t="s">
        <v>96</v>
      </c>
      <c r="D27" s="108" t="b">
        <v>1</v>
      </c>
      <c r="E27" s="7"/>
      <c r="F27" s="17"/>
      <c r="G27" s="18"/>
      <c r="H27" s="7"/>
      <c r="I27" s="7"/>
      <c r="J27" s="7"/>
      <c r="K27" s="7"/>
      <c r="L27" s="8"/>
    </row>
    <row r="28" spans="2:12" x14ac:dyDescent="0.25">
      <c r="B28" s="5"/>
      <c r="C28" s="29" t="s">
        <v>95</v>
      </c>
      <c r="D28" s="108" t="b">
        <v>0</v>
      </c>
      <c r="E28" s="7"/>
      <c r="F28" s="17"/>
      <c r="G28" s="18"/>
      <c r="H28" s="7"/>
      <c r="I28" s="7"/>
      <c r="J28" s="7"/>
      <c r="K28" s="7"/>
      <c r="L28" s="8"/>
    </row>
    <row r="29" spans="2:12" x14ac:dyDescent="0.25">
      <c r="B29" s="5"/>
      <c r="C29" s="29" t="s">
        <v>27</v>
      </c>
      <c r="D29" s="108" t="s">
        <v>133</v>
      </c>
      <c r="E29" s="7"/>
      <c r="F29" s="17"/>
      <c r="G29" s="18"/>
      <c r="H29" s="7"/>
      <c r="I29" s="7"/>
      <c r="J29" s="7"/>
      <c r="K29" s="7"/>
      <c r="L29" s="8"/>
    </row>
    <row r="30" spans="2:12" x14ac:dyDescent="0.25">
      <c r="B30" s="5"/>
      <c r="C30" s="29" t="s">
        <v>97</v>
      </c>
      <c r="D30" s="108" t="s">
        <v>9</v>
      </c>
      <c r="E30" s="7"/>
      <c r="F30" s="17"/>
      <c r="G30" s="18"/>
      <c r="H30" s="7"/>
      <c r="I30" s="7"/>
      <c r="J30" s="7"/>
      <c r="K30" s="7"/>
      <c r="L30" s="8"/>
    </row>
    <row r="31" spans="2:12" x14ac:dyDescent="0.25">
      <c r="B31" s="5"/>
      <c r="C31" s="153" t="s">
        <v>285</v>
      </c>
      <c r="D31" s="154" t="s">
        <v>286</v>
      </c>
      <c r="E31" s="7"/>
      <c r="F31" s="21"/>
      <c r="G31" s="22"/>
      <c r="H31" s="7"/>
      <c r="I31" s="7"/>
      <c r="J31" s="7"/>
      <c r="K31" s="7"/>
      <c r="L31" s="8"/>
    </row>
    <row r="32" spans="2:12" x14ac:dyDescent="0.25">
      <c r="B32" s="11"/>
      <c r="C32" s="12"/>
      <c r="D32" s="12"/>
      <c r="E32" s="12"/>
      <c r="F32" s="12"/>
      <c r="G32" s="12"/>
      <c r="H32" s="12"/>
      <c r="I32" s="12"/>
      <c r="J32" s="12"/>
      <c r="K32" s="12"/>
      <c r="L32" s="13"/>
    </row>
    <row r="35" spans="2:12" x14ac:dyDescent="0.25">
      <c r="B35" s="56" t="s">
        <v>98</v>
      </c>
    </row>
    <row r="36" spans="2:12" x14ac:dyDescent="0.25">
      <c r="B36" s="2"/>
      <c r="C36" s="3"/>
      <c r="D36" s="3"/>
      <c r="E36" s="3"/>
      <c r="F36" s="3"/>
      <c r="G36" s="3"/>
      <c r="H36" s="3"/>
      <c r="I36" s="3"/>
      <c r="J36" s="3"/>
      <c r="K36" s="3"/>
      <c r="L36" s="4"/>
    </row>
    <row r="37" spans="2:12" x14ac:dyDescent="0.25">
      <c r="B37" s="5"/>
      <c r="C37" s="49" t="s">
        <v>99</v>
      </c>
      <c r="D37" s="10"/>
      <c r="E37" s="10"/>
      <c r="F37" s="49" t="s">
        <v>106</v>
      </c>
      <c r="G37" s="10"/>
      <c r="H37" s="10"/>
      <c r="I37" s="49" t="s">
        <v>144</v>
      </c>
      <c r="J37" s="10"/>
      <c r="K37" s="10"/>
      <c r="L37" s="55"/>
    </row>
    <row r="38" spans="2:12" x14ac:dyDescent="0.25">
      <c r="B38" s="5"/>
      <c r="C38" s="27" t="s">
        <v>1</v>
      </c>
      <c r="D38" s="34" t="s">
        <v>2</v>
      </c>
      <c r="E38" s="7"/>
      <c r="F38" s="27" t="s">
        <v>1</v>
      </c>
      <c r="G38" s="34" t="s">
        <v>2</v>
      </c>
      <c r="H38" s="10"/>
      <c r="I38" s="78" t="s">
        <v>11</v>
      </c>
      <c r="J38" s="78" t="s">
        <v>12</v>
      </c>
      <c r="K38" s="78"/>
      <c r="L38" s="55"/>
    </row>
    <row r="39" spans="2:12" x14ac:dyDescent="0.25">
      <c r="B39" s="5"/>
      <c r="C39" s="28" t="s">
        <v>100</v>
      </c>
      <c r="D39" s="35" t="s">
        <v>6</v>
      </c>
      <c r="E39" s="9"/>
      <c r="F39" s="30" t="s">
        <v>18</v>
      </c>
      <c r="G39" s="69" t="s">
        <v>6</v>
      </c>
      <c r="H39" s="10"/>
      <c r="I39" s="71" t="s">
        <v>150</v>
      </c>
      <c r="J39" s="75">
        <v>-2.8E-3</v>
      </c>
      <c r="K39" s="78"/>
      <c r="L39" s="55"/>
    </row>
    <row r="40" spans="2:12" x14ac:dyDescent="0.25">
      <c r="B40" s="5"/>
      <c r="C40" s="28" t="s">
        <v>101</v>
      </c>
      <c r="D40" s="35" t="s">
        <v>102</v>
      </c>
      <c r="E40" s="9"/>
      <c r="F40" s="29" t="s">
        <v>27</v>
      </c>
      <c r="G40" s="35" t="s">
        <v>103</v>
      </c>
      <c r="H40" s="10"/>
      <c r="I40" s="72" t="s">
        <v>148</v>
      </c>
      <c r="J40" s="76">
        <v>-2.2000000000000001E-3</v>
      </c>
      <c r="K40" s="78"/>
      <c r="L40" s="55"/>
    </row>
    <row r="41" spans="2:12" x14ac:dyDescent="0.25">
      <c r="B41" s="5"/>
      <c r="C41" s="28"/>
      <c r="D41" s="35"/>
      <c r="E41" s="9"/>
      <c r="F41" s="29" t="s">
        <v>104</v>
      </c>
      <c r="G41" s="69">
        <v>2</v>
      </c>
      <c r="H41" s="10"/>
      <c r="I41" s="72" t="s">
        <v>107</v>
      </c>
      <c r="J41" s="76">
        <v>-1.31E-3</v>
      </c>
      <c r="K41" s="78"/>
      <c r="L41" s="55"/>
    </row>
    <row r="42" spans="2:12" x14ac:dyDescent="0.25">
      <c r="B42" s="5"/>
      <c r="C42" s="28"/>
      <c r="D42" s="35"/>
      <c r="E42" s="9"/>
      <c r="F42" s="29" t="s">
        <v>21</v>
      </c>
      <c r="G42" s="69" t="s">
        <v>22</v>
      </c>
      <c r="H42" s="10"/>
      <c r="I42" s="72" t="s">
        <v>57</v>
      </c>
      <c r="J42" s="76">
        <v>-1E-4</v>
      </c>
      <c r="K42" s="78"/>
      <c r="L42" s="55"/>
    </row>
    <row r="43" spans="2:12" x14ac:dyDescent="0.25">
      <c r="B43" s="5"/>
      <c r="C43" s="33"/>
      <c r="D43" s="40"/>
      <c r="E43" s="9"/>
      <c r="F43" s="44"/>
      <c r="G43" s="70"/>
      <c r="H43" s="10"/>
      <c r="I43" s="73"/>
      <c r="J43" s="77"/>
      <c r="K43" s="78"/>
      <c r="L43" s="55"/>
    </row>
    <row r="44" spans="2:12" x14ac:dyDescent="0.25">
      <c r="B44" s="5"/>
      <c r="C44" s="9"/>
      <c r="D44" s="9"/>
      <c r="E44" s="9"/>
      <c r="F44" s="10"/>
      <c r="G44" s="10"/>
      <c r="H44" s="10"/>
      <c r="I44" s="10" t="s">
        <v>151</v>
      </c>
      <c r="J44" s="10"/>
      <c r="K44" s="10"/>
      <c r="L44" s="55"/>
    </row>
    <row r="45" spans="2:12" x14ac:dyDescent="0.25">
      <c r="B45" s="11"/>
      <c r="C45" s="12"/>
      <c r="D45" s="12"/>
      <c r="E45" s="12"/>
      <c r="F45" s="12"/>
      <c r="G45" s="12"/>
      <c r="H45" s="12"/>
      <c r="I45" s="12"/>
      <c r="J45" s="12"/>
      <c r="K45" s="12"/>
      <c r="L45" s="13"/>
    </row>
    <row r="48" spans="2:12" x14ac:dyDescent="0.25">
      <c r="B48" s="56" t="s">
        <v>108</v>
      </c>
    </row>
    <row r="49" spans="2:12" x14ac:dyDescent="0.25">
      <c r="B49" s="2"/>
      <c r="C49" s="3"/>
      <c r="D49" s="3"/>
      <c r="E49" s="3"/>
      <c r="F49" s="3"/>
      <c r="G49" s="3"/>
      <c r="H49" s="3"/>
      <c r="I49" s="3"/>
      <c r="J49" s="3"/>
      <c r="K49" s="3"/>
      <c r="L49" s="4"/>
    </row>
    <row r="50" spans="2:12" x14ac:dyDescent="0.25">
      <c r="B50" s="5"/>
      <c r="C50" s="49" t="s">
        <v>109</v>
      </c>
      <c r="D50" s="10"/>
      <c r="E50" s="10"/>
      <c r="F50" s="49" t="s">
        <v>145</v>
      </c>
      <c r="G50" s="10"/>
      <c r="H50" s="10"/>
      <c r="I50" s="49" t="s">
        <v>146</v>
      </c>
      <c r="J50" s="10"/>
      <c r="K50" s="10"/>
      <c r="L50" s="55"/>
    </row>
    <row r="51" spans="2:12" x14ac:dyDescent="0.25">
      <c r="B51" s="5"/>
      <c r="C51" s="27" t="s">
        <v>1</v>
      </c>
      <c r="D51" s="34" t="s">
        <v>2</v>
      </c>
      <c r="E51" s="7"/>
      <c r="F51" s="78" t="s">
        <v>11</v>
      </c>
      <c r="G51" s="78" t="s">
        <v>12</v>
      </c>
      <c r="H51" s="10"/>
      <c r="I51" s="78" t="s">
        <v>11</v>
      </c>
      <c r="J51" s="78" t="s">
        <v>12</v>
      </c>
      <c r="K51" s="78"/>
      <c r="L51" s="55"/>
    </row>
    <row r="52" spans="2:12" x14ac:dyDescent="0.25">
      <c r="B52" s="5"/>
      <c r="C52" s="28" t="s">
        <v>100</v>
      </c>
      <c r="D52" s="35" t="s">
        <v>6</v>
      </c>
      <c r="E52" s="9"/>
      <c r="F52" s="71"/>
      <c r="G52" s="75"/>
      <c r="H52" s="10"/>
      <c r="I52" s="71" t="s">
        <v>113</v>
      </c>
      <c r="J52" s="75">
        <v>-1.2900000000000001E-3</v>
      </c>
      <c r="K52" s="78"/>
      <c r="L52" s="55"/>
    </row>
    <row r="53" spans="2:12" x14ac:dyDescent="0.25">
      <c r="B53" s="5"/>
      <c r="C53" s="28" t="s">
        <v>110</v>
      </c>
      <c r="D53" s="35">
        <v>2</v>
      </c>
      <c r="E53" s="9"/>
      <c r="F53" s="72"/>
      <c r="G53" s="76"/>
      <c r="H53" s="10"/>
      <c r="I53" s="72" t="s">
        <v>114</v>
      </c>
      <c r="J53" s="76">
        <v>-1.2900000000000001E-3</v>
      </c>
      <c r="K53" s="78"/>
      <c r="L53" s="55"/>
    </row>
    <row r="54" spans="2:12" x14ac:dyDescent="0.25">
      <c r="B54" s="5"/>
      <c r="C54" s="28" t="s">
        <v>21</v>
      </c>
      <c r="D54" s="68" t="s">
        <v>22</v>
      </c>
      <c r="E54" s="9"/>
      <c r="F54" s="72"/>
      <c r="G54" s="76"/>
      <c r="H54" s="10"/>
      <c r="I54" s="72" t="s">
        <v>115</v>
      </c>
      <c r="J54" s="76">
        <v>-1.33E-3</v>
      </c>
      <c r="K54" s="78"/>
      <c r="L54" s="55"/>
    </row>
    <row r="55" spans="2:12" x14ac:dyDescent="0.25">
      <c r="B55" s="5"/>
      <c r="C55" s="28" t="s">
        <v>105</v>
      </c>
      <c r="D55" s="35" t="b">
        <v>0</v>
      </c>
      <c r="E55" s="9"/>
      <c r="F55" s="72"/>
      <c r="G55" s="76"/>
      <c r="H55" s="10"/>
      <c r="I55" s="72" t="s">
        <v>116</v>
      </c>
      <c r="J55" s="76">
        <v>-1.3900000000000002E-3</v>
      </c>
      <c r="K55" s="78"/>
      <c r="L55" s="55"/>
    </row>
    <row r="56" spans="2:12" x14ac:dyDescent="0.25">
      <c r="B56" s="5"/>
      <c r="C56" s="28" t="s">
        <v>111</v>
      </c>
      <c r="D56" s="35" t="b">
        <v>1</v>
      </c>
      <c r="E56" s="9"/>
      <c r="F56" s="72"/>
      <c r="G56" s="76"/>
      <c r="H56" s="10"/>
      <c r="I56" s="72" t="s">
        <v>117</v>
      </c>
      <c r="J56" s="76">
        <v>-1.4399999999999999E-3</v>
      </c>
      <c r="K56" s="78"/>
      <c r="L56" s="55"/>
    </row>
    <row r="57" spans="2:12" x14ac:dyDescent="0.25">
      <c r="B57" s="5"/>
      <c r="C57" s="28" t="s">
        <v>112</v>
      </c>
      <c r="D57" s="35">
        <v>2</v>
      </c>
      <c r="E57" s="9"/>
      <c r="F57" s="72"/>
      <c r="G57" s="76"/>
      <c r="H57" s="10"/>
      <c r="I57" s="72" t="s">
        <v>118</v>
      </c>
      <c r="J57" s="76">
        <v>-1.4399999999999999E-3</v>
      </c>
      <c r="K57" s="78"/>
      <c r="L57" s="55"/>
    </row>
    <row r="58" spans="2:12" x14ac:dyDescent="0.25">
      <c r="B58" s="5"/>
      <c r="C58" s="28"/>
      <c r="D58" s="35"/>
      <c r="E58" s="9"/>
      <c r="F58" s="72"/>
      <c r="G58" s="76"/>
      <c r="H58" s="10"/>
      <c r="I58" s="72" t="s">
        <v>119</v>
      </c>
      <c r="J58" s="76">
        <v>-1.4599999999999999E-3</v>
      </c>
      <c r="K58" s="78"/>
      <c r="L58" s="55"/>
    </row>
    <row r="59" spans="2:12" x14ac:dyDescent="0.25">
      <c r="B59" s="5"/>
      <c r="C59" s="28"/>
      <c r="D59" s="35"/>
      <c r="E59" s="9"/>
      <c r="F59" s="72"/>
      <c r="G59" s="76"/>
      <c r="H59" s="10"/>
      <c r="I59" s="72" t="s">
        <v>120</v>
      </c>
      <c r="J59" s="76">
        <v>-1.47E-3</v>
      </c>
      <c r="K59" s="78"/>
      <c r="L59" s="55"/>
    </row>
    <row r="60" spans="2:12" x14ac:dyDescent="0.25">
      <c r="B60" s="5"/>
      <c r="C60" s="28"/>
      <c r="D60" s="35"/>
      <c r="E60" s="9"/>
      <c r="F60" s="72"/>
      <c r="G60" s="76"/>
      <c r="H60" s="10"/>
      <c r="I60" s="72" t="s">
        <v>121</v>
      </c>
      <c r="J60" s="76">
        <v>-1.4599999999999999E-3</v>
      </c>
      <c r="K60" s="78"/>
      <c r="L60" s="55"/>
    </row>
    <row r="61" spans="2:12" x14ac:dyDescent="0.25">
      <c r="B61" s="5"/>
      <c r="C61" s="28"/>
      <c r="D61" s="35"/>
      <c r="E61" s="9"/>
      <c r="F61" s="72"/>
      <c r="G61" s="76"/>
      <c r="H61" s="10"/>
      <c r="I61" s="72" t="s">
        <v>122</v>
      </c>
      <c r="J61" s="76">
        <v>-1.4299999999999998E-3</v>
      </c>
      <c r="K61" s="78"/>
      <c r="L61" s="55"/>
    </row>
    <row r="62" spans="2:12" x14ac:dyDescent="0.25">
      <c r="B62" s="5"/>
      <c r="C62" s="28"/>
      <c r="D62" s="35"/>
      <c r="E62" s="9"/>
      <c r="F62" s="72"/>
      <c r="G62" s="76"/>
      <c r="H62" s="10"/>
      <c r="I62" s="72" t="s">
        <v>123</v>
      </c>
      <c r="J62" s="76">
        <v>-1.4099999999999998E-3</v>
      </c>
      <c r="K62" s="78"/>
      <c r="L62" s="55"/>
    </row>
    <row r="63" spans="2:12" x14ac:dyDescent="0.25">
      <c r="B63" s="5"/>
      <c r="C63" s="28"/>
      <c r="D63" s="35"/>
      <c r="E63" s="9"/>
      <c r="F63" s="72"/>
      <c r="G63" s="76"/>
      <c r="H63" s="10"/>
      <c r="I63" s="72"/>
      <c r="J63" s="76"/>
      <c r="K63" s="78"/>
      <c r="L63" s="55"/>
    </row>
    <row r="64" spans="2:12" x14ac:dyDescent="0.25">
      <c r="B64" s="5"/>
      <c r="C64" s="33"/>
      <c r="D64" s="40"/>
      <c r="E64" s="9"/>
      <c r="F64" s="73"/>
      <c r="G64" s="77"/>
      <c r="H64" s="10"/>
      <c r="I64" s="73"/>
      <c r="J64" s="77"/>
      <c r="K64" s="78"/>
      <c r="L64" s="55"/>
    </row>
    <row r="65" spans="2:12" x14ac:dyDescent="0.25">
      <c r="B65" s="5"/>
      <c r="C65" s="9"/>
      <c r="D65" s="9"/>
      <c r="E65" s="9"/>
      <c r="F65" s="10"/>
      <c r="G65" s="10"/>
      <c r="H65" s="10"/>
      <c r="I65" s="10"/>
      <c r="J65" s="10"/>
      <c r="K65" s="78"/>
      <c r="L65" s="55"/>
    </row>
    <row r="66" spans="2:12" x14ac:dyDescent="0.25">
      <c r="B66" s="11"/>
      <c r="C66" s="12"/>
      <c r="D66" s="12"/>
      <c r="E66" s="12"/>
      <c r="F66" s="12"/>
      <c r="G66" s="12"/>
      <c r="H66" s="12"/>
      <c r="I66" s="12"/>
      <c r="J66" s="12"/>
      <c r="K66" s="12"/>
      <c r="L66" s="13"/>
    </row>
    <row r="69" spans="2:12" x14ac:dyDescent="0.25">
      <c r="B69" s="56" t="s">
        <v>124</v>
      </c>
    </row>
    <row r="70" spans="2:12" x14ac:dyDescent="0.25">
      <c r="B70" s="2"/>
      <c r="C70" s="3"/>
      <c r="D70" s="3"/>
      <c r="E70" s="3"/>
      <c r="F70" s="3"/>
      <c r="G70" s="3"/>
      <c r="H70" s="3"/>
      <c r="I70" s="3"/>
      <c r="J70" s="3"/>
      <c r="K70" s="3"/>
      <c r="L70" s="4"/>
    </row>
    <row r="71" spans="2:12" x14ac:dyDescent="0.25">
      <c r="B71" s="5"/>
      <c r="C71" s="49" t="s">
        <v>125</v>
      </c>
      <c r="D71" s="10"/>
      <c r="E71" s="10"/>
      <c r="F71" s="49" t="s">
        <v>127</v>
      </c>
      <c r="G71" s="10"/>
      <c r="H71" s="10"/>
      <c r="I71" s="10"/>
      <c r="J71" s="10"/>
      <c r="K71" s="10"/>
      <c r="L71" s="55"/>
    </row>
    <row r="72" spans="2:12" x14ac:dyDescent="0.25">
      <c r="B72" s="5"/>
      <c r="C72" s="27"/>
      <c r="D72" s="34"/>
      <c r="E72" s="7"/>
      <c r="F72" s="97" t="s">
        <v>147</v>
      </c>
      <c r="G72" s="97" t="s">
        <v>13</v>
      </c>
      <c r="H72" s="97" t="s">
        <v>14</v>
      </c>
      <c r="I72" s="97" t="s">
        <v>12</v>
      </c>
      <c r="J72" s="97" t="s">
        <v>126</v>
      </c>
      <c r="K72" s="10"/>
      <c r="L72" s="55"/>
    </row>
    <row r="73" spans="2:12" x14ac:dyDescent="0.25">
      <c r="B73" s="5"/>
      <c r="C73" s="28"/>
      <c r="D73" s="35"/>
      <c r="E73" s="9"/>
      <c r="F73" s="79"/>
      <c r="G73" s="80"/>
      <c r="H73" s="80"/>
      <c r="I73" s="81"/>
      <c r="J73" s="82"/>
      <c r="K73" s="10"/>
      <c r="L73" s="55"/>
    </row>
    <row r="74" spans="2:12" x14ac:dyDescent="0.25">
      <c r="B74" s="5"/>
      <c r="C74" s="28"/>
      <c r="D74" s="35"/>
      <c r="E74" s="9"/>
      <c r="F74" s="83"/>
      <c r="G74" s="80"/>
      <c r="H74" s="80"/>
      <c r="I74" s="81"/>
      <c r="J74" s="82"/>
      <c r="K74" s="10"/>
      <c r="L74" s="55"/>
    </row>
    <row r="75" spans="2:12" x14ac:dyDescent="0.25">
      <c r="B75" s="5"/>
      <c r="C75" s="28"/>
      <c r="D75" s="105"/>
      <c r="E75" s="9"/>
      <c r="F75" s="84"/>
      <c r="G75" s="85"/>
      <c r="H75" s="85"/>
      <c r="I75" s="86"/>
      <c r="J75" s="87"/>
      <c r="K75" s="10"/>
      <c r="L75" s="55"/>
    </row>
    <row r="76" spans="2:12" x14ac:dyDescent="0.25">
      <c r="B76" s="5"/>
      <c r="C76" s="28"/>
      <c r="D76" s="74"/>
      <c r="E76" s="9"/>
      <c r="F76" s="84"/>
      <c r="G76" s="85"/>
      <c r="H76" s="85"/>
      <c r="I76" s="86"/>
      <c r="J76" s="87"/>
      <c r="K76" s="10"/>
      <c r="L76" s="55"/>
    </row>
    <row r="77" spans="2:12" x14ac:dyDescent="0.25">
      <c r="B77" s="5"/>
      <c r="C77" s="28"/>
      <c r="D77" s="35"/>
      <c r="E77" s="9"/>
      <c r="F77" s="84"/>
      <c r="G77" s="85"/>
      <c r="H77" s="85"/>
      <c r="I77" s="86"/>
      <c r="J77" s="87"/>
      <c r="K77" s="10"/>
      <c r="L77" s="55"/>
    </row>
    <row r="78" spans="2:12" x14ac:dyDescent="0.25">
      <c r="B78" s="5"/>
      <c r="C78" s="28"/>
      <c r="D78" s="35"/>
      <c r="E78" s="9"/>
      <c r="F78" s="84"/>
      <c r="G78" s="85"/>
      <c r="H78" s="85"/>
      <c r="I78" s="86"/>
      <c r="J78" s="87"/>
      <c r="K78" s="10"/>
      <c r="L78" s="55"/>
    </row>
    <row r="79" spans="2:12" x14ac:dyDescent="0.25">
      <c r="B79" s="5"/>
      <c r="C79" s="28"/>
      <c r="D79" s="35"/>
      <c r="E79" s="9"/>
      <c r="F79" s="84"/>
      <c r="G79" s="85"/>
      <c r="H79" s="85"/>
      <c r="I79" s="86"/>
      <c r="J79" s="87"/>
      <c r="K79" s="10"/>
      <c r="L79" s="55"/>
    </row>
    <row r="80" spans="2:12" x14ac:dyDescent="0.25">
      <c r="B80" s="5"/>
      <c r="C80" s="28"/>
      <c r="D80" s="35"/>
      <c r="E80" s="9"/>
      <c r="F80" s="84"/>
      <c r="G80" s="85"/>
      <c r="H80" s="85"/>
      <c r="I80" s="86"/>
      <c r="J80" s="87"/>
      <c r="K80" s="10"/>
      <c r="L80" s="55"/>
    </row>
    <row r="81" spans="2:12" x14ac:dyDescent="0.25">
      <c r="B81" s="5"/>
      <c r="C81" s="28"/>
      <c r="D81" s="35"/>
      <c r="E81" s="9"/>
      <c r="F81" s="84"/>
      <c r="G81" s="85"/>
      <c r="H81" s="85"/>
      <c r="I81" s="86"/>
      <c r="J81" s="87"/>
      <c r="K81" s="10"/>
      <c r="L81" s="55"/>
    </row>
    <row r="82" spans="2:12" x14ac:dyDescent="0.25">
      <c r="B82" s="5"/>
      <c r="C82" s="28"/>
      <c r="D82" s="35"/>
      <c r="E82" s="9"/>
      <c r="F82" s="88"/>
      <c r="G82" s="85"/>
      <c r="H82" s="85"/>
      <c r="I82" s="89"/>
      <c r="J82" s="87"/>
      <c r="K82" s="10"/>
      <c r="L82" s="55"/>
    </row>
    <row r="83" spans="2:12" x14ac:dyDescent="0.25">
      <c r="B83" s="5"/>
      <c r="C83" s="28"/>
      <c r="D83" s="35"/>
      <c r="E83" s="9"/>
      <c r="F83" s="90"/>
      <c r="G83" s="91"/>
      <c r="H83" s="91"/>
      <c r="I83" s="89"/>
      <c r="J83" s="92"/>
      <c r="K83" s="10"/>
      <c r="L83" s="55"/>
    </row>
    <row r="84" spans="2:12" x14ac:dyDescent="0.25">
      <c r="B84" s="5"/>
      <c r="C84" s="28"/>
      <c r="D84" s="35"/>
      <c r="E84" s="9"/>
      <c r="F84" s="90"/>
      <c r="G84" s="91"/>
      <c r="H84" s="91"/>
      <c r="I84" s="89"/>
      <c r="J84" s="92"/>
      <c r="K84" s="10"/>
      <c r="L84" s="55"/>
    </row>
    <row r="85" spans="2:12" x14ac:dyDescent="0.25">
      <c r="B85" s="5"/>
      <c r="C85" s="33"/>
      <c r="D85" s="40"/>
      <c r="E85" s="9"/>
      <c r="F85" s="93"/>
      <c r="G85" s="94"/>
      <c r="H85" s="94"/>
      <c r="I85" s="95"/>
      <c r="J85" s="96"/>
      <c r="K85" s="10"/>
      <c r="L85" s="55"/>
    </row>
    <row r="86" spans="2:12" x14ac:dyDescent="0.25">
      <c r="B86" s="5"/>
      <c r="C86" s="9"/>
      <c r="D86" s="9"/>
      <c r="E86" s="9"/>
      <c r="F86" s="10"/>
      <c r="G86" s="10"/>
      <c r="H86" s="10"/>
      <c r="I86" s="10"/>
      <c r="J86" s="10"/>
      <c r="K86" s="10"/>
      <c r="L86" s="55"/>
    </row>
    <row r="87" spans="2:12" x14ac:dyDescent="0.25"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3"/>
    </row>
    <row r="90" spans="2:12" x14ac:dyDescent="0.25">
      <c r="B90" s="56" t="s">
        <v>128</v>
      </c>
    </row>
    <row r="91" spans="2:12" x14ac:dyDescent="0.25">
      <c r="B91" s="2"/>
      <c r="C91" s="3"/>
      <c r="D91" s="3"/>
      <c r="E91" s="3"/>
      <c r="F91" s="3"/>
      <c r="G91" s="3"/>
      <c r="H91" s="3"/>
      <c r="I91" s="3"/>
      <c r="J91" s="3"/>
      <c r="K91" s="3"/>
      <c r="L91" s="4"/>
    </row>
    <row r="92" spans="2:12" x14ac:dyDescent="0.25">
      <c r="B92" s="5"/>
      <c r="C92" s="49" t="s">
        <v>129</v>
      </c>
      <c r="D92" s="10"/>
      <c r="E92" s="10"/>
      <c r="F92" s="49" t="s">
        <v>130</v>
      </c>
      <c r="G92" s="10"/>
      <c r="H92" s="10"/>
      <c r="I92" s="10"/>
      <c r="J92" s="10">
        <f>0.0001</f>
        <v>1E-4</v>
      </c>
      <c r="K92" s="10"/>
      <c r="L92" s="55"/>
    </row>
    <row r="93" spans="2:12" x14ac:dyDescent="0.25">
      <c r="B93" s="5"/>
      <c r="C93" s="102" t="s">
        <v>1</v>
      </c>
      <c r="D93" s="34" t="s">
        <v>2</v>
      </c>
      <c r="E93" s="7"/>
      <c r="F93" s="78" t="s">
        <v>11</v>
      </c>
      <c r="G93" s="78" t="s">
        <v>12</v>
      </c>
      <c r="H93" s="78" t="s">
        <v>8</v>
      </c>
      <c r="I93" s="10"/>
      <c r="J93" s="10"/>
      <c r="K93" s="10"/>
      <c r="L93" s="55"/>
    </row>
    <row r="94" spans="2:12" x14ac:dyDescent="0.25">
      <c r="B94" s="5"/>
      <c r="C94" s="103" t="s">
        <v>100</v>
      </c>
      <c r="D94" s="35" t="s">
        <v>20</v>
      </c>
      <c r="E94" s="9"/>
      <c r="F94" s="101" t="s">
        <v>47</v>
      </c>
      <c r="G94" s="98">
        <v>-1.33E-3</v>
      </c>
      <c r="H94" s="75" t="b">
        <v>1</v>
      </c>
      <c r="I94" s="10"/>
      <c r="J94" s="98">
        <v>-1.33E-3</v>
      </c>
      <c r="K94" s="10"/>
      <c r="L94" s="55"/>
    </row>
    <row r="95" spans="2:12" x14ac:dyDescent="0.25">
      <c r="B95" s="5"/>
      <c r="C95" s="103" t="s">
        <v>131</v>
      </c>
      <c r="D95" s="35" t="s">
        <v>20</v>
      </c>
      <c r="E95" s="9"/>
      <c r="F95" s="24" t="s">
        <v>43</v>
      </c>
      <c r="G95" s="99">
        <f>J95</f>
        <v>-8.699999999999999E-4</v>
      </c>
      <c r="H95" s="76" t="b">
        <v>1</v>
      </c>
      <c r="I95" s="10"/>
      <c r="J95" s="99">
        <v>-8.699999999999999E-4</v>
      </c>
      <c r="K95" s="10"/>
      <c r="L95" s="55"/>
    </row>
    <row r="96" spans="2:12" x14ac:dyDescent="0.25">
      <c r="B96" s="5"/>
      <c r="C96" s="103" t="s">
        <v>132</v>
      </c>
      <c r="D96" s="35" t="s">
        <v>6</v>
      </c>
      <c r="E96" s="9"/>
      <c r="F96" s="24" t="s">
        <v>50</v>
      </c>
      <c r="G96" s="99">
        <v>-8.0000000000000007E-5</v>
      </c>
      <c r="H96" s="76" t="b">
        <v>1</v>
      </c>
      <c r="I96" s="10"/>
      <c r="J96" s="99">
        <v>-8.0000000000000007E-5</v>
      </c>
      <c r="K96" s="10"/>
      <c r="L96" s="55"/>
    </row>
    <row r="97" spans="2:12" x14ac:dyDescent="0.25">
      <c r="B97" s="5"/>
      <c r="C97" s="103" t="s">
        <v>27</v>
      </c>
      <c r="D97" s="35" t="s">
        <v>26</v>
      </c>
      <c r="E97" s="9"/>
      <c r="F97" s="24" t="s">
        <v>52</v>
      </c>
      <c r="G97" s="99">
        <f>J97</f>
        <v>9.2999999999999995E-4</v>
      </c>
      <c r="H97" s="76" t="b">
        <v>1</v>
      </c>
      <c r="I97" s="10"/>
      <c r="J97" s="99">
        <v>9.2999999999999995E-4</v>
      </c>
      <c r="K97" s="10"/>
      <c r="L97" s="55"/>
    </row>
    <row r="98" spans="2:12" x14ac:dyDescent="0.25">
      <c r="B98" s="5"/>
      <c r="C98" s="103" t="s">
        <v>134</v>
      </c>
      <c r="D98" s="35" t="s">
        <v>133</v>
      </c>
      <c r="E98" s="9"/>
      <c r="F98" s="24" t="s">
        <v>54</v>
      </c>
      <c r="G98" s="99">
        <v>2.0200000000000001E-3</v>
      </c>
      <c r="H98" s="76" t="b">
        <v>1</v>
      </c>
      <c r="I98" s="10"/>
      <c r="J98" s="99">
        <v>2.0200000000000001E-3</v>
      </c>
      <c r="K98" s="10"/>
      <c r="L98" s="55"/>
    </row>
    <row r="99" spans="2:12" x14ac:dyDescent="0.25">
      <c r="B99" s="5"/>
      <c r="C99" s="103" t="s">
        <v>135</v>
      </c>
      <c r="D99" s="111" t="s">
        <v>85</v>
      </c>
      <c r="E99" s="9"/>
      <c r="F99" s="24" t="s">
        <v>56</v>
      </c>
      <c r="G99" s="99">
        <v>3.2100000000000002E-3</v>
      </c>
      <c r="H99" s="76" t="b">
        <v>1</v>
      </c>
      <c r="I99" s="10"/>
      <c r="J99" s="99">
        <v>3.2100000000000002E-3</v>
      </c>
      <c r="K99" s="10"/>
      <c r="L99" s="55"/>
    </row>
    <row r="100" spans="2:12" x14ac:dyDescent="0.25">
      <c r="B100" s="5"/>
      <c r="C100" s="103" t="s">
        <v>105</v>
      </c>
      <c r="D100" s="35" t="b">
        <v>0</v>
      </c>
      <c r="E100" s="9"/>
      <c r="F100" s="24" t="s">
        <v>58</v>
      </c>
      <c r="G100" s="99">
        <v>4.4400000000000004E-3</v>
      </c>
      <c r="H100" s="76" t="b">
        <v>1</v>
      </c>
      <c r="I100" s="10"/>
      <c r="J100" s="99">
        <v>4.4400000000000004E-3</v>
      </c>
      <c r="K100" s="10"/>
      <c r="L100" s="55"/>
    </row>
    <row r="101" spans="2:12" x14ac:dyDescent="0.25">
      <c r="B101" s="5"/>
      <c r="C101" s="103" t="s">
        <v>104</v>
      </c>
      <c r="D101" s="35">
        <v>2</v>
      </c>
      <c r="E101" s="9"/>
      <c r="F101" s="24" t="s">
        <v>60</v>
      </c>
      <c r="G101" s="99">
        <v>5.6100000000000004E-3</v>
      </c>
      <c r="H101" s="76" t="b">
        <v>1</v>
      </c>
      <c r="I101" s="10"/>
      <c r="J101" s="99">
        <v>5.6100000000000004E-3</v>
      </c>
      <c r="K101" s="10"/>
      <c r="L101" s="55"/>
    </row>
    <row r="102" spans="2:12" x14ac:dyDescent="0.25">
      <c r="B102" s="5"/>
      <c r="C102" s="103" t="s">
        <v>21</v>
      </c>
      <c r="D102" s="68" t="s">
        <v>22</v>
      </c>
      <c r="E102" s="9"/>
      <c r="F102" s="24" t="s">
        <v>61</v>
      </c>
      <c r="G102" s="99">
        <v>6.6700000000000006E-3</v>
      </c>
      <c r="H102" s="76" t="b">
        <v>1</v>
      </c>
      <c r="I102" s="10"/>
      <c r="J102" s="99">
        <v>6.6700000000000006E-3</v>
      </c>
      <c r="K102" s="10"/>
      <c r="L102" s="55"/>
    </row>
    <row r="103" spans="2:12" x14ac:dyDescent="0.25">
      <c r="B103" s="5"/>
      <c r="C103" s="103" t="s">
        <v>136</v>
      </c>
      <c r="D103" s="35" t="b">
        <v>1</v>
      </c>
      <c r="E103" s="9"/>
      <c r="F103" s="24"/>
      <c r="G103" s="99"/>
      <c r="H103" s="76"/>
      <c r="I103" s="10"/>
      <c r="J103" s="10"/>
      <c r="K103" s="10"/>
      <c r="L103" s="55"/>
    </row>
    <row r="104" spans="2:12" x14ac:dyDescent="0.25">
      <c r="B104" s="5"/>
      <c r="C104" s="103" t="s">
        <v>137</v>
      </c>
      <c r="D104" s="35" t="b">
        <v>1</v>
      </c>
      <c r="E104" s="9"/>
      <c r="F104" s="24"/>
      <c r="G104" s="99"/>
      <c r="H104" s="76"/>
      <c r="I104" s="10"/>
      <c r="J104" s="10"/>
      <c r="K104" s="10"/>
      <c r="L104" s="55"/>
    </row>
    <row r="105" spans="2:12" x14ac:dyDescent="0.25">
      <c r="B105" s="5"/>
      <c r="C105" s="103" t="s">
        <v>138</v>
      </c>
      <c r="D105" s="35" t="s">
        <v>139</v>
      </c>
      <c r="E105" s="9"/>
      <c r="F105" s="24"/>
      <c r="G105" s="99"/>
      <c r="H105" s="76"/>
      <c r="I105" s="10"/>
      <c r="J105" s="10"/>
      <c r="K105" s="10"/>
      <c r="L105" s="55"/>
    </row>
    <row r="106" spans="2:12" x14ac:dyDescent="0.25">
      <c r="B106" s="5"/>
      <c r="C106" s="103" t="s">
        <v>140</v>
      </c>
      <c r="D106" s="38">
        <v>1.0000000000000001E-9</v>
      </c>
      <c r="E106" s="9"/>
      <c r="F106" s="24"/>
      <c r="G106" s="99"/>
      <c r="H106" s="76"/>
      <c r="I106" s="10"/>
      <c r="J106" s="10"/>
      <c r="K106" s="10"/>
      <c r="L106" s="55"/>
    </row>
    <row r="107" spans="2:12" x14ac:dyDescent="0.25">
      <c r="B107" s="5"/>
      <c r="C107" s="103" t="s">
        <v>141</v>
      </c>
      <c r="D107" s="38">
        <v>1.0000000000000001E-15</v>
      </c>
      <c r="E107" s="9"/>
      <c r="F107" s="24"/>
      <c r="G107" s="99"/>
      <c r="H107" s="76"/>
      <c r="I107" s="10"/>
      <c r="J107" s="10"/>
      <c r="K107" s="10"/>
      <c r="L107" s="55"/>
    </row>
    <row r="108" spans="2:12" x14ac:dyDescent="0.25">
      <c r="B108" s="5"/>
      <c r="C108" s="103" t="s">
        <v>142</v>
      </c>
      <c r="D108" s="38">
        <v>1E-10</v>
      </c>
      <c r="E108" s="9"/>
      <c r="F108" s="24"/>
      <c r="G108" s="99"/>
      <c r="H108" s="76"/>
      <c r="I108" s="10"/>
      <c r="J108" s="10"/>
      <c r="K108" s="10"/>
      <c r="L108" s="55"/>
    </row>
    <row r="109" spans="2:12" x14ac:dyDescent="0.25">
      <c r="B109" s="5"/>
      <c r="C109" s="103" t="s">
        <v>143</v>
      </c>
      <c r="D109" s="106">
        <v>1000</v>
      </c>
      <c r="E109" s="9"/>
      <c r="F109" s="24"/>
      <c r="G109" s="99"/>
      <c r="H109" s="76"/>
      <c r="I109" s="10"/>
      <c r="J109" s="10"/>
      <c r="K109" s="10"/>
      <c r="L109" s="55"/>
    </row>
    <row r="110" spans="2:12" x14ac:dyDescent="0.25">
      <c r="B110" s="5"/>
      <c r="C110" s="147" t="s">
        <v>275</v>
      </c>
      <c r="D110" s="146" t="s">
        <v>107</v>
      </c>
      <c r="E110" s="9"/>
      <c r="F110" s="24"/>
      <c r="G110" s="99"/>
      <c r="H110" s="76"/>
      <c r="I110" s="10"/>
      <c r="J110" s="10"/>
      <c r="K110" s="10"/>
      <c r="L110" s="55"/>
    </row>
    <row r="111" spans="2:12" x14ac:dyDescent="0.25">
      <c r="B111" s="5"/>
      <c r="C111" s="147" t="s">
        <v>276</v>
      </c>
      <c r="D111" s="146" t="s">
        <v>277</v>
      </c>
      <c r="E111" s="9"/>
      <c r="F111" s="25"/>
      <c r="G111" s="100"/>
      <c r="H111" s="77"/>
      <c r="I111" s="10"/>
      <c r="J111" s="10"/>
      <c r="K111" s="10"/>
      <c r="L111" s="55"/>
    </row>
    <row r="112" spans="2:12" x14ac:dyDescent="0.25">
      <c r="B112" s="5"/>
      <c r="C112" s="9"/>
      <c r="D112" s="9"/>
      <c r="E112" s="9"/>
      <c r="F112" s="10"/>
      <c r="G112" s="10"/>
      <c r="H112" s="10"/>
      <c r="I112" s="10"/>
      <c r="J112" s="10"/>
      <c r="K112" s="10"/>
      <c r="L112" s="55"/>
    </row>
    <row r="113" spans="2:12" x14ac:dyDescent="0.25"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3"/>
    </row>
    <row r="116" spans="2:12" x14ac:dyDescent="0.25">
      <c r="C116" s="149" t="s">
        <v>278</v>
      </c>
    </row>
    <row r="117" spans="2:12" x14ac:dyDescent="0.25">
      <c r="C117" s="149" t="s">
        <v>279</v>
      </c>
    </row>
    <row r="118" spans="2:12" x14ac:dyDescent="0.25">
      <c r="C118" s="149" t="s">
        <v>280</v>
      </c>
    </row>
    <row r="119" spans="2:12" x14ac:dyDescent="0.25">
      <c r="C119" s="149" t="s">
        <v>281</v>
      </c>
    </row>
    <row r="120" spans="2:12" x14ac:dyDescent="0.25">
      <c r="C120" s="149" t="s">
        <v>282</v>
      </c>
    </row>
  </sheetData>
  <dataValidations disablePrompts="1" count="2">
    <dataValidation type="list" allowBlank="1" showInputMessage="1" showErrorMessage="1" sqref="D99 D24:D26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D54 D102 D75">
      <formula1>"FOLLOWING,MOD_FOLLOWING,PRECEDING,MOD_PRECEEDING,NO_CHANGE"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5:K82"/>
  <sheetViews>
    <sheetView showGridLines="0" workbookViewId="0">
      <selection activeCell="D8" sqref="D8"/>
    </sheetView>
  </sheetViews>
  <sheetFormatPr defaultRowHeight="15" x14ac:dyDescent="0.25"/>
  <cols>
    <col min="2" max="2" width="2.7109375" customWidth="1"/>
    <col min="3" max="3" width="32" customWidth="1"/>
    <col min="4" max="4" width="32.42578125" customWidth="1"/>
    <col min="6" max="8" width="20.7109375" customWidth="1"/>
    <col min="9" max="9" width="2.7109375" customWidth="1"/>
    <col min="10" max="14" width="20.7109375" customWidth="1"/>
    <col min="15" max="15" width="2.7109375" customWidth="1"/>
  </cols>
  <sheetData>
    <row r="5" spans="2:11" x14ac:dyDescent="0.25">
      <c r="B5" s="56" t="s">
        <v>193</v>
      </c>
    </row>
    <row r="6" spans="2:11" x14ac:dyDescent="0.25">
      <c r="B6" s="2"/>
      <c r="C6" s="45"/>
      <c r="D6" s="46"/>
      <c r="E6" s="3"/>
      <c r="F6" s="3"/>
      <c r="G6" s="3"/>
      <c r="H6" s="3"/>
      <c r="I6" s="4"/>
    </row>
    <row r="7" spans="2:11" x14ac:dyDescent="0.25">
      <c r="B7" s="5"/>
      <c r="C7" s="64" t="s">
        <v>193</v>
      </c>
      <c r="D7" s="113" t="str">
        <f ca="1">_xll.mirSetUpBasisSwapCurve(TenorBasisCurve3M6M.CollectionName,TenorBasisCurve3M6M.StaticDataTable,TenorBasisCurve3M6M.BuildProperties,TenorBasisSwap3M6M.Conventions,TenorBasisSwap3M6M.MarketData,TenorBasisCurve3M6M.IndexName)</f>
        <v>3m6mbasis BasisSwap Curve has been set (0.00700 sec)</v>
      </c>
      <c r="E7" s="62"/>
      <c r="F7" s="63"/>
      <c r="G7" s="7"/>
      <c r="H7" s="7"/>
      <c r="I7" s="8"/>
    </row>
    <row r="8" spans="2:11" x14ac:dyDescent="0.25">
      <c r="B8" s="5"/>
      <c r="C8" s="112" t="s">
        <v>194</v>
      </c>
      <c r="D8" s="60"/>
      <c r="E8" s="7"/>
      <c r="F8" s="7"/>
      <c r="G8" s="7"/>
      <c r="H8" s="7"/>
      <c r="I8" s="8"/>
    </row>
    <row r="9" spans="2:11" x14ac:dyDescent="0.25">
      <c r="B9" s="5"/>
      <c r="C9" s="6"/>
      <c r="D9" s="60"/>
      <c r="E9" s="7"/>
      <c r="F9" s="7"/>
      <c r="G9" s="7"/>
      <c r="H9" s="7"/>
      <c r="I9" s="8"/>
    </row>
    <row r="10" spans="2:11" x14ac:dyDescent="0.25">
      <c r="B10" s="5"/>
      <c r="C10" s="6"/>
      <c r="D10" s="60"/>
      <c r="E10" s="7"/>
      <c r="F10" s="7"/>
      <c r="G10" s="7"/>
      <c r="H10" s="7"/>
      <c r="I10" s="8"/>
    </row>
    <row r="11" spans="2:11" x14ac:dyDescent="0.25">
      <c r="B11" s="5"/>
      <c r="C11" s="48" t="s">
        <v>0</v>
      </c>
      <c r="D11" s="57"/>
      <c r="E11" s="7"/>
      <c r="F11" s="7"/>
      <c r="G11" s="7"/>
      <c r="H11" s="7"/>
      <c r="I11" s="8"/>
    </row>
    <row r="12" spans="2:11" x14ac:dyDescent="0.25">
      <c r="B12" s="5"/>
      <c r="C12" s="27" t="s">
        <v>88</v>
      </c>
      <c r="D12" s="107" t="str">
        <f>Curve.CollectionName</f>
        <v>EURYC</v>
      </c>
      <c r="E12" s="7"/>
      <c r="F12" s="7"/>
      <c r="G12" s="7"/>
      <c r="H12" s="7"/>
      <c r="I12" s="8"/>
      <c r="K12" t="e">
        <f ca="1">_xll.mirGetDF1(0.5,TenorBasisCurve3M6M.CollectionName,"ACT/365","SPLINE",,TenorBasisCurve3M6M.StaticDataTable)</f>
        <v>#NAME?</v>
      </c>
    </row>
    <row r="13" spans="2:11" x14ac:dyDescent="0.25">
      <c r="B13" s="5"/>
      <c r="C13" s="28" t="s">
        <v>195</v>
      </c>
      <c r="D13" s="108" t="s">
        <v>296</v>
      </c>
      <c r="E13" s="7" t="s">
        <v>81</v>
      </c>
      <c r="F13" s="7"/>
      <c r="G13" s="7"/>
      <c r="H13" s="7"/>
      <c r="I13" s="8"/>
    </row>
    <row r="14" spans="2:11" x14ac:dyDescent="0.25">
      <c r="B14" s="5"/>
      <c r="C14" s="59" t="s">
        <v>89</v>
      </c>
      <c r="D14" s="110" t="s">
        <v>297</v>
      </c>
      <c r="E14" s="7"/>
      <c r="F14" s="7"/>
      <c r="G14" s="7"/>
      <c r="H14" s="7"/>
      <c r="I14" s="8" t="s">
        <v>4</v>
      </c>
    </row>
    <row r="15" spans="2:11" x14ac:dyDescent="0.25">
      <c r="B15" s="11"/>
      <c r="C15" s="12"/>
      <c r="D15" s="12"/>
      <c r="E15" s="12"/>
      <c r="F15" s="12"/>
      <c r="G15" s="12"/>
      <c r="H15" s="12"/>
      <c r="I15" s="13"/>
    </row>
    <row r="18" spans="2:9" x14ac:dyDescent="0.25">
      <c r="B18" s="56" t="s">
        <v>69</v>
      </c>
    </row>
    <row r="19" spans="2:9" x14ac:dyDescent="0.25">
      <c r="B19" s="2"/>
      <c r="C19" s="45"/>
      <c r="D19" s="46"/>
      <c r="E19" s="3"/>
      <c r="F19" s="3"/>
      <c r="G19" s="3"/>
      <c r="H19" s="3"/>
      <c r="I19" s="4"/>
    </row>
    <row r="20" spans="2:9" x14ac:dyDescent="0.25">
      <c r="B20" s="5"/>
      <c r="C20" s="48" t="s">
        <v>69</v>
      </c>
      <c r="D20" s="47"/>
      <c r="E20" s="7"/>
      <c r="F20" s="50" t="s">
        <v>82</v>
      </c>
      <c r="G20" s="7"/>
      <c r="H20" s="7"/>
      <c r="I20" s="8"/>
    </row>
    <row r="21" spans="2:9" x14ac:dyDescent="0.25">
      <c r="B21" s="5"/>
      <c r="C21" s="27" t="s">
        <v>10</v>
      </c>
      <c r="D21" s="107">
        <v>42419</v>
      </c>
      <c r="E21" s="7"/>
      <c r="F21" s="14" t="s">
        <v>83</v>
      </c>
      <c r="G21" s="16"/>
      <c r="H21" s="7"/>
      <c r="I21" s="8"/>
    </row>
    <row r="22" spans="2:9" x14ac:dyDescent="0.25">
      <c r="B22" s="5"/>
      <c r="C22" s="28" t="s">
        <v>16</v>
      </c>
      <c r="D22" s="108" t="s">
        <v>17</v>
      </c>
      <c r="E22" s="7"/>
      <c r="F22" s="17" t="s">
        <v>84</v>
      </c>
      <c r="G22" s="18"/>
      <c r="H22" s="7"/>
      <c r="I22" s="8"/>
    </row>
    <row r="23" spans="2:9" x14ac:dyDescent="0.25">
      <c r="B23" s="5"/>
      <c r="C23" s="28" t="s">
        <v>298</v>
      </c>
      <c r="D23" s="111" t="s">
        <v>85</v>
      </c>
      <c r="E23" s="7"/>
      <c r="F23" s="17" t="s">
        <v>85</v>
      </c>
      <c r="G23" s="18"/>
      <c r="H23" s="7"/>
      <c r="I23" s="8"/>
    </row>
    <row r="24" spans="2:9" x14ac:dyDescent="0.25">
      <c r="B24" s="5"/>
      <c r="C24" s="153" t="s">
        <v>285</v>
      </c>
      <c r="D24" s="154" t="s">
        <v>299</v>
      </c>
      <c r="E24" s="7"/>
      <c r="F24" s="17" t="s">
        <v>86</v>
      </c>
      <c r="G24" s="18"/>
      <c r="H24" s="7"/>
      <c r="I24" s="8"/>
    </row>
    <row r="25" spans="2:9" x14ac:dyDescent="0.25">
      <c r="B25" s="5"/>
      <c r="C25" s="28"/>
      <c r="D25" s="108"/>
      <c r="E25" s="7"/>
      <c r="F25" s="17" t="s">
        <v>87</v>
      </c>
      <c r="G25" s="18"/>
      <c r="H25" s="7"/>
      <c r="I25" s="8"/>
    </row>
    <row r="26" spans="2:9" x14ac:dyDescent="0.25">
      <c r="B26" s="5"/>
      <c r="C26" s="28"/>
      <c r="D26" s="108"/>
      <c r="E26" s="7"/>
      <c r="F26" s="17"/>
      <c r="G26" s="18"/>
      <c r="H26" s="7"/>
      <c r="I26" s="8"/>
    </row>
    <row r="27" spans="2:9" x14ac:dyDescent="0.25">
      <c r="B27" s="5"/>
      <c r="C27" s="28"/>
      <c r="D27" s="108"/>
      <c r="E27" s="7"/>
      <c r="F27" s="17"/>
      <c r="G27" s="18"/>
      <c r="H27" s="7"/>
      <c r="I27" s="8"/>
    </row>
    <row r="28" spans="2:9" x14ac:dyDescent="0.25">
      <c r="B28" s="5"/>
      <c r="C28" s="29"/>
      <c r="D28" s="108"/>
      <c r="E28" s="7"/>
      <c r="F28" s="17"/>
      <c r="G28" s="18"/>
      <c r="H28" s="7"/>
      <c r="I28" s="8"/>
    </row>
    <row r="29" spans="2:9" x14ac:dyDescent="0.25">
      <c r="B29" s="5"/>
      <c r="C29" s="29"/>
      <c r="D29" s="108"/>
      <c r="E29" s="7"/>
      <c r="F29" s="17"/>
      <c r="G29" s="18"/>
      <c r="H29" s="7"/>
      <c r="I29" s="8"/>
    </row>
    <row r="30" spans="2:9" x14ac:dyDescent="0.25">
      <c r="B30" s="5"/>
      <c r="C30" s="29"/>
      <c r="D30" s="108"/>
      <c r="E30" s="7"/>
      <c r="F30" s="17"/>
      <c r="G30" s="18"/>
      <c r="H30" s="7"/>
      <c r="I30" s="8"/>
    </row>
    <row r="31" spans="2:9" x14ac:dyDescent="0.25">
      <c r="B31" s="5"/>
      <c r="C31" s="44"/>
      <c r="D31" s="110"/>
      <c r="E31" s="7"/>
      <c r="F31" s="21"/>
      <c r="G31" s="22"/>
      <c r="H31" s="7"/>
      <c r="I31" s="8"/>
    </row>
    <row r="32" spans="2:9" x14ac:dyDescent="0.25">
      <c r="B32" s="11"/>
      <c r="C32" s="12"/>
      <c r="D32" s="12"/>
      <c r="E32" s="12"/>
      <c r="F32" s="12"/>
      <c r="G32" s="12"/>
      <c r="H32" s="12"/>
      <c r="I32" s="13"/>
    </row>
    <row r="35" spans="2:9" x14ac:dyDescent="0.25">
      <c r="B35" s="56" t="s">
        <v>300</v>
      </c>
    </row>
    <row r="36" spans="2:9" x14ac:dyDescent="0.25">
      <c r="B36" s="2"/>
      <c r="C36" s="3"/>
      <c r="D36" s="3"/>
      <c r="E36" s="3"/>
      <c r="F36" s="3"/>
      <c r="G36" s="3"/>
      <c r="H36" s="3"/>
      <c r="I36" s="4"/>
    </row>
    <row r="37" spans="2:9" x14ac:dyDescent="0.25">
      <c r="B37" s="5"/>
      <c r="C37" s="49" t="s">
        <v>301</v>
      </c>
      <c r="D37" s="10"/>
      <c r="E37" s="10"/>
      <c r="F37" s="49" t="s">
        <v>302</v>
      </c>
      <c r="G37" s="10"/>
      <c r="H37" s="10"/>
      <c r="I37" s="55"/>
    </row>
    <row r="38" spans="2:9" x14ac:dyDescent="0.25">
      <c r="B38" s="5"/>
      <c r="C38" s="27" t="s">
        <v>195</v>
      </c>
      <c r="D38" s="34" t="s">
        <v>303</v>
      </c>
      <c r="E38" s="7"/>
      <c r="F38" s="78" t="s">
        <v>11</v>
      </c>
      <c r="G38" s="78" t="s">
        <v>12</v>
      </c>
      <c r="H38" s="10"/>
      <c r="I38" s="55"/>
    </row>
    <row r="39" spans="2:9" x14ac:dyDescent="0.25">
      <c r="B39" s="5"/>
      <c r="C39" s="172" t="s">
        <v>304</v>
      </c>
      <c r="D39" s="155" t="b">
        <v>0</v>
      </c>
      <c r="E39" s="9"/>
      <c r="F39" s="71" t="s">
        <v>196</v>
      </c>
      <c r="G39" s="75">
        <v>1.1300000000000001E-3</v>
      </c>
      <c r="H39" s="10"/>
      <c r="I39" s="55"/>
    </row>
    <row r="40" spans="2:9" x14ac:dyDescent="0.25">
      <c r="B40" s="5"/>
      <c r="C40" s="28" t="s">
        <v>305</v>
      </c>
      <c r="D40" s="35" t="s">
        <v>2</v>
      </c>
      <c r="E40" s="9"/>
      <c r="F40" s="72" t="s">
        <v>47</v>
      </c>
      <c r="G40" s="76">
        <v>1.1925E-3</v>
      </c>
      <c r="H40" s="10"/>
      <c r="I40" s="55"/>
    </row>
    <row r="41" spans="2:9" x14ac:dyDescent="0.25">
      <c r="B41" s="5"/>
      <c r="C41" s="28" t="s">
        <v>306</v>
      </c>
      <c r="D41" s="35" t="s">
        <v>161</v>
      </c>
      <c r="E41" s="9"/>
      <c r="F41" s="72" t="s">
        <v>43</v>
      </c>
      <c r="G41" s="76">
        <v>1.2425000000000001E-3</v>
      </c>
      <c r="H41" s="10"/>
      <c r="I41" s="55"/>
    </row>
    <row r="42" spans="2:9" x14ac:dyDescent="0.25">
      <c r="B42" s="5"/>
      <c r="C42" s="28" t="s">
        <v>307</v>
      </c>
      <c r="D42" s="68" t="s">
        <v>133</v>
      </c>
      <c r="E42" s="9"/>
      <c r="F42" s="72" t="s">
        <v>50</v>
      </c>
      <c r="G42" s="76">
        <v>1.2975E-3</v>
      </c>
      <c r="H42" s="10"/>
      <c r="I42" s="55"/>
    </row>
    <row r="43" spans="2:9" x14ac:dyDescent="0.25">
      <c r="B43" s="5"/>
      <c r="C43" s="28" t="s">
        <v>308</v>
      </c>
      <c r="D43" s="68" t="s">
        <v>22</v>
      </c>
      <c r="E43" s="9"/>
      <c r="F43" s="72" t="s">
        <v>52</v>
      </c>
      <c r="G43" s="76">
        <v>1.3324999999999999E-3</v>
      </c>
      <c r="H43" s="10"/>
      <c r="I43" s="55"/>
    </row>
    <row r="44" spans="2:9" x14ac:dyDescent="0.25">
      <c r="B44" s="5"/>
      <c r="C44" s="28" t="s">
        <v>309</v>
      </c>
      <c r="D44" s="35" t="s">
        <v>197</v>
      </c>
      <c r="E44" s="9"/>
      <c r="F44" s="72" t="s">
        <v>54</v>
      </c>
      <c r="G44" s="76">
        <v>1.3074999999999999E-3</v>
      </c>
      <c r="H44" s="10"/>
      <c r="I44" s="55"/>
    </row>
    <row r="45" spans="2:9" x14ac:dyDescent="0.25">
      <c r="B45" s="5"/>
      <c r="C45" s="151" t="s">
        <v>310</v>
      </c>
      <c r="D45" s="155" t="s">
        <v>9</v>
      </c>
      <c r="E45" s="9"/>
      <c r="F45" s="72" t="s">
        <v>56</v>
      </c>
      <c r="G45" s="76">
        <v>1.2725E-3</v>
      </c>
      <c r="H45" s="10"/>
      <c r="I45" s="55"/>
    </row>
    <row r="46" spans="2:9" x14ac:dyDescent="0.25">
      <c r="B46" s="5"/>
      <c r="C46" s="151" t="s">
        <v>311</v>
      </c>
      <c r="D46" s="155" t="s">
        <v>92</v>
      </c>
      <c r="E46" s="173" t="s">
        <v>312</v>
      </c>
      <c r="F46" s="72" t="s">
        <v>58</v>
      </c>
      <c r="G46" s="76">
        <v>1.2275000000000001E-3</v>
      </c>
      <c r="H46" s="10"/>
      <c r="I46" s="55"/>
    </row>
    <row r="47" spans="2:9" x14ac:dyDescent="0.25">
      <c r="B47" s="5"/>
      <c r="C47" s="28" t="s">
        <v>313</v>
      </c>
      <c r="D47" s="35" t="s">
        <v>107</v>
      </c>
      <c r="E47" s="9"/>
      <c r="F47" s="72" t="s">
        <v>60</v>
      </c>
      <c r="G47" s="76">
        <v>1.1675000000000001E-3</v>
      </c>
      <c r="H47" s="10"/>
      <c r="I47" s="55"/>
    </row>
    <row r="48" spans="2:9" x14ac:dyDescent="0.25">
      <c r="B48" s="5"/>
      <c r="C48" s="28" t="s">
        <v>314</v>
      </c>
      <c r="D48" s="35" t="s">
        <v>161</v>
      </c>
      <c r="E48" s="9"/>
      <c r="F48" s="72" t="s">
        <v>61</v>
      </c>
      <c r="G48" s="76">
        <v>1.1025E-3</v>
      </c>
      <c r="H48" s="10"/>
      <c r="I48" s="55"/>
    </row>
    <row r="49" spans="2:9" x14ac:dyDescent="0.25">
      <c r="B49" s="5"/>
      <c r="C49" s="28" t="s">
        <v>315</v>
      </c>
      <c r="D49" s="35" t="s">
        <v>2</v>
      </c>
      <c r="E49" s="9"/>
      <c r="F49" s="72" t="s">
        <v>62</v>
      </c>
      <c r="G49" s="76">
        <v>1.0425E-3</v>
      </c>
      <c r="H49" s="10"/>
      <c r="I49" s="55"/>
    </row>
    <row r="50" spans="2:9" x14ac:dyDescent="0.25">
      <c r="B50" s="5"/>
      <c r="C50" s="28" t="s">
        <v>316</v>
      </c>
      <c r="D50" s="35" t="s">
        <v>103</v>
      </c>
      <c r="E50" s="9"/>
      <c r="F50" s="72"/>
      <c r="H50" s="10"/>
      <c r="I50" s="55"/>
    </row>
    <row r="51" spans="2:9" x14ac:dyDescent="0.25">
      <c r="B51" s="5"/>
      <c r="C51" s="28" t="s">
        <v>317</v>
      </c>
      <c r="D51" s="35" t="s">
        <v>2</v>
      </c>
      <c r="E51" s="9"/>
      <c r="F51" s="72"/>
      <c r="G51" s="76"/>
      <c r="H51" s="10"/>
      <c r="I51" s="55"/>
    </row>
    <row r="52" spans="2:9" x14ac:dyDescent="0.25">
      <c r="B52" s="5"/>
      <c r="C52" s="28" t="s">
        <v>318</v>
      </c>
      <c r="D52" s="35" t="s">
        <v>197</v>
      </c>
      <c r="E52" s="9"/>
      <c r="F52" s="72"/>
      <c r="G52" s="76"/>
      <c r="H52" s="10"/>
      <c r="I52" s="55"/>
    </row>
    <row r="53" spans="2:9" x14ac:dyDescent="0.25">
      <c r="B53" s="5"/>
      <c r="C53" s="174" t="s">
        <v>319</v>
      </c>
      <c r="D53" s="68" t="s">
        <v>22</v>
      </c>
      <c r="E53" s="9"/>
      <c r="F53" s="72"/>
      <c r="G53" s="76"/>
      <c r="H53" s="10"/>
      <c r="I53" s="55"/>
    </row>
    <row r="54" spans="2:9" x14ac:dyDescent="0.25">
      <c r="B54" s="5"/>
      <c r="C54" s="175" t="s">
        <v>320</v>
      </c>
      <c r="D54" s="176" t="s">
        <v>2</v>
      </c>
      <c r="E54" s="9"/>
      <c r="F54" s="72"/>
      <c r="G54" s="76"/>
      <c r="H54" s="10"/>
      <c r="I54" s="55"/>
    </row>
    <row r="55" spans="2:9" x14ac:dyDescent="0.25">
      <c r="B55" s="5"/>
      <c r="C55" s="28" t="s">
        <v>321</v>
      </c>
      <c r="D55" s="35" t="s">
        <v>161</v>
      </c>
      <c r="E55" s="9"/>
      <c r="F55" s="72"/>
      <c r="G55" s="76"/>
      <c r="H55" s="10"/>
      <c r="I55" s="55"/>
    </row>
    <row r="56" spans="2:9" x14ac:dyDescent="0.25">
      <c r="B56" s="5"/>
      <c r="C56" s="28" t="s">
        <v>322</v>
      </c>
      <c r="D56" s="68" t="s">
        <v>28</v>
      </c>
      <c r="E56" s="9"/>
      <c r="F56" s="72"/>
      <c r="G56" s="76"/>
      <c r="H56" s="10"/>
      <c r="I56" s="55"/>
    </row>
    <row r="57" spans="2:9" x14ac:dyDescent="0.25">
      <c r="B57" s="5"/>
      <c r="C57" s="28" t="s">
        <v>323</v>
      </c>
      <c r="D57" s="68" t="s">
        <v>22</v>
      </c>
      <c r="E57" s="9"/>
      <c r="F57" s="72"/>
      <c r="G57" s="76"/>
      <c r="H57" s="10"/>
      <c r="I57" s="55"/>
    </row>
    <row r="58" spans="2:9" x14ac:dyDescent="0.25">
      <c r="B58" s="5"/>
      <c r="C58" s="28" t="s">
        <v>324</v>
      </c>
      <c r="D58" s="35" t="s">
        <v>197</v>
      </c>
      <c r="E58" s="9"/>
      <c r="F58" s="72"/>
      <c r="G58" s="76"/>
      <c r="H58" s="10"/>
      <c r="I58" s="55"/>
    </row>
    <row r="59" spans="2:9" x14ac:dyDescent="0.25">
      <c r="B59" s="5"/>
      <c r="C59" s="151" t="s">
        <v>325</v>
      </c>
      <c r="D59" s="155" t="s">
        <v>9</v>
      </c>
      <c r="E59" s="9"/>
      <c r="F59" s="72"/>
      <c r="G59" s="76"/>
      <c r="H59" s="10"/>
      <c r="I59" s="55"/>
    </row>
    <row r="60" spans="2:9" x14ac:dyDescent="0.25">
      <c r="B60" s="5"/>
      <c r="C60" s="151" t="s">
        <v>326</v>
      </c>
      <c r="D60" s="155" t="s">
        <v>92</v>
      </c>
      <c r="E60" s="9"/>
      <c r="F60" s="72"/>
      <c r="G60" s="76"/>
      <c r="H60" s="10"/>
      <c r="I60" s="55"/>
    </row>
    <row r="61" spans="2:9" x14ac:dyDescent="0.25">
      <c r="B61" s="5"/>
      <c r="C61" s="28" t="s">
        <v>327</v>
      </c>
      <c r="D61" s="35" t="s">
        <v>148</v>
      </c>
      <c r="E61" s="9"/>
      <c r="F61" s="72"/>
      <c r="G61" s="76"/>
      <c r="H61" s="10"/>
      <c r="I61" s="55"/>
    </row>
    <row r="62" spans="2:9" x14ac:dyDescent="0.25">
      <c r="B62" s="5"/>
      <c r="C62" s="28" t="s">
        <v>328</v>
      </c>
      <c r="D62" s="35" t="s">
        <v>161</v>
      </c>
      <c r="E62" s="9"/>
      <c r="F62" s="72"/>
      <c r="G62" s="76"/>
      <c r="H62" s="10"/>
      <c r="I62" s="55"/>
    </row>
    <row r="63" spans="2:9" x14ac:dyDescent="0.25">
      <c r="B63" s="5"/>
      <c r="C63" s="28" t="s">
        <v>329</v>
      </c>
      <c r="D63" s="35" t="s">
        <v>2</v>
      </c>
      <c r="E63" s="9"/>
      <c r="F63" s="72"/>
      <c r="G63" s="76"/>
      <c r="H63" s="10"/>
      <c r="I63" s="55"/>
    </row>
    <row r="64" spans="2:9" x14ac:dyDescent="0.25">
      <c r="B64" s="5"/>
      <c r="C64" s="28" t="s">
        <v>330</v>
      </c>
      <c r="D64" s="35" t="s">
        <v>103</v>
      </c>
      <c r="E64" s="9"/>
      <c r="F64" s="72"/>
      <c r="G64" s="76"/>
      <c r="H64" s="10"/>
      <c r="I64" s="55"/>
    </row>
    <row r="65" spans="2:9" x14ac:dyDescent="0.25">
      <c r="B65" s="5"/>
      <c r="C65" s="28" t="s">
        <v>331</v>
      </c>
      <c r="D65" s="35" t="s">
        <v>2</v>
      </c>
      <c r="E65" s="9"/>
      <c r="F65" s="72"/>
      <c r="G65" s="76"/>
      <c r="H65" s="10"/>
      <c r="I65" s="55"/>
    </row>
    <row r="66" spans="2:9" x14ac:dyDescent="0.25">
      <c r="B66" s="5"/>
      <c r="C66" s="28" t="s">
        <v>332</v>
      </c>
      <c r="D66" s="35" t="s">
        <v>197</v>
      </c>
      <c r="E66" s="9"/>
      <c r="F66" s="72"/>
      <c r="G66" s="76"/>
      <c r="H66" s="10"/>
      <c r="I66" s="55"/>
    </row>
    <row r="67" spans="2:9" x14ac:dyDescent="0.25">
      <c r="B67" s="5"/>
      <c r="C67" s="174" t="s">
        <v>333</v>
      </c>
      <c r="D67" s="68" t="s">
        <v>22</v>
      </c>
      <c r="E67" s="9"/>
      <c r="F67" s="72"/>
      <c r="G67" s="76"/>
      <c r="H67" s="10"/>
      <c r="I67" s="55"/>
    </row>
    <row r="68" spans="2:9" x14ac:dyDescent="0.25">
      <c r="B68" s="5"/>
      <c r="C68" s="177" t="s">
        <v>334</v>
      </c>
      <c r="D68" s="155" t="s">
        <v>335</v>
      </c>
      <c r="E68" s="9"/>
      <c r="F68" s="72"/>
      <c r="G68" s="76"/>
      <c r="H68" s="10"/>
      <c r="I68" s="55"/>
    </row>
    <row r="69" spans="2:9" x14ac:dyDescent="0.25">
      <c r="B69" s="5"/>
      <c r="C69" s="28" t="s">
        <v>137</v>
      </c>
      <c r="D69" s="35" t="b">
        <v>1</v>
      </c>
      <c r="E69" s="9"/>
      <c r="F69" s="72"/>
      <c r="G69" s="76"/>
      <c r="H69" s="10"/>
      <c r="I69" s="55"/>
    </row>
    <row r="70" spans="2:9" x14ac:dyDescent="0.25">
      <c r="B70" s="5"/>
      <c r="C70" s="28" t="s">
        <v>198</v>
      </c>
      <c r="D70" s="111" t="s">
        <v>85</v>
      </c>
      <c r="E70" s="9"/>
      <c r="F70" s="72"/>
      <c r="G70" s="76"/>
      <c r="H70" s="10"/>
      <c r="I70" s="55"/>
    </row>
    <row r="71" spans="2:9" x14ac:dyDescent="0.25">
      <c r="B71" s="5"/>
      <c r="C71" s="28" t="s">
        <v>199</v>
      </c>
      <c r="D71" s="35" t="b">
        <v>1</v>
      </c>
      <c r="E71" s="9"/>
      <c r="F71" s="72"/>
      <c r="G71" s="76"/>
      <c r="H71" s="10"/>
      <c r="I71" s="55"/>
    </row>
    <row r="72" spans="2:9" x14ac:dyDescent="0.25">
      <c r="B72" s="5"/>
      <c r="C72" s="28" t="s">
        <v>336</v>
      </c>
      <c r="D72" s="35" t="b">
        <v>1</v>
      </c>
      <c r="E72" s="9"/>
      <c r="F72" s="72"/>
      <c r="G72" s="76"/>
      <c r="H72" s="10"/>
      <c r="I72" s="55"/>
    </row>
    <row r="73" spans="2:9" x14ac:dyDescent="0.25">
      <c r="B73" s="5"/>
      <c r="C73" s="28" t="s">
        <v>200</v>
      </c>
      <c r="D73" s="35" t="s">
        <v>148</v>
      </c>
      <c r="E73" s="9"/>
      <c r="F73" s="72"/>
      <c r="G73" s="76"/>
      <c r="H73" s="10"/>
      <c r="I73" s="55"/>
    </row>
    <row r="74" spans="2:9" x14ac:dyDescent="0.25">
      <c r="B74" s="5"/>
      <c r="C74" s="28" t="s">
        <v>201</v>
      </c>
      <c r="D74" s="35" t="b">
        <v>0</v>
      </c>
      <c r="E74" s="9"/>
      <c r="F74" s="72"/>
      <c r="G74" s="76"/>
      <c r="H74" s="10"/>
      <c r="I74" s="55"/>
    </row>
    <row r="75" spans="2:9" x14ac:dyDescent="0.25">
      <c r="B75" s="5"/>
      <c r="C75" s="28" t="s">
        <v>140</v>
      </c>
      <c r="D75" s="38">
        <v>1.0000000000000001E-9</v>
      </c>
      <c r="E75" s="9"/>
      <c r="F75" s="72"/>
      <c r="G75" s="76"/>
      <c r="H75" s="10"/>
      <c r="I75" s="55"/>
    </row>
    <row r="76" spans="2:9" x14ac:dyDescent="0.25">
      <c r="B76" s="5"/>
      <c r="C76" s="28" t="s">
        <v>141</v>
      </c>
      <c r="D76" s="38">
        <v>1E-10</v>
      </c>
      <c r="E76" s="9"/>
      <c r="F76" s="72"/>
      <c r="G76" s="76"/>
      <c r="H76" s="10"/>
      <c r="I76" s="55"/>
    </row>
    <row r="77" spans="2:9" x14ac:dyDescent="0.25">
      <c r="B77" s="5"/>
      <c r="C77" s="28" t="s">
        <v>142</v>
      </c>
      <c r="D77" s="38">
        <v>1E-10</v>
      </c>
      <c r="E77" s="9"/>
      <c r="F77" s="72"/>
      <c r="G77" s="76"/>
      <c r="H77" s="10"/>
      <c r="I77" s="55"/>
    </row>
    <row r="78" spans="2:9" x14ac:dyDescent="0.25">
      <c r="B78" s="5"/>
      <c r="C78" s="28" t="s">
        <v>143</v>
      </c>
      <c r="D78" s="106">
        <v>1000</v>
      </c>
      <c r="E78" s="9"/>
      <c r="F78" s="72"/>
      <c r="G78" s="76"/>
      <c r="H78" s="10"/>
      <c r="I78" s="55"/>
    </row>
    <row r="79" spans="2:9" x14ac:dyDescent="0.25">
      <c r="B79" s="5"/>
      <c r="C79" s="28"/>
      <c r="D79" s="35"/>
      <c r="E79" s="9"/>
      <c r="F79" s="72"/>
      <c r="G79" s="76"/>
      <c r="H79" s="10"/>
      <c r="I79" s="55"/>
    </row>
    <row r="80" spans="2:9" x14ac:dyDescent="0.25">
      <c r="B80" s="5"/>
      <c r="C80" s="33"/>
      <c r="D80" s="40"/>
      <c r="E80" s="9"/>
      <c r="F80" s="73"/>
      <c r="G80" s="77"/>
      <c r="H80" s="10"/>
      <c r="I80" s="55"/>
    </row>
    <row r="81" spans="2:9" x14ac:dyDescent="0.25">
      <c r="B81" s="5"/>
      <c r="C81" s="9"/>
      <c r="D81" s="9"/>
      <c r="E81" s="9"/>
      <c r="F81" s="10"/>
      <c r="G81" s="10"/>
      <c r="H81" s="10"/>
      <c r="I81" s="55"/>
    </row>
    <row r="82" spans="2:9" x14ac:dyDescent="0.25">
      <c r="B82" s="11"/>
      <c r="C82" s="12"/>
      <c r="D82" s="12"/>
      <c r="E82" s="12"/>
      <c r="F82" s="12"/>
      <c r="G82" s="12"/>
      <c r="H82" s="12"/>
      <c r="I82" s="13"/>
    </row>
  </sheetData>
  <dataValidations count="3">
    <dataValidation type="list" allowBlank="1" showInputMessage="1" showErrorMessage="1" sqref="D70 D23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D41 D67 D57 D53 D43">
      <formula1>"FOLLOWING,MOD_FOLLOWING,PRECEDING,MOD_PRECEEDING,NO_CHANGE"</formula1>
    </dataValidation>
    <dataValidation type="list" allowBlank="1" showInputMessage="1" showErrorMessage="1" sqref="D42 D56">
      <formula1>"Annual,Semi-Annual,Quarterly,Monthly"</formula1>
    </dataValidation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2:Q90"/>
  <sheetViews>
    <sheetView showGridLines="0" workbookViewId="0">
      <selection activeCell="D8" sqref="D8"/>
    </sheetView>
  </sheetViews>
  <sheetFormatPr defaultRowHeight="15" x14ac:dyDescent="0.25"/>
  <cols>
    <col min="1" max="1" width="10.7109375" customWidth="1"/>
    <col min="2" max="2" width="2.7109375" customWidth="1"/>
    <col min="3" max="3" width="25.140625" bestFit="1" customWidth="1"/>
    <col min="4" max="4" width="32.85546875" customWidth="1"/>
    <col min="5" max="5" width="10.7109375" customWidth="1"/>
    <col min="6" max="8" width="12.7109375" customWidth="1"/>
    <col min="9" max="9" width="15.7109375" customWidth="1"/>
    <col min="10" max="10" width="20.7109375" customWidth="1"/>
    <col min="11" max="11" width="12.7109375" customWidth="1"/>
    <col min="12" max="13" width="15.7109375" customWidth="1"/>
    <col min="14" max="14" width="2.7109375" customWidth="1"/>
  </cols>
  <sheetData>
    <row r="2" spans="2:14" x14ac:dyDescent="0.25">
      <c r="B2" s="65" t="s">
        <v>90</v>
      </c>
    </row>
    <row r="3" spans="2:14" x14ac:dyDescent="0.25">
      <c r="B3" s="65"/>
    </row>
    <row r="4" spans="2:14" x14ac:dyDescent="0.25">
      <c r="B4" s="65"/>
    </row>
    <row r="5" spans="2:14" x14ac:dyDescent="0.25">
      <c r="B5" s="65" t="s">
        <v>79</v>
      </c>
    </row>
    <row r="6" spans="2:14" x14ac:dyDescent="0.25">
      <c r="B6" s="2"/>
      <c r="C6" s="45"/>
      <c r="D6" s="46"/>
      <c r="E6" s="3"/>
      <c r="F6" s="3"/>
      <c r="G6" s="3"/>
      <c r="H6" s="3"/>
      <c r="I6" s="3"/>
      <c r="J6" s="3"/>
      <c r="K6" s="3"/>
      <c r="L6" s="3"/>
      <c r="M6" s="3"/>
      <c r="N6" s="4"/>
    </row>
    <row r="7" spans="2:14" x14ac:dyDescent="0.25">
      <c r="B7" s="5"/>
      <c r="C7" s="64" t="s">
        <v>79</v>
      </c>
      <c r="D7" s="61" t="str">
        <f ca="1">_xll.mirSetUpOISCurve(CurveCollection,StaticDataTable,CurveBuildProperties,OISConventions,OISMarketData,IndexName,OISFixingTable,OISBasis.Spreads,LiborSwap.Conventions,LiborSwap.MarketData,OISBasis.Conventions)</f>
        <v>OIS OIS Curve has been set (0.05000 sec)</v>
      </c>
      <c r="E7" s="62"/>
      <c r="F7" s="63"/>
      <c r="G7" s="7"/>
      <c r="H7" s="7"/>
      <c r="I7" s="7"/>
      <c r="J7" s="7"/>
      <c r="K7" s="7"/>
      <c r="L7" s="7"/>
      <c r="M7" s="7"/>
      <c r="N7" s="8"/>
    </row>
    <row r="8" spans="2:14" x14ac:dyDescent="0.25">
      <c r="B8" s="5"/>
      <c r="C8" s="6"/>
      <c r="D8" s="60"/>
      <c r="E8" s="7"/>
      <c r="F8" s="7"/>
      <c r="G8" s="7"/>
      <c r="H8" s="7"/>
      <c r="I8" s="7"/>
      <c r="J8" s="7"/>
      <c r="K8" s="7"/>
      <c r="L8" s="7"/>
      <c r="M8" s="7"/>
      <c r="N8" s="8"/>
    </row>
    <row r="9" spans="2:14" x14ac:dyDescent="0.25">
      <c r="B9" s="5"/>
      <c r="C9" s="6"/>
      <c r="D9" s="60"/>
      <c r="E9" s="7"/>
      <c r="F9" s="7"/>
      <c r="G9" s="7"/>
      <c r="H9" s="7"/>
      <c r="I9" s="7"/>
      <c r="J9" s="7"/>
      <c r="K9" s="7"/>
      <c r="L9" s="7"/>
      <c r="M9" s="7"/>
      <c r="N9" s="8"/>
    </row>
    <row r="10" spans="2:14" x14ac:dyDescent="0.25">
      <c r="B10" s="5"/>
      <c r="C10" s="48" t="s">
        <v>0</v>
      </c>
      <c r="D10" s="57"/>
      <c r="E10" s="7"/>
      <c r="F10" s="7"/>
      <c r="G10" s="7"/>
      <c r="H10" s="7"/>
      <c r="I10" s="7"/>
      <c r="J10" s="7"/>
      <c r="K10" s="7"/>
      <c r="L10" s="7"/>
      <c r="M10" s="7"/>
      <c r="N10" s="8"/>
    </row>
    <row r="11" spans="2:14" x14ac:dyDescent="0.25">
      <c r="B11" s="5"/>
      <c r="C11" s="27" t="s">
        <v>88</v>
      </c>
      <c r="D11" s="107" t="s">
        <v>202</v>
      </c>
      <c r="E11" s="7"/>
      <c r="F11" s="7"/>
      <c r="G11" s="7"/>
      <c r="H11" s="7"/>
      <c r="I11" s="7"/>
      <c r="J11" s="7"/>
      <c r="K11" s="7"/>
      <c r="L11" s="7"/>
      <c r="M11" s="7"/>
      <c r="N11" s="8"/>
    </row>
    <row r="12" spans="2:14" x14ac:dyDescent="0.25">
      <c r="B12" s="5"/>
      <c r="C12" s="28" t="s">
        <v>195</v>
      </c>
      <c r="D12" s="108" t="s">
        <v>9</v>
      </c>
      <c r="E12" s="7" t="s">
        <v>81</v>
      </c>
      <c r="F12" s="7"/>
      <c r="G12" s="7"/>
      <c r="H12" s="7"/>
      <c r="I12" s="7"/>
      <c r="J12" s="7"/>
      <c r="K12" s="7"/>
      <c r="L12" s="7"/>
      <c r="M12" s="7"/>
      <c r="N12" s="8"/>
    </row>
    <row r="13" spans="2:14" x14ac:dyDescent="0.25">
      <c r="B13" s="5"/>
      <c r="C13" s="59" t="s">
        <v>89</v>
      </c>
      <c r="D13" s="110" t="s">
        <v>9</v>
      </c>
      <c r="E13" s="7"/>
      <c r="F13" s="7"/>
      <c r="G13" s="7"/>
      <c r="H13" s="7" t="s">
        <v>4</v>
      </c>
      <c r="I13" s="7" t="s">
        <v>4</v>
      </c>
      <c r="J13" s="7" t="s">
        <v>4</v>
      </c>
      <c r="K13" s="7" t="s">
        <v>4</v>
      </c>
      <c r="L13" s="7" t="s">
        <v>4</v>
      </c>
      <c r="M13" s="7" t="s">
        <v>4</v>
      </c>
      <c r="N13" s="8" t="s">
        <v>4</v>
      </c>
    </row>
    <row r="14" spans="2:14" x14ac:dyDescent="0.25">
      <c r="B14" s="11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3"/>
    </row>
    <row r="17" spans="2:14" x14ac:dyDescent="0.25">
      <c r="B17" s="56" t="s">
        <v>69</v>
      </c>
    </row>
    <row r="18" spans="2:14" x14ac:dyDescent="0.25">
      <c r="B18" s="2"/>
      <c r="C18" s="45"/>
      <c r="D18" s="46"/>
      <c r="E18" s="3"/>
      <c r="F18" s="3"/>
      <c r="G18" s="3"/>
      <c r="H18" s="66"/>
      <c r="I18" s="3"/>
      <c r="J18" s="3"/>
      <c r="K18" s="3"/>
      <c r="L18" s="3"/>
      <c r="M18" s="3"/>
      <c r="N18" s="4"/>
    </row>
    <row r="19" spans="2:14" x14ac:dyDescent="0.25">
      <c r="B19" s="5"/>
      <c r="C19" s="48" t="s">
        <v>69</v>
      </c>
      <c r="D19" s="47"/>
      <c r="E19" s="7"/>
      <c r="F19" s="50" t="s">
        <v>82</v>
      </c>
      <c r="G19" s="7"/>
      <c r="H19" s="7"/>
      <c r="I19" s="7"/>
      <c r="J19" s="7"/>
      <c r="K19" s="7"/>
      <c r="L19" s="7"/>
      <c r="M19" s="7"/>
      <c r="N19" s="8"/>
    </row>
    <row r="20" spans="2:14" x14ac:dyDescent="0.25">
      <c r="B20" s="5"/>
      <c r="C20" s="27" t="s">
        <v>10</v>
      </c>
      <c r="D20" s="107">
        <v>42419</v>
      </c>
      <c r="E20" s="7"/>
      <c r="F20" s="14" t="s">
        <v>83</v>
      </c>
      <c r="G20" s="15"/>
      <c r="H20" s="16"/>
      <c r="I20" s="7"/>
      <c r="J20" s="7"/>
      <c r="K20" s="7"/>
      <c r="L20" s="7"/>
      <c r="M20" s="7"/>
      <c r="N20" s="8"/>
    </row>
    <row r="21" spans="2:14" x14ac:dyDescent="0.25">
      <c r="B21" s="5"/>
      <c r="C21" s="28" t="s">
        <v>16</v>
      </c>
      <c r="D21" s="108" t="s">
        <v>203</v>
      </c>
      <c r="E21" s="7"/>
      <c r="F21" s="17" t="s">
        <v>84</v>
      </c>
      <c r="G21" s="1"/>
      <c r="H21" s="18"/>
      <c r="I21" s="7"/>
      <c r="J21" s="7"/>
      <c r="K21" s="7"/>
      <c r="L21" s="7"/>
      <c r="M21" s="7"/>
      <c r="N21" s="8"/>
    </row>
    <row r="22" spans="2:14" x14ac:dyDescent="0.25">
      <c r="B22" s="5"/>
      <c r="C22" s="28" t="s">
        <v>24</v>
      </c>
      <c r="D22" s="111" t="s">
        <v>85</v>
      </c>
      <c r="E22" s="7"/>
      <c r="F22" s="17" t="s">
        <v>85</v>
      </c>
      <c r="G22" s="1"/>
      <c r="H22" s="18"/>
      <c r="I22" s="7"/>
      <c r="J22" s="7"/>
      <c r="K22" s="7"/>
      <c r="L22" s="7"/>
      <c r="M22" s="7"/>
      <c r="N22" s="8"/>
    </row>
    <row r="23" spans="2:14" x14ac:dyDescent="0.25">
      <c r="B23" s="5"/>
      <c r="C23" s="29"/>
      <c r="D23" s="108"/>
      <c r="E23" s="7"/>
      <c r="F23" s="17" t="s">
        <v>86</v>
      </c>
      <c r="G23" s="1"/>
      <c r="H23" s="18"/>
      <c r="I23" s="7"/>
      <c r="J23" s="7"/>
      <c r="K23" s="7"/>
      <c r="L23" s="7"/>
      <c r="M23" s="7"/>
      <c r="N23" s="8"/>
    </row>
    <row r="24" spans="2:14" x14ac:dyDescent="0.25">
      <c r="B24" s="5"/>
      <c r="C24" s="44"/>
      <c r="D24" s="110"/>
      <c r="E24" s="7"/>
      <c r="F24" s="21" t="s">
        <v>87</v>
      </c>
      <c r="G24" s="23"/>
      <c r="H24" s="22"/>
      <c r="I24" s="7"/>
      <c r="J24" s="7"/>
      <c r="K24" s="7"/>
      <c r="L24" s="7"/>
      <c r="M24" s="7"/>
      <c r="N24" s="8"/>
    </row>
    <row r="25" spans="2:14" x14ac:dyDescent="0.25">
      <c r="B25" s="11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3"/>
    </row>
    <row r="27" spans="2:14" x14ac:dyDescent="0.25">
      <c r="F27" s="67"/>
    </row>
    <row r="28" spans="2:14" x14ac:dyDescent="0.25">
      <c r="B28" s="56" t="s">
        <v>78</v>
      </c>
      <c r="K28">
        <v>1E-4</v>
      </c>
    </row>
    <row r="29" spans="2:14" x14ac:dyDescent="0.25">
      <c r="B29" s="2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4"/>
    </row>
    <row r="30" spans="2:14" x14ac:dyDescent="0.25">
      <c r="B30" s="5"/>
      <c r="C30" s="49" t="s">
        <v>5</v>
      </c>
      <c r="D30" s="10"/>
      <c r="E30" s="10"/>
      <c r="F30" s="49" t="s">
        <v>71</v>
      </c>
      <c r="G30" s="10"/>
      <c r="H30" s="10"/>
      <c r="I30" s="10"/>
      <c r="J30" s="10"/>
      <c r="K30" s="10"/>
      <c r="L30" s="49" t="s">
        <v>73</v>
      </c>
      <c r="M30" s="10"/>
      <c r="N30" s="55"/>
    </row>
    <row r="31" spans="2:14" x14ac:dyDescent="0.25">
      <c r="B31" s="5"/>
      <c r="C31" s="27" t="s">
        <v>3</v>
      </c>
      <c r="D31" s="34" t="s">
        <v>204</v>
      </c>
      <c r="E31" s="7"/>
      <c r="F31" s="58" t="s">
        <v>11</v>
      </c>
      <c r="G31" s="58" t="s">
        <v>12</v>
      </c>
      <c r="H31" s="58" t="s">
        <v>13</v>
      </c>
      <c r="I31" s="58" t="s">
        <v>14</v>
      </c>
      <c r="J31" s="58" t="s">
        <v>8</v>
      </c>
      <c r="K31" s="10"/>
      <c r="L31" s="58" t="s">
        <v>74</v>
      </c>
      <c r="M31" s="58" t="s">
        <v>12</v>
      </c>
      <c r="N31" s="55"/>
    </row>
    <row r="32" spans="2:14" x14ac:dyDescent="0.25">
      <c r="B32" s="5"/>
      <c r="C32" s="28" t="s">
        <v>7</v>
      </c>
      <c r="D32" s="35" t="s">
        <v>6</v>
      </c>
      <c r="E32" s="9"/>
      <c r="F32" s="24" t="s">
        <v>46</v>
      </c>
      <c r="G32" s="19">
        <v>3.5999999999999999E-3</v>
      </c>
      <c r="H32" s="20" t="s">
        <v>37</v>
      </c>
      <c r="I32" s="20" t="s">
        <v>37</v>
      </c>
      <c r="J32" s="41" t="b">
        <v>1</v>
      </c>
      <c r="K32" s="19">
        <v>3.5999999999999999E-3</v>
      </c>
      <c r="L32" s="53"/>
      <c r="M32" s="51"/>
      <c r="N32" s="55"/>
    </row>
    <row r="33" spans="2:14" x14ac:dyDescent="0.25">
      <c r="B33" s="5"/>
      <c r="C33" s="28" t="s">
        <v>25</v>
      </c>
      <c r="D33" s="35" t="s">
        <v>26</v>
      </c>
      <c r="E33" s="9"/>
      <c r="F33" s="24" t="s">
        <v>205</v>
      </c>
      <c r="G33" s="139">
        <f>K33+K28</f>
        <v>99.645099999999999</v>
      </c>
      <c r="H33" s="20">
        <v>42522</v>
      </c>
      <c r="I33" s="20">
        <v>42551</v>
      </c>
      <c r="J33" s="41" t="b">
        <v>1</v>
      </c>
      <c r="K33" s="139">
        <v>99.644999999999996</v>
      </c>
      <c r="L33" s="53"/>
      <c r="M33" s="51"/>
      <c r="N33" s="55"/>
    </row>
    <row r="34" spans="2:14" x14ac:dyDescent="0.25">
      <c r="B34" s="5"/>
      <c r="C34" s="28" t="s">
        <v>33</v>
      </c>
      <c r="D34" s="35" t="s">
        <v>34</v>
      </c>
      <c r="E34" s="9"/>
      <c r="F34" s="24" t="s">
        <v>206</v>
      </c>
      <c r="G34" s="139">
        <v>99.575000000000003</v>
      </c>
      <c r="H34" s="20">
        <v>42552</v>
      </c>
      <c r="I34" s="20">
        <v>42582</v>
      </c>
      <c r="J34" s="41" t="b">
        <v>1</v>
      </c>
      <c r="K34" s="139">
        <v>99.575000000000003</v>
      </c>
      <c r="L34" s="53"/>
      <c r="M34" s="51"/>
      <c r="N34" s="55"/>
    </row>
    <row r="35" spans="2:14" x14ac:dyDescent="0.25">
      <c r="B35" s="5"/>
      <c r="C35" s="28" t="s">
        <v>15</v>
      </c>
      <c r="D35" s="35" t="s">
        <v>30</v>
      </c>
      <c r="E35" s="9"/>
      <c r="F35" s="24" t="s">
        <v>207</v>
      </c>
      <c r="G35" s="139">
        <v>99.51</v>
      </c>
      <c r="H35" s="20">
        <v>42583</v>
      </c>
      <c r="I35" s="20">
        <v>42613</v>
      </c>
      <c r="J35" s="41" t="b">
        <v>1</v>
      </c>
      <c r="K35" s="139">
        <v>99.51</v>
      </c>
      <c r="L35" s="53"/>
      <c r="M35" s="51"/>
      <c r="N35" s="55"/>
    </row>
    <row r="36" spans="2:14" x14ac:dyDescent="0.25">
      <c r="B36" s="5"/>
      <c r="C36" s="29" t="s">
        <v>35</v>
      </c>
      <c r="D36" s="35" t="s">
        <v>36</v>
      </c>
      <c r="E36" s="9"/>
      <c r="F36" s="24" t="s">
        <v>208</v>
      </c>
      <c r="G36" s="139">
        <v>99.475000000000009</v>
      </c>
      <c r="H36" s="20">
        <v>42614</v>
      </c>
      <c r="I36" s="20">
        <v>42643</v>
      </c>
      <c r="J36" s="41" t="b">
        <v>1</v>
      </c>
      <c r="K36" s="139">
        <v>99.475000000000009</v>
      </c>
      <c r="L36" s="53"/>
      <c r="M36" s="51"/>
      <c r="N36" s="55"/>
    </row>
    <row r="37" spans="2:14" x14ac:dyDescent="0.25">
      <c r="B37" s="5"/>
      <c r="C37" s="30" t="s">
        <v>23</v>
      </c>
      <c r="D37" s="36" t="s">
        <v>22</v>
      </c>
      <c r="E37" s="9"/>
      <c r="F37" s="24" t="s">
        <v>209</v>
      </c>
      <c r="G37" s="139">
        <v>99.424999999999997</v>
      </c>
      <c r="H37" s="20">
        <v>42646</v>
      </c>
      <c r="I37" s="20">
        <v>42674</v>
      </c>
      <c r="J37" s="41" t="b">
        <v>1</v>
      </c>
      <c r="K37" s="139">
        <v>99.424999999999997</v>
      </c>
      <c r="L37" s="53"/>
      <c r="M37" s="51"/>
      <c r="N37" s="55"/>
    </row>
    <row r="38" spans="2:14" x14ac:dyDescent="0.25">
      <c r="B38" s="5"/>
      <c r="C38" s="28" t="s">
        <v>38</v>
      </c>
      <c r="D38" s="35" t="s">
        <v>39</v>
      </c>
      <c r="E38" s="9"/>
      <c r="F38" s="24" t="s">
        <v>210</v>
      </c>
      <c r="G38" s="139">
        <v>99.375</v>
      </c>
      <c r="H38" s="20">
        <v>42675</v>
      </c>
      <c r="I38" s="20">
        <v>42704</v>
      </c>
      <c r="J38" s="41" t="b">
        <v>1</v>
      </c>
      <c r="K38" s="139">
        <v>99.375</v>
      </c>
      <c r="L38" s="53"/>
      <c r="M38" s="51"/>
      <c r="N38" s="55"/>
    </row>
    <row r="39" spans="2:14" x14ac:dyDescent="0.25">
      <c r="B39" s="5"/>
      <c r="C39" s="28" t="s">
        <v>211</v>
      </c>
      <c r="D39" s="35">
        <v>31</v>
      </c>
      <c r="E39" s="9"/>
      <c r="F39" s="24" t="s">
        <v>212</v>
      </c>
      <c r="G39" s="139">
        <v>99.335000000000008</v>
      </c>
      <c r="H39" s="20">
        <v>42705</v>
      </c>
      <c r="I39" s="20">
        <v>42735</v>
      </c>
      <c r="J39" s="41" t="b">
        <v>1</v>
      </c>
      <c r="K39" s="139">
        <v>99.335000000000008</v>
      </c>
      <c r="L39" s="53"/>
      <c r="M39" s="51"/>
      <c r="N39" s="55"/>
    </row>
    <row r="40" spans="2:14" x14ac:dyDescent="0.25">
      <c r="B40" s="5"/>
      <c r="C40" s="28" t="s">
        <v>213</v>
      </c>
      <c r="D40" s="35" t="b">
        <v>1</v>
      </c>
      <c r="E40" s="9"/>
      <c r="F40" s="24" t="s">
        <v>214</v>
      </c>
      <c r="G40" s="139">
        <v>99.3</v>
      </c>
      <c r="H40" s="20">
        <v>42738</v>
      </c>
      <c r="I40" s="20">
        <v>42766</v>
      </c>
      <c r="J40" s="41" t="b">
        <v>1</v>
      </c>
      <c r="K40" s="139">
        <v>99.3</v>
      </c>
      <c r="L40" s="53"/>
      <c r="M40" s="51"/>
      <c r="N40" s="55"/>
    </row>
    <row r="41" spans="2:14" x14ac:dyDescent="0.25">
      <c r="B41" s="5"/>
      <c r="C41" s="28" t="s">
        <v>38</v>
      </c>
      <c r="D41" s="108" t="s">
        <v>39</v>
      </c>
      <c r="E41" s="9"/>
      <c r="F41" s="24" t="s">
        <v>215</v>
      </c>
      <c r="G41" s="139">
        <v>99.245000000000005</v>
      </c>
      <c r="H41" s="20">
        <v>42767</v>
      </c>
      <c r="I41" s="20">
        <v>42794</v>
      </c>
      <c r="J41" s="41" t="b">
        <v>1</v>
      </c>
      <c r="K41" s="139">
        <v>99.245000000000005</v>
      </c>
      <c r="L41" s="53"/>
      <c r="M41" s="51"/>
      <c r="N41" s="55"/>
    </row>
    <row r="42" spans="2:14" x14ac:dyDescent="0.25">
      <c r="B42" s="5"/>
      <c r="C42" s="140" t="s">
        <v>40</v>
      </c>
      <c r="D42" s="108" t="s">
        <v>41</v>
      </c>
      <c r="E42" s="9"/>
      <c r="F42" s="24" t="s">
        <v>57</v>
      </c>
      <c r="G42" s="19">
        <v>6.0699999999999999E-3</v>
      </c>
      <c r="H42" s="20" t="s">
        <v>37</v>
      </c>
      <c r="I42" s="20" t="s">
        <v>37</v>
      </c>
      <c r="J42" s="41" t="b">
        <v>1</v>
      </c>
      <c r="K42" s="19">
        <v>6.0699999999999999E-3</v>
      </c>
      <c r="L42" s="53"/>
      <c r="M42" s="51"/>
      <c r="N42" s="55"/>
    </row>
    <row r="43" spans="2:14" x14ac:dyDescent="0.25">
      <c r="B43" s="5"/>
      <c r="C43" s="140" t="s">
        <v>42</v>
      </c>
      <c r="D43" s="108" t="s">
        <v>43</v>
      </c>
      <c r="E43" s="9"/>
      <c r="F43" s="24" t="s">
        <v>59</v>
      </c>
      <c r="G43" s="19">
        <v>7.4900000000000001E-3</v>
      </c>
      <c r="H43" s="20" t="s">
        <v>37</v>
      </c>
      <c r="I43" s="20" t="s">
        <v>37</v>
      </c>
      <c r="J43" s="41" t="b">
        <v>1</v>
      </c>
      <c r="K43" s="19">
        <v>7.4900000000000001E-3</v>
      </c>
      <c r="L43" s="53"/>
      <c r="M43" s="51"/>
      <c r="N43" s="55"/>
    </row>
    <row r="44" spans="2:14" x14ac:dyDescent="0.25">
      <c r="B44" s="5"/>
      <c r="C44" s="29" t="s">
        <v>44</v>
      </c>
      <c r="D44" s="108" t="s">
        <v>45</v>
      </c>
      <c r="E44" s="9"/>
      <c r="F44" s="24" t="s">
        <v>47</v>
      </c>
      <c r="G44" s="19">
        <f>K44</f>
        <v>8.8299999999999993E-3</v>
      </c>
      <c r="H44" s="20" t="s">
        <v>37</v>
      </c>
      <c r="I44" s="20" t="s">
        <v>37</v>
      </c>
      <c r="J44" s="41" t="b">
        <v>1</v>
      </c>
      <c r="K44" s="19">
        <v>8.8299999999999993E-3</v>
      </c>
      <c r="L44" s="53"/>
      <c r="M44" s="51"/>
      <c r="N44" s="55"/>
    </row>
    <row r="45" spans="2:14" x14ac:dyDescent="0.25">
      <c r="B45" s="5"/>
      <c r="C45" s="28" t="s">
        <v>140</v>
      </c>
      <c r="D45" s="141">
        <v>1E-10</v>
      </c>
      <c r="E45" s="9"/>
      <c r="F45" s="24" t="s">
        <v>43</v>
      </c>
      <c r="G45" s="19">
        <v>1.094E-2</v>
      </c>
      <c r="H45" s="20" t="s">
        <v>37</v>
      </c>
      <c r="I45" s="20" t="s">
        <v>37</v>
      </c>
      <c r="J45" s="41" t="b">
        <v>1</v>
      </c>
      <c r="K45" s="19">
        <v>1.094E-2</v>
      </c>
      <c r="L45" s="53"/>
      <c r="M45" s="51"/>
      <c r="N45" s="55"/>
    </row>
    <row r="46" spans="2:14" x14ac:dyDescent="0.25">
      <c r="B46" s="5"/>
      <c r="C46" s="28" t="s">
        <v>143</v>
      </c>
      <c r="D46" s="106">
        <v>1000</v>
      </c>
      <c r="E46" s="9"/>
      <c r="F46" s="24" t="s">
        <v>50</v>
      </c>
      <c r="G46" s="19">
        <v>1.26E-2</v>
      </c>
      <c r="H46" s="20" t="s">
        <v>37</v>
      </c>
      <c r="I46" s="20" t="s">
        <v>37</v>
      </c>
      <c r="J46" s="41" t="b">
        <v>1</v>
      </c>
      <c r="K46" s="19">
        <v>1.26E-2</v>
      </c>
      <c r="L46" s="53"/>
      <c r="M46" s="51"/>
      <c r="N46" s="55"/>
    </row>
    <row r="47" spans="2:14" x14ac:dyDescent="0.25">
      <c r="B47" s="5"/>
      <c r="C47" s="32"/>
      <c r="D47" s="35"/>
      <c r="E47" s="9"/>
      <c r="F47" s="24" t="s">
        <v>52</v>
      </c>
      <c r="G47" s="19">
        <v>1.3950000000000001E-2</v>
      </c>
      <c r="H47" s="20" t="s">
        <v>37</v>
      </c>
      <c r="I47" s="20" t="s">
        <v>37</v>
      </c>
      <c r="J47" s="41" t="b">
        <v>1</v>
      </c>
      <c r="K47" s="19">
        <v>1.3950000000000001E-2</v>
      </c>
      <c r="L47" s="53"/>
      <c r="M47" s="51"/>
      <c r="N47" s="55"/>
    </row>
    <row r="48" spans="2:14" x14ac:dyDescent="0.25">
      <c r="B48" s="5"/>
      <c r="C48" s="32"/>
      <c r="D48" s="39"/>
      <c r="E48" s="9"/>
      <c r="F48" s="24" t="s">
        <v>54</v>
      </c>
      <c r="G48" s="19">
        <v>1.5169999999999999E-2</v>
      </c>
      <c r="H48" s="20" t="s">
        <v>37</v>
      </c>
      <c r="I48" s="20" t="s">
        <v>37</v>
      </c>
      <c r="J48" s="41" t="b">
        <v>1</v>
      </c>
      <c r="K48" s="19">
        <v>1.5169999999999999E-2</v>
      </c>
      <c r="L48" s="53"/>
      <c r="M48" s="51"/>
      <c r="N48" s="55"/>
    </row>
    <row r="49" spans="2:17" x14ac:dyDescent="0.25">
      <c r="B49" s="5"/>
      <c r="C49" s="28"/>
      <c r="D49" s="39"/>
      <c r="E49" s="9"/>
      <c r="F49" s="24" t="s">
        <v>56</v>
      </c>
      <c r="G49" s="19">
        <v>1.6240000000000001E-2</v>
      </c>
      <c r="H49" s="20" t="s">
        <v>37</v>
      </c>
      <c r="I49" s="20" t="s">
        <v>37</v>
      </c>
      <c r="J49" s="41" t="b">
        <v>1</v>
      </c>
      <c r="K49" s="19">
        <v>1.6240000000000001E-2</v>
      </c>
      <c r="L49" s="53"/>
      <c r="M49" s="51"/>
      <c r="N49" s="55"/>
    </row>
    <row r="50" spans="2:17" x14ac:dyDescent="0.25">
      <c r="B50" s="5"/>
      <c r="C50" s="28"/>
      <c r="D50" s="39"/>
      <c r="E50" s="9"/>
      <c r="F50" s="24" t="s">
        <v>61</v>
      </c>
      <c r="G50" s="19">
        <v>1.8630000000000001E-2</v>
      </c>
      <c r="H50" s="20" t="s">
        <v>37</v>
      </c>
      <c r="I50" s="20" t="s">
        <v>37</v>
      </c>
      <c r="J50" s="41" t="b">
        <v>1</v>
      </c>
      <c r="K50" s="19">
        <v>1.8630000000000001E-2</v>
      </c>
      <c r="L50" s="53"/>
      <c r="M50" s="51"/>
      <c r="N50" s="55"/>
    </row>
    <row r="51" spans="2:17" x14ac:dyDescent="0.25">
      <c r="B51" s="5"/>
      <c r="C51" s="28"/>
      <c r="D51" s="39"/>
      <c r="E51" s="9"/>
      <c r="F51" s="24" t="s">
        <v>63</v>
      </c>
      <c r="G51" s="19">
        <v>1.9810000000000001E-2</v>
      </c>
      <c r="H51" s="20" t="s">
        <v>37</v>
      </c>
      <c r="I51" s="20" t="s">
        <v>37</v>
      </c>
      <c r="J51" s="41" t="b">
        <v>1</v>
      </c>
      <c r="K51" s="19">
        <v>1.9810000000000001E-2</v>
      </c>
      <c r="L51" s="53"/>
      <c r="M51" s="51"/>
      <c r="N51" s="55"/>
    </row>
    <row r="52" spans="2:17" x14ac:dyDescent="0.25">
      <c r="B52" s="5"/>
      <c r="C52" s="28"/>
      <c r="D52" s="39"/>
      <c r="E52" s="9"/>
      <c r="F52" s="24" t="s">
        <v>64</v>
      </c>
      <c r="G52" s="19">
        <v>2.1030000000000004E-2</v>
      </c>
      <c r="H52" s="20" t="s">
        <v>37</v>
      </c>
      <c r="I52" s="20" t="s">
        <v>37</v>
      </c>
      <c r="J52" s="41" t="b">
        <v>1</v>
      </c>
      <c r="K52" s="19">
        <v>2.1030000000000004E-2</v>
      </c>
      <c r="L52" s="53"/>
      <c r="M52" s="51"/>
      <c r="N52" s="55"/>
    </row>
    <row r="53" spans="2:17" x14ac:dyDescent="0.25">
      <c r="B53" s="5"/>
      <c r="C53" s="32"/>
      <c r="D53" s="39"/>
      <c r="E53" s="9"/>
      <c r="F53" s="24" t="s">
        <v>65</v>
      </c>
      <c r="G53" s="19">
        <v>2.2189999999999998E-2</v>
      </c>
      <c r="H53" s="20" t="s">
        <v>37</v>
      </c>
      <c r="I53" s="20" t="s">
        <v>37</v>
      </c>
      <c r="J53" s="41" t="b">
        <v>1</v>
      </c>
      <c r="K53" s="19">
        <v>2.2189999999999998E-2</v>
      </c>
      <c r="L53" s="53"/>
      <c r="M53" s="51"/>
      <c r="N53" s="55"/>
    </row>
    <row r="54" spans="2:17" x14ac:dyDescent="0.25">
      <c r="B54" s="5"/>
      <c r="C54" s="32"/>
      <c r="D54" s="39"/>
      <c r="E54" s="9"/>
      <c r="F54" s="24" t="s">
        <v>66</v>
      </c>
      <c r="G54" s="19">
        <v>2.2780000000000002E-2</v>
      </c>
      <c r="H54" s="20" t="s">
        <v>37</v>
      </c>
      <c r="I54" s="20" t="s">
        <v>37</v>
      </c>
      <c r="J54" s="41" t="b">
        <v>1</v>
      </c>
      <c r="K54" s="19">
        <v>2.2780000000000002E-2</v>
      </c>
      <c r="L54" s="53"/>
      <c r="M54" s="51"/>
      <c r="N54" s="55"/>
    </row>
    <row r="55" spans="2:17" x14ac:dyDescent="0.25">
      <c r="B55" s="5"/>
      <c r="C55" s="32"/>
      <c r="D55" s="39"/>
      <c r="E55" s="9"/>
      <c r="F55" s="24" t="s">
        <v>67</v>
      </c>
      <c r="G55" s="19">
        <v>2.3140000000000001E-2</v>
      </c>
      <c r="H55" s="20" t="s">
        <v>37</v>
      </c>
      <c r="I55" s="20" t="s">
        <v>37</v>
      </c>
      <c r="J55" s="41" t="b">
        <v>1</v>
      </c>
      <c r="K55" s="19">
        <v>2.3140000000000001E-2</v>
      </c>
      <c r="L55" s="53"/>
      <c r="M55" s="51"/>
      <c r="N55" s="55"/>
    </row>
    <row r="56" spans="2:17" x14ac:dyDescent="0.25">
      <c r="B56" s="5"/>
      <c r="C56" s="32"/>
      <c r="D56" s="39"/>
      <c r="E56" s="9"/>
      <c r="F56" s="24"/>
      <c r="G56" s="19"/>
      <c r="H56" s="20"/>
      <c r="I56" s="20"/>
      <c r="J56" s="41"/>
      <c r="K56" s="10"/>
      <c r="L56" s="53"/>
      <c r="M56" s="51"/>
      <c r="N56" s="55"/>
    </row>
    <row r="57" spans="2:17" x14ac:dyDescent="0.25">
      <c r="B57" s="5"/>
      <c r="C57" s="33"/>
      <c r="D57" s="40"/>
      <c r="E57" s="9"/>
      <c r="F57" s="25"/>
      <c r="G57" s="26"/>
      <c r="H57" s="42"/>
      <c r="I57" s="42"/>
      <c r="J57" s="43"/>
      <c r="K57" s="10"/>
      <c r="L57" s="54"/>
      <c r="M57" s="52"/>
      <c r="N57" s="55"/>
    </row>
    <row r="58" spans="2:17" x14ac:dyDescent="0.25">
      <c r="B58" s="11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3"/>
    </row>
    <row r="61" spans="2:17" x14ac:dyDescent="0.25">
      <c r="B61" s="56" t="s">
        <v>77</v>
      </c>
    </row>
    <row r="62" spans="2:17" x14ac:dyDescent="0.25">
      <c r="B62" s="2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4"/>
      <c r="Q62">
        <v>1E-4</v>
      </c>
    </row>
    <row r="63" spans="2:17" x14ac:dyDescent="0.25">
      <c r="B63" s="5"/>
      <c r="C63" s="49" t="s">
        <v>70</v>
      </c>
      <c r="D63" s="10"/>
      <c r="E63" s="10"/>
      <c r="F63" s="49" t="s">
        <v>72</v>
      </c>
      <c r="G63" s="10"/>
      <c r="H63" s="10"/>
      <c r="I63" s="49" t="s">
        <v>75</v>
      </c>
      <c r="J63" s="10"/>
      <c r="K63" s="10"/>
      <c r="L63" s="49" t="s">
        <v>76</v>
      </c>
      <c r="M63" s="10"/>
      <c r="N63" s="55"/>
    </row>
    <row r="64" spans="2:17" x14ac:dyDescent="0.25">
      <c r="B64" s="5"/>
      <c r="C64" s="27" t="s">
        <v>1</v>
      </c>
      <c r="D64" s="34" t="s">
        <v>216</v>
      </c>
      <c r="E64" s="7"/>
      <c r="F64" s="58" t="s">
        <v>11</v>
      </c>
      <c r="G64" s="58" t="s">
        <v>12</v>
      </c>
      <c r="H64" s="10"/>
      <c r="I64" s="27" t="s">
        <v>3</v>
      </c>
      <c r="J64" s="34" t="s">
        <v>216</v>
      </c>
      <c r="K64" s="10"/>
      <c r="L64" s="58" t="s">
        <v>11</v>
      </c>
      <c r="M64" s="58" t="s">
        <v>12</v>
      </c>
      <c r="N64" s="55"/>
    </row>
    <row r="65" spans="2:17" x14ac:dyDescent="0.25">
      <c r="B65" s="5"/>
      <c r="C65" s="28" t="s">
        <v>18</v>
      </c>
      <c r="D65" s="35" t="s">
        <v>6</v>
      </c>
      <c r="E65" s="9"/>
      <c r="F65" s="24" t="s">
        <v>47</v>
      </c>
      <c r="G65" s="51">
        <v>2.5000000000000001E-3</v>
      </c>
      <c r="H65" s="51">
        <v>2.5000000000000001E-3</v>
      </c>
      <c r="I65" s="28" t="s">
        <v>19</v>
      </c>
      <c r="J65" s="35" t="s">
        <v>20</v>
      </c>
      <c r="K65" s="10"/>
      <c r="L65" s="24" t="s">
        <v>47</v>
      </c>
      <c r="M65" s="51">
        <v>1.1465000000000001E-2</v>
      </c>
      <c r="N65" s="55"/>
      <c r="Q65" s="51">
        <v>1.1465000000000001E-2</v>
      </c>
    </row>
    <row r="66" spans="2:17" x14ac:dyDescent="0.25">
      <c r="B66" s="5"/>
      <c r="C66" s="28" t="s">
        <v>27</v>
      </c>
      <c r="D66" s="35" t="s">
        <v>28</v>
      </c>
      <c r="E66" s="9"/>
      <c r="F66" s="24" t="s">
        <v>43</v>
      </c>
      <c r="G66" s="51">
        <f>H66</f>
        <v>2.65E-3</v>
      </c>
      <c r="H66" s="51">
        <v>2.65E-3</v>
      </c>
      <c r="I66" s="28" t="s">
        <v>29</v>
      </c>
      <c r="J66" s="35" t="s">
        <v>217</v>
      </c>
      <c r="K66" s="10"/>
      <c r="L66" s="24" t="s">
        <v>43</v>
      </c>
      <c r="M66" s="51">
        <v>1.375E-2</v>
      </c>
      <c r="N66" s="55"/>
      <c r="Q66" s="51">
        <v>1.375E-2</v>
      </c>
    </row>
    <row r="67" spans="2:17" x14ac:dyDescent="0.25">
      <c r="B67" s="5"/>
      <c r="C67" s="28" t="s">
        <v>21</v>
      </c>
      <c r="D67" s="35" t="s">
        <v>22</v>
      </c>
      <c r="E67" s="9"/>
      <c r="F67" s="24" t="s">
        <v>50</v>
      </c>
      <c r="G67" s="51">
        <v>2.7600000000000003E-3</v>
      </c>
      <c r="H67" s="51">
        <v>2.7600000000000003E-3</v>
      </c>
      <c r="I67" s="28" t="s">
        <v>23</v>
      </c>
      <c r="J67" s="35" t="s">
        <v>22</v>
      </c>
      <c r="K67" s="10"/>
      <c r="L67" s="24" t="s">
        <v>50</v>
      </c>
      <c r="M67" s="51">
        <f>Q67</f>
        <v>1.5529999999999999E-2</v>
      </c>
      <c r="N67" s="55"/>
      <c r="Q67" s="51">
        <v>1.5529999999999999E-2</v>
      </c>
    </row>
    <row r="68" spans="2:17" x14ac:dyDescent="0.25">
      <c r="B68" s="5"/>
      <c r="C68" s="28"/>
      <c r="D68" s="35"/>
      <c r="E68" s="9"/>
      <c r="F68" s="24" t="s">
        <v>52</v>
      </c>
      <c r="G68" s="51">
        <f>H68</f>
        <v>2.8300000000000001E-3</v>
      </c>
      <c r="H68" s="51">
        <v>2.8300000000000001E-3</v>
      </c>
      <c r="I68" s="28"/>
      <c r="J68" s="35"/>
      <c r="K68" s="10"/>
      <c r="L68" s="24" t="s">
        <v>52</v>
      </c>
      <c r="M68" s="51">
        <f>Q68</f>
        <v>1.694E-2</v>
      </c>
      <c r="N68" s="55"/>
      <c r="Q68" s="51">
        <v>1.694E-2</v>
      </c>
    </row>
    <row r="69" spans="2:17" x14ac:dyDescent="0.25">
      <c r="B69" s="5"/>
      <c r="C69" s="29"/>
      <c r="D69" s="35"/>
      <c r="E69" s="9"/>
      <c r="F69" s="24" t="s">
        <v>54</v>
      </c>
      <c r="G69" s="51">
        <v>2.8399999999999996E-3</v>
      </c>
      <c r="H69" s="51">
        <v>2.8399999999999996E-3</v>
      </c>
      <c r="I69" s="29"/>
      <c r="J69" s="35"/>
      <c r="K69" s="10"/>
      <c r="L69" s="24" t="s">
        <v>54</v>
      </c>
      <c r="M69" s="51">
        <v>1.8185E-2</v>
      </c>
      <c r="N69" s="55"/>
      <c r="Q69" s="51">
        <v>1.8185E-2</v>
      </c>
    </row>
    <row r="70" spans="2:17" x14ac:dyDescent="0.25">
      <c r="B70" s="5"/>
      <c r="C70" s="30"/>
      <c r="D70" s="36"/>
      <c r="E70" s="9"/>
      <c r="F70" s="24" t="s">
        <v>56</v>
      </c>
      <c r="G70" s="51">
        <v>2.8399999999999996E-3</v>
      </c>
      <c r="H70" s="51">
        <v>2.8399999999999996E-3</v>
      </c>
      <c r="I70" s="30"/>
      <c r="J70" s="36"/>
      <c r="K70" s="10"/>
      <c r="L70" s="24" t="s">
        <v>56</v>
      </c>
      <c r="M70" s="51">
        <v>1.925E-2</v>
      </c>
      <c r="N70" s="55"/>
      <c r="Q70" s="51">
        <v>1.925E-2</v>
      </c>
    </row>
    <row r="71" spans="2:17" x14ac:dyDescent="0.25">
      <c r="B71" s="5"/>
      <c r="C71" s="28"/>
      <c r="D71" s="35"/>
      <c r="E71" s="9"/>
      <c r="F71" s="24" t="s">
        <v>61</v>
      </c>
      <c r="G71" s="51">
        <v>2.8399999999999996E-3</v>
      </c>
      <c r="H71" s="51">
        <v>2.8399999999999996E-3</v>
      </c>
      <c r="I71" s="28"/>
      <c r="J71" s="35"/>
      <c r="K71" s="10"/>
      <c r="L71" s="24" t="s">
        <v>61</v>
      </c>
      <c r="M71" s="51">
        <v>2.1635000000000001E-2</v>
      </c>
      <c r="N71" s="55"/>
      <c r="Q71" s="51">
        <v>2.1635000000000001E-2</v>
      </c>
    </row>
    <row r="72" spans="2:17" x14ac:dyDescent="0.25">
      <c r="B72" s="5"/>
      <c r="C72" s="28"/>
      <c r="D72" s="35"/>
      <c r="E72" s="9"/>
      <c r="F72" s="24" t="s">
        <v>63</v>
      </c>
      <c r="G72" s="51">
        <v>2.8500000000000001E-3</v>
      </c>
      <c r="H72" s="51">
        <v>2.8500000000000001E-3</v>
      </c>
      <c r="I72" s="28"/>
      <c r="J72" s="35"/>
      <c r="K72" s="10"/>
      <c r="L72" s="24" t="s">
        <v>63</v>
      </c>
      <c r="M72" s="51">
        <v>2.291E-2</v>
      </c>
      <c r="N72" s="55"/>
      <c r="Q72" s="51">
        <v>2.291E-2</v>
      </c>
    </row>
    <row r="73" spans="2:17" x14ac:dyDescent="0.25">
      <c r="B73" s="5"/>
      <c r="C73" s="28"/>
      <c r="D73" s="35"/>
      <c r="E73" s="9"/>
      <c r="F73" s="24" t="s">
        <v>64</v>
      </c>
      <c r="G73" s="51">
        <v>2.8500000000000001E-3</v>
      </c>
      <c r="H73" s="51">
        <v>2.8500000000000001E-3</v>
      </c>
      <c r="I73" s="28"/>
      <c r="J73" s="35"/>
      <c r="K73" s="10"/>
      <c r="L73" s="24" t="s">
        <v>64</v>
      </c>
      <c r="M73" s="51">
        <v>2.4080000000000001E-2</v>
      </c>
      <c r="N73" s="55"/>
      <c r="Q73" s="51">
        <v>2.4080000000000001E-2</v>
      </c>
    </row>
    <row r="74" spans="2:17" x14ac:dyDescent="0.25">
      <c r="B74" s="5"/>
      <c r="C74" s="28"/>
      <c r="D74" s="35"/>
      <c r="E74" s="9"/>
      <c r="F74" s="24" t="s">
        <v>65</v>
      </c>
      <c r="G74" s="51">
        <v>2.8500000000000001E-3</v>
      </c>
      <c r="H74" s="51">
        <v>2.8500000000000001E-3</v>
      </c>
      <c r="I74" s="28"/>
      <c r="J74" s="35"/>
      <c r="K74" s="10"/>
      <c r="L74" s="24" t="s">
        <v>65</v>
      </c>
      <c r="M74" s="51">
        <v>2.528E-2</v>
      </c>
      <c r="N74" s="55"/>
      <c r="Q74" s="51">
        <v>2.528E-2</v>
      </c>
    </row>
    <row r="75" spans="2:17" x14ac:dyDescent="0.25">
      <c r="B75" s="5"/>
      <c r="C75" s="28"/>
      <c r="D75" s="35"/>
      <c r="E75" s="9"/>
      <c r="F75" s="24" t="s">
        <v>66</v>
      </c>
      <c r="G75" s="51">
        <v>2.8500000000000001E-3</v>
      </c>
      <c r="H75" s="51">
        <v>2.8500000000000001E-3</v>
      </c>
      <c r="I75" s="28"/>
      <c r="J75" s="35"/>
      <c r="K75" s="10"/>
      <c r="L75" s="24" t="s">
        <v>66</v>
      </c>
      <c r="M75" s="51">
        <v>2.5864999999999999E-2</v>
      </c>
      <c r="N75" s="55"/>
      <c r="Q75" s="51">
        <v>2.5864999999999999E-2</v>
      </c>
    </row>
    <row r="76" spans="2:17" x14ac:dyDescent="0.25">
      <c r="B76" s="5"/>
      <c r="C76" s="29"/>
      <c r="D76" s="35"/>
      <c r="E76" s="9"/>
      <c r="F76" s="24" t="s">
        <v>67</v>
      </c>
      <c r="G76" s="51">
        <v>2.8399999999999996E-3</v>
      </c>
      <c r="H76" s="51">
        <v>2.8399999999999996E-3</v>
      </c>
      <c r="I76" s="29"/>
      <c r="J76" s="35"/>
      <c r="K76" s="10"/>
      <c r="L76" s="24" t="s">
        <v>67</v>
      </c>
      <c r="M76" s="51">
        <v>2.6135000000000002E-2</v>
      </c>
      <c r="N76" s="55"/>
      <c r="Q76" s="51">
        <v>2.6135000000000002E-2</v>
      </c>
    </row>
    <row r="77" spans="2:17" x14ac:dyDescent="0.25">
      <c r="B77" s="5"/>
      <c r="C77" s="31"/>
      <c r="D77" s="37"/>
      <c r="E77" s="9"/>
      <c r="F77" s="24"/>
      <c r="G77" s="51"/>
      <c r="H77" s="10"/>
      <c r="I77" s="31"/>
      <c r="J77" s="37"/>
      <c r="K77" s="10"/>
      <c r="L77" s="24"/>
      <c r="M77" s="51"/>
      <c r="N77" s="55"/>
    </row>
    <row r="78" spans="2:17" x14ac:dyDescent="0.25">
      <c r="B78" s="5"/>
      <c r="C78" s="31"/>
      <c r="D78" s="38"/>
      <c r="E78" s="9"/>
      <c r="F78" s="24"/>
      <c r="G78" s="51"/>
      <c r="H78" s="10"/>
      <c r="I78" s="31"/>
      <c r="J78" s="38"/>
      <c r="K78" s="10"/>
      <c r="L78" s="24"/>
      <c r="M78" s="51"/>
      <c r="N78" s="55"/>
    </row>
    <row r="79" spans="2:17" x14ac:dyDescent="0.25">
      <c r="B79" s="5"/>
      <c r="C79" s="31"/>
      <c r="D79" s="37"/>
      <c r="E79" s="9"/>
      <c r="F79" s="24"/>
      <c r="G79" s="51"/>
      <c r="H79" s="10"/>
      <c r="I79" s="31"/>
      <c r="J79" s="37"/>
      <c r="K79" s="10"/>
      <c r="L79" s="24"/>
      <c r="M79" s="51"/>
      <c r="N79" s="55"/>
    </row>
    <row r="80" spans="2:17" x14ac:dyDescent="0.25">
      <c r="B80" s="5"/>
      <c r="C80" s="32"/>
      <c r="D80" s="35"/>
      <c r="E80" s="9"/>
      <c r="F80" s="24"/>
      <c r="G80" s="51"/>
      <c r="H80" s="10"/>
      <c r="I80" s="32"/>
      <c r="J80" s="35"/>
      <c r="K80" s="10"/>
      <c r="L80" s="24"/>
      <c r="M80" s="51"/>
      <c r="N80" s="55"/>
    </row>
    <row r="81" spans="2:14" x14ac:dyDescent="0.25">
      <c r="B81" s="5"/>
      <c r="C81" s="32"/>
      <c r="D81" s="39"/>
      <c r="E81" s="9"/>
      <c r="F81" s="24"/>
      <c r="G81" s="51"/>
      <c r="H81" s="10"/>
      <c r="I81" s="32"/>
      <c r="J81" s="39"/>
      <c r="K81" s="10"/>
      <c r="L81" s="24"/>
      <c r="M81" s="51"/>
      <c r="N81" s="55"/>
    </row>
    <row r="82" spans="2:14" x14ac:dyDescent="0.25">
      <c r="B82" s="5"/>
      <c r="C82" s="32"/>
      <c r="D82" s="39"/>
      <c r="E82" s="9"/>
      <c r="F82" s="24"/>
      <c r="G82" s="51"/>
      <c r="H82" s="10"/>
      <c r="I82" s="32"/>
      <c r="J82" s="39"/>
      <c r="K82" s="10"/>
      <c r="L82" s="24"/>
      <c r="M82" s="51"/>
      <c r="N82" s="55"/>
    </row>
    <row r="83" spans="2:14" x14ac:dyDescent="0.25">
      <c r="B83" s="5"/>
      <c r="C83" s="32"/>
      <c r="D83" s="39"/>
      <c r="E83" s="9"/>
      <c r="F83" s="24"/>
      <c r="G83" s="51"/>
      <c r="H83" s="10"/>
      <c r="I83" s="32"/>
      <c r="J83" s="39"/>
      <c r="K83" s="10"/>
      <c r="L83" s="24"/>
      <c r="M83" s="51"/>
      <c r="N83" s="55"/>
    </row>
    <row r="84" spans="2:14" x14ac:dyDescent="0.25">
      <c r="B84" s="5"/>
      <c r="C84" s="32"/>
      <c r="D84" s="39"/>
      <c r="E84" s="9"/>
      <c r="F84" s="24"/>
      <c r="G84" s="51"/>
      <c r="H84" s="10"/>
      <c r="I84" s="32"/>
      <c r="J84" s="39"/>
      <c r="K84" s="10"/>
      <c r="L84" s="24"/>
      <c r="M84" s="51"/>
      <c r="N84" s="55"/>
    </row>
    <row r="85" spans="2:14" x14ac:dyDescent="0.25">
      <c r="B85" s="5"/>
      <c r="C85" s="32"/>
      <c r="D85" s="39"/>
      <c r="E85" s="9"/>
      <c r="F85" s="24"/>
      <c r="G85" s="51"/>
      <c r="H85" s="10"/>
      <c r="I85" s="32"/>
      <c r="J85" s="39"/>
      <c r="K85" s="10"/>
      <c r="L85" s="24"/>
      <c r="M85" s="51"/>
      <c r="N85" s="55"/>
    </row>
    <row r="86" spans="2:14" x14ac:dyDescent="0.25">
      <c r="B86" s="5"/>
      <c r="C86" s="32"/>
      <c r="D86" s="39"/>
      <c r="E86" s="9"/>
      <c r="F86" s="24"/>
      <c r="G86" s="51"/>
      <c r="H86" s="10"/>
      <c r="I86" s="32"/>
      <c r="J86" s="39"/>
      <c r="K86" s="10"/>
      <c r="L86" s="24"/>
      <c r="M86" s="51"/>
      <c r="N86" s="55"/>
    </row>
    <row r="87" spans="2:14" x14ac:dyDescent="0.25">
      <c r="B87" s="5"/>
      <c r="C87" s="32"/>
      <c r="D87" s="39"/>
      <c r="E87" s="9"/>
      <c r="F87" s="24"/>
      <c r="G87" s="51"/>
      <c r="H87" s="10"/>
      <c r="I87" s="32"/>
      <c r="J87" s="39"/>
      <c r="K87" s="10"/>
      <c r="L87" s="24"/>
      <c r="M87" s="51"/>
      <c r="N87" s="55"/>
    </row>
    <row r="88" spans="2:14" x14ac:dyDescent="0.25">
      <c r="B88" s="5"/>
      <c r="C88" s="32"/>
      <c r="D88" s="39"/>
      <c r="E88" s="9"/>
      <c r="F88" s="24"/>
      <c r="G88" s="51"/>
      <c r="H88" s="10"/>
      <c r="I88" s="32"/>
      <c r="J88" s="39"/>
      <c r="K88" s="10"/>
      <c r="L88" s="24"/>
      <c r="M88" s="51"/>
      <c r="N88" s="55"/>
    </row>
    <row r="89" spans="2:14" x14ac:dyDescent="0.25">
      <c r="B89" s="5"/>
      <c r="C89" s="33"/>
      <c r="D89" s="40"/>
      <c r="E89" s="9"/>
      <c r="F89" s="25"/>
      <c r="G89" s="52"/>
      <c r="H89" s="10"/>
      <c r="I89" s="33"/>
      <c r="J89" s="40"/>
      <c r="K89" s="10"/>
      <c r="L89" s="25"/>
      <c r="M89" s="52"/>
      <c r="N89" s="55"/>
    </row>
    <row r="90" spans="2:14" x14ac:dyDescent="0.25"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3"/>
    </row>
  </sheetData>
  <dataValidations disablePrompts="1" count="1">
    <dataValidation type="list" allowBlank="1" showInputMessage="1" showErrorMessage="1" sqref="D22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6:L113"/>
  <sheetViews>
    <sheetView showGridLines="0" workbookViewId="0">
      <selection activeCell="D9" sqref="D9"/>
    </sheetView>
  </sheetViews>
  <sheetFormatPr defaultRowHeight="15" x14ac:dyDescent="0.25"/>
  <cols>
    <col min="2" max="2" width="2.7109375" customWidth="1"/>
    <col min="3" max="3" width="20.42578125" customWidth="1"/>
    <col min="4" max="4" width="35.140625" customWidth="1"/>
    <col min="6" max="7" width="18.7109375" customWidth="1"/>
    <col min="8" max="8" width="12.7109375" customWidth="1"/>
    <col min="9" max="11" width="18.7109375" customWidth="1"/>
    <col min="12" max="12" width="5.5703125" customWidth="1"/>
    <col min="14" max="15" width="15.7109375" customWidth="1"/>
  </cols>
  <sheetData>
    <row r="6" spans="2:12" x14ac:dyDescent="0.25">
      <c r="B6" s="56" t="s">
        <v>91</v>
      </c>
    </row>
    <row r="7" spans="2:12" x14ac:dyDescent="0.25">
      <c r="B7" s="2"/>
      <c r="C7" s="45"/>
      <c r="D7" s="46"/>
      <c r="E7" s="3"/>
      <c r="F7" s="3"/>
      <c r="G7" s="3"/>
      <c r="H7" s="3"/>
      <c r="I7" s="3"/>
      <c r="J7" s="3"/>
      <c r="K7" s="3"/>
      <c r="L7" s="4"/>
    </row>
    <row r="8" spans="2:12" x14ac:dyDescent="0.25">
      <c r="B8" s="5"/>
      <c r="C8" s="64" t="s">
        <v>91</v>
      </c>
      <c r="D8" s="61" t="str">
        <f ca="1">_xll.mirSetUpSwapCurve(CurveCollection,StaticDataTable,CurveBuildProperties,MoneyMarketConventions,LiborConventions,LiborMarketData,SwapConventions,SwapMarketData,FRAConventions,FRAMarketData3M,FRAMarketData6M,FuturesConventions,FuturesMarketData,,,IndexName)</f>
        <v>STD Swap Curve has been set (0.03000 sec)</v>
      </c>
      <c r="E8" s="62"/>
      <c r="F8" s="63"/>
      <c r="G8" s="7"/>
      <c r="H8" s="7"/>
      <c r="I8" s="7"/>
      <c r="J8" s="7"/>
      <c r="K8" s="7"/>
      <c r="L8" s="8"/>
    </row>
    <row r="9" spans="2:12" x14ac:dyDescent="0.25">
      <c r="B9" s="5"/>
      <c r="C9" s="112" t="s">
        <v>149</v>
      </c>
      <c r="D9" s="60"/>
      <c r="E9" s="7"/>
      <c r="F9" s="7"/>
      <c r="G9" s="7"/>
      <c r="H9" s="7"/>
      <c r="I9" s="7"/>
      <c r="J9" s="7"/>
      <c r="K9" s="7"/>
      <c r="L9" s="8"/>
    </row>
    <row r="10" spans="2:12" x14ac:dyDescent="0.25">
      <c r="B10" s="5"/>
      <c r="C10" s="7"/>
      <c r="D10" s="60"/>
      <c r="E10" s="7"/>
      <c r="F10" s="7"/>
      <c r="G10" s="7"/>
      <c r="H10" s="7"/>
      <c r="I10" s="7"/>
      <c r="J10" s="7"/>
      <c r="K10" s="7"/>
      <c r="L10" s="8"/>
    </row>
    <row r="11" spans="2:12" x14ac:dyDescent="0.25">
      <c r="B11" s="5"/>
      <c r="C11" s="6"/>
      <c r="D11" s="60"/>
      <c r="E11" s="7"/>
      <c r="F11" s="7"/>
      <c r="G11" s="7"/>
      <c r="H11" s="7"/>
      <c r="I11" s="7"/>
      <c r="J11" s="7"/>
      <c r="K11" s="7"/>
      <c r="L11" s="8"/>
    </row>
    <row r="12" spans="2:12" x14ac:dyDescent="0.25">
      <c r="B12" s="5"/>
      <c r="C12" s="48" t="s">
        <v>0</v>
      </c>
      <c r="D12" s="57"/>
      <c r="E12" s="7"/>
      <c r="F12" s="7"/>
      <c r="G12" s="7"/>
      <c r="H12" s="7"/>
      <c r="I12" s="7"/>
      <c r="J12" s="7"/>
      <c r="K12" s="7"/>
      <c r="L12" s="8"/>
    </row>
    <row r="13" spans="2:12" x14ac:dyDescent="0.25">
      <c r="B13" s="5"/>
      <c r="C13" s="27" t="s">
        <v>88</v>
      </c>
      <c r="D13" s="107" t="s">
        <v>202</v>
      </c>
      <c r="E13" s="7"/>
      <c r="F13" s="7"/>
      <c r="G13" s="7"/>
      <c r="H13" s="7"/>
      <c r="I13" s="7"/>
      <c r="J13" s="7"/>
      <c r="K13" s="7"/>
      <c r="L13" s="8"/>
    </row>
    <row r="14" spans="2:12" x14ac:dyDescent="0.25">
      <c r="B14" s="5"/>
      <c r="C14" s="28" t="s">
        <v>195</v>
      </c>
      <c r="D14" s="108" t="s">
        <v>92</v>
      </c>
      <c r="E14" s="7" t="s">
        <v>81</v>
      </c>
      <c r="F14" s="7"/>
      <c r="G14" s="7"/>
      <c r="H14" s="7"/>
      <c r="I14" s="7"/>
      <c r="J14" s="7"/>
      <c r="K14" s="7"/>
      <c r="L14" s="8"/>
    </row>
    <row r="15" spans="2:12" x14ac:dyDescent="0.25">
      <c r="B15" s="5"/>
      <c r="C15" s="59" t="s">
        <v>89</v>
      </c>
      <c r="D15" s="110" t="s">
        <v>92</v>
      </c>
      <c r="E15" s="7"/>
      <c r="F15" s="7"/>
      <c r="G15" s="7"/>
      <c r="H15" s="7" t="s">
        <v>4</v>
      </c>
      <c r="I15" s="7" t="s">
        <v>4</v>
      </c>
      <c r="J15" s="7" t="s">
        <v>4</v>
      </c>
      <c r="K15" s="7"/>
      <c r="L15" s="8" t="s">
        <v>4</v>
      </c>
    </row>
    <row r="16" spans="2:12" x14ac:dyDescent="0.25">
      <c r="B16" s="11"/>
      <c r="C16" s="12"/>
      <c r="D16" s="12"/>
      <c r="E16" s="12"/>
      <c r="F16" s="12"/>
      <c r="G16" s="12"/>
      <c r="H16" s="12"/>
      <c r="I16" s="12"/>
      <c r="J16" s="12"/>
      <c r="K16" s="12"/>
      <c r="L16" s="13"/>
    </row>
    <row r="19" spans="2:12" x14ac:dyDescent="0.25">
      <c r="B19" s="56" t="s">
        <v>69</v>
      </c>
    </row>
    <row r="20" spans="2:12" x14ac:dyDescent="0.25">
      <c r="B20" s="2"/>
      <c r="C20" s="45"/>
      <c r="D20" s="46"/>
      <c r="E20" s="3"/>
      <c r="F20" s="3"/>
      <c r="G20" s="3"/>
      <c r="H20" s="66"/>
      <c r="I20" s="3"/>
      <c r="J20" s="3"/>
      <c r="K20" s="3"/>
      <c r="L20" s="4"/>
    </row>
    <row r="21" spans="2:12" x14ac:dyDescent="0.25">
      <c r="B21" s="5"/>
      <c r="C21" s="48" t="s">
        <v>69</v>
      </c>
      <c r="D21" s="47"/>
      <c r="E21" s="7"/>
      <c r="F21" s="50" t="s">
        <v>82</v>
      </c>
      <c r="G21" s="7"/>
      <c r="H21" s="7"/>
      <c r="I21" s="7"/>
      <c r="J21" s="7"/>
      <c r="K21" s="7"/>
      <c r="L21" s="8"/>
    </row>
    <row r="22" spans="2:12" x14ac:dyDescent="0.25">
      <c r="B22" s="5"/>
      <c r="C22" s="27" t="s">
        <v>10</v>
      </c>
      <c r="D22" s="107">
        <v>42419</v>
      </c>
      <c r="E22" s="7"/>
      <c r="F22" s="14" t="s">
        <v>83</v>
      </c>
      <c r="G22" s="16"/>
      <c r="H22" s="7"/>
      <c r="I22" s="7"/>
      <c r="J22" s="7"/>
      <c r="K22" s="7"/>
      <c r="L22" s="8"/>
    </row>
    <row r="23" spans="2:12" x14ac:dyDescent="0.25">
      <c r="B23" s="5"/>
      <c r="C23" s="28" t="s">
        <v>16</v>
      </c>
      <c r="D23" s="108" t="s">
        <v>203</v>
      </c>
      <c r="E23" s="7"/>
      <c r="F23" s="17" t="s">
        <v>84</v>
      </c>
      <c r="G23" s="18"/>
      <c r="H23" s="7"/>
      <c r="I23" s="7"/>
      <c r="J23" s="7"/>
      <c r="K23" s="7"/>
      <c r="L23" s="8"/>
    </row>
    <row r="24" spans="2:12" x14ac:dyDescent="0.25">
      <c r="B24" s="5"/>
      <c r="C24" s="28" t="s">
        <v>93</v>
      </c>
      <c r="D24" s="111" t="s">
        <v>85</v>
      </c>
      <c r="E24" s="7"/>
      <c r="F24" s="17" t="s">
        <v>85</v>
      </c>
      <c r="G24" s="18"/>
      <c r="H24" s="7"/>
      <c r="I24" s="7"/>
      <c r="J24" s="7"/>
      <c r="K24" s="7"/>
      <c r="L24" s="8"/>
    </row>
    <row r="25" spans="2:12" x14ac:dyDescent="0.25">
      <c r="B25" s="5"/>
      <c r="C25" s="29" t="s">
        <v>94</v>
      </c>
      <c r="D25" s="111" t="s">
        <v>85</v>
      </c>
      <c r="E25" s="7"/>
      <c r="F25" s="17" t="s">
        <v>86</v>
      </c>
      <c r="G25" s="18"/>
      <c r="H25" s="7"/>
      <c r="I25" s="7"/>
      <c r="J25" s="7"/>
      <c r="K25" s="7"/>
      <c r="L25" s="8"/>
    </row>
    <row r="26" spans="2:12" x14ac:dyDescent="0.25">
      <c r="B26" s="5"/>
      <c r="C26" s="29" t="s">
        <v>24</v>
      </c>
      <c r="D26" s="111" t="s">
        <v>85</v>
      </c>
      <c r="E26" s="7"/>
      <c r="F26" s="17" t="s">
        <v>87</v>
      </c>
      <c r="G26" s="18"/>
      <c r="H26" s="7"/>
      <c r="I26" s="7"/>
      <c r="J26" s="7"/>
      <c r="K26" s="7"/>
      <c r="L26" s="8"/>
    </row>
    <row r="27" spans="2:12" x14ac:dyDescent="0.25">
      <c r="B27" s="5"/>
      <c r="C27" s="29" t="s">
        <v>96</v>
      </c>
      <c r="D27" s="108" t="b">
        <v>0</v>
      </c>
      <c r="E27" s="7"/>
      <c r="F27" s="17"/>
      <c r="G27" s="18"/>
      <c r="H27" s="7"/>
      <c r="I27" s="7"/>
      <c r="J27" s="7"/>
      <c r="K27" s="7"/>
      <c r="L27" s="8"/>
    </row>
    <row r="28" spans="2:12" x14ac:dyDescent="0.25">
      <c r="B28" s="5"/>
      <c r="C28" s="29" t="s">
        <v>95</v>
      </c>
      <c r="D28" s="108" t="b">
        <v>1</v>
      </c>
      <c r="E28" s="7"/>
      <c r="F28" s="17"/>
      <c r="G28" s="18"/>
      <c r="H28" s="7"/>
      <c r="I28" s="7"/>
      <c r="J28" s="7"/>
      <c r="K28" s="7"/>
      <c r="L28" s="8"/>
    </row>
    <row r="29" spans="2:12" x14ac:dyDescent="0.25">
      <c r="B29" s="5"/>
      <c r="C29" s="29" t="s">
        <v>27</v>
      </c>
      <c r="D29" s="108" t="s">
        <v>28</v>
      </c>
      <c r="E29" s="7"/>
      <c r="F29" s="17"/>
      <c r="G29" s="18"/>
      <c r="H29" s="7"/>
      <c r="I29" s="7"/>
      <c r="J29" s="7"/>
      <c r="K29" s="7"/>
      <c r="L29" s="8"/>
    </row>
    <row r="30" spans="2:12" x14ac:dyDescent="0.25">
      <c r="B30" s="5"/>
      <c r="C30" s="29" t="s">
        <v>97</v>
      </c>
      <c r="D30" s="108" t="s">
        <v>9</v>
      </c>
      <c r="E30" s="7"/>
      <c r="F30" s="17"/>
      <c r="G30" s="18"/>
      <c r="H30" s="7"/>
      <c r="I30" s="7"/>
      <c r="J30" s="7"/>
      <c r="K30" s="7"/>
      <c r="L30" s="8"/>
    </row>
    <row r="31" spans="2:12" x14ac:dyDescent="0.25">
      <c r="B31" s="5"/>
      <c r="C31" s="44"/>
      <c r="D31" s="110"/>
      <c r="E31" s="7"/>
      <c r="F31" s="21"/>
      <c r="G31" s="22"/>
      <c r="H31" s="7"/>
      <c r="I31" s="7"/>
      <c r="J31" s="7"/>
      <c r="K31" s="7"/>
      <c r="L31" s="8"/>
    </row>
    <row r="32" spans="2:12" x14ac:dyDescent="0.25">
      <c r="B32" s="11"/>
      <c r="C32" s="12"/>
      <c r="D32" s="12"/>
      <c r="E32" s="12"/>
      <c r="F32" s="12"/>
      <c r="G32" s="12"/>
      <c r="H32" s="12"/>
      <c r="I32" s="12"/>
      <c r="J32" s="12"/>
      <c r="K32" s="12"/>
      <c r="L32" s="13"/>
    </row>
    <row r="35" spans="2:12" x14ac:dyDescent="0.25">
      <c r="B35" s="56" t="s">
        <v>98</v>
      </c>
    </row>
    <row r="36" spans="2:12" x14ac:dyDescent="0.25">
      <c r="B36" s="2"/>
      <c r="C36" s="3"/>
      <c r="D36" s="3"/>
      <c r="E36" s="3"/>
      <c r="F36" s="3"/>
      <c r="G36" s="3"/>
      <c r="H36" s="3"/>
      <c r="I36" s="3"/>
      <c r="J36" s="3"/>
      <c r="K36" s="3"/>
      <c r="L36" s="4"/>
    </row>
    <row r="37" spans="2:12" x14ac:dyDescent="0.25">
      <c r="B37" s="5"/>
      <c r="C37" s="49" t="s">
        <v>99</v>
      </c>
      <c r="D37" s="10"/>
      <c r="E37" s="10"/>
      <c r="F37" s="49" t="s">
        <v>106</v>
      </c>
      <c r="G37" s="10"/>
      <c r="H37" s="10"/>
      <c r="I37" s="49" t="s">
        <v>144</v>
      </c>
      <c r="J37" s="10"/>
      <c r="K37" s="10"/>
      <c r="L37" s="55"/>
    </row>
    <row r="38" spans="2:12" x14ac:dyDescent="0.25">
      <c r="B38" s="5"/>
      <c r="C38" s="27" t="s">
        <v>3</v>
      </c>
      <c r="D38" s="34" t="s">
        <v>204</v>
      </c>
      <c r="E38" s="7"/>
      <c r="F38" s="27" t="s">
        <v>3</v>
      </c>
      <c r="G38" s="34" t="s">
        <v>216</v>
      </c>
      <c r="H38" s="10"/>
      <c r="I38" s="78" t="s">
        <v>11</v>
      </c>
      <c r="J38" s="78" t="s">
        <v>12</v>
      </c>
      <c r="K38" s="78"/>
      <c r="L38" s="55"/>
    </row>
    <row r="39" spans="2:12" x14ac:dyDescent="0.25">
      <c r="B39" s="5"/>
      <c r="C39" s="28" t="s">
        <v>7</v>
      </c>
      <c r="D39" s="35" t="s">
        <v>161</v>
      </c>
      <c r="E39" s="9"/>
      <c r="F39" s="30" t="s">
        <v>7</v>
      </c>
      <c r="G39" s="69" t="s">
        <v>161</v>
      </c>
      <c r="H39" s="10"/>
      <c r="I39" s="71" t="s">
        <v>150</v>
      </c>
      <c r="J39" s="75">
        <v>4.3990000000000001E-3</v>
      </c>
      <c r="K39" s="78"/>
      <c r="L39" s="55"/>
    </row>
    <row r="40" spans="2:12" x14ac:dyDescent="0.25">
      <c r="B40" s="5"/>
      <c r="C40" s="28" t="s">
        <v>23</v>
      </c>
      <c r="D40" s="68" t="s">
        <v>102</v>
      </c>
      <c r="E40" s="9"/>
      <c r="F40" s="29" t="s">
        <v>25</v>
      </c>
      <c r="G40" s="35" t="s">
        <v>218</v>
      </c>
      <c r="H40" s="10"/>
      <c r="I40" s="72" t="s">
        <v>148</v>
      </c>
      <c r="J40" s="76">
        <v>6.3899999999999998E-3</v>
      </c>
      <c r="K40" s="78"/>
      <c r="L40" s="55"/>
    </row>
    <row r="41" spans="2:12" x14ac:dyDescent="0.25">
      <c r="B41" s="5"/>
      <c r="C41" s="28"/>
      <c r="D41" s="35"/>
      <c r="E41" s="9"/>
      <c r="F41" s="29" t="s">
        <v>15</v>
      </c>
      <c r="G41" s="69" t="s">
        <v>197</v>
      </c>
      <c r="H41" s="10"/>
      <c r="I41" s="72" t="s">
        <v>107</v>
      </c>
      <c r="J41" s="76">
        <v>9.1699999999999993E-3</v>
      </c>
      <c r="K41" s="78"/>
      <c r="L41" s="55"/>
    </row>
    <row r="42" spans="2:12" x14ac:dyDescent="0.25">
      <c r="B42" s="5"/>
      <c r="C42" s="28"/>
      <c r="D42" s="35"/>
      <c r="E42" s="9"/>
      <c r="F42" s="29" t="s">
        <v>23</v>
      </c>
      <c r="G42" s="68" t="s">
        <v>22</v>
      </c>
      <c r="H42" s="10"/>
      <c r="I42" s="72" t="s">
        <v>57</v>
      </c>
      <c r="J42" s="76">
        <v>1.2447E-2</v>
      </c>
      <c r="K42" s="78"/>
      <c r="L42" s="55"/>
    </row>
    <row r="43" spans="2:12" x14ac:dyDescent="0.25">
      <c r="B43" s="5"/>
      <c r="C43" s="33"/>
      <c r="D43" s="40"/>
      <c r="E43" s="9"/>
      <c r="F43" s="44"/>
      <c r="G43" s="70"/>
      <c r="H43" s="10"/>
      <c r="I43" s="73"/>
      <c r="J43" s="77"/>
      <c r="K43" s="78"/>
      <c r="L43" s="55"/>
    </row>
    <row r="44" spans="2:12" x14ac:dyDescent="0.25">
      <c r="B44" s="5"/>
      <c r="C44" s="9"/>
      <c r="D44" s="9"/>
      <c r="E44" s="9"/>
      <c r="F44" s="10"/>
      <c r="G44" s="10"/>
      <c r="H44" s="10"/>
      <c r="I44" s="10" t="s">
        <v>151</v>
      </c>
      <c r="J44" s="10"/>
      <c r="K44" s="10"/>
      <c r="L44" s="55"/>
    </row>
    <row r="45" spans="2:12" x14ac:dyDescent="0.25">
      <c r="B45" s="11"/>
      <c r="C45" s="12"/>
      <c r="D45" s="12"/>
      <c r="E45" s="12"/>
      <c r="F45" s="12"/>
      <c r="G45" s="12"/>
      <c r="H45" s="12"/>
      <c r="I45" s="12"/>
      <c r="J45" s="12"/>
      <c r="K45" s="12"/>
      <c r="L45" s="13"/>
    </row>
    <row r="48" spans="2:12" x14ac:dyDescent="0.25">
      <c r="B48" s="56" t="s">
        <v>108</v>
      </c>
    </row>
    <row r="49" spans="2:12" x14ac:dyDescent="0.25">
      <c r="B49" s="2"/>
      <c r="C49" s="3"/>
      <c r="D49" s="3"/>
      <c r="E49" s="3"/>
      <c r="F49" s="3"/>
      <c r="G49" s="3"/>
      <c r="H49" s="3"/>
      <c r="I49" s="3"/>
      <c r="J49" s="3"/>
      <c r="K49" s="3"/>
      <c r="L49" s="4"/>
    </row>
    <row r="50" spans="2:12" x14ac:dyDescent="0.25">
      <c r="B50" s="5"/>
      <c r="C50" s="49" t="s">
        <v>109</v>
      </c>
      <c r="D50" s="10"/>
      <c r="E50" s="10"/>
      <c r="F50" s="49" t="s">
        <v>145</v>
      </c>
      <c r="G50" s="10"/>
      <c r="H50" s="10"/>
      <c r="I50" s="49" t="s">
        <v>146</v>
      </c>
      <c r="J50" s="10"/>
      <c r="K50" s="10"/>
      <c r="L50" s="55"/>
    </row>
    <row r="51" spans="2:12" x14ac:dyDescent="0.25">
      <c r="B51" s="5"/>
      <c r="C51" s="27"/>
      <c r="D51" s="34"/>
      <c r="E51" s="7"/>
      <c r="F51" s="78" t="s">
        <v>11</v>
      </c>
      <c r="G51" s="78" t="s">
        <v>12</v>
      </c>
      <c r="H51" s="10"/>
      <c r="I51" s="78" t="s">
        <v>11</v>
      </c>
      <c r="J51" s="78" t="s">
        <v>12</v>
      </c>
      <c r="K51" s="78"/>
      <c r="L51" s="55"/>
    </row>
    <row r="52" spans="2:12" x14ac:dyDescent="0.25">
      <c r="B52" s="5"/>
      <c r="C52" s="28"/>
      <c r="D52" s="35"/>
      <c r="E52" s="9"/>
      <c r="F52" s="71"/>
      <c r="G52" s="75"/>
      <c r="H52" s="10"/>
      <c r="I52" s="71"/>
      <c r="J52" s="75"/>
      <c r="K52" s="78"/>
      <c r="L52" s="55"/>
    </row>
    <row r="53" spans="2:12" x14ac:dyDescent="0.25">
      <c r="B53" s="5"/>
      <c r="C53" s="28"/>
      <c r="D53" s="35"/>
      <c r="E53" s="9"/>
      <c r="F53" s="72"/>
      <c r="G53" s="76"/>
      <c r="H53" s="10"/>
      <c r="I53" s="72"/>
      <c r="J53" s="76"/>
      <c r="K53" s="78"/>
      <c r="L53" s="55"/>
    </row>
    <row r="54" spans="2:12" x14ac:dyDescent="0.25">
      <c r="B54" s="5"/>
      <c r="C54" s="28"/>
      <c r="D54" s="35"/>
      <c r="E54" s="9"/>
      <c r="F54" s="72"/>
      <c r="G54" s="76"/>
      <c r="H54" s="10"/>
      <c r="I54" s="72"/>
      <c r="J54" s="76"/>
      <c r="K54" s="78"/>
      <c r="L54" s="55"/>
    </row>
    <row r="55" spans="2:12" x14ac:dyDescent="0.25">
      <c r="B55" s="5"/>
      <c r="C55" s="28"/>
      <c r="D55" s="35"/>
      <c r="E55" s="9"/>
      <c r="F55" s="72"/>
      <c r="G55" s="76"/>
      <c r="H55" s="10"/>
      <c r="I55" s="72"/>
      <c r="J55" s="76"/>
      <c r="K55" s="78"/>
      <c r="L55" s="55"/>
    </row>
    <row r="56" spans="2:12" x14ac:dyDescent="0.25">
      <c r="B56" s="5"/>
      <c r="C56" s="28"/>
      <c r="D56" s="35"/>
      <c r="E56" s="9"/>
      <c r="F56" s="72"/>
      <c r="G56" s="76"/>
      <c r="H56" s="10"/>
      <c r="I56" s="72"/>
      <c r="J56" s="76"/>
      <c r="K56" s="78"/>
      <c r="L56" s="55"/>
    </row>
    <row r="57" spans="2:12" x14ac:dyDescent="0.25">
      <c r="B57" s="5"/>
      <c r="C57" s="28"/>
      <c r="D57" s="35"/>
      <c r="E57" s="9"/>
      <c r="F57" s="72"/>
      <c r="G57" s="76"/>
      <c r="H57" s="10"/>
      <c r="I57" s="72"/>
      <c r="J57" s="76"/>
      <c r="K57" s="78"/>
      <c r="L57" s="55"/>
    </row>
    <row r="58" spans="2:12" x14ac:dyDescent="0.25">
      <c r="B58" s="5"/>
      <c r="C58" s="28"/>
      <c r="D58" s="35"/>
      <c r="E58" s="9"/>
      <c r="F58" s="72"/>
      <c r="G58" s="76"/>
      <c r="H58" s="10"/>
      <c r="I58" s="72"/>
      <c r="J58" s="76"/>
      <c r="K58" s="78"/>
      <c r="L58" s="55"/>
    </row>
    <row r="59" spans="2:12" x14ac:dyDescent="0.25">
      <c r="B59" s="5"/>
      <c r="C59" s="28"/>
      <c r="D59" s="35"/>
      <c r="E59" s="9"/>
      <c r="F59" s="72"/>
      <c r="G59" s="76"/>
      <c r="H59" s="10"/>
      <c r="I59" s="72"/>
      <c r="J59" s="76"/>
      <c r="K59" s="78"/>
      <c r="L59" s="55"/>
    </row>
    <row r="60" spans="2:12" x14ac:dyDescent="0.25">
      <c r="B60" s="5"/>
      <c r="C60" s="28"/>
      <c r="D60" s="35"/>
      <c r="E60" s="9"/>
      <c r="F60" s="72"/>
      <c r="G60" s="76"/>
      <c r="H60" s="10"/>
      <c r="I60" s="72"/>
      <c r="J60" s="76"/>
      <c r="K60" s="78"/>
      <c r="L60" s="55"/>
    </row>
    <row r="61" spans="2:12" x14ac:dyDescent="0.25">
      <c r="B61" s="5"/>
      <c r="C61" s="28"/>
      <c r="D61" s="35"/>
      <c r="E61" s="9"/>
      <c r="F61" s="72"/>
      <c r="G61" s="76"/>
      <c r="H61" s="10"/>
      <c r="I61" s="72"/>
      <c r="J61" s="76"/>
      <c r="K61" s="78"/>
      <c r="L61" s="55"/>
    </row>
    <row r="62" spans="2:12" x14ac:dyDescent="0.25">
      <c r="B62" s="5"/>
      <c r="C62" s="28"/>
      <c r="D62" s="35"/>
      <c r="E62" s="9"/>
      <c r="F62" s="72"/>
      <c r="G62" s="76"/>
      <c r="H62" s="10"/>
      <c r="I62" s="72"/>
      <c r="J62" s="76"/>
      <c r="K62" s="78"/>
      <c r="L62" s="55"/>
    </row>
    <row r="63" spans="2:12" x14ac:dyDescent="0.25">
      <c r="B63" s="5"/>
      <c r="C63" s="28"/>
      <c r="D63" s="35"/>
      <c r="E63" s="9"/>
      <c r="F63" s="72"/>
      <c r="G63" s="76"/>
      <c r="H63" s="10"/>
      <c r="I63" s="72"/>
      <c r="J63" s="76"/>
      <c r="K63" s="78"/>
      <c r="L63" s="55"/>
    </row>
    <row r="64" spans="2:12" x14ac:dyDescent="0.25">
      <c r="B64" s="5"/>
      <c r="C64" s="33"/>
      <c r="D64" s="40"/>
      <c r="E64" s="9"/>
      <c r="F64" s="73"/>
      <c r="G64" s="77"/>
      <c r="H64" s="10"/>
      <c r="I64" s="73"/>
      <c r="J64" s="77"/>
      <c r="K64" s="78"/>
      <c r="L64" s="55"/>
    </row>
    <row r="65" spans="2:12" x14ac:dyDescent="0.25">
      <c r="B65" s="5"/>
      <c r="C65" s="9"/>
      <c r="D65" s="9"/>
      <c r="E65" s="9"/>
      <c r="F65" s="10"/>
      <c r="G65" s="10"/>
      <c r="H65" s="10"/>
      <c r="I65" s="10"/>
      <c r="J65" s="10"/>
      <c r="K65" s="78"/>
      <c r="L65" s="55"/>
    </row>
    <row r="66" spans="2:12" x14ac:dyDescent="0.25">
      <c r="B66" s="11"/>
      <c r="C66" s="12"/>
      <c r="D66" s="12"/>
      <c r="E66" s="12"/>
      <c r="F66" s="12"/>
      <c r="G66" s="12"/>
      <c r="H66" s="12"/>
      <c r="I66" s="12"/>
      <c r="J66" s="12"/>
      <c r="K66" s="12"/>
      <c r="L66" s="13"/>
    </row>
    <row r="69" spans="2:12" x14ac:dyDescent="0.25">
      <c r="B69" s="56" t="s">
        <v>124</v>
      </c>
    </row>
    <row r="70" spans="2:12" x14ac:dyDescent="0.25">
      <c r="B70" s="2"/>
      <c r="C70" s="3"/>
      <c r="D70" s="3"/>
      <c r="E70" s="3"/>
      <c r="F70" s="3"/>
      <c r="G70" s="3"/>
      <c r="H70" s="3"/>
      <c r="I70" s="3"/>
      <c r="J70" s="3"/>
      <c r="K70" s="3"/>
      <c r="L70" s="4"/>
    </row>
    <row r="71" spans="2:12" x14ac:dyDescent="0.25">
      <c r="B71" s="5"/>
      <c r="C71" s="49" t="s">
        <v>125</v>
      </c>
      <c r="D71" s="10"/>
      <c r="E71" s="10"/>
      <c r="F71" s="49" t="s">
        <v>127</v>
      </c>
      <c r="G71" s="10"/>
      <c r="H71" s="10"/>
      <c r="I71" s="10"/>
      <c r="J71" s="10"/>
      <c r="K71" s="10"/>
      <c r="L71" s="55"/>
    </row>
    <row r="72" spans="2:12" x14ac:dyDescent="0.25">
      <c r="B72" s="5"/>
      <c r="C72" s="27" t="s">
        <v>3</v>
      </c>
      <c r="D72" s="34" t="s">
        <v>204</v>
      </c>
      <c r="E72" s="7"/>
      <c r="F72" s="97" t="s">
        <v>147</v>
      </c>
      <c r="G72" s="97" t="s">
        <v>13</v>
      </c>
      <c r="H72" s="97" t="s">
        <v>14</v>
      </c>
      <c r="I72" s="97" t="s">
        <v>12</v>
      </c>
      <c r="J72" s="97" t="s">
        <v>126</v>
      </c>
      <c r="K72" s="10"/>
      <c r="L72" s="55"/>
    </row>
    <row r="73" spans="2:12" x14ac:dyDescent="0.25">
      <c r="B73" s="5"/>
      <c r="C73" s="28" t="s">
        <v>7</v>
      </c>
      <c r="D73" s="35" t="s">
        <v>161</v>
      </c>
      <c r="E73" s="9"/>
      <c r="F73" s="79" t="s">
        <v>219</v>
      </c>
      <c r="G73" s="80">
        <v>42445</v>
      </c>
      <c r="H73" s="80">
        <v>42536</v>
      </c>
      <c r="I73" s="81">
        <v>99.28</v>
      </c>
      <c r="J73" s="82">
        <v>8.9999999999999993E-3</v>
      </c>
      <c r="K73" s="10"/>
      <c r="L73" s="55"/>
    </row>
    <row r="74" spans="2:12" x14ac:dyDescent="0.25">
      <c r="B74" s="5"/>
      <c r="C74" s="28" t="s">
        <v>15</v>
      </c>
      <c r="D74" s="35" t="s">
        <v>197</v>
      </c>
      <c r="E74" s="9"/>
      <c r="F74" s="83" t="s">
        <v>220</v>
      </c>
      <c r="G74" s="80">
        <v>42536</v>
      </c>
      <c r="H74" s="80">
        <v>42634</v>
      </c>
      <c r="I74" s="81">
        <v>99.12</v>
      </c>
      <c r="J74" s="82">
        <v>8.9999999999999993E-3</v>
      </c>
      <c r="K74" s="10"/>
      <c r="L74" s="55"/>
    </row>
    <row r="75" spans="2:12" x14ac:dyDescent="0.25">
      <c r="B75" s="5"/>
      <c r="C75" s="28" t="s">
        <v>23</v>
      </c>
      <c r="D75" s="105" t="s">
        <v>22</v>
      </c>
      <c r="E75" s="9"/>
      <c r="F75" s="84" t="s">
        <v>221</v>
      </c>
      <c r="G75" s="85">
        <v>42634</v>
      </c>
      <c r="H75" s="85">
        <v>42725</v>
      </c>
      <c r="I75" s="86">
        <v>98.960000000000008</v>
      </c>
      <c r="J75" s="87">
        <v>8.9999999999999993E-3</v>
      </c>
      <c r="K75" s="10"/>
      <c r="L75" s="55"/>
    </row>
    <row r="76" spans="2:12" x14ac:dyDescent="0.25">
      <c r="B76" s="5"/>
      <c r="C76" s="28" t="s">
        <v>222</v>
      </c>
      <c r="D76" s="74">
        <v>0.03</v>
      </c>
      <c r="E76" s="9"/>
      <c r="F76" s="84" t="s">
        <v>223</v>
      </c>
      <c r="G76" s="85">
        <v>42725</v>
      </c>
      <c r="H76" s="85">
        <v>42809</v>
      </c>
      <c r="I76" s="86">
        <v>98.795000000000002</v>
      </c>
      <c r="J76" s="87">
        <v>8.9999999999999993E-3</v>
      </c>
      <c r="K76" s="10"/>
      <c r="L76" s="55"/>
    </row>
    <row r="77" spans="2:12" x14ac:dyDescent="0.25">
      <c r="B77" s="5"/>
      <c r="C77" s="28" t="s">
        <v>111</v>
      </c>
      <c r="D77" s="35" t="b">
        <v>1</v>
      </c>
      <c r="E77" s="9"/>
      <c r="F77" s="84" t="s">
        <v>224</v>
      </c>
      <c r="G77" s="85">
        <v>42809</v>
      </c>
      <c r="H77" s="85">
        <v>42907</v>
      </c>
      <c r="I77" s="86">
        <v>98.655000000000001</v>
      </c>
      <c r="J77" s="87">
        <v>8.9999999999999993E-3</v>
      </c>
      <c r="K77" s="10"/>
      <c r="L77" s="55"/>
    </row>
    <row r="78" spans="2:12" x14ac:dyDescent="0.25">
      <c r="B78" s="5"/>
      <c r="C78" s="28" t="s">
        <v>112</v>
      </c>
      <c r="D78" s="35">
        <v>2</v>
      </c>
      <c r="E78" s="9"/>
      <c r="F78" s="84" t="s">
        <v>225</v>
      </c>
      <c r="G78" s="85">
        <v>42907</v>
      </c>
      <c r="H78" s="85">
        <v>42998</v>
      </c>
      <c r="I78" s="86">
        <v>98.515000000000001</v>
      </c>
      <c r="J78" s="87">
        <v>8.9999999999999993E-3</v>
      </c>
      <c r="K78" s="10"/>
      <c r="L78" s="55"/>
    </row>
    <row r="79" spans="2:12" x14ac:dyDescent="0.25">
      <c r="B79" s="5"/>
      <c r="C79" s="28"/>
      <c r="D79" s="35"/>
      <c r="E79" s="9"/>
      <c r="F79" s="84" t="s">
        <v>226</v>
      </c>
      <c r="G79" s="85">
        <v>42998</v>
      </c>
      <c r="H79" s="85">
        <v>43089</v>
      </c>
      <c r="I79" s="86">
        <v>98.394999999999996</v>
      </c>
      <c r="J79" s="87">
        <v>8.9999999999999993E-3</v>
      </c>
      <c r="K79" s="10"/>
      <c r="L79" s="55"/>
    </row>
    <row r="80" spans="2:12" x14ac:dyDescent="0.25">
      <c r="B80" s="5"/>
      <c r="C80" s="28"/>
      <c r="D80" s="35"/>
      <c r="E80" s="9"/>
      <c r="F80" s="84" t="s">
        <v>227</v>
      </c>
      <c r="G80" s="85">
        <v>43089</v>
      </c>
      <c r="H80" s="85">
        <v>43180</v>
      </c>
      <c r="I80" s="86">
        <v>98.275000000000006</v>
      </c>
      <c r="J80" s="87">
        <v>8.9999999999999993E-3</v>
      </c>
      <c r="K80" s="10"/>
      <c r="L80" s="55"/>
    </row>
    <row r="81" spans="2:12" x14ac:dyDescent="0.25">
      <c r="B81" s="5"/>
      <c r="C81" s="28"/>
      <c r="D81" s="35"/>
      <c r="E81" s="9"/>
      <c r="F81" s="84" t="s">
        <v>228</v>
      </c>
      <c r="G81" s="85">
        <v>43180</v>
      </c>
      <c r="H81" s="85">
        <v>43271</v>
      </c>
      <c r="I81" s="86">
        <v>98.19</v>
      </c>
      <c r="J81" s="87">
        <v>8.9999999999999993E-3</v>
      </c>
      <c r="K81" s="10"/>
      <c r="L81" s="55"/>
    </row>
    <row r="82" spans="2:12" x14ac:dyDescent="0.25">
      <c r="B82" s="5"/>
      <c r="C82" s="28"/>
      <c r="D82" s="35"/>
      <c r="E82" s="9"/>
      <c r="F82" s="88" t="s">
        <v>229</v>
      </c>
      <c r="G82" s="85">
        <v>43271</v>
      </c>
      <c r="H82" s="85">
        <v>43362</v>
      </c>
      <c r="I82" s="89">
        <v>98.105000000000004</v>
      </c>
      <c r="J82" s="87">
        <v>8.9999999999999993E-3</v>
      </c>
      <c r="K82" s="10"/>
      <c r="L82" s="55"/>
    </row>
    <row r="83" spans="2:12" x14ac:dyDescent="0.25">
      <c r="B83" s="5"/>
      <c r="C83" s="28"/>
      <c r="D83" s="35"/>
      <c r="E83" s="9"/>
      <c r="F83" s="90" t="s">
        <v>230</v>
      </c>
      <c r="G83" s="91">
        <v>43362</v>
      </c>
      <c r="H83" s="91">
        <v>43453</v>
      </c>
      <c r="I83" s="89">
        <v>98.03</v>
      </c>
      <c r="J83" s="92">
        <v>8.9999999999999993E-3</v>
      </c>
      <c r="K83" s="10"/>
      <c r="L83" s="55"/>
    </row>
    <row r="84" spans="2:12" x14ac:dyDescent="0.25">
      <c r="B84" s="5"/>
      <c r="C84" s="28"/>
      <c r="D84" s="35"/>
      <c r="E84" s="9"/>
      <c r="F84" s="90" t="s">
        <v>231</v>
      </c>
      <c r="G84" s="91">
        <v>43453</v>
      </c>
      <c r="H84" s="91">
        <v>43544</v>
      </c>
      <c r="I84" s="89">
        <v>97.95</v>
      </c>
      <c r="J84" s="92">
        <v>8.9999999999999993E-3</v>
      </c>
      <c r="K84" s="10"/>
      <c r="L84" s="55"/>
    </row>
    <row r="85" spans="2:12" x14ac:dyDescent="0.25">
      <c r="B85" s="5"/>
      <c r="C85" s="33"/>
      <c r="D85" s="40"/>
      <c r="E85" s="9"/>
      <c r="F85" s="93"/>
      <c r="G85" s="94"/>
      <c r="H85" s="94"/>
      <c r="I85" s="95"/>
      <c r="J85" s="96"/>
      <c r="K85" s="10"/>
      <c r="L85" s="55"/>
    </row>
    <row r="86" spans="2:12" x14ac:dyDescent="0.25">
      <c r="B86" s="5"/>
      <c r="C86" s="9"/>
      <c r="D86" s="9"/>
      <c r="E86" s="9"/>
      <c r="F86" s="10"/>
      <c r="G86" s="10"/>
      <c r="H86" s="10"/>
      <c r="I86" s="10"/>
      <c r="J86" s="10"/>
      <c r="K86" s="10"/>
      <c r="L86" s="55"/>
    </row>
    <row r="87" spans="2:12" x14ac:dyDescent="0.25"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3"/>
    </row>
    <row r="89" spans="2:12" x14ac:dyDescent="0.25">
      <c r="J89">
        <v>1E-4</v>
      </c>
    </row>
    <row r="90" spans="2:12" x14ac:dyDescent="0.25">
      <c r="B90" s="56" t="s">
        <v>128</v>
      </c>
    </row>
    <row r="91" spans="2:12" x14ac:dyDescent="0.25">
      <c r="B91" s="2"/>
      <c r="C91" s="3"/>
      <c r="D91" s="3"/>
      <c r="E91" s="3"/>
      <c r="F91" s="3"/>
      <c r="G91" s="3"/>
      <c r="H91" s="3"/>
      <c r="I91" s="3"/>
      <c r="J91" s="3"/>
      <c r="K91" s="3"/>
      <c r="L91" s="4"/>
    </row>
    <row r="92" spans="2:12" x14ac:dyDescent="0.25">
      <c r="B92" s="5"/>
      <c r="C92" s="49" t="s">
        <v>129</v>
      </c>
      <c r="D92" s="10"/>
      <c r="E92" s="10"/>
      <c r="F92" s="49" t="s">
        <v>130</v>
      </c>
      <c r="G92" s="10"/>
      <c r="H92" s="10"/>
      <c r="I92" s="10"/>
      <c r="J92" s="10"/>
      <c r="K92" s="10"/>
      <c r="L92" s="55"/>
    </row>
    <row r="93" spans="2:12" x14ac:dyDescent="0.25">
      <c r="B93" s="5"/>
      <c r="C93" s="102" t="s">
        <v>1</v>
      </c>
      <c r="D93" s="34" t="s">
        <v>216</v>
      </c>
      <c r="E93" s="7"/>
      <c r="F93" s="78" t="s">
        <v>11</v>
      </c>
      <c r="G93" s="78" t="s">
        <v>12</v>
      </c>
      <c r="H93" s="78" t="s">
        <v>8</v>
      </c>
      <c r="I93" s="10"/>
      <c r="J93" s="10"/>
      <c r="K93" s="10"/>
      <c r="L93" s="55"/>
    </row>
    <row r="94" spans="2:12" x14ac:dyDescent="0.25">
      <c r="B94" s="5"/>
      <c r="C94" s="103" t="s">
        <v>100</v>
      </c>
      <c r="D94" s="35" t="s">
        <v>20</v>
      </c>
      <c r="E94" s="9"/>
      <c r="F94" s="101" t="s">
        <v>52</v>
      </c>
      <c r="G94" s="98">
        <f>J94+J89</f>
        <v>1.704E-2</v>
      </c>
      <c r="H94" s="75" t="b">
        <v>1</v>
      </c>
      <c r="I94" s="10"/>
      <c r="J94" s="98">
        <v>1.694E-2</v>
      </c>
      <c r="K94" s="10"/>
      <c r="L94" s="55"/>
    </row>
    <row r="95" spans="2:12" x14ac:dyDescent="0.25">
      <c r="B95" s="5"/>
      <c r="C95" s="103" t="s">
        <v>131</v>
      </c>
      <c r="D95" s="35" t="s">
        <v>20</v>
      </c>
      <c r="E95" s="9"/>
      <c r="F95" s="24" t="s">
        <v>56</v>
      </c>
      <c r="G95" s="99">
        <v>1.925E-2</v>
      </c>
      <c r="H95" s="76" t="b">
        <v>1</v>
      </c>
      <c r="I95" s="10"/>
      <c r="J95" s="99">
        <v>1.925E-2</v>
      </c>
      <c r="K95" s="10"/>
      <c r="L95" s="55"/>
    </row>
    <row r="96" spans="2:12" x14ac:dyDescent="0.25">
      <c r="B96" s="5"/>
      <c r="C96" s="103" t="s">
        <v>132</v>
      </c>
      <c r="D96" s="35" t="s">
        <v>6</v>
      </c>
      <c r="E96" s="9"/>
      <c r="F96" s="24" t="s">
        <v>61</v>
      </c>
      <c r="G96" s="99">
        <v>2.1635000000000001E-2</v>
      </c>
      <c r="H96" s="76" t="b">
        <v>1</v>
      </c>
      <c r="I96" s="10"/>
      <c r="J96" s="99">
        <v>2.1635000000000001E-2</v>
      </c>
      <c r="K96" s="10"/>
      <c r="L96" s="55"/>
    </row>
    <row r="97" spans="2:12" x14ac:dyDescent="0.25">
      <c r="B97" s="5"/>
      <c r="C97" s="103" t="s">
        <v>27</v>
      </c>
      <c r="D97" s="35" t="s">
        <v>133</v>
      </c>
      <c r="E97" s="9"/>
      <c r="F97" s="24" t="s">
        <v>62</v>
      </c>
      <c r="G97" s="99">
        <v>2.2279E-2</v>
      </c>
      <c r="H97" s="76" t="b">
        <v>1</v>
      </c>
      <c r="I97" s="10"/>
      <c r="J97" s="99">
        <v>2.2279E-2</v>
      </c>
      <c r="K97" s="10"/>
      <c r="L97" s="55"/>
    </row>
    <row r="98" spans="2:12" x14ac:dyDescent="0.25">
      <c r="B98" s="5"/>
      <c r="C98" s="103" t="s">
        <v>134</v>
      </c>
      <c r="D98" s="35" t="s">
        <v>28</v>
      </c>
      <c r="E98" s="9"/>
      <c r="F98" s="24" t="s">
        <v>63</v>
      </c>
      <c r="G98" s="99">
        <v>2.291E-2</v>
      </c>
      <c r="H98" s="76" t="b">
        <v>1</v>
      </c>
      <c r="I98" s="10"/>
      <c r="J98" s="99">
        <v>2.291E-2</v>
      </c>
      <c r="K98" s="10"/>
      <c r="L98" s="55"/>
    </row>
    <row r="99" spans="2:12" x14ac:dyDescent="0.25">
      <c r="B99" s="5"/>
      <c r="C99" s="103" t="s">
        <v>135</v>
      </c>
      <c r="D99" s="111" t="s">
        <v>85</v>
      </c>
      <c r="E99" s="9"/>
      <c r="F99" s="24" t="s">
        <v>64</v>
      </c>
      <c r="G99" s="99">
        <v>2.4080000000000001E-2</v>
      </c>
      <c r="H99" s="76" t="b">
        <v>1</v>
      </c>
      <c r="I99" s="10"/>
      <c r="J99" s="99">
        <v>2.4080000000000001E-2</v>
      </c>
      <c r="K99" s="10"/>
      <c r="L99" s="55"/>
    </row>
    <row r="100" spans="2:12" x14ac:dyDescent="0.25">
      <c r="B100" s="5"/>
      <c r="C100" s="103" t="s">
        <v>105</v>
      </c>
      <c r="D100" s="35" t="b">
        <v>0</v>
      </c>
      <c r="E100" s="9"/>
      <c r="F100" s="24" t="s">
        <v>65</v>
      </c>
      <c r="G100" s="99">
        <v>2.528E-2</v>
      </c>
      <c r="H100" s="76" t="b">
        <v>1</v>
      </c>
      <c r="I100" s="10"/>
      <c r="J100" s="99">
        <v>2.528E-2</v>
      </c>
      <c r="K100" s="10"/>
      <c r="L100" s="55"/>
    </row>
    <row r="101" spans="2:12" x14ac:dyDescent="0.25">
      <c r="B101" s="5"/>
      <c r="C101" s="103" t="s">
        <v>136</v>
      </c>
      <c r="D101" s="35" t="b">
        <v>1</v>
      </c>
      <c r="E101" s="9"/>
      <c r="F101" s="24" t="s">
        <v>66</v>
      </c>
      <c r="G101" s="99">
        <v>2.5864999999999999E-2</v>
      </c>
      <c r="H101" s="76" t="b">
        <v>1</v>
      </c>
      <c r="I101" s="10"/>
      <c r="J101" s="99">
        <v>2.5864999999999999E-2</v>
      </c>
      <c r="K101" s="10"/>
      <c r="L101" s="55"/>
    </row>
    <row r="102" spans="2:12" x14ac:dyDescent="0.25">
      <c r="B102" s="5"/>
      <c r="C102" s="103" t="s">
        <v>232</v>
      </c>
      <c r="D102" s="35" t="b">
        <v>1</v>
      </c>
      <c r="E102" s="9"/>
      <c r="F102" s="24" t="s">
        <v>67</v>
      </c>
      <c r="G102" s="99">
        <v>2.6135000000000002E-2</v>
      </c>
      <c r="H102" s="76" t="b">
        <v>1</v>
      </c>
      <c r="I102" s="10"/>
      <c r="J102" s="99">
        <v>2.6135000000000002E-2</v>
      </c>
      <c r="K102" s="10"/>
      <c r="L102" s="55"/>
    </row>
    <row r="103" spans="2:12" x14ac:dyDescent="0.25">
      <c r="B103" s="5"/>
      <c r="C103" s="103" t="s">
        <v>104</v>
      </c>
      <c r="D103" s="35">
        <v>2</v>
      </c>
      <c r="E103" s="9"/>
      <c r="F103" s="24" t="s">
        <v>68</v>
      </c>
      <c r="G103" s="99">
        <v>2.6339999999999999E-2</v>
      </c>
      <c r="H103" s="76" t="b">
        <v>1</v>
      </c>
      <c r="I103" s="10"/>
      <c r="J103" s="99">
        <v>2.6339999999999999E-2</v>
      </c>
      <c r="K103" s="10"/>
      <c r="L103" s="55"/>
    </row>
    <row r="104" spans="2:12" x14ac:dyDescent="0.25">
      <c r="B104" s="5"/>
      <c r="C104" s="103" t="s">
        <v>21</v>
      </c>
      <c r="D104" s="68" t="s">
        <v>22</v>
      </c>
      <c r="E104" s="9"/>
      <c r="F104" s="24"/>
      <c r="G104" s="99"/>
      <c r="H104" s="76"/>
      <c r="I104" s="10"/>
      <c r="J104" s="10"/>
      <c r="K104" s="10"/>
      <c r="L104" s="55"/>
    </row>
    <row r="105" spans="2:12" x14ac:dyDescent="0.25">
      <c r="B105" s="5"/>
      <c r="C105" s="103" t="s">
        <v>137</v>
      </c>
      <c r="D105" s="35" t="b">
        <v>1</v>
      </c>
      <c r="E105" s="9"/>
      <c r="F105" s="24"/>
      <c r="G105" s="99"/>
      <c r="H105" s="76"/>
      <c r="I105" s="10"/>
      <c r="J105" s="10"/>
      <c r="K105" s="10"/>
      <c r="L105" s="55"/>
    </row>
    <row r="106" spans="2:12" x14ac:dyDescent="0.25">
      <c r="B106" s="5"/>
      <c r="C106" s="103" t="s">
        <v>138</v>
      </c>
      <c r="D106" s="35" t="s">
        <v>139</v>
      </c>
      <c r="E106" s="9"/>
      <c r="F106" s="24"/>
      <c r="G106" s="99"/>
      <c r="H106" s="76"/>
      <c r="I106" s="10"/>
      <c r="J106" s="10"/>
      <c r="K106" s="10"/>
      <c r="L106" s="55"/>
    </row>
    <row r="107" spans="2:12" x14ac:dyDescent="0.25">
      <c r="B107" s="5"/>
      <c r="C107" s="103" t="s">
        <v>140</v>
      </c>
      <c r="D107" s="38">
        <v>1.0000000000000001E-9</v>
      </c>
      <c r="E107" s="9"/>
      <c r="F107" s="24"/>
      <c r="G107" s="99"/>
      <c r="H107" s="76"/>
      <c r="I107" s="10"/>
      <c r="J107" s="10"/>
      <c r="K107" s="10"/>
      <c r="L107" s="55"/>
    </row>
    <row r="108" spans="2:12" x14ac:dyDescent="0.25">
      <c r="B108" s="5"/>
      <c r="C108" s="103" t="s">
        <v>141</v>
      </c>
      <c r="D108" s="38">
        <v>1.0000000000000001E-15</v>
      </c>
      <c r="E108" s="9"/>
      <c r="F108" s="24"/>
      <c r="G108" s="99"/>
      <c r="H108" s="76"/>
      <c r="I108" s="10"/>
      <c r="J108" s="10"/>
      <c r="K108" s="10"/>
      <c r="L108" s="55"/>
    </row>
    <row r="109" spans="2:12" x14ac:dyDescent="0.25">
      <c r="B109" s="5"/>
      <c r="C109" s="103" t="s">
        <v>142</v>
      </c>
      <c r="D109" s="38">
        <v>1E-10</v>
      </c>
      <c r="E109" s="9"/>
      <c r="F109" s="24"/>
      <c r="G109" s="99"/>
      <c r="H109" s="76"/>
      <c r="I109" s="10"/>
      <c r="J109" s="10"/>
      <c r="K109" s="10"/>
      <c r="L109" s="55"/>
    </row>
    <row r="110" spans="2:12" x14ac:dyDescent="0.25">
      <c r="B110" s="5"/>
      <c r="C110" s="103" t="s">
        <v>143</v>
      </c>
      <c r="D110" s="106">
        <v>1000</v>
      </c>
      <c r="E110" s="9"/>
      <c r="F110" s="24"/>
      <c r="G110" s="99"/>
      <c r="H110" s="76"/>
      <c r="I110" s="10"/>
      <c r="J110" s="10"/>
      <c r="K110" s="10"/>
      <c r="L110" s="55"/>
    </row>
    <row r="111" spans="2:12" x14ac:dyDescent="0.25">
      <c r="B111" s="5"/>
      <c r="C111" s="104"/>
      <c r="D111" s="40"/>
      <c r="E111" s="9"/>
      <c r="F111" s="25"/>
      <c r="G111" s="100"/>
      <c r="H111" s="77"/>
      <c r="I111" s="10"/>
      <c r="J111" s="10"/>
      <c r="K111" s="10"/>
      <c r="L111" s="55"/>
    </row>
    <row r="112" spans="2:12" x14ac:dyDescent="0.25">
      <c r="B112" s="5"/>
      <c r="C112" s="9"/>
      <c r="D112" s="9"/>
      <c r="E112" s="9"/>
      <c r="F112" s="10"/>
      <c r="G112" s="10"/>
      <c r="H112" s="10"/>
      <c r="I112" s="10"/>
      <c r="J112" s="10"/>
      <c r="K112" s="10"/>
      <c r="L112" s="55"/>
    </row>
    <row r="113" spans="2:12" x14ac:dyDescent="0.25"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3"/>
    </row>
  </sheetData>
  <dataValidations count="2">
    <dataValidation type="list" allowBlank="1" showInputMessage="1" showErrorMessage="1" sqref="D99 D24:D26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G42 D104 D75 D40">
      <formula1>"FOLLOWING,MOD_FOLLOWING,PRECEDING,MOD_PRECEEDING,NO_CHANGE"</formula1>
    </dataValidation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5:K77"/>
  <sheetViews>
    <sheetView showGridLines="0" workbookViewId="0">
      <selection activeCell="D8" sqref="D8"/>
    </sheetView>
  </sheetViews>
  <sheetFormatPr defaultRowHeight="15" x14ac:dyDescent="0.25"/>
  <cols>
    <col min="3" max="3" width="30.7109375" customWidth="1"/>
    <col min="4" max="4" width="35.7109375" customWidth="1"/>
    <col min="5" max="8" width="20.7109375" customWidth="1"/>
  </cols>
  <sheetData>
    <row r="5" spans="2:9" x14ac:dyDescent="0.25">
      <c r="B5" s="56" t="s">
        <v>193</v>
      </c>
    </row>
    <row r="6" spans="2:9" x14ac:dyDescent="0.25">
      <c r="B6" s="2"/>
      <c r="C6" s="45"/>
      <c r="D6" s="46"/>
      <c r="E6" s="3"/>
      <c r="F6" s="3"/>
      <c r="G6" s="3"/>
      <c r="H6" s="3"/>
      <c r="I6" s="4"/>
    </row>
    <row r="7" spans="2:9" x14ac:dyDescent="0.25">
      <c r="B7" s="5"/>
      <c r="C7" s="64" t="s">
        <v>193</v>
      </c>
      <c r="D7" s="113" t="str">
        <f ca="1">_xll.mirSetUpBasisSwapCurve(CurveCollection,StaticDataTable,CurveBuildProperties,XccyBasisSwapConventions,XccyBasisMarketData,IndexName)</f>
        <v>XccyBasis BasisSwap Curve has been set (0.03100 sec)</v>
      </c>
      <c r="E7" s="62"/>
      <c r="F7" s="63"/>
      <c r="G7" s="7"/>
      <c r="H7" s="7"/>
      <c r="I7" s="8"/>
    </row>
    <row r="8" spans="2:9" x14ac:dyDescent="0.25">
      <c r="B8" s="5"/>
      <c r="C8" s="112" t="s">
        <v>194</v>
      </c>
      <c r="D8" s="60"/>
      <c r="E8" s="7"/>
      <c r="F8" s="7"/>
      <c r="G8" s="7"/>
      <c r="H8" s="7"/>
      <c r="I8" s="8"/>
    </row>
    <row r="9" spans="2:9" x14ac:dyDescent="0.25">
      <c r="B9" s="5"/>
      <c r="C9" s="6"/>
      <c r="D9" s="60"/>
      <c r="E9" s="7"/>
      <c r="F9" s="7"/>
      <c r="G9" s="7"/>
      <c r="H9" s="7"/>
      <c r="I9" s="8"/>
    </row>
    <row r="10" spans="2:9" x14ac:dyDescent="0.25">
      <c r="B10" s="5"/>
      <c r="C10" s="6"/>
      <c r="D10" s="60"/>
      <c r="E10" s="7"/>
      <c r="F10" s="7"/>
      <c r="G10" s="7"/>
      <c r="H10" s="7"/>
      <c r="I10" s="8"/>
    </row>
    <row r="11" spans="2:9" x14ac:dyDescent="0.25">
      <c r="B11" s="5"/>
      <c r="C11" s="48" t="s">
        <v>0</v>
      </c>
      <c r="D11" s="57"/>
      <c r="E11" s="7"/>
      <c r="F11" s="7"/>
      <c r="G11" s="7"/>
      <c r="H11" s="7"/>
      <c r="I11" s="8"/>
    </row>
    <row r="12" spans="2:9" x14ac:dyDescent="0.25">
      <c r="B12" s="5"/>
      <c r="C12" s="27" t="s">
        <v>88</v>
      </c>
      <c r="D12" s="107" t="str">
        <f>Curve.CollectionName</f>
        <v>EURYC</v>
      </c>
      <c r="E12" s="7"/>
      <c r="F12" s="7"/>
      <c r="G12" s="7"/>
      <c r="H12" s="7"/>
      <c r="I12" s="8"/>
    </row>
    <row r="13" spans="2:9" x14ac:dyDescent="0.25">
      <c r="B13" s="5"/>
      <c r="C13" s="28" t="s">
        <v>195</v>
      </c>
      <c r="D13" s="108" t="s">
        <v>233</v>
      </c>
      <c r="E13" s="7"/>
      <c r="F13" s="7"/>
      <c r="G13" s="7"/>
      <c r="H13" s="7"/>
      <c r="I13" s="8"/>
    </row>
    <row r="14" spans="2:9" x14ac:dyDescent="0.25">
      <c r="B14" s="5"/>
      <c r="C14" s="59" t="s">
        <v>89</v>
      </c>
      <c r="D14" s="181" t="s">
        <v>233</v>
      </c>
      <c r="E14" s="7"/>
      <c r="F14" s="7"/>
      <c r="G14" s="7"/>
      <c r="H14" s="7"/>
      <c r="I14" s="8" t="s">
        <v>4</v>
      </c>
    </row>
    <row r="15" spans="2:9" x14ac:dyDescent="0.25">
      <c r="B15" s="11"/>
      <c r="C15" s="12"/>
      <c r="D15" s="12"/>
      <c r="E15" s="12"/>
      <c r="F15" s="12"/>
      <c r="G15" s="12"/>
      <c r="H15" s="12"/>
      <c r="I15" s="13"/>
    </row>
    <row r="18" spans="2:11" x14ac:dyDescent="0.25">
      <c r="B18" s="56" t="s">
        <v>69</v>
      </c>
    </row>
    <row r="19" spans="2:11" x14ac:dyDescent="0.25">
      <c r="B19" s="2"/>
      <c r="C19" s="45"/>
      <c r="D19" s="46"/>
      <c r="E19" s="3"/>
      <c r="F19" s="3"/>
      <c r="G19" s="3"/>
      <c r="H19" s="3"/>
      <c r="I19" s="4"/>
    </row>
    <row r="20" spans="2:11" x14ac:dyDescent="0.25">
      <c r="B20" s="5"/>
      <c r="C20" s="48" t="s">
        <v>69</v>
      </c>
      <c r="D20" s="47"/>
      <c r="E20" s="7"/>
      <c r="F20" s="50" t="s">
        <v>82</v>
      </c>
      <c r="G20" s="7"/>
      <c r="H20" s="7"/>
      <c r="I20" s="8"/>
    </row>
    <row r="21" spans="2:11" x14ac:dyDescent="0.25">
      <c r="B21" s="5"/>
      <c r="C21" s="27" t="s">
        <v>10</v>
      </c>
      <c r="D21" s="107">
        <v>42419</v>
      </c>
      <c r="E21" s="7"/>
      <c r="F21" s="14" t="s">
        <v>83</v>
      </c>
      <c r="G21" s="16"/>
      <c r="H21" s="7"/>
      <c r="I21" s="8"/>
    </row>
    <row r="22" spans="2:11" x14ac:dyDescent="0.25">
      <c r="B22" s="5"/>
      <c r="C22" s="28" t="s">
        <v>16</v>
      </c>
      <c r="D22" s="108" t="s">
        <v>17</v>
      </c>
      <c r="E22" s="7"/>
      <c r="F22" s="17" t="s">
        <v>84</v>
      </c>
      <c r="G22" s="18"/>
      <c r="H22" s="7"/>
      <c r="I22" s="8"/>
    </row>
    <row r="23" spans="2:11" x14ac:dyDescent="0.25">
      <c r="B23" s="5"/>
      <c r="C23" s="28" t="s">
        <v>298</v>
      </c>
      <c r="D23" s="111" t="s">
        <v>85</v>
      </c>
      <c r="E23" s="7"/>
      <c r="F23" s="17" t="s">
        <v>85</v>
      </c>
      <c r="G23" s="18"/>
      <c r="H23" s="7"/>
      <c r="I23" s="8"/>
    </row>
    <row r="24" spans="2:11" x14ac:dyDescent="0.25">
      <c r="B24" s="5"/>
      <c r="C24" s="153" t="s">
        <v>285</v>
      </c>
      <c r="D24" s="154" t="s">
        <v>233</v>
      </c>
      <c r="E24" s="7"/>
      <c r="F24" s="17" t="s">
        <v>86</v>
      </c>
      <c r="G24" s="18"/>
      <c r="H24" s="7"/>
      <c r="I24" s="8"/>
    </row>
    <row r="25" spans="2:11" x14ac:dyDescent="0.25">
      <c r="B25" s="5"/>
      <c r="C25" s="28"/>
      <c r="D25" s="108"/>
      <c r="E25" s="7"/>
      <c r="F25" s="17" t="s">
        <v>87</v>
      </c>
      <c r="G25" s="18"/>
      <c r="H25" s="7"/>
      <c r="I25" s="8"/>
    </row>
    <row r="26" spans="2:11" x14ac:dyDescent="0.25">
      <c r="B26" s="5"/>
      <c r="C26" s="44"/>
      <c r="D26" s="110"/>
      <c r="E26" s="7"/>
      <c r="F26" s="21"/>
      <c r="G26" s="22"/>
      <c r="H26" s="7"/>
      <c r="I26" s="8"/>
    </row>
    <row r="27" spans="2:11" x14ac:dyDescent="0.25">
      <c r="B27" s="11"/>
      <c r="C27" s="12"/>
      <c r="D27" s="12"/>
      <c r="E27" s="12"/>
      <c r="F27" s="12"/>
      <c r="G27" s="12"/>
      <c r="H27" s="12"/>
      <c r="I27" s="13"/>
    </row>
    <row r="30" spans="2:11" x14ac:dyDescent="0.25">
      <c r="B30" s="56" t="s">
        <v>234</v>
      </c>
      <c r="K30">
        <v>1E-4</v>
      </c>
    </row>
    <row r="31" spans="2:11" x14ac:dyDescent="0.25">
      <c r="B31" s="2"/>
      <c r="C31" s="3"/>
      <c r="D31" s="3"/>
      <c r="E31" s="3"/>
      <c r="F31" s="3"/>
      <c r="G31" s="3"/>
      <c r="H31" s="3"/>
      <c r="I31" s="4"/>
    </row>
    <row r="32" spans="2:11" x14ac:dyDescent="0.25">
      <c r="B32" s="5"/>
      <c r="C32" s="49" t="s">
        <v>235</v>
      </c>
      <c r="D32" s="10"/>
      <c r="E32" s="10"/>
      <c r="F32" s="49" t="s">
        <v>236</v>
      </c>
      <c r="G32" s="10"/>
      <c r="H32" s="10"/>
      <c r="I32" s="55"/>
    </row>
    <row r="33" spans="2:11" x14ac:dyDescent="0.25">
      <c r="B33" s="5"/>
      <c r="C33" s="142" t="s">
        <v>195</v>
      </c>
      <c r="D33" s="108" t="str">
        <f>StaticDataTable</f>
        <v>XccyBasis</v>
      </c>
      <c r="E33" s="7"/>
      <c r="F33" s="78" t="s">
        <v>11</v>
      </c>
      <c r="G33" s="78" t="s">
        <v>12</v>
      </c>
      <c r="H33" s="10"/>
      <c r="I33" s="55"/>
    </row>
    <row r="34" spans="2:11" x14ac:dyDescent="0.25">
      <c r="B34" s="5"/>
      <c r="C34" s="143" t="s">
        <v>237</v>
      </c>
      <c r="D34" s="111" t="s">
        <v>85</v>
      </c>
      <c r="E34" s="9"/>
      <c r="F34" s="71" t="s">
        <v>196</v>
      </c>
      <c r="G34" s="75">
        <f>K34</f>
        <v>1.1300000000000001E-3</v>
      </c>
      <c r="H34" s="10"/>
      <c r="I34" s="55"/>
      <c r="K34" s="75">
        <v>1.1300000000000001E-3</v>
      </c>
    </row>
    <row r="35" spans="2:11" x14ac:dyDescent="0.25">
      <c r="B35" s="5"/>
      <c r="C35" s="29" t="s">
        <v>238</v>
      </c>
      <c r="D35" s="144" t="b">
        <v>1</v>
      </c>
      <c r="E35" s="9"/>
      <c r="F35" s="72" t="s">
        <v>47</v>
      </c>
      <c r="G35" s="76">
        <v>1.1925E-3</v>
      </c>
      <c r="H35" s="10"/>
      <c r="I35" s="55"/>
      <c r="K35" s="76">
        <v>1.1925E-3</v>
      </c>
    </row>
    <row r="36" spans="2:11" x14ac:dyDescent="0.25">
      <c r="B36" s="5"/>
      <c r="C36" s="29" t="s">
        <v>239</v>
      </c>
      <c r="D36" s="108" t="s">
        <v>240</v>
      </c>
      <c r="E36" s="9"/>
      <c r="F36" s="72" t="s">
        <v>43</v>
      </c>
      <c r="G36" s="76">
        <v>1.2425000000000001E-3</v>
      </c>
      <c r="H36" s="10"/>
      <c r="I36" s="55"/>
      <c r="K36" s="76">
        <v>1.2425000000000001E-3</v>
      </c>
    </row>
    <row r="37" spans="2:11" x14ac:dyDescent="0.25">
      <c r="B37" s="5"/>
      <c r="C37" s="29" t="s">
        <v>241</v>
      </c>
      <c r="D37" s="108" t="s">
        <v>161</v>
      </c>
      <c r="E37" s="9"/>
      <c r="F37" s="72" t="s">
        <v>50</v>
      </c>
      <c r="G37" s="76">
        <v>1.2975E-3</v>
      </c>
      <c r="H37" s="10"/>
      <c r="I37" s="55"/>
      <c r="K37" s="76">
        <v>1.2975E-3</v>
      </c>
    </row>
    <row r="38" spans="2:11" x14ac:dyDescent="0.25">
      <c r="B38" s="5"/>
      <c r="C38" s="29" t="s">
        <v>242</v>
      </c>
      <c r="D38" s="108" t="s">
        <v>28</v>
      </c>
      <c r="E38" s="9"/>
      <c r="F38" s="72" t="s">
        <v>52</v>
      </c>
      <c r="G38" s="76">
        <v>1.3324999999999999E-3</v>
      </c>
      <c r="H38" s="10"/>
      <c r="I38" s="55"/>
      <c r="K38" s="76">
        <v>1.3324999999999999E-3</v>
      </c>
    </row>
    <row r="39" spans="2:11" x14ac:dyDescent="0.25">
      <c r="B39" s="5"/>
      <c r="C39" s="29" t="s">
        <v>243</v>
      </c>
      <c r="D39" s="68" t="s">
        <v>22</v>
      </c>
      <c r="E39" s="9"/>
      <c r="F39" s="72" t="s">
        <v>54</v>
      </c>
      <c r="G39" s="76">
        <v>1.3074999999999999E-3</v>
      </c>
      <c r="H39" s="10"/>
      <c r="I39" s="55"/>
      <c r="K39" s="76">
        <v>1.3074999999999999E-3</v>
      </c>
    </row>
    <row r="40" spans="2:11" x14ac:dyDescent="0.25">
      <c r="B40" s="5"/>
      <c r="C40" s="29" t="s">
        <v>244</v>
      </c>
      <c r="D40" s="108" t="s">
        <v>30</v>
      </c>
      <c r="E40" s="9"/>
      <c r="F40" s="72" t="s">
        <v>56</v>
      </c>
      <c r="G40" s="76">
        <v>1.2725E-3</v>
      </c>
      <c r="H40" s="10"/>
      <c r="I40" s="55"/>
      <c r="K40" s="76">
        <v>1.2725E-3</v>
      </c>
    </row>
    <row r="41" spans="2:11" x14ac:dyDescent="0.25">
      <c r="B41" s="5"/>
      <c r="C41" s="151" t="s">
        <v>245</v>
      </c>
      <c r="D41" s="155" t="s">
        <v>246</v>
      </c>
      <c r="E41" s="9"/>
      <c r="F41" s="72" t="s">
        <v>58</v>
      </c>
      <c r="G41" s="76">
        <v>1.2275000000000001E-3</v>
      </c>
      <c r="H41" s="10"/>
      <c r="I41" s="55"/>
      <c r="K41" s="76">
        <v>1.2275000000000001E-3</v>
      </c>
    </row>
    <row r="42" spans="2:11" x14ac:dyDescent="0.25">
      <c r="B42" s="5"/>
      <c r="C42" s="151" t="s">
        <v>247</v>
      </c>
      <c r="D42" s="155" t="s">
        <v>292</v>
      </c>
      <c r="E42" s="9"/>
      <c r="F42" s="72" t="s">
        <v>60</v>
      </c>
      <c r="G42" s="76">
        <v>1.1675000000000001E-3</v>
      </c>
      <c r="H42" s="10"/>
      <c r="I42" s="55"/>
      <c r="K42" s="76">
        <v>1.1675000000000001E-3</v>
      </c>
    </row>
    <row r="43" spans="2:11" x14ac:dyDescent="0.25">
      <c r="B43" s="5"/>
      <c r="C43" s="29" t="s">
        <v>248</v>
      </c>
      <c r="D43" s="108" t="s">
        <v>148</v>
      </c>
      <c r="E43" s="9"/>
      <c r="F43" s="72" t="s">
        <v>61</v>
      </c>
      <c r="G43" s="76">
        <v>1.1025E-3</v>
      </c>
      <c r="H43" s="10"/>
      <c r="I43" s="55"/>
      <c r="K43" s="76">
        <v>1.1025E-3</v>
      </c>
    </row>
    <row r="44" spans="2:11" x14ac:dyDescent="0.25">
      <c r="B44" s="5"/>
      <c r="C44" s="29" t="s">
        <v>249</v>
      </c>
      <c r="D44" s="108" t="s">
        <v>161</v>
      </c>
      <c r="E44" s="9"/>
      <c r="F44" s="72" t="s">
        <v>62</v>
      </c>
      <c r="G44" s="76">
        <v>1.0425E-3</v>
      </c>
      <c r="H44" s="10"/>
      <c r="I44" s="55"/>
      <c r="K44" s="76">
        <v>1.0425E-3</v>
      </c>
    </row>
    <row r="45" spans="2:11" x14ac:dyDescent="0.25">
      <c r="B45" s="5"/>
      <c r="C45" s="29" t="s">
        <v>250</v>
      </c>
      <c r="D45" s="108" t="s">
        <v>2</v>
      </c>
      <c r="E45" s="9"/>
      <c r="F45" s="72" t="s">
        <v>63</v>
      </c>
      <c r="G45" s="76">
        <v>9.9250000000000011E-4</v>
      </c>
      <c r="H45" s="10"/>
      <c r="I45" s="55"/>
      <c r="K45" s="76">
        <v>9.9250000000000011E-4</v>
      </c>
    </row>
    <row r="46" spans="2:11" x14ac:dyDescent="0.25">
      <c r="B46" s="5"/>
      <c r="C46" s="29" t="s">
        <v>251</v>
      </c>
      <c r="D46" s="108" t="s">
        <v>103</v>
      </c>
      <c r="E46" s="9"/>
      <c r="F46" s="72" t="s">
        <v>64</v>
      </c>
      <c r="G46" s="76">
        <v>8.6249999999999999E-4</v>
      </c>
      <c r="H46" s="10"/>
      <c r="I46" s="55"/>
      <c r="K46" s="76">
        <v>8.6249999999999999E-4</v>
      </c>
    </row>
    <row r="47" spans="2:11" x14ac:dyDescent="0.25">
      <c r="B47" s="5"/>
      <c r="C47" s="29" t="s">
        <v>252</v>
      </c>
      <c r="D47" s="108" t="s">
        <v>253</v>
      </c>
      <c r="E47" s="9"/>
      <c r="F47" s="72" t="s">
        <v>65</v>
      </c>
      <c r="G47" s="76">
        <v>6.8749999999999996E-4</v>
      </c>
      <c r="H47" s="10"/>
      <c r="I47" s="55"/>
      <c r="K47" s="76">
        <v>6.8749999999999996E-4</v>
      </c>
    </row>
    <row r="48" spans="2:11" x14ac:dyDescent="0.25">
      <c r="B48" s="5"/>
      <c r="C48" s="29" t="s">
        <v>254</v>
      </c>
      <c r="D48" s="108">
        <v>2</v>
      </c>
      <c r="E48" s="9"/>
      <c r="F48" s="72" t="s">
        <v>66</v>
      </c>
      <c r="G48" s="76">
        <v>5.8250000000000001E-4</v>
      </c>
      <c r="H48" s="10"/>
      <c r="I48" s="55"/>
      <c r="K48" s="76">
        <v>5.8250000000000001E-4</v>
      </c>
    </row>
    <row r="49" spans="2:11" x14ac:dyDescent="0.25">
      <c r="B49" s="5"/>
      <c r="C49" s="29" t="s">
        <v>255</v>
      </c>
      <c r="D49" s="68" t="s">
        <v>22</v>
      </c>
      <c r="E49" s="9"/>
      <c r="F49" s="72" t="s">
        <v>67</v>
      </c>
      <c r="G49" s="76">
        <v>5.1250000000000004E-4</v>
      </c>
      <c r="H49" s="10"/>
      <c r="I49" s="55"/>
      <c r="K49" s="76">
        <v>5.1250000000000004E-4</v>
      </c>
    </row>
    <row r="50" spans="2:11" x14ac:dyDescent="0.25">
      <c r="B50" s="5"/>
      <c r="C50" s="143" t="s">
        <v>256</v>
      </c>
      <c r="D50" s="145" t="s">
        <v>240</v>
      </c>
      <c r="E50" s="9"/>
      <c r="F50" s="72"/>
      <c r="G50" s="76"/>
      <c r="H50" s="10"/>
      <c r="I50" s="55"/>
    </row>
    <row r="51" spans="2:11" x14ac:dyDescent="0.25">
      <c r="B51" s="5"/>
      <c r="C51" s="29" t="s">
        <v>257</v>
      </c>
      <c r="D51" s="108" t="s">
        <v>161</v>
      </c>
      <c r="E51" s="9"/>
      <c r="F51" s="72"/>
      <c r="G51" s="76"/>
      <c r="H51" s="10"/>
      <c r="I51" s="55"/>
    </row>
    <row r="52" spans="2:11" x14ac:dyDescent="0.25">
      <c r="B52" s="5"/>
      <c r="C52" s="29" t="s">
        <v>258</v>
      </c>
      <c r="D52" s="108" t="s">
        <v>28</v>
      </c>
      <c r="E52" s="9"/>
      <c r="F52" s="72"/>
      <c r="G52" s="76"/>
      <c r="H52" s="10"/>
      <c r="I52" s="55"/>
    </row>
    <row r="53" spans="2:11" x14ac:dyDescent="0.25">
      <c r="B53" s="5"/>
      <c r="C53" s="29" t="s">
        <v>259</v>
      </c>
      <c r="D53" s="68" t="s">
        <v>22</v>
      </c>
      <c r="E53" s="9"/>
      <c r="F53" s="72"/>
      <c r="G53" s="76"/>
      <c r="H53" s="10"/>
      <c r="I53" s="55"/>
    </row>
    <row r="54" spans="2:11" x14ac:dyDescent="0.25">
      <c r="B54" s="5"/>
      <c r="C54" s="29" t="s">
        <v>260</v>
      </c>
      <c r="D54" s="108">
        <v>2</v>
      </c>
      <c r="E54" s="9"/>
      <c r="F54" s="72"/>
      <c r="G54" s="76"/>
      <c r="H54" s="10"/>
      <c r="I54" s="55"/>
    </row>
    <row r="55" spans="2:11" x14ac:dyDescent="0.25">
      <c r="B55" s="5"/>
      <c r="C55" s="151" t="s">
        <v>261</v>
      </c>
      <c r="D55" s="155" t="s">
        <v>262</v>
      </c>
      <c r="E55" s="9"/>
      <c r="F55" s="72"/>
      <c r="G55" s="76"/>
      <c r="H55" s="10"/>
      <c r="I55" s="55"/>
    </row>
    <row r="56" spans="2:11" x14ac:dyDescent="0.25">
      <c r="B56" s="5"/>
      <c r="C56" s="151" t="s">
        <v>263</v>
      </c>
      <c r="D56" s="155" t="s">
        <v>288</v>
      </c>
      <c r="E56" s="155" t="s">
        <v>264</v>
      </c>
      <c r="F56" s="72"/>
      <c r="G56" s="76"/>
      <c r="H56" s="10"/>
      <c r="I56" s="55"/>
    </row>
    <row r="57" spans="2:11" x14ac:dyDescent="0.25">
      <c r="B57" s="5"/>
      <c r="C57" s="29" t="s">
        <v>265</v>
      </c>
      <c r="D57" s="108" t="s">
        <v>148</v>
      </c>
      <c r="E57" s="9"/>
      <c r="F57" s="72"/>
      <c r="G57" s="76"/>
      <c r="H57" s="10"/>
      <c r="I57" s="55"/>
    </row>
    <row r="58" spans="2:11" x14ac:dyDescent="0.25">
      <c r="B58" s="5"/>
      <c r="C58" s="29" t="s">
        <v>266</v>
      </c>
      <c r="D58" s="108" t="s">
        <v>161</v>
      </c>
      <c r="E58" s="9"/>
      <c r="F58" s="72"/>
      <c r="G58" s="76"/>
      <c r="H58" s="10"/>
      <c r="I58" s="55"/>
    </row>
    <row r="59" spans="2:11" x14ac:dyDescent="0.25">
      <c r="B59" s="5"/>
      <c r="C59" s="29" t="s">
        <v>267</v>
      </c>
      <c r="D59" s="108" t="s">
        <v>253</v>
      </c>
      <c r="E59" s="9"/>
      <c r="F59" s="72"/>
      <c r="G59" s="76"/>
      <c r="H59" s="10"/>
      <c r="I59" s="55"/>
    </row>
    <row r="60" spans="2:11" x14ac:dyDescent="0.25">
      <c r="B60" s="5"/>
      <c r="C60" s="29" t="s">
        <v>268</v>
      </c>
      <c r="D60" s="108" t="s">
        <v>103</v>
      </c>
      <c r="E60" s="9"/>
      <c r="F60" s="72"/>
      <c r="G60" s="76"/>
      <c r="H60" s="10"/>
      <c r="I60" s="55"/>
    </row>
    <row r="61" spans="2:11" x14ac:dyDescent="0.25">
      <c r="B61" s="5"/>
      <c r="C61" s="29" t="s">
        <v>269</v>
      </c>
      <c r="D61" s="108" t="s">
        <v>253</v>
      </c>
      <c r="E61" s="9"/>
      <c r="F61" s="72"/>
      <c r="G61" s="76"/>
      <c r="H61" s="10"/>
      <c r="I61" s="55"/>
    </row>
    <row r="62" spans="2:11" x14ac:dyDescent="0.25">
      <c r="B62" s="5"/>
      <c r="C62" s="29" t="s">
        <v>270</v>
      </c>
      <c r="D62" s="108" t="s">
        <v>197</v>
      </c>
      <c r="E62" s="9"/>
      <c r="F62" s="72"/>
      <c r="G62" s="76"/>
      <c r="H62" s="10"/>
      <c r="I62" s="55"/>
    </row>
    <row r="63" spans="2:11" x14ac:dyDescent="0.25">
      <c r="B63" s="5"/>
      <c r="C63" s="29" t="s">
        <v>271</v>
      </c>
      <c r="D63" s="68" t="s">
        <v>22</v>
      </c>
      <c r="E63" s="9"/>
      <c r="F63" s="72"/>
      <c r="G63" s="76"/>
      <c r="H63" s="10"/>
      <c r="I63" s="55"/>
    </row>
    <row r="64" spans="2:11" x14ac:dyDescent="0.25">
      <c r="B64" s="5"/>
      <c r="C64" s="152" t="s">
        <v>272</v>
      </c>
      <c r="D64" s="155" t="s">
        <v>273</v>
      </c>
      <c r="E64" s="9"/>
      <c r="F64" s="72"/>
      <c r="G64" s="76"/>
      <c r="H64" s="10"/>
      <c r="I64" s="55"/>
    </row>
    <row r="65" spans="2:9" x14ac:dyDescent="0.25">
      <c r="B65" s="5"/>
      <c r="C65" s="29" t="s">
        <v>137</v>
      </c>
      <c r="D65" s="108" t="b">
        <v>1</v>
      </c>
      <c r="E65" s="9"/>
      <c r="F65" s="72"/>
      <c r="G65" s="76"/>
      <c r="H65" s="10"/>
      <c r="I65" s="55"/>
    </row>
    <row r="66" spans="2:9" x14ac:dyDescent="0.25">
      <c r="B66" s="5"/>
      <c r="C66" s="29" t="s">
        <v>199</v>
      </c>
      <c r="D66" s="108" t="b">
        <v>1</v>
      </c>
      <c r="E66" s="9"/>
      <c r="F66" s="72"/>
      <c r="G66" s="76"/>
      <c r="H66" s="10"/>
      <c r="I66" s="55"/>
    </row>
    <row r="67" spans="2:9" x14ac:dyDescent="0.25">
      <c r="B67" s="5"/>
      <c r="C67" s="29" t="s">
        <v>198</v>
      </c>
      <c r="D67" s="111" t="s">
        <v>85</v>
      </c>
      <c r="E67" s="9"/>
      <c r="F67" s="72"/>
      <c r="G67" s="76"/>
      <c r="H67" s="10"/>
      <c r="I67" s="55"/>
    </row>
    <row r="68" spans="2:9" x14ac:dyDescent="0.25">
      <c r="B68" s="5"/>
      <c r="C68" s="29" t="s">
        <v>201</v>
      </c>
      <c r="D68" s="108" t="s">
        <v>274</v>
      </c>
      <c r="E68" s="9"/>
      <c r="F68" s="72"/>
      <c r="G68" s="76"/>
      <c r="H68" s="10"/>
      <c r="I68" s="55"/>
    </row>
    <row r="69" spans="2:9" x14ac:dyDescent="0.25">
      <c r="B69" s="5"/>
      <c r="C69" s="29" t="s">
        <v>200</v>
      </c>
      <c r="D69" s="108" t="s">
        <v>148</v>
      </c>
      <c r="E69" s="9"/>
      <c r="F69" s="72"/>
      <c r="G69" s="76"/>
      <c r="H69" s="10"/>
      <c r="I69" s="55"/>
    </row>
    <row r="70" spans="2:9" x14ac:dyDescent="0.25">
      <c r="B70" s="5"/>
      <c r="C70" s="28" t="s">
        <v>140</v>
      </c>
      <c r="D70" s="38">
        <v>1.0000000000000001E-9</v>
      </c>
      <c r="E70" s="9"/>
      <c r="F70" s="72"/>
      <c r="G70" s="76"/>
      <c r="H70" s="10"/>
      <c r="I70" s="55"/>
    </row>
    <row r="71" spans="2:9" x14ac:dyDescent="0.25">
      <c r="B71" s="5"/>
      <c r="C71" s="28" t="s">
        <v>141</v>
      </c>
      <c r="D71" s="38">
        <v>1E-10</v>
      </c>
      <c r="E71" s="9"/>
      <c r="F71" s="72"/>
      <c r="G71" s="76"/>
      <c r="H71" s="10"/>
      <c r="I71" s="55"/>
    </row>
    <row r="72" spans="2:9" x14ac:dyDescent="0.25">
      <c r="B72" s="5"/>
      <c r="C72" s="28" t="s">
        <v>142</v>
      </c>
      <c r="D72" s="38">
        <v>1E-10</v>
      </c>
      <c r="E72" s="9"/>
      <c r="F72" s="72"/>
      <c r="G72" s="76"/>
      <c r="H72" s="10"/>
      <c r="I72" s="55"/>
    </row>
    <row r="73" spans="2:9" x14ac:dyDescent="0.25">
      <c r="B73" s="5"/>
      <c r="C73" s="28" t="s">
        <v>143</v>
      </c>
      <c r="D73" s="106">
        <v>1000</v>
      </c>
      <c r="E73" s="9"/>
      <c r="F73" s="72"/>
      <c r="G73" s="76"/>
      <c r="H73" s="10"/>
      <c r="I73" s="55"/>
    </row>
    <row r="74" spans="2:9" x14ac:dyDescent="0.25">
      <c r="B74" s="5"/>
      <c r="C74" s="28"/>
      <c r="D74" s="35"/>
      <c r="E74" s="9"/>
      <c r="F74" s="72"/>
      <c r="G74" s="76"/>
      <c r="H74" s="10"/>
      <c r="I74" s="55"/>
    </row>
    <row r="75" spans="2:9" x14ac:dyDescent="0.25">
      <c r="B75" s="5"/>
      <c r="C75" s="33"/>
      <c r="D75" s="40"/>
      <c r="E75" s="9"/>
      <c r="F75" s="73"/>
      <c r="G75" s="77"/>
      <c r="H75" s="10"/>
      <c r="I75" s="55"/>
    </row>
    <row r="76" spans="2:9" x14ac:dyDescent="0.25">
      <c r="B76" s="5"/>
      <c r="C76" s="9"/>
      <c r="D76" s="9"/>
      <c r="E76" s="9"/>
      <c r="F76" s="10"/>
      <c r="G76" s="10"/>
      <c r="H76" s="10"/>
      <c r="I76" s="55"/>
    </row>
    <row r="77" spans="2:9" x14ac:dyDescent="0.25">
      <c r="B77" s="11"/>
      <c r="C77" s="12"/>
      <c r="D77" s="12"/>
      <c r="E77" s="12"/>
      <c r="F77" s="12"/>
      <c r="G77" s="12"/>
      <c r="H77" s="12"/>
      <c r="I77" s="13"/>
    </row>
  </sheetData>
  <dataValidations count="2">
    <dataValidation type="list" allowBlank="1" showInputMessage="1" showErrorMessage="1" sqref="D39 D49 D53 D63">
      <formula1>"FOLLOWING,MOD_FOLLOWING,PRECEDING,MOD_PRECEEDING,NO_CHANGE"</formula1>
    </dataValidation>
    <dataValidation type="list" allowBlank="1" showInputMessage="1" showErrorMessage="1" sqref="D23 D67 D34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2:AA228"/>
  <sheetViews>
    <sheetView showGridLines="0" tabSelected="1" zoomScaleNormal="100" workbookViewId="0"/>
  </sheetViews>
  <sheetFormatPr defaultRowHeight="15" x14ac:dyDescent="0.25"/>
  <cols>
    <col min="2" max="2" width="39.140625" customWidth="1"/>
    <col min="3" max="6" width="21" customWidth="1"/>
    <col min="7" max="7" width="11" customWidth="1"/>
    <col min="8" max="8" width="39.28515625" style="137" bestFit="1" customWidth="1"/>
    <col min="9" max="10" width="10.42578125" bestFit="1" customWidth="1"/>
    <col min="11" max="11" width="10.7109375" bestFit="1" customWidth="1"/>
    <col min="12" max="12" width="19.42578125" bestFit="1" customWidth="1"/>
    <col min="13" max="13" width="7.7109375" bestFit="1" customWidth="1"/>
    <col min="14" max="16" width="8.7109375" bestFit="1" customWidth="1"/>
    <col min="17" max="17" width="34.42578125" bestFit="1" customWidth="1"/>
  </cols>
  <sheetData>
    <row r="2" spans="2:13" ht="19.5" x14ac:dyDescent="0.25">
      <c r="B2" s="138" t="s">
        <v>290</v>
      </c>
    </row>
    <row r="3" spans="2:13" ht="19.5" x14ac:dyDescent="0.25">
      <c r="B3" s="138"/>
    </row>
    <row r="4" spans="2:13" x14ac:dyDescent="0.25">
      <c r="B4" s="132" t="s">
        <v>164</v>
      </c>
    </row>
    <row r="5" spans="2:13" x14ac:dyDescent="0.25">
      <c r="B5" s="166" t="s">
        <v>289</v>
      </c>
      <c r="C5" s="117" t="s">
        <v>294</v>
      </c>
      <c r="D5" s="117" t="s">
        <v>294</v>
      </c>
      <c r="E5" s="117" t="s">
        <v>9</v>
      </c>
      <c r="F5" s="117" t="s">
        <v>294</v>
      </c>
      <c r="H5" s="170" t="str">
        <f t="array" aca="1" ref="H5:M171" ca="1">_xll.mirSwapDeltaLadder(B5:F36,C39,B45:B48,C40,C41)</f>
        <v>Pillars</v>
      </c>
      <c r="I5" s="171" t="str">
        <f ca="1"/>
        <v>TRADE_6M</v>
      </c>
      <c r="J5" s="171" t="str">
        <f ca="1"/>
        <v>TRADE_3M</v>
      </c>
      <c r="K5" s="171" t="str">
        <f ca="1"/>
        <v>TRADE_OIS</v>
      </c>
      <c r="L5" s="171" t="str">
        <f ca="1"/>
        <v>TRADE_EUR_USDCSA</v>
      </c>
      <c r="M5" s="171" t="str">
        <f ca="1"/>
        <v>Total</v>
      </c>
    </row>
    <row r="6" spans="2:13" x14ac:dyDescent="0.25">
      <c r="B6" s="126" t="s">
        <v>293</v>
      </c>
      <c r="C6" s="117" t="s">
        <v>337</v>
      </c>
      <c r="D6" s="117" t="s">
        <v>338</v>
      </c>
      <c r="E6" s="117" t="s">
        <v>339</v>
      </c>
      <c r="F6" s="117" t="s">
        <v>343</v>
      </c>
      <c r="H6" s="156" t="str">
        <f ca="1"/>
        <v>EURYC_3M6MBASIS_BASISRATE_1Y</v>
      </c>
      <c r="I6" s="165">
        <f ca="1"/>
        <v>0</v>
      </c>
      <c r="J6" s="165">
        <f ca="1"/>
        <v>-5.6557357311248779E-5</v>
      </c>
      <c r="K6" s="165">
        <f ca="1"/>
        <v>0</v>
      </c>
      <c r="L6" s="165">
        <f ca="1"/>
        <v>0</v>
      </c>
      <c r="M6" s="165">
        <f ca="1"/>
        <v>-5.6557357311248779E-5</v>
      </c>
    </row>
    <row r="7" spans="2:13" x14ac:dyDescent="0.25">
      <c r="B7" s="126" t="s">
        <v>159</v>
      </c>
      <c r="C7" s="117">
        <v>100000000</v>
      </c>
      <c r="D7" s="117">
        <v>100000000</v>
      </c>
      <c r="E7" s="117">
        <v>100000000</v>
      </c>
      <c r="F7" s="117">
        <v>100000000</v>
      </c>
      <c r="H7" s="156" t="str">
        <f ca="1"/>
        <v>EURYC_3M6MBASIS_BASISRATE_2Y</v>
      </c>
      <c r="I7" s="165">
        <f ca="1"/>
        <v>0</v>
      </c>
      <c r="J7" s="165">
        <f ca="1"/>
        <v>-5.642324686050415E-5</v>
      </c>
      <c r="K7" s="165">
        <f ca="1"/>
        <v>0</v>
      </c>
      <c r="L7" s="165">
        <f ca="1"/>
        <v>0</v>
      </c>
      <c r="M7" s="165">
        <f ca="1"/>
        <v>-5.642324686050415E-5</v>
      </c>
    </row>
    <row r="8" spans="2:13" x14ac:dyDescent="0.25">
      <c r="B8" s="127" t="s">
        <v>185</v>
      </c>
      <c r="C8" s="118" t="s">
        <v>160</v>
      </c>
      <c r="D8" s="118" t="s">
        <v>160</v>
      </c>
      <c r="E8" s="178" t="s">
        <v>295</v>
      </c>
      <c r="F8" s="178" t="s">
        <v>295</v>
      </c>
      <c r="H8" s="156" t="str">
        <f ca="1"/>
        <v>EURYC_3M6MBASIS_BASISRATE_3Y</v>
      </c>
      <c r="I8" s="165">
        <f ca="1"/>
        <v>0</v>
      </c>
      <c r="J8" s="165">
        <f ca="1"/>
        <v>-30665.047001909465</v>
      </c>
      <c r="K8" s="165">
        <f ca="1"/>
        <v>0</v>
      </c>
      <c r="L8" s="165">
        <f ca="1"/>
        <v>0</v>
      </c>
      <c r="M8" s="165">
        <f ca="1"/>
        <v>-30665.047001909465</v>
      </c>
    </row>
    <row r="9" spans="2:13" x14ac:dyDescent="0.25">
      <c r="B9" s="127" t="s">
        <v>186</v>
      </c>
      <c r="C9" s="119">
        <v>42423</v>
      </c>
      <c r="D9" s="119">
        <v>42423</v>
      </c>
      <c r="E9" s="119">
        <v>42423</v>
      </c>
      <c r="F9" s="119">
        <v>42423</v>
      </c>
      <c r="H9" s="156" t="str">
        <f ca="1"/>
        <v>EURYC_3M6MBASIS_BASISRATE_4Y</v>
      </c>
      <c r="I9" s="165">
        <f ca="1"/>
        <v>0</v>
      </c>
      <c r="J9" s="165">
        <f ca="1"/>
        <v>-2.5077350437641144E-4</v>
      </c>
      <c r="K9" s="165">
        <f ca="1"/>
        <v>0</v>
      </c>
      <c r="L9" s="165">
        <f ca="1"/>
        <v>0</v>
      </c>
      <c r="M9" s="165">
        <f ca="1"/>
        <v>-2.5077350437641144E-4</v>
      </c>
    </row>
    <row r="10" spans="2:13" x14ac:dyDescent="0.25">
      <c r="B10" s="127" t="s">
        <v>187</v>
      </c>
      <c r="C10" s="128" t="s">
        <v>47</v>
      </c>
      <c r="D10" s="128" t="s">
        <v>43</v>
      </c>
      <c r="E10" s="128" t="s">
        <v>52</v>
      </c>
      <c r="F10" s="128" t="s">
        <v>52</v>
      </c>
      <c r="H10" s="156" t="str">
        <f ca="1"/>
        <v>EURYC_3M6MBASIS_BASISRATE_5Y</v>
      </c>
      <c r="I10" s="165">
        <f ca="1"/>
        <v>0</v>
      </c>
      <c r="J10" s="165">
        <f ca="1"/>
        <v>-1.862645149230957E-9</v>
      </c>
      <c r="K10" s="165">
        <f ca="1"/>
        <v>0</v>
      </c>
      <c r="L10" s="165">
        <f ca="1"/>
        <v>0</v>
      </c>
      <c r="M10" s="165">
        <f ca="1"/>
        <v>-1.862645149230957E-9</v>
      </c>
    </row>
    <row r="11" spans="2:13" x14ac:dyDescent="0.25">
      <c r="B11" s="123" t="s">
        <v>188</v>
      </c>
      <c r="C11" s="115">
        <v>0.05</v>
      </c>
      <c r="D11" s="115">
        <v>0.05</v>
      </c>
      <c r="E11" s="115">
        <v>0.05</v>
      </c>
      <c r="F11" s="115">
        <v>0.05</v>
      </c>
      <c r="H11" s="156" t="str">
        <f ca="1"/>
        <v>EURYC_3M6MBASIS_BASISRATE_6Y</v>
      </c>
      <c r="I11" s="165">
        <f ca="1"/>
        <v>0</v>
      </c>
      <c r="J11" s="165">
        <f ca="1"/>
        <v>3.7252902984619141E-9</v>
      </c>
      <c r="K11" s="165">
        <f ca="1"/>
        <v>0</v>
      </c>
      <c r="L11" s="165">
        <f ca="1"/>
        <v>0</v>
      </c>
      <c r="M11" s="165">
        <f ca="1"/>
        <v>3.7252902984619141E-9</v>
      </c>
    </row>
    <row r="12" spans="2:13" x14ac:dyDescent="0.25">
      <c r="B12" s="123" t="s">
        <v>165</v>
      </c>
      <c r="C12" s="115" t="s">
        <v>26</v>
      </c>
      <c r="D12" s="115" t="s">
        <v>26</v>
      </c>
      <c r="E12" s="115" t="s">
        <v>26</v>
      </c>
      <c r="F12" s="115" t="s">
        <v>26</v>
      </c>
      <c r="H12" s="156" t="str">
        <f ca="1"/>
        <v>EURYC_3M6MBASIS_BASISRATE_7Y</v>
      </c>
      <c r="I12" s="165">
        <f ca="1"/>
        <v>0</v>
      </c>
      <c r="J12" s="165">
        <f ca="1"/>
        <v>0</v>
      </c>
      <c r="K12" s="165">
        <f ca="1"/>
        <v>0</v>
      </c>
      <c r="L12" s="165">
        <f ca="1"/>
        <v>0</v>
      </c>
      <c r="M12" s="165">
        <f ca="1"/>
        <v>0</v>
      </c>
    </row>
    <row r="13" spans="2:13" x14ac:dyDescent="0.25">
      <c r="B13" s="123" t="s">
        <v>166</v>
      </c>
      <c r="C13" s="116" t="s">
        <v>20</v>
      </c>
      <c r="D13" s="116" t="s">
        <v>20</v>
      </c>
      <c r="E13" s="116" t="s">
        <v>20</v>
      </c>
      <c r="F13" s="116" t="s">
        <v>20</v>
      </c>
      <c r="H13" s="156" t="str">
        <f ca="1"/>
        <v>EURYC_3M6MBASIS_BASISRATE_8Y</v>
      </c>
      <c r="I13" s="165">
        <f ca="1"/>
        <v>0</v>
      </c>
      <c r="J13" s="165">
        <f ca="1"/>
        <v>0</v>
      </c>
      <c r="K13" s="165">
        <f ca="1"/>
        <v>0</v>
      </c>
      <c r="L13" s="165">
        <f ca="1"/>
        <v>0</v>
      </c>
      <c r="M13" s="165">
        <f ca="1"/>
        <v>0</v>
      </c>
    </row>
    <row r="14" spans="2:13" x14ac:dyDescent="0.25">
      <c r="B14" s="123" t="s">
        <v>283</v>
      </c>
      <c r="C14" s="115" t="s">
        <v>22</v>
      </c>
      <c r="D14" s="115" t="s">
        <v>22</v>
      </c>
      <c r="E14" s="115" t="s">
        <v>22</v>
      </c>
      <c r="F14" s="115" t="s">
        <v>22</v>
      </c>
      <c r="H14" s="156" t="str">
        <f ca="1"/>
        <v>EURYC_3M6MBASIS_BASISRATE_9Y</v>
      </c>
      <c r="I14" s="165">
        <f ca="1"/>
        <v>0</v>
      </c>
      <c r="J14" s="165">
        <f ca="1"/>
        <v>0</v>
      </c>
      <c r="K14" s="165">
        <f ca="1"/>
        <v>0</v>
      </c>
      <c r="L14" s="165">
        <f ca="1"/>
        <v>0</v>
      </c>
      <c r="M14" s="165">
        <f ca="1"/>
        <v>0</v>
      </c>
    </row>
    <row r="15" spans="2:13" x14ac:dyDescent="0.25">
      <c r="B15" s="123" t="s">
        <v>167</v>
      </c>
      <c r="C15" s="115" t="s">
        <v>2</v>
      </c>
      <c r="D15" s="115" t="s">
        <v>2</v>
      </c>
      <c r="E15" s="115" t="s">
        <v>2</v>
      </c>
      <c r="F15" s="115" t="s">
        <v>2</v>
      </c>
      <c r="H15" s="156" t="str">
        <f ca="1"/>
        <v>EURYC_3M6MBASIS_BASISRATE_10Y</v>
      </c>
      <c r="I15" s="165">
        <f ca="1"/>
        <v>0</v>
      </c>
      <c r="J15" s="165">
        <f ca="1"/>
        <v>0</v>
      </c>
      <c r="K15" s="165">
        <f ca="1"/>
        <v>0</v>
      </c>
      <c r="L15" s="165">
        <f ca="1"/>
        <v>0</v>
      </c>
      <c r="M15" s="165">
        <f ca="1"/>
        <v>0</v>
      </c>
    </row>
    <row r="16" spans="2:13" x14ac:dyDescent="0.25">
      <c r="B16" s="123" t="s">
        <v>168</v>
      </c>
      <c r="C16" s="115"/>
      <c r="D16" s="115"/>
      <c r="E16" s="115"/>
      <c r="F16" s="115"/>
      <c r="H16" s="158" t="str">
        <f ca="1"/>
        <v>EURYC_3M6MBASIS_BASISRATE_11Y</v>
      </c>
      <c r="I16" s="185">
        <f ca="1"/>
        <v>0</v>
      </c>
      <c r="J16" s="185">
        <f ca="1"/>
        <v>0</v>
      </c>
      <c r="K16" s="185">
        <f ca="1"/>
        <v>0</v>
      </c>
      <c r="L16" s="185">
        <f ca="1"/>
        <v>0</v>
      </c>
      <c r="M16" s="185">
        <f ca="1"/>
        <v>0</v>
      </c>
    </row>
    <row r="17" spans="2:13" x14ac:dyDescent="0.25">
      <c r="B17" s="123" t="s">
        <v>169</v>
      </c>
      <c r="C17" s="115"/>
      <c r="D17" s="115"/>
      <c r="E17" s="115"/>
      <c r="F17" s="115"/>
      <c r="H17" s="156" t="str">
        <f ca="1"/>
        <v>EURYC_STD_O_N</v>
      </c>
      <c r="I17" s="165">
        <f ca="1"/>
        <v>-3.7252902984619141E-9</v>
      </c>
      <c r="J17" s="165">
        <f ca="1"/>
        <v>-2.9448419809341431E-6</v>
      </c>
      <c r="K17" s="165">
        <f ca="1"/>
        <v>0</v>
      </c>
      <c r="L17" s="165">
        <f ca="1"/>
        <v>3.7252902984619141E-9</v>
      </c>
      <c r="M17" s="165">
        <f ca="1"/>
        <v>-2.9448419809341431E-6</v>
      </c>
    </row>
    <row r="18" spans="2:13" x14ac:dyDescent="0.25">
      <c r="B18" s="123" t="s">
        <v>170</v>
      </c>
      <c r="C18" s="115">
        <v>23</v>
      </c>
      <c r="D18" s="115">
        <v>23</v>
      </c>
      <c r="E18" s="115">
        <v>23</v>
      </c>
      <c r="F18" s="115">
        <v>23</v>
      </c>
      <c r="H18" s="156" t="str">
        <f ca="1"/>
        <v>EURYC_STD_T_N</v>
      </c>
      <c r="I18" s="165">
        <f ca="1"/>
        <v>-5.5879354476928711E-9</v>
      </c>
      <c r="J18" s="165">
        <f ca="1"/>
        <v>4.116445779800415E-7</v>
      </c>
      <c r="K18" s="165">
        <f ca="1"/>
        <v>0</v>
      </c>
      <c r="L18" s="165">
        <f ca="1"/>
        <v>3.7252902984619141E-9</v>
      </c>
      <c r="M18" s="165">
        <f ca="1"/>
        <v>4.0978193283081055E-7</v>
      </c>
    </row>
    <row r="19" spans="2:13" x14ac:dyDescent="0.25">
      <c r="B19" s="124" t="s">
        <v>171</v>
      </c>
      <c r="C19" s="116" t="s">
        <v>162</v>
      </c>
      <c r="D19" s="116" t="s">
        <v>162</v>
      </c>
      <c r="E19" s="116" t="s">
        <v>162</v>
      </c>
      <c r="F19" s="116" t="s">
        <v>162</v>
      </c>
      <c r="H19" s="156" t="str">
        <f ca="1"/>
        <v>EURYC_STD_LIBOR_1M</v>
      </c>
      <c r="I19" s="165">
        <f ca="1"/>
        <v>0</v>
      </c>
      <c r="J19" s="165">
        <f ca="1"/>
        <v>0</v>
      </c>
      <c r="K19" s="165">
        <f ca="1"/>
        <v>0</v>
      </c>
      <c r="L19" s="165">
        <f ca="1"/>
        <v>0</v>
      </c>
      <c r="M19" s="165">
        <f ca="1"/>
        <v>0</v>
      </c>
    </row>
    <row r="20" spans="2:13" x14ac:dyDescent="0.25">
      <c r="B20" s="125" t="s">
        <v>172</v>
      </c>
      <c r="C20" s="128" t="s">
        <v>163</v>
      </c>
      <c r="D20" s="128" t="s">
        <v>163</v>
      </c>
      <c r="E20" s="128" t="s">
        <v>163</v>
      </c>
      <c r="F20" s="128" t="s">
        <v>163</v>
      </c>
      <c r="H20" s="156" t="str">
        <f ca="1"/>
        <v>EURYC_STD_LIBOR_3M</v>
      </c>
      <c r="I20" s="165">
        <f ca="1"/>
        <v>0</v>
      </c>
      <c r="J20" s="165">
        <f ca="1"/>
        <v>0</v>
      </c>
      <c r="K20" s="165">
        <f ca="1"/>
        <v>0</v>
      </c>
      <c r="L20" s="165">
        <f ca="1"/>
        <v>0</v>
      </c>
      <c r="M20" s="165">
        <f ca="1"/>
        <v>0</v>
      </c>
    </row>
    <row r="21" spans="2:13" x14ac:dyDescent="0.25">
      <c r="B21" s="120" t="s">
        <v>173</v>
      </c>
      <c r="C21" s="115" t="s">
        <v>133</v>
      </c>
      <c r="D21" s="115" t="s">
        <v>28</v>
      </c>
      <c r="E21" s="115" t="s">
        <v>26</v>
      </c>
      <c r="F21" s="115" t="s">
        <v>133</v>
      </c>
      <c r="H21" s="156" t="str">
        <f ca="1"/>
        <v>EURYC_STD_LIBOR_6M</v>
      </c>
      <c r="I21" s="165">
        <f ca="1"/>
        <v>9.0589560568332672E-4</v>
      </c>
      <c r="J21" s="165">
        <f ca="1"/>
        <v>-6.2816403806209564E-4</v>
      </c>
      <c r="K21" s="165">
        <f ca="1"/>
        <v>0</v>
      </c>
      <c r="L21" s="165">
        <f ca="1"/>
        <v>-9.8976994976401329</v>
      </c>
      <c r="M21" s="165">
        <f ca="1"/>
        <v>-9.8974217660725117</v>
      </c>
    </row>
    <row r="22" spans="2:13" x14ac:dyDescent="0.25">
      <c r="B22" s="120" t="s">
        <v>174</v>
      </c>
      <c r="C22" s="116" t="s">
        <v>6</v>
      </c>
      <c r="D22" s="116" t="s">
        <v>6</v>
      </c>
      <c r="E22" s="116" t="s">
        <v>6</v>
      </c>
      <c r="F22" s="116" t="s">
        <v>6</v>
      </c>
      <c r="H22" s="156" t="str">
        <f ca="1"/>
        <v>EURYC_STD_LIBOR_12M</v>
      </c>
      <c r="I22" s="165">
        <f ca="1"/>
        <v>0</v>
      </c>
      <c r="J22" s="165">
        <f ca="1"/>
        <v>0</v>
      </c>
      <c r="K22" s="165">
        <f ca="1"/>
        <v>0</v>
      </c>
      <c r="L22" s="165">
        <f ca="1"/>
        <v>0</v>
      </c>
      <c r="M22" s="165">
        <f ca="1"/>
        <v>0</v>
      </c>
    </row>
    <row r="23" spans="2:13" x14ac:dyDescent="0.25">
      <c r="B23" s="120" t="s">
        <v>284</v>
      </c>
      <c r="C23" s="116" t="s">
        <v>22</v>
      </c>
      <c r="D23" s="116" t="s">
        <v>22</v>
      </c>
      <c r="E23" s="116" t="s">
        <v>22</v>
      </c>
      <c r="F23" s="116" t="s">
        <v>22</v>
      </c>
      <c r="H23" s="156" t="str">
        <f ca="1"/>
        <v>EURYC_STD_FRA6M_2X8</v>
      </c>
      <c r="I23" s="165">
        <f ca="1"/>
        <v>0</v>
      </c>
      <c r="J23" s="165">
        <f ca="1"/>
        <v>0</v>
      </c>
      <c r="K23" s="165">
        <f ca="1"/>
        <v>0</v>
      </c>
      <c r="L23" s="165">
        <f ca="1"/>
        <v>0</v>
      </c>
      <c r="M23" s="165">
        <f ca="1"/>
        <v>0</v>
      </c>
    </row>
    <row r="24" spans="2:13" x14ac:dyDescent="0.25">
      <c r="B24" s="121" t="s">
        <v>176</v>
      </c>
      <c r="C24" s="116" t="s">
        <v>2</v>
      </c>
      <c r="D24" s="116" t="s">
        <v>2</v>
      </c>
      <c r="E24" s="116" t="s">
        <v>2</v>
      </c>
      <c r="F24" s="116" t="s">
        <v>2</v>
      </c>
      <c r="H24" s="156" t="str">
        <f ca="1"/>
        <v>EURYC_STD_FRA6M_3X9</v>
      </c>
      <c r="I24" s="165">
        <f ca="1"/>
        <v>0</v>
      </c>
      <c r="J24" s="165">
        <f ca="1"/>
        <v>0</v>
      </c>
      <c r="K24" s="165">
        <f ca="1"/>
        <v>0</v>
      </c>
      <c r="L24" s="165">
        <f ca="1"/>
        <v>0</v>
      </c>
      <c r="M24" s="165">
        <f ca="1"/>
        <v>0</v>
      </c>
    </row>
    <row r="25" spans="2:13" x14ac:dyDescent="0.25">
      <c r="B25" s="121" t="s">
        <v>175</v>
      </c>
      <c r="C25" s="116"/>
      <c r="D25" s="116"/>
      <c r="E25" s="116"/>
      <c r="F25" s="116"/>
      <c r="H25" s="156" t="str">
        <f ca="1"/>
        <v>EURYC_STD_FRA6M_4X10</v>
      </c>
      <c r="I25" s="165">
        <f ca="1"/>
        <v>0</v>
      </c>
      <c r="J25" s="165">
        <f ca="1"/>
        <v>0</v>
      </c>
      <c r="K25" s="165">
        <f ca="1"/>
        <v>0</v>
      </c>
      <c r="L25" s="165">
        <f ca="1"/>
        <v>0</v>
      </c>
      <c r="M25" s="165">
        <f ca="1"/>
        <v>0</v>
      </c>
    </row>
    <row r="26" spans="2:13" x14ac:dyDescent="0.25">
      <c r="B26" s="121" t="s">
        <v>177</v>
      </c>
      <c r="C26" s="116"/>
      <c r="D26" s="116"/>
      <c r="E26" s="116"/>
      <c r="F26" s="116"/>
      <c r="H26" s="156" t="str">
        <f ca="1"/>
        <v>EURYC_STD_FRA6M_5X11</v>
      </c>
      <c r="I26" s="165">
        <f ca="1"/>
        <v>0</v>
      </c>
      <c r="J26" s="165">
        <f ca="1"/>
        <v>0</v>
      </c>
      <c r="K26" s="165">
        <f ca="1"/>
        <v>0</v>
      </c>
      <c r="L26" s="165">
        <f ca="1"/>
        <v>0</v>
      </c>
      <c r="M26" s="165">
        <f ca="1"/>
        <v>0</v>
      </c>
    </row>
    <row r="27" spans="2:13" x14ac:dyDescent="0.25">
      <c r="B27" s="121" t="s">
        <v>178</v>
      </c>
      <c r="C27" s="116">
        <v>23</v>
      </c>
      <c r="D27" s="116">
        <v>23</v>
      </c>
      <c r="E27" s="116">
        <v>23</v>
      </c>
      <c r="F27" s="116">
        <v>23</v>
      </c>
      <c r="H27" s="156" t="str">
        <f ca="1"/>
        <v>EURYC_STD_FRA6M_6X12</v>
      </c>
      <c r="I27" s="165">
        <f ca="1"/>
        <v>-5.7596713304519653E-5</v>
      </c>
      <c r="J27" s="165">
        <f ca="1"/>
        <v>2.040565013885498E-3</v>
      </c>
      <c r="K27" s="165">
        <f ca="1"/>
        <v>0</v>
      </c>
      <c r="L27" s="165">
        <f ca="1"/>
        <v>-10.539990451186895</v>
      </c>
      <c r="M27" s="165">
        <f ca="1"/>
        <v>-10.538007482886314</v>
      </c>
    </row>
    <row r="28" spans="2:13" x14ac:dyDescent="0.25">
      <c r="B28" s="121" t="s">
        <v>179</v>
      </c>
      <c r="C28" s="116" t="s">
        <v>162</v>
      </c>
      <c r="D28" s="116" t="s">
        <v>162</v>
      </c>
      <c r="E28" s="116" t="s">
        <v>162</v>
      </c>
      <c r="F28" s="116" t="s">
        <v>162</v>
      </c>
      <c r="H28" s="156" t="str">
        <f ca="1"/>
        <v>EURYC_STD_FRA6M_7X13</v>
      </c>
      <c r="I28" s="165">
        <f ca="1"/>
        <v>0</v>
      </c>
      <c r="J28" s="165">
        <f ca="1"/>
        <v>0</v>
      </c>
      <c r="K28" s="165">
        <f ca="1"/>
        <v>0</v>
      </c>
      <c r="L28" s="165">
        <f ca="1"/>
        <v>0</v>
      </c>
      <c r="M28" s="165">
        <f ca="1"/>
        <v>0</v>
      </c>
    </row>
    <row r="29" spans="2:13" x14ac:dyDescent="0.25">
      <c r="B29" s="121" t="s">
        <v>180</v>
      </c>
      <c r="C29" s="116"/>
      <c r="D29" s="116"/>
      <c r="E29" s="116"/>
      <c r="F29" s="116"/>
      <c r="H29" s="156" t="str">
        <f ca="1"/>
        <v>EURYC_STD_FRA6M_8X14</v>
      </c>
      <c r="I29" s="165">
        <f ca="1"/>
        <v>0</v>
      </c>
      <c r="J29" s="165">
        <f ca="1"/>
        <v>0</v>
      </c>
      <c r="K29" s="165">
        <f ca="1"/>
        <v>0</v>
      </c>
      <c r="L29" s="165">
        <f ca="1"/>
        <v>0</v>
      </c>
      <c r="M29" s="165">
        <f ca="1"/>
        <v>0</v>
      </c>
    </row>
    <row r="30" spans="2:13" x14ac:dyDescent="0.25">
      <c r="B30" s="121" t="s">
        <v>181</v>
      </c>
      <c r="C30" s="116"/>
      <c r="D30" s="116"/>
      <c r="E30" s="116"/>
      <c r="F30" s="116"/>
      <c r="H30" s="156" t="str">
        <f ca="1"/>
        <v>EURYC_STD_FRA6M_9X15</v>
      </c>
      <c r="I30" s="165">
        <f ca="1"/>
        <v>0</v>
      </c>
      <c r="J30" s="165">
        <f ca="1"/>
        <v>0</v>
      </c>
      <c r="K30" s="165">
        <f ca="1"/>
        <v>0</v>
      </c>
      <c r="L30" s="165">
        <f ca="1"/>
        <v>0</v>
      </c>
      <c r="M30" s="165">
        <f ca="1"/>
        <v>0</v>
      </c>
    </row>
    <row r="31" spans="2:13" x14ac:dyDescent="0.25">
      <c r="B31" s="121" t="s">
        <v>182</v>
      </c>
      <c r="C31" s="116" t="s">
        <v>162</v>
      </c>
      <c r="D31" s="116" t="s">
        <v>162</v>
      </c>
      <c r="E31" s="116" t="s">
        <v>162</v>
      </c>
      <c r="F31" s="116" t="s">
        <v>162</v>
      </c>
      <c r="H31" s="156" t="str">
        <f ca="1"/>
        <v>EURYC_STD_FRA6M_10X16</v>
      </c>
      <c r="I31" s="165">
        <f ca="1"/>
        <v>0</v>
      </c>
      <c r="J31" s="165">
        <f ca="1"/>
        <v>0</v>
      </c>
      <c r="K31" s="165">
        <f ca="1"/>
        <v>0</v>
      </c>
      <c r="L31" s="165">
        <f ca="1"/>
        <v>0</v>
      </c>
      <c r="M31" s="165">
        <f ca="1"/>
        <v>0</v>
      </c>
    </row>
    <row r="32" spans="2:13" x14ac:dyDescent="0.25">
      <c r="B32" s="121" t="s">
        <v>184</v>
      </c>
      <c r="C32" s="116"/>
      <c r="D32" s="116"/>
      <c r="E32" s="116"/>
      <c r="F32" s="116"/>
      <c r="H32" s="156" t="str">
        <f ca="1"/>
        <v>EURYC_STD_FRA6M_11X17</v>
      </c>
      <c r="I32" s="165">
        <f ca="1"/>
        <v>0</v>
      </c>
      <c r="J32" s="165">
        <f ca="1"/>
        <v>0</v>
      </c>
      <c r="K32" s="165">
        <f ca="1"/>
        <v>0</v>
      </c>
      <c r="L32" s="165">
        <f ca="1"/>
        <v>0</v>
      </c>
      <c r="M32" s="165">
        <f ca="1"/>
        <v>0</v>
      </c>
    </row>
    <row r="33" spans="2:27" x14ac:dyDescent="0.25">
      <c r="B33" s="122" t="s">
        <v>183</v>
      </c>
      <c r="C33" s="128" t="s">
        <v>163</v>
      </c>
      <c r="D33" s="128" t="s">
        <v>163</v>
      </c>
      <c r="E33" s="128" t="s">
        <v>163</v>
      </c>
      <c r="F33" s="128" t="s">
        <v>163</v>
      </c>
      <c r="H33" s="156" t="str">
        <f ca="1"/>
        <v>EURYC_STD_FRA6M_12X18</v>
      </c>
      <c r="I33" s="157">
        <f ca="1"/>
        <v>8.78944993019104E-4</v>
      </c>
      <c r="J33" s="157">
        <f ca="1"/>
        <v>1.2071803212165833E-4</v>
      </c>
      <c r="K33" s="157">
        <f ca="1"/>
        <v>0</v>
      </c>
      <c r="L33" s="157">
        <f ca="1"/>
        <v>-6.3669776879251003</v>
      </c>
      <c r="M33" s="157">
        <f ca="1"/>
        <v>-6.3659780248999596</v>
      </c>
    </row>
    <row r="34" spans="2:27" x14ac:dyDescent="0.25">
      <c r="B34" s="122" t="s">
        <v>340</v>
      </c>
      <c r="C34" s="128"/>
      <c r="D34" s="128"/>
      <c r="E34" s="128" t="s">
        <v>341</v>
      </c>
      <c r="F34" s="128"/>
      <c r="H34" s="156" t="str">
        <f ca="1"/>
        <v>EURYC_STD_6MLIBORSWAP_2Y</v>
      </c>
      <c r="I34" s="157">
        <f ca="1"/>
        <v>20115.244407430291</v>
      </c>
      <c r="J34" s="157">
        <f ca="1"/>
        <v>-9.9605545401573181E-3</v>
      </c>
      <c r="K34" s="157">
        <f ca="1"/>
        <v>0</v>
      </c>
      <c r="L34" s="157">
        <f ca="1"/>
        <v>52.162759240716696</v>
      </c>
      <c r="M34" s="157">
        <f ca="1"/>
        <v>20167.397206116468</v>
      </c>
    </row>
    <row r="35" spans="2:27" x14ac:dyDescent="0.25">
      <c r="B35" s="179" t="s">
        <v>153</v>
      </c>
      <c r="C35" s="188" t="s">
        <v>92</v>
      </c>
      <c r="D35" s="188" t="s">
        <v>296</v>
      </c>
      <c r="E35" s="188" t="s">
        <v>9</v>
      </c>
      <c r="F35" s="188" t="s">
        <v>92</v>
      </c>
      <c r="H35" s="156" t="str">
        <f ca="1"/>
        <v>EURYC_STD_6MLIBORSWAP_3Y</v>
      </c>
      <c r="I35" s="157">
        <f ca="1"/>
        <v>0</v>
      </c>
      <c r="J35" s="157">
        <f ca="1"/>
        <v>30237.588884165511</v>
      </c>
      <c r="K35" s="157">
        <f ca="1"/>
        <v>0</v>
      </c>
      <c r="L35" s="157">
        <f ca="1"/>
        <v>32.787347260862589</v>
      </c>
      <c r="M35" s="157">
        <f ca="1"/>
        <v>30270.376231426373</v>
      </c>
    </row>
    <row r="36" spans="2:27" x14ac:dyDescent="0.25">
      <c r="B36" s="180" t="s">
        <v>155</v>
      </c>
      <c r="C36" s="189" t="s">
        <v>9</v>
      </c>
      <c r="D36" s="189" t="s">
        <v>9</v>
      </c>
      <c r="E36" s="189" t="s">
        <v>9</v>
      </c>
      <c r="F36" s="189" t="s">
        <v>233</v>
      </c>
      <c r="H36" s="156" t="str">
        <f ca="1"/>
        <v>EURYC_STD_6MLIBORSWAP_4Y</v>
      </c>
      <c r="I36" s="157">
        <f ca="1"/>
        <v>0</v>
      </c>
      <c r="J36" s="157">
        <f ca="1"/>
        <v>4.9833245575428009E-3</v>
      </c>
      <c r="K36" s="157">
        <f ca="1"/>
        <v>0</v>
      </c>
      <c r="L36" s="157">
        <f ca="1"/>
        <v>-87.417734179645777</v>
      </c>
      <c r="M36" s="157">
        <f ca="1"/>
        <v>-87.412750855088234</v>
      </c>
    </row>
    <row r="37" spans="2:27" x14ac:dyDescent="0.25">
      <c r="D37" s="167"/>
      <c r="E37" s="167"/>
      <c r="F37" s="167"/>
      <c r="H37" s="156" t="str">
        <f ca="1"/>
        <v>EURYC_STD_6MLIBORSWAP_5Y</v>
      </c>
      <c r="I37" s="157">
        <f ca="1"/>
        <v>0</v>
      </c>
      <c r="J37" s="157">
        <f ca="1"/>
        <v>-4.6230852603912354E-6</v>
      </c>
      <c r="K37" s="157">
        <f ca="1"/>
        <v>0</v>
      </c>
      <c r="L37" s="157">
        <f ca="1"/>
        <v>-50248.930680379272</v>
      </c>
      <c r="M37" s="157">
        <f ca="1"/>
        <v>-50248.930685002357</v>
      </c>
    </row>
    <row r="38" spans="2:27" x14ac:dyDescent="0.25">
      <c r="B38" s="114" t="s">
        <v>291</v>
      </c>
      <c r="D38" s="169"/>
      <c r="E38" s="169"/>
      <c r="F38" s="169"/>
      <c r="H38" s="160" t="str">
        <f ca="1"/>
        <v>EURYC_STD_6MLIBORSWAP_6Y</v>
      </c>
      <c r="I38" s="161">
        <f ca="1"/>
        <v>0</v>
      </c>
      <c r="J38" s="161">
        <f ca="1"/>
        <v>-7.4505805969238281E-9</v>
      </c>
      <c r="K38" s="161">
        <f ca="1"/>
        <v>0</v>
      </c>
      <c r="L38" s="161">
        <f ca="1"/>
        <v>1.0623773150146008</v>
      </c>
      <c r="M38" s="161">
        <f ca="1"/>
        <v>1.0623773075640202</v>
      </c>
    </row>
    <row r="39" spans="2:27" x14ac:dyDescent="0.25">
      <c r="B39" s="129" t="s">
        <v>154</v>
      </c>
      <c r="C39" s="117" t="s">
        <v>80</v>
      </c>
      <c r="D39" s="169"/>
      <c r="E39" s="169"/>
      <c r="F39" s="169"/>
      <c r="H39" s="160" t="str">
        <f ca="1"/>
        <v>EURYC_STD_6MLIBORSWAP_7Y</v>
      </c>
      <c r="I39" s="161">
        <f ca="1"/>
        <v>0</v>
      </c>
      <c r="J39" s="161">
        <f ca="1"/>
        <v>0</v>
      </c>
      <c r="K39" s="161">
        <f ca="1"/>
        <v>0</v>
      </c>
      <c r="L39" s="161">
        <f ca="1"/>
        <v>2.0224228501319885E-4</v>
      </c>
      <c r="M39" s="161">
        <f ca="1"/>
        <v>2.0224228501319885E-4</v>
      </c>
    </row>
    <row r="40" spans="2:27" x14ac:dyDescent="0.25">
      <c r="B40" s="130" t="s">
        <v>156</v>
      </c>
      <c r="C40" s="118">
        <v>1</v>
      </c>
      <c r="D40" s="168"/>
      <c r="E40" s="168"/>
      <c r="F40" s="168"/>
      <c r="H40" s="160" t="str">
        <f ca="1"/>
        <v>EURYC_STD_6MLIBORSWAP_8Y</v>
      </c>
      <c r="I40" s="161">
        <f ca="1"/>
        <v>0</v>
      </c>
      <c r="J40" s="161">
        <f ca="1"/>
        <v>0</v>
      </c>
      <c r="K40" s="161">
        <f ca="1"/>
        <v>0</v>
      </c>
      <c r="L40" s="161">
        <f ca="1"/>
        <v>5.9604644775390625E-8</v>
      </c>
      <c r="M40" s="161">
        <f ca="1"/>
        <v>5.9604644775390625E-8</v>
      </c>
    </row>
    <row r="41" spans="2:27" x14ac:dyDescent="0.25">
      <c r="B41" s="130" t="s">
        <v>157</v>
      </c>
      <c r="C41" s="119" t="s">
        <v>192</v>
      </c>
      <c r="D41" s="169"/>
      <c r="E41" s="169"/>
      <c r="F41" s="169"/>
      <c r="H41" s="160" t="str">
        <f ca="1"/>
        <v>EURYC_STD_6MLIBORSWAP_9Y</v>
      </c>
      <c r="I41" s="161">
        <f ca="1"/>
        <v>0</v>
      </c>
      <c r="J41" s="161">
        <f ca="1"/>
        <v>0</v>
      </c>
      <c r="K41" s="161">
        <f ca="1"/>
        <v>0</v>
      </c>
      <c r="L41" s="161">
        <f ca="1"/>
        <v>0</v>
      </c>
      <c r="M41" s="161">
        <f ca="1"/>
        <v>0</v>
      </c>
      <c r="Y41" s="136" t="s">
        <v>191</v>
      </c>
    </row>
    <row r="42" spans="2:27" x14ac:dyDescent="0.25">
      <c r="B42" s="131"/>
      <c r="C42" s="128"/>
      <c r="D42" s="169"/>
      <c r="E42" s="169"/>
      <c r="F42" s="169"/>
      <c r="H42" s="186" t="str">
        <f ca="1"/>
        <v>EURYC_STD_6MLIBORSWAP_10Y</v>
      </c>
      <c r="I42" s="187">
        <f ca="1"/>
        <v>0</v>
      </c>
      <c r="J42" s="187">
        <f ca="1"/>
        <v>0</v>
      </c>
      <c r="K42" s="187">
        <f ca="1"/>
        <v>0</v>
      </c>
      <c r="L42" s="187">
        <f ca="1"/>
        <v>0</v>
      </c>
      <c r="M42" s="187">
        <f ca="1"/>
        <v>0</v>
      </c>
      <c r="Y42" s="135" t="s">
        <v>189</v>
      </c>
      <c r="Z42" s="135" t="s">
        <v>190</v>
      </c>
      <c r="AA42" s="135" t="s">
        <v>158</v>
      </c>
    </row>
    <row r="43" spans="2:27" x14ac:dyDescent="0.25">
      <c r="H43" s="160" t="str">
        <f ca="1"/>
        <v>EURYC_OIS_OUTRIGHTOISSWAP_ON</v>
      </c>
      <c r="I43" s="161">
        <f ca="1"/>
        <v>8.6044625099748373</v>
      </c>
      <c r="J43" s="161">
        <f ca="1"/>
        <v>13.135985765606165</v>
      </c>
      <c r="K43" s="161">
        <f ca="1"/>
        <v>-21.122103795409203</v>
      </c>
      <c r="L43" s="161">
        <f ca="1"/>
        <v>0</v>
      </c>
      <c r="M43" s="161">
        <f ca="1"/>
        <v>0.61834448017179966</v>
      </c>
      <c r="Y43" s="134">
        <v>0.45500000000000002</v>
      </c>
      <c r="Z43" s="134">
        <v>0.45200000000000001</v>
      </c>
      <c r="AA43" s="134">
        <v>0.69099999999999995</v>
      </c>
    </row>
    <row r="44" spans="2:27" x14ac:dyDescent="0.25">
      <c r="B44" s="114" t="s">
        <v>342</v>
      </c>
      <c r="H44" s="160" t="str">
        <f ca="1"/>
        <v>EURYC_OIS_CBRate_EUSF1A</v>
      </c>
      <c r="I44" s="161">
        <f ca="1"/>
        <v>4.7110687345266342</v>
      </c>
      <c r="J44" s="161">
        <f ca="1"/>
        <v>9.2514285296201706</v>
      </c>
      <c r="K44" s="161">
        <f ca="1"/>
        <v>-10.658679932355881</v>
      </c>
      <c r="L44" s="161">
        <f ca="1"/>
        <v>0</v>
      </c>
      <c r="M44" s="161">
        <f ca="1"/>
        <v>3.3038173317909241</v>
      </c>
    </row>
    <row r="45" spans="2:27" x14ac:dyDescent="0.25">
      <c r="B45" s="182" t="s">
        <v>92</v>
      </c>
      <c r="H45" s="160" t="str">
        <f ca="1"/>
        <v>EURYC_OIS_CBRate_EUSF2A</v>
      </c>
      <c r="I45" s="161">
        <f ca="1"/>
        <v>0.90304885245859623</v>
      </c>
      <c r="J45" s="161">
        <f ca="1"/>
        <v>1.6503342166543007</v>
      </c>
      <c r="K45" s="161">
        <f ca="1"/>
        <v>-1.1812397353351116</v>
      </c>
      <c r="L45" s="161">
        <f ca="1"/>
        <v>0</v>
      </c>
      <c r="M45" s="161">
        <f ca="1"/>
        <v>1.3721433337777853</v>
      </c>
    </row>
    <row r="46" spans="2:27" x14ac:dyDescent="0.25">
      <c r="B46" s="183" t="s">
        <v>296</v>
      </c>
      <c r="H46" s="160" t="str">
        <f ca="1"/>
        <v>EURYC_OIS_CBRate_EUSF3A</v>
      </c>
      <c r="I46" s="161">
        <f ca="1"/>
        <v>0.60817754454910755</v>
      </c>
      <c r="J46" s="161">
        <f ca="1"/>
        <v>1.3455821312963963</v>
      </c>
      <c r="K46" s="161">
        <f ca="1"/>
        <v>-0.96938600018620491</v>
      </c>
      <c r="L46" s="161">
        <f ca="1"/>
        <v>0</v>
      </c>
      <c r="M46" s="161">
        <f ca="1"/>
        <v>0.9843736756592989</v>
      </c>
    </row>
    <row r="47" spans="2:27" x14ac:dyDescent="0.25">
      <c r="B47" s="183" t="s">
        <v>9</v>
      </c>
      <c r="H47" s="160" t="str">
        <f ca="1"/>
        <v>EURYC_OIS_CBRate_EUSF4A</v>
      </c>
      <c r="I47" s="157">
        <f ca="1"/>
        <v>0</v>
      </c>
      <c r="J47" s="157">
        <f ca="1"/>
        <v>0.61018362268805504</v>
      </c>
      <c r="K47" s="157">
        <f ca="1"/>
        <v>-0.46400928869843483</v>
      </c>
      <c r="L47" s="157">
        <f ca="1"/>
        <v>0</v>
      </c>
      <c r="M47" s="157">
        <f ca="1"/>
        <v>0.14617433398962021</v>
      </c>
    </row>
    <row r="48" spans="2:27" x14ac:dyDescent="0.25">
      <c r="B48" s="184" t="s">
        <v>233</v>
      </c>
      <c r="H48" s="160" t="str">
        <f ca="1"/>
        <v>EURYC_OIS_CBRate_EUSF5A</v>
      </c>
      <c r="I48" s="157">
        <f ca="1"/>
        <v>0</v>
      </c>
      <c r="J48" s="157">
        <f ca="1"/>
        <v>0.42781278863549232</v>
      </c>
      <c r="K48" s="157">
        <f ca="1"/>
        <v>-0.33318157121539116</v>
      </c>
      <c r="L48" s="157">
        <f ca="1"/>
        <v>0</v>
      </c>
      <c r="M48" s="157">
        <f ca="1"/>
        <v>9.4631217420101166E-2</v>
      </c>
    </row>
    <row r="49" spans="7:13" x14ac:dyDescent="0.25">
      <c r="H49" s="160" t="str">
        <f ca="1"/>
        <v>EURYC_OIS_OUTRIGHTOISSWAP_12M</v>
      </c>
      <c r="I49" s="157">
        <f ca="1"/>
        <v>521.69080823473632</v>
      </c>
      <c r="J49" s="157">
        <f ca="1"/>
        <v>525.78959239646792</v>
      </c>
      <c r="K49" s="157">
        <f ca="1"/>
        <v>-512.10004520788789</v>
      </c>
      <c r="L49" s="157">
        <f ca="1"/>
        <v>0</v>
      </c>
      <c r="M49" s="157">
        <f ca="1"/>
        <v>535.38035542331636</v>
      </c>
    </row>
    <row r="50" spans="7:13" x14ac:dyDescent="0.25">
      <c r="H50" s="160" t="str">
        <f ca="1"/>
        <v>EURYC_OIS_OUTRIGHTOISSWAP_18M</v>
      </c>
      <c r="I50" s="157">
        <f ca="1"/>
        <v>10.839783128350973</v>
      </c>
      <c r="J50" s="157">
        <f ca="1"/>
        <v>20.201913356781006</v>
      </c>
      <c r="K50" s="157">
        <f ca="1"/>
        <v>-23.225407920777798</v>
      </c>
      <c r="L50" s="157">
        <f ca="1"/>
        <v>0</v>
      </c>
      <c r="M50" s="157">
        <f ca="1"/>
        <v>7.8162885643541813</v>
      </c>
    </row>
    <row r="51" spans="7:13" x14ac:dyDescent="0.25">
      <c r="H51" s="160" t="str">
        <f ca="1"/>
        <v>EURYC_OIS_OUTRIGHTOISSWAP_2Y</v>
      </c>
      <c r="I51" s="157">
        <f ca="1"/>
        <v>1036.3310865834355</v>
      </c>
      <c r="J51" s="157">
        <f ca="1"/>
        <v>1066.5452983360738</v>
      </c>
      <c r="K51" s="157">
        <f ca="1"/>
        <v>-983.89994715154171</v>
      </c>
      <c r="L51" s="157">
        <f ca="1"/>
        <v>0</v>
      </c>
      <c r="M51" s="157">
        <f ca="1"/>
        <v>1118.9764377679676</v>
      </c>
    </row>
    <row r="52" spans="7:13" x14ac:dyDescent="0.25">
      <c r="H52" s="160" t="str">
        <f ca="1"/>
        <v>EURYC_OIS_BASISRATE_3Y</v>
      </c>
      <c r="I52" s="157">
        <f ca="1"/>
        <v>0</v>
      </c>
      <c r="J52" s="157">
        <f ca="1"/>
        <v>-1560.6293633785099</v>
      </c>
      <c r="K52" s="157">
        <f ca="1"/>
        <v>1583.6393291056156</v>
      </c>
      <c r="L52" s="157">
        <f ca="1"/>
        <v>0</v>
      </c>
      <c r="M52" s="157">
        <f ca="1"/>
        <v>23.009965727105737</v>
      </c>
    </row>
    <row r="53" spans="7:13" x14ac:dyDescent="0.25">
      <c r="H53" s="160" t="str">
        <f ca="1"/>
        <v>EURYC_OIS_6MLIBORSWAP_3Y</v>
      </c>
      <c r="I53" s="157">
        <f ca="1"/>
        <v>0</v>
      </c>
      <c r="J53" s="157">
        <f ca="1"/>
        <v>1538.7864775620401</v>
      </c>
      <c r="K53" s="157">
        <f ca="1"/>
        <v>-1571.8495225906372</v>
      </c>
      <c r="L53" s="157">
        <f ca="1"/>
        <v>0</v>
      </c>
      <c r="M53" s="157">
        <f ca="1"/>
        <v>-33.063045028597116</v>
      </c>
    </row>
    <row r="54" spans="7:13" x14ac:dyDescent="0.25">
      <c r="H54" s="160" t="str">
        <f ca="1"/>
        <v>EURYC_OIS_BASISRATE_4Y</v>
      </c>
      <c r="I54" s="157">
        <f ca="1"/>
        <v>0</v>
      </c>
      <c r="J54" s="157">
        <f ca="1"/>
        <v>0</v>
      </c>
      <c r="K54" s="157">
        <f ca="1"/>
        <v>2007.9394036643207</v>
      </c>
      <c r="L54" s="157">
        <f ca="1"/>
        <v>0</v>
      </c>
      <c r="M54" s="157">
        <f ca="1"/>
        <v>2007.9394036643207</v>
      </c>
    </row>
    <row r="55" spans="7:13" x14ac:dyDescent="0.25">
      <c r="H55" s="160" t="str">
        <f ca="1"/>
        <v>EURYC_OIS_6MLIBORSWAP_4Y</v>
      </c>
      <c r="I55" s="157">
        <f ca="1"/>
        <v>0</v>
      </c>
      <c r="J55" s="157">
        <f ca="1"/>
        <v>0</v>
      </c>
      <c r="K55" s="157">
        <f ca="1"/>
        <v>-1993.7007703818381</v>
      </c>
      <c r="L55" s="157">
        <f ca="1"/>
        <v>0</v>
      </c>
      <c r="M55" s="157">
        <f ca="1"/>
        <v>-1993.7007703818381</v>
      </c>
    </row>
    <row r="56" spans="7:13" x14ac:dyDescent="0.25">
      <c r="H56" s="160" t="str">
        <f ca="1"/>
        <v>EURYC_OIS_BASISRATE_5Y</v>
      </c>
      <c r="I56" s="157">
        <f ca="1"/>
        <v>0</v>
      </c>
      <c r="J56" s="157">
        <f ca="1"/>
        <v>0</v>
      </c>
      <c r="K56" s="157">
        <f ca="1"/>
        <v>53599.037758987397</v>
      </c>
      <c r="L56" s="157">
        <f ca="1"/>
        <v>0</v>
      </c>
      <c r="M56" s="157">
        <f ca="1"/>
        <v>53599.037758987397</v>
      </c>
    </row>
    <row r="57" spans="7:13" x14ac:dyDescent="0.25">
      <c r="H57" s="160" t="str">
        <f ca="1"/>
        <v>EURYC_OIS_6MLIBORSWAP_5Y</v>
      </c>
      <c r="I57" s="157">
        <f ca="1"/>
        <v>0</v>
      </c>
      <c r="J57" s="157">
        <f ca="1"/>
        <v>0</v>
      </c>
      <c r="K57" s="157">
        <f ca="1"/>
        <v>-52808.021593853831</v>
      </c>
      <c r="L57" s="157">
        <f ca="1"/>
        <v>0</v>
      </c>
      <c r="M57" s="157">
        <f ca="1"/>
        <v>-52808.021593853831</v>
      </c>
    </row>
    <row r="58" spans="7:13" x14ac:dyDescent="0.25">
      <c r="H58" s="160" t="str">
        <f ca="1"/>
        <v>EURYC_OIS_BASISRATE_6Y</v>
      </c>
      <c r="I58" s="157">
        <f ca="1"/>
        <v>0</v>
      </c>
      <c r="J58" s="157">
        <f ca="1"/>
        <v>0</v>
      </c>
      <c r="K58" s="157">
        <f ca="1"/>
        <v>-6.7055225372314453E-8</v>
      </c>
      <c r="L58" s="157">
        <f ca="1"/>
        <v>0</v>
      </c>
      <c r="M58" s="157">
        <f ca="1"/>
        <v>-6.7055225372314453E-8</v>
      </c>
    </row>
    <row r="59" spans="7:13" x14ac:dyDescent="0.25">
      <c r="G59" s="148"/>
      <c r="H59" s="160" t="str">
        <f ca="1"/>
        <v>EURYC_OIS_6MLIBORSWAP_6Y</v>
      </c>
      <c r="I59" s="157">
        <f ca="1"/>
        <v>0</v>
      </c>
      <c r="J59" s="157">
        <f ca="1"/>
        <v>0</v>
      </c>
      <c r="K59" s="157">
        <f ca="1"/>
        <v>4.4703483581542969E-8</v>
      </c>
      <c r="L59" s="157">
        <f ca="1"/>
        <v>0</v>
      </c>
      <c r="M59" s="157">
        <f ca="1"/>
        <v>4.4703483581542969E-8</v>
      </c>
    </row>
    <row r="60" spans="7:13" x14ac:dyDescent="0.25">
      <c r="G60" s="148"/>
      <c r="H60" s="160" t="str">
        <f ca="1"/>
        <v>EURYC_OIS_BASISRATE_7Y</v>
      </c>
      <c r="I60" s="157">
        <f ca="1"/>
        <v>0</v>
      </c>
      <c r="J60" s="157">
        <f ca="1"/>
        <v>0</v>
      </c>
      <c r="K60" s="157">
        <f ca="1"/>
        <v>0</v>
      </c>
      <c r="L60" s="157">
        <f ca="1"/>
        <v>0</v>
      </c>
      <c r="M60" s="157">
        <f ca="1"/>
        <v>0</v>
      </c>
    </row>
    <row r="61" spans="7:13" x14ac:dyDescent="0.25">
      <c r="G61" s="148"/>
      <c r="H61" s="160" t="str">
        <f ca="1"/>
        <v>EURYC_OIS_6MLIBORSWAP_7Y</v>
      </c>
      <c r="I61" s="157">
        <f ca="1"/>
        <v>0</v>
      </c>
      <c r="J61" s="157">
        <f ca="1"/>
        <v>0</v>
      </c>
      <c r="K61" s="157">
        <f ca="1"/>
        <v>0</v>
      </c>
      <c r="L61" s="157">
        <f ca="1"/>
        <v>0</v>
      </c>
      <c r="M61" s="157">
        <f ca="1"/>
        <v>0</v>
      </c>
    </row>
    <row r="62" spans="7:13" x14ac:dyDescent="0.25">
      <c r="G62" s="148"/>
      <c r="H62" s="160" t="str">
        <f ca="1"/>
        <v>EURYC_OIS_BASISRATE_8Y</v>
      </c>
      <c r="I62" s="157">
        <f ca="1"/>
        <v>0</v>
      </c>
      <c r="J62" s="157">
        <f ca="1"/>
        <v>0</v>
      </c>
      <c r="K62" s="157">
        <f ca="1"/>
        <v>0</v>
      </c>
      <c r="L62" s="157">
        <f ca="1"/>
        <v>0</v>
      </c>
      <c r="M62" s="157">
        <f ca="1"/>
        <v>0</v>
      </c>
    </row>
    <row r="63" spans="7:13" x14ac:dyDescent="0.25">
      <c r="G63" s="148"/>
      <c r="H63" s="160" t="str">
        <f ca="1"/>
        <v>EURYC_OIS_6MLIBORSWAP_8Y</v>
      </c>
      <c r="I63" s="157">
        <f ca="1"/>
        <v>0</v>
      </c>
      <c r="J63" s="157">
        <f ca="1"/>
        <v>0</v>
      </c>
      <c r="K63" s="157">
        <f ca="1"/>
        <v>0</v>
      </c>
      <c r="L63" s="157">
        <f ca="1"/>
        <v>0</v>
      </c>
      <c r="M63" s="157">
        <f ca="1"/>
        <v>0</v>
      </c>
    </row>
    <row r="64" spans="7:13" x14ac:dyDescent="0.25">
      <c r="G64" s="148"/>
      <c r="H64" s="160" t="str">
        <f ca="1"/>
        <v>EURYC_OIS_BASISRATE_9Y</v>
      </c>
      <c r="I64" s="157">
        <f ca="1"/>
        <v>0</v>
      </c>
      <c r="J64" s="157">
        <f ca="1"/>
        <v>0</v>
      </c>
      <c r="K64" s="157">
        <f ca="1"/>
        <v>0</v>
      </c>
      <c r="L64" s="157">
        <f ca="1"/>
        <v>0</v>
      </c>
      <c r="M64" s="157">
        <f ca="1"/>
        <v>0</v>
      </c>
    </row>
    <row r="65" spans="7:13" x14ac:dyDescent="0.25">
      <c r="G65" s="148"/>
      <c r="H65" s="160" t="str">
        <f ca="1"/>
        <v>EURYC_OIS_6MLIBORSWAP_9Y</v>
      </c>
      <c r="I65" s="157">
        <f ca="1"/>
        <v>0</v>
      </c>
      <c r="J65" s="157">
        <f ca="1"/>
        <v>0</v>
      </c>
      <c r="K65" s="157">
        <f ca="1"/>
        <v>0</v>
      </c>
      <c r="L65" s="157">
        <f ca="1"/>
        <v>0</v>
      </c>
      <c r="M65" s="157">
        <f ca="1"/>
        <v>0</v>
      </c>
    </row>
    <row r="66" spans="7:13" x14ac:dyDescent="0.25">
      <c r="G66" s="148"/>
      <c r="H66" s="160" t="str">
        <f ca="1"/>
        <v>EURYC_OIS_BASISRATE_10Y</v>
      </c>
      <c r="I66" s="157">
        <f ca="1"/>
        <v>0</v>
      </c>
      <c r="J66" s="157">
        <f ca="1"/>
        <v>0</v>
      </c>
      <c r="K66" s="157">
        <f ca="1"/>
        <v>0</v>
      </c>
      <c r="L66" s="157">
        <f ca="1"/>
        <v>0</v>
      </c>
      <c r="M66" s="157">
        <f ca="1"/>
        <v>0</v>
      </c>
    </row>
    <row r="67" spans="7:13" x14ac:dyDescent="0.25">
      <c r="G67" s="148"/>
      <c r="H67" s="186" t="str">
        <f ca="1"/>
        <v>EURYC_OIS_6MLIBORSWAP_10Y</v>
      </c>
      <c r="I67" s="159">
        <f ca="1"/>
        <v>0</v>
      </c>
      <c r="J67" s="159">
        <f ca="1"/>
        <v>0</v>
      </c>
      <c r="K67" s="159">
        <f ca="1"/>
        <v>0</v>
      </c>
      <c r="L67" s="159">
        <f ca="1"/>
        <v>0</v>
      </c>
      <c r="M67" s="159">
        <f ca="1"/>
        <v>0</v>
      </c>
    </row>
    <row r="68" spans="7:13" x14ac:dyDescent="0.25">
      <c r="G68" s="148"/>
      <c r="H68" s="160" t="str">
        <f ca="1"/>
        <v>EURYC_XCCYBASIS_BASISRATE_1Y</v>
      </c>
      <c r="I68" s="157">
        <f ca="1"/>
        <v>0</v>
      </c>
      <c r="J68" s="157">
        <f ca="1"/>
        <v>0</v>
      </c>
      <c r="K68" s="157">
        <f ca="1"/>
        <v>0</v>
      </c>
      <c r="L68" s="157">
        <f ca="1"/>
        <v>-550.33745870739222</v>
      </c>
      <c r="M68" s="157">
        <f ca="1"/>
        <v>-550.33745870739222</v>
      </c>
    </row>
    <row r="69" spans="7:13" x14ac:dyDescent="0.25">
      <c r="G69" s="148"/>
      <c r="H69" s="160" t="str">
        <f ca="1"/>
        <v>EURYC_XCCYBASIS_BASISRATE_2Y</v>
      </c>
      <c r="I69" s="157">
        <f ca="1"/>
        <v>0</v>
      </c>
      <c r="J69" s="157">
        <f ca="1"/>
        <v>0</v>
      </c>
      <c r="K69" s="157">
        <f ca="1"/>
        <v>0</v>
      </c>
      <c r="L69" s="157">
        <f ca="1"/>
        <v>-1047.4121050648391</v>
      </c>
      <c r="M69" s="157">
        <f ca="1"/>
        <v>-1047.4121050648391</v>
      </c>
    </row>
    <row r="70" spans="7:13" x14ac:dyDescent="0.25">
      <c r="G70" s="148"/>
      <c r="H70" s="160" t="str">
        <f ca="1"/>
        <v>EURYC_XCCYBASIS_BASISRATE_3Y</v>
      </c>
      <c r="I70" s="157">
        <f ca="1"/>
        <v>0</v>
      </c>
      <c r="J70" s="157">
        <f ca="1"/>
        <v>0</v>
      </c>
      <c r="K70" s="157">
        <f ca="1"/>
        <v>0</v>
      </c>
      <c r="L70" s="157">
        <f ca="1"/>
        <v>-1512.9464275613427</v>
      </c>
      <c r="M70" s="157">
        <f ca="1"/>
        <v>-1512.9464275613427</v>
      </c>
    </row>
    <row r="71" spans="7:13" x14ac:dyDescent="0.25">
      <c r="G71" s="164"/>
      <c r="H71" s="160" t="str">
        <f ca="1"/>
        <v>EURYC_XCCYBASIS_BASISRATE_4Y</v>
      </c>
      <c r="I71" s="157">
        <f ca="1"/>
        <v>0</v>
      </c>
      <c r="J71" s="157">
        <f ca="1"/>
        <v>0</v>
      </c>
      <c r="K71" s="157">
        <f ca="1"/>
        <v>0</v>
      </c>
      <c r="L71" s="157">
        <f ca="1"/>
        <v>-1893.1983128152788</v>
      </c>
      <c r="M71" s="157">
        <f ca="1"/>
        <v>-1893.1983128152788</v>
      </c>
    </row>
    <row r="72" spans="7:13" x14ac:dyDescent="0.25">
      <c r="G72" s="164"/>
      <c r="H72" s="160" t="str">
        <f ca="1"/>
        <v>EURYC_XCCYBASIS_BASISRATE_5Y</v>
      </c>
      <c r="I72" s="157">
        <f ca="1"/>
        <v>0</v>
      </c>
      <c r="J72" s="157">
        <f ca="1"/>
        <v>0</v>
      </c>
      <c r="K72" s="157">
        <f ca="1"/>
        <v>0</v>
      </c>
      <c r="L72" s="157">
        <f ca="1"/>
        <v>-2307.776849899441</v>
      </c>
      <c r="M72" s="157">
        <f ca="1"/>
        <v>-2307.776849899441</v>
      </c>
    </row>
    <row r="73" spans="7:13" x14ac:dyDescent="0.25">
      <c r="G73" s="164"/>
      <c r="H73" s="160" t="str">
        <f ca="1"/>
        <v>EURYC_XCCYBASIS_BASISRATE_6Y</v>
      </c>
      <c r="I73" s="157">
        <f ca="1"/>
        <v>0</v>
      </c>
      <c r="J73" s="157">
        <f ca="1"/>
        <v>0</v>
      </c>
      <c r="K73" s="157">
        <f ca="1"/>
        <v>0</v>
      </c>
      <c r="L73" s="157">
        <f ca="1"/>
        <v>-8.9340800456702709</v>
      </c>
      <c r="M73" s="157">
        <f ca="1"/>
        <v>-8.9340800456702709</v>
      </c>
    </row>
    <row r="74" spans="7:13" x14ac:dyDescent="0.25">
      <c r="G74" s="164"/>
      <c r="H74" s="160" t="str">
        <f ca="1"/>
        <v>EURYC_XCCYBASIS_BASISRATE_7Y</v>
      </c>
      <c r="I74" s="157">
        <f ca="1"/>
        <v>0</v>
      </c>
      <c r="J74" s="157">
        <f ca="1"/>
        <v>0</v>
      </c>
      <c r="K74" s="157">
        <f ca="1"/>
        <v>0</v>
      </c>
      <c r="L74" s="157">
        <f ca="1"/>
        <v>-3.667391836643219E-3</v>
      </c>
      <c r="M74" s="157">
        <f ca="1"/>
        <v>-3.667391836643219E-3</v>
      </c>
    </row>
    <row r="75" spans="7:13" x14ac:dyDescent="0.25">
      <c r="G75" s="148"/>
      <c r="H75" s="160" t="str">
        <f ca="1"/>
        <v>EURYC_XCCYBASIS_BASISRATE_8Y</v>
      </c>
      <c r="I75" s="157">
        <f ca="1"/>
        <v>0</v>
      </c>
      <c r="J75" s="157">
        <f ca="1"/>
        <v>0</v>
      </c>
      <c r="K75" s="157">
        <f ca="1"/>
        <v>0</v>
      </c>
      <c r="L75" s="157">
        <f ca="1"/>
        <v>4.3723732233047485E-5</v>
      </c>
      <c r="M75" s="157">
        <f ca="1"/>
        <v>4.3723732233047485E-5</v>
      </c>
    </row>
    <row r="76" spans="7:13" x14ac:dyDescent="0.25">
      <c r="G76" s="148"/>
      <c r="H76" s="160" t="str">
        <f ca="1"/>
        <v>EURYC_XCCYBASIS_BASISRATE_9Y</v>
      </c>
      <c r="I76" s="157">
        <f ca="1"/>
        <v>0</v>
      </c>
      <c r="J76" s="157">
        <f ca="1"/>
        <v>0</v>
      </c>
      <c r="K76" s="157">
        <f ca="1"/>
        <v>0</v>
      </c>
      <c r="L76" s="157">
        <f ca="1"/>
        <v>1.7508864402770996E-7</v>
      </c>
      <c r="M76" s="157">
        <f ca="1"/>
        <v>1.7508864402770996E-7</v>
      </c>
    </row>
    <row r="77" spans="7:13" x14ac:dyDescent="0.25">
      <c r="G77" s="148"/>
      <c r="H77" s="160" t="str">
        <f ca="1"/>
        <v>EURYC_XCCYBASIS_BASISRATE_10Y</v>
      </c>
      <c r="I77" s="157">
        <f ca="1"/>
        <v>0</v>
      </c>
      <c r="J77" s="157">
        <f ca="1"/>
        <v>0</v>
      </c>
      <c r="K77" s="157">
        <f ca="1"/>
        <v>0</v>
      </c>
      <c r="L77" s="157">
        <f ca="1"/>
        <v>1.7508864402770996E-7</v>
      </c>
      <c r="M77" s="157">
        <f ca="1"/>
        <v>1.7508864402770996E-7</v>
      </c>
    </row>
    <row r="78" spans="7:13" x14ac:dyDescent="0.25">
      <c r="G78" s="148"/>
      <c r="H78" s="160" t="str">
        <f ca="1"/>
        <v>EURYC_XCCYBASIS_BASISRATE_11Y</v>
      </c>
      <c r="I78" s="157">
        <f ca="1"/>
        <v>0</v>
      </c>
      <c r="J78" s="157">
        <f ca="1"/>
        <v>0</v>
      </c>
      <c r="K78" s="157">
        <f ca="1"/>
        <v>0</v>
      </c>
      <c r="L78" s="157">
        <f ca="1"/>
        <v>1.6763806343078613E-7</v>
      </c>
      <c r="M78" s="157">
        <f ca="1"/>
        <v>1.6763806343078613E-7</v>
      </c>
    </row>
    <row r="79" spans="7:13" x14ac:dyDescent="0.25">
      <c r="G79" s="148"/>
      <c r="H79" s="160" t="str">
        <f ca="1"/>
        <v>EURYC_XCCYBASIS_BASISRATE_12Y</v>
      </c>
      <c r="I79" s="157">
        <f ca="1"/>
        <v>0</v>
      </c>
      <c r="J79" s="157">
        <f ca="1"/>
        <v>0</v>
      </c>
      <c r="K79" s="157">
        <f ca="1"/>
        <v>0</v>
      </c>
      <c r="L79" s="157">
        <f ca="1"/>
        <v>1.6763806343078613E-7</v>
      </c>
      <c r="M79" s="157">
        <f ca="1"/>
        <v>1.6763806343078613E-7</v>
      </c>
    </row>
    <row r="80" spans="7:13" x14ac:dyDescent="0.25">
      <c r="G80" s="148"/>
      <c r="H80" s="160" t="str">
        <f ca="1"/>
        <v>EURYC_XCCYBASIS_BASISRATE_15Y</v>
      </c>
      <c r="I80" s="157">
        <f ca="1"/>
        <v>0</v>
      </c>
      <c r="J80" s="157">
        <f ca="1"/>
        <v>0</v>
      </c>
      <c r="K80" s="157">
        <f ca="1"/>
        <v>0</v>
      </c>
      <c r="L80" s="157">
        <f ca="1"/>
        <v>1.6763806343078613E-7</v>
      </c>
      <c r="M80" s="157">
        <f ca="1"/>
        <v>1.6763806343078613E-7</v>
      </c>
    </row>
    <row r="81" spans="1:13" x14ac:dyDescent="0.25">
      <c r="G81" s="148"/>
      <c r="H81" s="160" t="str">
        <f ca="1"/>
        <v>EURYC_XCCYBASIS_BASISRATE_20Y</v>
      </c>
      <c r="I81" s="157">
        <f ca="1"/>
        <v>0</v>
      </c>
      <c r="J81" s="157">
        <f ca="1"/>
        <v>0</v>
      </c>
      <c r="K81" s="157">
        <f ca="1"/>
        <v>0</v>
      </c>
      <c r="L81" s="157">
        <f ca="1"/>
        <v>1.6763806343078613E-7</v>
      </c>
      <c r="M81" s="157">
        <f ca="1"/>
        <v>1.6763806343078613E-7</v>
      </c>
    </row>
    <row r="82" spans="1:13" x14ac:dyDescent="0.25">
      <c r="G82" s="148"/>
      <c r="H82" s="160" t="str">
        <f ca="1"/>
        <v>EURYC_XCCYBASIS_BASISRATE_25Y</v>
      </c>
      <c r="I82" s="157">
        <f ca="1"/>
        <v>0</v>
      </c>
      <c r="J82" s="157">
        <f ca="1"/>
        <v>0</v>
      </c>
      <c r="K82" s="157">
        <f ca="1"/>
        <v>0</v>
      </c>
      <c r="L82" s="157">
        <f ca="1"/>
        <v>1.6763806343078613E-7</v>
      </c>
      <c r="M82" s="157">
        <f ca="1"/>
        <v>1.6763806343078613E-7</v>
      </c>
    </row>
    <row r="83" spans="1:13" x14ac:dyDescent="0.25">
      <c r="G83" s="148"/>
      <c r="H83" s="186" t="str">
        <f ca="1"/>
        <v>EURYC_XCCYBASIS_BASISRATE_30Y</v>
      </c>
      <c r="I83" s="159">
        <f ca="1"/>
        <v>0</v>
      </c>
      <c r="J83" s="159">
        <f ca="1"/>
        <v>0</v>
      </c>
      <c r="K83" s="159">
        <f ca="1"/>
        <v>0</v>
      </c>
      <c r="L83" s="159">
        <f ca="1"/>
        <v>1.6763806343078613E-7</v>
      </c>
      <c r="M83" s="159">
        <f ca="1"/>
        <v>1.6763806343078613E-7</v>
      </c>
    </row>
    <row r="84" spans="1:13" x14ac:dyDescent="0.25">
      <c r="G84" s="148"/>
      <c r="H84" s="160" t="str">
        <f ca="1"/>
        <v>USDYC_OIS_OUTRIGHTOISSWAP_ON</v>
      </c>
      <c r="I84" s="157">
        <f ca="1"/>
        <v>0</v>
      </c>
      <c r="J84" s="157">
        <f ca="1"/>
        <v>0</v>
      </c>
      <c r="K84" s="157">
        <f ca="1"/>
        <v>0</v>
      </c>
      <c r="L84" s="157">
        <f ca="1"/>
        <v>1.6763806343078613E-7</v>
      </c>
      <c r="M84" s="157">
        <f ca="1"/>
        <v>1.6763806343078613E-7</v>
      </c>
    </row>
    <row r="85" spans="1:13" x14ac:dyDescent="0.25">
      <c r="G85" s="148"/>
      <c r="H85" s="160" t="str">
        <f ca="1"/>
        <v>USDYC_OIS_OUTRIGHTOISSWAP_12M</v>
      </c>
      <c r="I85" s="157">
        <f ca="1"/>
        <v>0</v>
      </c>
      <c r="J85" s="157">
        <f ca="1"/>
        <v>0</v>
      </c>
      <c r="K85" s="157">
        <f ca="1"/>
        <v>0</v>
      </c>
      <c r="L85" s="157">
        <f ca="1"/>
        <v>1.6763806343078613E-7</v>
      </c>
      <c r="M85" s="157">
        <f ca="1"/>
        <v>1.6763806343078613E-7</v>
      </c>
    </row>
    <row r="86" spans="1:13" x14ac:dyDescent="0.25">
      <c r="A86" s="137"/>
      <c r="G86" s="148"/>
      <c r="H86" s="160" t="str">
        <f ca="1"/>
        <v>USDYC_OIS_OUTRIGHTOISSWAP_18M</v>
      </c>
      <c r="I86" s="157">
        <f ca="1"/>
        <v>0</v>
      </c>
      <c r="J86" s="157">
        <f ca="1"/>
        <v>0</v>
      </c>
      <c r="K86" s="157">
        <f ca="1"/>
        <v>0</v>
      </c>
      <c r="L86" s="157">
        <f ca="1"/>
        <v>-2.1113677434623241</v>
      </c>
      <c r="M86" s="157">
        <f ca="1"/>
        <v>-2.1113677434623241</v>
      </c>
    </row>
    <row r="87" spans="1:13" x14ac:dyDescent="0.25">
      <c r="A87" s="137"/>
      <c r="G87" s="148"/>
      <c r="H87" s="160" t="str">
        <f ca="1"/>
        <v>USDYC_OIS_OUTRIGHTOISSWAP_2Y</v>
      </c>
      <c r="I87" s="157">
        <f ca="1"/>
        <v>0</v>
      </c>
      <c r="J87" s="157">
        <f ca="1"/>
        <v>0</v>
      </c>
      <c r="K87" s="157">
        <f ca="1"/>
        <v>0</v>
      </c>
      <c r="L87" s="157">
        <f ca="1"/>
        <v>-1044.0568075925112</v>
      </c>
      <c r="M87" s="157">
        <f ca="1"/>
        <v>-1044.0568075925112</v>
      </c>
    </row>
    <row r="88" spans="1:13" x14ac:dyDescent="0.25">
      <c r="A88" s="137"/>
      <c r="G88" s="148"/>
      <c r="H88" s="160" t="str">
        <f ca="1"/>
        <v>USDYC_OIS_BASISRATE_3Y</v>
      </c>
      <c r="I88" s="157">
        <f ca="1"/>
        <v>0</v>
      </c>
      <c r="J88" s="157">
        <f ca="1"/>
        <v>0</v>
      </c>
      <c r="K88" s="157">
        <f ca="1"/>
        <v>0</v>
      </c>
      <c r="L88" s="157">
        <f ca="1"/>
        <v>1507.8005781024694</v>
      </c>
      <c r="M88" s="157">
        <f ca="1"/>
        <v>1507.8005781024694</v>
      </c>
    </row>
    <row r="89" spans="1:13" x14ac:dyDescent="0.25">
      <c r="A89" s="137"/>
      <c r="G89" s="148"/>
      <c r="H89" s="160" t="str">
        <f ca="1"/>
        <v>USDYC_OIS_LIBORSWAP_3Y</v>
      </c>
      <c r="I89" s="157">
        <f ca="1"/>
        <v>0</v>
      </c>
      <c r="J89" s="157">
        <f ca="1"/>
        <v>0</v>
      </c>
      <c r="K89" s="157">
        <f ca="1"/>
        <v>0</v>
      </c>
      <c r="L89" s="157">
        <f ca="1"/>
        <v>-1485.0968919470906</v>
      </c>
      <c r="M89" s="157">
        <f ca="1"/>
        <v>-1485.0968919470906</v>
      </c>
    </row>
    <row r="90" spans="1:13" x14ac:dyDescent="0.25">
      <c r="A90" s="137"/>
      <c r="G90" s="148"/>
      <c r="H90" s="160" t="str">
        <f ca="1"/>
        <v>USDYC_OIS_BASISRATE_4Y</v>
      </c>
      <c r="I90" s="157">
        <f ca="1"/>
        <v>0</v>
      </c>
      <c r="J90" s="157">
        <f ca="1"/>
        <v>0</v>
      </c>
      <c r="K90" s="157">
        <f ca="1"/>
        <v>0</v>
      </c>
      <c r="L90" s="157">
        <f ca="1"/>
        <v>1873.317712623626</v>
      </c>
      <c r="M90" s="157">
        <f ca="1"/>
        <v>1873.317712623626</v>
      </c>
    </row>
    <row r="91" spans="1:13" x14ac:dyDescent="0.25">
      <c r="A91" s="137"/>
      <c r="G91" s="148"/>
      <c r="H91" s="160" t="str">
        <f ca="1"/>
        <v>USDYC_OIS_LIBORSWAP_4Y</v>
      </c>
      <c r="I91" s="157">
        <f ca="1"/>
        <v>0</v>
      </c>
      <c r="J91" s="157">
        <f ca="1"/>
        <v>0</v>
      </c>
      <c r="K91" s="157">
        <f ca="1"/>
        <v>0</v>
      </c>
      <c r="L91" s="157">
        <f ca="1"/>
        <v>-1837.9310007616878</v>
      </c>
      <c r="M91" s="157">
        <f ca="1"/>
        <v>-1837.9310007616878</v>
      </c>
    </row>
    <row r="92" spans="1:13" x14ac:dyDescent="0.25">
      <c r="A92" s="137"/>
      <c r="G92" s="148"/>
      <c r="H92" s="160" t="str">
        <f ca="1"/>
        <v>USDYC_OIS_BASISRATE_5Y</v>
      </c>
      <c r="I92" s="157">
        <f ca="1"/>
        <v>0</v>
      </c>
      <c r="J92" s="157">
        <f ca="1"/>
        <v>0</v>
      </c>
      <c r="K92" s="157">
        <f ca="1"/>
        <v>0</v>
      </c>
      <c r="L92" s="157">
        <f ca="1"/>
        <v>2264.5870101489127</v>
      </c>
      <c r="M92" s="157">
        <f ca="1"/>
        <v>2264.5870101489127</v>
      </c>
    </row>
    <row r="93" spans="1:13" x14ac:dyDescent="0.25">
      <c r="A93" s="137"/>
      <c r="G93" s="148"/>
      <c r="H93" s="156" t="str">
        <f ca="1"/>
        <v>USDYC_OIS_LIBORSWAP_5Y</v>
      </c>
      <c r="I93" s="157">
        <f ca="1"/>
        <v>0</v>
      </c>
      <c r="J93" s="157">
        <f ca="1"/>
        <v>0</v>
      </c>
      <c r="K93" s="157">
        <f ca="1"/>
        <v>0</v>
      </c>
      <c r="L93" s="157">
        <f ca="1"/>
        <v>-2206.4037347510457</v>
      </c>
      <c r="M93" s="157">
        <f ca="1"/>
        <v>-2206.4037347510457</v>
      </c>
    </row>
    <row r="94" spans="1:13" x14ac:dyDescent="0.25">
      <c r="A94" s="137"/>
      <c r="G94" s="148"/>
      <c r="H94" s="156" t="str">
        <f ca="1"/>
        <v>USDYC_OIS_BASISRATE_6Y</v>
      </c>
      <c r="I94" s="157">
        <f ca="1"/>
        <v>0</v>
      </c>
      <c r="J94" s="157">
        <f ca="1"/>
        <v>0</v>
      </c>
      <c r="K94" s="157">
        <f ca="1"/>
        <v>0</v>
      </c>
      <c r="L94" s="157">
        <f ca="1"/>
        <v>12.331294544041157</v>
      </c>
      <c r="M94" s="157">
        <f ca="1"/>
        <v>12.331294544041157</v>
      </c>
    </row>
    <row r="95" spans="1:13" x14ac:dyDescent="0.25">
      <c r="A95" s="163"/>
      <c r="G95" s="162"/>
      <c r="H95" s="156" t="str">
        <f ca="1"/>
        <v>USDYC_OIS_LIBORSWAP_6Y</v>
      </c>
      <c r="I95" s="157">
        <f ca="1"/>
        <v>0</v>
      </c>
      <c r="J95" s="157">
        <f ca="1"/>
        <v>0</v>
      </c>
      <c r="K95" s="157">
        <f ca="1"/>
        <v>0</v>
      </c>
      <c r="L95" s="157">
        <f ca="1"/>
        <v>-8.4821503944694996</v>
      </c>
      <c r="M95" s="157">
        <f ca="1"/>
        <v>-8.4821503944694996</v>
      </c>
    </row>
    <row r="96" spans="1:13" x14ac:dyDescent="0.25">
      <c r="A96" s="163"/>
      <c r="G96" s="162"/>
      <c r="H96" s="156" t="str">
        <f ca="1"/>
        <v>USDYC_OIS_BASISRATE_7Y</v>
      </c>
      <c r="I96" s="157">
        <f ca="1"/>
        <v>0</v>
      </c>
      <c r="J96" s="157">
        <f ca="1"/>
        <v>0</v>
      </c>
      <c r="K96" s="157">
        <f ca="1"/>
        <v>0</v>
      </c>
      <c r="L96" s="157">
        <f ca="1"/>
        <v>3.4801103174686432E-3</v>
      </c>
      <c r="M96" s="157">
        <f ca="1"/>
        <v>3.4801103174686432E-3</v>
      </c>
    </row>
    <row r="97" spans="1:13" x14ac:dyDescent="0.25">
      <c r="A97" s="163"/>
      <c r="G97" s="162"/>
      <c r="H97" s="156" t="str">
        <f ca="1"/>
        <v>USDYC_OIS_LIBORSWAP_7Y</v>
      </c>
      <c r="I97" s="157">
        <f ca="1"/>
        <v>0</v>
      </c>
      <c r="J97" s="157">
        <f ca="1"/>
        <v>0</v>
      </c>
      <c r="K97" s="157">
        <f ca="1"/>
        <v>0</v>
      </c>
      <c r="L97" s="157">
        <f ca="1"/>
        <v>-3.4839026629924774E-3</v>
      </c>
      <c r="M97" s="157">
        <f ca="1"/>
        <v>-3.4839026629924774E-3</v>
      </c>
    </row>
    <row r="98" spans="1:13" x14ac:dyDescent="0.25">
      <c r="A98" s="163"/>
      <c r="G98" s="162"/>
      <c r="H98" s="156" t="str">
        <f ca="1"/>
        <v>USDYC_OIS_BASISRATE_10Y</v>
      </c>
      <c r="I98" s="157">
        <f ca="1"/>
        <v>0</v>
      </c>
      <c r="J98" s="157">
        <f ca="1"/>
        <v>0</v>
      </c>
      <c r="K98" s="157">
        <f ca="1"/>
        <v>0</v>
      </c>
      <c r="L98" s="157">
        <f ca="1"/>
        <v>4.246830940246582E-7</v>
      </c>
      <c r="M98" s="157">
        <f ca="1"/>
        <v>4.246830940246582E-7</v>
      </c>
    </row>
    <row r="99" spans="1:13" x14ac:dyDescent="0.25">
      <c r="A99" s="163"/>
      <c r="G99" s="162"/>
      <c r="H99" s="156" t="str">
        <f ca="1"/>
        <v>USDYC_OIS_LIBORSWAP_10Y</v>
      </c>
      <c r="I99" s="157">
        <f ca="1"/>
        <v>0</v>
      </c>
      <c r="J99" s="157">
        <f ca="1"/>
        <v>0</v>
      </c>
      <c r="K99" s="157">
        <f ca="1"/>
        <v>0</v>
      </c>
      <c r="L99" s="157">
        <f ca="1"/>
        <v>4.5284628868103027E-5</v>
      </c>
      <c r="M99" s="157">
        <f ca="1"/>
        <v>4.5284628868103027E-5</v>
      </c>
    </row>
    <row r="100" spans="1:13" x14ac:dyDescent="0.25">
      <c r="A100" s="163"/>
      <c r="G100" s="162"/>
      <c r="H100" s="156" t="str">
        <f ca="1"/>
        <v>USDYC_OIS_BASISRATE_12Y</v>
      </c>
      <c r="I100" s="157">
        <f ca="1"/>
        <v>0</v>
      </c>
      <c r="J100" s="157">
        <f ca="1"/>
        <v>0</v>
      </c>
      <c r="K100" s="157">
        <f ca="1"/>
        <v>0</v>
      </c>
      <c r="L100" s="157">
        <f ca="1"/>
        <v>1.6763806343078613E-7</v>
      </c>
      <c r="M100" s="157">
        <f ca="1"/>
        <v>1.6763806343078613E-7</v>
      </c>
    </row>
    <row r="101" spans="1:13" x14ac:dyDescent="0.25">
      <c r="A101" s="163"/>
      <c r="G101" s="162"/>
      <c r="H101" s="156" t="str">
        <f ca="1"/>
        <v>USDYC_OIS_LIBORSWAP_12Y</v>
      </c>
      <c r="I101" s="157">
        <f ca="1"/>
        <v>0</v>
      </c>
      <c r="J101" s="157">
        <f ca="1"/>
        <v>0</v>
      </c>
      <c r="K101" s="157">
        <f ca="1"/>
        <v>0</v>
      </c>
      <c r="L101" s="157">
        <f ca="1"/>
        <v>1.6763806343078613E-7</v>
      </c>
      <c r="M101" s="157">
        <f ca="1"/>
        <v>1.6763806343078613E-7</v>
      </c>
    </row>
    <row r="102" spans="1:13" x14ac:dyDescent="0.25">
      <c r="A102" s="163"/>
      <c r="G102" s="162"/>
      <c r="H102" s="156" t="str">
        <f ca="1"/>
        <v>USDYC_OIS_BASISRATE_15Y</v>
      </c>
      <c r="I102" s="157">
        <f ca="1"/>
        <v>0</v>
      </c>
      <c r="J102" s="157">
        <f ca="1"/>
        <v>0</v>
      </c>
      <c r="K102" s="157">
        <f ca="1"/>
        <v>0</v>
      </c>
      <c r="L102" s="157">
        <f ca="1"/>
        <v>1.6763806343078613E-7</v>
      </c>
      <c r="M102" s="157">
        <f ca="1"/>
        <v>1.6763806343078613E-7</v>
      </c>
    </row>
    <row r="103" spans="1:13" x14ac:dyDescent="0.25">
      <c r="A103" s="163"/>
      <c r="G103" s="162"/>
      <c r="H103" s="156" t="str">
        <f ca="1"/>
        <v>USDYC_OIS_LIBORSWAP_15Y</v>
      </c>
      <c r="I103" s="157">
        <f ca="1"/>
        <v>0</v>
      </c>
      <c r="J103" s="157">
        <f ca="1"/>
        <v>0</v>
      </c>
      <c r="K103" s="157">
        <f ca="1"/>
        <v>0</v>
      </c>
      <c r="L103" s="157">
        <f ca="1"/>
        <v>1.6763806343078613E-7</v>
      </c>
      <c r="M103" s="157">
        <f ca="1"/>
        <v>1.6763806343078613E-7</v>
      </c>
    </row>
    <row r="104" spans="1:13" x14ac:dyDescent="0.25">
      <c r="A104" s="163"/>
      <c r="G104" s="162"/>
      <c r="H104" s="156" t="str">
        <f ca="1"/>
        <v>USDYC_OIS_BASISRATE_20Y</v>
      </c>
      <c r="I104" s="157">
        <f ca="1"/>
        <v>0</v>
      </c>
      <c r="J104" s="157">
        <f ca="1"/>
        <v>0</v>
      </c>
      <c r="K104" s="157">
        <f ca="1"/>
        <v>0</v>
      </c>
      <c r="L104" s="157">
        <f ca="1"/>
        <v>1.6763806343078613E-7</v>
      </c>
      <c r="M104" s="157">
        <f ca="1"/>
        <v>1.6763806343078613E-7</v>
      </c>
    </row>
    <row r="105" spans="1:13" x14ac:dyDescent="0.25">
      <c r="A105" s="163"/>
      <c r="G105" s="162"/>
      <c r="H105" s="156" t="str">
        <f ca="1"/>
        <v>USDYC_OIS_LIBORSWAP_20Y</v>
      </c>
      <c r="I105" s="157">
        <f ca="1"/>
        <v>0</v>
      </c>
      <c r="J105" s="157">
        <f ca="1"/>
        <v>0</v>
      </c>
      <c r="K105" s="157">
        <f ca="1"/>
        <v>0</v>
      </c>
      <c r="L105" s="157">
        <f ca="1"/>
        <v>1.6763806343078613E-7</v>
      </c>
      <c r="M105" s="157">
        <f ca="1"/>
        <v>1.6763806343078613E-7</v>
      </c>
    </row>
    <row r="106" spans="1:13" x14ac:dyDescent="0.25">
      <c r="A106" s="163"/>
      <c r="G106" s="162"/>
      <c r="H106" s="156" t="str">
        <f ca="1"/>
        <v>USDYC_OIS_BASISRATE_25Y</v>
      </c>
      <c r="I106" s="157">
        <f ca="1"/>
        <v>0</v>
      </c>
      <c r="J106" s="157">
        <f ca="1"/>
        <v>0</v>
      </c>
      <c r="K106" s="157">
        <f ca="1"/>
        <v>0</v>
      </c>
      <c r="L106" s="157">
        <f ca="1"/>
        <v>1.6763806343078613E-7</v>
      </c>
      <c r="M106" s="157">
        <f ca="1"/>
        <v>1.6763806343078613E-7</v>
      </c>
    </row>
    <row r="107" spans="1:13" x14ac:dyDescent="0.25">
      <c r="A107" s="163"/>
      <c r="G107" s="162"/>
      <c r="H107" s="156" t="str">
        <f ca="1"/>
        <v>USDYC_OIS_LIBORSWAP_25Y</v>
      </c>
      <c r="I107" s="157">
        <f ca="1"/>
        <v>0</v>
      </c>
      <c r="J107" s="157">
        <f ca="1"/>
        <v>0</v>
      </c>
      <c r="K107" s="157">
        <f ca="1"/>
        <v>0</v>
      </c>
      <c r="L107" s="157">
        <f ca="1"/>
        <v>1.6763806343078613E-7</v>
      </c>
      <c r="M107" s="157">
        <f ca="1"/>
        <v>1.6763806343078613E-7</v>
      </c>
    </row>
    <row r="108" spans="1:13" x14ac:dyDescent="0.25">
      <c r="A108" s="163"/>
      <c r="G108" s="162"/>
      <c r="H108" s="156" t="str">
        <f ca="1"/>
        <v>USDYC_OIS_BASISRATE_30Y</v>
      </c>
      <c r="I108" s="157">
        <f ca="1"/>
        <v>0</v>
      </c>
      <c r="J108" s="157">
        <f ca="1"/>
        <v>0</v>
      </c>
      <c r="K108" s="157">
        <f ca="1"/>
        <v>0</v>
      </c>
      <c r="L108" s="157">
        <f ca="1"/>
        <v>1.6763806343078613E-7</v>
      </c>
      <c r="M108" s="157">
        <f ca="1"/>
        <v>1.6763806343078613E-7</v>
      </c>
    </row>
    <row r="109" spans="1:13" x14ac:dyDescent="0.25">
      <c r="A109" s="163"/>
      <c r="G109" s="162"/>
      <c r="H109" s="156" t="str">
        <f ca="1"/>
        <v>USDYC_OIS_LIBORSWAP_30Y</v>
      </c>
      <c r="I109" s="157">
        <f ca="1"/>
        <v>0</v>
      </c>
      <c r="J109" s="157">
        <f ca="1"/>
        <v>0</v>
      </c>
      <c r="K109" s="157">
        <f ca="1"/>
        <v>0</v>
      </c>
      <c r="L109" s="157">
        <f ca="1"/>
        <v>1.6763806343078613E-7</v>
      </c>
      <c r="M109" s="157">
        <f ca="1"/>
        <v>1.6763806343078613E-7</v>
      </c>
    </row>
    <row r="110" spans="1:13" x14ac:dyDescent="0.25">
      <c r="A110" s="163"/>
      <c r="G110" s="162"/>
      <c r="H110" s="156" t="str">
        <f ca="1"/>
        <v>USDYC_OIS_CBRate_FFJ6</v>
      </c>
      <c r="I110" s="157">
        <f ca="1"/>
        <v>0</v>
      </c>
      <c r="J110" s="157">
        <f ca="1"/>
        <v>0</v>
      </c>
      <c r="K110" s="157">
        <f ca="1"/>
        <v>0</v>
      </c>
      <c r="L110" s="157">
        <f ca="1"/>
        <v>-192.41235742345452</v>
      </c>
      <c r="M110" s="157">
        <f ca="1"/>
        <v>-192.41235742345452</v>
      </c>
    </row>
    <row r="111" spans="1:13" x14ac:dyDescent="0.25">
      <c r="A111" s="163"/>
      <c r="G111" s="162"/>
      <c r="H111" s="156" t="str">
        <f ca="1"/>
        <v>USDYC_OIS_CBRate_FFK6</v>
      </c>
      <c r="I111" s="157">
        <f ca="1"/>
        <v>0</v>
      </c>
      <c r="J111" s="157">
        <f ca="1"/>
        <v>0</v>
      </c>
      <c r="K111" s="157">
        <f ca="1"/>
        <v>0</v>
      </c>
      <c r="L111" s="157">
        <f ca="1"/>
        <v>-45.952798824757338</v>
      </c>
      <c r="M111" s="157">
        <f ca="1"/>
        <v>-45.952798824757338</v>
      </c>
    </row>
    <row r="112" spans="1:13" x14ac:dyDescent="0.25">
      <c r="A112" s="163"/>
      <c r="G112" s="162"/>
      <c r="H112" s="156" t="str">
        <f ca="1"/>
        <v>USDYC_OIS_CBRate_FFM6</v>
      </c>
      <c r="I112" s="157">
        <f ca="1"/>
        <v>0</v>
      </c>
      <c r="J112" s="157">
        <f ca="1"/>
        <v>0</v>
      </c>
      <c r="K112" s="157">
        <f ca="1"/>
        <v>0</v>
      </c>
      <c r="L112" s="157">
        <f ca="1"/>
        <v>-46.083853267133236</v>
      </c>
      <c r="M112" s="157">
        <f ca="1"/>
        <v>-46.083853267133236</v>
      </c>
    </row>
    <row r="113" spans="1:13" x14ac:dyDescent="0.25">
      <c r="A113" s="163"/>
      <c r="G113" s="162"/>
      <c r="H113" s="156" t="str">
        <f ca="1"/>
        <v>USDYC_OIS_CBRate_FFN6</v>
      </c>
      <c r="I113" s="157">
        <f ca="1"/>
        <v>0</v>
      </c>
      <c r="J113" s="157">
        <f ca="1"/>
        <v>0</v>
      </c>
      <c r="K113" s="157">
        <f ca="1"/>
        <v>0</v>
      </c>
      <c r="L113" s="157">
        <f ca="1"/>
        <v>-47.901083614677191</v>
      </c>
      <c r="M113" s="157">
        <f ca="1"/>
        <v>-47.901083614677191</v>
      </c>
    </row>
    <row r="114" spans="1:13" x14ac:dyDescent="0.25">
      <c r="A114" s="163"/>
      <c r="G114" s="162"/>
      <c r="H114" s="156" t="str">
        <f ca="1"/>
        <v>USDYC_OIS_CBRate_FFQ6</v>
      </c>
      <c r="I114" s="157">
        <f ca="1"/>
        <v>0</v>
      </c>
      <c r="J114" s="157">
        <f ca="1"/>
        <v>0</v>
      </c>
      <c r="K114" s="157">
        <f ca="1"/>
        <v>0</v>
      </c>
      <c r="L114" s="157">
        <f ca="1"/>
        <v>-43.410092383623123</v>
      </c>
      <c r="M114" s="157">
        <f ca="1"/>
        <v>-43.410092383623123</v>
      </c>
    </row>
    <row r="115" spans="1:13" x14ac:dyDescent="0.25">
      <c r="A115" s="163"/>
      <c r="G115" s="162"/>
      <c r="H115" s="156" t="str">
        <f ca="1"/>
        <v>USDYC_OIS_CBRate_FFU6</v>
      </c>
      <c r="I115" s="157">
        <f ca="1"/>
        <v>0</v>
      </c>
      <c r="J115" s="157">
        <f ca="1"/>
        <v>0</v>
      </c>
      <c r="K115" s="157">
        <f ca="1"/>
        <v>0</v>
      </c>
      <c r="L115" s="157">
        <f ca="1"/>
        <v>-44.755920808762312</v>
      </c>
      <c r="M115" s="157">
        <f ca="1"/>
        <v>-44.755920808762312</v>
      </c>
    </row>
    <row r="116" spans="1:13" x14ac:dyDescent="0.25">
      <c r="A116" s="163"/>
      <c r="G116" s="162"/>
      <c r="H116" s="156" t="str">
        <f ca="1"/>
        <v>USDYC_OIS_CBRate_FFV6</v>
      </c>
      <c r="I116" s="157">
        <f ca="1"/>
        <v>0</v>
      </c>
      <c r="J116" s="157">
        <f ca="1"/>
        <v>0</v>
      </c>
      <c r="K116" s="157">
        <f ca="1"/>
        <v>0</v>
      </c>
      <c r="L116" s="157">
        <f ca="1"/>
        <v>-48.775351706892252</v>
      </c>
      <c r="M116" s="157">
        <f ca="1"/>
        <v>-48.775351706892252</v>
      </c>
    </row>
    <row r="117" spans="1:13" x14ac:dyDescent="0.25">
      <c r="A117" s="163"/>
      <c r="G117" s="162"/>
      <c r="H117" s="156" t="str">
        <f ca="1"/>
        <v>USDYC_OIS_CBRate_FFX6</v>
      </c>
      <c r="I117" s="157">
        <f ca="1"/>
        <v>0</v>
      </c>
      <c r="J117" s="157">
        <f ca="1"/>
        <v>0</v>
      </c>
      <c r="K117" s="157">
        <f ca="1"/>
        <v>0</v>
      </c>
      <c r="L117" s="157">
        <f ca="1"/>
        <v>-42.863958261907101</v>
      </c>
      <c r="M117" s="157">
        <f ca="1"/>
        <v>-42.863958261907101</v>
      </c>
    </row>
    <row r="118" spans="1:13" x14ac:dyDescent="0.25">
      <c r="A118" s="163"/>
      <c r="G118" s="162"/>
      <c r="H118" s="158" t="str">
        <f ca="1"/>
        <v>USDYC_OIS_CBRate_FFZ7</v>
      </c>
      <c r="I118" s="159">
        <f ca="1"/>
        <v>0</v>
      </c>
      <c r="J118" s="159">
        <f ca="1"/>
        <v>0</v>
      </c>
      <c r="K118" s="159">
        <f ca="1"/>
        <v>0</v>
      </c>
      <c r="L118" s="159">
        <f ca="1"/>
        <v>-32.506665181368589</v>
      </c>
      <c r="M118" s="159">
        <f ca="1"/>
        <v>-32.506665181368589</v>
      </c>
    </row>
    <row r="119" spans="1:13" x14ac:dyDescent="0.25">
      <c r="A119" s="137"/>
      <c r="G119" s="148"/>
      <c r="H119" s="156" t="str">
        <f ca="1"/>
        <v>USDYC_STD_O_N</v>
      </c>
      <c r="I119" s="157">
        <f ca="1"/>
        <v>0</v>
      </c>
      <c r="J119" s="157">
        <f ca="1"/>
        <v>0</v>
      </c>
      <c r="K119" s="157">
        <f ca="1"/>
        <v>0</v>
      </c>
      <c r="L119" s="157">
        <f ca="1"/>
        <v>-32.624401781708002</v>
      </c>
      <c r="M119" s="157">
        <f ca="1"/>
        <v>-32.624401781708002</v>
      </c>
    </row>
    <row r="120" spans="1:13" x14ac:dyDescent="0.25">
      <c r="A120" s="137"/>
      <c r="G120" s="148"/>
      <c r="H120" s="156" t="str">
        <f ca="1"/>
        <v>USDYC_STD_T_N</v>
      </c>
      <c r="I120" s="157">
        <f ca="1"/>
        <v>0</v>
      </c>
      <c r="J120" s="157">
        <f ca="1"/>
        <v>0</v>
      </c>
      <c r="K120" s="157">
        <f ca="1"/>
        <v>0</v>
      </c>
      <c r="L120" s="157">
        <f ca="1"/>
        <v>-32.624386295676231</v>
      </c>
      <c r="M120" s="157">
        <f ca="1"/>
        <v>-32.624386295676231</v>
      </c>
    </row>
    <row r="121" spans="1:13" x14ac:dyDescent="0.25">
      <c r="A121" s="137"/>
      <c r="H121" s="156" t="str">
        <f ca="1"/>
        <v>USDYC_STD_LIBOR_1M</v>
      </c>
      <c r="I121" s="157">
        <f ca="1"/>
        <v>0</v>
      </c>
      <c r="J121" s="157">
        <f ca="1"/>
        <v>0</v>
      </c>
      <c r="K121" s="157">
        <f ca="1"/>
        <v>0</v>
      </c>
      <c r="L121" s="157">
        <f ca="1"/>
        <v>-32.624399103224277</v>
      </c>
      <c r="M121" s="157">
        <f ca="1"/>
        <v>-32.624399103224277</v>
      </c>
    </row>
    <row r="122" spans="1:13" x14ac:dyDescent="0.25">
      <c r="A122" s="137"/>
      <c r="H122" s="156" t="str">
        <f ca="1"/>
        <v>USDYC_STD_LIBOR_3M</v>
      </c>
      <c r="I122" s="157">
        <f ca="1"/>
        <v>0</v>
      </c>
      <c r="J122" s="161">
        <f ca="1"/>
        <v>0</v>
      </c>
      <c r="K122" s="161">
        <f ca="1"/>
        <v>0</v>
      </c>
      <c r="L122" s="161">
        <f ca="1"/>
        <v>273.05673667415977</v>
      </c>
      <c r="M122" s="161">
        <f ca="1"/>
        <v>273.05673667415977</v>
      </c>
    </row>
    <row r="123" spans="1:13" x14ac:dyDescent="0.25">
      <c r="A123" s="137"/>
      <c r="H123" s="156" t="str">
        <f ca="1"/>
        <v>USDYC_STD_LIBOR_6M</v>
      </c>
      <c r="I123" s="157">
        <f ca="1"/>
        <v>0</v>
      </c>
      <c r="J123" s="161">
        <f ca="1"/>
        <v>0</v>
      </c>
      <c r="K123" s="161">
        <f ca="1"/>
        <v>0</v>
      </c>
      <c r="L123" s="161">
        <f ca="1"/>
        <v>-32.624399103224277</v>
      </c>
      <c r="M123" s="161">
        <f ca="1"/>
        <v>-32.624399103224277</v>
      </c>
    </row>
    <row r="124" spans="1:13" x14ac:dyDescent="0.25">
      <c r="A124" s="137"/>
      <c r="H124" s="156" t="str">
        <f ca="1"/>
        <v>USDYC_STD_LIBOR_12M</v>
      </c>
      <c r="I124" s="157">
        <f ca="1"/>
        <v>0</v>
      </c>
      <c r="J124" s="161">
        <f ca="1"/>
        <v>0</v>
      </c>
      <c r="K124" s="161">
        <f ca="1"/>
        <v>0</v>
      </c>
      <c r="L124" s="161">
        <f ca="1"/>
        <v>-32.624399103224277</v>
      </c>
      <c r="M124" s="161">
        <f ca="1"/>
        <v>-32.624399103224277</v>
      </c>
    </row>
    <row r="125" spans="1:13" x14ac:dyDescent="0.25">
      <c r="A125" s="137"/>
      <c r="H125" s="156" t="str">
        <f ca="1"/>
        <v>USDYC_STD_FUTURE_ED1  COMB COMDTY</v>
      </c>
      <c r="I125" s="157">
        <f ca="1"/>
        <v>0</v>
      </c>
      <c r="J125" s="161">
        <f ca="1"/>
        <v>0</v>
      </c>
      <c r="K125" s="161">
        <f ca="1"/>
        <v>0</v>
      </c>
      <c r="L125" s="161">
        <f ca="1"/>
        <v>238.69073867052794</v>
      </c>
      <c r="M125" s="161">
        <f ca="1"/>
        <v>238.69073867052794</v>
      </c>
    </row>
    <row r="126" spans="1:13" x14ac:dyDescent="0.25">
      <c r="A126" s="137"/>
      <c r="H126" s="156" t="str">
        <f ca="1"/>
        <v>USDYC_STD_FUTURE_ED2 COMB COMDTY</v>
      </c>
      <c r="I126" s="157">
        <f ca="1"/>
        <v>0</v>
      </c>
      <c r="J126" s="161">
        <f ca="1"/>
        <v>0</v>
      </c>
      <c r="K126" s="161">
        <f ca="1"/>
        <v>0</v>
      </c>
      <c r="L126" s="161">
        <f ca="1"/>
        <v>494.86217799782753</v>
      </c>
      <c r="M126" s="161">
        <f ca="1"/>
        <v>494.86217799782753</v>
      </c>
    </row>
    <row r="127" spans="1:13" x14ac:dyDescent="0.25">
      <c r="A127" s="137"/>
      <c r="H127" s="156" t="str">
        <f ca="1"/>
        <v>USDYC_STD_FUTURE_ED3 COMB COMDTY</v>
      </c>
      <c r="I127" s="157">
        <f ca="1"/>
        <v>0</v>
      </c>
      <c r="J127" s="161">
        <f ca="1"/>
        <v>0</v>
      </c>
      <c r="K127" s="161">
        <f ca="1"/>
        <v>0</v>
      </c>
      <c r="L127" s="161">
        <f ca="1"/>
        <v>456.38961267098784</v>
      </c>
      <c r="M127" s="161">
        <f ca="1"/>
        <v>456.38961267098784</v>
      </c>
    </row>
    <row r="128" spans="1:13" x14ac:dyDescent="0.25">
      <c r="A128" s="137"/>
      <c r="H128" s="156" t="str">
        <f ca="1"/>
        <v>USDYC_STD_FUTURE_ED4  COMB COMDTY</v>
      </c>
      <c r="I128" s="157">
        <f ca="1"/>
        <v>0</v>
      </c>
      <c r="J128" s="161">
        <f ca="1"/>
        <v>0</v>
      </c>
      <c r="K128" s="161">
        <f ca="1"/>
        <v>0</v>
      </c>
      <c r="L128" s="161">
        <f ca="1"/>
        <v>388.19534338265657</v>
      </c>
      <c r="M128" s="161">
        <f ca="1"/>
        <v>388.19534338265657</v>
      </c>
    </row>
    <row r="129" spans="1:13" x14ac:dyDescent="0.25">
      <c r="A129" s="137"/>
      <c r="H129" s="156" t="str">
        <f ca="1"/>
        <v>USDYC_STD_FUTURE_ED5  COMB COMDTY</v>
      </c>
      <c r="I129" s="157">
        <f ca="1"/>
        <v>0</v>
      </c>
      <c r="J129" s="161">
        <f ca="1"/>
        <v>0</v>
      </c>
      <c r="K129" s="161">
        <f ca="1"/>
        <v>0</v>
      </c>
      <c r="L129" s="161">
        <f ca="1"/>
        <v>345.76219539344311</v>
      </c>
      <c r="M129" s="161">
        <f ca="1"/>
        <v>345.76219539344311</v>
      </c>
    </row>
    <row r="130" spans="1:13" x14ac:dyDescent="0.25">
      <c r="A130" s="137"/>
      <c r="H130" s="156" t="str">
        <f ca="1"/>
        <v>USDYC_STD_FUTURE_ED6  COMB COMDTY</v>
      </c>
      <c r="I130" s="157">
        <f ca="1"/>
        <v>0</v>
      </c>
      <c r="J130" s="161">
        <f ca="1"/>
        <v>0</v>
      </c>
      <c r="K130" s="161">
        <f ca="1"/>
        <v>0</v>
      </c>
      <c r="L130" s="161">
        <f ca="1"/>
        <v>317.53664196655154</v>
      </c>
      <c r="M130" s="161">
        <f ca="1"/>
        <v>317.53664196655154</v>
      </c>
    </row>
    <row r="131" spans="1:13" x14ac:dyDescent="0.25">
      <c r="A131" s="137"/>
      <c r="H131" s="156" t="str">
        <f ca="1"/>
        <v>USDYC_STD_FUTURE_ED7  COMB COMDTY</v>
      </c>
      <c r="I131" s="157">
        <f ca="1"/>
        <v>0</v>
      </c>
      <c r="J131" s="157">
        <f ca="1"/>
        <v>0</v>
      </c>
      <c r="K131" s="157">
        <f ca="1"/>
        <v>0</v>
      </c>
      <c r="L131" s="157">
        <f ca="1"/>
        <v>316.45238348841667</v>
      </c>
      <c r="M131" s="157">
        <f ca="1"/>
        <v>316.45238348841667</v>
      </c>
    </row>
    <row r="132" spans="1:13" x14ac:dyDescent="0.25">
      <c r="A132" s="137"/>
      <c r="H132" s="156" t="str">
        <f ca="1"/>
        <v>USDYC_STD_FUTURE_ED8  COMB COMDTY</v>
      </c>
      <c r="I132" s="157">
        <f ca="1"/>
        <v>0</v>
      </c>
      <c r="J132" s="157">
        <f ca="1"/>
        <v>0</v>
      </c>
      <c r="K132" s="157">
        <f ca="1"/>
        <v>0</v>
      </c>
      <c r="L132" s="157">
        <f ca="1"/>
        <v>278.9338986389339</v>
      </c>
      <c r="M132" s="157">
        <f ca="1"/>
        <v>278.9338986389339</v>
      </c>
    </row>
    <row r="133" spans="1:13" x14ac:dyDescent="0.25">
      <c r="A133" s="137"/>
      <c r="H133" s="156" t="str">
        <f ca="1"/>
        <v>USDYC_STD_FUTURE_ED9 COMB COMDTY</v>
      </c>
      <c r="I133" s="157">
        <f ca="1"/>
        <v>0</v>
      </c>
      <c r="J133" s="157">
        <f ca="1"/>
        <v>0</v>
      </c>
      <c r="K133" s="157">
        <f ca="1"/>
        <v>0</v>
      </c>
      <c r="L133" s="157">
        <f ca="1"/>
        <v>187.02137039974332</v>
      </c>
      <c r="M133" s="157">
        <f ca="1"/>
        <v>187.02137039974332</v>
      </c>
    </row>
    <row r="134" spans="1:13" x14ac:dyDescent="0.25">
      <c r="A134" s="137"/>
      <c r="H134" s="156" t="str">
        <f ca="1"/>
        <v>USDYC_STD_FUTURE_ED10  COMB COMDTY</v>
      </c>
      <c r="I134" s="157">
        <f ca="1"/>
        <v>0</v>
      </c>
      <c r="J134" s="157">
        <f ca="1"/>
        <v>0</v>
      </c>
      <c r="K134" s="157">
        <f ca="1"/>
        <v>0</v>
      </c>
      <c r="L134" s="157">
        <f ca="1"/>
        <v>186.20166542008519</v>
      </c>
      <c r="M134" s="157">
        <f ca="1"/>
        <v>186.20166542008519</v>
      </c>
    </row>
    <row r="135" spans="1:13" x14ac:dyDescent="0.25">
      <c r="A135" s="137"/>
      <c r="H135" s="156" t="str">
        <f ca="1"/>
        <v>USDYC_STD_FUTURE_ED11  COMB COMDTY</v>
      </c>
      <c r="I135" s="157">
        <f ca="1"/>
        <v>0</v>
      </c>
      <c r="J135" s="157">
        <f ca="1"/>
        <v>0</v>
      </c>
      <c r="K135" s="157">
        <f ca="1"/>
        <v>0</v>
      </c>
      <c r="L135" s="157">
        <f ca="1"/>
        <v>185.47051083296537</v>
      </c>
      <c r="M135" s="157">
        <f ca="1"/>
        <v>185.47051083296537</v>
      </c>
    </row>
    <row r="136" spans="1:13" x14ac:dyDescent="0.25">
      <c r="A136" s="137"/>
      <c r="H136" s="156" t="str">
        <f ca="1"/>
        <v>USDYC_STD_FUTURE_ED12  COMB COMDTY</v>
      </c>
      <c r="I136" s="157">
        <f ca="1"/>
        <v>0</v>
      </c>
      <c r="J136" s="157">
        <f ca="1"/>
        <v>0</v>
      </c>
      <c r="K136" s="157">
        <f ca="1"/>
        <v>0</v>
      </c>
      <c r="L136" s="157">
        <f ca="1"/>
        <v>491.58339108899236</v>
      </c>
      <c r="M136" s="157">
        <f ca="1"/>
        <v>491.58339108899236</v>
      </c>
    </row>
    <row r="137" spans="1:13" x14ac:dyDescent="0.25">
      <c r="A137" s="137"/>
      <c r="H137" s="156" t="str">
        <f ca="1"/>
        <v>USDYC_STD_LIBORSWAP_5Y</v>
      </c>
      <c r="I137" s="157">
        <f ca="1"/>
        <v>0</v>
      </c>
      <c r="J137" s="157">
        <f ca="1"/>
        <v>0</v>
      </c>
      <c r="K137" s="157">
        <f ca="1"/>
        <v>0</v>
      </c>
      <c r="L137" s="157">
        <f ca="1"/>
        <v>2894.406243480742</v>
      </c>
      <c r="M137" s="157">
        <f ca="1"/>
        <v>2894.406243480742</v>
      </c>
    </row>
    <row r="138" spans="1:13" x14ac:dyDescent="0.25">
      <c r="A138" s="137"/>
      <c r="H138" s="156" t="str">
        <f ca="1"/>
        <v>USDYC_STD_LIBORSWAP_7Y</v>
      </c>
      <c r="I138" s="157">
        <f ca="1"/>
        <v>0</v>
      </c>
      <c r="J138" s="157">
        <f ca="1"/>
        <v>0</v>
      </c>
      <c r="K138" s="157">
        <f ca="1"/>
        <v>0</v>
      </c>
      <c r="L138" s="157">
        <f ca="1"/>
        <v>-54.97668918594718</v>
      </c>
      <c r="M138" s="157">
        <f ca="1"/>
        <v>-54.97668918594718</v>
      </c>
    </row>
    <row r="139" spans="1:13" x14ac:dyDescent="0.25">
      <c r="A139" s="137"/>
      <c r="H139" s="156" t="str">
        <f ca="1"/>
        <v>USDYC_STD_LIBORSWAP_10Y</v>
      </c>
      <c r="I139" s="157">
        <f ca="1"/>
        <v>0</v>
      </c>
      <c r="J139" s="157">
        <f ca="1"/>
        <v>0</v>
      </c>
      <c r="K139" s="157">
        <f ca="1"/>
        <v>0</v>
      </c>
      <c r="L139" s="157">
        <f ca="1"/>
        <v>-33.118878453969955</v>
      </c>
      <c r="M139" s="157">
        <f ca="1"/>
        <v>-33.118878453969955</v>
      </c>
    </row>
    <row r="140" spans="1:13" x14ac:dyDescent="0.25">
      <c r="A140" s="137"/>
      <c r="H140" s="156" t="str">
        <f ca="1"/>
        <v>USDYC_STD_LIBORSWAP_11Y</v>
      </c>
      <c r="I140" s="157">
        <f ca="1"/>
        <v>0</v>
      </c>
      <c r="J140" s="157">
        <f ca="1"/>
        <v>0</v>
      </c>
      <c r="K140" s="157">
        <f ca="1"/>
        <v>0</v>
      </c>
      <c r="L140" s="157">
        <f ca="1"/>
        <v>-32.63249297067523</v>
      </c>
      <c r="M140" s="157">
        <f ca="1"/>
        <v>-32.63249297067523</v>
      </c>
    </row>
    <row r="141" spans="1:13" x14ac:dyDescent="0.25">
      <c r="A141" s="137"/>
      <c r="H141" s="156" t="str">
        <f ca="1"/>
        <v>USDYC_STD_LIBORSWAP_12Y</v>
      </c>
      <c r="I141" s="157">
        <f ca="1"/>
        <v>0</v>
      </c>
      <c r="J141" s="157">
        <f ca="1"/>
        <v>0</v>
      </c>
      <c r="K141" s="157">
        <f ca="1"/>
        <v>0</v>
      </c>
      <c r="L141" s="157">
        <f ca="1"/>
        <v>-32.624418448656797</v>
      </c>
      <c r="M141" s="157">
        <f ca="1"/>
        <v>-32.624418448656797</v>
      </c>
    </row>
    <row r="142" spans="1:13" x14ac:dyDescent="0.25">
      <c r="A142" s="137"/>
      <c r="H142" s="156" t="str">
        <f ca="1"/>
        <v>USDYC_STD_LIBORSWAP_15Y</v>
      </c>
      <c r="I142" s="157">
        <f ca="1"/>
        <v>0</v>
      </c>
      <c r="J142" s="157">
        <f ca="1"/>
        <v>0</v>
      </c>
      <c r="K142" s="157">
        <f ca="1"/>
        <v>0</v>
      </c>
      <c r="L142" s="157">
        <f ca="1"/>
        <v>-32.624426353722811</v>
      </c>
      <c r="M142" s="157">
        <f ca="1"/>
        <v>-32.624426353722811</v>
      </c>
    </row>
    <row r="143" spans="1:13" x14ac:dyDescent="0.25">
      <c r="A143" s="137"/>
      <c r="H143" s="156" t="str">
        <f ca="1"/>
        <v>USDYC_STD_LIBORSWAP_20Y</v>
      </c>
      <c r="I143" s="157">
        <f ca="1"/>
        <v>0</v>
      </c>
      <c r="J143" s="157">
        <f ca="1"/>
        <v>0</v>
      </c>
      <c r="K143" s="157">
        <f ca="1"/>
        <v>0</v>
      </c>
      <c r="L143" s="157">
        <f ca="1"/>
        <v>-32.624460723251104</v>
      </c>
      <c r="M143" s="157">
        <f ca="1"/>
        <v>-32.624460723251104</v>
      </c>
    </row>
    <row r="144" spans="1:13" x14ac:dyDescent="0.25">
      <c r="A144" s="137"/>
      <c r="H144" s="156" t="str">
        <f ca="1"/>
        <v>USDYC_STD_LIBORSWAP_25Y</v>
      </c>
      <c r="I144" s="157">
        <f ca="1"/>
        <v>0</v>
      </c>
      <c r="J144" s="157">
        <f ca="1"/>
        <v>0</v>
      </c>
      <c r="K144" s="157">
        <f ca="1"/>
        <v>0</v>
      </c>
      <c r="L144" s="157">
        <f ca="1"/>
        <v>-32.624399103224277</v>
      </c>
      <c r="M144" s="157">
        <f ca="1"/>
        <v>-32.624399103224277</v>
      </c>
    </row>
    <row r="145" spans="1:13" x14ac:dyDescent="0.25">
      <c r="A145" s="137"/>
      <c r="H145" s="156" t="str">
        <f ca="1"/>
        <v>USDYC_STD_LIBORSWAP_30Y</v>
      </c>
      <c r="I145" s="157">
        <f ca="1"/>
        <v>0</v>
      </c>
      <c r="J145" s="157">
        <f ca="1"/>
        <v>0</v>
      </c>
      <c r="K145" s="157">
        <f ca="1"/>
        <v>0</v>
      </c>
      <c r="L145" s="157">
        <f ca="1"/>
        <v>-32.624399103224277</v>
      </c>
      <c r="M145" s="157">
        <f ca="1"/>
        <v>-32.624399103224277</v>
      </c>
    </row>
    <row r="146" spans="1:13" x14ac:dyDescent="0.25">
      <c r="A146" s="137"/>
      <c r="H146" s="156" t="str">
        <f ca="1"/>
        <v>USDYC_STD_LIBORSWAP_40Y</v>
      </c>
      <c r="I146" s="157">
        <f ca="1"/>
        <v>0</v>
      </c>
      <c r="J146" s="157">
        <f ca="1"/>
        <v>0</v>
      </c>
      <c r="K146" s="157">
        <f ca="1"/>
        <v>0</v>
      </c>
      <c r="L146" s="157">
        <f ca="1"/>
        <v>-32.624399103224277</v>
      </c>
      <c r="M146" s="157">
        <f ca="1"/>
        <v>-32.624399103224277</v>
      </c>
    </row>
    <row r="147" spans="1:13" x14ac:dyDescent="0.25">
      <c r="A147" s="137"/>
      <c r="H147" s="156" t="e">
        <f ca="1"/>
        <v>#N/A</v>
      </c>
      <c r="I147" s="157" t="e">
        <f ca="1"/>
        <v>#N/A</v>
      </c>
      <c r="J147" s="157" t="e">
        <f ca="1"/>
        <v>#N/A</v>
      </c>
      <c r="K147" s="157" t="e">
        <f ca="1"/>
        <v>#N/A</v>
      </c>
      <c r="L147" s="157" t="e">
        <f ca="1"/>
        <v>#N/A</v>
      </c>
      <c r="M147" s="157" t="e">
        <f ca="1"/>
        <v>#N/A</v>
      </c>
    </row>
    <row r="148" spans="1:13" x14ac:dyDescent="0.25">
      <c r="A148" s="137"/>
      <c r="H148" s="156" t="e">
        <f ca="1"/>
        <v>#N/A</v>
      </c>
      <c r="I148" s="157" t="e">
        <f ca="1"/>
        <v>#N/A</v>
      </c>
      <c r="J148" s="157" t="e">
        <f ca="1"/>
        <v>#N/A</v>
      </c>
      <c r="K148" s="157" t="e">
        <f ca="1"/>
        <v>#N/A</v>
      </c>
      <c r="L148" s="157" t="e">
        <f ca="1"/>
        <v>#N/A</v>
      </c>
      <c r="M148" s="157" t="e">
        <f ca="1"/>
        <v>#N/A</v>
      </c>
    </row>
    <row r="149" spans="1:13" x14ac:dyDescent="0.25">
      <c r="A149" s="137"/>
      <c r="H149" s="156" t="e">
        <f ca="1"/>
        <v>#N/A</v>
      </c>
      <c r="I149" s="157" t="e">
        <f ca="1"/>
        <v>#N/A</v>
      </c>
      <c r="J149" s="157" t="e">
        <f ca="1"/>
        <v>#N/A</v>
      </c>
      <c r="K149" s="157" t="e">
        <f ca="1"/>
        <v>#N/A</v>
      </c>
      <c r="L149" s="157" t="e">
        <f ca="1"/>
        <v>#N/A</v>
      </c>
      <c r="M149" s="157" t="e">
        <f ca="1"/>
        <v>#N/A</v>
      </c>
    </row>
    <row r="150" spans="1:13" x14ac:dyDescent="0.25">
      <c r="A150" s="137"/>
      <c r="H150" s="156" t="e">
        <f ca="1"/>
        <v>#N/A</v>
      </c>
      <c r="I150" s="157" t="e">
        <f ca="1"/>
        <v>#N/A</v>
      </c>
      <c r="J150" s="157" t="e">
        <f ca="1"/>
        <v>#N/A</v>
      </c>
      <c r="K150" s="157" t="e">
        <f ca="1"/>
        <v>#N/A</v>
      </c>
      <c r="L150" s="157" t="e">
        <f ca="1"/>
        <v>#N/A</v>
      </c>
      <c r="M150" s="157" t="e">
        <f ca="1"/>
        <v>#N/A</v>
      </c>
    </row>
    <row r="151" spans="1:13" x14ac:dyDescent="0.25">
      <c r="A151" s="137"/>
      <c r="H151" s="156" t="e">
        <f ca="1"/>
        <v>#N/A</v>
      </c>
      <c r="I151" s="157" t="e">
        <f ca="1"/>
        <v>#N/A</v>
      </c>
      <c r="J151" s="157" t="e">
        <f ca="1"/>
        <v>#N/A</v>
      </c>
      <c r="K151" s="157" t="e">
        <f ca="1"/>
        <v>#N/A</v>
      </c>
      <c r="L151" s="157" t="e">
        <f ca="1"/>
        <v>#N/A</v>
      </c>
      <c r="M151" s="157" t="e">
        <f ca="1"/>
        <v>#N/A</v>
      </c>
    </row>
    <row r="152" spans="1:13" x14ac:dyDescent="0.25">
      <c r="A152" s="137"/>
      <c r="H152" s="156" t="e">
        <f ca="1"/>
        <v>#N/A</v>
      </c>
      <c r="I152" s="157" t="e">
        <f ca="1"/>
        <v>#N/A</v>
      </c>
      <c r="J152" s="157" t="e">
        <f ca="1"/>
        <v>#N/A</v>
      </c>
      <c r="K152" s="157" t="e">
        <f ca="1"/>
        <v>#N/A</v>
      </c>
      <c r="L152" s="157" t="e">
        <f ca="1"/>
        <v>#N/A</v>
      </c>
      <c r="M152" s="157" t="e">
        <f ca="1"/>
        <v>#N/A</v>
      </c>
    </row>
    <row r="153" spans="1:13" x14ac:dyDescent="0.25">
      <c r="A153" s="137"/>
      <c r="H153" s="156" t="e">
        <f ca="1"/>
        <v>#N/A</v>
      </c>
      <c r="I153" s="157" t="e">
        <f ca="1"/>
        <v>#N/A</v>
      </c>
      <c r="J153" s="157" t="e">
        <f ca="1"/>
        <v>#N/A</v>
      </c>
      <c r="K153" s="157" t="e">
        <f ca="1"/>
        <v>#N/A</v>
      </c>
      <c r="L153" s="157" t="e">
        <f ca="1"/>
        <v>#N/A</v>
      </c>
      <c r="M153" s="157" t="e">
        <f ca="1"/>
        <v>#N/A</v>
      </c>
    </row>
    <row r="154" spans="1:13" x14ac:dyDescent="0.25">
      <c r="A154" s="137"/>
      <c r="H154" s="156" t="e">
        <f ca="1"/>
        <v>#N/A</v>
      </c>
      <c r="I154" s="157" t="e">
        <f ca="1"/>
        <v>#N/A</v>
      </c>
      <c r="J154" s="157" t="e">
        <f ca="1"/>
        <v>#N/A</v>
      </c>
      <c r="K154" s="157" t="e">
        <f ca="1"/>
        <v>#N/A</v>
      </c>
      <c r="L154" s="157" t="e">
        <f ca="1"/>
        <v>#N/A</v>
      </c>
      <c r="M154" s="157" t="e">
        <f ca="1"/>
        <v>#N/A</v>
      </c>
    </row>
    <row r="155" spans="1:13" x14ac:dyDescent="0.25">
      <c r="A155" s="137"/>
      <c r="H155" s="156" t="e">
        <f ca="1"/>
        <v>#N/A</v>
      </c>
      <c r="I155" s="157" t="e">
        <f ca="1"/>
        <v>#N/A</v>
      </c>
      <c r="J155" t="e">
        <f ca="1"/>
        <v>#N/A</v>
      </c>
      <c r="K155" t="e">
        <f ca="1"/>
        <v>#N/A</v>
      </c>
      <c r="L155" t="e">
        <f ca="1"/>
        <v>#N/A</v>
      </c>
      <c r="M155" t="e">
        <f ca="1"/>
        <v>#N/A</v>
      </c>
    </row>
    <row r="156" spans="1:13" x14ac:dyDescent="0.25">
      <c r="A156" s="137"/>
      <c r="H156" s="156" t="e">
        <f ca="1"/>
        <v>#N/A</v>
      </c>
      <c r="I156" s="157" t="e">
        <f ca="1"/>
        <v>#N/A</v>
      </c>
      <c r="J156" t="e">
        <f ca="1"/>
        <v>#N/A</v>
      </c>
      <c r="K156" t="e">
        <f ca="1"/>
        <v>#N/A</v>
      </c>
      <c r="L156" t="e">
        <f ca="1"/>
        <v>#N/A</v>
      </c>
      <c r="M156" t="e">
        <f ca="1"/>
        <v>#N/A</v>
      </c>
    </row>
    <row r="157" spans="1:13" x14ac:dyDescent="0.25">
      <c r="A157" s="137"/>
      <c r="H157" s="156" t="e">
        <f ca="1"/>
        <v>#N/A</v>
      </c>
      <c r="I157" s="157" t="e">
        <f ca="1"/>
        <v>#N/A</v>
      </c>
      <c r="J157" t="e">
        <f ca="1"/>
        <v>#N/A</v>
      </c>
      <c r="K157" t="e">
        <f ca="1"/>
        <v>#N/A</v>
      </c>
      <c r="L157" t="e">
        <f ca="1"/>
        <v>#N/A</v>
      </c>
      <c r="M157" t="e">
        <f ca="1"/>
        <v>#N/A</v>
      </c>
    </row>
    <row r="158" spans="1:13" x14ac:dyDescent="0.25">
      <c r="A158" s="137"/>
      <c r="H158" s="156" t="e">
        <f ca="1"/>
        <v>#N/A</v>
      </c>
      <c r="I158" s="157" t="e">
        <f ca="1"/>
        <v>#N/A</v>
      </c>
      <c r="J158" t="e">
        <f ca="1"/>
        <v>#N/A</v>
      </c>
      <c r="K158" t="e">
        <f ca="1"/>
        <v>#N/A</v>
      </c>
      <c r="L158" t="e">
        <f ca="1"/>
        <v>#N/A</v>
      </c>
      <c r="M158" t="e">
        <f ca="1"/>
        <v>#N/A</v>
      </c>
    </row>
    <row r="159" spans="1:13" x14ac:dyDescent="0.25">
      <c r="A159" s="137"/>
      <c r="H159" s="156" t="e">
        <f ca="1"/>
        <v>#N/A</v>
      </c>
      <c r="I159" s="157" t="e">
        <f ca="1"/>
        <v>#N/A</v>
      </c>
      <c r="J159" t="e">
        <f ca="1"/>
        <v>#N/A</v>
      </c>
      <c r="K159" t="e">
        <f ca="1"/>
        <v>#N/A</v>
      </c>
      <c r="L159" t="e">
        <f ca="1"/>
        <v>#N/A</v>
      </c>
      <c r="M159" t="e">
        <f ca="1"/>
        <v>#N/A</v>
      </c>
    </row>
    <row r="160" spans="1:13" x14ac:dyDescent="0.25">
      <c r="A160" s="137"/>
      <c r="H160" s="156" t="e">
        <f ca="1"/>
        <v>#N/A</v>
      </c>
      <c r="I160" s="157" t="e">
        <f ca="1"/>
        <v>#N/A</v>
      </c>
      <c r="J160" t="e">
        <f ca="1"/>
        <v>#N/A</v>
      </c>
      <c r="K160" t="e">
        <f ca="1"/>
        <v>#N/A</v>
      </c>
      <c r="L160" t="e">
        <f ca="1"/>
        <v>#N/A</v>
      </c>
      <c r="M160" t="e">
        <f ca="1"/>
        <v>#N/A</v>
      </c>
    </row>
    <row r="161" spans="1:13" x14ac:dyDescent="0.25">
      <c r="A161" s="137"/>
      <c r="H161" s="156" t="e">
        <f ca="1"/>
        <v>#N/A</v>
      </c>
      <c r="I161" s="157" t="e">
        <f ca="1"/>
        <v>#N/A</v>
      </c>
      <c r="J161" t="e">
        <f ca="1"/>
        <v>#N/A</v>
      </c>
      <c r="K161" t="e">
        <f ca="1"/>
        <v>#N/A</v>
      </c>
      <c r="L161" t="e">
        <f ca="1"/>
        <v>#N/A</v>
      </c>
      <c r="M161" t="e">
        <f ca="1"/>
        <v>#N/A</v>
      </c>
    </row>
    <row r="162" spans="1:13" x14ac:dyDescent="0.25">
      <c r="A162" s="137"/>
      <c r="H162" s="156" t="e">
        <f ca="1"/>
        <v>#N/A</v>
      </c>
      <c r="I162" s="157" t="e">
        <f ca="1"/>
        <v>#N/A</v>
      </c>
      <c r="J162" t="e">
        <f ca="1"/>
        <v>#N/A</v>
      </c>
      <c r="K162" t="e">
        <f ca="1"/>
        <v>#N/A</v>
      </c>
      <c r="L162" t="e">
        <f ca="1"/>
        <v>#N/A</v>
      </c>
      <c r="M162" t="e">
        <f ca="1"/>
        <v>#N/A</v>
      </c>
    </row>
    <row r="163" spans="1:13" x14ac:dyDescent="0.25">
      <c r="A163" s="137"/>
      <c r="H163" s="156" t="e">
        <f ca="1"/>
        <v>#N/A</v>
      </c>
      <c r="I163" s="157" t="e">
        <f ca="1"/>
        <v>#N/A</v>
      </c>
      <c r="J163" t="e">
        <f ca="1"/>
        <v>#N/A</v>
      </c>
      <c r="K163" t="e">
        <f ca="1"/>
        <v>#N/A</v>
      </c>
      <c r="L163" t="e">
        <f ca="1"/>
        <v>#N/A</v>
      </c>
      <c r="M163" t="e">
        <f ca="1"/>
        <v>#N/A</v>
      </c>
    </row>
    <row r="164" spans="1:13" x14ac:dyDescent="0.25">
      <c r="A164" s="137"/>
      <c r="H164" s="156" t="e">
        <f ca="1"/>
        <v>#N/A</v>
      </c>
      <c r="I164" s="157" t="e">
        <f ca="1"/>
        <v>#N/A</v>
      </c>
      <c r="J164" t="e">
        <f ca="1"/>
        <v>#N/A</v>
      </c>
      <c r="K164" t="e">
        <f ca="1"/>
        <v>#N/A</v>
      </c>
      <c r="L164" t="e">
        <f ca="1"/>
        <v>#N/A</v>
      </c>
      <c r="M164" t="e">
        <f ca="1"/>
        <v>#N/A</v>
      </c>
    </row>
    <row r="165" spans="1:13" x14ac:dyDescent="0.25">
      <c r="A165" s="137"/>
      <c r="H165" s="156" t="e">
        <f ca="1"/>
        <v>#N/A</v>
      </c>
      <c r="I165" s="157" t="e">
        <f ca="1"/>
        <v>#N/A</v>
      </c>
      <c r="J165" t="e">
        <f ca="1"/>
        <v>#N/A</v>
      </c>
      <c r="K165" t="e">
        <f ca="1"/>
        <v>#N/A</v>
      </c>
      <c r="L165" t="e">
        <f ca="1"/>
        <v>#N/A</v>
      </c>
      <c r="M165" t="e">
        <f ca="1"/>
        <v>#N/A</v>
      </c>
    </row>
    <row r="166" spans="1:13" x14ac:dyDescent="0.25">
      <c r="A166" s="137"/>
      <c r="H166" s="156" t="e">
        <f ca="1"/>
        <v>#N/A</v>
      </c>
      <c r="I166" s="157" t="e">
        <f ca="1"/>
        <v>#N/A</v>
      </c>
      <c r="J166" t="e">
        <f ca="1"/>
        <v>#N/A</v>
      </c>
      <c r="K166" t="e">
        <f ca="1"/>
        <v>#N/A</v>
      </c>
      <c r="L166" t="e">
        <f ca="1"/>
        <v>#N/A</v>
      </c>
      <c r="M166" t="e">
        <f ca="1"/>
        <v>#N/A</v>
      </c>
    </row>
    <row r="167" spans="1:13" x14ac:dyDescent="0.25">
      <c r="A167" s="137"/>
      <c r="H167" s="156" t="e">
        <f ca="1"/>
        <v>#N/A</v>
      </c>
      <c r="I167" s="157" t="e">
        <f ca="1"/>
        <v>#N/A</v>
      </c>
      <c r="J167" t="e">
        <f ca="1"/>
        <v>#N/A</v>
      </c>
      <c r="K167" t="e">
        <f ca="1"/>
        <v>#N/A</v>
      </c>
      <c r="L167" t="e">
        <f ca="1"/>
        <v>#N/A</v>
      </c>
      <c r="M167" t="e">
        <f ca="1"/>
        <v>#N/A</v>
      </c>
    </row>
    <row r="168" spans="1:13" x14ac:dyDescent="0.25">
      <c r="A168" s="137"/>
      <c r="H168" s="156" t="e">
        <f ca="1"/>
        <v>#N/A</v>
      </c>
      <c r="I168" s="157" t="e">
        <f ca="1"/>
        <v>#N/A</v>
      </c>
      <c r="J168" t="e">
        <f ca="1"/>
        <v>#N/A</v>
      </c>
      <c r="K168" t="e">
        <f ca="1"/>
        <v>#N/A</v>
      </c>
      <c r="L168" t="e">
        <f ca="1"/>
        <v>#N/A</v>
      </c>
      <c r="M168" t="e">
        <f ca="1"/>
        <v>#N/A</v>
      </c>
    </row>
    <row r="169" spans="1:13" x14ac:dyDescent="0.25">
      <c r="A169" s="137"/>
      <c r="H169" s="156" t="e">
        <f ca="1"/>
        <v>#N/A</v>
      </c>
      <c r="I169" s="157" t="e">
        <f ca="1"/>
        <v>#N/A</v>
      </c>
      <c r="J169" t="e">
        <f ca="1"/>
        <v>#N/A</v>
      </c>
      <c r="K169" t="e">
        <f ca="1"/>
        <v>#N/A</v>
      </c>
      <c r="L169" t="e">
        <f ca="1"/>
        <v>#N/A</v>
      </c>
      <c r="M169" t="e">
        <f ca="1"/>
        <v>#N/A</v>
      </c>
    </row>
    <row r="170" spans="1:13" x14ac:dyDescent="0.25">
      <c r="A170" s="137"/>
      <c r="H170" s="156" t="e">
        <f ca="1"/>
        <v>#N/A</v>
      </c>
      <c r="I170" s="157" t="e">
        <f ca="1"/>
        <v>#N/A</v>
      </c>
      <c r="J170" t="e">
        <f ca="1"/>
        <v>#N/A</v>
      </c>
      <c r="K170" t="e">
        <f ca="1"/>
        <v>#N/A</v>
      </c>
      <c r="L170" t="e">
        <f ca="1"/>
        <v>#N/A</v>
      </c>
      <c r="M170" t="e">
        <f ca="1"/>
        <v>#N/A</v>
      </c>
    </row>
    <row r="171" spans="1:13" x14ac:dyDescent="0.25">
      <c r="A171" s="137"/>
      <c r="H171" s="158" t="e">
        <f ca="1"/>
        <v>#N/A</v>
      </c>
      <c r="I171" s="159" t="e">
        <f ca="1"/>
        <v>#N/A</v>
      </c>
      <c r="J171" t="e">
        <f ca="1"/>
        <v>#N/A</v>
      </c>
      <c r="K171" t="e">
        <f ca="1"/>
        <v>#N/A</v>
      </c>
      <c r="L171" t="e">
        <f ca="1"/>
        <v>#N/A</v>
      </c>
      <c r="M171" t="e">
        <f ca="1"/>
        <v>#N/A</v>
      </c>
    </row>
    <row r="172" spans="1:13" x14ac:dyDescent="0.25">
      <c r="A172" s="137"/>
      <c r="H172"/>
    </row>
    <row r="173" spans="1:13" x14ac:dyDescent="0.25">
      <c r="A173" s="137"/>
      <c r="H173"/>
    </row>
    <row r="174" spans="1:13" x14ac:dyDescent="0.25">
      <c r="A174" s="137"/>
      <c r="H174"/>
    </row>
    <row r="175" spans="1:13" x14ac:dyDescent="0.25">
      <c r="A175" s="137"/>
      <c r="H175"/>
    </row>
    <row r="176" spans="1:13" x14ac:dyDescent="0.25">
      <c r="A176" s="137"/>
      <c r="H176"/>
    </row>
    <row r="177" spans="1:8" x14ac:dyDescent="0.25">
      <c r="A177" s="137"/>
      <c r="H177"/>
    </row>
    <row r="178" spans="1:8" x14ac:dyDescent="0.25">
      <c r="A178" s="137"/>
      <c r="H178"/>
    </row>
    <row r="179" spans="1:8" x14ac:dyDescent="0.25">
      <c r="A179" s="137"/>
      <c r="H179"/>
    </row>
    <row r="180" spans="1:8" x14ac:dyDescent="0.25">
      <c r="A180" s="137"/>
      <c r="H180"/>
    </row>
    <row r="181" spans="1:8" x14ac:dyDescent="0.25">
      <c r="A181" s="137"/>
      <c r="H181"/>
    </row>
    <row r="182" spans="1:8" x14ac:dyDescent="0.25">
      <c r="A182" s="137"/>
      <c r="H182"/>
    </row>
    <row r="183" spans="1:8" x14ac:dyDescent="0.25">
      <c r="A183" s="137"/>
      <c r="H183"/>
    </row>
    <row r="184" spans="1:8" x14ac:dyDescent="0.25">
      <c r="A184" s="137"/>
      <c r="H184"/>
    </row>
    <row r="185" spans="1:8" x14ac:dyDescent="0.25">
      <c r="A185" s="137"/>
      <c r="H185"/>
    </row>
    <row r="186" spans="1:8" x14ac:dyDescent="0.25">
      <c r="A186" s="137"/>
      <c r="H186"/>
    </row>
    <row r="187" spans="1:8" x14ac:dyDescent="0.25">
      <c r="A187" s="137"/>
      <c r="H187"/>
    </row>
    <row r="188" spans="1:8" x14ac:dyDescent="0.25">
      <c r="A188" s="137"/>
      <c r="H188"/>
    </row>
    <row r="189" spans="1:8" x14ac:dyDescent="0.25">
      <c r="A189" s="137"/>
      <c r="H189"/>
    </row>
    <row r="190" spans="1:8" x14ac:dyDescent="0.25">
      <c r="A190" s="137"/>
      <c r="H190"/>
    </row>
    <row r="191" spans="1:8" x14ac:dyDescent="0.25">
      <c r="A191" s="137"/>
      <c r="H191"/>
    </row>
    <row r="192" spans="1:8" x14ac:dyDescent="0.25">
      <c r="A192" s="137"/>
      <c r="H192"/>
    </row>
    <row r="193" spans="1:8" x14ac:dyDescent="0.25">
      <c r="A193" s="137"/>
      <c r="H193"/>
    </row>
    <row r="194" spans="1:8" x14ac:dyDescent="0.25">
      <c r="A194" s="137"/>
      <c r="H194"/>
    </row>
    <row r="195" spans="1:8" x14ac:dyDescent="0.25">
      <c r="A195" s="137"/>
      <c r="H195"/>
    </row>
    <row r="196" spans="1:8" x14ac:dyDescent="0.25">
      <c r="A196" s="137"/>
      <c r="H196"/>
    </row>
    <row r="197" spans="1:8" x14ac:dyDescent="0.25">
      <c r="A197" s="137"/>
      <c r="H197"/>
    </row>
    <row r="198" spans="1:8" x14ac:dyDescent="0.25">
      <c r="A198" s="137"/>
      <c r="H198"/>
    </row>
    <row r="199" spans="1:8" x14ac:dyDescent="0.25">
      <c r="A199" s="137"/>
      <c r="H199"/>
    </row>
    <row r="200" spans="1:8" x14ac:dyDescent="0.25">
      <c r="A200" s="137"/>
      <c r="H200"/>
    </row>
    <row r="201" spans="1:8" x14ac:dyDescent="0.25">
      <c r="A201" s="137"/>
      <c r="H201"/>
    </row>
    <row r="202" spans="1:8" x14ac:dyDescent="0.25">
      <c r="A202" s="137"/>
      <c r="H202"/>
    </row>
    <row r="203" spans="1:8" x14ac:dyDescent="0.25">
      <c r="A203" s="137"/>
      <c r="H203"/>
    </row>
    <row r="204" spans="1:8" x14ac:dyDescent="0.25">
      <c r="A204" s="137"/>
      <c r="H204"/>
    </row>
    <row r="205" spans="1:8" x14ac:dyDescent="0.25">
      <c r="A205" s="137"/>
      <c r="H205"/>
    </row>
    <row r="206" spans="1:8" x14ac:dyDescent="0.25">
      <c r="A206" s="137"/>
      <c r="H206"/>
    </row>
    <row r="207" spans="1:8" x14ac:dyDescent="0.25">
      <c r="A207" s="137"/>
      <c r="H207"/>
    </row>
    <row r="208" spans="1:8" x14ac:dyDescent="0.25">
      <c r="A208" s="137"/>
      <c r="H208"/>
    </row>
    <row r="209" spans="1:8" x14ac:dyDescent="0.25">
      <c r="A209" s="137"/>
      <c r="H209"/>
    </row>
    <row r="210" spans="1:8" x14ac:dyDescent="0.25">
      <c r="A210" s="137"/>
      <c r="H210"/>
    </row>
    <row r="211" spans="1:8" x14ac:dyDescent="0.25">
      <c r="A211" s="137"/>
      <c r="H211"/>
    </row>
    <row r="212" spans="1:8" x14ac:dyDescent="0.25">
      <c r="A212" s="137"/>
      <c r="H212"/>
    </row>
    <row r="213" spans="1:8" x14ac:dyDescent="0.25">
      <c r="A213" s="137"/>
      <c r="H213"/>
    </row>
    <row r="214" spans="1:8" x14ac:dyDescent="0.25">
      <c r="A214" s="137"/>
      <c r="H214"/>
    </row>
    <row r="215" spans="1:8" x14ac:dyDescent="0.25">
      <c r="A215" s="137"/>
      <c r="H215"/>
    </row>
    <row r="216" spans="1:8" x14ac:dyDescent="0.25">
      <c r="A216" s="137"/>
      <c r="H216"/>
    </row>
    <row r="217" spans="1:8" x14ac:dyDescent="0.25">
      <c r="A217" s="137"/>
      <c r="H217"/>
    </row>
    <row r="218" spans="1:8" x14ac:dyDescent="0.25">
      <c r="A218" s="137"/>
      <c r="H218"/>
    </row>
    <row r="219" spans="1:8" x14ac:dyDescent="0.25">
      <c r="A219" s="137"/>
      <c r="H219"/>
    </row>
    <row r="220" spans="1:8" x14ac:dyDescent="0.25">
      <c r="H220"/>
    </row>
    <row r="221" spans="1:8" x14ac:dyDescent="0.25">
      <c r="H221"/>
    </row>
    <row r="222" spans="1:8" x14ac:dyDescent="0.25">
      <c r="H222"/>
    </row>
    <row r="223" spans="1:8" x14ac:dyDescent="0.25">
      <c r="H223"/>
    </row>
    <row r="224" spans="1:8" x14ac:dyDescent="0.25">
      <c r="H224"/>
    </row>
    <row r="225" spans="8:8" x14ac:dyDescent="0.25">
      <c r="H225"/>
    </row>
    <row r="226" spans="8:8" x14ac:dyDescent="0.25">
      <c r="H226"/>
    </row>
    <row r="227" spans="8:8" x14ac:dyDescent="0.25">
      <c r="H227"/>
    </row>
    <row r="228" spans="8:8" x14ac:dyDescent="0.25">
      <c r="H228"/>
    </row>
  </sheetData>
  <dataValidations count="5">
    <dataValidation type="list" allowBlank="1" showInputMessage="1" showErrorMessage="1" sqref="C8:F8">
      <formula1>"PAYER,RECEIVER"</formula1>
    </dataValidation>
    <dataValidation type="list" allowBlank="1" showInputMessage="1" showErrorMessage="1" sqref="C23:F23 C14:F14">
      <formula1>"MOD_FOLLOWING,FOLLOWING,MOD_PRECEDING,PRECEDING,NO_CHANGE"</formula1>
    </dataValidation>
    <dataValidation type="list" allowBlank="1" showInputMessage="1" showErrorMessage="1" sqref="E33:F33 C33:D34 C20:F20">
      <formula1>"None,ShortStart,ShortEnd,LongStart,LongEnd"</formula1>
    </dataValidation>
    <dataValidation type="list" allowBlank="1" showInputMessage="1" showErrorMessage="1" sqref="C42">
      <formula1>"TRUE,FALSE"</formula1>
    </dataValidation>
    <dataValidation type="list" allowBlank="1" showInputMessage="1" showErrorMessage="1" sqref="C41:F41">
      <formula1>"Up, Down, Central"</formula1>
    </dataValidation>
  </dataValidations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63</vt:i4>
      </vt:variant>
    </vt:vector>
  </HeadingPairs>
  <TitlesOfParts>
    <vt:vector size="70" baseType="lpstr">
      <vt:lpstr>EUR OIS</vt:lpstr>
      <vt:lpstr>EUR STD</vt:lpstr>
      <vt:lpstr>EUR Tenor Basis</vt:lpstr>
      <vt:lpstr>USD OIS</vt:lpstr>
      <vt:lpstr>USD STD</vt:lpstr>
      <vt:lpstr>XCCY BASIS</vt:lpstr>
      <vt:lpstr>Portfolio</vt:lpstr>
      <vt:lpstr>COB</vt:lpstr>
      <vt:lpstr>Curve.BuildProperties</vt:lpstr>
      <vt:lpstr>Curve.CollectionName</vt:lpstr>
      <vt:lpstr>Curve.MarketDataTable</vt:lpstr>
      <vt:lpstr>Curve.OISIndexName</vt:lpstr>
      <vt:lpstr>'USD OIS'!CurveBuildProperties</vt:lpstr>
      <vt:lpstr>'USD STD'!CurveBuildProperties</vt:lpstr>
      <vt:lpstr>'XCCY BASIS'!CurveBuildProperties</vt:lpstr>
      <vt:lpstr>'USD OIS'!CurveCollection</vt:lpstr>
      <vt:lpstr>'USD STD'!CurveCollection</vt:lpstr>
      <vt:lpstr>'XCCY BASIS'!CurveCollection</vt:lpstr>
      <vt:lpstr>FRA.Conventions</vt:lpstr>
      <vt:lpstr>FRA.MarketDataX3</vt:lpstr>
      <vt:lpstr>FRA.MarketDataX6</vt:lpstr>
      <vt:lpstr>'USD STD'!FRAConventions</vt:lpstr>
      <vt:lpstr>'USD STD'!FRAMarketData3M</vt:lpstr>
      <vt:lpstr>'USD STD'!FRAMarketData6M</vt:lpstr>
      <vt:lpstr>Futures.Conventions</vt:lpstr>
      <vt:lpstr>Futures.MarketData</vt:lpstr>
      <vt:lpstr>'USD STD'!FuturesConventions</vt:lpstr>
      <vt:lpstr>'USD STD'!FuturesMarketData</vt:lpstr>
      <vt:lpstr>'USD OIS'!IndexName</vt:lpstr>
      <vt:lpstr>'USD STD'!IndexName</vt:lpstr>
      <vt:lpstr>'XCCY BASIS'!IndexName</vt:lpstr>
      <vt:lpstr>Libor.Conventions</vt:lpstr>
      <vt:lpstr>Libor.MarketData</vt:lpstr>
      <vt:lpstr>'USD STD'!LiborConventions</vt:lpstr>
      <vt:lpstr>'USD STD'!LiborMarketData</vt:lpstr>
      <vt:lpstr>LiborOISBasis.Conventions</vt:lpstr>
      <vt:lpstr>LiborOISBasis.MarketData</vt:lpstr>
      <vt:lpstr>'USD OIS'!LiborSwap.Conventions</vt:lpstr>
      <vt:lpstr>LiborSwap.Conventions</vt:lpstr>
      <vt:lpstr>'USD OIS'!LiborSwap.MarketData</vt:lpstr>
      <vt:lpstr>LiborSwap.MarketData</vt:lpstr>
      <vt:lpstr>MoneyMarket.Conventions</vt:lpstr>
      <vt:lpstr>'USD STD'!MoneyMarketConventions</vt:lpstr>
      <vt:lpstr>OIS.Conventions</vt:lpstr>
      <vt:lpstr>OIS.FixingTable</vt:lpstr>
      <vt:lpstr>OIS.MarketData</vt:lpstr>
      <vt:lpstr>'USD OIS'!OISBasis.Conventions</vt:lpstr>
      <vt:lpstr>'USD OIS'!OISBasis.Spreads</vt:lpstr>
      <vt:lpstr>'USD OIS'!OISConventions</vt:lpstr>
      <vt:lpstr>'USD OIS'!OISFixingTable</vt:lpstr>
      <vt:lpstr>'USD OIS'!OISMarketData</vt:lpstr>
      <vt:lpstr>'USD OIS'!StaticDataTable</vt:lpstr>
      <vt:lpstr>'USD STD'!StaticDataTable</vt:lpstr>
      <vt:lpstr>'XCCY BASIS'!StaticDataTable</vt:lpstr>
      <vt:lpstr>STDCurve.Buildproperties</vt:lpstr>
      <vt:lpstr>STDCurve.CollectionName</vt:lpstr>
      <vt:lpstr>STDCurve.IndexName</vt:lpstr>
      <vt:lpstr>STDCurve.StaticDataTable</vt:lpstr>
      <vt:lpstr>Swap.Conventions</vt:lpstr>
      <vt:lpstr>Swap.MarketData</vt:lpstr>
      <vt:lpstr>'USD STD'!SwapConventions</vt:lpstr>
      <vt:lpstr>'USD STD'!SwapMarketData</vt:lpstr>
      <vt:lpstr>'EUR Tenor Basis'!TenorBasisCurve3M6M.BuildProperties</vt:lpstr>
      <vt:lpstr>'EUR Tenor Basis'!TenorBasisCurve3M6M.CollectionName</vt:lpstr>
      <vt:lpstr>'EUR Tenor Basis'!TenorBasisCurve3M6M.IndexName</vt:lpstr>
      <vt:lpstr>'EUR Tenor Basis'!TenorBasisCurve3M6M.StaticDataTable</vt:lpstr>
      <vt:lpstr>'EUR Tenor Basis'!TenorBasisSwap3M6M.Conventions</vt:lpstr>
      <vt:lpstr>'EUR Tenor Basis'!TenorBasisSwap3M6M.MarketData</vt:lpstr>
      <vt:lpstr>'XCCY BASIS'!XccyBasisMarketData</vt:lpstr>
      <vt:lpstr>'XCCY BASIS'!XccyBasisSwapConventions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Ye Joseph</cp:lastModifiedBy>
  <dcterms:created xsi:type="dcterms:W3CDTF">2016-03-11T11:47:18Z</dcterms:created>
  <dcterms:modified xsi:type="dcterms:W3CDTF">2016-06-06T13:24:49Z</dcterms:modified>
</cp:coreProperties>
</file>