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20700" windowHeight="11760" activeTab="1"/>
  </bookViews>
  <sheets>
    <sheet name="OIS Curve" sheetId="4" r:id="rId1"/>
    <sheet name="meCurveDiscountFactors" sheetId="1" r:id="rId2"/>
  </sheets>
  <definedNames>
    <definedName name="Curve.BuildProperties" localSheetId="0">'OIS Curve'!$C$20:$D$24</definedName>
    <definedName name="Curve.CollectionName" localSheetId="0">'OIS Curve'!$D$11</definedName>
    <definedName name="Curve.MarketDataTable" localSheetId="0">'OIS Curve'!$D$12</definedName>
    <definedName name="Curve.OISIndexName" localSheetId="0">'OIS Curve'!$D$13</definedName>
    <definedName name="isCurveLoadedEUROIS">'OIS Curve'!$D$8</definedName>
    <definedName name="LiborOISBasis.Conventions" localSheetId="0">'OIS Curve'!$C$64:$D$89</definedName>
    <definedName name="LiborOISBasis.MarketData" localSheetId="0">'OIS Curve'!$F$65:$G$89</definedName>
    <definedName name="LiborSwap.Conventions" localSheetId="0">'OIS Curve'!$I$64:$J$89</definedName>
    <definedName name="LiborSwap.MarketData" localSheetId="0">'OIS Curve'!$L$65:$M$89</definedName>
    <definedName name="OIS.Conventions" localSheetId="0">'OIS Curve'!$C$31:$D$57</definedName>
    <definedName name="OIS.FixingTable" localSheetId="0">'OIS Curve'!$L$32:$M$57</definedName>
    <definedName name="OIS.MarketData" localSheetId="0">'OIS Curve'!$F$32:$J$57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5" i="1" l="1" a="1"/>
  <c r="I5" i="1"/>
  <c r="I6" i="1"/>
  <c r="I7" i="1"/>
  <c r="I8" i="1"/>
  <c r="C5" i="1"/>
  <c r="D7" i="4" l="1"/>
  <c r="D8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<sst xmlns="http://schemas.openxmlformats.org/spreadsheetml/2006/main" count="222" uniqueCount="106">
  <si>
    <t xml:space="preserve"> </t>
  </si>
  <si>
    <t>MOD_FOLLOWING</t>
  </si>
  <si>
    <t>StartDate</t>
  </si>
  <si>
    <t>EURYC</t>
  </si>
  <si>
    <t>1Y</t>
  </si>
  <si>
    <t>OIS</t>
  </si>
  <si>
    <t>TGT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</si>
  <si>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</si>
  <si>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</si>
  <si>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</si>
  <si>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</si>
  <si>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</si>
  <si>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</si>
  <si>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</si>
  <si>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</si>
  <si>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</si>
  <si>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</si>
  <si>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</si>
  <si>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</si>
  <si>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</si>
  <si>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</si>
  <si>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</si>
  <si>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</si>
  <si>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</si>
  <si>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</si>
  <si>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</si>
  <si>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</si>
  <si>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</si>
  <si>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</si>
  <si>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</si>
  <si>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</si>
  <si>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</si>
  <si>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</si>
  <si>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</si>
  <si>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</si>
  <si>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</si>
  <si>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</si>
  <si>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</si>
  <si>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</si>
  <si>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</si>
  <si>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</si>
  <si>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</si>
  <si>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</si>
  <si>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</si>
  <si>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</si>
  <si>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</si>
  <si>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</si>
  <si>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</si>
  <si>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</si>
  <si>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</si>
  <si>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</si>
  <si>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</si>
  <si>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</si>
  <si>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</si>
  <si>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</si>
  <si>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</si>
  <si>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</si>
  <si>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</si>
  <si>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</si>
  <si>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</si>
  <si>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</si>
  <si>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</si>
  <si>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</si>
  <si>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</si>
  <si>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</si>
  <si>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</si>
  <si>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</si>
  <si>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</si>
  <si>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</si>
  <si>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</si>
  <si>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</si>
  <si>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</si>
  <si>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</si>
  <si>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</si>
  <si>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</si>
  <si>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</si>
  <si>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</si>
  <si>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</si>
  <si>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</si>
  <si>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</si>
  <si>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</si>
  <si>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</si>
  <si>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</si>
  <si>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</si>
  <si>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</si>
  <si>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</si>
  <si>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</si>
  <si>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</si>
  <si>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</si>
  <si>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</si>
  <si>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</si>
  <si>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</si>
  <si>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</si>
  <si>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CurveID</t>
  </si>
  <si>
    <t>6M</t>
  </si>
  <si>
    <t>slidingrule</t>
  </si>
  <si>
    <t>SlidingRule</t>
  </si>
  <si>
    <t>BusinessDayAdjustment</t>
  </si>
  <si>
    <t>CurveIndex</t>
  </si>
  <si>
    <t>meCurveDiscountFactorsFromTenors</t>
  </si>
  <si>
    <t>meCurveDiscountFactorsFromTenors (multiple inputs)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</si>
  <si>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</si>
  <si>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</si>
  <si>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isCurveLoaded</t>
  </si>
  <si>
    <t>DiscountFactor(s)</t>
  </si>
  <si>
    <t>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</si>
</sst>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0.000"/>
    <numFmt numFmtId="166" formatCode="#,##0.000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106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15" xfId="0" quotePrefix="1" applyFont="1" applyFill="1" applyBorder="1" applyAlignment="1">
      <alignment horizontal="center" vertical="center"/>
    </xf>
    <xf numFmtId="165" fontId="10" fillId="3" borderId="3" xfId="0" applyNumberFormat="1" applyFont="1" applyFill="1" applyBorder="1" applyAlignment="1">
      <alignment horizontal="center" vertical="center"/>
    </xf>
    <xf numFmtId="165" fontId="10" fillId="3" borderId="7" xfId="0" applyNumberFormat="1" applyFont="1" applyFill="1" applyBorder="1" applyAlignment="1">
      <alignment horizontal="center" vertical="center"/>
    </xf>
    <xf numFmtId="165" fontId="10" fillId="3" borderId="13" xfId="0" applyNumberFormat="1" applyFont="1" applyFill="1" applyBorder="1" applyAlignment="1">
      <alignment horizontal="center" vertical="center"/>
    </xf>
    <xf numFmtId="0" fontId="4" fillId="0" borderId="14" xfId="0" quotePrefix="1" applyFont="1" applyFill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0" fillId="3" borderId="0" xfId="0" applyNumberFormat="1" applyFont="1" applyFill="1" applyBorder="1" applyAlignment="1">
      <alignment horizontal="center" vertical="center"/>
    </xf>
    <xf numFmtId="165" fontId="10" fillId="3" borderId="12" xfId="0" applyNumberFormat="1" applyFont="1" applyFill="1" applyBorder="1" applyAlignment="1">
      <alignment horizontal="center" vertical="center"/>
    </xf>
    <xf numFmtId="165" fontId="10" fillId="0" borderId="3" xfId="0" applyNumberFormat="1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165" fontId="10" fillId="0" borderId="2" xfId="0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4" fillId="3" borderId="0" xfId="0" applyFont="1" applyFill="1" applyBorder="1"/>
    <xf numFmtId="166" fontId="10" fillId="0" borderId="4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6" fillId="2" borderId="2" xfId="0" applyNumberFormat="1" applyFont="1" applyFill="1" applyBorder="1" applyAlignment="1">
      <alignment horizontal="center" vertical="center"/>
    </xf>
    <xf numFmtId="166" fontId="8" fillId="0" borderId="6" xfId="0" quotePrefix="1" applyNumberFormat="1" applyFont="1" applyFill="1" applyBorder="1" applyAlignment="1">
      <alignment horizontal="center" vertical="center"/>
    </xf>
    <xf numFmtId="166" fontId="10" fillId="0" borderId="11" xfId="0" applyNumberFormat="1" applyFont="1" applyFill="1" applyBorder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/>
    </xf>
    <xf numFmtId="166" fontId="4" fillId="0" borderId="11" xfId="0" applyNumberFormat="1" applyFont="1" applyFill="1" applyBorder="1" applyAlignment="1">
      <alignment horizontal="center" vertical="center"/>
    </xf>
    <xf numFmtId="166" fontId="0" fillId="2" borderId="12" xfId="0" applyNumberFormat="1" applyFill="1" applyBorder="1" applyAlignment="1">
      <alignment horizontal="center" vertical="center"/>
    </xf>
    <xf numFmtId="166" fontId="4" fillId="0" borderId="4" xfId="0" applyNumberFormat="1" applyFont="1" applyFill="1" applyBorder="1" applyAlignment="1">
      <alignment horizontal="center" vertical="center"/>
    </xf>
    <xf numFmtId="166" fontId="4" fillId="3" borderId="0" xfId="0" applyNumberFormat="1" applyFont="1" applyFill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102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101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3" t="s">
        <v>101</v>
      </c>
      <c r="D7" s="1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24"/>
      <c r="F7" s="25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48" t="s">
        <v>103</v>
      </c>
      <c r="D8" s="74" t="b">
        <f ca="1">LEFT(D7,5)=Curve.CollectionName</f>
        <v>1</v>
      </c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6" t="s">
        <v>7</v>
      </c>
      <c r="D10" s="27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8</v>
      </c>
      <c r="D11" s="28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9</v>
      </c>
      <c r="D12" s="29" t="s">
        <v>5</v>
      </c>
      <c r="E12" s="2" t="s">
        <v>10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0" t="s">
        <v>11</v>
      </c>
      <c r="D13" s="31" t="s">
        <v>12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/>
    </row>
    <row r="17" spans="2:14" x14ac:dyDescent="0.25">
      <c r="B17" s="32" t="s">
        <v>13</v>
      </c>
    </row>
    <row r="18" spans="2:14" x14ac:dyDescent="0.25">
      <c r="B18" s="5"/>
      <c r="C18" s="6"/>
      <c r="D18" s="7"/>
      <c r="E18" s="8"/>
      <c r="F18" s="8"/>
      <c r="G18" s="8"/>
      <c r="H18" s="33"/>
      <c r="I18" s="8"/>
      <c r="J18" s="8"/>
      <c r="K18" s="8"/>
      <c r="L18" s="8"/>
      <c r="M18" s="8"/>
      <c r="N18" s="9"/>
    </row>
    <row r="19" spans="2:14" x14ac:dyDescent="0.25">
      <c r="B19" s="10"/>
      <c r="C19" s="26" t="s">
        <v>13</v>
      </c>
      <c r="D19" s="34"/>
      <c r="E19" s="2"/>
      <c r="F19" s="35" t="s">
        <v>14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15</v>
      </c>
      <c r="D20" s="28">
        <v>42419</v>
      </c>
      <c r="E20" s="2"/>
      <c r="F20" s="36" t="s">
        <v>16</v>
      </c>
      <c r="G20" s="37"/>
      <c r="H20" s="38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17</v>
      </c>
      <c r="D21" s="29" t="s">
        <v>18</v>
      </c>
      <c r="E21" s="2"/>
      <c r="F21" s="39" t="s">
        <v>19</v>
      </c>
      <c r="G21" s="40"/>
      <c r="H21" s="41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20</v>
      </c>
      <c r="D22" s="19" t="s">
        <v>21</v>
      </c>
      <c r="E22" s="2"/>
      <c r="F22" s="39" t="s">
        <v>21</v>
      </c>
      <c r="G22" s="40"/>
      <c r="H22" s="41"/>
      <c r="I22" s="2"/>
      <c r="J22" s="2"/>
      <c r="K22" s="2"/>
      <c r="L22" s="2"/>
      <c r="M22" s="2"/>
      <c r="N22" s="12"/>
    </row>
    <row r="23" spans="2:14" x14ac:dyDescent="0.25">
      <c r="B23" s="10"/>
      <c r="C23" s="42"/>
      <c r="D23" s="29"/>
      <c r="E23" s="2"/>
      <c r="F23" s="39" t="s">
        <v>22</v>
      </c>
      <c r="G23" s="40"/>
      <c r="H23" s="41"/>
      <c r="I23" s="2"/>
      <c r="J23" s="2"/>
      <c r="K23" s="2"/>
      <c r="L23" s="2"/>
      <c r="M23" s="2"/>
      <c r="N23" s="12"/>
    </row>
    <row r="24" spans="2:14" x14ac:dyDescent="0.25">
      <c r="B24" s="10"/>
      <c r="C24" s="43"/>
      <c r="D24" s="31"/>
      <c r="E24" s="2"/>
      <c r="F24" s="44" t="s">
        <v>23</v>
      </c>
      <c r="G24" s="45"/>
      <c r="H24" s="46"/>
      <c r="I24" s="2"/>
      <c r="J24" s="2"/>
      <c r="K24" s="2"/>
      <c r="L24" s="2"/>
      <c r="M24" s="2"/>
      <c r="N24" s="12"/>
    </row>
    <row r="25" spans="2:14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2"/>
    </row>
    <row r="27" spans="2:14" x14ac:dyDescent="0.25">
      <c r="F27" s="1"/>
    </row>
    <row r="28" spans="2:14" x14ac:dyDescent="0.25">
      <c r="B28" s="32" t="s">
        <v>24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7" t="s">
        <v>25</v>
      </c>
      <c r="D30" s="48"/>
      <c r="E30" s="48"/>
      <c r="F30" s="47" t="s">
        <v>26</v>
      </c>
      <c r="G30" s="48"/>
      <c r="H30" s="48"/>
      <c r="I30" s="48"/>
      <c r="J30" s="48"/>
      <c r="K30" s="48"/>
      <c r="L30" s="47" t="s">
        <v>27</v>
      </c>
      <c r="M30" s="48"/>
      <c r="N30" s="49"/>
    </row>
    <row r="31" spans="2:14" x14ac:dyDescent="0.25">
      <c r="B31" s="10"/>
      <c r="C31" s="15" t="s">
        <v>28</v>
      </c>
      <c r="D31" s="50" t="s">
        <v>6</v>
      </c>
      <c r="E31" s="2"/>
      <c r="F31" s="51" t="s">
        <v>29</v>
      </c>
      <c r="G31" s="51" t="s">
        <v>30</v>
      </c>
      <c r="H31" s="51" t="s">
        <v>2</v>
      </c>
      <c r="I31" s="51" t="s">
        <v>31</v>
      </c>
      <c r="J31" s="51" t="s">
        <v>32</v>
      </c>
      <c r="K31" s="48"/>
      <c r="L31" s="51" t="s">
        <v>33</v>
      </c>
      <c r="M31" s="51" t="s">
        <v>30</v>
      </c>
      <c r="N31" s="49"/>
    </row>
    <row r="32" spans="2:14" x14ac:dyDescent="0.25">
      <c r="B32" s="10"/>
      <c r="C32" s="16" t="s">
        <v>34</v>
      </c>
      <c r="D32" s="52" t="s">
        <v>35</v>
      </c>
      <c r="E32" s="53"/>
      <c r="F32" s="18" t="s">
        <v>36</v>
      </c>
      <c r="G32" s="54">
        <v>-2.4299999999999999E-3</v>
      </c>
      <c r="H32" s="55" t="s">
        <v>37</v>
      </c>
      <c r="I32" s="55" t="s">
        <v>37</v>
      </c>
      <c r="J32" s="56" t="b">
        <v>1</v>
      </c>
      <c r="K32" s="48"/>
      <c r="L32" s="17"/>
      <c r="M32" s="57"/>
      <c r="N32" s="49"/>
    </row>
    <row r="33" spans="2:14" x14ac:dyDescent="0.25">
      <c r="B33" s="10"/>
      <c r="C33" s="16" t="s">
        <v>38</v>
      </c>
      <c r="D33" s="52" t="s">
        <v>39</v>
      </c>
      <c r="E33" s="53"/>
      <c r="F33" s="18" t="s">
        <v>40</v>
      </c>
      <c r="G33" s="54">
        <v>-3.3900000000000002E-3</v>
      </c>
      <c r="H33" s="55">
        <v>42481</v>
      </c>
      <c r="I33" s="55">
        <v>42523</v>
      </c>
      <c r="J33" s="56" t="b">
        <v>1</v>
      </c>
      <c r="K33" s="48"/>
      <c r="L33" s="17"/>
      <c r="M33" s="57"/>
      <c r="N33" s="49"/>
    </row>
    <row r="34" spans="2:14" x14ac:dyDescent="0.25">
      <c r="B34" s="10"/>
      <c r="C34" s="16" t="s">
        <v>41</v>
      </c>
      <c r="D34" s="52" t="s">
        <v>42</v>
      </c>
      <c r="E34" s="53"/>
      <c r="F34" s="18" t="s">
        <v>43</v>
      </c>
      <c r="G34" s="54">
        <v>-3.5299999999999997E-3</v>
      </c>
      <c r="H34" s="55">
        <v>42523</v>
      </c>
      <c r="I34" s="55">
        <v>42572</v>
      </c>
      <c r="J34" s="56" t="b">
        <v>1</v>
      </c>
      <c r="K34" s="48"/>
      <c r="L34" s="17"/>
      <c r="M34" s="57"/>
      <c r="N34" s="49"/>
    </row>
    <row r="35" spans="2:14" x14ac:dyDescent="0.25">
      <c r="B35" s="10"/>
      <c r="C35" s="16" t="s">
        <v>95</v>
      </c>
      <c r="D35" s="52" t="s">
        <v>1</v>
      </c>
      <c r="E35" s="53"/>
      <c r="F35" s="18" t="s">
        <v>44</v>
      </c>
      <c r="G35" s="54">
        <v>-3.5699999999999998E-3</v>
      </c>
      <c r="H35" s="55">
        <v>42572</v>
      </c>
      <c r="I35" s="55">
        <v>42621</v>
      </c>
      <c r="J35" s="56" t="b">
        <v>1</v>
      </c>
      <c r="K35" s="48"/>
      <c r="L35" s="17"/>
      <c r="M35" s="57"/>
      <c r="N35" s="49"/>
    </row>
    <row r="36" spans="2:14" x14ac:dyDescent="0.25">
      <c r="B36" s="10"/>
      <c r="C36" s="42" t="s">
        <v>45</v>
      </c>
      <c r="D36" s="52" t="b">
        <v>1</v>
      </c>
      <c r="E36" s="53"/>
      <c r="F36" s="18" t="s">
        <v>46</v>
      </c>
      <c r="G36" s="54">
        <v>-3.7799999999999999E-3</v>
      </c>
      <c r="H36" s="55">
        <v>42621</v>
      </c>
      <c r="I36" s="55">
        <v>42663</v>
      </c>
      <c r="J36" s="56" t="b">
        <v>1</v>
      </c>
      <c r="K36" s="48"/>
      <c r="L36" s="17"/>
      <c r="M36" s="57"/>
      <c r="N36" s="49"/>
    </row>
    <row r="37" spans="2:14" x14ac:dyDescent="0.25">
      <c r="B37" s="10"/>
      <c r="C37" s="58" t="s">
        <v>47</v>
      </c>
      <c r="D37" s="59">
        <v>31</v>
      </c>
      <c r="E37" s="53"/>
      <c r="F37" s="18" t="s">
        <v>48</v>
      </c>
      <c r="G37" s="54">
        <v>-3.8600000000000001E-3</v>
      </c>
      <c r="H37" s="55">
        <v>42663</v>
      </c>
      <c r="I37" s="55">
        <v>42712</v>
      </c>
      <c r="J37" s="56" t="b">
        <v>1</v>
      </c>
      <c r="K37" s="48"/>
      <c r="L37" s="17"/>
      <c r="M37" s="57"/>
      <c r="N37" s="49"/>
    </row>
    <row r="38" spans="2:14" x14ac:dyDescent="0.25">
      <c r="B38" s="10"/>
      <c r="C38" s="16" t="s">
        <v>49</v>
      </c>
      <c r="D38" s="52" t="s">
        <v>50</v>
      </c>
      <c r="E38" s="53"/>
      <c r="F38" s="18" t="s">
        <v>51</v>
      </c>
      <c r="G38" s="54">
        <v>-3.6900000000000001E-3</v>
      </c>
      <c r="H38" s="55" t="s">
        <v>37</v>
      </c>
      <c r="I38" s="55" t="s">
        <v>37</v>
      </c>
      <c r="J38" s="56" t="b">
        <v>1</v>
      </c>
      <c r="K38" s="48"/>
      <c r="L38" s="17"/>
      <c r="M38" s="57"/>
      <c r="N38" s="49"/>
    </row>
    <row r="39" spans="2:14" x14ac:dyDescent="0.25">
      <c r="B39" s="10"/>
      <c r="C39" s="16" t="s">
        <v>52</v>
      </c>
      <c r="D39" s="52" t="s">
        <v>53</v>
      </c>
      <c r="E39" s="53"/>
      <c r="F39" s="18" t="s">
        <v>54</v>
      </c>
      <c r="G39" s="54">
        <v>-3.79E-3</v>
      </c>
      <c r="H39" s="55" t="s">
        <v>37</v>
      </c>
      <c r="I39" s="55" t="s">
        <v>37</v>
      </c>
      <c r="J39" s="56" t="b">
        <v>1</v>
      </c>
      <c r="K39" s="48"/>
      <c r="L39" s="17"/>
      <c r="M39" s="57"/>
      <c r="N39" s="49"/>
    </row>
    <row r="40" spans="2:14" x14ac:dyDescent="0.25">
      <c r="B40" s="10"/>
      <c r="C40" s="16" t="s">
        <v>55</v>
      </c>
      <c r="D40" s="52" t="s">
        <v>56</v>
      </c>
      <c r="E40" s="53"/>
      <c r="F40" s="18" t="s">
        <v>57</v>
      </c>
      <c r="G40" s="54">
        <v>-3.7699999999999999E-3</v>
      </c>
      <c r="H40" s="55" t="s">
        <v>37</v>
      </c>
      <c r="I40" s="55" t="s">
        <v>37</v>
      </c>
      <c r="J40" s="56" t="b">
        <v>1</v>
      </c>
      <c r="K40" s="48"/>
      <c r="L40" s="17"/>
      <c r="M40" s="57"/>
      <c r="N40" s="49"/>
    </row>
    <row r="41" spans="2:14" x14ac:dyDescent="0.25">
      <c r="B41" s="10"/>
      <c r="C41" s="16" t="s">
        <v>58</v>
      </c>
      <c r="D41" s="52" t="s">
        <v>59</v>
      </c>
      <c r="E41" s="53"/>
      <c r="F41" s="18" t="s">
        <v>60</v>
      </c>
      <c r="G41" s="54">
        <v>-3.4000000000000002E-3</v>
      </c>
      <c r="H41" s="55" t="s">
        <v>37</v>
      </c>
      <c r="I41" s="55" t="s">
        <v>37</v>
      </c>
      <c r="J41" s="56" t="b">
        <v>1</v>
      </c>
      <c r="K41" s="48"/>
      <c r="L41" s="17"/>
      <c r="M41" s="57"/>
      <c r="N41" s="49"/>
    </row>
    <row r="42" spans="2:14" x14ac:dyDescent="0.25">
      <c r="B42" s="10"/>
      <c r="C42" s="16" t="s">
        <v>61</v>
      </c>
      <c r="D42" s="52" t="s">
        <v>60</v>
      </c>
      <c r="E42" s="53"/>
      <c r="F42" s="18" t="s">
        <v>62</v>
      </c>
      <c r="G42" s="54">
        <v>-2.6900000000000001E-3</v>
      </c>
      <c r="H42" s="55" t="s">
        <v>37</v>
      </c>
      <c r="I42" s="55" t="s">
        <v>37</v>
      </c>
      <c r="J42" s="56" t="b">
        <v>1</v>
      </c>
      <c r="K42" s="48"/>
      <c r="L42" s="17"/>
      <c r="M42" s="57"/>
      <c r="N42" s="49"/>
    </row>
    <row r="43" spans="2:14" x14ac:dyDescent="0.25">
      <c r="B43" s="10"/>
      <c r="C43" s="42" t="s">
        <v>63</v>
      </c>
      <c r="D43" s="52" t="s">
        <v>64</v>
      </c>
      <c r="E43" s="53"/>
      <c r="F43" s="18" t="s">
        <v>65</v>
      </c>
      <c r="G43" s="54">
        <v>-1.7499999999999998E-3</v>
      </c>
      <c r="H43" s="55" t="s">
        <v>37</v>
      </c>
      <c r="I43" s="55" t="s">
        <v>37</v>
      </c>
      <c r="J43" s="56" t="b">
        <v>1</v>
      </c>
      <c r="K43" s="48"/>
      <c r="L43" s="17"/>
      <c r="M43" s="57"/>
      <c r="N43" s="49"/>
    </row>
    <row r="44" spans="2:14" x14ac:dyDescent="0.25">
      <c r="B44" s="10"/>
      <c r="C44" s="16" t="s">
        <v>66</v>
      </c>
      <c r="D44" s="60">
        <v>1E-10</v>
      </c>
      <c r="E44" s="53"/>
      <c r="F44" s="18" t="s">
        <v>67</v>
      </c>
      <c r="G44" s="54">
        <v>-6.4000000000000005E-4</v>
      </c>
      <c r="H44" s="55" t="s">
        <v>37</v>
      </c>
      <c r="I44" s="55" t="s">
        <v>37</v>
      </c>
      <c r="J44" s="56" t="b">
        <v>1</v>
      </c>
      <c r="K44" s="48"/>
      <c r="L44" s="17"/>
      <c r="M44" s="57"/>
      <c r="N44" s="49"/>
    </row>
    <row r="45" spans="2:14" x14ac:dyDescent="0.25">
      <c r="B45" s="10"/>
      <c r="C45" s="16" t="s">
        <v>68</v>
      </c>
      <c r="D45" s="61">
        <v>1000</v>
      </c>
      <c r="E45" s="53"/>
      <c r="F45" s="18" t="s">
        <v>69</v>
      </c>
      <c r="G45" s="54">
        <v>5.6999999999999998E-4</v>
      </c>
      <c r="H45" s="55" t="s">
        <v>37</v>
      </c>
      <c r="I45" s="55" t="s">
        <v>37</v>
      </c>
      <c r="J45" s="56" t="b">
        <v>1</v>
      </c>
      <c r="K45" s="48"/>
      <c r="L45" s="17"/>
      <c r="M45" s="57"/>
      <c r="N45" s="49"/>
    </row>
    <row r="46" spans="2:14" x14ac:dyDescent="0.25">
      <c r="B46" s="10"/>
      <c r="C46" s="62"/>
      <c r="D46" s="63"/>
      <c r="E46" s="53"/>
      <c r="F46" s="18" t="s">
        <v>70</v>
      </c>
      <c r="G46" s="54">
        <v>1.83E-3</v>
      </c>
      <c r="H46" s="55" t="s">
        <v>37</v>
      </c>
      <c r="I46" s="55" t="s">
        <v>37</v>
      </c>
      <c r="J46" s="56" t="b">
        <v>1</v>
      </c>
      <c r="K46" s="48"/>
      <c r="L46" s="17"/>
      <c r="M46" s="57"/>
      <c r="N46" s="49"/>
    </row>
    <row r="47" spans="2:14" x14ac:dyDescent="0.25">
      <c r="B47" s="10"/>
      <c r="C47" s="64"/>
      <c r="D47" s="52"/>
      <c r="E47" s="53"/>
      <c r="F47" s="18" t="s">
        <v>71</v>
      </c>
      <c r="G47" s="54">
        <v>3.0599999999999998E-3</v>
      </c>
      <c r="H47" s="55" t="s">
        <v>37</v>
      </c>
      <c r="I47" s="55" t="s">
        <v>37</v>
      </c>
      <c r="J47" s="56" t="b">
        <v>1</v>
      </c>
      <c r="K47" s="48"/>
      <c r="L47" s="17"/>
      <c r="M47" s="57"/>
      <c r="N47" s="49"/>
    </row>
    <row r="48" spans="2:14" x14ac:dyDescent="0.25">
      <c r="B48" s="10"/>
      <c r="C48" s="64"/>
      <c r="D48" s="65"/>
      <c r="E48" s="53"/>
      <c r="F48" s="18" t="s">
        <v>72</v>
      </c>
      <c r="G48" s="54">
        <v>4.1900000000000001E-3</v>
      </c>
      <c r="H48" s="55" t="s">
        <v>37</v>
      </c>
      <c r="I48" s="55" t="s">
        <v>37</v>
      </c>
      <c r="J48" s="56" t="b">
        <v>1</v>
      </c>
      <c r="K48" s="48"/>
      <c r="L48" s="17"/>
      <c r="M48" s="57"/>
      <c r="N48" s="49"/>
    </row>
    <row r="49" spans="2:14" x14ac:dyDescent="0.25">
      <c r="B49" s="10"/>
      <c r="C49" s="64"/>
      <c r="D49" s="65"/>
      <c r="E49" s="53"/>
      <c r="F49" s="18" t="s">
        <v>73</v>
      </c>
      <c r="G49" s="54">
        <v>5.2100000000000002E-3</v>
      </c>
      <c r="H49" s="55" t="s">
        <v>37</v>
      </c>
      <c r="I49" s="55" t="s">
        <v>37</v>
      </c>
      <c r="J49" s="56" t="b">
        <v>1</v>
      </c>
      <c r="K49" s="48"/>
      <c r="L49" s="17"/>
      <c r="M49" s="57"/>
      <c r="N49" s="49"/>
    </row>
    <row r="50" spans="2:14" x14ac:dyDescent="0.25">
      <c r="B50" s="10"/>
      <c r="C50" s="64"/>
      <c r="D50" s="65"/>
      <c r="E50" s="53"/>
      <c r="F50" s="18" t="s">
        <v>74</v>
      </c>
      <c r="G50" s="54">
        <v>6.0899999999999999E-3</v>
      </c>
      <c r="H50" s="55" t="s">
        <v>37</v>
      </c>
      <c r="I50" s="55" t="s">
        <v>37</v>
      </c>
      <c r="J50" s="56" t="b">
        <v>1</v>
      </c>
      <c r="K50" s="48"/>
      <c r="L50" s="17"/>
      <c r="M50" s="57"/>
      <c r="N50" s="49"/>
    </row>
    <row r="51" spans="2:14" x14ac:dyDescent="0.25">
      <c r="B51" s="10"/>
      <c r="C51" s="64"/>
      <c r="D51" s="65"/>
      <c r="E51" s="53"/>
      <c r="F51" s="18" t="s">
        <v>75</v>
      </c>
      <c r="G51" s="54">
        <v>8.1000000000000013E-3</v>
      </c>
      <c r="H51" s="55" t="s">
        <v>37</v>
      </c>
      <c r="I51" s="55" t="s">
        <v>37</v>
      </c>
      <c r="J51" s="56" t="b">
        <v>1</v>
      </c>
      <c r="K51" s="48"/>
      <c r="L51" s="17"/>
      <c r="M51" s="57"/>
      <c r="N51" s="49"/>
    </row>
    <row r="52" spans="2:14" x14ac:dyDescent="0.25">
      <c r="B52" s="10"/>
      <c r="C52" s="64"/>
      <c r="D52" s="65"/>
      <c r="E52" s="53"/>
      <c r="F52" s="18" t="s">
        <v>76</v>
      </c>
      <c r="G52" s="54">
        <v>9.75E-3</v>
      </c>
      <c r="H52" s="55" t="s">
        <v>37</v>
      </c>
      <c r="I52" s="55" t="s">
        <v>37</v>
      </c>
      <c r="J52" s="56" t="b">
        <v>1</v>
      </c>
      <c r="K52" s="48"/>
      <c r="L52" s="17"/>
      <c r="M52" s="57"/>
      <c r="N52" s="49"/>
    </row>
    <row r="53" spans="2:14" x14ac:dyDescent="0.25">
      <c r="B53" s="10"/>
      <c r="C53" s="64"/>
      <c r="D53" s="65"/>
      <c r="E53" s="53"/>
      <c r="F53" s="18" t="s">
        <v>77</v>
      </c>
      <c r="G53" s="54">
        <v>1.0329999999999999E-2</v>
      </c>
      <c r="H53" s="55" t="s">
        <v>37</v>
      </c>
      <c r="I53" s="55" t="s">
        <v>37</v>
      </c>
      <c r="J53" s="56" t="b">
        <v>1</v>
      </c>
      <c r="K53" s="48"/>
      <c r="L53" s="17"/>
      <c r="M53" s="57"/>
      <c r="N53" s="49"/>
    </row>
    <row r="54" spans="2:14" x14ac:dyDescent="0.25">
      <c r="B54" s="10"/>
      <c r="C54" s="64"/>
      <c r="D54" s="65"/>
      <c r="E54" s="53"/>
      <c r="F54" s="18" t="s">
        <v>78</v>
      </c>
      <c r="G54" s="54">
        <v>1.0529999999999999E-2</v>
      </c>
      <c r="H54" s="55" t="s">
        <v>37</v>
      </c>
      <c r="I54" s="55" t="s">
        <v>37</v>
      </c>
      <c r="J54" s="56" t="b">
        <v>1</v>
      </c>
      <c r="K54" s="48"/>
      <c r="L54" s="17"/>
      <c r="M54" s="57"/>
      <c r="N54" s="49"/>
    </row>
    <row r="55" spans="2:14" x14ac:dyDescent="0.25">
      <c r="B55" s="10"/>
      <c r="C55" s="64"/>
      <c r="D55" s="65"/>
      <c r="E55" s="53"/>
      <c r="F55" s="18" t="s">
        <v>79</v>
      </c>
      <c r="G55" s="54">
        <v>1.061E-2</v>
      </c>
      <c r="H55" s="55" t="s">
        <v>37</v>
      </c>
      <c r="I55" s="55" t="s">
        <v>37</v>
      </c>
      <c r="J55" s="56" t="b">
        <v>1</v>
      </c>
      <c r="K55" s="48"/>
      <c r="L55" s="17"/>
      <c r="M55" s="57"/>
      <c r="N55" s="49"/>
    </row>
    <row r="56" spans="2:14" x14ac:dyDescent="0.25">
      <c r="B56" s="10"/>
      <c r="C56" s="64"/>
      <c r="D56" s="65"/>
      <c r="E56" s="53"/>
      <c r="F56" s="18" t="s">
        <v>80</v>
      </c>
      <c r="G56" s="54">
        <v>1.01E-2</v>
      </c>
      <c r="H56" s="55" t="s">
        <v>37</v>
      </c>
      <c r="I56" s="55" t="s">
        <v>37</v>
      </c>
      <c r="J56" s="56" t="b">
        <v>1</v>
      </c>
      <c r="K56" s="48"/>
      <c r="L56" s="17"/>
      <c r="M56" s="57"/>
      <c r="N56" s="49"/>
    </row>
    <row r="57" spans="2:14" x14ac:dyDescent="0.25">
      <c r="B57" s="10"/>
      <c r="C57" s="66"/>
      <c r="D57" s="67"/>
      <c r="E57" s="53"/>
      <c r="F57" s="68"/>
      <c r="G57" s="69"/>
      <c r="H57" s="70"/>
      <c r="I57" s="70"/>
      <c r="J57" s="71"/>
      <c r="K57" s="48"/>
      <c r="L57" s="72"/>
      <c r="M57" s="73"/>
      <c r="N57" s="49"/>
    </row>
    <row r="58" spans="2:14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2"/>
    </row>
    <row r="61" spans="2:14" x14ac:dyDescent="0.25">
      <c r="B61" s="32" t="s">
        <v>81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7" t="s">
        <v>82</v>
      </c>
      <c r="D63" s="48"/>
      <c r="E63" s="48"/>
      <c r="F63" s="47" t="s">
        <v>83</v>
      </c>
      <c r="G63" s="48"/>
      <c r="H63" s="48"/>
      <c r="I63" s="47" t="s">
        <v>84</v>
      </c>
      <c r="J63" s="48"/>
      <c r="K63" s="48"/>
      <c r="L63" s="47" t="s">
        <v>85</v>
      </c>
      <c r="M63" s="48"/>
      <c r="N63" s="49"/>
    </row>
    <row r="64" spans="2:14" x14ac:dyDescent="0.25">
      <c r="B64" s="10"/>
      <c r="C64" s="15" t="s">
        <v>86</v>
      </c>
      <c r="D64" s="50" t="s">
        <v>6</v>
      </c>
      <c r="E64" s="2"/>
      <c r="F64" s="51" t="s">
        <v>29</v>
      </c>
      <c r="G64" s="51" t="s">
        <v>30</v>
      </c>
      <c r="H64" s="48"/>
      <c r="I64" s="15" t="s">
        <v>28</v>
      </c>
      <c r="J64" s="50" t="s">
        <v>6</v>
      </c>
      <c r="K64" s="48"/>
      <c r="L64" s="51" t="s">
        <v>29</v>
      </c>
      <c r="M64" s="51" t="s">
        <v>30</v>
      </c>
      <c r="N64" s="49"/>
    </row>
    <row r="65" spans="2:14" x14ac:dyDescent="0.25">
      <c r="B65" s="10"/>
      <c r="C65" s="16" t="s">
        <v>87</v>
      </c>
      <c r="D65" s="52" t="s">
        <v>35</v>
      </c>
      <c r="E65" s="53"/>
      <c r="F65" s="18" t="s">
        <v>57</v>
      </c>
      <c r="G65" s="57">
        <v>1.2600000000000001E-3</v>
      </c>
      <c r="H65" s="48"/>
      <c r="I65" s="16" t="s">
        <v>88</v>
      </c>
      <c r="J65" s="52" t="s">
        <v>89</v>
      </c>
      <c r="K65" s="48"/>
      <c r="L65" s="18" t="s">
        <v>57</v>
      </c>
      <c r="M65" s="57">
        <v>-2.5400000000000002E-3</v>
      </c>
      <c r="N65" s="49"/>
    </row>
    <row r="66" spans="2:14" x14ac:dyDescent="0.25">
      <c r="B66" s="10"/>
      <c r="C66" s="16" t="s">
        <v>90</v>
      </c>
      <c r="D66" s="52" t="s">
        <v>91</v>
      </c>
      <c r="E66" s="53"/>
      <c r="F66" s="18" t="s">
        <v>60</v>
      </c>
      <c r="G66" s="57">
        <v>1.2999999999999999E-3</v>
      </c>
      <c r="H66" s="48"/>
      <c r="I66" s="16" t="s">
        <v>92</v>
      </c>
      <c r="J66" s="52" t="s">
        <v>39</v>
      </c>
      <c r="K66" s="48"/>
      <c r="L66" s="18" t="s">
        <v>60</v>
      </c>
      <c r="M66" s="57">
        <v>-2.14E-3</v>
      </c>
      <c r="N66" s="49"/>
    </row>
    <row r="67" spans="2:14" x14ac:dyDescent="0.25">
      <c r="B67" s="10"/>
      <c r="C67" s="16" t="s">
        <v>96</v>
      </c>
      <c r="D67" s="52" t="s">
        <v>1</v>
      </c>
      <c r="E67" s="53"/>
      <c r="F67" s="18" t="s">
        <v>62</v>
      </c>
      <c r="G67" s="57">
        <v>1.32E-3</v>
      </c>
      <c r="H67" s="48"/>
      <c r="I67" s="16" t="s">
        <v>95</v>
      </c>
      <c r="J67" s="52" t="s">
        <v>1</v>
      </c>
      <c r="K67" s="48"/>
      <c r="L67" s="18" t="s">
        <v>62</v>
      </c>
      <c r="M67" s="57">
        <v>-1.4000000000000002E-3</v>
      </c>
      <c r="N67" s="49"/>
    </row>
    <row r="68" spans="2:14" x14ac:dyDescent="0.25">
      <c r="B68" s="10"/>
      <c r="C68" s="16"/>
      <c r="D68" s="52"/>
      <c r="E68" s="53"/>
      <c r="F68" s="18" t="s">
        <v>65</v>
      </c>
      <c r="G68" s="57">
        <v>1.34E-3</v>
      </c>
      <c r="H68" s="48"/>
      <c r="I68" s="16"/>
      <c r="J68" s="52"/>
      <c r="K68" s="48"/>
      <c r="L68" s="18" t="s">
        <v>65</v>
      </c>
      <c r="M68" s="57">
        <v>-4.2000000000000002E-4</v>
      </c>
      <c r="N68" s="49"/>
    </row>
    <row r="69" spans="2:14" x14ac:dyDescent="0.25">
      <c r="B69" s="10"/>
      <c r="C69" s="42"/>
      <c r="D69" s="52"/>
      <c r="E69" s="53"/>
      <c r="F69" s="18" t="s">
        <v>67</v>
      </c>
      <c r="G69" s="57">
        <v>1.33E-3</v>
      </c>
      <c r="H69" s="48"/>
      <c r="I69" s="42"/>
      <c r="J69" s="52"/>
      <c r="K69" s="48"/>
      <c r="L69" s="18" t="s">
        <v>67</v>
      </c>
      <c r="M69" s="57">
        <v>7.000000000000001E-4</v>
      </c>
      <c r="N69" s="49"/>
    </row>
    <row r="70" spans="2:14" x14ac:dyDescent="0.25">
      <c r="B70" s="10"/>
      <c r="C70" s="58"/>
      <c r="D70" s="59"/>
      <c r="E70" s="53"/>
      <c r="F70" s="18" t="s">
        <v>69</v>
      </c>
      <c r="G70" s="57">
        <v>1.32E-3</v>
      </c>
      <c r="H70" s="48"/>
      <c r="I70" s="58"/>
      <c r="J70" s="59"/>
      <c r="K70" s="48"/>
      <c r="L70" s="18" t="s">
        <v>69</v>
      </c>
      <c r="M70" s="57">
        <v>1.92E-3</v>
      </c>
      <c r="N70" s="49"/>
    </row>
    <row r="71" spans="2:14" x14ac:dyDescent="0.25">
      <c r="B71" s="10"/>
      <c r="C71" s="16"/>
      <c r="D71" s="52"/>
      <c r="E71" s="53"/>
      <c r="F71" s="18" t="s">
        <v>70</v>
      </c>
      <c r="G71" s="57">
        <v>1.31E-3</v>
      </c>
      <c r="H71" s="48"/>
      <c r="I71" s="16"/>
      <c r="J71" s="52"/>
      <c r="K71" s="48"/>
      <c r="L71" s="18" t="s">
        <v>70</v>
      </c>
      <c r="M71" s="57">
        <v>3.1900000000000001E-3</v>
      </c>
      <c r="N71" s="49"/>
    </row>
    <row r="72" spans="2:14" x14ac:dyDescent="0.25">
      <c r="B72" s="10"/>
      <c r="C72" s="16"/>
      <c r="D72" s="52"/>
      <c r="E72" s="53"/>
      <c r="F72" s="18" t="s">
        <v>71</v>
      </c>
      <c r="G72" s="57">
        <v>1.2999999999999999E-3</v>
      </c>
      <c r="H72" s="48"/>
      <c r="I72" s="16"/>
      <c r="J72" s="52"/>
      <c r="K72" s="48"/>
      <c r="L72" s="18" t="s">
        <v>71</v>
      </c>
      <c r="M72" s="57">
        <v>4.4299999999999999E-3</v>
      </c>
      <c r="N72" s="49"/>
    </row>
    <row r="73" spans="2:14" x14ac:dyDescent="0.25">
      <c r="B73" s="10"/>
      <c r="C73" s="16"/>
      <c r="D73" s="52"/>
      <c r="E73" s="53"/>
      <c r="F73" s="18" t="s">
        <v>72</v>
      </c>
      <c r="G73" s="57">
        <v>1.2800000000000001E-3</v>
      </c>
      <c r="H73" s="48"/>
      <c r="I73" s="16"/>
      <c r="J73" s="52"/>
      <c r="K73" s="48"/>
      <c r="L73" s="18" t="s">
        <v>72</v>
      </c>
      <c r="M73" s="57">
        <v>5.5500000000000002E-3</v>
      </c>
      <c r="N73" s="49"/>
    </row>
    <row r="74" spans="2:14" x14ac:dyDescent="0.25">
      <c r="B74" s="10"/>
      <c r="C74" s="16"/>
      <c r="D74" s="52"/>
      <c r="E74" s="53"/>
      <c r="F74" s="18" t="s">
        <v>73</v>
      </c>
      <c r="G74" s="57">
        <v>1.2699999999999999E-3</v>
      </c>
      <c r="H74" s="48"/>
      <c r="I74" s="16"/>
      <c r="J74" s="52"/>
      <c r="K74" s="48"/>
      <c r="L74" s="18" t="s">
        <v>73</v>
      </c>
      <c r="M74" s="57">
        <v>6.5700000000000003E-3</v>
      </c>
      <c r="N74" s="49"/>
    </row>
    <row r="75" spans="2:14" x14ac:dyDescent="0.25">
      <c r="B75" s="10"/>
      <c r="C75" s="16"/>
      <c r="D75" s="52"/>
      <c r="E75" s="53"/>
      <c r="F75" s="18" t="s">
        <v>74</v>
      </c>
      <c r="G75" s="57">
        <v>1.2600000000000001E-3</v>
      </c>
      <c r="H75" s="48"/>
      <c r="I75" s="16"/>
      <c r="J75" s="52"/>
      <c r="K75" s="48"/>
      <c r="L75" s="18" t="s">
        <v>74</v>
      </c>
      <c r="M75" s="57">
        <v>7.4599999999999996E-3</v>
      </c>
      <c r="N75" s="49"/>
    </row>
    <row r="76" spans="2:14" x14ac:dyDescent="0.25">
      <c r="B76" s="10"/>
      <c r="C76" s="42"/>
      <c r="D76" s="52"/>
      <c r="E76" s="53"/>
      <c r="F76" s="18" t="s">
        <v>75</v>
      </c>
      <c r="G76" s="57">
        <v>1.1900000000000001E-3</v>
      </c>
      <c r="H76" s="48"/>
      <c r="I76" s="42"/>
      <c r="J76" s="52"/>
      <c r="K76" s="48"/>
      <c r="L76" s="18" t="s">
        <v>75</v>
      </c>
      <c r="M76" s="57">
        <v>9.4199999999999996E-3</v>
      </c>
      <c r="N76" s="49"/>
    </row>
    <row r="77" spans="2:14" x14ac:dyDescent="0.25">
      <c r="B77" s="10"/>
      <c r="C77" s="62"/>
      <c r="D77" s="63"/>
      <c r="E77" s="53"/>
      <c r="F77" s="18" t="s">
        <v>76</v>
      </c>
      <c r="G77" s="57">
        <v>1.0400000000000001E-3</v>
      </c>
      <c r="H77" s="48"/>
      <c r="I77" s="62"/>
      <c r="J77" s="63"/>
      <c r="K77" s="48"/>
      <c r="L77" s="18" t="s">
        <v>76</v>
      </c>
      <c r="M77" s="57">
        <v>1.095E-2</v>
      </c>
      <c r="N77" s="49"/>
    </row>
    <row r="78" spans="2:14" x14ac:dyDescent="0.25">
      <c r="B78" s="10"/>
      <c r="C78" s="62"/>
      <c r="D78" s="60"/>
      <c r="E78" s="53"/>
      <c r="F78" s="18" t="s">
        <v>77</v>
      </c>
      <c r="G78" s="57">
        <v>9.1999999999999992E-4</v>
      </c>
      <c r="H78" s="48"/>
      <c r="I78" s="62"/>
      <c r="J78" s="60"/>
      <c r="K78" s="48"/>
      <c r="L78" s="18" t="s">
        <v>77</v>
      </c>
      <c r="M78" s="57">
        <v>1.142E-2</v>
      </c>
      <c r="N78" s="49"/>
    </row>
    <row r="79" spans="2:14" x14ac:dyDescent="0.25">
      <c r="B79" s="10"/>
      <c r="C79" s="62"/>
      <c r="D79" s="63"/>
      <c r="E79" s="53"/>
      <c r="F79" s="18" t="s">
        <v>78</v>
      </c>
      <c r="G79" s="57">
        <v>8.1999999999999998E-4</v>
      </c>
      <c r="H79" s="48"/>
      <c r="I79" s="62"/>
      <c r="J79" s="63"/>
      <c r="K79" s="48"/>
      <c r="L79" s="18" t="s">
        <v>78</v>
      </c>
      <c r="M79" s="57">
        <v>1.1519999999999999E-2</v>
      </c>
      <c r="N79" s="49"/>
    </row>
    <row r="80" spans="2:14" x14ac:dyDescent="0.25">
      <c r="B80" s="10"/>
      <c r="C80" s="64"/>
      <c r="D80" s="52"/>
      <c r="E80" s="53"/>
      <c r="F80" s="18" t="s">
        <v>79</v>
      </c>
      <c r="G80" s="57">
        <v>6.6E-4</v>
      </c>
      <c r="H80" s="48"/>
      <c r="I80" s="64"/>
      <c r="J80" s="52"/>
      <c r="K80" s="48"/>
      <c r="L80" s="18" t="s">
        <v>79</v>
      </c>
      <c r="M80" s="57">
        <v>1.1439999999999999E-2</v>
      </c>
      <c r="N80" s="49"/>
    </row>
    <row r="81" spans="2:14" x14ac:dyDescent="0.25">
      <c r="B81" s="10"/>
      <c r="C81" s="64"/>
      <c r="D81" s="65"/>
      <c r="E81" s="53"/>
      <c r="F81" s="18" t="s">
        <v>80</v>
      </c>
      <c r="G81" s="57">
        <v>5.6999999999999998E-4</v>
      </c>
      <c r="H81" s="48"/>
      <c r="I81" s="64"/>
      <c r="J81" s="65"/>
      <c r="K81" s="48"/>
      <c r="L81" s="18" t="s">
        <v>80</v>
      </c>
      <c r="M81" s="57">
        <v>1.0829999999999999E-2</v>
      </c>
      <c r="N81" s="49"/>
    </row>
    <row r="82" spans="2:14" x14ac:dyDescent="0.25">
      <c r="B82" s="10"/>
      <c r="C82" s="64"/>
      <c r="D82" s="65"/>
      <c r="E82" s="53"/>
      <c r="F82" s="18"/>
      <c r="G82" s="57"/>
      <c r="H82" s="48"/>
      <c r="I82" s="64"/>
      <c r="J82" s="65"/>
      <c r="K82" s="48"/>
      <c r="L82" s="18"/>
      <c r="M82" s="57"/>
      <c r="N82" s="49"/>
    </row>
    <row r="83" spans="2:14" x14ac:dyDescent="0.25">
      <c r="B83" s="10"/>
      <c r="C83" s="64"/>
      <c r="D83" s="65"/>
      <c r="E83" s="53"/>
      <c r="F83" s="18"/>
      <c r="G83" s="57"/>
      <c r="H83" s="48"/>
      <c r="I83" s="64"/>
      <c r="J83" s="65"/>
      <c r="K83" s="48"/>
      <c r="L83" s="18"/>
      <c r="M83" s="57"/>
      <c r="N83" s="49"/>
    </row>
    <row r="84" spans="2:14" x14ac:dyDescent="0.25">
      <c r="B84" s="10"/>
      <c r="C84" s="64"/>
      <c r="D84" s="65"/>
      <c r="E84" s="53"/>
      <c r="F84" s="18"/>
      <c r="G84" s="57"/>
      <c r="H84" s="48"/>
      <c r="I84" s="64"/>
      <c r="J84" s="65"/>
      <c r="K84" s="48"/>
      <c r="L84" s="18"/>
      <c r="M84" s="57"/>
      <c r="N84" s="49"/>
    </row>
    <row r="85" spans="2:14" x14ac:dyDescent="0.25">
      <c r="B85" s="10"/>
      <c r="C85" s="64"/>
      <c r="D85" s="65"/>
      <c r="E85" s="53"/>
      <c r="F85" s="18"/>
      <c r="G85" s="57"/>
      <c r="H85" s="48"/>
      <c r="I85" s="64"/>
      <c r="J85" s="65"/>
      <c r="K85" s="48"/>
      <c r="L85" s="18"/>
      <c r="M85" s="57"/>
      <c r="N85" s="49"/>
    </row>
    <row r="86" spans="2:14" x14ac:dyDescent="0.25">
      <c r="B86" s="10"/>
      <c r="C86" s="64"/>
      <c r="D86" s="65"/>
      <c r="E86" s="53"/>
      <c r="F86" s="18"/>
      <c r="G86" s="57"/>
      <c r="H86" s="48"/>
      <c r="I86" s="64"/>
      <c r="J86" s="65"/>
      <c r="K86" s="48"/>
      <c r="L86" s="18"/>
      <c r="M86" s="57"/>
      <c r="N86" s="49"/>
    </row>
    <row r="87" spans="2:14" x14ac:dyDescent="0.25">
      <c r="B87" s="10"/>
      <c r="C87" s="64"/>
      <c r="D87" s="65"/>
      <c r="E87" s="53"/>
      <c r="F87" s="18"/>
      <c r="G87" s="57"/>
      <c r="H87" s="48"/>
      <c r="I87" s="64"/>
      <c r="J87" s="65"/>
      <c r="K87" s="48"/>
      <c r="L87" s="18"/>
      <c r="M87" s="57"/>
      <c r="N87" s="49"/>
    </row>
    <row r="88" spans="2:14" x14ac:dyDescent="0.25">
      <c r="B88" s="10"/>
      <c r="C88" s="64"/>
      <c r="D88" s="65"/>
      <c r="E88" s="53"/>
      <c r="F88" s="18"/>
      <c r="G88" s="57"/>
      <c r="H88" s="48"/>
      <c r="I88" s="64"/>
      <c r="J88" s="65"/>
      <c r="K88" s="48"/>
      <c r="L88" s="18"/>
      <c r="M88" s="57"/>
      <c r="N88" s="49"/>
    </row>
    <row r="89" spans="2:14" x14ac:dyDescent="0.25">
      <c r="B89" s="10"/>
      <c r="C89" s="66"/>
      <c r="D89" s="67"/>
      <c r="E89" s="53"/>
      <c r="F89" s="68"/>
      <c r="G89" s="73"/>
      <c r="H89" s="48"/>
      <c r="I89" s="66"/>
      <c r="J89" s="67"/>
      <c r="K89" s="48"/>
      <c r="L89" s="68"/>
      <c r="M89" s="73"/>
      <c r="N89" s="49"/>
    </row>
    <row r="90" spans="2:14" x14ac:dyDescent="0.25">
      <c r="B90" s="20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2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14"/>
  <sheetViews>
    <sheetView showGridLines="0" tabSelected="1" workbookViewId="0"/>
  </sheetViews>
  <sheetFormatPr defaultRowHeight="15" x14ac:dyDescent="0.25"/>
  <cols>
    <col min="1" max="1" width="4.7109375" style="3" customWidth="1"/>
    <col min="2" max="2" width="2.7109375" style="3" customWidth="1"/>
    <col min="3" max="3" width="22.7109375" style="105" customWidth="1"/>
    <col min="4" max="5" width="17.7109375" style="79" customWidth="1"/>
    <col min="6" max="6" width="2.7109375" style="3" customWidth="1"/>
    <col min="7" max="7" width="4.7109375" style="3" customWidth="1"/>
    <col min="8" max="8" width="2.7109375" style="3" customWidth="1"/>
    <col min="9" max="9" width="22.7109375" style="105" customWidth="1"/>
    <col min="10" max="10" width="17.5703125" style="79" customWidth="1"/>
    <col min="11" max="11" width="17.7109375" style="79" customWidth="1"/>
    <col min="12" max="12" width="2.7109375" style="3" customWidth="1"/>
    <col min="13" max="13" width="4.7109375" customWidth="1"/>
    <col min="14" max="14" width="2.7109375" customWidth="1"/>
    <col min="15" max="15" width="17.7109375" style="96" customWidth="1"/>
    <col min="16" max="17" width="17.7109375" style="75" customWidth="1"/>
    <col min="18" max="18" width="2.7109375" customWidth="1"/>
  </cols>
  <sheetData>
    <row r="2" spans="2:12" x14ac:dyDescent="0.25">
      <c r="B2" s="4" t="s">
        <v>99</v>
      </c>
      <c r="C2" s="96"/>
      <c r="D2" s="75"/>
      <c r="E2" s="75"/>
      <c r="F2"/>
      <c r="H2" s="4" t="s">
        <v>100</v>
      </c>
      <c r="I2" s="96"/>
      <c r="J2" s="75"/>
      <c r="K2" s="75"/>
      <c r="L2"/>
    </row>
    <row r="3" spans="2:12" x14ac:dyDescent="0.25">
      <c r="B3" s="5"/>
      <c r="C3" s="97"/>
      <c r="D3" s="76"/>
      <c r="E3" s="76"/>
      <c r="F3" s="9"/>
      <c r="H3" s="5"/>
      <c r="I3" s="97"/>
      <c r="J3" s="76"/>
      <c r="K3" s="76"/>
      <c r="L3" s="9"/>
    </row>
    <row r="4" spans="2:12" x14ac:dyDescent="0.25">
      <c r="B4" s="10"/>
      <c r="C4" s="98" t="s">
        <v>104</v>
      </c>
      <c r="D4" s="84" t="s">
        <v>105</v>
      </c>
      <c r="E4" s="80"/>
      <c r="F4" s="12" t="s">
        <v>0</v>
      </c>
      <c r="H4" s="10"/>
      <c r="I4" s="98" t="s">
        <v>104</v>
      </c>
      <c r="J4" s="84" t="s">
        <v>105</v>
      </c>
      <c r="K4" s="80"/>
      <c r="L4" s="12" t="s">
        <v>0</v>
      </c>
    </row>
    <row r="5" spans="2:12" x14ac:dyDescent="0.25">
      <c r="B5" s="10"/>
      <c r="C5" s="95">
        <f ca="1">IF(NOW(),_xll.meCurveDiscountFactorsFromTenors(D5,$D$12,$D$13,$D$10,$D$11))</f>
        <v>1.0017409185401773</v>
      </c>
      <c r="D5" s="85" t="s">
        <v>94</v>
      </c>
      <c r="E5" s="81"/>
      <c r="F5" s="12"/>
      <c r="H5" s="10"/>
      <c r="I5" s="95">
        <f t="array" aca="1" ref="I5:I8" ca="1">IF(NOW(),_xll.meCurveDiscountFactorsFromTenors(J5:J8,$J$12,$J$13,$J$10,$J$11))</f>
        <v>1.0017409185401773</v>
      </c>
      <c r="J5" s="85" t="s">
        <v>94</v>
      </c>
      <c r="K5" s="81"/>
      <c r="L5" s="12"/>
    </row>
    <row r="6" spans="2:12" x14ac:dyDescent="0.25">
      <c r="B6" s="10"/>
      <c r="C6" s="95"/>
      <c r="D6" s="86"/>
      <c r="E6" s="82"/>
      <c r="F6" s="12"/>
      <c r="H6" s="10"/>
      <c r="I6" s="95">
        <f ca="1"/>
        <v>1.003760774628772</v>
      </c>
      <c r="J6" s="86" t="s">
        <v>4</v>
      </c>
      <c r="K6" s="82"/>
      <c r="L6" s="12"/>
    </row>
    <row r="7" spans="2:12" x14ac:dyDescent="0.25">
      <c r="B7" s="10"/>
      <c r="C7" s="95"/>
      <c r="D7" s="86"/>
      <c r="E7" s="82"/>
      <c r="F7" s="12"/>
      <c r="H7" s="10"/>
      <c r="I7" s="95">
        <f ca="1"/>
        <v>1.0057924267679788</v>
      </c>
      <c r="J7" s="86" t="s">
        <v>54</v>
      </c>
      <c r="K7" s="82"/>
      <c r="L7" s="12"/>
    </row>
    <row r="8" spans="2:12" x14ac:dyDescent="0.25">
      <c r="B8" s="10"/>
      <c r="C8" s="99"/>
      <c r="D8" s="87"/>
      <c r="E8" s="83"/>
      <c r="F8" s="12"/>
      <c r="H8" s="10"/>
      <c r="I8" s="99">
        <f ca="1"/>
        <v>1.0076902435460235</v>
      </c>
      <c r="J8" s="87" t="s">
        <v>57</v>
      </c>
      <c r="K8" s="83"/>
      <c r="L8" s="12"/>
    </row>
    <row r="9" spans="2:12" x14ac:dyDescent="0.25">
      <c r="B9" s="10"/>
      <c r="C9" s="100"/>
      <c r="D9" s="77"/>
      <c r="E9" s="77"/>
      <c r="F9" s="12"/>
      <c r="H9" s="10"/>
      <c r="I9" s="100"/>
      <c r="J9" s="77"/>
      <c r="K9" s="77"/>
      <c r="L9" s="12"/>
    </row>
    <row r="10" spans="2:12" x14ac:dyDescent="0.25">
      <c r="B10" s="10"/>
      <c r="C10" s="101" t="s">
        <v>93</v>
      </c>
      <c r="D10" s="90" t="s">
        <v>3</v>
      </c>
      <c r="E10" s="88"/>
      <c r="F10" s="12"/>
      <c r="H10" s="10"/>
      <c r="I10" s="101" t="s">
        <v>93</v>
      </c>
      <c r="J10" s="90" t="s">
        <v>3</v>
      </c>
      <c r="K10" s="88"/>
      <c r="L10" s="12"/>
    </row>
    <row r="11" spans="2:12" x14ac:dyDescent="0.25">
      <c r="B11" s="10"/>
      <c r="C11" s="104" t="s">
        <v>98</v>
      </c>
      <c r="D11" s="92" t="s">
        <v>5</v>
      </c>
      <c r="E11" s="93"/>
      <c r="F11" s="12"/>
      <c r="G11" s="94"/>
      <c r="H11" s="10"/>
      <c r="I11" s="104" t="s">
        <v>98</v>
      </c>
      <c r="J11" s="92" t="s">
        <v>5</v>
      </c>
      <c r="K11" s="93"/>
      <c r="L11" s="12"/>
    </row>
    <row r="12" spans="2:12" x14ac:dyDescent="0.25">
      <c r="B12" s="10"/>
      <c r="C12" s="104" t="s">
        <v>97</v>
      </c>
      <c r="D12" s="92" t="s">
        <v>1</v>
      </c>
      <c r="E12" s="93"/>
      <c r="F12" s="12"/>
      <c r="G12" s="94"/>
      <c r="H12" s="10"/>
      <c r="I12" s="104" t="s">
        <v>97</v>
      </c>
      <c r="J12" s="92" t="s">
        <v>1</v>
      </c>
      <c r="K12" s="93"/>
      <c r="L12" s="12"/>
    </row>
    <row r="13" spans="2:12" x14ac:dyDescent="0.25">
      <c r="B13" s="10"/>
      <c r="C13" s="102" t="s">
        <v>86</v>
      </c>
      <c r="D13" s="91" t="s">
        <v>6</v>
      </c>
      <c r="E13" s="89"/>
      <c r="F13" s="12"/>
      <c r="G13" s="94"/>
      <c r="H13" s="10"/>
      <c r="I13" s="102" t="s">
        <v>86</v>
      </c>
      <c r="J13" s="91" t="s">
        <v>6</v>
      </c>
      <c r="K13" s="89"/>
      <c r="L13" s="12"/>
    </row>
    <row r="14" spans="2:12" x14ac:dyDescent="0.25">
      <c r="B14" s="20"/>
      <c r="C14" s="103"/>
      <c r="D14" s="78"/>
      <c r="E14" s="78"/>
      <c r="F14" s="22"/>
      <c r="H14" s="20"/>
      <c r="I14" s="103"/>
      <c r="J14" s="78"/>
      <c r="K14" s="78"/>
      <c r="L14" s="22"/>
    </row>
  </sheetData>
  <dataValidations count="1">
    <dataValidation type="list" allowBlank="1" showInputMessage="1" showErrorMessage="1" sqref="D12 J12">
      <formula1>"MOD_FOLLOWING,FOLLOWING,PRECEDING,MOD_PRECEDING,NO_CHANGE"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OIS Curve</vt:lpstr>
      <vt:lpstr>meCurveDiscountFactors</vt:lpstr>
      <vt:lpstr>'OIS Curve'!Curve.BuildProperties</vt:lpstr>
      <vt:lpstr>'OIS Curve'!Curve.CollectionName</vt:lpstr>
      <vt:lpstr>'OIS Curve'!Curve.MarketDataTable</vt:lpstr>
      <vt:lpstr>'OIS Curve'!Curve.OISIndexName</vt:lpstr>
      <vt:lpstr>isCurveLoadedEUROIS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2016-10-10T11:42:05Z</dcterms:modified>
</cp:coreProperties>
</file>