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USD OIS" sheetId="9" r:id="rId1"/>
    <sheet name="USD SWAP 3ML" sheetId="10" r:id="rId2"/>
    <sheet name="USD Forwards" sheetId="17" r:id="rId3"/>
    <sheet name="Swap Pricing" sheetId="21" r:id="rId4"/>
  </sheets>
  <definedNames>
    <definedName name="COB">'USD OIS'!$D$20</definedName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CurveBuildProperties" localSheetId="0">'USD OIS'!$C$20:$D$24</definedName>
    <definedName name="CurveBuildProperties" localSheetId="1">'USD SWAP 3ML'!$C$22:$D$31</definedName>
    <definedName name="CurveCollection" localSheetId="0">'USD OIS'!$D$11</definedName>
    <definedName name="CurveCollection" localSheetId="1">'USD SWAP 3ML'!$D$13</definedName>
    <definedName name="ForwardCurves.CurveID">'USD Forwards'!$C$5</definedName>
    <definedName name="ForwardCurves.Interpolation">'USD Forwards'!$C$6</definedName>
    <definedName name="ForwardCurves.Periodicity">'USD Forwards'!$C$25</definedName>
    <definedName name="Forwards.EUR1ML">'USD Forwards'!$I$23:$I$1522</definedName>
    <definedName name="Forwards.OIS">'USD Forwards'!$E$23:$E$1522</definedName>
    <definedName name="Forwards.StartDate">'USD Forwards'!$C$23:$C$1522</definedName>
    <definedName name="FRA.Conventions">#REF!</definedName>
    <definedName name="FRA.MarketDataX3">#REF!</definedName>
    <definedName name="FRA.MarketDataX6">#REF!</definedName>
    <definedName name="FRAConventions" localSheetId="1">'USD SWAP 3ML'!$C$51:$D$64</definedName>
    <definedName name="FRAMarketData3M" localSheetId="1">'USD SWAP 3ML'!$F$52:$G$64</definedName>
    <definedName name="FRAMarketData6M" localSheetId="1">'USD SWAP 3ML'!$I$52:$J$64</definedName>
    <definedName name="Futures.Conventions">#REF!</definedName>
    <definedName name="Futures.MarketData">#REF!</definedName>
    <definedName name="FuturesConventions" localSheetId="1">'USD SWAP 3ML'!$C$72:$D$85</definedName>
    <definedName name="FuturesMarketData" localSheetId="1">'USD SWAP 3ML'!$F$73:$J$85</definedName>
    <definedName name="IndexName" localSheetId="0">'USD OIS'!$D$13</definedName>
    <definedName name="IndexName" localSheetId="1">'USD SWAP 3ML'!$D$15</definedName>
    <definedName name="isEUR3MLLoaded">#REF!</definedName>
    <definedName name="isEUR6MLLoaded">#REF!</definedName>
    <definedName name="isEURGBPLoaded">#REF!</definedName>
    <definedName name="isEUROISLoaded">#REF!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'USD SWAP 3ML'!$D$9</definedName>
    <definedName name="isUSDOISLoaded">'USD OIS'!$D$8</definedName>
    <definedName name="Libor.Conventions">#REF!</definedName>
    <definedName name="Libor.MarketData">#REF!</definedName>
    <definedName name="LiborConventions" localSheetId="1">'USD SWAP 3ML'!$F$38:$G$43</definedName>
    <definedName name="LiborMarketData" localSheetId="1">'USD SWAP 3ML'!$I$39:$J$43</definedName>
    <definedName name="LiborOISBasis.Conventions">#REF!</definedName>
    <definedName name="LiborOISBasis.MarketData">#REF!</definedName>
    <definedName name="LiborSwap.Conventions" localSheetId="0">'USD OIS'!$I$64:$J$89</definedName>
    <definedName name="LiborSwap.Conventions">#REF!</definedName>
    <definedName name="LiborSwap.MarketData" localSheetId="0">'USD OIS'!$L$65:$M$89</definedName>
    <definedName name="LiborSwap.MarketData">#REF!</definedName>
    <definedName name="MoneyMarket.Conventions">#REF!</definedName>
    <definedName name="MoneyMarketConventions" localSheetId="1">'USD SWAP 3ML'!$C$38:$D$43</definedName>
    <definedName name="OIS.Conventions">#REF!</definedName>
    <definedName name="OIS.FixingTable">#REF!</definedName>
    <definedName name="OIS.MarketData">#REF!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0">'USD OIS'!$D$12</definedName>
    <definedName name="StaticDataTable" localSheetId="1">'USD SWAP 3ML'!$D$14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SwapConventions" localSheetId="1">'USD SWAP 3ML'!$C$93:$D$111</definedName>
    <definedName name="SwapMarketData" localSheetId="1">'USD SWAP 3ML'!$F$94:$H$111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G6" i="21" l="1"/>
  <c r="AG7" i="21"/>
  <c r="AG8" i="21"/>
  <c r="AG9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Y6" i="21" l="1"/>
  <c r="V6" i="21" l="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AO25" i="21" l="1"/>
  <c r="AN25" i="21"/>
  <c r="Z25" i="21"/>
  <c r="Y25" i="21"/>
  <c r="O25" i="21"/>
  <c r="AO24" i="21"/>
  <c r="AN24" i="21"/>
  <c r="Z24" i="21"/>
  <c r="Y24" i="21"/>
  <c r="O24" i="21"/>
  <c r="AO23" i="21"/>
  <c r="AN23" i="21"/>
  <c r="Z23" i="21"/>
  <c r="Y23" i="21"/>
  <c r="O23" i="21"/>
  <c r="AO22" i="21"/>
  <c r="AN22" i="21"/>
  <c r="Z22" i="21"/>
  <c r="Y22" i="21"/>
  <c r="O22" i="21"/>
  <c r="AO21" i="21"/>
  <c r="AN21" i="21"/>
  <c r="Z21" i="21"/>
  <c r="Y21" i="21"/>
  <c r="O21" i="21"/>
  <c r="AO20" i="21"/>
  <c r="AN20" i="21"/>
  <c r="Z20" i="21"/>
  <c r="Y20" i="21"/>
  <c r="O20" i="21"/>
  <c r="AO19" i="21"/>
  <c r="AN19" i="21"/>
  <c r="Z19" i="21"/>
  <c r="Y19" i="21"/>
  <c r="O19" i="21"/>
  <c r="AO18" i="21"/>
  <c r="AN18" i="21"/>
  <c r="Z18" i="21"/>
  <c r="Y18" i="21"/>
  <c r="O18" i="21"/>
  <c r="AO17" i="21"/>
  <c r="AN17" i="21"/>
  <c r="Z17" i="21"/>
  <c r="Y17" i="21"/>
  <c r="O17" i="21"/>
  <c r="AO16" i="21"/>
  <c r="AN16" i="21"/>
  <c r="Z16" i="21"/>
  <c r="Y16" i="21"/>
  <c r="O16" i="21"/>
  <c r="AO15" i="21"/>
  <c r="AN15" i="21"/>
  <c r="Z15" i="21"/>
  <c r="Y15" i="21"/>
  <c r="O15" i="21"/>
  <c r="AO14" i="21"/>
  <c r="AN14" i="21"/>
  <c r="Z14" i="21"/>
  <c r="Y14" i="21"/>
  <c r="O14" i="21"/>
  <c r="AO13" i="21"/>
  <c r="AN13" i="21"/>
  <c r="Z13" i="21"/>
  <c r="Y13" i="21"/>
  <c r="O13" i="21"/>
  <c r="AO12" i="21"/>
  <c r="AN12" i="21"/>
  <c r="Z12" i="21"/>
  <c r="Y12" i="21"/>
  <c r="O12" i="21"/>
  <c r="AO11" i="21"/>
  <c r="AN11" i="21"/>
  <c r="Z11" i="21"/>
  <c r="Y11" i="21"/>
  <c r="O11" i="21"/>
  <c r="AO10" i="21"/>
  <c r="AN10" i="21"/>
  <c r="Z10" i="21"/>
  <c r="Y10" i="21"/>
  <c r="O10" i="21"/>
  <c r="AO9" i="21"/>
  <c r="AN9" i="21"/>
  <c r="Z9" i="21"/>
  <c r="Y9" i="21"/>
  <c r="O9" i="21"/>
  <c r="AO8" i="21"/>
  <c r="AN8" i="21"/>
  <c r="Z8" i="21"/>
  <c r="Y8" i="21"/>
  <c r="O8" i="21"/>
  <c r="AO7" i="21"/>
  <c r="AN7" i="21"/>
  <c r="Z7" i="21"/>
  <c r="Y7" i="21"/>
  <c r="O7" i="21"/>
  <c r="AO6" i="21"/>
  <c r="AN6" i="21"/>
  <c r="Z6" i="21"/>
  <c r="O6" i="21"/>
  <c r="B21" i="21"/>
  <c r="AI11" i="21"/>
  <c r="B7" i="21"/>
  <c r="B17" i="21"/>
  <c r="B22" i="21"/>
  <c r="AI20" i="21"/>
  <c r="AI23" i="21"/>
  <c r="B24" i="21"/>
  <c r="AI19" i="21"/>
  <c r="B10" i="21"/>
  <c r="B8" i="21"/>
  <c r="AI10" i="21"/>
  <c r="B16" i="21"/>
  <c r="AI6" i="21"/>
  <c r="AI22" i="21"/>
  <c r="AI15" i="21"/>
  <c r="AI18" i="21"/>
  <c r="AI8" i="21"/>
  <c r="B20" i="21"/>
  <c r="B13" i="21"/>
  <c r="B15" i="21"/>
  <c r="AI16" i="21"/>
  <c r="B25" i="21"/>
  <c r="AI13" i="21"/>
  <c r="AI24" i="21"/>
  <c r="AI21" i="21"/>
  <c r="B11" i="21"/>
  <c r="AI9" i="21"/>
  <c r="B23" i="21"/>
  <c r="AI7" i="21"/>
  <c r="B14" i="21"/>
  <c r="AI17" i="21"/>
  <c r="AI14" i="21"/>
  <c r="B6" i="21"/>
  <c r="AI25" i="21"/>
  <c r="B18" i="21"/>
  <c r="B9" i="21"/>
  <c r="B12" i="21"/>
  <c r="B19" i="21"/>
  <c r="AI12" i="21"/>
  <c r="AP20" i="21" l="1"/>
  <c r="AP9" i="21"/>
  <c r="AP17" i="21"/>
  <c r="AP10" i="21"/>
  <c r="AP18" i="21"/>
  <c r="AP22" i="21"/>
  <c r="AP6" i="21"/>
  <c r="AP7" i="21"/>
  <c r="AP24" i="21"/>
  <c r="AP19" i="21"/>
  <c r="AP14" i="21"/>
  <c r="AP15" i="21"/>
  <c r="AP25" i="21"/>
  <c r="AP8" i="21"/>
  <c r="AP11" i="21"/>
  <c r="AP21" i="21"/>
  <c r="AP13" i="21"/>
  <c r="AP23" i="21"/>
  <c r="AP16" i="21"/>
  <c r="AP12" i="21"/>
  <c r="G23" i="17" l="1"/>
  <c r="G21" i="17"/>
  <c r="C21" i="17"/>
  <c r="H14" i="17"/>
  <c r="D14" i="17"/>
  <c r="C24" i="17" l="1"/>
  <c r="C25" i="17"/>
  <c r="D24" i="17"/>
  <c r="D25" i="17"/>
  <c r="H23" i="17"/>
  <c r="D23" i="17"/>
  <c r="D7" i="9"/>
  <c r="C26" i="17"/>
  <c r="C27" i="17"/>
  <c r="D26" i="17"/>
  <c r="D27" i="17"/>
  <c r="C28" i="17"/>
  <c r="C29" i="17"/>
  <c r="D28" i="17"/>
  <c r="D29" i="17"/>
  <c r="C30" i="17"/>
  <c r="D30" i="17"/>
  <c r="C31" i="17"/>
  <c r="C32" i="17"/>
  <c r="D31" i="17"/>
  <c r="C33" i="17"/>
  <c r="D32" i="17"/>
  <c r="D33" i="17"/>
  <c r="C34" i="17"/>
  <c r="D34" i="17"/>
  <c r="C35" i="17"/>
  <c r="C36" i="17"/>
  <c r="D35" i="17"/>
  <c r="D36" i="17"/>
  <c r="C37" i="17"/>
  <c r="D37" i="17"/>
  <c r="C38" i="17"/>
  <c r="D38" i="17"/>
  <c r="C39" i="17"/>
  <c r="D39" i="17"/>
  <c r="C40" i="17"/>
  <c r="C41" i="17"/>
  <c r="D40" i="17"/>
  <c r="C42" i="17"/>
  <c r="D41" i="17"/>
  <c r="C43" i="17"/>
  <c r="D42" i="17"/>
  <c r="D43" i="17"/>
  <c r="C44" i="17"/>
  <c r="D44" i="17"/>
  <c r="C45" i="17"/>
  <c r="C46" i="17"/>
  <c r="D45" i="17"/>
  <c r="D46" i="17"/>
  <c r="C47" i="17"/>
  <c r="C48" i="17"/>
  <c r="D47" i="17"/>
  <c r="D48" i="17"/>
  <c r="C49" i="17"/>
  <c r="D49" i="17"/>
  <c r="C50" i="17"/>
  <c r="D50" i="17"/>
  <c r="C51" i="17"/>
  <c r="C52" i="17"/>
  <c r="D51" i="17"/>
  <c r="C53" i="17"/>
  <c r="D52" i="17"/>
  <c r="C54" i="17"/>
  <c r="D53" i="17"/>
  <c r="D54" i="17"/>
  <c r="C55" i="17"/>
  <c r="C56" i="17"/>
  <c r="D55" i="17"/>
  <c r="C57" i="17"/>
  <c r="D56" i="17"/>
  <c r="D57" i="17"/>
  <c r="C58" i="17"/>
  <c r="C59" i="17"/>
  <c r="D58" i="17"/>
  <c r="D59" i="17"/>
  <c r="C60" i="17"/>
  <c r="C61" i="17"/>
  <c r="D60" i="17"/>
  <c r="D61" i="17"/>
  <c r="C62" i="17"/>
  <c r="D62" i="17"/>
  <c r="C63" i="17"/>
  <c r="C64" i="17"/>
  <c r="D63" i="17"/>
  <c r="C65" i="17"/>
  <c r="D64" i="17"/>
  <c r="D65" i="17"/>
  <c r="C66" i="17"/>
  <c r="D66" i="17"/>
  <c r="C67" i="17"/>
  <c r="C68" i="17"/>
  <c r="D67" i="17"/>
  <c r="D68" i="17"/>
  <c r="C69" i="17"/>
  <c r="C70" i="17"/>
  <c r="D69" i="17"/>
  <c r="D70" i="17"/>
  <c r="C71" i="17"/>
  <c r="C72" i="17"/>
  <c r="D71" i="17"/>
  <c r="C73" i="17"/>
  <c r="D72" i="17"/>
  <c r="C74" i="17"/>
  <c r="D73" i="17"/>
  <c r="D74" i="17"/>
  <c r="C75" i="17"/>
  <c r="C76" i="17"/>
  <c r="D75" i="17"/>
  <c r="C77" i="17"/>
  <c r="D76" i="17"/>
  <c r="D77" i="17"/>
  <c r="C78" i="17"/>
  <c r="C79" i="17"/>
  <c r="D78" i="17"/>
  <c r="C80" i="17"/>
  <c r="D79" i="17"/>
  <c r="D80" i="17"/>
  <c r="C81" i="17"/>
  <c r="C82" i="17"/>
  <c r="D81" i="17"/>
  <c r="C83" i="17"/>
  <c r="D82" i="17"/>
  <c r="D83" i="17"/>
  <c r="C84" i="17"/>
  <c r="D84" i="17"/>
  <c r="C85" i="17"/>
  <c r="D85" i="17"/>
  <c r="C86" i="17"/>
  <c r="C87" i="17"/>
  <c r="D86" i="17"/>
  <c r="C88" i="17"/>
  <c r="D87" i="17"/>
  <c r="C89" i="17"/>
  <c r="D88" i="17"/>
  <c r="C90" i="17"/>
  <c r="D89" i="17"/>
  <c r="D90" i="17"/>
  <c r="C91" i="17"/>
  <c r="D91" i="17"/>
  <c r="C92" i="17"/>
  <c r="D92" i="17"/>
  <c r="C93" i="17"/>
  <c r="D93" i="17"/>
  <c r="C94" i="17"/>
  <c r="D94" i="17"/>
  <c r="C95" i="17"/>
  <c r="C96" i="17"/>
  <c r="D95" i="17"/>
  <c r="C97" i="17"/>
  <c r="D96" i="17"/>
  <c r="C98" i="17"/>
  <c r="D97" i="17"/>
  <c r="D98" i="17"/>
  <c r="C99" i="17"/>
  <c r="C100" i="17"/>
  <c r="D99" i="17"/>
  <c r="C101" i="17"/>
  <c r="D100" i="17"/>
  <c r="C102" i="17"/>
  <c r="D101" i="17"/>
  <c r="D102" i="17"/>
  <c r="C103" i="17"/>
  <c r="D103" i="17"/>
  <c r="C104" i="17"/>
  <c r="D104" i="17"/>
  <c r="C105" i="17"/>
  <c r="C106" i="17"/>
  <c r="D105" i="17"/>
  <c r="C107" i="17"/>
  <c r="D106" i="17"/>
  <c r="C108" i="17"/>
  <c r="D107" i="17"/>
  <c r="D108" i="17"/>
  <c r="C109" i="17"/>
  <c r="D109" i="17"/>
  <c r="C110" i="17"/>
  <c r="D110" i="17"/>
  <c r="C111" i="17"/>
  <c r="C112" i="17"/>
  <c r="D111" i="17"/>
  <c r="C113" i="17"/>
  <c r="D112" i="17"/>
  <c r="C114" i="17"/>
  <c r="D113" i="17"/>
  <c r="D114" i="17"/>
  <c r="C115" i="17"/>
  <c r="D115" i="17"/>
  <c r="C116" i="17"/>
  <c r="C117" i="17"/>
  <c r="D116" i="17"/>
  <c r="C118" i="17"/>
  <c r="D117" i="17"/>
  <c r="D118" i="17"/>
  <c r="C119" i="17"/>
  <c r="C120" i="17"/>
  <c r="D119" i="17"/>
  <c r="C121" i="17"/>
  <c r="D120" i="17"/>
  <c r="C122" i="17"/>
  <c r="D121" i="17"/>
  <c r="C123" i="17"/>
  <c r="D122" i="17"/>
  <c r="D123" i="17"/>
  <c r="C124" i="17"/>
  <c r="D124" i="17"/>
  <c r="C125" i="17"/>
  <c r="D125" i="17"/>
  <c r="C126" i="17"/>
  <c r="C127" i="17"/>
  <c r="D126" i="17"/>
  <c r="D127" i="17"/>
  <c r="C128" i="17"/>
  <c r="D128" i="17"/>
  <c r="C129" i="17"/>
  <c r="D129" i="17"/>
  <c r="C130" i="17"/>
  <c r="C131" i="17"/>
  <c r="D130" i="17"/>
  <c r="D131" i="17"/>
  <c r="C132" i="17"/>
  <c r="C133" i="17"/>
  <c r="D132" i="17"/>
  <c r="D133" i="17"/>
  <c r="C134" i="17"/>
  <c r="D134" i="17"/>
  <c r="C135" i="17"/>
  <c r="D135" i="17"/>
  <c r="C136" i="17"/>
  <c r="C137" i="17"/>
  <c r="D136" i="17"/>
  <c r="C138" i="17"/>
  <c r="D137" i="17"/>
  <c r="D138" i="17"/>
  <c r="C139" i="17"/>
  <c r="D139" i="17"/>
  <c r="C140" i="17"/>
  <c r="C141" i="17"/>
  <c r="D140" i="17"/>
  <c r="D141" i="17"/>
  <c r="C142" i="17"/>
  <c r="C143" i="17"/>
  <c r="D142" i="17"/>
  <c r="C144" i="17"/>
  <c r="D143" i="17"/>
  <c r="C145" i="17"/>
  <c r="D144" i="17"/>
  <c r="C146" i="17"/>
  <c r="D145" i="17"/>
  <c r="D146" i="17"/>
  <c r="C147" i="17"/>
  <c r="D147" i="17"/>
  <c r="C148" i="17"/>
  <c r="D148" i="17"/>
  <c r="C149" i="17"/>
  <c r="D149" i="17"/>
  <c r="C150" i="17"/>
  <c r="C151" i="17"/>
  <c r="D150" i="17"/>
  <c r="C152" i="17"/>
  <c r="D151" i="17"/>
  <c r="D152" i="17"/>
  <c r="C153" i="17"/>
  <c r="C154" i="17"/>
  <c r="D153" i="17"/>
  <c r="D154" i="17"/>
  <c r="C155" i="17"/>
  <c r="C156" i="17"/>
  <c r="D155" i="17"/>
  <c r="D156" i="17"/>
  <c r="C157" i="17"/>
  <c r="C158" i="17"/>
  <c r="D157" i="17"/>
  <c r="D158" i="17"/>
  <c r="C159" i="17"/>
  <c r="D159" i="17"/>
  <c r="C160" i="17"/>
  <c r="C161" i="17"/>
  <c r="D160" i="17"/>
  <c r="D161" i="17"/>
  <c r="C162" i="17"/>
  <c r="C163" i="17"/>
  <c r="D162" i="17"/>
  <c r="C164" i="17"/>
  <c r="D163" i="17"/>
  <c r="D164" i="17"/>
  <c r="C165" i="17"/>
  <c r="C166" i="17"/>
  <c r="D165" i="17"/>
  <c r="D166" i="17"/>
  <c r="C167" i="17"/>
  <c r="D167" i="17"/>
  <c r="C168" i="17"/>
  <c r="D168" i="17"/>
  <c r="C169" i="17"/>
  <c r="C170" i="17"/>
  <c r="D169" i="17"/>
  <c r="D170" i="17"/>
  <c r="C171" i="17"/>
  <c r="C172" i="17"/>
  <c r="D171" i="17"/>
  <c r="D172" i="17"/>
  <c r="C173" i="17"/>
  <c r="C174" i="17"/>
  <c r="D173" i="17"/>
  <c r="C175" i="17"/>
  <c r="D174" i="17"/>
  <c r="C176" i="17"/>
  <c r="D175" i="17"/>
  <c r="C177" i="17"/>
  <c r="D176" i="17"/>
  <c r="D177" i="17"/>
  <c r="C178" i="17"/>
  <c r="D178" i="17"/>
  <c r="C179" i="17"/>
  <c r="C180" i="17"/>
  <c r="D179" i="17"/>
  <c r="D180" i="17"/>
  <c r="C181" i="17"/>
  <c r="C182" i="17"/>
  <c r="D181" i="17"/>
  <c r="C183" i="17"/>
  <c r="D182" i="17"/>
  <c r="D183" i="17"/>
  <c r="C184" i="17"/>
  <c r="D184" i="17"/>
  <c r="C185" i="17"/>
  <c r="C186" i="17"/>
  <c r="D185" i="17"/>
  <c r="C187" i="17"/>
  <c r="D186" i="17"/>
  <c r="D187" i="17"/>
  <c r="C188" i="17"/>
  <c r="C189" i="17"/>
  <c r="D188" i="17"/>
  <c r="D189" i="17"/>
  <c r="C190" i="17"/>
  <c r="C191" i="17"/>
  <c r="D190" i="17"/>
  <c r="C192" i="17"/>
  <c r="D191" i="17"/>
  <c r="C193" i="17"/>
  <c r="D192" i="17"/>
  <c r="D193" i="17"/>
  <c r="C194" i="17"/>
  <c r="C195" i="17"/>
  <c r="D194" i="17"/>
  <c r="C196" i="17"/>
  <c r="D195" i="17"/>
  <c r="C197" i="17"/>
  <c r="D196" i="17"/>
  <c r="D197" i="17"/>
  <c r="C198" i="17"/>
  <c r="D198" i="17"/>
  <c r="C199" i="17"/>
  <c r="D199" i="17"/>
  <c r="C200" i="17"/>
  <c r="C201" i="17"/>
  <c r="D200" i="17"/>
  <c r="C202" i="17"/>
  <c r="D201" i="17"/>
  <c r="D202" i="17"/>
  <c r="C203" i="17"/>
  <c r="C204" i="17"/>
  <c r="D203" i="17"/>
  <c r="C205" i="17"/>
  <c r="D204" i="17"/>
  <c r="D205" i="17"/>
  <c r="C206" i="17"/>
  <c r="C207" i="17"/>
  <c r="D206" i="17"/>
  <c r="C208" i="17"/>
  <c r="D207" i="17"/>
  <c r="D208" i="17"/>
  <c r="C209" i="17"/>
  <c r="D209" i="17"/>
  <c r="C210" i="17"/>
  <c r="C211" i="17"/>
  <c r="D210" i="17"/>
  <c r="C212" i="17"/>
  <c r="D211" i="17"/>
  <c r="D212" i="17"/>
  <c r="C213" i="17"/>
  <c r="C214" i="17"/>
  <c r="D213" i="17"/>
  <c r="D214" i="17"/>
  <c r="C215" i="17"/>
  <c r="C216" i="17"/>
  <c r="D215" i="17"/>
  <c r="D216" i="17"/>
  <c r="C217" i="17"/>
  <c r="D217" i="17"/>
  <c r="C218" i="17"/>
  <c r="D218" i="17"/>
  <c r="C219" i="17"/>
  <c r="D219" i="17"/>
  <c r="C220" i="17"/>
  <c r="C221" i="17"/>
  <c r="D220" i="17"/>
  <c r="C222" i="17"/>
  <c r="D221" i="17"/>
  <c r="D222" i="17"/>
  <c r="C223" i="17"/>
  <c r="C224" i="17"/>
  <c r="D223" i="17"/>
  <c r="C225" i="17"/>
  <c r="D224" i="17"/>
  <c r="C226" i="17"/>
  <c r="D225" i="17"/>
  <c r="C227" i="17"/>
  <c r="D226" i="17"/>
  <c r="C228" i="17"/>
  <c r="D227" i="17"/>
  <c r="C229" i="17"/>
  <c r="D228" i="17"/>
  <c r="D229" i="17"/>
  <c r="C230" i="17"/>
  <c r="C231" i="17"/>
  <c r="D230" i="17"/>
  <c r="D231" i="17"/>
  <c r="C232" i="17"/>
  <c r="C233" i="17"/>
  <c r="D232" i="17"/>
  <c r="C234" i="17"/>
  <c r="D233" i="17"/>
  <c r="D234" i="17"/>
  <c r="C235" i="17"/>
  <c r="C236" i="17"/>
  <c r="D235" i="17"/>
  <c r="C237" i="17"/>
  <c r="D236" i="17"/>
  <c r="D237" i="17"/>
  <c r="C238" i="17"/>
  <c r="D238" i="17"/>
  <c r="C239" i="17"/>
  <c r="D239" i="17"/>
  <c r="C240" i="17"/>
  <c r="C241" i="17"/>
  <c r="D240" i="17"/>
  <c r="D241" i="17"/>
  <c r="C242" i="17"/>
  <c r="C243" i="17"/>
  <c r="D242" i="17"/>
  <c r="C244" i="17"/>
  <c r="D243" i="17"/>
  <c r="D244" i="17"/>
  <c r="C245" i="17"/>
  <c r="D245" i="17"/>
  <c r="C246" i="17"/>
  <c r="D246" i="17"/>
  <c r="C247" i="17"/>
  <c r="C248" i="17"/>
  <c r="D247" i="17"/>
  <c r="C249" i="17"/>
  <c r="D248" i="17"/>
  <c r="C250" i="17"/>
  <c r="D249" i="17"/>
  <c r="D250" i="17"/>
  <c r="C251" i="17"/>
  <c r="C252" i="17"/>
  <c r="D251" i="17"/>
  <c r="D252" i="17"/>
  <c r="C253" i="17"/>
  <c r="C254" i="17"/>
  <c r="D253" i="17"/>
  <c r="D254" i="17"/>
  <c r="C255" i="17"/>
  <c r="C256" i="17"/>
  <c r="D255" i="17"/>
  <c r="D256" i="17"/>
  <c r="C257" i="17"/>
  <c r="D257" i="17"/>
  <c r="C258" i="17"/>
  <c r="C259" i="17"/>
  <c r="D258" i="17"/>
  <c r="C260" i="17"/>
  <c r="D259" i="17"/>
  <c r="D260" i="17"/>
  <c r="C261" i="17"/>
  <c r="D261" i="17"/>
  <c r="C262" i="17"/>
  <c r="C263" i="17"/>
  <c r="D262" i="17"/>
  <c r="D263" i="17"/>
  <c r="C264" i="17"/>
  <c r="D264" i="17"/>
  <c r="C265" i="17"/>
  <c r="D265" i="17"/>
  <c r="C266" i="17"/>
  <c r="C267" i="17"/>
  <c r="D266" i="17"/>
  <c r="D267" i="17"/>
  <c r="C268" i="17"/>
  <c r="C269" i="17"/>
  <c r="D268" i="17"/>
  <c r="C270" i="17"/>
  <c r="D269" i="17"/>
  <c r="C271" i="17"/>
  <c r="D270" i="17"/>
  <c r="C272" i="17"/>
  <c r="D271" i="17"/>
  <c r="C273" i="17"/>
  <c r="D272" i="17"/>
  <c r="D273" i="17"/>
  <c r="C274" i="17"/>
  <c r="C275" i="17"/>
  <c r="D274" i="17"/>
  <c r="D275" i="17"/>
  <c r="C276" i="17"/>
  <c r="C277" i="17"/>
  <c r="D276" i="17"/>
  <c r="C278" i="17"/>
  <c r="D277" i="17"/>
  <c r="C279" i="17"/>
  <c r="D278" i="17"/>
  <c r="D279" i="17"/>
  <c r="C280" i="17"/>
  <c r="C281" i="17"/>
  <c r="D280" i="17"/>
  <c r="C282" i="17"/>
  <c r="D281" i="17"/>
  <c r="D282" i="17"/>
  <c r="C283" i="17"/>
  <c r="D283" i="17"/>
  <c r="C284" i="17"/>
  <c r="C285" i="17"/>
  <c r="D284" i="17"/>
  <c r="D285" i="17"/>
  <c r="C286" i="17"/>
  <c r="D286" i="17"/>
  <c r="C287" i="17"/>
  <c r="C288" i="17"/>
  <c r="D287" i="17"/>
  <c r="D288" i="17"/>
  <c r="C289" i="17"/>
  <c r="C290" i="17"/>
  <c r="D289" i="17"/>
  <c r="D290" i="17"/>
  <c r="C291" i="17"/>
  <c r="D291" i="17"/>
  <c r="C292" i="17"/>
  <c r="D292" i="17"/>
  <c r="C293" i="17"/>
  <c r="C294" i="17"/>
  <c r="D293" i="17"/>
  <c r="D294" i="17"/>
  <c r="C295" i="17"/>
  <c r="C296" i="17"/>
  <c r="D295" i="17"/>
  <c r="C297" i="17"/>
  <c r="D296" i="17"/>
  <c r="D297" i="17"/>
  <c r="C298" i="17"/>
  <c r="C299" i="17"/>
  <c r="D298" i="17"/>
  <c r="C300" i="17"/>
  <c r="D299" i="17"/>
  <c r="C301" i="17"/>
  <c r="D300" i="17"/>
  <c r="D301" i="17"/>
  <c r="C302" i="17"/>
  <c r="C303" i="17"/>
  <c r="D302" i="17"/>
  <c r="C304" i="17"/>
  <c r="D303" i="17"/>
  <c r="C305" i="17"/>
  <c r="D304" i="17"/>
  <c r="C306" i="17"/>
  <c r="D305" i="17"/>
  <c r="D306" i="17"/>
  <c r="C307" i="17"/>
  <c r="C308" i="17"/>
  <c r="D307" i="17"/>
  <c r="D308" i="17"/>
  <c r="C309" i="17"/>
  <c r="C310" i="17"/>
  <c r="D309" i="17"/>
  <c r="C311" i="17"/>
  <c r="D310" i="17"/>
  <c r="D311" i="17"/>
  <c r="C312" i="17"/>
  <c r="C313" i="17"/>
  <c r="D312" i="17"/>
  <c r="C314" i="17"/>
  <c r="D313" i="17"/>
  <c r="C315" i="17"/>
  <c r="D314" i="17"/>
  <c r="D315" i="17"/>
  <c r="C316" i="17"/>
  <c r="C317" i="17"/>
  <c r="D316" i="17"/>
  <c r="C318" i="17"/>
  <c r="D317" i="17"/>
  <c r="D318" i="17"/>
  <c r="C319" i="17"/>
  <c r="D319" i="17"/>
  <c r="C320" i="17"/>
  <c r="C321" i="17"/>
  <c r="D320" i="17"/>
  <c r="C322" i="17"/>
  <c r="D321" i="17"/>
  <c r="D322" i="17"/>
  <c r="C323" i="17"/>
  <c r="C324" i="17"/>
  <c r="D323" i="17"/>
  <c r="C325" i="17"/>
  <c r="D324" i="17"/>
  <c r="C326" i="17"/>
  <c r="D325" i="17"/>
  <c r="C327" i="17"/>
  <c r="D326" i="17"/>
  <c r="C328" i="17"/>
  <c r="D327" i="17"/>
  <c r="D328" i="17"/>
  <c r="C329" i="17"/>
  <c r="C330" i="17"/>
  <c r="D329" i="17"/>
  <c r="D330" i="17"/>
  <c r="C331" i="17"/>
  <c r="D331" i="17"/>
  <c r="C332" i="17"/>
  <c r="C333" i="17"/>
  <c r="D332" i="17"/>
  <c r="C334" i="17"/>
  <c r="D333" i="17"/>
  <c r="C335" i="17"/>
  <c r="D334" i="17"/>
  <c r="C336" i="17"/>
  <c r="D335" i="17"/>
  <c r="C337" i="17"/>
  <c r="D336" i="17"/>
  <c r="C338" i="17"/>
  <c r="D337" i="17"/>
  <c r="C339" i="17"/>
  <c r="D338" i="17"/>
  <c r="D339" i="17"/>
  <c r="C340" i="17"/>
  <c r="D340" i="17"/>
  <c r="C341" i="17"/>
  <c r="C342" i="17"/>
  <c r="D341" i="17"/>
  <c r="D342" i="17"/>
  <c r="C343" i="17"/>
  <c r="D343" i="17"/>
  <c r="C344" i="17"/>
  <c r="C345" i="17"/>
  <c r="D344" i="17"/>
  <c r="C346" i="17"/>
  <c r="D345" i="17"/>
  <c r="C347" i="17"/>
  <c r="D346" i="17"/>
  <c r="D347" i="17"/>
  <c r="C348" i="17"/>
  <c r="C349" i="17"/>
  <c r="D348" i="17"/>
  <c r="D349" i="17"/>
  <c r="C350" i="17"/>
  <c r="C351" i="17"/>
  <c r="D350" i="17"/>
  <c r="C352" i="17"/>
  <c r="D351" i="17"/>
  <c r="C353" i="17"/>
  <c r="D352" i="17"/>
  <c r="C354" i="17"/>
  <c r="D353" i="17"/>
  <c r="C355" i="17"/>
  <c r="D354" i="17"/>
  <c r="C356" i="17"/>
  <c r="D355" i="17"/>
  <c r="D356" i="17"/>
  <c r="C357" i="17"/>
  <c r="C358" i="17"/>
  <c r="D357" i="17"/>
  <c r="C359" i="17"/>
  <c r="D358" i="17"/>
  <c r="C360" i="17"/>
  <c r="D359" i="17"/>
  <c r="D360" i="17"/>
  <c r="C361" i="17"/>
  <c r="D361" i="17"/>
  <c r="C362" i="17"/>
  <c r="D362" i="17"/>
  <c r="C363" i="17"/>
  <c r="D363" i="17"/>
  <c r="C364" i="17"/>
  <c r="D364" i="17"/>
  <c r="C365" i="17"/>
  <c r="D365" i="17"/>
  <c r="C366" i="17"/>
  <c r="C367" i="17"/>
  <c r="D366" i="17"/>
  <c r="D367" i="17"/>
  <c r="C368" i="17"/>
  <c r="D368" i="17"/>
  <c r="C369" i="17"/>
  <c r="C370" i="17"/>
  <c r="D369" i="17"/>
  <c r="D370" i="17"/>
  <c r="C371" i="17"/>
  <c r="D371" i="17"/>
  <c r="C372" i="17"/>
  <c r="D372" i="17"/>
  <c r="C373" i="17"/>
  <c r="C374" i="17"/>
  <c r="D373" i="17"/>
  <c r="C375" i="17"/>
  <c r="D374" i="17"/>
  <c r="D375" i="17"/>
  <c r="C376" i="17"/>
  <c r="C377" i="17"/>
  <c r="D376" i="17"/>
  <c r="C378" i="17"/>
  <c r="D377" i="17"/>
  <c r="C379" i="17"/>
  <c r="D378" i="17"/>
  <c r="C380" i="17"/>
  <c r="D379" i="17"/>
  <c r="D380" i="17"/>
  <c r="C381" i="17"/>
  <c r="D381" i="17"/>
  <c r="C382" i="17"/>
  <c r="C383" i="17"/>
  <c r="D382" i="17"/>
  <c r="C384" i="17"/>
  <c r="D383" i="17"/>
  <c r="C385" i="17"/>
  <c r="D384" i="17"/>
  <c r="C386" i="17"/>
  <c r="D385" i="17"/>
  <c r="C387" i="17"/>
  <c r="D386" i="17"/>
  <c r="C388" i="17"/>
  <c r="D387" i="17"/>
  <c r="C389" i="17"/>
  <c r="D388" i="17"/>
  <c r="D389" i="17"/>
  <c r="C390" i="17"/>
  <c r="D390" i="17"/>
  <c r="C391" i="17"/>
  <c r="C392" i="17"/>
  <c r="D391" i="17"/>
  <c r="C393" i="17"/>
  <c r="D392" i="17"/>
  <c r="C394" i="17"/>
  <c r="D393" i="17"/>
  <c r="C395" i="17"/>
  <c r="D394" i="17"/>
  <c r="C396" i="17"/>
  <c r="D395" i="17"/>
  <c r="C397" i="17"/>
  <c r="D396" i="17"/>
  <c r="C398" i="17"/>
  <c r="D397" i="17"/>
  <c r="D398" i="17"/>
  <c r="C399" i="17"/>
  <c r="D399" i="17"/>
  <c r="C400" i="17"/>
  <c r="D400" i="17"/>
  <c r="C401" i="17"/>
  <c r="C402" i="17"/>
  <c r="D401" i="17"/>
  <c r="D402" i="17"/>
  <c r="C403" i="17"/>
  <c r="C404" i="17"/>
  <c r="D403" i="17"/>
  <c r="D404" i="17"/>
  <c r="C405" i="17"/>
  <c r="C406" i="17"/>
  <c r="D405" i="17"/>
  <c r="C407" i="17"/>
  <c r="D406" i="17"/>
  <c r="D407" i="17"/>
  <c r="C408" i="17"/>
  <c r="C409" i="17"/>
  <c r="D408" i="17"/>
  <c r="D409" i="17"/>
  <c r="C410" i="17"/>
  <c r="C411" i="17"/>
  <c r="D410" i="17"/>
  <c r="D411" i="17"/>
  <c r="C412" i="17"/>
  <c r="C413" i="17"/>
  <c r="D412" i="17"/>
  <c r="D413" i="17"/>
  <c r="C414" i="17"/>
  <c r="D414" i="17"/>
  <c r="C415" i="17"/>
  <c r="D415" i="17"/>
  <c r="C416" i="17"/>
  <c r="C417" i="17"/>
  <c r="D416" i="17"/>
  <c r="C418" i="17"/>
  <c r="D417" i="17"/>
  <c r="C419" i="17"/>
  <c r="D418" i="17"/>
  <c r="C420" i="17"/>
  <c r="D419" i="17"/>
  <c r="D420" i="17"/>
  <c r="C421" i="17"/>
  <c r="D421" i="17"/>
  <c r="C422" i="17"/>
  <c r="D422" i="17"/>
  <c r="C423" i="17"/>
  <c r="C424" i="17"/>
  <c r="D423" i="17"/>
  <c r="C425" i="17"/>
  <c r="D424" i="17"/>
  <c r="D425" i="17"/>
  <c r="C426" i="17"/>
  <c r="C427" i="17"/>
  <c r="D426" i="17"/>
  <c r="C428" i="17"/>
  <c r="D427" i="17"/>
  <c r="D428" i="17"/>
  <c r="C429" i="17"/>
  <c r="D429" i="17"/>
  <c r="C430" i="17"/>
  <c r="D430" i="17"/>
  <c r="C431" i="17"/>
  <c r="D431" i="17"/>
  <c r="C432" i="17"/>
  <c r="C433" i="17"/>
  <c r="D432" i="17"/>
  <c r="D433" i="17"/>
  <c r="C434" i="17"/>
  <c r="C435" i="17"/>
  <c r="D434" i="17"/>
  <c r="C436" i="17"/>
  <c r="D435" i="17"/>
  <c r="C437" i="17"/>
  <c r="D436" i="17"/>
  <c r="D437" i="17"/>
  <c r="C438" i="17"/>
  <c r="C439" i="17"/>
  <c r="D438" i="17"/>
  <c r="D439" i="17"/>
  <c r="C440" i="17"/>
  <c r="D440" i="17"/>
  <c r="C441" i="17"/>
  <c r="D441" i="17"/>
  <c r="C442" i="17"/>
  <c r="D442" i="17"/>
  <c r="C443" i="17"/>
  <c r="C444" i="17"/>
  <c r="D443" i="17"/>
  <c r="D444" i="17"/>
  <c r="C445" i="17"/>
  <c r="C446" i="17"/>
  <c r="D445" i="17"/>
  <c r="C447" i="17"/>
  <c r="D446" i="17"/>
  <c r="C448" i="17"/>
  <c r="D447" i="17"/>
  <c r="D448" i="17"/>
  <c r="C449" i="17"/>
  <c r="D449" i="17"/>
  <c r="C450" i="17"/>
  <c r="D450" i="17"/>
  <c r="C451" i="17"/>
  <c r="C452" i="17"/>
  <c r="D451" i="17"/>
  <c r="D452" i="17"/>
  <c r="C453" i="17"/>
  <c r="C454" i="17"/>
  <c r="D453" i="17"/>
  <c r="C455" i="17"/>
  <c r="D454" i="17"/>
  <c r="D455" i="17"/>
  <c r="C456" i="17"/>
  <c r="C457" i="17"/>
  <c r="D456" i="17"/>
  <c r="D457" i="17"/>
  <c r="C458" i="17"/>
  <c r="C459" i="17"/>
  <c r="D458" i="17"/>
  <c r="C460" i="17"/>
  <c r="D459" i="17"/>
  <c r="C461" i="17"/>
  <c r="D460" i="17"/>
  <c r="C462" i="17"/>
  <c r="D461" i="17"/>
  <c r="D462" i="17"/>
  <c r="C463" i="17"/>
  <c r="C464" i="17"/>
  <c r="D463" i="17"/>
  <c r="D464" i="17"/>
  <c r="C465" i="17"/>
  <c r="D465" i="17"/>
  <c r="C466" i="17"/>
  <c r="C467" i="17"/>
  <c r="D466" i="17"/>
  <c r="D467" i="17"/>
  <c r="C468" i="17"/>
  <c r="C469" i="17"/>
  <c r="D468" i="17"/>
  <c r="C470" i="17"/>
  <c r="D469" i="17"/>
  <c r="C471" i="17"/>
  <c r="D470" i="17"/>
  <c r="C472" i="17"/>
  <c r="D471" i="17"/>
  <c r="C473" i="17"/>
  <c r="D472" i="17"/>
  <c r="C474" i="17"/>
  <c r="D473" i="17"/>
  <c r="C475" i="17"/>
  <c r="D474" i="17"/>
  <c r="C476" i="17"/>
  <c r="D475" i="17"/>
  <c r="D476" i="17"/>
  <c r="C477" i="17"/>
  <c r="D477" i="17"/>
  <c r="C478" i="17"/>
  <c r="D478" i="17"/>
  <c r="C479" i="17"/>
  <c r="C480" i="17"/>
  <c r="D479" i="17"/>
  <c r="D480" i="17"/>
  <c r="C481" i="17"/>
  <c r="D481" i="17"/>
  <c r="C482" i="17"/>
  <c r="C483" i="17"/>
  <c r="D482" i="17"/>
  <c r="D483" i="17"/>
  <c r="C484" i="17"/>
  <c r="C485" i="17"/>
  <c r="D484" i="17"/>
  <c r="C486" i="17"/>
  <c r="D485" i="17"/>
  <c r="D486" i="17"/>
  <c r="C487" i="17"/>
  <c r="C488" i="17"/>
  <c r="D487" i="17"/>
  <c r="C489" i="17"/>
  <c r="D488" i="17"/>
  <c r="D489" i="17"/>
  <c r="C490" i="17"/>
  <c r="C491" i="17"/>
  <c r="D490" i="17"/>
  <c r="D491" i="17"/>
  <c r="C492" i="17"/>
  <c r="D492" i="17"/>
  <c r="C493" i="17"/>
  <c r="C494" i="17"/>
  <c r="D493" i="17"/>
  <c r="C495" i="17"/>
  <c r="D494" i="17"/>
  <c r="C496" i="17"/>
  <c r="D495" i="17"/>
  <c r="C497" i="17"/>
  <c r="D496" i="17"/>
  <c r="C498" i="17"/>
  <c r="D497" i="17"/>
  <c r="C499" i="17"/>
  <c r="D498" i="17"/>
  <c r="C500" i="17"/>
  <c r="D499" i="17"/>
  <c r="D500" i="17"/>
  <c r="C501" i="17"/>
  <c r="D501" i="17"/>
  <c r="C502" i="17"/>
  <c r="C503" i="17"/>
  <c r="D502" i="17"/>
  <c r="C504" i="17"/>
  <c r="D503" i="17"/>
  <c r="D504" i="17"/>
  <c r="C505" i="17"/>
  <c r="C506" i="17"/>
  <c r="D505" i="17"/>
  <c r="C507" i="17"/>
  <c r="D506" i="17"/>
  <c r="C508" i="17"/>
  <c r="D507" i="17"/>
  <c r="C509" i="17"/>
  <c r="D508" i="17"/>
  <c r="D509" i="17"/>
  <c r="C510" i="17"/>
  <c r="D510" i="17"/>
  <c r="C511" i="17"/>
  <c r="C512" i="17"/>
  <c r="D511" i="17"/>
  <c r="C513" i="17"/>
  <c r="D512" i="17"/>
  <c r="D513" i="17"/>
  <c r="C514" i="17"/>
  <c r="C515" i="17"/>
  <c r="D514" i="17"/>
  <c r="C516" i="17"/>
  <c r="D515" i="17"/>
  <c r="D516" i="17"/>
  <c r="C517" i="17"/>
  <c r="D517" i="17"/>
  <c r="C518" i="17"/>
  <c r="C519" i="17"/>
  <c r="D518" i="17"/>
  <c r="C520" i="17"/>
  <c r="D519" i="17"/>
  <c r="D520" i="17"/>
  <c r="C521" i="17"/>
  <c r="C522" i="17"/>
  <c r="D521" i="17"/>
  <c r="D522" i="17"/>
  <c r="C523" i="17"/>
  <c r="D523" i="17"/>
  <c r="C524" i="17"/>
  <c r="D524" i="17"/>
  <c r="C525" i="17"/>
  <c r="C526" i="17"/>
  <c r="D525" i="17"/>
  <c r="C527" i="17"/>
  <c r="D526" i="17"/>
  <c r="C528" i="17"/>
  <c r="D527" i="17"/>
  <c r="D528" i="17"/>
  <c r="C529" i="17"/>
  <c r="D529" i="17"/>
  <c r="C530" i="17"/>
  <c r="C531" i="17"/>
  <c r="D530" i="17"/>
  <c r="C532" i="17"/>
  <c r="D531" i="17"/>
  <c r="C533" i="17"/>
  <c r="D532" i="17"/>
  <c r="D533" i="17"/>
  <c r="C534" i="17"/>
  <c r="D534" i="17"/>
  <c r="C535" i="17"/>
  <c r="D535" i="17"/>
  <c r="C536" i="17"/>
  <c r="C537" i="17"/>
  <c r="D536" i="17"/>
  <c r="D537" i="17"/>
  <c r="C538" i="17"/>
  <c r="C539" i="17"/>
  <c r="D538" i="17"/>
  <c r="C540" i="17"/>
  <c r="D539" i="17"/>
  <c r="C541" i="17"/>
  <c r="D540" i="17"/>
  <c r="D541" i="17"/>
  <c r="C542" i="17"/>
  <c r="C543" i="17"/>
  <c r="D542" i="17"/>
  <c r="D543" i="17"/>
  <c r="C544" i="17"/>
  <c r="D544" i="17"/>
  <c r="C545" i="17"/>
  <c r="D545" i="17"/>
  <c r="C546" i="17"/>
  <c r="D546" i="17"/>
  <c r="C547" i="17"/>
  <c r="D547" i="17"/>
  <c r="C548" i="17"/>
  <c r="C549" i="17"/>
  <c r="D548" i="17"/>
  <c r="D549" i="17"/>
  <c r="C550" i="17"/>
  <c r="C551" i="17"/>
  <c r="D550" i="17"/>
  <c r="D551" i="17"/>
  <c r="C552" i="17"/>
  <c r="C553" i="17"/>
  <c r="D552" i="17"/>
  <c r="D553" i="17"/>
  <c r="C554" i="17"/>
  <c r="D554" i="17"/>
  <c r="C555" i="17"/>
  <c r="D555" i="17"/>
  <c r="C556" i="17"/>
  <c r="C557" i="17"/>
  <c r="D556" i="17"/>
  <c r="D557" i="17"/>
  <c r="C558" i="17"/>
  <c r="C559" i="17"/>
  <c r="D558" i="17"/>
  <c r="D559" i="17"/>
  <c r="C560" i="17"/>
  <c r="D560" i="17"/>
  <c r="C561" i="17"/>
  <c r="D561" i="17"/>
  <c r="C562" i="17"/>
  <c r="D562" i="17"/>
  <c r="C563" i="17"/>
  <c r="D563" i="17"/>
  <c r="C564" i="17"/>
  <c r="D564" i="17"/>
  <c r="C565" i="17"/>
  <c r="C566" i="17"/>
  <c r="D565" i="17"/>
  <c r="C567" i="17"/>
  <c r="D566" i="17"/>
  <c r="C568" i="17"/>
  <c r="D567" i="17"/>
  <c r="D568" i="17"/>
  <c r="C569" i="17"/>
  <c r="D569" i="17"/>
  <c r="C570" i="17"/>
  <c r="D570" i="17"/>
  <c r="C571" i="17"/>
  <c r="C572" i="17"/>
  <c r="D571" i="17"/>
  <c r="D572" i="17"/>
  <c r="C573" i="17"/>
  <c r="D573" i="17"/>
  <c r="C574" i="17"/>
  <c r="C575" i="17"/>
  <c r="D574" i="17"/>
  <c r="C576" i="17"/>
  <c r="D575" i="17"/>
  <c r="D576" i="17"/>
  <c r="C577" i="17"/>
  <c r="D577" i="17"/>
  <c r="C578" i="17"/>
  <c r="D578" i="17"/>
  <c r="C579" i="17"/>
  <c r="D579" i="17"/>
  <c r="C580" i="17"/>
  <c r="C581" i="17"/>
  <c r="D580" i="17"/>
  <c r="D581" i="17"/>
  <c r="C582" i="17"/>
  <c r="C583" i="17"/>
  <c r="D582" i="17"/>
  <c r="C584" i="17"/>
  <c r="D583" i="17"/>
  <c r="C585" i="17"/>
  <c r="D584" i="17"/>
  <c r="C586" i="17"/>
  <c r="D585" i="17"/>
  <c r="D586" i="17"/>
  <c r="C587" i="17"/>
  <c r="C588" i="17"/>
  <c r="D587" i="17"/>
  <c r="D588" i="17"/>
  <c r="C589" i="17"/>
  <c r="C590" i="17"/>
  <c r="D589" i="17"/>
  <c r="D590" i="17"/>
  <c r="C591" i="17"/>
  <c r="C592" i="17"/>
  <c r="D591" i="17"/>
  <c r="C593" i="17"/>
  <c r="D592" i="17"/>
  <c r="C594" i="17"/>
  <c r="D593" i="17"/>
  <c r="D594" i="17"/>
  <c r="C595" i="17"/>
  <c r="D595" i="17"/>
  <c r="C596" i="17"/>
  <c r="C597" i="17"/>
  <c r="D596" i="17"/>
  <c r="D597" i="17"/>
  <c r="C598" i="17"/>
  <c r="D598" i="17"/>
  <c r="C599" i="17"/>
  <c r="C600" i="17"/>
  <c r="D599" i="17"/>
  <c r="D600" i="17"/>
  <c r="C601" i="17"/>
  <c r="C602" i="17"/>
  <c r="D601" i="17"/>
  <c r="C603" i="17"/>
  <c r="D602" i="17"/>
  <c r="C604" i="17"/>
  <c r="D603" i="17"/>
  <c r="C605" i="17"/>
  <c r="D604" i="17"/>
  <c r="D605" i="17"/>
  <c r="C606" i="17"/>
  <c r="C607" i="17"/>
  <c r="D606" i="17"/>
  <c r="C608" i="17"/>
  <c r="D607" i="17"/>
  <c r="D608" i="17"/>
  <c r="C609" i="17"/>
  <c r="D609" i="17"/>
  <c r="C610" i="17"/>
  <c r="D610" i="17"/>
  <c r="C611" i="17"/>
  <c r="C612" i="17"/>
  <c r="D611" i="17"/>
  <c r="D612" i="17"/>
  <c r="C613" i="17"/>
  <c r="C614" i="17"/>
  <c r="D613" i="17"/>
  <c r="D614" i="17"/>
  <c r="C615" i="17"/>
  <c r="C616" i="17"/>
  <c r="D615" i="17"/>
  <c r="D616" i="17"/>
  <c r="C617" i="17"/>
  <c r="D617" i="17"/>
  <c r="C618" i="17"/>
  <c r="C619" i="17"/>
  <c r="D618" i="17"/>
  <c r="C620" i="17"/>
  <c r="D619" i="17"/>
  <c r="D620" i="17"/>
  <c r="C621" i="17"/>
  <c r="C622" i="17"/>
  <c r="D621" i="17"/>
  <c r="C623" i="17"/>
  <c r="D622" i="17"/>
  <c r="D623" i="17"/>
  <c r="C624" i="17"/>
  <c r="D624" i="17"/>
  <c r="C625" i="17"/>
  <c r="C626" i="17"/>
  <c r="D625" i="17"/>
  <c r="C627" i="17"/>
  <c r="D626" i="17"/>
  <c r="C628" i="17"/>
  <c r="D627" i="17"/>
  <c r="C629" i="17"/>
  <c r="D628" i="17"/>
  <c r="D629" i="17"/>
  <c r="C630" i="17"/>
  <c r="C631" i="17"/>
  <c r="D630" i="17"/>
  <c r="D631" i="17"/>
  <c r="C632" i="17"/>
  <c r="D632" i="17"/>
  <c r="C633" i="17"/>
  <c r="C634" i="17"/>
  <c r="D633" i="17"/>
  <c r="D634" i="17"/>
  <c r="C635" i="17"/>
  <c r="D635" i="17"/>
  <c r="C636" i="17"/>
  <c r="C637" i="17"/>
  <c r="D636" i="17"/>
  <c r="D637" i="17"/>
  <c r="C638" i="17"/>
  <c r="D638" i="17"/>
  <c r="C639" i="17"/>
  <c r="D639" i="17"/>
  <c r="C640" i="17"/>
  <c r="C641" i="17"/>
  <c r="D640" i="17"/>
  <c r="C642" i="17"/>
  <c r="D641" i="17"/>
  <c r="D642" i="17"/>
  <c r="C643" i="17"/>
  <c r="D643" i="17"/>
  <c r="C644" i="17"/>
  <c r="D644" i="17"/>
  <c r="C645" i="17"/>
  <c r="C646" i="17"/>
  <c r="D645" i="17"/>
  <c r="C647" i="17"/>
  <c r="D646" i="17"/>
  <c r="C648" i="17"/>
  <c r="D647" i="17"/>
  <c r="C649" i="17"/>
  <c r="D648" i="17"/>
  <c r="C650" i="17"/>
  <c r="D649" i="17"/>
  <c r="D650" i="17"/>
  <c r="C651" i="17"/>
  <c r="C652" i="17"/>
  <c r="D651" i="17"/>
  <c r="C653" i="17"/>
  <c r="D652" i="17"/>
  <c r="D653" i="17"/>
  <c r="C654" i="17"/>
  <c r="D654" i="17"/>
  <c r="C655" i="17"/>
  <c r="C656" i="17"/>
  <c r="D655" i="17"/>
  <c r="D656" i="17"/>
  <c r="C657" i="17"/>
  <c r="C658" i="17"/>
  <c r="D657" i="17"/>
  <c r="C659" i="17"/>
  <c r="D658" i="17"/>
  <c r="C660" i="17"/>
  <c r="D659" i="17"/>
  <c r="D660" i="17"/>
  <c r="C661" i="17"/>
  <c r="D661" i="17"/>
  <c r="C662" i="17"/>
  <c r="C663" i="17"/>
  <c r="D662" i="17"/>
  <c r="C664" i="17"/>
  <c r="D663" i="17"/>
  <c r="D664" i="17"/>
  <c r="C665" i="17"/>
  <c r="D665" i="17"/>
  <c r="C666" i="17"/>
  <c r="C667" i="17"/>
  <c r="D666" i="17"/>
  <c r="D667" i="17"/>
  <c r="C668" i="17"/>
  <c r="D668" i="17"/>
  <c r="C669" i="17"/>
  <c r="D669" i="17"/>
  <c r="C670" i="17"/>
  <c r="D670" i="17"/>
  <c r="C671" i="17"/>
  <c r="D671" i="17"/>
  <c r="C672" i="17"/>
  <c r="D672" i="17"/>
  <c r="C673" i="17"/>
  <c r="D673" i="17"/>
  <c r="C674" i="17"/>
  <c r="C675" i="17"/>
  <c r="D674" i="17"/>
  <c r="C676" i="17"/>
  <c r="D675" i="17"/>
  <c r="C677" i="17"/>
  <c r="D676" i="17"/>
  <c r="C678" i="17"/>
  <c r="D677" i="17"/>
  <c r="D678" i="17"/>
  <c r="C679" i="17"/>
  <c r="D679" i="17"/>
  <c r="C680" i="17"/>
  <c r="C681" i="17"/>
  <c r="D680" i="17"/>
  <c r="D681" i="17"/>
  <c r="C682" i="17"/>
  <c r="C683" i="17"/>
  <c r="D682" i="17"/>
  <c r="C684" i="17"/>
  <c r="D683" i="17"/>
  <c r="D684" i="17"/>
  <c r="C685" i="17"/>
  <c r="C686" i="17"/>
  <c r="D685" i="17"/>
  <c r="C687" i="17"/>
  <c r="D686" i="17"/>
  <c r="C688" i="17"/>
  <c r="D687" i="17"/>
  <c r="C689" i="17"/>
  <c r="D688" i="17"/>
  <c r="C690" i="17"/>
  <c r="D689" i="17"/>
  <c r="C691" i="17"/>
  <c r="D690" i="17"/>
  <c r="C692" i="17"/>
  <c r="D691" i="17"/>
  <c r="D692" i="17"/>
  <c r="C693" i="17"/>
  <c r="D693" i="17"/>
  <c r="C694" i="17"/>
  <c r="C695" i="17"/>
  <c r="D694" i="17"/>
  <c r="D695" i="17"/>
  <c r="C696" i="17"/>
  <c r="D696" i="17"/>
  <c r="C697" i="17"/>
  <c r="D697" i="17"/>
  <c r="C698" i="17"/>
  <c r="C699" i="17"/>
  <c r="D698" i="17"/>
  <c r="C700" i="17"/>
  <c r="D699" i="17"/>
  <c r="C701" i="17"/>
  <c r="D700" i="17"/>
  <c r="C702" i="17"/>
  <c r="D701" i="17"/>
  <c r="C703" i="17"/>
  <c r="D702" i="17"/>
  <c r="C704" i="17"/>
  <c r="D703" i="17"/>
  <c r="C705" i="17"/>
  <c r="D704" i="17"/>
  <c r="D705" i="17"/>
  <c r="C706" i="17"/>
  <c r="C707" i="17"/>
  <c r="D706" i="17"/>
  <c r="C708" i="17"/>
  <c r="D707" i="17"/>
  <c r="C709" i="17"/>
  <c r="D708" i="17"/>
  <c r="D709" i="17"/>
  <c r="C710" i="17"/>
  <c r="C711" i="17"/>
  <c r="D710" i="17"/>
  <c r="C712" i="17"/>
  <c r="D711" i="17"/>
  <c r="D712" i="17"/>
  <c r="C713" i="17"/>
  <c r="C714" i="17"/>
  <c r="D713" i="17"/>
  <c r="D714" i="17"/>
  <c r="C715" i="17"/>
  <c r="D715" i="17"/>
  <c r="C716" i="17"/>
  <c r="D716" i="17"/>
  <c r="C717" i="17"/>
  <c r="C718" i="17"/>
  <c r="D717" i="17"/>
  <c r="D718" i="17"/>
  <c r="C719" i="17"/>
  <c r="D719" i="17"/>
  <c r="C720" i="17"/>
  <c r="C721" i="17"/>
  <c r="D720" i="17"/>
  <c r="C722" i="17"/>
  <c r="D721" i="17"/>
  <c r="D722" i="17"/>
  <c r="C723" i="17"/>
  <c r="D723" i="17"/>
  <c r="C724" i="17"/>
  <c r="D724" i="17"/>
  <c r="C725" i="17"/>
  <c r="C726" i="17"/>
  <c r="D725" i="17"/>
  <c r="D726" i="17"/>
  <c r="C727" i="17"/>
  <c r="D727" i="17"/>
  <c r="C728" i="17"/>
  <c r="D728" i="17"/>
  <c r="C729" i="17"/>
  <c r="C730" i="17"/>
  <c r="D729" i="17"/>
  <c r="C731" i="17"/>
  <c r="D730" i="17"/>
  <c r="C732" i="17"/>
  <c r="D731" i="17"/>
  <c r="C733" i="17"/>
  <c r="D732" i="17"/>
  <c r="C734" i="17"/>
  <c r="D733" i="17"/>
  <c r="C735" i="17"/>
  <c r="D734" i="17"/>
  <c r="D735" i="17"/>
  <c r="C736" i="17"/>
  <c r="C737" i="17"/>
  <c r="D736" i="17"/>
  <c r="C738" i="17"/>
  <c r="D737" i="17"/>
  <c r="C739" i="17"/>
  <c r="D738" i="17"/>
  <c r="D739" i="17"/>
  <c r="C740" i="17"/>
  <c r="D740" i="17"/>
  <c r="C741" i="17"/>
  <c r="D741" i="17"/>
  <c r="C742" i="17"/>
  <c r="D742" i="17"/>
  <c r="C743" i="17"/>
  <c r="C744" i="17"/>
  <c r="D743" i="17"/>
  <c r="D744" i="17"/>
  <c r="C745" i="17"/>
  <c r="C746" i="17"/>
  <c r="D745" i="17"/>
  <c r="D746" i="17"/>
  <c r="C747" i="17"/>
  <c r="D747" i="17"/>
  <c r="C748" i="17"/>
  <c r="C749" i="17"/>
  <c r="D748" i="17"/>
  <c r="D749" i="17"/>
  <c r="C750" i="17"/>
  <c r="C751" i="17"/>
  <c r="D750" i="17"/>
  <c r="D751" i="17"/>
  <c r="C752" i="17"/>
  <c r="C753" i="17"/>
  <c r="D752" i="17"/>
  <c r="D753" i="17"/>
  <c r="C754" i="17"/>
  <c r="D754" i="17"/>
  <c r="C755" i="17"/>
  <c r="D755" i="17"/>
  <c r="C756" i="17"/>
  <c r="D756" i="17"/>
  <c r="C757" i="17"/>
  <c r="C758" i="17"/>
  <c r="D757" i="17"/>
  <c r="D758" i="17"/>
  <c r="C759" i="17"/>
  <c r="D759" i="17"/>
  <c r="C760" i="17"/>
  <c r="C761" i="17"/>
  <c r="D760" i="17"/>
  <c r="C762" i="17"/>
  <c r="D761" i="17"/>
  <c r="D762" i="17"/>
  <c r="C763" i="17"/>
  <c r="C764" i="17"/>
  <c r="D763" i="17"/>
  <c r="D764" i="17"/>
  <c r="C765" i="17"/>
  <c r="D765" i="17"/>
  <c r="C766" i="17"/>
  <c r="D766" i="17"/>
  <c r="C767" i="17"/>
  <c r="C768" i="17"/>
  <c r="D767" i="17"/>
  <c r="C769" i="17"/>
  <c r="D768" i="17"/>
  <c r="D769" i="17"/>
  <c r="C770" i="17"/>
  <c r="D770" i="17"/>
  <c r="C771" i="17"/>
  <c r="C772" i="17"/>
  <c r="D771" i="17"/>
  <c r="D772" i="17"/>
  <c r="C773" i="17"/>
  <c r="D773" i="17"/>
  <c r="C774" i="17"/>
  <c r="C775" i="17"/>
  <c r="D774" i="17"/>
  <c r="D775" i="17"/>
  <c r="C776" i="17"/>
  <c r="D776" i="17"/>
  <c r="C777" i="17"/>
  <c r="D777" i="17"/>
  <c r="C778" i="17"/>
  <c r="C779" i="17"/>
  <c r="D778" i="17"/>
  <c r="D779" i="17"/>
  <c r="C780" i="17"/>
  <c r="C781" i="17"/>
  <c r="D780" i="17"/>
  <c r="D781" i="17"/>
  <c r="C782" i="17"/>
  <c r="C783" i="17"/>
  <c r="D782" i="17"/>
  <c r="D783" i="17"/>
  <c r="C784" i="17"/>
  <c r="C785" i="17"/>
  <c r="D784" i="17"/>
  <c r="D785" i="17"/>
  <c r="C786" i="17"/>
  <c r="D786" i="17"/>
  <c r="C787" i="17"/>
  <c r="D787" i="17"/>
  <c r="C788" i="17"/>
  <c r="D788" i="17"/>
  <c r="C789" i="17"/>
  <c r="C790" i="17"/>
  <c r="D789" i="17"/>
  <c r="D790" i="17"/>
  <c r="C791" i="17"/>
  <c r="C792" i="17"/>
  <c r="D791" i="17"/>
  <c r="C793" i="17"/>
  <c r="D792" i="17"/>
  <c r="D793" i="17"/>
  <c r="C794" i="17"/>
  <c r="D794" i="17"/>
  <c r="C795" i="17"/>
  <c r="C796" i="17"/>
  <c r="D795" i="17"/>
  <c r="D796" i="17"/>
  <c r="C797" i="17"/>
  <c r="D797" i="17"/>
  <c r="C798" i="17"/>
  <c r="D798" i="17"/>
  <c r="C799" i="17"/>
  <c r="D799" i="17"/>
  <c r="C800" i="17"/>
  <c r="D800" i="17"/>
  <c r="C801" i="17"/>
  <c r="C802" i="17"/>
  <c r="D801" i="17"/>
  <c r="D802" i="17"/>
  <c r="C803" i="17"/>
  <c r="D803" i="17"/>
  <c r="C804" i="17"/>
  <c r="D804" i="17"/>
  <c r="C805" i="17"/>
  <c r="C806" i="17"/>
  <c r="D805" i="17"/>
  <c r="D806" i="17"/>
  <c r="C807" i="17"/>
  <c r="D807" i="17"/>
  <c r="C808" i="17"/>
  <c r="D808" i="17"/>
  <c r="C809" i="17"/>
  <c r="C810" i="17"/>
  <c r="D809" i="17"/>
  <c r="C811" i="17"/>
  <c r="D810" i="17"/>
  <c r="C812" i="17"/>
  <c r="D811" i="17"/>
  <c r="D812" i="17"/>
  <c r="C813" i="17"/>
  <c r="D813" i="17"/>
  <c r="C814" i="17"/>
  <c r="C815" i="17"/>
  <c r="D814" i="17"/>
  <c r="D815" i="17"/>
  <c r="C816" i="17"/>
  <c r="C817" i="17"/>
  <c r="D816" i="17"/>
  <c r="C818" i="17"/>
  <c r="D817" i="17"/>
  <c r="D818" i="17"/>
  <c r="C819" i="17"/>
  <c r="D819" i="17"/>
  <c r="C820" i="17"/>
  <c r="D820" i="17"/>
  <c r="C821" i="17"/>
  <c r="D821" i="17"/>
  <c r="C822" i="17"/>
  <c r="D822" i="17"/>
  <c r="C823" i="17"/>
  <c r="D823" i="17"/>
  <c r="C824" i="17"/>
  <c r="C825" i="17"/>
  <c r="D824" i="17"/>
  <c r="D825" i="17"/>
  <c r="C826" i="17"/>
  <c r="D826" i="17"/>
  <c r="C827" i="17"/>
  <c r="D827" i="17"/>
  <c r="C828" i="17"/>
  <c r="D828" i="17"/>
  <c r="C829" i="17"/>
  <c r="D829" i="17"/>
  <c r="C830" i="17"/>
  <c r="C831" i="17"/>
  <c r="D830" i="17"/>
  <c r="C832" i="17"/>
  <c r="D831" i="17"/>
  <c r="C833" i="17"/>
  <c r="D832" i="17"/>
  <c r="D833" i="17"/>
  <c r="C834" i="17"/>
  <c r="C835" i="17"/>
  <c r="D834" i="17"/>
  <c r="C836" i="17"/>
  <c r="D835" i="17"/>
  <c r="D836" i="17"/>
  <c r="C837" i="17"/>
  <c r="C838" i="17"/>
  <c r="D837" i="17"/>
  <c r="C839" i="17"/>
  <c r="D838" i="17"/>
  <c r="C840" i="17"/>
  <c r="D839" i="17"/>
  <c r="C841" i="17"/>
  <c r="D840" i="17"/>
  <c r="C842" i="17"/>
  <c r="D841" i="17"/>
  <c r="C843" i="17"/>
  <c r="D842" i="17"/>
  <c r="D843" i="17"/>
  <c r="C844" i="17"/>
  <c r="D844" i="17"/>
  <c r="C845" i="17"/>
  <c r="D845" i="17"/>
  <c r="C846" i="17"/>
  <c r="C847" i="17"/>
  <c r="D846" i="17"/>
  <c r="D847" i="17"/>
  <c r="C848" i="17"/>
  <c r="D848" i="17"/>
  <c r="C849" i="17"/>
  <c r="C850" i="17"/>
  <c r="D849" i="17"/>
  <c r="C851" i="17"/>
  <c r="D850" i="17"/>
  <c r="D851" i="17"/>
  <c r="C852" i="17"/>
  <c r="D852" i="17"/>
  <c r="C853" i="17"/>
  <c r="C854" i="17"/>
  <c r="D853" i="17"/>
  <c r="D854" i="17"/>
  <c r="C855" i="17"/>
  <c r="C856" i="17"/>
  <c r="D855" i="17"/>
  <c r="C857" i="17"/>
  <c r="D856" i="17"/>
  <c r="D857" i="17"/>
  <c r="C858" i="17"/>
  <c r="D858" i="17"/>
  <c r="C859" i="17"/>
  <c r="D859" i="17"/>
  <c r="C860" i="17"/>
  <c r="D860" i="17"/>
  <c r="C861" i="17"/>
  <c r="D861" i="17"/>
  <c r="C862" i="17"/>
  <c r="D862" i="17"/>
  <c r="C863" i="17"/>
  <c r="C864" i="17"/>
  <c r="D863" i="17"/>
  <c r="D864" i="17"/>
  <c r="C865" i="17"/>
  <c r="C866" i="17"/>
  <c r="D865" i="17"/>
  <c r="C867" i="17"/>
  <c r="D866" i="17"/>
  <c r="C868" i="17"/>
  <c r="D867" i="17"/>
  <c r="D868" i="17"/>
  <c r="C869" i="17"/>
  <c r="C870" i="17"/>
  <c r="D869" i="17"/>
  <c r="C871" i="17"/>
  <c r="D870" i="17"/>
  <c r="D871" i="17"/>
  <c r="C872" i="17"/>
  <c r="C873" i="17"/>
  <c r="D872" i="17"/>
  <c r="D873" i="17"/>
  <c r="C874" i="17"/>
  <c r="C875" i="17"/>
  <c r="D874" i="17"/>
  <c r="D875" i="17"/>
  <c r="C876" i="17"/>
  <c r="C877" i="17"/>
  <c r="D876" i="17"/>
  <c r="D877" i="17"/>
  <c r="C878" i="17"/>
  <c r="C879" i="17"/>
  <c r="D878" i="17"/>
  <c r="C880" i="17"/>
  <c r="D879" i="17"/>
  <c r="D880" i="17"/>
  <c r="C881" i="17"/>
  <c r="C882" i="17"/>
  <c r="D881" i="17"/>
  <c r="D882" i="17"/>
  <c r="C883" i="17"/>
  <c r="D883" i="17"/>
  <c r="C884" i="17"/>
  <c r="D884" i="17"/>
  <c r="C885" i="17"/>
  <c r="C886" i="17"/>
  <c r="D885" i="17"/>
  <c r="C887" i="17"/>
  <c r="D886" i="17"/>
  <c r="C888" i="17"/>
  <c r="D887" i="17"/>
  <c r="C889" i="17"/>
  <c r="D888" i="17"/>
  <c r="D889" i="17"/>
  <c r="C890" i="17"/>
  <c r="C891" i="17"/>
  <c r="D890" i="17"/>
  <c r="C892" i="17"/>
  <c r="D891" i="17"/>
  <c r="C893" i="17"/>
  <c r="D892" i="17"/>
  <c r="C894" i="17"/>
  <c r="D893" i="17"/>
  <c r="C895" i="17"/>
  <c r="D894" i="17"/>
  <c r="C896" i="17"/>
  <c r="D895" i="17"/>
  <c r="C897" i="17"/>
  <c r="D896" i="17"/>
  <c r="C898" i="17"/>
  <c r="D897" i="17"/>
  <c r="C899" i="17"/>
  <c r="D898" i="17"/>
  <c r="D899" i="17"/>
  <c r="C900" i="17"/>
  <c r="C901" i="17"/>
  <c r="D900" i="17"/>
  <c r="D901" i="17"/>
  <c r="C902" i="17"/>
  <c r="D902" i="17"/>
  <c r="C903" i="17"/>
  <c r="C904" i="17"/>
  <c r="D903" i="17"/>
  <c r="D904" i="17"/>
  <c r="C905" i="17"/>
  <c r="D905" i="17"/>
  <c r="C906" i="17"/>
  <c r="D906" i="17"/>
  <c r="C907" i="17"/>
  <c r="D907" i="17"/>
  <c r="C908" i="17"/>
  <c r="C909" i="17"/>
  <c r="D908" i="17"/>
  <c r="C910" i="17"/>
  <c r="D909" i="17"/>
  <c r="C911" i="17"/>
  <c r="D910" i="17"/>
  <c r="D911" i="17"/>
  <c r="C912" i="17"/>
  <c r="D912" i="17"/>
  <c r="C913" i="17"/>
  <c r="C914" i="17"/>
  <c r="D913" i="17"/>
  <c r="C915" i="17"/>
  <c r="D914" i="17"/>
  <c r="D915" i="17"/>
  <c r="C916" i="17"/>
  <c r="C917" i="17"/>
  <c r="D916" i="17"/>
  <c r="D917" i="17"/>
  <c r="C918" i="17"/>
  <c r="C919" i="17"/>
  <c r="D918" i="17"/>
  <c r="C920" i="17"/>
  <c r="D919" i="17"/>
  <c r="D920" i="17"/>
  <c r="C921" i="17"/>
  <c r="D921" i="17"/>
  <c r="C922" i="17"/>
  <c r="D922" i="17"/>
  <c r="C923" i="17"/>
  <c r="C924" i="17"/>
  <c r="D923" i="17"/>
  <c r="D924" i="17"/>
  <c r="C925" i="17"/>
  <c r="C926" i="17"/>
  <c r="D925" i="17"/>
  <c r="D926" i="17"/>
  <c r="C927" i="17"/>
  <c r="C928" i="17"/>
  <c r="D927" i="17"/>
  <c r="D928" i="17"/>
  <c r="C929" i="17"/>
  <c r="C930" i="17"/>
  <c r="D929" i="17"/>
  <c r="D930" i="17"/>
  <c r="C931" i="17"/>
  <c r="C932" i="17"/>
  <c r="D931" i="17"/>
  <c r="D932" i="17"/>
  <c r="C933" i="17"/>
  <c r="C934" i="17"/>
  <c r="D933" i="17"/>
  <c r="D934" i="17"/>
  <c r="C935" i="17"/>
  <c r="C936" i="17"/>
  <c r="D935" i="17"/>
  <c r="C937" i="17"/>
  <c r="D936" i="17"/>
  <c r="C938" i="17"/>
  <c r="D937" i="17"/>
  <c r="D938" i="17"/>
  <c r="C939" i="17"/>
  <c r="C940" i="17"/>
  <c r="D939" i="17"/>
  <c r="D940" i="17"/>
  <c r="C941" i="17"/>
  <c r="C942" i="17"/>
  <c r="D941" i="17"/>
  <c r="C943" i="17"/>
  <c r="D942" i="17"/>
  <c r="C944" i="17"/>
  <c r="D943" i="17"/>
  <c r="D944" i="17"/>
  <c r="C945" i="17"/>
  <c r="D945" i="17"/>
  <c r="C946" i="17"/>
  <c r="C947" i="17"/>
  <c r="D946" i="17"/>
  <c r="C948" i="17"/>
  <c r="D947" i="17"/>
  <c r="D948" i="17"/>
  <c r="C949" i="17"/>
  <c r="C950" i="17"/>
  <c r="D949" i="17"/>
  <c r="C951" i="17"/>
  <c r="D950" i="17"/>
  <c r="C952" i="17"/>
  <c r="D951" i="17"/>
  <c r="D952" i="17"/>
  <c r="C953" i="17"/>
  <c r="C954" i="17"/>
  <c r="D953" i="17"/>
  <c r="C955" i="17"/>
  <c r="D954" i="17"/>
  <c r="D955" i="17"/>
  <c r="C956" i="17"/>
  <c r="D956" i="17"/>
  <c r="C957" i="17"/>
  <c r="D957" i="17"/>
  <c r="C958" i="17"/>
  <c r="C959" i="17"/>
  <c r="D958" i="17"/>
  <c r="D959" i="17"/>
  <c r="C960" i="17"/>
  <c r="D960" i="17"/>
  <c r="C961" i="17"/>
  <c r="C962" i="17"/>
  <c r="D961" i="17"/>
  <c r="C963" i="17"/>
  <c r="D962" i="17"/>
  <c r="D963" i="17"/>
  <c r="C964" i="17"/>
  <c r="C965" i="17"/>
  <c r="D964" i="17"/>
  <c r="D965" i="17"/>
  <c r="C966" i="17"/>
  <c r="D966" i="17"/>
  <c r="C967" i="17"/>
  <c r="C968" i="17"/>
  <c r="D967" i="17"/>
  <c r="D968" i="17"/>
  <c r="C969" i="17"/>
  <c r="C970" i="17"/>
  <c r="D969" i="17"/>
  <c r="C971" i="17"/>
  <c r="D970" i="17"/>
  <c r="D971" i="17"/>
  <c r="C972" i="17"/>
  <c r="C973" i="17"/>
  <c r="D972" i="17"/>
  <c r="D973" i="17"/>
  <c r="C974" i="17"/>
  <c r="D974" i="17"/>
  <c r="C975" i="17"/>
  <c r="D975" i="17"/>
  <c r="C976" i="17"/>
  <c r="C977" i="17"/>
  <c r="D976" i="17"/>
  <c r="C978" i="17"/>
  <c r="D977" i="17"/>
  <c r="C979" i="17"/>
  <c r="D978" i="17"/>
  <c r="C980" i="17"/>
  <c r="D979" i="17"/>
  <c r="D980" i="17"/>
  <c r="C981" i="17"/>
  <c r="C982" i="17"/>
  <c r="D981" i="17"/>
  <c r="C983" i="17"/>
  <c r="D982" i="17"/>
  <c r="C984" i="17"/>
  <c r="D983" i="17"/>
  <c r="D984" i="17"/>
  <c r="C985" i="17"/>
  <c r="D985" i="17"/>
  <c r="C986" i="17"/>
  <c r="D986" i="17"/>
  <c r="C987" i="17"/>
  <c r="D987" i="17"/>
  <c r="C988" i="17"/>
  <c r="C989" i="17"/>
  <c r="D988" i="17"/>
  <c r="D989" i="17"/>
  <c r="C990" i="17"/>
  <c r="D990" i="17"/>
  <c r="C991" i="17"/>
  <c r="C992" i="17"/>
  <c r="D991" i="17"/>
  <c r="D992" i="17"/>
  <c r="C993" i="17"/>
  <c r="D993" i="17"/>
  <c r="C994" i="17"/>
  <c r="D994" i="17"/>
  <c r="C995" i="17"/>
  <c r="C996" i="17"/>
  <c r="D995" i="17"/>
  <c r="C997" i="17"/>
  <c r="D996" i="17"/>
  <c r="D997" i="17"/>
  <c r="C998" i="17"/>
  <c r="C999" i="17"/>
  <c r="D998" i="17"/>
  <c r="C1000" i="17"/>
  <c r="D999" i="17"/>
  <c r="D1000" i="17"/>
  <c r="C1001" i="17"/>
  <c r="D1001" i="17"/>
  <c r="C1002" i="17"/>
  <c r="D1002" i="17"/>
  <c r="C1003" i="17"/>
  <c r="C1004" i="17"/>
  <c r="D1003" i="17"/>
  <c r="D1004" i="17"/>
  <c r="C1005" i="17"/>
  <c r="D1005" i="17"/>
  <c r="C1006" i="17"/>
  <c r="C1007" i="17"/>
  <c r="D1006" i="17"/>
  <c r="D1007" i="17"/>
  <c r="C1008" i="17"/>
  <c r="C1009" i="17"/>
  <c r="D1008" i="17"/>
  <c r="D1009" i="17"/>
  <c r="C1010" i="17"/>
  <c r="C1011" i="17"/>
  <c r="D1010" i="17"/>
  <c r="D1011" i="17"/>
  <c r="C1012" i="17"/>
  <c r="D1012" i="17"/>
  <c r="C1013" i="17"/>
  <c r="C1014" i="17"/>
  <c r="D1013" i="17"/>
  <c r="D1014" i="17"/>
  <c r="C1015" i="17"/>
  <c r="D1015" i="17"/>
  <c r="C1016" i="17"/>
  <c r="C1017" i="17"/>
  <c r="D1016" i="17"/>
  <c r="C1018" i="17"/>
  <c r="D1017" i="17"/>
  <c r="C1019" i="17"/>
  <c r="D1018" i="17"/>
  <c r="C1020" i="17"/>
  <c r="D1019" i="17"/>
  <c r="D1020" i="17"/>
  <c r="C1021" i="17"/>
  <c r="D1021" i="17"/>
  <c r="C1022" i="17"/>
  <c r="C1023" i="17"/>
  <c r="D1022" i="17"/>
  <c r="D1023" i="17"/>
  <c r="C1024" i="17"/>
  <c r="D1024" i="17"/>
  <c r="C1025" i="17"/>
  <c r="C1026" i="17"/>
  <c r="D1025" i="17"/>
  <c r="D1026" i="17"/>
  <c r="C1027" i="17"/>
  <c r="D1027" i="17"/>
  <c r="C1028" i="17"/>
  <c r="C1029" i="17"/>
  <c r="D1028" i="17"/>
  <c r="C1030" i="17"/>
  <c r="D1029" i="17"/>
  <c r="D1030" i="17"/>
  <c r="C1031" i="17"/>
  <c r="D1031" i="17"/>
  <c r="C1032" i="17"/>
  <c r="D1032" i="17"/>
  <c r="C1033" i="17"/>
  <c r="C1034" i="17"/>
  <c r="D1033" i="17"/>
  <c r="D1034" i="17"/>
  <c r="C1035" i="17"/>
  <c r="C1036" i="17"/>
  <c r="D1035" i="17"/>
  <c r="D1036" i="17"/>
  <c r="C1037" i="17"/>
  <c r="C1038" i="17"/>
  <c r="D1037" i="17"/>
  <c r="C1039" i="17"/>
  <c r="D1038" i="17"/>
  <c r="C1040" i="17"/>
  <c r="D1039" i="17"/>
  <c r="C1041" i="17"/>
  <c r="D1040" i="17"/>
  <c r="D1041" i="17"/>
  <c r="C1042" i="17"/>
  <c r="D1042" i="17"/>
  <c r="C1043" i="17"/>
  <c r="D1043" i="17"/>
  <c r="C1044" i="17"/>
  <c r="C1045" i="17"/>
  <c r="D1044" i="17"/>
  <c r="D1045" i="17"/>
  <c r="C1046" i="17"/>
  <c r="C1047" i="17"/>
  <c r="D1046" i="17"/>
  <c r="D1047" i="17"/>
  <c r="C1048" i="17"/>
  <c r="C1049" i="17"/>
  <c r="D1048" i="17"/>
  <c r="D1049" i="17"/>
  <c r="C1050" i="17"/>
  <c r="C1051" i="17"/>
  <c r="D1050" i="17"/>
  <c r="C1052" i="17"/>
  <c r="D1051" i="17"/>
  <c r="D1052" i="17"/>
  <c r="C1053" i="17"/>
  <c r="D1053" i="17"/>
  <c r="C1054" i="17"/>
  <c r="D1054" i="17"/>
  <c r="C1055" i="17"/>
  <c r="C1056" i="17"/>
  <c r="D1055" i="17"/>
  <c r="D1056" i="17"/>
  <c r="C1057" i="17"/>
  <c r="C1058" i="17"/>
  <c r="D1057" i="17"/>
  <c r="C1059" i="17"/>
  <c r="D1058" i="17"/>
  <c r="C1060" i="17"/>
  <c r="D1059" i="17"/>
  <c r="D1060" i="17"/>
  <c r="C1061" i="17"/>
  <c r="C1062" i="17"/>
  <c r="D1061" i="17"/>
  <c r="D1062" i="17"/>
  <c r="C1063" i="17"/>
  <c r="C1064" i="17"/>
  <c r="D1063" i="17"/>
  <c r="C1065" i="17"/>
  <c r="D1064" i="17"/>
  <c r="C1066" i="17"/>
  <c r="D1065" i="17"/>
  <c r="D1066" i="17"/>
  <c r="C1067" i="17"/>
  <c r="D1067" i="17"/>
  <c r="C1068" i="17"/>
  <c r="C1069" i="17"/>
  <c r="D1068" i="17"/>
  <c r="C1070" i="17"/>
  <c r="D1069" i="17"/>
  <c r="D1070" i="17"/>
  <c r="C1071" i="17"/>
  <c r="C1072" i="17"/>
  <c r="D1071" i="17"/>
  <c r="D1072" i="17"/>
  <c r="C1073" i="17"/>
  <c r="C1074" i="17"/>
  <c r="D1073" i="17"/>
  <c r="D1074" i="17"/>
  <c r="C1075" i="17"/>
  <c r="D1075" i="17"/>
  <c r="C1076" i="17"/>
  <c r="D1076" i="17"/>
  <c r="C1077" i="17"/>
  <c r="D1077" i="17"/>
  <c r="C1078" i="17"/>
  <c r="D1078" i="17"/>
  <c r="C1079" i="17"/>
  <c r="D1079" i="17"/>
  <c r="C1080" i="17"/>
  <c r="C1081" i="17"/>
  <c r="D1080" i="17"/>
  <c r="C1082" i="17"/>
  <c r="D1081" i="17"/>
  <c r="D1082" i="17"/>
  <c r="C1083" i="17"/>
  <c r="D1083" i="17"/>
  <c r="C1084" i="17"/>
  <c r="C1085" i="17"/>
  <c r="D1084" i="17"/>
  <c r="D1085" i="17"/>
  <c r="C1086" i="17"/>
  <c r="D1086" i="17"/>
  <c r="C1087" i="17"/>
  <c r="D1087" i="17"/>
  <c r="C1088" i="17"/>
  <c r="D1088" i="17"/>
  <c r="C1089" i="17"/>
  <c r="D1089" i="17"/>
  <c r="C1090" i="17"/>
  <c r="C1091" i="17"/>
  <c r="D1090" i="17"/>
  <c r="C1092" i="17"/>
  <c r="D1091" i="17"/>
  <c r="C1093" i="17"/>
  <c r="D1092" i="17"/>
  <c r="C1094" i="17"/>
  <c r="D1093" i="17"/>
  <c r="D1094" i="17"/>
  <c r="C1095" i="17"/>
  <c r="C1096" i="17"/>
  <c r="D1095" i="17"/>
  <c r="C1097" i="17"/>
  <c r="D1096" i="17"/>
  <c r="C1098" i="17"/>
  <c r="D1097" i="17"/>
  <c r="D1098" i="17"/>
  <c r="C1099" i="17"/>
  <c r="D1099" i="17"/>
  <c r="C1100" i="17"/>
  <c r="D1100" i="17"/>
  <c r="C1101" i="17"/>
  <c r="D1101" i="17"/>
  <c r="C1102" i="17"/>
  <c r="D1102" i="17"/>
  <c r="C1103" i="17"/>
  <c r="C1104" i="17"/>
  <c r="D1103" i="17"/>
  <c r="D1104" i="17"/>
  <c r="C1105" i="17"/>
  <c r="C1106" i="17"/>
  <c r="D1105" i="17"/>
  <c r="D1106" i="17"/>
  <c r="C1107" i="17"/>
  <c r="D1107" i="17"/>
  <c r="C1108" i="17"/>
  <c r="D1108" i="17"/>
  <c r="C1109" i="17"/>
  <c r="D1109" i="17"/>
  <c r="C1110" i="17"/>
  <c r="D1110" i="17"/>
  <c r="C1111" i="17"/>
  <c r="C1112" i="17"/>
  <c r="D1111" i="17"/>
  <c r="C1113" i="17"/>
  <c r="D1112" i="17"/>
  <c r="D1113" i="17"/>
  <c r="C1114" i="17"/>
  <c r="D1114" i="17"/>
  <c r="C1115" i="17"/>
  <c r="C1116" i="17"/>
  <c r="D1115" i="17"/>
  <c r="D1116" i="17"/>
  <c r="C1117" i="17"/>
  <c r="D1117" i="17"/>
  <c r="C1118" i="17"/>
  <c r="C1119" i="17"/>
  <c r="D1118" i="17"/>
  <c r="C1120" i="17"/>
  <c r="D1119" i="17"/>
  <c r="D1120" i="17"/>
  <c r="C1121" i="17"/>
  <c r="D1121" i="17"/>
  <c r="C1122" i="17"/>
  <c r="C1123" i="17"/>
  <c r="D1122" i="17"/>
  <c r="D1123" i="17"/>
  <c r="C1124" i="17"/>
  <c r="D1124" i="17"/>
  <c r="C1125" i="17"/>
  <c r="D1125" i="17"/>
  <c r="C1126" i="17"/>
  <c r="C1127" i="17"/>
  <c r="D1126" i="17"/>
  <c r="C1128" i="17"/>
  <c r="D1127" i="17"/>
  <c r="C1129" i="17"/>
  <c r="D1128" i="17"/>
  <c r="D1129" i="17"/>
  <c r="C1130" i="17"/>
  <c r="D1130" i="17"/>
  <c r="C1131" i="17"/>
  <c r="D1131" i="17"/>
  <c r="C1132" i="17"/>
  <c r="C1133" i="17"/>
  <c r="D1132" i="17"/>
  <c r="D1133" i="17"/>
  <c r="C1134" i="17"/>
  <c r="C1135" i="17"/>
  <c r="D1134" i="17"/>
  <c r="C1136" i="17"/>
  <c r="D1135" i="17"/>
  <c r="D1136" i="17"/>
  <c r="C1137" i="17"/>
  <c r="D1137" i="17"/>
  <c r="C1138" i="17"/>
  <c r="C1139" i="17"/>
  <c r="D1138" i="17"/>
  <c r="C1140" i="17"/>
  <c r="D1139" i="17"/>
  <c r="D1140" i="17"/>
  <c r="C1141" i="17"/>
  <c r="C1142" i="17"/>
  <c r="D1141" i="17"/>
  <c r="C1143" i="17"/>
  <c r="D1142" i="17"/>
  <c r="D1143" i="17"/>
  <c r="C1144" i="17"/>
  <c r="C1145" i="17"/>
  <c r="D1144" i="17"/>
  <c r="C1146" i="17"/>
  <c r="D1145" i="17"/>
  <c r="C1147" i="17"/>
  <c r="D1146" i="17"/>
  <c r="C1148" i="17"/>
  <c r="D1147" i="17"/>
  <c r="D1148" i="17"/>
  <c r="C1149" i="17"/>
  <c r="D1149" i="17"/>
  <c r="C1150" i="17"/>
  <c r="C1151" i="17"/>
  <c r="D1150" i="17"/>
  <c r="D1151" i="17"/>
  <c r="C1152" i="17"/>
  <c r="D1152" i="17"/>
  <c r="C1153" i="17"/>
  <c r="C1154" i="17"/>
  <c r="D1153" i="17"/>
  <c r="C1155" i="17"/>
  <c r="D1154" i="17"/>
  <c r="D1155" i="17"/>
  <c r="C1156" i="17"/>
  <c r="C1157" i="17"/>
  <c r="D1156" i="17"/>
  <c r="C1158" i="17"/>
  <c r="D1157" i="17"/>
  <c r="C1159" i="17"/>
  <c r="D1158" i="17"/>
  <c r="D1159" i="17"/>
  <c r="C1160" i="17"/>
  <c r="C1161" i="17"/>
  <c r="D1160" i="17"/>
  <c r="D1161" i="17"/>
  <c r="C1162" i="17"/>
  <c r="D1162" i="17"/>
  <c r="C1163" i="17"/>
  <c r="C1164" i="17"/>
  <c r="D1163" i="17"/>
  <c r="D1164" i="17"/>
  <c r="C1165" i="17"/>
  <c r="D1165" i="17"/>
  <c r="C1166" i="17"/>
  <c r="C1167" i="17"/>
  <c r="D1166" i="17"/>
  <c r="C1168" i="17"/>
  <c r="D1167" i="17"/>
  <c r="D1168" i="17"/>
  <c r="C1169" i="17"/>
  <c r="C1170" i="17"/>
  <c r="D1169" i="17"/>
  <c r="C1171" i="17"/>
  <c r="D1170" i="17"/>
  <c r="C1172" i="17"/>
  <c r="D1171" i="17"/>
  <c r="D1172" i="17"/>
  <c r="C1173" i="17"/>
  <c r="D1173" i="17"/>
  <c r="C1174" i="17"/>
  <c r="C1175" i="17"/>
  <c r="D1174" i="17"/>
  <c r="D1175" i="17"/>
  <c r="C1176" i="17"/>
  <c r="C1177" i="17"/>
  <c r="D1176" i="17"/>
  <c r="D1177" i="17"/>
  <c r="C1178" i="17"/>
  <c r="C1179" i="17"/>
  <c r="D1178" i="17"/>
  <c r="D1179" i="17"/>
  <c r="C1180" i="17"/>
  <c r="C1181" i="17"/>
  <c r="D1180" i="17"/>
  <c r="C1182" i="17"/>
  <c r="D1181" i="17"/>
  <c r="C1183" i="17"/>
  <c r="D1182" i="17"/>
  <c r="D1183" i="17"/>
  <c r="C1184" i="17"/>
  <c r="D1184" i="17"/>
  <c r="C1185" i="17"/>
  <c r="C1186" i="17"/>
  <c r="D1185" i="17"/>
  <c r="C1187" i="17"/>
  <c r="D1186" i="17"/>
  <c r="D1187" i="17"/>
  <c r="C1188" i="17"/>
  <c r="C1189" i="17"/>
  <c r="D1188" i="17"/>
  <c r="C1190" i="17"/>
  <c r="D1189" i="17"/>
  <c r="C1191" i="17"/>
  <c r="D1190" i="17"/>
  <c r="C1192" i="17"/>
  <c r="D1191" i="17"/>
  <c r="D1192" i="17"/>
  <c r="C1193" i="17"/>
  <c r="C1194" i="17"/>
  <c r="D1193" i="17"/>
  <c r="D1194" i="17"/>
  <c r="C1195" i="17"/>
  <c r="C1196" i="17"/>
  <c r="D1195" i="17"/>
  <c r="C1197" i="17"/>
  <c r="D1196" i="17"/>
  <c r="D1197" i="17"/>
  <c r="C1198" i="17"/>
  <c r="C1199" i="17"/>
  <c r="D1198" i="17"/>
  <c r="D1199" i="17"/>
  <c r="C1200" i="17"/>
  <c r="D1200" i="17"/>
  <c r="C1201" i="17"/>
  <c r="C1202" i="17"/>
  <c r="D1201" i="17"/>
  <c r="C1203" i="17"/>
  <c r="D1202" i="17"/>
  <c r="D1203" i="17"/>
  <c r="C1204" i="17"/>
  <c r="D1204" i="17"/>
  <c r="C1205" i="17"/>
  <c r="D1205" i="17"/>
  <c r="C1206" i="17"/>
  <c r="C1207" i="17"/>
  <c r="D1206" i="17"/>
  <c r="C1208" i="17"/>
  <c r="D1207" i="17"/>
  <c r="D1208" i="17"/>
  <c r="C1209" i="17"/>
  <c r="D1209" i="17"/>
  <c r="C1210" i="17"/>
  <c r="D1210" i="17"/>
  <c r="C1211" i="17"/>
  <c r="D1211" i="17"/>
  <c r="C1212" i="17"/>
  <c r="C1213" i="17"/>
  <c r="D1212" i="17"/>
  <c r="C1214" i="17"/>
  <c r="D1213" i="17"/>
  <c r="C1215" i="17"/>
  <c r="D1214" i="17"/>
  <c r="D1215" i="17"/>
  <c r="C1216" i="17"/>
  <c r="D1216" i="17"/>
  <c r="C1217" i="17"/>
  <c r="D1217" i="17"/>
  <c r="C1218" i="17"/>
  <c r="C1219" i="17"/>
  <c r="D1218" i="17"/>
  <c r="D1219" i="17"/>
  <c r="C1220" i="17"/>
  <c r="C1221" i="17"/>
  <c r="D1220" i="17"/>
  <c r="D1221" i="17"/>
  <c r="C1222" i="17"/>
  <c r="C1223" i="17"/>
  <c r="D1222" i="17"/>
  <c r="D1223" i="17"/>
  <c r="C1224" i="17"/>
  <c r="D1224" i="17"/>
  <c r="C1225" i="17"/>
  <c r="D1225" i="17"/>
  <c r="C1226" i="17"/>
  <c r="C1227" i="17"/>
  <c r="D1226" i="17"/>
  <c r="C1228" i="17"/>
  <c r="D1227" i="17"/>
  <c r="D1228" i="17"/>
  <c r="C1229" i="17"/>
  <c r="C1230" i="17"/>
  <c r="D1229" i="17"/>
  <c r="D1230" i="17"/>
  <c r="C1231" i="17"/>
  <c r="D1231" i="17"/>
  <c r="C1232" i="17"/>
  <c r="D1232" i="17"/>
  <c r="C1233" i="17"/>
  <c r="C1234" i="17"/>
  <c r="D1233" i="17"/>
  <c r="C1235" i="17"/>
  <c r="D1234" i="17"/>
  <c r="D1235" i="17"/>
  <c r="C1236" i="17"/>
  <c r="D1236" i="17"/>
  <c r="C1237" i="17"/>
  <c r="D1237" i="17"/>
  <c r="C1238" i="17"/>
  <c r="C1239" i="17"/>
  <c r="D1238" i="17"/>
  <c r="C1240" i="17"/>
  <c r="D1239" i="17"/>
  <c r="D1240" i="17"/>
  <c r="C1241" i="17"/>
  <c r="C1242" i="17"/>
  <c r="D1241" i="17"/>
  <c r="D1242" i="17"/>
  <c r="C1243" i="17"/>
  <c r="C1244" i="17"/>
  <c r="D1243" i="17"/>
  <c r="D1244" i="17"/>
  <c r="C1245" i="17"/>
  <c r="C1246" i="17"/>
  <c r="D1245" i="17"/>
  <c r="D1246" i="17"/>
  <c r="C1247" i="17"/>
  <c r="D1247" i="17"/>
  <c r="C1248" i="17"/>
  <c r="C1249" i="17"/>
  <c r="D1248" i="17"/>
  <c r="C1250" i="17"/>
  <c r="D1249" i="17"/>
  <c r="C1251" i="17"/>
  <c r="D1250" i="17"/>
  <c r="D1251" i="17"/>
  <c r="C1252" i="17"/>
  <c r="C1253" i="17"/>
  <c r="D1252" i="17"/>
  <c r="D1253" i="17"/>
  <c r="C1254" i="17"/>
  <c r="D1254" i="17"/>
  <c r="C1255" i="17"/>
  <c r="D1255" i="17"/>
  <c r="C1256" i="17"/>
  <c r="D1256" i="17"/>
  <c r="C1257" i="17"/>
  <c r="C1258" i="17"/>
  <c r="D1257" i="17"/>
  <c r="D1258" i="17"/>
  <c r="C1259" i="17"/>
  <c r="C1260" i="17"/>
  <c r="D1259" i="17"/>
  <c r="D1260" i="17"/>
  <c r="C1261" i="17"/>
  <c r="C1262" i="17"/>
  <c r="D1261" i="17"/>
  <c r="C1263" i="17"/>
  <c r="D1262" i="17"/>
  <c r="D1263" i="17"/>
  <c r="C1264" i="17"/>
  <c r="C1265" i="17"/>
  <c r="D1264" i="17"/>
  <c r="C1266" i="17"/>
  <c r="D1265" i="17"/>
  <c r="C1267" i="17"/>
  <c r="D1266" i="17"/>
  <c r="D1267" i="17"/>
  <c r="C1268" i="17"/>
  <c r="C1269" i="17"/>
  <c r="D1268" i="17"/>
  <c r="D1269" i="17"/>
  <c r="C1270" i="17"/>
  <c r="C1271" i="17"/>
  <c r="D1270" i="17"/>
  <c r="C1272" i="17"/>
  <c r="D1271" i="17"/>
  <c r="D1272" i="17"/>
  <c r="C1273" i="17"/>
  <c r="D1273" i="17"/>
  <c r="C1274" i="17"/>
  <c r="C1275" i="17"/>
  <c r="D1274" i="17"/>
  <c r="C1276" i="17"/>
  <c r="D1275" i="17"/>
  <c r="C1277" i="17"/>
  <c r="D1276" i="17"/>
  <c r="C1278" i="17"/>
  <c r="D1277" i="17"/>
  <c r="C1279" i="17"/>
  <c r="D1278" i="17"/>
  <c r="D1279" i="17"/>
  <c r="C1280" i="17"/>
  <c r="D1280" i="17"/>
  <c r="C1281" i="17"/>
  <c r="D1281" i="17"/>
  <c r="C1282" i="17"/>
  <c r="D1282" i="17"/>
  <c r="C1283" i="17"/>
  <c r="D1283" i="17"/>
  <c r="C1284" i="17"/>
  <c r="D1284" i="17"/>
  <c r="C1285" i="17"/>
  <c r="C1286" i="17"/>
  <c r="D1285" i="17"/>
  <c r="D1286" i="17"/>
  <c r="C1287" i="17"/>
  <c r="D1287" i="17"/>
  <c r="C1288" i="17"/>
  <c r="C1289" i="17"/>
  <c r="D1288" i="17"/>
  <c r="C1290" i="17"/>
  <c r="D1289" i="17"/>
  <c r="D1290" i="17"/>
  <c r="C1291" i="17"/>
  <c r="D1291" i="17"/>
  <c r="C1292" i="17"/>
  <c r="C1293" i="17"/>
  <c r="D1292" i="17"/>
  <c r="D1293" i="17"/>
  <c r="C1294" i="17"/>
  <c r="C1295" i="17"/>
  <c r="D1294" i="17"/>
  <c r="D1295" i="17"/>
  <c r="C1296" i="17"/>
  <c r="D1296" i="17"/>
  <c r="C1297" i="17"/>
  <c r="D1297" i="17"/>
  <c r="C1298" i="17"/>
  <c r="D1298" i="17"/>
  <c r="C1299" i="17"/>
  <c r="D1299" i="17"/>
  <c r="C1300" i="17"/>
  <c r="D1300" i="17"/>
  <c r="C1301" i="17"/>
  <c r="C1302" i="17"/>
  <c r="D1301" i="17"/>
  <c r="C1303" i="17"/>
  <c r="D1302" i="17"/>
  <c r="D1303" i="17"/>
  <c r="C1304" i="17"/>
  <c r="D1304" i="17"/>
  <c r="C1305" i="17"/>
  <c r="C1306" i="17"/>
  <c r="D1305" i="17"/>
  <c r="D1306" i="17"/>
  <c r="C1307" i="17"/>
  <c r="C1308" i="17"/>
  <c r="D1307" i="17"/>
  <c r="C1309" i="17"/>
  <c r="D1308" i="17"/>
  <c r="D1309" i="17"/>
  <c r="C1310" i="17"/>
  <c r="D1310" i="17"/>
  <c r="C1311" i="17"/>
  <c r="C1312" i="17"/>
  <c r="D1311" i="17"/>
  <c r="D1312" i="17"/>
  <c r="C1313" i="17"/>
  <c r="D1313" i="17"/>
  <c r="C1314" i="17"/>
  <c r="D1314" i="17"/>
  <c r="C1315" i="17"/>
  <c r="C1316" i="17"/>
  <c r="D1315" i="17"/>
  <c r="D1316" i="17"/>
  <c r="C1317" i="17"/>
  <c r="C1318" i="17"/>
  <c r="D1317" i="17"/>
  <c r="C1319" i="17"/>
  <c r="D1318" i="17"/>
  <c r="C1320" i="17"/>
  <c r="D1319" i="17"/>
  <c r="C1321" i="17"/>
  <c r="D1320" i="17"/>
  <c r="D1321" i="17"/>
  <c r="C1322" i="17"/>
  <c r="C1323" i="17"/>
  <c r="D1322" i="17"/>
  <c r="C1324" i="17"/>
  <c r="D1323" i="17"/>
  <c r="D1324" i="17"/>
  <c r="C1325" i="17"/>
  <c r="D1325" i="17"/>
  <c r="C1326" i="17"/>
  <c r="D1326" i="17"/>
  <c r="C1327" i="17"/>
  <c r="D1327" i="17"/>
  <c r="C1328" i="17"/>
  <c r="C1329" i="17"/>
  <c r="D1328" i="17"/>
  <c r="C1330" i="17"/>
  <c r="D1329" i="17"/>
  <c r="D1330" i="17"/>
  <c r="C1331" i="17"/>
  <c r="C1332" i="17"/>
  <c r="D1331" i="17"/>
  <c r="C1333" i="17"/>
  <c r="D1332" i="17"/>
  <c r="C1334" i="17"/>
  <c r="D1333" i="17"/>
  <c r="C1335" i="17"/>
  <c r="D1334" i="17"/>
  <c r="C1336" i="17"/>
  <c r="D1335" i="17"/>
  <c r="C1337" i="17"/>
  <c r="D1336" i="17"/>
  <c r="D1337" i="17"/>
  <c r="C1338" i="17"/>
  <c r="D1338" i="17"/>
  <c r="C1339" i="17"/>
  <c r="C1340" i="17"/>
  <c r="D1339" i="17"/>
  <c r="C1341" i="17"/>
  <c r="D1340" i="17"/>
  <c r="D1341" i="17"/>
  <c r="C1342" i="17"/>
  <c r="C1343" i="17"/>
  <c r="D1342" i="17"/>
  <c r="C1344" i="17"/>
  <c r="D1343" i="17"/>
  <c r="D1344" i="17"/>
  <c r="C1345" i="17"/>
  <c r="C1346" i="17"/>
  <c r="D1345" i="17"/>
  <c r="C1347" i="17"/>
  <c r="D1346" i="17"/>
  <c r="D1347" i="17"/>
  <c r="C1348" i="17"/>
  <c r="C1349" i="17"/>
  <c r="D1348" i="17"/>
  <c r="D1349" i="17"/>
  <c r="C1350" i="17"/>
  <c r="C1351" i="17"/>
  <c r="D1350" i="17"/>
  <c r="D1351" i="17"/>
  <c r="C1352" i="17"/>
  <c r="C1353" i="17"/>
  <c r="D1352" i="17"/>
  <c r="D1353" i="17"/>
  <c r="C1354" i="17"/>
  <c r="C1355" i="17"/>
  <c r="D1354" i="17"/>
  <c r="D1355" i="17"/>
  <c r="C1356" i="17"/>
  <c r="C1357" i="17"/>
  <c r="D1356" i="17"/>
  <c r="C1358" i="17"/>
  <c r="D1357" i="17"/>
  <c r="D1358" i="17"/>
  <c r="C1359" i="17"/>
  <c r="D1359" i="17"/>
  <c r="C1360" i="17"/>
  <c r="D1360" i="17"/>
  <c r="C1361" i="17"/>
  <c r="C1362" i="17"/>
  <c r="D1361" i="17"/>
  <c r="D1362" i="17"/>
  <c r="C1363" i="17"/>
  <c r="D1363" i="17"/>
  <c r="C1364" i="17"/>
  <c r="C1365" i="17"/>
  <c r="D1364" i="17"/>
  <c r="D1365" i="17"/>
  <c r="C1366" i="17"/>
  <c r="D1366" i="17"/>
  <c r="C1367" i="17"/>
  <c r="D1367" i="17"/>
  <c r="C1368" i="17"/>
  <c r="D1368" i="17"/>
  <c r="C1369" i="17"/>
  <c r="C1370" i="17"/>
  <c r="D1369" i="17"/>
  <c r="D1370" i="17"/>
  <c r="C1371" i="17"/>
  <c r="D1371" i="17"/>
  <c r="C1372" i="17"/>
  <c r="C1373" i="17"/>
  <c r="D1372" i="17"/>
  <c r="C1374" i="17"/>
  <c r="D1373" i="17"/>
  <c r="D1374" i="17"/>
  <c r="C1375" i="17"/>
  <c r="D1375" i="17"/>
  <c r="C1376" i="17"/>
  <c r="C1377" i="17"/>
  <c r="D1376" i="17"/>
  <c r="D1377" i="17"/>
  <c r="C1378" i="17"/>
  <c r="D1378" i="17"/>
  <c r="C1379" i="17"/>
  <c r="D1379" i="17"/>
  <c r="C1380" i="17"/>
  <c r="C1381" i="17"/>
  <c r="D1380" i="17"/>
  <c r="D1381" i="17"/>
  <c r="C1382" i="17"/>
  <c r="D1382" i="17"/>
  <c r="C1383" i="17"/>
  <c r="D1383" i="17"/>
  <c r="C1384" i="17"/>
  <c r="C1385" i="17"/>
  <c r="D1384" i="17"/>
  <c r="C1386" i="17"/>
  <c r="D1385" i="17"/>
  <c r="C1387" i="17"/>
  <c r="D1386" i="17"/>
  <c r="D1387" i="17"/>
  <c r="C1388" i="17"/>
  <c r="D1388" i="17"/>
  <c r="C1389" i="17"/>
  <c r="D1389" i="17"/>
  <c r="C1390" i="17"/>
  <c r="D1390" i="17"/>
  <c r="C1391" i="17"/>
  <c r="D1391" i="17"/>
  <c r="C1392" i="17"/>
  <c r="C1393" i="17"/>
  <c r="D1392" i="17"/>
  <c r="D1393" i="17"/>
  <c r="C1394" i="17"/>
  <c r="C1395" i="17"/>
  <c r="D1394" i="17"/>
  <c r="D1395" i="17"/>
  <c r="C1396" i="17"/>
  <c r="C1397" i="17"/>
  <c r="D1396" i="17"/>
  <c r="D1397" i="17"/>
  <c r="C1398" i="17"/>
  <c r="D1398" i="17"/>
  <c r="C1399" i="17"/>
  <c r="D1399" i="17"/>
  <c r="C1400" i="17"/>
  <c r="C1401" i="17"/>
  <c r="D1400" i="17"/>
  <c r="C1402" i="17"/>
  <c r="D1401" i="17"/>
  <c r="C1403" i="17"/>
  <c r="D1402" i="17"/>
  <c r="C1404" i="17"/>
  <c r="D1403" i="17"/>
  <c r="D1404" i="17"/>
  <c r="C1405" i="17"/>
  <c r="D1405" i="17"/>
  <c r="C1406" i="17"/>
  <c r="C1407" i="17"/>
  <c r="D1406" i="17"/>
  <c r="C1408" i="17"/>
  <c r="D1407" i="17"/>
  <c r="D1408" i="17"/>
  <c r="C1409" i="17"/>
  <c r="D1409" i="17"/>
  <c r="C1410" i="17"/>
  <c r="D1410" i="17"/>
  <c r="C1411" i="17"/>
  <c r="D1411" i="17"/>
  <c r="C1412" i="17"/>
  <c r="C1413" i="17"/>
  <c r="D1412" i="17"/>
  <c r="D1413" i="17"/>
  <c r="C1414" i="17"/>
  <c r="D1414" i="17"/>
  <c r="C1415" i="17"/>
  <c r="C1416" i="17"/>
  <c r="D1415" i="17"/>
  <c r="D1416" i="17"/>
  <c r="C1417" i="17"/>
  <c r="C1418" i="17"/>
  <c r="D1417" i="17"/>
  <c r="C1419" i="17"/>
  <c r="D1418" i="17"/>
  <c r="C1420" i="17"/>
  <c r="D1419" i="17"/>
  <c r="C1421" i="17"/>
  <c r="D1420" i="17"/>
  <c r="D1421" i="17"/>
  <c r="C1422" i="17"/>
  <c r="D1422" i="17"/>
  <c r="C1423" i="17"/>
  <c r="C1424" i="17"/>
  <c r="D1423" i="17"/>
  <c r="C1425" i="17"/>
  <c r="D1424" i="17"/>
  <c r="D1425" i="17"/>
  <c r="C1426" i="17"/>
  <c r="C1427" i="17"/>
  <c r="D1426" i="17"/>
  <c r="D1427" i="17"/>
  <c r="C1428" i="17"/>
  <c r="C1429" i="17"/>
  <c r="D1428" i="17"/>
  <c r="D1429" i="17"/>
  <c r="C1430" i="17"/>
  <c r="D1430" i="17"/>
  <c r="C1431" i="17"/>
  <c r="C1432" i="17"/>
  <c r="D1431" i="17"/>
  <c r="D1432" i="17"/>
  <c r="C1433" i="17"/>
  <c r="C1434" i="17"/>
  <c r="D1433" i="17"/>
  <c r="C1435" i="17"/>
  <c r="D1434" i="17"/>
  <c r="C1436" i="17"/>
  <c r="D1435" i="17"/>
  <c r="C1437" i="17"/>
  <c r="D1436" i="17"/>
  <c r="C1438" i="17"/>
  <c r="D1437" i="17"/>
  <c r="D1438" i="17"/>
  <c r="C1439" i="17"/>
  <c r="C1440" i="17"/>
  <c r="D1439" i="17"/>
  <c r="C1441" i="17"/>
  <c r="D1440" i="17"/>
  <c r="D1441" i="17"/>
  <c r="C1442" i="17"/>
  <c r="D1442" i="17"/>
  <c r="C1443" i="17"/>
  <c r="C1444" i="17"/>
  <c r="D1443" i="17"/>
  <c r="C1445" i="17"/>
  <c r="D1444" i="17"/>
  <c r="D1445" i="17"/>
  <c r="C1446" i="17"/>
  <c r="D1446" i="17"/>
  <c r="C1447" i="17"/>
  <c r="C1448" i="17"/>
  <c r="D1447" i="17"/>
  <c r="D1448" i="17"/>
  <c r="C1449" i="17"/>
  <c r="D1449" i="17"/>
  <c r="C1450" i="17"/>
  <c r="C1451" i="17"/>
  <c r="D1450" i="17"/>
  <c r="D1451" i="17"/>
  <c r="C1452" i="17"/>
  <c r="C1453" i="17"/>
  <c r="D1452" i="17"/>
  <c r="C1454" i="17"/>
  <c r="D1453" i="17"/>
  <c r="D1454" i="17"/>
  <c r="C1455" i="17"/>
  <c r="D1455" i="17"/>
  <c r="C1456" i="17"/>
  <c r="C1457" i="17"/>
  <c r="D1456" i="17"/>
  <c r="C1458" i="17"/>
  <c r="D1457" i="17"/>
  <c r="D1458" i="17"/>
  <c r="C1459" i="17"/>
  <c r="D1459" i="17"/>
  <c r="C1460" i="17"/>
  <c r="D1460" i="17"/>
  <c r="C1461" i="17"/>
  <c r="D1461" i="17"/>
  <c r="C1462" i="17"/>
  <c r="C1463" i="17"/>
  <c r="D1462" i="17"/>
  <c r="C1464" i="17"/>
  <c r="D1463" i="17"/>
  <c r="C1465" i="17"/>
  <c r="D1464" i="17"/>
  <c r="D1465" i="17"/>
  <c r="C1466" i="17"/>
  <c r="C1467" i="17"/>
  <c r="D1466" i="17"/>
  <c r="D1467" i="17"/>
  <c r="C1468" i="17"/>
  <c r="C1469" i="17"/>
  <c r="D1468" i="17"/>
  <c r="D1469" i="17"/>
  <c r="C1470" i="17"/>
  <c r="D1470" i="17"/>
  <c r="C1471" i="17"/>
  <c r="C1472" i="17"/>
  <c r="D1471" i="17"/>
  <c r="D1472" i="17"/>
  <c r="C1473" i="17"/>
  <c r="D1473" i="17"/>
  <c r="C1474" i="17"/>
  <c r="D1474" i="17"/>
  <c r="C1475" i="17"/>
  <c r="D1475" i="17"/>
  <c r="C1476" i="17"/>
  <c r="D1476" i="17"/>
  <c r="C1477" i="17"/>
  <c r="D1477" i="17"/>
  <c r="C1478" i="17"/>
  <c r="D1478" i="17"/>
  <c r="C1479" i="17"/>
  <c r="C1480" i="17"/>
  <c r="D1479" i="17"/>
  <c r="C1481" i="17"/>
  <c r="D1480" i="17"/>
  <c r="C1482" i="17"/>
  <c r="D1481" i="17"/>
  <c r="D1482" i="17"/>
  <c r="C1483" i="17"/>
  <c r="D1483" i="17"/>
  <c r="C1484" i="17"/>
  <c r="C1485" i="17"/>
  <c r="D1484" i="17"/>
  <c r="C1486" i="17"/>
  <c r="D1485" i="17"/>
  <c r="D1486" i="17"/>
  <c r="C1487" i="17"/>
  <c r="C1488" i="17"/>
  <c r="D1487" i="17"/>
  <c r="D1488" i="17"/>
  <c r="C1489" i="17"/>
  <c r="D1489" i="17"/>
  <c r="C1490" i="17"/>
  <c r="C1491" i="17"/>
  <c r="D1490" i="17"/>
  <c r="C1492" i="17"/>
  <c r="D1491" i="17"/>
  <c r="C1493" i="17"/>
  <c r="D1492" i="17"/>
  <c r="C1494" i="17"/>
  <c r="D1493" i="17"/>
  <c r="D1494" i="17"/>
  <c r="C1495" i="17"/>
  <c r="D1495" i="17"/>
  <c r="C1496" i="17"/>
  <c r="C1497" i="17"/>
  <c r="D1496" i="17"/>
  <c r="D1497" i="17"/>
  <c r="C1498" i="17"/>
  <c r="C1499" i="17"/>
  <c r="D1498" i="17"/>
  <c r="D1499" i="17"/>
  <c r="C1500" i="17"/>
  <c r="D1500" i="17"/>
  <c r="C1501" i="17"/>
  <c r="D1501" i="17"/>
  <c r="C1502" i="17"/>
  <c r="D1502" i="17"/>
  <c r="C1503" i="17"/>
  <c r="C1504" i="17"/>
  <c r="D1503" i="17"/>
  <c r="D1504" i="17"/>
  <c r="C1505" i="17"/>
  <c r="C1506" i="17"/>
  <c r="D1505" i="17"/>
  <c r="C1507" i="17"/>
  <c r="D1506" i="17"/>
  <c r="D1507" i="17"/>
  <c r="C1508" i="17"/>
  <c r="D1508" i="17"/>
  <c r="C1509" i="17"/>
  <c r="D1509" i="17"/>
  <c r="C1510" i="17"/>
  <c r="C1511" i="17"/>
  <c r="D1510" i="17"/>
  <c r="D1511" i="17"/>
  <c r="C1512" i="17"/>
  <c r="C1513" i="17"/>
  <c r="D1512" i="17"/>
  <c r="C1514" i="17"/>
  <c r="D1513" i="17"/>
  <c r="C1515" i="17"/>
  <c r="D1514" i="17"/>
  <c r="D1515" i="17"/>
  <c r="C1516" i="17"/>
  <c r="D1516" i="17"/>
  <c r="C1517" i="17"/>
  <c r="C1518" i="17"/>
  <c r="D1517" i="17"/>
  <c r="D1518" i="17"/>
  <c r="C1519" i="17"/>
  <c r="C1520" i="17"/>
  <c r="D1519" i="17"/>
  <c r="D1520" i="17"/>
  <c r="C1521" i="17"/>
  <c r="C1522" i="17"/>
  <c r="D1522" i="17" s="1"/>
  <c r="D1521" i="17"/>
  <c r="G1515" i="17" l="1"/>
  <c r="G1463" i="17"/>
  <c r="G1343" i="17"/>
  <c r="G1324" i="17"/>
  <c r="G1279" i="17"/>
  <c r="G1228" i="17"/>
  <c r="G1192" i="17"/>
  <c r="G1059" i="17"/>
  <c r="G733" i="17"/>
  <c r="G338" i="17"/>
  <c r="G1503" i="17"/>
  <c r="G1487" i="17"/>
  <c r="G1447" i="17"/>
  <c r="G1435" i="17"/>
  <c r="G1423" i="17"/>
  <c r="G1400" i="17"/>
  <c r="G1336" i="17"/>
  <c r="G1227" i="17"/>
  <c r="G1140" i="17"/>
  <c r="G1058" i="17"/>
  <c r="G864" i="17"/>
  <c r="G817" i="17"/>
  <c r="G731" i="17"/>
  <c r="G650" i="17"/>
  <c r="G118" i="17"/>
  <c r="G1486" i="17"/>
  <c r="G1458" i="17"/>
  <c r="G1438" i="17"/>
  <c r="G1355" i="17"/>
  <c r="G1303" i="17"/>
  <c r="G1239" i="17"/>
  <c r="G1168" i="17"/>
  <c r="G1128" i="17"/>
  <c r="G1097" i="17"/>
  <c r="G687" i="17"/>
  <c r="G326" i="17"/>
  <c r="G1518" i="17"/>
  <c r="G1502" i="17"/>
  <c r="G1470" i="17"/>
  <c r="G1422" i="17"/>
  <c r="G1335" i="17"/>
  <c r="G1264" i="17"/>
  <c r="G1244" i="17"/>
  <c r="G1199" i="17"/>
  <c r="G1136" i="17"/>
  <c r="G1045" i="17"/>
  <c r="G944" i="17"/>
  <c r="G882" i="17"/>
  <c r="G726" i="17"/>
  <c r="G310" i="17"/>
  <c r="G1513" i="17"/>
  <c r="G1497" i="17"/>
  <c r="G1493" i="17"/>
  <c r="G1485" i="17"/>
  <c r="G1481" i="17"/>
  <c r="G1469" i="17"/>
  <c r="G1465" i="17"/>
  <c r="G1457" i="17"/>
  <c r="G1453" i="17"/>
  <c r="G1445" i="17"/>
  <c r="G1441" i="17"/>
  <c r="G1437" i="17"/>
  <c r="G1429" i="17"/>
  <c r="G1425" i="17"/>
  <c r="G1421" i="17"/>
  <c r="G1416" i="17"/>
  <c r="G1404" i="17"/>
  <c r="G1379" i="17"/>
  <c r="G1347" i="17"/>
  <c r="G1340" i="17"/>
  <c r="G1334" i="17"/>
  <c r="G1320" i="17"/>
  <c r="G1315" i="17"/>
  <c r="G1308" i="17"/>
  <c r="G1302" i="17"/>
  <c r="G1295" i="17"/>
  <c r="G1283" i="17"/>
  <c r="G1276" i="17"/>
  <c r="G1263" i="17"/>
  <c r="G1251" i="17"/>
  <c r="G1207" i="17"/>
  <c r="G1187" i="17"/>
  <c r="G1167" i="17"/>
  <c r="G1147" i="17"/>
  <c r="G1116" i="17"/>
  <c r="G1104" i="17"/>
  <c r="G1096" i="17"/>
  <c r="G1064" i="17"/>
  <c r="G1009" i="17"/>
  <c r="G996" i="17"/>
  <c r="G978" i="17"/>
  <c r="G937" i="17"/>
  <c r="G896" i="17"/>
  <c r="G833" i="17"/>
  <c r="G781" i="17"/>
  <c r="G714" i="17"/>
  <c r="G586" i="17"/>
  <c r="G454" i="17"/>
  <c r="G377" i="17"/>
  <c r="G278" i="17"/>
  <c r="G182" i="17"/>
  <c r="G1511" i="17"/>
  <c r="G1467" i="17"/>
  <c r="G1451" i="17"/>
  <c r="G1395" i="17"/>
  <c r="G1368" i="17"/>
  <c r="G1272" i="17"/>
  <c r="G1221" i="17"/>
  <c r="G1181" i="17"/>
  <c r="G1070" i="17"/>
  <c r="G769" i="17"/>
  <c r="G1499" i="17"/>
  <c r="G1479" i="17"/>
  <c r="G1419" i="17"/>
  <c r="G1387" i="17"/>
  <c r="G1362" i="17"/>
  <c r="G1330" i="17"/>
  <c r="G1304" i="17"/>
  <c r="G1247" i="17"/>
  <c r="G1219" i="17"/>
  <c r="G1038" i="17"/>
  <c r="G493" i="17"/>
  <c r="G230" i="17"/>
  <c r="G1514" i="17"/>
  <c r="G1316" i="17"/>
  <c r="G1278" i="17"/>
  <c r="G1226" i="17"/>
  <c r="G1066" i="17"/>
  <c r="G985" i="17"/>
  <c r="G925" i="17"/>
  <c r="G841" i="17"/>
  <c r="G765" i="17"/>
  <c r="G649" i="17"/>
  <c r="G1510" i="17"/>
  <c r="G1494" i="17"/>
  <c r="G1482" i="17"/>
  <c r="G1454" i="17"/>
  <c r="G1386" i="17"/>
  <c r="G1367" i="17"/>
  <c r="G1258" i="17"/>
  <c r="G1188" i="17"/>
  <c r="G1156" i="17"/>
  <c r="G1065" i="17"/>
  <c r="G1034" i="17"/>
  <c r="G1000" i="17"/>
  <c r="G789" i="17"/>
  <c r="G602" i="17"/>
  <c r="G402" i="17"/>
  <c r="G214" i="17"/>
  <c r="G1521" i="17"/>
  <c r="G1509" i="17"/>
  <c r="G1505" i="17"/>
  <c r="G1501" i="17"/>
  <c r="G1489" i="17"/>
  <c r="G1477" i="17"/>
  <c r="G1473" i="17"/>
  <c r="G1461" i="17"/>
  <c r="G1449" i="17"/>
  <c r="G1433" i="17"/>
  <c r="G1403" i="17"/>
  <c r="G1391" i="17"/>
  <c r="G1384" i="17"/>
  <c r="G1359" i="17"/>
  <c r="G1352" i="17"/>
  <c r="G1346" i="17"/>
  <c r="G1332" i="17"/>
  <c r="G1327" i="17"/>
  <c r="G1288" i="17"/>
  <c r="G1275" i="17"/>
  <c r="G1256" i="17"/>
  <c r="G1250" i="17"/>
  <c r="G1231" i="17"/>
  <c r="G1223" i="17"/>
  <c r="G1217" i="17"/>
  <c r="G1186" i="17"/>
  <c r="G1175" i="17"/>
  <c r="G1155" i="17"/>
  <c r="G1135" i="17"/>
  <c r="G1124" i="17"/>
  <c r="G1092" i="17"/>
  <c r="G1084" i="17"/>
  <c r="G1072" i="17"/>
  <c r="G1052" i="17"/>
  <c r="G1041" i="17"/>
  <c r="G977" i="17"/>
  <c r="G957" i="17"/>
  <c r="G915" i="17"/>
  <c r="G895" i="17"/>
  <c r="G854" i="17"/>
  <c r="G805" i="17"/>
  <c r="G751" i="17"/>
  <c r="G630" i="17"/>
  <c r="G531" i="17"/>
  <c r="G70" i="17"/>
  <c r="G1507" i="17"/>
  <c r="G1491" i="17"/>
  <c r="G1475" i="17"/>
  <c r="G1439" i="17"/>
  <c r="G1311" i="17"/>
  <c r="G1286" i="17"/>
  <c r="G1267" i="17"/>
  <c r="G1240" i="17"/>
  <c r="G1172" i="17"/>
  <c r="G947" i="17"/>
  <c r="G886" i="17"/>
  <c r="G793" i="17"/>
  <c r="G1495" i="17"/>
  <c r="G1427" i="17"/>
  <c r="G1407" i="17"/>
  <c r="G1323" i="17"/>
  <c r="G1252" i="17"/>
  <c r="G1234" i="17"/>
  <c r="G1212" i="17"/>
  <c r="G1129" i="17"/>
  <c r="G1047" i="17"/>
  <c r="G1522" i="17"/>
  <c r="G1506" i="17"/>
  <c r="G1466" i="17"/>
  <c r="G1442" i="17"/>
  <c r="G1434" i="17"/>
  <c r="G1418" i="17"/>
  <c r="G1360" i="17"/>
  <c r="G1296" i="17"/>
  <c r="G1284" i="17"/>
  <c r="G1259" i="17"/>
  <c r="G1218" i="17"/>
  <c r="G1180" i="17"/>
  <c r="G1148" i="17"/>
  <c r="G1014" i="17"/>
  <c r="G965" i="17"/>
  <c r="G603" i="17"/>
  <c r="G404" i="17"/>
  <c r="G1490" i="17"/>
  <c r="G1478" i="17"/>
  <c r="G1462" i="17"/>
  <c r="G1446" i="17"/>
  <c r="G1430" i="17"/>
  <c r="G1392" i="17"/>
  <c r="G1372" i="17"/>
  <c r="G1328" i="17"/>
  <c r="G1290" i="17"/>
  <c r="G1271" i="17"/>
  <c r="G1232" i="17"/>
  <c r="G1208" i="17"/>
  <c r="G1179" i="17"/>
  <c r="G1085" i="17"/>
  <c r="G764" i="17"/>
  <c r="G554" i="17"/>
  <c r="G117" i="17"/>
  <c r="G1517" i="17"/>
  <c r="G1520" i="17"/>
  <c r="G1504" i="17"/>
  <c r="G1492" i="17"/>
  <c r="G1488" i="17"/>
  <c r="G1480" i="17"/>
  <c r="G1472" i="17"/>
  <c r="G1464" i="17"/>
  <c r="G1448" i="17"/>
  <c r="G1444" i="17"/>
  <c r="G1440" i="17"/>
  <c r="G1436" i="17"/>
  <c r="G1432" i="17"/>
  <c r="G1424" i="17"/>
  <c r="G1420" i="17"/>
  <c r="G1408" i="17"/>
  <c r="G1396" i="17"/>
  <c r="G1371" i="17"/>
  <c r="G1364" i="17"/>
  <c r="G1358" i="17"/>
  <c r="G1351" i="17"/>
  <c r="G1344" i="17"/>
  <c r="G1339" i="17"/>
  <c r="G1319" i="17"/>
  <c r="G1312" i="17"/>
  <c r="G1307" i="17"/>
  <c r="G1300" i="17"/>
  <c r="G1268" i="17"/>
  <c r="G1262" i="17"/>
  <c r="G1243" i="17"/>
  <c r="G1236" i="17"/>
  <c r="G1230" i="17"/>
  <c r="G1214" i="17"/>
  <c r="G1194" i="17"/>
  <c r="G1154" i="17"/>
  <c r="G1143" i="17"/>
  <c r="G1123" i="17"/>
  <c r="G1112" i="17"/>
  <c r="G1060" i="17"/>
  <c r="G1040" i="17"/>
  <c r="G1032" i="17"/>
  <c r="G1020" i="17"/>
  <c r="G1008" i="17"/>
  <c r="G954" i="17"/>
  <c r="G934" i="17"/>
  <c r="G914" i="17"/>
  <c r="G893" i="17"/>
  <c r="G873" i="17"/>
  <c r="G829" i="17"/>
  <c r="G707" i="17"/>
  <c r="G667" i="17"/>
  <c r="G629" i="17"/>
  <c r="G365" i="17"/>
  <c r="G277" i="17"/>
  <c r="G166" i="17"/>
  <c r="G1519" i="17"/>
  <c r="G1483" i="17"/>
  <c r="G1459" i="17"/>
  <c r="G1443" i="17"/>
  <c r="G1375" i="17"/>
  <c r="G1318" i="17"/>
  <c r="G1260" i="17"/>
  <c r="G1235" i="17"/>
  <c r="G1161" i="17"/>
  <c r="G1039" i="17"/>
  <c r="G989" i="17"/>
  <c r="G1471" i="17"/>
  <c r="G1455" i="17"/>
  <c r="G1431" i="17"/>
  <c r="G1412" i="17"/>
  <c r="G1380" i="17"/>
  <c r="G1348" i="17"/>
  <c r="G1291" i="17"/>
  <c r="G1266" i="17"/>
  <c r="G1160" i="17"/>
  <c r="G1098" i="17"/>
  <c r="G1450" i="17"/>
  <c r="G1426" i="17"/>
  <c r="G1399" i="17"/>
  <c r="G1374" i="17"/>
  <c r="G1246" i="17"/>
  <c r="G1200" i="17"/>
  <c r="G1026" i="17"/>
  <c r="G1498" i="17"/>
  <c r="G1474" i="17"/>
  <c r="G1411" i="17"/>
  <c r="G1516" i="17"/>
  <c r="G1512" i="17"/>
  <c r="G1508" i="17"/>
  <c r="G1500" i="17"/>
  <c r="G1496" i="17"/>
  <c r="G1484" i="17"/>
  <c r="G1476" i="17"/>
  <c r="G1468" i="17"/>
  <c r="G1460" i="17"/>
  <c r="G1456" i="17"/>
  <c r="G1452" i="17"/>
  <c r="G1428" i="17"/>
  <c r="G1415" i="17"/>
  <c r="G1402" i="17"/>
  <c r="G1388" i="17"/>
  <c r="G1383" i="17"/>
  <c r="G1376" i="17"/>
  <c r="G1370" i="17"/>
  <c r="G1363" i="17"/>
  <c r="G1356" i="17"/>
  <c r="G1331" i="17"/>
  <c r="G1306" i="17"/>
  <c r="G1299" i="17"/>
  <c r="G1292" i="17"/>
  <c r="G1287" i="17"/>
  <c r="G1280" i="17"/>
  <c r="G1255" i="17"/>
  <c r="G1248" i="17"/>
  <c r="G1242" i="17"/>
  <c r="G1222" i="17"/>
  <c r="G1213" i="17"/>
  <c r="G1182" i="17"/>
  <c r="G1142" i="17"/>
  <c r="G1091" i="17"/>
  <c r="G1051" i="17"/>
  <c r="G1028" i="17"/>
  <c r="G1007" i="17"/>
  <c r="G973" i="17"/>
  <c r="G871" i="17"/>
  <c r="G851" i="17"/>
  <c r="G777" i="17"/>
  <c r="G746" i="17"/>
  <c r="G623" i="17"/>
  <c r="G54" i="17"/>
  <c r="G1019" i="17"/>
  <c r="G983" i="17"/>
  <c r="G963" i="17"/>
  <c r="G953" i="17"/>
  <c r="G932" i="17"/>
  <c r="G901" i="17"/>
  <c r="G870" i="17"/>
  <c r="G861" i="17"/>
  <c r="G850" i="17"/>
  <c r="G825" i="17"/>
  <c r="G813" i="17"/>
  <c r="G801" i="17"/>
  <c r="G761" i="17"/>
  <c r="G706" i="17"/>
  <c r="G642" i="17"/>
  <c r="G518" i="17"/>
  <c r="G480" i="17"/>
  <c r="G441" i="17"/>
  <c r="G353" i="17"/>
  <c r="G262" i="17"/>
  <c r="G102" i="17"/>
  <c r="G1414" i="17"/>
  <c r="G1410" i="17"/>
  <c r="G1406" i="17"/>
  <c r="G1398" i="17"/>
  <c r="G1394" i="17"/>
  <c r="G1390" i="17"/>
  <c r="G1382" i="17"/>
  <c r="G1378" i="17"/>
  <c r="G1366" i="17"/>
  <c r="G1354" i="17"/>
  <c r="G1350" i="17"/>
  <c r="G1342" i="17"/>
  <c r="G1338" i="17"/>
  <c r="G1326" i="17"/>
  <c r="G1322" i="17"/>
  <c r="G1314" i="17"/>
  <c r="G1310" i="17"/>
  <c r="G1298" i="17"/>
  <c r="G1294" i="17"/>
  <c r="G1282" i="17"/>
  <c r="G1274" i="17"/>
  <c r="G1270" i="17"/>
  <c r="G1254" i="17"/>
  <c r="G1238" i="17"/>
  <c r="G1204" i="17"/>
  <c r="G1197" i="17"/>
  <c r="G1191" i="17"/>
  <c r="G1159" i="17"/>
  <c r="G1146" i="17"/>
  <c r="G1133" i="17"/>
  <c r="G1127" i="17"/>
  <c r="G1120" i="17"/>
  <c r="G1108" i="17"/>
  <c r="G1082" i="17"/>
  <c r="G1076" i="17"/>
  <c r="G1069" i="17"/>
  <c r="G1056" i="17"/>
  <c r="G1044" i="17"/>
  <c r="G1018" i="17"/>
  <c r="G1012" i="17"/>
  <c r="G999" i="17"/>
  <c r="G992" i="17"/>
  <c r="G982" i="17"/>
  <c r="G951" i="17"/>
  <c r="G941" i="17"/>
  <c r="G921" i="17"/>
  <c r="G909" i="17"/>
  <c r="G889" i="17"/>
  <c r="G880" i="17"/>
  <c r="G837" i="17"/>
  <c r="G812" i="17"/>
  <c r="G785" i="17"/>
  <c r="G773" i="17"/>
  <c r="G701" i="17"/>
  <c r="G681" i="17"/>
  <c r="G662" i="17"/>
  <c r="G390" i="17"/>
  <c r="G352" i="17"/>
  <c r="G150" i="17"/>
  <c r="G53" i="17"/>
  <c r="G1413" i="17"/>
  <c r="G1401" i="17"/>
  <c r="G1397" i="17"/>
  <c r="G1393" i="17"/>
  <c r="G1385" i="17"/>
  <c r="G1381" i="17"/>
  <c r="G1377" i="17"/>
  <c r="G1373" i="17"/>
  <c r="G1365" i="17"/>
  <c r="G1357" i="17"/>
  <c r="G1353" i="17"/>
  <c r="G1349" i="17"/>
  <c r="G1341" i="17"/>
  <c r="G1337" i="17"/>
  <c r="G1333" i="17"/>
  <c r="G1329" i="17"/>
  <c r="G1321" i="17"/>
  <c r="G1309" i="17"/>
  <c r="G1293" i="17"/>
  <c r="G1289" i="17"/>
  <c r="G1277" i="17"/>
  <c r="G1269" i="17"/>
  <c r="G1265" i="17"/>
  <c r="G1253" i="17"/>
  <c r="G1249" i="17"/>
  <c r="G1225" i="17"/>
  <c r="G1216" i="17"/>
  <c r="G1203" i="17"/>
  <c r="G1196" i="17"/>
  <c r="G1190" i="17"/>
  <c r="G1184" i="17"/>
  <c r="G1177" i="17"/>
  <c r="G1171" i="17"/>
  <c r="G1164" i="17"/>
  <c r="G1158" i="17"/>
  <c r="G1152" i="17"/>
  <c r="G1145" i="17"/>
  <c r="G1139" i="17"/>
  <c r="G1113" i="17"/>
  <c r="G1094" i="17"/>
  <c r="G1088" i="17"/>
  <c r="G1081" i="17"/>
  <c r="G1062" i="17"/>
  <c r="G1049" i="17"/>
  <c r="G1036" i="17"/>
  <c r="G1030" i="17"/>
  <c r="G1024" i="17"/>
  <c r="G1017" i="17"/>
  <c r="G1011" i="17"/>
  <c r="G1004" i="17"/>
  <c r="G980" i="17"/>
  <c r="G970" i="17"/>
  <c r="G950" i="17"/>
  <c r="G940" i="17"/>
  <c r="G919" i="17"/>
  <c r="G899" i="17"/>
  <c r="G877" i="17"/>
  <c r="G868" i="17"/>
  <c r="G857" i="17"/>
  <c r="G836" i="17"/>
  <c r="G797" i="17"/>
  <c r="G772" i="17"/>
  <c r="G739" i="17"/>
  <c r="G719" i="17"/>
  <c r="G699" i="17"/>
  <c r="G637" i="17"/>
  <c r="G594" i="17"/>
  <c r="G570" i="17"/>
  <c r="G539" i="17"/>
  <c r="G506" i="17"/>
  <c r="G429" i="17"/>
  <c r="G389" i="17"/>
  <c r="G294" i="17"/>
  <c r="G246" i="17"/>
  <c r="G198" i="17"/>
  <c r="G1417" i="17"/>
  <c r="G1409" i="17"/>
  <c r="G1405" i="17"/>
  <c r="G1389" i="17"/>
  <c r="G1369" i="17"/>
  <c r="G1361" i="17"/>
  <c r="G1345" i="17"/>
  <c r="G1325" i="17"/>
  <c r="G1317" i="17"/>
  <c r="G1313" i="17"/>
  <c r="G1305" i="17"/>
  <c r="G1301" i="17"/>
  <c r="G1297" i="17"/>
  <c r="G1285" i="17"/>
  <c r="G1281" i="17"/>
  <c r="G1273" i="17"/>
  <c r="G1261" i="17"/>
  <c r="G1257" i="17"/>
  <c r="G1245" i="17"/>
  <c r="G1241" i="17"/>
  <c r="G1237" i="17"/>
  <c r="G1233" i="17"/>
  <c r="G1229" i="17"/>
  <c r="G1224" i="17"/>
  <c r="G1220" i="17"/>
  <c r="G1215" i="17"/>
  <c r="G1202" i="17"/>
  <c r="G1189" i="17"/>
  <c r="G1183" i="17"/>
  <c r="G1176" i="17"/>
  <c r="G1170" i="17"/>
  <c r="G1157" i="17"/>
  <c r="G1151" i="17"/>
  <c r="G1144" i="17"/>
  <c r="G1132" i="17"/>
  <c r="G1119" i="17"/>
  <c r="G1106" i="17"/>
  <c r="G1100" i="17"/>
  <c r="G1093" i="17"/>
  <c r="G1080" i="17"/>
  <c r="G1074" i="17"/>
  <c r="G1068" i="17"/>
  <c r="G1048" i="17"/>
  <c r="G1029" i="17"/>
  <c r="G1023" i="17"/>
  <c r="G1016" i="17"/>
  <c r="G997" i="17"/>
  <c r="G979" i="17"/>
  <c r="G959" i="17"/>
  <c r="G948" i="17"/>
  <c r="G938" i="17"/>
  <c r="G928" i="17"/>
  <c r="G897" i="17"/>
  <c r="G887" i="17"/>
  <c r="G867" i="17"/>
  <c r="G845" i="17"/>
  <c r="G821" i="17"/>
  <c r="G809" i="17"/>
  <c r="G796" i="17"/>
  <c r="G738" i="17"/>
  <c r="G718" i="17"/>
  <c r="G694" i="17"/>
  <c r="G675" i="17"/>
  <c r="G655" i="17"/>
  <c r="G538" i="17"/>
  <c r="G466" i="17"/>
  <c r="G417" i="17"/>
  <c r="G378" i="17"/>
  <c r="G134" i="17"/>
  <c r="G86" i="17"/>
  <c r="G38" i="17"/>
  <c r="G1211" i="17"/>
  <c r="G1195" i="17"/>
  <c r="G1163" i="17"/>
  <c r="G1131" i="17"/>
  <c r="G1115" i="17"/>
  <c r="G1111" i="17"/>
  <c r="G1107" i="17"/>
  <c r="G1103" i="17"/>
  <c r="G1099" i="17"/>
  <c r="G1095" i="17"/>
  <c r="G1087" i="17"/>
  <c r="G1083" i="17"/>
  <c r="G1079" i="17"/>
  <c r="G1075" i="17"/>
  <c r="G1071" i="17"/>
  <c r="G1067" i="17"/>
  <c r="G1063" i="17"/>
  <c r="G1055" i="17"/>
  <c r="G1043" i="17"/>
  <c r="G1035" i="17"/>
  <c r="G1031" i="17"/>
  <c r="G1027" i="17"/>
  <c r="G1015" i="17"/>
  <c r="G1003" i="17"/>
  <c r="G995" i="17"/>
  <c r="G984" i="17"/>
  <c r="G971" i="17"/>
  <c r="G952" i="17"/>
  <c r="G945" i="17"/>
  <c r="G933" i="17"/>
  <c r="G926" i="17"/>
  <c r="G920" i="17"/>
  <c r="G913" i="17"/>
  <c r="G894" i="17"/>
  <c r="G888" i="17"/>
  <c r="G881" i="17"/>
  <c r="G875" i="17"/>
  <c r="G869" i="17"/>
  <c r="G856" i="17"/>
  <c r="G849" i="17"/>
  <c r="G843" i="17"/>
  <c r="G835" i="17"/>
  <c r="G811" i="17"/>
  <c r="G779" i="17"/>
  <c r="G703" i="17"/>
  <c r="G690" i="17"/>
  <c r="G678" i="17"/>
  <c r="G626" i="17"/>
  <c r="G614" i="17"/>
  <c r="G566" i="17"/>
  <c r="G512" i="17"/>
  <c r="G486" i="17"/>
  <c r="G461" i="17"/>
  <c r="G409" i="17"/>
  <c r="G384" i="17"/>
  <c r="G358" i="17"/>
  <c r="G333" i="17"/>
  <c r="G270" i="17"/>
  <c r="G174" i="17"/>
  <c r="G46" i="17"/>
  <c r="G1210" i="17"/>
  <c r="G1206" i="17"/>
  <c r="G1198" i="17"/>
  <c r="G1178" i="17"/>
  <c r="G1174" i="17"/>
  <c r="G1166" i="17"/>
  <c r="G1162" i="17"/>
  <c r="G1150" i="17"/>
  <c r="G1138" i="17"/>
  <c r="G1134" i="17"/>
  <c r="G1130" i="17"/>
  <c r="G1126" i="17"/>
  <c r="G1122" i="17"/>
  <c r="G1118" i="17"/>
  <c r="G1114" i="17"/>
  <c r="G1110" i="17"/>
  <c r="G1102" i="17"/>
  <c r="G1090" i="17"/>
  <c r="G1086" i="17"/>
  <c r="G1078" i="17"/>
  <c r="G1054" i="17"/>
  <c r="G1050" i="17"/>
  <c r="G1046" i="17"/>
  <c r="G1042" i="17"/>
  <c r="G1022" i="17"/>
  <c r="G1010" i="17"/>
  <c r="G1006" i="17"/>
  <c r="G1002" i="17"/>
  <c r="G998" i="17"/>
  <c r="G994" i="17"/>
  <c r="G969" i="17"/>
  <c r="G962" i="17"/>
  <c r="G943" i="17"/>
  <c r="G930" i="17"/>
  <c r="G924" i="17"/>
  <c r="G917" i="17"/>
  <c r="G911" i="17"/>
  <c r="G905" i="17"/>
  <c r="G898" i="17"/>
  <c r="G892" i="17"/>
  <c r="G879" i="17"/>
  <c r="G866" i="17"/>
  <c r="G847" i="17"/>
  <c r="G840" i="17"/>
  <c r="G832" i="17"/>
  <c r="G792" i="17"/>
  <c r="G768" i="17"/>
  <c r="G711" i="17"/>
  <c r="G686" i="17"/>
  <c r="G674" i="17"/>
  <c r="G647" i="17"/>
  <c r="G635" i="17"/>
  <c r="G622" i="17"/>
  <c r="G610" i="17"/>
  <c r="G578" i="17"/>
  <c r="G562" i="17"/>
  <c r="G546" i="17"/>
  <c r="G530" i="17"/>
  <c r="G505" i="17"/>
  <c r="G428" i="17"/>
  <c r="G325" i="17"/>
  <c r="G229" i="17"/>
  <c r="G197" i="17"/>
  <c r="G133" i="17"/>
  <c r="G101" i="17"/>
  <c r="G1209" i="17"/>
  <c r="G1205" i="17"/>
  <c r="G1201" i="17"/>
  <c r="G1193" i="17"/>
  <c r="G1185" i="17"/>
  <c r="G1173" i="17"/>
  <c r="G1169" i="17"/>
  <c r="G1165" i="17"/>
  <c r="G1153" i="17"/>
  <c r="G1149" i="17"/>
  <c r="G1141" i="17"/>
  <c r="G1137" i="17"/>
  <c r="G1125" i="17"/>
  <c r="G1121" i="17"/>
  <c r="G1117" i="17"/>
  <c r="G1109" i="17"/>
  <c r="G1105" i="17"/>
  <c r="G1101" i="17"/>
  <c r="G1089" i="17"/>
  <c r="G1077" i="17"/>
  <c r="G1073" i="17"/>
  <c r="G1061" i="17"/>
  <c r="G1057" i="17"/>
  <c r="G1053" i="17"/>
  <c r="G1037" i="17"/>
  <c r="G1033" i="17"/>
  <c r="G1025" i="17"/>
  <c r="G1021" i="17"/>
  <c r="G1013" i="17"/>
  <c r="G1005" i="17"/>
  <c r="G1001" i="17"/>
  <c r="G993" i="17"/>
  <c r="G981" i="17"/>
  <c r="G968" i="17"/>
  <c r="G961" i="17"/>
  <c r="G955" i="17"/>
  <c r="G949" i="17"/>
  <c r="G942" i="17"/>
  <c r="G936" i="17"/>
  <c r="G929" i="17"/>
  <c r="G910" i="17"/>
  <c r="G904" i="17"/>
  <c r="G891" i="17"/>
  <c r="G885" i="17"/>
  <c r="G865" i="17"/>
  <c r="G853" i="17"/>
  <c r="G839" i="17"/>
  <c r="G831" i="17"/>
  <c r="G815" i="17"/>
  <c r="G783" i="17"/>
  <c r="G775" i="17"/>
  <c r="G735" i="17"/>
  <c r="G722" i="17"/>
  <c r="G683" i="17"/>
  <c r="G658" i="17"/>
  <c r="G646" i="17"/>
  <c r="G619" i="17"/>
  <c r="G590" i="17"/>
  <c r="G498" i="17"/>
  <c r="G473" i="17"/>
  <c r="G448" i="17"/>
  <c r="G397" i="17"/>
  <c r="G370" i="17"/>
  <c r="G345" i="17"/>
  <c r="G318" i="17"/>
  <c r="G254" i="17"/>
  <c r="G222" i="17"/>
  <c r="G158" i="17"/>
  <c r="G988" i="17"/>
  <c r="G976" i="17"/>
  <c r="G972" i="17"/>
  <c r="G964" i="17"/>
  <c r="G960" i="17"/>
  <c r="G956" i="17"/>
  <c r="G916" i="17"/>
  <c r="G912" i="17"/>
  <c r="G908" i="17"/>
  <c r="G900" i="17"/>
  <c r="G884" i="17"/>
  <c r="G876" i="17"/>
  <c r="G872" i="17"/>
  <c r="G860" i="17"/>
  <c r="G852" i="17"/>
  <c r="G848" i="17"/>
  <c r="G844" i="17"/>
  <c r="G828" i="17"/>
  <c r="G824" i="17"/>
  <c r="G820" i="17"/>
  <c r="G816" i="17"/>
  <c r="G808" i="17"/>
  <c r="G804" i="17"/>
  <c r="G800" i="17"/>
  <c r="G788" i="17"/>
  <c r="G784" i="17"/>
  <c r="G780" i="17"/>
  <c r="G776" i="17"/>
  <c r="G760" i="17"/>
  <c r="G755" i="17"/>
  <c r="G750" i="17"/>
  <c r="G743" i="17"/>
  <c r="G737" i="17"/>
  <c r="G730" i="17"/>
  <c r="G705" i="17"/>
  <c r="G691" i="17"/>
  <c r="G679" i="17"/>
  <c r="G659" i="17"/>
  <c r="G654" i="17"/>
  <c r="G641" i="17"/>
  <c r="G634" i="17"/>
  <c r="G627" i="17"/>
  <c r="G615" i="17"/>
  <c r="G593" i="17"/>
  <c r="G585" i="17"/>
  <c r="G553" i="17"/>
  <c r="G537" i="17"/>
  <c r="G517" i="17"/>
  <c r="G504" i="17"/>
  <c r="G478" i="17"/>
  <c r="G453" i="17"/>
  <c r="G414" i="17"/>
  <c r="G350" i="17"/>
  <c r="G337" i="17"/>
  <c r="G309" i="17"/>
  <c r="G293" i="17"/>
  <c r="G261" i="17"/>
  <c r="G245" i="17"/>
  <c r="G213" i="17"/>
  <c r="G181" i="17"/>
  <c r="G165" i="17"/>
  <c r="G149" i="17"/>
  <c r="G85" i="17"/>
  <c r="G69" i="17"/>
  <c r="G37" i="17"/>
  <c r="G991" i="17"/>
  <c r="G987" i="17"/>
  <c r="G975" i="17"/>
  <c r="G967" i="17"/>
  <c r="G939" i="17"/>
  <c r="G935" i="17"/>
  <c r="G931" i="17"/>
  <c r="G927" i="17"/>
  <c r="G923" i="17"/>
  <c r="G907" i="17"/>
  <c r="G903" i="17"/>
  <c r="G883" i="17"/>
  <c r="G863" i="17"/>
  <c r="G859" i="17"/>
  <c r="G855" i="17"/>
  <c r="G827" i="17"/>
  <c r="G823" i="17"/>
  <c r="G819" i="17"/>
  <c r="G807" i="17"/>
  <c r="G803" i="17"/>
  <c r="G799" i="17"/>
  <c r="G795" i="17"/>
  <c r="G791" i="17"/>
  <c r="G787" i="17"/>
  <c r="G771" i="17"/>
  <c r="G767" i="17"/>
  <c r="G763" i="17"/>
  <c r="G759" i="17"/>
  <c r="G754" i="17"/>
  <c r="G749" i="17"/>
  <c r="G742" i="17"/>
  <c r="G723" i="17"/>
  <c r="G710" i="17"/>
  <c r="G698" i="17"/>
  <c r="G671" i="17"/>
  <c r="G666" i="17"/>
  <c r="G653" i="17"/>
  <c r="G639" i="17"/>
  <c r="G607" i="17"/>
  <c r="G583" i="17"/>
  <c r="G575" i="17"/>
  <c r="G567" i="17"/>
  <c r="G559" i="17"/>
  <c r="G551" i="17"/>
  <c r="G543" i="17"/>
  <c r="G525" i="17"/>
  <c r="G513" i="17"/>
  <c r="G500" i="17"/>
  <c r="G474" i="17"/>
  <c r="G436" i="17"/>
  <c r="G422" i="17"/>
  <c r="G385" i="17"/>
  <c r="G346" i="17"/>
  <c r="G302" i="17"/>
  <c r="G286" i="17"/>
  <c r="G238" i="17"/>
  <c r="G206" i="17"/>
  <c r="G190" i="17"/>
  <c r="G142" i="17"/>
  <c r="G126" i="17"/>
  <c r="G110" i="17"/>
  <c r="G94" i="17"/>
  <c r="G78" i="17"/>
  <c r="G62" i="17"/>
  <c r="G30" i="17"/>
  <c r="G990" i="17"/>
  <c r="G986" i="17"/>
  <c r="G974" i="17"/>
  <c r="G966" i="17"/>
  <c r="G958" i="17"/>
  <c r="G946" i="17"/>
  <c r="G922" i="17"/>
  <c r="G918" i="17"/>
  <c r="G906" i="17"/>
  <c r="G902" i="17"/>
  <c r="G890" i="17"/>
  <c r="G878" i="17"/>
  <c r="G874" i="17"/>
  <c r="G862" i="17"/>
  <c r="G858" i="17"/>
  <c r="G846" i="17"/>
  <c r="G842" i="17"/>
  <c r="G838" i="17"/>
  <c r="G818" i="17"/>
  <c r="G810" i="17"/>
  <c r="G806" i="17"/>
  <c r="G802" i="17"/>
  <c r="G790" i="17"/>
  <c r="G762" i="17"/>
  <c r="G758" i="17"/>
  <c r="G753" i="17"/>
  <c r="G747" i="17"/>
  <c r="G734" i="17"/>
  <c r="G715" i="17"/>
  <c r="G709" i="17"/>
  <c r="G702" i="17"/>
  <c r="G695" i="17"/>
  <c r="G677" i="17"/>
  <c r="G663" i="17"/>
  <c r="G651" i="17"/>
  <c r="G631" i="17"/>
  <c r="G606" i="17"/>
  <c r="G598" i="17"/>
  <c r="G582" i="17"/>
  <c r="G574" i="17"/>
  <c r="G558" i="17"/>
  <c r="G550" i="17"/>
  <c r="G542" i="17"/>
  <c r="G534" i="17"/>
  <c r="G485" i="17"/>
  <c r="G460" i="17"/>
  <c r="G446" i="17"/>
  <c r="G434" i="17"/>
  <c r="G396" i="17"/>
  <c r="G317" i="17"/>
  <c r="G301" i="17"/>
  <c r="G285" i="17"/>
  <c r="G269" i="17"/>
  <c r="G237" i="17"/>
  <c r="G221" i="17"/>
  <c r="G205" i="17"/>
  <c r="G189" i="17"/>
  <c r="G141" i="17"/>
  <c r="G77" i="17"/>
  <c r="G61" i="17"/>
  <c r="G29" i="17"/>
  <c r="G834" i="17"/>
  <c r="G830" i="17"/>
  <c r="G826" i="17"/>
  <c r="G822" i="17"/>
  <c r="G814" i="17"/>
  <c r="G798" i="17"/>
  <c r="G794" i="17"/>
  <c r="G786" i="17"/>
  <c r="G782" i="17"/>
  <c r="G778" i="17"/>
  <c r="G774" i="17"/>
  <c r="G770" i="17"/>
  <c r="G766" i="17"/>
  <c r="G727" i="17"/>
  <c r="G721" i="17"/>
  <c r="G689" i="17"/>
  <c r="G682" i="17"/>
  <c r="G670" i="17"/>
  <c r="G643" i="17"/>
  <c r="G638" i="17"/>
  <c r="G618" i="17"/>
  <c r="G611" i="17"/>
  <c r="G605" i="17"/>
  <c r="G597" i="17"/>
  <c r="G581" i="17"/>
  <c r="G557" i="17"/>
  <c r="G549" i="17"/>
  <c r="G541" i="17"/>
  <c r="G533" i="17"/>
  <c r="G522" i="17"/>
  <c r="G510" i="17"/>
  <c r="G497" i="17"/>
  <c r="G472" i="17"/>
  <c r="G433" i="17"/>
  <c r="G421" i="17"/>
  <c r="G394" i="17"/>
  <c r="G382" i="17"/>
  <c r="G357" i="17"/>
  <c r="G330" i="17"/>
  <c r="G253" i="17"/>
  <c r="G173" i="17"/>
  <c r="G157" i="17"/>
  <c r="G125" i="17"/>
  <c r="G109" i="17"/>
  <c r="G93" i="17"/>
  <c r="G45" i="17"/>
  <c r="G757" i="17"/>
  <c r="G745" i="17"/>
  <c r="G741" i="17"/>
  <c r="G729" i="17"/>
  <c r="G725" i="17"/>
  <c r="G717" i="17"/>
  <c r="G713" i="17"/>
  <c r="G697" i="17"/>
  <c r="G693" i="17"/>
  <c r="G685" i="17"/>
  <c r="G673" i="17"/>
  <c r="G669" i="17"/>
  <c r="G665" i="17"/>
  <c r="G661" i="17"/>
  <c r="G657" i="17"/>
  <c r="G645" i="17"/>
  <c r="G633" i="17"/>
  <c r="G625" i="17"/>
  <c r="G621" i="17"/>
  <c r="G617" i="17"/>
  <c r="G613" i="17"/>
  <c r="G609" i="17"/>
  <c r="G601" i="17"/>
  <c r="G589" i="17"/>
  <c r="G577" i="17"/>
  <c r="G573" i="17"/>
  <c r="G569" i="17"/>
  <c r="G565" i="17"/>
  <c r="G561" i="17"/>
  <c r="G545" i="17"/>
  <c r="G529" i="17"/>
  <c r="G516" i="17"/>
  <c r="G509" i="17"/>
  <c r="G490" i="17"/>
  <c r="G470" i="17"/>
  <c r="G465" i="17"/>
  <c r="G458" i="17"/>
  <c r="G452" i="17"/>
  <c r="G426" i="17"/>
  <c r="G420" i="17"/>
  <c r="G413" i="17"/>
  <c r="G406" i="17"/>
  <c r="G401" i="17"/>
  <c r="G388" i="17"/>
  <c r="G374" i="17"/>
  <c r="G369" i="17"/>
  <c r="G362" i="17"/>
  <c r="G356" i="17"/>
  <c r="G349" i="17"/>
  <c r="G342" i="17"/>
  <c r="G322" i="17"/>
  <c r="G314" i="17"/>
  <c r="G306" i="17"/>
  <c r="G290" i="17"/>
  <c r="G282" i="17"/>
  <c r="G250" i="17"/>
  <c r="G234" i="17"/>
  <c r="G226" i="17"/>
  <c r="G202" i="17"/>
  <c r="G186" i="17"/>
  <c r="G170" i="17"/>
  <c r="G154" i="17"/>
  <c r="G146" i="17"/>
  <c r="G138" i="17"/>
  <c r="G122" i="17"/>
  <c r="G114" i="17"/>
  <c r="G106" i="17"/>
  <c r="G98" i="17"/>
  <c r="G90" i="17"/>
  <c r="G82" i="17"/>
  <c r="G74" i="17"/>
  <c r="G42" i="17"/>
  <c r="G26" i="17"/>
  <c r="G744" i="17"/>
  <c r="G732" i="17"/>
  <c r="G712" i="17"/>
  <c r="G708" i="17"/>
  <c r="G704" i="17"/>
  <c r="G700" i="17"/>
  <c r="G692" i="17"/>
  <c r="G688" i="17"/>
  <c r="G684" i="17"/>
  <c r="G676" i="17"/>
  <c r="G664" i="17"/>
  <c r="G660" i="17"/>
  <c r="G656" i="17"/>
  <c r="G652" i="17"/>
  <c r="G648" i="17"/>
  <c r="G628" i="17"/>
  <c r="G620" i="17"/>
  <c r="G616" i="17"/>
  <c r="G612" i="17"/>
  <c r="G608" i="17"/>
  <c r="G604" i="17"/>
  <c r="G600" i="17"/>
  <c r="G592" i="17"/>
  <c r="G588" i="17"/>
  <c r="G584" i="17"/>
  <c r="G576" i="17"/>
  <c r="G572" i="17"/>
  <c r="G568" i="17"/>
  <c r="G540" i="17"/>
  <c r="G532" i="17"/>
  <c r="G528" i="17"/>
  <c r="G502" i="17"/>
  <c r="G496" i="17"/>
  <c r="G489" i="17"/>
  <c r="G477" i="17"/>
  <c r="G464" i="17"/>
  <c r="G457" i="17"/>
  <c r="G445" i="17"/>
  <c r="G438" i="17"/>
  <c r="G425" i="17"/>
  <c r="G418" i="17"/>
  <c r="G393" i="17"/>
  <c r="G386" i="17"/>
  <c r="G381" i="17"/>
  <c r="G354" i="17"/>
  <c r="G336" i="17"/>
  <c r="G298" i="17"/>
  <c r="G274" i="17"/>
  <c r="G266" i="17"/>
  <c r="G258" i="17"/>
  <c r="G242" i="17"/>
  <c r="G218" i="17"/>
  <c r="G210" i="17"/>
  <c r="G194" i="17"/>
  <c r="G178" i="17"/>
  <c r="G162" i="17"/>
  <c r="G130" i="17"/>
  <c r="G66" i="17"/>
  <c r="G58" i="17"/>
  <c r="G50" i="17"/>
  <c r="G34" i="17"/>
  <c r="D8" i="9"/>
  <c r="G756" i="17"/>
  <c r="G752" i="17"/>
  <c r="G748" i="17"/>
  <c r="G740" i="17"/>
  <c r="G736" i="17"/>
  <c r="G728" i="17"/>
  <c r="G724" i="17"/>
  <c r="G720" i="17"/>
  <c r="G716" i="17"/>
  <c r="G696" i="17"/>
  <c r="G680" i="17"/>
  <c r="G672" i="17"/>
  <c r="G668" i="17"/>
  <c r="G644" i="17"/>
  <c r="G640" i="17"/>
  <c r="G636" i="17"/>
  <c r="G632" i="17"/>
  <c r="G624" i="17"/>
  <c r="G596" i="17"/>
  <c r="G580" i="17"/>
  <c r="G564" i="17"/>
  <c r="G560" i="17"/>
  <c r="G556" i="17"/>
  <c r="G552" i="17"/>
  <c r="G548" i="17"/>
  <c r="G544" i="17"/>
  <c r="G536" i="17"/>
  <c r="G526" i="17"/>
  <c r="G521" i="17"/>
  <c r="G514" i="17"/>
  <c r="G508" i="17"/>
  <c r="G494" i="17"/>
  <c r="G482" i="17"/>
  <c r="G476" i="17"/>
  <c r="G469" i="17"/>
  <c r="G462" i="17"/>
  <c r="G450" i="17"/>
  <c r="G444" i="17"/>
  <c r="G437" i="17"/>
  <c r="G398" i="17"/>
  <c r="G380" i="17"/>
  <c r="G361" i="17"/>
  <c r="G334" i="17"/>
  <c r="G329" i="17"/>
  <c r="G321" i="17"/>
  <c r="G313" i="17"/>
  <c r="G305" i="17"/>
  <c r="G297" i="17"/>
  <c r="G281" i="17"/>
  <c r="G273" i="17"/>
  <c r="G249" i="17"/>
  <c r="G241" i="17"/>
  <c r="G233" i="17"/>
  <c r="G225" i="17"/>
  <c r="G201" i="17"/>
  <c r="G193" i="17"/>
  <c r="G177" i="17"/>
  <c r="G161" i="17"/>
  <c r="G145" i="17"/>
  <c r="G137" i="17"/>
  <c r="G121" i="17"/>
  <c r="G113" i="17"/>
  <c r="G97" i="17"/>
  <c r="G89" i="17"/>
  <c r="G73" i="17"/>
  <c r="G65" i="17"/>
  <c r="G57" i="17"/>
  <c r="G41" i="17"/>
  <c r="G33" i="17"/>
  <c r="G599" i="17"/>
  <c r="G595" i="17"/>
  <c r="G591" i="17"/>
  <c r="G587" i="17"/>
  <c r="G579" i="17"/>
  <c r="G571" i="17"/>
  <c r="G563" i="17"/>
  <c r="G555" i="17"/>
  <c r="G547" i="17"/>
  <c r="G535" i="17"/>
  <c r="G520" i="17"/>
  <c r="G501" i="17"/>
  <c r="G488" i="17"/>
  <c r="G481" i="17"/>
  <c r="G449" i="17"/>
  <c r="G442" i="17"/>
  <c r="G430" i="17"/>
  <c r="G424" i="17"/>
  <c r="G410" i="17"/>
  <c r="G405" i="17"/>
  <c r="G392" i="17"/>
  <c r="G373" i="17"/>
  <c r="G366" i="17"/>
  <c r="G360" i="17"/>
  <c r="G341" i="17"/>
  <c r="G328" i="17"/>
  <c r="G289" i="17"/>
  <c r="G265" i="17"/>
  <c r="G257" i="17"/>
  <c r="G217" i="17"/>
  <c r="G209" i="17"/>
  <c r="G185" i="17"/>
  <c r="G169" i="17"/>
  <c r="G153" i="17"/>
  <c r="G129" i="17"/>
  <c r="G105" i="17"/>
  <c r="G81" i="17"/>
  <c r="G49" i="17"/>
  <c r="G324" i="17"/>
  <c r="G308" i="17"/>
  <c r="G304" i="17"/>
  <c r="G300" i="17"/>
  <c r="G296" i="17"/>
  <c r="G288" i="17"/>
  <c r="G272" i="17"/>
  <c r="G260" i="17"/>
  <c r="G256" i="17"/>
  <c r="G252" i="17"/>
  <c r="G248" i="17"/>
  <c r="G244" i="17"/>
  <c r="G236" i="17"/>
  <c r="G228" i="17"/>
  <c r="G224" i="17"/>
  <c r="G216" i="17"/>
  <c r="G212" i="17"/>
  <c r="G208" i="17"/>
  <c r="G204" i="17"/>
  <c r="G196" i="17"/>
  <c r="G192" i="17"/>
  <c r="G180" i="17"/>
  <c r="G176" i="17"/>
  <c r="G172" i="17"/>
  <c r="G164" i="17"/>
  <c r="G156" i="17"/>
  <c r="G152" i="17"/>
  <c r="G144" i="17"/>
  <c r="G120" i="17"/>
  <c r="G112" i="17"/>
  <c r="G108" i="17"/>
  <c r="G100" i="17"/>
  <c r="G96" i="17"/>
  <c r="G88" i="17"/>
  <c r="G80" i="17"/>
  <c r="G76" i="17"/>
  <c r="G72" i="17"/>
  <c r="G68" i="17"/>
  <c r="G64" i="17"/>
  <c r="G56" i="17"/>
  <c r="G52" i="17"/>
  <c r="G48" i="17"/>
  <c r="G36" i="17"/>
  <c r="G32" i="17"/>
  <c r="G524" i="17"/>
  <c r="G492" i="17"/>
  <c r="G484" i="17"/>
  <c r="G468" i="17"/>
  <c r="G456" i="17"/>
  <c r="G440" i="17"/>
  <c r="G432" i="17"/>
  <c r="G416" i="17"/>
  <c r="G412" i="17"/>
  <c r="G408" i="17"/>
  <c r="G400" i="17"/>
  <c r="G376" i="17"/>
  <c r="G372" i="17"/>
  <c r="G368" i="17"/>
  <c r="G364" i="17"/>
  <c r="G348" i="17"/>
  <c r="G344" i="17"/>
  <c r="G340" i="17"/>
  <c r="G332" i="17"/>
  <c r="G320" i="17"/>
  <c r="G316" i="17"/>
  <c r="G312" i="17"/>
  <c r="G292" i="17"/>
  <c r="G284" i="17"/>
  <c r="G280" i="17"/>
  <c r="G276" i="17"/>
  <c r="G268" i="17"/>
  <c r="G264" i="17"/>
  <c r="G240" i="17"/>
  <c r="G232" i="17"/>
  <c r="G220" i="17"/>
  <c r="G200" i="17"/>
  <c r="G188" i="17"/>
  <c r="G184" i="17"/>
  <c r="G168" i="17"/>
  <c r="G160" i="17"/>
  <c r="G148" i="17"/>
  <c r="G140" i="17"/>
  <c r="G136" i="17"/>
  <c r="G132" i="17"/>
  <c r="G128" i="17"/>
  <c r="G124" i="17"/>
  <c r="G116" i="17"/>
  <c r="G104" i="17"/>
  <c r="G92" i="17"/>
  <c r="G84" i="17"/>
  <c r="G60" i="17"/>
  <c r="G44" i="17"/>
  <c r="G40" i="17"/>
  <c r="G28" i="17"/>
  <c r="G527" i="17"/>
  <c r="G519" i="17"/>
  <c r="G515" i="17"/>
  <c r="G507" i="17"/>
  <c r="G503" i="17"/>
  <c r="G499" i="17"/>
  <c r="G495" i="17"/>
  <c r="G491" i="17"/>
  <c r="G483" i="17"/>
  <c r="G475" i="17"/>
  <c r="G471" i="17"/>
  <c r="G467" i="17"/>
  <c r="G459" i="17"/>
  <c r="G455" i="17"/>
  <c r="G447" i="17"/>
  <c r="G439" i="17"/>
  <c r="G435" i="17"/>
  <c r="G427" i="17"/>
  <c r="G419" i="17"/>
  <c r="G411" i="17"/>
  <c r="G407" i="17"/>
  <c r="G395" i="17"/>
  <c r="G387" i="17"/>
  <c r="G383" i="17"/>
  <c r="G379" i="17"/>
  <c r="G375" i="17"/>
  <c r="G367" i="17"/>
  <c r="G359" i="17"/>
  <c r="G355" i="17"/>
  <c r="G351" i="17"/>
  <c r="G347" i="17"/>
  <c r="G339" i="17"/>
  <c r="G335" i="17"/>
  <c r="G327" i="17"/>
  <c r="G315" i="17"/>
  <c r="G311" i="17"/>
  <c r="G303" i="17"/>
  <c r="G299" i="17"/>
  <c r="G279" i="17"/>
  <c r="G275" i="17"/>
  <c r="G271" i="17"/>
  <c r="G267" i="17"/>
  <c r="G263" i="17"/>
  <c r="G259" i="17"/>
  <c r="G243" i="17"/>
  <c r="G231" i="17"/>
  <c r="G227" i="17"/>
  <c r="G211" i="17"/>
  <c r="G207" i="17"/>
  <c r="G195" i="17"/>
  <c r="G191" i="17"/>
  <c r="G187" i="17"/>
  <c r="G183" i="17"/>
  <c r="G175" i="17"/>
  <c r="G163" i="17"/>
  <c r="G151" i="17"/>
  <c r="G143" i="17"/>
  <c r="G131" i="17"/>
  <c r="G127" i="17"/>
  <c r="G123" i="17"/>
  <c r="G107" i="17"/>
  <c r="G87" i="17"/>
  <c r="G83" i="17"/>
  <c r="G79" i="17"/>
  <c r="G59" i="17"/>
  <c r="G43" i="17"/>
  <c r="G27" i="17"/>
  <c r="G25" i="17"/>
  <c r="G523" i="17"/>
  <c r="G511" i="17"/>
  <c r="G487" i="17"/>
  <c r="G479" i="17"/>
  <c r="G463" i="17"/>
  <c r="G451" i="17"/>
  <c r="G443" i="17"/>
  <c r="G431" i="17"/>
  <c r="G423" i="17"/>
  <c r="G415" i="17"/>
  <c r="G403" i="17"/>
  <c r="G399" i="17"/>
  <c r="G391" i="17"/>
  <c r="G371" i="17"/>
  <c r="G363" i="17"/>
  <c r="G343" i="17"/>
  <c r="G331" i="17"/>
  <c r="G323" i="17"/>
  <c r="G319" i="17"/>
  <c r="G307" i="17"/>
  <c r="G295" i="17"/>
  <c r="G291" i="17"/>
  <c r="G287" i="17"/>
  <c r="G283" i="17"/>
  <c r="G255" i="17"/>
  <c r="G251" i="17"/>
  <c r="G247" i="17"/>
  <c r="G239" i="17"/>
  <c r="G235" i="17"/>
  <c r="G223" i="17"/>
  <c r="G219" i="17"/>
  <c r="G215" i="17"/>
  <c r="G203" i="17"/>
  <c r="G199" i="17"/>
  <c r="G179" i="17"/>
  <c r="G171" i="17"/>
  <c r="G167" i="17"/>
  <c r="G159" i="17"/>
  <c r="G155" i="17"/>
  <c r="G147" i="17"/>
  <c r="G139" i="17"/>
  <c r="G135" i="17"/>
  <c r="G119" i="17"/>
  <c r="G115" i="17"/>
  <c r="G111" i="17"/>
  <c r="G103" i="17"/>
  <c r="G99" i="17"/>
  <c r="G95" i="17"/>
  <c r="G91" i="17"/>
  <c r="G75" i="17"/>
  <c r="G71" i="17"/>
  <c r="G67" i="17"/>
  <c r="G63" i="17"/>
  <c r="G55" i="17"/>
  <c r="G51" i="17"/>
  <c r="G47" i="17"/>
  <c r="G39" i="17"/>
  <c r="G35" i="17"/>
  <c r="G31" i="17"/>
  <c r="G24" i="17"/>
  <c r="H1515" i="17"/>
  <c r="H733" i="17"/>
  <c r="H1336" i="17"/>
  <c r="H118" i="17"/>
  <c r="H1128" i="17"/>
  <c r="H1335" i="17"/>
  <c r="H726" i="17"/>
  <c r="H1465" i="17"/>
  <c r="H1421" i="17"/>
  <c r="H1315" i="17"/>
  <c r="H1207" i="17"/>
  <c r="H1009" i="17"/>
  <c r="H586" i="17"/>
  <c r="H1395" i="17"/>
  <c r="H1479" i="17"/>
  <c r="H1038" i="17"/>
  <c r="H985" i="17"/>
  <c r="H1454" i="17"/>
  <c r="H1000" i="17"/>
  <c r="H1501" i="17"/>
  <c r="H1391" i="17"/>
  <c r="H1275" i="17"/>
  <c r="H1155" i="17"/>
  <c r="H977" i="17"/>
  <c r="H531" i="17"/>
  <c r="H1267" i="17"/>
  <c r="H1407" i="17"/>
  <c r="H1506" i="17"/>
  <c r="H1259" i="17"/>
  <c r="H1490" i="17"/>
  <c r="H1290" i="17"/>
  <c r="H117" i="17"/>
  <c r="H1464" i="17"/>
  <c r="H1408" i="17"/>
  <c r="H1319" i="17"/>
  <c r="H1230" i="17"/>
  <c r="H1040" i="17"/>
  <c r="H873" i="17"/>
  <c r="H1519" i="17"/>
  <c r="H1161" i="17"/>
  <c r="H1348" i="17"/>
  <c r="H1374" i="17"/>
  <c r="H1512" i="17"/>
  <c r="H1456" i="17"/>
  <c r="H1370" i="17"/>
  <c r="H1280" i="17"/>
  <c r="H1091" i="17"/>
  <c r="H746" i="17"/>
  <c r="H901" i="17"/>
  <c r="H706" i="17"/>
  <c r="H1414" i="17"/>
  <c r="H1366" i="17"/>
  <c r="H1310" i="17"/>
  <c r="H1204" i="17"/>
  <c r="H1108" i="17"/>
  <c r="H999" i="17"/>
  <c r="H880" i="17"/>
  <c r="H390" i="17"/>
  <c r="H1385" i="17"/>
  <c r="H1341" i="17"/>
  <c r="H1277" i="17"/>
  <c r="H1196" i="17"/>
  <c r="H1145" i="17"/>
  <c r="H1036" i="17"/>
  <c r="H950" i="17"/>
  <c r="H797" i="17"/>
  <c r="H539" i="17"/>
  <c r="H1409" i="17"/>
  <c r="H1313" i="17"/>
  <c r="H1257" i="17"/>
  <c r="H1215" i="17"/>
  <c r="H1144" i="17"/>
  <c r="H1068" i="17"/>
  <c r="H948" i="17"/>
  <c r="H809" i="17"/>
  <c r="H466" i="17"/>
  <c r="H1163" i="17"/>
  <c r="H1087" i="17"/>
  <c r="H1043" i="17"/>
  <c r="H971" i="17"/>
  <c r="H888" i="17"/>
  <c r="H811" i="17"/>
  <c r="H512" i="17"/>
  <c r="H174" i="17"/>
  <c r="H1162" i="17"/>
  <c r="H1114" i="17"/>
  <c r="H1046" i="17"/>
  <c r="H969" i="17"/>
  <c r="H898" i="17"/>
  <c r="H768" i="17"/>
  <c r="H578" i="17"/>
  <c r="H197" i="17"/>
  <c r="H1173" i="17"/>
  <c r="H1121" i="17"/>
  <c r="H1061" i="17"/>
  <c r="H1005" i="17"/>
  <c r="H942" i="17"/>
  <c r="H853" i="17"/>
  <c r="H683" i="17"/>
  <c r="H397" i="17"/>
  <c r="H976" i="17"/>
  <c r="H900" i="17"/>
  <c r="H828" i="17"/>
  <c r="H784" i="17"/>
  <c r="H730" i="17"/>
  <c r="H627" i="17"/>
  <c r="H478" i="17"/>
  <c r="H245" i="17"/>
  <c r="H991" i="17"/>
  <c r="H923" i="17"/>
  <c r="H823" i="17"/>
  <c r="H771" i="17"/>
  <c r="H710" i="17"/>
  <c r="H575" i="17"/>
  <c r="H474" i="17"/>
  <c r="H206" i="17"/>
  <c r="H30" i="17"/>
  <c r="H918" i="17"/>
  <c r="H846" i="17"/>
  <c r="H762" i="17"/>
  <c r="H695" i="17"/>
  <c r="H574" i="17"/>
  <c r="H434" i="17"/>
  <c r="H205" i="17"/>
  <c r="H826" i="17"/>
  <c r="H774" i="17"/>
  <c r="H643" i="17"/>
  <c r="H1463" i="17"/>
  <c r="H338" i="17"/>
  <c r="H1227" i="17"/>
  <c r="H1486" i="17"/>
  <c r="H1097" i="17"/>
  <c r="H1264" i="17"/>
  <c r="H310" i="17"/>
  <c r="H1457" i="17"/>
  <c r="H1416" i="17"/>
  <c r="H1308" i="17"/>
  <c r="H1187" i="17"/>
  <c r="H996" i="17"/>
  <c r="H454" i="17"/>
  <c r="H1368" i="17"/>
  <c r="H1419" i="17"/>
  <c r="H493" i="17"/>
  <c r="H925" i="17"/>
  <c r="H1386" i="17"/>
  <c r="H789" i="17"/>
  <c r="H1489" i="17"/>
  <c r="H1384" i="17"/>
  <c r="H1256" i="17"/>
  <c r="H1135" i="17"/>
  <c r="H957" i="17"/>
  <c r="H70" i="17"/>
  <c r="H1240" i="17"/>
  <c r="H1323" i="17"/>
  <c r="H1466" i="17"/>
  <c r="H1218" i="17"/>
  <c r="H1478" i="17"/>
  <c r="H1271" i="17"/>
  <c r="H1517" i="17"/>
  <c r="H1448" i="17"/>
  <c r="H1396" i="17"/>
  <c r="H1312" i="17"/>
  <c r="H1214" i="17"/>
  <c r="H1032" i="17"/>
  <c r="H829" i="17"/>
  <c r="H1483" i="17"/>
  <c r="H1039" i="17"/>
  <c r="H1291" i="17"/>
  <c r="H1246" i="17"/>
  <c r="H1508" i="17"/>
  <c r="H1452" i="17"/>
  <c r="H1363" i="17"/>
  <c r="H1255" i="17"/>
  <c r="H1051" i="17"/>
  <c r="H623" i="17"/>
  <c r="H870" i="17"/>
  <c r="H642" i="17"/>
  <c r="H1410" i="17"/>
  <c r="H1354" i="17"/>
  <c r="H1298" i="17"/>
  <c r="H1197" i="17"/>
  <c r="H1082" i="17"/>
  <c r="H992" i="17"/>
  <c r="H837" i="17"/>
  <c r="H352" i="17"/>
  <c r="H1381" i="17"/>
  <c r="H1337" i="17"/>
  <c r="H1269" i="17"/>
  <c r="H1190" i="17"/>
  <c r="H1139" i="17"/>
  <c r="H1030" i="17"/>
  <c r="H940" i="17"/>
  <c r="H772" i="17"/>
  <c r="H506" i="17"/>
  <c r="H1405" i="17"/>
  <c r="H1305" i="17"/>
  <c r="H1245" i="17"/>
  <c r="H1202" i="17"/>
  <c r="H1132" i="17"/>
  <c r="H1048" i="17"/>
  <c r="H938" i="17"/>
  <c r="H796" i="17"/>
  <c r="H417" i="17"/>
  <c r="H1131" i="17"/>
  <c r="H1083" i="17"/>
  <c r="H1035" i="17"/>
  <c r="H952" i="17"/>
  <c r="H881" i="17"/>
  <c r="H779" i="17"/>
  <c r="H486" i="17"/>
  <c r="H46" i="17"/>
  <c r="H1150" i="17"/>
  <c r="H1110" i="17"/>
  <c r="H1042" i="17"/>
  <c r="H962" i="17"/>
  <c r="H892" i="17"/>
  <c r="H711" i="17"/>
  <c r="H562" i="17"/>
  <c r="H133" i="17"/>
  <c r="H1169" i="17"/>
  <c r="H1117" i="17"/>
  <c r="H1057" i="17"/>
  <c r="H1001" i="17"/>
  <c r="H936" i="17"/>
  <c r="H839" i="17"/>
  <c r="H658" i="17"/>
  <c r="H370" i="17"/>
  <c r="H972" i="17"/>
  <c r="H884" i="17"/>
  <c r="H824" i="17"/>
  <c r="H780" i="17"/>
  <c r="H705" i="17"/>
  <c r="H615" i="17"/>
  <c r="H453" i="17"/>
  <c r="H213" i="17"/>
  <c r="H987" i="17"/>
  <c r="H907" i="17"/>
  <c r="H819" i="17"/>
  <c r="H1343" i="17"/>
  <c r="H1503" i="17"/>
  <c r="H1140" i="17"/>
  <c r="H1458" i="17"/>
  <c r="H687" i="17"/>
  <c r="H1244" i="17"/>
  <c r="H1513" i="17"/>
  <c r="H1453" i="17"/>
  <c r="H1404" i="17"/>
  <c r="H1302" i="17"/>
  <c r="H1167" i="17"/>
  <c r="H978" i="17"/>
  <c r="H377" i="17"/>
  <c r="H1272" i="17"/>
  <c r="H1387" i="17"/>
  <c r="H230" i="17"/>
  <c r="H841" i="17"/>
  <c r="H1367" i="17"/>
  <c r="H602" i="17"/>
  <c r="H1477" i="17"/>
  <c r="H1359" i="17"/>
  <c r="H1250" i="17"/>
  <c r="H1124" i="17"/>
  <c r="H915" i="17"/>
  <c r="H1507" i="17"/>
  <c r="H1172" i="17"/>
  <c r="H1252" i="17"/>
  <c r="H1442" i="17"/>
  <c r="H1180" i="17"/>
  <c r="H1462" i="17"/>
  <c r="H1232" i="17"/>
  <c r="H1520" i="17"/>
  <c r="H1444" i="17"/>
  <c r="H1371" i="17"/>
  <c r="H1307" i="17"/>
  <c r="H1194" i="17"/>
  <c r="H1020" i="17"/>
  <c r="H707" i="17"/>
  <c r="H1459" i="17"/>
  <c r="H989" i="17"/>
  <c r="H1266" i="17"/>
  <c r="H1200" i="17"/>
  <c r="H1500" i="17"/>
  <c r="H1428" i="17"/>
  <c r="H1356" i="17"/>
  <c r="H1248" i="17"/>
  <c r="H1028" i="17"/>
  <c r="H54" i="17"/>
  <c r="H861" i="17"/>
  <c r="H518" i="17"/>
  <c r="H1406" i="17"/>
  <c r="H1350" i="17"/>
  <c r="H1294" i="17"/>
  <c r="H1191" i="17"/>
  <c r="H1076" i="17"/>
  <c r="H982" i="17"/>
  <c r="H812" i="17"/>
  <c r="H150" i="17"/>
  <c r="H1377" i="17"/>
  <c r="H1333" i="17"/>
  <c r="H1265" i="17"/>
  <c r="H1184" i="17"/>
  <c r="H1113" i="17"/>
  <c r="H1024" i="17"/>
  <c r="H919" i="17"/>
  <c r="H739" i="17"/>
  <c r="H429" i="17"/>
  <c r="H1389" i="17"/>
  <c r="H1301" i="17"/>
  <c r="H1241" i="17"/>
  <c r="H1189" i="17"/>
  <c r="H1119" i="17"/>
  <c r="H1029" i="17"/>
  <c r="H928" i="17"/>
  <c r="H738" i="17"/>
  <c r="H378" i="17"/>
  <c r="H1115" i="17"/>
  <c r="H1079" i="17"/>
  <c r="H1031" i="17"/>
  <c r="H945" i="17"/>
  <c r="H875" i="17"/>
  <c r="H703" i="17"/>
  <c r="H461" i="17"/>
  <c r="H1210" i="17"/>
  <c r="H1138" i="17"/>
  <c r="H1102" i="17"/>
  <c r="H1022" i="17"/>
  <c r="H943" i="17"/>
  <c r="H879" i="17"/>
  <c r="H686" i="17"/>
  <c r="H546" i="17"/>
  <c r="H101" i="17"/>
  <c r="H1165" i="17"/>
  <c r="H1109" i="17"/>
  <c r="H1053" i="17"/>
  <c r="H993" i="17"/>
  <c r="H929" i="17"/>
  <c r="H831" i="17"/>
  <c r="H646" i="17"/>
  <c r="H345" i="17"/>
  <c r="H964" i="17"/>
  <c r="H876" i="17"/>
  <c r="H820" i="17"/>
  <c r="H776" i="17"/>
  <c r="H691" i="17"/>
  <c r="H593" i="17"/>
  <c r="H414" i="17"/>
  <c r="H181" i="17"/>
  <c r="H975" i="17"/>
  <c r="H903" i="17"/>
  <c r="H807" i="17"/>
  <c r="H1324" i="17"/>
  <c r="H1487" i="17"/>
  <c r="H1058" i="17"/>
  <c r="H1438" i="17"/>
  <c r="H326" i="17"/>
  <c r="H1199" i="17"/>
  <c r="H1497" i="17"/>
  <c r="H1445" i="17"/>
  <c r="H1379" i="17"/>
  <c r="H1295" i="17"/>
  <c r="H1147" i="17"/>
  <c r="H937" i="17"/>
  <c r="H278" i="17"/>
  <c r="H1221" i="17"/>
  <c r="H1362" i="17"/>
  <c r="H1514" i="17"/>
  <c r="H765" i="17"/>
  <c r="H1258" i="17"/>
  <c r="H402" i="17"/>
  <c r="H1473" i="17"/>
  <c r="H1352" i="17"/>
  <c r="H1231" i="17"/>
  <c r="H1092" i="17"/>
  <c r="H895" i="17"/>
  <c r="H1491" i="17"/>
  <c r="H947" i="17"/>
  <c r="H1234" i="17"/>
  <c r="H1434" i="17"/>
  <c r="H1148" i="17"/>
  <c r="H1446" i="17"/>
  <c r="H1208" i="17"/>
  <c r="H1504" i="17"/>
  <c r="H1440" i="17"/>
  <c r="H1364" i="17"/>
  <c r="H1300" i="17"/>
  <c r="H1154" i="17"/>
  <c r="H1008" i="17"/>
  <c r="H667" i="17"/>
  <c r="H1443" i="17"/>
  <c r="H1471" i="17"/>
  <c r="H1160" i="17"/>
  <c r="H1026" i="17"/>
  <c r="H1496" i="17"/>
  <c r="H1415" i="17"/>
  <c r="H1331" i="17"/>
  <c r="H1242" i="17"/>
  <c r="H1007" i="17"/>
  <c r="H1019" i="17"/>
  <c r="H850" i="17"/>
  <c r="H480" i="17"/>
  <c r="H1398" i="17"/>
  <c r="H1342" i="17"/>
  <c r="H1282" i="17"/>
  <c r="H1159" i="17"/>
  <c r="H1069" i="17"/>
  <c r="H951" i="17"/>
  <c r="H785" i="17"/>
  <c r="H53" i="17"/>
  <c r="H1373" i="17"/>
  <c r="H1329" i="17"/>
  <c r="H1253" i="17"/>
  <c r="H1177" i="17"/>
  <c r="H1094" i="17"/>
  <c r="H1017" i="17"/>
  <c r="H899" i="17"/>
  <c r="H719" i="17"/>
  <c r="H389" i="17"/>
  <c r="H1369" i="17"/>
  <c r="H1297" i="17"/>
  <c r="H1237" i="17"/>
  <c r="H1183" i="17"/>
  <c r="H1106" i="17"/>
  <c r="H1023" i="17"/>
  <c r="H897" i="17"/>
  <c r="H718" i="17"/>
  <c r="H134" i="17"/>
  <c r="H1111" i="17"/>
  <c r="H1075" i="17"/>
  <c r="H1027" i="17"/>
  <c r="H933" i="17"/>
  <c r="H869" i="17"/>
  <c r="H690" i="17"/>
  <c r="H409" i="17"/>
  <c r="H1206" i="17"/>
  <c r="H1134" i="17"/>
  <c r="H1090" i="17"/>
  <c r="H1010" i="17"/>
  <c r="H930" i="17"/>
  <c r="H866" i="17"/>
  <c r="H674" i="17"/>
  <c r="H530" i="17"/>
  <c r="H1209" i="17"/>
  <c r="H1153" i="17"/>
  <c r="H1105" i="17"/>
  <c r="H1037" i="17"/>
  <c r="H981" i="17"/>
  <c r="H910" i="17"/>
  <c r="H815" i="17"/>
  <c r="H619" i="17"/>
  <c r="H1192" i="17"/>
  <c r="H1423" i="17"/>
  <c r="H731" i="17"/>
  <c r="H1239" i="17"/>
  <c r="H1470" i="17"/>
  <c r="H944" i="17"/>
  <c r="H1481" i="17"/>
  <c r="H1429" i="17"/>
  <c r="H1334" i="17"/>
  <c r="H1263" i="17"/>
  <c r="H1096" i="17"/>
  <c r="H781" i="17"/>
  <c r="H1467" i="17"/>
  <c r="H769" i="17"/>
  <c r="H1247" i="17"/>
  <c r="H1226" i="17"/>
  <c r="H1494" i="17"/>
  <c r="H1065" i="17"/>
  <c r="H1509" i="17"/>
  <c r="H1433" i="17"/>
  <c r="H1327" i="17"/>
  <c r="H1186" i="17"/>
  <c r="H1052" i="17"/>
  <c r="H751" i="17"/>
  <c r="H1311" i="17"/>
  <c r="H1495" i="17"/>
  <c r="H1047" i="17"/>
  <c r="H1296" i="17"/>
  <c r="H603" i="17"/>
  <c r="H1372" i="17"/>
  <c r="H764" i="17"/>
  <c r="H1480" i="17"/>
  <c r="H1424" i="17"/>
  <c r="H1344" i="17"/>
  <c r="H1243" i="17"/>
  <c r="H1112" i="17"/>
  <c r="H914" i="17"/>
  <c r="H277" i="17"/>
  <c r="H1260" i="17"/>
  <c r="H1412" i="17"/>
  <c r="H1426" i="17"/>
  <c r="H1411" i="17"/>
  <c r="H1468" i="17"/>
  <c r="H1383" i="17"/>
  <c r="H1292" i="17"/>
  <c r="H1182" i="17"/>
  <c r="H851" i="17"/>
  <c r="H953" i="17"/>
  <c r="H801" i="17"/>
  <c r="H262" i="17"/>
  <c r="H1382" i="17"/>
  <c r="H1322" i="17"/>
  <c r="H1254" i="17"/>
  <c r="H1127" i="17"/>
  <c r="H1018" i="17"/>
  <c r="H909" i="17"/>
  <c r="H681" i="17"/>
  <c r="H1397" i="17"/>
  <c r="H1353" i="17"/>
  <c r="H1293" i="17"/>
  <c r="H1216" i="17"/>
  <c r="H1158" i="17"/>
  <c r="H1062" i="17"/>
  <c r="H980" i="17"/>
  <c r="H857" i="17"/>
  <c r="H594" i="17"/>
  <c r="H198" i="17"/>
  <c r="H1325" i="17"/>
  <c r="H1273" i="17"/>
  <c r="H1224" i="17"/>
  <c r="H1157" i="17"/>
  <c r="H1080" i="17"/>
  <c r="H979" i="17"/>
  <c r="H845" i="17"/>
  <c r="H655" i="17"/>
  <c r="H1211" i="17"/>
  <c r="H1099" i="17"/>
  <c r="H1063" i="17"/>
  <c r="H995" i="17"/>
  <c r="H913" i="17"/>
  <c r="H843" i="17"/>
  <c r="H614" i="17"/>
  <c r="H333" i="17"/>
  <c r="H1174" i="17"/>
  <c r="H1122" i="17"/>
  <c r="H1054" i="17"/>
  <c r="H998" i="17"/>
  <c r="H911" i="17"/>
  <c r="H832" i="17"/>
  <c r="H622" i="17"/>
  <c r="H325" i="17"/>
  <c r="H1193" i="17"/>
  <c r="H1137" i="17"/>
  <c r="H1077" i="17"/>
  <c r="H1021" i="17"/>
  <c r="H955" i="17"/>
  <c r="H885" i="17"/>
  <c r="H735" i="17"/>
  <c r="H473" i="17"/>
  <c r="H549" i="17"/>
  <c r="H421" i="17"/>
  <c r="H125" i="17"/>
  <c r="H725" i="17"/>
  <c r="H665" i="17"/>
  <c r="H613" i="17"/>
  <c r="H561" i="17"/>
  <c r="H458" i="17"/>
  <c r="H374" i="17"/>
  <c r="H306" i="17"/>
  <c r="H170" i="17"/>
  <c r="H90" i="17"/>
  <c r="H708" i="17"/>
  <c r="H660" i="17"/>
  <c r="H608" i="17"/>
  <c r="H568" i="17"/>
  <c r="H464" i="17"/>
  <c r="H381" i="17"/>
  <c r="H218" i="17"/>
  <c r="H50" i="17"/>
  <c r="H728" i="17"/>
  <c r="H644" i="17"/>
  <c r="H560" i="17"/>
  <c r="H514" i="17"/>
  <c r="H444" i="17"/>
  <c r="H313" i="17"/>
  <c r="H225" i="17"/>
  <c r="H113" i="17"/>
  <c r="H599" i="17"/>
  <c r="H547" i="17"/>
  <c r="H430" i="17"/>
  <c r="H341" i="17"/>
  <c r="H169" i="17"/>
  <c r="H304" i="17"/>
  <c r="H248" i="17"/>
  <c r="H204" i="17"/>
  <c r="H152" i="17"/>
  <c r="H80" i="17"/>
  <c r="H36" i="17"/>
  <c r="H432" i="17"/>
  <c r="H364" i="17"/>
  <c r="H292" i="17"/>
  <c r="H220" i="17"/>
  <c r="H136" i="17"/>
  <c r="H60" i="17"/>
  <c r="H503" i="17"/>
  <c r="H459" i="17"/>
  <c r="H407" i="17"/>
  <c r="H355" i="17"/>
  <c r="H303" i="17"/>
  <c r="H243" i="17"/>
  <c r="H183" i="17"/>
  <c r="H107" i="17"/>
  <c r="H523" i="17"/>
  <c r="H423" i="17"/>
  <c r="H331" i="17"/>
  <c r="H255" i="17"/>
  <c r="H203" i="17"/>
  <c r="H139" i="17"/>
  <c r="H91" i="17"/>
  <c r="H39" i="17"/>
  <c r="H87" i="17"/>
  <c r="H415" i="17"/>
  <c r="H251" i="17"/>
  <c r="H199" i="17"/>
  <c r="H75" i="17"/>
  <c r="H35" i="17"/>
  <c r="H524" i="17"/>
  <c r="H495" i="17"/>
  <c r="H347" i="17"/>
  <c r="H227" i="17"/>
  <c r="H403" i="17"/>
  <c r="H247" i="17"/>
  <c r="H119" i="17"/>
  <c r="H31" i="17"/>
  <c r="H151" i="17"/>
  <c r="H479" i="17"/>
  <c r="H239" i="17"/>
  <c r="H24" i="17"/>
  <c r="H767" i="17"/>
  <c r="H698" i="17"/>
  <c r="H567" i="17"/>
  <c r="H436" i="17"/>
  <c r="H190" i="17"/>
  <c r="H990" i="17"/>
  <c r="H906" i="17"/>
  <c r="H842" i="17"/>
  <c r="H758" i="17"/>
  <c r="H677" i="17"/>
  <c r="H558" i="17"/>
  <c r="H396" i="17"/>
  <c r="H189" i="17"/>
  <c r="H822" i="17"/>
  <c r="H770" i="17"/>
  <c r="H638" i="17"/>
  <c r="H541" i="17"/>
  <c r="H394" i="17"/>
  <c r="H109" i="17"/>
  <c r="H717" i="17"/>
  <c r="H661" i="17"/>
  <c r="H609" i="17"/>
  <c r="H545" i="17"/>
  <c r="H452" i="17"/>
  <c r="H369" i="17"/>
  <c r="H290" i="17"/>
  <c r="H154" i="17"/>
  <c r="H82" i="17"/>
  <c r="H704" i="17"/>
  <c r="H656" i="17"/>
  <c r="H604" i="17"/>
  <c r="H540" i="17"/>
  <c r="H457" i="17"/>
  <c r="H354" i="17"/>
  <c r="H210" i="17"/>
  <c r="H34" i="17"/>
  <c r="H724" i="17"/>
  <c r="H640" i="17"/>
  <c r="H556" i="17"/>
  <c r="H508" i="17"/>
  <c r="H437" i="17"/>
  <c r="H305" i="17"/>
  <c r="H201" i="17"/>
  <c r="H97" i="17"/>
  <c r="H595" i="17"/>
  <c r="H535" i="17"/>
  <c r="H424" i="17"/>
  <c r="H328" i="17"/>
  <c r="H153" i="17"/>
  <c r="H300" i="17"/>
  <c r="H244" i="17"/>
  <c r="H196" i="17"/>
  <c r="H144" i="17"/>
  <c r="H76" i="17"/>
  <c r="H32" i="17"/>
  <c r="H416" i="17"/>
  <c r="H348" i="17"/>
  <c r="H284" i="17"/>
  <c r="H200" i="17"/>
  <c r="H132" i="17"/>
  <c r="H44" i="17"/>
  <c r="H499" i="17"/>
  <c r="H455" i="17"/>
  <c r="H395" i="17"/>
  <c r="H351" i="17"/>
  <c r="H299" i="17"/>
  <c r="H231" i="17"/>
  <c r="H175" i="17"/>
  <c r="H511" i="17"/>
  <c r="H323" i="17"/>
  <c r="H135" i="17"/>
  <c r="H344" i="17"/>
  <c r="H447" i="17"/>
  <c r="H279" i="17"/>
  <c r="H163" i="17"/>
  <c r="H487" i="17"/>
  <c r="H319" i="17"/>
  <c r="H179" i="17"/>
  <c r="H211" i="17"/>
  <c r="H399" i="17"/>
  <c r="H171" i="17"/>
  <c r="H763" i="17"/>
  <c r="H671" i="17"/>
  <c r="H559" i="17"/>
  <c r="H422" i="17"/>
  <c r="H142" i="17"/>
  <c r="H986" i="17"/>
  <c r="H902" i="17"/>
  <c r="H838" i="17"/>
  <c r="H753" i="17"/>
  <c r="H663" i="17"/>
  <c r="H550" i="17"/>
  <c r="H317" i="17"/>
  <c r="H141" i="17"/>
  <c r="H814" i="17"/>
  <c r="H766" i="17"/>
  <c r="H618" i="17"/>
  <c r="H533" i="17"/>
  <c r="H382" i="17"/>
  <c r="H93" i="17"/>
  <c r="H713" i="17"/>
  <c r="H657" i="17"/>
  <c r="H601" i="17"/>
  <c r="H529" i="17"/>
  <c r="H426" i="17"/>
  <c r="H362" i="17"/>
  <c r="H282" i="17"/>
  <c r="H146" i="17"/>
  <c r="H74" i="17"/>
  <c r="H700" i="17"/>
  <c r="H652" i="17"/>
  <c r="H600" i="17"/>
  <c r="H532" i="17"/>
  <c r="H445" i="17"/>
  <c r="H336" i="17"/>
  <c r="H194" i="17"/>
  <c r="H720" i="17"/>
  <c r="H636" i="17"/>
  <c r="H552" i="17"/>
  <c r="H494" i="17"/>
  <c r="H398" i="17"/>
  <c r="H297" i="17"/>
  <c r="H193" i="17"/>
  <c r="H89" i="17"/>
  <c r="H591" i="17"/>
  <c r="H520" i="17"/>
  <c r="H410" i="17"/>
  <c r="H289" i="17"/>
  <c r="H129" i="17"/>
  <c r="H296" i="17"/>
  <c r="H236" i="17"/>
  <c r="H192" i="17"/>
  <c r="H120" i="17"/>
  <c r="H72" i="17"/>
  <c r="H412" i="17"/>
  <c r="H280" i="17"/>
  <c r="H188" i="17"/>
  <c r="H128" i="17"/>
  <c r="H40" i="17"/>
  <c r="H387" i="17"/>
  <c r="H83" i="17"/>
  <c r="H71" i="17"/>
  <c r="H307" i="17"/>
  <c r="H67" i="17"/>
  <c r="H318" i="17"/>
  <c r="H960" i="17"/>
  <c r="H872" i="17"/>
  <c r="H816" i="17"/>
  <c r="H760" i="17"/>
  <c r="H679" i="17"/>
  <c r="H585" i="17"/>
  <c r="H350" i="17"/>
  <c r="H165" i="17"/>
  <c r="H967" i="17"/>
  <c r="H883" i="17"/>
  <c r="H803" i="17"/>
  <c r="H759" i="17"/>
  <c r="H666" i="17"/>
  <c r="H551" i="17"/>
  <c r="H385" i="17"/>
  <c r="H126" i="17"/>
  <c r="H974" i="17"/>
  <c r="H890" i="17"/>
  <c r="H818" i="17"/>
  <c r="H747" i="17"/>
  <c r="H651" i="17"/>
  <c r="H542" i="17"/>
  <c r="H301" i="17"/>
  <c r="H77" i="17"/>
  <c r="H798" i="17"/>
  <c r="H727" i="17"/>
  <c r="H611" i="17"/>
  <c r="H522" i="17"/>
  <c r="H357" i="17"/>
  <c r="H45" i="17"/>
  <c r="H697" i="17"/>
  <c r="H645" i="17"/>
  <c r="H589" i="17"/>
  <c r="H516" i="17"/>
  <c r="H420" i="17"/>
  <c r="H356" i="17"/>
  <c r="H250" i="17"/>
  <c r="H138" i="17"/>
  <c r="H42" i="17"/>
  <c r="H692" i="17"/>
  <c r="H648" i="17"/>
  <c r="H592" i="17"/>
  <c r="H528" i="17"/>
  <c r="H438" i="17"/>
  <c r="H298" i="17"/>
  <c r="H178" i="17"/>
  <c r="H756" i="17"/>
  <c r="H716" i="17"/>
  <c r="H632" i="17"/>
  <c r="H548" i="17"/>
  <c r="H482" i="17"/>
  <c r="H380" i="17"/>
  <c r="H281" i="17"/>
  <c r="H177" i="17"/>
  <c r="H73" i="17"/>
  <c r="H587" i="17"/>
  <c r="H501" i="17"/>
  <c r="H405" i="17"/>
  <c r="H265" i="17"/>
  <c r="H105" i="17"/>
  <c r="H288" i="17"/>
  <c r="H228" i="17"/>
  <c r="H180" i="17"/>
  <c r="H112" i="17"/>
  <c r="H68" i="17"/>
  <c r="H492" i="17"/>
  <c r="H408" i="17"/>
  <c r="H340" i="17"/>
  <c r="H276" i="17"/>
  <c r="H184" i="17"/>
  <c r="H124" i="17"/>
  <c r="H28" i="17"/>
  <c r="H491" i="17"/>
  <c r="H439" i="17"/>
  <c r="H383" i="17"/>
  <c r="H339" i="17"/>
  <c r="H275" i="17"/>
  <c r="H79" i="17"/>
  <c r="H115" i="17"/>
  <c r="H1518" i="17"/>
  <c r="H1136" i="17"/>
  <c r="H1493" i="17"/>
  <c r="H1441" i="17"/>
  <c r="H1347" i="17"/>
  <c r="H1283" i="17"/>
  <c r="H1116" i="17"/>
  <c r="H896" i="17"/>
  <c r="H182" i="17"/>
  <c r="H1181" i="17"/>
  <c r="H1330" i="17"/>
  <c r="H1316" i="17"/>
  <c r="H649" i="17"/>
  <c r="H1188" i="17"/>
  <c r="H214" i="17"/>
  <c r="H1461" i="17"/>
  <c r="H1346" i="17"/>
  <c r="H1223" i="17"/>
  <c r="H1084" i="17"/>
  <c r="H854" i="17"/>
  <c r="H1475" i="17"/>
  <c r="H886" i="17"/>
  <c r="H1212" i="17"/>
  <c r="H1418" i="17"/>
  <c r="H1014" i="17"/>
  <c r="H1430" i="17"/>
  <c r="H1179" i="17"/>
  <c r="H1492" i="17"/>
  <c r="H1436" i="17"/>
  <c r="H1358" i="17"/>
  <c r="H1268" i="17"/>
  <c r="H1143" i="17"/>
  <c r="H954" i="17"/>
  <c r="H629" i="17"/>
  <c r="H1375" i="17"/>
  <c r="H1455" i="17"/>
  <c r="H1098" i="17"/>
  <c r="H158" i="17"/>
  <c r="H912" i="17"/>
  <c r="H848" i="17"/>
  <c r="H800" i="17"/>
  <c r="H743" i="17"/>
  <c r="H641" i="17"/>
  <c r="H517" i="17"/>
  <c r="H293" i="17"/>
  <c r="H69" i="17"/>
  <c r="H931" i="17"/>
  <c r="H855" i="17"/>
  <c r="H791" i="17"/>
  <c r="H742" i="17"/>
  <c r="H607" i="17"/>
  <c r="H513" i="17"/>
  <c r="H286" i="17"/>
  <c r="H78" i="17"/>
  <c r="H946" i="17"/>
  <c r="H862" i="17"/>
  <c r="H802" i="17"/>
  <c r="H709" i="17"/>
  <c r="H598" i="17"/>
  <c r="H460" i="17"/>
  <c r="H237" i="17"/>
  <c r="H834" i="17"/>
  <c r="H782" i="17"/>
  <c r="H682" i="17"/>
  <c r="H581" i="17"/>
  <c r="H472" i="17"/>
  <c r="H173" i="17"/>
  <c r="H741" i="17"/>
  <c r="H673" i="17"/>
  <c r="H621" i="17"/>
  <c r="H569" i="17"/>
  <c r="H470" i="17"/>
  <c r="H401" i="17"/>
  <c r="H322" i="17"/>
  <c r="H202" i="17"/>
  <c r="H106" i="17"/>
  <c r="H732" i="17"/>
  <c r="H676" i="17"/>
  <c r="H616" i="17"/>
  <c r="H576" i="17"/>
  <c r="H489" i="17"/>
  <c r="H393" i="17"/>
  <c r="H258" i="17"/>
  <c r="H66" i="17"/>
  <c r="H740" i="17"/>
  <c r="H672" i="17"/>
  <c r="H580" i="17"/>
  <c r="H526" i="17"/>
  <c r="H462" i="17"/>
  <c r="H329" i="17"/>
  <c r="H241" i="17"/>
  <c r="H137" i="17"/>
  <c r="H41" i="17"/>
  <c r="H563" i="17"/>
  <c r="H449" i="17"/>
  <c r="H366" i="17"/>
  <c r="H209" i="17"/>
  <c r="H324" i="17"/>
  <c r="H256" i="17"/>
  <c r="H212" i="17"/>
  <c r="H164" i="17"/>
  <c r="H96" i="17"/>
  <c r="H52" i="17"/>
  <c r="H456" i="17"/>
  <c r="H372" i="17"/>
  <c r="H316" i="17"/>
  <c r="H240" i="17"/>
  <c r="H148" i="17"/>
  <c r="H92" i="17"/>
  <c r="H515" i="17"/>
  <c r="H471" i="17"/>
  <c r="H419" i="17"/>
  <c r="H367" i="17"/>
  <c r="H315" i="17"/>
  <c r="H263" i="17"/>
  <c r="H191" i="17"/>
  <c r="H127" i="17"/>
  <c r="H27" i="17"/>
  <c r="H443" i="17"/>
  <c r="H363" i="17"/>
  <c r="H287" i="17"/>
  <c r="H219" i="17"/>
  <c r="H155" i="17"/>
  <c r="H99" i="17"/>
  <c r="H51" i="17"/>
  <c r="H1400" i="17"/>
  <c r="H650" i="17"/>
  <c r="H1168" i="17"/>
  <c r="H1422" i="17"/>
  <c r="H882" i="17"/>
  <c r="H1469" i="17"/>
  <c r="H1425" i="17"/>
  <c r="H1320" i="17"/>
  <c r="H1251" i="17"/>
  <c r="H1064" i="17"/>
  <c r="H714" i="17"/>
  <c r="H1451" i="17"/>
  <c r="H1499" i="17"/>
  <c r="H1219" i="17"/>
  <c r="H1066" i="17"/>
  <c r="H1482" i="17"/>
  <c r="H1034" i="17"/>
  <c r="H1505" i="17"/>
  <c r="H1403" i="17"/>
  <c r="H1288" i="17"/>
  <c r="H1175" i="17"/>
  <c r="H1041" i="17"/>
  <c r="H630" i="17"/>
  <c r="H1286" i="17"/>
  <c r="H1427" i="17"/>
  <c r="H1522" i="17"/>
  <c r="H1284" i="17"/>
  <c r="H404" i="17"/>
  <c r="H1328" i="17"/>
  <c r="H554" i="17"/>
  <c r="H1472" i="17"/>
  <c r="H1420" i="17"/>
  <c r="H1339" i="17"/>
  <c r="H1236" i="17"/>
  <c r="H1060" i="17"/>
  <c r="H893" i="17"/>
  <c r="H166" i="17"/>
  <c r="H1235" i="17"/>
  <c r="H1380" i="17"/>
  <c r="H1355" i="17"/>
  <c r="H1484" i="17"/>
  <c r="H1338" i="17"/>
  <c r="H773" i="17"/>
  <c r="H1249" i="17"/>
  <c r="H877" i="17"/>
  <c r="H1285" i="17"/>
  <c r="H1100" i="17"/>
  <c r="H86" i="17"/>
  <c r="H1015" i="17"/>
  <c r="H384" i="17"/>
  <c r="H1086" i="17"/>
  <c r="H647" i="17"/>
  <c r="H1149" i="17"/>
  <c r="H1033" i="17"/>
  <c r="H904" i="17"/>
  <c r="H956" i="17"/>
  <c r="H755" i="17"/>
  <c r="H337" i="17"/>
  <c r="H799" i="17"/>
  <c r="H543" i="17"/>
  <c r="H966" i="17"/>
  <c r="H631" i="17"/>
  <c r="H61" i="17"/>
  <c r="H510" i="17"/>
  <c r="H633" i="17"/>
  <c r="H413" i="17"/>
  <c r="H26" i="17"/>
  <c r="H502" i="17"/>
  <c r="H752" i="17"/>
  <c r="H361" i="17"/>
  <c r="H488" i="17"/>
  <c r="H272" i="17"/>
  <c r="H484" i="17"/>
  <c r="H168" i="17"/>
  <c r="H435" i="17"/>
  <c r="H207" i="17"/>
  <c r="H463" i="17"/>
  <c r="H167" i="17"/>
  <c r="H1435" i="17"/>
  <c r="H1437" i="17"/>
  <c r="H833" i="17"/>
  <c r="H1304" i="17"/>
  <c r="H1156" i="17"/>
  <c r="H1332" i="17"/>
  <c r="H1217" i="17"/>
  <c r="H1129" i="17"/>
  <c r="H965" i="17"/>
  <c r="H1488" i="17"/>
  <c r="H1262" i="17"/>
  <c r="H1123" i="17"/>
  <c r="H365" i="17"/>
  <c r="H1474" i="17"/>
  <c r="H1213" i="17"/>
  <c r="H963" i="17"/>
  <c r="H1326" i="17"/>
  <c r="H1133" i="17"/>
  <c r="H701" i="17"/>
  <c r="H1309" i="17"/>
  <c r="H1081" i="17"/>
  <c r="H868" i="17"/>
  <c r="H1281" i="17"/>
  <c r="H1170" i="17"/>
  <c r="H997" i="17"/>
  <c r="H675" i="17"/>
  <c r="H1003" i="17"/>
  <c r="H849" i="17"/>
  <c r="H1178" i="17"/>
  <c r="H1002" i="17"/>
  <c r="H635" i="17"/>
  <c r="H1141" i="17"/>
  <c r="H1025" i="17"/>
  <c r="H775" i="17"/>
  <c r="H222" i="17"/>
  <c r="H852" i="17"/>
  <c r="H537" i="17"/>
  <c r="H935" i="17"/>
  <c r="H639" i="17"/>
  <c r="H958" i="17"/>
  <c r="H606" i="17"/>
  <c r="H786" i="17"/>
  <c r="H497" i="17"/>
  <c r="H685" i="17"/>
  <c r="H490" i="17"/>
  <c r="H226" i="17"/>
  <c r="H620" i="17"/>
  <c r="H266" i="17"/>
  <c r="H596" i="17"/>
  <c r="H249" i="17"/>
  <c r="H481" i="17"/>
  <c r="H260" i="17"/>
  <c r="H56" i="17"/>
  <c r="H160" i="17"/>
  <c r="H327" i="17"/>
  <c r="H451" i="17"/>
  <c r="H103" i="17"/>
  <c r="H1447" i="17"/>
  <c r="H1402" i="17"/>
  <c r="H1146" i="17"/>
  <c r="H1321" i="17"/>
  <c r="H1011" i="17"/>
  <c r="H1361" i="17"/>
  <c r="H1176" i="17"/>
  <c r="H694" i="17"/>
  <c r="H1071" i="17"/>
  <c r="H856" i="17"/>
  <c r="H1198" i="17"/>
  <c r="H1006" i="17"/>
  <c r="H505" i="17"/>
  <c r="H1101" i="17"/>
  <c r="H590" i="17"/>
  <c r="H860" i="17"/>
  <c r="H659" i="17"/>
  <c r="H939" i="17"/>
  <c r="H754" i="17"/>
  <c r="H346" i="17"/>
  <c r="H810" i="17"/>
  <c r="H534" i="17"/>
  <c r="H721" i="17"/>
  <c r="H330" i="17"/>
  <c r="H577" i="17"/>
  <c r="H234" i="17"/>
  <c r="H628" i="17"/>
  <c r="H274" i="17"/>
  <c r="H624" i="17"/>
  <c r="H161" i="17"/>
  <c r="H392" i="17"/>
  <c r="H176" i="17"/>
  <c r="H400" i="17"/>
  <c r="H116" i="17"/>
  <c r="H379" i="17"/>
  <c r="H143" i="17"/>
  <c r="H295" i="17"/>
  <c r="H63" i="17"/>
  <c r="H817" i="17"/>
  <c r="H1485" i="17"/>
  <c r="H1340" i="17"/>
  <c r="H1104" i="17"/>
  <c r="H1511" i="17"/>
  <c r="H1278" i="17"/>
  <c r="H1510" i="17"/>
  <c r="H1449" i="17"/>
  <c r="H1072" i="17"/>
  <c r="H793" i="17"/>
  <c r="H1360" i="17"/>
  <c r="H1392" i="17"/>
  <c r="H1351" i="17"/>
  <c r="H934" i="17"/>
  <c r="H1450" i="17"/>
  <c r="H1476" i="17"/>
  <c r="H1388" i="17"/>
  <c r="H871" i="17"/>
  <c r="H1390" i="17"/>
  <c r="H1270" i="17"/>
  <c r="H921" i="17"/>
  <c r="H1357" i="17"/>
  <c r="H1164" i="17"/>
  <c r="H1004" i="17"/>
  <c r="H1345" i="17"/>
  <c r="H1093" i="17"/>
  <c r="H38" i="17"/>
  <c r="H920" i="17"/>
  <c r="H626" i="17"/>
  <c r="H1126" i="17"/>
  <c r="H840" i="17"/>
  <c r="H1201" i="17"/>
  <c r="H891" i="17"/>
  <c r="H498" i="17"/>
  <c r="H750" i="17"/>
  <c r="H309" i="17"/>
  <c r="H859" i="17"/>
  <c r="H302" i="17"/>
  <c r="H874" i="17"/>
  <c r="H715" i="17"/>
  <c r="H269" i="17"/>
  <c r="H689" i="17"/>
  <c r="H253" i="17"/>
  <c r="H573" i="17"/>
  <c r="H342" i="17"/>
  <c r="H114" i="17"/>
  <c r="H584" i="17"/>
  <c r="H130" i="17"/>
  <c r="H536" i="17"/>
  <c r="H571" i="17"/>
  <c r="H216" i="17"/>
  <c r="H376" i="17"/>
  <c r="H104" i="17"/>
  <c r="H375" i="17"/>
  <c r="H131" i="17"/>
  <c r="H223" i="17"/>
  <c r="H864" i="17"/>
  <c r="H1306" i="17"/>
  <c r="H1056" i="17"/>
  <c r="H1365" i="17"/>
  <c r="H1088" i="17"/>
  <c r="H699" i="17"/>
  <c r="H1233" i="17"/>
  <c r="H887" i="17"/>
  <c r="H1107" i="17"/>
  <c r="H678" i="17"/>
  <c r="H1130" i="17"/>
  <c r="H847" i="17"/>
  <c r="H1205" i="17"/>
  <c r="H968" i="17"/>
  <c r="H254" i="17"/>
  <c r="H808" i="17"/>
  <c r="H553" i="17"/>
  <c r="H863" i="17"/>
  <c r="H653" i="17"/>
  <c r="H110" i="17"/>
  <c r="H734" i="17"/>
  <c r="H285" i="17"/>
  <c r="H605" i="17"/>
  <c r="H757" i="17"/>
  <c r="H509" i="17"/>
  <c r="H122" i="17"/>
  <c r="H588" i="17"/>
  <c r="H162" i="17"/>
  <c r="H476" i="17"/>
  <c r="H65" i="17"/>
  <c r="H81" i="17"/>
  <c r="H108" i="17"/>
  <c r="H332" i="17"/>
  <c r="H527" i="17"/>
  <c r="H335" i="17"/>
  <c r="H59" i="17"/>
  <c r="H235" i="17"/>
  <c r="H1502" i="17"/>
  <c r="H805" i="17"/>
  <c r="H1432" i="17"/>
  <c r="H1318" i="17"/>
  <c r="H1299" i="17"/>
  <c r="H353" i="17"/>
  <c r="H1044" i="17"/>
  <c r="H1225" i="17"/>
  <c r="H637" i="17"/>
  <c r="H1229" i="17"/>
  <c r="H867" i="17"/>
  <c r="H1067" i="17"/>
  <c r="H358" i="17"/>
  <c r="H917" i="17"/>
  <c r="H428" i="17"/>
  <c r="H961" i="17"/>
  <c r="H916" i="17"/>
  <c r="H654" i="17"/>
  <c r="H85" i="17"/>
  <c r="H795" i="17"/>
  <c r="H94" i="17"/>
  <c r="H806" i="17"/>
  <c r="H29" i="17"/>
  <c r="H597" i="17"/>
  <c r="H745" i="17"/>
  <c r="H406" i="17"/>
  <c r="H744" i="17"/>
  <c r="H418" i="17"/>
  <c r="H680" i="17"/>
  <c r="H469" i="17"/>
  <c r="H57" i="17"/>
  <c r="H217" i="17"/>
  <c r="H100" i="17"/>
  <c r="H264" i="17"/>
  <c r="H427" i="17"/>
  <c r="H43" i="17"/>
  <c r="H55" i="17"/>
  <c r="H1498" i="17"/>
  <c r="H1222" i="17"/>
  <c r="H973" i="17"/>
  <c r="H983" i="17"/>
  <c r="H825" i="17"/>
  <c r="H441" i="17"/>
  <c r="H1394" i="17"/>
  <c r="H1274" i="17"/>
  <c r="H941" i="17"/>
  <c r="H1413" i="17"/>
  <c r="H1171" i="17"/>
  <c r="H294" i="17"/>
  <c r="H1016" i="17"/>
  <c r="H926" i="17"/>
  <c r="H924" i="17"/>
  <c r="H783" i="17"/>
  <c r="H149" i="17"/>
  <c r="H878" i="17"/>
  <c r="H794" i="17"/>
  <c r="H693" i="17"/>
  <c r="H349" i="17"/>
  <c r="H688" i="17"/>
  <c r="H425" i="17"/>
  <c r="H696" i="17"/>
  <c r="H544" i="17"/>
  <c r="H273" i="17"/>
  <c r="H579" i="17"/>
  <c r="H257" i="17"/>
  <c r="H224" i="17"/>
  <c r="H64" i="17"/>
  <c r="H268" i="17"/>
  <c r="H483" i="17"/>
  <c r="H271" i="17"/>
  <c r="H391" i="17"/>
  <c r="H111" i="17"/>
  <c r="H1303" i="17"/>
  <c r="H1045" i="17"/>
  <c r="H1276" i="17"/>
  <c r="H1070" i="17"/>
  <c r="H1521" i="17"/>
  <c r="H1439" i="17"/>
  <c r="H1085" i="17"/>
  <c r="H1431" i="17"/>
  <c r="H813" i="17"/>
  <c r="H1401" i="17"/>
  <c r="H246" i="17"/>
  <c r="H1103" i="17"/>
  <c r="H1078" i="17"/>
  <c r="H1089" i="17"/>
  <c r="H804" i="17"/>
  <c r="H749" i="17"/>
  <c r="H485" i="17"/>
  <c r="H625" i="17"/>
  <c r="H684" i="17"/>
  <c r="H748" i="17"/>
  <c r="H145" i="17"/>
  <c r="H49" i="17"/>
  <c r="H468" i="17"/>
  <c r="H519" i="17"/>
  <c r="H267" i="17"/>
  <c r="H291" i="17"/>
  <c r="H1279" i="17"/>
  <c r="H1228" i="17"/>
  <c r="H1399" i="17"/>
  <c r="H1516" i="17"/>
  <c r="H1460" i="17"/>
  <c r="H1376" i="17"/>
  <c r="H1287" i="17"/>
  <c r="H1142" i="17"/>
  <c r="H777" i="17"/>
  <c r="H932" i="17"/>
  <c r="H761" i="17"/>
  <c r="H102" i="17"/>
  <c r="H1378" i="17"/>
  <c r="H1314" i="17"/>
  <c r="H1238" i="17"/>
  <c r="H1120" i="17"/>
  <c r="H1012" i="17"/>
  <c r="H889" i="17"/>
  <c r="H662" i="17"/>
  <c r="H1393" i="17"/>
  <c r="H1349" i="17"/>
  <c r="H1289" i="17"/>
  <c r="H1203" i="17"/>
  <c r="H1152" i="17"/>
  <c r="H1049" i="17"/>
  <c r="H970" i="17"/>
  <c r="H836" i="17"/>
  <c r="H570" i="17"/>
  <c r="H1417" i="17"/>
  <c r="H1317" i="17"/>
  <c r="H1261" i="17"/>
  <c r="H1220" i="17"/>
  <c r="H1151" i="17"/>
  <c r="H1074" i="17"/>
  <c r="H959" i="17"/>
  <c r="H821" i="17"/>
  <c r="H538" i="17"/>
  <c r="H1195" i="17"/>
  <c r="H1095" i="17"/>
  <c r="H1055" i="17"/>
  <c r="H984" i="17"/>
  <c r="H894" i="17"/>
  <c r="H835" i="17"/>
  <c r="H566" i="17"/>
  <c r="H270" i="17"/>
  <c r="H1166" i="17"/>
  <c r="H1118" i="17"/>
  <c r="H1050" i="17"/>
  <c r="H994" i="17"/>
  <c r="H905" i="17"/>
  <c r="H792" i="17"/>
  <c r="H610" i="17"/>
  <c r="H229" i="17"/>
  <c r="H1185" i="17"/>
  <c r="H1125" i="17"/>
  <c r="H1073" i="17"/>
  <c r="H1013" i="17"/>
  <c r="H949" i="17"/>
  <c r="H865" i="17"/>
  <c r="H722" i="17"/>
  <c r="H448" i="17"/>
  <c r="H988" i="17"/>
  <c r="H908" i="17"/>
  <c r="H844" i="17"/>
  <c r="H788" i="17"/>
  <c r="H737" i="17"/>
  <c r="H634" i="17"/>
  <c r="H504" i="17"/>
  <c r="H261" i="17"/>
  <c r="H37" i="17"/>
  <c r="H927" i="17"/>
  <c r="H827" i="17"/>
  <c r="H787" i="17"/>
  <c r="H723" i="17"/>
  <c r="H583" i="17"/>
  <c r="H500" i="17"/>
  <c r="H238" i="17"/>
  <c r="H62" i="17"/>
  <c r="H922" i="17"/>
  <c r="H858" i="17"/>
  <c r="H790" i="17"/>
  <c r="H702" i="17"/>
  <c r="H582" i="17"/>
  <c r="H446" i="17"/>
  <c r="H221" i="17"/>
  <c r="H830" i="17"/>
  <c r="H778" i="17"/>
  <c r="H670" i="17"/>
  <c r="H557" i="17"/>
  <c r="H433" i="17"/>
  <c r="H157" i="17"/>
  <c r="H729" i="17"/>
  <c r="H669" i="17"/>
  <c r="H617" i="17"/>
  <c r="H565" i="17"/>
  <c r="H465" i="17"/>
  <c r="H388" i="17"/>
  <c r="H314" i="17"/>
  <c r="H186" i="17"/>
  <c r="H98" i="17"/>
  <c r="H712" i="17"/>
  <c r="H664" i="17"/>
  <c r="H612" i="17"/>
  <c r="H572" i="17"/>
  <c r="H477" i="17"/>
  <c r="H386" i="17"/>
  <c r="H242" i="17"/>
  <c r="H58" i="17"/>
  <c r="H736" i="17"/>
  <c r="H668" i="17"/>
  <c r="H564" i="17"/>
  <c r="H521" i="17"/>
  <c r="H450" i="17"/>
  <c r="H321" i="17"/>
  <c r="H233" i="17"/>
  <c r="H121" i="17"/>
  <c r="H33" i="17"/>
  <c r="H555" i="17"/>
  <c r="H442" i="17"/>
  <c r="H360" i="17"/>
  <c r="H185" i="17"/>
  <c r="H308" i="17"/>
  <c r="H252" i="17"/>
  <c r="H208" i="17"/>
  <c r="H156" i="17"/>
  <c r="H88" i="17"/>
  <c r="H48" i="17"/>
  <c r="H440" i="17"/>
  <c r="H368" i="17"/>
  <c r="H312" i="17"/>
  <c r="H232" i="17"/>
  <c r="H140" i="17"/>
  <c r="H84" i="17"/>
  <c r="H507" i="17"/>
  <c r="H467" i="17"/>
  <c r="H411" i="17"/>
  <c r="H359" i="17"/>
  <c r="H311" i="17"/>
  <c r="H259" i="17"/>
  <c r="H187" i="17"/>
  <c r="H123" i="17"/>
  <c r="H25" i="17"/>
  <c r="H431" i="17"/>
  <c r="H343" i="17"/>
  <c r="H283" i="17"/>
  <c r="H215" i="17"/>
  <c r="H147" i="17"/>
  <c r="H95" i="17"/>
  <c r="H47" i="17"/>
  <c r="H525" i="17"/>
  <c r="H496" i="17"/>
  <c r="H334" i="17"/>
  <c r="H373" i="17"/>
  <c r="H172" i="17"/>
  <c r="H320" i="17"/>
  <c r="H475" i="17"/>
  <c r="H195" i="17"/>
  <c r="H371" i="17"/>
  <c r="H159" i="17"/>
  <c r="H1059" i="17"/>
  <c r="E23" i="17" l="1" a="1"/>
  <c r="D8" i="10"/>
  <c r="D9" i="10" l="1"/>
  <c r="E851" i="17"/>
  <c r="E580" i="17"/>
  <c r="E1048" i="17"/>
  <c r="E339" i="17"/>
  <c r="E1323" i="17"/>
  <c r="E281" i="17"/>
  <c r="E979" i="17"/>
  <c r="E1494" i="17"/>
  <c r="E583" i="17"/>
  <c r="E1329" i="17"/>
  <c r="E1179" i="17"/>
  <c r="E703" i="17"/>
  <c r="E1427" i="17"/>
  <c r="E1084" i="17"/>
  <c r="E1217" i="17"/>
  <c r="E512" i="17"/>
  <c r="E162" i="17"/>
  <c r="E307" i="17"/>
  <c r="E983" i="17"/>
  <c r="E409" i="17"/>
  <c r="E43" i="17"/>
  <c r="E450" i="17"/>
  <c r="E688" i="17"/>
  <c r="E56" i="17"/>
  <c r="E932" i="17"/>
  <c r="E235" i="17"/>
  <c r="E901" i="17"/>
  <c r="E291" i="17"/>
  <c r="E552" i="17"/>
  <c r="E1187" i="17"/>
  <c r="E1227" i="17"/>
  <c r="E1064" i="17"/>
  <c r="E1019" i="17"/>
  <c r="E1192" i="17"/>
  <c r="E1371" i="17"/>
  <c r="E360" i="17"/>
  <c r="E906" i="17"/>
  <c r="E855" i="17"/>
  <c r="E1195" i="17"/>
  <c r="E1087" i="17"/>
  <c r="E754" i="17"/>
  <c r="E289" i="17"/>
  <c r="E1315" i="17"/>
  <c r="E884" i="17"/>
  <c r="E902" i="17"/>
  <c r="E189" i="17"/>
  <c r="E260" i="17"/>
  <c r="E632" i="17"/>
  <c r="E607" i="17"/>
  <c r="E769" i="17"/>
  <c r="E1091" i="17"/>
  <c r="E424" i="17"/>
  <c r="E1346" i="17"/>
  <c r="E332" i="17"/>
  <c r="E368" i="17"/>
  <c r="E66" i="17"/>
  <c r="E436" i="17"/>
  <c r="E1374" i="17"/>
  <c r="E1221" i="17"/>
  <c r="E1252" i="17"/>
  <c r="E740" i="17"/>
  <c r="E1175" i="17"/>
  <c r="E1015" i="17"/>
  <c r="E1505" i="17"/>
  <c r="E438" i="17"/>
  <c r="E1003" i="17"/>
  <c r="E467" i="17"/>
  <c r="E274" i="17"/>
  <c r="E44" i="17"/>
  <c r="E869" i="17"/>
  <c r="E1211" i="17"/>
  <c r="E350" i="17"/>
  <c r="E243" i="17"/>
  <c r="E1032" i="17"/>
  <c r="E887" i="17"/>
  <c r="E1451" i="17"/>
  <c r="E1130" i="17"/>
  <c r="E1430" i="17"/>
  <c r="E1029" i="17"/>
  <c r="E175" i="17"/>
  <c r="E308" i="17"/>
  <c r="E630" i="17"/>
  <c r="E277" i="17"/>
  <c r="E41" i="17"/>
  <c r="E830" i="17"/>
  <c r="E1060" i="17"/>
  <c r="E407" i="17"/>
  <c r="E481" i="17"/>
  <c r="E1141" i="17"/>
  <c r="E1104" i="17"/>
  <c r="E942" i="17"/>
  <c r="E286" i="17"/>
  <c r="E958" i="17"/>
  <c r="E148" i="17"/>
  <c r="E55" i="17"/>
  <c r="E1381" i="17"/>
  <c r="E58" i="17"/>
  <c r="E608" i="17"/>
  <c r="E497" i="17"/>
  <c r="E1501" i="17"/>
  <c r="E789" i="17"/>
  <c r="E1233" i="17"/>
  <c r="E1470" i="17"/>
  <c r="E616" i="17"/>
  <c r="E1230" i="17"/>
  <c r="E1054" i="17"/>
  <c r="E508" i="17"/>
  <c r="E649" i="17"/>
  <c r="E1331" i="17"/>
  <c r="E1481" i="17"/>
  <c r="E778" i="17"/>
  <c r="E1413" i="17"/>
  <c r="E1173" i="17"/>
  <c r="E335" i="17"/>
  <c r="E762" i="17"/>
  <c r="E318" i="17"/>
  <c r="E690" i="17"/>
  <c r="E610" i="17"/>
  <c r="E757" i="17"/>
  <c r="E1284" i="17"/>
  <c r="E1039" i="17"/>
  <c r="E200" i="17"/>
  <c r="E735" i="17"/>
  <c r="E379" i="17"/>
  <c r="E638" i="17"/>
  <c r="E922" i="17"/>
  <c r="E774" i="17"/>
  <c r="E457" i="17"/>
  <c r="E1389" i="17"/>
  <c r="E1478" i="17"/>
  <c r="E278" i="17"/>
  <c r="E933" i="17"/>
  <c r="E97" i="17"/>
  <c r="E934" i="17"/>
  <c r="E1429" i="17"/>
  <c r="E1259" i="17"/>
  <c r="E470" i="17"/>
  <c r="E1308" i="17"/>
  <c r="E730" i="17"/>
  <c r="E1255" i="17"/>
  <c r="E954" i="17"/>
  <c r="E1520" i="17"/>
  <c r="E998" i="17"/>
  <c r="E1469" i="17"/>
  <c r="E1144" i="17"/>
  <c r="E1291" i="17"/>
  <c r="E835" i="17"/>
  <c r="E943" i="17"/>
  <c r="E1097" i="17"/>
  <c r="E531" i="17"/>
  <c r="E1190" i="17"/>
  <c r="E255" i="17"/>
  <c r="E733" i="17"/>
  <c r="E890" i="17"/>
  <c r="E850" i="17"/>
  <c r="E1482" i="17"/>
  <c r="E313" i="17"/>
  <c r="E641" i="17"/>
  <c r="E1257" i="17"/>
  <c r="E1271" i="17"/>
  <c r="E23" i="17"/>
  <c r="E396" i="17"/>
  <c r="E606" i="17"/>
  <c r="E823" i="17"/>
  <c r="E403" i="17"/>
  <c r="E1127" i="17"/>
  <c r="E100" i="17"/>
  <c r="E781" i="17"/>
  <c r="E1250" i="17"/>
  <c r="E1171" i="17"/>
  <c r="E138" i="17"/>
  <c r="E981" i="17"/>
  <c r="E756" i="17"/>
  <c r="E1454" i="17"/>
  <c r="E683" i="17"/>
  <c r="E180" i="17"/>
  <c r="E1238" i="17"/>
  <c r="E952" i="17"/>
  <c r="E1081" i="17"/>
  <c r="E300" i="17"/>
  <c r="E150" i="17"/>
  <c r="E1500" i="17"/>
  <c r="E1269" i="17"/>
  <c r="E1361" i="17"/>
  <c r="E986" i="17"/>
  <c r="E1327" i="17"/>
  <c r="E807" i="17"/>
  <c r="E1435" i="17"/>
  <c r="E1185" i="17"/>
  <c r="E1519" i="17"/>
  <c r="E358" i="17"/>
  <c r="E192" i="17"/>
  <c r="E1458" i="17"/>
  <c r="E491" i="17"/>
  <c r="E1421" i="17"/>
  <c r="E602" i="17"/>
  <c r="E1390" i="17"/>
  <c r="E142" i="17"/>
  <c r="E448" i="17"/>
  <c r="E304" i="17"/>
  <c r="E1137" i="17"/>
  <c r="E836" i="17"/>
  <c r="E193" i="17"/>
  <c r="E1466" i="17"/>
  <c r="E161" i="17"/>
  <c r="E791" i="17"/>
  <c r="E1319" i="17"/>
  <c r="E1337" i="17"/>
  <c r="E1160" i="17"/>
  <c r="E1359" i="17"/>
  <c r="E141" i="17"/>
  <c r="E54" i="17"/>
  <c r="E666" i="17"/>
  <c r="E967" i="17"/>
  <c r="E640" i="17"/>
  <c r="E960" i="17"/>
  <c r="E63" i="17"/>
  <c r="E865" i="17"/>
  <c r="E1235" i="17"/>
  <c r="E446" i="17"/>
  <c r="E236" i="17"/>
  <c r="E445" i="17"/>
  <c r="E1304" i="17"/>
  <c r="E111" i="17"/>
  <c r="E1357" i="17"/>
  <c r="E862" i="17"/>
  <c r="E1509" i="17"/>
  <c r="E107" i="17"/>
  <c r="E1218" i="17"/>
  <c r="E1307" i="17"/>
  <c r="E163" i="17"/>
  <c r="E507" i="17"/>
  <c r="E582" i="17"/>
  <c r="E676" i="17"/>
  <c r="E499" i="17"/>
  <c r="E782" i="17"/>
  <c r="E833" i="17"/>
  <c r="E105" i="17"/>
  <c r="E71" i="17"/>
  <c r="E1293" i="17"/>
  <c r="E1030" i="17"/>
  <c r="E1225" i="17"/>
  <c r="E36" i="17"/>
  <c r="E1344" i="17"/>
  <c r="E1203" i="17"/>
  <c r="E1311" i="17"/>
  <c r="E178" i="17"/>
  <c r="E469" i="17"/>
  <c r="E282" i="17"/>
  <c r="E285" i="17"/>
  <c r="E820" i="17"/>
  <c r="E1485" i="17"/>
  <c r="E861" i="17"/>
  <c r="E69" i="17"/>
  <c r="E39" i="17"/>
  <c r="E597" i="17"/>
  <c r="E875" i="17"/>
  <c r="E872" i="17"/>
  <c r="E780" i="17"/>
  <c r="E144" i="17"/>
  <c r="E1368" i="17"/>
  <c r="E146" i="17"/>
  <c r="E856" i="17"/>
  <c r="E137" i="17"/>
  <c r="E775" i="17"/>
  <c r="E562" i="17"/>
  <c r="E1110" i="17"/>
  <c r="E117" i="17"/>
  <c r="E270" i="17"/>
  <c r="E1209" i="17"/>
  <c r="E719" i="17"/>
  <c r="E1078" i="17"/>
  <c r="E838" i="17"/>
  <c r="E1147" i="17"/>
  <c r="E956" i="17"/>
  <c r="E1016" i="17"/>
  <c r="E1404" i="17"/>
  <c r="E663" i="17"/>
  <c r="E451" i="17"/>
  <c r="E657" i="17"/>
  <c r="E876" i="17"/>
  <c r="E1392" i="17"/>
  <c r="E212" i="17"/>
  <c r="E879" i="17"/>
  <c r="E792" i="17"/>
  <c r="E1062" i="17"/>
  <c r="E959" i="17"/>
  <c r="E394" i="17"/>
  <c r="E989" i="17"/>
  <c r="E283" i="17"/>
  <c r="E1441" i="17"/>
  <c r="E288" i="17"/>
  <c r="E847" i="17"/>
  <c r="E1464" i="17"/>
  <c r="E322" i="17"/>
  <c r="E92" i="17"/>
  <c r="E168" i="17"/>
  <c r="E556" i="17"/>
  <c r="E1341" i="17"/>
  <c r="E444" i="17"/>
  <c r="E1243" i="17"/>
  <c r="E209" i="17"/>
  <c r="E648" i="17"/>
  <c r="E811" i="17"/>
  <c r="E874" i="17"/>
  <c r="E1415" i="17"/>
  <c r="E1321" i="17"/>
  <c r="E1409" i="17"/>
  <c r="E176" i="17"/>
  <c r="E60" i="17"/>
  <c r="E414" i="17"/>
  <c r="E674" i="17"/>
  <c r="E101" i="17"/>
  <c r="E1232" i="17"/>
  <c r="E1164" i="17"/>
  <c r="E539" i="17"/>
  <c r="E784" i="17"/>
  <c r="E213" i="17"/>
  <c r="E904" i="17"/>
  <c r="E157" i="17"/>
  <c r="E545" i="17"/>
  <c r="E712" i="17"/>
  <c r="E1286" i="17"/>
  <c r="E1267" i="17"/>
  <c r="E493" i="17"/>
  <c r="E1031" i="17"/>
  <c r="E1287" i="17"/>
  <c r="E147" i="17"/>
  <c r="E191" i="17"/>
  <c r="E1128" i="17"/>
  <c r="E715" i="17"/>
  <c r="E1314" i="17"/>
  <c r="E1201" i="17"/>
  <c r="E668" i="17"/>
  <c r="E455" i="17"/>
  <c r="E59" i="17"/>
  <c r="E377" i="17"/>
  <c r="E679" i="17"/>
  <c r="E1335" i="17"/>
  <c r="E893" i="17"/>
  <c r="E790" i="17"/>
  <c r="E636" i="17"/>
  <c r="E783" i="17"/>
  <c r="E1262" i="17"/>
  <c r="E1268" i="17"/>
  <c r="E968" i="17"/>
  <c r="E108" i="17"/>
  <c r="E708" i="17"/>
  <c r="E1333" i="17"/>
  <c r="E422" i="17"/>
  <c r="E503" i="17"/>
  <c r="E938" i="17"/>
  <c r="E273" i="17"/>
  <c r="E857" i="17"/>
  <c r="E1468" i="17"/>
  <c r="E26" i="17"/>
  <c r="E296" i="17"/>
  <c r="E130" i="17"/>
  <c r="E104" i="17"/>
  <c r="E705" i="17"/>
  <c r="E623" i="17"/>
  <c r="E1472" i="17"/>
  <c r="E685" i="17"/>
  <c r="E987" i="17"/>
  <c r="E553" i="17"/>
  <c r="E256" i="17"/>
  <c r="E311" i="17"/>
  <c r="E557" i="17"/>
  <c r="E352" i="17"/>
  <c r="E83" i="17"/>
  <c r="E1499" i="17"/>
  <c r="E1116" i="17"/>
  <c r="E249" i="17"/>
  <c r="E917" i="17"/>
  <c r="E267" i="17"/>
  <c r="E972" i="17"/>
  <c r="E118" i="17"/>
  <c r="E814" i="17"/>
  <c r="E1253" i="17"/>
  <c r="E1419" i="17"/>
  <c r="E420" i="17"/>
  <c r="E126" i="17"/>
  <c r="E345" i="17"/>
  <c r="E515" i="17"/>
  <c r="E1376" i="17"/>
  <c r="E662" i="17"/>
  <c r="E293" i="17"/>
  <c r="E51" i="17"/>
  <c r="E944" i="17"/>
  <c r="E48" i="17"/>
  <c r="E659" i="17"/>
  <c r="E1449" i="17"/>
  <c r="E1069" i="17"/>
  <c r="E1457" i="17"/>
  <c r="E439" i="17"/>
  <c r="E1148" i="17"/>
  <c r="E513" i="17"/>
  <c r="E1197" i="17"/>
  <c r="E1408" i="17"/>
  <c r="E387" i="17"/>
  <c r="E805" i="17"/>
  <c r="E258" i="17"/>
  <c r="E1215" i="17"/>
  <c r="E1447" i="17"/>
  <c r="E955" i="17"/>
  <c r="E1229" i="17"/>
  <c r="E863" i="17"/>
  <c r="E1332" i="17"/>
  <c r="E571" i="17"/>
  <c r="E52" i="17"/>
  <c r="E802" i="17"/>
  <c r="E1101" i="17"/>
  <c r="E476" i="17"/>
  <c r="E839" i="17"/>
  <c r="E464" i="17"/>
  <c r="E1226" i="17"/>
  <c r="E82" i="17"/>
  <c r="E362" i="17"/>
  <c r="E370" i="17"/>
  <c r="E1395" i="17"/>
  <c r="E343" i="17"/>
  <c r="E225" i="17"/>
  <c r="E905" i="17"/>
  <c r="E1105" i="17"/>
  <c r="E554" i="17"/>
  <c r="E840" i="17"/>
  <c r="E1410" i="17"/>
  <c r="E714" i="17"/>
  <c r="E1009" i="17"/>
  <c r="E75" i="17"/>
  <c r="E1001" i="17"/>
  <c r="E1488" i="17"/>
  <c r="E1041" i="17"/>
  <c r="E523" i="17"/>
  <c r="E773" i="17"/>
  <c r="E577" i="17"/>
  <c r="E1074" i="17"/>
  <c r="E1228" i="17"/>
  <c r="E96" i="17"/>
  <c r="E1508" i="17"/>
  <c r="E228" i="17"/>
  <c r="E160" i="17"/>
  <c r="E639" i="17"/>
  <c r="E376" i="17"/>
  <c r="E1487" i="17"/>
  <c r="E1008" i="17"/>
  <c r="E1053" i="17"/>
  <c r="E767" i="17"/>
  <c r="E678" i="17"/>
  <c r="E980" i="17"/>
  <c r="E183" i="17"/>
  <c r="E411" i="17"/>
  <c r="E1115" i="17"/>
  <c r="E815" i="17"/>
  <c r="E227" i="17"/>
  <c r="E423" i="17"/>
  <c r="E900" i="17"/>
  <c r="E816" i="17"/>
  <c r="E325" i="17"/>
  <c r="E1013" i="17"/>
  <c r="E1476" i="17"/>
  <c r="E214" i="17"/>
  <c r="E195" i="17"/>
  <c r="E479" i="17"/>
  <c r="E216" i="17"/>
  <c r="E926" i="17"/>
  <c r="E294" i="17"/>
  <c r="E1152" i="17"/>
  <c r="E564" i="17"/>
  <c r="E558" i="17"/>
  <c r="E431" i="17"/>
  <c r="E156" i="17"/>
  <c r="E1274" i="17"/>
  <c r="E953" i="17"/>
  <c r="E1428" i="17"/>
  <c r="E1133" i="17"/>
  <c r="E738" i="17"/>
  <c r="E736" i="17"/>
  <c r="E1082" i="17"/>
  <c r="E1038" i="17"/>
  <c r="E336" i="17"/>
  <c r="E568" i="17"/>
  <c r="E364" i="17"/>
  <c r="E826" i="17"/>
  <c r="E1292" i="17"/>
  <c r="E76" i="17"/>
  <c r="E877" i="17"/>
  <c r="E576" i="17"/>
  <c r="E1193" i="17"/>
  <c r="E695" i="17"/>
  <c r="E333" i="17"/>
  <c r="E707" i="17"/>
  <c r="E1058" i="17"/>
  <c r="E115" i="17"/>
  <c r="E916" i="17"/>
  <c r="E747" i="17"/>
  <c r="E1369" i="17"/>
  <c r="E498" i="17"/>
  <c r="E1297" i="17"/>
  <c r="E1057" i="17"/>
  <c r="E1437" i="17"/>
  <c r="E650" i="17"/>
  <c r="E852" i="17"/>
  <c r="E502" i="17"/>
  <c r="E327" i="17"/>
  <c r="E188" i="17"/>
  <c r="E1017" i="17"/>
  <c r="E68" i="17"/>
  <c r="E314" i="17"/>
  <c r="E1010" i="17"/>
  <c r="E1355" i="17"/>
  <c r="E1473" i="17"/>
  <c r="E587" i="17"/>
  <c r="E760" i="17"/>
  <c r="E1149" i="17"/>
  <c r="E1158" i="17"/>
  <c r="E1080" i="17"/>
  <c r="E633" i="17"/>
  <c r="E1349" i="17"/>
  <c r="E978" i="17"/>
  <c r="E429" i="17"/>
  <c r="E1420" i="17"/>
  <c r="E480" i="17"/>
  <c r="E532" i="17"/>
  <c r="E121" i="17"/>
  <c r="E1426" i="17"/>
  <c r="E406" i="17"/>
  <c r="E889" i="17"/>
  <c r="E347" i="17"/>
  <c r="E1484" i="17"/>
  <c r="E348" i="17"/>
  <c r="E651" i="17"/>
  <c r="E1090" i="17"/>
  <c r="E1301" i="17"/>
  <c r="E796" i="17"/>
  <c r="E1111" i="17"/>
  <c r="E1118" i="17"/>
  <c r="E913" i="17"/>
  <c r="E61" i="17"/>
  <c r="E506" i="17"/>
  <c r="E870" i="17"/>
  <c r="E290" i="17"/>
  <c r="E697" i="17"/>
  <c r="E373" i="17"/>
  <c r="E73" i="17"/>
  <c r="E475" i="17"/>
  <c r="E970" i="17"/>
  <c r="E1379" i="17"/>
  <c r="E231" i="17"/>
  <c r="E1486" i="17"/>
  <c r="E1139" i="17"/>
  <c r="E500" i="17"/>
  <c r="E844" i="17"/>
  <c r="E751" i="17"/>
  <c r="E741" i="17"/>
  <c r="E1288" i="17"/>
  <c r="E1239" i="17"/>
  <c r="E392" i="17"/>
  <c r="E1353" i="17"/>
  <c r="E106" i="17"/>
  <c r="E1188" i="17"/>
  <c r="E1241" i="17"/>
  <c r="E965" i="17"/>
  <c r="E565" i="17"/>
  <c r="E1113" i="17"/>
  <c r="E81" i="17"/>
  <c r="E489" i="17"/>
  <c r="E1513" i="17"/>
  <c r="E720" i="17"/>
  <c r="E264" i="17"/>
  <c r="E698" i="17"/>
  <c r="E102" i="17"/>
  <c r="E888" i="17"/>
  <c r="E873" i="17"/>
  <c r="E355" i="17"/>
  <c r="E173" i="17"/>
  <c r="E579" i="17"/>
  <c r="E1276" i="17"/>
  <c r="E617" i="17"/>
  <c r="E600" i="17"/>
  <c r="E1443" i="17"/>
  <c r="E338" i="17"/>
  <c r="E65" i="17"/>
  <c r="E990" i="17"/>
  <c r="E883" i="17"/>
  <c r="E1313" i="17"/>
  <c r="E846" i="17"/>
  <c r="E604" i="17"/>
  <c r="E652" i="17"/>
  <c r="E1189" i="17"/>
  <c r="E1442" i="17"/>
  <c r="E386" i="17"/>
  <c r="E1073" i="17"/>
  <c r="E1095" i="17"/>
  <c r="E167" i="17"/>
  <c r="E1264" i="17"/>
  <c r="E1465" i="17"/>
  <c r="E1125" i="17"/>
  <c r="E598" i="17"/>
  <c r="E591" i="17"/>
  <c r="E199" i="17"/>
  <c r="E1417" i="17"/>
  <c r="E521" i="17"/>
  <c r="E452" i="17"/>
  <c r="E892" i="17"/>
  <c r="E654" i="17"/>
  <c r="E588" i="17"/>
  <c r="E1114" i="17"/>
  <c r="E1184" i="17"/>
  <c r="E1373" i="17"/>
  <c r="E849" i="17"/>
  <c r="E1356" i="17"/>
  <c r="E550" i="17"/>
  <c r="E425" i="17"/>
  <c r="E1294" i="17"/>
  <c r="E89" i="17"/>
  <c r="E692" i="17"/>
  <c r="E996" i="17"/>
  <c r="E734" i="17"/>
  <c r="E1170" i="17"/>
  <c r="E1273" i="17"/>
  <c r="E1280" i="17"/>
  <c r="E1412" i="17"/>
  <c r="E342" i="17"/>
  <c r="E206" i="17"/>
  <c r="E1460" i="17"/>
  <c r="E969" i="17"/>
  <c r="E164" i="17"/>
  <c r="E1186" i="17"/>
  <c r="E1343" i="17"/>
  <c r="E177" i="17"/>
  <c r="E1026" i="17"/>
  <c r="E171" i="17"/>
  <c r="E511" i="17"/>
  <c r="E742" i="17"/>
  <c r="E113" i="17"/>
  <c r="E223" i="17"/>
  <c r="E718" i="17"/>
  <c r="E87" i="17"/>
  <c r="E139" i="17"/>
  <c r="E1298" i="17"/>
  <c r="E287" i="17"/>
  <c r="E691" i="17"/>
  <c r="E301" i="17"/>
  <c r="E1153" i="17"/>
  <c r="E1506" i="17"/>
  <c r="E803" i="17"/>
  <c r="E1212" i="17"/>
  <c r="E151" i="17"/>
  <c r="E897" i="17"/>
  <c r="E1194" i="17"/>
  <c r="E328" i="17"/>
  <c r="E626" i="17"/>
  <c r="E198" i="17"/>
  <c r="E306" i="17"/>
  <c r="E644" i="17"/>
  <c r="E1518" i="17"/>
  <c r="E229" i="17"/>
  <c r="E165" i="17"/>
  <c r="E1386" i="17"/>
  <c r="E1495" i="17"/>
  <c r="E1433" i="17"/>
  <c r="E1166" i="17"/>
  <c r="E38" i="17"/>
  <c r="E1434" i="17"/>
  <c r="E1014" i="17"/>
  <c r="E1024" i="17"/>
  <c r="E899" i="17"/>
  <c r="E1279" i="17"/>
  <c r="E895" i="17"/>
  <c r="E128" i="17"/>
  <c r="E1517" i="17"/>
  <c r="E1124" i="17"/>
  <c r="E520" i="17"/>
  <c r="E755" i="17"/>
  <c r="E1036" i="17"/>
  <c r="E749" i="17"/>
  <c r="E618" i="17"/>
  <c r="E221" i="17"/>
  <c r="E1306" i="17"/>
  <c r="E745" i="17"/>
  <c r="E305" i="17"/>
  <c r="E239" i="17"/>
  <c r="E303" i="17"/>
  <c r="E1340" i="17"/>
  <c r="E361" i="17"/>
  <c r="E122" i="17"/>
  <c r="E748" i="17"/>
  <c r="E696" i="17"/>
  <c r="E793" i="17"/>
  <c r="E572" i="17"/>
  <c r="E941" i="17"/>
  <c r="E936" i="17"/>
  <c r="E103" i="17"/>
  <c r="E280" i="17"/>
  <c r="E1109" i="17"/>
  <c r="E995" i="17"/>
  <c r="E458" i="17"/>
  <c r="E891" i="17"/>
  <c r="E50" i="17"/>
  <c r="E1328" i="17"/>
  <c r="E1072" i="17"/>
  <c r="E127" i="17"/>
  <c r="E860" i="17"/>
  <c r="E504" i="17"/>
  <c r="E1424" i="17"/>
  <c r="E1504" i="17"/>
  <c r="E312" i="17"/>
  <c r="E1240" i="17"/>
  <c r="E984" i="17"/>
  <c r="E622" i="17"/>
  <c r="E462" i="17"/>
  <c r="E1004" i="17"/>
  <c r="E1059" i="17"/>
  <c r="E78" i="17"/>
  <c r="E994" i="17"/>
  <c r="E1070" i="17"/>
  <c r="E1126" i="17"/>
  <c r="E1000" i="17"/>
  <c r="E1382" i="17"/>
  <c r="E340" i="17"/>
  <c r="E763" i="17"/>
  <c r="E326" i="17"/>
  <c r="E1220" i="17"/>
  <c r="E401" i="17"/>
  <c r="E395" i="17"/>
  <c r="E430" i="17"/>
  <c r="E154" i="17"/>
  <c r="E1405" i="17"/>
  <c r="E398" i="17"/>
  <c r="E1521" i="17"/>
  <c r="E276" i="17"/>
  <c r="E356" i="17"/>
  <c r="E248" i="17"/>
  <c r="E670" i="17"/>
  <c r="E1191" i="17"/>
  <c r="E402" i="17"/>
  <c r="E832" i="17"/>
  <c r="E530" i="17"/>
  <c r="E412" i="17"/>
  <c r="E795" i="17"/>
  <c r="E935" i="17"/>
  <c r="E798" i="17"/>
  <c r="E727" i="17"/>
  <c r="E1431" i="17"/>
  <c r="E86" i="17"/>
  <c r="E519" i="17"/>
  <c r="E788" i="17"/>
  <c r="E739" i="17"/>
  <c r="E930" i="17"/>
  <c r="E1011" i="17"/>
  <c r="E1035" i="17"/>
  <c r="E700" i="17"/>
  <c r="E471" i="17"/>
  <c r="E1459" i="17"/>
  <c r="E510" i="17"/>
  <c r="E1325" i="17"/>
  <c r="E525" i="17"/>
  <c r="E120" i="17"/>
  <c r="E1318" i="17"/>
  <c r="E210" i="17"/>
  <c r="E744" i="17"/>
  <c r="E1338" i="17"/>
  <c r="E440" i="17"/>
  <c r="E1300" i="17"/>
  <c r="E1145" i="17"/>
  <c r="E1516" i="17"/>
  <c r="E1237" i="17"/>
  <c r="E1425" i="17"/>
  <c r="E442" i="17"/>
  <c r="E561" i="17"/>
  <c r="E119" i="17"/>
  <c r="E732" i="17"/>
  <c r="E172" i="17"/>
  <c r="E722" i="17"/>
  <c r="E1282" i="17"/>
  <c r="E478" i="17"/>
  <c r="E247" i="17"/>
  <c r="E292" i="17"/>
  <c r="E114" i="17"/>
  <c r="E1007" i="17"/>
  <c r="E140" i="17"/>
  <c r="E596" i="17"/>
  <c r="E725" i="17"/>
  <c r="E1309" i="17"/>
  <c r="E1360" i="17"/>
  <c r="E197" i="17"/>
  <c r="E174" i="17"/>
  <c r="E1403" i="17"/>
  <c r="E1277" i="17"/>
  <c r="E99" i="17"/>
  <c r="E673" i="17"/>
  <c r="E341" i="17"/>
  <c r="E252" i="17"/>
  <c r="E116" i="17"/>
  <c r="E1196" i="17"/>
  <c r="E488" i="17"/>
  <c r="E809" i="17"/>
  <c r="E717" i="17"/>
  <c r="E344" i="17"/>
  <c r="E1207" i="17"/>
  <c r="E284" i="17"/>
  <c r="E1061" i="17"/>
  <c r="E614" i="17"/>
  <c r="E880" i="17"/>
  <c r="E1290" i="17"/>
  <c r="E1493" i="17"/>
  <c r="E484" i="17"/>
  <c r="E1002" i="17"/>
  <c r="E1098" i="17"/>
  <c r="E593" i="17"/>
  <c r="E203" i="17"/>
  <c r="E759" i="17"/>
  <c r="E1445" i="17"/>
  <c r="E864" i="17"/>
  <c r="E527" i="17"/>
  <c r="E1169" i="17"/>
  <c r="E472" i="17"/>
  <c r="E1320" i="17"/>
  <c r="E1489" i="17"/>
  <c r="E999" i="17"/>
  <c r="E382" i="17"/>
  <c r="E1492" i="17"/>
  <c r="E731" i="17"/>
  <c r="E461" i="17"/>
  <c r="E434" i="17"/>
  <c r="E437" i="17"/>
  <c r="E1180" i="17"/>
  <c r="E1161" i="17"/>
  <c r="E1256" i="17"/>
  <c r="E743" i="17"/>
  <c r="E124" i="17"/>
  <c r="E1251" i="17"/>
  <c r="E837" i="17"/>
  <c r="E98" i="17"/>
  <c r="E441" i="17"/>
  <c r="E357" i="17"/>
  <c r="E1275" i="17"/>
  <c r="E1202" i="17"/>
  <c r="E658" i="17"/>
  <c r="E259" i="17"/>
  <c r="E1260" i="17"/>
  <c r="E241" i="17"/>
  <c r="E528" i="17"/>
  <c r="E1372" i="17"/>
  <c r="E1204" i="17"/>
  <c r="E1121" i="17"/>
  <c r="E74" i="17"/>
  <c r="E33" i="17"/>
  <c r="E533" i="17"/>
  <c r="E253" i="17"/>
  <c r="E365" i="17"/>
  <c r="E460" i="17"/>
  <c r="E1366" i="17"/>
  <c r="E801" i="17"/>
  <c r="E1326" i="17"/>
  <c r="E397" i="17"/>
  <c r="E982" i="17"/>
  <c r="E931" i="17"/>
  <c r="E910" i="17"/>
  <c r="E320" i="17"/>
  <c r="E145" i="17"/>
  <c r="E413" i="17"/>
  <c r="E1377" i="17"/>
  <c r="E234" i="17"/>
  <c r="E704" i="17"/>
  <c r="E1055" i="17"/>
  <c r="E920" i="17"/>
  <c r="E337" i="17"/>
  <c r="E1312" i="17"/>
  <c r="E677" i="17"/>
  <c r="E380" i="17"/>
  <c r="E535" i="17"/>
  <c r="E1040" i="17"/>
  <c r="E30" i="17"/>
  <c r="E1172" i="17"/>
  <c r="E242" i="17"/>
  <c r="E594" i="17"/>
  <c r="E1089" i="17"/>
  <c r="E1076" i="17"/>
  <c r="E821" i="17"/>
  <c r="E1146" i="17"/>
  <c r="E680" i="17"/>
  <c r="E383" i="17"/>
  <c r="E1378" i="17"/>
  <c r="E991" i="17"/>
  <c r="E559" i="17"/>
  <c r="E1248" i="17"/>
  <c r="E605" i="17"/>
  <c r="E721" i="17"/>
  <c r="E1005" i="17"/>
  <c r="E702" i="17"/>
  <c r="E845" i="17"/>
  <c r="E415" i="17"/>
  <c r="E518" i="17"/>
  <c r="E185" i="17"/>
  <c r="E1025" i="17"/>
  <c r="E1102" i="17"/>
  <c r="E186" i="17"/>
  <c r="E909" i="17"/>
  <c r="E514" i="17"/>
  <c r="E1134" i="17"/>
  <c r="E1037" i="17"/>
  <c r="E534" i="17"/>
  <c r="E765" i="17"/>
  <c r="E418" i="17"/>
  <c r="E251" i="17"/>
  <c r="E1272" i="17"/>
  <c r="E279" i="17"/>
  <c r="E563" i="17"/>
  <c r="E724" i="17"/>
  <c r="E1491" i="17"/>
  <c r="E1345" i="17"/>
  <c r="E40" i="17"/>
  <c r="E997" i="17"/>
  <c r="E1370" i="17"/>
  <c r="E24" i="17"/>
  <c r="E601" i="17"/>
  <c r="E631" i="17"/>
  <c r="E1497" i="17"/>
  <c r="E495" i="17"/>
  <c r="E125" i="17"/>
  <c r="E1159" i="17"/>
  <c r="E709" i="17"/>
  <c r="E1051" i="17"/>
  <c r="E928" i="17"/>
  <c r="E410" i="17"/>
  <c r="E924" i="17"/>
  <c r="E1322" i="17"/>
  <c r="E975" i="17"/>
  <c r="E945" i="17"/>
  <c r="E1265" i="17"/>
  <c r="E159" i="17"/>
  <c r="E143" i="17"/>
  <c r="E207" i="17"/>
  <c r="E1208" i="17"/>
  <c r="E353" i="17"/>
  <c r="E1438" i="17"/>
  <c r="E1154" i="17"/>
  <c r="E240" i="17"/>
  <c r="E263" i="17"/>
  <c r="E885" i="17"/>
  <c r="E1511" i="17"/>
  <c r="E1453" i="17"/>
  <c r="E710" i="17"/>
  <c r="E1455" i="17"/>
  <c r="E1222" i="17"/>
  <c r="E573" i="17"/>
  <c r="E918" i="17"/>
  <c r="E49" i="17"/>
  <c r="E1049" i="17"/>
  <c r="E45" i="17"/>
  <c r="E1444" i="17"/>
  <c r="E1474" i="17"/>
  <c r="E548" i="17"/>
  <c r="E257" i="17"/>
  <c r="E324" i="17"/>
  <c r="E589" i="17"/>
  <c r="E367" i="17"/>
  <c r="E334" i="17"/>
  <c r="E962" i="17"/>
  <c r="E842" i="17"/>
  <c r="E547" i="17"/>
  <c r="E29" i="17"/>
  <c r="E713" i="17"/>
  <c r="E599" i="17"/>
  <c r="E794" i="17"/>
  <c r="E726" i="17"/>
  <c r="E57" i="17"/>
  <c r="E1168" i="17"/>
  <c r="E947" i="17"/>
  <c r="E109" i="17"/>
  <c r="E219" i="17"/>
  <c r="E1247" i="17"/>
  <c r="E133" i="17"/>
  <c r="E453" i="17"/>
  <c r="E706" i="17"/>
  <c r="E615" i="17"/>
  <c r="E369" i="17"/>
  <c r="E653" i="17"/>
  <c r="E569" i="17"/>
  <c r="E309" i="17"/>
  <c r="E226" i="17"/>
  <c r="E1249" i="17"/>
  <c r="E1348" i="17"/>
  <c r="E1045" i="17"/>
  <c r="E385" i="17"/>
  <c r="E1174" i="17"/>
  <c r="E544" i="17"/>
  <c r="E1401" i="17"/>
  <c r="E1496" i="17"/>
  <c r="E810" i="17"/>
  <c r="E1135" i="17"/>
  <c r="E1440" i="17"/>
  <c r="E323" i="17"/>
  <c r="E80" i="17"/>
  <c r="E1020" i="17"/>
  <c r="E222" i="17"/>
  <c r="E181" i="17"/>
  <c r="E88" i="17"/>
  <c r="E619" i="17"/>
  <c r="E1075" i="17"/>
  <c r="E785" i="17"/>
  <c r="E1310" i="17"/>
  <c r="E1112" i="17"/>
  <c r="E321" i="17"/>
  <c r="E817" i="17"/>
  <c r="E768" i="17"/>
  <c r="E611" i="17"/>
  <c r="E421" i="17"/>
  <c r="E1303" i="17"/>
  <c r="E391" i="17"/>
  <c r="E224" i="17"/>
  <c r="E244" i="17"/>
  <c r="E517" i="17"/>
  <c r="E808" i="17"/>
  <c r="E543" i="17"/>
  <c r="E612" i="17"/>
  <c r="E269" i="17"/>
  <c r="E1388" i="17"/>
  <c r="E1367" i="17"/>
  <c r="E72" i="17"/>
  <c r="E746" i="17"/>
  <c r="E399" i="17"/>
  <c r="E196" i="17"/>
  <c r="E675" i="17"/>
  <c r="E232" i="17"/>
  <c r="E866" i="17"/>
  <c r="E187" i="17"/>
  <c r="E1407" i="17"/>
  <c r="E628" i="17"/>
  <c r="E985" i="17"/>
  <c r="E1176" i="17"/>
  <c r="E112" i="17"/>
  <c r="E1136" i="17"/>
  <c r="E1077" i="17"/>
  <c r="E771" i="17"/>
  <c r="E490" i="17"/>
  <c r="E812" i="17"/>
  <c r="E315" i="17"/>
  <c r="E574" i="17"/>
  <c r="E825" i="17"/>
  <c r="E275" i="17"/>
  <c r="E1099" i="17"/>
  <c r="E581" i="17"/>
  <c r="E915" i="17"/>
  <c r="E1027" i="17"/>
  <c r="E1362" i="17"/>
  <c r="E1167" i="17"/>
  <c r="E509" i="17"/>
  <c r="E1123" i="17"/>
  <c r="E46" i="17"/>
  <c r="E1514" i="17"/>
  <c r="E1138" i="17"/>
  <c r="E53" i="17"/>
  <c r="E1522" i="17"/>
  <c r="E914" i="17"/>
  <c r="E804" i="17"/>
  <c r="E925" i="17"/>
  <c r="E427" i="17"/>
  <c r="E1432" i="17"/>
  <c r="E496" i="17"/>
  <c r="E575" i="17"/>
  <c r="E937" i="17"/>
  <c r="E1151" i="17"/>
  <c r="E886" i="17"/>
  <c r="E384" i="17"/>
  <c r="E964" i="17"/>
  <c r="E271" i="17"/>
  <c r="E1067" i="17"/>
  <c r="E647" i="17"/>
  <c r="E1181" i="17"/>
  <c r="E777" i="17"/>
  <c r="E1380" i="17"/>
  <c r="E1088" i="17"/>
  <c r="E329" i="17"/>
  <c r="E689" i="17"/>
  <c r="E1305" i="17"/>
  <c r="E1450" i="17"/>
  <c r="E693" i="17"/>
  <c r="E485" i="17"/>
  <c r="E1068" i="17"/>
  <c r="E1406" i="17"/>
  <c r="E47" i="17"/>
  <c r="E1103" i="17"/>
  <c r="E1281" i="17"/>
  <c r="E1363" i="17"/>
  <c r="E1317" i="17"/>
  <c r="E432" i="17"/>
  <c r="E1503" i="17"/>
  <c r="E1096" i="17"/>
  <c r="E1302" i="17"/>
  <c r="E1385" i="17"/>
  <c r="E254" i="17"/>
  <c r="E1479" i="17"/>
  <c r="E1083" i="17"/>
  <c r="E1258" i="17"/>
  <c r="E1263" i="17"/>
  <c r="E609" i="17"/>
  <c r="E1231" i="17"/>
  <c r="E834" i="17"/>
  <c r="E664" i="17"/>
  <c r="E853" i="17"/>
  <c r="E948" i="17"/>
  <c r="E752" i="17"/>
  <c r="E898" i="17"/>
  <c r="E729" i="17"/>
  <c r="E136" i="17"/>
  <c r="E770" i="17"/>
  <c r="E317" i="17"/>
  <c r="E642" i="17"/>
  <c r="E135" i="17"/>
  <c r="E492" i="17"/>
  <c r="E1452" i="17"/>
  <c r="E1483" i="17"/>
  <c r="E1347" i="17"/>
  <c r="E758" i="17"/>
  <c r="E238" i="17"/>
  <c r="E1490" i="17"/>
  <c r="E923" i="17"/>
  <c r="E1021" i="17"/>
  <c r="E1477" i="17"/>
  <c r="E592" i="17"/>
  <c r="E750" i="17"/>
  <c r="E389" i="17"/>
  <c r="E132" i="17"/>
  <c r="E1285" i="17"/>
  <c r="E882" i="17"/>
  <c r="E1358" i="17"/>
  <c r="E620" i="17"/>
  <c r="E957" i="17"/>
  <c r="E1156" i="17"/>
  <c r="E237" i="17"/>
  <c r="E67" i="17"/>
  <c r="E443" i="17"/>
  <c r="E694" i="17"/>
  <c r="E621" i="17"/>
  <c r="E1018" i="17"/>
  <c r="E1219" i="17"/>
  <c r="E64" i="17"/>
  <c r="E298" i="17"/>
  <c r="E477" i="17"/>
  <c r="E643" i="17"/>
  <c r="E393" i="17"/>
  <c r="E522" i="17"/>
  <c r="E129" i="17"/>
  <c r="E371" i="17"/>
  <c r="E822" i="17"/>
  <c r="E537" i="17"/>
  <c r="E428" i="17"/>
  <c r="E374" i="17"/>
  <c r="E992" i="17"/>
  <c r="E951" i="17"/>
  <c r="E1393" i="17"/>
  <c r="E1117" i="17"/>
  <c r="E486" i="17"/>
  <c r="E501" i="17"/>
  <c r="E776" i="17"/>
  <c r="E378" i="17"/>
  <c r="E764" i="17"/>
  <c r="E1334" i="17"/>
  <c r="E1436" i="17"/>
  <c r="E1461" i="17"/>
  <c r="E230" i="17"/>
  <c r="E1071" i="17"/>
  <c r="E974" i="17"/>
  <c r="E31" i="17"/>
  <c r="E1467" i="17"/>
  <c r="E468" i="17"/>
  <c r="E1299" i="17"/>
  <c r="E454" i="17"/>
  <c r="E660" i="17"/>
  <c r="E585" i="17"/>
  <c r="E761" i="17"/>
  <c r="E349" i="17"/>
  <c r="E1198" i="17"/>
  <c r="E473" i="17"/>
  <c r="E1462" i="17"/>
  <c r="E1387" i="17"/>
  <c r="E686" i="17"/>
  <c r="E400" i="17"/>
  <c r="E1336" i="17"/>
  <c r="E155" i="17"/>
  <c r="E27" i="17"/>
  <c r="E1261" i="17"/>
  <c r="E1119" i="17"/>
  <c r="E1150" i="17"/>
  <c r="E878" i="17"/>
  <c r="E1471" i="17"/>
  <c r="E896" i="17"/>
  <c r="E973" i="17"/>
  <c r="E723" i="17"/>
  <c r="E34" i="17"/>
  <c r="E949" i="17"/>
  <c r="E1448" i="17"/>
  <c r="E1399" i="17"/>
  <c r="E1375" i="17"/>
  <c r="E272" i="17"/>
  <c r="E1383" i="17"/>
  <c r="E354" i="17"/>
  <c r="E625" i="17"/>
  <c r="E1398" i="17"/>
  <c r="E1052" i="17"/>
  <c r="E603" i="17"/>
  <c r="E595" i="17"/>
  <c r="E1106" i="17"/>
  <c r="E1439" i="17"/>
  <c r="E627" i="17"/>
  <c r="E299" i="17"/>
  <c r="E1266" i="17"/>
  <c r="E1283" i="17"/>
  <c r="E1107" i="17"/>
  <c r="E1205" i="17"/>
  <c r="E1414" i="17"/>
  <c r="E1157" i="17"/>
  <c r="E634" i="17"/>
  <c r="E1246" i="17"/>
  <c r="E1100" i="17"/>
  <c r="E363" i="17"/>
  <c r="E1142" i="17"/>
  <c r="E1245" i="17"/>
  <c r="E737" i="17"/>
  <c r="E261" i="17"/>
  <c r="E250" i="17"/>
  <c r="E671" i="17"/>
  <c r="E194" i="17"/>
  <c r="E1236" i="17"/>
  <c r="E566" i="17"/>
  <c r="E483" i="17"/>
  <c r="E827" i="17"/>
  <c r="E912" i="17"/>
  <c r="E1400" i="17"/>
  <c r="E1411" i="17"/>
  <c r="E635" i="17"/>
  <c r="E1178" i="17"/>
  <c r="E966" i="17"/>
  <c r="E1042" i="17"/>
  <c r="E977" i="17"/>
  <c r="E567" i="17"/>
  <c r="E474" i="17"/>
  <c r="E1086" i="17"/>
  <c r="E818" i="17"/>
  <c r="E1122" i="17"/>
  <c r="E848" i="17"/>
  <c r="E268" i="17"/>
  <c r="E32" i="17"/>
  <c r="E463" i="17"/>
  <c r="E1092" i="17"/>
  <c r="E1384" i="17"/>
  <c r="E590" i="17"/>
  <c r="E1214" i="17"/>
  <c r="E95" i="17"/>
  <c r="E1396" i="17"/>
  <c r="E297" i="17"/>
  <c r="E570" i="17"/>
  <c r="E205" i="17"/>
  <c r="E1183" i="17"/>
  <c r="E669" i="17"/>
  <c r="E753" i="17"/>
  <c r="E152" i="17"/>
  <c r="E629" i="17"/>
  <c r="E1242" i="17"/>
  <c r="E1047" i="17"/>
  <c r="E524" i="17"/>
  <c r="E404" i="17"/>
  <c r="E578" i="17"/>
  <c r="E70" i="17"/>
  <c r="E542" i="17"/>
  <c r="E927" i="17"/>
  <c r="E828" i="17"/>
  <c r="E560" i="17"/>
  <c r="E667" i="17"/>
  <c r="E170" i="17"/>
  <c r="E1456" i="17"/>
  <c r="E1108" i="17"/>
  <c r="E903" i="17"/>
  <c r="E672" i="17"/>
  <c r="E993" i="17"/>
  <c r="E390" i="17"/>
  <c r="E786" i="17"/>
  <c r="E359" i="17"/>
  <c r="E110" i="17"/>
  <c r="E540" i="17"/>
  <c r="E201" i="17"/>
  <c r="E1502" i="17"/>
  <c r="E505" i="17"/>
  <c r="E1023" i="17"/>
  <c r="E971" i="17"/>
  <c r="E687" i="17"/>
  <c r="E1223" i="17"/>
  <c r="E85" i="17"/>
  <c r="E456" i="17"/>
  <c r="E716" i="17"/>
  <c r="E1132" i="17"/>
  <c r="E93" i="17"/>
  <c r="E813" i="17"/>
  <c r="E656" i="17"/>
  <c r="E302" i="17"/>
  <c r="E1480" i="17"/>
  <c r="E262" i="17"/>
  <c r="E215" i="17"/>
  <c r="E1342" i="17"/>
  <c r="E310" i="17"/>
  <c r="E77" i="17"/>
  <c r="E435" i="17"/>
  <c r="E211" i="17"/>
  <c r="E246" i="17"/>
  <c r="E819" i="17"/>
  <c r="E381" i="17"/>
  <c r="E1206" i="17"/>
  <c r="E388" i="17"/>
  <c r="E149" i="17"/>
  <c r="E1028" i="17"/>
  <c r="E665" i="17"/>
  <c r="E447" i="17"/>
  <c r="E466" i="17"/>
  <c r="E1199" i="17"/>
  <c r="E516" i="17"/>
  <c r="E546" i="17"/>
  <c r="E465" i="17"/>
  <c r="E1216" i="17"/>
  <c r="E1324" i="17"/>
  <c r="E538" i="17"/>
  <c r="E202" i="17"/>
  <c r="E868" i="17"/>
  <c r="E419" i="17"/>
  <c r="E824" i="17"/>
  <c r="E79" i="17"/>
  <c r="E1046" i="17"/>
  <c r="E907" i="17"/>
  <c r="E166" i="17"/>
  <c r="E295" i="17"/>
  <c r="E190" i="17"/>
  <c r="E1182" i="17"/>
  <c r="E1234" i="17"/>
  <c r="E911" i="17"/>
  <c r="E908" i="17"/>
  <c r="E35" i="17"/>
  <c r="E169" i="17"/>
  <c r="E1270" i="17"/>
  <c r="E1416" i="17"/>
  <c r="E655" i="17"/>
  <c r="E661" i="17"/>
  <c r="E1475" i="17"/>
  <c r="E1498" i="17"/>
  <c r="E1140" i="17"/>
  <c r="E37" i="17"/>
  <c r="E797" i="17"/>
  <c r="E494" i="17"/>
  <c r="E950" i="17"/>
  <c r="E867" i="17"/>
  <c r="E316" i="17"/>
  <c r="E1120" i="17"/>
  <c r="E963" i="17"/>
  <c r="E482" i="17"/>
  <c r="E233" i="17"/>
  <c r="E265" i="17"/>
  <c r="E1143" i="17"/>
  <c r="E1330" i="17"/>
  <c r="E701" i="17"/>
  <c r="E881" i="17"/>
  <c r="E929" i="17"/>
  <c r="E182" i="17"/>
  <c r="E184" i="17"/>
  <c r="E536" i="17"/>
  <c r="E1295" i="17"/>
  <c r="E408" i="17"/>
  <c r="E699" i="17"/>
  <c r="E854" i="17"/>
  <c r="E1162" i="17"/>
  <c r="E1066" i="17"/>
  <c r="E894" i="17"/>
  <c r="E1278" i="17"/>
  <c r="E1065" i="17"/>
  <c r="E787" i="17"/>
  <c r="E1033" i="17"/>
  <c r="E1244" i="17"/>
  <c r="E549" i="17"/>
  <c r="E1402" i="17"/>
  <c r="E217" i="17"/>
  <c r="E319" i="17"/>
  <c r="E1224" i="17"/>
  <c r="E1423" i="17"/>
  <c r="E90" i="17"/>
  <c r="E346" i="17"/>
  <c r="E586" i="17"/>
  <c r="E1085" i="17"/>
  <c r="E526" i="17"/>
  <c r="E1022" i="17"/>
  <c r="E858" i="17"/>
  <c r="E351" i="17"/>
  <c r="E266" i="17"/>
  <c r="E1418" i="17"/>
  <c r="E28" i="17"/>
  <c r="E1365" i="17"/>
  <c r="E331" i="17"/>
  <c r="E330" i="17"/>
  <c r="E919" i="17"/>
  <c r="E372" i="17"/>
  <c r="E25" i="17"/>
  <c r="E624" i="17"/>
  <c r="E1422" i="17"/>
  <c r="E682" i="17"/>
  <c r="E1463" i="17"/>
  <c r="E988" i="17"/>
  <c r="E220" i="17"/>
  <c r="E684" i="17"/>
  <c r="E859" i="17"/>
  <c r="E218" i="17"/>
  <c r="E1012" i="17"/>
  <c r="E1050" i="17"/>
  <c r="E1507" i="17"/>
  <c r="E1512" i="17"/>
  <c r="E976" i="17"/>
  <c r="E84" i="17"/>
  <c r="E1296" i="17"/>
  <c r="E1129" i="17"/>
  <c r="E1094" i="17"/>
  <c r="E417" i="17"/>
  <c r="E551" i="17"/>
  <c r="E921" i="17"/>
  <c r="E1165" i="17"/>
  <c r="E1200" i="17"/>
  <c r="E1364" i="17"/>
  <c r="E646" i="17"/>
  <c r="E179" i="17"/>
  <c r="E62" i="17"/>
  <c r="E871" i="17"/>
  <c r="E1163" i="17"/>
  <c r="E131" i="17"/>
  <c r="E1131" i="17"/>
  <c r="E1350" i="17"/>
  <c r="E529" i="17"/>
  <c r="E584" i="17"/>
  <c r="E779" i="17"/>
  <c r="E1210" i="17"/>
  <c r="E487" i="17"/>
  <c r="E208" i="17"/>
  <c r="E1034" i="17"/>
  <c r="E1254" i="17"/>
  <c r="E375" i="17"/>
  <c r="E1316" i="17"/>
  <c r="E91" i="17"/>
  <c r="E245" i="17"/>
  <c r="E1289" i="17"/>
  <c r="E366" i="17"/>
  <c r="E1056" i="17"/>
  <c r="E1351" i="17"/>
  <c r="E94" i="17"/>
  <c r="E946" i="17"/>
  <c r="E806" i="17"/>
  <c r="E555" i="17"/>
  <c r="E1446" i="17"/>
  <c r="E123" i="17"/>
  <c r="E541" i="17"/>
  <c r="E1352" i="17"/>
  <c r="E449" i="17"/>
  <c r="E681" i="17"/>
  <c r="E426" i="17"/>
  <c r="E1006" i="17"/>
  <c r="E1515" i="17"/>
  <c r="E1354" i="17"/>
  <c r="E204" i="17"/>
  <c r="E772" i="17"/>
  <c r="E939" i="17"/>
  <c r="E1043" i="17"/>
  <c r="E766" i="17"/>
  <c r="E1093" i="17"/>
  <c r="E405" i="17"/>
  <c r="E433" i="17"/>
  <c r="E1394" i="17"/>
  <c r="E1063" i="17"/>
  <c r="E42" i="17"/>
  <c r="E1213" i="17"/>
  <c r="E799" i="17"/>
  <c r="E1391" i="17"/>
  <c r="E1079" i="17"/>
  <c r="E1339" i="17"/>
  <c r="E728" i="17"/>
  <c r="E829" i="17"/>
  <c r="E711" i="17"/>
  <c r="E1044" i="17"/>
  <c r="E940" i="17"/>
  <c r="E416" i="17"/>
  <c r="E831" i="17"/>
  <c r="E613" i="17"/>
  <c r="E153" i="17"/>
  <c r="E1397" i="17"/>
  <c r="E645" i="17"/>
  <c r="E961" i="17"/>
  <c r="E158" i="17"/>
  <c r="E841" i="17"/>
  <c r="E637" i="17"/>
  <c r="E800" i="17"/>
  <c r="E1510" i="17"/>
  <c r="E1177" i="17"/>
  <c r="E459" i="17"/>
  <c r="E1155" i="17"/>
  <c r="E134" i="17"/>
  <c r="E843" i="17"/>
  <c r="AU16" i="21"/>
  <c r="AV24" i="21"/>
  <c r="AU13" i="21"/>
  <c r="AT19" i="21"/>
  <c r="AV13" i="21"/>
  <c r="AU20" i="21"/>
  <c r="AU14" i="21"/>
  <c r="AU7" i="21"/>
  <c r="AU6" i="21"/>
  <c r="AV17" i="21"/>
  <c r="AV22" i="21"/>
  <c r="AV10" i="21"/>
  <c r="AV18" i="21"/>
  <c r="AT20" i="21"/>
  <c r="AV19" i="21"/>
  <c r="AT6" i="21"/>
  <c r="AV9" i="21"/>
  <c r="AT22" i="21"/>
  <c r="AV15" i="21"/>
  <c r="AU21" i="21"/>
  <c r="AT11" i="21"/>
  <c r="AU12" i="21"/>
  <c r="AT17" i="21"/>
  <c r="AT8" i="21"/>
  <c r="AT16" i="21"/>
  <c r="AV7" i="21"/>
  <c r="I23" i="17" a="1"/>
  <c r="AT10" i="21"/>
  <c r="AT13" i="21"/>
  <c r="AT21" i="21"/>
  <c r="AT23" i="21"/>
  <c r="AV12" i="21"/>
  <c r="AV11" i="21"/>
  <c r="AU11" i="21"/>
  <c r="AV21" i="21"/>
  <c r="AT15" i="21"/>
  <c r="AT24" i="21"/>
  <c r="AU23" i="21"/>
  <c r="AV6" i="21"/>
  <c r="AU25" i="21"/>
  <c r="AV16" i="21"/>
  <c r="AU15" i="21"/>
  <c r="AV23" i="21"/>
  <c r="AU24" i="21"/>
  <c r="AU17" i="21"/>
  <c r="AU22" i="21"/>
  <c r="AU9" i="21"/>
  <c r="AV25" i="21"/>
  <c r="AV20" i="21"/>
  <c r="AU10" i="21"/>
  <c r="AT18" i="21"/>
  <c r="AU18" i="21"/>
  <c r="AU19" i="21"/>
  <c r="AT14" i="21"/>
  <c r="AT12" i="21"/>
  <c r="I1274" i="17" l="1"/>
  <c r="I1277" i="17"/>
  <c r="I1511" i="17"/>
  <c r="I294" i="17"/>
  <c r="I1335" i="17"/>
  <c r="I760" i="17"/>
  <c r="I420" i="17"/>
  <c r="I557" i="17"/>
  <c r="I603" i="17"/>
  <c r="I1158" i="17"/>
  <c r="I768" i="17"/>
  <c r="I412" i="17"/>
  <c r="I398" i="17"/>
  <c r="I1432" i="17"/>
  <c r="I1371" i="17"/>
  <c r="I810" i="17"/>
  <c r="I1106" i="17"/>
  <c r="I411" i="17"/>
  <c r="I1089" i="17"/>
  <c r="I868" i="17"/>
  <c r="I1444" i="17"/>
  <c r="I1107" i="17"/>
  <c r="I732" i="17"/>
  <c r="I865" i="17"/>
  <c r="I56" i="17"/>
  <c r="I960" i="17"/>
  <c r="I1124" i="17"/>
  <c r="I785" i="17"/>
  <c r="I1431" i="17"/>
  <c r="I81" i="17"/>
  <c r="I1114" i="17"/>
  <c r="I561" i="17"/>
  <c r="I152" i="17"/>
  <c r="I1456" i="17"/>
  <c r="I191" i="17"/>
  <c r="I1180" i="17"/>
  <c r="I80" i="17"/>
  <c r="I1508" i="17"/>
  <c r="I364" i="17"/>
  <c r="I979" i="17"/>
  <c r="I1276" i="17"/>
  <c r="I1137" i="17"/>
  <c r="I1105" i="17"/>
  <c r="I365" i="17"/>
  <c r="I486" i="17"/>
  <c r="I118" i="17"/>
  <c r="I250" i="17"/>
  <c r="I640" i="17"/>
  <c r="I372" i="17"/>
  <c r="I121" i="17"/>
  <c r="I1248" i="17"/>
  <c r="I1098" i="17"/>
  <c r="I244" i="17"/>
  <c r="I589" i="17"/>
  <c r="I442" i="17"/>
  <c r="I132" i="17"/>
  <c r="I53" i="17"/>
  <c r="I1366" i="17"/>
  <c r="I179" i="17"/>
  <c r="I374" i="17"/>
  <c r="I627" i="17"/>
  <c r="I1193" i="17"/>
  <c r="I222" i="17"/>
  <c r="I1267" i="17"/>
  <c r="I1113" i="17"/>
  <c r="I1033" i="17"/>
  <c r="I89" i="17"/>
  <c r="I895" i="17"/>
  <c r="I1326" i="17"/>
  <c r="I563" i="17"/>
  <c r="I1292" i="17"/>
  <c r="I723" i="17"/>
  <c r="I481" i="17"/>
  <c r="I552" i="17"/>
  <c r="I1467" i="17"/>
  <c r="I1284" i="17"/>
  <c r="I1350" i="17"/>
  <c r="I295" i="17"/>
  <c r="I1190" i="17"/>
  <c r="I1340" i="17"/>
  <c r="I550" i="17"/>
  <c r="I1348" i="17"/>
  <c r="I1332" i="17"/>
  <c r="I950" i="17"/>
  <c r="I461" i="17"/>
  <c r="I1053" i="17"/>
  <c r="I1017" i="17"/>
  <c r="I1060" i="17"/>
  <c r="I1294" i="17"/>
  <c r="I143" i="17"/>
  <c r="I1455" i="17"/>
  <c r="I401" i="17"/>
  <c r="I1031" i="17"/>
  <c r="I446" i="17"/>
  <c r="I1138" i="17"/>
  <c r="I688" i="17"/>
  <c r="I568" i="17"/>
  <c r="I1242" i="17"/>
  <c r="I208" i="17"/>
  <c r="I1465" i="17"/>
  <c r="I796" i="17"/>
  <c r="I746" i="17"/>
  <c r="I239" i="17"/>
  <c r="I1496" i="17"/>
  <c r="I943" i="17"/>
  <c r="I75" i="17"/>
  <c r="I521" i="17"/>
  <c r="I489" i="17"/>
  <c r="I1034" i="17"/>
  <c r="I676" i="17"/>
  <c r="I1470" i="17"/>
  <c r="I1391" i="17"/>
  <c r="I498" i="17"/>
  <c r="I322" i="17"/>
  <c r="I1421" i="17"/>
  <c r="I200" i="17"/>
  <c r="I490" i="17"/>
  <c r="I874" i="17"/>
  <c r="I1070" i="17"/>
  <c r="I680" i="17"/>
  <c r="I1288" i="17"/>
  <c r="I1286" i="17"/>
  <c r="I1195" i="17"/>
  <c r="I23" i="17"/>
  <c r="I158" i="17"/>
  <c r="I484" i="17"/>
  <c r="I73" i="17"/>
  <c r="I283" i="17"/>
  <c r="I569" i="17"/>
  <c r="I458" i="17"/>
  <c r="I808" i="17"/>
  <c r="I1077" i="17"/>
  <c r="I988" i="17"/>
  <c r="I742" i="17"/>
  <c r="I773" i="17"/>
  <c r="I606" i="17"/>
  <c r="I63" i="17"/>
  <c r="I1420" i="17"/>
  <c r="I986" i="17"/>
  <c r="I993" i="17"/>
  <c r="I1002" i="17"/>
  <c r="I1010" i="17"/>
  <c r="I1481" i="17"/>
  <c r="I1373" i="17"/>
  <c r="I1489" i="17"/>
  <c r="I1279" i="17"/>
  <c r="I607" i="17"/>
  <c r="I290" i="17"/>
  <c r="I156" i="17"/>
  <c r="I78" i="17"/>
  <c r="I1204" i="17"/>
  <c r="I1393" i="17"/>
  <c r="I809" i="17"/>
  <c r="I67" i="17"/>
  <c r="I108" i="17"/>
  <c r="I1476" i="17"/>
  <c r="I884" i="17"/>
  <c r="I1253" i="17"/>
  <c r="I1417" i="17"/>
  <c r="I572" i="17"/>
  <c r="I449" i="17"/>
  <c r="I1505" i="17"/>
  <c r="I1035" i="17"/>
  <c r="I1046" i="17"/>
  <c r="I1063" i="17"/>
  <c r="I336" i="17"/>
  <c r="I634" i="17"/>
  <c r="I1191" i="17"/>
  <c r="I811" i="17"/>
  <c r="I739" i="17"/>
  <c r="I1428" i="17"/>
  <c r="I1272" i="17"/>
  <c r="I1359" i="17"/>
  <c r="I140" i="17"/>
  <c r="I966" i="17"/>
  <c r="I985" i="17"/>
  <c r="I920" i="17"/>
  <c r="I1084" i="17"/>
  <c r="I1360" i="17"/>
  <c r="I180" i="17"/>
  <c r="I1038" i="17"/>
  <c r="I1261" i="17"/>
  <c r="I665" i="17"/>
  <c r="I1218" i="17"/>
  <c r="I662" i="17"/>
  <c r="I1364" i="17"/>
  <c r="I297" i="17"/>
  <c r="I618" i="17"/>
  <c r="I1054" i="17"/>
  <c r="I382" i="17"/>
  <c r="I142" i="17"/>
  <c r="I872" i="17"/>
  <c r="I1413" i="17"/>
  <c r="I1057" i="17"/>
  <c r="I1361" i="17"/>
  <c r="I41" i="17"/>
  <c r="I902" i="17"/>
  <c r="I197" i="17"/>
  <c r="I977" i="17"/>
  <c r="I409" i="17"/>
  <c r="I541" i="17"/>
  <c r="I1149" i="17"/>
  <c r="I166" i="17"/>
  <c r="I736" i="17"/>
  <c r="I1468" i="17"/>
  <c r="I1143" i="17"/>
  <c r="I854" i="17"/>
  <c r="I714" i="17"/>
  <c r="I432" i="17"/>
  <c r="I430" i="17"/>
  <c r="I666" i="17"/>
  <c r="I767" i="17"/>
  <c r="I1389" i="17"/>
  <c r="I488" i="17"/>
  <c r="I189" i="17"/>
  <c r="I1233" i="17"/>
  <c r="I157" i="17"/>
  <c r="I1170" i="17"/>
  <c r="I650" i="17"/>
  <c r="I729" i="17"/>
  <c r="I1374" i="17"/>
  <c r="I429" i="17"/>
  <c r="I786" i="17"/>
  <c r="I1250" i="17"/>
  <c r="I1317" i="17"/>
  <c r="I1099" i="17"/>
  <c r="I1162" i="17"/>
  <c r="I1085" i="17"/>
  <c r="I1214" i="17"/>
  <c r="I47" i="17"/>
  <c r="I619" i="17"/>
  <c r="I830" i="17"/>
  <c r="I141" i="17"/>
  <c r="I1257" i="17"/>
  <c r="I600" i="17"/>
  <c r="I777" i="17"/>
  <c r="I361" i="17"/>
  <c r="I885" i="17"/>
  <c r="I168" i="17"/>
  <c r="I266" i="17"/>
  <c r="I1245" i="17"/>
  <c r="I499" i="17"/>
  <c r="I258" i="17"/>
  <c r="I1493" i="17"/>
  <c r="I1208" i="17"/>
  <c r="I104" i="17"/>
  <c r="I1303" i="17"/>
  <c r="I114" i="17"/>
  <c r="I780" i="17"/>
  <c r="I711" i="17"/>
  <c r="I111" i="17"/>
  <c r="I26" i="17"/>
  <c r="I525" i="17"/>
  <c r="I542" i="17"/>
  <c r="I475" i="17"/>
  <c r="I635" i="17"/>
  <c r="I556" i="17"/>
  <c r="I97" i="17"/>
  <c r="I1094" i="17"/>
  <c r="I167" i="17"/>
  <c r="I416" i="17"/>
  <c r="I995" i="17"/>
  <c r="I29" i="17"/>
  <c r="I609" i="17"/>
  <c r="I984" i="17"/>
  <c r="I898" i="17"/>
  <c r="I802" i="17"/>
  <c r="I346" i="17"/>
  <c r="I1354" i="17"/>
  <c r="I1247" i="17"/>
  <c r="I1484" i="17"/>
  <c r="I1205" i="17"/>
  <c r="I147" i="17"/>
  <c r="I794" i="17"/>
  <c r="I317" i="17"/>
  <c r="I1405" i="17"/>
  <c r="I205" i="17"/>
  <c r="I756" i="17"/>
  <c r="I362" i="17"/>
  <c r="I1078" i="17"/>
  <c r="I1119" i="17"/>
  <c r="I242" i="17"/>
  <c r="I243" i="17"/>
  <c r="I700" i="17"/>
  <c r="I494" i="17"/>
  <c r="I750" i="17"/>
  <c r="I72" i="17"/>
  <c r="I791" i="17"/>
  <c r="I101" i="17"/>
  <c r="I891" i="17"/>
  <c r="I1101" i="17"/>
  <c r="I331" i="17"/>
  <c r="I1112" i="17"/>
  <c r="I923" i="17"/>
  <c r="I1209" i="17"/>
  <c r="I537" i="17"/>
  <c r="I1321" i="17"/>
  <c r="I95" i="17"/>
  <c r="I1408" i="17"/>
  <c r="I577" i="17"/>
  <c r="I987" i="17"/>
  <c r="I487" i="17"/>
  <c r="I855" i="17"/>
  <c r="I425" i="17"/>
  <c r="I798" i="17"/>
  <c r="I302" i="17"/>
  <c r="I306" i="17"/>
  <c r="I684" i="17"/>
  <c r="I1486" i="17"/>
  <c r="I651" i="17"/>
  <c r="I958" i="17"/>
  <c r="I818" i="17"/>
  <c r="I441" i="17"/>
  <c r="I43" i="17"/>
  <c r="I1167" i="17"/>
  <c r="I1264" i="17"/>
  <c r="I264" i="17"/>
  <c r="I1506" i="17"/>
  <c r="I110" i="17"/>
  <c r="I127" i="17"/>
  <c r="I935" i="17"/>
  <c r="I460" i="17"/>
  <c r="I1201" i="17"/>
  <c r="I1397" i="17"/>
  <c r="I717" i="17"/>
  <c r="I906" i="17"/>
  <c r="I253" i="17"/>
  <c r="I1188" i="17"/>
  <c r="I1387" i="17"/>
  <c r="I418" i="17"/>
  <c r="I566" i="17"/>
  <c r="I989" i="17"/>
  <c r="I1064" i="17"/>
  <c r="I800" i="17"/>
  <c r="I1184" i="17"/>
  <c r="I507" i="17"/>
  <c r="I477" i="17"/>
  <c r="I359" i="17"/>
  <c r="I1226" i="17"/>
  <c r="I347" i="17"/>
  <c r="I161" i="17"/>
  <c r="I1000" i="17"/>
  <c r="I64" i="17"/>
  <c r="I1422" i="17"/>
  <c r="I1222" i="17"/>
  <c r="I668" i="17"/>
  <c r="I153" i="17"/>
  <c r="I164" i="17"/>
  <c r="I237" i="17"/>
  <c r="I380" i="17"/>
  <c r="I1139" i="17"/>
  <c r="I339" i="17"/>
  <c r="I466" i="17"/>
  <c r="I1183" i="17"/>
  <c r="I783" i="17"/>
  <c r="I863" i="17"/>
  <c r="I725" i="17"/>
  <c r="I613" i="17"/>
  <c r="I328" i="17"/>
  <c r="I342" i="17"/>
  <c r="I241" i="17"/>
  <c r="I1041" i="17"/>
  <c r="I962" i="17"/>
  <c r="I329" i="17"/>
  <c r="I910" i="17"/>
  <c r="I45" i="17"/>
  <c r="I232" i="17"/>
  <c r="I1219" i="17"/>
  <c r="I1338" i="17"/>
  <c r="I1244" i="17"/>
  <c r="I575" i="17"/>
  <c r="I125" i="17"/>
  <c r="I259" i="17"/>
  <c r="I849" i="17"/>
  <c r="I504" i="17"/>
  <c r="I345" i="17"/>
  <c r="I831" i="17"/>
  <c r="I1430" i="17"/>
  <c r="I1400" i="17"/>
  <c r="I271" i="17"/>
  <c r="I176" i="17"/>
  <c r="I228" i="17"/>
  <c r="I532" i="17"/>
  <c r="I1401" i="17"/>
  <c r="I1224" i="17"/>
  <c r="I410" i="17"/>
  <c r="I834" i="17"/>
  <c r="I307" i="17"/>
  <c r="I1090" i="17"/>
  <c r="I1342" i="17"/>
  <c r="I1128" i="17"/>
  <c r="I276" i="17"/>
  <c r="I1513" i="17"/>
  <c r="I51" i="17"/>
  <c r="I922" i="17"/>
  <c r="I1221" i="17"/>
  <c r="I1409" i="17"/>
  <c r="I744" i="17"/>
  <c r="I1026" i="17"/>
  <c r="I822" i="17"/>
  <c r="I1020" i="17"/>
  <c r="I1423" i="17"/>
  <c r="I61" i="17"/>
  <c r="I578" i="17"/>
  <c r="I1165" i="17"/>
  <c r="I120" i="17"/>
  <c r="I632" i="17"/>
  <c r="I1237" i="17"/>
  <c r="I1039" i="17"/>
  <c r="I706" i="17"/>
  <c r="I33" i="17"/>
  <c r="I622" i="17"/>
  <c r="I405" i="17"/>
  <c r="I1072" i="17"/>
  <c r="I1203" i="17"/>
  <c r="I695" i="17"/>
  <c r="I846" i="17"/>
  <c r="I116" i="17"/>
  <c r="I1463" i="17"/>
  <c r="I940" i="17"/>
  <c r="I975" i="17"/>
  <c r="I1498" i="17"/>
  <c r="I1227" i="17"/>
  <c r="I144" i="17"/>
  <c r="I351" i="17"/>
  <c r="I1097" i="17"/>
  <c r="I973" i="17"/>
  <c r="I1495" i="17"/>
  <c r="I115" i="17"/>
  <c r="I464" i="17"/>
  <c r="I304" i="17"/>
  <c r="I919" i="17"/>
  <c r="I559" i="17"/>
  <c r="I952" i="17"/>
  <c r="I699" i="17"/>
  <c r="I476" i="17"/>
  <c r="I390" i="17"/>
  <c r="I1246" i="17"/>
  <c r="I137" i="17"/>
  <c r="I1228" i="17"/>
  <c r="I1320" i="17"/>
  <c r="I1014" i="17"/>
  <c r="I1044" i="17"/>
  <c r="I547" i="17"/>
  <c r="I615" i="17"/>
  <c r="I42" i="17"/>
  <c r="I245" i="17"/>
  <c r="I954" i="17"/>
  <c r="I381" i="17"/>
  <c r="I353" i="17"/>
  <c r="I229" i="17"/>
  <c r="I1392" i="17"/>
  <c r="I1048" i="17"/>
  <c r="I373" i="17"/>
  <c r="I1269" i="17"/>
  <c r="I160" i="17"/>
  <c r="I467" i="17"/>
  <c r="I1403" i="17"/>
  <c r="I240" i="17"/>
  <c r="I971" i="17"/>
  <c r="I265" i="17"/>
  <c r="I823" i="17"/>
  <c r="I263" i="17"/>
  <c r="I748" i="17"/>
  <c r="I1075" i="17"/>
  <c r="I856" i="17"/>
  <c r="I911" i="17"/>
  <c r="I1212" i="17"/>
  <c r="I1081" i="17"/>
  <c r="I500" i="17"/>
  <c r="I1032" i="17"/>
  <c r="I965" i="17"/>
  <c r="I934" i="17"/>
  <c r="I278" i="17"/>
  <c r="I876" i="17"/>
  <c r="I480" i="17"/>
  <c r="I1249" i="17"/>
  <c r="I795" i="17"/>
  <c r="I1036" i="17"/>
  <c r="I76" i="17"/>
  <c r="I1073" i="17"/>
  <c r="I1380" i="17"/>
  <c r="I457" i="17"/>
  <c r="I59" i="17"/>
  <c r="I1394" i="17"/>
  <c r="I969" i="17"/>
  <c r="I314" i="17"/>
  <c r="I1230" i="17"/>
  <c r="I218" i="17"/>
  <c r="I1157" i="17"/>
  <c r="I932" i="17"/>
  <c r="I415" i="17"/>
  <c r="I762" i="17"/>
  <c r="I1433" i="17"/>
  <c r="I621" i="17"/>
  <c r="I1122" i="17"/>
  <c r="I720" i="17"/>
  <c r="I1125" i="17"/>
  <c r="I871" i="17"/>
  <c r="I526" i="17"/>
  <c r="I86" i="17"/>
  <c r="I472" i="17"/>
  <c r="I1197" i="17"/>
  <c r="I288" i="17"/>
  <c r="I630" i="17"/>
  <c r="I269" i="17"/>
  <c r="I1062" i="17"/>
  <c r="I363" i="17"/>
  <c r="I1429" i="17"/>
  <c r="I820" i="17"/>
  <c r="I1478" i="17"/>
  <c r="I257" i="17"/>
  <c r="I1322" i="17"/>
  <c r="I252" i="17"/>
  <c r="I1504" i="17"/>
  <c r="I595" i="17"/>
  <c r="I326" i="17"/>
  <c r="I424" i="17"/>
  <c r="I129" i="17"/>
  <c r="I656" i="17"/>
  <c r="I323" i="17"/>
  <c r="I1045" i="17"/>
  <c r="I990" i="17"/>
  <c r="I907" i="17"/>
  <c r="I591" i="17"/>
  <c r="I560" i="17"/>
  <c r="I1005" i="17"/>
  <c r="I1290" i="17"/>
  <c r="I1353" i="17"/>
  <c r="I594" i="17"/>
  <c r="I1155" i="17"/>
  <c r="I586" i="17"/>
  <c r="I1296" i="17"/>
  <c r="I236" i="17"/>
  <c r="I803" i="17"/>
  <c r="I1169" i="17"/>
  <c r="I79" i="17"/>
  <c r="I529" i="17"/>
  <c r="I672" i="17"/>
  <c r="I209" i="17"/>
  <c r="I1202" i="17"/>
  <c r="I1402" i="17"/>
  <c r="I896" i="17"/>
  <c r="I162" i="17"/>
  <c r="I1243" i="17"/>
  <c r="I1312" i="17"/>
  <c r="I694" i="17"/>
  <c r="I817" i="17"/>
  <c r="I277" i="17"/>
  <c r="I970" i="17"/>
  <c r="I918" i="17"/>
  <c r="I850" i="17"/>
  <c r="I1355" i="17"/>
  <c r="I30" i="17"/>
  <c r="I996" i="17"/>
  <c r="I1454" i="17"/>
  <c r="I1147" i="17"/>
  <c r="I459" i="17"/>
  <c r="I1127" i="17"/>
  <c r="I473" i="17"/>
  <c r="I24" i="17"/>
  <c r="I1473" i="17"/>
  <c r="I916" i="17"/>
  <c r="I1339" i="17"/>
  <c r="I70" i="17"/>
  <c r="I1172" i="17"/>
  <c r="I1449" i="17"/>
  <c r="I1441" i="17"/>
  <c r="I1120" i="17"/>
  <c r="I448" i="17"/>
  <c r="I325" i="17"/>
  <c r="I1357" i="17"/>
  <c r="I939" i="17"/>
  <c r="I858" i="17"/>
  <c r="I260" i="17"/>
  <c r="I917" i="17"/>
  <c r="I508" i="17"/>
  <c r="I839" i="17"/>
  <c r="I1100" i="17"/>
  <c r="I727" i="17"/>
  <c r="I758" i="17"/>
  <c r="I1306" i="17"/>
  <c r="I184" i="17"/>
  <c r="I929" i="17"/>
  <c r="I1475" i="17"/>
  <c r="I1163" i="17"/>
  <c r="I1043" i="17"/>
  <c r="I612" i="17"/>
  <c r="I1324" i="17"/>
  <c r="I355" i="17"/>
  <c r="I1487" i="17"/>
  <c r="I223" i="17"/>
  <c r="I788" i="17"/>
  <c r="I1210" i="17"/>
  <c r="I1220" i="17"/>
  <c r="I633" i="17"/>
  <c r="I1079" i="17"/>
  <c r="I1522" i="17"/>
  <c r="I909" i="17"/>
  <c r="I671" i="17"/>
  <c r="I661" i="17"/>
  <c r="I518" i="17"/>
  <c r="I702" i="17"/>
  <c r="I1008" i="17"/>
  <c r="I749" i="17"/>
  <c r="I378" i="17"/>
  <c r="I1416" i="17"/>
  <c r="I1395" i="17"/>
  <c r="I426" i="17"/>
  <c r="I435" i="17"/>
  <c r="I227" i="17"/>
  <c r="I1334" i="17"/>
  <c r="I991" i="17"/>
  <c r="I925" i="17"/>
  <c r="I1255" i="17"/>
  <c r="I580" i="17"/>
  <c r="I530" i="17"/>
  <c r="I1187" i="17"/>
  <c r="I543" i="17"/>
  <c r="I1007" i="17"/>
  <c r="I1083" i="17"/>
  <c r="I284" i="17"/>
  <c r="I721" i="17"/>
  <c r="I1344" i="17"/>
  <c r="I422" i="17"/>
  <c r="I60" i="17"/>
  <c r="I1341" i="17"/>
  <c r="I976" i="17"/>
  <c r="I678" i="17"/>
  <c r="I981" i="17"/>
  <c r="I894" i="17"/>
  <c r="I1436" i="17"/>
  <c r="I358" i="17"/>
  <c r="I102" i="17"/>
  <c r="I280" i="17"/>
  <c r="I866" i="17"/>
  <c r="I238" i="17"/>
  <c r="I691" i="17"/>
  <c r="I804" i="17"/>
  <c r="I983" i="17"/>
  <c r="I77" i="17"/>
  <c r="I1003" i="17"/>
  <c r="I588" i="17"/>
  <c r="I321" i="17"/>
  <c r="I39" i="17"/>
  <c r="I106" i="17"/>
  <c r="I1472" i="17"/>
  <c r="I534" i="17"/>
  <c r="I451" i="17"/>
  <c r="I135" i="17"/>
  <c r="I471" i="17"/>
  <c r="I813" i="17"/>
  <c r="I433" i="17"/>
  <c r="I206" i="17"/>
  <c r="I554" i="17"/>
  <c r="I1316" i="17"/>
  <c r="I1349" i="17"/>
  <c r="I234" i="17"/>
  <c r="I851" i="17"/>
  <c r="I32" i="17"/>
  <c r="I1356" i="17"/>
  <c r="I545" i="17"/>
  <c r="I1164" i="17"/>
  <c r="I31" i="17"/>
  <c r="I1040" i="17"/>
  <c r="I397" i="17"/>
  <c r="I1207" i="17"/>
  <c r="I251" i="17"/>
  <c r="I576" i="17"/>
  <c r="I279" i="17"/>
  <c r="I1424" i="17"/>
  <c r="I404" i="17"/>
  <c r="I90" i="17"/>
  <c r="I926" i="17"/>
  <c r="I1415" i="17"/>
  <c r="I755" i="17"/>
  <c r="I718" i="17"/>
  <c r="I690" i="17"/>
  <c r="I1482" i="17"/>
  <c r="I1319" i="17"/>
  <c r="I231" i="17"/>
  <c r="I667" i="17"/>
  <c r="I880" i="17"/>
  <c r="I453" i="17"/>
  <c r="I927" i="17"/>
  <c r="I743" i="17"/>
  <c r="I728" i="17"/>
  <c r="I1185" i="17"/>
  <c r="I1474" i="17"/>
  <c r="I829" i="17"/>
  <c r="I1161" i="17"/>
  <c r="I1194" i="17"/>
  <c r="I628" i="17"/>
  <c r="I1379" i="17"/>
  <c r="I772" i="17"/>
  <c r="I215" i="17"/>
  <c r="I1283" i="17"/>
  <c r="I1485" i="17"/>
  <c r="I638" i="17"/>
  <c r="I1328" i="17"/>
  <c r="I452" i="17"/>
  <c r="I334" i="17"/>
  <c r="I1514" i="17"/>
  <c r="I731" i="17"/>
  <c r="I654" i="17"/>
  <c r="I519" i="17"/>
  <c r="I400" i="17"/>
  <c r="I624" i="17"/>
  <c r="I1174" i="17"/>
  <c r="I787" i="17"/>
  <c r="I1479" i="17"/>
  <c r="I1490" i="17"/>
  <c r="I1206" i="17"/>
  <c r="I170" i="17"/>
  <c r="I440" i="17"/>
  <c r="I617" i="17"/>
  <c r="I967" i="17"/>
  <c r="I806" i="17"/>
  <c r="I1512" i="17"/>
  <c r="I444" i="17"/>
  <c r="I396" i="17"/>
  <c r="I754" i="17"/>
  <c r="I87" i="17"/>
  <c r="I524" i="17"/>
  <c r="I951" i="17"/>
  <c r="I1016" i="17"/>
  <c r="I1337" i="17"/>
  <c r="I905" i="17"/>
  <c r="I957" i="17"/>
  <c r="I207" i="17"/>
  <c r="I776" i="17"/>
  <c r="I1311" i="17"/>
  <c r="I848" i="17"/>
  <c r="I1050" i="17"/>
  <c r="I1399" i="17"/>
  <c r="I968" i="17"/>
  <c r="I368" i="17"/>
  <c r="I319" i="17"/>
  <c r="I847" i="17"/>
  <c r="I924" i="17"/>
  <c r="I740" i="17"/>
  <c r="I1238" i="17"/>
  <c r="I1346" i="17"/>
  <c r="I1052" i="17"/>
  <c r="I689" i="17"/>
  <c r="I1287" i="17"/>
  <c r="I1268" i="17"/>
  <c r="I139" i="17"/>
  <c r="I66" i="17"/>
  <c r="I719" i="17"/>
  <c r="I536" i="17"/>
  <c r="I1363" i="17"/>
  <c r="I1047" i="17"/>
  <c r="I946" i="17"/>
  <c r="I1497" i="17"/>
  <c r="I1239" i="17"/>
  <c r="I1217" i="17"/>
  <c r="I1171" i="17"/>
  <c r="I497" i="17"/>
  <c r="I1229" i="17"/>
  <c r="I869" i="17"/>
  <c r="I350" i="17"/>
  <c r="I658" i="17"/>
  <c r="I134" i="17"/>
  <c r="I491" i="17"/>
  <c r="I282" i="17"/>
  <c r="I797" i="17"/>
  <c r="I493" i="17"/>
  <c r="I625" i="17"/>
  <c r="I653" i="17"/>
  <c r="I1011" i="17"/>
  <c r="I730" i="17"/>
  <c r="I614" i="17"/>
  <c r="I1457" i="17"/>
  <c r="I74" i="17"/>
  <c r="I799" i="17"/>
  <c r="I1001" i="17"/>
  <c r="I928" i="17"/>
  <c r="I590" i="17"/>
  <c r="I48" i="17"/>
  <c r="I517" i="17"/>
  <c r="I994" i="17"/>
  <c r="I1132" i="17"/>
  <c r="I1518" i="17"/>
  <c r="I1385" i="17"/>
  <c r="I1059" i="17"/>
  <c r="I646" i="17"/>
  <c r="I172" i="17"/>
  <c r="I840" i="17"/>
  <c r="I46" i="17"/>
  <c r="I980" i="17"/>
  <c r="I1494" i="17"/>
  <c r="I1015" i="17"/>
  <c r="I474" i="17"/>
  <c r="I1141" i="17"/>
  <c r="I1260" i="17"/>
  <c r="I921" i="17"/>
  <c r="I1211" i="17"/>
  <c r="I745" i="17"/>
  <c r="I300" i="17"/>
  <c r="I395" i="17"/>
  <c r="I273" i="17"/>
  <c r="I620" i="17"/>
  <c r="I564" i="17"/>
  <c r="I479" i="17"/>
  <c r="I298" i="17"/>
  <c r="I604" i="17"/>
  <c r="I683" i="17"/>
  <c r="I1251" i="17"/>
  <c r="I1153" i="17"/>
  <c r="I1370" i="17"/>
  <c r="I505" i="17"/>
  <c r="I553" i="17"/>
  <c r="I91" i="17"/>
  <c r="I837" i="17"/>
  <c r="I50" i="17"/>
  <c r="I674" i="17"/>
  <c r="I465" i="17"/>
  <c r="I1280" i="17"/>
  <c r="I1459" i="17"/>
  <c r="I1426" i="17"/>
  <c r="I1069" i="17"/>
  <c r="I1448" i="17"/>
  <c r="I1330" i="17"/>
  <c r="I502" i="17"/>
  <c r="I337" i="17"/>
  <c r="I648" i="17"/>
  <c r="I890" i="17"/>
  <c r="I84" i="17"/>
  <c r="I827" i="17"/>
  <c r="I316" i="17"/>
  <c r="I408" i="17"/>
  <c r="I377" i="17"/>
  <c r="I1488" i="17"/>
  <c r="I1378" i="17"/>
  <c r="I217" i="17"/>
  <c r="I352" i="17"/>
  <c r="I40" i="17"/>
  <c r="I766" i="17"/>
  <c r="I1308" i="17"/>
  <c r="I1179" i="17"/>
  <c r="I687" i="17"/>
  <c r="I828" i="17"/>
  <c r="I233" i="17"/>
  <c r="I814" i="17"/>
  <c r="I1419" i="17"/>
  <c r="I1024" i="17"/>
  <c r="I770" i="17"/>
  <c r="I844" i="17"/>
  <c r="I270" i="17"/>
  <c r="I1396" i="17"/>
  <c r="I379" i="17"/>
  <c r="I1223" i="17"/>
  <c r="I1256" i="17"/>
  <c r="I859" i="17"/>
  <c r="I169" i="17"/>
  <c r="I937" i="17"/>
  <c r="I805" i="17"/>
  <c r="I645" i="17"/>
  <c r="I1519" i="17"/>
  <c r="I83" i="17"/>
  <c r="I836" i="17"/>
  <c r="I1252" i="17"/>
  <c r="I826" i="17"/>
  <c r="I581" i="17"/>
  <c r="I675" i="17"/>
  <c r="I301" i="17"/>
  <c r="I1129" i="17"/>
  <c r="I1095" i="17"/>
  <c r="I1466" i="17"/>
  <c r="I1358" i="17"/>
  <c r="I1471" i="17"/>
  <c r="I1103" i="17"/>
  <c r="I1022" i="17"/>
  <c r="I1309" i="17"/>
  <c r="I1051" i="17"/>
  <c r="I1176" i="17"/>
  <c r="I546" i="17"/>
  <c r="I955" i="17"/>
  <c r="I367" i="17"/>
  <c r="I196" i="17"/>
  <c r="I109" i="17"/>
  <c r="I1384" i="17"/>
  <c r="I221" i="17"/>
  <c r="I1516" i="17"/>
  <c r="I1018" i="17"/>
  <c r="I1492" i="17"/>
  <c r="I716" i="17"/>
  <c r="I1434" i="17"/>
  <c r="I686" i="17"/>
  <c r="I761" i="17"/>
  <c r="I1148" i="17"/>
  <c r="I509" i="17"/>
  <c r="I843" i="17"/>
  <c r="I94" i="17"/>
  <c r="I1093" i="17"/>
  <c r="I585" i="17"/>
  <c r="I391" i="17"/>
  <c r="I1318" i="17"/>
  <c r="I914" i="17"/>
  <c r="I778" i="17"/>
  <c r="I1271" i="17"/>
  <c r="I388" i="17"/>
  <c r="I1116" i="17"/>
  <c r="I903" i="17"/>
  <c r="I643" i="17"/>
  <c r="I1310" i="17"/>
  <c r="I366" i="17"/>
  <c r="I704" i="17"/>
  <c r="I936" i="17"/>
  <c r="I193" i="17"/>
  <c r="I763" i="17"/>
  <c r="I478" i="17"/>
  <c r="I1012" i="17"/>
  <c r="I165" i="17"/>
  <c r="I413" i="17"/>
  <c r="I629" i="17"/>
  <c r="I1278" i="17"/>
  <c r="I68" i="17"/>
  <c r="I468" i="17"/>
  <c r="I340" i="17"/>
  <c r="I1501" i="17"/>
  <c r="I912" i="17"/>
  <c r="I963" i="17"/>
  <c r="I677" i="17"/>
  <c r="I610" i="17"/>
  <c r="I1234" i="17"/>
  <c r="I25" i="17"/>
  <c r="I214" i="17"/>
  <c r="I128" i="17"/>
  <c r="I443" i="17"/>
  <c r="I1115" i="17"/>
  <c r="I1412" i="17"/>
  <c r="I1019" i="17"/>
  <c r="I247" i="17"/>
  <c r="I183" i="17"/>
  <c r="I211" i="17"/>
  <c r="I462" i="17"/>
  <c r="I853" i="17"/>
  <c r="I999" i="17"/>
  <c r="I198" i="17"/>
  <c r="I771" i="17"/>
  <c r="I249" i="17"/>
  <c r="I130" i="17"/>
  <c r="I212" i="17"/>
  <c r="I544" i="17"/>
  <c r="I520" i="17"/>
  <c r="I567" i="17"/>
  <c r="I1325" i="17"/>
  <c r="I431" i="17"/>
  <c r="I774" i="17"/>
  <c r="I49" i="17"/>
  <c r="I292" i="17"/>
  <c r="I309" i="17"/>
  <c r="I1293" i="17"/>
  <c r="I1159" i="17"/>
  <c r="I1225" i="17"/>
  <c r="I1450" i="17"/>
  <c r="I1181" i="17"/>
  <c r="I673" i="17"/>
  <c r="I900" i="17"/>
  <c r="I549" i="17"/>
  <c r="I1037" i="17"/>
  <c r="I1458" i="17"/>
  <c r="I1435" i="17"/>
  <c r="I1071" i="17"/>
  <c r="I1437" i="17"/>
  <c r="I1110" i="17"/>
  <c r="I735" i="17"/>
  <c r="I1140" i="17"/>
  <c r="I608" i="17"/>
  <c r="I357" i="17"/>
  <c r="I1108" i="17"/>
  <c r="I1058" i="17"/>
  <c r="I892" i="17"/>
  <c r="I701" i="17"/>
  <c r="I592" i="17"/>
  <c r="I199" i="17"/>
  <c r="I384" i="17"/>
  <c r="I185" i="17"/>
  <c r="I764" i="17"/>
  <c r="I639" i="17"/>
  <c r="I815" i="17"/>
  <c r="I213" i="17"/>
  <c r="I1477" i="17"/>
  <c r="I124" i="17"/>
  <c r="I845" i="17"/>
  <c r="I1109" i="17"/>
  <c r="I1507" i="17"/>
  <c r="I1198" i="17"/>
  <c r="I1367" i="17"/>
  <c r="I875" i="17"/>
  <c r="I1056" i="17"/>
  <c r="I779" i="17"/>
  <c r="I291" i="17"/>
  <c r="I296" i="17"/>
  <c r="I539" i="17"/>
  <c r="I219" i="17"/>
  <c r="I268" i="17"/>
  <c r="I601" i="17"/>
  <c r="I173" i="17"/>
  <c r="I708" i="17"/>
  <c r="I565" i="17"/>
  <c r="I659" i="17"/>
  <c r="I299" i="17"/>
  <c r="I959" i="17"/>
  <c r="I344" i="17"/>
  <c r="I235" i="17"/>
  <c r="I998" i="17"/>
  <c r="I171" i="17"/>
  <c r="I1520" i="17"/>
  <c r="I262" i="17"/>
  <c r="I882" i="17"/>
  <c r="I1331" i="17"/>
  <c r="I285" i="17"/>
  <c r="I642" i="17"/>
  <c r="I709" i="17"/>
  <c r="I463" i="17"/>
  <c r="I793" i="17"/>
  <c r="I824" i="17"/>
  <c r="I254" i="17"/>
  <c r="I131" i="17"/>
  <c r="I318" i="17"/>
  <c r="I571" i="17"/>
  <c r="I842" i="17"/>
  <c r="I375" i="17"/>
  <c r="I1134" i="17"/>
  <c r="I1352" i="17"/>
  <c r="I1160" i="17"/>
  <c r="I1299" i="17"/>
  <c r="I631" i="17"/>
  <c r="I1500" i="17"/>
  <c r="I1414" i="17"/>
  <c r="I861" i="17"/>
  <c r="I751" i="17"/>
  <c r="I354" i="17"/>
  <c r="I204" i="17"/>
  <c r="I483" i="17"/>
  <c r="I964" i="17"/>
  <c r="I150" i="17"/>
  <c r="I1166" i="17"/>
  <c r="I275" i="17"/>
  <c r="I753" i="17"/>
  <c r="I312" i="17"/>
  <c r="I28" i="17"/>
  <c r="I54" i="17"/>
  <c r="I210" i="17"/>
  <c r="I685" i="17"/>
  <c r="I1030" i="17"/>
  <c r="I1270" i="17"/>
  <c r="I385" i="17"/>
  <c r="I1382" i="17"/>
  <c r="I506" i="17"/>
  <c r="I414" i="17"/>
  <c r="I1131" i="17"/>
  <c r="I149" i="17"/>
  <c r="I1314" i="17"/>
  <c r="I860" i="17"/>
  <c r="I611" i="17"/>
  <c r="I1298" i="17"/>
  <c r="I516" i="17"/>
  <c r="I724" i="17"/>
  <c r="I1068" i="17"/>
  <c r="I562" i="17"/>
  <c r="I712" i="17"/>
  <c r="I652" i="17"/>
  <c r="I455" i="17"/>
  <c r="I1028" i="17"/>
  <c r="I37" i="17"/>
  <c r="I693" i="17"/>
  <c r="I1150" i="17"/>
  <c r="I582" i="17"/>
  <c r="I1377" i="17"/>
  <c r="I1061" i="17"/>
  <c r="I901" i="17"/>
  <c r="I915" i="17"/>
  <c r="I492" i="17"/>
  <c r="I1091" i="17"/>
  <c r="I1333" i="17"/>
  <c r="I558" i="17"/>
  <c r="I945" i="17"/>
  <c r="I947" i="17"/>
  <c r="I447" i="17"/>
  <c r="I531" i="17"/>
  <c r="I682" i="17"/>
  <c r="I469" i="17"/>
  <c r="I145" i="17"/>
  <c r="I1510" i="17"/>
  <c r="I369" i="17"/>
  <c r="I1464" i="17"/>
  <c r="I85" i="17"/>
  <c r="I1381" i="17"/>
  <c r="I757" i="17"/>
  <c r="I226" i="17"/>
  <c r="I434" i="17"/>
  <c r="I417" i="17"/>
  <c r="I626" i="17"/>
  <c r="I155" i="17"/>
  <c r="I343" i="17"/>
  <c r="I146" i="17"/>
  <c r="I555" i="17"/>
  <c r="I220" i="17"/>
  <c r="I501" i="17"/>
  <c r="I178" i="17"/>
  <c r="I98" i="17"/>
  <c r="I752" i="17"/>
  <c r="I1315" i="17"/>
  <c r="I1067" i="17"/>
  <c r="I187" i="17"/>
  <c r="I52" i="17"/>
  <c r="I948" i="17"/>
  <c r="I807" i="17"/>
  <c r="I899" i="17"/>
  <c r="I1499" i="17"/>
  <c r="I616" i="17"/>
  <c r="I886" i="17"/>
  <c r="I324" i="17"/>
  <c r="I485" i="17"/>
  <c r="I1275" i="17"/>
  <c r="I942" i="17"/>
  <c r="I775" i="17"/>
  <c r="I941" i="17"/>
  <c r="I870" i="17"/>
  <c r="I1410" i="17"/>
  <c r="I1386" i="17"/>
  <c r="I819" i="17"/>
  <c r="I1029" i="17"/>
  <c r="I305" i="17"/>
  <c r="I1173" i="17"/>
  <c r="I1096" i="17"/>
  <c r="I225" i="17"/>
  <c r="I696" i="17"/>
  <c r="I1452" i="17"/>
  <c r="I1305" i="17"/>
  <c r="I733" i="17"/>
  <c r="I533" i="17"/>
  <c r="I1376" i="17"/>
  <c r="I1133" i="17"/>
  <c r="I136" i="17"/>
  <c r="I938" i="17"/>
  <c r="I406" i="17"/>
  <c r="I394" i="17"/>
  <c r="I92" i="17"/>
  <c r="I705" i="17"/>
  <c r="I151" i="17"/>
  <c r="I1192" i="17"/>
  <c r="I1327" i="17"/>
  <c r="I734" i="17"/>
  <c r="I670" i="17"/>
  <c r="I341" i="17"/>
  <c r="I437" i="17"/>
  <c r="I512" i="17"/>
  <c r="I1307" i="17"/>
  <c r="I335" i="17"/>
  <c r="I392" i="17"/>
  <c r="I641" i="17"/>
  <c r="I982" i="17"/>
  <c r="I570" i="17"/>
  <c r="I201" i="17"/>
  <c r="I1343" i="17"/>
  <c r="I407" i="17"/>
  <c r="I138" i="17"/>
  <c r="I1345" i="17"/>
  <c r="I82" i="17"/>
  <c r="I862" i="17"/>
  <c r="I644" i="17"/>
  <c r="I190" i="17"/>
  <c r="I1241" i="17"/>
  <c r="I1104" i="17"/>
  <c r="I1453" i="17"/>
  <c r="I386" i="17"/>
  <c r="I1418" i="17"/>
  <c r="I816" i="17"/>
  <c r="I1445" i="17"/>
  <c r="I1121" i="17"/>
  <c r="I1080" i="17"/>
  <c r="I55" i="17"/>
  <c r="I148" i="17"/>
  <c r="I852" i="17"/>
  <c r="I293" i="17"/>
  <c r="I1427" i="17"/>
  <c r="I267" i="17"/>
  <c r="I495" i="17"/>
  <c r="I1301" i="17"/>
  <c r="I697" i="17"/>
  <c r="I1055" i="17"/>
  <c r="I527" i="17"/>
  <c r="I113" i="17"/>
  <c r="I738" i="17"/>
  <c r="I931" i="17"/>
  <c r="I1425" i="17"/>
  <c r="I864" i="17"/>
  <c r="I195" i="17"/>
  <c r="I888" i="17"/>
  <c r="I419" i="17"/>
  <c r="I1213" i="17"/>
  <c r="I103" i="17"/>
  <c r="I1200" i="17"/>
  <c r="I371" i="17"/>
  <c r="I315" i="17"/>
  <c r="I177" i="17"/>
  <c r="I186" i="17"/>
  <c r="I1368" i="17"/>
  <c r="I308" i="17"/>
  <c r="I69" i="17"/>
  <c r="I105" i="17"/>
  <c r="I1152" i="17"/>
  <c r="I1117" i="17"/>
  <c r="I1347" i="17"/>
  <c r="I399" i="17"/>
  <c r="I1186" i="17"/>
  <c r="I598" i="17"/>
  <c r="I1168" i="17"/>
  <c r="I1442" i="17"/>
  <c r="I1362" i="17"/>
  <c r="I436" i="17"/>
  <c r="I792" i="17"/>
  <c r="I1407" i="17"/>
  <c r="I154" i="17"/>
  <c r="I1383" i="17"/>
  <c r="I1111" i="17"/>
  <c r="I96" i="17"/>
  <c r="I470" i="17"/>
  <c r="I579" i="17"/>
  <c r="I330" i="17"/>
  <c r="I1123" i="17"/>
  <c r="I769" i="17"/>
  <c r="I1266" i="17"/>
  <c r="I122" i="17"/>
  <c r="I1289" i="17"/>
  <c r="I841" i="17"/>
  <c r="I286" i="17"/>
  <c r="I944" i="17"/>
  <c r="I256" i="17"/>
  <c r="I602" i="17"/>
  <c r="I403" i="17"/>
  <c r="I548" i="17"/>
  <c r="I320" i="17"/>
  <c r="I1146" i="17"/>
  <c r="I36" i="17"/>
  <c r="I117" i="17"/>
  <c r="I857" i="17"/>
  <c r="I878" i="17"/>
  <c r="I224" i="17"/>
  <c r="I710" i="17"/>
  <c r="I1021" i="17"/>
  <c r="I737" i="17"/>
  <c r="I583" i="17"/>
  <c r="I348" i="17"/>
  <c r="I456" i="17"/>
  <c r="I515" i="17"/>
  <c r="I119" i="17"/>
  <c r="I1369" i="17"/>
  <c r="I311" i="17"/>
  <c r="I1265" i="17"/>
  <c r="I1151" i="17"/>
  <c r="I655" i="17"/>
  <c r="I930" i="17"/>
  <c r="I100" i="17"/>
  <c r="I1388" i="17"/>
  <c r="I511" i="17"/>
  <c r="I71" i="17"/>
  <c r="I126" i="17"/>
  <c r="I574" i="17"/>
  <c r="I1175" i="17"/>
  <c r="I956" i="17"/>
  <c r="I496" i="17"/>
  <c r="I883" i="17"/>
  <c r="I1451" i="17"/>
  <c r="I57" i="17"/>
  <c r="I313" i="17"/>
  <c r="I510" i="17"/>
  <c r="I1189" i="17"/>
  <c r="I1027" i="17"/>
  <c r="I289" i="17"/>
  <c r="I703" i="17"/>
  <c r="I707" i="17"/>
  <c r="I1126" i="17"/>
  <c r="I174" i="17"/>
  <c r="I65" i="17"/>
  <c r="I1503" i="17"/>
  <c r="I281" i="17"/>
  <c r="I908" i="17"/>
  <c r="I1365" i="17"/>
  <c r="I637" i="17"/>
  <c r="I383" i="17"/>
  <c r="I1273" i="17"/>
  <c r="I535" i="17"/>
  <c r="I1285" i="17"/>
  <c r="I1006" i="17"/>
  <c r="I112" i="17"/>
  <c r="I713" i="17"/>
  <c r="I1297" i="17"/>
  <c r="I913" i="17"/>
  <c r="I1304" i="17"/>
  <c r="I27" i="17"/>
  <c r="I726" i="17"/>
  <c r="I513" i="17"/>
  <c r="I303" i="17"/>
  <c r="I514" i="17"/>
  <c r="I781" i="17"/>
  <c r="I997" i="17"/>
  <c r="I669" i="17"/>
  <c r="I450" i="17"/>
  <c r="I159" i="17"/>
  <c r="I904" i="17"/>
  <c r="I1086" i="17"/>
  <c r="I1262" i="17"/>
  <c r="I1447" i="17"/>
  <c r="I423" i="17"/>
  <c r="I782" i="17"/>
  <c r="I801" i="17"/>
  <c r="I1231" i="17"/>
  <c r="I1282" i="17"/>
  <c r="I1156" i="17"/>
  <c r="I838" i="17"/>
  <c r="I1144" i="17"/>
  <c r="I387" i="17"/>
  <c r="I1491" i="17"/>
  <c r="I887" i="17"/>
  <c r="I1232" i="17"/>
  <c r="I812" i="17"/>
  <c r="I833" i="17"/>
  <c r="I1088" i="17"/>
  <c r="I192" i="17"/>
  <c r="I1404" i="17"/>
  <c r="I715" i="17"/>
  <c r="I428" i="17"/>
  <c r="I1483" i="17"/>
  <c r="I1461" i="17"/>
  <c r="I1254" i="17"/>
  <c r="I1502" i="17"/>
  <c r="I34" i="17"/>
  <c r="I523" i="17"/>
  <c r="I370" i="17"/>
  <c r="I953" i="17"/>
  <c r="I978" i="17"/>
  <c r="I1240" i="17"/>
  <c r="I1215" i="17"/>
  <c r="I1259" i="17"/>
  <c r="I163" i="17"/>
  <c r="I741" i="17"/>
  <c r="I123" i="17"/>
  <c r="I1406" i="17"/>
  <c r="I62" i="17"/>
  <c r="I832" i="17"/>
  <c r="I338" i="17"/>
  <c r="I58" i="17"/>
  <c r="I1372" i="17"/>
  <c r="I438" i="17"/>
  <c r="I246" i="17"/>
  <c r="I540" i="17"/>
  <c r="I503" i="17"/>
  <c r="I287" i="17"/>
  <c r="I1517" i="17"/>
  <c r="I1509" i="17"/>
  <c r="I274" i="17"/>
  <c r="I261" i="17"/>
  <c r="I1336" i="17"/>
  <c r="I551" i="17"/>
  <c r="I933" i="17"/>
  <c r="I1076" i="17"/>
  <c r="I376" i="17"/>
  <c r="I1136" i="17"/>
  <c r="I596" i="17"/>
  <c r="I522" i="17"/>
  <c r="I93" i="17"/>
  <c r="I897" i="17"/>
  <c r="I879" i="17"/>
  <c r="I1216" i="17"/>
  <c r="I272" i="17"/>
  <c r="I1438" i="17"/>
  <c r="I1460" i="17"/>
  <c r="I99" i="17"/>
  <c r="I1302" i="17"/>
  <c r="I765" i="17"/>
  <c r="I893" i="17"/>
  <c r="I599" i="17"/>
  <c r="I784" i="17"/>
  <c r="I1177" i="17"/>
  <c r="I593" i="17"/>
  <c r="I1066" i="17"/>
  <c r="I1049" i="17"/>
  <c r="I439" i="17"/>
  <c r="I175" i="17"/>
  <c r="I1023" i="17"/>
  <c r="I647" i="17"/>
  <c r="I1390" i="17"/>
  <c r="I1351" i="17"/>
  <c r="I867" i="17"/>
  <c r="I1480" i="17"/>
  <c r="I181" i="17"/>
  <c r="I573" i="17"/>
  <c r="I1235" i="17"/>
  <c r="I961" i="17"/>
  <c r="I248" i="17"/>
  <c r="I1291" i="17"/>
  <c r="I360" i="17"/>
  <c r="I538" i="17"/>
  <c r="I393" i="17"/>
  <c r="I389" i="17"/>
  <c r="I1440" i="17"/>
  <c r="I877" i="17"/>
  <c r="I333" i="17"/>
  <c r="I747" i="17"/>
  <c r="I35" i="17"/>
  <c r="I1515" i="17"/>
  <c r="I1199" i="17"/>
  <c r="I692" i="17"/>
  <c r="I1323" i="17"/>
  <c r="I349" i="17"/>
  <c r="I992" i="17"/>
  <c r="I1154" i="17"/>
  <c r="I657" i="17"/>
  <c r="I636" i="17"/>
  <c r="I1004" i="17"/>
  <c r="I825" i="17"/>
  <c r="I597" i="17"/>
  <c r="I1236" i="17"/>
  <c r="I1042" i="17"/>
  <c r="I873" i="17"/>
  <c r="I1411" i="17"/>
  <c r="I1521" i="17"/>
  <c r="I1118" i="17"/>
  <c r="I1082" i="17"/>
  <c r="I584" i="17"/>
  <c r="I182" i="17"/>
  <c r="I889" i="17"/>
  <c r="I881" i="17"/>
  <c r="I356" i="17"/>
  <c r="I587" i="17"/>
  <c r="I445" i="17"/>
  <c r="I623" i="17"/>
  <c r="I1398" i="17"/>
  <c r="I835" i="17"/>
  <c r="I664" i="17"/>
  <c r="I332" i="17"/>
  <c r="I972" i="17"/>
  <c r="I605" i="17"/>
  <c r="I1446" i="17"/>
  <c r="I1135" i="17"/>
  <c r="I1009" i="17"/>
  <c r="I194" i="17"/>
  <c r="I133" i="17"/>
  <c r="I1295" i="17"/>
  <c r="I230" i="17"/>
  <c r="I310" i="17"/>
  <c r="I681" i="17"/>
  <c r="I482" i="17"/>
  <c r="I1462" i="17"/>
  <c r="I421" i="17"/>
  <c r="I1196" i="17"/>
  <c r="I202" i="17"/>
  <c r="I1074" i="17"/>
  <c r="I1329" i="17"/>
  <c r="I216" i="17"/>
  <c r="I38" i="17"/>
  <c r="I679" i="17"/>
  <c r="I790" i="17"/>
  <c r="I1145" i="17"/>
  <c r="I44" i="17"/>
  <c r="I821" i="17"/>
  <c r="I660" i="17"/>
  <c r="I1313" i="17"/>
  <c r="I722" i="17"/>
  <c r="I1375" i="17"/>
  <c r="I88" i="17"/>
  <c r="I1439" i="17"/>
  <c r="I1182" i="17"/>
  <c r="I1087" i="17"/>
  <c r="I402" i="17"/>
  <c r="I1258" i="17"/>
  <c r="I1178" i="17"/>
  <c r="I1130" i="17"/>
  <c r="I528" i="17"/>
  <c r="I1013" i="17"/>
  <c r="I1092" i="17"/>
  <c r="I1443" i="17"/>
  <c r="I1281" i="17"/>
  <c r="I789" i="17"/>
  <c r="I1469" i="17"/>
  <c r="I327" i="17"/>
  <c r="I1102" i="17"/>
  <c r="I1025" i="17"/>
  <c r="I759" i="17"/>
  <c r="I949" i="17"/>
  <c r="I203" i="17"/>
  <c r="I663" i="17"/>
  <c r="I1263" i="17"/>
  <c r="I649" i="17"/>
  <c r="I255" i="17"/>
  <c r="I1065" i="17"/>
  <c r="I974" i="17"/>
  <c r="I698" i="17"/>
  <c r="I427" i="17"/>
  <c r="I188" i="17"/>
  <c r="I107" i="17"/>
  <c r="I454" i="17"/>
  <c r="I1142" i="17"/>
  <c r="I1300" i="17"/>
  <c r="AT25" i="21"/>
  <c r="AU8" i="21"/>
  <c r="AT9" i="21"/>
  <c r="AV14" i="21"/>
  <c r="AV8" i="21"/>
  <c r="AT7" i="21"/>
  <c r="AU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<sst xmlns="http://schemas.openxmlformats.org/spreadsheetml/2006/main" count="3873" uniqueCount="227">
  <si>
    <t>Curve Names</t>
  </si>
  <si>
    <t>Calendar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</si>
  <si>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</si>
  <si>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</si>
  <si>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</si>
  <si>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</si>
  <si>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</si>
  <si>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</si>
  <si>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</si>
  <si>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</si>
  <si>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</si>
  <si>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</si>
  <si>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</si>
  <si>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</si>
  <si>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</si>
  <si>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</si>
  <si>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</si>
  <si>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</si>
  <si>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</si>
  <si>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</si>
  <si>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</si>
  <si>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</si>
  <si>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</si>
  <si>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</si>
  <si>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</si>
  <si>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</si>
  <si>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</si>
  <si>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</si>
  <si>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</si>
  <si>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</si>
  <si>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</si>
  <si>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</si>
  <si>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</si>
  <si>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</si>
  <si>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</si>
  <si>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</si>
  <si>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</si>
  <si>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</si>
  <si>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</si>
  <si>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</si>
  <si>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</si>
  <si>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</si>
  <si>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</si>
  <si>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</si>
  <si>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4Y</t>
  </si>
  <si>
    <t>5Y</t>
  </si>
  <si>
    <t>6Y</t>
  </si>
  <si>
    <t>7Y</t>
  </si>
  <si>
    <t>12M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</si>
  <si>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</si>
  <si>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</si>
  <si>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</si>
  <si>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</si>
  <si>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</si>
  <si>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</si>
  <si>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</si>
  <si>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</si>
  <si>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</si>
  <si>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</si>
  <si>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</si>
  <si>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</si>
  <si>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</si>
  <si>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</si>
  <si>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</si>
  <si>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</si>
  <si>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</si>
  <si>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</si>
  <si>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</si>
  <si>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</si>
  <si>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</si>
  <si>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</si>
  <si>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</si>
  <si>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</si>
  <si>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</si>
  <si>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</si>
  <si>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</si>
  <si>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</si>
  <si>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</si>
  <si>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</si>
  <si>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mirSetUpSwapCurve</t>
  </si>
  <si>
    <t>STD</t>
  </si>
  <si>
    <t>isfutureuse</t>
  </si>
  <si>
    <t>isfrause</t>
  </si>
  <si>
    <t>dfcurvename</t>
  </si>
  <si>
    <t>Cash Instruments</t>
  </si>
  <si>
    <t>Money Market Conventions</t>
  </si>
  <si>
    <t>DayCount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</si>
  <si>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</si>
  <si>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</si>
  <si>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</si>
  <si>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</si>
  <si>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</si>
  <si>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</si>
  <si>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</si>
  <si>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</si>
  <si>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</si>
  <si>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</si>
  <si>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</si>
  <si>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</si>
  <si>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</si>
  <si>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</si>
  <si>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</si>
  <si>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</si>
  <si>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</si>
  <si>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</si>
  <si>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</si>
  <si>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</si>
  <si>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</si>
  <si>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</si>
  <si>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</si>
  <si>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</si>
  <si>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</si>
  <si>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</si>
  <si>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</si>
  <si>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</si>
  <si>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</si>
  <si>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</si>
  <si>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</si>
  <si>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</si>
  <si>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</si>
  <si>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</si>
  <si>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</si>
  <si>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</si>
  <si>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</si>
  <si>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Act/360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</si>
  <si>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</si>
  <si>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</si>
  <si>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</si>
  <si>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</si>
  <si>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</si>
  <si>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</si>
  <si>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</si>
  <si>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</si>
  <si>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</si>
  <si>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</si>
  <si>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</si>
  <si>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</si>
  <si>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</si>
  <si>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</si>
  <si>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</si>
  <si>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</si>
  <si>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</si>
  <si>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</si>
  <si>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</si>
  <si>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</si>
  <si>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</si>
  <si>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</si>
  <si>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</si>
  <si>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</si>
  <si>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</si>
  <si>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</si>
  <si>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</si>
  <si>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</si>
  <si>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</si>
  <si>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</si>
  <si>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</si>
  <si>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</si>
  <si>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</si>
  <si>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STD:USD3ML</t>
  </si>
  <si>
    <t>Curve Loaded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</si>
  <si>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</si>
  <si>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</si>
  <si>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</si>
  <si>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</si>
  <si>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</si>
  <si>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</si>
  <si>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</si>
  <si>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</si>
  <si>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</si>
  <si>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</si>
  <si>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</si>
  <si>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</si>
  <si>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</si>
  <si>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Notional</t>
  </si>
  <si>
    <t>PAYER</t>
  </si>
  <si>
    <t>ShortStart</t>
  </si>
  <si>
    <t>Discount Curve</t>
  </si>
  <si>
    <t>EOM Roll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</si>
  <si>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</si>
  <si>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</si>
  <si>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</si>
  <si>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</si>
  <si>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</si>
  <si>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</si>
  <si>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</si>
  <si>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</si>
  <si>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</si>
  <si>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</si>
  <si>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</si>
  <si>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</si>
  <si>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</si>
  <si>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</si>
  <si>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</si>
  <si>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</si>
  <si>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</si>
  <si>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</si>
  <si>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</si>
  <si>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</si>
  <si>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</si>
  <si>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</si>
  <si>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</si>
  <si>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</si>
  <si>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</si>
  <si>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</si>
  <si>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</si>
  <si>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</si>
  <si>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</si>
  <si>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</si>
  <si>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</si>
  <si>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</si>
  <si>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</si>
  <si>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</si>
  <si>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</si>
  <si>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</si>
  <si>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</si>
  <si>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NOCSA</t>
  </si>
  <si>
    <t>13Y</t>
  </si>
  <si>
    <t>14Y</t>
  </si>
  <si>
    <t>Curve Collection</t>
  </si>
  <si>
    <t>IMM</t>
  </si>
  <si>
    <t>USD Swaps</t>
  </si>
  <si>
    <t>35Y</t>
  </si>
  <si>
    <t>NYB:LNB</t>
  </si>
  <si>
    <t>0D</t>
  </si>
  <si>
    <t>3ML</t>
  </si>
  <si>
    <t>Fixed RollDay or Convention</t>
  </si>
  <si>
    <t>Float RollDay or Convention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</si>
</sst>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0" borderId="21" xfId="0" applyFill="1" applyBorder="1"/>
    <xf numFmtId="0" fontId="9" fillId="0" borderId="21" xfId="0" applyFont="1" applyFill="1" applyBorder="1" applyAlignment="1">
      <alignment horizontal="center" vertical="center"/>
    </xf>
    <xf numFmtId="0" fontId="0" fillId="0" borderId="22" xfId="0" applyFill="1" applyBorder="1"/>
    <xf numFmtId="0" fontId="9" fillId="0" borderId="22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21" fillId="0" borderId="0" xfId="0" applyFont="1"/>
    <xf numFmtId="0" fontId="0" fillId="0" borderId="23" xfId="0" applyFill="1" applyBorder="1"/>
    <xf numFmtId="0" fontId="11" fillId="2" borderId="23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16" xfId="0" applyNumberFormat="1" applyFont="1" applyFill="1" applyBorder="1" applyAlignment="1">
      <alignment horizontal="center" vertical="center"/>
    </xf>
    <xf numFmtId="15" fontId="9" fillId="0" borderId="17" xfId="0" applyNumberFormat="1" applyFont="1" applyFill="1" applyBorder="1" applyAlignment="1">
      <alignment horizontal="center" vertical="center"/>
    </xf>
    <xf numFmtId="165" fontId="9" fillId="0" borderId="18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5" fontId="9" fillId="0" borderId="19" xfId="0" applyNumberFormat="1" applyFont="1" applyFill="1" applyBorder="1" applyAlignment="1">
      <alignment horizontal="center" vertical="center"/>
    </xf>
    <xf numFmtId="15" fontId="9" fillId="0" borderId="25" xfId="0" applyNumberFormat="1" applyFont="1" applyFill="1" applyBorder="1" applyAlignment="1">
      <alignment horizontal="center" vertical="center"/>
    </xf>
    <xf numFmtId="15" fontId="9" fillId="0" borderId="26" xfId="0" applyNumberFormat="1" applyFont="1" applyFill="1" applyBorder="1" applyAlignment="1">
      <alignment horizontal="center" vertical="center"/>
    </xf>
    <xf numFmtId="15" fontId="9" fillId="0" borderId="27" xfId="0" applyNumberFormat="1" applyFont="1" applyFill="1" applyBorder="1" applyAlignment="1">
      <alignment horizontal="center"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3" fontId="0" fillId="0" borderId="0" xfId="0" applyNumberFormat="1"/>
    <xf numFmtId="0" fontId="0" fillId="3" borderId="28" xfId="0" applyNumberFormat="1" applyFill="1" applyBorder="1" applyAlignment="1">
      <alignment horizontal="center" vertical="top" wrapText="1"/>
    </xf>
    <xf numFmtId="0" fontId="0" fillId="3" borderId="29" xfId="0" applyNumberFormat="1" applyFill="1" applyBorder="1" applyAlignment="1">
      <alignment horizontal="center" vertical="top" wrapText="1"/>
    </xf>
    <xf numFmtId="0" fontId="0" fillId="3" borderId="29" xfId="0" applyNumberFormat="1" applyFill="1" applyBorder="1" applyAlignment="1">
      <alignment horizontal="center" vertical="center" wrapText="1"/>
    </xf>
    <xf numFmtId="0" fontId="0" fillId="3" borderId="30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1" xfId="0" applyNumberFormat="1" applyFont="1" applyFill="1" applyBorder="1" applyAlignment="1">
      <alignment horizontal="center" vertical="center"/>
    </xf>
    <xf numFmtId="167" fontId="0" fillId="0" borderId="32" xfId="0" quotePrefix="1" applyNumberFormat="1" applyFont="1" applyFill="1" applyBorder="1" applyAlignment="1">
      <alignment horizontal="center" vertical="center"/>
    </xf>
    <xf numFmtId="3" fontId="0" fillId="0" borderId="32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167" fontId="6" fillId="0" borderId="32" xfId="0" applyNumberFormat="1" applyFont="1" applyFill="1" applyBorder="1" applyAlignment="1">
      <alignment horizontal="center" vertical="center"/>
    </xf>
    <xf numFmtId="165" fontId="6" fillId="0" borderId="32" xfId="0" applyNumberFormat="1" applyFont="1" applyFill="1" applyBorder="1" applyAlignment="1">
      <alignment horizontal="center" vertical="center"/>
    </xf>
    <xf numFmtId="4" fontId="6" fillId="0" borderId="32" xfId="0" applyNumberFormat="1" applyFont="1" applyFill="1" applyBorder="1" applyAlignment="1">
      <alignment horizontal="center" vertical="center"/>
    </xf>
    <xf numFmtId="167" fontId="6" fillId="0" borderId="33" xfId="0" applyNumberFormat="1" applyFont="1" applyFill="1" applyBorder="1" applyAlignment="1">
      <alignment horizontal="center" vertical="center"/>
    </xf>
    <xf numFmtId="169" fontId="9" fillId="2" borderId="34" xfId="0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2" xfId="0" quotePrefix="1" applyFill="1" applyBorder="1" applyAlignment="1">
      <alignment horizontal="center" vertical="center"/>
    </xf>
    <xf numFmtId="167" fontId="9" fillId="2" borderId="32" xfId="0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6" fillId="2" borderId="32" xfId="0" quotePrefix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/>
    </xf>
    <xf numFmtId="4" fontId="9" fillId="2" borderId="32" xfId="0" applyNumberFormat="1" applyFont="1" applyFill="1" applyBorder="1" applyAlignment="1">
      <alignment horizontal="center" vertical="center"/>
    </xf>
    <xf numFmtId="165" fontId="9" fillId="2" borderId="32" xfId="0" applyNumberFormat="1" applyFont="1" applyFill="1" applyBorder="1" applyAlignment="1">
      <alignment horizontal="center" vertical="center"/>
    </xf>
    <xf numFmtId="165" fontId="6" fillId="2" borderId="32" xfId="0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169" fontId="9" fillId="3" borderId="34" xfId="0" applyNumberFormat="1" applyFont="1" applyFill="1" applyBorder="1" applyAlignment="1">
      <alignment horizontal="center" vertical="center"/>
    </xf>
    <xf numFmtId="168" fontId="9" fillId="3" borderId="32" xfId="0" applyNumberFormat="1" applyFont="1" applyFill="1" applyBorder="1" applyAlignment="1">
      <alignment horizontal="center" vertical="center"/>
    </xf>
    <xf numFmtId="167" fontId="9" fillId="3" borderId="35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36" xfId="0" applyNumberFormat="1" applyFont="1" applyFill="1" applyBorder="1" applyAlignment="1">
      <alignment horizontal="center" vertical="center"/>
    </xf>
    <xf numFmtId="169" fontId="9" fillId="2" borderId="37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169" fontId="9" fillId="3" borderId="37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37" xfId="0" applyNumberFormat="1" applyFont="1" applyFill="1" applyBorder="1" applyAlignment="1">
      <alignment horizontal="center"/>
    </xf>
    <xf numFmtId="167" fontId="9" fillId="3" borderId="38" xfId="0" applyNumberFormat="1" applyFont="1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3" fontId="0" fillId="0" borderId="40" xfId="0" applyNumberForma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167" fontId="6" fillId="0" borderId="40" xfId="0" applyNumberFormat="1" applyFont="1" applyFill="1" applyBorder="1" applyAlignment="1">
      <alignment horizontal="center" vertical="center"/>
    </xf>
    <xf numFmtId="165" fontId="6" fillId="0" borderId="40" xfId="0" applyNumberFormat="1" applyFont="1" applyFill="1" applyBorder="1" applyAlignment="1">
      <alignment horizontal="center" vertical="center"/>
    </xf>
    <xf numFmtId="4" fontId="6" fillId="0" borderId="40" xfId="0" applyNumberFormat="1" applyFont="1" applyFill="1" applyBorder="1" applyAlignment="1">
      <alignment horizontal="center" vertical="center"/>
    </xf>
    <xf numFmtId="167" fontId="6" fillId="0" borderId="41" xfId="0" applyNumberFormat="1" applyFont="1" applyFill="1" applyBorder="1" applyAlignment="1">
      <alignment horizontal="center" vertical="center"/>
    </xf>
    <xf numFmtId="169" fontId="9" fillId="2" borderId="39" xfId="0" applyNumberFormat="1" applyFon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9" fillId="2" borderId="40" xfId="0" applyFont="1" applyFill="1" applyBorder="1" applyAlignment="1">
      <alignment horizontal="center"/>
    </xf>
    <xf numFmtId="4" fontId="9" fillId="2" borderId="40" xfId="0" applyNumberFormat="1" applyFont="1" applyFill="1" applyBorder="1" applyAlignment="1">
      <alignment horizontal="center"/>
    </xf>
    <xf numFmtId="167" fontId="9" fillId="2" borderId="40" xfId="0" applyNumberFormat="1" applyFont="1" applyFill="1" applyBorder="1" applyAlignment="1">
      <alignment horizontal="center" vertical="center"/>
    </xf>
    <xf numFmtId="165" fontId="9" fillId="2" borderId="40" xfId="0" applyNumberFormat="1" applyFont="1" applyFill="1" applyBorder="1" applyAlignment="1">
      <alignment horizontal="center"/>
    </xf>
    <xf numFmtId="165" fontId="0" fillId="2" borderId="40" xfId="0" applyNumberForma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169" fontId="9" fillId="3" borderId="39" xfId="0" applyNumberFormat="1" applyFont="1" applyFill="1" applyBorder="1" applyAlignment="1">
      <alignment horizontal="center" vertical="center"/>
    </xf>
    <xf numFmtId="168" fontId="9" fillId="3" borderId="40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3" xfId="0" applyNumberFormat="1" applyFont="1" applyFill="1" applyBorder="1" applyAlignment="1">
      <alignment horizontal="center" vertical="center"/>
    </xf>
    <xf numFmtId="3" fontId="9" fillId="3" borderId="36" xfId="0" applyNumberFormat="1" applyFont="1" applyFill="1" applyBorder="1" applyAlignment="1">
      <alignment horizontal="center" vertical="center"/>
    </xf>
    <xf numFmtId="3" fontId="9" fillId="3" borderId="41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6" fillId="2" borderId="0" xfId="0" quotePrefix="1" applyFont="1" applyFill="1" applyBorder="1" applyAlignment="1">
      <alignment horizontal="center"/>
    </xf>
    <xf numFmtId="0" fontId="6" fillId="2" borderId="40" xfId="0" quotePrefix="1" applyFont="1" applyFill="1" applyBorder="1" applyAlignment="1">
      <alignment horizontal="center"/>
    </xf>
    <xf numFmtId="0" fontId="11" fillId="4" borderId="32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/>
    </xf>
    <xf numFmtId="0" fontId="0" fillId="2" borderId="40" xfId="0" quotePrefix="1" applyFill="1" applyBorder="1" applyAlignment="1">
      <alignment horizontal="center"/>
    </xf>
    <xf numFmtId="168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5.6871435624428401E-3</c:v>
                </c:pt>
                <c:pt idx="219">
                  <c:v>5.7162848036629499E-3</c:v>
                </c:pt>
                <c:pt idx="220">
                  <c:v>5.7265452345676288E-3</c:v>
                </c:pt>
                <c:pt idx="221">
                  <c:v>5.7368560741899643E-3</c:v>
                </c:pt>
                <c:pt idx="222">
                  <c:v>5.75773985675989E-3</c:v>
                </c:pt>
                <c:pt idx="223">
                  <c:v>5.7786114768454619E-3</c:v>
                </c:pt>
                <c:pt idx="224">
                  <c:v>5.7891803281595808E-3</c:v>
                </c:pt>
                <c:pt idx="225">
                  <c:v>5.7998019754812655E-3</c:v>
                </c:pt>
                <c:pt idx="226">
                  <c:v>5.8104768168121476E-3</c:v>
                </c:pt>
                <c:pt idx="227">
                  <c:v>5.837575354345999E-3</c:v>
                </c:pt>
                <c:pt idx="228">
                  <c:v>5.8646628586256563E-3</c:v>
                </c:pt>
                <c:pt idx="229">
                  <c:v>5.875665219408098E-3</c:v>
                </c:pt>
                <c:pt idx="230">
                  <c:v>5.8867235594917341E-3</c:v>
                </c:pt>
                <c:pt idx="231">
                  <c:v>5.9091258174337677E-3</c:v>
                </c:pt>
                <c:pt idx="232">
                  <c:v>5.9315246698332866E-3</c:v>
                </c:pt>
                <c:pt idx="233">
                  <c:v>5.9428688745289046E-3</c:v>
                </c:pt>
                <c:pt idx="234">
                  <c:v>5.9542714458160825E-3</c:v>
                </c:pt>
                <c:pt idx="235">
                  <c:v>5.965732781696452E-3</c:v>
                </c:pt>
                <c:pt idx="236">
                  <c:v>5.9889529538814075E-3</c:v>
                </c:pt>
                <c:pt idx="237">
                  <c:v>6.0121737284646532E-3</c:v>
                </c:pt>
                <c:pt idx="238">
                  <c:v>6.0239348554969258E-3</c:v>
                </c:pt>
                <c:pt idx="239">
                  <c:v>6.0357571344127553E-3</c:v>
                </c:pt>
                <c:pt idx="240">
                  <c:v>6.0476409632137735E-3</c:v>
                </c:pt>
                <c:pt idx="241">
                  <c:v>6.0717181783687341E-3</c:v>
                </c:pt>
                <c:pt idx="242">
                  <c:v>6.095799734824347E-3</c:v>
                </c:pt>
                <c:pt idx="243">
                  <c:v>6.1079972813169459E-3</c:v>
                </c:pt>
                <c:pt idx="244">
                  <c:v>6.1202587650655222E-3</c:v>
                </c:pt>
                <c:pt idx="245">
                  <c:v>6.1325845839910404E-3</c:v>
                </c:pt>
                <c:pt idx="246">
                  <c:v>6.157557979502592E-3</c:v>
                </c:pt>
                <c:pt idx="247">
                  <c:v>6.1825391690195847E-3</c:v>
                </c:pt>
                <c:pt idx="248">
                  <c:v>6.1951926320969125E-3</c:v>
                </c:pt>
                <c:pt idx="249">
                  <c:v>6.2079128178016635E-3</c:v>
                </c:pt>
                <c:pt idx="250">
                  <c:v>6.2207001240555332E-3</c:v>
                </c:pt>
                <c:pt idx="251">
                  <c:v>6.2531703919699536E-3</c:v>
                </c:pt>
                <c:pt idx="252">
                  <c:v>6.2856573881831194E-3</c:v>
                </c:pt>
                <c:pt idx="253">
                  <c:v>6.2988557730481402E-3</c:v>
                </c:pt>
                <c:pt idx="254">
                  <c:v>6.3120988535203763E-3</c:v>
                </c:pt>
                <c:pt idx="255">
                  <c:v>6.338724496970225E-3</c:v>
                </c:pt>
                <c:pt idx="256">
                  <c:v>6.3651654015562057E-3</c:v>
                </c:pt>
                <c:pt idx="257">
                  <c:v>6.3784603074523941E-3</c:v>
                </c:pt>
                <c:pt idx="258">
                  <c:v>6.3917660521184642E-3</c:v>
                </c:pt>
                <c:pt idx="259">
                  <c:v>6.4050824010220223E-3</c:v>
                </c:pt>
                <c:pt idx="260">
                  <c:v>6.4318641846661476E-3</c:v>
                </c:pt>
                <c:pt idx="261">
                  <c:v>6.4584491518804524E-3</c:v>
                </c:pt>
                <c:pt idx="262">
                  <c:v>6.4718150063036951E-3</c:v>
                </c:pt>
                <c:pt idx="263">
                  <c:v>6.4851900584894885E-3</c:v>
                </c:pt>
                <c:pt idx="264">
                  <c:v>6.4985740741452481E-3</c:v>
                </c:pt>
                <c:pt idx="265">
                  <c:v>6.5254890909738584E-3</c:v>
                </c:pt>
                <c:pt idx="266">
                  <c:v>6.5521950824987364E-3</c:v>
                </c:pt>
                <c:pt idx="267">
                  <c:v>6.5656203990372098E-3</c:v>
                </c:pt>
                <c:pt idx="268">
                  <c:v>6.579053272490777E-3</c:v>
                </c:pt>
                <c:pt idx="269">
                  <c:v>6.5924934684069804E-3</c:v>
                </c:pt>
                <c:pt idx="270">
                  <c:v>6.6195188095184571E-3</c:v>
                </c:pt>
                <c:pt idx="271">
                  <c:v>6.6463227890878563E-3</c:v>
                </c:pt>
                <c:pt idx="272">
                  <c:v>6.6597960814096758E-3</c:v>
                </c:pt>
                <c:pt idx="273">
                  <c:v>6.6732752897991311E-3</c:v>
                </c:pt>
                <c:pt idx="274">
                  <c:v>6.6867601797238286E-3</c:v>
                </c:pt>
                <c:pt idx="275">
                  <c:v>6.7138729335259016E-3</c:v>
                </c:pt>
                <c:pt idx="276">
                  <c:v>6.7407518672446785E-3</c:v>
                </c:pt>
                <c:pt idx="277">
                  <c:v>6.7542616490179584E-3</c:v>
                </c:pt>
                <c:pt idx="278">
                  <c:v>6.7677757059314801E-3</c:v>
                </c:pt>
                <c:pt idx="279">
                  <c:v>6.7812938035327862E-3</c:v>
                </c:pt>
                <c:pt idx="280">
                  <c:v>6.8084710560612181E-3</c:v>
                </c:pt>
                <c:pt idx="281">
                  <c:v>6.8354019125660657E-3</c:v>
                </c:pt>
                <c:pt idx="282">
                  <c:v>6.8489366974589204E-3</c:v>
                </c:pt>
                <c:pt idx="283">
                  <c:v>6.8624741164846868E-3</c:v>
                </c:pt>
                <c:pt idx="284">
                  <c:v>6.8760139354307158E-3</c:v>
                </c:pt>
                <c:pt idx="285">
                  <c:v>6.9032327698970407E-3</c:v>
                </c:pt>
                <c:pt idx="286">
                  <c:v>6.9301925204085218E-3</c:v>
                </c:pt>
                <c:pt idx="287">
                  <c:v>6.9437408220896189E-3</c:v>
                </c:pt>
                <c:pt idx="288">
                  <c:v>6.9572901169756805E-3</c:v>
                </c:pt>
                <c:pt idx="289">
                  <c:v>6.9708401707746755E-3</c:v>
                </c:pt>
                <c:pt idx="290">
                  <c:v>6.9980776675926644E-3</c:v>
                </c:pt>
                <c:pt idx="291">
                  <c:v>7.0250432863705721E-3</c:v>
                </c:pt>
                <c:pt idx="292">
                  <c:v>7.0385936182671112E-3</c:v>
                </c:pt>
                <c:pt idx="293">
                  <c:v>7.0521433026815824E-3</c:v>
                </c:pt>
                <c:pt idx="294">
                  <c:v>7.0656921048417838E-3</c:v>
                </c:pt>
                <c:pt idx="295">
                  <c:v>7.0929253414409284E-3</c:v>
                </c:pt>
                <c:pt idx="296">
                  <c:v>7.119873805487867E-3</c:v>
                </c:pt>
                <c:pt idx="297">
                  <c:v>7.1334146813484519E-3</c:v>
                </c:pt>
                <c:pt idx="298">
                  <c:v>7.1469532687196387E-3</c:v>
                </c:pt>
                <c:pt idx="299">
                  <c:v>7.1604893332289062E-3</c:v>
                </c:pt>
                <c:pt idx="300">
                  <c:v>7.1876953834415754E-3</c:v>
                </c:pt>
                <c:pt idx="301">
                  <c:v>7.2146036731180179E-3</c:v>
                </c:pt>
                <c:pt idx="302">
                  <c:v>7.2281236066101843E-3</c:v>
                </c:pt>
                <c:pt idx="303">
                  <c:v>7.2416396105268437E-3</c:v>
                </c:pt>
                <c:pt idx="304">
                  <c:v>7.2551514507335473E-3</c:v>
                </c:pt>
                <c:pt idx="305">
                  <c:v>7.28230738535454E-3</c:v>
                </c:pt>
                <c:pt idx="306">
                  <c:v>7.3091524843782712E-3</c:v>
                </c:pt>
                <c:pt idx="307">
                  <c:v>7.3226399888515464E-3</c:v>
                </c:pt>
                <c:pt idx="308">
                  <c:v>7.3361219231405077E-3</c:v>
                </c:pt>
                <c:pt idx="309">
                  <c:v>7.3495980525528897E-3</c:v>
                </c:pt>
                <c:pt idx="310">
                  <c:v>7.3766809387265913E-3</c:v>
                </c:pt>
                <c:pt idx="311">
                  <c:v>7.4034398342260038E-3</c:v>
                </c:pt>
                <c:pt idx="312">
                  <c:v>7.4168834235077957E-3</c:v>
                </c:pt>
                <c:pt idx="313">
                  <c:v>7.4303198015180077E-3</c:v>
                </c:pt>
                <c:pt idx="314">
                  <c:v>7.4437487338041824E-3</c:v>
                </c:pt>
                <c:pt idx="315">
                  <c:v>7.4707356348380485E-3</c:v>
                </c:pt>
                <c:pt idx="316">
                  <c:v>7.4973853176985286E-3</c:v>
                </c:pt>
                <c:pt idx="317">
                  <c:v>7.5177691880501654E-3</c:v>
                </c:pt>
                <c:pt idx="318">
                  <c:v>7.5446666447920576E-3</c:v>
                </c:pt>
                <c:pt idx="319">
                  <c:v>7.5708398733359316E-3</c:v>
                </c:pt>
                <c:pt idx="320">
                  <c:v>7.6328309436335664E-3</c:v>
                </c:pt>
                <c:pt idx="321">
                  <c:v>7.690588204507548E-3</c:v>
                </c:pt>
                <c:pt idx="322">
                  <c:v>7.7122634314008842E-3</c:v>
                </c:pt>
                <c:pt idx="323">
                  <c:v>7.7331635529543086E-3</c:v>
                </c:pt>
                <c:pt idx="324">
                  <c:v>7.7725115747817874E-3</c:v>
                </c:pt>
                <c:pt idx="325">
                  <c:v>7.7971607281135669E-3</c:v>
                </c:pt>
                <c:pt idx="326">
                  <c:v>7.8100343479637069E-3</c:v>
                </c:pt>
                <c:pt idx="327">
                  <c:v>7.822884175165995E-3</c:v>
                </c:pt>
                <c:pt idx="328">
                  <c:v>7.8357102091608788E-3</c:v>
                </c:pt>
                <c:pt idx="329">
                  <c:v>7.861454629276593E-3</c:v>
                </c:pt>
                <c:pt idx="330">
                  <c:v>7.8867763965196069E-3</c:v>
                </c:pt>
                <c:pt idx="331">
                  <c:v>7.8994834525669966E-3</c:v>
                </c:pt>
                <c:pt idx="332">
                  <c:v>7.9121667106907545E-3</c:v>
                </c:pt>
                <c:pt idx="333">
                  <c:v>7.9248261700915201E-3</c:v>
                </c:pt>
                <c:pt idx="334">
                  <c:v>7.9502413226338157E-3</c:v>
                </c:pt>
                <c:pt idx="335">
                  <c:v>7.9752260050370005E-3</c:v>
                </c:pt>
                <c:pt idx="336">
                  <c:v>7.9877664589123321E-3</c:v>
                </c:pt>
                <c:pt idx="337">
                  <c:v>8.0002831093484439E-3</c:v>
                </c:pt>
                <c:pt idx="338">
                  <c:v>8.0127759551462951E-3</c:v>
                </c:pt>
                <c:pt idx="339">
                  <c:v>8.0378617521859319E-3</c:v>
                </c:pt>
                <c:pt idx="340">
                  <c:v>8.0625092770070534E-3</c:v>
                </c:pt>
                <c:pt idx="341">
                  <c:v>8.0748830877830653E-3</c:v>
                </c:pt>
                <c:pt idx="342">
                  <c:v>8.0872330886450367E-3</c:v>
                </c:pt>
                <c:pt idx="343">
                  <c:v>8.0995592791133515E-3</c:v>
                </c:pt>
                <c:pt idx="344">
                  <c:v>8.1243156252864008E-3</c:v>
                </c:pt>
                <c:pt idx="345">
                  <c:v>8.1548218381622146E-3</c:v>
                </c:pt>
                <c:pt idx="346">
                  <c:v>8.1730163465821033E-3</c:v>
                </c:pt>
                <c:pt idx="347">
                  <c:v>8.1851758365570088E-3</c:v>
                </c:pt>
                <c:pt idx="348">
                  <c:v>8.2096026292786447E-3</c:v>
                </c:pt>
                <c:pt idx="349">
                  <c:v>8.2335756051499526E-3</c:v>
                </c:pt>
                <c:pt idx="350">
                  <c:v>8.2456159943955793E-3</c:v>
                </c:pt>
                <c:pt idx="351">
                  <c:v>8.2576325606176521E-3</c:v>
                </c:pt>
                <c:pt idx="352">
                  <c:v>8.2696253026171302E-3</c:v>
                </c:pt>
                <c:pt idx="353">
                  <c:v>8.2937224318158382E-3</c:v>
                </c:pt>
                <c:pt idx="354">
                  <c:v>8.3173580082452087E-3</c:v>
                </c:pt>
                <c:pt idx="355">
                  <c:v>8.3292316137839901E-3</c:v>
                </c:pt>
                <c:pt idx="356">
                  <c:v>8.3410813888651642E-3</c:v>
                </c:pt>
                <c:pt idx="357">
                  <c:v>8.3529073325294984E-3</c:v>
                </c:pt>
                <c:pt idx="358">
                  <c:v>8.3766746810187993E-3</c:v>
                </c:pt>
                <c:pt idx="359">
                  <c:v>8.3999727695971711E-3</c:v>
                </c:pt>
                <c:pt idx="360">
                  <c:v>8.4116795389910532E-3</c:v>
                </c:pt>
                <c:pt idx="361">
                  <c:v>8.4233624702534666E-3</c:v>
                </c:pt>
                <c:pt idx="362">
                  <c:v>8.4350215621853703E-3</c:v>
                </c:pt>
                <c:pt idx="363">
                  <c:v>8.4584590057446302E-3</c:v>
                </c:pt>
                <c:pt idx="364">
                  <c:v>8.48141951414518E-3</c:v>
                </c:pt>
                <c:pt idx="365">
                  <c:v>8.4929593923188957E-3</c:v>
                </c:pt>
                <c:pt idx="366">
                  <c:v>8.5044754242869242E-3</c:v>
                </c:pt>
                <c:pt idx="367">
                  <c:v>8.5159676086910292E-3</c:v>
                </c:pt>
                <c:pt idx="368">
                  <c:v>8.5390750159320145E-3</c:v>
                </c:pt>
                <c:pt idx="369">
                  <c:v>8.5616978480463103E-3</c:v>
                </c:pt>
                <c:pt idx="370">
                  <c:v>8.5730707772047367E-3</c:v>
                </c:pt>
                <c:pt idx="371">
                  <c:v>8.5844198516049942E-3</c:v>
                </c:pt>
                <c:pt idx="372">
                  <c:v>8.5957450700480421E-3</c:v>
                </c:pt>
                <c:pt idx="373">
                  <c:v>8.618522302681373E-3</c:v>
                </c:pt>
                <c:pt idx="374">
                  <c:v>8.6408073588284708E-3</c:v>
                </c:pt>
                <c:pt idx="375">
                  <c:v>8.6520132784606886E-3</c:v>
                </c:pt>
                <c:pt idx="376">
                  <c:v>8.6631953345417713E-3</c:v>
                </c:pt>
                <c:pt idx="377">
                  <c:v>8.6743535256328698E-3</c:v>
                </c:pt>
                <c:pt idx="378">
                  <c:v>8.6968004386811827E-3</c:v>
                </c:pt>
                <c:pt idx="379">
                  <c:v>8.71874761539718E-3</c:v>
                </c:pt>
                <c:pt idx="380">
                  <c:v>8.7297864625135758E-3</c:v>
                </c:pt>
                <c:pt idx="381">
                  <c:v>8.7442224164651066E-3</c:v>
                </c:pt>
                <c:pt idx="382">
                  <c:v>8.7619377936310229E-3</c:v>
                </c:pt>
                <c:pt idx="383">
                  <c:v>8.7969154342815471E-3</c:v>
                </c:pt>
                <c:pt idx="384">
                  <c:v>8.8307950216304533E-3</c:v>
                </c:pt>
                <c:pt idx="385">
                  <c:v>8.8475081724137851E-3</c:v>
                </c:pt>
                <c:pt idx="386">
                  <c:v>8.8640208258983534E-3</c:v>
                </c:pt>
                <c:pt idx="387">
                  <c:v>8.8803329646580977E-3</c:v>
                </c:pt>
                <c:pt idx="388">
                  <c:v>8.920442122732939E-3</c:v>
                </c:pt>
                <c:pt idx="389">
                  <c:v>8.9588853160816086E-3</c:v>
                </c:pt>
                <c:pt idx="390">
                  <c:v>8.9739939925515301E-3</c:v>
                </c:pt>
                <c:pt idx="391">
                  <c:v>8.988902028956889E-3</c:v>
                </c:pt>
                <c:pt idx="392">
                  <c:v>9.0182751148404662E-3</c:v>
                </c:pt>
                <c:pt idx="393">
                  <c:v>9.0465274068663223E-3</c:v>
                </c:pt>
                <c:pt idx="394">
                  <c:v>9.0604319671694685E-3</c:v>
                </c:pt>
                <c:pt idx="395">
                  <c:v>9.074135776616676E-3</c:v>
                </c:pt>
                <c:pt idx="396">
                  <c:v>9.0876388164222444E-3</c:v>
                </c:pt>
                <c:pt idx="397">
                  <c:v>9.1142063065774766E-3</c:v>
                </c:pt>
                <c:pt idx="398">
                  <c:v>9.1396429025003886E-3</c:v>
                </c:pt>
                <c:pt idx="399">
                  <c:v>9.1521418107287974E-3</c:v>
                </c:pt>
                <c:pt idx="400">
                  <c:v>9.1644398352475395E-3</c:v>
                </c:pt>
                <c:pt idx="401">
                  <c:v>9.176536957031833E-3</c:v>
                </c:pt>
                <c:pt idx="402">
                  <c:v>9.2002965437565695E-3</c:v>
                </c:pt>
                <c:pt idx="403">
                  <c:v>9.2229160281754093E-3</c:v>
                </c:pt>
                <c:pt idx="404">
                  <c:v>9.2340083446007856E-3</c:v>
                </c:pt>
                <c:pt idx="405">
                  <c:v>9.2448996412653247E-3</c:v>
                </c:pt>
                <c:pt idx="406">
                  <c:v>9.2555898985047565E-3</c:v>
                </c:pt>
                <c:pt idx="407">
                  <c:v>9.2765392114558028E-3</c:v>
                </c:pt>
                <c:pt idx="408">
                  <c:v>9.2963401364887562E-3</c:v>
                </c:pt>
                <c:pt idx="409">
                  <c:v>9.3060248986010282E-3</c:v>
                </c:pt>
                <c:pt idx="410">
                  <c:v>9.3155085017837865E-3</c:v>
                </c:pt>
                <c:pt idx="411">
                  <c:v>9.3247909258931446E-3</c:v>
                </c:pt>
                <c:pt idx="412">
                  <c:v>9.3473549461851723E-3</c:v>
                </c:pt>
                <c:pt idx="413">
                  <c:v>9.368184652425204E-3</c:v>
                </c:pt>
                <c:pt idx="414">
                  <c:v>9.3762595767543973E-3</c:v>
                </c:pt>
                <c:pt idx="415">
                  <c:v>9.3841331796440716E-3</c:v>
                </c:pt>
                <c:pt idx="416">
                  <c:v>9.3994546170162226E-3</c:v>
                </c:pt>
                <c:pt idx="417">
                  <c:v>9.4136139672152171E-3</c:v>
                </c:pt>
                <c:pt idx="418">
                  <c:v>9.4204806549936012E-3</c:v>
                </c:pt>
                <c:pt idx="419">
                  <c:v>9.4271458976713848E-3</c:v>
                </c:pt>
                <c:pt idx="420">
                  <c:v>9.4336096746250649E-3</c:v>
                </c:pt>
                <c:pt idx="421">
                  <c:v>9.4461134192780679E-3</c:v>
                </c:pt>
                <c:pt idx="422">
                  <c:v>9.4574497076127858E-3</c:v>
                </c:pt>
                <c:pt idx="423">
                  <c:v>9.4629058428364107E-3</c:v>
                </c:pt>
                <c:pt idx="424">
                  <c:v>9.4681603868363214E-3</c:v>
                </c:pt>
                <c:pt idx="425">
                  <c:v>9.4732133188291431E-3</c:v>
                </c:pt>
                <c:pt idx="426">
                  <c:v>9.4828968185110031E-3</c:v>
                </c:pt>
                <c:pt idx="427">
                  <c:v>9.4914085039477288E-3</c:v>
                </c:pt>
                <c:pt idx="428">
                  <c:v>9.4954530591984439E-3</c:v>
                </c:pt>
                <c:pt idx="429">
                  <c:v>9.4992958755835463E-3</c:v>
                </c:pt>
                <c:pt idx="430">
                  <c:v>9.5029369320798526E-3</c:v>
                </c:pt>
                <c:pt idx="431">
                  <c:v>9.5097976066682906E-3</c:v>
                </c:pt>
                <c:pt idx="432">
                  <c:v>9.5154831343969067E-3</c:v>
                </c:pt>
                <c:pt idx="433">
                  <c:v>9.5181150726642346E-3</c:v>
                </c:pt>
                <c:pt idx="434">
                  <c:v>9.5205451234648183E-3</c:v>
                </c:pt>
                <c:pt idx="435">
                  <c:v>9.5227732654557321E-3</c:v>
                </c:pt>
                <c:pt idx="436">
                  <c:v>9.52680851369795E-3</c:v>
                </c:pt>
                <c:pt idx="437">
                  <c:v>9.5296663186239874E-3</c:v>
                </c:pt>
                <c:pt idx="438">
                  <c:v>9.5308845964226299E-3</c:v>
                </c:pt>
                <c:pt idx="439">
                  <c:v>9.531900837114228E-3</c:v>
                </c:pt>
                <c:pt idx="440">
                  <c:v>9.5327150195157265E-3</c:v>
                </c:pt>
                <c:pt idx="441">
                  <c:v>9.5339426532703789E-3</c:v>
                </c:pt>
                <c:pt idx="442">
                  <c:v>9.5342584174052183E-3</c:v>
                </c:pt>
                <c:pt idx="443">
                  <c:v>9.534510929815436E-3</c:v>
                </c:pt>
                <c:pt idx="444">
                  <c:v>9.5350159949259342E-3</c:v>
                </c:pt>
                <c:pt idx="445">
                  <c:v>9.5638817735200013E-3</c:v>
                </c:pt>
                <c:pt idx="446">
                  <c:v>9.5997206412868144E-3</c:v>
                </c:pt>
                <c:pt idx="447">
                  <c:v>9.6165871740972256E-3</c:v>
                </c:pt>
                <c:pt idx="448">
                  <c:v>9.6327456367451339E-3</c:v>
                </c:pt>
                <c:pt idx="449">
                  <c:v>9.6481959552896859E-3</c:v>
                </c:pt>
                <c:pt idx="450">
                  <c:v>9.676995853116245E-3</c:v>
                </c:pt>
                <c:pt idx="451">
                  <c:v>9.7029143053806513E-3</c:v>
                </c:pt>
                <c:pt idx="452">
                  <c:v>9.7148227881405438E-3</c:v>
                </c:pt>
                <c:pt idx="453">
                  <c:v>9.7260226785956042E-3</c:v>
                </c:pt>
                <c:pt idx="454">
                  <c:v>9.7365139011263216E-3</c:v>
                </c:pt>
                <c:pt idx="455">
                  <c:v>9.7553980834508627E-3</c:v>
                </c:pt>
                <c:pt idx="456">
                  <c:v>9.7713905932206649E-3</c:v>
                </c:pt>
                <c:pt idx="457">
                  <c:v>9.7783373352023154E-3</c:v>
                </c:pt>
                <c:pt idx="458">
                  <c:v>9.7845749517847819E-3</c:v>
                </c:pt>
                <c:pt idx="459">
                  <c:v>9.790103365912052E-3</c:v>
                </c:pt>
                <c:pt idx="460">
                  <c:v>9.7990625162936232E-3</c:v>
                </c:pt>
                <c:pt idx="461">
                  <c:v>9.805123459241151E-3</c:v>
                </c:pt>
                <c:pt idx="462">
                  <c:v>9.8071047060077979E-3</c:v>
                </c:pt>
                <c:pt idx="463">
                  <c:v>9.8083762875678451E-3</c:v>
                </c:pt>
                <c:pt idx="464">
                  <c:v>9.8089618092789613E-3</c:v>
                </c:pt>
                <c:pt idx="465">
                  <c:v>9.8100394480971423E-3</c:v>
                </c:pt>
                <c:pt idx="466">
                  <c:v>9.8103067800537139E-3</c:v>
                </c:pt>
                <c:pt idx="467">
                  <c:v>9.8105741265186799E-3</c:v>
                </c:pt>
                <c:pt idx="468">
                  <c:v>9.8108414876119446E-3</c:v>
                </c:pt>
                <c:pt idx="469">
                  <c:v>9.8119110776684684E-3</c:v>
                </c:pt>
                <c:pt idx="470">
                  <c:v>9.8121785116234497E-3</c:v>
                </c:pt>
                <c:pt idx="471">
                  <c:v>9.8124459600868255E-3</c:v>
                </c:pt>
                <c:pt idx="472">
                  <c:v>9.8127134232584359E-3</c:v>
                </c:pt>
                <c:pt idx="473">
                  <c:v>9.813515900116471E-3</c:v>
                </c:pt>
                <c:pt idx="474">
                  <c:v>9.8137834215084388E-3</c:v>
                </c:pt>
                <c:pt idx="475">
                  <c:v>9.8140509575817339E-3</c:v>
                </c:pt>
                <c:pt idx="476">
                  <c:v>9.8143185082033915E-3</c:v>
                </c:pt>
                <c:pt idx="477">
                  <c:v>9.8145860734533477E-3</c:v>
                </c:pt>
                <c:pt idx="478">
                  <c:v>9.8156564801166538E-3</c:v>
                </c:pt>
                <c:pt idx="479">
                  <c:v>9.8159241183282467E-3</c:v>
                </c:pt>
                <c:pt idx="480">
                  <c:v>9.8161917710282501E-3</c:v>
                </c:pt>
                <c:pt idx="481">
                  <c:v>9.816459438356552E-3</c:v>
                </c:pt>
                <c:pt idx="482">
                  <c:v>9.8172625280579587E-3</c:v>
                </c:pt>
                <c:pt idx="483">
                  <c:v>9.8175302538728096E-3</c:v>
                </c:pt>
                <c:pt idx="484">
                  <c:v>9.8177979941827323E-3</c:v>
                </c:pt>
                <c:pt idx="485">
                  <c:v>9.8180657491209536E-3</c:v>
                </c:pt>
                <c:pt idx="486">
                  <c:v>9.8183335186874734E-3</c:v>
                </c:pt>
                <c:pt idx="487">
                  <c:v>9.8191369150499811E-3</c:v>
                </c:pt>
                <c:pt idx="488">
                  <c:v>9.8194047429967304E-3</c:v>
                </c:pt>
                <c:pt idx="489">
                  <c:v>9.8196725856248071E-3</c:v>
                </c:pt>
                <c:pt idx="490">
                  <c:v>9.8199404428811823E-3</c:v>
                </c:pt>
                <c:pt idx="491">
                  <c:v>9.8202083147658562E-3</c:v>
                </c:pt>
                <c:pt idx="492">
                  <c:v>9.8210120178965701E-3</c:v>
                </c:pt>
                <c:pt idx="493">
                  <c:v>9.8212799482677929E-3</c:v>
                </c:pt>
                <c:pt idx="494">
                  <c:v>9.8215478931340874E-3</c:v>
                </c:pt>
                <c:pt idx="495">
                  <c:v>9.8218158527086166E-3</c:v>
                </c:pt>
                <c:pt idx="496">
                  <c:v>9.8220838268315083E-3</c:v>
                </c:pt>
                <c:pt idx="497">
                  <c:v>9.8228878370499109E-3</c:v>
                </c:pt>
                <c:pt idx="498">
                  <c:v>9.823155869765933E-3</c:v>
                </c:pt>
                <c:pt idx="499">
                  <c:v>9.8234239170303175E-3</c:v>
                </c:pt>
                <c:pt idx="500">
                  <c:v>9.8236919788430646E-3</c:v>
                </c:pt>
                <c:pt idx="501">
                  <c:v>9.8239600555239184E-3</c:v>
                </c:pt>
                <c:pt idx="502">
                  <c:v>9.8250325080107351E-3</c:v>
                </c:pt>
                <c:pt idx="503">
                  <c:v>9.8253006577131777E-3</c:v>
                </c:pt>
                <c:pt idx="504">
                  <c:v>9.8255688220838869E-3</c:v>
                </c:pt>
                <c:pt idx="505">
                  <c:v>9.8258370010828947E-3</c:v>
                </c:pt>
                <c:pt idx="506">
                  <c:v>9.8266416259030001E-3</c:v>
                </c:pt>
                <c:pt idx="507">
                  <c:v>9.8269098634418475E-3</c:v>
                </c:pt>
                <c:pt idx="508">
                  <c:v>9.8271781156622842E-3</c:v>
                </c:pt>
                <c:pt idx="509">
                  <c:v>9.8274463825110195E-3</c:v>
                </c:pt>
                <c:pt idx="510">
                  <c:v>9.8277146639880533E-3</c:v>
                </c:pt>
                <c:pt idx="511">
                  <c:v>9.8285195964015852E-3</c:v>
                </c:pt>
                <c:pt idx="512">
                  <c:v>9.8287879364989186E-3</c:v>
                </c:pt>
                <c:pt idx="513">
                  <c:v>9.8290562911973814E-3</c:v>
                </c:pt>
                <c:pt idx="514">
                  <c:v>9.8293246606840148E-3</c:v>
                </c:pt>
                <c:pt idx="515">
                  <c:v>9.8295930447190108E-3</c:v>
                </c:pt>
                <c:pt idx="516">
                  <c:v>9.8303982848069529E-3</c:v>
                </c:pt>
                <c:pt idx="517">
                  <c:v>9.8306667275416607E-3</c:v>
                </c:pt>
                <c:pt idx="518">
                  <c:v>9.8309351848780216E-3</c:v>
                </c:pt>
                <c:pt idx="519">
                  <c:v>9.8312036568426811E-3</c:v>
                </c:pt>
                <c:pt idx="520">
                  <c:v>9.8314721435955113E-3</c:v>
                </c:pt>
                <c:pt idx="521">
                  <c:v>9.832277691597148E-3</c:v>
                </c:pt>
                <c:pt idx="522">
                  <c:v>9.8325462369697539E-3</c:v>
                </c:pt>
                <c:pt idx="523">
                  <c:v>9.8328148062965318E-3</c:v>
                </c:pt>
                <c:pt idx="524">
                  <c:v>9.8330957432502322E-3</c:v>
                </c:pt>
                <c:pt idx="525">
                  <c:v>9.8334257350441226E-3</c:v>
                </c:pt>
                <c:pt idx="526">
                  <c:v>9.8345405262634591E-3</c:v>
                </c:pt>
                <c:pt idx="527">
                  <c:v>9.8353042073018662E-3</c:v>
                </c:pt>
                <c:pt idx="528">
                  <c:v>9.8359134820924857E-3</c:v>
                </c:pt>
                <c:pt idx="529">
                  <c:v>9.8365786317878082E-3</c:v>
                </c:pt>
                <c:pt idx="530">
                  <c:v>9.8372996625429102E-3</c:v>
                </c:pt>
                <c:pt idx="531">
                  <c:v>9.8391969283806793E-3</c:v>
                </c:pt>
                <c:pt idx="532">
                  <c:v>9.8407427177438569E-3</c:v>
                </c:pt>
                <c:pt idx="533">
                  <c:v>9.8417432452447065E-3</c:v>
                </c:pt>
                <c:pt idx="534">
                  <c:v>9.842799690336114E-3</c:v>
                </c:pt>
                <c:pt idx="535">
                  <c:v>9.8439120594129639E-3</c:v>
                </c:pt>
                <c:pt idx="536">
                  <c:v>9.8465925489233178E-3</c:v>
                </c:pt>
                <c:pt idx="537">
                  <c:v>9.848920895958492E-3</c:v>
                </c:pt>
                <c:pt idx="538">
                  <c:v>9.8503129760097244E-3</c:v>
                </c:pt>
                <c:pt idx="539">
                  <c:v>9.8517610165771777E-3</c:v>
                </c:pt>
                <c:pt idx="540">
                  <c:v>9.8532650238159283E-3</c:v>
                </c:pt>
                <c:pt idx="541">
                  <c:v>9.8567294879181935E-3</c:v>
                </c:pt>
                <c:pt idx="542">
                  <c:v>9.8598408431434109E-3</c:v>
                </c:pt>
                <c:pt idx="543">
                  <c:v>9.8616247762262424E-3</c:v>
                </c:pt>
                <c:pt idx="544">
                  <c:v>9.8634647129891909E-3</c:v>
                </c:pt>
                <c:pt idx="545">
                  <c:v>9.8653606594290358E-3</c:v>
                </c:pt>
                <c:pt idx="546">
                  <c:v>9.8696098511741673E-3</c:v>
                </c:pt>
                <c:pt idx="547">
                  <c:v>9.8735046663378859E-3</c:v>
                </c:pt>
                <c:pt idx="548">
                  <c:v>9.8756807542077843E-3</c:v>
                </c:pt>
                <c:pt idx="549">
                  <c:v>9.8779128887649739E-3</c:v>
                </c:pt>
                <c:pt idx="550">
                  <c:v>9.8802010764043394E-3</c:v>
                </c:pt>
                <c:pt idx="551">
                  <c:v>9.8852357519607983E-3</c:v>
                </c:pt>
                <c:pt idx="552">
                  <c:v>9.889914480405472E-3</c:v>
                </c:pt>
                <c:pt idx="553">
                  <c:v>9.8924830258617993E-3</c:v>
                </c:pt>
                <c:pt idx="554">
                  <c:v>9.8951076614106973E-3</c:v>
                </c:pt>
                <c:pt idx="555">
                  <c:v>9.8977883932871782E-3</c:v>
                </c:pt>
                <c:pt idx="556">
                  <c:v>9.9036093122606764E-3</c:v>
                </c:pt>
                <c:pt idx="557">
                  <c:v>9.9090724093287355E-3</c:v>
                </c:pt>
                <c:pt idx="558">
                  <c:v>9.9120337165281916E-3</c:v>
                </c:pt>
                <c:pt idx="559">
                  <c:v>9.9150511574653058E-3</c:v>
                </c:pt>
                <c:pt idx="560">
                  <c:v>9.9181247384550267E-3</c:v>
                </c:pt>
                <c:pt idx="561">
                  <c:v>9.9247326643681424E-3</c:v>
                </c:pt>
                <c:pt idx="562">
                  <c:v>9.930980587480355E-3</c:v>
                </c:pt>
                <c:pt idx="563">
                  <c:v>9.9343349623382329E-3</c:v>
                </c:pt>
                <c:pt idx="564">
                  <c:v>9.9377455148186647E-3</c:v>
                </c:pt>
                <c:pt idx="565">
                  <c:v>9.9412122512365989E-3</c:v>
                </c:pt>
                <c:pt idx="566">
                  <c:v>9.9486079523814289E-3</c:v>
                </c:pt>
                <c:pt idx="567">
                  <c:v>9.9556411614632259E-3</c:v>
                </c:pt>
                <c:pt idx="568">
                  <c:v>9.9593889118132842E-3</c:v>
                </c:pt>
                <c:pt idx="569">
                  <c:v>9.9622052395443098E-3</c:v>
                </c:pt>
                <c:pt idx="570">
                  <c:v>9.9640602042061835E-3</c:v>
                </c:pt>
                <c:pt idx="571">
                  <c:v>9.9691682479141966E-3</c:v>
                </c:pt>
                <c:pt idx="572">
                  <c:v>9.9735047107430211E-3</c:v>
                </c:pt>
                <c:pt idx="573">
                  <c:v>9.975427557584772E-3</c:v>
                </c:pt>
                <c:pt idx="574">
                  <c:v>9.9773617224914127E-3</c:v>
                </c:pt>
                <c:pt idx="575">
                  <c:v>9.9815445264628613E-3</c:v>
                </c:pt>
                <c:pt idx="576">
                  <c:v>9.98521158908975E-3</c:v>
                </c:pt>
                <c:pt idx="577">
                  <c:v>9.9872023639147392E-3</c:v>
                </c:pt>
                <c:pt idx="578">
                  <c:v>9.9892044644001379E-3</c:v>
                </c:pt>
                <c:pt idx="579">
                  <c:v>9.9912178921446673E-3</c:v>
                </c:pt>
                <c:pt idx="580">
                  <c:v>9.9955600292212302E-3</c:v>
                </c:pt>
                <c:pt idx="581">
                  <c:v>9.9993848993751647E-3</c:v>
                </c:pt>
                <c:pt idx="582">
                  <c:v>1.0001454981800641E-2</c:v>
                </c:pt>
                <c:pt idx="583">
                  <c:v>1.0003536399079173E-2</c:v>
                </c:pt>
                <c:pt idx="584">
                  <c:v>1.000562915224993E-2</c:v>
                </c:pt>
                <c:pt idx="585">
                  <c:v>1.0010130780226981E-2</c:v>
                </c:pt>
                <c:pt idx="586">
                  <c:v>1.0014113551992701E-2</c:v>
                </c:pt>
                <c:pt idx="587">
                  <c:v>1.0016263005008278E-2</c:v>
                </c:pt>
                <c:pt idx="588">
                  <c:v>1.0018423801909685E-2</c:v>
                </c:pt>
                <c:pt idx="589">
                  <c:v>1.0020595943816027E-2</c:v>
                </c:pt>
                <c:pt idx="590">
                  <c:v>1.0025257221020248E-2</c:v>
                </c:pt>
                <c:pt idx="591">
                  <c:v>1.0029397988589076E-2</c:v>
                </c:pt>
                <c:pt idx="592">
                  <c:v>1.003162687550411E-2</c:v>
                </c:pt>
                <c:pt idx="593">
                  <c:v>1.003386711533775E-2</c:v>
                </c:pt>
                <c:pt idx="594">
                  <c:v>1.0036118709289036E-2</c:v>
                </c:pt>
                <c:pt idx="595">
                  <c:v>1.0040939794846474E-2</c:v>
                </c:pt>
                <c:pt idx="596">
                  <c:v>1.0045238653049219E-2</c:v>
                </c:pt>
                <c:pt idx="597">
                  <c:v>1.0048847155625965E-2</c:v>
                </c:pt>
                <c:pt idx="598">
                  <c:v>1.0052197893193374E-2</c:v>
                </c:pt>
                <c:pt idx="599">
                  <c:v>1.005717894700279E-2</c:v>
                </c:pt>
                <c:pt idx="600">
                  <c:v>1.0061635990616971E-2</c:v>
                </c:pt>
                <c:pt idx="601">
                  <c:v>1.0064023936138292E-2</c:v>
                </c:pt>
                <c:pt idx="602">
                  <c:v>1.0066423252883575E-2</c:v>
                </c:pt>
                <c:pt idx="603">
                  <c:v>1.0068833942051861E-2</c:v>
                </c:pt>
                <c:pt idx="604">
                  <c:v>1.0073975124517741E-2</c:v>
                </c:pt>
                <c:pt idx="605">
                  <c:v>1.007859044909413E-2</c:v>
                </c:pt>
                <c:pt idx="606">
                  <c:v>1.0081058020041703E-2</c:v>
                </c:pt>
                <c:pt idx="607">
                  <c:v>1.0083536971246013E-2</c:v>
                </c:pt>
                <c:pt idx="608">
                  <c:v>1.0086027304065973E-2</c:v>
                </c:pt>
                <c:pt idx="609">
                  <c:v>1.0091328776606937E-2</c:v>
                </c:pt>
                <c:pt idx="610">
                  <c:v>1.0096102477881211E-2</c:v>
                </c:pt>
                <c:pt idx="611">
                  <c:v>1.0098649738603563E-2</c:v>
                </c:pt>
                <c:pt idx="612">
                  <c:v>1.0101208388775299E-2</c:v>
                </c:pt>
                <c:pt idx="613">
                  <c:v>1.0103778429835267E-2</c:v>
                </c:pt>
                <c:pt idx="614">
                  <c:v>1.0109240354481167E-2</c:v>
                </c:pt>
                <c:pt idx="615">
                  <c:v>1.0114172528776813E-2</c:v>
                </c:pt>
                <c:pt idx="616">
                  <c:v>1.0116799543862279E-2</c:v>
                </c:pt>
                <c:pt idx="617">
                  <c:v>1.0119437957749647E-2</c:v>
                </c:pt>
                <c:pt idx="618">
                  <c:v>1.0122087771717895E-2</c:v>
                </c:pt>
                <c:pt idx="619">
                  <c:v>1.0127710311484997E-2</c:v>
                </c:pt>
                <c:pt idx="620">
                  <c:v>1.0132801055418065E-2</c:v>
                </c:pt>
                <c:pt idx="621">
                  <c:v>1.0135507889934595E-2</c:v>
                </c:pt>
                <c:pt idx="622">
                  <c:v>1.013822613252561E-2</c:v>
                </c:pt>
                <c:pt idx="623">
                  <c:v>1.014095578462996E-2</c:v>
                </c:pt>
                <c:pt idx="624">
                  <c:v>1.0146739103120731E-2</c:v>
                </c:pt>
                <c:pt idx="625">
                  <c:v>1.0151988513840174E-2</c:v>
                </c:pt>
                <c:pt idx="626">
                  <c:v>1.0154775233175465E-2</c:v>
                </c:pt>
                <c:pt idx="627">
                  <c:v>1.0157573369777887E-2</c:v>
                </c:pt>
                <c:pt idx="628">
                  <c:v>1.0160382925326098E-2</c:v>
                </c:pt>
                <c:pt idx="629">
                  <c:v>1.0166327187288752E-2</c:v>
                </c:pt>
                <c:pt idx="630">
                  <c:v>1.0171735362316562E-2</c:v>
                </c:pt>
                <c:pt idx="631">
                  <c:v>1.0174602032018179E-2</c:v>
                </c:pt>
                <c:pt idx="632">
                  <c:v>1.017748012849932E-2</c:v>
                </c:pt>
                <c:pt idx="633">
                  <c:v>1.0179640765128931E-2</c:v>
                </c:pt>
                <c:pt idx="634">
                  <c:v>1.0182897865238552E-2</c:v>
                </c:pt>
                <c:pt idx="635">
                  <c:v>1.0185701403520079E-2</c:v>
                </c:pt>
                <c:pt idx="636">
                  <c:v>1.0187308429472389E-2</c:v>
                </c:pt>
                <c:pt idx="637">
                  <c:v>1.0188952210102371E-2</c:v>
                </c:pt>
                <c:pt idx="638">
                  <c:v>1.0190632749891329E-2</c:v>
                </c:pt>
                <c:pt idx="639">
                  <c:v>1.019545101575762E-2</c:v>
                </c:pt>
                <c:pt idx="640">
                  <c:v>1.0199586980288481E-2</c:v>
                </c:pt>
                <c:pt idx="641">
                  <c:v>1.0201488162060493E-2</c:v>
                </c:pt>
                <c:pt idx="642">
                  <c:v>1.0203426132164886E-2</c:v>
                </c:pt>
                <c:pt idx="643">
                  <c:v>1.0207714144536731E-2</c:v>
                </c:pt>
                <c:pt idx="644">
                  <c:v>1.0211545979359507E-2</c:v>
                </c:pt>
                <c:pt idx="645">
                  <c:v>1.021366795403548E-2</c:v>
                </c:pt>
                <c:pt idx="646">
                  <c:v>1.0215826742063819E-2</c:v>
                </c:pt>
                <c:pt idx="647">
                  <c:v>1.021802234800088E-2</c:v>
                </c:pt>
                <c:pt idx="648">
                  <c:v>1.022282658762034E-2</c:v>
                </c:pt>
                <c:pt idx="649">
                  <c:v>1.0227173032770801E-2</c:v>
                </c:pt>
                <c:pt idx="650">
                  <c:v>1.0229552790361788E-2</c:v>
                </c:pt>
                <c:pt idx="651">
                  <c:v>1.023196939112129E-2</c:v>
                </c:pt>
                <c:pt idx="652">
                  <c:v>1.0234422838966176E-2</c:v>
                </c:pt>
                <c:pt idx="653">
                  <c:v>1.0239743822886319E-2</c:v>
                </c:pt>
                <c:pt idx="654">
                  <c:v>1.0244605187850234E-2</c:v>
                </c:pt>
                <c:pt idx="655">
                  <c:v>1.0247242935470561E-2</c:v>
                </c:pt>
                <c:pt idx="656">
                  <c:v>1.0249917555835745E-2</c:v>
                </c:pt>
                <c:pt idx="657">
                  <c:v>1.0252629053102461E-2</c:v>
                </c:pt>
                <c:pt idx="658">
                  <c:v>1.0258467300614563E-2</c:v>
                </c:pt>
                <c:pt idx="659">
                  <c:v>1.0263843896236616E-2</c:v>
                </c:pt>
                <c:pt idx="660">
                  <c:v>1.0266739841879905E-2</c:v>
                </c:pt>
                <c:pt idx="661">
                  <c:v>1.0269672689924328E-2</c:v>
                </c:pt>
                <c:pt idx="662">
                  <c:v>1.027264244476637E-2</c:v>
                </c:pt>
                <c:pt idx="663">
                  <c:v>1.0280691759421182E-2</c:v>
                </c:pt>
                <c:pt idx="664">
                  <c:v>1.0288044969462043E-2</c:v>
                </c:pt>
                <c:pt idx="665">
                  <c:v>1.0291236254458306E-2</c:v>
                </c:pt>
                <c:pt idx="666">
                  <c:v>1.0294464476148272E-2</c:v>
                </c:pt>
                <c:pt idx="667">
                  <c:v>1.030133882049482E-2</c:v>
                </c:pt>
                <c:pt idx="668">
                  <c:v>1.0307746816176114E-2</c:v>
                </c:pt>
                <c:pt idx="669">
                  <c:v>1.0311159785922933E-2</c:v>
                </c:pt>
                <c:pt idx="670">
                  <c:v>1.0314609718262738E-2</c:v>
                </c:pt>
                <c:pt idx="671">
                  <c:v>1.0318096617512077E-2</c:v>
                </c:pt>
                <c:pt idx="672">
                  <c:v>1.0325489801017477E-2</c:v>
                </c:pt>
                <c:pt idx="673">
                  <c:v>1.0332413969376156E-2</c:v>
                </c:pt>
                <c:pt idx="674">
                  <c:v>1.0336085767841433E-2</c:v>
                </c:pt>
                <c:pt idx="675">
                  <c:v>1.033979455903559E-2</c:v>
                </c:pt>
                <c:pt idx="676">
                  <c:v>1.0343540347594918E-2</c:v>
                </c:pt>
                <c:pt idx="677">
                  <c:v>1.0351452902126504E-2</c:v>
                </c:pt>
                <c:pt idx="678">
                  <c:v>1.0358893560615848E-2</c:v>
                </c:pt>
                <c:pt idx="679">
                  <c:v>1.0362824400589369E-2</c:v>
                </c:pt>
                <c:pt idx="680">
                  <c:v>1.0366792263827343E-2</c:v>
                </c:pt>
                <c:pt idx="681">
                  <c:v>1.0370797154806191E-2</c:v>
                </c:pt>
                <c:pt idx="682">
                  <c:v>1.0379229615775679E-2</c:v>
                </c:pt>
                <c:pt idx="683">
                  <c:v>1.0387187084059982E-2</c:v>
                </c:pt>
                <c:pt idx="684">
                  <c:v>1.0391377179610509E-2</c:v>
                </c:pt>
                <c:pt idx="685">
                  <c:v>1.0395604329360745E-2</c:v>
                </c:pt>
                <c:pt idx="686">
                  <c:v>1.0399868537627236E-2</c:v>
                </c:pt>
                <c:pt idx="687">
                  <c:v>1.0411165993697883E-2</c:v>
                </c:pt>
                <c:pt idx="688">
                  <c:v>1.0421745611060055E-2</c:v>
                </c:pt>
                <c:pt idx="689">
                  <c:v>1.0426232263149907E-2</c:v>
                </c:pt>
                <c:pt idx="690">
                  <c:v>1.0430756004851141E-2</c:v>
                </c:pt>
                <c:pt idx="691">
                  <c:v>1.0440229900838852E-2</c:v>
                </c:pt>
                <c:pt idx="692">
                  <c:v>1.0449221955699564E-2</c:v>
                </c:pt>
                <c:pt idx="693">
                  <c:v>1.0453931211724702E-2</c:v>
                </c:pt>
                <c:pt idx="694">
                  <c:v>1.0461221322239958E-2</c:v>
                </c:pt>
                <c:pt idx="695">
                  <c:v>1.0468644109478157E-2</c:v>
                </c:pt>
                <c:pt idx="696">
                  <c:v>1.0471819209927383E-2</c:v>
                </c:pt>
                <c:pt idx="697">
                  <c:v>1.047367158913573E-2</c:v>
                </c:pt>
                <c:pt idx="698">
                  <c:v>1.0475591554843825E-2</c:v>
                </c:pt>
                <c:pt idx="699">
                  <c:v>1.0477579115040251E-2</c:v>
                </c:pt>
                <c:pt idx="700">
                  <c:v>1.048208478074745E-2</c:v>
                </c:pt>
                <c:pt idx="701">
                  <c:v>1.0486205458200041E-2</c:v>
                </c:pt>
                <c:pt idx="702">
                  <c:v>1.0488531109151858E-2</c:v>
                </c:pt>
                <c:pt idx="703">
                  <c:v>1.0490924401835891E-2</c:v>
                </c:pt>
                <c:pt idx="704">
                  <c:v>1.0493385344325682E-2</c:v>
                </c:pt>
                <c:pt idx="705">
                  <c:v>1.0498838935797433E-2</c:v>
                </c:pt>
                <c:pt idx="706">
                  <c:v>1.0503905771095428E-2</c:v>
                </c:pt>
                <c:pt idx="707">
                  <c:v>1.0506705081558858E-2</c:v>
                </c:pt>
                <c:pt idx="708">
                  <c:v>1.0509572089469937E-2</c:v>
                </c:pt>
                <c:pt idx="709">
                  <c:v>1.0512506802822268E-2</c:v>
                </c:pt>
                <c:pt idx="710">
                  <c:v>1.0518909292960326E-2</c:v>
                </c:pt>
                <c:pt idx="711">
                  <c:v>1.052492286939714E-2</c:v>
                </c:pt>
                <c:pt idx="712">
                  <c:v>1.0528196229300273E-2</c:v>
                </c:pt>
                <c:pt idx="713">
                  <c:v>1.0531537342446422E-2</c:v>
                </c:pt>
                <c:pt idx="714">
                  <c:v>1.0534946216909129E-2</c:v>
                </c:pt>
                <c:pt idx="715">
                  <c:v>1.0542298584210779E-2</c:v>
                </c:pt>
                <c:pt idx="716">
                  <c:v>1.0551288008668929E-2</c:v>
                </c:pt>
                <c:pt idx="717">
                  <c:v>1.0556822900014178E-2</c:v>
                </c:pt>
                <c:pt idx="718">
                  <c:v>1.056070632815324E-2</c:v>
                </c:pt>
                <c:pt idx="719">
                  <c:v>1.0569009557110969E-2</c:v>
                </c:pt>
                <c:pt idx="720">
                  <c:v>1.0579185135157803E-2</c:v>
                </c:pt>
                <c:pt idx="721">
                  <c:v>1.0585431518048732E-2</c:v>
                </c:pt>
                <c:pt idx="722">
                  <c:v>1.0589789895307827E-2</c:v>
                </c:pt>
                <c:pt idx="723">
                  <c:v>1.0599044977048815E-2</c:v>
                </c:pt>
                <c:pt idx="724">
                  <c:v>1.0607902308317246E-2</c:v>
                </c:pt>
                <c:pt idx="725">
                  <c:v>1.061260017833025E-2</c:v>
                </c:pt>
                <c:pt idx="726">
                  <c:v>1.0617365971450392E-2</c:v>
                </c:pt>
                <c:pt idx="727">
                  <c:v>1.062219969567128E-2</c:v>
                </c:pt>
                <c:pt idx="728">
                  <c:v>1.0632407629582201E-2</c:v>
                </c:pt>
                <c:pt idx="729">
                  <c:v>1.0642214068870042E-2</c:v>
                </c:pt>
                <c:pt idx="730">
                  <c:v>1.0647387572255734E-2</c:v>
                </c:pt>
                <c:pt idx="731">
                  <c:v>1.0652629055982781E-2</c:v>
                </c:pt>
                <c:pt idx="732">
                  <c:v>1.0657938528684279E-2</c:v>
                </c:pt>
                <c:pt idx="733">
                  <c:v>1.0672026743958656E-2</c:v>
                </c:pt>
                <c:pt idx="734">
                  <c:v>1.0685506012260187E-2</c:v>
                </c:pt>
                <c:pt idx="735">
                  <c:v>1.0691223591150528E-2</c:v>
                </c:pt>
                <c:pt idx="736">
                  <c:v>1.0697009216889024E-2</c:v>
                </c:pt>
                <c:pt idx="737">
                  <c:v>1.0709125887222764E-2</c:v>
                </c:pt>
                <c:pt idx="738">
                  <c:v>1.0720832354431702E-2</c:v>
                </c:pt>
                <c:pt idx="739">
                  <c:v>1.0726958339351039E-2</c:v>
                </c:pt>
                <c:pt idx="740">
                  <c:v>1.0733152421318375E-2</c:v>
                </c:pt>
                <c:pt idx="741">
                  <c:v>1.0739414608647063E-2</c:v>
                </c:pt>
                <c:pt idx="742">
                  <c:v>1.0752487183003406E-2</c:v>
                </c:pt>
                <c:pt idx="743">
                  <c:v>1.0765144580799951E-2</c:v>
                </c:pt>
                <c:pt idx="744">
                  <c:v>1.0771747421713978E-2</c:v>
                </c:pt>
                <c:pt idx="745">
                  <c:v>1.0778418418748752E-2</c:v>
                </c:pt>
                <c:pt idx="746">
                  <c:v>1.0785157580537368E-2</c:v>
                </c:pt>
                <c:pt idx="747">
                  <c:v>1.0799187096965961E-2</c:v>
                </c:pt>
                <c:pt idx="748">
                  <c:v>1.08127960440552E-2</c:v>
                </c:pt>
                <c:pt idx="749">
                  <c:v>1.0819876156951163E-2</c:v>
                </c:pt>
                <c:pt idx="750">
                  <c:v>1.0827024485680108E-2</c:v>
                </c:pt>
                <c:pt idx="751">
                  <c:v>1.0834241038955066E-2</c:v>
                </c:pt>
                <c:pt idx="752">
                  <c:v>1.0853114377327205E-2</c:v>
                </c:pt>
                <c:pt idx="753">
                  <c:v>1.0871347474479303E-2</c:v>
                </c:pt>
                <c:pt idx="754">
                  <c:v>1.0878973556005572E-2</c:v>
                </c:pt>
                <c:pt idx="755">
                  <c:v>1.0886667922669385E-2</c:v>
                </c:pt>
                <c:pt idx="756">
                  <c:v>1.0902614485885958E-2</c:v>
                </c:pt>
                <c:pt idx="757">
                  <c:v>1.0917063705278521E-2</c:v>
                </c:pt>
                <c:pt idx="758">
                  <c:v>1.0922924734622124E-2</c:v>
                </c:pt>
                <c:pt idx="759">
                  <c:v>1.0928785882109476E-2</c:v>
                </c:pt>
                <c:pt idx="760">
                  <c:v>1.0934647148221937E-2</c:v>
                </c:pt>
                <c:pt idx="761">
                  <c:v>1.0946702921854661E-2</c:v>
                </c:pt>
                <c:pt idx="762">
                  <c:v>1.0958093403239427E-2</c:v>
                </c:pt>
                <c:pt idx="763">
                  <c:v>1.0963955265994623E-2</c:v>
                </c:pt>
                <c:pt idx="764">
                  <c:v>1.0969817248893714E-2</c:v>
                </c:pt>
                <c:pt idx="765">
                  <c:v>1.0975679352176509E-2</c:v>
                </c:pt>
                <c:pt idx="766">
                  <c:v>1.0987739306758155E-2</c:v>
                </c:pt>
                <c:pt idx="767">
                  <c:v>1.099912897498005E-2</c:v>
                </c:pt>
                <c:pt idx="768">
                  <c:v>1.1004991684417971E-2</c:v>
                </c:pt>
                <c:pt idx="769">
                  <c:v>1.1010854515838315E-2</c:v>
                </c:pt>
                <c:pt idx="770">
                  <c:v>1.1016717469640764E-2</c:v>
                </c:pt>
                <c:pt idx="771">
                  <c:v>1.1028781641089265E-2</c:v>
                </c:pt>
                <c:pt idx="772">
                  <c:v>1.1040170512908216E-2</c:v>
                </c:pt>
                <c:pt idx="773">
                  <c:v>1.1046034082138374E-2</c:v>
                </c:pt>
                <c:pt idx="774">
                  <c:v>1.1051897775269421E-2</c:v>
                </c:pt>
                <c:pt idx="775">
                  <c:v>1.1057761592621103E-2</c:v>
                </c:pt>
                <c:pt idx="776">
                  <c:v>1.1069830017120847E-2</c:v>
                </c:pt>
                <c:pt idx="777">
                  <c:v>1.1081218109110265E-2</c:v>
                </c:pt>
                <c:pt idx="778">
                  <c:v>1.1087082551322109E-2</c:v>
                </c:pt>
                <c:pt idx="779">
                  <c:v>1.1092947119353309E-2</c:v>
                </c:pt>
                <c:pt idx="780">
                  <c:v>1.1098811813363736E-2</c:v>
                </c:pt>
                <c:pt idx="781">
                  <c:v>1.1110884527045823E-2</c:v>
                </c:pt>
                <c:pt idx="782">
                  <c:v>1.1122271855832406E-2</c:v>
                </c:pt>
                <c:pt idx="783">
                  <c:v>1.1128137184215387E-2</c:v>
                </c:pt>
                <c:pt idx="784">
                  <c:v>1.1134002640336189E-2</c:v>
                </c:pt>
                <c:pt idx="785">
                  <c:v>1.1139868224354683E-2</c:v>
                </c:pt>
                <c:pt idx="786">
                  <c:v>1.1151945263190339E-2</c:v>
                </c:pt>
                <c:pt idx="787">
                  <c:v>1.1163331845320852E-2</c:v>
                </c:pt>
                <c:pt idx="788">
                  <c:v>1.1169198073144355E-2</c:v>
                </c:pt>
                <c:pt idx="789">
                  <c:v>1.1175064430544208E-2</c:v>
                </c:pt>
                <c:pt idx="790">
                  <c:v>1.1180930917678494E-2</c:v>
                </c:pt>
                <c:pt idx="791">
                  <c:v>1.1193012317880542E-2</c:v>
                </c:pt>
                <c:pt idx="792">
                  <c:v>1.1204398170141556E-2</c:v>
                </c:pt>
                <c:pt idx="793">
                  <c:v>1.1210265310435159E-2</c:v>
                </c:pt>
                <c:pt idx="794">
                  <c:v>1.1216132582223577E-2</c:v>
                </c:pt>
                <c:pt idx="795">
                  <c:v>1.1221999985826554E-2</c:v>
                </c:pt>
                <c:pt idx="796">
                  <c:v>1.1234085783495868E-2</c:v>
                </c:pt>
                <c:pt idx="797">
                  <c:v>1.1245470922380858E-2</c:v>
                </c:pt>
                <c:pt idx="798">
                  <c:v>1.1251338988493882E-2</c:v>
                </c:pt>
                <c:pt idx="799">
                  <c:v>1.1257207188020186E-2</c:v>
                </c:pt>
                <c:pt idx="800">
                  <c:v>1.1263075521039707E-2</c:v>
                </c:pt>
                <c:pt idx="801">
                  <c:v>1.1275165752495693E-2</c:v>
                </c:pt>
                <c:pt idx="802">
                  <c:v>1.1286550194684648E-2</c:v>
                </c:pt>
                <c:pt idx="803">
                  <c:v>1.1292419199806543E-2</c:v>
                </c:pt>
                <c:pt idx="804">
                  <c:v>1.1298288340100311E-2</c:v>
                </c:pt>
                <c:pt idx="805">
                  <c:v>1.1304157615965633E-2</c:v>
                </c:pt>
                <c:pt idx="806">
                  <c:v>1.1316252317312743E-2</c:v>
                </c:pt>
                <c:pt idx="807">
                  <c:v>1.1327636079459009E-2</c:v>
                </c:pt>
                <c:pt idx="808">
                  <c:v>1.1333506036779224E-2</c:v>
                </c:pt>
                <c:pt idx="809">
                  <c:v>1.1339376131109842E-2</c:v>
                </c:pt>
                <c:pt idx="810">
                  <c:v>1.1345246362930479E-2</c:v>
                </c:pt>
                <c:pt idx="811">
                  <c:v>1.1357345570486328E-2</c:v>
                </c:pt>
                <c:pt idx="812">
                  <c:v>1.136872866918996E-2</c:v>
                </c:pt>
                <c:pt idx="813">
                  <c:v>1.1374599591977881E-2</c:v>
                </c:pt>
                <c:pt idx="814">
                  <c:v>1.1380470653614734E-2</c:v>
                </c:pt>
                <c:pt idx="815">
                  <c:v>1.1386341854580135E-2</c:v>
                </c:pt>
                <c:pt idx="816">
                  <c:v>1.1398445604609049E-2</c:v>
                </c:pt>
                <c:pt idx="817">
                  <c:v>1.1409828056523392E-2</c:v>
                </c:pt>
                <c:pt idx="818">
                  <c:v>1.1415699957888532E-2</c:v>
                </c:pt>
                <c:pt idx="819">
                  <c:v>1.1421572000101006E-2</c:v>
                </c:pt>
                <c:pt idx="820">
                  <c:v>1.1427489585482715E-2</c:v>
                </c:pt>
                <c:pt idx="821">
                  <c:v>1.1442934200029536E-2</c:v>
                </c:pt>
                <c:pt idx="822">
                  <c:v>1.1457277502175995E-2</c:v>
                </c:pt>
                <c:pt idx="823">
                  <c:v>1.1463228953108069E-2</c:v>
                </c:pt>
                <c:pt idx="824">
                  <c:v>1.1469178359995209E-2</c:v>
                </c:pt>
                <c:pt idx="825">
                  <c:v>1.1481436516351848E-2</c:v>
                </c:pt>
                <c:pt idx="826">
                  <c:v>1.1492955545895397E-2</c:v>
                </c:pt>
                <c:pt idx="827">
                  <c:v>1.1498894731918383E-2</c:v>
                </c:pt>
                <c:pt idx="828">
                  <c:v>1.1504831873896434E-2</c:v>
                </c:pt>
                <c:pt idx="829">
                  <c:v>1.1510766971749617E-2</c:v>
                </c:pt>
                <c:pt idx="830">
                  <c:v>1.1522999165780631E-2</c:v>
                </c:pt>
                <c:pt idx="831">
                  <c:v>1.1534486921434037E-2</c:v>
                </c:pt>
                <c:pt idx="832">
                  <c:v>1.1540411798423064E-2</c:v>
                </c:pt>
                <c:pt idx="833">
                  <c:v>1.1546334631287222E-2</c:v>
                </c:pt>
                <c:pt idx="834">
                  <c:v>1.1552255419866639E-2</c:v>
                </c:pt>
                <c:pt idx="835">
                  <c:v>1.1564461654263211E-2</c:v>
                </c:pt>
                <c:pt idx="836">
                  <c:v>1.1575918132376059E-2</c:v>
                </c:pt>
                <c:pt idx="837">
                  <c:v>1.1581828700011385E-2</c:v>
                </c:pt>
                <c:pt idx="838">
                  <c:v>1.1587737223361969E-2</c:v>
                </c:pt>
                <c:pt idx="839">
                  <c:v>1.1593643702507747E-2</c:v>
                </c:pt>
                <c:pt idx="840">
                  <c:v>1.1605823979641314E-2</c:v>
                </c:pt>
                <c:pt idx="841">
                  <c:v>1.1617249176403319E-2</c:v>
                </c:pt>
                <c:pt idx="842">
                  <c:v>1.1623145434205326E-2</c:v>
                </c:pt>
                <c:pt idx="843">
                  <c:v>1.1629039647802528E-2</c:v>
                </c:pt>
                <c:pt idx="844">
                  <c:v>1.163493181687518E-2</c:v>
                </c:pt>
                <c:pt idx="845">
                  <c:v>1.1647086138850724E-2</c:v>
                </c:pt>
                <c:pt idx="846">
                  <c:v>1.1658480050238437E-2</c:v>
                </c:pt>
                <c:pt idx="847">
                  <c:v>1.166436199772751E-2</c:v>
                </c:pt>
                <c:pt idx="848">
                  <c:v>1.1673370084484033E-2</c:v>
                </c:pt>
                <c:pt idx="849">
                  <c:v>1.1688248127974574E-2</c:v>
                </c:pt>
                <c:pt idx="850">
                  <c:v>1.1699610749884612E-2</c:v>
                </c:pt>
                <c:pt idx="851">
                  <c:v>1.1705478386261389E-2</c:v>
                </c:pt>
                <c:pt idx="852">
                  <c:v>1.1711343978271617E-2</c:v>
                </c:pt>
                <c:pt idx="853">
                  <c:v>1.1717207525681103E-2</c:v>
                </c:pt>
                <c:pt idx="854">
                  <c:v>1.1729309942323282E-2</c:v>
                </c:pt>
                <c:pt idx="855">
                  <c:v>1.1740641270225935E-2</c:v>
                </c:pt>
                <c:pt idx="856">
                  <c:v>1.1746494594850929E-2</c:v>
                </c:pt>
                <c:pt idx="857">
                  <c:v>1.1752345874951373E-2</c:v>
                </c:pt>
                <c:pt idx="858">
                  <c:v>1.1758195110447331E-2</c:v>
                </c:pt>
                <c:pt idx="859">
                  <c:v>1.1770271576194744E-2</c:v>
                </c:pt>
                <c:pt idx="860">
                  <c:v>1.1781571605586946E-2</c:v>
                </c:pt>
                <c:pt idx="861">
                  <c:v>1.178741061758086E-2</c:v>
                </c:pt>
                <c:pt idx="862">
                  <c:v>1.1793247584890351E-2</c:v>
                </c:pt>
                <c:pt idx="863">
                  <c:v>1.1799082507355549E-2</c:v>
                </c:pt>
                <c:pt idx="864">
                  <c:v>1.1811133023087492E-2</c:v>
                </c:pt>
                <c:pt idx="865">
                  <c:v>1.1822401749253017E-2</c:v>
                </c:pt>
                <c:pt idx="866">
                  <c:v>1.1828226447576681E-2</c:v>
                </c:pt>
                <c:pt idx="867">
                  <c:v>1.1834049100976116E-2</c:v>
                </c:pt>
                <c:pt idx="868">
                  <c:v>1.1839869709531256E-2</c:v>
                </c:pt>
                <c:pt idx="869">
                  <c:v>1.1851894275727345E-2</c:v>
                </c:pt>
                <c:pt idx="870">
                  <c:v>1.1863131693710158E-2</c:v>
                </c:pt>
                <c:pt idx="871">
                  <c:v>1.1868942077244468E-2</c:v>
                </c:pt>
                <c:pt idx="872">
                  <c:v>1.1874750415694676E-2</c:v>
                </c:pt>
                <c:pt idx="873">
                  <c:v>1.1880556708980847E-2</c:v>
                </c:pt>
                <c:pt idx="874">
                  <c:v>1.1892555325880891E-2</c:v>
                </c:pt>
                <c:pt idx="875">
                  <c:v>1.1903761430645018E-2</c:v>
                </c:pt>
                <c:pt idx="876">
                  <c:v>1.1909557498031062E-2</c:v>
                </c:pt>
                <c:pt idx="877">
                  <c:v>1.1915351520173131E-2</c:v>
                </c:pt>
                <c:pt idx="878">
                  <c:v>1.1921143496991291E-2</c:v>
                </c:pt>
                <c:pt idx="879">
                  <c:v>1.1933116164435417E-2</c:v>
                </c:pt>
                <c:pt idx="880">
                  <c:v>1.1944290950785016E-2</c:v>
                </c:pt>
                <c:pt idx="881">
                  <c:v>1.1950072700583944E-2</c:v>
                </c:pt>
                <c:pt idx="882">
                  <c:v>1.1955852405058962E-2</c:v>
                </c:pt>
                <c:pt idx="883">
                  <c:v>1.1961630063970261E-2</c:v>
                </c:pt>
                <c:pt idx="884">
                  <c:v>1.1973849253576434E-2</c:v>
                </c:pt>
                <c:pt idx="885">
                  <c:v>1.1985354267931613E-2</c:v>
                </c:pt>
                <c:pt idx="886">
                  <c:v>1.199130142030218E-2</c:v>
                </c:pt>
                <c:pt idx="887">
                  <c:v>1.1997245888499862E-2</c:v>
                </c:pt>
                <c:pt idx="888">
                  <c:v>1.2003187672604597E-2</c:v>
                </c:pt>
                <c:pt idx="889">
                  <c:v>1.2018630528898332E-2</c:v>
                </c:pt>
                <c:pt idx="890">
                  <c:v>1.2032856327577378E-2</c:v>
                </c:pt>
                <c:pt idx="891">
                  <c:v>1.2038782004726344E-2</c:v>
                </c:pt>
                <c:pt idx="892">
                  <c:v>1.2044704996983001E-2</c:v>
                </c:pt>
                <c:pt idx="893">
                  <c:v>1.2056945814302765E-2</c:v>
                </c:pt>
                <c:pt idx="894">
                  <c:v>1.2068370115407888E-2</c:v>
                </c:pt>
                <c:pt idx="895">
                  <c:v>1.2074279681764154E-2</c:v>
                </c:pt>
                <c:pt idx="896">
                  <c:v>1.2080186562588623E-2</c:v>
                </c:pt>
                <c:pt idx="897">
                  <c:v>1.2086090757801359E-2</c:v>
                </c:pt>
                <c:pt idx="898">
                  <c:v>1.2098296752842729E-2</c:v>
                </c:pt>
                <c:pt idx="899">
                  <c:v>1.2109680680456635E-2</c:v>
                </c:pt>
                <c:pt idx="900">
                  <c:v>1.2115571445932049E-2</c:v>
                </c:pt>
                <c:pt idx="901">
                  <c:v>1.2121459525076305E-2</c:v>
                </c:pt>
                <c:pt idx="902">
                  <c:v>1.2127344917969339E-2</c:v>
                </c:pt>
                <c:pt idx="903">
                  <c:v>1.2139516080473855E-2</c:v>
                </c:pt>
                <c:pt idx="904">
                  <c:v>1.2150859622952525E-2</c:v>
                </c:pt>
                <c:pt idx="905">
                  <c:v>1.215673158219137E-2</c:v>
                </c:pt>
                <c:pt idx="906">
                  <c:v>1.2162600854219762E-2</c:v>
                </c:pt>
                <c:pt idx="907">
                  <c:v>1.2168467439037699E-2</c:v>
                </c:pt>
                <c:pt idx="908">
                  <c:v>1.218060375850709E-2</c:v>
                </c:pt>
                <c:pt idx="909">
                  <c:v>1.2191906904366378E-2</c:v>
                </c:pt>
                <c:pt idx="910">
                  <c:v>1.2197760051373451E-2</c:v>
                </c:pt>
                <c:pt idx="911">
                  <c:v>1.2203610510610518E-2</c:v>
                </c:pt>
                <c:pt idx="912">
                  <c:v>1.2209458281917706E-2</c:v>
                </c:pt>
                <c:pt idx="913">
                  <c:v>1.222155974713428E-2</c:v>
                </c:pt>
                <c:pt idx="914">
                  <c:v>1.2232822484170612E-2</c:v>
                </c:pt>
                <c:pt idx="915">
                  <c:v>1.2238656813428369E-2</c:v>
                </c:pt>
                <c:pt idx="916">
                  <c:v>1.2244488454040735E-2</c:v>
                </c:pt>
                <c:pt idx="917">
                  <c:v>1.2250317405682097E-2</c:v>
                </c:pt>
                <c:pt idx="918">
                  <c:v>1.2265503133717147E-2</c:v>
                </c:pt>
                <c:pt idx="919">
                  <c:v>1.227942182687518E-2</c:v>
                </c:pt>
                <c:pt idx="920">
                  <c:v>1.2285234642783792E-2</c:v>
                </c:pt>
                <c:pt idx="921">
                  <c:v>1.2291044769003933E-2</c:v>
                </c:pt>
                <c:pt idx="922">
                  <c:v>1.2303076491182495E-2</c:v>
                </c:pt>
                <c:pt idx="923">
                  <c:v>1.2314258373722397E-2</c:v>
                </c:pt>
                <c:pt idx="924">
                  <c:v>1.2320055049341904E-2</c:v>
                </c:pt>
                <c:pt idx="925">
                  <c:v>1.2325849034393642E-2</c:v>
                </c:pt>
                <c:pt idx="926">
                  <c:v>1.2331640328797676E-2</c:v>
                </c:pt>
                <c:pt idx="927">
                  <c:v>1.2343637161258457E-2</c:v>
                </c:pt>
                <c:pt idx="928">
                  <c:v>1.2354778597778492E-2</c:v>
                </c:pt>
                <c:pt idx="929">
                  <c:v>1.2360556437025537E-2</c:v>
                </c:pt>
                <c:pt idx="930">
                  <c:v>1.2366331584985389E-2</c:v>
                </c:pt>
                <c:pt idx="931">
                  <c:v>1.237210404141824E-2</c:v>
                </c:pt>
                <c:pt idx="932">
                  <c:v>1.2384065971344825E-2</c:v>
                </c:pt>
                <c:pt idx="933">
                  <c:v>1.2395166948682189E-2</c:v>
                </c:pt>
                <c:pt idx="934">
                  <c:v>1.2400925945401696E-2</c:v>
                </c:pt>
                <c:pt idx="935">
                  <c:v>1.2406682249714905E-2</c:v>
                </c:pt>
                <c:pt idx="936">
                  <c:v>1.2412435861461945E-2</c:v>
                </c:pt>
                <c:pt idx="937">
                  <c:v>1.2427449881808926E-2</c:v>
                </c:pt>
                <c:pt idx="938">
                  <c:v>1.2441163528507148E-2</c:v>
                </c:pt>
                <c:pt idx="939">
                  <c:v>1.2446900982459085E-2</c:v>
                </c:pt>
                <c:pt idx="940">
                  <c:v>1.2452635743045493E-2</c:v>
                </c:pt>
                <c:pt idx="941">
                  <c:v>1.2464527828335337E-2</c:v>
                </c:pt>
                <c:pt idx="942">
                  <c:v>1.2475547848058755E-2</c:v>
                </c:pt>
                <c:pt idx="943">
                  <c:v>1.2481269139259555E-2</c:v>
                </c:pt>
                <c:pt idx="944">
                  <c:v>1.2486987736215528E-2</c:v>
                </c:pt>
                <c:pt idx="945">
                  <c:v>1.2492703638766801E-2</c:v>
                </c:pt>
                <c:pt idx="946">
                  <c:v>1.2504560780967554E-2</c:v>
                </c:pt>
                <c:pt idx="947">
                  <c:v>1.2516181130157778E-2</c:v>
                </c:pt>
                <c:pt idx="948">
                  <c:v>1.2523141266784821E-2</c:v>
                </c:pt>
                <c:pt idx="949">
                  <c:v>1.253372240407118E-2</c:v>
                </c:pt>
                <c:pt idx="950">
                  <c:v>1.2551020215347864E-2</c:v>
                </c:pt>
                <c:pt idx="951">
                  <c:v>1.2564090849149823E-2</c:v>
                </c:pt>
                <c:pt idx="952">
                  <c:v>1.2570780526282067E-2</c:v>
                </c:pt>
                <c:pt idx="953">
                  <c:v>1.2577431546017027E-2</c:v>
                </c:pt>
                <c:pt idx="954">
                  <c:v>1.2584043903318732E-2</c:v>
                </c:pt>
                <c:pt idx="955">
                  <c:v>1.2597580522637531E-2</c:v>
                </c:pt>
                <c:pt idx="956">
                  <c:v>1.2610106606514338E-2</c:v>
                </c:pt>
                <c:pt idx="957">
                  <c:v>1.2616525575230898E-2</c:v>
                </c:pt>
                <c:pt idx="958">
                  <c:v>1.2622905850978628E-2</c:v>
                </c:pt>
                <c:pt idx="959">
                  <c:v>1.2629247428401814E-2</c:v>
                </c:pt>
                <c:pt idx="960">
                  <c:v>1.2642245499847649E-2</c:v>
                </c:pt>
                <c:pt idx="961">
                  <c:v>1.2654226653490187E-2</c:v>
                </c:pt>
                <c:pt idx="962">
                  <c:v>1.2660374662711905E-2</c:v>
                </c:pt>
                <c:pt idx="963">
                  <c:v>1.266648394275376E-2</c:v>
                </c:pt>
                <c:pt idx="964">
                  <c:v>1.2672554488499844E-2</c:v>
                </c:pt>
                <c:pt idx="965">
                  <c:v>1.2685013384148337E-2</c:v>
                </c:pt>
                <c:pt idx="966">
                  <c:v>1.2696449223890172E-2</c:v>
                </c:pt>
                <c:pt idx="967">
                  <c:v>1.2705469233989009E-2</c:v>
                </c:pt>
                <c:pt idx="968">
                  <c:v>1.2713963309671828E-2</c:v>
                </c:pt>
                <c:pt idx="969">
                  <c:v>1.2725882395603395E-2</c:v>
                </c:pt>
                <c:pt idx="970">
                  <c:v>1.2736772534420782E-2</c:v>
                </c:pt>
                <c:pt idx="971">
                  <c:v>1.271054690946909E-2</c:v>
                </c:pt>
                <c:pt idx="972">
                  <c:v>1.2718588419566901E-2</c:v>
                </c:pt>
                <c:pt idx="973">
                  <c:v>1.2729905729935754E-2</c:v>
                </c:pt>
                <c:pt idx="974">
                  <c:v>1.2740194459082373E-2</c:v>
                </c:pt>
                <c:pt idx="975">
                  <c:v>1.274549969061849E-2</c:v>
                </c:pt>
                <c:pt idx="976">
                  <c:v>1.2750766400166969E-2</c:v>
                </c:pt>
                <c:pt idx="977">
                  <c:v>1.2755994582613939E-2</c:v>
                </c:pt>
                <c:pt idx="978">
                  <c:v>1.2766775222088401E-2</c:v>
                </c:pt>
                <c:pt idx="979">
                  <c:v>1.2776521935471453E-2</c:v>
                </c:pt>
                <c:pt idx="980">
                  <c:v>1.27815574028745E-2</c:v>
                </c:pt>
                <c:pt idx="981">
                  <c:v>1.2786554311601295E-2</c:v>
                </c:pt>
                <c:pt idx="982">
                  <c:v>1.2791512655976379E-2</c:v>
                </c:pt>
                <c:pt idx="983">
                  <c:v>1.2804398729044975E-2</c:v>
                </c:pt>
                <c:pt idx="984">
                  <c:v>1.2815725729602479E-2</c:v>
                </c:pt>
                <c:pt idx="985">
                  <c:v>1.282045257715585E-2</c:v>
                </c:pt>
                <c:pt idx="986">
                  <c:v>1.2825140823267179E-2</c:v>
                </c:pt>
                <c:pt idx="987">
                  <c:v>1.2834846182343585E-2</c:v>
                </c:pt>
                <c:pt idx="988">
                  <c:v>1.2843507685618195E-2</c:v>
                </c:pt>
                <c:pt idx="989">
                  <c:v>1.2848002843943763E-2</c:v>
                </c:pt>
                <c:pt idx="990">
                  <c:v>1.2852459368451131E-2</c:v>
                </c:pt>
                <c:pt idx="991">
                  <c:v>1.2856877253872736E-2</c:v>
                </c:pt>
                <c:pt idx="992">
                  <c:v>1.2866043993210922E-2</c:v>
                </c:pt>
                <c:pt idx="993">
                  <c:v>1.2874162297029529E-2</c:v>
                </c:pt>
                <c:pt idx="994">
                  <c:v>1.2878386906008052E-2</c:v>
                </c:pt>
                <c:pt idx="995">
                  <c:v>1.2882572843608716E-2</c:v>
                </c:pt>
                <c:pt idx="996">
                  <c:v>1.2886720104219524E-2</c:v>
                </c:pt>
                <c:pt idx="997">
                  <c:v>1.2895347564328597E-2</c:v>
                </c:pt>
                <c:pt idx="998">
                  <c:v>1.2902922268949383E-2</c:v>
                </c:pt>
                <c:pt idx="999">
                  <c:v>1.2906876063445316E-2</c:v>
                </c:pt>
                <c:pt idx="1000">
                  <c:v>1.2910791148257531E-2</c:v>
                </c:pt>
                <c:pt idx="1001">
                  <c:v>1.2914667518286628E-2</c:v>
                </c:pt>
                <c:pt idx="1002">
                  <c:v>1.2924860811913731E-2</c:v>
                </c:pt>
                <c:pt idx="1003">
                  <c:v>1.2933468451332896E-2</c:v>
                </c:pt>
                <c:pt idx="1004">
                  <c:v>1.2937112416226864E-2</c:v>
                </c:pt>
                <c:pt idx="1005">
                  <c:v>1.2940717627951879E-2</c:v>
                </c:pt>
                <c:pt idx="1006">
                  <c:v>1.2948264533481815E-2</c:v>
                </c:pt>
                <c:pt idx="1007">
                  <c:v>1.2955436216619739E-2</c:v>
                </c:pt>
                <c:pt idx="1008">
                  <c:v>1.296024081774084E-2</c:v>
                </c:pt>
                <c:pt idx="1009">
                  <c:v>1.296504033795795E-2</c:v>
                </c:pt>
                <c:pt idx="1010">
                  <c:v>1.2969834776808031E-2</c:v>
                </c:pt>
                <c:pt idx="1011">
                  <c:v>1.2979874677635971E-2</c:v>
                </c:pt>
                <c:pt idx="1012">
                  <c:v>1.2988961706927774E-2</c:v>
                </c:pt>
                <c:pt idx="1013">
                  <c:v>1.2993730730020048E-2</c:v>
                </c:pt>
                <c:pt idx="1014">
                  <c:v>1.2998494668387999E-2</c:v>
                </c:pt>
                <c:pt idx="1015">
                  <c:v>1.3003253521295575E-2</c:v>
                </c:pt>
                <c:pt idx="1016">
                  <c:v>1.3013224644398875E-2</c:v>
                </c:pt>
                <c:pt idx="1017">
                  <c:v>1.302223806683119E-2</c:v>
                </c:pt>
                <c:pt idx="1018">
                  <c:v>1.3026971483693825E-2</c:v>
                </c:pt>
                <c:pt idx="1019">
                  <c:v>1.3031699811658821E-2</c:v>
                </c:pt>
                <c:pt idx="1020">
                  <c:v>1.3036423049943478E-2</c:v>
                </c:pt>
                <c:pt idx="1021">
                  <c:v>1.3046325326246295E-2</c:v>
                </c:pt>
                <c:pt idx="1022">
                  <c:v>1.305526509634243E-2</c:v>
                </c:pt>
                <c:pt idx="1023">
                  <c:v>1.3059962878190137E-2</c:v>
                </c:pt>
                <c:pt idx="1024">
                  <c:v>1.3064655566983508E-2</c:v>
                </c:pt>
                <c:pt idx="1025">
                  <c:v>1.3069343161939887E-2</c:v>
                </c:pt>
                <c:pt idx="1026">
                  <c:v>1.3079176521557006E-2</c:v>
                </c:pt>
                <c:pt idx="1027">
                  <c:v>1.308804259362298E-2</c:v>
                </c:pt>
                <c:pt idx="1028">
                  <c:v>1.3092704711350663E-2</c:v>
                </c:pt>
                <c:pt idx="1029">
                  <c:v>1.3097361731884059E-2</c:v>
                </c:pt>
                <c:pt idx="1030">
                  <c:v>1.3102013654566929E-2</c:v>
                </c:pt>
                <c:pt idx="1031">
                  <c:v>1.311177802708027E-2</c:v>
                </c:pt>
                <c:pt idx="1032">
                  <c:v>1.3120570354823339E-2</c:v>
                </c:pt>
                <c:pt idx="1033">
                  <c:v>1.3125196779271077E-2</c:v>
                </c:pt>
                <c:pt idx="1034">
                  <c:v>1.3129818102271153E-2</c:v>
                </c:pt>
                <c:pt idx="1035">
                  <c:v>1.31344343232808E-2</c:v>
                </c:pt>
                <c:pt idx="1036">
                  <c:v>1.3144129637669323E-2</c:v>
                </c:pt>
                <c:pt idx="1037">
                  <c:v>1.3152848174604532E-2</c:v>
                </c:pt>
                <c:pt idx="1038">
                  <c:v>1.3157438876259139E-2</c:v>
                </c:pt>
                <c:pt idx="1039">
                  <c:v>1.3162024472326214E-2</c:v>
                </c:pt>
                <c:pt idx="1040">
                  <c:v>1.3166604961989566E-2</c:v>
                </c:pt>
                <c:pt idx="1041">
                  <c:v>1.3176231146455247E-2</c:v>
                </c:pt>
                <c:pt idx="1042">
                  <c:v>1.3184875845755499E-2</c:v>
                </c:pt>
                <c:pt idx="1043">
                  <c:v>1.3189430794897586E-2</c:v>
                </c:pt>
                <c:pt idx="1044">
                  <c:v>1.3193980634038807E-2</c:v>
                </c:pt>
                <c:pt idx="1045">
                  <c:v>1.319852536271642E-2</c:v>
                </c:pt>
                <c:pt idx="1046">
                  <c:v>1.3208082344932546E-2</c:v>
                </c:pt>
                <c:pt idx="1047">
                  <c:v>1.3216653159340225E-2</c:v>
                </c:pt>
                <c:pt idx="1048">
                  <c:v>1.3221172325976903E-2</c:v>
                </c:pt>
                <c:pt idx="1049">
                  <c:v>1.3225686378313058E-2</c:v>
                </c:pt>
                <c:pt idx="1050">
                  <c:v>1.3230195315772228E-2</c:v>
                </c:pt>
                <c:pt idx="1051">
                  <c:v>1.3239683022741786E-2</c:v>
                </c:pt>
                <c:pt idx="1052">
                  <c:v>1.3248179904710316E-2</c:v>
                </c:pt>
                <c:pt idx="1053">
                  <c:v>1.3252663258558488E-2</c:v>
                </c:pt>
                <c:pt idx="1054">
                  <c:v>1.3257141493785375E-2</c:v>
                </c:pt>
                <c:pt idx="1055">
                  <c:v>1.3261614609818709E-2</c:v>
                </c:pt>
                <c:pt idx="1056">
                  <c:v>1.3271032967861673E-2</c:v>
                </c:pt>
                <c:pt idx="1057">
                  <c:v>1.3279455869408407E-2</c:v>
                </c:pt>
                <c:pt idx="1058">
                  <c:v>1.3283903380092393E-2</c:v>
                </c:pt>
                <c:pt idx="1059">
                  <c:v>1.3288345767745879E-2</c:v>
                </c:pt>
                <c:pt idx="1060">
                  <c:v>1.3292783031746365E-2</c:v>
                </c:pt>
                <c:pt idx="1061">
                  <c:v>1.3302131966489888E-2</c:v>
                </c:pt>
                <c:pt idx="1062">
                  <c:v>1.331048083952564E-2</c:v>
                </c:pt>
                <c:pt idx="1063">
                  <c:v>1.331489247617737E-2</c:v>
                </c:pt>
                <c:pt idx="1064">
                  <c:v>1.3319298985499063E-2</c:v>
                </c:pt>
                <c:pt idx="1065">
                  <c:v>1.3323700366754258E-2</c:v>
                </c:pt>
                <c:pt idx="1066">
                  <c:v>1.3332979803309589E-2</c:v>
                </c:pt>
                <c:pt idx="1067">
                  <c:v>1.3341254599221888E-2</c:v>
                </c:pt>
                <c:pt idx="1068">
                  <c:v>1.3345630330923135E-2</c:v>
                </c:pt>
                <c:pt idx="1069">
                  <c:v>1.3350000930800876E-2</c:v>
                </c:pt>
                <c:pt idx="1070">
                  <c:v>1.3354366398312629E-2</c:v>
                </c:pt>
                <c:pt idx="1071">
                  <c:v>1.3365998709284945E-2</c:v>
                </c:pt>
                <c:pt idx="1072">
                  <c:v>1.3376128378606153E-2</c:v>
                </c:pt>
                <c:pt idx="1073">
                  <c:v>1.3380493456829312E-2</c:v>
                </c:pt>
                <c:pt idx="1074">
                  <c:v>1.3384864071415276E-2</c:v>
                </c:pt>
                <c:pt idx="1075">
                  <c:v>1.3394122069173215E-2</c:v>
                </c:pt>
                <c:pt idx="1076">
                  <c:v>1.3402401912035025E-2</c:v>
                </c:pt>
                <c:pt idx="1077">
                  <c:v>1.3406800222555108E-2</c:v>
                </c:pt>
                <c:pt idx="1078">
                  <c:v>1.3411204075113438E-2</c:v>
                </c:pt>
                <c:pt idx="1079">
                  <c:v>1.3415613470606463E-2</c:v>
                </c:pt>
                <c:pt idx="1080">
                  <c:v>1.342495134880761E-2</c:v>
                </c:pt>
                <c:pt idx="1081">
                  <c:v>1.3433306501486861E-2</c:v>
                </c:pt>
                <c:pt idx="1082">
                  <c:v>1.3437743626150253E-2</c:v>
                </c:pt>
                <c:pt idx="1083">
                  <c:v>1.344218629958369E-2</c:v>
                </c:pt>
                <c:pt idx="1084">
                  <c:v>1.3446634522649277E-2</c:v>
                </c:pt>
                <c:pt idx="1085">
                  <c:v>1.3456052400461656E-2</c:v>
                </c:pt>
                <c:pt idx="1086">
                  <c:v>1.3464482930844991E-2</c:v>
                </c:pt>
                <c:pt idx="1087">
                  <c:v>1.3468958916582733E-2</c:v>
                </c:pt>
                <c:pt idx="1088">
                  <c:v>1.3473440457805167E-2</c:v>
                </c:pt>
                <c:pt idx="1089">
                  <c:v>1.347792755537436E-2</c:v>
                </c:pt>
                <c:pt idx="1090">
                  <c:v>1.3487425552459398E-2</c:v>
                </c:pt>
                <c:pt idx="1091">
                  <c:v>1.3495931528886396E-2</c:v>
                </c:pt>
                <c:pt idx="1092">
                  <c:v>1.3500446422869392E-2</c:v>
                </c:pt>
                <c:pt idx="1093">
                  <c:v>1.3504966878954526E-2</c:v>
                </c:pt>
                <c:pt idx="1094">
                  <c:v>1.3509492898278174E-2</c:v>
                </c:pt>
                <c:pt idx="1095">
                  <c:v>1.3519071135039022E-2</c:v>
                </c:pt>
                <c:pt idx="1096">
                  <c:v>1.3527652626159615E-2</c:v>
                </c:pt>
                <c:pt idx="1097">
                  <c:v>1.3532206475692749E-2</c:v>
                </c:pt>
                <c:pt idx="1098">
                  <c:v>1.3536765894219807E-2</c:v>
                </c:pt>
                <c:pt idx="1099">
                  <c:v>1.354133088260278E-2</c:v>
                </c:pt>
                <c:pt idx="1100">
                  <c:v>1.355098948020738E-2</c:v>
                </c:pt>
                <c:pt idx="1101">
                  <c:v>1.3559646555181371E-2</c:v>
                </c:pt>
                <c:pt idx="1102">
                  <c:v>1.35642394078439E-2</c:v>
                </c:pt>
                <c:pt idx="1103">
                  <c:v>1.3568837836437463E-2</c:v>
                </c:pt>
                <c:pt idx="1104">
                  <c:v>1.3573441841698839E-2</c:v>
                </c:pt>
                <c:pt idx="1105">
                  <c:v>1.3583180921904905E-2</c:v>
                </c:pt>
                <c:pt idx="1106">
                  <c:v>1.3591913650101706E-2</c:v>
                </c:pt>
                <c:pt idx="1107">
                  <c:v>1.3596545553917856E-2</c:v>
                </c:pt>
                <c:pt idx="1108">
                  <c:v>1.3601183040476974E-2</c:v>
                </c:pt>
                <c:pt idx="1109">
                  <c:v>1.3605826110561031E-2</c:v>
                </c:pt>
                <c:pt idx="1110">
                  <c:v>1.3615645795975403E-2</c:v>
                </c:pt>
                <c:pt idx="1111">
                  <c:v>1.3624454247194252E-2</c:v>
                </c:pt>
                <c:pt idx="1112">
                  <c:v>1.3629125250302916E-2</c:v>
                </c:pt>
                <c:pt idx="1113">
                  <c:v>1.3633801843011639E-2</c:v>
                </c:pt>
                <c:pt idx="1114">
                  <c:v>1.3638484026217155E-2</c:v>
                </c:pt>
                <c:pt idx="1115">
                  <c:v>1.3648384440089633E-2</c:v>
                </c:pt>
                <c:pt idx="1116">
                  <c:v>1.36572686844417E-2</c:v>
                </c:pt>
                <c:pt idx="1117">
                  <c:v>1.3661978835275436E-2</c:v>
                </c:pt>
                <c:pt idx="1118">
                  <c:v>1.3666694582663647E-2</c:v>
                </c:pt>
                <c:pt idx="1119">
                  <c:v>1.3671415927583044E-2</c:v>
                </c:pt>
                <c:pt idx="1120">
                  <c:v>1.3681397193846964E-2</c:v>
                </c:pt>
                <c:pt idx="1121">
                  <c:v>1.3690357301972007E-2</c:v>
                </c:pt>
                <c:pt idx="1122">
                  <c:v>1.3695106649283053E-2</c:v>
                </c:pt>
                <c:pt idx="1123">
                  <c:v>1.3699861600040572E-2</c:v>
                </c:pt>
                <c:pt idx="1124">
                  <c:v>1.3704622155426083E-2</c:v>
                </c:pt>
                <c:pt idx="1125">
                  <c:v>1.3714684398814183E-2</c:v>
                </c:pt>
                <c:pt idx="1126">
                  <c:v>1.3723720441578621E-2</c:v>
                </c:pt>
                <c:pt idx="1127">
                  <c:v>1.3728509034385295E-2</c:v>
                </c:pt>
                <c:pt idx="1128">
                  <c:v>1.3733303237655276E-2</c:v>
                </c:pt>
                <c:pt idx="1129">
                  <c:v>1.3738103052445296E-2</c:v>
                </c:pt>
                <c:pt idx="1130">
                  <c:v>1.3748246398525437E-2</c:v>
                </c:pt>
                <c:pt idx="1131">
                  <c:v>1.3757358447163998E-2</c:v>
                </c:pt>
                <c:pt idx="1132">
                  <c:v>1.3762186334769291E-2</c:v>
                </c:pt>
                <c:pt idx="1133">
                  <c:v>1.3767019839889845E-2</c:v>
                </c:pt>
                <c:pt idx="1134">
                  <c:v>1.377185896362716E-2</c:v>
                </c:pt>
                <c:pt idx="1135">
                  <c:v>1.3782083538390284E-2</c:v>
                </c:pt>
                <c:pt idx="1136">
                  <c:v>1.3791082281684528E-2</c:v>
                </c:pt>
                <c:pt idx="1137">
                  <c:v>1.3795572318111606E-2</c:v>
                </c:pt>
                <c:pt idx="1138">
                  <c:v>1.3800070335185995E-2</c:v>
                </c:pt>
                <c:pt idx="1139">
                  <c:v>1.3804576334364197E-2</c:v>
                </c:pt>
                <c:pt idx="1140">
                  <c:v>1.3814144997503087E-2</c:v>
                </c:pt>
                <c:pt idx="1141">
                  <c:v>1.3822680178947649E-2</c:v>
                </c:pt>
                <c:pt idx="1142">
                  <c:v>1.3827226108815763E-2</c:v>
                </c:pt>
                <c:pt idx="1143">
                  <c:v>1.3831780028941183E-2</c:v>
                </c:pt>
                <c:pt idx="1144">
                  <c:v>1.3836341940745069E-2</c:v>
                </c:pt>
                <c:pt idx="1145">
                  <c:v>1.3848585715201582E-2</c:v>
                </c:pt>
                <c:pt idx="1146">
                  <c:v>1.3859271420664277E-2</c:v>
                </c:pt>
                <c:pt idx="1147">
                  <c:v>1.3863881310569646E-2</c:v>
                </c:pt>
                <c:pt idx="1148">
                  <c:v>1.386849920143934E-2</c:v>
                </c:pt>
                <c:pt idx="1149">
                  <c:v>1.387829664621777E-2</c:v>
                </c:pt>
                <c:pt idx="1150">
                  <c:v>1.3887050804333218E-2</c:v>
                </c:pt>
                <c:pt idx="1151">
                  <c:v>1.3891708721669499E-2</c:v>
                </c:pt>
                <c:pt idx="1152">
                  <c:v>1.3896374648350078E-2</c:v>
                </c:pt>
                <c:pt idx="1153">
                  <c:v>1.3901048585751637E-2</c:v>
                </c:pt>
                <c:pt idx="1154">
                  <c:v>1.3910960676656732E-2</c:v>
                </c:pt>
                <c:pt idx="1155">
                  <c:v>1.39198244707584E-2</c:v>
                </c:pt>
                <c:pt idx="1156">
                  <c:v>1.3924538482734715E-2</c:v>
                </c:pt>
                <c:pt idx="1157">
                  <c:v>1.3929260513665442E-2</c:v>
                </c:pt>
                <c:pt idx="1158">
                  <c:v>1.393399056513149E-2</c:v>
                </c:pt>
                <c:pt idx="1159">
                  <c:v>1.3944017473824471E-2</c:v>
                </c:pt>
                <c:pt idx="1160">
                  <c:v>1.3952991002994559E-2</c:v>
                </c:pt>
                <c:pt idx="1161">
                  <c:v>1.3957761177494426E-2</c:v>
                </c:pt>
                <c:pt idx="1162">
                  <c:v>1.3962539380683075E-2</c:v>
                </c:pt>
                <c:pt idx="1163">
                  <c:v>1.3967325614097144E-2</c:v>
                </c:pt>
                <c:pt idx="1164">
                  <c:v>1.3977467513201362E-2</c:v>
                </c:pt>
                <c:pt idx="1165">
                  <c:v>1.3986550877238612E-2</c:v>
                </c:pt>
                <c:pt idx="1166">
                  <c:v>1.3991377282269768E-2</c:v>
                </c:pt>
                <c:pt idx="1167">
                  <c:v>1.3996211726079523E-2</c:v>
                </c:pt>
                <c:pt idx="1168">
                  <c:v>1.4001054209689143E-2</c:v>
                </c:pt>
                <c:pt idx="1169">
                  <c:v>1.4014018859624994E-2</c:v>
                </c:pt>
                <c:pt idx="1170">
                  <c:v>1.4025387276535089E-2</c:v>
                </c:pt>
                <c:pt idx="1171">
                  <c:v>1.4030278029453253E-2</c:v>
                </c:pt>
                <c:pt idx="1172">
                  <c:v>1.4035176832261149E-2</c:v>
                </c:pt>
                <c:pt idx="1173">
                  <c:v>1.4045549234688448E-2</c:v>
                </c:pt>
                <c:pt idx="1174">
                  <c:v>1.4054852569460673E-2</c:v>
                </c:pt>
                <c:pt idx="1175">
                  <c:v>1.4059791642366837E-2</c:v>
                </c:pt>
                <c:pt idx="1176">
                  <c:v>1.4064738773635977E-2</c:v>
                </c:pt>
                <c:pt idx="1177">
                  <c:v>1.4069693964529083E-2</c:v>
                </c:pt>
                <c:pt idx="1178">
                  <c:v>1.4080181882025054E-2</c:v>
                </c:pt>
                <c:pt idx="1179">
                  <c:v>1.4089595353870081E-2</c:v>
                </c:pt>
                <c:pt idx="1180">
                  <c:v>1.4094590864670593E-2</c:v>
                </c:pt>
                <c:pt idx="1181">
                  <c:v>1.4099594443826108E-2</c:v>
                </c:pt>
                <c:pt idx="1182">
                  <c:v>1.410460609251764E-2</c:v>
                </c:pt>
                <c:pt idx="1183">
                  <c:v>1.4115209702057733E-2</c:v>
                </c:pt>
                <c:pt idx="1184">
                  <c:v>1.412473341296795E-2</c:v>
                </c:pt>
                <c:pt idx="1185">
                  <c:v>1.4129785431615893E-2</c:v>
                </c:pt>
                <c:pt idx="1186">
                  <c:v>1.4134845528512862E-2</c:v>
                </c:pt>
                <c:pt idx="1187">
                  <c:v>1.4139913705115782E-2</c:v>
                </c:pt>
                <c:pt idx="1188">
                  <c:v>1.4150633184763357E-2</c:v>
                </c:pt>
                <c:pt idx="1189">
                  <c:v>1.4160267237335416E-2</c:v>
                </c:pt>
                <c:pt idx="1190">
                  <c:v>1.4168212968725996E-2</c:v>
                </c:pt>
                <c:pt idx="1191">
                  <c:v>1.4175617293916703E-2</c:v>
                </c:pt>
                <c:pt idx="1192">
                  <c:v>1.4186452823086977E-2</c:v>
                </c:pt>
                <c:pt idx="1193">
                  <c:v>1.4196197320319738E-2</c:v>
                </c:pt>
                <c:pt idx="1194">
                  <c:v>1.4201362565915521E-2</c:v>
                </c:pt>
                <c:pt idx="1195">
                  <c:v>1.4206535909984108E-2</c:v>
                </c:pt>
                <c:pt idx="1196">
                  <c:v>1.4211717353982514E-2</c:v>
                </c:pt>
                <c:pt idx="1197">
                  <c:v>1.4222669112999145E-2</c:v>
                </c:pt>
                <c:pt idx="1198">
                  <c:v>1.4233205863114601E-2</c:v>
                </c:pt>
                <c:pt idx="1199">
                  <c:v>1.4239751366529324E-2</c:v>
                </c:pt>
                <c:pt idx="1200">
                  <c:v>1.4249748217678488E-2</c:v>
                </c:pt>
                <c:pt idx="1201">
                  <c:v>1.4265964294573863E-2</c:v>
                </c:pt>
                <c:pt idx="1202">
                  <c:v>1.4277938303901548E-2</c:v>
                </c:pt>
                <c:pt idx="1203">
                  <c:v>1.428412170569671E-2</c:v>
                </c:pt>
                <c:pt idx="1204">
                  <c:v>1.4290253346966861E-2</c:v>
                </c:pt>
                <c:pt idx="1205">
                  <c:v>1.4296333219656737E-2</c:v>
                </c:pt>
                <c:pt idx="1206">
                  <c:v>1.4308889060127682E-2</c:v>
                </c:pt>
                <c:pt idx="1207">
                  <c:v>1.4320134866070542E-2</c:v>
                </c:pt>
                <c:pt idx="1208">
                  <c:v>1.4325955776539593E-2</c:v>
                </c:pt>
                <c:pt idx="1209">
                  <c:v>1.4331724870462173E-2</c:v>
                </c:pt>
                <c:pt idx="1210">
                  <c:v>1.4337442139924618E-2</c:v>
                </c:pt>
                <c:pt idx="1211">
                  <c:v>1.4349275801438919E-2</c:v>
                </c:pt>
                <c:pt idx="1212">
                  <c:v>1.4359792811717969E-2</c:v>
                </c:pt>
                <c:pt idx="1213">
                  <c:v>1.4365250837824448E-2</c:v>
                </c:pt>
                <c:pt idx="1214">
                  <c:v>1.4370656991114079E-2</c:v>
                </c:pt>
                <c:pt idx="1215">
                  <c:v>1.4376011263415008E-2</c:v>
                </c:pt>
                <c:pt idx="1216">
                  <c:v>1.4387121762818573E-2</c:v>
                </c:pt>
                <c:pt idx="1217">
                  <c:v>1.4396909380811588E-2</c:v>
                </c:pt>
                <c:pt idx="1218">
                  <c:v>1.440200412664141E-2</c:v>
                </c:pt>
                <c:pt idx="1219">
                  <c:v>1.4407046942641579E-2</c:v>
                </c:pt>
                <c:pt idx="1220">
                  <c:v>1.4420260615080113E-2</c:v>
                </c:pt>
                <c:pt idx="1221">
                  <c:v>1.4431481792229889E-2</c:v>
                </c:pt>
                <c:pt idx="1222">
                  <c:v>1.4436212858803773E-2</c:v>
                </c:pt>
                <c:pt idx="1223">
                  <c:v>1.4440891938412165E-2</c:v>
                </c:pt>
                <c:pt idx="1224">
                  <c:v>1.4492825604677292E-2</c:v>
                </c:pt>
                <c:pt idx="1225">
                  <c:v>1.4503188383769803E-2</c:v>
                </c:pt>
                <c:pt idx="1226">
                  <c:v>1.450757861451339E-2</c:v>
                </c:pt>
                <c:pt idx="1227">
                  <c:v>1.4511916371782126E-2</c:v>
                </c:pt>
                <c:pt idx="1228">
                  <c:v>1.4516201647041413E-2</c:v>
                </c:pt>
                <c:pt idx="1229">
                  <c:v>1.452518323499169E-2</c:v>
                </c:pt>
                <c:pt idx="1230">
                  <c:v>1.4532817762005367E-2</c:v>
                </c:pt>
                <c:pt idx="1231">
                  <c:v>1.453684050246146E-2</c:v>
                </c:pt>
                <c:pt idx="1232">
                  <c:v>1.4540810710548403E-2</c:v>
                </c:pt>
                <c:pt idx="1233">
                  <c:v>1.4544728378333928E-2</c:v>
                </c:pt>
                <c:pt idx="1234">
                  <c:v>1.455514240531702E-2</c:v>
                </c:pt>
                <c:pt idx="1235">
                  <c:v>1.4563528314346534E-2</c:v>
                </c:pt>
                <c:pt idx="1236">
                  <c:v>1.4567130562201878E-2</c:v>
                </c:pt>
                <c:pt idx="1237">
                  <c:v>1.4570680210541804E-2</c:v>
                </c:pt>
                <c:pt idx="1238">
                  <c:v>1.4578194437406097E-2</c:v>
                </c:pt>
                <c:pt idx="1239">
                  <c:v>1.458435264028551E-2</c:v>
                </c:pt>
                <c:pt idx="1240">
                  <c:v>1.4587639164542917E-2</c:v>
                </c:pt>
                <c:pt idx="1241">
                  <c:v>1.4590873038346991E-2</c:v>
                </c:pt>
                <c:pt idx="1242">
                  <c:v>1.459405425364285E-2</c:v>
                </c:pt>
                <c:pt idx="1243">
                  <c:v>1.4600833251296292E-2</c:v>
                </c:pt>
                <c:pt idx="1244">
                  <c:v>1.4606252357689697E-2</c:v>
                </c:pt>
                <c:pt idx="1245">
                  <c:v>1.4609170151851307E-2</c:v>
                </c:pt>
                <c:pt idx="1246">
                  <c:v>1.4612035236425571E-2</c:v>
                </c:pt>
                <c:pt idx="1247">
                  <c:v>1.4614847602760708E-2</c:v>
                </c:pt>
                <c:pt idx="1248">
                  <c:v>1.4620890331880907E-2</c:v>
                </c:pt>
                <c:pt idx="1249">
                  <c:v>1.4625569715158649E-2</c:v>
                </c:pt>
                <c:pt idx="1250">
                  <c:v>1.4628118362456536E-2</c:v>
                </c:pt>
                <c:pt idx="1251">
                  <c:v>1.4630614240196339E-2</c:v>
                </c:pt>
                <c:pt idx="1252">
                  <c:v>1.463305734000348E-2</c:v>
                </c:pt>
                <c:pt idx="1253">
                  <c:v>1.4639794054747187E-2</c:v>
                </c:pt>
                <c:pt idx="1254">
                  <c:v>1.4644480869561091E-2</c:v>
                </c:pt>
                <c:pt idx="1255">
                  <c:v>1.4646607121540263E-2</c:v>
                </c:pt>
                <c:pt idx="1256">
                  <c:v>1.4648680535616007E-2</c:v>
                </c:pt>
                <c:pt idx="1257">
                  <c:v>1.4653247591765728E-2</c:v>
                </c:pt>
                <c:pt idx="1258">
                  <c:v>1.4656445640495104E-2</c:v>
                </c:pt>
                <c:pt idx="1259">
                  <c:v>1.4659181734331292E-2</c:v>
                </c:pt>
                <c:pt idx="1260">
                  <c:v>1.4662822754531941E-2</c:v>
                </c:pt>
                <c:pt idx="1261">
                  <c:v>1.4666457108554364E-2</c:v>
                </c:pt>
                <c:pt idx="1262">
                  <c:v>1.4674301702938644E-2</c:v>
                </c:pt>
                <c:pt idx="1263">
                  <c:v>1.4680927841246484E-2</c:v>
                </c:pt>
                <c:pt idx="1264">
                  <c:v>1.4684528848574111E-2</c:v>
                </c:pt>
                <c:pt idx="1265">
                  <c:v>1.4688123183568449E-2</c:v>
                </c:pt>
                <c:pt idx="1266">
                  <c:v>1.4691710845091611E-2</c:v>
                </c:pt>
                <c:pt idx="1267">
                  <c:v>1.4699464083972328E-2</c:v>
                </c:pt>
                <c:pt idx="1268">
                  <c:v>1.470599473724069E-2</c:v>
                </c:pt>
                <c:pt idx="1269">
                  <c:v>1.4709549016671462E-2</c:v>
                </c:pt>
                <c:pt idx="1270">
                  <c:v>1.4713096616570016E-2</c:v>
                </c:pt>
                <c:pt idx="1271">
                  <c:v>1.4716637535963004E-2</c:v>
                </c:pt>
                <c:pt idx="1272">
                  <c:v>1.4724299296205726E-2</c:v>
                </c:pt>
                <c:pt idx="1273">
                  <c:v>1.4730734387808838E-2</c:v>
                </c:pt>
                <c:pt idx="1274">
                  <c:v>1.47342418893028E-2</c:v>
                </c:pt>
                <c:pt idx="1275">
                  <c:v>1.4737742703976237E-2</c:v>
                </c:pt>
                <c:pt idx="1276">
                  <c:v>1.4741236831048632E-2</c:v>
                </c:pt>
                <c:pt idx="1277">
                  <c:v>1.4748806989039286E-2</c:v>
                </c:pt>
                <c:pt idx="1278">
                  <c:v>1.4755146441791846E-2</c:v>
                </c:pt>
                <c:pt idx="1279">
                  <c:v>1.475860711505508E-2</c:v>
                </c:pt>
                <c:pt idx="1280">
                  <c:v>1.4762061094402338E-2</c:v>
                </c:pt>
                <c:pt idx="1281">
                  <c:v>1.4765508378695636E-2</c:v>
                </c:pt>
                <c:pt idx="1282">
                  <c:v>1.477298680993306E-2</c:v>
                </c:pt>
                <c:pt idx="1283">
                  <c:v>1.4779230546577614E-2</c:v>
                </c:pt>
                <c:pt idx="1284">
                  <c:v>1.4782644340949532E-2</c:v>
                </c:pt>
                <c:pt idx="1285">
                  <c:v>1.4786051434192336E-2</c:v>
                </c:pt>
                <c:pt idx="1286">
                  <c:v>1.4789451825285767E-2</c:v>
                </c:pt>
                <c:pt idx="1287">
                  <c:v>1.4796838404604148E-2</c:v>
                </c:pt>
                <c:pt idx="1288">
                  <c:v>1.4802986347348867E-2</c:v>
                </c:pt>
                <c:pt idx="1289">
                  <c:v>1.4806353212051166E-2</c:v>
                </c:pt>
                <c:pt idx="1290">
                  <c:v>1.4809713368449029E-2</c:v>
                </c:pt>
                <c:pt idx="1291">
                  <c:v>1.481306681524454E-2</c:v>
                </c:pt>
                <c:pt idx="1292">
                  <c:v>1.4820361416997007E-2</c:v>
                </c:pt>
                <c:pt idx="1293">
                  <c:v>1.4826413487651804E-2</c:v>
                </c:pt>
                <c:pt idx="1294">
                  <c:v>1.4829733371704215E-2</c:v>
                </c:pt>
                <c:pt idx="1295">
                  <c:v>1.4833046539999185E-2</c:v>
                </c:pt>
                <c:pt idx="1296">
                  <c:v>1.4836352991516515E-2</c:v>
                </c:pt>
                <c:pt idx="1297">
                  <c:v>1.4843555489125009E-2</c:v>
                </c:pt>
                <c:pt idx="1298">
                  <c:v>1.4849511609231964E-2</c:v>
                </c:pt>
                <c:pt idx="1299">
                  <c:v>1.4852784461216639E-2</c:v>
                </c:pt>
                <c:pt idx="1300">
                  <c:v>1.4856050590188671E-2</c:v>
                </c:pt>
                <c:pt idx="1301">
                  <c:v>1.4859309995009959E-2</c:v>
                </c:pt>
                <c:pt idx="1302">
                  <c:v>1.4866420261333928E-2</c:v>
                </c:pt>
                <c:pt idx="1303">
                  <c:v>1.4872280352123056E-2</c:v>
                </c:pt>
                <c:pt idx="1304">
                  <c:v>1.4875506120490718E-2</c:v>
                </c:pt>
                <c:pt idx="1305">
                  <c:v>1.4878725158411699E-2</c:v>
                </c:pt>
                <c:pt idx="1306">
                  <c:v>1.488193746490774E-2</c:v>
                </c:pt>
                <c:pt idx="1307">
                  <c:v>1.4888955372206206E-2</c:v>
                </c:pt>
                <c:pt idx="1308">
                  <c:v>1.4894719354454525E-2</c:v>
                </c:pt>
                <c:pt idx="1309">
                  <c:v>1.4897897987336199E-2</c:v>
                </c:pt>
                <c:pt idx="1310">
                  <c:v>1.490106988247797E-2</c:v>
                </c:pt>
                <c:pt idx="1311">
                  <c:v>1.4904235038619922E-2</c:v>
                </c:pt>
                <c:pt idx="1312">
                  <c:v>1.491116045853428E-2</c:v>
                </c:pt>
                <c:pt idx="1313">
                  <c:v>1.4916828252611531E-2</c:v>
                </c:pt>
                <c:pt idx="1314">
                  <c:v>1.49199596981896E-2</c:v>
                </c:pt>
                <c:pt idx="1315">
                  <c:v>1.4923084398372973E-2</c:v>
                </c:pt>
                <c:pt idx="1316">
                  <c:v>1.49262023521034E-2</c:v>
                </c:pt>
                <c:pt idx="1317">
                  <c:v>1.4933035155443046E-2</c:v>
                </c:pt>
                <c:pt idx="1318">
                  <c:v>1.4938606681666907E-2</c:v>
                </c:pt>
                <c:pt idx="1319">
                  <c:v>1.4941690887362524E-2</c:v>
                </c:pt>
                <c:pt idx="1320">
                  <c:v>1.4944768340210296E-2</c:v>
                </c:pt>
                <c:pt idx="1321">
                  <c:v>1.4947839039110233E-2</c:v>
                </c:pt>
                <c:pt idx="1322">
                  <c:v>1.4954579096339382E-2</c:v>
                </c:pt>
                <c:pt idx="1323">
                  <c:v>1.4959979771289824E-2</c:v>
                </c:pt>
                <c:pt idx="1324">
                  <c:v>1.4962880513811221E-2</c:v>
                </c:pt>
                <c:pt idx="1325">
                  <c:v>1.49657937518668E-2</c:v>
                </c:pt>
                <c:pt idx="1326">
                  <c:v>1.4968719487435824E-2</c:v>
                </c:pt>
                <c:pt idx="1327">
                  <c:v>1.497703087305796E-2</c:v>
                </c:pt>
                <c:pt idx="1328">
                  <c:v>1.498353570289513E-2</c:v>
                </c:pt>
                <c:pt idx="1329">
                  <c:v>1.4986536468446377E-2</c:v>
                </c:pt>
                <c:pt idx="1330">
                  <c:v>1.498954974639833E-2</c:v>
                </c:pt>
                <c:pt idx="1331">
                  <c:v>1.4996242664508195E-2</c:v>
                </c:pt>
                <c:pt idx="1332">
                  <c:v>1.5001728025019076E-2</c:v>
                </c:pt>
                <c:pt idx="1333">
                  <c:v>1.5004803897060947E-2</c:v>
                </c:pt>
                <c:pt idx="1334">
                  <c:v>1.5007892294274114E-2</c:v>
                </c:pt>
                <c:pt idx="1335">
                  <c:v>1.5010993218995915E-2</c:v>
                </c:pt>
                <c:pt idx="1336">
                  <c:v>1.5017863282737272E-2</c:v>
                </c:pt>
                <c:pt idx="1337">
                  <c:v>1.5023522233861509E-2</c:v>
                </c:pt>
                <c:pt idx="1338">
                  <c:v>1.5026685827563706E-2</c:v>
                </c:pt>
                <c:pt idx="1339">
                  <c:v>1.5029861961244576E-2</c:v>
                </c:pt>
                <c:pt idx="1340">
                  <c:v>1.5033050637442849E-2</c:v>
                </c:pt>
                <c:pt idx="1341">
                  <c:v>1.5040098110531164E-2</c:v>
                </c:pt>
                <c:pt idx="1342">
                  <c:v>1.5045930808452603E-2</c:v>
                </c:pt>
                <c:pt idx="1343">
                  <c:v>1.5049182228790387E-2</c:v>
                </c:pt>
                <c:pt idx="1344">
                  <c:v>1.505244620411559E-2</c:v>
                </c:pt>
                <c:pt idx="1345">
                  <c:v>1.5055722737005412E-2</c:v>
                </c:pt>
                <c:pt idx="1346">
                  <c:v>1.5062947884362604E-2</c:v>
                </c:pt>
                <c:pt idx="1347">
                  <c:v>1.506895448598191E-2</c:v>
                </c:pt>
                <c:pt idx="1348">
                  <c:v>1.5072293838291759E-2</c:v>
                </c:pt>
                <c:pt idx="1349">
                  <c:v>1.5075645761115884E-2</c:v>
                </c:pt>
                <c:pt idx="1350">
                  <c:v>1.5079010256433408E-2</c:v>
                </c:pt>
                <c:pt idx="1351">
                  <c:v>1.5088432870284994E-2</c:v>
                </c:pt>
                <c:pt idx="1352">
                  <c:v>1.5096021397094341E-2</c:v>
                </c:pt>
                <c:pt idx="1353">
                  <c:v>1.5099461373233451E-2</c:v>
                </c:pt>
                <c:pt idx="1354">
                  <c:v>1.510291393723298E-2</c:v>
                </c:pt>
                <c:pt idx="1355">
                  <c:v>1.5110495232527969E-2</c:v>
                </c:pt>
                <c:pt idx="1356">
                  <c:v>1.5116850113845698E-2</c:v>
                </c:pt>
                <c:pt idx="1357">
                  <c:v>1.5120365649223666E-2</c:v>
                </c:pt>
                <c:pt idx="1358">
                  <c:v>1.5123893785411709E-2</c:v>
                </c:pt>
                <c:pt idx="1359">
                  <c:v>1.5127434524628692E-2</c:v>
                </c:pt>
                <c:pt idx="1360">
                  <c:v>1.5135194296283822E-2</c:v>
                </c:pt>
                <c:pt idx="1361">
                  <c:v>1.51417235551475E-2</c:v>
                </c:pt>
                <c:pt idx="1362">
                  <c:v>1.5145327342341008E-2</c:v>
                </c:pt>
                <c:pt idx="1363">
                  <c:v>1.5148943745513085E-2</c:v>
                </c:pt>
                <c:pt idx="1364">
                  <c:v>1.5152572767076341E-2</c:v>
                </c:pt>
                <c:pt idx="1365">
                  <c:v>1.5160511285135821E-2</c:v>
                </c:pt>
                <c:pt idx="1366">
                  <c:v>1.516721508099768E-2</c:v>
                </c:pt>
                <c:pt idx="1367">
                  <c:v>1.517090722727125E-2</c:v>
                </c:pt>
                <c:pt idx="1368">
                  <c:v>1.5174612005270776E-2</c:v>
                </c:pt>
                <c:pt idx="1369">
                  <c:v>1.5178329416854191E-2</c:v>
                </c:pt>
                <c:pt idx="1370">
                  <c:v>1.5186446952507949E-2</c:v>
                </c:pt>
                <c:pt idx="1371">
                  <c:v>1.5193325445273227E-2</c:v>
                </c:pt>
                <c:pt idx="1372">
                  <c:v>1.51971060589305E-2</c:v>
                </c:pt>
                <c:pt idx="1373">
                  <c:v>1.5200899319520997E-2</c:v>
                </c:pt>
                <c:pt idx="1374">
                  <c:v>1.5204705229503301E-2</c:v>
                </c:pt>
                <c:pt idx="1375">
                  <c:v>1.521300205542617E-2</c:v>
                </c:pt>
                <c:pt idx="1376">
                  <c:v>1.5220055405833328E-2</c:v>
                </c:pt>
                <c:pt idx="1377">
                  <c:v>1.5223924595366967E-2</c:v>
                </c:pt>
                <c:pt idx="1378">
                  <c:v>1.5227806447401911E-2</c:v>
                </c:pt>
                <c:pt idx="1379">
                  <c:v>1.5231700964275776E-2</c:v>
                </c:pt>
                <c:pt idx="1380">
                  <c:v>1.5240177354555537E-2</c:v>
                </c:pt>
                <c:pt idx="1381">
                  <c:v>1.5247405724248257E-2</c:v>
                </c:pt>
                <c:pt idx="1382">
                  <c:v>1.5251363598671578E-2</c:v>
                </c:pt>
                <c:pt idx="1383">
                  <c:v>1.5255334151203221E-2</c:v>
                </c:pt>
                <c:pt idx="1384">
                  <c:v>1.5259317384221762E-2</c:v>
                </c:pt>
                <c:pt idx="1385">
                  <c:v>1.5267973614464282E-2</c:v>
                </c:pt>
                <c:pt idx="1386">
                  <c:v>1.5274951433796702E-2</c:v>
                </c:pt>
                <c:pt idx="1387">
                  <c:v>1.5278148917439447E-2</c:v>
                </c:pt>
                <c:pt idx="1388">
                  <c:v>1.5281362513144102E-2</c:v>
                </c:pt>
                <c:pt idx="1389">
                  <c:v>1.528459222364803E-2</c:v>
                </c:pt>
                <c:pt idx="1390">
                  <c:v>1.5291754877661341E-2</c:v>
                </c:pt>
                <c:pt idx="1391">
                  <c:v>1.5297672268934916E-2</c:v>
                </c:pt>
                <c:pt idx="1392">
                  <c:v>1.5300982595103202E-2</c:v>
                </c:pt>
                <c:pt idx="1393">
                  <c:v>1.5304309052857349E-2</c:v>
                </c:pt>
                <c:pt idx="1394">
                  <c:v>1.5307651644895609E-2</c:v>
                </c:pt>
                <c:pt idx="1395">
                  <c:v>1.5317066276472389E-2</c:v>
                </c:pt>
                <c:pt idx="1396">
                  <c:v>1.5324606718560665E-2</c:v>
                </c:pt>
                <c:pt idx="1397">
                  <c:v>1.532804617568468E-2</c:v>
                </c:pt>
                <c:pt idx="1398">
                  <c:v>1.5331501786757063E-2</c:v>
                </c:pt>
                <c:pt idx="1399">
                  <c:v>1.5339120402631841E-2</c:v>
                </c:pt>
                <c:pt idx="1400">
                  <c:v>1.5345485827322579E-2</c:v>
                </c:pt>
                <c:pt idx="1401">
                  <c:v>1.5349022250561738E-2</c:v>
                </c:pt>
                <c:pt idx="1402">
                  <c:v>1.535257484485557E-2</c:v>
                </c:pt>
                <c:pt idx="1403">
                  <c:v>1.535614361278166E-2</c:v>
                </c:pt>
                <c:pt idx="1404">
                  <c:v>1.5363990729308287E-2</c:v>
                </c:pt>
                <c:pt idx="1405">
                  <c:v>1.5370580478724374E-2</c:v>
                </c:pt>
                <c:pt idx="1406">
                  <c:v>1.5374230157838382E-2</c:v>
                </c:pt>
                <c:pt idx="1407">
                  <c:v>1.537789602785085E-2</c:v>
                </c:pt>
                <c:pt idx="1408">
                  <c:v>1.5381578091220132E-2</c:v>
                </c:pt>
                <c:pt idx="1409">
                  <c:v>1.5389654057146082E-2</c:v>
                </c:pt>
                <c:pt idx="1410">
                  <c:v>1.5396468337855832E-2</c:v>
                </c:pt>
                <c:pt idx="1411">
                  <c:v>1.5400231411953088E-2</c:v>
                </c:pt>
                <c:pt idx="1412">
                  <c:v>1.5404010696753269E-2</c:v>
                </c:pt>
                <c:pt idx="1413">
                  <c:v>1.5407806194993899E-2</c:v>
                </c:pt>
                <c:pt idx="1414">
                  <c:v>1.5416111360585859E-2</c:v>
                </c:pt>
                <c:pt idx="1415">
                  <c:v>1.5423150380276274E-2</c:v>
                </c:pt>
                <c:pt idx="1416">
                  <c:v>1.542702698898538E-2</c:v>
                </c:pt>
                <c:pt idx="1417">
                  <c:v>1.5430919828321201E-2</c:v>
                </c:pt>
                <c:pt idx="1418">
                  <c:v>1.5434828901301574E-2</c:v>
                </c:pt>
                <c:pt idx="1419">
                  <c:v>1.5445676714172019E-2</c:v>
                </c:pt>
                <c:pt idx="1420">
                  <c:v>1.5454617869690462E-2</c:v>
                </c:pt>
                <c:pt idx="1421">
                  <c:v>1.5458624404229652E-2</c:v>
                </c:pt>
                <c:pt idx="1422">
                  <c:v>1.5462647192577035E-2</c:v>
                </c:pt>
                <c:pt idx="1423">
                  <c:v>1.5471411816347154E-2</c:v>
                </c:pt>
                <c:pt idx="1424">
                  <c:v>1.547890094004498E-2</c:v>
                </c:pt>
                <c:pt idx="1425">
                  <c:v>1.5483005039979925E-2</c:v>
                </c:pt>
                <c:pt idx="1426">
                  <c:v>1.5487125410904377E-2</c:v>
                </c:pt>
                <c:pt idx="1427">
                  <c:v>1.5491262055855914E-2</c:v>
                </c:pt>
                <c:pt idx="1428">
                  <c:v>1.5500256941835329E-2</c:v>
                </c:pt>
                <c:pt idx="1429">
                  <c:v>1.5507971432618154E-2</c:v>
                </c:pt>
                <c:pt idx="1430">
                  <c:v>1.5512189490596091E-2</c:v>
                </c:pt>
                <c:pt idx="1431">
                  <c:v>1.5516423839952203E-2</c:v>
                </c:pt>
                <c:pt idx="1432">
                  <c:v>1.5520674483544343E-2</c:v>
                </c:pt>
                <c:pt idx="1433">
                  <c:v>1.5529899989693336E-2</c:v>
                </c:pt>
                <c:pt idx="1434">
                  <c:v>1.5537840058985411E-2</c:v>
                </c:pt>
                <c:pt idx="1435">
                  <c:v>1.5542172217542269E-2</c:v>
                </c:pt>
                <c:pt idx="1436">
                  <c:v>1.5546520688080946E-2</c:v>
                </c:pt>
                <c:pt idx="1437">
                  <c:v>1.5550885473179276E-2</c:v>
                </c:pt>
                <c:pt idx="1438">
                  <c:v>1.5560341959410032E-2</c:v>
                </c:pt>
                <c:pt idx="1439">
                  <c:v>1.5568507819641355E-2</c:v>
                </c:pt>
                <c:pt idx="1440">
                  <c:v>1.5572954222242483E-2</c:v>
                </c:pt>
                <c:pt idx="1441">
                  <c:v>1.5579993611476495E-2</c:v>
                </c:pt>
                <c:pt idx="1442">
                  <c:v>1.5591583855868228E-2</c:v>
                </c:pt>
                <c:pt idx="1443">
                  <c:v>1.5599975720481444E-2</c:v>
                </c:pt>
                <c:pt idx="1444">
                  <c:v>1.5604536511351404E-2</c:v>
                </c:pt>
                <c:pt idx="1445">
                  <c:v>1.5609113655290276E-2</c:v>
                </c:pt>
                <c:pt idx="1446">
                  <c:v>1.5613707155035848E-2</c:v>
                </c:pt>
                <c:pt idx="1447">
                  <c:v>1.5623626689532988E-2</c:v>
                </c:pt>
                <c:pt idx="1448">
                  <c:v>1.5632244773116422E-2</c:v>
                </c:pt>
                <c:pt idx="1449">
                  <c:v>1.5636085723788939E-2</c:v>
                </c:pt>
                <c:pt idx="1450">
                  <c:v>1.5641002399617909E-2</c:v>
                </c:pt>
                <c:pt idx="1451">
                  <c:v>1.5649167289676136E-2</c:v>
                </c:pt>
                <c:pt idx="1452">
                  <c:v>1.5654903667791983E-2</c:v>
                </c:pt>
                <c:pt idx="1453">
                  <c:v>1.5658177422983928E-2</c:v>
                </c:pt>
                <c:pt idx="1454">
                  <c:v>1.5661490462501641E-2</c:v>
                </c:pt>
                <c:pt idx="1455">
                  <c:v>1.5664842793319596E-2</c:v>
                </c:pt>
                <c:pt idx="1456">
                  <c:v>1.5672360696656115E-2</c:v>
                </c:pt>
                <c:pt idx="1457">
                  <c:v>1.5678645167438214E-2</c:v>
                </c:pt>
                <c:pt idx="1458">
                  <c:v>1.5682194058144538E-2</c:v>
                </c:pt>
                <c:pt idx="1459">
                  <c:v>1.5685782281617867E-2</c:v>
                </c:pt>
                <c:pt idx="1460">
                  <c:v>1.5689409844832702E-2</c:v>
                </c:pt>
                <c:pt idx="1461">
                  <c:v>1.5697480562896545E-2</c:v>
                </c:pt>
                <c:pt idx="1462">
                  <c:v>1.5704313632636593E-2</c:v>
                </c:pt>
                <c:pt idx="1463">
                  <c:v>1.5708137998015945E-2</c:v>
                </c:pt>
                <c:pt idx="1464">
                  <c:v>1.5712001744783502E-2</c:v>
                </c:pt>
                <c:pt idx="1465">
                  <c:v>1.5715904879873607E-2</c:v>
                </c:pt>
                <c:pt idx="1466">
                  <c:v>1.5724529264363525E-2</c:v>
                </c:pt>
                <c:pt idx="1467">
                  <c:v>1.5731911441629647E-2</c:v>
                </c:pt>
                <c:pt idx="1468">
                  <c:v>1.5736011622389596E-2</c:v>
                </c:pt>
                <c:pt idx="1469">
                  <c:v>1.5740151233358573E-2</c:v>
                </c:pt>
                <c:pt idx="1470">
                  <c:v>1.5744330281351269E-2</c:v>
                </c:pt>
                <c:pt idx="1471">
                  <c:v>1.5753509188635488E-2</c:v>
                </c:pt>
                <c:pt idx="1472">
                  <c:v>1.5761440984445672E-2</c:v>
                </c:pt>
                <c:pt idx="1473">
                  <c:v>1.5765817323012167E-2</c:v>
                </c:pt>
                <c:pt idx="1474">
                  <c:v>1.5770233140728698E-2</c:v>
                </c:pt>
                <c:pt idx="1475">
                  <c:v>1.5774688444769345E-2</c:v>
                </c:pt>
                <c:pt idx="1476">
                  <c:v>1.578442273577264E-2</c:v>
                </c:pt>
                <c:pt idx="1477">
                  <c:v>1.5792904663542745E-2</c:v>
                </c:pt>
                <c:pt idx="1478">
                  <c:v>1.5797557504140608E-2</c:v>
                </c:pt>
                <c:pt idx="1479">
                  <c:v>1.5802249873348745E-2</c:v>
                </c:pt>
                <c:pt idx="1480">
                  <c:v>1.5806981778141802E-2</c:v>
                </c:pt>
                <c:pt idx="1481">
                  <c:v>1.5817272318851317E-2</c:v>
                </c:pt>
                <c:pt idx="1482">
                  <c:v>1.5826304894768582E-2</c:v>
                </c:pt>
                <c:pt idx="1483">
                  <c:v>1.5831234583740552E-2</c:v>
                </c:pt>
                <c:pt idx="1484">
                  <c:v>1.5836203850903376E-2</c:v>
                </c:pt>
                <c:pt idx="1485">
                  <c:v>1.5841212703271178E-2</c:v>
                </c:pt>
                <c:pt idx="1486">
                  <c:v>1.5854980133569507E-2</c:v>
                </c:pt>
                <c:pt idx="1487">
                  <c:v>1.586685099356196E-2</c:v>
                </c:pt>
                <c:pt idx="1488">
                  <c:v>1.5872097507350455E-2</c:v>
                </c:pt>
                <c:pt idx="1489">
                  <c:v>1.587738365630394E-2</c:v>
                </c:pt>
                <c:pt idx="1490">
                  <c:v>1.5888789315977384E-2</c:v>
                </c:pt>
                <c:pt idx="1491">
                  <c:v>1.5898924747934376E-2</c:v>
                </c:pt>
                <c:pt idx="1492">
                  <c:v>1.5904409180767343E-2</c:v>
                </c:pt>
                <c:pt idx="1493">
                  <c:v>1.5909933291850819E-2</c:v>
                </c:pt>
                <c:pt idx="1494">
                  <c:v>1.5915497088479329E-2</c:v>
                </c:pt>
                <c:pt idx="1495">
                  <c:v>1.5927461628874359E-2</c:v>
                </c:pt>
                <c:pt idx="1496">
                  <c:v>1.5938149274845988E-2</c:v>
                </c:pt>
                <c:pt idx="1497">
                  <c:v>1.5943911607611834E-2</c:v>
                </c:pt>
                <c:pt idx="1498">
                  <c:v>1.5949713669168138E-2</c:v>
                </c:pt>
                <c:pt idx="1499">
                  <c:v>1.5955555466928565E-2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6.2459984503117428E-3</c:v>
                </c:pt>
                <c:pt idx="2">
                  <c:v>6.2460000000002661E-3</c:v>
                </c:pt>
                <c:pt idx="3">
                  <c:v>6.2460023614303974E-3</c:v>
                </c:pt>
                <c:pt idx="4">
                  <c:v>6.2460047228605287E-3</c:v>
                </c:pt>
                <c:pt idx="5">
                  <c:v>6.24600708429066E-3</c:v>
                </c:pt>
                <c:pt idx="6">
                  <c:v>6.2460141685810539E-3</c:v>
                </c:pt>
                <c:pt idx="7">
                  <c:v>6.2460165300111852E-3</c:v>
                </c:pt>
                <c:pt idx="8">
                  <c:v>6.2460188914413165E-3</c:v>
                </c:pt>
                <c:pt idx="9">
                  <c:v>6.2460212528714478E-3</c:v>
                </c:pt>
                <c:pt idx="10">
                  <c:v>6.2460236143015791E-3</c:v>
                </c:pt>
                <c:pt idx="11">
                  <c:v>6.2460306985919738E-3</c:v>
                </c:pt>
                <c:pt idx="12">
                  <c:v>6.2460330600221051E-3</c:v>
                </c:pt>
                <c:pt idx="13">
                  <c:v>6.2460354214522364E-3</c:v>
                </c:pt>
                <c:pt idx="14">
                  <c:v>6.2460377828823677E-3</c:v>
                </c:pt>
                <c:pt idx="15">
                  <c:v>6.246040144312499E-3</c:v>
                </c:pt>
                <c:pt idx="16">
                  <c:v>6.2460472286028929E-3</c:v>
                </c:pt>
                <c:pt idx="17">
                  <c:v>6.2460495900330242E-3</c:v>
                </c:pt>
                <c:pt idx="18">
                  <c:v>6.2460519514631555E-3</c:v>
                </c:pt>
                <c:pt idx="19">
                  <c:v>6.2460543128932868E-3</c:v>
                </c:pt>
                <c:pt idx="20">
                  <c:v>6.2460566743234181E-3</c:v>
                </c:pt>
                <c:pt idx="21">
                  <c:v>6.246063758613812E-3</c:v>
                </c:pt>
                <c:pt idx="22">
                  <c:v>6.2460661200439433E-3</c:v>
                </c:pt>
                <c:pt idx="23">
                  <c:v>6.2460684814740746E-3</c:v>
                </c:pt>
                <c:pt idx="24">
                  <c:v>6.2460708429042059E-3</c:v>
                </c:pt>
                <c:pt idx="25">
                  <c:v>6.2460732043343372E-3</c:v>
                </c:pt>
                <c:pt idx="26">
                  <c:v>6.2460802886247311E-3</c:v>
                </c:pt>
                <c:pt idx="27">
                  <c:v>6.2460826500548624E-3</c:v>
                </c:pt>
                <c:pt idx="28">
                  <c:v>6.2460850114849946E-3</c:v>
                </c:pt>
                <c:pt idx="29">
                  <c:v>6.2460873729151259E-3</c:v>
                </c:pt>
                <c:pt idx="30">
                  <c:v>6.2460897343452572E-3</c:v>
                </c:pt>
                <c:pt idx="31">
                  <c:v>6.246096818635651E-3</c:v>
                </c:pt>
                <c:pt idx="32">
                  <c:v>6.2460991800657823E-3</c:v>
                </c:pt>
                <c:pt idx="33">
                  <c:v>6.2461015414959136E-3</c:v>
                </c:pt>
                <c:pt idx="34">
                  <c:v>6.2461039029260449E-3</c:v>
                </c:pt>
                <c:pt idx="35">
                  <c:v>6.2461062643561762E-3</c:v>
                </c:pt>
                <c:pt idx="36">
                  <c:v>6.2461133486465701E-3</c:v>
                </c:pt>
                <c:pt idx="37">
                  <c:v>6.2461157100767014E-3</c:v>
                </c:pt>
                <c:pt idx="38">
                  <c:v>6.2461180715068327E-3</c:v>
                </c:pt>
                <c:pt idx="39">
                  <c:v>6.246120432936964E-3</c:v>
                </c:pt>
                <c:pt idx="40">
                  <c:v>6.2461227943670953E-3</c:v>
                </c:pt>
                <c:pt idx="41">
                  <c:v>6.2461298786574892E-3</c:v>
                </c:pt>
                <c:pt idx="42">
                  <c:v>6.2461322400876205E-3</c:v>
                </c:pt>
                <c:pt idx="43">
                  <c:v>6.2461346015177518E-3</c:v>
                </c:pt>
                <c:pt idx="44">
                  <c:v>6.2461369629478831E-3</c:v>
                </c:pt>
                <c:pt idx="45">
                  <c:v>6.2461393243780153E-3</c:v>
                </c:pt>
                <c:pt idx="46">
                  <c:v>6.2461464086684092E-3</c:v>
                </c:pt>
                <c:pt idx="47">
                  <c:v>6.2461487700985405E-3</c:v>
                </c:pt>
                <c:pt idx="48">
                  <c:v>6.2461511315286718E-3</c:v>
                </c:pt>
                <c:pt idx="49">
                  <c:v>6.2461534929588031E-3</c:v>
                </c:pt>
                <c:pt idx="50">
                  <c:v>6.2461558543889344E-3</c:v>
                </c:pt>
                <c:pt idx="51">
                  <c:v>6.2461629386793283E-3</c:v>
                </c:pt>
                <c:pt idx="52">
                  <c:v>6.2461653001094596E-3</c:v>
                </c:pt>
                <c:pt idx="53">
                  <c:v>6.2461676615395909E-3</c:v>
                </c:pt>
                <c:pt idx="54">
                  <c:v>6.2461700229697222E-3</c:v>
                </c:pt>
                <c:pt idx="55">
                  <c:v>6.2461723843998534E-3</c:v>
                </c:pt>
                <c:pt idx="56">
                  <c:v>6.2461794686902473E-3</c:v>
                </c:pt>
                <c:pt idx="57">
                  <c:v>6.2461818301203786E-3</c:v>
                </c:pt>
                <c:pt idx="58">
                  <c:v>6.2461841915505099E-3</c:v>
                </c:pt>
                <c:pt idx="59">
                  <c:v>6.2461865529806412E-3</c:v>
                </c:pt>
                <c:pt idx="60">
                  <c:v>6.2461889144107725E-3</c:v>
                </c:pt>
                <c:pt idx="61">
                  <c:v>6.2461959987011673E-3</c:v>
                </c:pt>
                <c:pt idx="62">
                  <c:v>6.2461983601312986E-3</c:v>
                </c:pt>
                <c:pt idx="63">
                  <c:v>6.2462007215614299E-3</c:v>
                </c:pt>
                <c:pt idx="64">
                  <c:v>6.2462030829915612E-3</c:v>
                </c:pt>
                <c:pt idx="65">
                  <c:v>6.2462054444216925E-3</c:v>
                </c:pt>
                <c:pt idx="66">
                  <c:v>6.2509944247280394E-3</c:v>
                </c:pt>
                <c:pt idx="67">
                  <c:v>6.2578795645324313E-3</c:v>
                </c:pt>
                <c:pt idx="68">
                  <c:v>6.2648608925053081E-3</c:v>
                </c:pt>
                <c:pt idx="69">
                  <c:v>6.271940246622091E-3</c:v>
                </c:pt>
                <c:pt idx="70">
                  <c:v>6.2791194648582028E-3</c:v>
                </c:pt>
                <c:pt idx="71">
                  <c:v>6.308871738504385E-3</c:v>
                </c:pt>
                <c:pt idx="72">
                  <c:v>6.3165778469684748E-3</c:v>
                </c:pt>
                <c:pt idx="73">
                  <c:v>6.3243948474044293E-3</c:v>
                </c:pt>
                <c:pt idx="74">
                  <c:v>6.3323245777876661E-3</c:v>
                </c:pt>
                <c:pt idx="75">
                  <c:v>6.3568085283753125E-3</c:v>
                </c:pt>
                <c:pt idx="76">
                  <c:v>6.365207558301912E-3</c:v>
                </c:pt>
                <c:pt idx="77">
                  <c:v>6.3737285080529074E-3</c:v>
                </c:pt>
                <c:pt idx="78">
                  <c:v>6.3823732156037226E-3</c:v>
                </c:pt>
                <c:pt idx="79">
                  <c:v>6.3911435189297778E-3</c:v>
                </c:pt>
                <c:pt idx="80">
                  <c:v>6.4182263833136126E-3</c:v>
                </c:pt>
                <c:pt idx="81">
                  <c:v>6.4275174494948534E-3</c:v>
                </c:pt>
                <c:pt idx="82">
                  <c:v>6.436943301328448E-3</c:v>
                </c:pt>
                <c:pt idx="83">
                  <c:v>6.4465057767898156E-3</c:v>
                </c:pt>
                <c:pt idx="84">
                  <c:v>6.4562067138543818E-3</c:v>
                </c:pt>
                <c:pt idx="85">
                  <c:v>6.4861586744214793E-3</c:v>
                </c:pt>
                <c:pt idx="86">
                  <c:v>6.4964318376530541E-3</c:v>
                </c:pt>
                <c:pt idx="87">
                  <c:v>6.506852652364936E-3</c:v>
                </c:pt>
                <c:pt idx="88">
                  <c:v>6.5174229565325504E-3</c:v>
                </c:pt>
                <c:pt idx="89">
                  <c:v>6.5281445881313158E-3</c:v>
                </c:pt>
                <c:pt idx="90">
                  <c:v>6.5612358272687538E-3</c:v>
                </c:pt>
                <c:pt idx="91">
                  <c:v>6.5725811483463526E-3</c:v>
                </c:pt>
                <c:pt idx="92">
                  <c:v>6.584086986732217E-3</c:v>
                </c:pt>
                <c:pt idx="93">
                  <c:v>6.5957551804017665E-3</c:v>
                </c:pt>
                <c:pt idx="94">
                  <c:v>6.6075875673304255E-3</c:v>
                </c:pt>
                <c:pt idx="95">
                  <c:v>6.6565958071445937E-3</c:v>
                </c:pt>
                <c:pt idx="96">
                  <c:v>6.6692767300001298E-3</c:v>
                </c:pt>
                <c:pt idx="97">
                  <c:v>6.6821328739673095E-3</c:v>
                </c:pt>
                <c:pt idx="98">
                  <c:v>6.6951660770215521E-3</c:v>
                </c:pt>
                <c:pt idx="99">
                  <c:v>6.7353464204608924E-3</c:v>
                </c:pt>
                <c:pt idx="100">
                  <c:v>6.7491062396176169E-3</c:v>
                </c:pt>
                <c:pt idx="101">
                  <c:v>6.7630523077385181E-3</c:v>
                </c:pt>
                <c:pt idx="102">
                  <c:v>6.7771864627990163E-3</c:v>
                </c:pt>
                <c:pt idx="103">
                  <c:v>6.7915105427745351E-3</c:v>
                </c:pt>
                <c:pt idx="104">
                  <c:v>6.8356407119454406E-3</c:v>
                </c:pt>
                <c:pt idx="105">
                  <c:v>6.8507428713352652E-3</c:v>
                </c:pt>
                <c:pt idx="106">
                  <c:v>6.8660441455172224E-3</c:v>
                </c:pt>
                <c:pt idx="107">
                  <c:v>6.8815463724667325E-3</c:v>
                </c:pt>
                <c:pt idx="108">
                  <c:v>6.897251390159221E-3</c:v>
                </c:pt>
                <c:pt idx="109">
                  <c:v>6.9456015674487642E-3</c:v>
                </c:pt>
                <c:pt idx="110">
                  <c:v>6.9621361278673806E-3</c:v>
                </c:pt>
                <c:pt idx="111">
                  <c:v>6.9788826689060847E-3</c:v>
                </c:pt>
                <c:pt idx="112">
                  <c:v>6.9958430285403002E-3</c:v>
                </c:pt>
                <c:pt idx="113">
                  <c:v>7.0130190447454466E-3</c:v>
                </c:pt>
                <c:pt idx="114">
                  <c:v>7.0658594125407054E-3</c:v>
                </c:pt>
                <c:pt idx="115">
                  <c:v>7.0839164347838044E-3</c:v>
                </c:pt>
                <c:pt idx="116">
                  <c:v>7.1021983034749497E-3</c:v>
                </c:pt>
                <c:pt idx="117">
                  <c:v>7.1207068565895589E-3</c:v>
                </c:pt>
                <c:pt idx="118">
                  <c:v>7.1394439321030585E-3</c:v>
                </c:pt>
                <c:pt idx="119">
                  <c:v>7.1970446727911063E-3</c:v>
                </c:pt>
                <c:pt idx="120">
                  <c:v>7.2167142176543814E-3</c:v>
                </c:pt>
                <c:pt idx="121">
                  <c:v>7.2366214747936553E-3</c:v>
                </c:pt>
                <c:pt idx="122">
                  <c:v>7.2567682821843534E-3</c:v>
                </c:pt>
                <c:pt idx="123">
                  <c:v>7.2771564778018934E-3</c:v>
                </c:pt>
                <c:pt idx="124">
                  <c:v>7.3397877737698082E-3</c:v>
                </c:pt>
                <c:pt idx="125">
                  <c:v>7.3611599020489485E-3</c:v>
                </c:pt>
                <c:pt idx="126">
                  <c:v>7.3827826084320479E-3</c:v>
                </c:pt>
                <c:pt idx="127">
                  <c:v>7.4046577308945222E-3</c:v>
                </c:pt>
                <c:pt idx="128">
                  <c:v>7.4267871074117989E-3</c:v>
                </c:pt>
                <c:pt idx="129">
                  <c:v>7.4947191410466522E-3</c:v>
                </c:pt>
                <c:pt idx="130">
                  <c:v>7.5178839135373512E-3</c:v>
                </c:pt>
                <c:pt idx="131">
                  <c:v>7.5414447375544954E-3</c:v>
                </c:pt>
                <c:pt idx="132">
                  <c:v>7.5655149519938299E-3</c:v>
                </c:pt>
                <c:pt idx="133">
                  <c:v>7.5900647348194732E-3</c:v>
                </c:pt>
                <c:pt idx="134">
                  <c:v>7.6662932732554021E-3</c:v>
                </c:pt>
                <c:pt idx="135">
                  <c:v>7.6924631092674329E-3</c:v>
                </c:pt>
                <c:pt idx="136">
                  <c:v>7.7189634034863465E-3</c:v>
                </c:pt>
                <c:pt idx="137">
                  <c:v>7.7457643338762639E-3</c:v>
                </c:pt>
                <c:pt idx="138">
                  <c:v>7.7728360784012959E-3</c:v>
                </c:pt>
                <c:pt idx="139">
                  <c:v>7.8832347571349097E-3</c:v>
                </c:pt>
                <c:pt idx="140">
                  <c:v>7.9112132417972648E-3</c:v>
                </c:pt>
                <c:pt idx="141">
                  <c:v>7.9392836083794268E-3</c:v>
                </c:pt>
                <c:pt idx="142">
                  <c:v>7.9674160348455151E-3</c:v>
                </c:pt>
                <c:pt idx="143">
                  <c:v>8.0517873514579785E-3</c:v>
                </c:pt>
                <c:pt idx="144">
                  <c:v>8.0796175922805812E-3</c:v>
                </c:pt>
                <c:pt idx="145">
                  <c:v>8.1071126946428481E-3</c:v>
                </c:pt>
                <c:pt idx="146">
                  <c:v>8.1341578454803033E-3</c:v>
                </c:pt>
                <c:pt idx="147">
                  <c:v>8.1606382317284502E-3</c:v>
                </c:pt>
                <c:pt idx="148">
                  <c:v>8.2355426722922186E-3</c:v>
                </c:pt>
                <c:pt idx="149">
                  <c:v>8.2586158695382925E-3</c:v>
                </c:pt>
                <c:pt idx="150">
                  <c:v>8.2805502368726372E-3</c:v>
                </c:pt>
                <c:pt idx="151">
                  <c:v>8.3015468008687462E-3</c:v>
                </c:pt>
                <c:pt idx="152">
                  <c:v>8.3218937894536972E-3</c:v>
                </c:pt>
                <c:pt idx="153">
                  <c:v>8.3791971924003193E-3</c:v>
                </c:pt>
                <c:pt idx="154">
                  <c:v>8.3971057689993661E-3</c:v>
                </c:pt>
                <c:pt idx="155">
                  <c:v>8.4144447150166276E-3</c:v>
                </c:pt>
                <c:pt idx="156">
                  <c:v>8.4312300194179686E-3</c:v>
                </c:pt>
                <c:pt idx="157">
                  <c:v>8.447477671169273E-3</c:v>
                </c:pt>
                <c:pt idx="158">
                  <c:v>8.4931546001816814E-3</c:v>
                </c:pt>
                <c:pt idx="159">
                  <c:v>8.5074115309915661E-3</c:v>
                </c:pt>
                <c:pt idx="160">
                  <c:v>8.5212107539807819E-3</c:v>
                </c:pt>
                <c:pt idx="161">
                  <c:v>8.5345682581152039E-3</c:v>
                </c:pt>
                <c:pt idx="162">
                  <c:v>8.5475000323607057E-3</c:v>
                </c:pt>
                <c:pt idx="163">
                  <c:v>8.5952896097709983E-3</c:v>
                </c:pt>
                <c:pt idx="164">
                  <c:v>8.6063325690600156E-3</c:v>
                </c:pt>
                <c:pt idx="165">
                  <c:v>8.617045732255359E-3</c:v>
                </c:pt>
                <c:pt idx="166">
                  <c:v>8.627445088322902E-3</c:v>
                </c:pt>
                <c:pt idx="167">
                  <c:v>8.656920203417481E-3</c:v>
                </c:pt>
                <c:pt idx="168">
                  <c:v>8.6662242206325697E-3</c:v>
                </c:pt>
                <c:pt idx="169">
                  <c:v>8.6752943755492307E-3</c:v>
                </c:pt>
                <c:pt idx="170">
                  <c:v>8.684146657133341E-3</c:v>
                </c:pt>
                <c:pt idx="171">
                  <c:v>8.6927970543507708E-3</c:v>
                </c:pt>
                <c:pt idx="172">
                  <c:v>8.7176968294617324E-3</c:v>
                </c:pt>
                <c:pt idx="173">
                  <c:v>8.7256995788711905E-3</c:v>
                </c:pt>
                <c:pt idx="174">
                  <c:v>8.7335803887433425E-3</c:v>
                </c:pt>
                <c:pt idx="175">
                  <c:v>8.7413552480440602E-3</c:v>
                </c:pt>
                <c:pt idx="176">
                  <c:v>8.7490401457392206E-3</c:v>
                </c:pt>
                <c:pt idx="177">
                  <c:v>8.7717149588500982E-3</c:v>
                </c:pt>
                <c:pt idx="178">
                  <c:v>8.7791998997817696E-3</c:v>
                </c:pt>
                <c:pt idx="179">
                  <c:v>8.7866746850671449E-3</c:v>
                </c:pt>
                <c:pt idx="180">
                  <c:v>8.7941488151253334E-3</c:v>
                </c:pt>
                <c:pt idx="181">
                  <c:v>8.801622945183522E-3</c:v>
                </c:pt>
                <c:pt idx="182">
                  <c:v>8.8240453353580911E-3</c:v>
                </c:pt>
                <c:pt idx="183">
                  <c:v>8.8315194654162796E-3</c:v>
                </c:pt>
                <c:pt idx="184">
                  <c:v>8.8389935954744665E-3</c:v>
                </c:pt>
                <c:pt idx="185">
                  <c:v>8.8464677255326567E-3</c:v>
                </c:pt>
                <c:pt idx="186">
                  <c:v>8.8763642457654144E-3</c:v>
                </c:pt>
                <c:pt idx="187">
                  <c:v>8.8838383758236012E-3</c:v>
                </c:pt>
                <c:pt idx="188">
                  <c:v>8.8913125058817932E-3</c:v>
                </c:pt>
                <c:pt idx="189">
                  <c:v>8.89878663593998E-3</c:v>
                </c:pt>
                <c:pt idx="190">
                  <c:v>8.9062607659981686E-3</c:v>
                </c:pt>
                <c:pt idx="191">
                  <c:v>8.928683156172736E-3</c:v>
                </c:pt>
                <c:pt idx="192">
                  <c:v>8.9361572862309262E-3</c:v>
                </c:pt>
                <c:pt idx="193">
                  <c:v>8.9436314162891148E-3</c:v>
                </c:pt>
                <c:pt idx="194">
                  <c:v>8.9570762300191283E-3</c:v>
                </c:pt>
                <c:pt idx="195">
                  <c:v>8.9750514166474435E-3</c:v>
                </c:pt>
                <c:pt idx="196">
                  <c:v>8.9810188460106351E-3</c:v>
                </c:pt>
                <c:pt idx="197">
                  <c:v>8.9869892744614648E-3</c:v>
                </c:pt>
                <c:pt idx="198">
                  <c:v>8.9929637626405962E-3</c:v>
                </c:pt>
                <c:pt idx="199">
                  <c:v>8.9989433711886984E-3</c:v>
                </c:pt>
                <c:pt idx="200">
                  <c:v>9.0169235254535067E-3</c:v>
                </c:pt>
                <c:pt idx="201">
                  <c:v>9.0229342218841671E-3</c:v>
                </c:pt>
                <c:pt idx="202">
                  <c:v>9.0289553418871366E-3</c:v>
                </c:pt>
                <c:pt idx="203">
                  <c:v>9.0349879461030791E-3</c:v>
                </c:pt>
                <c:pt idx="204">
                  <c:v>9.041033095172667E-3</c:v>
                </c:pt>
                <c:pt idx="205">
                  <c:v>9.0592544179099611E-3</c:v>
                </c:pt>
                <c:pt idx="206">
                  <c:v>9.0653603528007953E-3</c:v>
                </c:pt>
                <c:pt idx="207">
                  <c:v>9.0714841357486097E-3</c:v>
                </c:pt>
                <c:pt idx="208">
                  <c:v>9.0776268273940735E-3</c:v>
                </c:pt>
                <c:pt idx="209">
                  <c:v>9.0837894883778504E-3</c:v>
                </c:pt>
                <c:pt idx="210">
                  <c:v>9.1024078937657557E-3</c:v>
                </c:pt>
                <c:pt idx="211">
                  <c:v>9.1086610385094705E-3</c:v>
                </c:pt>
                <c:pt idx="212">
                  <c:v>9.1149394557948401E-3</c:v>
                </c:pt>
                <c:pt idx="213">
                  <c:v>9.1212336205098599E-3</c:v>
                </c:pt>
                <c:pt idx="214">
                  <c:v>9.1275335177382535E-3</c:v>
                </c:pt>
                <c:pt idx="215">
                  <c:v>9.1527969504707762E-3</c:v>
                </c:pt>
                <c:pt idx="216">
                  <c:v>9.1591303992799404E-3</c:v>
                </c:pt>
                <c:pt idx="217">
                  <c:v>9.1654715362080343E-3</c:v>
                </c:pt>
                <c:pt idx="218">
                  <c:v>9.1718206871893217E-3</c:v>
                </c:pt>
                <c:pt idx="219">
                  <c:v>9.1973564649100292E-3</c:v>
                </c:pt>
                <c:pt idx="220">
                  <c:v>9.2037681876656202E-3</c:v>
                </c:pt>
                <c:pt idx="221">
                  <c:v>9.2101899383745384E-3</c:v>
                </c:pt>
                <c:pt idx="222">
                  <c:v>9.216622045657305E-3</c:v>
                </c:pt>
                <c:pt idx="223">
                  <c:v>9.2359837931538565E-3</c:v>
                </c:pt>
                <c:pt idx="224">
                  <c:v>9.2424606129371846E-3</c:v>
                </c:pt>
                <c:pt idx="225">
                  <c:v>9.248949432396944E-3</c:v>
                </c:pt>
                <c:pt idx="226">
                  <c:v>9.2554505801536527E-3</c:v>
                </c:pt>
                <c:pt idx="227">
                  <c:v>9.2619643848278321E-3</c:v>
                </c:pt>
                <c:pt idx="228">
                  <c:v>9.2881527451095722E-3</c:v>
                </c:pt>
                <c:pt idx="229">
                  <c:v>9.29473476367885E-3</c:v>
                </c:pt>
                <c:pt idx="230">
                  <c:v>9.3013314108886993E-3</c:v>
                </c:pt>
                <c:pt idx="231">
                  <c:v>9.3079430153596397E-3</c:v>
                </c:pt>
                <c:pt idx="232">
                  <c:v>9.3278708585441648E-3</c:v>
                </c:pt>
                <c:pt idx="233">
                  <c:v>9.3345455782646355E-3</c:v>
                </c:pt>
                <c:pt idx="234">
                  <c:v>9.3412368983487818E-3</c:v>
                </c:pt>
                <c:pt idx="235">
                  <c:v>9.34794514741712E-3</c:v>
                </c:pt>
                <c:pt idx="236">
                  <c:v>9.3546706540901681E-3</c:v>
                </c:pt>
                <c:pt idx="237">
                  <c:v>9.3749540059427528E-3</c:v>
                </c:pt>
                <c:pt idx="238">
                  <c:v>9.3817518292398164E-3</c:v>
                </c:pt>
                <c:pt idx="239">
                  <c:v>9.3885685532441778E-3</c:v>
                </c:pt>
                <c:pt idx="240">
                  <c:v>9.3954045065763533E-3</c:v>
                </c:pt>
                <c:pt idx="241">
                  <c:v>9.4022600178568609E-3</c:v>
                </c:pt>
                <c:pt idx="242">
                  <c:v>9.4229471855935484E-3</c:v>
                </c:pt>
                <c:pt idx="243">
                  <c:v>9.429884214872555E-3</c:v>
                </c:pt>
                <c:pt idx="244">
                  <c:v>9.4368424452024816E-3</c:v>
                </c:pt>
                <c:pt idx="245">
                  <c:v>9.4438222052038445E-3</c:v>
                </c:pt>
                <c:pt idx="246">
                  <c:v>9.4508238234971599E-3</c:v>
                </c:pt>
                <c:pt idx="247">
                  <c:v>9.4719631143339953E-3</c:v>
                </c:pt>
                <c:pt idx="248">
                  <c:v>9.4790554520002967E-3</c:v>
                </c:pt>
                <c:pt idx="249">
                  <c:v>9.4861712910611351E-3</c:v>
                </c:pt>
                <c:pt idx="250">
                  <c:v>9.4933109601370337E-3</c:v>
                </c:pt>
                <c:pt idx="251">
                  <c:v>9.5004747878485053E-3</c:v>
                </c:pt>
                <c:pt idx="252">
                  <c:v>9.5293782574604798E-3</c:v>
                </c:pt>
                <c:pt idx="253">
                  <c:v>9.5366678076575818E-3</c:v>
                </c:pt>
                <c:pt idx="254">
                  <c:v>9.5439834882133628E-3</c:v>
                </c:pt>
                <c:pt idx="255">
                  <c:v>9.5513371663755366E-3</c:v>
                </c:pt>
                <c:pt idx="256">
                  <c:v>9.573662943758058E-3</c:v>
                </c:pt>
                <c:pt idx="257">
                  <c:v>9.5811793122898246E-3</c:v>
                </c:pt>
                <c:pt idx="258">
                  <c:v>9.5887259997431817E-3</c:v>
                </c:pt>
                <c:pt idx="259">
                  <c:v>9.5962988646498062E-3</c:v>
                </c:pt>
                <c:pt idx="260">
                  <c:v>9.6038937655413791E-3</c:v>
                </c:pt>
                <c:pt idx="261">
                  <c:v>9.6267692694425502E-3</c:v>
                </c:pt>
                <c:pt idx="262">
                  <c:v>9.6344108995906844E-3</c:v>
                </c:pt>
                <c:pt idx="263">
                  <c:v>9.6420533097252379E-3</c:v>
                </c:pt>
                <c:pt idx="264">
                  <c:v>9.6496857128748181E-3</c:v>
                </c:pt>
                <c:pt idx="265">
                  <c:v>9.6572935181936416E-3</c:v>
                </c:pt>
                <c:pt idx="266">
                  <c:v>9.679822860481236E-3</c:v>
                </c:pt>
                <c:pt idx="267">
                  <c:v>9.6871857877927053E-3</c:v>
                </c:pt>
                <c:pt idx="268">
                  <c:v>9.6944508739312558E-3</c:v>
                </c:pt>
                <c:pt idx="269">
                  <c:v>9.7016010113357126E-3</c:v>
                </c:pt>
                <c:pt idx="270">
                  <c:v>9.7086324253593814E-3</c:v>
                </c:pt>
                <c:pt idx="271">
                  <c:v>9.7290678341784582E-3</c:v>
                </c:pt>
                <c:pt idx="272">
                  <c:v>9.7356778617117834E-3</c:v>
                </c:pt>
                <c:pt idx="273">
                  <c:v>9.7421959193807299E-3</c:v>
                </c:pt>
                <c:pt idx="274">
                  <c:v>9.7486273578885809E-3</c:v>
                </c:pt>
                <c:pt idx="275">
                  <c:v>9.7549775279386162E-3</c:v>
                </c:pt>
                <c:pt idx="276">
                  <c:v>9.7735939343746667E-3</c:v>
                </c:pt>
                <c:pt idx="277">
                  <c:v>9.7796725376262696E-3</c:v>
                </c:pt>
                <c:pt idx="278">
                  <c:v>9.7856966259364745E-3</c:v>
                </c:pt>
                <c:pt idx="279">
                  <c:v>9.7916715500085579E-3</c:v>
                </c:pt>
                <c:pt idx="280">
                  <c:v>9.7976026605458028E-3</c:v>
                </c:pt>
                <c:pt idx="281">
                  <c:v>9.8151866179813467E-3</c:v>
                </c:pt>
                <c:pt idx="282">
                  <c:v>9.8209959814120704E-3</c:v>
                </c:pt>
                <c:pt idx="283">
                  <c:v>9.8267882848243719E-3</c:v>
                </c:pt>
                <c:pt idx="284">
                  <c:v>9.8325688789215274E-3</c:v>
                </c:pt>
                <c:pt idx="285">
                  <c:v>9.8383431144068254E-3</c:v>
                </c:pt>
                <c:pt idx="286">
                  <c:v>9.8556645561288132E-3</c:v>
                </c:pt>
                <c:pt idx="287">
                  <c:v>9.8614420756382732E-3</c:v>
                </c:pt>
                <c:pt idx="288">
                  <c:v>9.8672228890810728E-3</c:v>
                </c:pt>
                <c:pt idx="289">
                  <c:v>9.8730078606367906E-3</c:v>
                </c:pt>
                <c:pt idx="290">
                  <c:v>9.8787978544850018E-3</c:v>
                </c:pt>
                <c:pt idx="291">
                  <c:v>9.8962066115803448E-3</c:v>
                </c:pt>
                <c:pt idx="292">
                  <c:v>9.9020253363942771E-3</c:v>
                </c:pt>
                <c:pt idx="293">
                  <c:v>9.9078534043985783E-3</c:v>
                </c:pt>
                <c:pt idx="294">
                  <c:v>9.9136916797728236E-3</c:v>
                </c:pt>
                <c:pt idx="295">
                  <c:v>9.9195410266965864E-3</c:v>
                </c:pt>
                <c:pt idx="296">
                  <c:v>9.9371641385607359E-3</c:v>
                </c:pt>
                <c:pt idx="297">
                  <c:v>9.9430664134783214E-3</c:v>
                </c:pt>
                <c:pt idx="298">
                  <c:v>9.9489840808433035E-3</c:v>
                </c:pt>
                <c:pt idx="299">
                  <c:v>9.9549180048352504E-3</c:v>
                </c:pt>
                <c:pt idx="300">
                  <c:v>9.9608690496337422E-3</c:v>
                </c:pt>
                <c:pt idx="301">
                  <c:v>9.9788335506642324E-3</c:v>
                </c:pt>
                <c:pt idx="302">
                  <c:v>9.9848617204846505E-3</c:v>
                </c:pt>
                <c:pt idx="303">
                  <c:v>9.9909113320094875E-3</c:v>
                </c:pt>
                <c:pt idx="304">
                  <c:v>9.9969832494183168E-3</c:v>
                </c:pt>
                <c:pt idx="305">
                  <c:v>1.0003078336890717E-2</c:v>
                </c:pt>
                <c:pt idx="306">
                  <c:v>1.002151126148508E-2</c:v>
                </c:pt>
                <c:pt idx="307">
                  <c:v>1.0027707671007507E-2</c:v>
                </c:pt>
                <c:pt idx="308">
                  <c:v>1.0033931571491376E-2</c:v>
                </c:pt>
                <c:pt idx="309">
                  <c:v>1.0040183827116266E-2</c:v>
                </c:pt>
                <c:pt idx="310">
                  <c:v>1.0046465302061752E-2</c:v>
                </c:pt>
                <c:pt idx="311">
                  <c:v>1.0065493684617521E-2</c:v>
                </c:pt>
                <c:pt idx="312">
                  <c:v>1.0071900678641133E-2</c:v>
                </c:pt>
                <c:pt idx="313">
                  <c:v>1.0078341212883214E-2</c:v>
                </c:pt>
                <c:pt idx="314">
                  <c:v>1.0084816151523342E-2</c:v>
                </c:pt>
                <c:pt idx="315">
                  <c:v>1.0091326358741087E-2</c:v>
                </c:pt>
                <c:pt idx="316">
                  <c:v>1.0111077233655796E-2</c:v>
                </c:pt>
                <c:pt idx="317">
                  <c:v>1.0117737156979771E-2</c:v>
                </c:pt>
                <c:pt idx="318">
                  <c:v>1.0124421205611933E-2</c:v>
                </c:pt>
                <c:pt idx="319">
                  <c:v>1.0131114692560342E-2</c:v>
                </c:pt>
                <c:pt idx="320">
                  <c:v>1.0137818351498275E-2</c:v>
                </c:pt>
                <c:pt idx="321">
                  <c:v>1.0164749380610721E-2</c:v>
                </c:pt>
                <c:pt idx="322">
                  <c:v>1.0171514904595381E-2</c:v>
                </c:pt>
                <c:pt idx="323">
                  <c:v>1.0178295002609205E-2</c:v>
                </c:pt>
                <c:pt idx="324">
                  <c:v>1.0185090408325471E-2</c:v>
                </c:pt>
                <c:pt idx="325">
                  <c:v>1.0205575808421651E-2</c:v>
                </c:pt>
                <c:pt idx="326">
                  <c:v>1.0212439781680415E-2</c:v>
                </c:pt>
                <c:pt idx="327">
                  <c:v>1.0219322731007993E-2</c:v>
                </c:pt>
                <c:pt idx="328">
                  <c:v>1.0226225390077653E-2</c:v>
                </c:pt>
                <c:pt idx="329">
                  <c:v>1.0233148492562672E-2</c:v>
                </c:pt>
                <c:pt idx="330">
                  <c:v>1.0254047797242609E-2</c:v>
                </c:pt>
                <c:pt idx="331">
                  <c:v>1.0261060010121798E-2</c:v>
                </c:pt>
                <c:pt idx="332">
                  <c:v>1.0268096334782713E-2</c:v>
                </c:pt>
                <c:pt idx="333">
                  <c:v>1.0275157504898628E-2</c:v>
                </c:pt>
                <c:pt idx="334">
                  <c:v>1.0282244254142821E-2</c:v>
                </c:pt>
                <c:pt idx="335">
                  <c:v>1.0303665313377782E-2</c:v>
                </c:pt>
                <c:pt idx="336">
                  <c:v>1.0310861715867812E-2</c:v>
                </c:pt>
                <c:pt idx="337">
                  <c:v>1.0318087365852486E-2</c:v>
                </c:pt>
                <c:pt idx="338">
                  <c:v>1.0325424592344526E-2</c:v>
                </c:pt>
                <c:pt idx="339">
                  <c:v>1.0332938550860402E-2</c:v>
                </c:pt>
                <c:pt idx="340">
                  <c:v>1.0356290552840059E-2</c:v>
                </c:pt>
                <c:pt idx="341">
                  <c:v>1.0364261173740289E-2</c:v>
                </c:pt>
                <c:pt idx="342">
                  <c:v>1.0372283393808855E-2</c:v>
                </c:pt>
                <c:pt idx="343">
                  <c:v>1.0380332186474661E-2</c:v>
                </c:pt>
                <c:pt idx="344">
                  <c:v>1.0388385951952772E-2</c:v>
                </c:pt>
                <c:pt idx="345">
                  <c:v>1.0412545987502343E-2</c:v>
                </c:pt>
                <c:pt idx="346">
                  <c:v>1.042865031221988E-2</c:v>
                </c:pt>
                <c:pt idx="347">
                  <c:v>1.0436701371144157E-2</c:v>
                </c:pt>
                <c:pt idx="348">
                  <c:v>1.0444751519449956E-2</c:v>
                </c:pt>
                <c:pt idx="349">
                  <c:v>1.0468895188190368E-2</c:v>
                </c:pt>
                <c:pt idx="350">
                  <c:v>1.0476940381556134E-2</c:v>
                </c:pt>
                <c:pt idx="351">
                  <c:v>1.0484984008070361E-2</c:v>
                </c:pt>
                <c:pt idx="352">
                  <c:v>1.0493025936486437E-2</c:v>
                </c:pt>
                <c:pt idx="353">
                  <c:v>1.0501066035557744E-2</c:v>
                </c:pt>
                <c:pt idx="354">
                  <c:v>1.0525174044236958E-2</c:v>
                </c:pt>
                <c:pt idx="355">
                  <c:v>1.0533205513463081E-2</c:v>
                </c:pt>
                <c:pt idx="356">
                  <c:v>1.054123449711138E-2</c:v>
                </c:pt>
                <c:pt idx="357">
                  <c:v>1.0549260863935235E-2</c:v>
                </c:pt>
                <c:pt idx="358">
                  <c:v>1.0557284482688039E-2</c:v>
                </c:pt>
                <c:pt idx="359">
                  <c:v>1.0581337538054014E-2</c:v>
                </c:pt>
                <c:pt idx="360">
                  <c:v>1.0589348852056483E-2</c:v>
                </c:pt>
                <c:pt idx="361">
                  <c:v>1.0597356761754839E-2</c:v>
                </c:pt>
                <c:pt idx="362">
                  <c:v>1.0605361135902464E-2</c:v>
                </c:pt>
                <c:pt idx="363">
                  <c:v>1.0613361843252751E-2</c:v>
                </c:pt>
                <c:pt idx="364">
                  <c:v>1.0637340652053445E-2</c:v>
                </c:pt>
                <c:pt idx="365">
                  <c:v>1.0645325379748246E-2</c:v>
                </c:pt>
                <c:pt idx="366">
                  <c:v>1.0653305784412644E-2</c:v>
                </c:pt>
                <c:pt idx="367">
                  <c:v>1.0661281734800025E-2</c:v>
                </c:pt>
                <c:pt idx="368">
                  <c:v>1.0669253099663781E-2</c:v>
                </c:pt>
                <c:pt idx="369">
                  <c:v>1.0693138368647152E-2</c:v>
                </c:pt>
                <c:pt idx="370">
                  <c:v>1.0701090078950273E-2</c:v>
                </c:pt>
                <c:pt idx="371">
                  <c:v>1.0709036547496701E-2</c:v>
                </c:pt>
                <c:pt idx="372">
                  <c:v>1.0716977643039827E-2</c:v>
                </c:pt>
                <c:pt idx="373">
                  <c:v>1.0724913234333036E-2</c:v>
                </c:pt>
                <c:pt idx="374">
                  <c:v>1.0748685670247048E-2</c:v>
                </c:pt>
                <c:pt idx="375">
                  <c:v>1.0756597932074473E-2</c:v>
                </c:pt>
                <c:pt idx="376">
                  <c:v>1.0764504033418918E-2</c:v>
                </c:pt>
                <c:pt idx="377">
                  <c:v>1.0772403843033773E-2</c:v>
                </c:pt>
                <c:pt idx="378">
                  <c:v>1.0780297229672425E-2</c:v>
                </c:pt>
                <c:pt idx="379">
                  <c:v>1.0803937539265037E-2</c:v>
                </c:pt>
                <c:pt idx="380">
                  <c:v>1.0811803921532751E-2</c:v>
                </c:pt>
                <c:pt idx="381">
                  <c:v>1.08196632245912E-2</c:v>
                </c:pt>
                <c:pt idx="382">
                  <c:v>1.0827514664254157E-2</c:v>
                </c:pt>
                <c:pt idx="383">
                  <c:v>1.0835357875836919E-2</c:v>
                </c:pt>
                <c:pt idx="384">
                  <c:v>1.0858843122160712E-2</c:v>
                </c:pt>
                <c:pt idx="385">
                  <c:v>1.0866658401479375E-2</c:v>
                </c:pt>
                <c:pt idx="386">
                  <c:v>1.0874467942746187E-2</c:v>
                </c:pt>
                <c:pt idx="387">
                  <c:v>1.0882272243966817E-2</c:v>
                </c:pt>
                <c:pt idx="388">
                  <c:v>1.0890071803146932E-2</c:v>
                </c:pt>
                <c:pt idx="389">
                  <c:v>1.0921232579575623E-2</c:v>
                </c:pt>
                <c:pt idx="390">
                  <c:v>1.0929015898638202E-2</c:v>
                </c:pt>
                <c:pt idx="391">
                  <c:v>1.0936797463694276E-2</c:v>
                </c:pt>
                <c:pt idx="392">
                  <c:v>1.0944577772749519E-2</c:v>
                </c:pt>
                <c:pt idx="393">
                  <c:v>1.0967916935198888E-2</c:v>
                </c:pt>
                <c:pt idx="394">
                  <c:v>1.0975700138194426E-2</c:v>
                </c:pt>
                <c:pt idx="395">
                  <c:v>1.0983488219200683E-2</c:v>
                </c:pt>
                <c:pt idx="396">
                  <c:v>1.0991283146793695E-2</c:v>
                </c:pt>
                <c:pt idx="397">
                  <c:v>1.0999086889549498E-2</c:v>
                </c:pt>
                <c:pt idx="398">
                  <c:v>1.1022570694554036E-2</c:v>
                </c:pt>
                <c:pt idx="399">
                  <c:v>1.1030429383721382E-2</c:v>
                </c:pt>
                <c:pt idx="400">
                  <c:v>1.1038306730931707E-2</c:v>
                </c:pt>
                <c:pt idx="401">
                  <c:v>1.1046200645670219E-2</c:v>
                </c:pt>
                <c:pt idx="402">
                  <c:v>1.1054107540085513E-2</c:v>
                </c:pt>
                <c:pt idx="403">
                  <c:v>1.1077903327103174E-2</c:v>
                </c:pt>
                <c:pt idx="404">
                  <c:v>1.1085859365936687E-2</c:v>
                </c:pt>
                <c:pt idx="405">
                  <c:v>1.109382699730253E-2</c:v>
                </c:pt>
                <c:pt idx="406">
                  <c:v>1.1101805943771813E-2</c:v>
                </c:pt>
                <c:pt idx="407">
                  <c:v>1.1109795927915644E-2</c:v>
                </c:pt>
                <c:pt idx="408">
                  <c:v>1.1133829332105539E-2</c:v>
                </c:pt>
                <c:pt idx="409">
                  <c:v>1.1141860692658668E-2</c:v>
                </c:pt>
                <c:pt idx="410">
                  <c:v>1.1149901703741897E-2</c:v>
                </c:pt>
                <c:pt idx="411">
                  <c:v>1.1157952087926335E-2</c:v>
                </c:pt>
                <c:pt idx="412">
                  <c:v>1.1166011567783091E-2</c:v>
                </c:pt>
                <c:pt idx="413">
                  <c:v>1.1198334895355509E-2</c:v>
                </c:pt>
                <c:pt idx="414">
                  <c:v>1.1206435692140509E-2</c:v>
                </c:pt>
                <c:pt idx="415">
                  <c:v>1.1214543920024489E-2</c:v>
                </c:pt>
                <c:pt idx="416">
                  <c:v>1.1222659301578557E-2</c:v>
                </c:pt>
                <c:pt idx="417">
                  <c:v>1.1247045593972393E-2</c:v>
                </c:pt>
                <c:pt idx="418">
                  <c:v>1.1255186815917915E-2</c:v>
                </c:pt>
                <c:pt idx="419">
                  <c:v>1.1263333804389075E-2</c:v>
                </c:pt>
                <c:pt idx="420">
                  <c:v>1.1271486281956981E-2</c:v>
                </c:pt>
                <c:pt idx="421">
                  <c:v>1.1279643971192748E-2</c:v>
                </c:pt>
                <c:pt idx="422">
                  <c:v>1.1304145534618294E-2</c:v>
                </c:pt>
                <c:pt idx="423">
                  <c:v>1.1312321296236589E-2</c:v>
                </c:pt>
                <c:pt idx="424">
                  <c:v>1.1320500882378294E-2</c:v>
                </c:pt>
                <c:pt idx="425">
                  <c:v>1.1328684015614517E-2</c:v>
                </c:pt>
                <c:pt idx="426">
                  <c:v>1.1336870418516368E-2</c:v>
                </c:pt>
                <c:pt idx="427">
                  <c:v>1.1361446470926781E-2</c:v>
                </c:pt>
                <c:pt idx="428">
                  <c:v>1.136964317820224E-2</c:v>
                </c:pt>
                <c:pt idx="429">
                  <c:v>1.1377841767998878E-2</c:v>
                </c:pt>
                <c:pt idx="430">
                  <c:v>1.13860419628878E-2</c:v>
                </c:pt>
                <c:pt idx="431">
                  <c:v>1.139424348544012E-2</c:v>
                </c:pt>
                <c:pt idx="432">
                  <c:v>1.1418853244788561E-2</c:v>
                </c:pt>
                <c:pt idx="433">
                  <c:v>1.142705729705583E-2</c:v>
                </c:pt>
                <c:pt idx="434">
                  <c:v>1.143526009474354E-2</c:v>
                </c:pt>
                <c:pt idx="435">
                  <c:v>1.1443457639237433E-2</c:v>
                </c:pt>
                <c:pt idx="436">
                  <c:v>1.1451645604788858E-2</c:v>
                </c:pt>
                <c:pt idx="437">
                  <c:v>1.147610877030191E-2</c:v>
                </c:pt>
                <c:pt idx="438">
                  <c:v>1.1484215162597041E-2</c:v>
                </c:pt>
                <c:pt idx="439">
                  <c:v>1.149229034720649E-2</c:v>
                </c:pt>
                <c:pt idx="440">
                  <c:v>1.1500329998381612E-2</c:v>
                </c:pt>
                <c:pt idx="441">
                  <c:v>1.1508329790373764E-2</c:v>
                </c:pt>
                <c:pt idx="442">
                  <c:v>1.1532046753765963E-2</c:v>
                </c:pt>
                <c:pt idx="443">
                  <c:v>1.1539843851539801E-2</c:v>
                </c:pt>
                <c:pt idx="444">
                  <c:v>1.154757946138745E-2</c:v>
                </c:pt>
                <c:pt idx="445">
                  <c:v>1.1562848914309608E-2</c:v>
                </c:pt>
                <c:pt idx="446">
                  <c:v>1.1585521869695557E-2</c:v>
                </c:pt>
                <c:pt idx="447">
                  <c:v>1.1593068047624052E-2</c:v>
                </c:pt>
                <c:pt idx="448">
                  <c:v>1.1600605895224096E-2</c:v>
                </c:pt>
                <c:pt idx="449">
                  <c:v>1.1608133856458674E-2</c:v>
                </c:pt>
                <c:pt idx="450">
                  <c:v>1.1615650375290758E-2</c:v>
                </c:pt>
                <c:pt idx="451">
                  <c:v>1.1638115717001843E-2</c:v>
                </c:pt>
                <c:pt idx="452">
                  <c:v>1.164557090585374E-2</c:v>
                </c:pt>
                <c:pt idx="453">
                  <c:v>1.1653006872118036E-2</c:v>
                </c:pt>
                <c:pt idx="454">
                  <c:v>1.1660422059757709E-2</c:v>
                </c:pt>
                <c:pt idx="455">
                  <c:v>1.1667814912735736E-2</c:v>
                </c:pt>
                <c:pt idx="456">
                  <c:v>1.1689843903329725E-2</c:v>
                </c:pt>
                <c:pt idx="457">
                  <c:v>1.169713185729095E-2</c:v>
                </c:pt>
                <c:pt idx="458">
                  <c:v>1.1704389696405419E-2</c:v>
                </c:pt>
                <c:pt idx="459">
                  <c:v>1.1711615864636111E-2</c:v>
                </c:pt>
                <c:pt idx="460">
                  <c:v>1.1718808805946005E-2</c:v>
                </c:pt>
                <c:pt idx="461">
                  <c:v>1.1740172707980667E-2</c:v>
                </c:pt>
                <c:pt idx="462">
                  <c:v>1.1747217181237142E-2</c:v>
                </c:pt>
                <c:pt idx="463">
                  <c:v>1.1754220647387709E-2</c:v>
                </c:pt>
                <c:pt idx="464">
                  <c:v>1.1761134718431664E-2</c:v>
                </c:pt>
                <c:pt idx="465">
                  <c:v>1.1767917473646158E-2</c:v>
                </c:pt>
                <c:pt idx="466">
                  <c:v>1.1793898233804685E-2</c:v>
                </c:pt>
                <c:pt idx="467">
                  <c:v>1.1800146583068235E-2</c:v>
                </c:pt>
                <c:pt idx="468">
                  <c:v>1.1806312485780873E-2</c:v>
                </c:pt>
                <c:pt idx="469">
                  <c:v>1.1812404086822352E-2</c:v>
                </c:pt>
                <c:pt idx="470">
                  <c:v>1.1836190371871809E-2</c:v>
                </c:pt>
                <c:pt idx="471">
                  <c:v>1.1842032637753847E-2</c:v>
                </c:pt>
                <c:pt idx="472">
                  <c:v>1.1847849471243269E-2</c:v>
                </c:pt>
                <c:pt idx="473">
                  <c:v>1.1853649017219832E-2</c:v>
                </c:pt>
                <c:pt idx="474">
                  <c:v>1.1871016959646619E-2</c:v>
                </c:pt>
                <c:pt idx="475">
                  <c:v>1.1876806914121804E-2</c:v>
                </c:pt>
                <c:pt idx="476">
                  <c:v>1.1882598342104388E-2</c:v>
                </c:pt>
                <c:pt idx="477">
                  <c:v>1.188839175567352E-2</c:v>
                </c:pt>
                <c:pt idx="478">
                  <c:v>1.1894187666908343E-2</c:v>
                </c:pt>
                <c:pt idx="479">
                  <c:v>1.1917406530087557E-2</c:v>
                </c:pt>
                <c:pt idx="480">
                  <c:v>1.192322261083808E-2</c:v>
                </c:pt>
                <c:pt idx="481">
                  <c:v>1.1929044261729187E-2</c:v>
                </c:pt>
                <c:pt idx="482">
                  <c:v>1.1934871994840024E-2</c:v>
                </c:pt>
                <c:pt idx="483">
                  <c:v>1.1952396808282414E-2</c:v>
                </c:pt>
                <c:pt idx="484">
                  <c:v>1.1958253991063664E-2</c:v>
                </c:pt>
                <c:pt idx="485">
                  <c:v>1.1964119816460386E-2</c:v>
                </c:pt>
                <c:pt idx="486">
                  <c:v>1.1969994796551727E-2</c:v>
                </c:pt>
                <c:pt idx="487">
                  <c:v>1.197587944341684E-2</c:v>
                </c:pt>
                <c:pt idx="488">
                  <c:v>1.1993596505446276E-2</c:v>
                </c:pt>
                <c:pt idx="489">
                  <c:v>1.1999524940197948E-2</c:v>
                </c:pt>
                <c:pt idx="490">
                  <c:v>1.2005465602119129E-2</c:v>
                </c:pt>
                <c:pt idx="491">
                  <c:v>1.201141900328897E-2</c:v>
                </c:pt>
                <c:pt idx="492">
                  <c:v>1.2017385655786618E-2</c:v>
                </c:pt>
                <c:pt idx="493">
                  <c:v>1.2035370242037883E-2</c:v>
                </c:pt>
                <c:pt idx="494">
                  <c:v>1.2041395020638238E-2</c:v>
                </c:pt>
                <c:pt idx="495">
                  <c:v>1.2047435610962142E-2</c:v>
                </c:pt>
                <c:pt idx="496">
                  <c:v>1.2053492525088742E-2</c:v>
                </c:pt>
                <c:pt idx="497">
                  <c:v>1.2059566275097184E-2</c:v>
                </c:pt>
                <c:pt idx="498">
                  <c:v>1.207789366120506E-2</c:v>
                </c:pt>
                <c:pt idx="499">
                  <c:v>1.2084039875532363E-2</c:v>
                </c:pt>
                <c:pt idx="500">
                  <c:v>1.209020548613725E-2</c:v>
                </c:pt>
                <c:pt idx="501">
                  <c:v>1.2096391005098869E-2</c:v>
                </c:pt>
                <c:pt idx="502">
                  <c:v>1.210259694449637E-2</c:v>
                </c:pt>
                <c:pt idx="503">
                  <c:v>1.2127635148028152E-2</c:v>
                </c:pt>
                <c:pt idx="504">
                  <c:v>1.2133950870792281E-2</c:v>
                </c:pt>
                <c:pt idx="505">
                  <c:v>1.2140290086467182E-2</c:v>
                </c:pt>
                <c:pt idx="506">
                  <c:v>1.2146653307132001E-2</c:v>
                </c:pt>
                <c:pt idx="507">
                  <c:v>1.2165797631112196E-2</c:v>
                </c:pt>
                <c:pt idx="508">
                  <c:v>1.2172189350476913E-2</c:v>
                </c:pt>
                <c:pt idx="509">
                  <c:v>1.2178587593072776E-2</c:v>
                </c:pt>
                <c:pt idx="510">
                  <c:v>1.218499318942708E-2</c:v>
                </c:pt>
                <c:pt idx="511">
                  <c:v>1.2191406970067114E-2</c:v>
                </c:pt>
                <c:pt idx="512">
                  <c:v>1.221070572297453E-2</c:v>
                </c:pt>
                <c:pt idx="513">
                  <c:v>1.2217160546030417E-2</c:v>
                </c:pt>
                <c:pt idx="514">
                  <c:v>1.2223627706008497E-2</c:v>
                </c:pt>
                <c:pt idx="515">
                  <c:v>1.2230108033436066E-2</c:v>
                </c:pt>
                <c:pt idx="516">
                  <c:v>1.2236602358840413E-2</c:v>
                </c:pt>
                <c:pt idx="517">
                  <c:v>1.2256177628187056E-2</c:v>
                </c:pt>
                <c:pt idx="518">
                  <c:v>1.2262736250771447E-2</c:v>
                </c:pt>
                <c:pt idx="519">
                  <c:v>1.2269313023969079E-2</c:v>
                </c:pt>
                <c:pt idx="520">
                  <c:v>1.2275908778307247E-2</c:v>
                </c:pt>
                <c:pt idx="521">
                  <c:v>1.2282524344313241E-2</c:v>
                </c:pt>
                <c:pt idx="522">
                  <c:v>1.2302498217611113E-2</c:v>
                </c:pt>
                <c:pt idx="523">
                  <c:v>1.2309201335561341E-2</c:v>
                </c:pt>
                <c:pt idx="524">
                  <c:v>1.231592841781586E-2</c:v>
                </c:pt>
                <c:pt idx="525">
                  <c:v>1.2322716344487545E-2</c:v>
                </c:pt>
                <c:pt idx="526">
                  <c:v>1.2329596527352372E-2</c:v>
                </c:pt>
                <c:pt idx="527">
                  <c:v>1.2350716893325141E-2</c:v>
                </c:pt>
                <c:pt idx="528">
                  <c:v>1.2357892381181967E-2</c:v>
                </c:pt>
                <c:pt idx="529">
                  <c:v>1.2365123265341648E-2</c:v>
                </c:pt>
                <c:pt idx="530">
                  <c:v>1.2372402173826132E-2</c:v>
                </c:pt>
                <c:pt idx="531">
                  <c:v>1.2379721734657359E-2</c:v>
                </c:pt>
                <c:pt idx="532">
                  <c:v>1.2401850611450917E-2</c:v>
                </c:pt>
                <c:pt idx="533">
                  <c:v>1.2409259061888544E-2</c:v>
                </c:pt>
                <c:pt idx="534">
                  <c:v>1.2416671441225973E-2</c:v>
                </c:pt>
                <c:pt idx="535">
                  <c:v>1.2424083875647961E-2</c:v>
                </c:pt>
                <c:pt idx="536">
                  <c:v>1.2431495982136356E-2</c:v>
                </c:pt>
                <c:pt idx="537">
                  <c:v>1.245372812652217E-2</c:v>
                </c:pt>
                <c:pt idx="538">
                  <c:v>1.2461136713798384E-2</c:v>
                </c:pt>
                <c:pt idx="539">
                  <c:v>1.2468543869402099E-2</c:v>
                </c:pt>
                <c:pt idx="540">
                  <c:v>1.2475949372585537E-2</c:v>
                </c:pt>
                <c:pt idx="541">
                  <c:v>1.2483353002600913E-2</c:v>
                </c:pt>
                <c:pt idx="542">
                  <c:v>1.2505550446160869E-2</c:v>
                </c:pt>
                <c:pt idx="543">
                  <c:v>1.2512944376026194E-2</c:v>
                </c:pt>
                <c:pt idx="544">
                  <c:v>1.2520335328984552E-2</c:v>
                </c:pt>
                <c:pt idx="545">
                  <c:v>1.2527723084288164E-2</c:v>
                </c:pt>
                <c:pt idx="546">
                  <c:v>1.253510742118925E-2</c:v>
                </c:pt>
                <c:pt idx="547">
                  <c:v>1.2557237713999529E-2</c:v>
                </c:pt>
                <c:pt idx="548">
                  <c:v>1.2564606169812691E-2</c:v>
                </c:pt>
                <c:pt idx="549">
                  <c:v>1.2571970103484421E-2</c:v>
                </c:pt>
                <c:pt idx="550">
                  <c:v>1.2579329294266939E-2</c:v>
                </c:pt>
                <c:pt idx="551">
                  <c:v>1.258668352141246E-2</c:v>
                </c:pt>
                <c:pt idx="552">
                  <c:v>1.2608714213549239E-2</c:v>
                </c:pt>
                <c:pt idx="553">
                  <c:v>1.2616046378668968E-2</c:v>
                </c:pt>
                <c:pt idx="554">
                  <c:v>1.2623372476412799E-2</c:v>
                </c:pt>
                <c:pt idx="555">
                  <c:v>1.2630692286032945E-2</c:v>
                </c:pt>
                <c:pt idx="556">
                  <c:v>1.2638005586781628E-2</c:v>
                </c:pt>
                <c:pt idx="557">
                  <c:v>1.2659904228321093E-2</c:v>
                </c:pt>
                <c:pt idx="558">
                  <c:v>1.2667189286106115E-2</c:v>
                </c:pt>
                <c:pt idx="559">
                  <c:v>1.2674466731280769E-2</c:v>
                </c:pt>
                <c:pt idx="560">
                  <c:v>1.2681736343097274E-2</c:v>
                </c:pt>
                <c:pt idx="561">
                  <c:v>1.2688997900807851E-2</c:v>
                </c:pt>
                <c:pt idx="562">
                  <c:v>1.2710732041826179E-2</c:v>
                </c:pt>
                <c:pt idx="563">
                  <c:v>1.2717959175635221E-2</c:v>
                </c:pt>
                <c:pt idx="564">
                  <c:v>1.2725177151599428E-2</c:v>
                </c:pt>
                <c:pt idx="565">
                  <c:v>1.2732385748971018E-2</c:v>
                </c:pt>
                <c:pt idx="566">
                  <c:v>1.273958474700221E-2</c:v>
                </c:pt>
                <c:pt idx="567">
                  <c:v>1.2761121937575589E-2</c:v>
                </c:pt>
                <c:pt idx="568">
                  <c:v>1.276828033076738E-2</c:v>
                </c:pt>
                <c:pt idx="569">
                  <c:v>1.2775428020879864E-2</c:v>
                </c:pt>
                <c:pt idx="570">
                  <c:v>1.2782570285870107E-2</c:v>
                </c:pt>
                <c:pt idx="571">
                  <c:v>1.278971255005377E-2</c:v>
                </c:pt>
                <c:pt idx="572">
                  <c:v>1.2818273862234759E-2</c:v>
                </c:pt>
                <c:pt idx="573">
                  <c:v>1.2825409164995324E-2</c:v>
                </c:pt>
                <c:pt idx="574">
                  <c:v>1.283254120031947E-2</c:v>
                </c:pt>
                <c:pt idx="575">
                  <c:v>1.2839669339545924E-2</c:v>
                </c:pt>
                <c:pt idx="576">
                  <c:v>1.2861024094026402E-2</c:v>
                </c:pt>
                <c:pt idx="577">
                  <c:v>1.2868130362249352E-2</c:v>
                </c:pt>
                <c:pt idx="578">
                  <c:v>1.2875229591068245E-2</c:v>
                </c:pt>
                <c:pt idx="579">
                  <c:v>1.2882321151821807E-2</c:v>
                </c:pt>
                <c:pt idx="580">
                  <c:v>1.288940441584876E-2</c:v>
                </c:pt>
                <c:pt idx="581">
                  <c:v>1.2910598140957262E-2</c:v>
                </c:pt>
                <c:pt idx="582">
                  <c:v>1.2917641931465062E-2</c:v>
                </c:pt>
                <c:pt idx="583">
                  <c:v>1.292467428193989E-2</c:v>
                </c:pt>
                <c:pt idx="584">
                  <c:v>1.2931694563720477E-2</c:v>
                </c:pt>
                <c:pt idx="585">
                  <c:v>1.2938702148145541E-2</c:v>
                </c:pt>
                <c:pt idx="586">
                  <c:v>1.2959642430674892E-2</c:v>
                </c:pt>
                <c:pt idx="587">
                  <c:v>1.2966592939065151E-2</c:v>
                </c:pt>
                <c:pt idx="588">
                  <c:v>1.2973527606793524E-2</c:v>
                </c:pt>
                <c:pt idx="589">
                  <c:v>1.2980427481845074E-2</c:v>
                </c:pt>
                <c:pt idx="590">
                  <c:v>1.2987276381621855E-2</c:v>
                </c:pt>
                <c:pt idx="591">
                  <c:v>1.3007552483945752E-2</c:v>
                </c:pt>
                <c:pt idx="592">
                  <c:v>1.3014232737265624E-2</c:v>
                </c:pt>
                <c:pt idx="593">
                  <c:v>1.3020879642631815E-2</c:v>
                </c:pt>
                <c:pt idx="594">
                  <c:v>1.3027496725508536E-2</c:v>
                </c:pt>
                <c:pt idx="595">
                  <c:v>1.303408751136001E-2</c:v>
                </c:pt>
                <c:pt idx="596">
                  <c:v>1.3053737341405105E-2</c:v>
                </c:pt>
                <c:pt idx="597">
                  <c:v>1.3060258193797749E-2</c:v>
                </c:pt>
                <c:pt idx="598">
                  <c:v>1.3073277414934765E-2</c:v>
                </c:pt>
                <c:pt idx="599">
                  <c:v>1.3079782745908927E-2</c:v>
                </c:pt>
                <c:pt idx="600">
                  <c:v>1.3099299744569274E-2</c:v>
                </c:pt>
                <c:pt idx="601">
                  <c:v>1.3105806337962718E-2</c:v>
                </c:pt>
                <c:pt idx="602">
                  <c:v>1.3112313663766638E-2</c:v>
                </c:pt>
                <c:pt idx="603">
                  <c:v>1.3118821883275322E-2</c:v>
                </c:pt>
                <c:pt idx="604">
                  <c:v>1.3125331157783061E-2</c:v>
                </c:pt>
                <c:pt idx="605">
                  <c:v>1.3144866924243473E-2</c:v>
                </c:pt>
                <c:pt idx="606">
                  <c:v>1.3151382031690306E-2</c:v>
                </c:pt>
                <c:pt idx="607">
                  <c:v>1.3157899000607634E-2</c:v>
                </c:pt>
                <c:pt idx="608">
                  <c:v>1.3164417992289743E-2</c:v>
                </c:pt>
                <c:pt idx="609">
                  <c:v>1.3170939168030924E-2</c:v>
                </c:pt>
                <c:pt idx="610">
                  <c:v>1.3190517412551769E-2</c:v>
                </c:pt>
                <c:pt idx="611">
                  <c:v>1.3197048937472112E-2</c:v>
                </c:pt>
                <c:pt idx="612">
                  <c:v>1.320358345292297E-2</c:v>
                </c:pt>
                <c:pt idx="613">
                  <c:v>1.3210121120198625E-2</c:v>
                </c:pt>
                <c:pt idx="614">
                  <c:v>1.3216662100593369E-2</c:v>
                </c:pt>
                <c:pt idx="615">
                  <c:v>1.3236306533435013E-2</c:v>
                </c:pt>
                <c:pt idx="616">
                  <c:v>1.3242862379248989E-2</c:v>
                </c:pt>
                <c:pt idx="617">
                  <c:v>1.3249422344653497E-2</c:v>
                </c:pt>
                <c:pt idx="618">
                  <c:v>1.3255986590942823E-2</c:v>
                </c:pt>
                <c:pt idx="619">
                  <c:v>1.3262555279411252E-2</c:v>
                </c:pt>
                <c:pt idx="620">
                  <c:v>1.328228961083406E-2</c:v>
                </c:pt>
                <c:pt idx="621">
                  <c:v>1.3288877680961793E-2</c:v>
                </c:pt>
                <c:pt idx="622">
                  <c:v>1.3295470999740074E-2</c:v>
                </c:pt>
                <c:pt idx="623">
                  <c:v>1.3302069728463189E-2</c:v>
                </c:pt>
                <c:pt idx="624">
                  <c:v>1.3308674028425428E-2</c:v>
                </c:pt>
                <c:pt idx="625">
                  <c:v>1.3328521968689762E-2</c:v>
                </c:pt>
                <c:pt idx="626">
                  <c:v>1.3335150166551372E-2</c:v>
                </c:pt>
                <c:pt idx="627">
                  <c:v>1.3341784742123549E-2</c:v>
                </c:pt>
                <c:pt idx="628">
                  <c:v>1.3348425856700577E-2</c:v>
                </c:pt>
                <c:pt idx="629">
                  <c:v>1.3355073671576746E-2</c:v>
                </c:pt>
                <c:pt idx="630">
                  <c:v>1.3375058930942972E-2</c:v>
                </c:pt>
                <c:pt idx="631">
                  <c:v>1.3381735159958585E-2</c:v>
                </c:pt>
                <c:pt idx="632">
                  <c:v>1.3388418895744778E-2</c:v>
                </c:pt>
                <c:pt idx="633">
                  <c:v>1.3395110299595841E-2</c:v>
                </c:pt>
                <c:pt idx="634">
                  <c:v>1.3401805591244102E-2</c:v>
                </c:pt>
                <c:pt idx="635">
                  <c:v>1.3421891466188881E-2</c:v>
                </c:pt>
                <c:pt idx="636">
                  <c:v>1.3428586757837141E-2</c:v>
                </c:pt>
                <c:pt idx="637">
                  <c:v>1.34352820494854E-2</c:v>
                </c:pt>
                <c:pt idx="638">
                  <c:v>1.344197734113366E-2</c:v>
                </c:pt>
                <c:pt idx="639">
                  <c:v>1.3448672632781921E-2</c:v>
                </c:pt>
                <c:pt idx="640">
                  <c:v>1.347545379937496E-2</c:v>
                </c:pt>
                <c:pt idx="641">
                  <c:v>1.3482149091023221E-2</c:v>
                </c:pt>
                <c:pt idx="642">
                  <c:v>1.3488844382671479E-2</c:v>
                </c:pt>
                <c:pt idx="643">
                  <c:v>1.349553967431974E-2</c:v>
                </c:pt>
                <c:pt idx="644">
                  <c:v>1.3515625549264519E-2</c:v>
                </c:pt>
                <c:pt idx="645">
                  <c:v>1.3522321062765092E-2</c:v>
                </c:pt>
                <c:pt idx="646">
                  <c:v>1.3529022664690171E-2</c:v>
                </c:pt>
                <c:pt idx="647">
                  <c:v>1.3535742185018393E-2</c:v>
                </c:pt>
                <c:pt idx="648">
                  <c:v>1.3542491739378293E-2</c:v>
                </c:pt>
                <c:pt idx="649">
                  <c:v>1.3563041762933411E-2</c:v>
                </c:pt>
                <c:pt idx="650">
                  <c:v>1.3570032609705369E-2</c:v>
                </c:pt>
                <c:pt idx="651">
                  <c:v>1.3577114068651674E-2</c:v>
                </c:pt>
                <c:pt idx="652">
                  <c:v>1.3584287554338614E-2</c:v>
                </c:pt>
                <c:pt idx="653">
                  <c:v>1.3591544647636084E-2</c:v>
                </c:pt>
                <c:pt idx="654">
                  <c:v>1.3613791224031209E-2</c:v>
                </c:pt>
                <c:pt idx="655">
                  <c:v>1.3621356398610328E-2</c:v>
                </c:pt>
                <c:pt idx="656">
                  <c:v>1.3628992006219745E-2</c:v>
                </c:pt>
                <c:pt idx="657">
                  <c:v>1.3636695411943411E-2</c:v>
                </c:pt>
                <c:pt idx="658">
                  <c:v>1.3644463980865275E-2</c:v>
                </c:pt>
                <c:pt idx="659">
                  <c:v>1.3668134317659604E-2</c:v>
                </c:pt>
                <c:pt idx="660">
                  <c:v>1.3676137190213801E-2</c:v>
                </c:pt>
                <c:pt idx="661">
                  <c:v>1.3684192051385963E-2</c:v>
                </c:pt>
                <c:pt idx="662">
                  <c:v>1.369229626626004E-2</c:v>
                </c:pt>
                <c:pt idx="663">
                  <c:v>1.3700447199919988E-2</c:v>
                </c:pt>
                <c:pt idx="664">
                  <c:v>1.3733465424097546E-2</c:v>
                </c:pt>
                <c:pt idx="665">
                  <c:v>1.374181042794614E-2</c:v>
                </c:pt>
                <c:pt idx="666">
                  <c:v>1.3750186341084322E-2</c:v>
                </c:pt>
                <c:pt idx="667">
                  <c:v>1.3758590528596043E-2</c:v>
                </c:pt>
                <c:pt idx="668">
                  <c:v>1.3783946388211975E-2</c:v>
                </c:pt>
                <c:pt idx="669">
                  <c:v>1.3792437324057386E-2</c:v>
                </c:pt>
                <c:pt idx="670">
                  <c:v>1.3800943359696101E-2</c:v>
                </c:pt>
                <c:pt idx="671">
                  <c:v>1.3809461860212072E-2</c:v>
                </c:pt>
                <c:pt idx="672">
                  <c:v>1.3817990190689255E-2</c:v>
                </c:pt>
                <c:pt idx="673">
                  <c:v>1.3843607812396552E-2</c:v>
                </c:pt>
                <c:pt idx="674">
                  <c:v>1.3852149079240535E-2</c:v>
                </c:pt>
                <c:pt idx="675">
                  <c:v>1.3860686872439494E-2</c:v>
                </c:pt>
                <c:pt idx="676">
                  <c:v>1.3869218455429728E-2</c:v>
                </c:pt>
                <c:pt idx="677">
                  <c:v>1.3877741091647534E-2</c:v>
                </c:pt>
                <c:pt idx="678">
                  <c:v>1.3903227954029391E-2</c:v>
                </c:pt>
                <c:pt idx="679">
                  <c:v>1.3911687437520488E-2</c:v>
                </c:pt>
                <c:pt idx="680">
                  <c:v>1.392012429142065E-2</c:v>
                </c:pt>
                <c:pt idx="681">
                  <c:v>1.3928535779166187E-2</c:v>
                </c:pt>
                <c:pt idx="682">
                  <c:v>1.3936919164193394E-2</c:v>
                </c:pt>
                <c:pt idx="683">
                  <c:v>1.3961873337328023E-2</c:v>
                </c:pt>
                <c:pt idx="684">
                  <c:v>1.3970116945844898E-2</c:v>
                </c:pt>
                <c:pt idx="685">
                  <c:v>1.3978318768824941E-2</c:v>
                </c:pt>
                <c:pt idx="686">
                  <c:v>1.3986476069704448E-2</c:v>
                </c:pt>
                <c:pt idx="687">
                  <c:v>1.3994586111919723E-2</c:v>
                </c:pt>
                <c:pt idx="688">
                  <c:v>1.402649896286446E-2</c:v>
                </c:pt>
                <c:pt idx="689">
                  <c:v>1.403433166330305E-2</c:v>
                </c:pt>
                <c:pt idx="690">
                  <c:v>1.4042100685695199E-2</c:v>
                </c:pt>
                <c:pt idx="691">
                  <c:v>1.4049803293477211E-2</c:v>
                </c:pt>
                <c:pt idx="692">
                  <c:v>1.4072485263525404E-2</c:v>
                </c:pt>
                <c:pt idx="693">
                  <c:v>1.4079894847229855E-2</c:v>
                </c:pt>
                <c:pt idx="694">
                  <c:v>1.4087224333505661E-2</c:v>
                </c:pt>
                <c:pt idx="695">
                  <c:v>1.4101632067516544E-2</c:v>
                </c:pt>
                <c:pt idx="696">
                  <c:v>1.4122869693572324E-2</c:v>
                </c:pt>
                <c:pt idx="697">
                  <c:v>1.4129896663847227E-2</c:v>
                </c:pt>
                <c:pt idx="698">
                  <c:v>1.4136896678890676E-2</c:v>
                </c:pt>
                <c:pt idx="699">
                  <c:v>1.4143869237086906E-2</c:v>
                </c:pt>
                <c:pt idx="700">
                  <c:v>1.415081383682015E-2</c:v>
                </c:pt>
                <c:pt idx="701">
                  <c:v>1.417147486908432E-2</c:v>
                </c:pt>
                <c:pt idx="702">
                  <c:v>1.417830261880797E-2</c:v>
                </c:pt>
                <c:pt idx="703">
                  <c:v>1.4185099901989807E-2</c:v>
                </c:pt>
                <c:pt idx="704">
                  <c:v>1.4191866217014069E-2</c:v>
                </c:pt>
                <c:pt idx="705">
                  <c:v>1.4198601062264988E-2</c:v>
                </c:pt>
                <c:pt idx="706">
                  <c:v>1.4218611763220033E-2</c:v>
                </c:pt>
                <c:pt idx="707">
                  <c:v>1.4225215713219927E-2</c:v>
                </c:pt>
                <c:pt idx="708">
                  <c:v>1.423178568536765E-2</c:v>
                </c:pt>
                <c:pt idx="709">
                  <c:v>1.423832117804744E-2</c:v>
                </c:pt>
                <c:pt idx="710">
                  <c:v>1.4244821689643526E-2</c:v>
                </c:pt>
                <c:pt idx="711">
                  <c:v>1.4264108321771933E-2</c:v>
                </c:pt>
                <c:pt idx="712">
                  <c:v>1.4270463892875567E-2</c:v>
                </c:pt>
                <c:pt idx="713">
                  <c:v>1.4276781974816671E-2</c:v>
                </c:pt>
                <c:pt idx="714">
                  <c:v>1.4283025962361189E-2</c:v>
                </c:pt>
                <c:pt idx="715">
                  <c:v>1.4289162121774562E-2</c:v>
                </c:pt>
                <c:pt idx="716">
                  <c:v>1.4306961687562689E-2</c:v>
                </c:pt>
                <c:pt idx="717">
                  <c:v>1.4318358694046318E-2</c:v>
                </c:pt>
                <c:pt idx="718">
                  <c:v>1.4323927802976061E-2</c:v>
                </c:pt>
                <c:pt idx="719">
                  <c:v>1.4329415723209071E-2</c:v>
                </c:pt>
                <c:pt idx="720">
                  <c:v>1.4345430408062571E-2</c:v>
                </c:pt>
                <c:pt idx="721">
                  <c:v>1.4355770691095176E-2</c:v>
                </c:pt>
                <c:pt idx="722">
                  <c:v>1.4360851397451023E-2</c:v>
                </c:pt>
                <c:pt idx="723">
                  <c:v>1.4365877554544548E-2</c:v>
                </c:pt>
                <c:pt idx="724">
                  <c:v>1.4380666786586067E-2</c:v>
                </c:pt>
                <c:pt idx="725">
                  <c:v>1.4385512802965182E-2</c:v>
                </c:pt>
                <c:pt idx="726">
                  <c:v>1.4390323298249411E-2</c:v>
                </c:pt>
                <c:pt idx="727">
                  <c:v>1.4395102078072243E-2</c:v>
                </c:pt>
                <c:pt idx="728">
                  <c:v>1.4399852948067166E-2</c:v>
                </c:pt>
                <c:pt idx="729">
                  <c:v>1.4413976155419348E-2</c:v>
                </c:pt>
                <c:pt idx="730">
                  <c:v>1.4418653442437505E-2</c:v>
                </c:pt>
                <c:pt idx="731">
                  <c:v>1.4423321847795189E-2</c:v>
                </c:pt>
                <c:pt idx="732">
                  <c:v>1.4427985177125886E-2</c:v>
                </c:pt>
                <c:pt idx="733">
                  <c:v>1.4432647138268964E-2</c:v>
                </c:pt>
                <c:pt idx="734">
                  <c:v>1.4451325274215806E-2</c:v>
                </c:pt>
                <c:pt idx="735">
                  <c:v>1.4456011498183008E-2</c:v>
                </c:pt>
                <c:pt idx="736">
                  <c:v>1.4460708040075276E-2</c:v>
                </c:pt>
                <c:pt idx="737">
                  <c:v>1.4465416720859044E-2</c:v>
                </c:pt>
                <c:pt idx="738">
                  <c:v>1.4479633806223715E-2</c:v>
                </c:pt>
                <c:pt idx="739">
                  <c:v>1.4484409252237844E-2</c:v>
                </c:pt>
                <c:pt idx="740">
                  <c:v>1.4489205941975654E-2</c:v>
                </c:pt>
                <c:pt idx="741">
                  <c:v>1.4494025696403576E-2</c:v>
                </c:pt>
                <c:pt idx="742">
                  <c:v>1.4498870336488046E-2</c:v>
                </c:pt>
                <c:pt idx="743">
                  <c:v>1.4513571780345104E-2</c:v>
                </c:pt>
                <c:pt idx="744">
                  <c:v>1.4518534172720124E-2</c:v>
                </c:pt>
                <c:pt idx="745">
                  <c:v>1.4523530555583869E-2</c:v>
                </c:pt>
                <c:pt idx="746">
                  <c:v>1.4528562749902775E-2</c:v>
                </c:pt>
                <c:pt idx="747">
                  <c:v>1.4533632576643276E-2</c:v>
                </c:pt>
                <c:pt idx="748">
                  <c:v>1.4549086061058713E-2</c:v>
                </c:pt>
                <c:pt idx="749">
                  <c:v>1.4554324627149952E-2</c:v>
                </c:pt>
                <c:pt idx="750">
                  <c:v>1.4559609930494963E-2</c:v>
                </c:pt>
                <c:pt idx="751">
                  <c:v>1.4564943792060183E-2</c:v>
                </c:pt>
                <c:pt idx="752">
                  <c:v>1.4570328032812043E-2</c:v>
                </c:pt>
                <c:pt idx="753">
                  <c:v>1.4592405207014634E-2</c:v>
                </c:pt>
                <c:pt idx="754">
                  <c:v>1.4598068658196243E-2</c:v>
                </c:pt>
                <c:pt idx="755">
                  <c:v>1.4603793414363103E-2</c:v>
                </c:pt>
                <c:pt idx="756">
                  <c:v>1.4609581296481657E-2</c:v>
                </c:pt>
                <c:pt idx="757">
                  <c:v>1.462734190821181E-2</c:v>
                </c:pt>
                <c:pt idx="758">
                  <c:v>1.4633377758184216E-2</c:v>
                </c:pt>
                <c:pt idx="759">
                  <c:v>1.463943913352677E-2</c:v>
                </c:pt>
                <c:pt idx="760">
                  <c:v>1.46455260339371E-2</c:v>
                </c:pt>
                <c:pt idx="761">
                  <c:v>1.4651638459112843E-2</c:v>
                </c:pt>
                <c:pt idx="762">
                  <c:v>1.4670128880208858E-2</c:v>
                </c:pt>
                <c:pt idx="763">
                  <c:v>1.4676343401422572E-2</c:v>
                </c:pt>
                <c:pt idx="764">
                  <c:v>1.4682583445889861E-2</c:v>
                </c:pt>
                <c:pt idx="765">
                  <c:v>1.4688849013308358E-2</c:v>
                </c:pt>
                <c:pt idx="766">
                  <c:v>1.4695140103375694E-2</c:v>
                </c:pt>
                <c:pt idx="767">
                  <c:v>1.4714166506447079E-2</c:v>
                </c:pt>
                <c:pt idx="768">
                  <c:v>1.4720559684086108E-2</c:v>
                </c:pt>
                <c:pt idx="769">
                  <c:v>1.4726978382862141E-2</c:v>
                </c:pt>
                <c:pt idx="770">
                  <c:v>1.4733422602472812E-2</c:v>
                </c:pt>
                <c:pt idx="771">
                  <c:v>1.4739892342615754E-2</c:v>
                </c:pt>
                <c:pt idx="772">
                  <c:v>1.4759454683214535E-2</c:v>
                </c:pt>
                <c:pt idx="773">
                  <c:v>1.4766026502462889E-2</c:v>
                </c:pt>
                <c:pt idx="774">
                  <c:v>1.4772623840731676E-2</c:v>
                </c:pt>
                <c:pt idx="775">
                  <c:v>1.4779254125918566E-2</c:v>
                </c:pt>
                <c:pt idx="776">
                  <c:v>1.4785924314029572E-2</c:v>
                </c:pt>
                <c:pt idx="777">
                  <c:v>1.4806167214508888E-2</c:v>
                </c:pt>
                <c:pt idx="778">
                  <c:v>1.481298993291795E-2</c:v>
                </c:pt>
                <c:pt idx="779">
                  <c:v>1.4819849013551921E-2</c:v>
                </c:pt>
                <c:pt idx="780">
                  <c:v>1.4826743748270959E-2</c:v>
                </c:pt>
                <c:pt idx="781">
                  <c:v>1.4833673428935219E-2</c:v>
                </c:pt>
                <c:pt idx="782">
                  <c:v>1.4854665065200933E-2</c:v>
                </c:pt>
                <c:pt idx="783">
                  <c:v>1.4861727448247673E-2</c:v>
                </c:pt>
                <c:pt idx="784">
                  <c:v>1.4868821236540429E-2</c:v>
                </c:pt>
                <c:pt idx="785">
                  <c:v>1.4875945721939359E-2</c:v>
                </c:pt>
                <c:pt idx="786">
                  <c:v>1.4883100196304616E-2</c:v>
                </c:pt>
                <c:pt idx="787">
                  <c:v>1.490473647179996E-2</c:v>
                </c:pt>
                <c:pt idx="788">
                  <c:v>1.4912003820632123E-2</c:v>
                </c:pt>
                <c:pt idx="789">
                  <c:v>1.4919297617731407E-2</c:v>
                </c:pt>
                <c:pt idx="790">
                  <c:v>1.492661715495797E-2</c:v>
                </c:pt>
                <c:pt idx="791">
                  <c:v>1.4933961724171971E-2</c:v>
                </c:pt>
                <c:pt idx="792">
                  <c:v>1.4956138542340175E-2</c:v>
                </c:pt>
                <c:pt idx="793">
                  <c:v>1.4963576158105504E-2</c:v>
                </c:pt>
                <c:pt idx="794">
                  <c:v>1.497103526515906E-2</c:v>
                </c:pt>
                <c:pt idx="795">
                  <c:v>1.4978515155361E-2</c:v>
                </c:pt>
                <c:pt idx="796">
                  <c:v>1.4986015120571485E-2</c:v>
                </c:pt>
                <c:pt idx="797">
                  <c:v>1.500862838485578E-2</c:v>
                </c:pt>
                <c:pt idx="798">
                  <c:v>1.5016201568702019E-2</c:v>
                </c:pt>
                <c:pt idx="799">
                  <c:v>1.502379128685759E-2</c:v>
                </c:pt>
                <c:pt idx="800">
                  <c:v>1.5031396831182651E-2</c:v>
                </c:pt>
                <c:pt idx="801">
                  <c:v>1.5039017493537365E-2</c:v>
                </c:pt>
                <c:pt idx="802">
                  <c:v>1.506196310738098E-2</c:v>
                </c:pt>
                <c:pt idx="803">
                  <c:v>1.5069637160455871E-2</c:v>
                </c:pt>
                <c:pt idx="804">
                  <c:v>1.5077322790861202E-2</c:v>
                </c:pt>
                <c:pt idx="805">
                  <c:v>1.508501929045713E-2</c:v>
                </c:pt>
                <c:pt idx="806">
                  <c:v>1.5092725951103813E-2</c:v>
                </c:pt>
                <c:pt idx="807">
                  <c:v>1.5115899817949981E-2</c:v>
                </c:pt>
                <c:pt idx="808">
                  <c:v>1.5123640041401269E-2</c:v>
                </c:pt>
                <c:pt idx="809">
                  <c:v>1.5131386885204101E-2</c:v>
                </c:pt>
                <c:pt idx="810">
                  <c:v>1.5139139641218638E-2</c:v>
                </c:pt>
                <c:pt idx="811">
                  <c:v>1.5146897601305036E-2</c:v>
                </c:pt>
                <c:pt idx="812">
                  <c:v>1.5170195624596986E-2</c:v>
                </c:pt>
                <c:pt idx="813">
                  <c:v>1.5177967319572411E-2</c:v>
                </c:pt>
                <c:pt idx="814">
                  <c:v>1.5185740677920492E-2</c:v>
                </c:pt>
                <c:pt idx="815">
                  <c:v>1.5193514991501381E-2</c:v>
                </c:pt>
                <c:pt idx="816">
                  <c:v>1.5201289584747351E-2</c:v>
                </c:pt>
                <c:pt idx="817">
                  <c:v>1.5224613379527524E-2</c:v>
                </c:pt>
                <c:pt idx="818">
                  <c:v>1.523238797778758E-2</c:v>
                </c:pt>
                <c:pt idx="819">
                  <c:v>1.5240162576047636E-2</c:v>
                </c:pt>
                <c:pt idx="820">
                  <c:v>1.5247937174307693E-2</c:v>
                </c:pt>
                <c:pt idx="821">
                  <c:v>1.5255725620607247E-2</c:v>
                </c:pt>
                <c:pt idx="822">
                  <c:v>1.5287148482076632E-2</c:v>
                </c:pt>
                <c:pt idx="823">
                  <c:v>1.5295069101156142E-2</c:v>
                </c:pt>
                <c:pt idx="824">
                  <c:v>1.5303014735578267E-2</c:v>
                </c:pt>
                <c:pt idx="825">
                  <c:v>1.5310984912271884E-2</c:v>
                </c:pt>
                <c:pt idx="826">
                  <c:v>1.533503796527042E-2</c:v>
                </c:pt>
                <c:pt idx="827">
                  <c:v>1.5343101580338742E-2</c:v>
                </c:pt>
                <c:pt idx="828">
                  <c:v>1.5351187372322928E-2</c:v>
                </c:pt>
                <c:pt idx="829">
                  <c:v>1.5359294868151852E-2</c:v>
                </c:pt>
                <c:pt idx="830">
                  <c:v>1.5367423594754388E-2</c:v>
                </c:pt>
                <c:pt idx="831">
                  <c:v>1.5391932428492412E-2</c:v>
                </c:pt>
                <c:pt idx="832">
                  <c:v>1.5400141347478141E-2</c:v>
                </c:pt>
                <c:pt idx="833">
                  <c:v>1.5408369131881856E-2</c:v>
                </c:pt>
                <c:pt idx="834">
                  <c:v>1.5416615308632432E-2</c:v>
                </c:pt>
                <c:pt idx="835">
                  <c:v>1.5424879404658743E-2</c:v>
                </c:pt>
                <c:pt idx="836">
                  <c:v>1.5449774477680827E-2</c:v>
                </c:pt>
                <c:pt idx="837">
                  <c:v>1.5458105520098821E-2</c:v>
                </c:pt>
                <c:pt idx="838">
                  <c:v>1.5466452116436921E-2</c:v>
                </c:pt>
                <c:pt idx="839">
                  <c:v>1.5474813793624006E-2</c:v>
                </c:pt>
                <c:pt idx="840">
                  <c:v>1.5483190078588947E-2</c:v>
                </c:pt>
                <c:pt idx="841">
                  <c:v>1.5508401849439656E-2</c:v>
                </c:pt>
                <c:pt idx="842">
                  <c:v>1.5516831834804769E-2</c:v>
                </c:pt>
                <c:pt idx="843">
                  <c:v>1.5525274062592111E-2</c:v>
                </c:pt>
                <c:pt idx="844">
                  <c:v>1.5533728059730559E-2</c:v>
                </c:pt>
                <c:pt idx="845">
                  <c:v>1.5542193353148985E-2</c:v>
                </c:pt>
                <c:pt idx="846">
                  <c:v>1.5567652280372889E-2</c:v>
                </c:pt>
                <c:pt idx="847">
                  <c:v>1.5576158028199977E-2</c:v>
                </c:pt>
                <c:pt idx="848">
                  <c:v>1.5584672706951418E-2</c:v>
                </c:pt>
                <c:pt idx="849">
                  <c:v>1.5601726964942855E-2</c:v>
                </c:pt>
                <c:pt idx="850">
                  <c:v>1.5627363507084518E-2</c:v>
                </c:pt>
                <c:pt idx="851">
                  <c:v>1.5635921836888438E-2</c:v>
                </c:pt>
                <c:pt idx="852">
                  <c:v>1.5644485786118833E-2</c:v>
                </c:pt>
                <c:pt idx="853">
                  <c:v>1.5653054881704577E-2</c:v>
                </c:pt>
                <c:pt idx="854">
                  <c:v>1.5661628650574546E-2</c:v>
                </c:pt>
                <c:pt idx="855">
                  <c:v>1.5687373266178535E-2</c:v>
                </c:pt>
                <c:pt idx="856">
                  <c:v>1.5695960997474143E-2</c:v>
                </c:pt>
                <c:pt idx="857">
                  <c:v>1.570455103669835E-2</c:v>
                </c:pt>
                <c:pt idx="858">
                  <c:v>1.5713142910780024E-2</c:v>
                </c:pt>
                <c:pt idx="859">
                  <c:v>1.5721736146648048E-2</c:v>
                </c:pt>
                <c:pt idx="860">
                  <c:v>1.574751888748183E-2</c:v>
                </c:pt>
                <c:pt idx="861">
                  <c:v>1.5756110492668861E-2</c:v>
                </c:pt>
                <c:pt idx="862">
                  <c:v>1.576469742267822E-2</c:v>
                </c:pt>
                <c:pt idx="863">
                  <c:v>1.5773277473684417E-2</c:v>
                </c:pt>
                <c:pt idx="864">
                  <c:v>1.5781848441861968E-2</c:v>
                </c:pt>
                <c:pt idx="865">
                  <c:v>1.5807484811167838E-2</c:v>
                </c:pt>
                <c:pt idx="866">
                  <c:v>1.5815997409775902E-2</c:v>
                </c:pt>
                <c:pt idx="867">
                  <c:v>1.5824489906427871E-2</c:v>
                </c:pt>
                <c:pt idx="868">
                  <c:v>1.5832960097298253E-2</c:v>
                </c:pt>
                <c:pt idx="869">
                  <c:v>1.5841405778561565E-2</c:v>
                </c:pt>
                <c:pt idx="870">
                  <c:v>1.5866573726454166E-2</c:v>
                </c:pt>
                <c:pt idx="871">
                  <c:v>1.5874899331034292E-2</c:v>
                </c:pt>
                <c:pt idx="872">
                  <c:v>1.5883189406879897E-2</c:v>
                </c:pt>
                <c:pt idx="873">
                  <c:v>1.5891441750165495E-2</c:v>
                </c:pt>
                <c:pt idx="874">
                  <c:v>1.5899654157065589E-2</c:v>
                </c:pt>
                <c:pt idx="875">
                  <c:v>1.5924029721198007E-2</c:v>
                </c:pt>
                <c:pt idx="876">
                  <c:v>1.5932060344301217E-2</c:v>
                </c:pt>
                <c:pt idx="877">
                  <c:v>1.5940040011891487E-2</c:v>
                </c:pt>
                <c:pt idx="878">
                  <c:v>1.5947966520143325E-2</c:v>
                </c:pt>
                <c:pt idx="879">
                  <c:v>1.5955837665231239E-2</c:v>
                </c:pt>
                <c:pt idx="880">
                  <c:v>1.5979096883256553E-2</c:v>
                </c:pt>
                <c:pt idx="881">
                  <c:v>1.5986724537433883E-2</c:v>
                </c:pt>
                <c:pt idx="882">
                  <c:v>1.5994285809319844E-2</c:v>
                </c:pt>
                <c:pt idx="883">
                  <c:v>1.600177849508895E-2</c:v>
                </c:pt>
                <c:pt idx="884">
                  <c:v>1.6009200390915707E-2</c:v>
                </c:pt>
                <c:pt idx="885">
                  <c:v>1.6031179364522155E-2</c:v>
                </c:pt>
                <c:pt idx="886">
                  <c:v>1.6038428346713537E-2</c:v>
                </c:pt>
                <c:pt idx="887">
                  <c:v>1.6045639853527489E-2</c:v>
                </c:pt>
                <c:pt idx="888">
                  <c:v>1.6052814602440773E-2</c:v>
                </c:pt>
                <c:pt idx="889">
                  <c:v>1.6059953310930158E-2</c:v>
                </c:pt>
                <c:pt idx="890">
                  <c:v>1.6088162090184027E-2</c:v>
                </c:pt>
                <c:pt idx="891">
                  <c:v>1.6095131358705411E-2</c:v>
                </c:pt>
                <c:pt idx="892">
                  <c:v>1.6102068891663497E-2</c:v>
                </c:pt>
                <c:pt idx="893">
                  <c:v>1.6108975406535057E-2</c:v>
                </c:pt>
                <c:pt idx="894">
                  <c:v>1.6129516017398218E-2</c:v>
                </c:pt>
                <c:pt idx="895">
                  <c:v>1.6136305634691324E-2</c:v>
                </c:pt>
                <c:pt idx="896">
                  <c:v>1.6143067821281738E-2</c:v>
                </c:pt>
                <c:pt idx="897">
                  <c:v>1.6149803294646225E-2</c:v>
                </c:pt>
                <c:pt idx="898">
                  <c:v>1.6156512772261548E-2</c:v>
                </c:pt>
                <c:pt idx="899">
                  <c:v>1.617649240538023E-2</c:v>
                </c:pt>
                <c:pt idx="900">
                  <c:v>1.6183105074766585E-2</c:v>
                </c:pt>
                <c:pt idx="901">
                  <c:v>1.6189695335787613E-2</c:v>
                </c:pt>
                <c:pt idx="902">
                  <c:v>1.6196263905920088E-2</c:v>
                </c:pt>
                <c:pt idx="903">
                  <c:v>1.620281150264077E-2</c:v>
                </c:pt>
                <c:pt idx="904">
                  <c:v>1.6222335627099748E-2</c:v>
                </c:pt>
                <c:pt idx="905">
                  <c:v>1.6228806504940945E-2</c:v>
                </c:pt>
                <c:pt idx="906">
                  <c:v>1.6235259996754185E-2</c:v>
                </c:pt>
                <c:pt idx="907">
                  <c:v>1.6241696820016239E-2</c:v>
                </c:pt>
                <c:pt idx="908">
                  <c:v>1.624811769220387E-2</c:v>
                </c:pt>
                <c:pt idx="909">
                  <c:v>1.6267291777087925E-2</c:v>
                </c:pt>
                <c:pt idx="910">
                  <c:v>1.6273656019745553E-2</c:v>
                </c:pt>
                <c:pt idx="911">
                  <c:v>1.628000789871259E-2</c:v>
                </c:pt>
                <c:pt idx="912">
                  <c:v>1.6286348131465817E-2</c:v>
                </c:pt>
                <c:pt idx="913">
                  <c:v>1.6292677435481993E-2</c:v>
                </c:pt>
                <c:pt idx="914">
                  <c:v>1.6311606949875896E-2</c:v>
                </c:pt>
                <c:pt idx="915">
                  <c:v>1.6317899713711545E-2</c:v>
                </c:pt>
                <c:pt idx="916">
                  <c:v>1.6324185136193981E-2</c:v>
                </c:pt>
                <c:pt idx="917">
                  <c:v>1.633046393479997E-2</c:v>
                </c:pt>
                <c:pt idx="918">
                  <c:v>1.6336736827006277E-2</c:v>
                </c:pt>
                <c:pt idx="919">
                  <c:v>1.6361783681370069E-2</c:v>
                </c:pt>
                <c:pt idx="920">
                  <c:v>1.6368037803729491E-2</c:v>
                </c:pt>
                <c:pt idx="921">
                  <c:v>1.6374290324549838E-2</c:v>
                </c:pt>
                <c:pt idx="922">
                  <c:v>1.6380541961307876E-2</c:v>
                </c:pt>
                <c:pt idx="923">
                  <c:v>1.639929620644465E-2</c:v>
                </c:pt>
                <c:pt idx="924">
                  <c:v>1.6405547620991331E-2</c:v>
                </c:pt>
                <c:pt idx="925">
                  <c:v>1.6411799035538015E-2</c:v>
                </c:pt>
                <c:pt idx="926">
                  <c:v>1.6418050450084695E-2</c:v>
                </c:pt>
                <c:pt idx="927">
                  <c:v>1.6424301864631376E-2</c:v>
                </c:pt>
                <c:pt idx="928">
                  <c:v>1.6443056108271417E-2</c:v>
                </c:pt>
                <c:pt idx="929">
                  <c:v>1.6449307522818101E-2</c:v>
                </c:pt>
                <c:pt idx="930">
                  <c:v>1.6455558937364782E-2</c:v>
                </c:pt>
                <c:pt idx="931">
                  <c:v>1.6461810351911462E-2</c:v>
                </c:pt>
                <c:pt idx="932">
                  <c:v>1.6468061766458146E-2</c:v>
                </c:pt>
                <c:pt idx="933">
                  <c:v>1.6486816010098191E-2</c:v>
                </c:pt>
                <c:pt idx="934">
                  <c:v>1.6493067424644868E-2</c:v>
                </c:pt>
                <c:pt idx="935">
                  <c:v>1.6499318839191549E-2</c:v>
                </c:pt>
                <c:pt idx="936">
                  <c:v>1.6505570253738229E-2</c:v>
                </c:pt>
                <c:pt idx="937">
                  <c:v>1.6511821668284913E-2</c:v>
                </c:pt>
                <c:pt idx="938">
                  <c:v>1.6536827326471638E-2</c:v>
                </c:pt>
                <c:pt idx="939">
                  <c:v>1.6543078741018319E-2</c:v>
                </c:pt>
                <c:pt idx="940">
                  <c:v>1.6549330155564999E-2</c:v>
                </c:pt>
                <c:pt idx="941">
                  <c:v>1.655558157011168E-2</c:v>
                </c:pt>
                <c:pt idx="942">
                  <c:v>1.6574335813751725E-2</c:v>
                </c:pt>
                <c:pt idx="943">
                  <c:v>1.6580587228298405E-2</c:v>
                </c:pt>
                <c:pt idx="944">
                  <c:v>1.6586838642845086E-2</c:v>
                </c:pt>
                <c:pt idx="945">
                  <c:v>1.6593090057391766E-2</c:v>
                </c:pt>
                <c:pt idx="946">
                  <c:v>1.6599341471938447E-2</c:v>
                </c:pt>
                <c:pt idx="947">
                  <c:v>1.6618095715578492E-2</c:v>
                </c:pt>
                <c:pt idx="948">
                  <c:v>1.6624347130125172E-2</c:v>
                </c:pt>
                <c:pt idx="949">
                  <c:v>1.6630598544671856E-2</c:v>
                </c:pt>
                <c:pt idx="950">
                  <c:v>1.6643101373765217E-2</c:v>
                </c:pt>
                <c:pt idx="951">
                  <c:v>1.6661855617405259E-2</c:v>
                </c:pt>
                <c:pt idx="952">
                  <c:v>1.6668107031951939E-2</c:v>
                </c:pt>
                <c:pt idx="953">
                  <c:v>1.6674358446498623E-2</c:v>
                </c:pt>
                <c:pt idx="954">
                  <c:v>1.668060985760865E-2</c:v>
                </c:pt>
                <c:pt idx="955">
                  <c:v>1.668686116221324E-2</c:v>
                </c:pt>
                <c:pt idx="956">
                  <c:v>1.6705612255905548E-2</c:v>
                </c:pt>
                <c:pt idx="957">
                  <c:v>1.6711860941306101E-2</c:v>
                </c:pt>
                <c:pt idx="958">
                  <c:v>1.6718108417563337E-2</c:v>
                </c:pt>
                <c:pt idx="959">
                  <c:v>1.6724354462940343E-2</c:v>
                </c:pt>
                <c:pt idx="960">
                  <c:v>1.6730598855700198E-2</c:v>
                </c:pt>
                <c:pt idx="961">
                  <c:v>1.6749319900907628E-2</c:v>
                </c:pt>
                <c:pt idx="962">
                  <c:v>1.6755555465829658E-2</c:v>
                </c:pt>
                <c:pt idx="963">
                  <c:v>1.6761788269449931E-2</c:v>
                </c:pt>
                <c:pt idx="964">
                  <c:v>1.6768018090031523E-2</c:v>
                </c:pt>
                <c:pt idx="965">
                  <c:v>1.6774244705837518E-2</c:v>
                </c:pt>
                <c:pt idx="966">
                  <c:v>1.6792903107232689E-2</c:v>
                </c:pt>
                <c:pt idx="967">
                  <c:v>1.6799114686567071E-2</c:v>
                </c:pt>
                <c:pt idx="968">
                  <c:v>1.6811524683118303E-2</c:v>
                </c:pt>
                <c:pt idx="969">
                  <c:v>1.6817722656861309E-2</c:v>
                </c:pt>
                <c:pt idx="970">
                  <c:v>1.6836285819116833E-2</c:v>
                </c:pt>
                <c:pt idx="971">
                  <c:v>1.6842462547754442E-2</c:v>
                </c:pt>
                <c:pt idx="972">
                  <c:v>1.6854764516079899E-2</c:v>
                </c:pt>
                <c:pt idx="973">
                  <c:v>1.686090620001689E-2</c:v>
                </c:pt>
                <c:pt idx="974">
                  <c:v>1.6879291411832534E-2</c:v>
                </c:pt>
                <c:pt idx="975">
                  <c:v>1.6885405802691416E-2</c:v>
                </c:pt>
                <c:pt idx="976">
                  <c:v>1.6891512820469849E-2</c:v>
                </c:pt>
                <c:pt idx="977">
                  <c:v>1.6897612245243478E-2</c:v>
                </c:pt>
                <c:pt idx="978">
                  <c:v>1.6903703857087924E-2</c:v>
                </c:pt>
                <c:pt idx="979">
                  <c:v>1.6921929615802533E-2</c:v>
                </c:pt>
                <c:pt idx="980">
                  <c:v>1.6927987776686606E-2</c:v>
                </c:pt>
                <c:pt idx="981">
                  <c:v>1.6934037025019662E-2</c:v>
                </c:pt>
                <c:pt idx="982">
                  <c:v>1.6940077140877346E-2</c:v>
                </c:pt>
                <c:pt idx="983">
                  <c:v>1.6946107904335286E-2</c:v>
                </c:pt>
                <c:pt idx="984">
                  <c:v>1.6970133035682265E-2</c:v>
                </c:pt>
                <c:pt idx="985">
                  <c:v>1.6976113738275986E-2</c:v>
                </c:pt>
                <c:pt idx="986">
                  <c:v>1.6982083768923763E-2</c:v>
                </c:pt>
                <c:pt idx="987">
                  <c:v>1.6988042907701228E-2</c:v>
                </c:pt>
                <c:pt idx="988">
                  <c:v>1.70058527735681E-2</c:v>
                </c:pt>
                <c:pt idx="989">
                  <c:v>1.7011766145620659E-2</c:v>
                </c:pt>
                <c:pt idx="990">
                  <c:v>1.7017667526181078E-2</c:v>
                </c:pt>
                <c:pt idx="991">
                  <c:v>1.7023556695324987E-2</c:v>
                </c:pt>
                <c:pt idx="992">
                  <c:v>1.7029433433128016E-2</c:v>
                </c:pt>
                <c:pt idx="993">
                  <c:v>1.704698685924819E-2</c:v>
                </c:pt>
                <c:pt idx="994">
                  <c:v>1.7052811672444049E-2</c:v>
                </c:pt>
                <c:pt idx="995">
                  <c:v>1.7058622954677197E-2</c:v>
                </c:pt>
                <c:pt idx="996">
                  <c:v>1.7064420486023274E-2</c:v>
                </c:pt>
                <c:pt idx="997">
                  <c:v>1.7070204046557909E-2</c:v>
                </c:pt>
                <c:pt idx="998">
                  <c:v>1.7087468704049487E-2</c:v>
                </c:pt>
                <c:pt idx="999">
                  <c:v>1.7093194182094686E-2</c:v>
                </c:pt>
                <c:pt idx="1000">
                  <c:v>1.7098904589706608E-2</c:v>
                </c:pt>
                <c:pt idx="1001">
                  <c:v>1.7104599706960887E-2</c:v>
                </c:pt>
                <c:pt idx="1002">
                  <c:v>1.7110279313933156E-2</c:v>
                </c:pt>
                <c:pt idx="1003">
                  <c:v>1.7132838240514828E-2</c:v>
                </c:pt>
                <c:pt idx="1004">
                  <c:v>1.713843699721156E-2</c:v>
                </c:pt>
                <c:pt idx="1005">
                  <c:v>1.7144018924080084E-2</c:v>
                </c:pt>
                <c:pt idx="1006">
                  <c:v>1.7149583801196029E-2</c:v>
                </c:pt>
                <c:pt idx="1007">
                  <c:v>1.716617393478476E-2</c:v>
                </c:pt>
                <c:pt idx="1008">
                  <c:v>1.7171674003349929E-2</c:v>
                </c:pt>
                <c:pt idx="1009">
                  <c:v>1.7177167151078074E-2</c:v>
                </c:pt>
                <c:pt idx="1010">
                  <c:v>1.7182653231741327E-2</c:v>
                </c:pt>
                <c:pt idx="1011">
                  <c:v>1.7188132099111825E-2</c:v>
                </c:pt>
                <c:pt idx="1012">
                  <c:v>1.7204523959188193E-2</c:v>
                </c:pt>
                <c:pt idx="1013">
                  <c:v>1.7209972511109072E-2</c:v>
                </c:pt>
                <c:pt idx="1014">
                  <c:v>1.7215413118597884E-2</c:v>
                </c:pt>
                <c:pt idx="1015">
                  <c:v>1.7220845635426779E-2</c:v>
                </c:pt>
                <c:pt idx="1016">
                  <c:v>1.7226269915367885E-2</c:v>
                </c:pt>
                <c:pt idx="1017">
                  <c:v>1.7242491871585885E-2</c:v>
                </c:pt>
                <c:pt idx="1018">
                  <c:v>1.7247881741697241E-2</c:v>
                </c:pt>
                <c:pt idx="1019">
                  <c:v>1.7253262643781502E-2</c:v>
                </c:pt>
                <c:pt idx="1020">
                  <c:v>1.7258634431610808E-2</c:v>
                </c:pt>
                <c:pt idx="1021">
                  <c:v>1.7263996958957296E-2</c:v>
                </c:pt>
                <c:pt idx="1022">
                  <c:v>1.7280027515821254E-2</c:v>
                </c:pt>
                <c:pt idx="1023">
                  <c:v>1.7285351538957862E-2</c:v>
                </c:pt>
                <c:pt idx="1024">
                  <c:v>1.7290665570472343E-2</c:v>
                </c:pt>
                <c:pt idx="1025">
                  <c:v>1.7295969464136841E-2</c:v>
                </c:pt>
                <c:pt idx="1026">
                  <c:v>1.7301263073723486E-2</c:v>
                </c:pt>
                <c:pt idx="1027">
                  <c:v>1.7317080735737723E-2</c:v>
                </c:pt>
                <c:pt idx="1028">
                  <c:v>1.7322331746734358E-2</c:v>
                </c:pt>
                <c:pt idx="1029">
                  <c:v>1.7327571742513839E-2</c:v>
                </c:pt>
                <c:pt idx="1030">
                  <c:v>1.7332800576848301E-2</c:v>
                </c:pt>
                <c:pt idx="1031">
                  <c:v>1.7338018103509878E-2</c:v>
                </c:pt>
                <c:pt idx="1032">
                  <c:v>1.7353601375178718E-2</c:v>
                </c:pt>
                <c:pt idx="1033">
                  <c:v>1.7358772208870155E-2</c:v>
                </c:pt>
                <c:pt idx="1034">
                  <c:v>1.736393100374941E-2</c:v>
                </c:pt>
                <c:pt idx="1035">
                  <c:v>1.7369077613588607E-2</c:v>
                </c:pt>
                <c:pt idx="1036">
                  <c:v>1.7374211892159895E-2</c:v>
                </c:pt>
                <c:pt idx="1037">
                  <c:v>1.7389539277987663E-2</c:v>
                </c:pt>
                <c:pt idx="1038">
                  <c:v>1.7394622769208681E-2</c:v>
                </c:pt>
                <c:pt idx="1039">
                  <c:v>1.7399693198022481E-2</c:v>
                </c:pt>
                <c:pt idx="1040">
                  <c:v>1.7404750418201196E-2</c:v>
                </c:pt>
                <c:pt idx="1041">
                  <c:v>1.7409794283516966E-2</c:v>
                </c:pt>
                <c:pt idx="1042">
                  <c:v>1.7424844288007987E-2</c:v>
                </c:pt>
                <c:pt idx="1043">
                  <c:v>1.7429833271593361E-2</c:v>
                </c:pt>
                <c:pt idx="1044">
                  <c:v>1.7434808169176481E-2</c:v>
                </c:pt>
                <c:pt idx="1045">
                  <c:v>1.7439768834529485E-2</c:v>
                </c:pt>
                <c:pt idx="1046">
                  <c:v>1.7444715121424512E-2</c:v>
                </c:pt>
                <c:pt idx="1047">
                  <c:v>1.7459466249083115E-2</c:v>
                </c:pt>
                <c:pt idx="1048">
                  <c:v>1.7464353559867613E-2</c:v>
                </c:pt>
                <c:pt idx="1049">
                  <c:v>1.7469225761054832E-2</c:v>
                </c:pt>
                <c:pt idx="1050">
                  <c:v>1.7474082706416899E-2</c:v>
                </c:pt>
                <c:pt idx="1051">
                  <c:v>1.7478924249725959E-2</c:v>
                </c:pt>
                <c:pt idx="1052">
                  <c:v>1.7493355005056464E-2</c:v>
                </c:pt>
                <c:pt idx="1053">
                  <c:v>1.7498133477874867E-2</c:v>
                </c:pt>
                <c:pt idx="1054">
                  <c:v>1.7502895817500957E-2</c:v>
                </c:pt>
                <c:pt idx="1055">
                  <c:v>1.7507641877706863E-2</c:v>
                </c:pt>
                <c:pt idx="1056">
                  <c:v>1.7512371512264733E-2</c:v>
                </c:pt>
                <c:pt idx="1057">
                  <c:v>1.7526460399771467E-2</c:v>
                </c:pt>
                <c:pt idx="1058">
                  <c:v>1.753112286945855E-2</c:v>
                </c:pt>
                <c:pt idx="1059">
                  <c:v>1.7535768182358285E-2</c:v>
                </c:pt>
                <c:pt idx="1060">
                  <c:v>1.7540396192242808E-2</c:v>
                </c:pt>
                <c:pt idx="1061">
                  <c:v>1.7545006752884257E-2</c:v>
                </c:pt>
                <c:pt idx="1062">
                  <c:v>1.7558732277071543E-2</c:v>
                </c:pt>
                <c:pt idx="1063">
                  <c:v>1.7563271578462086E-2</c:v>
                </c:pt>
                <c:pt idx="1064">
                  <c:v>1.7567792699470237E-2</c:v>
                </c:pt>
                <c:pt idx="1065">
                  <c:v>1.7572295493868153E-2</c:v>
                </c:pt>
                <c:pt idx="1066">
                  <c:v>1.7576779815427959E-2</c:v>
                </c:pt>
                <c:pt idx="1067">
                  <c:v>1.7590120480800123E-2</c:v>
                </c:pt>
                <c:pt idx="1068">
                  <c:v>1.7594529448728895E-2</c:v>
                </c:pt>
                <c:pt idx="1069">
                  <c:v>1.7598919212680243E-2</c:v>
                </c:pt>
                <c:pt idx="1070">
                  <c:v>1.7603289626426318E-2</c:v>
                </c:pt>
                <c:pt idx="1071">
                  <c:v>1.7607640543739259E-2</c:v>
                </c:pt>
                <c:pt idx="1072">
                  <c:v>1.7624846324102401E-2</c:v>
                </c:pt>
                <c:pt idx="1073">
                  <c:v>1.76290774442995E-2</c:v>
                </c:pt>
                <c:pt idx="1074">
                  <c:v>1.7633249352717068E-2</c:v>
                </c:pt>
                <c:pt idx="1075">
                  <c:v>1.7637364010755077E-2</c:v>
                </c:pt>
                <c:pt idx="1076">
                  <c:v>1.7649384096591468E-2</c:v>
                </c:pt>
                <c:pt idx="1077">
                  <c:v>1.7653289367110962E-2</c:v>
                </c:pt>
                <c:pt idx="1078">
                  <c:v>1.7657147194250763E-2</c:v>
                </c:pt>
                <c:pt idx="1079">
                  <c:v>1.7660959539410839E-2</c:v>
                </c:pt>
                <c:pt idx="1080">
                  <c:v>1.7664728363991165E-2</c:v>
                </c:pt>
                <c:pt idx="1081">
                  <c:v>1.7675793328253368E-2</c:v>
                </c:pt>
                <c:pt idx="1082">
                  <c:v>1.7679407684514415E-2</c:v>
                </c:pt>
                <c:pt idx="1083">
                  <c:v>1.768298832719558E-2</c:v>
                </c:pt>
                <c:pt idx="1084">
                  <c:v>1.7686537217696831E-2</c:v>
                </c:pt>
                <c:pt idx="1085">
                  <c:v>1.769005631741814E-2</c:v>
                </c:pt>
                <c:pt idx="1086">
                  <c:v>1.7700454485902146E-2</c:v>
                </c:pt>
                <c:pt idx="1087">
                  <c:v>1.7703874036503416E-2</c:v>
                </c:pt>
                <c:pt idx="1088">
                  <c:v>1.7707273603324608E-2</c:v>
                </c:pt>
                <c:pt idx="1089">
                  <c:v>1.7710655147765694E-2</c:v>
                </c:pt>
                <c:pt idx="1090">
                  <c:v>1.7714020631226651E-2</c:v>
                </c:pt>
                <c:pt idx="1091">
                  <c:v>1.7724040329728456E-2</c:v>
                </c:pt>
                <c:pt idx="1092">
                  <c:v>1.7727361183268613E-2</c:v>
                </c:pt>
                <c:pt idx="1093">
                  <c:v>1.7730675782828501E-2</c:v>
                </c:pt>
                <c:pt idx="1094">
                  <c:v>1.7733986089808092E-2</c:v>
                </c:pt>
                <c:pt idx="1095">
                  <c:v>1.773729406560736E-2</c:v>
                </c:pt>
                <c:pt idx="1096">
                  <c:v>1.774721768567537E-2</c:v>
                </c:pt>
                <c:pt idx="1097">
                  <c:v>1.7750527099274108E-2</c:v>
                </c:pt>
                <c:pt idx="1098">
                  <c:v>1.7753837881963615E-2</c:v>
                </c:pt>
                <c:pt idx="1099">
                  <c:v>1.7757150392946591E-2</c:v>
                </c:pt>
                <c:pt idx="1100">
                  <c:v>1.7760464991425744E-2</c:v>
                </c:pt>
                <c:pt idx="1101">
                  <c:v>1.7770424903867283E-2</c:v>
                </c:pt>
                <c:pt idx="1102">
                  <c:v>1.7773751444358173E-2</c:v>
                </c:pt>
                <c:pt idx="1103">
                  <c:v>1.777708186835876E-2</c:v>
                </c:pt>
                <c:pt idx="1104">
                  <c:v>1.7780416535071741E-2</c:v>
                </c:pt>
                <c:pt idx="1105">
                  <c:v>1.7783755803699827E-2</c:v>
                </c:pt>
                <c:pt idx="1106">
                  <c:v>1.7793804813101742E-2</c:v>
                </c:pt>
                <c:pt idx="1107">
                  <c:v>1.7797166081417275E-2</c:v>
                </c:pt>
                <c:pt idx="1108">
                  <c:v>1.7800533747661433E-2</c:v>
                </c:pt>
                <c:pt idx="1109">
                  <c:v>1.7803908171036914E-2</c:v>
                </c:pt>
                <c:pt idx="1110">
                  <c:v>1.7807289710746431E-2</c:v>
                </c:pt>
                <c:pt idx="1111">
                  <c:v>1.7817480619906192E-2</c:v>
                </c:pt>
                <c:pt idx="1112">
                  <c:v>1.7820894216978866E-2</c:v>
                </c:pt>
                <c:pt idx="1113">
                  <c:v>1.7824316726399083E-2</c:v>
                </c:pt>
                <c:pt idx="1114">
                  <c:v>1.7827748507369564E-2</c:v>
                </c:pt>
                <c:pt idx="1115">
                  <c:v>1.7831189919092993E-2</c:v>
                </c:pt>
                <c:pt idx="1116">
                  <c:v>1.7841575530808083E-2</c:v>
                </c:pt>
                <c:pt idx="1117">
                  <c:v>1.7845059057570386E-2</c:v>
                </c:pt>
                <c:pt idx="1118">
                  <c:v>1.7848554011099169E-2</c:v>
                </c:pt>
                <c:pt idx="1119">
                  <c:v>1.7852060750597129E-2</c:v>
                </c:pt>
                <c:pt idx="1120">
                  <c:v>1.7855579635266974E-2</c:v>
                </c:pt>
                <c:pt idx="1121">
                  <c:v>1.7866212752334867E-2</c:v>
                </c:pt>
                <c:pt idx="1122">
                  <c:v>1.7869783809719295E-2</c:v>
                </c:pt>
                <c:pt idx="1123">
                  <c:v>1.7873368808289127E-2</c:v>
                </c:pt>
                <c:pt idx="1124">
                  <c:v>1.7876968107247069E-2</c:v>
                </c:pt>
                <c:pt idx="1125">
                  <c:v>1.7880582065795823E-2</c:v>
                </c:pt>
                <c:pt idx="1126">
                  <c:v>1.7891515491013994E-2</c:v>
                </c:pt>
                <c:pt idx="1127">
                  <c:v>1.789519167995304E-2</c:v>
                </c:pt>
                <c:pt idx="1128">
                  <c:v>1.7898884324496416E-2</c:v>
                </c:pt>
                <c:pt idx="1129">
                  <c:v>1.7902593783846826E-2</c:v>
                </c:pt>
                <c:pt idx="1130">
                  <c:v>1.7906320417206981E-2</c:v>
                </c:pt>
                <c:pt idx="1131">
                  <c:v>1.7917606953372918E-2</c:v>
                </c:pt>
                <c:pt idx="1132">
                  <c:v>1.7921405874799068E-2</c:v>
                </c:pt>
                <c:pt idx="1133">
                  <c:v>1.7925223766248482E-2</c:v>
                </c:pt>
                <c:pt idx="1134">
                  <c:v>1.7929060986923855E-2</c:v>
                </c:pt>
                <c:pt idx="1135">
                  <c:v>1.7932917896027901E-2</c:v>
                </c:pt>
                <c:pt idx="1136">
                  <c:v>1.7944610345939079E-2</c:v>
                </c:pt>
                <c:pt idx="1137">
                  <c:v>1.7948554535450599E-2</c:v>
                </c:pt>
                <c:pt idx="1138">
                  <c:v>1.7952529202577169E-2</c:v>
                </c:pt>
                <c:pt idx="1139">
                  <c:v>1.7956533392283498E-2</c:v>
                </c:pt>
                <c:pt idx="1140">
                  <c:v>1.7960566149534288E-2</c:v>
                </c:pt>
                <c:pt idx="1141">
                  <c:v>1.7972826276200522E-2</c:v>
                </c:pt>
                <c:pt idx="1142">
                  <c:v>1.7976963753276239E-2</c:v>
                </c:pt>
                <c:pt idx="1143">
                  <c:v>1.7981125022719948E-2</c:v>
                </c:pt>
                <c:pt idx="1144">
                  <c:v>1.7985309129496363E-2</c:v>
                </c:pt>
                <c:pt idx="1145">
                  <c:v>1.7989515118570186E-2</c:v>
                </c:pt>
                <c:pt idx="1146">
                  <c:v>1.8006538797133709E-2</c:v>
                </c:pt>
                <c:pt idx="1147">
                  <c:v>1.8010839872165174E-2</c:v>
                </c:pt>
                <c:pt idx="1148">
                  <c:v>1.8015157099282291E-2</c:v>
                </c:pt>
                <c:pt idx="1149">
                  <c:v>1.8019489523449759E-2</c:v>
                </c:pt>
                <c:pt idx="1150">
                  <c:v>1.8032568427901356E-2</c:v>
                </c:pt>
                <c:pt idx="1151">
                  <c:v>1.8036952089917308E-2</c:v>
                </c:pt>
                <c:pt idx="1152">
                  <c:v>1.8041346173807146E-2</c:v>
                </c:pt>
                <c:pt idx="1153">
                  <c:v>1.8045749724535577E-2</c:v>
                </c:pt>
                <c:pt idx="1154">
                  <c:v>1.8050161787067306E-2</c:v>
                </c:pt>
                <c:pt idx="1155">
                  <c:v>1.8063439495129351E-2</c:v>
                </c:pt>
                <c:pt idx="1156">
                  <c:v>1.8067876054521339E-2</c:v>
                </c:pt>
                <c:pt idx="1157">
                  <c:v>1.8072316350540161E-2</c:v>
                </c:pt>
                <c:pt idx="1158">
                  <c:v>1.807675942815052E-2</c:v>
                </c:pt>
                <c:pt idx="1159">
                  <c:v>1.8081204332317122E-2</c:v>
                </c:pt>
                <c:pt idx="1160">
                  <c:v>1.8094541584752426E-2</c:v>
                </c:pt>
                <c:pt idx="1161">
                  <c:v>1.8098986773123719E-2</c:v>
                </c:pt>
                <c:pt idx="1162">
                  <c:v>1.8103431316164056E-2</c:v>
                </c:pt>
                <c:pt idx="1163">
                  <c:v>1.8107875004855733E-2</c:v>
                </c:pt>
                <c:pt idx="1164">
                  <c:v>1.8112317630181046E-2</c:v>
                </c:pt>
                <c:pt idx="1165">
                  <c:v>1.8125637035781725E-2</c:v>
                </c:pt>
                <c:pt idx="1166">
                  <c:v>1.8130073317464517E-2</c:v>
                </c:pt>
                <c:pt idx="1167">
                  <c:v>1.8134507490692408E-2</c:v>
                </c:pt>
                <c:pt idx="1168">
                  <c:v>1.8138939346447693E-2</c:v>
                </c:pt>
                <c:pt idx="1169">
                  <c:v>1.8143368675712673E-2</c:v>
                </c:pt>
                <c:pt idx="1170">
                  <c:v>1.8161056547515368E-2</c:v>
                </c:pt>
                <c:pt idx="1171">
                  <c:v>1.8165470109063206E-2</c:v>
                </c:pt>
                <c:pt idx="1172">
                  <c:v>1.8169879890014503E-2</c:v>
                </c:pt>
                <c:pt idx="1173">
                  <c:v>1.817428568135154E-2</c:v>
                </c:pt>
                <c:pt idx="1174">
                  <c:v>1.8187477027500069E-2</c:v>
                </c:pt>
                <c:pt idx="1175">
                  <c:v>1.8191864770203032E-2</c:v>
                </c:pt>
                <c:pt idx="1176">
                  <c:v>1.8196247478203208E-2</c:v>
                </c:pt>
                <c:pt idx="1177">
                  <c:v>1.8200624942482899E-2</c:v>
                </c:pt>
                <c:pt idx="1178">
                  <c:v>1.8204996954024388E-2</c:v>
                </c:pt>
                <c:pt idx="1179">
                  <c:v>1.8218078182042605E-2</c:v>
                </c:pt>
                <c:pt idx="1180">
                  <c:v>1.8222426292454245E-2</c:v>
                </c:pt>
                <c:pt idx="1181">
                  <c:v>1.8226767905039153E-2</c:v>
                </c:pt>
                <c:pt idx="1182">
                  <c:v>1.8231102810779623E-2</c:v>
                </c:pt>
                <c:pt idx="1183">
                  <c:v>1.8235430800657957E-2</c:v>
                </c:pt>
                <c:pt idx="1184">
                  <c:v>1.8248371184943046E-2</c:v>
                </c:pt>
                <c:pt idx="1185">
                  <c:v>1.8252669421195748E-2</c:v>
                </c:pt>
                <c:pt idx="1186">
                  <c:v>1.8256959696497779E-2</c:v>
                </c:pt>
                <c:pt idx="1187">
                  <c:v>1.8261241801831432E-2</c:v>
                </c:pt>
                <c:pt idx="1188">
                  <c:v>1.8265515528179E-2</c:v>
                </c:pt>
                <c:pt idx="1189">
                  <c:v>1.8278284343128129E-2</c:v>
                </c:pt>
                <c:pt idx="1190">
                  <c:v>1.8282522463354295E-2</c:v>
                </c:pt>
                <c:pt idx="1191">
                  <c:v>1.8290970222565064E-2</c:v>
                </c:pt>
                <c:pt idx="1192">
                  <c:v>1.8295179443514262E-2</c:v>
                </c:pt>
                <c:pt idx="1193">
                  <c:v>1.8307745963524608E-2</c:v>
                </c:pt>
                <c:pt idx="1194">
                  <c:v>1.831191372585662E-2</c:v>
                </c:pt>
                <c:pt idx="1195">
                  <c:v>1.8316070600990077E-2</c:v>
                </c:pt>
                <c:pt idx="1196">
                  <c:v>1.8320216379907262E-2</c:v>
                </c:pt>
                <c:pt idx="1197">
                  <c:v>1.8324350853590476E-2</c:v>
                </c:pt>
                <c:pt idx="1198">
                  <c:v>1.833668435305922E-2</c:v>
                </c:pt>
                <c:pt idx="1199">
                  <c:v>1.8340770275404449E-2</c:v>
                </c:pt>
                <c:pt idx="1200">
                  <c:v>1.8344841734453287E-2</c:v>
                </c:pt>
                <c:pt idx="1201">
                  <c:v>1.8352942631447964E-2</c:v>
                </c:pt>
                <c:pt idx="1202">
                  <c:v>1.836499405713065E-2</c:v>
                </c:pt>
                <c:pt idx="1203">
                  <c:v>1.8368985922528572E-2</c:v>
                </c:pt>
                <c:pt idx="1204">
                  <c:v>1.8372965720005911E-2</c:v>
                </c:pt>
                <c:pt idx="1205">
                  <c:v>1.8376933791759215E-2</c:v>
                </c:pt>
                <c:pt idx="1206">
                  <c:v>1.8380890479985031E-2</c:v>
                </c:pt>
                <c:pt idx="1207">
                  <c:v>1.8392695665462977E-2</c:v>
                </c:pt>
                <c:pt idx="1208">
                  <c:v>1.8396610241544278E-2</c:v>
                </c:pt>
                <c:pt idx="1209">
                  <c:v>1.8400515145080808E-2</c:v>
                </c:pt>
                <c:pt idx="1210">
                  <c:v>1.8404410718269121E-2</c:v>
                </c:pt>
                <c:pt idx="1211">
                  <c:v>1.8408297303305756E-2</c:v>
                </c:pt>
                <c:pt idx="1212">
                  <c:v>1.8419906551471032E-2</c:v>
                </c:pt>
                <c:pt idx="1213">
                  <c:v>1.8423760605866403E-2</c:v>
                </c:pt>
                <c:pt idx="1214">
                  <c:v>1.8427607383092817E-2</c:v>
                </c:pt>
                <c:pt idx="1215">
                  <c:v>1.8431447225346821E-2</c:v>
                </c:pt>
                <c:pt idx="1216">
                  <c:v>1.8435280474824966E-2</c:v>
                </c:pt>
                <c:pt idx="1217">
                  <c:v>1.8446744088569649E-2</c:v>
                </c:pt>
                <c:pt idx="1218">
                  <c:v>1.845055438890978E-2</c:v>
                </c:pt>
                <c:pt idx="1219">
                  <c:v>1.8454359807456765E-2</c:v>
                </c:pt>
                <c:pt idx="1220">
                  <c:v>1.8458160686407162E-2</c:v>
                </c:pt>
                <c:pt idx="1221">
                  <c:v>1.847332565017366E-2</c:v>
                </c:pt>
                <c:pt idx="1222">
                  <c:v>1.8477108964089238E-2</c:v>
                </c:pt>
                <c:pt idx="1223">
                  <c:v>1.848088979158749E-2</c:v>
                </c:pt>
                <c:pt idx="1224">
                  <c:v>1.8484668474864963E-2</c:v>
                </c:pt>
                <c:pt idx="1225">
                  <c:v>1.8499809960408477E-2</c:v>
                </c:pt>
                <c:pt idx="1226">
                  <c:v>1.8503593389640919E-2</c:v>
                </c:pt>
                <c:pt idx="1227">
                  <c:v>1.8507376725350716E-2</c:v>
                </c:pt>
                <c:pt idx="1228">
                  <c:v>1.8511160247264756E-2</c:v>
                </c:pt>
                <c:pt idx="1229">
                  <c:v>1.8514944204801726E-2</c:v>
                </c:pt>
                <c:pt idx="1230">
                  <c:v>1.8526301182790868E-2</c:v>
                </c:pt>
                <c:pt idx="1231">
                  <c:v>1.8530089374460188E-2</c:v>
                </c:pt>
                <c:pt idx="1232">
                  <c:v>1.853387924757275E-2</c:v>
                </c:pt>
                <c:pt idx="1233">
                  <c:v>1.8537671051292608E-2</c:v>
                </c:pt>
                <c:pt idx="1234">
                  <c:v>1.8541465034783832E-2</c:v>
                </c:pt>
                <c:pt idx="1235">
                  <c:v>1.8556667749743554E-2</c:v>
                </c:pt>
                <c:pt idx="1236">
                  <c:v>1.8560476369552503E-2</c:v>
                </c:pt>
                <c:pt idx="1237">
                  <c:v>1.8564288664117176E-2</c:v>
                </c:pt>
                <c:pt idx="1238">
                  <c:v>1.8568104882601636E-2</c:v>
                </c:pt>
                <c:pt idx="1239">
                  <c:v>1.8579579573214364E-2</c:v>
                </c:pt>
                <c:pt idx="1240">
                  <c:v>1.8583413979018592E-2</c:v>
                </c:pt>
                <c:pt idx="1241">
                  <c:v>1.8587253554562911E-2</c:v>
                </c:pt>
                <c:pt idx="1242">
                  <c:v>1.8591098549011385E-2</c:v>
                </c:pt>
                <c:pt idx="1243">
                  <c:v>1.8594949211528079E-2</c:v>
                </c:pt>
                <c:pt idx="1244">
                  <c:v>1.860653769912806E-2</c:v>
                </c:pt>
                <c:pt idx="1245">
                  <c:v>1.8610413525558225E-2</c:v>
                </c:pt>
                <c:pt idx="1246">
                  <c:v>1.861429626587691E-2</c:v>
                </c:pt>
                <c:pt idx="1247">
                  <c:v>1.861818616924818E-2</c:v>
                </c:pt>
                <c:pt idx="1248">
                  <c:v>1.8622083484836089E-2</c:v>
                </c:pt>
                <c:pt idx="1249">
                  <c:v>1.8633822396540298E-2</c:v>
                </c:pt>
                <c:pt idx="1250">
                  <c:v>1.8637751852635394E-2</c:v>
                </c:pt>
                <c:pt idx="1251">
                  <c:v>1.864168996676744E-2</c:v>
                </c:pt>
                <c:pt idx="1252">
                  <c:v>1.8645636988100487E-2</c:v>
                </c:pt>
                <c:pt idx="1253">
                  <c:v>1.8649593165798613E-2</c:v>
                </c:pt>
                <c:pt idx="1254">
                  <c:v>1.866551442352303E-2</c:v>
                </c:pt>
                <c:pt idx="1255">
                  <c:v>1.8669520120507422E-2</c:v>
                </c:pt>
                <c:pt idx="1256">
                  <c:v>1.8673536468841248E-2</c:v>
                </c:pt>
                <c:pt idx="1257">
                  <c:v>1.8677563717688576E-2</c:v>
                </c:pt>
                <c:pt idx="1258">
                  <c:v>1.8689713358952146E-2</c:v>
                </c:pt>
                <c:pt idx="1259">
                  <c:v>1.8693786701494072E-2</c:v>
                </c:pt>
                <c:pt idx="1260">
                  <c:v>1.8697866255933903E-2</c:v>
                </c:pt>
                <c:pt idx="1261">
                  <c:v>1.8701946257395709E-2</c:v>
                </c:pt>
                <c:pt idx="1262">
                  <c:v>1.87060268356374E-2</c:v>
                </c:pt>
                <c:pt idx="1263">
                  <c:v>1.8718273328620826E-2</c:v>
                </c:pt>
                <c:pt idx="1264">
                  <c:v>1.8722357511561118E-2</c:v>
                </c:pt>
                <c:pt idx="1265">
                  <c:v>1.8726442920070831E-2</c:v>
                </c:pt>
                <c:pt idx="1266">
                  <c:v>1.8730529683907874E-2</c:v>
                </c:pt>
                <c:pt idx="1267">
                  <c:v>1.8734617932830159E-2</c:v>
                </c:pt>
                <c:pt idx="1268">
                  <c:v>1.8746892887687522E-2</c:v>
                </c:pt>
                <c:pt idx="1269">
                  <c:v>1.8750988374529841E-2</c:v>
                </c:pt>
                <c:pt idx="1270">
                  <c:v>1.8755085995246938E-2</c:v>
                </c:pt>
                <c:pt idx="1271">
                  <c:v>1.8759185879596726E-2</c:v>
                </c:pt>
                <c:pt idx="1272">
                  <c:v>1.8763288157337112E-2</c:v>
                </c:pt>
                <c:pt idx="1273">
                  <c:v>1.8775610648480923E-2</c:v>
                </c:pt>
                <c:pt idx="1274">
                  <c:v>1.8779723797362775E-2</c:v>
                </c:pt>
                <c:pt idx="1275">
                  <c:v>1.8783839988424766E-2</c:v>
                </c:pt>
                <c:pt idx="1276">
                  <c:v>1.8787959351424802E-2</c:v>
                </c:pt>
                <c:pt idx="1277">
                  <c:v>1.8792082016120794E-2</c:v>
                </c:pt>
                <c:pt idx="1278">
                  <c:v>1.8804471117963573E-2</c:v>
                </c:pt>
                <c:pt idx="1279">
                  <c:v>1.8808608287022462E-2</c:v>
                </c:pt>
                <c:pt idx="1280">
                  <c:v>1.8812749406566846E-2</c:v>
                </c:pt>
                <c:pt idx="1281">
                  <c:v>1.8816894606354641E-2</c:v>
                </c:pt>
                <c:pt idx="1282">
                  <c:v>1.8821044016143741E-2</c:v>
                </c:pt>
                <c:pt idx="1283">
                  <c:v>1.8833518803098002E-2</c:v>
                </c:pt>
                <c:pt idx="1284">
                  <c:v>1.8837686350471436E-2</c:v>
                </c:pt>
                <c:pt idx="1285">
                  <c:v>1.8841858756635722E-2</c:v>
                </c:pt>
                <c:pt idx="1286">
                  <c:v>1.8846036151348774E-2</c:v>
                </c:pt>
                <c:pt idx="1287">
                  <c:v>1.8850218664368493E-2</c:v>
                </c:pt>
                <c:pt idx="1288">
                  <c:v>1.8862798210846753E-2</c:v>
                </c:pt>
                <c:pt idx="1289">
                  <c:v>1.8867002494672235E-2</c:v>
                </c:pt>
                <c:pt idx="1290">
                  <c:v>1.8871212545593929E-2</c:v>
                </c:pt>
                <c:pt idx="1291">
                  <c:v>1.8875428493369741E-2</c:v>
                </c:pt>
                <c:pt idx="1292">
                  <c:v>1.887965046775758E-2</c:v>
                </c:pt>
                <c:pt idx="1293">
                  <c:v>1.8892353848172356E-2</c:v>
                </c:pt>
                <c:pt idx="1294">
                  <c:v>1.889660122658739E-2</c:v>
                </c:pt>
                <c:pt idx="1295">
                  <c:v>1.8900855280404E-2</c:v>
                </c:pt>
                <c:pt idx="1296">
                  <c:v>1.890511613938008E-2</c:v>
                </c:pt>
                <c:pt idx="1297">
                  <c:v>1.8909383933273554E-2</c:v>
                </c:pt>
                <c:pt idx="1298">
                  <c:v>1.8922230222037355E-2</c:v>
                </c:pt>
                <c:pt idx="1299">
                  <c:v>1.8926527053179449E-2</c:v>
                </c:pt>
                <c:pt idx="1300">
                  <c:v>1.8930831468028472E-2</c:v>
                </c:pt>
                <c:pt idx="1301">
                  <c:v>1.8935143596342331E-2</c:v>
                </c:pt>
                <c:pt idx="1302">
                  <c:v>1.8939463567878935E-2</c:v>
                </c:pt>
                <c:pt idx="1303">
                  <c:v>1.8952471839404281E-2</c:v>
                </c:pt>
                <c:pt idx="1304">
                  <c:v>1.8956824481410943E-2</c:v>
                </c:pt>
                <c:pt idx="1305">
                  <c:v>1.8961185615429886E-2</c:v>
                </c:pt>
                <c:pt idx="1306">
                  <c:v>1.8965555371219023E-2</c:v>
                </c:pt>
                <c:pt idx="1307">
                  <c:v>1.8969933878536266E-2</c:v>
                </c:pt>
                <c:pt idx="1308">
                  <c:v>1.8983123207235674E-2</c:v>
                </c:pt>
                <c:pt idx="1309">
                  <c:v>1.8987538018244404E-2</c:v>
                </c:pt>
                <c:pt idx="1310">
                  <c:v>1.8991962229570777E-2</c:v>
                </c:pt>
                <c:pt idx="1311">
                  <c:v>1.8996395970972697E-2</c:v>
                </c:pt>
                <c:pt idx="1312">
                  <c:v>1.9000839372208082E-2</c:v>
                </c:pt>
                <c:pt idx="1313">
                  <c:v>1.9014228832494071E-2</c:v>
                </c:pt>
                <c:pt idx="1314">
                  <c:v>1.9018712170642375E-2</c:v>
                </c:pt>
                <c:pt idx="1315">
                  <c:v>1.902320581741368E-2</c:v>
                </c:pt>
                <c:pt idx="1316">
                  <c:v>1.9027709902565894E-2</c:v>
                </c:pt>
                <c:pt idx="1317">
                  <c:v>1.9032224555856927E-2</c:v>
                </c:pt>
                <c:pt idx="1318">
                  <c:v>1.9045833222142008E-2</c:v>
                </c:pt>
                <c:pt idx="1319">
                  <c:v>1.9050391445567392E-2</c:v>
                </c:pt>
                <c:pt idx="1320">
                  <c:v>1.9054960885921131E-2</c:v>
                </c:pt>
                <c:pt idx="1321">
                  <c:v>1.9059541672961144E-2</c:v>
                </c:pt>
                <c:pt idx="1322">
                  <c:v>1.9064133936445328E-2</c:v>
                </c:pt>
                <c:pt idx="1323">
                  <c:v>1.9077980883142019E-2</c:v>
                </c:pt>
                <c:pt idx="1324">
                  <c:v>1.908262593200772E-2</c:v>
                </c:pt>
                <c:pt idx="1325">
                  <c:v>1.9087293861270584E-2</c:v>
                </c:pt>
                <c:pt idx="1326">
                  <c:v>1.9091984187356477E-2</c:v>
                </c:pt>
                <c:pt idx="1327">
                  <c:v>1.9096696426691265E-2</c:v>
                </c:pt>
                <c:pt idx="1328">
                  <c:v>1.9115754845036755E-2</c:v>
                </c:pt>
                <c:pt idx="1329">
                  <c:v>1.9120569397004052E-2</c:v>
                </c:pt>
                <c:pt idx="1330">
                  <c:v>1.9125402960775459E-2</c:v>
                </c:pt>
                <c:pt idx="1331">
                  <c:v>1.9130255052776837E-2</c:v>
                </c:pt>
                <c:pt idx="1332">
                  <c:v>1.9144917662419519E-2</c:v>
                </c:pt>
                <c:pt idx="1333">
                  <c:v>1.9149839031599485E-2</c:v>
                </c:pt>
                <c:pt idx="1334">
                  <c:v>1.9154776511138772E-2</c:v>
                </c:pt>
                <c:pt idx="1335">
                  <c:v>1.9159729617463241E-2</c:v>
                </c:pt>
                <c:pt idx="1336">
                  <c:v>1.9164697866998769E-2</c:v>
                </c:pt>
                <c:pt idx="1337">
                  <c:v>1.917968863913036E-2</c:v>
                </c:pt>
                <c:pt idx="1338">
                  <c:v>1.9184712625768791E-2</c:v>
                </c:pt>
                <c:pt idx="1339">
                  <c:v>1.9189749337747617E-2</c:v>
                </c:pt>
                <c:pt idx="1340">
                  <c:v>1.9194798291492704E-2</c:v>
                </c:pt>
                <c:pt idx="1341">
                  <c:v>1.9199859003429937E-2</c:v>
                </c:pt>
                <c:pt idx="1342">
                  <c:v>1.9215106852653097E-2</c:v>
                </c:pt>
                <c:pt idx="1343">
                  <c:v>1.9220209761617542E-2</c:v>
                </c:pt>
                <c:pt idx="1344">
                  <c:v>1.9225322010903465E-2</c:v>
                </c:pt>
                <c:pt idx="1345">
                  <c:v>1.9230443116936728E-2</c:v>
                </c:pt>
                <c:pt idx="1346">
                  <c:v>1.9235572596143207E-2</c:v>
                </c:pt>
                <c:pt idx="1347">
                  <c:v>1.9251006437060601E-2</c:v>
                </c:pt>
                <c:pt idx="1348">
                  <c:v>1.9256164573218614E-2</c:v>
                </c:pt>
                <c:pt idx="1349">
                  <c:v>1.9261328664679184E-2</c:v>
                </c:pt>
                <c:pt idx="1350">
                  <c:v>1.9266498227868179E-2</c:v>
                </c:pt>
                <c:pt idx="1351">
                  <c:v>1.9271672779211463E-2</c:v>
                </c:pt>
                <c:pt idx="1352">
                  <c:v>1.9292411194644889E-2</c:v>
                </c:pt>
                <c:pt idx="1353">
                  <c:v>1.9297603433147657E-2</c:v>
                </c:pt>
                <c:pt idx="1354">
                  <c:v>1.930279775835993E-2</c:v>
                </c:pt>
                <c:pt idx="1355">
                  <c:v>1.9307993686707575E-2</c:v>
                </c:pt>
                <c:pt idx="1356">
                  <c:v>1.932358624468505E-2</c:v>
                </c:pt>
                <c:pt idx="1357">
                  <c:v>1.9328783609025953E-2</c:v>
                </c:pt>
                <c:pt idx="1358">
                  <c:v>1.9333979839582047E-2</c:v>
                </c:pt>
                <c:pt idx="1359">
                  <c:v>1.9339174263412064E-2</c:v>
                </c:pt>
                <c:pt idx="1360">
                  <c:v>1.9344366207574723E-2</c:v>
                </c:pt>
                <c:pt idx="1361">
                  <c:v>1.93599204326458E-2</c:v>
                </c:pt>
                <c:pt idx="1362">
                  <c:v>1.936509572872628E-2</c:v>
                </c:pt>
                <c:pt idx="1363">
                  <c:v>1.9370265180433024E-2</c:v>
                </c:pt>
                <c:pt idx="1364">
                  <c:v>1.9375428114824761E-2</c:v>
                </c:pt>
                <c:pt idx="1365">
                  <c:v>1.9380583858960208E-2</c:v>
                </c:pt>
                <c:pt idx="1366">
                  <c:v>1.9396001220416108E-2</c:v>
                </c:pt>
                <c:pt idx="1367">
                  <c:v>1.9401121474113669E-2</c:v>
                </c:pt>
                <c:pt idx="1368">
                  <c:v>1.9406231172848565E-2</c:v>
                </c:pt>
                <c:pt idx="1369">
                  <c:v>1.9411329643679531E-2</c:v>
                </c:pt>
                <c:pt idx="1370">
                  <c:v>1.9416416213665286E-2</c:v>
                </c:pt>
                <c:pt idx="1371">
                  <c:v>1.943159778913852E-2</c:v>
                </c:pt>
                <c:pt idx="1372">
                  <c:v>1.9436630026330674E-2</c:v>
                </c:pt>
                <c:pt idx="1373">
                  <c:v>1.9441646997971237E-2</c:v>
                </c:pt>
                <c:pt idx="1374">
                  <c:v>1.9446648031118941E-2</c:v>
                </c:pt>
                <c:pt idx="1375">
                  <c:v>1.9451632452832504E-2</c:v>
                </c:pt>
                <c:pt idx="1376">
                  <c:v>1.9466479319955602E-2</c:v>
                </c:pt>
                <c:pt idx="1377">
                  <c:v>1.947139056651985E-2</c:v>
                </c:pt>
                <c:pt idx="1378">
                  <c:v>1.9476281836943589E-2</c:v>
                </c:pt>
                <c:pt idx="1379">
                  <c:v>1.9481152458285536E-2</c:v>
                </c:pt>
                <c:pt idx="1380">
                  <c:v>1.9486001757604416E-2</c:v>
                </c:pt>
                <c:pt idx="1381">
                  <c:v>1.950041499400991E-2</c:v>
                </c:pt>
                <c:pt idx="1382">
                  <c:v>1.9505172275823768E-2</c:v>
                </c:pt>
                <c:pt idx="1383">
                  <c:v>1.9509904870908187E-2</c:v>
                </c:pt>
                <c:pt idx="1384">
                  <c:v>1.9514612106321886E-2</c:v>
                </c:pt>
                <c:pt idx="1385">
                  <c:v>1.9519293309123591E-2</c:v>
                </c:pt>
                <c:pt idx="1386">
                  <c:v>1.9533173992443996E-2</c:v>
                </c:pt>
                <c:pt idx="1387">
                  <c:v>1.9537752502554163E-2</c:v>
                </c:pt>
                <c:pt idx="1388">
                  <c:v>1.9542318473978196E-2</c:v>
                </c:pt>
                <c:pt idx="1389">
                  <c:v>1.9546872020215607E-2</c:v>
                </c:pt>
                <c:pt idx="1390">
                  <c:v>1.9551413254765906E-2</c:v>
                </c:pt>
                <c:pt idx="1391">
                  <c:v>1.9564964223289284E-2</c:v>
                </c:pt>
                <c:pt idx="1392">
                  <c:v>1.9569457346086273E-2</c:v>
                </c:pt>
                <c:pt idx="1393">
                  <c:v>1.9573938724693717E-2</c:v>
                </c:pt>
                <c:pt idx="1394">
                  <c:v>1.9578408472611126E-2</c:v>
                </c:pt>
                <c:pt idx="1395">
                  <c:v>1.9582866703338014E-2</c:v>
                </c:pt>
                <c:pt idx="1396">
                  <c:v>1.9600586724330592E-2</c:v>
                </c:pt>
                <c:pt idx="1397">
                  <c:v>1.9604989071597557E-2</c:v>
                </c:pt>
                <c:pt idx="1398">
                  <c:v>1.9609380582671074E-2</c:v>
                </c:pt>
                <c:pt idx="1399">
                  <c:v>1.9613761371050659E-2</c:v>
                </c:pt>
                <c:pt idx="1400">
                  <c:v>1.962684053502093E-2</c:v>
                </c:pt>
                <c:pt idx="1401">
                  <c:v>1.9631179567619901E-2</c:v>
                </c:pt>
                <c:pt idx="1402">
                  <c:v>1.9635508445022501E-2</c:v>
                </c:pt>
                <c:pt idx="1403">
                  <c:v>1.9639827280728238E-2</c:v>
                </c:pt>
                <c:pt idx="1404">
                  <c:v>1.9644136188236634E-2</c:v>
                </c:pt>
                <c:pt idx="1405">
                  <c:v>1.9657004476572853E-2</c:v>
                </c:pt>
                <c:pt idx="1406">
                  <c:v>1.9661274806286981E-2</c:v>
                </c:pt>
                <c:pt idx="1407">
                  <c:v>1.9665535775301328E-2</c:v>
                </c:pt>
                <c:pt idx="1408">
                  <c:v>1.9669787497115399E-2</c:v>
                </c:pt>
                <c:pt idx="1409">
                  <c:v>1.9674030085228712E-2</c:v>
                </c:pt>
                <c:pt idx="1410">
                  <c:v>1.9686704182359214E-2</c:v>
                </c:pt>
                <c:pt idx="1411">
                  <c:v>1.9690911370664615E-2</c:v>
                </c:pt>
                <c:pt idx="1412">
                  <c:v>1.9695109992766819E-2</c:v>
                </c:pt>
                <c:pt idx="1413">
                  <c:v>1.9699300162165333E-2</c:v>
                </c:pt>
                <c:pt idx="1414">
                  <c:v>1.9703481992359679E-2</c:v>
                </c:pt>
                <c:pt idx="1415">
                  <c:v>1.9715978582712804E-2</c:v>
                </c:pt>
                <c:pt idx="1416">
                  <c:v>1.9720128191085585E-2</c:v>
                </c:pt>
                <c:pt idx="1417">
                  <c:v>1.9724270027751754E-2</c:v>
                </c:pt>
                <c:pt idx="1418">
                  <c:v>1.9728404206210831E-2</c:v>
                </c:pt>
                <c:pt idx="1419">
                  <c:v>1.973253083996232E-2</c:v>
                </c:pt>
                <c:pt idx="1420">
                  <c:v>1.9748964197882673E-2</c:v>
                </c:pt>
                <c:pt idx="1421">
                  <c:v>1.9753054810588925E-2</c:v>
                </c:pt>
                <c:pt idx="1422">
                  <c:v>1.9757138559584667E-2</c:v>
                </c:pt>
                <c:pt idx="1423">
                  <c:v>1.9761215558369408E-2</c:v>
                </c:pt>
                <c:pt idx="1424">
                  <c:v>1.9773407188452781E-2</c:v>
                </c:pt>
                <c:pt idx="1425">
                  <c:v>1.977745832138866E-2</c:v>
                </c:pt>
                <c:pt idx="1426">
                  <c:v>1.9781503271611104E-2</c:v>
                </c:pt>
                <c:pt idx="1427">
                  <c:v>1.9785542152619625E-2</c:v>
                </c:pt>
                <c:pt idx="1428">
                  <c:v>1.9789575077913735E-2</c:v>
                </c:pt>
                <c:pt idx="1429">
                  <c:v>1.9801639254504736E-2</c:v>
                </c:pt>
                <c:pt idx="1430">
                  <c:v>1.980564949193633E-2</c:v>
                </c:pt>
                <c:pt idx="1431">
                  <c:v>1.9809654341151079E-2</c:v>
                </c:pt>
                <c:pt idx="1432">
                  <c:v>1.9813653915648488E-2</c:v>
                </c:pt>
                <c:pt idx="1433">
                  <c:v>1.9817648328928079E-2</c:v>
                </c:pt>
                <c:pt idx="1434">
                  <c:v>1.9829601736455042E-2</c:v>
                </c:pt>
                <c:pt idx="1435">
                  <c:v>1.9833576639858463E-2</c:v>
                </c:pt>
                <c:pt idx="1436">
                  <c:v>1.9837546949541627E-2</c:v>
                </c:pt>
                <c:pt idx="1437">
                  <c:v>1.984151277900404E-2</c:v>
                </c:pt>
                <c:pt idx="1438">
                  <c:v>1.9845474241745223E-2</c:v>
                </c:pt>
                <c:pt idx="1439">
                  <c:v>1.9857333564636478E-2</c:v>
                </c:pt>
                <c:pt idx="1440">
                  <c:v>1.9861278695487844E-2</c:v>
                </c:pt>
                <c:pt idx="1441">
                  <c:v>1.9865220027115535E-2</c:v>
                </c:pt>
                <c:pt idx="1442">
                  <c:v>1.9873091746697949E-2</c:v>
                </c:pt>
                <c:pt idx="1443">
                  <c:v>1.9884873669381832E-2</c:v>
                </c:pt>
                <c:pt idx="1444">
                  <c:v>1.9888794589157249E-2</c:v>
                </c:pt>
                <c:pt idx="1445">
                  <c:v>1.989271250420558E-2</c:v>
                </c:pt>
                <c:pt idx="1446">
                  <c:v>1.9896627528026338E-2</c:v>
                </c:pt>
                <c:pt idx="1447">
                  <c:v>1.9900539774119038E-2</c:v>
                </c:pt>
                <c:pt idx="1448">
                  <c:v>1.9912260981023888E-2</c:v>
                </c:pt>
                <c:pt idx="1449">
                  <c:v>1.9916163251199468E-2</c:v>
                </c:pt>
                <c:pt idx="1450">
                  <c:v>1.9920060128301817E-2</c:v>
                </c:pt>
                <c:pt idx="1451">
                  <c:v>1.9927828549849556E-2</c:v>
                </c:pt>
                <c:pt idx="1452">
                  <c:v>1.9939419258485705E-2</c:v>
                </c:pt>
                <c:pt idx="1453">
                  <c:v>1.9943266690503492E-2</c:v>
                </c:pt>
                <c:pt idx="1454">
                  <c:v>1.9947106210197144E-2</c:v>
                </c:pt>
                <c:pt idx="1455">
                  <c:v>1.9950937911430461E-2</c:v>
                </c:pt>
                <c:pt idx="1456">
                  <c:v>1.9954761888067232E-2</c:v>
                </c:pt>
                <c:pt idx="1457">
                  <c:v>1.9966188409036287E-2</c:v>
                </c:pt>
                <c:pt idx="1458">
                  <c:v>1.9969982425924872E-2</c:v>
                </c:pt>
                <c:pt idx="1459">
                  <c:v>1.9973769187535913E-2</c:v>
                </c:pt>
                <c:pt idx="1460">
                  <c:v>1.9977548787733196E-2</c:v>
                </c:pt>
                <c:pt idx="1461">
                  <c:v>1.9981321320380527E-2</c:v>
                </c:pt>
                <c:pt idx="1462">
                  <c:v>1.9992597451660748E-2</c:v>
                </c:pt>
                <c:pt idx="1463">
                  <c:v>1.9996342652746225E-2</c:v>
                </c:pt>
                <c:pt idx="1464">
                  <c:v>2.0000081255600738E-2</c:v>
                </c:pt>
                <c:pt idx="1465">
                  <c:v>2.0003813354088077E-2</c:v>
                </c:pt>
                <c:pt idx="1466">
                  <c:v>2.0007539042072049E-2</c:v>
                </c:pt>
                <c:pt idx="1467">
                  <c:v>2.0018678581641698E-2</c:v>
                </c:pt>
                <c:pt idx="1468">
                  <c:v>2.0022379566250151E-2</c:v>
                </c:pt>
                <c:pt idx="1469">
                  <c:v>2.0026074609674226E-2</c:v>
                </c:pt>
                <c:pt idx="1470">
                  <c:v>2.0029763805777711E-2</c:v>
                </c:pt>
                <c:pt idx="1471">
                  <c:v>2.0033447248424409E-2</c:v>
                </c:pt>
                <c:pt idx="1472">
                  <c:v>2.0044463994261748E-2</c:v>
                </c:pt>
                <c:pt idx="1473">
                  <c:v>2.0048125361719266E-2</c:v>
                </c:pt>
                <c:pt idx="1474">
                  <c:v>2.0051781445038986E-2</c:v>
                </c:pt>
                <c:pt idx="1475">
                  <c:v>2.0055432338084704E-2</c:v>
                </c:pt>
                <c:pt idx="1476">
                  <c:v>2.0059078134720219E-2</c:v>
                </c:pt>
                <c:pt idx="1477">
                  <c:v>2.0069985884803503E-2</c:v>
                </c:pt>
                <c:pt idx="1478">
                  <c:v>2.0073612234436176E-2</c:v>
                </c:pt>
                <c:pt idx="1479">
                  <c:v>2.0077233956977632E-2</c:v>
                </c:pt>
                <c:pt idx="1480">
                  <c:v>2.008085114629167E-2</c:v>
                </c:pt>
                <c:pt idx="1481">
                  <c:v>2.0084463896242084E-2</c:v>
                </c:pt>
                <c:pt idx="1482">
                  <c:v>2.0095276448549585E-2</c:v>
                </c:pt>
                <c:pt idx="1483">
                  <c:v>2.009887237968349E-2</c:v>
                </c:pt>
                <c:pt idx="1484">
                  <c:v>2.0102464340772772E-2</c:v>
                </c:pt>
                <c:pt idx="1485">
                  <c:v>2.0106052425681212E-2</c:v>
                </c:pt>
                <c:pt idx="1486">
                  <c:v>2.0109636728272619E-2</c:v>
                </c:pt>
                <c:pt idx="1487">
                  <c:v>2.0123937992743826E-2</c:v>
                </c:pt>
                <c:pt idx="1488">
                  <c:v>2.0127504791707013E-2</c:v>
                </c:pt>
                <c:pt idx="1489">
                  <c:v>2.0131068371535946E-2</c:v>
                </c:pt>
                <c:pt idx="1490">
                  <c:v>2.0134628826094431E-2</c:v>
                </c:pt>
                <c:pt idx="1491">
                  <c:v>2.0145292376785136E-2</c:v>
                </c:pt>
                <c:pt idx="1492">
                  <c:v>2.0148841268899782E-2</c:v>
                </c:pt>
                <c:pt idx="1493">
                  <c:v>2.0152387505062964E-2</c:v>
                </c:pt>
                <c:pt idx="1494">
                  <c:v>2.0155931179138484E-2</c:v>
                </c:pt>
                <c:pt idx="1495">
                  <c:v>2.0159472384990128E-2</c:v>
                </c:pt>
                <c:pt idx="1496">
                  <c:v>2.0170082131839833E-2</c:v>
                </c:pt>
                <c:pt idx="1497">
                  <c:v>2.0173614403433977E-2</c:v>
                </c:pt>
                <c:pt idx="1498">
                  <c:v>2.0177144676123242E-2</c:v>
                </c:pt>
                <c:pt idx="1499">
                  <c:v>2.0180673043771427E-2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89344"/>
        <c:axId val="629331072"/>
      </c:lineChart>
      <c:dateAx>
        <c:axId val="629289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29331072"/>
        <c:crosses val="autoZero"/>
        <c:auto val="1"/>
        <c:lblOffset val="100"/>
        <c:baseTimeUnit val="days"/>
      </c:dateAx>
      <c:valAx>
        <c:axId val="62933107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29289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172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69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69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159</v>
      </c>
      <c r="D8" s="115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77</v>
      </c>
      <c r="D11" s="106" t="s">
        <v>129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76</v>
      </c>
      <c r="D12" s="107" t="s">
        <v>8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78</v>
      </c>
      <c r="D13" s="108" t="s">
        <v>134</v>
      </c>
      <c r="E13" s="7"/>
      <c r="F13" s="7"/>
      <c r="G13" s="7"/>
      <c r="H13" s="7" t="s">
        <v>3</v>
      </c>
      <c r="I13" s="7" t="s">
        <v>3</v>
      </c>
      <c r="J13" s="7" t="s">
        <v>3</v>
      </c>
      <c r="K13" s="7" t="s">
        <v>3</v>
      </c>
      <c r="L13" s="7" t="s">
        <v>3</v>
      </c>
      <c r="M13" s="7" t="s">
        <v>3</v>
      </c>
      <c r="N13" s="8" t="s">
        <v>3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59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59</v>
      </c>
      <c r="D19" s="47"/>
      <c r="E19" s="7"/>
      <c r="F19" s="50" t="s">
        <v>70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9</v>
      </c>
      <c r="D20" s="106">
        <v>42419</v>
      </c>
      <c r="E20" s="7"/>
      <c r="F20" s="14" t="s">
        <v>71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15</v>
      </c>
      <c r="D21" s="107" t="s">
        <v>133</v>
      </c>
      <c r="E21" s="7"/>
      <c r="F21" s="17" t="s">
        <v>72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22</v>
      </c>
      <c r="D22" s="109" t="s">
        <v>73</v>
      </c>
      <c r="E22" s="7"/>
      <c r="F22" s="17" t="s">
        <v>73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74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75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68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4</v>
      </c>
      <c r="D30" s="10"/>
      <c r="E30" s="10"/>
      <c r="F30" s="49" t="s">
        <v>61</v>
      </c>
      <c r="G30" s="10"/>
      <c r="H30" s="10"/>
      <c r="I30" s="10"/>
      <c r="J30" s="10"/>
      <c r="K30" s="10"/>
      <c r="L30" s="49" t="s">
        <v>63</v>
      </c>
      <c r="M30" s="10"/>
      <c r="N30" s="55"/>
    </row>
    <row r="31" spans="2:14" x14ac:dyDescent="0.25">
      <c r="B31" s="5"/>
      <c r="C31" s="27" t="s">
        <v>2</v>
      </c>
      <c r="D31" s="34" t="s">
        <v>130</v>
      </c>
      <c r="E31" s="7"/>
      <c r="F31" s="58" t="s">
        <v>10</v>
      </c>
      <c r="G31" s="58" t="s">
        <v>11</v>
      </c>
      <c r="H31" s="58" t="s">
        <v>12</v>
      </c>
      <c r="I31" s="58" t="s">
        <v>13</v>
      </c>
      <c r="J31" s="58" t="s">
        <v>7</v>
      </c>
      <c r="K31" s="10"/>
      <c r="L31" s="58" t="s">
        <v>64</v>
      </c>
      <c r="M31" s="58" t="s">
        <v>11</v>
      </c>
      <c r="N31" s="55"/>
    </row>
    <row r="32" spans="2:14" x14ac:dyDescent="0.25">
      <c r="B32" s="5"/>
      <c r="C32" s="28" t="s">
        <v>6</v>
      </c>
      <c r="D32" s="35" t="s">
        <v>5</v>
      </c>
      <c r="E32" s="9"/>
      <c r="F32" s="24" t="s">
        <v>42</v>
      </c>
      <c r="G32" s="19">
        <v>3.7000000000000002E-3</v>
      </c>
      <c r="H32" s="20" t="s">
        <v>33</v>
      </c>
      <c r="I32" s="20" t="s">
        <v>33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23</v>
      </c>
      <c r="D33" s="35" t="s">
        <v>24</v>
      </c>
      <c r="E33" s="9"/>
      <c r="F33" s="24" t="s">
        <v>135</v>
      </c>
      <c r="G33" s="112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29</v>
      </c>
      <c r="D34" s="35" t="s">
        <v>30</v>
      </c>
      <c r="E34" s="9"/>
      <c r="F34" s="24" t="s">
        <v>136</v>
      </c>
      <c r="G34" s="112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14</v>
      </c>
      <c r="D35" s="35" t="s">
        <v>28</v>
      </c>
      <c r="E35" s="9"/>
      <c r="F35" s="24" t="s">
        <v>137</v>
      </c>
      <c r="G35" s="112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s">
        <v>32</v>
      </c>
      <c r="E36" s="9"/>
      <c r="F36" s="24" t="s">
        <v>138</v>
      </c>
      <c r="G36" s="112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21</v>
      </c>
      <c r="D37" s="36" t="s">
        <v>20</v>
      </c>
      <c r="E37" s="9"/>
      <c r="F37" s="24" t="s">
        <v>139</v>
      </c>
      <c r="G37" s="112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34</v>
      </c>
      <c r="D38" s="35" t="s">
        <v>35</v>
      </c>
      <c r="E38" s="9"/>
      <c r="F38" s="24" t="s">
        <v>140</v>
      </c>
      <c r="G38" s="112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131</v>
      </c>
      <c r="D39" s="35">
        <v>31</v>
      </c>
      <c r="E39" s="9"/>
      <c r="F39" s="24" t="s">
        <v>141</v>
      </c>
      <c r="G39" s="112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132</v>
      </c>
      <c r="D40" s="35" t="b">
        <v>0</v>
      </c>
      <c r="E40" s="9"/>
      <c r="F40" s="24" t="s">
        <v>43</v>
      </c>
      <c r="G40" s="19">
        <v>6.6E-3</v>
      </c>
      <c r="H40" s="20" t="s">
        <v>33</v>
      </c>
      <c r="I40" s="20" t="s">
        <v>33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34</v>
      </c>
      <c r="D41" s="107" t="s">
        <v>35</v>
      </c>
      <c r="E41" s="9"/>
      <c r="F41" s="24" t="s">
        <v>39</v>
      </c>
      <c r="G41" s="19">
        <v>7.7600000000000004E-3</v>
      </c>
      <c r="H41" s="20" t="s">
        <v>33</v>
      </c>
      <c r="I41" s="20" t="s">
        <v>33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0" t="s">
        <v>36</v>
      </c>
      <c r="D42" s="107" t="s">
        <v>37</v>
      </c>
      <c r="E42" s="9"/>
      <c r="F42" s="24" t="s">
        <v>44</v>
      </c>
      <c r="G42" s="19">
        <v>8.8000000000000005E-3</v>
      </c>
      <c r="H42" s="20" t="s">
        <v>33</v>
      </c>
      <c r="I42" s="20" t="s">
        <v>33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0" t="s">
        <v>38</v>
      </c>
      <c r="D43" s="107" t="s">
        <v>39</v>
      </c>
      <c r="E43" s="9"/>
      <c r="F43" s="24" t="s">
        <v>45</v>
      </c>
      <c r="G43" s="19">
        <v>9.7900000000000001E-3</v>
      </c>
      <c r="H43" s="20" t="s">
        <v>33</v>
      </c>
      <c r="I43" s="20" t="s">
        <v>33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40</v>
      </c>
      <c r="D44" s="107" t="s">
        <v>41</v>
      </c>
      <c r="E44" s="9"/>
      <c r="F44" s="24" t="s">
        <v>46</v>
      </c>
      <c r="G44" s="19">
        <v>1.072E-2</v>
      </c>
      <c r="H44" s="20" t="s">
        <v>33</v>
      </c>
      <c r="I44" s="20" t="s">
        <v>33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114</v>
      </c>
      <c r="D45" s="111">
        <v>1E-10</v>
      </c>
      <c r="E45" s="9"/>
      <c r="F45" s="24" t="s">
        <v>47</v>
      </c>
      <c r="G45" s="19">
        <v>1.159E-2</v>
      </c>
      <c r="H45" s="20" t="s">
        <v>33</v>
      </c>
      <c r="I45" s="20" t="s">
        <v>33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117</v>
      </c>
      <c r="D46" s="105">
        <v>1000</v>
      </c>
      <c r="E46" s="9"/>
      <c r="F46" s="24" t="s">
        <v>51</v>
      </c>
      <c r="G46" s="19">
        <v>1.371E-2</v>
      </c>
      <c r="H46" s="20" t="s">
        <v>33</v>
      </c>
      <c r="I46" s="20" t="s">
        <v>33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53</v>
      </c>
      <c r="G47" s="19">
        <v>1.482E-2</v>
      </c>
      <c r="H47" s="20" t="s">
        <v>33</v>
      </c>
      <c r="I47" s="20" t="s">
        <v>33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54</v>
      </c>
      <c r="G48" s="19">
        <v>1.6E-2</v>
      </c>
      <c r="H48" s="20" t="s">
        <v>33</v>
      </c>
      <c r="I48" s="20" t="s">
        <v>33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55</v>
      </c>
      <c r="G49" s="19">
        <v>1.72E-2</v>
      </c>
      <c r="H49" s="20" t="s">
        <v>33</v>
      </c>
      <c r="I49" s="20" t="s">
        <v>33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56</v>
      </c>
      <c r="G50" s="19">
        <v>1.7780000000000001E-2</v>
      </c>
      <c r="H50" s="20" t="s">
        <v>33</v>
      </c>
      <c r="I50" s="20" t="s">
        <v>33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57</v>
      </c>
      <c r="G51" s="19">
        <v>1.813E-2</v>
      </c>
      <c r="H51" s="20" t="s">
        <v>33</v>
      </c>
      <c r="I51" s="20" t="s">
        <v>33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/>
      <c r="G52" s="19"/>
      <c r="H52" s="20"/>
      <c r="I52" s="20"/>
      <c r="J52" s="41"/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/>
      <c r="G53" s="19"/>
      <c r="H53" s="20"/>
      <c r="I53" s="20"/>
      <c r="J53" s="41"/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67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60</v>
      </c>
      <c r="D63" s="10"/>
      <c r="E63" s="10"/>
      <c r="F63" s="49" t="s">
        <v>62</v>
      </c>
      <c r="G63" s="10"/>
      <c r="H63" s="10"/>
      <c r="I63" s="49" t="s">
        <v>65</v>
      </c>
      <c r="J63" s="10"/>
      <c r="K63" s="10"/>
      <c r="L63" s="49" t="s">
        <v>66</v>
      </c>
      <c r="M63" s="10"/>
      <c r="N63" s="55"/>
    </row>
    <row r="64" spans="2:14" x14ac:dyDescent="0.25">
      <c r="B64" s="5"/>
      <c r="C64" s="27" t="s">
        <v>1</v>
      </c>
      <c r="D64" s="34" t="s">
        <v>142</v>
      </c>
      <c r="E64" s="7"/>
      <c r="F64" s="58" t="s">
        <v>10</v>
      </c>
      <c r="G64" s="58" t="s">
        <v>11</v>
      </c>
      <c r="H64" s="10"/>
      <c r="I64" s="27" t="s">
        <v>2</v>
      </c>
      <c r="J64" s="34" t="s">
        <v>142</v>
      </c>
      <c r="K64" s="10"/>
      <c r="L64" s="58" t="s">
        <v>10</v>
      </c>
      <c r="M64" s="58" t="s">
        <v>11</v>
      </c>
      <c r="N64" s="55"/>
    </row>
    <row r="65" spans="2:14" x14ac:dyDescent="0.25">
      <c r="B65" s="5"/>
      <c r="C65" s="28" t="s">
        <v>16</v>
      </c>
      <c r="D65" s="35" t="s">
        <v>5</v>
      </c>
      <c r="E65" s="9"/>
      <c r="F65" s="24" t="s">
        <v>43</v>
      </c>
      <c r="G65" s="51">
        <v>2.66E-3</v>
      </c>
      <c r="H65" s="10"/>
      <c r="I65" s="28" t="s">
        <v>17</v>
      </c>
      <c r="J65" s="35" t="s">
        <v>18</v>
      </c>
      <c r="K65" s="10"/>
      <c r="L65" s="24" t="s">
        <v>43</v>
      </c>
      <c r="M65" s="51">
        <v>9.4850000000000004E-3</v>
      </c>
      <c r="N65" s="55"/>
    </row>
    <row r="66" spans="2:14" x14ac:dyDescent="0.25">
      <c r="B66" s="5"/>
      <c r="C66" s="28" t="s">
        <v>25</v>
      </c>
      <c r="D66" s="35" t="s">
        <v>26</v>
      </c>
      <c r="E66" s="9"/>
      <c r="F66" s="24" t="s">
        <v>39</v>
      </c>
      <c r="G66" s="51">
        <v>2.7799999999999999E-3</v>
      </c>
      <c r="H66" s="10"/>
      <c r="I66" s="28" t="s">
        <v>27</v>
      </c>
      <c r="J66" s="35" t="s">
        <v>143</v>
      </c>
      <c r="K66" s="10"/>
      <c r="L66" s="24" t="s">
        <v>39</v>
      </c>
      <c r="M66" s="51">
        <v>1.073E-2</v>
      </c>
      <c r="N66" s="55"/>
    </row>
    <row r="67" spans="2:14" x14ac:dyDescent="0.25">
      <c r="B67" s="5"/>
      <c r="C67" s="28" t="s">
        <v>19</v>
      </c>
      <c r="D67" s="35" t="s">
        <v>20</v>
      </c>
      <c r="E67" s="9"/>
      <c r="F67" s="24" t="s">
        <v>44</v>
      </c>
      <c r="G67" s="51">
        <v>2.9199999999999999E-3</v>
      </c>
      <c r="H67" s="10"/>
      <c r="I67" s="28" t="s">
        <v>21</v>
      </c>
      <c r="J67" s="35" t="s">
        <v>20</v>
      </c>
      <c r="K67" s="10"/>
      <c r="L67" s="24" t="s">
        <v>44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45</v>
      </c>
      <c r="G68" s="51">
        <v>3.0600000000000002E-3</v>
      </c>
      <c r="H68" s="10"/>
      <c r="I68" s="28"/>
      <c r="J68" s="35"/>
      <c r="K68" s="10"/>
      <c r="L68" s="24" t="s">
        <v>45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46</v>
      </c>
      <c r="G69" s="51">
        <v>3.1899999999999997E-3</v>
      </c>
      <c r="H69" s="10"/>
      <c r="I69" s="29"/>
      <c r="J69" s="35"/>
      <c r="K69" s="10"/>
      <c r="L69" s="24" t="s">
        <v>46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47</v>
      </c>
      <c r="G70" s="51">
        <v>3.29E-3</v>
      </c>
      <c r="H70" s="10"/>
      <c r="I70" s="30"/>
      <c r="J70" s="36"/>
      <c r="K70" s="10"/>
      <c r="L70" s="24" t="s">
        <v>47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51</v>
      </c>
      <c r="G71" s="51">
        <v>3.4700000000000004E-3</v>
      </c>
      <c r="H71" s="10"/>
      <c r="I71" s="28"/>
      <c r="J71" s="35"/>
      <c r="K71" s="10"/>
      <c r="L71" s="24" t="s">
        <v>51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53</v>
      </c>
      <c r="G72" s="51">
        <v>3.5200000000000001E-3</v>
      </c>
      <c r="H72" s="10"/>
      <c r="I72" s="28"/>
      <c r="J72" s="35"/>
      <c r="K72" s="10"/>
      <c r="L72" s="24" t="s">
        <v>53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54</v>
      </c>
      <c r="G73" s="51">
        <v>3.5700000000000003E-3</v>
      </c>
      <c r="H73" s="10"/>
      <c r="I73" s="28"/>
      <c r="J73" s="35"/>
      <c r="K73" s="10"/>
      <c r="L73" s="24" t="s">
        <v>54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55</v>
      </c>
      <c r="G74" s="51">
        <v>3.6200000000000004E-3</v>
      </c>
      <c r="H74" s="10"/>
      <c r="I74" s="28"/>
      <c r="J74" s="35"/>
      <c r="K74" s="10"/>
      <c r="L74" s="24" t="s">
        <v>55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56</v>
      </c>
      <c r="G75" s="51">
        <v>3.64E-3</v>
      </c>
      <c r="H75" s="10"/>
      <c r="I75" s="28"/>
      <c r="J75" s="35"/>
      <c r="K75" s="10"/>
      <c r="L75" s="24" t="s">
        <v>56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57</v>
      </c>
      <c r="G76" s="51">
        <v>3.65E-3</v>
      </c>
      <c r="H76" s="10"/>
      <c r="I76" s="29"/>
      <c r="J76" s="35"/>
      <c r="K76" s="10"/>
      <c r="L76" s="24" t="s">
        <v>57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topLeftCell="A88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121</v>
      </c>
    </row>
    <row r="3" spans="2:12" x14ac:dyDescent="0.25">
      <c r="B3" t="s">
        <v>122</v>
      </c>
    </row>
    <row r="6" spans="2:12" x14ac:dyDescent="0.25">
      <c r="B6" s="56" t="s">
        <v>79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79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(0.00000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4" t="s">
        <v>159</v>
      </c>
      <c r="D9" s="115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77</v>
      </c>
      <c r="D13" s="106" t="s">
        <v>129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76</v>
      </c>
      <c r="D14" s="107" t="s">
        <v>80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78</v>
      </c>
      <c r="D15" s="108" t="s">
        <v>158</v>
      </c>
      <c r="E15" s="7"/>
      <c r="F15" s="7"/>
      <c r="G15" s="7"/>
      <c r="H15" s="7" t="s">
        <v>3</v>
      </c>
      <c r="I15" s="7" t="s">
        <v>3</v>
      </c>
      <c r="J15" s="7" t="s">
        <v>3</v>
      </c>
      <c r="K15" s="7"/>
      <c r="L15" s="8" t="s">
        <v>3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59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59</v>
      </c>
      <c r="D21" s="47"/>
      <c r="E21" s="7"/>
      <c r="F21" s="50" t="s">
        <v>70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9</v>
      </c>
      <c r="D22" s="106">
        <v>42419</v>
      </c>
      <c r="E22" s="7"/>
      <c r="F22" s="14" t="s">
        <v>71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15</v>
      </c>
      <c r="D23" s="107" t="s">
        <v>133</v>
      </c>
      <c r="E23" s="7"/>
      <c r="F23" s="17" t="s">
        <v>72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22</v>
      </c>
      <c r="D24" s="109" t="s">
        <v>73</v>
      </c>
      <c r="E24" s="7"/>
      <c r="F24" s="17" t="s">
        <v>73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82</v>
      </c>
      <c r="D25" s="107" t="b">
        <v>0</v>
      </c>
      <c r="E25" s="7"/>
      <c r="F25" s="17" t="s">
        <v>74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81</v>
      </c>
      <c r="D26" s="107" t="b">
        <v>1</v>
      </c>
      <c r="E26" s="7"/>
      <c r="F26" s="17" t="s">
        <v>75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25</v>
      </c>
      <c r="D27" s="107" t="s">
        <v>26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83</v>
      </c>
      <c r="D28" s="107" t="s">
        <v>8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7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8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84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85</v>
      </c>
      <c r="D37" s="10"/>
      <c r="E37" s="10"/>
      <c r="F37" s="49" t="s">
        <v>91</v>
      </c>
      <c r="G37" s="10"/>
      <c r="H37" s="10"/>
      <c r="I37" s="49" t="s">
        <v>118</v>
      </c>
      <c r="J37" s="10"/>
      <c r="K37" s="10"/>
      <c r="L37" s="55"/>
    </row>
    <row r="38" spans="2:12" x14ac:dyDescent="0.25">
      <c r="B38" s="5"/>
      <c r="C38" s="27" t="s">
        <v>2</v>
      </c>
      <c r="D38" s="34" t="s">
        <v>130</v>
      </c>
      <c r="E38" s="7"/>
      <c r="F38" s="27" t="s">
        <v>2</v>
      </c>
      <c r="G38" s="34" t="s">
        <v>142</v>
      </c>
      <c r="H38" s="10"/>
      <c r="I38" s="78" t="s">
        <v>10</v>
      </c>
      <c r="J38" s="78" t="s">
        <v>11</v>
      </c>
      <c r="K38" s="78"/>
      <c r="L38" s="55"/>
    </row>
    <row r="39" spans="2:12" x14ac:dyDescent="0.25">
      <c r="B39" s="5"/>
      <c r="C39" s="28" t="s">
        <v>6</v>
      </c>
      <c r="D39" s="35" t="s">
        <v>124</v>
      </c>
      <c r="E39" s="9"/>
      <c r="F39" s="30" t="s">
        <v>6</v>
      </c>
      <c r="G39" s="69" t="s">
        <v>124</v>
      </c>
      <c r="H39" s="10"/>
      <c r="I39" s="71" t="s">
        <v>127</v>
      </c>
      <c r="J39" s="75">
        <v>4.3179999999999998E-3</v>
      </c>
      <c r="K39" s="78"/>
      <c r="L39" s="55"/>
    </row>
    <row r="40" spans="2:12" x14ac:dyDescent="0.25">
      <c r="B40" s="5"/>
      <c r="C40" s="28" t="s">
        <v>21</v>
      </c>
      <c r="D40" s="68" t="s">
        <v>87</v>
      </c>
      <c r="E40" s="9"/>
      <c r="F40" s="29" t="s">
        <v>23</v>
      </c>
      <c r="G40" s="35" t="s">
        <v>144</v>
      </c>
      <c r="H40" s="10"/>
      <c r="I40" s="72" t="s">
        <v>125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14</v>
      </c>
      <c r="G41" s="69" t="s">
        <v>99</v>
      </c>
      <c r="H41" s="10"/>
      <c r="I41" s="72" t="s">
        <v>92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20</v>
      </c>
      <c r="H42" s="10"/>
      <c r="I42" s="72" t="s">
        <v>48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128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93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94</v>
      </c>
      <c r="D50" s="10"/>
      <c r="E50" s="10"/>
      <c r="F50" s="49" t="s">
        <v>119</v>
      </c>
      <c r="G50" s="10"/>
      <c r="H50" s="10"/>
      <c r="I50" s="49" t="s">
        <v>120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10</v>
      </c>
      <c r="G51" s="78" t="s">
        <v>11</v>
      </c>
      <c r="H51" s="10"/>
      <c r="I51" s="78" t="s">
        <v>10</v>
      </c>
      <c r="J51" s="78" t="s">
        <v>11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97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98</v>
      </c>
      <c r="D71" s="10"/>
      <c r="E71" s="10"/>
      <c r="F71" s="49" t="s">
        <v>101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2</v>
      </c>
      <c r="D72" s="34" t="s">
        <v>130</v>
      </c>
      <c r="E72" s="7"/>
      <c r="F72" s="96" t="s">
        <v>123</v>
      </c>
      <c r="G72" s="96" t="s">
        <v>12</v>
      </c>
      <c r="H72" s="96" t="s">
        <v>13</v>
      </c>
      <c r="I72" s="96" t="s">
        <v>11</v>
      </c>
      <c r="J72" s="96" t="s">
        <v>100</v>
      </c>
      <c r="K72" s="10"/>
      <c r="L72" s="55"/>
    </row>
    <row r="73" spans="2:12" x14ac:dyDescent="0.25">
      <c r="B73" s="5"/>
      <c r="C73" s="28" t="s">
        <v>6</v>
      </c>
      <c r="D73" s="35" t="s">
        <v>124</v>
      </c>
      <c r="E73" s="9"/>
      <c r="F73" s="82" t="s">
        <v>145</v>
      </c>
      <c r="G73" s="79">
        <v>42634</v>
      </c>
      <c r="H73" s="79">
        <v>42725</v>
      </c>
      <c r="I73" s="80">
        <v>99.17</v>
      </c>
      <c r="J73" s="81">
        <v>8.9999999999999993E-3</v>
      </c>
      <c r="K73" s="10"/>
      <c r="L73" s="55"/>
    </row>
    <row r="74" spans="2:12" x14ac:dyDescent="0.25">
      <c r="B74" s="5"/>
      <c r="C74" s="28" t="s">
        <v>14</v>
      </c>
      <c r="D74" s="35" t="s">
        <v>99</v>
      </c>
      <c r="E74" s="9"/>
      <c r="F74" s="83" t="s">
        <v>146</v>
      </c>
      <c r="G74" s="84">
        <v>42725</v>
      </c>
      <c r="H74" s="84">
        <v>42809</v>
      </c>
      <c r="I74" s="85">
        <v>99.085000000000008</v>
      </c>
      <c r="J74" s="86">
        <v>8.9999999999999993E-3</v>
      </c>
      <c r="K74" s="10"/>
      <c r="L74" s="55"/>
    </row>
    <row r="75" spans="2:12" x14ac:dyDescent="0.25">
      <c r="B75" s="5"/>
      <c r="C75" s="28" t="s">
        <v>21</v>
      </c>
      <c r="D75" s="104" t="s">
        <v>20</v>
      </c>
      <c r="E75" s="9"/>
      <c r="F75" s="83" t="s">
        <v>147</v>
      </c>
      <c r="G75" s="84">
        <v>42809</v>
      </c>
      <c r="H75" s="84">
        <v>42907</v>
      </c>
      <c r="I75" s="85">
        <v>99.025000000000006</v>
      </c>
      <c r="J75" s="86">
        <v>8.9999999999999993E-3</v>
      </c>
      <c r="K75" s="10"/>
      <c r="L75" s="55"/>
    </row>
    <row r="76" spans="2:12" x14ac:dyDescent="0.25">
      <c r="B76" s="5"/>
      <c r="C76" s="28" t="s">
        <v>156</v>
      </c>
      <c r="D76" s="74">
        <v>0.03</v>
      </c>
      <c r="E76" s="9"/>
      <c r="F76" s="83" t="s">
        <v>148</v>
      </c>
      <c r="G76" s="84">
        <v>42907</v>
      </c>
      <c r="H76" s="84">
        <v>42998</v>
      </c>
      <c r="I76" s="85">
        <v>98.960000000000008</v>
      </c>
      <c r="J76" s="86">
        <v>8.9999999999999993E-3</v>
      </c>
      <c r="K76" s="10"/>
      <c r="L76" s="55"/>
    </row>
    <row r="77" spans="2:12" x14ac:dyDescent="0.25">
      <c r="B77" s="5"/>
      <c r="C77" s="28" t="s">
        <v>95</v>
      </c>
      <c r="D77" s="35" t="b">
        <v>0</v>
      </c>
      <c r="E77" s="9"/>
      <c r="F77" s="83" t="s">
        <v>149</v>
      </c>
      <c r="G77" s="84">
        <v>42998</v>
      </c>
      <c r="H77" s="84">
        <v>43089</v>
      </c>
      <c r="I77" s="85">
        <v>98.885000000000005</v>
      </c>
      <c r="J77" s="86">
        <v>8.9999999999999993E-3</v>
      </c>
      <c r="K77" s="10"/>
      <c r="L77" s="55"/>
    </row>
    <row r="78" spans="2:12" x14ac:dyDescent="0.25">
      <c r="B78" s="5"/>
      <c r="C78" s="28" t="s">
        <v>96</v>
      </c>
      <c r="D78" s="35">
        <v>2</v>
      </c>
      <c r="E78" s="9"/>
      <c r="F78" s="83" t="s">
        <v>150</v>
      </c>
      <c r="G78" s="84">
        <v>43089</v>
      </c>
      <c r="H78" s="84">
        <v>43180</v>
      </c>
      <c r="I78" s="85">
        <v>98.81</v>
      </c>
      <c r="J78" s="86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3" t="s">
        <v>151</v>
      </c>
      <c r="G79" s="84">
        <v>43180</v>
      </c>
      <c r="H79" s="84">
        <v>43271</v>
      </c>
      <c r="I79" s="85">
        <v>98.75</v>
      </c>
      <c r="J79" s="86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3" t="s">
        <v>152</v>
      </c>
      <c r="G80" s="84">
        <v>43271</v>
      </c>
      <c r="H80" s="84">
        <v>43362</v>
      </c>
      <c r="I80" s="85">
        <v>98.68</v>
      </c>
      <c r="J80" s="86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7" t="s">
        <v>153</v>
      </c>
      <c r="G81" s="84">
        <v>43362</v>
      </c>
      <c r="H81" s="84">
        <v>43453</v>
      </c>
      <c r="I81" s="88">
        <v>98.615000000000009</v>
      </c>
      <c r="J81" s="86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9" t="s">
        <v>154</v>
      </c>
      <c r="G82" s="90">
        <v>43453</v>
      </c>
      <c r="H82" s="90">
        <v>43544</v>
      </c>
      <c r="I82" s="88">
        <v>98.54</v>
      </c>
      <c r="J82" s="91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89" t="s">
        <v>155</v>
      </c>
      <c r="G83" s="90">
        <v>43544</v>
      </c>
      <c r="H83" s="90">
        <v>43635</v>
      </c>
      <c r="I83" s="88">
        <v>98.484999999999999</v>
      </c>
      <c r="J83" s="91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102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103</v>
      </c>
      <c r="D92" s="10"/>
      <c r="E92" s="10"/>
      <c r="F92" s="49" t="s">
        <v>104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142</v>
      </c>
      <c r="E93" s="7"/>
      <c r="F93" s="78" t="s">
        <v>10</v>
      </c>
      <c r="G93" s="78" t="s">
        <v>11</v>
      </c>
      <c r="H93" s="78" t="s">
        <v>7</v>
      </c>
      <c r="I93" s="10"/>
      <c r="J93" s="10"/>
      <c r="K93" s="10"/>
      <c r="L93" s="55"/>
    </row>
    <row r="94" spans="2:12" x14ac:dyDescent="0.25">
      <c r="B94" s="5"/>
      <c r="C94" s="102" t="s">
        <v>86</v>
      </c>
      <c r="D94" s="35" t="s">
        <v>18</v>
      </c>
      <c r="E94" s="9"/>
      <c r="F94" s="100" t="s">
        <v>45</v>
      </c>
      <c r="G94" s="97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2" t="s">
        <v>105</v>
      </c>
      <c r="D95" s="35" t="s">
        <v>18</v>
      </c>
      <c r="E95" s="9"/>
      <c r="F95" s="24" t="s">
        <v>47</v>
      </c>
      <c r="G95" s="98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2" t="s">
        <v>106</v>
      </c>
      <c r="D96" s="35" t="s">
        <v>5</v>
      </c>
      <c r="E96" s="9"/>
      <c r="F96" s="24" t="s">
        <v>51</v>
      </c>
      <c r="G96" s="98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2" t="s">
        <v>25</v>
      </c>
      <c r="D97" s="35" t="s">
        <v>107</v>
      </c>
      <c r="E97" s="9"/>
      <c r="F97" s="24" t="s">
        <v>52</v>
      </c>
      <c r="G97" s="98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2" t="s">
        <v>108</v>
      </c>
      <c r="D98" s="35" t="s">
        <v>26</v>
      </c>
      <c r="E98" s="9"/>
      <c r="F98" s="24" t="s">
        <v>53</v>
      </c>
      <c r="G98" s="98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2" t="s">
        <v>109</v>
      </c>
      <c r="D99" s="109" t="s">
        <v>73</v>
      </c>
      <c r="E99" s="9"/>
      <c r="F99" s="24" t="s">
        <v>54</v>
      </c>
      <c r="G99" s="98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2" t="s">
        <v>90</v>
      </c>
      <c r="D100" s="35" t="b">
        <v>0</v>
      </c>
      <c r="E100" s="9"/>
      <c r="F100" s="24" t="s">
        <v>55</v>
      </c>
      <c r="G100" s="98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110</v>
      </c>
      <c r="D101" s="35" t="b">
        <v>1</v>
      </c>
      <c r="E101" s="9"/>
      <c r="F101" s="24" t="s">
        <v>56</v>
      </c>
      <c r="G101" s="98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157</v>
      </c>
      <c r="D102" s="35" t="b">
        <v>1</v>
      </c>
      <c r="E102" s="9"/>
      <c r="F102" s="24" t="s">
        <v>57</v>
      </c>
      <c r="G102" s="98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89</v>
      </c>
      <c r="D103" s="35">
        <v>2</v>
      </c>
      <c r="E103" s="9"/>
      <c r="F103" s="24" t="s">
        <v>58</v>
      </c>
      <c r="G103" s="98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19</v>
      </c>
      <c r="D104" s="68" t="s">
        <v>20</v>
      </c>
      <c r="E104" s="9"/>
      <c r="F104" s="24"/>
      <c r="G104" s="98"/>
      <c r="H104" s="76"/>
      <c r="I104" s="10"/>
      <c r="J104" s="10"/>
      <c r="K104" s="10"/>
      <c r="L104" s="55"/>
    </row>
    <row r="105" spans="2:12" x14ac:dyDescent="0.25">
      <c r="B105" s="5"/>
      <c r="C105" s="102" t="s">
        <v>111</v>
      </c>
      <c r="D105" s="35" t="b">
        <v>1</v>
      </c>
      <c r="E105" s="9"/>
      <c r="F105" s="24"/>
      <c r="G105" s="98"/>
      <c r="H105" s="76"/>
      <c r="I105" s="10"/>
      <c r="J105" s="10"/>
      <c r="K105" s="10"/>
      <c r="L105" s="55"/>
    </row>
    <row r="106" spans="2:12" x14ac:dyDescent="0.25">
      <c r="B106" s="5"/>
      <c r="C106" s="102" t="s">
        <v>112</v>
      </c>
      <c r="D106" s="35" t="s">
        <v>113</v>
      </c>
      <c r="E106" s="9"/>
      <c r="F106" s="24"/>
      <c r="G106" s="98"/>
      <c r="H106" s="76"/>
      <c r="I106" s="10"/>
      <c r="J106" s="10"/>
      <c r="K106" s="10"/>
      <c r="L106" s="55"/>
    </row>
    <row r="107" spans="2:12" x14ac:dyDescent="0.25">
      <c r="B107" s="5"/>
      <c r="C107" s="102" t="s">
        <v>114</v>
      </c>
      <c r="D107" s="38">
        <v>1.0000000000000001E-9</v>
      </c>
      <c r="E107" s="9"/>
      <c r="F107" s="24"/>
      <c r="G107" s="98"/>
      <c r="H107" s="76"/>
      <c r="I107" s="10"/>
      <c r="J107" s="10"/>
      <c r="K107" s="10"/>
      <c r="L107" s="55"/>
    </row>
    <row r="108" spans="2:12" x14ac:dyDescent="0.25">
      <c r="B108" s="5"/>
      <c r="C108" s="102" t="s">
        <v>115</v>
      </c>
      <c r="D108" s="38">
        <v>1.0000000000000001E-15</v>
      </c>
      <c r="E108" s="9"/>
      <c r="F108" s="24"/>
      <c r="G108" s="98"/>
      <c r="H108" s="76"/>
      <c r="I108" s="10"/>
      <c r="J108" s="10"/>
      <c r="K108" s="10"/>
      <c r="L108" s="55"/>
    </row>
    <row r="109" spans="2:12" x14ac:dyDescent="0.25">
      <c r="B109" s="5"/>
      <c r="C109" s="102" t="s">
        <v>116</v>
      </c>
      <c r="D109" s="38">
        <v>1E-10</v>
      </c>
      <c r="E109" s="9"/>
      <c r="F109" s="24"/>
      <c r="G109" s="98"/>
      <c r="H109" s="76"/>
      <c r="I109" s="10"/>
      <c r="J109" s="10"/>
      <c r="K109" s="10"/>
      <c r="L109" s="55"/>
    </row>
    <row r="110" spans="2:12" x14ac:dyDescent="0.25">
      <c r="B110" s="5"/>
      <c r="C110" s="102" t="s">
        <v>117</v>
      </c>
      <c r="D110" s="105">
        <v>1000</v>
      </c>
      <c r="E110" s="9"/>
      <c r="F110" s="24"/>
      <c r="G110" s="98"/>
      <c r="H110" s="76"/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26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160</v>
      </c>
    </row>
    <row r="5" spans="2:10" x14ac:dyDescent="0.25">
      <c r="B5" s="56" t="s">
        <v>161</v>
      </c>
    </row>
    <row r="6" spans="2:10" x14ac:dyDescent="0.25">
      <c r="B6" s="116"/>
      <c r="C6" s="117"/>
      <c r="D6" s="117"/>
      <c r="E6" s="117"/>
      <c r="F6" s="117"/>
      <c r="G6" s="117"/>
      <c r="H6" s="117"/>
      <c r="I6" s="117"/>
      <c r="J6" s="118"/>
    </row>
    <row r="7" spans="2:10" x14ac:dyDescent="0.25">
      <c r="B7" s="119"/>
      <c r="C7" s="113" t="s">
        <v>8</v>
      </c>
      <c r="D7" s="7"/>
      <c r="E7" s="7"/>
      <c r="F7" s="7"/>
      <c r="G7" s="113" t="s">
        <v>171</v>
      </c>
      <c r="H7" s="7"/>
      <c r="I7" s="7"/>
      <c r="J7" s="120"/>
    </row>
    <row r="8" spans="2:10" x14ac:dyDescent="0.25">
      <c r="B8" s="119"/>
      <c r="C8" s="121" t="s">
        <v>77</v>
      </c>
      <c r="D8" s="122" t="s">
        <v>129</v>
      </c>
      <c r="E8" s="7"/>
      <c r="F8" s="7"/>
      <c r="G8" s="121" t="s">
        <v>77</v>
      </c>
      <c r="H8" s="122" t="s">
        <v>129</v>
      </c>
      <c r="I8" s="7"/>
      <c r="J8" s="120"/>
    </row>
    <row r="9" spans="2:10" x14ac:dyDescent="0.25">
      <c r="B9" s="119"/>
      <c r="C9" s="123" t="s">
        <v>25</v>
      </c>
      <c r="D9" s="124" t="s">
        <v>88</v>
      </c>
      <c r="E9" s="7"/>
      <c r="F9" s="7"/>
      <c r="G9" s="123" t="s">
        <v>25</v>
      </c>
      <c r="H9" s="124" t="s">
        <v>88</v>
      </c>
      <c r="I9" s="7"/>
      <c r="J9" s="120"/>
    </row>
    <row r="10" spans="2:10" x14ac:dyDescent="0.25">
      <c r="B10" s="119"/>
      <c r="C10" s="123" t="s">
        <v>16</v>
      </c>
      <c r="D10" s="124" t="s">
        <v>124</v>
      </c>
      <c r="E10" s="7"/>
      <c r="F10" s="7"/>
      <c r="G10" s="123" t="s">
        <v>16</v>
      </c>
      <c r="H10" s="124" t="s">
        <v>124</v>
      </c>
      <c r="I10" s="7"/>
      <c r="J10" s="120"/>
    </row>
    <row r="11" spans="2:10" x14ac:dyDescent="0.25">
      <c r="B11" s="119"/>
      <c r="C11" s="123" t="s">
        <v>19</v>
      </c>
      <c r="D11" s="125" t="s">
        <v>20</v>
      </c>
      <c r="E11" s="7"/>
      <c r="F11" s="7"/>
      <c r="G11" s="123" t="s">
        <v>19</v>
      </c>
      <c r="H11" s="125" t="s">
        <v>20</v>
      </c>
      <c r="I11" s="7"/>
      <c r="J11" s="120"/>
    </row>
    <row r="12" spans="2:10" x14ac:dyDescent="0.25">
      <c r="B12" s="119"/>
      <c r="C12" s="123" t="s">
        <v>1</v>
      </c>
      <c r="D12" s="124" t="s">
        <v>130</v>
      </c>
      <c r="E12" s="7"/>
      <c r="F12" s="7"/>
      <c r="G12" s="123" t="s">
        <v>1</v>
      </c>
      <c r="H12" s="124" t="s">
        <v>130</v>
      </c>
      <c r="I12" s="7"/>
      <c r="J12" s="120"/>
    </row>
    <row r="13" spans="2:10" x14ac:dyDescent="0.25">
      <c r="B13" s="119"/>
      <c r="C13" s="123" t="s">
        <v>109</v>
      </c>
      <c r="D13" s="125" t="s">
        <v>162</v>
      </c>
      <c r="E13" s="7"/>
      <c r="F13" s="7"/>
      <c r="G13" s="123" t="s">
        <v>109</v>
      </c>
      <c r="H13" s="125" t="s">
        <v>162</v>
      </c>
      <c r="I13" s="7"/>
      <c r="J13" s="120"/>
    </row>
    <row r="14" spans="2:10" x14ac:dyDescent="0.25">
      <c r="B14" s="119"/>
      <c r="C14" s="123" t="s">
        <v>163</v>
      </c>
      <c r="D14" s="124" t="str">
        <f>C7</f>
        <v>OIS</v>
      </c>
      <c r="E14" s="7"/>
      <c r="F14" s="7"/>
      <c r="G14" s="123" t="s">
        <v>163</v>
      </c>
      <c r="H14" s="124" t="str">
        <f>G7</f>
        <v>USD3ML</v>
      </c>
      <c r="I14" s="7"/>
      <c r="J14" s="120"/>
    </row>
    <row r="15" spans="2:10" x14ac:dyDescent="0.25">
      <c r="B15" s="119"/>
      <c r="C15" s="123" t="s">
        <v>164</v>
      </c>
      <c r="D15" s="124" t="b">
        <v>0</v>
      </c>
      <c r="E15" s="7"/>
      <c r="F15" s="7"/>
      <c r="G15" s="123" t="s">
        <v>164</v>
      </c>
      <c r="H15" s="124" t="b">
        <v>1</v>
      </c>
      <c r="I15" s="7"/>
      <c r="J15" s="120"/>
    </row>
    <row r="16" spans="2:10" x14ac:dyDescent="0.25">
      <c r="B16" s="119"/>
      <c r="C16" s="123" t="s">
        <v>165</v>
      </c>
      <c r="D16" s="124" t="b">
        <v>0</v>
      </c>
      <c r="E16" s="7"/>
      <c r="F16" s="7"/>
      <c r="G16" s="123" t="s">
        <v>165</v>
      </c>
      <c r="H16" s="124" t="b">
        <v>0</v>
      </c>
      <c r="I16" s="7"/>
      <c r="J16" s="120"/>
    </row>
    <row r="17" spans="1:10" x14ac:dyDescent="0.25">
      <c r="B17" s="119"/>
      <c r="C17" s="123" t="s">
        <v>166</v>
      </c>
      <c r="D17" s="124" t="s">
        <v>167</v>
      </c>
      <c r="E17" s="7"/>
      <c r="F17" s="7"/>
      <c r="G17" s="123" t="s">
        <v>166</v>
      </c>
      <c r="H17" s="124" t="s">
        <v>125</v>
      </c>
      <c r="I17" s="7"/>
      <c r="J17" s="120"/>
    </row>
    <row r="18" spans="1:10" x14ac:dyDescent="0.25">
      <c r="B18" s="119"/>
      <c r="C18" s="127" t="s">
        <v>168</v>
      </c>
      <c r="D18" s="128" t="b">
        <v>1</v>
      </c>
      <c r="E18" s="7"/>
      <c r="F18" s="7"/>
      <c r="G18" s="127" t="s">
        <v>168</v>
      </c>
      <c r="H18" s="128" t="b">
        <v>1</v>
      </c>
      <c r="I18" s="7"/>
      <c r="J18" s="120"/>
    </row>
    <row r="19" spans="1:10" x14ac:dyDescent="0.25">
      <c r="B19" s="119"/>
      <c r="C19" s="7"/>
      <c r="D19" s="7"/>
      <c r="E19" s="129"/>
      <c r="F19" s="7"/>
      <c r="G19" s="7"/>
      <c r="H19" s="7"/>
      <c r="I19" s="7"/>
      <c r="J19" s="120"/>
    </row>
    <row r="20" spans="1:10" x14ac:dyDescent="0.25">
      <c r="B20" s="119"/>
      <c r="C20" s="7"/>
      <c r="D20" s="7"/>
      <c r="E20" s="129"/>
      <c r="F20" s="7"/>
      <c r="G20" s="7"/>
      <c r="H20" s="7"/>
      <c r="I20" s="7"/>
      <c r="J20" s="120"/>
    </row>
    <row r="21" spans="1:10" x14ac:dyDescent="0.25">
      <c r="B21" s="119"/>
      <c r="C21" s="113" t="str">
        <f>C7&amp;" Forwards"</f>
        <v>OIS Forwards</v>
      </c>
      <c r="D21" s="7"/>
      <c r="E21" s="7"/>
      <c r="F21" s="7"/>
      <c r="G21" s="113" t="str">
        <f>G7&amp;" Forwards"</f>
        <v>USD3ML Forwards</v>
      </c>
      <c r="H21" s="7"/>
      <c r="I21" s="7"/>
      <c r="J21" s="120"/>
    </row>
    <row r="22" spans="1:10" x14ac:dyDescent="0.25">
      <c r="B22" s="119"/>
      <c r="C22" s="130" t="s">
        <v>169</v>
      </c>
      <c r="D22" s="130" t="s">
        <v>170</v>
      </c>
      <c r="E22" s="130" t="s">
        <v>161</v>
      </c>
      <c r="F22" s="7"/>
      <c r="G22" s="130" t="s">
        <v>169</v>
      </c>
      <c r="H22" s="130" t="s">
        <v>170</v>
      </c>
      <c r="I22" s="130" t="s">
        <v>161</v>
      </c>
      <c r="J22" s="120"/>
    </row>
    <row r="23" spans="1:10" x14ac:dyDescent="0.25">
      <c r="A23" s="126">
        <v>1</v>
      </c>
      <c r="B23" s="119"/>
      <c r="C23" s="131">
        <v>42419</v>
      </c>
      <c r="D23" s="132">
        <f>_xll.mirGetDate(C23,D$17,"Following",D$12,"Normal")</f>
        <v>42422</v>
      </c>
      <c r="E23" s="133">
        <f t="array" aca="1" ref="E23:E1522" ca="1">IF(AND(isUSDOISLoaded,D$18,NOW()),_xll.mirGetForwardRate2(C23:C1522,D23:D1522,D$8,D$9,D$10,D$11,D$12,D$13,D$14,D$15,D$16),NA())</f>
        <v>3.7000000000109168E-3</v>
      </c>
      <c r="F23" s="7" t="s">
        <v>3</v>
      </c>
      <c r="G23" s="131">
        <f>$C23</f>
        <v>42419</v>
      </c>
      <c r="H23" s="132">
        <f>_xll.mirGetDate(G23,H$17,"Following",H$12,"Normal")</f>
        <v>42509</v>
      </c>
      <c r="I23" s="133">
        <f t="array" aca="1" ref="I23:I1522" ca="1">IF(AND(isUSD3MLLoaded,H$18,NOW()),_xll.mirGetForwardRate2(G23:G1522,H23:H1522,H$8,H$9,H$10,H$11,H$12,H$13,H$14,H$15,H$16),NA())</f>
        <v>6.2460000000002661E-3</v>
      </c>
      <c r="J23" s="120" t="s">
        <v>3</v>
      </c>
    </row>
    <row r="24" spans="1:10" x14ac:dyDescent="0.25">
      <c r="A24" s="126">
        <v>2</v>
      </c>
      <c r="B24" s="119"/>
      <c r="C24" s="136">
        <f>_xll.mirGetDate(C23,"1D","FOLLOWING",D$12,"NORMAL")</f>
        <v>42422</v>
      </c>
      <c r="D24" s="20">
        <f>_xll.mirGetDate(C24,D$17,"Following",D$12,"Normal")</f>
        <v>42423</v>
      </c>
      <c r="E24" s="134">
        <f ca="1"/>
        <v>3.6999999999842706E-3</v>
      </c>
      <c r="F24" s="7" t="s">
        <v>3</v>
      </c>
      <c r="G24" s="136">
        <f t="shared" ref="G24:G87" si="0">$C24</f>
        <v>42422</v>
      </c>
      <c r="H24" s="20">
        <f>_xll.mirGetDate(G24,H$17,"Following",H$12,"Normal")</f>
        <v>42513</v>
      </c>
      <c r="I24" s="134">
        <f ca="1"/>
        <v>6.2459984503117428E-3</v>
      </c>
      <c r="J24" s="120" t="s">
        <v>3</v>
      </c>
    </row>
    <row r="25" spans="1:10" x14ac:dyDescent="0.25">
      <c r="A25" s="126">
        <v>3</v>
      </c>
      <c r="B25" s="119"/>
      <c r="C25" s="136">
        <f>_xll.mirGetDate(C24,"1D","FOLLOWING",D$12,"NORMAL")</f>
        <v>42423</v>
      </c>
      <c r="D25" s="20">
        <f>_xll.mirGetDate(C25,D$17,"Following",D$12,"Normal")</f>
        <v>42424</v>
      </c>
      <c r="E25" s="134">
        <f ca="1"/>
        <v>3.6999999999842732E-3</v>
      </c>
      <c r="F25" s="7" t="s">
        <v>3</v>
      </c>
      <c r="G25" s="136">
        <f t="shared" si="0"/>
        <v>42423</v>
      </c>
      <c r="H25" s="20">
        <f>_xll.mirGetDate(G25,H$17,"Following",H$12,"Normal")</f>
        <v>42513</v>
      </c>
      <c r="I25" s="134">
        <f ca="1"/>
        <v>6.2460000000002661E-3</v>
      </c>
      <c r="J25" s="120" t="s">
        <v>3</v>
      </c>
    </row>
    <row r="26" spans="1:10" x14ac:dyDescent="0.25">
      <c r="A26" s="126">
        <v>4</v>
      </c>
      <c r="B26" s="119"/>
      <c r="C26" s="136">
        <f>_xll.mirGetDate(C25,"1D","FOLLOWING",D$12,"NORMAL")</f>
        <v>42424</v>
      </c>
      <c r="D26" s="20">
        <f>_xll.mirGetDate(C26,D$17,"Following",D$12,"Normal")</f>
        <v>42425</v>
      </c>
      <c r="E26" s="134">
        <f ca="1"/>
        <v>3.6999999999842706E-3</v>
      </c>
      <c r="F26" s="7" t="s">
        <v>3</v>
      </c>
      <c r="G26" s="136">
        <f t="shared" si="0"/>
        <v>42424</v>
      </c>
      <c r="H26" s="20">
        <f>_xll.mirGetDate(G26,H$17,"Following",H$12,"Normal")</f>
        <v>42514</v>
      </c>
      <c r="I26" s="134">
        <f ca="1"/>
        <v>6.2460023614303974E-3</v>
      </c>
      <c r="J26" s="120" t="s">
        <v>3</v>
      </c>
    </row>
    <row r="27" spans="1:10" x14ac:dyDescent="0.25">
      <c r="A27" s="126">
        <v>5</v>
      </c>
      <c r="B27" s="119"/>
      <c r="C27" s="136">
        <f>_xll.mirGetDate(C26,"1D","FOLLOWING",D$12,"NORMAL")</f>
        <v>42425</v>
      </c>
      <c r="D27" s="20">
        <f>_xll.mirGetDate(C27,D$17,"Following",D$12,"Normal")</f>
        <v>42426</v>
      </c>
      <c r="E27" s="134">
        <f ca="1"/>
        <v>3.6999999999842706E-3</v>
      </c>
      <c r="F27" s="7" t="s">
        <v>3</v>
      </c>
      <c r="G27" s="136">
        <f t="shared" si="0"/>
        <v>42425</v>
      </c>
      <c r="H27" s="20">
        <f>_xll.mirGetDate(G27,H$17,"Following",H$12,"Normal")</f>
        <v>42515</v>
      </c>
      <c r="I27" s="134">
        <f ca="1"/>
        <v>6.2460047228605287E-3</v>
      </c>
      <c r="J27" s="120" t="s">
        <v>3</v>
      </c>
    </row>
    <row r="28" spans="1:10" x14ac:dyDescent="0.25">
      <c r="A28" s="126">
        <v>6</v>
      </c>
      <c r="B28" s="119"/>
      <c r="C28" s="136">
        <f>_xll.mirGetDate(C27,"1D","FOLLOWING",D$12,"NORMAL")</f>
        <v>42426</v>
      </c>
      <c r="D28" s="20">
        <f>_xll.mirGetDate(C28,D$17,"Following",D$12,"Normal")</f>
        <v>42429</v>
      </c>
      <c r="E28" s="134">
        <f ca="1"/>
        <v>3.7000000000109176E-3</v>
      </c>
      <c r="F28" s="7" t="s">
        <v>3</v>
      </c>
      <c r="G28" s="136">
        <f t="shared" si="0"/>
        <v>42426</v>
      </c>
      <c r="H28" s="20">
        <f>_xll.mirGetDate(G28,H$17,"Following",H$12,"Normal")</f>
        <v>42516</v>
      </c>
      <c r="I28" s="134">
        <f ca="1"/>
        <v>6.24600708429066E-3</v>
      </c>
      <c r="J28" s="120" t="s">
        <v>3</v>
      </c>
    </row>
    <row r="29" spans="1:10" x14ac:dyDescent="0.25">
      <c r="A29" s="126">
        <v>7</v>
      </c>
      <c r="B29" s="119"/>
      <c r="C29" s="136">
        <f>_xll.mirGetDate(C28,"1D","FOLLOWING",D$12,"NORMAL")</f>
        <v>42429</v>
      </c>
      <c r="D29" s="20">
        <f>_xll.mirGetDate(C29,D$17,"Following",D$12,"Normal")</f>
        <v>42430</v>
      </c>
      <c r="E29" s="134">
        <f ca="1"/>
        <v>3.7000000000642066E-3</v>
      </c>
      <c r="F29" s="7" t="s">
        <v>3</v>
      </c>
      <c r="G29" s="136">
        <f t="shared" si="0"/>
        <v>42429</v>
      </c>
      <c r="H29" s="20">
        <f>_xll.mirGetDate(G29,H$17,"Following",H$12,"Normal")</f>
        <v>42521</v>
      </c>
      <c r="I29" s="134">
        <f ca="1"/>
        <v>6.2460141685810539E-3</v>
      </c>
      <c r="J29" s="120" t="s">
        <v>3</v>
      </c>
    </row>
    <row r="30" spans="1:10" x14ac:dyDescent="0.25">
      <c r="A30" s="126">
        <v>8</v>
      </c>
      <c r="B30" s="119"/>
      <c r="C30" s="136">
        <f>_xll.mirGetDate(C29,"1D","FOLLOWING",D$12,"NORMAL")</f>
        <v>42430</v>
      </c>
      <c r="D30" s="20">
        <f>_xll.mirGetDate(C30,D$17,"Following",D$12,"Normal")</f>
        <v>42431</v>
      </c>
      <c r="E30" s="134">
        <f ca="1"/>
        <v>3.6999999999842706E-3</v>
      </c>
      <c r="F30" s="7" t="s">
        <v>3</v>
      </c>
      <c r="G30" s="136">
        <f t="shared" si="0"/>
        <v>42430</v>
      </c>
      <c r="H30" s="20">
        <f>_xll.mirGetDate(G30,H$17,"Following",H$12,"Normal")</f>
        <v>42522</v>
      </c>
      <c r="I30" s="134">
        <f ca="1"/>
        <v>6.2460165300111852E-3</v>
      </c>
      <c r="J30" s="120" t="s">
        <v>3</v>
      </c>
    </row>
    <row r="31" spans="1:10" x14ac:dyDescent="0.25">
      <c r="A31" s="126">
        <v>9</v>
      </c>
      <c r="B31" s="119"/>
      <c r="C31" s="136">
        <f>_xll.mirGetDate(C30,"1D","FOLLOWING",D$12,"NORMAL")</f>
        <v>42431</v>
      </c>
      <c r="D31" s="20">
        <f>_xll.mirGetDate(C31,D$17,"Following",D$12,"Normal")</f>
        <v>42432</v>
      </c>
      <c r="E31" s="134">
        <f ca="1"/>
        <v>3.6999999999842753E-3</v>
      </c>
      <c r="F31" s="7" t="s">
        <v>3</v>
      </c>
      <c r="G31" s="136">
        <f t="shared" si="0"/>
        <v>42431</v>
      </c>
      <c r="H31" s="20">
        <f>_xll.mirGetDate(G31,H$17,"Following",H$12,"Normal")</f>
        <v>42523</v>
      </c>
      <c r="I31" s="134">
        <f ca="1"/>
        <v>6.2460188914413165E-3</v>
      </c>
      <c r="J31" s="120" t="s">
        <v>3</v>
      </c>
    </row>
    <row r="32" spans="1:10" x14ac:dyDescent="0.25">
      <c r="A32" s="126">
        <v>10</v>
      </c>
      <c r="B32" s="119"/>
      <c r="C32" s="136">
        <f>_xll.mirGetDate(C31,"1D","FOLLOWING",D$12,"NORMAL")</f>
        <v>42432</v>
      </c>
      <c r="D32" s="20">
        <f>_xll.mirGetDate(C32,D$17,"Following",D$12,"Normal")</f>
        <v>42433</v>
      </c>
      <c r="E32" s="134">
        <f ca="1"/>
        <v>3.6999999999842662E-3</v>
      </c>
      <c r="F32" s="7" t="s">
        <v>3</v>
      </c>
      <c r="G32" s="136">
        <f t="shared" si="0"/>
        <v>42432</v>
      </c>
      <c r="H32" s="20">
        <f>_xll.mirGetDate(G32,H$17,"Following",H$12,"Normal")</f>
        <v>42524</v>
      </c>
      <c r="I32" s="134">
        <f ca="1"/>
        <v>6.2460212528714478E-3</v>
      </c>
      <c r="J32" s="120" t="s">
        <v>3</v>
      </c>
    </row>
    <row r="33" spans="1:10" x14ac:dyDescent="0.25">
      <c r="A33" s="126">
        <v>11</v>
      </c>
      <c r="B33" s="119"/>
      <c r="C33" s="136">
        <f>_xll.mirGetDate(C32,"1D","FOLLOWING",D$12,"NORMAL")</f>
        <v>42433</v>
      </c>
      <c r="D33" s="20">
        <f>_xll.mirGetDate(C33,D$17,"Following",D$12,"Normal")</f>
        <v>42436</v>
      </c>
      <c r="E33" s="134">
        <f ca="1"/>
        <v>3.7000000000109176E-3</v>
      </c>
      <c r="F33" s="7" t="s">
        <v>3</v>
      </c>
      <c r="G33" s="136">
        <f t="shared" si="0"/>
        <v>42433</v>
      </c>
      <c r="H33" s="20">
        <f>_xll.mirGetDate(G33,H$17,"Following",H$12,"Normal")</f>
        <v>42527</v>
      </c>
      <c r="I33" s="134">
        <f ca="1"/>
        <v>6.2460236143015791E-3</v>
      </c>
      <c r="J33" s="120" t="s">
        <v>3</v>
      </c>
    </row>
    <row r="34" spans="1:10" x14ac:dyDescent="0.25">
      <c r="A34" s="126">
        <v>12</v>
      </c>
      <c r="B34" s="119"/>
      <c r="C34" s="136">
        <f>_xll.mirGetDate(C33,"1D","FOLLOWING",D$12,"NORMAL")</f>
        <v>42436</v>
      </c>
      <c r="D34" s="20">
        <f>_xll.mirGetDate(C34,D$17,"Following",D$12,"Normal")</f>
        <v>42437</v>
      </c>
      <c r="E34" s="134">
        <f ca="1"/>
        <v>3.6999999999842662E-3</v>
      </c>
      <c r="F34" s="7" t="s">
        <v>3</v>
      </c>
      <c r="G34" s="136">
        <f t="shared" si="0"/>
        <v>42436</v>
      </c>
      <c r="H34" s="20">
        <f>_xll.mirGetDate(G34,H$17,"Following",H$12,"Normal")</f>
        <v>42528</v>
      </c>
      <c r="I34" s="134">
        <f ca="1"/>
        <v>6.2460306985919738E-3</v>
      </c>
      <c r="J34" s="120" t="s">
        <v>3</v>
      </c>
    </row>
    <row r="35" spans="1:10" x14ac:dyDescent="0.25">
      <c r="A35" s="126">
        <v>13</v>
      </c>
      <c r="B35" s="119"/>
      <c r="C35" s="136">
        <f>_xll.mirGetDate(C34,"1D","FOLLOWING",D$12,"NORMAL")</f>
        <v>42437</v>
      </c>
      <c r="D35" s="20">
        <f>_xll.mirGetDate(C35,D$17,"Following",D$12,"Normal")</f>
        <v>42438</v>
      </c>
      <c r="E35" s="134">
        <f ca="1"/>
        <v>3.6999999999842753E-3</v>
      </c>
      <c r="F35" s="7" t="s">
        <v>3</v>
      </c>
      <c r="G35" s="136">
        <f t="shared" si="0"/>
        <v>42437</v>
      </c>
      <c r="H35" s="20">
        <f>_xll.mirGetDate(G35,H$17,"Following",H$12,"Normal")</f>
        <v>42529</v>
      </c>
      <c r="I35" s="134">
        <f ca="1"/>
        <v>6.2460330600221051E-3</v>
      </c>
      <c r="J35" s="120" t="s">
        <v>3</v>
      </c>
    </row>
    <row r="36" spans="1:10" x14ac:dyDescent="0.25">
      <c r="A36" s="126">
        <v>14</v>
      </c>
      <c r="B36" s="119"/>
      <c r="C36" s="136">
        <f>_xll.mirGetDate(C35,"1D","FOLLOWING",D$12,"NORMAL")</f>
        <v>42438</v>
      </c>
      <c r="D36" s="20">
        <f>_xll.mirGetDate(C36,D$17,"Following",D$12,"Normal")</f>
        <v>42439</v>
      </c>
      <c r="E36" s="134">
        <f ca="1"/>
        <v>3.6999999999842753E-3</v>
      </c>
      <c r="F36" s="7" t="s">
        <v>3</v>
      </c>
      <c r="G36" s="136">
        <f t="shared" si="0"/>
        <v>42438</v>
      </c>
      <c r="H36" s="20">
        <f>_xll.mirGetDate(G36,H$17,"Following",H$12,"Normal")</f>
        <v>42530</v>
      </c>
      <c r="I36" s="134">
        <f ca="1"/>
        <v>6.2460354214522364E-3</v>
      </c>
      <c r="J36" s="120" t="s">
        <v>3</v>
      </c>
    </row>
    <row r="37" spans="1:10" x14ac:dyDescent="0.25">
      <c r="A37" s="126">
        <v>15</v>
      </c>
      <c r="B37" s="119"/>
      <c r="C37" s="136">
        <f>_xll.mirGetDate(C36,"1D","FOLLOWING",D$12,"NORMAL")</f>
        <v>42439</v>
      </c>
      <c r="D37" s="20">
        <f>_xll.mirGetDate(C37,D$17,"Following",D$12,"Normal")</f>
        <v>42440</v>
      </c>
      <c r="E37" s="134">
        <f ca="1"/>
        <v>3.6999999999842662E-3</v>
      </c>
      <c r="F37" s="7" t="s">
        <v>3</v>
      </c>
      <c r="G37" s="136">
        <f t="shared" si="0"/>
        <v>42439</v>
      </c>
      <c r="H37" s="20">
        <f>_xll.mirGetDate(G37,H$17,"Following",H$12,"Normal")</f>
        <v>42531</v>
      </c>
      <c r="I37" s="134">
        <f ca="1"/>
        <v>6.2460377828823677E-3</v>
      </c>
      <c r="J37" s="120" t="s">
        <v>3</v>
      </c>
    </row>
    <row r="38" spans="1:10" x14ac:dyDescent="0.25">
      <c r="A38" s="126">
        <v>16</v>
      </c>
      <c r="B38" s="119"/>
      <c r="C38" s="136">
        <f>_xll.mirGetDate(C37,"1D","FOLLOWING",D$12,"NORMAL")</f>
        <v>42440</v>
      </c>
      <c r="D38" s="20">
        <f>_xll.mirGetDate(C38,D$17,"Following",D$12,"Normal")</f>
        <v>42443</v>
      </c>
      <c r="E38" s="134">
        <f ca="1"/>
        <v>3.7000000000109176E-3</v>
      </c>
      <c r="F38" s="7" t="s">
        <v>3</v>
      </c>
      <c r="G38" s="136">
        <f t="shared" si="0"/>
        <v>42440</v>
      </c>
      <c r="H38" s="20">
        <f>_xll.mirGetDate(G38,H$17,"Following",H$12,"Normal")</f>
        <v>42534</v>
      </c>
      <c r="I38" s="134">
        <f ca="1"/>
        <v>6.246040144312499E-3</v>
      </c>
      <c r="J38" s="120" t="s">
        <v>3</v>
      </c>
    </row>
    <row r="39" spans="1:10" x14ac:dyDescent="0.25">
      <c r="A39" s="126">
        <v>17</v>
      </c>
      <c r="B39" s="119"/>
      <c r="C39" s="136">
        <f>_xll.mirGetDate(C38,"1D","FOLLOWING",D$12,"NORMAL")</f>
        <v>42443</v>
      </c>
      <c r="D39" s="20">
        <f>_xll.mirGetDate(C39,D$17,"Following",D$12,"Normal")</f>
        <v>42444</v>
      </c>
      <c r="E39" s="134">
        <f ca="1"/>
        <v>3.6999999999842662E-3</v>
      </c>
      <c r="F39" s="7" t="s">
        <v>3</v>
      </c>
      <c r="G39" s="136">
        <f t="shared" si="0"/>
        <v>42443</v>
      </c>
      <c r="H39" s="20">
        <f>_xll.mirGetDate(G39,H$17,"Following",H$12,"Normal")</f>
        <v>42535</v>
      </c>
      <c r="I39" s="134">
        <f ca="1"/>
        <v>6.2460472286028929E-3</v>
      </c>
      <c r="J39" s="120" t="s">
        <v>3</v>
      </c>
    </row>
    <row r="40" spans="1:10" x14ac:dyDescent="0.25">
      <c r="A40" s="126">
        <v>18</v>
      </c>
      <c r="B40" s="119"/>
      <c r="C40" s="136">
        <f>_xll.mirGetDate(C39,"1D","FOLLOWING",D$12,"NORMAL")</f>
        <v>42444</v>
      </c>
      <c r="D40" s="20">
        <f>_xll.mirGetDate(C40,D$17,"Following",D$12,"Normal")</f>
        <v>42445</v>
      </c>
      <c r="E40" s="134">
        <f ca="1"/>
        <v>3.6999999999842844E-3</v>
      </c>
      <c r="F40" s="7" t="s">
        <v>3</v>
      </c>
      <c r="G40" s="136">
        <f t="shared" si="0"/>
        <v>42444</v>
      </c>
      <c r="H40" s="20">
        <f>_xll.mirGetDate(G40,H$17,"Following",H$12,"Normal")</f>
        <v>42536</v>
      </c>
      <c r="I40" s="134">
        <f ca="1"/>
        <v>6.2460495900330242E-3</v>
      </c>
      <c r="J40" s="120" t="s">
        <v>3</v>
      </c>
    </row>
    <row r="41" spans="1:10" x14ac:dyDescent="0.25">
      <c r="A41" s="126">
        <v>19</v>
      </c>
      <c r="B41" s="119"/>
      <c r="C41" s="136">
        <f>_xll.mirGetDate(C40,"1D","FOLLOWING",D$12,"NORMAL")</f>
        <v>42445</v>
      </c>
      <c r="D41" s="20">
        <f>_xll.mirGetDate(C41,D$17,"Following",D$12,"Normal")</f>
        <v>42446</v>
      </c>
      <c r="E41" s="134">
        <f ca="1"/>
        <v>3.6999999999842662E-3</v>
      </c>
      <c r="F41" s="7" t="s">
        <v>3</v>
      </c>
      <c r="G41" s="136">
        <f t="shared" si="0"/>
        <v>42445</v>
      </c>
      <c r="H41" s="20">
        <f>_xll.mirGetDate(G41,H$17,"Following",H$12,"Normal")</f>
        <v>42537</v>
      </c>
      <c r="I41" s="134">
        <f ca="1"/>
        <v>6.2460519514631555E-3</v>
      </c>
      <c r="J41" s="120" t="s">
        <v>3</v>
      </c>
    </row>
    <row r="42" spans="1:10" x14ac:dyDescent="0.25">
      <c r="A42" s="126">
        <v>20</v>
      </c>
      <c r="B42" s="119"/>
      <c r="C42" s="136">
        <f>_xll.mirGetDate(C41,"1D","FOLLOWING",D$12,"NORMAL")</f>
        <v>42446</v>
      </c>
      <c r="D42" s="20">
        <f>_xll.mirGetDate(C42,D$17,"Following",D$12,"Normal")</f>
        <v>42447</v>
      </c>
      <c r="E42" s="134">
        <f ca="1"/>
        <v>3.6999999999842662E-3</v>
      </c>
      <c r="F42" s="7" t="s">
        <v>3</v>
      </c>
      <c r="G42" s="136">
        <f t="shared" si="0"/>
        <v>42446</v>
      </c>
      <c r="H42" s="20">
        <f>_xll.mirGetDate(G42,H$17,"Following",H$12,"Normal")</f>
        <v>42538</v>
      </c>
      <c r="I42" s="134">
        <f ca="1"/>
        <v>6.2460543128932868E-3</v>
      </c>
      <c r="J42" s="120" t="s">
        <v>3</v>
      </c>
    </row>
    <row r="43" spans="1:10" x14ac:dyDescent="0.25">
      <c r="A43" s="126">
        <v>21</v>
      </c>
      <c r="B43" s="119"/>
      <c r="C43" s="136">
        <f>_xll.mirGetDate(C42,"1D","FOLLOWING",D$12,"NORMAL")</f>
        <v>42447</v>
      </c>
      <c r="D43" s="20">
        <f>_xll.mirGetDate(C43,D$17,"Following",D$12,"Normal")</f>
        <v>42450</v>
      </c>
      <c r="E43" s="134">
        <f ca="1"/>
        <v>3.7000000000109176E-3</v>
      </c>
      <c r="F43" s="7" t="s">
        <v>3</v>
      </c>
      <c r="G43" s="136">
        <f t="shared" si="0"/>
        <v>42447</v>
      </c>
      <c r="H43" s="20">
        <f>_xll.mirGetDate(G43,H$17,"Following",H$12,"Normal")</f>
        <v>42541</v>
      </c>
      <c r="I43" s="134">
        <f ca="1"/>
        <v>6.2460566743234181E-3</v>
      </c>
      <c r="J43" s="120" t="s">
        <v>3</v>
      </c>
    </row>
    <row r="44" spans="1:10" x14ac:dyDescent="0.25">
      <c r="A44" s="126">
        <v>22</v>
      </c>
      <c r="B44" s="119"/>
      <c r="C44" s="136">
        <f>_xll.mirGetDate(C43,"1D","FOLLOWING",D$12,"NORMAL")</f>
        <v>42450</v>
      </c>
      <c r="D44" s="20">
        <f>_xll.mirGetDate(C44,D$17,"Following",D$12,"Normal")</f>
        <v>42451</v>
      </c>
      <c r="E44" s="134">
        <f ca="1"/>
        <v>3.6999999999842662E-3</v>
      </c>
      <c r="F44" s="7" t="s">
        <v>3</v>
      </c>
      <c r="G44" s="136">
        <f t="shared" si="0"/>
        <v>42450</v>
      </c>
      <c r="H44" s="20">
        <f>_xll.mirGetDate(G44,H$17,"Following",H$12,"Normal")</f>
        <v>42542</v>
      </c>
      <c r="I44" s="134">
        <f ca="1"/>
        <v>6.246063758613812E-3</v>
      </c>
      <c r="J44" s="120" t="s">
        <v>3</v>
      </c>
    </row>
    <row r="45" spans="1:10" x14ac:dyDescent="0.25">
      <c r="A45" s="126">
        <v>23</v>
      </c>
      <c r="B45" s="119"/>
      <c r="C45" s="136">
        <f>_xll.mirGetDate(C44,"1D","FOLLOWING",D$12,"NORMAL")</f>
        <v>42451</v>
      </c>
      <c r="D45" s="20">
        <f>_xll.mirGetDate(C45,D$17,"Following",D$12,"Normal")</f>
        <v>42452</v>
      </c>
      <c r="E45" s="134">
        <f ca="1"/>
        <v>3.6999999999842844E-3</v>
      </c>
      <c r="F45" s="7" t="s">
        <v>3</v>
      </c>
      <c r="G45" s="136">
        <f t="shared" si="0"/>
        <v>42451</v>
      </c>
      <c r="H45" s="20">
        <f>_xll.mirGetDate(G45,H$17,"Following",H$12,"Normal")</f>
        <v>42543</v>
      </c>
      <c r="I45" s="134">
        <f ca="1"/>
        <v>6.2460661200439433E-3</v>
      </c>
      <c r="J45" s="120" t="s">
        <v>3</v>
      </c>
    </row>
    <row r="46" spans="1:10" x14ac:dyDescent="0.25">
      <c r="A46" s="126">
        <v>24</v>
      </c>
      <c r="B46" s="119"/>
      <c r="C46" s="136">
        <f>_xll.mirGetDate(C45,"1D","FOLLOWING",D$12,"NORMAL")</f>
        <v>42452</v>
      </c>
      <c r="D46" s="20">
        <f>_xll.mirGetDate(C46,D$17,"Following",D$12,"Normal")</f>
        <v>42453</v>
      </c>
      <c r="E46" s="134">
        <f ca="1"/>
        <v>3.6999999999842662E-3</v>
      </c>
      <c r="F46" s="7" t="s">
        <v>3</v>
      </c>
      <c r="G46" s="136">
        <f t="shared" si="0"/>
        <v>42452</v>
      </c>
      <c r="H46" s="20">
        <f>_xll.mirGetDate(G46,H$17,"Following",H$12,"Normal")</f>
        <v>42544</v>
      </c>
      <c r="I46" s="134">
        <f ca="1"/>
        <v>6.2460684814740746E-3</v>
      </c>
      <c r="J46" s="120" t="s">
        <v>3</v>
      </c>
    </row>
    <row r="47" spans="1:10" x14ac:dyDescent="0.25">
      <c r="A47" s="126">
        <v>25</v>
      </c>
      <c r="B47" s="119"/>
      <c r="C47" s="136">
        <f>_xll.mirGetDate(C46,"1D","FOLLOWING",D$12,"NORMAL")</f>
        <v>42453</v>
      </c>
      <c r="D47" s="20">
        <f>_xll.mirGetDate(C47,D$17,"Following",D$12,"Normal")</f>
        <v>42454</v>
      </c>
      <c r="E47" s="134">
        <f ca="1"/>
        <v>3.6999999999842662E-3</v>
      </c>
      <c r="F47" s="7" t="s">
        <v>3</v>
      </c>
      <c r="G47" s="136">
        <f t="shared" si="0"/>
        <v>42453</v>
      </c>
      <c r="H47" s="20">
        <f>_xll.mirGetDate(G47,H$17,"Following",H$12,"Normal")</f>
        <v>42545</v>
      </c>
      <c r="I47" s="134">
        <f ca="1"/>
        <v>6.2460708429042059E-3</v>
      </c>
      <c r="J47" s="120" t="s">
        <v>3</v>
      </c>
    </row>
    <row r="48" spans="1:10" x14ac:dyDescent="0.25">
      <c r="A48" s="126">
        <v>26</v>
      </c>
      <c r="B48" s="119"/>
      <c r="C48" s="136">
        <f>_xll.mirGetDate(C47,"1D","FOLLOWING",D$12,"NORMAL")</f>
        <v>42454</v>
      </c>
      <c r="D48" s="20">
        <f>_xll.mirGetDate(C48,D$17,"Following",D$12,"Normal")</f>
        <v>42457</v>
      </c>
      <c r="E48" s="134">
        <f ca="1"/>
        <v>3.7000000000109176E-3</v>
      </c>
      <c r="F48" s="7" t="s">
        <v>3</v>
      </c>
      <c r="G48" s="136">
        <f t="shared" si="0"/>
        <v>42454</v>
      </c>
      <c r="H48" s="20">
        <f>_xll.mirGetDate(G48,H$17,"Following",H$12,"Normal")</f>
        <v>42548</v>
      </c>
      <c r="I48" s="134">
        <f ca="1"/>
        <v>6.2460732043343372E-3</v>
      </c>
      <c r="J48" s="120" t="s">
        <v>3</v>
      </c>
    </row>
    <row r="49" spans="1:10" x14ac:dyDescent="0.25">
      <c r="A49" s="126">
        <v>27</v>
      </c>
      <c r="B49" s="119"/>
      <c r="C49" s="136">
        <f>_xll.mirGetDate(C48,"1D","FOLLOWING",D$12,"NORMAL")</f>
        <v>42457</v>
      </c>
      <c r="D49" s="20">
        <f>_xll.mirGetDate(C49,D$17,"Following",D$12,"Normal")</f>
        <v>42458</v>
      </c>
      <c r="E49" s="134">
        <f ca="1"/>
        <v>3.6999999999842662E-3</v>
      </c>
      <c r="F49" s="7" t="s">
        <v>3</v>
      </c>
      <c r="G49" s="136">
        <f t="shared" si="0"/>
        <v>42457</v>
      </c>
      <c r="H49" s="20">
        <f>_xll.mirGetDate(G49,H$17,"Following",H$12,"Normal")</f>
        <v>42549</v>
      </c>
      <c r="I49" s="134">
        <f ca="1"/>
        <v>6.2460802886247311E-3</v>
      </c>
      <c r="J49" s="120" t="s">
        <v>3</v>
      </c>
    </row>
    <row r="50" spans="1:10" x14ac:dyDescent="0.25">
      <c r="A50" s="126">
        <v>28</v>
      </c>
      <c r="B50" s="119"/>
      <c r="C50" s="136">
        <f>_xll.mirGetDate(C49,"1D","FOLLOWING",D$12,"NORMAL")</f>
        <v>42458</v>
      </c>
      <c r="D50" s="20">
        <f>_xll.mirGetDate(C50,D$17,"Following",D$12,"Normal")</f>
        <v>42459</v>
      </c>
      <c r="E50" s="134">
        <f ca="1"/>
        <v>3.6999999999842844E-3</v>
      </c>
      <c r="F50" s="7" t="s">
        <v>3</v>
      </c>
      <c r="G50" s="136">
        <f t="shared" si="0"/>
        <v>42458</v>
      </c>
      <c r="H50" s="20">
        <f>_xll.mirGetDate(G50,H$17,"Following",H$12,"Normal")</f>
        <v>42550</v>
      </c>
      <c r="I50" s="134">
        <f ca="1"/>
        <v>6.2460826500548624E-3</v>
      </c>
      <c r="J50" s="120" t="s">
        <v>3</v>
      </c>
    </row>
    <row r="51" spans="1:10" x14ac:dyDescent="0.25">
      <c r="A51" s="126">
        <v>29</v>
      </c>
      <c r="B51" s="119"/>
      <c r="C51" s="136">
        <f>_xll.mirGetDate(C50,"1D","FOLLOWING",D$12,"NORMAL")</f>
        <v>42459</v>
      </c>
      <c r="D51" s="20">
        <f>_xll.mirGetDate(C51,D$17,"Following",D$12,"Normal")</f>
        <v>42460</v>
      </c>
      <c r="E51" s="134">
        <f ca="1"/>
        <v>3.6999999999842662E-3</v>
      </c>
      <c r="F51" s="7" t="s">
        <v>3</v>
      </c>
      <c r="G51" s="136">
        <f t="shared" si="0"/>
        <v>42459</v>
      </c>
      <c r="H51" s="20">
        <f>_xll.mirGetDate(G51,H$17,"Following",H$12,"Normal")</f>
        <v>42551</v>
      </c>
      <c r="I51" s="134">
        <f ca="1"/>
        <v>6.2460850114849946E-3</v>
      </c>
      <c r="J51" s="120" t="s">
        <v>3</v>
      </c>
    </row>
    <row r="52" spans="1:10" x14ac:dyDescent="0.25">
      <c r="A52" s="126">
        <v>30</v>
      </c>
      <c r="B52" s="119"/>
      <c r="C52" s="136">
        <f>_xll.mirGetDate(C51,"1D","FOLLOWING",D$12,"NORMAL")</f>
        <v>42460</v>
      </c>
      <c r="D52" s="20">
        <f>_xll.mirGetDate(C52,D$17,"Following",D$12,"Normal")</f>
        <v>42461</v>
      </c>
      <c r="E52" s="134">
        <f ca="1"/>
        <v>3.6999999999842662E-3</v>
      </c>
      <c r="F52" s="7" t="s">
        <v>3</v>
      </c>
      <c r="G52" s="136">
        <f t="shared" si="0"/>
        <v>42460</v>
      </c>
      <c r="H52" s="20">
        <f>_xll.mirGetDate(G52,H$17,"Following",H$12,"Normal")</f>
        <v>42551</v>
      </c>
      <c r="I52" s="134">
        <f ca="1"/>
        <v>6.2460873729151259E-3</v>
      </c>
      <c r="J52" s="120" t="s">
        <v>3</v>
      </c>
    </row>
    <row r="53" spans="1:10" x14ac:dyDescent="0.25">
      <c r="A53" s="126">
        <v>31</v>
      </c>
      <c r="B53" s="119"/>
      <c r="C53" s="136">
        <f>_xll.mirGetDate(C52,"1D","FOLLOWING",D$12,"NORMAL")</f>
        <v>42461</v>
      </c>
      <c r="D53" s="20">
        <f>_xll.mirGetDate(C53,D$17,"Following",D$12,"Normal")</f>
        <v>42464</v>
      </c>
      <c r="E53" s="134">
        <f ca="1"/>
        <v>3.7000000000109176E-3</v>
      </c>
      <c r="F53" s="7" t="s">
        <v>3</v>
      </c>
      <c r="G53" s="136">
        <f t="shared" si="0"/>
        <v>42461</v>
      </c>
      <c r="H53" s="20">
        <f>_xll.mirGetDate(G53,H$17,"Following",H$12,"Normal")</f>
        <v>42552</v>
      </c>
      <c r="I53" s="134">
        <f ca="1"/>
        <v>6.2460897343452572E-3</v>
      </c>
      <c r="J53" s="120" t="s">
        <v>3</v>
      </c>
    </row>
    <row r="54" spans="1:10" x14ac:dyDescent="0.25">
      <c r="A54" s="126">
        <v>32</v>
      </c>
      <c r="B54" s="119"/>
      <c r="C54" s="136">
        <f>_xll.mirGetDate(C53,"1D","FOLLOWING",D$12,"NORMAL")</f>
        <v>42464</v>
      </c>
      <c r="D54" s="20">
        <f>_xll.mirGetDate(C54,D$17,"Following",D$12,"Normal")</f>
        <v>42465</v>
      </c>
      <c r="E54" s="134">
        <f ca="1"/>
        <v>3.6999999999842844E-3</v>
      </c>
      <c r="F54" s="7" t="s">
        <v>3</v>
      </c>
      <c r="G54" s="136">
        <f t="shared" si="0"/>
        <v>42464</v>
      </c>
      <c r="H54" s="20">
        <f>_xll.mirGetDate(G54,H$17,"Following",H$12,"Normal")</f>
        <v>42556</v>
      </c>
      <c r="I54" s="134">
        <f ca="1"/>
        <v>6.246096818635651E-3</v>
      </c>
      <c r="J54" s="120" t="s">
        <v>3</v>
      </c>
    </row>
    <row r="55" spans="1:10" x14ac:dyDescent="0.25">
      <c r="A55" s="126">
        <v>33</v>
      </c>
      <c r="B55" s="119"/>
      <c r="C55" s="136">
        <f>_xll.mirGetDate(C54,"1D","FOLLOWING",D$12,"NORMAL")</f>
        <v>42465</v>
      </c>
      <c r="D55" s="20">
        <f>_xll.mirGetDate(C55,D$17,"Following",D$12,"Normal")</f>
        <v>42466</v>
      </c>
      <c r="E55" s="134">
        <f ca="1"/>
        <v>3.6999999999842476E-3</v>
      </c>
      <c r="F55" s="7" t="s">
        <v>3</v>
      </c>
      <c r="G55" s="136">
        <f t="shared" si="0"/>
        <v>42465</v>
      </c>
      <c r="H55" s="20">
        <f>_xll.mirGetDate(G55,H$17,"Following",H$12,"Normal")</f>
        <v>42556</v>
      </c>
      <c r="I55" s="134">
        <f ca="1"/>
        <v>6.2460991800657823E-3</v>
      </c>
      <c r="J55" s="120" t="s">
        <v>3</v>
      </c>
    </row>
    <row r="56" spans="1:10" x14ac:dyDescent="0.25">
      <c r="A56" s="126">
        <v>34</v>
      </c>
      <c r="B56" s="119"/>
      <c r="C56" s="136">
        <f>_xll.mirGetDate(C55,"1D","FOLLOWING",D$12,"NORMAL")</f>
        <v>42466</v>
      </c>
      <c r="D56" s="20">
        <f>_xll.mirGetDate(C56,D$17,"Following",D$12,"Normal")</f>
        <v>42467</v>
      </c>
      <c r="E56" s="134">
        <f ca="1"/>
        <v>3.6999999999842844E-3</v>
      </c>
      <c r="F56" s="7" t="s">
        <v>3</v>
      </c>
      <c r="G56" s="136">
        <f t="shared" si="0"/>
        <v>42466</v>
      </c>
      <c r="H56" s="20">
        <f>_xll.mirGetDate(G56,H$17,"Following",H$12,"Normal")</f>
        <v>42557</v>
      </c>
      <c r="I56" s="134">
        <f ca="1"/>
        <v>6.2461015414959136E-3</v>
      </c>
      <c r="J56" s="120" t="s">
        <v>3</v>
      </c>
    </row>
    <row r="57" spans="1:10" x14ac:dyDescent="0.25">
      <c r="A57" s="126">
        <v>35</v>
      </c>
      <c r="B57" s="119"/>
      <c r="C57" s="136">
        <f>_xll.mirGetDate(C56,"1D","FOLLOWING",D$12,"NORMAL")</f>
        <v>42467</v>
      </c>
      <c r="D57" s="20">
        <f>_xll.mirGetDate(C57,D$17,"Following",D$12,"Normal")</f>
        <v>42468</v>
      </c>
      <c r="E57" s="134">
        <f ca="1"/>
        <v>3.6999999999842844E-3</v>
      </c>
      <c r="F57" s="7" t="s">
        <v>3</v>
      </c>
      <c r="G57" s="136">
        <f t="shared" si="0"/>
        <v>42467</v>
      </c>
      <c r="H57" s="20">
        <f>_xll.mirGetDate(G57,H$17,"Following",H$12,"Normal")</f>
        <v>42558</v>
      </c>
      <c r="I57" s="134">
        <f ca="1"/>
        <v>6.2461039029260449E-3</v>
      </c>
      <c r="J57" s="120" t="s">
        <v>3</v>
      </c>
    </row>
    <row r="58" spans="1:10" x14ac:dyDescent="0.25">
      <c r="A58" s="126">
        <v>36</v>
      </c>
      <c r="B58" s="119"/>
      <c r="C58" s="136">
        <f>_xll.mirGetDate(C57,"1D","FOLLOWING",D$12,"NORMAL")</f>
        <v>42468</v>
      </c>
      <c r="D58" s="20">
        <f>_xll.mirGetDate(C58,D$17,"Following",D$12,"Normal")</f>
        <v>42471</v>
      </c>
      <c r="E58" s="134">
        <f ca="1"/>
        <v>3.7000000000109176E-3</v>
      </c>
      <c r="F58" s="7" t="s">
        <v>3</v>
      </c>
      <c r="G58" s="136">
        <f t="shared" si="0"/>
        <v>42468</v>
      </c>
      <c r="H58" s="20">
        <f>_xll.mirGetDate(G58,H$17,"Following",H$12,"Normal")</f>
        <v>42559</v>
      </c>
      <c r="I58" s="134">
        <f ca="1"/>
        <v>6.2461062643561762E-3</v>
      </c>
      <c r="J58" s="120" t="s">
        <v>3</v>
      </c>
    </row>
    <row r="59" spans="1:10" x14ac:dyDescent="0.25">
      <c r="A59" s="126">
        <v>37</v>
      </c>
      <c r="B59" s="119"/>
      <c r="C59" s="136">
        <f>_xll.mirGetDate(C58,"1D","FOLLOWING",D$12,"NORMAL")</f>
        <v>42471</v>
      </c>
      <c r="D59" s="20">
        <f>_xll.mirGetDate(C59,D$17,"Following",D$12,"Normal")</f>
        <v>42472</v>
      </c>
      <c r="E59" s="134">
        <f ca="1"/>
        <v>3.6999999999842476E-3</v>
      </c>
      <c r="F59" s="7" t="s">
        <v>3</v>
      </c>
      <c r="G59" s="136">
        <f t="shared" si="0"/>
        <v>42471</v>
      </c>
      <c r="H59" s="20">
        <f>_xll.mirGetDate(G59,H$17,"Following",H$12,"Normal")</f>
        <v>42562</v>
      </c>
      <c r="I59" s="134">
        <f ca="1"/>
        <v>6.2461133486465701E-3</v>
      </c>
      <c r="J59" s="120" t="s">
        <v>3</v>
      </c>
    </row>
    <row r="60" spans="1:10" x14ac:dyDescent="0.25">
      <c r="A60" s="126">
        <v>38</v>
      </c>
      <c r="B60" s="119"/>
      <c r="C60" s="136">
        <f>_xll.mirGetDate(C59,"1D","FOLLOWING",D$12,"NORMAL")</f>
        <v>42472</v>
      </c>
      <c r="D60" s="20">
        <f>_xll.mirGetDate(C60,D$17,"Following",D$12,"Normal")</f>
        <v>42473</v>
      </c>
      <c r="E60" s="134">
        <f ca="1"/>
        <v>3.6999999999842844E-3</v>
      </c>
      <c r="F60" s="7" t="s">
        <v>3</v>
      </c>
      <c r="G60" s="136">
        <f t="shared" si="0"/>
        <v>42472</v>
      </c>
      <c r="H60" s="20">
        <f>_xll.mirGetDate(G60,H$17,"Following",H$12,"Normal")</f>
        <v>42563</v>
      </c>
      <c r="I60" s="134">
        <f ca="1"/>
        <v>6.2461157100767014E-3</v>
      </c>
      <c r="J60" s="120" t="s">
        <v>3</v>
      </c>
    </row>
    <row r="61" spans="1:10" x14ac:dyDescent="0.25">
      <c r="A61" s="126">
        <v>39</v>
      </c>
      <c r="B61" s="119"/>
      <c r="C61" s="136">
        <f>_xll.mirGetDate(C60,"1D","FOLLOWING",D$12,"NORMAL")</f>
        <v>42473</v>
      </c>
      <c r="D61" s="20">
        <f>_xll.mirGetDate(C61,D$17,"Following",D$12,"Normal")</f>
        <v>42474</v>
      </c>
      <c r="E61" s="134">
        <f ca="1"/>
        <v>3.6999999999842476E-3</v>
      </c>
      <c r="F61" s="7" t="s">
        <v>3</v>
      </c>
      <c r="G61" s="136">
        <f t="shared" si="0"/>
        <v>42473</v>
      </c>
      <c r="H61" s="20">
        <f>_xll.mirGetDate(G61,H$17,"Following",H$12,"Normal")</f>
        <v>42564</v>
      </c>
      <c r="I61" s="134">
        <f ca="1"/>
        <v>6.2461180715068327E-3</v>
      </c>
      <c r="J61" s="120" t="s">
        <v>3</v>
      </c>
    </row>
    <row r="62" spans="1:10" x14ac:dyDescent="0.25">
      <c r="A62" s="126">
        <v>40</v>
      </c>
      <c r="B62" s="119"/>
      <c r="C62" s="136">
        <f>_xll.mirGetDate(C61,"1D","FOLLOWING",D$12,"NORMAL")</f>
        <v>42474</v>
      </c>
      <c r="D62" s="20">
        <f>_xll.mirGetDate(C62,D$17,"Following",D$12,"Normal")</f>
        <v>42475</v>
      </c>
      <c r="E62" s="134">
        <f ca="1"/>
        <v>3.6999999999842844E-3</v>
      </c>
      <c r="F62" s="7" t="s">
        <v>3</v>
      </c>
      <c r="G62" s="136">
        <f t="shared" si="0"/>
        <v>42474</v>
      </c>
      <c r="H62" s="20">
        <f>_xll.mirGetDate(G62,H$17,"Following",H$12,"Normal")</f>
        <v>42565</v>
      </c>
      <c r="I62" s="134">
        <f ca="1"/>
        <v>6.246120432936964E-3</v>
      </c>
      <c r="J62" s="120" t="s">
        <v>3</v>
      </c>
    </row>
    <row r="63" spans="1:10" x14ac:dyDescent="0.25">
      <c r="A63" s="126">
        <v>41</v>
      </c>
      <c r="B63" s="119"/>
      <c r="C63" s="136">
        <f>_xll.mirGetDate(C62,"1D","FOLLOWING",D$12,"NORMAL")</f>
        <v>42475</v>
      </c>
      <c r="D63" s="20">
        <f>_xll.mirGetDate(C63,D$17,"Following",D$12,"Normal")</f>
        <v>42478</v>
      </c>
      <c r="E63" s="134">
        <f ca="1"/>
        <v>3.7000000000109176E-3</v>
      </c>
      <c r="F63" s="7" t="s">
        <v>3</v>
      </c>
      <c r="G63" s="136">
        <f t="shared" si="0"/>
        <v>42475</v>
      </c>
      <c r="H63" s="20">
        <f>_xll.mirGetDate(G63,H$17,"Following",H$12,"Normal")</f>
        <v>42566</v>
      </c>
      <c r="I63" s="134">
        <f ca="1"/>
        <v>6.2461227943670953E-3</v>
      </c>
      <c r="J63" s="120" t="s">
        <v>3</v>
      </c>
    </row>
    <row r="64" spans="1:10" x14ac:dyDescent="0.25">
      <c r="A64" s="126">
        <v>42</v>
      </c>
      <c r="B64" s="119"/>
      <c r="C64" s="136">
        <f>_xll.mirGetDate(C63,"1D","FOLLOWING",D$12,"NORMAL")</f>
        <v>42478</v>
      </c>
      <c r="D64" s="20">
        <f>_xll.mirGetDate(C64,D$17,"Following",D$12,"Normal")</f>
        <v>42479</v>
      </c>
      <c r="E64" s="134">
        <f ca="1"/>
        <v>3.6999999999842844E-3</v>
      </c>
      <c r="F64" s="7" t="s">
        <v>3</v>
      </c>
      <c r="G64" s="136">
        <f t="shared" si="0"/>
        <v>42478</v>
      </c>
      <c r="H64" s="20">
        <f>_xll.mirGetDate(G64,H$17,"Following",H$12,"Normal")</f>
        <v>42569</v>
      </c>
      <c r="I64" s="134">
        <f ca="1"/>
        <v>6.2461298786574892E-3</v>
      </c>
      <c r="J64" s="120" t="s">
        <v>3</v>
      </c>
    </row>
    <row r="65" spans="1:10" x14ac:dyDescent="0.25">
      <c r="A65" s="126">
        <v>43</v>
      </c>
      <c r="B65" s="119"/>
      <c r="C65" s="136">
        <f>_xll.mirGetDate(C64,"1D","FOLLOWING",D$12,"NORMAL")</f>
        <v>42479</v>
      </c>
      <c r="D65" s="20">
        <f>_xll.mirGetDate(C65,D$17,"Following",D$12,"Normal")</f>
        <v>42480</v>
      </c>
      <c r="E65" s="134">
        <f ca="1"/>
        <v>3.6999999999842476E-3</v>
      </c>
      <c r="F65" s="7" t="s">
        <v>3</v>
      </c>
      <c r="G65" s="136">
        <f t="shared" si="0"/>
        <v>42479</v>
      </c>
      <c r="H65" s="20">
        <f>_xll.mirGetDate(G65,H$17,"Following",H$12,"Normal")</f>
        <v>42570</v>
      </c>
      <c r="I65" s="134">
        <f ca="1"/>
        <v>6.2461322400876205E-3</v>
      </c>
      <c r="J65" s="120" t="s">
        <v>3</v>
      </c>
    </row>
    <row r="66" spans="1:10" x14ac:dyDescent="0.25">
      <c r="A66" s="126">
        <v>44</v>
      </c>
      <c r="B66" s="119"/>
      <c r="C66" s="136">
        <f>_xll.mirGetDate(C65,"1D","FOLLOWING",D$12,"NORMAL")</f>
        <v>42480</v>
      </c>
      <c r="D66" s="20">
        <f>_xll.mirGetDate(C66,D$17,"Following",D$12,"Normal")</f>
        <v>42481</v>
      </c>
      <c r="E66" s="134">
        <f ca="1"/>
        <v>3.6999999999842844E-3</v>
      </c>
      <c r="F66" s="7" t="s">
        <v>3</v>
      </c>
      <c r="G66" s="136">
        <f t="shared" si="0"/>
        <v>42480</v>
      </c>
      <c r="H66" s="20">
        <f>_xll.mirGetDate(G66,H$17,"Following",H$12,"Normal")</f>
        <v>42571</v>
      </c>
      <c r="I66" s="134">
        <f ca="1"/>
        <v>6.2461346015177518E-3</v>
      </c>
      <c r="J66" s="120" t="s">
        <v>3</v>
      </c>
    </row>
    <row r="67" spans="1:10" x14ac:dyDescent="0.25">
      <c r="A67" s="126">
        <v>45</v>
      </c>
      <c r="B67" s="119"/>
      <c r="C67" s="136">
        <f>_xll.mirGetDate(C66,"1D","FOLLOWING",D$12,"NORMAL")</f>
        <v>42481</v>
      </c>
      <c r="D67" s="20">
        <f>_xll.mirGetDate(C67,D$17,"Following",D$12,"Normal")</f>
        <v>42482</v>
      </c>
      <c r="E67" s="134">
        <f ca="1"/>
        <v>3.6999999999842844E-3</v>
      </c>
      <c r="F67" s="7" t="s">
        <v>3</v>
      </c>
      <c r="G67" s="136">
        <f t="shared" si="0"/>
        <v>42481</v>
      </c>
      <c r="H67" s="20">
        <f>_xll.mirGetDate(G67,H$17,"Following",H$12,"Normal")</f>
        <v>42572</v>
      </c>
      <c r="I67" s="134">
        <f ca="1"/>
        <v>6.2461369629478831E-3</v>
      </c>
      <c r="J67" s="120" t="s">
        <v>3</v>
      </c>
    </row>
    <row r="68" spans="1:10" x14ac:dyDescent="0.25">
      <c r="A68" s="126">
        <v>46</v>
      </c>
      <c r="B68" s="119"/>
      <c r="C68" s="136">
        <f>_xll.mirGetDate(C67,"1D","FOLLOWING",D$12,"NORMAL")</f>
        <v>42482</v>
      </c>
      <c r="D68" s="20">
        <f>_xll.mirGetDate(C68,D$17,"Following",D$12,"Normal")</f>
        <v>42485</v>
      </c>
      <c r="E68" s="134">
        <f ca="1"/>
        <v>3.7000000000109176E-3</v>
      </c>
      <c r="F68" s="7" t="s">
        <v>3</v>
      </c>
      <c r="G68" s="136">
        <f t="shared" si="0"/>
        <v>42482</v>
      </c>
      <c r="H68" s="20">
        <f>_xll.mirGetDate(G68,H$17,"Following",H$12,"Normal")</f>
        <v>42573</v>
      </c>
      <c r="I68" s="134">
        <f ca="1"/>
        <v>6.2461393243780153E-3</v>
      </c>
      <c r="J68" s="120" t="s">
        <v>3</v>
      </c>
    </row>
    <row r="69" spans="1:10" x14ac:dyDescent="0.25">
      <c r="A69" s="126">
        <v>47</v>
      </c>
      <c r="B69" s="119"/>
      <c r="C69" s="136">
        <f>_xll.mirGetDate(C68,"1D","FOLLOWING",D$12,"NORMAL")</f>
        <v>42485</v>
      </c>
      <c r="D69" s="20">
        <f>_xll.mirGetDate(C69,D$17,"Following",D$12,"Normal")</f>
        <v>42486</v>
      </c>
      <c r="E69" s="134">
        <f ca="1"/>
        <v>3.6999999999842476E-3</v>
      </c>
      <c r="F69" s="7" t="s">
        <v>3</v>
      </c>
      <c r="G69" s="136">
        <f t="shared" si="0"/>
        <v>42485</v>
      </c>
      <c r="H69" s="20">
        <f>_xll.mirGetDate(G69,H$17,"Following",H$12,"Normal")</f>
        <v>42576</v>
      </c>
      <c r="I69" s="134">
        <f ca="1"/>
        <v>6.2461464086684092E-3</v>
      </c>
      <c r="J69" s="120" t="s">
        <v>3</v>
      </c>
    </row>
    <row r="70" spans="1:10" x14ac:dyDescent="0.25">
      <c r="A70" s="126">
        <v>48</v>
      </c>
      <c r="B70" s="119"/>
      <c r="C70" s="136">
        <f>_xll.mirGetDate(C69,"1D","FOLLOWING",D$12,"NORMAL")</f>
        <v>42486</v>
      </c>
      <c r="D70" s="20">
        <f>_xll.mirGetDate(C70,D$17,"Following",D$12,"Normal")</f>
        <v>42487</v>
      </c>
      <c r="E70" s="134">
        <f ca="1"/>
        <v>3.6999999999842844E-3</v>
      </c>
      <c r="F70" s="7" t="s">
        <v>3</v>
      </c>
      <c r="G70" s="136">
        <f t="shared" si="0"/>
        <v>42486</v>
      </c>
      <c r="H70" s="20">
        <f>_xll.mirGetDate(G70,H$17,"Following",H$12,"Normal")</f>
        <v>42577</v>
      </c>
      <c r="I70" s="134">
        <f ca="1"/>
        <v>6.2461487700985405E-3</v>
      </c>
      <c r="J70" s="120" t="s">
        <v>3</v>
      </c>
    </row>
    <row r="71" spans="1:10" x14ac:dyDescent="0.25">
      <c r="A71" s="126">
        <v>49</v>
      </c>
      <c r="B71" s="119"/>
      <c r="C71" s="136">
        <f>_xll.mirGetDate(C70,"1D","FOLLOWING",D$12,"NORMAL")</f>
        <v>42487</v>
      </c>
      <c r="D71" s="20">
        <f>_xll.mirGetDate(C71,D$17,"Following",D$12,"Normal")</f>
        <v>42488</v>
      </c>
      <c r="E71" s="134">
        <f ca="1"/>
        <v>3.6999999999842476E-3</v>
      </c>
      <c r="F71" s="7" t="s">
        <v>3</v>
      </c>
      <c r="G71" s="136">
        <f t="shared" si="0"/>
        <v>42487</v>
      </c>
      <c r="H71" s="20">
        <f>_xll.mirGetDate(G71,H$17,"Following",H$12,"Normal")</f>
        <v>42578</v>
      </c>
      <c r="I71" s="134">
        <f ca="1"/>
        <v>6.2461511315286718E-3</v>
      </c>
      <c r="J71" s="120" t="s">
        <v>3</v>
      </c>
    </row>
    <row r="72" spans="1:10" x14ac:dyDescent="0.25">
      <c r="A72" s="126">
        <v>50</v>
      </c>
      <c r="B72" s="119"/>
      <c r="C72" s="136">
        <f>_xll.mirGetDate(C71,"1D","FOLLOWING",D$12,"NORMAL")</f>
        <v>42488</v>
      </c>
      <c r="D72" s="20">
        <f>_xll.mirGetDate(C72,D$17,"Following",D$12,"Normal")</f>
        <v>42489</v>
      </c>
      <c r="E72" s="134">
        <f ca="1"/>
        <v>3.6999999999842844E-3</v>
      </c>
      <c r="F72" s="7" t="s">
        <v>3</v>
      </c>
      <c r="G72" s="136">
        <f t="shared" si="0"/>
        <v>42488</v>
      </c>
      <c r="H72" s="20">
        <f>_xll.mirGetDate(G72,H$17,"Following",H$12,"Normal")</f>
        <v>42579</v>
      </c>
      <c r="I72" s="134">
        <f ca="1"/>
        <v>6.2461534929588031E-3</v>
      </c>
      <c r="J72" s="120" t="s">
        <v>3</v>
      </c>
    </row>
    <row r="73" spans="1:10" x14ac:dyDescent="0.25">
      <c r="A73" s="126">
        <v>51</v>
      </c>
      <c r="B73" s="119"/>
      <c r="C73" s="136">
        <f>_xll.mirGetDate(C72,"1D","FOLLOWING",D$12,"NORMAL")</f>
        <v>42489</v>
      </c>
      <c r="D73" s="20">
        <f>_xll.mirGetDate(C73,D$17,"Following",D$12,"Normal")</f>
        <v>42492</v>
      </c>
      <c r="E73" s="134">
        <f ca="1"/>
        <v>3.7000000000109176E-3</v>
      </c>
      <c r="F73" s="7" t="s">
        <v>3</v>
      </c>
      <c r="G73" s="136">
        <f t="shared" si="0"/>
        <v>42489</v>
      </c>
      <c r="H73" s="20">
        <f>_xll.mirGetDate(G73,H$17,"Following",H$12,"Normal")</f>
        <v>42580</v>
      </c>
      <c r="I73" s="134">
        <f ca="1"/>
        <v>6.2461558543889344E-3</v>
      </c>
      <c r="J73" s="120" t="s">
        <v>3</v>
      </c>
    </row>
    <row r="74" spans="1:10" x14ac:dyDescent="0.25">
      <c r="A74" s="126">
        <v>52</v>
      </c>
      <c r="B74" s="119"/>
      <c r="C74" s="136">
        <f>_xll.mirGetDate(C73,"1D","FOLLOWING",D$12,"NORMAL")</f>
        <v>42492</v>
      </c>
      <c r="D74" s="20">
        <f>_xll.mirGetDate(C74,D$17,"Following",D$12,"Normal")</f>
        <v>42493</v>
      </c>
      <c r="E74" s="134">
        <f ca="1"/>
        <v>3.6999999999842844E-3</v>
      </c>
      <c r="F74" s="7" t="s">
        <v>3</v>
      </c>
      <c r="G74" s="136">
        <f t="shared" si="0"/>
        <v>42492</v>
      </c>
      <c r="H74" s="20">
        <f>_xll.mirGetDate(G74,H$17,"Following",H$12,"Normal")</f>
        <v>42584</v>
      </c>
      <c r="I74" s="134">
        <f ca="1"/>
        <v>6.2461629386793283E-3</v>
      </c>
      <c r="J74" s="120" t="s">
        <v>3</v>
      </c>
    </row>
    <row r="75" spans="1:10" x14ac:dyDescent="0.25">
      <c r="A75" s="126">
        <v>53</v>
      </c>
      <c r="B75" s="119"/>
      <c r="C75" s="136">
        <f>_xll.mirGetDate(C74,"1D","FOLLOWING",D$12,"NORMAL")</f>
        <v>42493</v>
      </c>
      <c r="D75" s="20">
        <f>_xll.mirGetDate(C75,D$17,"Following",D$12,"Normal")</f>
        <v>42494</v>
      </c>
      <c r="E75" s="134">
        <f ca="1"/>
        <v>3.6999999999842476E-3</v>
      </c>
      <c r="F75" s="7" t="s">
        <v>3</v>
      </c>
      <c r="G75" s="136">
        <f t="shared" si="0"/>
        <v>42493</v>
      </c>
      <c r="H75" s="20">
        <f>_xll.mirGetDate(G75,H$17,"Following",H$12,"Normal")</f>
        <v>42585</v>
      </c>
      <c r="I75" s="134">
        <f ca="1"/>
        <v>6.2461653001094596E-3</v>
      </c>
      <c r="J75" s="120" t="s">
        <v>3</v>
      </c>
    </row>
    <row r="76" spans="1:10" x14ac:dyDescent="0.25">
      <c r="A76" s="126">
        <v>54</v>
      </c>
      <c r="B76" s="119"/>
      <c r="C76" s="136">
        <f>_xll.mirGetDate(C75,"1D","FOLLOWING",D$12,"NORMAL")</f>
        <v>42494</v>
      </c>
      <c r="D76" s="20">
        <f>_xll.mirGetDate(C76,D$17,"Following",D$12,"Normal")</f>
        <v>42495</v>
      </c>
      <c r="E76" s="134">
        <f ca="1"/>
        <v>3.6999999999842844E-3</v>
      </c>
      <c r="F76" s="7" t="s">
        <v>3</v>
      </c>
      <c r="G76" s="136">
        <f t="shared" si="0"/>
        <v>42494</v>
      </c>
      <c r="H76" s="20">
        <f>_xll.mirGetDate(G76,H$17,"Following",H$12,"Normal")</f>
        <v>42586</v>
      </c>
      <c r="I76" s="134">
        <f ca="1"/>
        <v>6.2461676615395909E-3</v>
      </c>
      <c r="J76" s="120" t="s">
        <v>3</v>
      </c>
    </row>
    <row r="77" spans="1:10" x14ac:dyDescent="0.25">
      <c r="A77" s="126">
        <v>55</v>
      </c>
      <c r="B77" s="119"/>
      <c r="C77" s="136">
        <f>_xll.mirGetDate(C76,"1D","FOLLOWING",D$12,"NORMAL")</f>
        <v>42495</v>
      </c>
      <c r="D77" s="20">
        <f>_xll.mirGetDate(C77,D$17,"Following",D$12,"Normal")</f>
        <v>42496</v>
      </c>
      <c r="E77" s="134">
        <f ca="1"/>
        <v>3.6999999999842844E-3</v>
      </c>
      <c r="F77" s="7" t="s">
        <v>3</v>
      </c>
      <c r="G77" s="136">
        <f t="shared" si="0"/>
        <v>42495</v>
      </c>
      <c r="H77" s="20">
        <f>_xll.mirGetDate(G77,H$17,"Following",H$12,"Normal")</f>
        <v>42587</v>
      </c>
      <c r="I77" s="134">
        <f ca="1"/>
        <v>6.2461700229697222E-3</v>
      </c>
      <c r="J77" s="120" t="s">
        <v>3</v>
      </c>
    </row>
    <row r="78" spans="1:10" x14ac:dyDescent="0.25">
      <c r="A78" s="126">
        <v>56</v>
      </c>
      <c r="B78" s="119"/>
      <c r="C78" s="136">
        <f>_xll.mirGetDate(C77,"1D","FOLLOWING",D$12,"NORMAL")</f>
        <v>42496</v>
      </c>
      <c r="D78" s="20">
        <f>_xll.mirGetDate(C78,D$17,"Following",D$12,"Normal")</f>
        <v>42499</v>
      </c>
      <c r="E78" s="134">
        <f ca="1"/>
        <v>3.7000000000109176E-3</v>
      </c>
      <c r="F78" s="7" t="s">
        <v>3</v>
      </c>
      <c r="G78" s="136">
        <f t="shared" si="0"/>
        <v>42496</v>
      </c>
      <c r="H78" s="20">
        <f>_xll.mirGetDate(G78,H$17,"Following",H$12,"Normal")</f>
        <v>42590</v>
      </c>
      <c r="I78" s="134">
        <f ca="1"/>
        <v>6.2461723843998534E-3</v>
      </c>
      <c r="J78" s="120" t="s">
        <v>3</v>
      </c>
    </row>
    <row r="79" spans="1:10" x14ac:dyDescent="0.25">
      <c r="A79" s="126">
        <v>57</v>
      </c>
      <c r="B79" s="119"/>
      <c r="C79" s="136">
        <f>_xll.mirGetDate(C78,"1D","FOLLOWING",D$12,"NORMAL")</f>
        <v>42499</v>
      </c>
      <c r="D79" s="20">
        <f>_xll.mirGetDate(C79,D$17,"Following",D$12,"Normal")</f>
        <v>42500</v>
      </c>
      <c r="E79" s="134">
        <f ca="1"/>
        <v>3.6999999999842476E-3</v>
      </c>
      <c r="F79" s="7" t="s">
        <v>3</v>
      </c>
      <c r="G79" s="136">
        <f t="shared" si="0"/>
        <v>42499</v>
      </c>
      <c r="H79" s="20">
        <f>_xll.mirGetDate(G79,H$17,"Following",H$12,"Normal")</f>
        <v>42591</v>
      </c>
      <c r="I79" s="134">
        <f ca="1"/>
        <v>6.2461794686902473E-3</v>
      </c>
      <c r="J79" s="120" t="s">
        <v>3</v>
      </c>
    </row>
    <row r="80" spans="1:10" x14ac:dyDescent="0.25">
      <c r="A80" s="126">
        <v>58</v>
      </c>
      <c r="B80" s="119"/>
      <c r="C80" s="136">
        <f>_xll.mirGetDate(C79,"1D","FOLLOWING",D$12,"NORMAL")</f>
        <v>42500</v>
      </c>
      <c r="D80" s="20">
        <f>_xll.mirGetDate(C80,D$17,"Following",D$12,"Normal")</f>
        <v>42501</v>
      </c>
      <c r="E80" s="134">
        <f ca="1"/>
        <v>3.6999999999842844E-3</v>
      </c>
      <c r="F80" s="7" t="s">
        <v>3</v>
      </c>
      <c r="G80" s="136">
        <f t="shared" si="0"/>
        <v>42500</v>
      </c>
      <c r="H80" s="20">
        <f>_xll.mirGetDate(G80,H$17,"Following",H$12,"Normal")</f>
        <v>42592</v>
      </c>
      <c r="I80" s="134">
        <f ca="1"/>
        <v>6.2461818301203786E-3</v>
      </c>
      <c r="J80" s="120" t="s">
        <v>3</v>
      </c>
    </row>
    <row r="81" spans="1:10" x14ac:dyDescent="0.25">
      <c r="A81" s="126">
        <v>59</v>
      </c>
      <c r="B81" s="119"/>
      <c r="C81" s="136">
        <f>_xll.mirGetDate(C80,"1D","FOLLOWING",D$12,"NORMAL")</f>
        <v>42501</v>
      </c>
      <c r="D81" s="20">
        <f>_xll.mirGetDate(C81,D$17,"Following",D$12,"Normal")</f>
        <v>42502</v>
      </c>
      <c r="E81" s="134">
        <f ca="1"/>
        <v>3.6999999999842476E-3</v>
      </c>
      <c r="F81" s="7" t="s">
        <v>3</v>
      </c>
      <c r="G81" s="136">
        <f t="shared" si="0"/>
        <v>42501</v>
      </c>
      <c r="H81" s="20">
        <f>_xll.mirGetDate(G81,H$17,"Following",H$12,"Normal")</f>
        <v>42593</v>
      </c>
      <c r="I81" s="134">
        <f ca="1"/>
        <v>6.2461841915505099E-3</v>
      </c>
      <c r="J81" s="120" t="s">
        <v>3</v>
      </c>
    </row>
    <row r="82" spans="1:10" x14ac:dyDescent="0.25">
      <c r="A82" s="126">
        <v>60</v>
      </c>
      <c r="B82" s="119"/>
      <c r="C82" s="136">
        <f>_xll.mirGetDate(C81,"1D","FOLLOWING",D$12,"NORMAL")</f>
        <v>42502</v>
      </c>
      <c r="D82" s="20">
        <f>_xll.mirGetDate(C82,D$17,"Following",D$12,"Normal")</f>
        <v>42503</v>
      </c>
      <c r="E82" s="134">
        <f ca="1"/>
        <v>3.6999999999842844E-3</v>
      </c>
      <c r="F82" s="7" t="s">
        <v>3</v>
      </c>
      <c r="G82" s="136">
        <f t="shared" si="0"/>
        <v>42502</v>
      </c>
      <c r="H82" s="20">
        <f>_xll.mirGetDate(G82,H$17,"Following",H$12,"Normal")</f>
        <v>42594</v>
      </c>
      <c r="I82" s="134">
        <f ca="1"/>
        <v>6.2461865529806412E-3</v>
      </c>
      <c r="J82" s="120" t="s">
        <v>3</v>
      </c>
    </row>
    <row r="83" spans="1:10" x14ac:dyDescent="0.25">
      <c r="A83" s="126">
        <v>61</v>
      </c>
      <c r="B83" s="119"/>
      <c r="C83" s="136">
        <f>_xll.mirGetDate(C82,"1D","FOLLOWING",D$12,"NORMAL")</f>
        <v>42503</v>
      </c>
      <c r="D83" s="20">
        <f>_xll.mirGetDate(C83,D$17,"Following",D$12,"Normal")</f>
        <v>42506</v>
      </c>
      <c r="E83" s="134">
        <f ca="1"/>
        <v>3.7000000000109176E-3</v>
      </c>
      <c r="F83" s="7" t="s">
        <v>3</v>
      </c>
      <c r="G83" s="136">
        <f t="shared" si="0"/>
        <v>42503</v>
      </c>
      <c r="H83" s="20">
        <f>_xll.mirGetDate(G83,H$17,"Following",H$12,"Normal")</f>
        <v>42597</v>
      </c>
      <c r="I83" s="134">
        <f ca="1"/>
        <v>6.2461889144107725E-3</v>
      </c>
      <c r="J83" s="120" t="s">
        <v>3</v>
      </c>
    </row>
    <row r="84" spans="1:10" x14ac:dyDescent="0.25">
      <c r="A84" s="126">
        <v>62</v>
      </c>
      <c r="B84" s="119"/>
      <c r="C84" s="136">
        <f>_xll.mirGetDate(C83,"1D","FOLLOWING",D$12,"NORMAL")</f>
        <v>42506</v>
      </c>
      <c r="D84" s="20">
        <f>_xll.mirGetDate(C84,D$17,"Following",D$12,"Normal")</f>
        <v>42507</v>
      </c>
      <c r="E84" s="134">
        <f ca="1"/>
        <v>3.6999999999842844E-3</v>
      </c>
      <c r="F84" s="7" t="s">
        <v>3</v>
      </c>
      <c r="G84" s="136">
        <f t="shared" si="0"/>
        <v>42506</v>
      </c>
      <c r="H84" s="20">
        <f>_xll.mirGetDate(G84,H$17,"Following",H$12,"Normal")</f>
        <v>42598</v>
      </c>
      <c r="I84" s="134">
        <f ca="1"/>
        <v>6.2461959987011673E-3</v>
      </c>
      <c r="J84" s="120" t="s">
        <v>3</v>
      </c>
    </row>
    <row r="85" spans="1:10" x14ac:dyDescent="0.25">
      <c r="A85" s="126">
        <v>63</v>
      </c>
      <c r="B85" s="119"/>
      <c r="C85" s="136">
        <f>_xll.mirGetDate(C84,"1D","FOLLOWING",D$12,"NORMAL")</f>
        <v>42507</v>
      </c>
      <c r="D85" s="20">
        <f>_xll.mirGetDate(C85,D$17,"Following",D$12,"Normal")</f>
        <v>42508</v>
      </c>
      <c r="E85" s="134">
        <f ca="1"/>
        <v>3.6999999999842476E-3</v>
      </c>
      <c r="F85" s="7" t="s">
        <v>3</v>
      </c>
      <c r="G85" s="136">
        <f t="shared" si="0"/>
        <v>42507</v>
      </c>
      <c r="H85" s="20">
        <f>_xll.mirGetDate(G85,H$17,"Following",H$12,"Normal")</f>
        <v>42599</v>
      </c>
      <c r="I85" s="134">
        <f ca="1"/>
        <v>6.2461983601312986E-3</v>
      </c>
      <c r="J85" s="120" t="s">
        <v>3</v>
      </c>
    </row>
    <row r="86" spans="1:10" x14ac:dyDescent="0.25">
      <c r="A86" s="126">
        <v>64</v>
      </c>
      <c r="B86" s="119"/>
      <c r="C86" s="136">
        <f>_xll.mirGetDate(C85,"1D","FOLLOWING",D$12,"NORMAL")</f>
        <v>42508</v>
      </c>
      <c r="D86" s="20">
        <f>_xll.mirGetDate(C86,D$17,"Following",D$12,"Normal")</f>
        <v>42509</v>
      </c>
      <c r="E86" s="134">
        <f ca="1"/>
        <v>3.6999999999842844E-3</v>
      </c>
      <c r="F86" s="7" t="s">
        <v>3</v>
      </c>
      <c r="G86" s="136">
        <f t="shared" si="0"/>
        <v>42508</v>
      </c>
      <c r="H86" s="20">
        <f>_xll.mirGetDate(G86,H$17,"Following",H$12,"Normal")</f>
        <v>42600</v>
      </c>
      <c r="I86" s="134">
        <f ca="1"/>
        <v>6.2462007215614299E-3</v>
      </c>
      <c r="J86" s="120" t="s">
        <v>3</v>
      </c>
    </row>
    <row r="87" spans="1:10" x14ac:dyDescent="0.25">
      <c r="A87" s="126">
        <v>65</v>
      </c>
      <c r="B87" s="119"/>
      <c r="C87" s="136">
        <f>_xll.mirGetDate(C86,"1D","FOLLOWING",D$12,"NORMAL")</f>
        <v>42509</v>
      </c>
      <c r="D87" s="20">
        <f>_xll.mirGetDate(C87,D$17,"Following",D$12,"Normal")</f>
        <v>42510</v>
      </c>
      <c r="E87" s="134">
        <f ca="1"/>
        <v>3.6999999999842844E-3</v>
      </c>
      <c r="F87" s="7" t="s">
        <v>3</v>
      </c>
      <c r="G87" s="136">
        <f t="shared" si="0"/>
        <v>42509</v>
      </c>
      <c r="H87" s="20">
        <f>_xll.mirGetDate(G87,H$17,"Following",H$12,"Normal")</f>
        <v>42601</v>
      </c>
      <c r="I87" s="134">
        <f ca="1"/>
        <v>6.2462030829915612E-3</v>
      </c>
      <c r="J87" s="120" t="s">
        <v>3</v>
      </c>
    </row>
    <row r="88" spans="1:10" x14ac:dyDescent="0.25">
      <c r="A88" s="126">
        <v>66</v>
      </c>
      <c r="B88" s="119"/>
      <c r="C88" s="136">
        <f>_xll.mirGetDate(C87,"1D","FOLLOWING",D$12,"NORMAL")</f>
        <v>42510</v>
      </c>
      <c r="D88" s="20">
        <f>_xll.mirGetDate(C88,D$17,"Following",D$12,"Normal")</f>
        <v>42513</v>
      </c>
      <c r="E88" s="134">
        <f ca="1"/>
        <v>3.7000000000109051E-3</v>
      </c>
      <c r="F88" s="7" t="s">
        <v>3</v>
      </c>
      <c r="G88" s="136">
        <f t="shared" ref="G88:G151" si="1">$C88</f>
        <v>42510</v>
      </c>
      <c r="H88" s="20">
        <f>_xll.mirGetDate(G88,H$17,"Following",H$12,"Normal")</f>
        <v>42604</v>
      </c>
      <c r="I88" s="134">
        <f ca="1"/>
        <v>6.2462054444216925E-3</v>
      </c>
      <c r="J88" s="120" t="s">
        <v>3</v>
      </c>
    </row>
    <row r="89" spans="1:10" x14ac:dyDescent="0.25">
      <c r="A89" s="126">
        <v>67</v>
      </c>
      <c r="B89" s="119"/>
      <c r="C89" s="136">
        <f>_xll.mirGetDate(C88,"1D","FOLLOWING",D$12,"NORMAL")</f>
        <v>42513</v>
      </c>
      <c r="D89" s="20">
        <f>_xll.mirGetDate(C89,D$17,"Following",D$12,"Normal")</f>
        <v>42514</v>
      </c>
      <c r="E89" s="134">
        <f ca="1"/>
        <v>3.6999999999842844E-3</v>
      </c>
      <c r="F89" s="7" t="s">
        <v>3</v>
      </c>
      <c r="G89" s="136">
        <f t="shared" si="1"/>
        <v>42513</v>
      </c>
      <c r="H89" s="20">
        <f>_xll.mirGetDate(G89,H$17,"Following",H$12,"Normal")</f>
        <v>42605</v>
      </c>
      <c r="I89" s="134">
        <f ca="1"/>
        <v>6.2509944247280394E-3</v>
      </c>
      <c r="J89" s="120" t="s">
        <v>3</v>
      </c>
    </row>
    <row r="90" spans="1:10" x14ac:dyDescent="0.25">
      <c r="A90" s="126">
        <v>68</v>
      </c>
      <c r="B90" s="119"/>
      <c r="C90" s="136">
        <f>_xll.mirGetDate(C89,"1D","FOLLOWING",D$12,"NORMAL")</f>
        <v>42514</v>
      </c>
      <c r="D90" s="20">
        <f>_xll.mirGetDate(C90,D$17,"Following",D$12,"Normal")</f>
        <v>42515</v>
      </c>
      <c r="E90" s="134">
        <f ca="1"/>
        <v>3.6999999999842844E-3</v>
      </c>
      <c r="F90" s="7" t="s">
        <v>3</v>
      </c>
      <c r="G90" s="136">
        <f t="shared" si="1"/>
        <v>42514</v>
      </c>
      <c r="H90" s="20">
        <f>_xll.mirGetDate(G90,H$17,"Following",H$12,"Normal")</f>
        <v>42606</v>
      </c>
      <c r="I90" s="134">
        <f ca="1"/>
        <v>6.2578795645324313E-3</v>
      </c>
      <c r="J90" s="120" t="s">
        <v>3</v>
      </c>
    </row>
    <row r="91" spans="1:10" x14ac:dyDescent="0.25">
      <c r="A91" s="126">
        <v>69</v>
      </c>
      <c r="B91" s="119"/>
      <c r="C91" s="136">
        <f>_xll.mirGetDate(C90,"1D","FOLLOWING",D$12,"NORMAL")</f>
        <v>42515</v>
      </c>
      <c r="D91" s="20">
        <f>_xll.mirGetDate(C91,D$17,"Following",D$12,"Normal")</f>
        <v>42516</v>
      </c>
      <c r="E91" s="134">
        <f ca="1"/>
        <v>3.6999999999842844E-3</v>
      </c>
      <c r="F91" s="7" t="s">
        <v>3</v>
      </c>
      <c r="G91" s="136">
        <f t="shared" si="1"/>
        <v>42515</v>
      </c>
      <c r="H91" s="20">
        <f>_xll.mirGetDate(G91,H$17,"Following",H$12,"Normal")</f>
        <v>42607</v>
      </c>
      <c r="I91" s="134">
        <f ca="1"/>
        <v>6.2648608925053081E-3</v>
      </c>
      <c r="J91" s="120" t="s">
        <v>3</v>
      </c>
    </row>
    <row r="92" spans="1:10" x14ac:dyDescent="0.25">
      <c r="A92" s="126">
        <v>70</v>
      </c>
      <c r="B92" s="119"/>
      <c r="C92" s="136">
        <f>_xll.mirGetDate(C91,"1D","FOLLOWING",D$12,"NORMAL")</f>
        <v>42516</v>
      </c>
      <c r="D92" s="20">
        <f>_xll.mirGetDate(C92,D$17,"Following",D$12,"Normal")</f>
        <v>42517</v>
      </c>
      <c r="E92" s="134">
        <f ca="1"/>
        <v>3.7000000000642205E-3</v>
      </c>
      <c r="F92" s="7" t="s">
        <v>3</v>
      </c>
      <c r="G92" s="136">
        <f t="shared" si="1"/>
        <v>42516</v>
      </c>
      <c r="H92" s="20">
        <f>_xll.mirGetDate(G92,H$17,"Following",H$12,"Normal")</f>
        <v>42608</v>
      </c>
      <c r="I92" s="134">
        <f ca="1"/>
        <v>6.271940246622091E-3</v>
      </c>
      <c r="J92" s="120" t="s">
        <v>3</v>
      </c>
    </row>
    <row r="93" spans="1:10" x14ac:dyDescent="0.25">
      <c r="A93" s="126">
        <v>71</v>
      </c>
      <c r="B93" s="119"/>
      <c r="C93" s="136">
        <f>_xll.mirGetDate(C92,"1D","FOLLOWING",D$12,"NORMAL")</f>
        <v>42517</v>
      </c>
      <c r="D93" s="20">
        <f>_xll.mirGetDate(C93,D$17,"Following",D$12,"Normal")</f>
        <v>42521</v>
      </c>
      <c r="E93" s="134">
        <f ca="1"/>
        <v>3.7000000000042502E-3</v>
      </c>
      <c r="F93" s="7" t="s">
        <v>3</v>
      </c>
      <c r="G93" s="136">
        <f t="shared" si="1"/>
        <v>42517</v>
      </c>
      <c r="H93" s="20">
        <f>_xll.mirGetDate(G93,H$17,"Following",H$12,"Normal")</f>
        <v>42611</v>
      </c>
      <c r="I93" s="134">
        <f ca="1"/>
        <v>6.2791194648582028E-3</v>
      </c>
      <c r="J93" s="120" t="s">
        <v>3</v>
      </c>
    </row>
    <row r="94" spans="1:10" x14ac:dyDescent="0.25">
      <c r="A94" s="126">
        <v>72</v>
      </c>
      <c r="B94" s="119"/>
      <c r="C94" s="136">
        <f>_xll.mirGetDate(C93,"1D","FOLLOWING",D$12,"NORMAL")</f>
        <v>42521</v>
      </c>
      <c r="D94" s="20">
        <f>_xll.mirGetDate(C94,D$17,"Following",D$12,"Normal")</f>
        <v>42522</v>
      </c>
      <c r="E94" s="134">
        <f ca="1"/>
        <v>3.6999999999842844E-3</v>
      </c>
      <c r="F94" s="7" t="s">
        <v>3</v>
      </c>
      <c r="G94" s="136">
        <f t="shared" si="1"/>
        <v>42521</v>
      </c>
      <c r="H94" s="20">
        <f>_xll.mirGetDate(G94,H$17,"Following",H$12,"Normal")</f>
        <v>42613</v>
      </c>
      <c r="I94" s="134">
        <f ca="1"/>
        <v>6.308871738504385E-3</v>
      </c>
      <c r="J94" s="120" t="s">
        <v>3</v>
      </c>
    </row>
    <row r="95" spans="1:10" x14ac:dyDescent="0.25">
      <c r="A95" s="126">
        <v>73</v>
      </c>
      <c r="B95" s="119"/>
      <c r="C95" s="136">
        <f>_xll.mirGetDate(C94,"1D","FOLLOWING",D$12,"NORMAL")</f>
        <v>42522</v>
      </c>
      <c r="D95" s="20">
        <f>_xll.mirGetDate(C95,D$17,"Following",D$12,"Normal")</f>
        <v>42523</v>
      </c>
      <c r="E95" s="134">
        <f ca="1"/>
        <v>3.6999999999842844E-3</v>
      </c>
      <c r="F95" s="7" t="s">
        <v>3</v>
      </c>
      <c r="G95" s="136">
        <f t="shared" si="1"/>
        <v>42522</v>
      </c>
      <c r="H95" s="20">
        <f>_xll.mirGetDate(G95,H$17,"Following",H$12,"Normal")</f>
        <v>42614</v>
      </c>
      <c r="I95" s="134">
        <f ca="1"/>
        <v>6.3165778469684748E-3</v>
      </c>
      <c r="J95" s="120" t="s">
        <v>3</v>
      </c>
    </row>
    <row r="96" spans="1:10" x14ac:dyDescent="0.25">
      <c r="A96" s="126">
        <v>74</v>
      </c>
      <c r="B96" s="119"/>
      <c r="C96" s="136">
        <f>_xll.mirGetDate(C95,"1D","FOLLOWING",D$12,"NORMAL")</f>
        <v>42523</v>
      </c>
      <c r="D96" s="20">
        <f>_xll.mirGetDate(C96,D$17,"Following",D$12,"Normal")</f>
        <v>42524</v>
      </c>
      <c r="E96" s="134">
        <f ca="1"/>
        <v>3.6999999999842107E-3</v>
      </c>
      <c r="F96" s="7" t="s">
        <v>3</v>
      </c>
      <c r="G96" s="136">
        <f t="shared" si="1"/>
        <v>42523</v>
      </c>
      <c r="H96" s="20">
        <f>_xll.mirGetDate(G96,H$17,"Following",H$12,"Normal")</f>
        <v>42615</v>
      </c>
      <c r="I96" s="134">
        <f ca="1"/>
        <v>6.3243948474044293E-3</v>
      </c>
      <c r="J96" s="120" t="s">
        <v>3</v>
      </c>
    </row>
    <row r="97" spans="1:10" x14ac:dyDescent="0.25">
      <c r="A97" s="126">
        <v>75</v>
      </c>
      <c r="B97" s="119"/>
      <c r="C97" s="136">
        <f>_xll.mirGetDate(C96,"1D","FOLLOWING",D$12,"NORMAL")</f>
        <v>42524</v>
      </c>
      <c r="D97" s="20">
        <f>_xll.mirGetDate(C97,D$17,"Following",D$12,"Normal")</f>
        <v>42527</v>
      </c>
      <c r="E97" s="134">
        <f ca="1"/>
        <v>3.7000000000109298E-3</v>
      </c>
      <c r="F97" s="7" t="s">
        <v>3</v>
      </c>
      <c r="G97" s="136">
        <f t="shared" si="1"/>
        <v>42524</v>
      </c>
      <c r="H97" s="20">
        <f>_xll.mirGetDate(G97,H$17,"Following",H$12,"Normal")</f>
        <v>42619</v>
      </c>
      <c r="I97" s="134">
        <f ca="1"/>
        <v>6.3323245777876661E-3</v>
      </c>
      <c r="J97" s="120" t="s">
        <v>3</v>
      </c>
    </row>
    <row r="98" spans="1:10" x14ac:dyDescent="0.25">
      <c r="A98" s="126">
        <v>76</v>
      </c>
      <c r="B98" s="119"/>
      <c r="C98" s="136">
        <f>_xll.mirGetDate(C97,"1D","FOLLOWING",D$12,"NORMAL")</f>
        <v>42527</v>
      </c>
      <c r="D98" s="20">
        <f>_xll.mirGetDate(C98,D$17,"Following",D$12,"Normal")</f>
        <v>42528</v>
      </c>
      <c r="E98" s="134">
        <f ca="1"/>
        <v>3.6999999999842844E-3</v>
      </c>
      <c r="F98" s="7" t="s">
        <v>3</v>
      </c>
      <c r="G98" s="136">
        <f t="shared" si="1"/>
        <v>42527</v>
      </c>
      <c r="H98" s="20">
        <f>_xll.mirGetDate(G98,H$17,"Following",H$12,"Normal")</f>
        <v>42619</v>
      </c>
      <c r="I98" s="134">
        <f ca="1"/>
        <v>6.3568085283753125E-3</v>
      </c>
      <c r="J98" s="120" t="s">
        <v>3</v>
      </c>
    </row>
    <row r="99" spans="1:10" x14ac:dyDescent="0.25">
      <c r="A99" s="126">
        <v>77</v>
      </c>
      <c r="B99" s="119"/>
      <c r="C99" s="136">
        <f>_xll.mirGetDate(C98,"1D","FOLLOWING",D$12,"NORMAL")</f>
        <v>42528</v>
      </c>
      <c r="D99" s="20">
        <f>_xll.mirGetDate(C99,D$17,"Following",D$12,"Normal")</f>
        <v>42529</v>
      </c>
      <c r="E99" s="134">
        <f ca="1"/>
        <v>3.6999999999842107E-3</v>
      </c>
      <c r="F99" s="7" t="s">
        <v>3</v>
      </c>
      <c r="G99" s="136">
        <f t="shared" si="1"/>
        <v>42528</v>
      </c>
      <c r="H99" s="20">
        <f>_xll.mirGetDate(G99,H$17,"Following",H$12,"Normal")</f>
        <v>42620</v>
      </c>
      <c r="I99" s="134">
        <f ca="1"/>
        <v>6.365207558301912E-3</v>
      </c>
      <c r="J99" s="120" t="s">
        <v>3</v>
      </c>
    </row>
    <row r="100" spans="1:10" x14ac:dyDescent="0.25">
      <c r="A100" s="126">
        <v>78</v>
      </c>
      <c r="B100" s="119"/>
      <c r="C100" s="136">
        <f>_xll.mirGetDate(C99,"1D","FOLLOWING",D$12,"NORMAL")</f>
        <v>42529</v>
      </c>
      <c r="D100" s="20">
        <f>_xll.mirGetDate(C100,D$17,"Following",D$12,"Normal")</f>
        <v>42530</v>
      </c>
      <c r="E100" s="134">
        <f ca="1"/>
        <v>3.6999999999842844E-3</v>
      </c>
      <c r="F100" s="7" t="s">
        <v>3</v>
      </c>
      <c r="G100" s="136">
        <f t="shared" si="1"/>
        <v>42529</v>
      </c>
      <c r="H100" s="20">
        <f>_xll.mirGetDate(G100,H$17,"Following",H$12,"Normal")</f>
        <v>42621</v>
      </c>
      <c r="I100" s="134">
        <f ca="1"/>
        <v>6.3737285080529074E-3</v>
      </c>
      <c r="J100" s="120" t="s">
        <v>3</v>
      </c>
    </row>
    <row r="101" spans="1:10" x14ac:dyDescent="0.25">
      <c r="A101" s="126">
        <v>79</v>
      </c>
      <c r="B101" s="119"/>
      <c r="C101" s="136">
        <f>_xll.mirGetDate(C100,"1D","FOLLOWING",D$12,"NORMAL")</f>
        <v>42530</v>
      </c>
      <c r="D101" s="20">
        <f>_xll.mirGetDate(C101,D$17,"Following",D$12,"Normal")</f>
        <v>42531</v>
      </c>
      <c r="E101" s="134">
        <f ca="1"/>
        <v>3.6999999999842844E-3</v>
      </c>
      <c r="F101" s="7" t="s">
        <v>3</v>
      </c>
      <c r="G101" s="136">
        <f t="shared" si="1"/>
        <v>42530</v>
      </c>
      <c r="H101" s="20">
        <f>_xll.mirGetDate(G101,H$17,"Following",H$12,"Normal")</f>
        <v>42622</v>
      </c>
      <c r="I101" s="134">
        <f ca="1"/>
        <v>6.3823732156037226E-3</v>
      </c>
      <c r="J101" s="120" t="s">
        <v>3</v>
      </c>
    </row>
    <row r="102" spans="1:10" x14ac:dyDescent="0.25">
      <c r="A102" s="126">
        <v>80</v>
      </c>
      <c r="B102" s="119"/>
      <c r="C102" s="136">
        <f>_xll.mirGetDate(C101,"1D","FOLLOWING",D$12,"NORMAL")</f>
        <v>42531</v>
      </c>
      <c r="D102" s="20">
        <f>_xll.mirGetDate(C102,D$17,"Following",D$12,"Normal")</f>
        <v>42534</v>
      </c>
      <c r="E102" s="134">
        <f ca="1"/>
        <v>3.7000000000109298E-3</v>
      </c>
      <c r="F102" s="7" t="s">
        <v>3</v>
      </c>
      <c r="G102" s="136">
        <f t="shared" si="1"/>
        <v>42531</v>
      </c>
      <c r="H102" s="20">
        <f>_xll.mirGetDate(G102,H$17,"Following",H$12,"Normal")</f>
        <v>42625</v>
      </c>
      <c r="I102" s="134">
        <f ca="1"/>
        <v>6.3911435189297778E-3</v>
      </c>
      <c r="J102" s="120" t="s">
        <v>3</v>
      </c>
    </row>
    <row r="103" spans="1:10" x14ac:dyDescent="0.25">
      <c r="A103" s="126">
        <v>81</v>
      </c>
      <c r="B103" s="119"/>
      <c r="C103" s="136">
        <f>_xll.mirGetDate(C102,"1D","FOLLOWING",D$12,"NORMAL")</f>
        <v>42534</v>
      </c>
      <c r="D103" s="20">
        <f>_xll.mirGetDate(C103,D$17,"Following",D$12,"Normal")</f>
        <v>42535</v>
      </c>
      <c r="E103" s="134">
        <f ca="1"/>
        <v>3.6999999999842107E-3</v>
      </c>
      <c r="F103" s="7" t="s">
        <v>3</v>
      </c>
      <c r="G103" s="136">
        <f t="shared" si="1"/>
        <v>42534</v>
      </c>
      <c r="H103" s="20">
        <f>_xll.mirGetDate(G103,H$17,"Following",H$12,"Normal")</f>
        <v>42626</v>
      </c>
      <c r="I103" s="134">
        <f ca="1"/>
        <v>6.4182263833136126E-3</v>
      </c>
      <c r="J103" s="120" t="s">
        <v>3</v>
      </c>
    </row>
    <row r="104" spans="1:10" x14ac:dyDescent="0.25">
      <c r="A104" s="126">
        <v>82</v>
      </c>
      <c r="B104" s="119"/>
      <c r="C104" s="136">
        <f>_xll.mirGetDate(C103,"1D","FOLLOWING",D$12,"NORMAL")</f>
        <v>42535</v>
      </c>
      <c r="D104" s="20">
        <f>_xll.mirGetDate(C104,D$17,"Following",D$12,"Normal")</f>
        <v>42536</v>
      </c>
      <c r="E104" s="134">
        <f ca="1"/>
        <v>3.6999999999842844E-3</v>
      </c>
      <c r="F104" s="7" t="s">
        <v>3</v>
      </c>
      <c r="G104" s="136">
        <f t="shared" si="1"/>
        <v>42535</v>
      </c>
      <c r="H104" s="20">
        <f>_xll.mirGetDate(G104,H$17,"Following",H$12,"Normal")</f>
        <v>42627</v>
      </c>
      <c r="I104" s="134">
        <f ca="1"/>
        <v>6.4275174494948534E-3</v>
      </c>
      <c r="J104" s="120" t="s">
        <v>3</v>
      </c>
    </row>
    <row r="105" spans="1:10" x14ac:dyDescent="0.25">
      <c r="A105" s="126">
        <v>83</v>
      </c>
      <c r="B105" s="119"/>
      <c r="C105" s="136">
        <f>_xll.mirGetDate(C104,"1D","FOLLOWING",D$12,"NORMAL")</f>
        <v>42536</v>
      </c>
      <c r="D105" s="20">
        <f>_xll.mirGetDate(C105,D$17,"Following",D$12,"Normal")</f>
        <v>42537</v>
      </c>
      <c r="E105" s="134">
        <f ca="1"/>
        <v>3.6999999999842844E-3</v>
      </c>
      <c r="F105" s="7" t="s">
        <v>3</v>
      </c>
      <c r="G105" s="136">
        <f t="shared" si="1"/>
        <v>42536</v>
      </c>
      <c r="H105" s="20">
        <f>_xll.mirGetDate(G105,H$17,"Following",H$12,"Normal")</f>
        <v>42628</v>
      </c>
      <c r="I105" s="134">
        <f ca="1"/>
        <v>6.436943301328448E-3</v>
      </c>
      <c r="J105" s="120" t="s">
        <v>3</v>
      </c>
    </row>
    <row r="106" spans="1:10" x14ac:dyDescent="0.25">
      <c r="A106" s="126">
        <v>84</v>
      </c>
      <c r="B106" s="119"/>
      <c r="C106" s="136">
        <f>_xll.mirGetDate(C105,"1D","FOLLOWING",D$12,"NORMAL")</f>
        <v>42537</v>
      </c>
      <c r="D106" s="20">
        <f>_xll.mirGetDate(C106,D$17,"Following",D$12,"Normal")</f>
        <v>42538</v>
      </c>
      <c r="E106" s="134">
        <f ca="1"/>
        <v>3.6999999999842844E-3</v>
      </c>
      <c r="F106" s="7" t="s">
        <v>3</v>
      </c>
      <c r="G106" s="136">
        <f t="shared" si="1"/>
        <v>42537</v>
      </c>
      <c r="H106" s="20">
        <f>_xll.mirGetDate(G106,H$17,"Following",H$12,"Normal")</f>
        <v>42629</v>
      </c>
      <c r="I106" s="134">
        <f ca="1"/>
        <v>6.4465057767898156E-3</v>
      </c>
      <c r="J106" s="120" t="s">
        <v>3</v>
      </c>
    </row>
    <row r="107" spans="1:10" x14ac:dyDescent="0.25">
      <c r="A107" s="126">
        <v>85</v>
      </c>
      <c r="B107" s="119"/>
      <c r="C107" s="136">
        <f>_xll.mirGetDate(C106,"1D","FOLLOWING",D$12,"NORMAL")</f>
        <v>42538</v>
      </c>
      <c r="D107" s="20">
        <f>_xll.mirGetDate(C107,D$17,"Following",D$12,"Normal")</f>
        <v>42541</v>
      </c>
      <c r="E107" s="134">
        <f ca="1"/>
        <v>3.7000000000109051E-3</v>
      </c>
      <c r="F107" s="7" t="s">
        <v>3</v>
      </c>
      <c r="G107" s="136">
        <f t="shared" si="1"/>
        <v>42538</v>
      </c>
      <c r="H107" s="20">
        <f>_xll.mirGetDate(G107,H$17,"Following",H$12,"Normal")</f>
        <v>42632</v>
      </c>
      <c r="I107" s="134">
        <f ca="1"/>
        <v>6.4562067138543818E-3</v>
      </c>
      <c r="J107" s="120" t="s">
        <v>3</v>
      </c>
    </row>
    <row r="108" spans="1:10" x14ac:dyDescent="0.25">
      <c r="A108" s="126">
        <v>86</v>
      </c>
      <c r="B108" s="119"/>
      <c r="C108" s="136">
        <f>_xll.mirGetDate(C107,"1D","FOLLOWING",D$12,"NORMAL")</f>
        <v>42541</v>
      </c>
      <c r="D108" s="20">
        <f>_xll.mirGetDate(C108,D$17,"Following",D$12,"Normal")</f>
        <v>42542</v>
      </c>
      <c r="E108" s="134">
        <f ca="1"/>
        <v>3.6999999999842844E-3</v>
      </c>
      <c r="F108" s="7" t="s">
        <v>3</v>
      </c>
      <c r="G108" s="136">
        <f t="shared" si="1"/>
        <v>42541</v>
      </c>
      <c r="H108" s="20">
        <f>_xll.mirGetDate(G108,H$17,"Following",H$12,"Normal")</f>
        <v>42633</v>
      </c>
      <c r="I108" s="134">
        <f ca="1"/>
        <v>6.4861586744214793E-3</v>
      </c>
      <c r="J108" s="120" t="s">
        <v>3</v>
      </c>
    </row>
    <row r="109" spans="1:10" x14ac:dyDescent="0.25">
      <c r="A109" s="126">
        <v>87</v>
      </c>
      <c r="B109" s="119"/>
      <c r="C109" s="136">
        <f>_xll.mirGetDate(C108,"1D","FOLLOWING",D$12,"NORMAL")</f>
        <v>42542</v>
      </c>
      <c r="D109" s="20">
        <f>_xll.mirGetDate(C109,D$17,"Following",D$12,"Normal")</f>
        <v>42543</v>
      </c>
      <c r="E109" s="134">
        <f ca="1"/>
        <v>3.6999999999842844E-3</v>
      </c>
      <c r="F109" s="7" t="s">
        <v>3</v>
      </c>
      <c r="G109" s="136">
        <f t="shared" si="1"/>
        <v>42542</v>
      </c>
      <c r="H109" s="20">
        <f>_xll.mirGetDate(G109,H$17,"Following",H$12,"Normal")</f>
        <v>42634</v>
      </c>
      <c r="I109" s="134">
        <f ca="1"/>
        <v>6.4964318376530541E-3</v>
      </c>
      <c r="J109" s="120" t="s">
        <v>3</v>
      </c>
    </row>
    <row r="110" spans="1:10" x14ac:dyDescent="0.25">
      <c r="A110" s="126">
        <v>88</v>
      </c>
      <c r="B110" s="119"/>
      <c r="C110" s="136">
        <f>_xll.mirGetDate(C109,"1D","FOLLOWING",D$12,"NORMAL")</f>
        <v>42543</v>
      </c>
      <c r="D110" s="20">
        <f>_xll.mirGetDate(C110,D$17,"Following",D$12,"Normal")</f>
        <v>42544</v>
      </c>
      <c r="E110" s="134">
        <f ca="1"/>
        <v>3.6999999999842844E-3</v>
      </c>
      <c r="F110" s="7" t="s">
        <v>3</v>
      </c>
      <c r="G110" s="136">
        <f t="shared" si="1"/>
        <v>42543</v>
      </c>
      <c r="H110" s="20">
        <f>_xll.mirGetDate(G110,H$17,"Following",H$12,"Normal")</f>
        <v>42635</v>
      </c>
      <c r="I110" s="134">
        <f ca="1"/>
        <v>6.506852652364936E-3</v>
      </c>
      <c r="J110" s="120" t="s">
        <v>3</v>
      </c>
    </row>
    <row r="111" spans="1:10" x14ac:dyDescent="0.25">
      <c r="A111" s="126">
        <v>89</v>
      </c>
      <c r="B111" s="119"/>
      <c r="C111" s="136">
        <f>_xll.mirGetDate(C110,"1D","FOLLOWING",D$12,"NORMAL")</f>
        <v>42544</v>
      </c>
      <c r="D111" s="20">
        <f>_xll.mirGetDate(C111,D$17,"Following",D$12,"Normal")</f>
        <v>42545</v>
      </c>
      <c r="E111" s="134">
        <f ca="1"/>
        <v>3.7000000000642205E-3</v>
      </c>
      <c r="F111" s="7" t="s">
        <v>3</v>
      </c>
      <c r="G111" s="136">
        <f t="shared" si="1"/>
        <v>42544</v>
      </c>
      <c r="H111" s="20">
        <f>_xll.mirGetDate(G111,H$17,"Following",H$12,"Normal")</f>
        <v>42636</v>
      </c>
      <c r="I111" s="134">
        <f ca="1"/>
        <v>6.5174229565325504E-3</v>
      </c>
      <c r="J111" s="120" t="s">
        <v>3</v>
      </c>
    </row>
    <row r="112" spans="1:10" x14ac:dyDescent="0.25">
      <c r="A112" s="126">
        <v>90</v>
      </c>
      <c r="B112" s="119"/>
      <c r="C112" s="136">
        <f>_xll.mirGetDate(C111,"1D","FOLLOWING",D$12,"NORMAL")</f>
        <v>42545</v>
      </c>
      <c r="D112" s="20">
        <f>_xll.mirGetDate(C112,D$17,"Following",D$12,"Normal")</f>
        <v>42548</v>
      </c>
      <c r="E112" s="134">
        <f ca="1"/>
        <v>3.7000000000109051E-3</v>
      </c>
      <c r="F112" s="7" t="s">
        <v>3</v>
      </c>
      <c r="G112" s="136">
        <f t="shared" si="1"/>
        <v>42545</v>
      </c>
      <c r="H112" s="20">
        <f>_xll.mirGetDate(G112,H$17,"Following",H$12,"Normal")</f>
        <v>42639</v>
      </c>
      <c r="I112" s="134">
        <f ca="1"/>
        <v>6.5281445881313158E-3</v>
      </c>
      <c r="J112" s="120" t="s">
        <v>3</v>
      </c>
    </row>
    <row r="113" spans="1:10" x14ac:dyDescent="0.25">
      <c r="A113" s="126">
        <v>91</v>
      </c>
      <c r="B113" s="119"/>
      <c r="C113" s="136">
        <f>_xll.mirGetDate(C112,"1D","FOLLOWING",D$12,"NORMAL")</f>
        <v>42548</v>
      </c>
      <c r="D113" s="20">
        <f>_xll.mirGetDate(C113,D$17,"Following",D$12,"Normal")</f>
        <v>42549</v>
      </c>
      <c r="E113" s="134">
        <f ca="1"/>
        <v>3.6999999999842844E-3</v>
      </c>
      <c r="F113" s="7" t="s">
        <v>3</v>
      </c>
      <c r="G113" s="136">
        <f t="shared" si="1"/>
        <v>42548</v>
      </c>
      <c r="H113" s="20">
        <f>_xll.mirGetDate(G113,H$17,"Following",H$12,"Normal")</f>
        <v>42640</v>
      </c>
      <c r="I113" s="134">
        <f ca="1"/>
        <v>6.5612358272687538E-3</v>
      </c>
      <c r="J113" s="120" t="s">
        <v>3</v>
      </c>
    </row>
    <row r="114" spans="1:10" x14ac:dyDescent="0.25">
      <c r="A114" s="126">
        <v>92</v>
      </c>
      <c r="B114" s="119"/>
      <c r="C114" s="136">
        <f>_xll.mirGetDate(C113,"1D","FOLLOWING",D$12,"NORMAL")</f>
        <v>42549</v>
      </c>
      <c r="D114" s="20">
        <f>_xll.mirGetDate(C114,D$17,"Following",D$12,"Normal")</f>
        <v>42550</v>
      </c>
      <c r="E114" s="134">
        <f ca="1"/>
        <v>3.6999999999842844E-3</v>
      </c>
      <c r="F114" s="7" t="s">
        <v>3</v>
      </c>
      <c r="G114" s="136">
        <f t="shared" si="1"/>
        <v>42549</v>
      </c>
      <c r="H114" s="20">
        <f>_xll.mirGetDate(G114,H$17,"Following",H$12,"Normal")</f>
        <v>42641</v>
      </c>
      <c r="I114" s="134">
        <f ca="1"/>
        <v>6.5725811483463526E-3</v>
      </c>
      <c r="J114" s="120" t="s">
        <v>3</v>
      </c>
    </row>
    <row r="115" spans="1:10" x14ac:dyDescent="0.25">
      <c r="A115" s="126">
        <v>93</v>
      </c>
      <c r="B115" s="119"/>
      <c r="C115" s="136">
        <f>_xll.mirGetDate(C114,"1D","FOLLOWING",D$12,"NORMAL")</f>
        <v>42550</v>
      </c>
      <c r="D115" s="20">
        <f>_xll.mirGetDate(C115,D$17,"Following",D$12,"Normal")</f>
        <v>42551</v>
      </c>
      <c r="E115" s="134">
        <f ca="1"/>
        <v>3.6999999999842844E-3</v>
      </c>
      <c r="F115" s="7" t="s">
        <v>3</v>
      </c>
      <c r="G115" s="136">
        <f t="shared" si="1"/>
        <v>42550</v>
      </c>
      <c r="H115" s="20">
        <f>_xll.mirGetDate(G115,H$17,"Following",H$12,"Normal")</f>
        <v>42642</v>
      </c>
      <c r="I115" s="134">
        <f ca="1"/>
        <v>6.584086986732217E-3</v>
      </c>
      <c r="J115" s="120" t="s">
        <v>3</v>
      </c>
    </row>
    <row r="116" spans="1:10" x14ac:dyDescent="0.25">
      <c r="A116" s="126">
        <v>94</v>
      </c>
      <c r="B116" s="119"/>
      <c r="C116" s="136">
        <f>_xll.mirGetDate(C115,"1D","FOLLOWING",D$12,"NORMAL")</f>
        <v>42551</v>
      </c>
      <c r="D116" s="20">
        <f>_xll.mirGetDate(C116,D$17,"Following",D$12,"Normal")</f>
        <v>42552</v>
      </c>
      <c r="E116" s="134">
        <f ca="1"/>
        <v>3.6999999999842107E-3</v>
      </c>
      <c r="F116" s="7" t="s">
        <v>3</v>
      </c>
      <c r="G116" s="136">
        <f t="shared" si="1"/>
        <v>42551</v>
      </c>
      <c r="H116" s="20">
        <f>_xll.mirGetDate(G116,H$17,"Following",H$12,"Normal")</f>
        <v>42643</v>
      </c>
      <c r="I116" s="134">
        <f ca="1"/>
        <v>6.5957551804017665E-3</v>
      </c>
      <c r="J116" s="120" t="s">
        <v>3</v>
      </c>
    </row>
    <row r="117" spans="1:10" x14ac:dyDescent="0.25">
      <c r="A117" s="126">
        <v>95</v>
      </c>
      <c r="B117" s="119"/>
      <c r="C117" s="136">
        <f>_xll.mirGetDate(C116,"1D","FOLLOWING",D$12,"NORMAL")</f>
        <v>42552</v>
      </c>
      <c r="D117" s="20">
        <f>_xll.mirGetDate(C117,D$17,"Following",D$12,"Normal")</f>
        <v>42556</v>
      </c>
      <c r="E117" s="134">
        <f ca="1"/>
        <v>3.9000000000055796E-3</v>
      </c>
      <c r="F117" s="7" t="s">
        <v>3</v>
      </c>
      <c r="G117" s="136">
        <f t="shared" si="1"/>
        <v>42552</v>
      </c>
      <c r="H117" s="20">
        <f>_xll.mirGetDate(G117,H$17,"Following",H$12,"Normal")</f>
        <v>42646</v>
      </c>
      <c r="I117" s="134">
        <f ca="1"/>
        <v>6.6075875673304255E-3</v>
      </c>
      <c r="J117" s="120" t="s">
        <v>3</v>
      </c>
    </row>
    <row r="118" spans="1:10" x14ac:dyDescent="0.25">
      <c r="A118" s="126">
        <v>96</v>
      </c>
      <c r="B118" s="119"/>
      <c r="C118" s="136">
        <f>_xll.mirGetDate(C117,"1D","FOLLOWING",D$12,"NORMAL")</f>
        <v>42556</v>
      </c>
      <c r="D118" s="20">
        <f>_xll.mirGetDate(C118,D$17,"Following",D$12,"Normal")</f>
        <v>42557</v>
      </c>
      <c r="E118" s="134">
        <f ca="1"/>
        <v>3.8999999999855175E-3</v>
      </c>
      <c r="F118" s="7" t="s">
        <v>3</v>
      </c>
      <c r="G118" s="136">
        <f t="shared" si="1"/>
        <v>42556</v>
      </c>
      <c r="H118" s="20">
        <f>_xll.mirGetDate(G118,H$17,"Following",H$12,"Normal")</f>
        <v>42648</v>
      </c>
      <c r="I118" s="134">
        <f ca="1"/>
        <v>6.6565958071445937E-3</v>
      </c>
      <c r="J118" s="120" t="s">
        <v>3</v>
      </c>
    </row>
    <row r="119" spans="1:10" x14ac:dyDescent="0.25">
      <c r="A119" s="126">
        <v>97</v>
      </c>
      <c r="B119" s="119"/>
      <c r="C119" s="136">
        <f>_xll.mirGetDate(C118,"1D","FOLLOWING",D$12,"NORMAL")</f>
        <v>42557</v>
      </c>
      <c r="D119" s="20">
        <f>_xll.mirGetDate(C119,D$17,"Following",D$12,"Normal")</f>
        <v>42558</v>
      </c>
      <c r="E119" s="134">
        <f ca="1"/>
        <v>3.9000000000655316E-3</v>
      </c>
      <c r="F119" s="7" t="s">
        <v>3</v>
      </c>
      <c r="G119" s="136">
        <f t="shared" si="1"/>
        <v>42557</v>
      </c>
      <c r="H119" s="20">
        <f>_xll.mirGetDate(G119,H$17,"Following",H$12,"Normal")</f>
        <v>42649</v>
      </c>
      <c r="I119" s="134">
        <f ca="1"/>
        <v>6.6692767300001298E-3</v>
      </c>
      <c r="J119" s="120" t="s">
        <v>3</v>
      </c>
    </row>
    <row r="120" spans="1:10" x14ac:dyDescent="0.25">
      <c r="A120" s="126">
        <v>98</v>
      </c>
      <c r="B120" s="119"/>
      <c r="C120" s="136">
        <f>_xll.mirGetDate(C119,"1D","FOLLOWING",D$12,"NORMAL")</f>
        <v>42558</v>
      </c>
      <c r="D120" s="20">
        <f>_xll.mirGetDate(C120,D$17,"Following",D$12,"Normal")</f>
        <v>42559</v>
      </c>
      <c r="E120" s="134">
        <f ca="1"/>
        <v>3.8999999999855955E-3</v>
      </c>
      <c r="F120" s="7" t="s">
        <v>3</v>
      </c>
      <c r="G120" s="136">
        <f t="shared" si="1"/>
        <v>42558</v>
      </c>
      <c r="H120" s="20">
        <f>_xll.mirGetDate(G120,H$17,"Following",H$12,"Normal")</f>
        <v>42650</v>
      </c>
      <c r="I120" s="134">
        <f ca="1"/>
        <v>6.6821328739673095E-3</v>
      </c>
      <c r="J120" s="120" t="s">
        <v>3</v>
      </c>
    </row>
    <row r="121" spans="1:10" x14ac:dyDescent="0.25">
      <c r="A121" s="126">
        <v>99</v>
      </c>
      <c r="B121" s="119"/>
      <c r="C121" s="136">
        <f>_xll.mirGetDate(C120,"1D","FOLLOWING",D$12,"NORMAL")</f>
        <v>42559</v>
      </c>
      <c r="D121" s="20">
        <f>_xll.mirGetDate(C121,D$17,"Following",D$12,"Normal")</f>
        <v>42562</v>
      </c>
      <c r="E121" s="134">
        <f ca="1"/>
        <v>3.9000000000122409E-3</v>
      </c>
      <c r="F121" s="7" t="s">
        <v>3</v>
      </c>
      <c r="G121" s="136">
        <f t="shared" si="1"/>
        <v>42559</v>
      </c>
      <c r="H121" s="20">
        <f>_xll.mirGetDate(G121,H$17,"Following",H$12,"Normal")</f>
        <v>42654</v>
      </c>
      <c r="I121" s="134">
        <f ca="1"/>
        <v>6.6951660770215521E-3</v>
      </c>
      <c r="J121" s="120" t="s">
        <v>3</v>
      </c>
    </row>
    <row r="122" spans="1:10" x14ac:dyDescent="0.25">
      <c r="A122" s="126">
        <v>100</v>
      </c>
      <c r="B122" s="119"/>
      <c r="C122" s="136">
        <f>_xll.mirGetDate(C121,"1D","FOLLOWING",D$12,"NORMAL")</f>
        <v>42562</v>
      </c>
      <c r="D122" s="20">
        <f>_xll.mirGetDate(C122,D$17,"Following",D$12,"Normal")</f>
        <v>42563</v>
      </c>
      <c r="E122" s="134">
        <f ca="1"/>
        <v>3.8999999999855175E-3</v>
      </c>
      <c r="F122" s="7" t="s">
        <v>3</v>
      </c>
      <c r="G122" s="136">
        <f t="shared" si="1"/>
        <v>42562</v>
      </c>
      <c r="H122" s="20">
        <f>_xll.mirGetDate(G122,H$17,"Following",H$12,"Normal")</f>
        <v>42654</v>
      </c>
      <c r="I122" s="134">
        <f ca="1"/>
        <v>6.7353464204608924E-3</v>
      </c>
      <c r="J122" s="120" t="s">
        <v>3</v>
      </c>
    </row>
    <row r="123" spans="1:10" x14ac:dyDescent="0.25">
      <c r="A123" s="126">
        <v>101</v>
      </c>
      <c r="B123" s="119"/>
      <c r="C123" s="136">
        <f>_xll.mirGetDate(C122,"1D","FOLLOWING",D$12,"NORMAL")</f>
        <v>42563</v>
      </c>
      <c r="D123" s="20">
        <f>_xll.mirGetDate(C123,D$17,"Following",D$12,"Normal")</f>
        <v>42564</v>
      </c>
      <c r="E123" s="134">
        <f ca="1"/>
        <v>3.8999999999855955E-3</v>
      </c>
      <c r="F123" s="7" t="s">
        <v>3</v>
      </c>
      <c r="G123" s="136">
        <f t="shared" si="1"/>
        <v>42563</v>
      </c>
      <c r="H123" s="20">
        <f>_xll.mirGetDate(G123,H$17,"Following",H$12,"Normal")</f>
        <v>42655</v>
      </c>
      <c r="I123" s="134">
        <f ca="1"/>
        <v>6.7491062396176169E-3</v>
      </c>
      <c r="J123" s="120" t="s">
        <v>3</v>
      </c>
    </row>
    <row r="124" spans="1:10" x14ac:dyDescent="0.25">
      <c r="A124" s="126">
        <v>102</v>
      </c>
      <c r="B124" s="119"/>
      <c r="C124" s="136">
        <f>_xll.mirGetDate(C123,"1D","FOLLOWING",D$12,"NORMAL")</f>
        <v>42564</v>
      </c>
      <c r="D124" s="20">
        <f>_xll.mirGetDate(C124,D$17,"Following",D$12,"Normal")</f>
        <v>42565</v>
      </c>
      <c r="E124" s="134">
        <f ca="1"/>
        <v>3.8999999999855955E-3</v>
      </c>
      <c r="F124" s="7" t="s">
        <v>3</v>
      </c>
      <c r="G124" s="136">
        <f t="shared" si="1"/>
        <v>42564</v>
      </c>
      <c r="H124" s="20">
        <f>_xll.mirGetDate(G124,H$17,"Following",H$12,"Normal")</f>
        <v>42656</v>
      </c>
      <c r="I124" s="134">
        <f ca="1"/>
        <v>6.7630523077385181E-3</v>
      </c>
      <c r="J124" s="120" t="s">
        <v>3</v>
      </c>
    </row>
    <row r="125" spans="1:10" x14ac:dyDescent="0.25">
      <c r="A125" s="126">
        <v>103</v>
      </c>
      <c r="B125" s="119"/>
      <c r="C125" s="136">
        <f>_xll.mirGetDate(C124,"1D","FOLLOWING",D$12,"NORMAL")</f>
        <v>42565</v>
      </c>
      <c r="D125" s="20">
        <f>_xll.mirGetDate(C125,D$17,"Following",D$12,"Normal")</f>
        <v>42566</v>
      </c>
      <c r="E125" s="134">
        <f ca="1"/>
        <v>3.8999999999855955E-3</v>
      </c>
      <c r="F125" s="7" t="s">
        <v>3</v>
      </c>
      <c r="G125" s="136">
        <f t="shared" si="1"/>
        <v>42565</v>
      </c>
      <c r="H125" s="20">
        <f>_xll.mirGetDate(G125,H$17,"Following",H$12,"Normal")</f>
        <v>42657</v>
      </c>
      <c r="I125" s="134">
        <f ca="1"/>
        <v>6.7771864627990163E-3</v>
      </c>
      <c r="J125" s="120" t="s">
        <v>3</v>
      </c>
    </row>
    <row r="126" spans="1:10" x14ac:dyDescent="0.25">
      <c r="A126" s="126">
        <v>104</v>
      </c>
      <c r="B126" s="119"/>
      <c r="C126" s="136">
        <f>_xll.mirGetDate(C125,"1D","FOLLOWING",D$12,"NORMAL")</f>
        <v>42566</v>
      </c>
      <c r="D126" s="20">
        <f>_xll.mirGetDate(C126,D$17,"Following",D$12,"Normal")</f>
        <v>42569</v>
      </c>
      <c r="E126" s="134">
        <f ca="1"/>
        <v>3.9000000000122149E-3</v>
      </c>
      <c r="F126" s="7" t="s">
        <v>3</v>
      </c>
      <c r="G126" s="136">
        <f t="shared" si="1"/>
        <v>42566</v>
      </c>
      <c r="H126" s="20">
        <f>_xll.mirGetDate(G126,H$17,"Following",H$12,"Normal")</f>
        <v>42660</v>
      </c>
      <c r="I126" s="134">
        <f ca="1"/>
        <v>6.7915105427745351E-3</v>
      </c>
      <c r="J126" s="120" t="s">
        <v>3</v>
      </c>
    </row>
    <row r="127" spans="1:10" x14ac:dyDescent="0.25">
      <c r="A127" s="126">
        <v>105</v>
      </c>
      <c r="B127" s="119"/>
      <c r="C127" s="136">
        <f>_xll.mirGetDate(C126,"1D","FOLLOWING",D$12,"NORMAL")</f>
        <v>42569</v>
      </c>
      <c r="D127" s="20">
        <f>_xll.mirGetDate(C127,D$17,"Following",D$12,"Normal")</f>
        <v>42570</v>
      </c>
      <c r="E127" s="134">
        <f ca="1"/>
        <v>3.8999999999855955E-3</v>
      </c>
      <c r="F127" s="7" t="s">
        <v>3</v>
      </c>
      <c r="G127" s="136">
        <f t="shared" si="1"/>
        <v>42569</v>
      </c>
      <c r="H127" s="20">
        <f>_xll.mirGetDate(G127,H$17,"Following",H$12,"Normal")</f>
        <v>42661</v>
      </c>
      <c r="I127" s="134">
        <f ca="1"/>
        <v>6.8356407119454406E-3</v>
      </c>
      <c r="J127" s="120" t="s">
        <v>3</v>
      </c>
    </row>
    <row r="128" spans="1:10" x14ac:dyDescent="0.25">
      <c r="A128" s="126">
        <v>106</v>
      </c>
      <c r="B128" s="119"/>
      <c r="C128" s="136">
        <f>_xll.mirGetDate(C127,"1D","FOLLOWING",D$12,"NORMAL")</f>
        <v>42570</v>
      </c>
      <c r="D128" s="20">
        <f>_xll.mirGetDate(C128,D$17,"Following",D$12,"Normal")</f>
        <v>42571</v>
      </c>
      <c r="E128" s="134">
        <f ca="1"/>
        <v>3.8999999999855955E-3</v>
      </c>
      <c r="F128" s="7" t="s">
        <v>3</v>
      </c>
      <c r="G128" s="136">
        <f t="shared" si="1"/>
        <v>42570</v>
      </c>
      <c r="H128" s="20">
        <f>_xll.mirGetDate(G128,H$17,"Following",H$12,"Normal")</f>
        <v>42662</v>
      </c>
      <c r="I128" s="134">
        <f ca="1"/>
        <v>6.8507428713352652E-3</v>
      </c>
      <c r="J128" s="120" t="s">
        <v>3</v>
      </c>
    </row>
    <row r="129" spans="1:10" x14ac:dyDescent="0.25">
      <c r="A129" s="126">
        <v>107</v>
      </c>
      <c r="B129" s="119"/>
      <c r="C129" s="136">
        <f>_xll.mirGetDate(C128,"1D","FOLLOWING",D$12,"NORMAL")</f>
        <v>42571</v>
      </c>
      <c r="D129" s="20">
        <f>_xll.mirGetDate(C129,D$17,"Following",D$12,"Normal")</f>
        <v>42572</v>
      </c>
      <c r="E129" s="134">
        <f ca="1"/>
        <v>3.8999999999855955E-3</v>
      </c>
      <c r="F129" s="7" t="s">
        <v>3</v>
      </c>
      <c r="G129" s="136">
        <f t="shared" si="1"/>
        <v>42571</v>
      </c>
      <c r="H129" s="20">
        <f>_xll.mirGetDate(G129,H$17,"Following",H$12,"Normal")</f>
        <v>42663</v>
      </c>
      <c r="I129" s="134">
        <f ca="1"/>
        <v>6.8660441455172224E-3</v>
      </c>
      <c r="J129" s="120" t="s">
        <v>3</v>
      </c>
    </row>
    <row r="130" spans="1:10" x14ac:dyDescent="0.25">
      <c r="A130" s="126">
        <v>108</v>
      </c>
      <c r="B130" s="119"/>
      <c r="C130" s="136">
        <f>_xll.mirGetDate(C129,"1D","FOLLOWING",D$12,"NORMAL")</f>
        <v>42572</v>
      </c>
      <c r="D130" s="20">
        <f>_xll.mirGetDate(C130,D$17,"Following",D$12,"Normal")</f>
        <v>42573</v>
      </c>
      <c r="E130" s="134">
        <f ca="1"/>
        <v>3.8999999999855955E-3</v>
      </c>
      <c r="F130" s="7" t="s">
        <v>3</v>
      </c>
      <c r="G130" s="136">
        <f t="shared" si="1"/>
        <v>42572</v>
      </c>
      <c r="H130" s="20">
        <f>_xll.mirGetDate(G130,H$17,"Following",H$12,"Normal")</f>
        <v>42664</v>
      </c>
      <c r="I130" s="134">
        <f ca="1"/>
        <v>6.8815463724667325E-3</v>
      </c>
      <c r="J130" s="120" t="s">
        <v>3</v>
      </c>
    </row>
    <row r="131" spans="1:10" x14ac:dyDescent="0.25">
      <c r="A131" s="126">
        <v>109</v>
      </c>
      <c r="B131" s="119"/>
      <c r="C131" s="136">
        <f>_xll.mirGetDate(C130,"1D","FOLLOWING",D$12,"NORMAL")</f>
        <v>42573</v>
      </c>
      <c r="D131" s="20">
        <f>_xll.mirGetDate(C131,D$17,"Following",D$12,"Normal")</f>
        <v>42576</v>
      </c>
      <c r="E131" s="134">
        <f ca="1"/>
        <v>3.9000000000122149E-3</v>
      </c>
      <c r="F131" s="7" t="s">
        <v>3</v>
      </c>
      <c r="G131" s="136">
        <f t="shared" si="1"/>
        <v>42573</v>
      </c>
      <c r="H131" s="20">
        <f>_xll.mirGetDate(G131,H$17,"Following",H$12,"Normal")</f>
        <v>42667</v>
      </c>
      <c r="I131" s="134">
        <f ca="1"/>
        <v>6.897251390159221E-3</v>
      </c>
      <c r="J131" s="120" t="s">
        <v>3</v>
      </c>
    </row>
    <row r="132" spans="1:10" x14ac:dyDescent="0.25">
      <c r="A132" s="126">
        <v>110</v>
      </c>
      <c r="B132" s="119"/>
      <c r="C132" s="136">
        <f>_xll.mirGetDate(C131,"1D","FOLLOWING",D$12,"NORMAL")</f>
        <v>42576</v>
      </c>
      <c r="D132" s="20">
        <f>_xll.mirGetDate(C132,D$17,"Following",D$12,"Normal")</f>
        <v>42577</v>
      </c>
      <c r="E132" s="134">
        <f ca="1"/>
        <v>3.8999999999855955E-3</v>
      </c>
      <c r="F132" s="7" t="s">
        <v>3</v>
      </c>
      <c r="G132" s="136">
        <f t="shared" si="1"/>
        <v>42576</v>
      </c>
      <c r="H132" s="20">
        <f>_xll.mirGetDate(G132,H$17,"Following",H$12,"Normal")</f>
        <v>42668</v>
      </c>
      <c r="I132" s="134">
        <f ca="1"/>
        <v>6.9456015674487642E-3</v>
      </c>
      <c r="J132" s="120" t="s">
        <v>3</v>
      </c>
    </row>
    <row r="133" spans="1:10" x14ac:dyDescent="0.25">
      <c r="A133" s="126">
        <v>111</v>
      </c>
      <c r="B133" s="119"/>
      <c r="C133" s="136">
        <f>_xll.mirGetDate(C132,"1D","FOLLOWING",D$12,"NORMAL")</f>
        <v>42577</v>
      </c>
      <c r="D133" s="20">
        <f>_xll.mirGetDate(C133,D$17,"Following",D$12,"Normal")</f>
        <v>42578</v>
      </c>
      <c r="E133" s="134">
        <f ca="1"/>
        <v>3.9000000000655316E-3</v>
      </c>
      <c r="F133" s="7" t="s">
        <v>3</v>
      </c>
      <c r="G133" s="136">
        <f t="shared" si="1"/>
        <v>42577</v>
      </c>
      <c r="H133" s="20">
        <f>_xll.mirGetDate(G133,H$17,"Following",H$12,"Normal")</f>
        <v>42669</v>
      </c>
      <c r="I133" s="134">
        <f ca="1"/>
        <v>6.9621361278673806E-3</v>
      </c>
      <c r="J133" s="120" t="s">
        <v>3</v>
      </c>
    </row>
    <row r="134" spans="1:10" x14ac:dyDescent="0.25">
      <c r="A134" s="126">
        <v>112</v>
      </c>
      <c r="B134" s="119"/>
      <c r="C134" s="136">
        <f>_xll.mirGetDate(C133,"1D","FOLLOWING",D$12,"NORMAL")</f>
        <v>42578</v>
      </c>
      <c r="D134" s="20">
        <f>_xll.mirGetDate(C134,D$17,"Following",D$12,"Normal")</f>
        <v>42579</v>
      </c>
      <c r="E134" s="134">
        <f ca="1"/>
        <v>3.8999999999855955E-3</v>
      </c>
      <c r="F134" s="7" t="s">
        <v>3</v>
      </c>
      <c r="G134" s="136">
        <f t="shared" si="1"/>
        <v>42578</v>
      </c>
      <c r="H134" s="20">
        <f>_xll.mirGetDate(G134,H$17,"Following",H$12,"Normal")</f>
        <v>42670</v>
      </c>
      <c r="I134" s="134">
        <f ca="1"/>
        <v>6.9788826689060847E-3</v>
      </c>
      <c r="J134" s="120" t="s">
        <v>3</v>
      </c>
    </row>
    <row r="135" spans="1:10" x14ac:dyDescent="0.25">
      <c r="A135" s="126">
        <v>113</v>
      </c>
      <c r="B135" s="119"/>
      <c r="C135" s="136">
        <f>_xll.mirGetDate(C134,"1D","FOLLOWING",D$12,"NORMAL")</f>
        <v>42579</v>
      </c>
      <c r="D135" s="20">
        <f>_xll.mirGetDate(C135,D$17,"Following",D$12,"Normal")</f>
        <v>42580</v>
      </c>
      <c r="E135" s="134">
        <f ca="1"/>
        <v>3.9000000000654535E-3</v>
      </c>
      <c r="F135" s="7" t="s">
        <v>3</v>
      </c>
      <c r="G135" s="136">
        <f t="shared" si="1"/>
        <v>42579</v>
      </c>
      <c r="H135" s="20">
        <f>_xll.mirGetDate(G135,H$17,"Following",H$12,"Normal")</f>
        <v>42671</v>
      </c>
      <c r="I135" s="134">
        <f ca="1"/>
        <v>6.9958430285403002E-3</v>
      </c>
      <c r="J135" s="120" t="s">
        <v>3</v>
      </c>
    </row>
    <row r="136" spans="1:10" x14ac:dyDescent="0.25">
      <c r="A136" s="126">
        <v>114</v>
      </c>
      <c r="B136" s="119"/>
      <c r="C136" s="136">
        <f>_xll.mirGetDate(C135,"1D","FOLLOWING",D$12,"NORMAL")</f>
        <v>42580</v>
      </c>
      <c r="D136" s="20">
        <f>_xll.mirGetDate(C136,D$17,"Following",D$12,"Normal")</f>
        <v>42583</v>
      </c>
      <c r="E136" s="134">
        <f ca="1"/>
        <v>3.9000000000122409E-3</v>
      </c>
      <c r="F136" s="7" t="s">
        <v>3</v>
      </c>
      <c r="G136" s="136">
        <f t="shared" si="1"/>
        <v>42580</v>
      </c>
      <c r="H136" s="20">
        <f>_xll.mirGetDate(G136,H$17,"Following",H$12,"Normal")</f>
        <v>42674</v>
      </c>
      <c r="I136" s="134">
        <f ca="1"/>
        <v>7.0130190447454466E-3</v>
      </c>
      <c r="J136" s="120" t="s">
        <v>3</v>
      </c>
    </row>
    <row r="137" spans="1:10" x14ac:dyDescent="0.25">
      <c r="A137" s="126">
        <v>115</v>
      </c>
      <c r="B137" s="119"/>
      <c r="C137" s="136">
        <f>_xll.mirGetDate(C136,"1D","FOLLOWING",D$12,"NORMAL")</f>
        <v>42583</v>
      </c>
      <c r="D137" s="20">
        <f>_xll.mirGetDate(C137,D$17,"Following",D$12,"Normal")</f>
        <v>42584</v>
      </c>
      <c r="E137" s="134">
        <f ca="1"/>
        <v>4.4000000000288409E-3</v>
      </c>
      <c r="F137" s="7" t="s">
        <v>3</v>
      </c>
      <c r="G137" s="136">
        <f t="shared" si="1"/>
        <v>42583</v>
      </c>
      <c r="H137" s="20">
        <f>_xll.mirGetDate(G137,H$17,"Following",H$12,"Normal")</f>
        <v>42675</v>
      </c>
      <c r="I137" s="134">
        <f ca="1"/>
        <v>7.0658594125407054E-3</v>
      </c>
      <c r="J137" s="120" t="s">
        <v>3</v>
      </c>
    </row>
    <row r="138" spans="1:10" x14ac:dyDescent="0.25">
      <c r="A138" s="126">
        <v>116</v>
      </c>
      <c r="B138" s="119"/>
      <c r="C138" s="136">
        <f>_xll.mirGetDate(C137,"1D","FOLLOWING",D$12,"NORMAL")</f>
        <v>42584</v>
      </c>
      <c r="D138" s="20">
        <f>_xll.mirGetDate(C138,D$17,"Following",D$12,"Normal")</f>
        <v>42585</v>
      </c>
      <c r="E138" s="134">
        <f ca="1"/>
        <v>4.4000000000287533E-3</v>
      </c>
      <c r="F138" s="7" t="s">
        <v>3</v>
      </c>
      <c r="G138" s="136">
        <f t="shared" si="1"/>
        <v>42584</v>
      </c>
      <c r="H138" s="20">
        <f>_xll.mirGetDate(G138,H$17,"Following",H$12,"Normal")</f>
        <v>42676</v>
      </c>
      <c r="I138" s="134">
        <f ca="1"/>
        <v>7.0839164347838044E-3</v>
      </c>
      <c r="J138" s="120" t="s">
        <v>3</v>
      </c>
    </row>
    <row r="139" spans="1:10" x14ac:dyDescent="0.25">
      <c r="A139" s="126">
        <v>117</v>
      </c>
      <c r="B139" s="119"/>
      <c r="C139" s="136">
        <f>_xll.mirGetDate(C138,"1D","FOLLOWING",D$12,"NORMAL")</f>
        <v>42585</v>
      </c>
      <c r="D139" s="20">
        <f>_xll.mirGetDate(C139,D$17,"Following",D$12,"Normal")</f>
        <v>42586</v>
      </c>
      <c r="E139" s="134">
        <f ca="1"/>
        <v>4.4000000000288409E-3</v>
      </c>
      <c r="F139" s="7" t="s">
        <v>3</v>
      </c>
      <c r="G139" s="136">
        <f t="shared" si="1"/>
        <v>42585</v>
      </c>
      <c r="H139" s="20">
        <f>_xll.mirGetDate(G139,H$17,"Following",H$12,"Normal")</f>
        <v>42677</v>
      </c>
      <c r="I139" s="134">
        <f ca="1"/>
        <v>7.1021983034749497E-3</v>
      </c>
      <c r="J139" s="120" t="s">
        <v>3</v>
      </c>
    </row>
    <row r="140" spans="1:10" x14ac:dyDescent="0.25">
      <c r="A140" s="126">
        <v>118</v>
      </c>
      <c r="B140" s="119"/>
      <c r="C140" s="136">
        <f>_xll.mirGetDate(C139,"1D","FOLLOWING",D$12,"NORMAL")</f>
        <v>42586</v>
      </c>
      <c r="D140" s="20">
        <f>_xll.mirGetDate(C140,D$17,"Following",D$12,"Normal")</f>
        <v>42587</v>
      </c>
      <c r="E140" s="134">
        <f ca="1"/>
        <v>4.4000000000288409E-3</v>
      </c>
      <c r="F140" s="7" t="s">
        <v>3</v>
      </c>
      <c r="G140" s="136">
        <f t="shared" si="1"/>
        <v>42586</v>
      </c>
      <c r="H140" s="20">
        <f>_xll.mirGetDate(G140,H$17,"Following",H$12,"Normal")</f>
        <v>42678</v>
      </c>
      <c r="I140" s="134">
        <f ca="1"/>
        <v>7.1207068565895589E-3</v>
      </c>
      <c r="J140" s="120" t="s">
        <v>3</v>
      </c>
    </row>
    <row r="141" spans="1:10" x14ac:dyDescent="0.25">
      <c r="A141" s="126">
        <v>119</v>
      </c>
      <c r="B141" s="119"/>
      <c r="C141" s="136">
        <f>_xll.mirGetDate(C140,"1D","FOLLOWING",D$12,"NORMAL")</f>
        <v>42587</v>
      </c>
      <c r="D141" s="20">
        <f>_xll.mirGetDate(C141,D$17,"Following",D$12,"Normal")</f>
        <v>42590</v>
      </c>
      <c r="E141" s="134">
        <f ca="1"/>
        <v>4.3999999999755502E-3</v>
      </c>
      <c r="F141" s="7" t="s">
        <v>3</v>
      </c>
      <c r="G141" s="136">
        <f t="shared" si="1"/>
        <v>42587</v>
      </c>
      <c r="H141" s="20">
        <f>_xll.mirGetDate(G141,H$17,"Following",H$12,"Normal")</f>
        <v>42681</v>
      </c>
      <c r="I141" s="134">
        <f ca="1"/>
        <v>7.1394439321030585E-3</v>
      </c>
      <c r="J141" s="120" t="s">
        <v>3</v>
      </c>
    </row>
    <row r="142" spans="1:10" x14ac:dyDescent="0.25">
      <c r="A142" s="126">
        <v>120</v>
      </c>
      <c r="B142" s="119"/>
      <c r="C142" s="136">
        <f>_xll.mirGetDate(C141,"1D","FOLLOWING",D$12,"NORMAL")</f>
        <v>42590</v>
      </c>
      <c r="D142" s="20">
        <f>_xll.mirGetDate(C142,D$17,"Following",D$12,"Normal")</f>
        <v>42591</v>
      </c>
      <c r="E142" s="134">
        <f ca="1"/>
        <v>4.4000000001086894E-3</v>
      </c>
      <c r="F142" s="7" t="s">
        <v>3</v>
      </c>
      <c r="G142" s="136">
        <f t="shared" si="1"/>
        <v>42590</v>
      </c>
      <c r="H142" s="20">
        <f>_xll.mirGetDate(G142,H$17,"Following",H$12,"Normal")</f>
        <v>42682</v>
      </c>
      <c r="I142" s="134">
        <f ca="1"/>
        <v>7.1970446727911063E-3</v>
      </c>
      <c r="J142" s="120" t="s">
        <v>3</v>
      </c>
    </row>
    <row r="143" spans="1:10" x14ac:dyDescent="0.25">
      <c r="A143" s="126">
        <v>121</v>
      </c>
      <c r="B143" s="119"/>
      <c r="C143" s="136">
        <f>_xll.mirGetDate(C142,"1D","FOLLOWING",D$12,"NORMAL")</f>
        <v>42591</v>
      </c>
      <c r="D143" s="20">
        <f>_xll.mirGetDate(C143,D$17,"Following",D$12,"Normal")</f>
        <v>42592</v>
      </c>
      <c r="E143" s="134">
        <f ca="1"/>
        <v>4.4000000000288409E-3</v>
      </c>
      <c r="F143" s="7" t="s">
        <v>3</v>
      </c>
      <c r="G143" s="136">
        <f t="shared" si="1"/>
        <v>42591</v>
      </c>
      <c r="H143" s="20">
        <f>_xll.mirGetDate(G143,H$17,"Following",H$12,"Normal")</f>
        <v>42683</v>
      </c>
      <c r="I143" s="134">
        <f ca="1"/>
        <v>7.2167142176543814E-3</v>
      </c>
      <c r="J143" s="120" t="s">
        <v>3</v>
      </c>
    </row>
    <row r="144" spans="1:10" x14ac:dyDescent="0.25">
      <c r="A144" s="126">
        <v>122</v>
      </c>
      <c r="B144" s="119"/>
      <c r="C144" s="136">
        <f>_xll.mirGetDate(C143,"1D","FOLLOWING",D$12,"NORMAL")</f>
        <v>42592</v>
      </c>
      <c r="D144" s="20">
        <f>_xll.mirGetDate(C144,D$17,"Following",D$12,"Normal")</f>
        <v>42593</v>
      </c>
      <c r="E144" s="134">
        <f ca="1"/>
        <v>4.400000000108777E-3</v>
      </c>
      <c r="F144" s="7" t="s">
        <v>3</v>
      </c>
      <c r="G144" s="136">
        <f t="shared" si="1"/>
        <v>42592</v>
      </c>
      <c r="H144" s="20">
        <f>_xll.mirGetDate(G144,H$17,"Following",H$12,"Normal")</f>
        <v>42684</v>
      </c>
      <c r="I144" s="134">
        <f ca="1"/>
        <v>7.2366214747936553E-3</v>
      </c>
      <c r="J144" s="120" t="s">
        <v>3</v>
      </c>
    </row>
    <row r="145" spans="1:10" x14ac:dyDescent="0.25">
      <c r="A145" s="126">
        <v>123</v>
      </c>
      <c r="B145" s="119"/>
      <c r="C145" s="136">
        <f>_xll.mirGetDate(C144,"1D","FOLLOWING",D$12,"NORMAL")</f>
        <v>42593</v>
      </c>
      <c r="D145" s="20">
        <f>_xll.mirGetDate(C145,D$17,"Following",D$12,"Normal")</f>
        <v>42594</v>
      </c>
      <c r="E145" s="134">
        <f ca="1"/>
        <v>4.4000000000288409E-3</v>
      </c>
      <c r="F145" s="7" t="s">
        <v>3</v>
      </c>
      <c r="G145" s="136">
        <f t="shared" si="1"/>
        <v>42593</v>
      </c>
      <c r="H145" s="20">
        <f>_xll.mirGetDate(G145,H$17,"Following",H$12,"Normal")</f>
        <v>42688</v>
      </c>
      <c r="I145" s="134">
        <f ca="1"/>
        <v>7.2567682821843534E-3</v>
      </c>
      <c r="J145" s="120" t="s">
        <v>3</v>
      </c>
    </row>
    <row r="146" spans="1:10" x14ac:dyDescent="0.25">
      <c r="A146" s="126">
        <v>124</v>
      </c>
      <c r="B146" s="119"/>
      <c r="C146" s="136">
        <f>_xll.mirGetDate(C145,"1D","FOLLOWING",D$12,"NORMAL")</f>
        <v>42594</v>
      </c>
      <c r="D146" s="20">
        <f>_xll.mirGetDate(C146,D$17,"Following",D$12,"Normal")</f>
        <v>42597</v>
      </c>
      <c r="E146" s="134">
        <f ca="1"/>
        <v>4.4000000000021661E-3</v>
      </c>
      <c r="F146" s="7" t="s">
        <v>3</v>
      </c>
      <c r="G146" s="136">
        <f t="shared" si="1"/>
        <v>42594</v>
      </c>
      <c r="H146" s="20">
        <f>_xll.mirGetDate(G146,H$17,"Following",H$12,"Normal")</f>
        <v>42688</v>
      </c>
      <c r="I146" s="134">
        <f ca="1"/>
        <v>7.2771564778018934E-3</v>
      </c>
      <c r="J146" s="120" t="s">
        <v>3</v>
      </c>
    </row>
    <row r="147" spans="1:10" x14ac:dyDescent="0.25">
      <c r="A147" s="126">
        <v>125</v>
      </c>
      <c r="B147" s="119"/>
      <c r="C147" s="136">
        <f>_xll.mirGetDate(C146,"1D","FOLLOWING",D$12,"NORMAL")</f>
        <v>42597</v>
      </c>
      <c r="D147" s="20">
        <f>_xll.mirGetDate(C147,D$17,"Following",D$12,"Normal")</f>
        <v>42598</v>
      </c>
      <c r="E147" s="134">
        <f ca="1"/>
        <v>4.4000000000288409E-3</v>
      </c>
      <c r="F147" s="7" t="s">
        <v>3</v>
      </c>
      <c r="G147" s="136">
        <f t="shared" si="1"/>
        <v>42597</v>
      </c>
      <c r="H147" s="20">
        <f>_xll.mirGetDate(G147,H$17,"Following",H$12,"Normal")</f>
        <v>42689</v>
      </c>
      <c r="I147" s="134">
        <f ca="1"/>
        <v>7.3397877737698082E-3</v>
      </c>
      <c r="J147" s="120" t="s">
        <v>3</v>
      </c>
    </row>
    <row r="148" spans="1:10" x14ac:dyDescent="0.25">
      <c r="A148" s="126">
        <v>126</v>
      </c>
      <c r="B148" s="119"/>
      <c r="C148" s="136">
        <f>_xll.mirGetDate(C147,"1D","FOLLOWING",D$12,"NORMAL")</f>
        <v>42598</v>
      </c>
      <c r="D148" s="20">
        <f>_xll.mirGetDate(C148,D$17,"Following",D$12,"Normal")</f>
        <v>42599</v>
      </c>
      <c r="E148" s="134">
        <f ca="1"/>
        <v>4.4000000000288409E-3</v>
      </c>
      <c r="F148" s="7" t="s">
        <v>3</v>
      </c>
      <c r="G148" s="136">
        <f t="shared" si="1"/>
        <v>42598</v>
      </c>
      <c r="H148" s="20">
        <f>_xll.mirGetDate(G148,H$17,"Following",H$12,"Normal")</f>
        <v>42690</v>
      </c>
      <c r="I148" s="134">
        <f ca="1"/>
        <v>7.3611599020489485E-3</v>
      </c>
      <c r="J148" s="120" t="s">
        <v>3</v>
      </c>
    </row>
    <row r="149" spans="1:10" x14ac:dyDescent="0.25">
      <c r="A149" s="126">
        <v>127</v>
      </c>
      <c r="B149" s="119"/>
      <c r="C149" s="136">
        <f>_xll.mirGetDate(C148,"1D","FOLLOWING",D$12,"NORMAL")</f>
        <v>42599</v>
      </c>
      <c r="D149" s="20">
        <f>_xll.mirGetDate(C149,D$17,"Following",D$12,"Normal")</f>
        <v>42600</v>
      </c>
      <c r="E149" s="134">
        <f ca="1"/>
        <v>4.4000000000288409E-3</v>
      </c>
      <c r="F149" s="7" t="s">
        <v>3</v>
      </c>
      <c r="G149" s="136">
        <f t="shared" si="1"/>
        <v>42599</v>
      </c>
      <c r="H149" s="20">
        <f>_xll.mirGetDate(G149,H$17,"Following",H$12,"Normal")</f>
        <v>42691</v>
      </c>
      <c r="I149" s="134">
        <f ca="1"/>
        <v>7.3827826084320479E-3</v>
      </c>
      <c r="J149" s="120" t="s">
        <v>3</v>
      </c>
    </row>
    <row r="150" spans="1:10" x14ac:dyDescent="0.25">
      <c r="A150" s="126">
        <v>128</v>
      </c>
      <c r="B150" s="119"/>
      <c r="C150" s="136">
        <f>_xll.mirGetDate(C149,"1D","FOLLOWING",D$12,"NORMAL")</f>
        <v>42600</v>
      </c>
      <c r="D150" s="20">
        <f>_xll.mirGetDate(C150,D$17,"Following",D$12,"Normal")</f>
        <v>42601</v>
      </c>
      <c r="E150" s="134">
        <f ca="1"/>
        <v>4.4000000000288409E-3</v>
      </c>
      <c r="F150" s="7" t="s">
        <v>3</v>
      </c>
      <c r="G150" s="136">
        <f t="shared" si="1"/>
        <v>42600</v>
      </c>
      <c r="H150" s="20">
        <f>_xll.mirGetDate(G150,H$17,"Following",H$12,"Normal")</f>
        <v>42692</v>
      </c>
      <c r="I150" s="134">
        <f ca="1"/>
        <v>7.4046577308945222E-3</v>
      </c>
      <c r="J150" s="120" t="s">
        <v>3</v>
      </c>
    </row>
    <row r="151" spans="1:10" x14ac:dyDescent="0.25">
      <c r="A151" s="126">
        <v>129</v>
      </c>
      <c r="B151" s="119"/>
      <c r="C151" s="136">
        <f>_xll.mirGetDate(C150,"1D","FOLLOWING",D$12,"NORMAL")</f>
        <v>42601</v>
      </c>
      <c r="D151" s="20">
        <f>_xll.mirGetDate(C151,D$17,"Following",D$12,"Normal")</f>
        <v>42604</v>
      </c>
      <c r="E151" s="134">
        <f ca="1"/>
        <v>4.4000000000021956E-3</v>
      </c>
      <c r="F151" s="7" t="s">
        <v>3</v>
      </c>
      <c r="G151" s="136">
        <f t="shared" si="1"/>
        <v>42601</v>
      </c>
      <c r="H151" s="20">
        <f>_xll.mirGetDate(G151,H$17,"Following",H$12,"Normal")</f>
        <v>42695</v>
      </c>
      <c r="I151" s="134">
        <f ca="1"/>
        <v>7.4267871074117989E-3</v>
      </c>
      <c r="J151" s="120" t="s">
        <v>3</v>
      </c>
    </row>
    <row r="152" spans="1:10" x14ac:dyDescent="0.25">
      <c r="A152" s="126">
        <v>130</v>
      </c>
      <c r="B152" s="119"/>
      <c r="C152" s="136">
        <f>_xll.mirGetDate(C151,"1D","FOLLOWING",D$12,"NORMAL")</f>
        <v>42604</v>
      </c>
      <c r="D152" s="20">
        <f>_xll.mirGetDate(C152,D$17,"Following",D$12,"Normal")</f>
        <v>42605</v>
      </c>
      <c r="E152" s="134">
        <f ca="1"/>
        <v>4.4000000000286648E-3</v>
      </c>
      <c r="F152" s="7" t="s">
        <v>3</v>
      </c>
      <c r="G152" s="136">
        <f t="shared" ref="G152:G215" si="2">$C152</f>
        <v>42604</v>
      </c>
      <c r="H152" s="20">
        <f>_xll.mirGetDate(G152,H$17,"Following",H$12,"Normal")</f>
        <v>42696</v>
      </c>
      <c r="I152" s="134">
        <f ca="1"/>
        <v>7.4947191410466522E-3</v>
      </c>
      <c r="J152" s="120" t="s">
        <v>3</v>
      </c>
    </row>
    <row r="153" spans="1:10" x14ac:dyDescent="0.25">
      <c r="A153" s="126">
        <v>131</v>
      </c>
      <c r="B153" s="119"/>
      <c r="C153" s="136">
        <f>_xll.mirGetDate(C152,"1D","FOLLOWING",D$12,"NORMAL")</f>
        <v>42605</v>
      </c>
      <c r="D153" s="20">
        <f>_xll.mirGetDate(C153,D$17,"Following",D$12,"Normal")</f>
        <v>42606</v>
      </c>
      <c r="E153" s="134">
        <f ca="1"/>
        <v>4.400000000108777E-3</v>
      </c>
      <c r="F153" s="7" t="s">
        <v>3</v>
      </c>
      <c r="G153" s="136">
        <f t="shared" si="2"/>
        <v>42605</v>
      </c>
      <c r="H153" s="20">
        <f>_xll.mirGetDate(G153,H$17,"Following",H$12,"Normal")</f>
        <v>42697</v>
      </c>
      <c r="I153" s="134">
        <f ca="1"/>
        <v>7.5178839135373512E-3</v>
      </c>
      <c r="J153" s="120" t="s">
        <v>3</v>
      </c>
    </row>
    <row r="154" spans="1:10" x14ac:dyDescent="0.25">
      <c r="A154" s="126">
        <v>132</v>
      </c>
      <c r="B154" s="119"/>
      <c r="C154" s="136">
        <f>_xll.mirGetDate(C153,"1D","FOLLOWING",D$12,"NORMAL")</f>
        <v>42606</v>
      </c>
      <c r="D154" s="20">
        <f>_xll.mirGetDate(C154,D$17,"Following",D$12,"Normal")</f>
        <v>42607</v>
      </c>
      <c r="E154" s="134">
        <f ca="1"/>
        <v>4.4000000000288409E-3</v>
      </c>
      <c r="F154" s="7" t="s">
        <v>3</v>
      </c>
      <c r="G154" s="136">
        <f t="shared" si="2"/>
        <v>42606</v>
      </c>
      <c r="H154" s="20">
        <f>_xll.mirGetDate(G154,H$17,"Following",H$12,"Normal")</f>
        <v>42699</v>
      </c>
      <c r="I154" s="134">
        <f ca="1"/>
        <v>7.5414447375544954E-3</v>
      </c>
      <c r="J154" s="120" t="s">
        <v>3</v>
      </c>
    </row>
    <row r="155" spans="1:10" x14ac:dyDescent="0.25">
      <c r="A155" s="126">
        <v>133</v>
      </c>
      <c r="B155" s="119"/>
      <c r="C155" s="136">
        <f>_xll.mirGetDate(C154,"1D","FOLLOWING",D$12,"NORMAL")</f>
        <v>42607</v>
      </c>
      <c r="D155" s="20">
        <f>_xll.mirGetDate(C155,D$17,"Following",D$12,"Normal")</f>
        <v>42608</v>
      </c>
      <c r="E155" s="134">
        <f ca="1"/>
        <v>4.4000000000288409E-3</v>
      </c>
      <c r="F155" s="7" t="s">
        <v>3</v>
      </c>
      <c r="G155" s="136">
        <f t="shared" si="2"/>
        <v>42607</v>
      </c>
      <c r="H155" s="20">
        <f>_xll.mirGetDate(G155,H$17,"Following",H$12,"Normal")</f>
        <v>42699</v>
      </c>
      <c r="I155" s="134">
        <f ca="1"/>
        <v>7.5655149519938299E-3</v>
      </c>
      <c r="J155" s="120" t="s">
        <v>3</v>
      </c>
    </row>
    <row r="156" spans="1:10" x14ac:dyDescent="0.25">
      <c r="A156" s="126">
        <v>134</v>
      </c>
      <c r="B156" s="119"/>
      <c r="C156" s="136">
        <f>_xll.mirGetDate(C155,"1D","FOLLOWING",D$12,"NORMAL")</f>
        <v>42608</v>
      </c>
      <c r="D156" s="20">
        <f>_xll.mirGetDate(C156,D$17,"Following",D$12,"Normal")</f>
        <v>42611</v>
      </c>
      <c r="E156" s="134">
        <f ca="1"/>
        <v>4.4000000000021956E-3</v>
      </c>
      <c r="F156" s="7" t="s">
        <v>3</v>
      </c>
      <c r="G156" s="136">
        <f t="shared" si="2"/>
        <v>42608</v>
      </c>
      <c r="H156" s="20">
        <f>_xll.mirGetDate(G156,H$17,"Following",H$12,"Normal")</f>
        <v>42702</v>
      </c>
      <c r="I156" s="134">
        <f ca="1"/>
        <v>7.5900647348194732E-3</v>
      </c>
      <c r="J156" s="120" t="s">
        <v>3</v>
      </c>
    </row>
    <row r="157" spans="1:10" x14ac:dyDescent="0.25">
      <c r="A157" s="126">
        <v>135</v>
      </c>
      <c r="B157" s="119"/>
      <c r="C157" s="136">
        <f>_xll.mirGetDate(C156,"1D","FOLLOWING",D$12,"NORMAL")</f>
        <v>42611</v>
      </c>
      <c r="D157" s="20">
        <f>_xll.mirGetDate(C157,D$17,"Following",D$12,"Normal")</f>
        <v>42612</v>
      </c>
      <c r="E157" s="134">
        <f ca="1"/>
        <v>4.4000000000288409E-3</v>
      </c>
      <c r="F157" s="7" t="s">
        <v>3</v>
      </c>
      <c r="G157" s="136">
        <f t="shared" si="2"/>
        <v>42611</v>
      </c>
      <c r="H157" s="20">
        <f>_xll.mirGetDate(G157,H$17,"Following",H$12,"Normal")</f>
        <v>42703</v>
      </c>
      <c r="I157" s="134">
        <f ca="1"/>
        <v>7.6662932732554021E-3</v>
      </c>
      <c r="J157" s="120" t="s">
        <v>3</v>
      </c>
    </row>
    <row r="158" spans="1:10" x14ac:dyDescent="0.25">
      <c r="A158" s="126">
        <v>136</v>
      </c>
      <c r="B158" s="119"/>
      <c r="C158" s="136">
        <f>_xll.mirGetDate(C157,"1D","FOLLOWING",D$12,"NORMAL")</f>
        <v>42612</v>
      </c>
      <c r="D158" s="20">
        <f>_xll.mirGetDate(C158,D$17,"Following",D$12,"Normal")</f>
        <v>42613</v>
      </c>
      <c r="E158" s="134">
        <f ca="1"/>
        <v>4.4000000000288409E-3</v>
      </c>
      <c r="F158" s="7" t="s">
        <v>3</v>
      </c>
      <c r="G158" s="136">
        <f t="shared" si="2"/>
        <v>42612</v>
      </c>
      <c r="H158" s="20">
        <f>_xll.mirGetDate(G158,H$17,"Following",H$12,"Normal")</f>
        <v>42704</v>
      </c>
      <c r="I158" s="134">
        <f ca="1"/>
        <v>7.6924631092674329E-3</v>
      </c>
      <c r="J158" s="120" t="s">
        <v>3</v>
      </c>
    </row>
    <row r="159" spans="1:10" x14ac:dyDescent="0.25">
      <c r="A159" s="126">
        <v>137</v>
      </c>
      <c r="B159" s="119"/>
      <c r="C159" s="136">
        <f>_xll.mirGetDate(C158,"1D","FOLLOWING",D$12,"NORMAL")</f>
        <v>42613</v>
      </c>
      <c r="D159" s="20">
        <f>_xll.mirGetDate(C159,D$17,"Following",D$12,"Normal")</f>
        <v>42614</v>
      </c>
      <c r="E159" s="134">
        <f ca="1"/>
        <v>4.4000000000288409E-3</v>
      </c>
      <c r="F159" s="7" t="s">
        <v>3</v>
      </c>
      <c r="G159" s="136">
        <f t="shared" si="2"/>
        <v>42613</v>
      </c>
      <c r="H159" s="20">
        <f>_xll.mirGetDate(G159,H$17,"Following",H$12,"Normal")</f>
        <v>42704</v>
      </c>
      <c r="I159" s="134">
        <f ca="1"/>
        <v>7.7189634034863465E-3</v>
      </c>
      <c r="J159" s="120" t="s">
        <v>3</v>
      </c>
    </row>
    <row r="160" spans="1:10" x14ac:dyDescent="0.25">
      <c r="A160" s="126">
        <v>138</v>
      </c>
      <c r="B160" s="119"/>
      <c r="C160" s="136">
        <f>_xll.mirGetDate(C159,"1D","FOLLOWING",D$12,"NORMAL")</f>
        <v>42614</v>
      </c>
      <c r="D160" s="20">
        <f>_xll.mirGetDate(C160,D$17,"Following",D$12,"Normal")</f>
        <v>42615</v>
      </c>
      <c r="E160" s="134">
        <f ca="1"/>
        <v>4.8500000000118067E-3</v>
      </c>
      <c r="F160" s="7" t="s">
        <v>3</v>
      </c>
      <c r="G160" s="136">
        <f t="shared" si="2"/>
        <v>42614</v>
      </c>
      <c r="H160" s="20">
        <f>_xll.mirGetDate(G160,H$17,"Following",H$12,"Normal")</f>
        <v>42705</v>
      </c>
      <c r="I160" s="134">
        <f ca="1"/>
        <v>7.7457643338762639E-3</v>
      </c>
      <c r="J160" s="120" t="s">
        <v>3</v>
      </c>
    </row>
    <row r="161" spans="1:10" x14ac:dyDescent="0.25">
      <c r="A161" s="126">
        <v>139</v>
      </c>
      <c r="B161" s="119"/>
      <c r="C161" s="136">
        <f>_xll.mirGetDate(C160,"1D","FOLLOWING",D$12,"NORMAL")</f>
        <v>42615</v>
      </c>
      <c r="D161" s="20">
        <f>_xll.mirGetDate(C161,D$17,"Following",D$12,"Normal")</f>
        <v>42619</v>
      </c>
      <c r="E161" s="134">
        <f ca="1"/>
        <v>4.8500000000117581E-3</v>
      </c>
      <c r="F161" s="7" t="s">
        <v>3</v>
      </c>
      <c r="G161" s="136">
        <f t="shared" si="2"/>
        <v>42615</v>
      </c>
      <c r="H161" s="20">
        <f>_xll.mirGetDate(G161,H$17,"Following",H$12,"Normal")</f>
        <v>42706</v>
      </c>
      <c r="I161" s="134">
        <f ca="1"/>
        <v>7.7728360784012959E-3</v>
      </c>
      <c r="J161" s="120" t="s">
        <v>3</v>
      </c>
    </row>
    <row r="162" spans="1:10" x14ac:dyDescent="0.25">
      <c r="A162" s="126">
        <v>140</v>
      </c>
      <c r="B162" s="119"/>
      <c r="C162" s="136">
        <f>_xll.mirGetDate(C161,"1D","FOLLOWING",D$12,"NORMAL")</f>
        <v>42619</v>
      </c>
      <c r="D162" s="20">
        <f>_xll.mirGetDate(C162,D$17,"Following",D$12,"Normal")</f>
        <v>42620</v>
      </c>
      <c r="E162" s="134">
        <f ca="1"/>
        <v>4.8500000000118067E-3</v>
      </c>
      <c r="F162" s="7" t="s">
        <v>3</v>
      </c>
      <c r="G162" s="136">
        <f t="shared" si="2"/>
        <v>42619</v>
      </c>
      <c r="H162" s="20">
        <f>_xll.mirGetDate(G162,H$17,"Following",H$12,"Normal")</f>
        <v>42710</v>
      </c>
      <c r="I162" s="134">
        <f ca="1"/>
        <v>7.8832347571349097E-3</v>
      </c>
      <c r="J162" s="120" t="s">
        <v>3</v>
      </c>
    </row>
    <row r="163" spans="1:10" x14ac:dyDescent="0.25">
      <c r="A163" s="126">
        <v>141</v>
      </c>
      <c r="B163" s="119"/>
      <c r="C163" s="136">
        <f>_xll.mirGetDate(C162,"1D","FOLLOWING",D$12,"NORMAL")</f>
        <v>42620</v>
      </c>
      <c r="D163" s="20">
        <f>_xll.mirGetDate(C163,D$17,"Following",D$12,"Normal")</f>
        <v>42621</v>
      </c>
      <c r="E163" s="134">
        <f ca="1"/>
        <v>4.8500000000118067E-3</v>
      </c>
      <c r="F163" s="7" t="s">
        <v>3</v>
      </c>
      <c r="G163" s="136">
        <f t="shared" si="2"/>
        <v>42620</v>
      </c>
      <c r="H163" s="20">
        <f>_xll.mirGetDate(G163,H$17,"Following",H$12,"Normal")</f>
        <v>42711</v>
      </c>
      <c r="I163" s="134">
        <f ca="1"/>
        <v>7.9112132417972648E-3</v>
      </c>
      <c r="J163" s="120" t="s">
        <v>3</v>
      </c>
    </row>
    <row r="164" spans="1:10" x14ac:dyDescent="0.25">
      <c r="A164" s="126">
        <v>142</v>
      </c>
      <c r="B164" s="119"/>
      <c r="C164" s="136">
        <f>_xll.mirGetDate(C163,"1D","FOLLOWING",D$12,"NORMAL")</f>
        <v>42621</v>
      </c>
      <c r="D164" s="20">
        <f>_xll.mirGetDate(C164,D$17,"Following",D$12,"Normal")</f>
        <v>42622</v>
      </c>
      <c r="E164" s="134">
        <f ca="1"/>
        <v>4.8500000000118067E-3</v>
      </c>
      <c r="F164" s="7" t="s">
        <v>3</v>
      </c>
      <c r="G164" s="136">
        <f t="shared" si="2"/>
        <v>42621</v>
      </c>
      <c r="H164" s="20">
        <f>_xll.mirGetDate(G164,H$17,"Following",H$12,"Normal")</f>
        <v>42712</v>
      </c>
      <c r="I164" s="134">
        <f ca="1"/>
        <v>7.9392836083794268E-3</v>
      </c>
      <c r="J164" s="120" t="s">
        <v>3</v>
      </c>
    </row>
    <row r="165" spans="1:10" x14ac:dyDescent="0.25">
      <c r="A165" s="126">
        <v>143</v>
      </c>
      <c r="B165" s="119"/>
      <c r="C165" s="136">
        <f>_xll.mirGetDate(C164,"1D","FOLLOWING",D$12,"NORMAL")</f>
        <v>42622</v>
      </c>
      <c r="D165" s="20">
        <f>_xll.mirGetDate(C165,D$17,"Following",D$12,"Normal")</f>
        <v>42625</v>
      </c>
      <c r="E165" s="134">
        <f ca="1"/>
        <v>4.8500000000118067E-3</v>
      </c>
      <c r="F165" s="7" t="s">
        <v>3</v>
      </c>
      <c r="G165" s="136">
        <f t="shared" si="2"/>
        <v>42622</v>
      </c>
      <c r="H165" s="20">
        <f>_xll.mirGetDate(G165,H$17,"Following",H$12,"Normal")</f>
        <v>42713</v>
      </c>
      <c r="I165" s="134">
        <f ca="1"/>
        <v>7.9674160348455151E-3</v>
      </c>
      <c r="J165" s="120" t="s">
        <v>3</v>
      </c>
    </row>
    <row r="166" spans="1:10" x14ac:dyDescent="0.25">
      <c r="A166" s="126">
        <v>144</v>
      </c>
      <c r="B166" s="119"/>
      <c r="C166" s="136">
        <f>_xll.mirGetDate(C165,"1D","FOLLOWING",D$12,"NORMAL")</f>
        <v>42625</v>
      </c>
      <c r="D166" s="20">
        <f>_xll.mirGetDate(C166,D$17,"Following",D$12,"Normal")</f>
        <v>42626</v>
      </c>
      <c r="E166" s="134">
        <f ca="1"/>
        <v>4.8499999999318706E-3</v>
      </c>
      <c r="F166" s="7" t="s">
        <v>3</v>
      </c>
      <c r="G166" s="136">
        <f t="shared" si="2"/>
        <v>42625</v>
      </c>
      <c r="H166" s="20">
        <f>_xll.mirGetDate(G166,H$17,"Following",H$12,"Normal")</f>
        <v>42716</v>
      </c>
      <c r="I166" s="134">
        <f ca="1"/>
        <v>8.0517873514579785E-3</v>
      </c>
      <c r="J166" s="120" t="s">
        <v>3</v>
      </c>
    </row>
    <row r="167" spans="1:10" x14ac:dyDescent="0.25">
      <c r="A167" s="126">
        <v>145</v>
      </c>
      <c r="B167" s="119"/>
      <c r="C167" s="136">
        <f>_xll.mirGetDate(C166,"1D","FOLLOWING",D$12,"NORMAL")</f>
        <v>42626</v>
      </c>
      <c r="D167" s="20">
        <f>_xll.mirGetDate(C167,D$17,"Following",D$12,"Normal")</f>
        <v>42627</v>
      </c>
      <c r="E167" s="134">
        <f ca="1"/>
        <v>4.8500000000118067E-3</v>
      </c>
      <c r="F167" s="7" t="s">
        <v>3</v>
      </c>
      <c r="G167" s="136">
        <f t="shared" si="2"/>
        <v>42626</v>
      </c>
      <c r="H167" s="20">
        <f>_xll.mirGetDate(G167,H$17,"Following",H$12,"Normal")</f>
        <v>42717</v>
      </c>
      <c r="I167" s="134">
        <f ca="1"/>
        <v>8.0796175922805812E-3</v>
      </c>
      <c r="J167" s="120" t="s">
        <v>3</v>
      </c>
    </row>
    <row r="168" spans="1:10" x14ac:dyDescent="0.25">
      <c r="A168" s="126">
        <v>146</v>
      </c>
      <c r="B168" s="119"/>
      <c r="C168" s="136">
        <f>_xll.mirGetDate(C167,"1D","FOLLOWING",D$12,"NORMAL")</f>
        <v>42627</v>
      </c>
      <c r="D168" s="20">
        <f>_xll.mirGetDate(C168,D$17,"Following",D$12,"Normal")</f>
        <v>42628</v>
      </c>
      <c r="E168" s="134">
        <f ca="1"/>
        <v>4.8500000000116124E-3</v>
      </c>
      <c r="F168" s="7" t="s">
        <v>3</v>
      </c>
      <c r="G168" s="136">
        <f t="shared" si="2"/>
        <v>42627</v>
      </c>
      <c r="H168" s="20">
        <f>_xll.mirGetDate(G168,H$17,"Following",H$12,"Normal")</f>
        <v>42718</v>
      </c>
      <c r="I168" s="134">
        <f ca="1"/>
        <v>8.1071126946428481E-3</v>
      </c>
      <c r="J168" s="120" t="s">
        <v>3</v>
      </c>
    </row>
    <row r="169" spans="1:10" x14ac:dyDescent="0.25">
      <c r="A169" s="126">
        <v>147</v>
      </c>
      <c r="B169" s="119"/>
      <c r="C169" s="136">
        <f>_xll.mirGetDate(C168,"1D","FOLLOWING",D$12,"NORMAL")</f>
        <v>42628</v>
      </c>
      <c r="D169" s="20">
        <f>_xll.mirGetDate(C169,D$17,"Following",D$12,"Normal")</f>
        <v>42629</v>
      </c>
      <c r="E169" s="134">
        <f ca="1"/>
        <v>4.8500000000118067E-3</v>
      </c>
      <c r="F169" s="7" t="s">
        <v>3</v>
      </c>
      <c r="G169" s="136">
        <f t="shared" si="2"/>
        <v>42628</v>
      </c>
      <c r="H169" s="20">
        <f>_xll.mirGetDate(G169,H$17,"Following",H$12,"Normal")</f>
        <v>42719</v>
      </c>
      <c r="I169" s="134">
        <f ca="1"/>
        <v>8.1341578454803033E-3</v>
      </c>
      <c r="J169" s="120" t="s">
        <v>3</v>
      </c>
    </row>
    <row r="170" spans="1:10" x14ac:dyDescent="0.25">
      <c r="A170" s="126">
        <v>148</v>
      </c>
      <c r="B170" s="119"/>
      <c r="C170" s="136">
        <f>_xll.mirGetDate(C169,"1D","FOLLOWING",D$12,"NORMAL")</f>
        <v>42629</v>
      </c>
      <c r="D170" s="20">
        <f>_xll.mirGetDate(C170,D$17,"Following",D$12,"Normal")</f>
        <v>42632</v>
      </c>
      <c r="E170" s="134">
        <f ca="1"/>
        <v>4.8500000000118067E-3</v>
      </c>
      <c r="F170" s="7" t="s">
        <v>3</v>
      </c>
      <c r="G170" s="136">
        <f t="shared" si="2"/>
        <v>42629</v>
      </c>
      <c r="H170" s="20">
        <f>_xll.mirGetDate(G170,H$17,"Following",H$12,"Normal")</f>
        <v>42720</v>
      </c>
      <c r="I170" s="134">
        <f ca="1"/>
        <v>8.1606382317284502E-3</v>
      </c>
      <c r="J170" s="120" t="s">
        <v>3</v>
      </c>
    </row>
    <row r="171" spans="1:10" x14ac:dyDescent="0.25">
      <c r="A171" s="126">
        <v>149</v>
      </c>
      <c r="B171" s="119"/>
      <c r="C171" s="136">
        <f>_xll.mirGetDate(C170,"1D","FOLLOWING",D$12,"NORMAL")</f>
        <v>42632</v>
      </c>
      <c r="D171" s="20">
        <f>_xll.mirGetDate(C171,D$17,"Following",D$12,"Normal")</f>
        <v>42633</v>
      </c>
      <c r="E171" s="134">
        <f ca="1"/>
        <v>4.8500000000118067E-3</v>
      </c>
      <c r="F171" s="7" t="s">
        <v>3</v>
      </c>
      <c r="G171" s="136">
        <f t="shared" si="2"/>
        <v>42632</v>
      </c>
      <c r="H171" s="20">
        <f>_xll.mirGetDate(G171,H$17,"Following",H$12,"Normal")</f>
        <v>42723</v>
      </c>
      <c r="I171" s="134">
        <f ca="1"/>
        <v>8.2355426722922186E-3</v>
      </c>
      <c r="J171" s="120" t="s">
        <v>3</v>
      </c>
    </row>
    <row r="172" spans="1:10" x14ac:dyDescent="0.25">
      <c r="A172" s="126">
        <v>150</v>
      </c>
      <c r="B172" s="119"/>
      <c r="C172" s="136">
        <f>_xll.mirGetDate(C171,"1D","FOLLOWING",D$12,"NORMAL")</f>
        <v>42633</v>
      </c>
      <c r="D172" s="20">
        <f>_xll.mirGetDate(C172,D$17,"Following",D$12,"Normal")</f>
        <v>42634</v>
      </c>
      <c r="E172" s="134">
        <f ca="1"/>
        <v>4.8500000000118067E-3</v>
      </c>
      <c r="F172" s="7" t="s">
        <v>3</v>
      </c>
      <c r="G172" s="136">
        <f t="shared" si="2"/>
        <v>42633</v>
      </c>
      <c r="H172" s="20">
        <f>_xll.mirGetDate(G172,H$17,"Following",H$12,"Normal")</f>
        <v>42724</v>
      </c>
      <c r="I172" s="134">
        <f ca="1"/>
        <v>8.2586158695382925E-3</v>
      </c>
      <c r="J172" s="120" t="s">
        <v>3</v>
      </c>
    </row>
    <row r="173" spans="1:10" x14ac:dyDescent="0.25">
      <c r="A173" s="126">
        <v>151</v>
      </c>
      <c r="B173" s="119"/>
      <c r="C173" s="136">
        <f>_xll.mirGetDate(C172,"1D","FOLLOWING",D$12,"NORMAL")</f>
        <v>42634</v>
      </c>
      <c r="D173" s="20">
        <f>_xll.mirGetDate(C173,D$17,"Following",D$12,"Normal")</f>
        <v>42635</v>
      </c>
      <c r="E173" s="134">
        <f ca="1"/>
        <v>4.8500000000118067E-3</v>
      </c>
      <c r="F173" s="7" t="s">
        <v>3</v>
      </c>
      <c r="G173" s="136">
        <f t="shared" si="2"/>
        <v>42634</v>
      </c>
      <c r="H173" s="20">
        <f>_xll.mirGetDate(G173,H$17,"Following",H$12,"Normal")</f>
        <v>42725</v>
      </c>
      <c r="I173" s="134">
        <f ca="1"/>
        <v>8.2805502368726372E-3</v>
      </c>
      <c r="J173" s="120" t="s">
        <v>3</v>
      </c>
    </row>
    <row r="174" spans="1:10" x14ac:dyDescent="0.25">
      <c r="A174" s="126">
        <v>152</v>
      </c>
      <c r="B174" s="119"/>
      <c r="C174" s="136">
        <f>_xll.mirGetDate(C173,"1D","FOLLOWING",D$12,"NORMAL")</f>
        <v>42635</v>
      </c>
      <c r="D174" s="20">
        <f>_xll.mirGetDate(C174,D$17,"Following",D$12,"Normal")</f>
        <v>42636</v>
      </c>
      <c r="E174" s="134">
        <f ca="1"/>
        <v>4.8500000000118067E-3</v>
      </c>
      <c r="F174" s="7" t="s">
        <v>3</v>
      </c>
      <c r="G174" s="136">
        <f t="shared" si="2"/>
        <v>42635</v>
      </c>
      <c r="H174" s="20">
        <f>_xll.mirGetDate(G174,H$17,"Following",H$12,"Normal")</f>
        <v>42726</v>
      </c>
      <c r="I174" s="134">
        <f ca="1"/>
        <v>8.3015468008687462E-3</v>
      </c>
      <c r="J174" s="120" t="s">
        <v>3</v>
      </c>
    </row>
    <row r="175" spans="1:10" x14ac:dyDescent="0.25">
      <c r="A175" s="126">
        <v>153</v>
      </c>
      <c r="B175" s="119"/>
      <c r="C175" s="136">
        <f>_xll.mirGetDate(C174,"1D","FOLLOWING",D$12,"NORMAL")</f>
        <v>42636</v>
      </c>
      <c r="D175" s="20">
        <f>_xll.mirGetDate(C175,D$17,"Following",D$12,"Normal")</f>
        <v>42639</v>
      </c>
      <c r="E175" s="134">
        <f ca="1"/>
        <v>4.8500000000117416E-3</v>
      </c>
      <c r="F175" s="7" t="s">
        <v>3</v>
      </c>
      <c r="G175" s="136">
        <f t="shared" si="2"/>
        <v>42636</v>
      </c>
      <c r="H175" s="20">
        <f>_xll.mirGetDate(G175,H$17,"Following",H$12,"Normal")</f>
        <v>42727</v>
      </c>
      <c r="I175" s="134">
        <f ca="1"/>
        <v>8.3218937894536972E-3</v>
      </c>
      <c r="J175" s="120" t="s">
        <v>3</v>
      </c>
    </row>
    <row r="176" spans="1:10" x14ac:dyDescent="0.25">
      <c r="A176" s="126">
        <v>154</v>
      </c>
      <c r="B176" s="119"/>
      <c r="C176" s="136">
        <f>_xll.mirGetDate(C175,"1D","FOLLOWING",D$12,"NORMAL")</f>
        <v>42639</v>
      </c>
      <c r="D176" s="20">
        <f>_xll.mirGetDate(C176,D$17,"Following",D$12,"Normal")</f>
        <v>42640</v>
      </c>
      <c r="E176" s="134">
        <f ca="1"/>
        <v>4.8500000000118067E-3</v>
      </c>
      <c r="F176" s="7" t="s">
        <v>3</v>
      </c>
      <c r="G176" s="136">
        <f t="shared" si="2"/>
        <v>42639</v>
      </c>
      <c r="H176" s="20">
        <f>_xll.mirGetDate(G176,H$17,"Following",H$12,"Normal")</f>
        <v>42731</v>
      </c>
      <c r="I176" s="134">
        <f ca="1"/>
        <v>8.3791971924003193E-3</v>
      </c>
      <c r="J176" s="120" t="s">
        <v>3</v>
      </c>
    </row>
    <row r="177" spans="1:10" x14ac:dyDescent="0.25">
      <c r="A177" s="126">
        <v>155</v>
      </c>
      <c r="B177" s="119"/>
      <c r="C177" s="136">
        <f>_xll.mirGetDate(C176,"1D","FOLLOWING",D$12,"NORMAL")</f>
        <v>42640</v>
      </c>
      <c r="D177" s="20">
        <f>_xll.mirGetDate(C177,D$17,"Following",D$12,"Normal")</f>
        <v>42641</v>
      </c>
      <c r="E177" s="134">
        <f ca="1"/>
        <v>4.8500000000118067E-3</v>
      </c>
      <c r="F177" s="7" t="s">
        <v>3</v>
      </c>
      <c r="G177" s="136">
        <f t="shared" si="2"/>
        <v>42640</v>
      </c>
      <c r="H177" s="20">
        <f>_xll.mirGetDate(G177,H$17,"Following",H$12,"Normal")</f>
        <v>42731</v>
      </c>
      <c r="I177" s="134">
        <f ca="1"/>
        <v>8.3971057689993661E-3</v>
      </c>
      <c r="J177" s="120" t="s">
        <v>3</v>
      </c>
    </row>
    <row r="178" spans="1:10" x14ac:dyDescent="0.25">
      <c r="A178" s="126">
        <v>156</v>
      </c>
      <c r="B178" s="119"/>
      <c r="C178" s="136">
        <f>_xll.mirGetDate(C177,"1D","FOLLOWING",D$12,"NORMAL")</f>
        <v>42641</v>
      </c>
      <c r="D178" s="20">
        <f>_xll.mirGetDate(C178,D$17,"Following",D$12,"Normal")</f>
        <v>42642</v>
      </c>
      <c r="E178" s="134">
        <f ca="1"/>
        <v>4.8499999999318706E-3</v>
      </c>
      <c r="F178" s="7" t="s">
        <v>3</v>
      </c>
      <c r="G178" s="136">
        <f t="shared" si="2"/>
        <v>42641</v>
      </c>
      <c r="H178" s="20">
        <f>_xll.mirGetDate(G178,H$17,"Following",H$12,"Normal")</f>
        <v>42732</v>
      </c>
      <c r="I178" s="134">
        <f ca="1"/>
        <v>8.4144447150166276E-3</v>
      </c>
      <c r="J178" s="120" t="s">
        <v>3</v>
      </c>
    </row>
    <row r="179" spans="1:10" x14ac:dyDescent="0.25">
      <c r="A179" s="126">
        <v>157</v>
      </c>
      <c r="B179" s="119"/>
      <c r="C179" s="136">
        <f>_xll.mirGetDate(C178,"1D","FOLLOWING",D$12,"NORMAL")</f>
        <v>42642</v>
      </c>
      <c r="D179" s="20">
        <f>_xll.mirGetDate(C179,D$17,"Following",D$12,"Normal")</f>
        <v>42643</v>
      </c>
      <c r="E179" s="134">
        <f ca="1"/>
        <v>4.8500000000118067E-3</v>
      </c>
      <c r="F179" s="7" t="s">
        <v>3</v>
      </c>
      <c r="G179" s="136">
        <f t="shared" si="2"/>
        <v>42642</v>
      </c>
      <c r="H179" s="20">
        <f>_xll.mirGetDate(G179,H$17,"Following",H$12,"Normal")</f>
        <v>42733</v>
      </c>
      <c r="I179" s="134">
        <f ca="1"/>
        <v>8.4312300194179686E-3</v>
      </c>
      <c r="J179" s="120" t="s">
        <v>3</v>
      </c>
    </row>
    <row r="180" spans="1:10" x14ac:dyDescent="0.25">
      <c r="A180" s="126">
        <v>158</v>
      </c>
      <c r="B180" s="119"/>
      <c r="C180" s="136">
        <f>_xll.mirGetDate(C179,"1D","FOLLOWING",D$12,"NORMAL")</f>
        <v>42643</v>
      </c>
      <c r="D180" s="20">
        <f>_xll.mirGetDate(C180,D$17,"Following",D$12,"Normal")</f>
        <v>42646</v>
      </c>
      <c r="E180" s="134">
        <f ca="1"/>
        <v>4.8500000000118067E-3</v>
      </c>
      <c r="F180" s="7" t="s">
        <v>3</v>
      </c>
      <c r="G180" s="136">
        <f t="shared" si="2"/>
        <v>42643</v>
      </c>
      <c r="H180" s="20">
        <f>_xll.mirGetDate(G180,H$17,"Following",H$12,"Normal")</f>
        <v>42734</v>
      </c>
      <c r="I180" s="134">
        <f ca="1"/>
        <v>8.447477671169273E-3</v>
      </c>
      <c r="J180" s="120" t="s">
        <v>3</v>
      </c>
    </row>
    <row r="181" spans="1:10" x14ac:dyDescent="0.25">
      <c r="A181" s="126">
        <v>159</v>
      </c>
      <c r="B181" s="119"/>
      <c r="C181" s="136">
        <f>_xll.mirGetDate(C180,"1D","FOLLOWING",D$12,"NORMAL")</f>
        <v>42646</v>
      </c>
      <c r="D181" s="20">
        <f>_xll.mirGetDate(C181,D$17,"Following",D$12,"Normal")</f>
        <v>42647</v>
      </c>
      <c r="E181" s="134">
        <f ca="1"/>
        <v>5.1499999999738049E-3</v>
      </c>
      <c r="F181" s="7" t="s">
        <v>3</v>
      </c>
      <c r="G181" s="136">
        <f t="shared" si="2"/>
        <v>42646</v>
      </c>
      <c r="H181" s="20">
        <f>_xll.mirGetDate(G181,H$17,"Following",H$12,"Normal")</f>
        <v>42738</v>
      </c>
      <c r="I181" s="134">
        <f ca="1"/>
        <v>8.4931546001816814E-3</v>
      </c>
      <c r="J181" s="120" t="s">
        <v>3</v>
      </c>
    </row>
    <row r="182" spans="1:10" x14ac:dyDescent="0.25">
      <c r="A182" s="126">
        <v>160</v>
      </c>
      <c r="B182" s="119"/>
      <c r="C182" s="136">
        <f>_xll.mirGetDate(C181,"1D","FOLLOWING",D$12,"NORMAL")</f>
        <v>42647</v>
      </c>
      <c r="D182" s="20">
        <f>_xll.mirGetDate(C182,D$17,"Following",D$12,"Normal")</f>
        <v>42648</v>
      </c>
      <c r="E182" s="134">
        <f ca="1"/>
        <v>5.1499999998938688E-3</v>
      </c>
      <c r="F182" s="7" t="s">
        <v>3</v>
      </c>
      <c r="G182" s="136">
        <f t="shared" si="2"/>
        <v>42647</v>
      </c>
      <c r="H182" s="20">
        <f>_xll.mirGetDate(G182,H$17,"Following",H$12,"Normal")</f>
        <v>42739</v>
      </c>
      <c r="I182" s="134">
        <f ca="1"/>
        <v>8.5074115309915661E-3</v>
      </c>
      <c r="J182" s="120" t="s">
        <v>3</v>
      </c>
    </row>
    <row r="183" spans="1:10" x14ac:dyDescent="0.25">
      <c r="A183" s="126">
        <v>161</v>
      </c>
      <c r="B183" s="119"/>
      <c r="C183" s="136">
        <f>_xll.mirGetDate(C182,"1D","FOLLOWING",D$12,"NORMAL")</f>
        <v>42648</v>
      </c>
      <c r="D183" s="20">
        <f>_xll.mirGetDate(C183,D$17,"Following",D$12,"Normal")</f>
        <v>42649</v>
      </c>
      <c r="E183" s="134">
        <f ca="1"/>
        <v>5.1499999999738049E-3</v>
      </c>
      <c r="F183" s="7" t="s">
        <v>3</v>
      </c>
      <c r="G183" s="136">
        <f t="shared" si="2"/>
        <v>42648</v>
      </c>
      <c r="H183" s="20">
        <f>_xll.mirGetDate(G183,H$17,"Following",H$12,"Normal")</f>
        <v>42740</v>
      </c>
      <c r="I183" s="134">
        <f ca="1"/>
        <v>8.5212107539807819E-3</v>
      </c>
      <c r="J183" s="120" t="s">
        <v>3</v>
      </c>
    </row>
    <row r="184" spans="1:10" x14ac:dyDescent="0.25">
      <c r="A184" s="126">
        <v>162</v>
      </c>
      <c r="B184" s="119"/>
      <c r="C184" s="136">
        <f>_xll.mirGetDate(C183,"1D","FOLLOWING",D$12,"NORMAL")</f>
        <v>42649</v>
      </c>
      <c r="D184" s="20">
        <f>_xll.mirGetDate(C184,D$17,"Following",D$12,"Normal")</f>
        <v>42650</v>
      </c>
      <c r="E184" s="134">
        <f ca="1"/>
        <v>5.1499999999735993E-3</v>
      </c>
      <c r="F184" s="7" t="s">
        <v>3</v>
      </c>
      <c r="G184" s="136">
        <f t="shared" si="2"/>
        <v>42649</v>
      </c>
      <c r="H184" s="20">
        <f>_xll.mirGetDate(G184,H$17,"Following",H$12,"Normal")</f>
        <v>42741</v>
      </c>
      <c r="I184" s="134">
        <f ca="1"/>
        <v>8.5345682581152039E-3</v>
      </c>
      <c r="J184" s="120" t="s">
        <v>3</v>
      </c>
    </row>
    <row r="185" spans="1:10" x14ac:dyDescent="0.25">
      <c r="A185" s="126">
        <v>163</v>
      </c>
      <c r="B185" s="119"/>
      <c r="C185" s="136">
        <f>_xll.mirGetDate(C184,"1D","FOLLOWING",D$12,"NORMAL")</f>
        <v>42650</v>
      </c>
      <c r="D185" s="20">
        <f>_xll.mirGetDate(C185,D$17,"Following",D$12,"Normal")</f>
        <v>42654</v>
      </c>
      <c r="E185" s="134">
        <f ca="1"/>
        <v>5.1499999999937889E-3</v>
      </c>
      <c r="F185" s="7" t="s">
        <v>3</v>
      </c>
      <c r="G185" s="136">
        <f t="shared" si="2"/>
        <v>42650</v>
      </c>
      <c r="H185" s="20">
        <f>_xll.mirGetDate(G185,H$17,"Following",H$12,"Normal")</f>
        <v>42744</v>
      </c>
      <c r="I185" s="134">
        <f ca="1"/>
        <v>8.5475000323607057E-3</v>
      </c>
      <c r="J185" s="120" t="s">
        <v>3</v>
      </c>
    </row>
    <row r="186" spans="1:10" x14ac:dyDescent="0.25">
      <c r="A186" s="126">
        <v>164</v>
      </c>
      <c r="B186" s="119"/>
      <c r="C186" s="136">
        <f>_xll.mirGetDate(C185,"1D","FOLLOWING",D$12,"NORMAL")</f>
        <v>42654</v>
      </c>
      <c r="D186" s="20">
        <f>_xll.mirGetDate(C186,D$17,"Following",D$12,"Normal")</f>
        <v>42655</v>
      </c>
      <c r="E186" s="134">
        <f ca="1"/>
        <v>5.1499999999738049E-3</v>
      </c>
      <c r="F186" s="7" t="s">
        <v>3</v>
      </c>
      <c r="G186" s="136">
        <f t="shared" si="2"/>
        <v>42654</v>
      </c>
      <c r="H186" s="20">
        <f>_xll.mirGetDate(G186,H$17,"Following",H$12,"Normal")</f>
        <v>42746</v>
      </c>
      <c r="I186" s="134">
        <f ca="1"/>
        <v>8.5952896097709983E-3</v>
      </c>
      <c r="J186" s="120" t="s">
        <v>3</v>
      </c>
    </row>
    <row r="187" spans="1:10" x14ac:dyDescent="0.25">
      <c r="A187" s="126">
        <v>165</v>
      </c>
      <c r="B187" s="119"/>
      <c r="C187" s="136">
        <f>_xll.mirGetDate(C186,"1D","FOLLOWING",D$12,"NORMAL")</f>
        <v>42655</v>
      </c>
      <c r="D187" s="20">
        <f>_xll.mirGetDate(C187,D$17,"Following",D$12,"Normal")</f>
        <v>42656</v>
      </c>
      <c r="E187" s="134">
        <f ca="1"/>
        <v>5.1499999999738049E-3</v>
      </c>
      <c r="F187" s="7" t="s">
        <v>3</v>
      </c>
      <c r="G187" s="136">
        <f t="shared" si="2"/>
        <v>42655</v>
      </c>
      <c r="H187" s="20">
        <f>_xll.mirGetDate(G187,H$17,"Following",H$12,"Normal")</f>
        <v>42747</v>
      </c>
      <c r="I187" s="134">
        <f ca="1"/>
        <v>8.6063325690600156E-3</v>
      </c>
      <c r="J187" s="120" t="s">
        <v>3</v>
      </c>
    </row>
    <row r="188" spans="1:10" x14ac:dyDescent="0.25">
      <c r="A188" s="126">
        <v>166</v>
      </c>
      <c r="B188" s="119"/>
      <c r="C188" s="136">
        <f>_xll.mirGetDate(C187,"1D","FOLLOWING",D$12,"NORMAL")</f>
        <v>42656</v>
      </c>
      <c r="D188" s="20">
        <f>_xll.mirGetDate(C188,D$17,"Following",D$12,"Normal")</f>
        <v>42657</v>
      </c>
      <c r="E188" s="134">
        <f ca="1"/>
        <v>5.1499999999738049E-3</v>
      </c>
      <c r="F188" s="7" t="s">
        <v>3</v>
      </c>
      <c r="G188" s="136">
        <f t="shared" si="2"/>
        <v>42656</v>
      </c>
      <c r="H188" s="20">
        <f>_xll.mirGetDate(G188,H$17,"Following",H$12,"Normal")</f>
        <v>42748</v>
      </c>
      <c r="I188" s="134">
        <f ca="1"/>
        <v>8.617045732255359E-3</v>
      </c>
      <c r="J188" s="120" t="s">
        <v>3</v>
      </c>
    </row>
    <row r="189" spans="1:10" x14ac:dyDescent="0.25">
      <c r="A189" s="126">
        <v>167</v>
      </c>
      <c r="B189" s="119"/>
      <c r="C189" s="136">
        <f>_xll.mirGetDate(C188,"1D","FOLLOWING",D$12,"NORMAL")</f>
        <v>42657</v>
      </c>
      <c r="D189" s="20">
        <f>_xll.mirGetDate(C189,D$17,"Following",D$12,"Normal")</f>
        <v>42660</v>
      </c>
      <c r="E189" s="134">
        <f ca="1"/>
        <v>5.1500000000004502E-3</v>
      </c>
      <c r="F189" s="7" t="s">
        <v>3</v>
      </c>
      <c r="G189" s="136">
        <f t="shared" si="2"/>
        <v>42657</v>
      </c>
      <c r="H189" s="20">
        <f>_xll.mirGetDate(G189,H$17,"Following",H$12,"Normal")</f>
        <v>42752</v>
      </c>
      <c r="I189" s="134">
        <f ca="1"/>
        <v>8.627445088322902E-3</v>
      </c>
      <c r="J189" s="120" t="s">
        <v>3</v>
      </c>
    </row>
    <row r="190" spans="1:10" x14ac:dyDescent="0.25">
      <c r="A190" s="126">
        <v>168</v>
      </c>
      <c r="B190" s="119"/>
      <c r="C190" s="136">
        <f>_xll.mirGetDate(C189,"1D","FOLLOWING",D$12,"NORMAL")</f>
        <v>42660</v>
      </c>
      <c r="D190" s="20">
        <f>_xll.mirGetDate(C190,D$17,"Following",D$12,"Normal")</f>
        <v>42661</v>
      </c>
      <c r="E190" s="134">
        <f ca="1"/>
        <v>5.1500000000535354E-3</v>
      </c>
      <c r="F190" s="7" t="s">
        <v>3</v>
      </c>
      <c r="G190" s="136">
        <f t="shared" si="2"/>
        <v>42660</v>
      </c>
      <c r="H190" s="20">
        <f>_xll.mirGetDate(G190,H$17,"Following",H$12,"Normal")</f>
        <v>42752</v>
      </c>
      <c r="I190" s="134">
        <f ca="1"/>
        <v>8.656920203417481E-3</v>
      </c>
      <c r="J190" s="120" t="s">
        <v>3</v>
      </c>
    </row>
    <row r="191" spans="1:10" x14ac:dyDescent="0.25">
      <c r="A191" s="126">
        <v>169</v>
      </c>
      <c r="B191" s="119"/>
      <c r="C191" s="136">
        <f>_xll.mirGetDate(C190,"1D","FOLLOWING",D$12,"NORMAL")</f>
        <v>42661</v>
      </c>
      <c r="D191" s="20">
        <f>_xll.mirGetDate(C191,D$17,"Following",D$12,"Normal")</f>
        <v>42662</v>
      </c>
      <c r="E191" s="134">
        <f ca="1"/>
        <v>5.1499999999738049E-3</v>
      </c>
      <c r="F191" s="7" t="s">
        <v>3</v>
      </c>
      <c r="G191" s="136">
        <f t="shared" si="2"/>
        <v>42661</v>
      </c>
      <c r="H191" s="20">
        <f>_xll.mirGetDate(G191,H$17,"Following",H$12,"Normal")</f>
        <v>42753</v>
      </c>
      <c r="I191" s="134">
        <f ca="1"/>
        <v>8.6662242206325697E-3</v>
      </c>
      <c r="J191" s="120" t="s">
        <v>3</v>
      </c>
    </row>
    <row r="192" spans="1:10" x14ac:dyDescent="0.25">
      <c r="A192" s="126">
        <v>170</v>
      </c>
      <c r="B192" s="119"/>
      <c r="C192" s="136">
        <f>_xll.mirGetDate(C191,"1D","FOLLOWING",D$12,"NORMAL")</f>
        <v>42662</v>
      </c>
      <c r="D192" s="20">
        <f>_xll.mirGetDate(C192,D$17,"Following",D$12,"Normal")</f>
        <v>42663</v>
      </c>
      <c r="E192" s="134">
        <f ca="1"/>
        <v>5.1499999999738049E-3</v>
      </c>
      <c r="F192" s="7" t="s">
        <v>3</v>
      </c>
      <c r="G192" s="136">
        <f t="shared" si="2"/>
        <v>42662</v>
      </c>
      <c r="H192" s="20">
        <f>_xll.mirGetDate(G192,H$17,"Following",H$12,"Normal")</f>
        <v>42754</v>
      </c>
      <c r="I192" s="134">
        <f ca="1"/>
        <v>8.6752943755492307E-3</v>
      </c>
      <c r="J192" s="120" t="s">
        <v>3</v>
      </c>
    </row>
    <row r="193" spans="1:10" x14ac:dyDescent="0.25">
      <c r="A193" s="126">
        <v>171</v>
      </c>
      <c r="B193" s="119"/>
      <c r="C193" s="136">
        <f>_xll.mirGetDate(C192,"1D","FOLLOWING",D$12,"NORMAL")</f>
        <v>42663</v>
      </c>
      <c r="D193" s="20">
        <f>_xll.mirGetDate(C193,D$17,"Following",D$12,"Normal")</f>
        <v>42664</v>
      </c>
      <c r="E193" s="134">
        <f ca="1"/>
        <v>5.1499999999738049E-3</v>
      </c>
      <c r="F193" s="7" t="s">
        <v>3</v>
      </c>
      <c r="G193" s="136">
        <f t="shared" si="2"/>
        <v>42663</v>
      </c>
      <c r="H193" s="20">
        <f>_xll.mirGetDate(G193,H$17,"Following",H$12,"Normal")</f>
        <v>42755</v>
      </c>
      <c r="I193" s="134">
        <f ca="1"/>
        <v>8.684146657133341E-3</v>
      </c>
      <c r="J193" s="120" t="s">
        <v>3</v>
      </c>
    </row>
    <row r="194" spans="1:10" x14ac:dyDescent="0.25">
      <c r="A194" s="126">
        <v>172</v>
      </c>
      <c r="B194" s="119"/>
      <c r="C194" s="136">
        <f>_xll.mirGetDate(C193,"1D","FOLLOWING",D$12,"NORMAL")</f>
        <v>42664</v>
      </c>
      <c r="D194" s="20">
        <f>_xll.mirGetDate(C194,D$17,"Following",D$12,"Normal")</f>
        <v>42667</v>
      </c>
      <c r="E194" s="134">
        <f ca="1"/>
        <v>5.1500000000004502E-3</v>
      </c>
      <c r="F194" s="7" t="s">
        <v>3</v>
      </c>
      <c r="G194" s="136">
        <f t="shared" si="2"/>
        <v>42664</v>
      </c>
      <c r="H194" s="20">
        <f>_xll.mirGetDate(G194,H$17,"Following",H$12,"Normal")</f>
        <v>42758</v>
      </c>
      <c r="I194" s="134">
        <f ca="1"/>
        <v>8.6927970543507708E-3</v>
      </c>
      <c r="J194" s="120" t="s">
        <v>3</v>
      </c>
    </row>
    <row r="195" spans="1:10" x14ac:dyDescent="0.25">
      <c r="A195" s="126">
        <v>173</v>
      </c>
      <c r="B195" s="119"/>
      <c r="C195" s="136">
        <f>_xll.mirGetDate(C194,"1D","FOLLOWING",D$12,"NORMAL")</f>
        <v>42667</v>
      </c>
      <c r="D195" s="20">
        <f>_xll.mirGetDate(C195,D$17,"Following",D$12,"Normal")</f>
        <v>42668</v>
      </c>
      <c r="E195" s="134">
        <f ca="1"/>
        <v>5.1499999999738049E-3</v>
      </c>
      <c r="F195" s="7" t="s">
        <v>3</v>
      </c>
      <c r="G195" s="136">
        <f t="shared" si="2"/>
        <v>42667</v>
      </c>
      <c r="H195" s="20">
        <f>_xll.mirGetDate(G195,H$17,"Following",H$12,"Normal")</f>
        <v>42759</v>
      </c>
      <c r="I195" s="134">
        <f ca="1"/>
        <v>8.7176968294617324E-3</v>
      </c>
      <c r="J195" s="120" t="s">
        <v>3</v>
      </c>
    </row>
    <row r="196" spans="1:10" x14ac:dyDescent="0.25">
      <c r="A196" s="126">
        <v>174</v>
      </c>
      <c r="B196" s="119"/>
      <c r="C196" s="136">
        <f>_xll.mirGetDate(C195,"1D","FOLLOWING",D$12,"NORMAL")</f>
        <v>42668</v>
      </c>
      <c r="D196" s="20">
        <f>_xll.mirGetDate(C196,D$17,"Following",D$12,"Normal")</f>
        <v>42669</v>
      </c>
      <c r="E196" s="134">
        <f ca="1"/>
        <v>5.1499999999738049E-3</v>
      </c>
      <c r="F196" s="7" t="s">
        <v>3</v>
      </c>
      <c r="G196" s="136">
        <f t="shared" si="2"/>
        <v>42668</v>
      </c>
      <c r="H196" s="20">
        <f>_xll.mirGetDate(G196,H$17,"Following",H$12,"Normal")</f>
        <v>42760</v>
      </c>
      <c r="I196" s="134">
        <f ca="1"/>
        <v>8.7256995788711905E-3</v>
      </c>
      <c r="J196" s="120" t="s">
        <v>3</v>
      </c>
    </row>
    <row r="197" spans="1:10" x14ac:dyDescent="0.25">
      <c r="A197" s="126">
        <v>175</v>
      </c>
      <c r="B197" s="119"/>
      <c r="C197" s="136">
        <f>_xll.mirGetDate(C196,"1D","FOLLOWING",D$12,"NORMAL")</f>
        <v>42669</v>
      </c>
      <c r="D197" s="20">
        <f>_xll.mirGetDate(C197,D$17,"Following",D$12,"Normal")</f>
        <v>42670</v>
      </c>
      <c r="E197" s="134">
        <f ca="1"/>
        <v>5.1500000000537409E-3</v>
      </c>
      <c r="F197" s="7" t="s">
        <v>3</v>
      </c>
      <c r="G197" s="136">
        <f t="shared" si="2"/>
        <v>42669</v>
      </c>
      <c r="H197" s="20">
        <f>_xll.mirGetDate(G197,H$17,"Following",H$12,"Normal")</f>
        <v>42761</v>
      </c>
      <c r="I197" s="134">
        <f ca="1"/>
        <v>8.7335803887433425E-3</v>
      </c>
      <c r="J197" s="120" t="s">
        <v>3</v>
      </c>
    </row>
    <row r="198" spans="1:10" x14ac:dyDescent="0.25">
      <c r="A198" s="126">
        <v>176</v>
      </c>
      <c r="B198" s="119"/>
      <c r="C198" s="136">
        <f>_xll.mirGetDate(C197,"1D","FOLLOWING",D$12,"NORMAL")</f>
        <v>42670</v>
      </c>
      <c r="D198" s="20">
        <f>_xll.mirGetDate(C198,D$17,"Following",D$12,"Normal")</f>
        <v>42671</v>
      </c>
      <c r="E198" s="134">
        <f ca="1"/>
        <v>5.1499999999738049E-3</v>
      </c>
      <c r="F198" s="7" t="s">
        <v>3</v>
      </c>
      <c r="G198" s="136">
        <f t="shared" si="2"/>
        <v>42670</v>
      </c>
      <c r="H198" s="20">
        <f>_xll.mirGetDate(G198,H$17,"Following",H$12,"Normal")</f>
        <v>42762</v>
      </c>
      <c r="I198" s="134">
        <f ca="1"/>
        <v>8.7413552480440602E-3</v>
      </c>
      <c r="J198" s="120" t="s">
        <v>3</v>
      </c>
    </row>
    <row r="199" spans="1:10" x14ac:dyDescent="0.25">
      <c r="A199" s="126">
        <v>177</v>
      </c>
      <c r="B199" s="119"/>
      <c r="C199" s="136">
        <f>_xll.mirGetDate(C198,"1D","FOLLOWING",D$12,"NORMAL")</f>
        <v>42671</v>
      </c>
      <c r="D199" s="20">
        <f>_xll.mirGetDate(C199,D$17,"Following",D$12,"Normal")</f>
        <v>42674</v>
      </c>
      <c r="E199" s="134">
        <f ca="1"/>
        <v>5.1500000000270271E-3</v>
      </c>
      <c r="F199" s="7" t="s">
        <v>3</v>
      </c>
      <c r="G199" s="136">
        <f t="shared" si="2"/>
        <v>42671</v>
      </c>
      <c r="H199" s="20">
        <f>_xll.mirGetDate(G199,H$17,"Following",H$12,"Normal")</f>
        <v>42765</v>
      </c>
      <c r="I199" s="134">
        <f ca="1"/>
        <v>8.7490401457392206E-3</v>
      </c>
      <c r="J199" s="120" t="s">
        <v>3</v>
      </c>
    </row>
    <row r="200" spans="1:10" x14ac:dyDescent="0.25">
      <c r="A200" s="126">
        <v>178</v>
      </c>
      <c r="B200" s="119"/>
      <c r="C200" s="136">
        <f>_xll.mirGetDate(C199,"1D","FOLLOWING",D$12,"NORMAL")</f>
        <v>42674</v>
      </c>
      <c r="D200" s="20">
        <f>_xll.mirGetDate(C200,D$17,"Following",D$12,"Normal")</f>
        <v>42675</v>
      </c>
      <c r="E200" s="134">
        <f ca="1"/>
        <v>5.1499999999738049E-3</v>
      </c>
      <c r="F200" s="7" t="s">
        <v>3</v>
      </c>
      <c r="G200" s="136">
        <f t="shared" si="2"/>
        <v>42674</v>
      </c>
      <c r="H200" s="20">
        <f>_xll.mirGetDate(G200,H$17,"Following",H$12,"Normal")</f>
        <v>42766</v>
      </c>
      <c r="I200" s="134">
        <f ca="1"/>
        <v>8.7717149588500982E-3</v>
      </c>
      <c r="J200" s="120" t="s">
        <v>3</v>
      </c>
    </row>
    <row r="201" spans="1:10" x14ac:dyDescent="0.25">
      <c r="A201" s="126">
        <v>179</v>
      </c>
      <c r="B201" s="119"/>
      <c r="C201" s="136">
        <f>_xll.mirGetDate(C200,"1D","FOLLOWING",D$12,"NORMAL")</f>
        <v>42675</v>
      </c>
      <c r="D201" s="20">
        <f>_xll.mirGetDate(C201,D$17,"Following",D$12,"Normal")</f>
        <v>42676</v>
      </c>
      <c r="E201" s="134">
        <f ca="1"/>
        <v>5.349999999975116E-3</v>
      </c>
      <c r="F201" s="7" t="s">
        <v>3</v>
      </c>
      <c r="G201" s="136">
        <f t="shared" si="2"/>
        <v>42675</v>
      </c>
      <c r="H201" s="20">
        <f>_xll.mirGetDate(G201,H$17,"Following",H$12,"Normal")</f>
        <v>42767</v>
      </c>
      <c r="I201" s="134">
        <f ca="1"/>
        <v>8.7791998997817696E-3</v>
      </c>
      <c r="J201" s="120" t="s">
        <v>3</v>
      </c>
    </row>
    <row r="202" spans="1:10" x14ac:dyDescent="0.25">
      <c r="A202" s="126">
        <v>180</v>
      </c>
      <c r="B202" s="119"/>
      <c r="C202" s="136">
        <f>_xll.mirGetDate(C201,"1D","FOLLOWING",D$12,"NORMAL")</f>
        <v>42676</v>
      </c>
      <c r="D202" s="20">
        <f>_xll.mirGetDate(C202,D$17,"Following",D$12,"Normal")</f>
        <v>42677</v>
      </c>
      <c r="E202" s="134">
        <f ca="1"/>
        <v>5.349999999975116E-3</v>
      </c>
      <c r="F202" s="7" t="s">
        <v>3</v>
      </c>
      <c r="G202" s="136">
        <f t="shared" si="2"/>
        <v>42676</v>
      </c>
      <c r="H202" s="20">
        <f>_xll.mirGetDate(G202,H$17,"Following",H$12,"Normal")</f>
        <v>42768</v>
      </c>
      <c r="I202" s="134">
        <f ca="1"/>
        <v>8.7866746850671449E-3</v>
      </c>
      <c r="J202" s="120" t="s">
        <v>3</v>
      </c>
    </row>
    <row r="203" spans="1:10" x14ac:dyDescent="0.25">
      <c r="A203" s="126">
        <v>181</v>
      </c>
      <c r="B203" s="119"/>
      <c r="C203" s="136">
        <f>_xll.mirGetDate(C202,"1D","FOLLOWING",D$12,"NORMAL")</f>
        <v>42677</v>
      </c>
      <c r="D203" s="20">
        <f>_xll.mirGetDate(C203,D$17,"Following",D$12,"Normal")</f>
        <v>42678</v>
      </c>
      <c r="E203" s="134">
        <f ca="1"/>
        <v>5.349999999975116E-3</v>
      </c>
      <c r="F203" s="7" t="s">
        <v>3</v>
      </c>
      <c r="G203" s="136">
        <f t="shared" si="2"/>
        <v>42677</v>
      </c>
      <c r="H203" s="20">
        <f>_xll.mirGetDate(G203,H$17,"Following",H$12,"Normal")</f>
        <v>42769</v>
      </c>
      <c r="I203" s="134">
        <f ca="1"/>
        <v>8.7941488151253334E-3</v>
      </c>
      <c r="J203" s="120" t="s">
        <v>3</v>
      </c>
    </row>
    <row r="204" spans="1:10" x14ac:dyDescent="0.25">
      <c r="A204" s="126">
        <v>182</v>
      </c>
      <c r="B204" s="119"/>
      <c r="C204" s="136">
        <f>_xll.mirGetDate(C203,"1D","FOLLOWING",D$12,"NORMAL")</f>
        <v>42678</v>
      </c>
      <c r="D204" s="20">
        <f>_xll.mirGetDate(C204,D$17,"Following",D$12,"Normal")</f>
        <v>42681</v>
      </c>
      <c r="E204" s="134">
        <f ca="1"/>
        <v>5.3500000000017613E-3</v>
      </c>
      <c r="F204" s="7" t="s">
        <v>3</v>
      </c>
      <c r="G204" s="136">
        <f t="shared" si="2"/>
        <v>42678</v>
      </c>
      <c r="H204" s="20">
        <f>_xll.mirGetDate(G204,H$17,"Following",H$12,"Normal")</f>
        <v>42772</v>
      </c>
      <c r="I204" s="134">
        <f ca="1"/>
        <v>8.801622945183522E-3</v>
      </c>
      <c r="J204" s="120" t="s">
        <v>3</v>
      </c>
    </row>
    <row r="205" spans="1:10" x14ac:dyDescent="0.25">
      <c r="A205" s="126">
        <v>183</v>
      </c>
      <c r="B205" s="119"/>
      <c r="C205" s="136">
        <f>_xll.mirGetDate(C204,"1D","FOLLOWING",D$12,"NORMAL")</f>
        <v>42681</v>
      </c>
      <c r="D205" s="20">
        <f>_xll.mirGetDate(C205,D$17,"Following",D$12,"Normal")</f>
        <v>42682</v>
      </c>
      <c r="E205" s="134">
        <f ca="1"/>
        <v>5.349999999975116E-3</v>
      </c>
      <c r="F205" s="7" t="s">
        <v>3</v>
      </c>
      <c r="G205" s="136">
        <f t="shared" si="2"/>
        <v>42681</v>
      </c>
      <c r="H205" s="20">
        <f>_xll.mirGetDate(G205,H$17,"Following",H$12,"Normal")</f>
        <v>42773</v>
      </c>
      <c r="I205" s="134">
        <f ca="1"/>
        <v>8.8240453353580911E-3</v>
      </c>
      <c r="J205" s="120" t="s">
        <v>3</v>
      </c>
    </row>
    <row r="206" spans="1:10" x14ac:dyDescent="0.25">
      <c r="A206" s="126">
        <v>184</v>
      </c>
      <c r="B206" s="119"/>
      <c r="C206" s="136">
        <f>_xll.mirGetDate(C205,"1D","FOLLOWING",D$12,"NORMAL")</f>
        <v>42682</v>
      </c>
      <c r="D206" s="20">
        <f>_xll.mirGetDate(C206,D$17,"Following",D$12,"Normal")</f>
        <v>42683</v>
      </c>
      <c r="E206" s="134">
        <f ca="1"/>
        <v>5.349999999975116E-3</v>
      </c>
      <c r="F206" s="7" t="s">
        <v>3</v>
      </c>
      <c r="G206" s="136">
        <f t="shared" si="2"/>
        <v>42682</v>
      </c>
      <c r="H206" s="20">
        <f>_xll.mirGetDate(G206,H$17,"Following",H$12,"Normal")</f>
        <v>42774</v>
      </c>
      <c r="I206" s="134">
        <f ca="1"/>
        <v>8.8315194654162796E-3</v>
      </c>
      <c r="J206" s="120" t="s">
        <v>3</v>
      </c>
    </row>
    <row r="207" spans="1:10" x14ac:dyDescent="0.25">
      <c r="A207" s="126">
        <v>185</v>
      </c>
      <c r="B207" s="119"/>
      <c r="C207" s="136">
        <f>_xll.mirGetDate(C206,"1D","FOLLOWING",D$12,"NORMAL")</f>
        <v>42683</v>
      </c>
      <c r="D207" s="20">
        <f>_xll.mirGetDate(C207,D$17,"Following",D$12,"Normal")</f>
        <v>42684</v>
      </c>
      <c r="E207" s="134">
        <f ca="1"/>
        <v>5.3499999999749017E-3</v>
      </c>
      <c r="F207" s="7" t="s">
        <v>3</v>
      </c>
      <c r="G207" s="136">
        <f t="shared" si="2"/>
        <v>42683</v>
      </c>
      <c r="H207" s="20">
        <f>_xll.mirGetDate(G207,H$17,"Following",H$12,"Normal")</f>
        <v>42775</v>
      </c>
      <c r="I207" s="134">
        <f ca="1"/>
        <v>8.8389935954744665E-3</v>
      </c>
      <c r="J207" s="120" t="s">
        <v>3</v>
      </c>
    </row>
    <row r="208" spans="1:10" x14ac:dyDescent="0.25">
      <c r="A208" s="126">
        <v>186</v>
      </c>
      <c r="B208" s="119"/>
      <c r="C208" s="136">
        <f>_xll.mirGetDate(C207,"1D","FOLLOWING",D$12,"NORMAL")</f>
        <v>42684</v>
      </c>
      <c r="D208" s="20">
        <f>_xll.mirGetDate(C208,D$17,"Following",D$12,"Normal")</f>
        <v>42688</v>
      </c>
      <c r="E208" s="134">
        <f ca="1"/>
        <v>5.350000000015084E-3</v>
      </c>
      <c r="F208" s="7" t="s">
        <v>3</v>
      </c>
      <c r="G208" s="136">
        <f t="shared" si="2"/>
        <v>42684</v>
      </c>
      <c r="H208" s="20">
        <f>_xll.mirGetDate(G208,H$17,"Following",H$12,"Normal")</f>
        <v>42776</v>
      </c>
      <c r="I208" s="134">
        <f ca="1"/>
        <v>8.8464677255326567E-3</v>
      </c>
      <c r="J208" s="120" t="s">
        <v>3</v>
      </c>
    </row>
    <row r="209" spans="1:10" x14ac:dyDescent="0.25">
      <c r="A209" s="126">
        <v>187</v>
      </c>
      <c r="B209" s="119"/>
      <c r="C209" s="136">
        <f>_xll.mirGetDate(C208,"1D","FOLLOWING",D$12,"NORMAL")</f>
        <v>42688</v>
      </c>
      <c r="D209" s="20">
        <f>_xll.mirGetDate(C209,D$17,"Following",D$12,"Normal")</f>
        <v>42689</v>
      </c>
      <c r="E209" s="134">
        <f ca="1"/>
        <v>5.349999999975116E-3</v>
      </c>
      <c r="F209" s="7" t="s">
        <v>3</v>
      </c>
      <c r="G209" s="136">
        <f t="shared" si="2"/>
        <v>42688</v>
      </c>
      <c r="H209" s="20">
        <f>_xll.mirGetDate(G209,H$17,"Following",H$12,"Normal")</f>
        <v>42780</v>
      </c>
      <c r="I209" s="134">
        <f ca="1"/>
        <v>8.8763642457654144E-3</v>
      </c>
      <c r="J209" s="120" t="s">
        <v>3</v>
      </c>
    </row>
    <row r="210" spans="1:10" x14ac:dyDescent="0.25">
      <c r="A210" s="126">
        <v>188</v>
      </c>
      <c r="B210" s="119"/>
      <c r="C210" s="136">
        <f>_xll.mirGetDate(C209,"1D","FOLLOWING",D$12,"NORMAL")</f>
        <v>42689</v>
      </c>
      <c r="D210" s="20">
        <f>_xll.mirGetDate(C210,D$17,"Following",D$12,"Normal")</f>
        <v>42690</v>
      </c>
      <c r="E210" s="134">
        <f ca="1"/>
        <v>5.349999999975116E-3</v>
      </c>
      <c r="F210" s="7" t="s">
        <v>3</v>
      </c>
      <c r="G210" s="136">
        <f t="shared" si="2"/>
        <v>42689</v>
      </c>
      <c r="H210" s="20">
        <f>_xll.mirGetDate(G210,H$17,"Following",H$12,"Normal")</f>
        <v>42781</v>
      </c>
      <c r="I210" s="134">
        <f ca="1"/>
        <v>8.8838383758236012E-3</v>
      </c>
      <c r="J210" s="120" t="s">
        <v>3</v>
      </c>
    </row>
    <row r="211" spans="1:10" x14ac:dyDescent="0.25">
      <c r="A211" s="126">
        <v>189</v>
      </c>
      <c r="B211" s="119"/>
      <c r="C211" s="136">
        <f>_xll.mirGetDate(C210,"1D","FOLLOWING",D$12,"NORMAL")</f>
        <v>42690</v>
      </c>
      <c r="D211" s="20">
        <f>_xll.mirGetDate(C211,D$17,"Following",D$12,"Normal")</f>
        <v>42691</v>
      </c>
      <c r="E211" s="134">
        <f ca="1"/>
        <v>5.349999999975116E-3</v>
      </c>
      <c r="F211" s="7" t="s">
        <v>3</v>
      </c>
      <c r="G211" s="136">
        <f t="shared" si="2"/>
        <v>42690</v>
      </c>
      <c r="H211" s="20">
        <f>_xll.mirGetDate(G211,H$17,"Following",H$12,"Normal")</f>
        <v>42782</v>
      </c>
      <c r="I211" s="134">
        <f ca="1"/>
        <v>8.8913125058817932E-3</v>
      </c>
      <c r="J211" s="120" t="s">
        <v>3</v>
      </c>
    </row>
    <row r="212" spans="1:10" x14ac:dyDescent="0.25">
      <c r="A212" s="126">
        <v>190</v>
      </c>
      <c r="B212" s="119"/>
      <c r="C212" s="136">
        <f>_xll.mirGetDate(C211,"1D","FOLLOWING",D$12,"NORMAL")</f>
        <v>42691</v>
      </c>
      <c r="D212" s="20">
        <f>_xll.mirGetDate(C212,D$17,"Following",D$12,"Normal")</f>
        <v>42692</v>
      </c>
      <c r="E212" s="134">
        <f ca="1"/>
        <v>5.349999999975116E-3</v>
      </c>
      <c r="F212" s="7" t="s">
        <v>3</v>
      </c>
      <c r="G212" s="136">
        <f t="shared" si="2"/>
        <v>42691</v>
      </c>
      <c r="H212" s="20">
        <f>_xll.mirGetDate(G212,H$17,"Following",H$12,"Normal")</f>
        <v>42783</v>
      </c>
      <c r="I212" s="134">
        <f ca="1"/>
        <v>8.89878663593998E-3</v>
      </c>
      <c r="J212" s="120" t="s">
        <v>3</v>
      </c>
    </row>
    <row r="213" spans="1:10" x14ac:dyDescent="0.25">
      <c r="A213" s="126">
        <v>191</v>
      </c>
      <c r="B213" s="119"/>
      <c r="C213" s="136">
        <f>_xll.mirGetDate(C212,"1D","FOLLOWING",D$12,"NORMAL")</f>
        <v>42692</v>
      </c>
      <c r="D213" s="20">
        <f>_xll.mirGetDate(C213,D$17,"Following",D$12,"Normal")</f>
        <v>42695</v>
      </c>
      <c r="E213" s="134">
        <f ca="1"/>
        <v>5.3500000000016902E-3</v>
      </c>
      <c r="F213" s="7" t="s">
        <v>3</v>
      </c>
      <c r="G213" s="136">
        <f t="shared" si="2"/>
        <v>42692</v>
      </c>
      <c r="H213" s="20">
        <f>_xll.mirGetDate(G213,H$17,"Following",H$12,"Normal")</f>
        <v>42787</v>
      </c>
      <c r="I213" s="134">
        <f ca="1"/>
        <v>8.9062607659981686E-3</v>
      </c>
      <c r="J213" s="120" t="s">
        <v>3</v>
      </c>
    </row>
    <row r="214" spans="1:10" x14ac:dyDescent="0.25">
      <c r="A214" s="126">
        <v>192</v>
      </c>
      <c r="B214" s="119"/>
      <c r="C214" s="136">
        <f>_xll.mirGetDate(C213,"1D","FOLLOWING",D$12,"NORMAL")</f>
        <v>42695</v>
      </c>
      <c r="D214" s="20">
        <f>_xll.mirGetDate(C214,D$17,"Following",D$12,"Normal")</f>
        <v>42696</v>
      </c>
      <c r="E214" s="134">
        <f ca="1"/>
        <v>5.349999999975116E-3</v>
      </c>
      <c r="F214" s="7" t="s">
        <v>3</v>
      </c>
      <c r="G214" s="136">
        <f t="shared" si="2"/>
        <v>42695</v>
      </c>
      <c r="H214" s="20">
        <f>_xll.mirGetDate(G214,H$17,"Following",H$12,"Normal")</f>
        <v>42787</v>
      </c>
      <c r="I214" s="134">
        <f ca="1"/>
        <v>8.928683156172736E-3</v>
      </c>
      <c r="J214" s="120" t="s">
        <v>3</v>
      </c>
    </row>
    <row r="215" spans="1:10" x14ac:dyDescent="0.25">
      <c r="A215" s="126">
        <v>193</v>
      </c>
      <c r="B215" s="119"/>
      <c r="C215" s="136">
        <f>_xll.mirGetDate(C214,"1D","FOLLOWING",D$12,"NORMAL")</f>
        <v>42696</v>
      </c>
      <c r="D215" s="20">
        <f>_xll.mirGetDate(C215,D$17,"Following",D$12,"Normal")</f>
        <v>42697</v>
      </c>
      <c r="E215" s="134">
        <f ca="1"/>
        <v>5.349999999975116E-3</v>
      </c>
      <c r="F215" s="7" t="s">
        <v>3</v>
      </c>
      <c r="G215" s="136">
        <f t="shared" si="2"/>
        <v>42696</v>
      </c>
      <c r="H215" s="20">
        <f>_xll.mirGetDate(G215,H$17,"Following",H$12,"Normal")</f>
        <v>42788</v>
      </c>
      <c r="I215" s="134">
        <f ca="1"/>
        <v>8.9361572862309262E-3</v>
      </c>
      <c r="J215" s="120" t="s">
        <v>3</v>
      </c>
    </row>
    <row r="216" spans="1:10" x14ac:dyDescent="0.25">
      <c r="A216" s="126">
        <v>194</v>
      </c>
      <c r="B216" s="119"/>
      <c r="C216" s="136">
        <f>_xll.mirGetDate(C215,"1D","FOLLOWING",D$12,"NORMAL")</f>
        <v>42697</v>
      </c>
      <c r="D216" s="20">
        <f>_xll.mirGetDate(C216,D$17,"Following",D$12,"Normal")</f>
        <v>42699</v>
      </c>
      <c r="E216" s="134">
        <f ca="1"/>
        <v>5.350000000015084E-3</v>
      </c>
      <c r="F216" s="7" t="s">
        <v>3</v>
      </c>
      <c r="G216" s="136">
        <f t="shared" ref="G216:G279" si="3">$C216</f>
        <v>42697</v>
      </c>
      <c r="H216" s="20">
        <f>_xll.mirGetDate(G216,H$17,"Following",H$12,"Normal")</f>
        <v>42789</v>
      </c>
      <c r="I216" s="134">
        <f ca="1"/>
        <v>8.9436314162891148E-3</v>
      </c>
      <c r="J216" s="120" t="s">
        <v>3</v>
      </c>
    </row>
    <row r="217" spans="1:10" x14ac:dyDescent="0.25">
      <c r="A217" s="126">
        <v>195</v>
      </c>
      <c r="B217" s="119"/>
      <c r="C217" s="136">
        <f>_xll.mirGetDate(C216,"1D","FOLLOWING",D$12,"NORMAL")</f>
        <v>42699</v>
      </c>
      <c r="D217" s="20">
        <f>_xll.mirGetDate(C217,D$17,"Following",D$12,"Normal")</f>
        <v>42702</v>
      </c>
      <c r="E217" s="134">
        <f ca="1"/>
        <v>5.3500000000017613E-3</v>
      </c>
      <c r="F217" s="7" t="s">
        <v>3</v>
      </c>
      <c r="G217" s="136">
        <f t="shared" si="3"/>
        <v>42699</v>
      </c>
      <c r="H217" s="20">
        <f>_xll.mirGetDate(G217,H$17,"Following",H$12,"Normal")</f>
        <v>42793</v>
      </c>
      <c r="I217" s="134">
        <f ca="1"/>
        <v>8.9570762300191283E-3</v>
      </c>
      <c r="J217" s="120" t="s">
        <v>3</v>
      </c>
    </row>
    <row r="218" spans="1:10" x14ac:dyDescent="0.25">
      <c r="A218" s="126">
        <v>196</v>
      </c>
      <c r="B218" s="119"/>
      <c r="C218" s="136">
        <f>_xll.mirGetDate(C217,"1D","FOLLOWING",D$12,"NORMAL")</f>
        <v>42702</v>
      </c>
      <c r="D218" s="20">
        <f>_xll.mirGetDate(C218,D$17,"Following",D$12,"Normal")</f>
        <v>42703</v>
      </c>
      <c r="E218" s="134">
        <f ca="1"/>
        <v>5.349999999975116E-3</v>
      </c>
      <c r="F218" s="7" t="s">
        <v>3</v>
      </c>
      <c r="G218" s="136">
        <f t="shared" si="3"/>
        <v>42702</v>
      </c>
      <c r="H218" s="20">
        <f>_xll.mirGetDate(G218,H$17,"Following",H$12,"Normal")</f>
        <v>42794</v>
      </c>
      <c r="I218" s="134">
        <f ca="1"/>
        <v>8.9750514166474435E-3</v>
      </c>
      <c r="J218" s="120" t="s">
        <v>3</v>
      </c>
    </row>
    <row r="219" spans="1:10" x14ac:dyDescent="0.25">
      <c r="A219" s="126">
        <v>197</v>
      </c>
      <c r="B219" s="119"/>
      <c r="C219" s="136">
        <f>_xll.mirGetDate(C218,"1D","FOLLOWING",D$12,"NORMAL")</f>
        <v>42703</v>
      </c>
      <c r="D219" s="20">
        <f>_xll.mirGetDate(C219,D$17,"Following",D$12,"Normal")</f>
        <v>42704</v>
      </c>
      <c r="E219" s="134">
        <f ca="1"/>
        <v>5.349999999975116E-3</v>
      </c>
      <c r="F219" s="7" t="s">
        <v>3</v>
      </c>
      <c r="G219" s="136">
        <f t="shared" si="3"/>
        <v>42703</v>
      </c>
      <c r="H219" s="20">
        <f>_xll.mirGetDate(G219,H$17,"Following",H$12,"Normal")</f>
        <v>42794</v>
      </c>
      <c r="I219" s="134">
        <f ca="1"/>
        <v>8.9810188460106351E-3</v>
      </c>
      <c r="J219" s="120" t="s">
        <v>3</v>
      </c>
    </row>
    <row r="220" spans="1:10" x14ac:dyDescent="0.25">
      <c r="A220" s="126">
        <v>198</v>
      </c>
      <c r="B220" s="119"/>
      <c r="C220" s="136">
        <f>_xll.mirGetDate(C219,"1D","FOLLOWING",D$12,"NORMAL")</f>
        <v>42704</v>
      </c>
      <c r="D220" s="20">
        <f>_xll.mirGetDate(C220,D$17,"Following",D$12,"Normal")</f>
        <v>42705</v>
      </c>
      <c r="E220" s="134">
        <f ca="1"/>
        <v>5.349999999975116E-3</v>
      </c>
      <c r="F220" s="7" t="s">
        <v>3</v>
      </c>
      <c r="G220" s="136">
        <f t="shared" si="3"/>
        <v>42704</v>
      </c>
      <c r="H220" s="20">
        <f>_xll.mirGetDate(G220,H$17,"Following",H$12,"Normal")</f>
        <v>42794</v>
      </c>
      <c r="I220" s="134">
        <f ca="1"/>
        <v>8.9869892744614648E-3</v>
      </c>
      <c r="J220" s="120" t="s">
        <v>3</v>
      </c>
    </row>
    <row r="221" spans="1:10" x14ac:dyDescent="0.25">
      <c r="A221" s="126">
        <v>199</v>
      </c>
      <c r="B221" s="119"/>
      <c r="C221" s="136">
        <f>_xll.mirGetDate(C220,"1D","FOLLOWING",D$12,"NORMAL")</f>
        <v>42705</v>
      </c>
      <c r="D221" s="20">
        <f>_xll.mirGetDate(C221,D$17,"Following",D$12,"Normal")</f>
        <v>42706</v>
      </c>
      <c r="E221" s="134">
        <f ca="1"/>
        <v>5.6500000000168247E-3</v>
      </c>
      <c r="F221" s="7" t="s">
        <v>3</v>
      </c>
      <c r="G221" s="136">
        <f t="shared" si="3"/>
        <v>42705</v>
      </c>
      <c r="H221" s="20">
        <f>_xll.mirGetDate(G221,H$17,"Following",H$12,"Normal")</f>
        <v>42795</v>
      </c>
      <c r="I221" s="134">
        <f ca="1"/>
        <v>8.9929637626405962E-3</v>
      </c>
      <c r="J221" s="120" t="s">
        <v>3</v>
      </c>
    </row>
    <row r="222" spans="1:10" x14ac:dyDescent="0.25">
      <c r="A222" s="126">
        <v>200</v>
      </c>
      <c r="B222" s="119"/>
      <c r="C222" s="136">
        <f>_xll.mirGetDate(C221,"1D","FOLLOWING",D$12,"NORMAL")</f>
        <v>42706</v>
      </c>
      <c r="D222" s="20">
        <f>_xll.mirGetDate(C222,D$17,"Following",D$12,"Normal")</f>
        <v>42709</v>
      </c>
      <c r="E222" s="134">
        <f ca="1"/>
        <v>5.6499999999904049E-3</v>
      </c>
      <c r="F222" s="7" t="s">
        <v>3</v>
      </c>
      <c r="G222" s="136">
        <f t="shared" si="3"/>
        <v>42706</v>
      </c>
      <c r="H222" s="20">
        <f>_xll.mirGetDate(G222,H$17,"Following",H$12,"Normal")</f>
        <v>42796</v>
      </c>
      <c r="I222" s="134">
        <f ca="1"/>
        <v>8.9989433711886984E-3</v>
      </c>
      <c r="J222" s="120" t="s">
        <v>3</v>
      </c>
    </row>
    <row r="223" spans="1:10" x14ac:dyDescent="0.25">
      <c r="A223" s="126">
        <v>201</v>
      </c>
      <c r="B223" s="119"/>
      <c r="C223" s="136">
        <f>_xll.mirGetDate(C222,"1D","FOLLOWING",D$12,"NORMAL")</f>
        <v>42709</v>
      </c>
      <c r="D223" s="20">
        <f>_xll.mirGetDate(C223,D$17,"Following",D$12,"Normal")</f>
        <v>42710</v>
      </c>
      <c r="E223" s="134">
        <f ca="1"/>
        <v>5.6500000000170502E-3</v>
      </c>
      <c r="F223" s="7" t="s">
        <v>3</v>
      </c>
      <c r="G223" s="136">
        <f t="shared" si="3"/>
        <v>42709</v>
      </c>
      <c r="H223" s="20">
        <f>_xll.mirGetDate(G223,H$17,"Following",H$12,"Normal")</f>
        <v>42800</v>
      </c>
      <c r="I223" s="134">
        <f ca="1"/>
        <v>9.0169235254535067E-3</v>
      </c>
      <c r="J223" s="120" t="s">
        <v>3</v>
      </c>
    </row>
    <row r="224" spans="1:10" x14ac:dyDescent="0.25">
      <c r="A224" s="126">
        <v>202</v>
      </c>
      <c r="B224" s="119"/>
      <c r="C224" s="136">
        <f>_xll.mirGetDate(C223,"1D","FOLLOWING",D$12,"NORMAL")</f>
        <v>42710</v>
      </c>
      <c r="D224" s="20">
        <f>_xll.mirGetDate(C224,D$17,"Following",D$12,"Normal")</f>
        <v>42711</v>
      </c>
      <c r="E224" s="134">
        <f ca="1"/>
        <v>5.6500000000170502E-3</v>
      </c>
      <c r="F224" s="7" t="s">
        <v>3</v>
      </c>
      <c r="G224" s="136">
        <f t="shared" si="3"/>
        <v>42710</v>
      </c>
      <c r="H224" s="20">
        <f>_xll.mirGetDate(G224,H$17,"Following",H$12,"Normal")</f>
        <v>42800</v>
      </c>
      <c r="I224" s="134">
        <f ca="1"/>
        <v>9.0229342218841671E-3</v>
      </c>
      <c r="J224" s="120" t="s">
        <v>3</v>
      </c>
    </row>
    <row r="225" spans="1:10" x14ac:dyDescent="0.25">
      <c r="A225" s="126">
        <v>203</v>
      </c>
      <c r="B225" s="119"/>
      <c r="C225" s="136">
        <f>_xll.mirGetDate(C224,"1D","FOLLOWING",D$12,"NORMAL")</f>
        <v>42711</v>
      </c>
      <c r="D225" s="20">
        <f>_xll.mirGetDate(C225,D$17,"Following",D$12,"Normal")</f>
        <v>42712</v>
      </c>
      <c r="E225" s="134">
        <f ca="1"/>
        <v>5.6500000000170502E-3</v>
      </c>
      <c r="F225" s="7" t="s">
        <v>3</v>
      </c>
      <c r="G225" s="136">
        <f t="shared" si="3"/>
        <v>42711</v>
      </c>
      <c r="H225" s="20">
        <f>_xll.mirGetDate(G225,H$17,"Following",H$12,"Normal")</f>
        <v>42801</v>
      </c>
      <c r="I225" s="134">
        <f ca="1"/>
        <v>9.0289553418871366E-3</v>
      </c>
      <c r="J225" s="120" t="s">
        <v>3</v>
      </c>
    </row>
    <row r="226" spans="1:10" x14ac:dyDescent="0.25">
      <c r="A226" s="126">
        <v>204</v>
      </c>
      <c r="B226" s="119"/>
      <c r="C226" s="136">
        <f>_xll.mirGetDate(C225,"1D","FOLLOWING",D$12,"NORMAL")</f>
        <v>42712</v>
      </c>
      <c r="D226" s="20">
        <f>_xll.mirGetDate(C226,D$17,"Following",D$12,"Normal")</f>
        <v>42713</v>
      </c>
      <c r="E226" s="134">
        <f ca="1"/>
        <v>5.6500000000170502E-3</v>
      </c>
      <c r="F226" s="7" t="s">
        <v>3</v>
      </c>
      <c r="G226" s="136">
        <f t="shared" si="3"/>
        <v>42712</v>
      </c>
      <c r="H226" s="20">
        <f>_xll.mirGetDate(G226,H$17,"Following",H$12,"Normal")</f>
        <v>42802</v>
      </c>
      <c r="I226" s="134">
        <f ca="1"/>
        <v>9.0349879461030791E-3</v>
      </c>
      <c r="J226" s="120" t="s">
        <v>3</v>
      </c>
    </row>
    <row r="227" spans="1:10" x14ac:dyDescent="0.25">
      <c r="A227" s="126">
        <v>205</v>
      </c>
      <c r="B227" s="119"/>
      <c r="C227" s="136">
        <f>_xll.mirGetDate(C226,"1D","FOLLOWING",D$12,"NORMAL")</f>
        <v>42713</v>
      </c>
      <c r="D227" s="20">
        <f>_xll.mirGetDate(C227,D$17,"Following",D$12,"Normal")</f>
        <v>42716</v>
      </c>
      <c r="E227" s="134">
        <f ca="1"/>
        <v>5.6499999999904049E-3</v>
      </c>
      <c r="F227" s="7" t="s">
        <v>3</v>
      </c>
      <c r="G227" s="136">
        <f t="shared" si="3"/>
        <v>42713</v>
      </c>
      <c r="H227" s="20">
        <f>_xll.mirGetDate(G227,H$17,"Following",H$12,"Normal")</f>
        <v>42803</v>
      </c>
      <c r="I227" s="134">
        <f ca="1"/>
        <v>9.041033095172667E-3</v>
      </c>
      <c r="J227" s="120" t="s">
        <v>3</v>
      </c>
    </row>
    <row r="228" spans="1:10" x14ac:dyDescent="0.25">
      <c r="A228" s="126">
        <v>206</v>
      </c>
      <c r="B228" s="119"/>
      <c r="C228" s="136">
        <f>_xll.mirGetDate(C227,"1D","FOLLOWING",D$12,"NORMAL")</f>
        <v>42716</v>
      </c>
      <c r="D228" s="20">
        <f>_xll.mirGetDate(C228,D$17,"Following",D$12,"Normal")</f>
        <v>42717</v>
      </c>
      <c r="E228" s="134">
        <f ca="1"/>
        <v>5.6499999999371142E-3</v>
      </c>
      <c r="F228" s="7" t="s">
        <v>3</v>
      </c>
      <c r="G228" s="136">
        <f t="shared" si="3"/>
        <v>42716</v>
      </c>
      <c r="H228" s="20">
        <f>_xll.mirGetDate(G228,H$17,"Following",H$12,"Normal")</f>
        <v>42807</v>
      </c>
      <c r="I228" s="134">
        <f ca="1"/>
        <v>9.0592544179099611E-3</v>
      </c>
      <c r="J228" s="120" t="s">
        <v>3</v>
      </c>
    </row>
    <row r="229" spans="1:10" x14ac:dyDescent="0.25">
      <c r="A229" s="126">
        <v>207</v>
      </c>
      <c r="B229" s="119"/>
      <c r="C229" s="136">
        <f>_xll.mirGetDate(C228,"1D","FOLLOWING",D$12,"NORMAL")</f>
        <v>42717</v>
      </c>
      <c r="D229" s="20">
        <f>_xll.mirGetDate(C229,D$17,"Following",D$12,"Normal")</f>
        <v>42718</v>
      </c>
      <c r="E229" s="134">
        <f ca="1"/>
        <v>5.6500000000168247E-3</v>
      </c>
      <c r="F229" s="7" t="s">
        <v>3</v>
      </c>
      <c r="G229" s="136">
        <f t="shared" si="3"/>
        <v>42717</v>
      </c>
      <c r="H229" s="20">
        <f>_xll.mirGetDate(G229,H$17,"Following",H$12,"Normal")</f>
        <v>42807</v>
      </c>
      <c r="I229" s="134">
        <f ca="1"/>
        <v>9.0653603528007953E-3</v>
      </c>
      <c r="J229" s="120" t="s">
        <v>3</v>
      </c>
    </row>
    <row r="230" spans="1:10" x14ac:dyDescent="0.25">
      <c r="A230" s="126">
        <v>208</v>
      </c>
      <c r="B230" s="119"/>
      <c r="C230" s="136">
        <f>_xll.mirGetDate(C229,"1D","FOLLOWING",D$12,"NORMAL")</f>
        <v>42718</v>
      </c>
      <c r="D230" s="20">
        <f>_xll.mirGetDate(C230,D$17,"Following",D$12,"Normal")</f>
        <v>42719</v>
      </c>
      <c r="E230" s="134">
        <f ca="1"/>
        <v>5.6500000000170502E-3</v>
      </c>
      <c r="F230" s="7" t="s">
        <v>3</v>
      </c>
      <c r="G230" s="136">
        <f t="shared" si="3"/>
        <v>42718</v>
      </c>
      <c r="H230" s="20">
        <f>_xll.mirGetDate(G230,H$17,"Following",H$12,"Normal")</f>
        <v>42808</v>
      </c>
      <c r="I230" s="134">
        <f ca="1"/>
        <v>9.0714841357486097E-3</v>
      </c>
      <c r="J230" s="120" t="s">
        <v>3</v>
      </c>
    </row>
    <row r="231" spans="1:10" x14ac:dyDescent="0.25">
      <c r="A231" s="126">
        <v>209</v>
      </c>
      <c r="B231" s="119"/>
      <c r="C231" s="136">
        <f>_xll.mirGetDate(C230,"1D","FOLLOWING",D$12,"NORMAL")</f>
        <v>42719</v>
      </c>
      <c r="D231" s="20">
        <f>_xll.mirGetDate(C231,D$17,"Following",D$12,"Normal")</f>
        <v>42720</v>
      </c>
      <c r="E231" s="134">
        <f ca="1"/>
        <v>5.6500000000170502E-3</v>
      </c>
      <c r="F231" s="7" t="s">
        <v>3</v>
      </c>
      <c r="G231" s="136">
        <f t="shared" si="3"/>
        <v>42719</v>
      </c>
      <c r="H231" s="20">
        <f>_xll.mirGetDate(G231,H$17,"Following",H$12,"Normal")</f>
        <v>42809</v>
      </c>
      <c r="I231" s="134">
        <f ca="1"/>
        <v>9.0776268273940735E-3</v>
      </c>
      <c r="J231" s="120" t="s">
        <v>3</v>
      </c>
    </row>
    <row r="232" spans="1:10" x14ac:dyDescent="0.25">
      <c r="A232" s="126">
        <v>210</v>
      </c>
      <c r="B232" s="119"/>
      <c r="C232" s="136">
        <f>_xll.mirGetDate(C231,"1D","FOLLOWING",D$12,"NORMAL")</f>
        <v>42720</v>
      </c>
      <c r="D232" s="20">
        <f>_xll.mirGetDate(C232,D$17,"Following",D$12,"Normal")</f>
        <v>42723</v>
      </c>
      <c r="E232" s="134">
        <f ca="1"/>
        <v>5.6499999999904049E-3</v>
      </c>
      <c r="F232" s="7" t="s">
        <v>3</v>
      </c>
      <c r="G232" s="136">
        <f t="shared" si="3"/>
        <v>42720</v>
      </c>
      <c r="H232" s="20">
        <f>_xll.mirGetDate(G232,H$17,"Following",H$12,"Normal")</f>
        <v>42810</v>
      </c>
      <c r="I232" s="134">
        <f ca="1"/>
        <v>9.0837894883778504E-3</v>
      </c>
      <c r="J232" s="120" t="s">
        <v>3</v>
      </c>
    </row>
    <row r="233" spans="1:10" x14ac:dyDescent="0.25">
      <c r="A233" s="126">
        <v>211</v>
      </c>
      <c r="B233" s="119"/>
      <c r="C233" s="136">
        <f>_xll.mirGetDate(C232,"1D","FOLLOWING",D$12,"NORMAL")</f>
        <v>42723</v>
      </c>
      <c r="D233" s="20">
        <f>_xll.mirGetDate(C233,D$17,"Following",D$12,"Normal")</f>
        <v>42724</v>
      </c>
      <c r="E233" s="134">
        <f ca="1"/>
        <v>5.6500000000170502E-3</v>
      </c>
      <c r="F233" s="7" t="s">
        <v>3</v>
      </c>
      <c r="G233" s="136">
        <f t="shared" si="3"/>
        <v>42723</v>
      </c>
      <c r="H233" s="20">
        <f>_xll.mirGetDate(G233,H$17,"Following",H$12,"Normal")</f>
        <v>42814</v>
      </c>
      <c r="I233" s="134">
        <f ca="1"/>
        <v>9.1024078937657557E-3</v>
      </c>
      <c r="J233" s="120" t="s">
        <v>3</v>
      </c>
    </row>
    <row r="234" spans="1:10" x14ac:dyDescent="0.25">
      <c r="A234" s="126">
        <v>212</v>
      </c>
      <c r="B234" s="119"/>
      <c r="C234" s="136">
        <f>_xll.mirGetDate(C233,"1D","FOLLOWING",D$12,"NORMAL")</f>
        <v>42724</v>
      </c>
      <c r="D234" s="20">
        <f>_xll.mirGetDate(C234,D$17,"Following",D$12,"Normal")</f>
        <v>42725</v>
      </c>
      <c r="E234" s="134">
        <f ca="1"/>
        <v>5.6500000000170502E-3</v>
      </c>
      <c r="F234" s="7" t="s">
        <v>3</v>
      </c>
      <c r="G234" s="136">
        <f t="shared" si="3"/>
        <v>42724</v>
      </c>
      <c r="H234" s="20">
        <f>_xll.mirGetDate(G234,H$17,"Following",H$12,"Normal")</f>
        <v>42814</v>
      </c>
      <c r="I234" s="134">
        <f ca="1"/>
        <v>9.1086610385094705E-3</v>
      </c>
      <c r="J234" s="120" t="s">
        <v>3</v>
      </c>
    </row>
    <row r="235" spans="1:10" x14ac:dyDescent="0.25">
      <c r="A235" s="126">
        <v>213</v>
      </c>
      <c r="B235" s="119"/>
      <c r="C235" s="136">
        <f>_xll.mirGetDate(C234,"1D","FOLLOWING",D$12,"NORMAL")</f>
        <v>42725</v>
      </c>
      <c r="D235" s="20">
        <f>_xll.mirGetDate(C235,D$17,"Following",D$12,"Normal")</f>
        <v>42726</v>
      </c>
      <c r="E235" s="134">
        <f ca="1"/>
        <v>5.6500000000170502E-3</v>
      </c>
      <c r="F235" s="7" t="s">
        <v>3</v>
      </c>
      <c r="G235" s="136">
        <f t="shared" si="3"/>
        <v>42725</v>
      </c>
      <c r="H235" s="20">
        <f>_xll.mirGetDate(G235,H$17,"Following",H$12,"Normal")</f>
        <v>42815</v>
      </c>
      <c r="I235" s="134">
        <f ca="1"/>
        <v>9.1149394557948401E-3</v>
      </c>
      <c r="J235" s="120" t="s">
        <v>3</v>
      </c>
    </row>
    <row r="236" spans="1:10" x14ac:dyDescent="0.25">
      <c r="A236" s="126">
        <v>214</v>
      </c>
      <c r="B236" s="119"/>
      <c r="C236" s="136">
        <f>_xll.mirGetDate(C235,"1D","FOLLOWING",D$12,"NORMAL")</f>
        <v>42726</v>
      </c>
      <c r="D236" s="20">
        <f>_xll.mirGetDate(C236,D$17,"Following",D$12,"Normal")</f>
        <v>42727</v>
      </c>
      <c r="E236" s="134">
        <f ca="1"/>
        <v>5.6500000000170502E-3</v>
      </c>
      <c r="F236" s="7" t="s">
        <v>3</v>
      </c>
      <c r="G236" s="136">
        <f t="shared" si="3"/>
        <v>42726</v>
      </c>
      <c r="H236" s="20">
        <f>_xll.mirGetDate(G236,H$17,"Following",H$12,"Normal")</f>
        <v>42816</v>
      </c>
      <c r="I236" s="134">
        <f ca="1"/>
        <v>9.1212336205098599E-3</v>
      </c>
      <c r="J236" s="120" t="s">
        <v>3</v>
      </c>
    </row>
    <row r="237" spans="1:10" x14ac:dyDescent="0.25">
      <c r="A237" s="126">
        <v>215</v>
      </c>
      <c r="B237" s="119"/>
      <c r="C237" s="136">
        <f>_xll.mirGetDate(C236,"1D","FOLLOWING",D$12,"NORMAL")</f>
        <v>42727</v>
      </c>
      <c r="D237" s="20">
        <f>_xll.mirGetDate(C237,D$17,"Following",D$12,"Normal")</f>
        <v>42731</v>
      </c>
      <c r="E237" s="134">
        <f ca="1"/>
        <v>5.6499999999970098E-3</v>
      </c>
      <c r="F237" s="7" t="s">
        <v>3</v>
      </c>
      <c r="G237" s="136">
        <f t="shared" si="3"/>
        <v>42727</v>
      </c>
      <c r="H237" s="20">
        <f>_xll.mirGetDate(G237,H$17,"Following",H$12,"Normal")</f>
        <v>42817</v>
      </c>
      <c r="I237" s="134">
        <f ca="1"/>
        <v>9.1275335177382535E-3</v>
      </c>
      <c r="J237" s="120" t="s">
        <v>3</v>
      </c>
    </row>
    <row r="238" spans="1:10" x14ac:dyDescent="0.25">
      <c r="A238" s="126">
        <v>216</v>
      </c>
      <c r="B238" s="119"/>
      <c r="C238" s="136">
        <f>_xll.mirGetDate(C237,"1D","FOLLOWING",D$12,"NORMAL")</f>
        <v>42731</v>
      </c>
      <c r="D238" s="20">
        <f>_xll.mirGetDate(C238,D$17,"Following",D$12,"Normal")</f>
        <v>42732</v>
      </c>
      <c r="E238" s="134">
        <f ca="1"/>
        <v>5.6500000000170502E-3</v>
      </c>
      <c r="F238" s="7" t="s">
        <v>3</v>
      </c>
      <c r="G238" s="136">
        <f t="shared" si="3"/>
        <v>42731</v>
      </c>
      <c r="H238" s="20">
        <f>_xll.mirGetDate(G238,H$17,"Following",H$12,"Normal")</f>
        <v>42821</v>
      </c>
      <c r="I238" s="134">
        <f ca="1"/>
        <v>9.1527969504707762E-3</v>
      </c>
      <c r="J238" s="120" t="s">
        <v>3</v>
      </c>
    </row>
    <row r="239" spans="1:10" x14ac:dyDescent="0.25">
      <c r="A239" s="126">
        <v>217</v>
      </c>
      <c r="B239" s="119"/>
      <c r="C239" s="136">
        <f>_xll.mirGetDate(C238,"1D","FOLLOWING",D$12,"NORMAL")</f>
        <v>42732</v>
      </c>
      <c r="D239" s="20">
        <f>_xll.mirGetDate(C239,D$17,"Following",D$12,"Normal")</f>
        <v>42733</v>
      </c>
      <c r="E239" s="134">
        <f ca="1"/>
        <v>5.6500000000170502E-3</v>
      </c>
      <c r="F239" s="7" t="s">
        <v>3</v>
      </c>
      <c r="G239" s="136">
        <f t="shared" si="3"/>
        <v>42732</v>
      </c>
      <c r="H239" s="20">
        <f>_xll.mirGetDate(G239,H$17,"Following",H$12,"Normal")</f>
        <v>42822</v>
      </c>
      <c r="I239" s="134">
        <f ca="1"/>
        <v>9.1591303992799404E-3</v>
      </c>
      <c r="J239" s="120" t="s">
        <v>3</v>
      </c>
    </row>
    <row r="240" spans="1:10" x14ac:dyDescent="0.25">
      <c r="A240" s="126">
        <v>218</v>
      </c>
      <c r="B240" s="119"/>
      <c r="C240" s="136">
        <f>_xll.mirGetDate(C239,"1D","FOLLOWING",D$12,"NORMAL")</f>
        <v>42733</v>
      </c>
      <c r="D240" s="20">
        <f>_xll.mirGetDate(C240,D$17,"Following",D$12,"Normal")</f>
        <v>42734</v>
      </c>
      <c r="E240" s="134">
        <f ca="1"/>
        <v>5.6500000000170502E-3</v>
      </c>
      <c r="F240" s="7" t="s">
        <v>3</v>
      </c>
      <c r="G240" s="136">
        <f t="shared" si="3"/>
        <v>42733</v>
      </c>
      <c r="H240" s="20">
        <f>_xll.mirGetDate(G240,H$17,"Following",H$12,"Normal")</f>
        <v>42823</v>
      </c>
      <c r="I240" s="134">
        <f ca="1"/>
        <v>9.1654715362080343E-3</v>
      </c>
      <c r="J240" s="120" t="s">
        <v>3</v>
      </c>
    </row>
    <row r="241" spans="1:10" x14ac:dyDescent="0.25">
      <c r="A241" s="126">
        <v>219</v>
      </c>
      <c r="B241" s="119"/>
      <c r="C241" s="136">
        <f>_xll.mirGetDate(C240,"1D","FOLLOWING",D$12,"NORMAL")</f>
        <v>42734</v>
      </c>
      <c r="D241" s="20">
        <f>_xll.mirGetDate(C241,D$17,"Following",D$12,"Normal")</f>
        <v>42738</v>
      </c>
      <c r="E241" s="134">
        <f ca="1"/>
        <v>5.6871435624428401E-3</v>
      </c>
      <c r="F241" s="7" t="s">
        <v>3</v>
      </c>
      <c r="G241" s="136">
        <f t="shared" si="3"/>
        <v>42734</v>
      </c>
      <c r="H241" s="20">
        <f>_xll.mirGetDate(G241,H$17,"Following",H$12,"Normal")</f>
        <v>42824</v>
      </c>
      <c r="I241" s="134">
        <f ca="1"/>
        <v>9.1718206871893217E-3</v>
      </c>
      <c r="J241" s="120" t="s">
        <v>3</v>
      </c>
    </row>
    <row r="242" spans="1:10" x14ac:dyDescent="0.25">
      <c r="A242" s="126">
        <v>220</v>
      </c>
      <c r="B242" s="119"/>
      <c r="C242" s="136">
        <f>_xll.mirGetDate(C241,"1D","FOLLOWING",D$12,"NORMAL")</f>
        <v>42738</v>
      </c>
      <c r="D242" s="20">
        <f>_xll.mirGetDate(C242,D$17,"Following",D$12,"Normal")</f>
        <v>42739</v>
      </c>
      <c r="E242" s="134">
        <f ca="1"/>
        <v>5.7162848036629499E-3</v>
      </c>
      <c r="F242" s="7" t="s">
        <v>3</v>
      </c>
      <c r="G242" s="136">
        <f t="shared" si="3"/>
        <v>42738</v>
      </c>
      <c r="H242" s="20">
        <f>_xll.mirGetDate(G242,H$17,"Following",H$12,"Normal")</f>
        <v>42828</v>
      </c>
      <c r="I242" s="134">
        <f ca="1"/>
        <v>9.1973564649100292E-3</v>
      </c>
      <c r="J242" s="120" t="s">
        <v>3</v>
      </c>
    </row>
    <row r="243" spans="1:10" x14ac:dyDescent="0.25">
      <c r="A243" s="126">
        <v>221</v>
      </c>
      <c r="B243" s="119"/>
      <c r="C243" s="136">
        <f>_xll.mirGetDate(C242,"1D","FOLLOWING",D$12,"NORMAL")</f>
        <v>42739</v>
      </c>
      <c r="D243" s="20">
        <f>_xll.mirGetDate(C243,D$17,"Following",D$12,"Normal")</f>
        <v>42740</v>
      </c>
      <c r="E243" s="134">
        <f ca="1"/>
        <v>5.7265452345676288E-3</v>
      </c>
      <c r="F243" s="7" t="s">
        <v>3</v>
      </c>
      <c r="G243" s="136">
        <f t="shared" si="3"/>
        <v>42739</v>
      </c>
      <c r="H243" s="20">
        <f>_xll.mirGetDate(G243,H$17,"Following",H$12,"Normal")</f>
        <v>42829</v>
      </c>
      <c r="I243" s="134">
        <f ca="1"/>
        <v>9.2037681876656202E-3</v>
      </c>
      <c r="J243" s="120" t="s">
        <v>3</v>
      </c>
    </row>
    <row r="244" spans="1:10" x14ac:dyDescent="0.25">
      <c r="A244" s="126">
        <v>222</v>
      </c>
      <c r="B244" s="119"/>
      <c r="C244" s="136">
        <f>_xll.mirGetDate(C243,"1D","FOLLOWING",D$12,"NORMAL")</f>
        <v>42740</v>
      </c>
      <c r="D244" s="20">
        <f>_xll.mirGetDate(C244,D$17,"Following",D$12,"Normal")</f>
        <v>42741</v>
      </c>
      <c r="E244" s="134">
        <f ca="1"/>
        <v>5.7368560741899643E-3</v>
      </c>
      <c r="F244" s="7" t="s">
        <v>3</v>
      </c>
      <c r="G244" s="136">
        <f t="shared" si="3"/>
        <v>42740</v>
      </c>
      <c r="H244" s="20">
        <f>_xll.mirGetDate(G244,H$17,"Following",H$12,"Normal")</f>
        <v>42830</v>
      </c>
      <c r="I244" s="134">
        <f ca="1"/>
        <v>9.2101899383745384E-3</v>
      </c>
      <c r="J244" s="120" t="s">
        <v>3</v>
      </c>
    </row>
    <row r="245" spans="1:10" x14ac:dyDescent="0.25">
      <c r="A245" s="126">
        <v>223</v>
      </c>
      <c r="B245" s="119"/>
      <c r="C245" s="136">
        <f>_xll.mirGetDate(C244,"1D","FOLLOWING",D$12,"NORMAL")</f>
        <v>42741</v>
      </c>
      <c r="D245" s="20">
        <f>_xll.mirGetDate(C245,D$17,"Following",D$12,"Normal")</f>
        <v>42744</v>
      </c>
      <c r="E245" s="134">
        <f ca="1"/>
        <v>5.75773985675989E-3</v>
      </c>
      <c r="F245" s="7" t="s">
        <v>3</v>
      </c>
      <c r="G245" s="136">
        <f t="shared" si="3"/>
        <v>42741</v>
      </c>
      <c r="H245" s="20">
        <f>_xll.mirGetDate(G245,H$17,"Following",H$12,"Normal")</f>
        <v>42831</v>
      </c>
      <c r="I245" s="134">
        <f ca="1"/>
        <v>9.216622045657305E-3</v>
      </c>
      <c r="J245" s="120" t="s">
        <v>3</v>
      </c>
    </row>
    <row r="246" spans="1:10" x14ac:dyDescent="0.25">
      <c r="A246" s="126">
        <v>224</v>
      </c>
      <c r="B246" s="119"/>
      <c r="C246" s="136">
        <f>_xll.mirGetDate(C245,"1D","FOLLOWING",D$12,"NORMAL")</f>
        <v>42744</v>
      </c>
      <c r="D246" s="20">
        <f>_xll.mirGetDate(C246,D$17,"Following",D$12,"Normal")</f>
        <v>42745</v>
      </c>
      <c r="E246" s="134">
        <f ca="1"/>
        <v>5.7786114768454619E-3</v>
      </c>
      <c r="F246" s="7" t="s">
        <v>3</v>
      </c>
      <c r="G246" s="136">
        <f t="shared" si="3"/>
        <v>42744</v>
      </c>
      <c r="H246" s="20">
        <f>_xll.mirGetDate(G246,H$17,"Following",H$12,"Normal")</f>
        <v>42835</v>
      </c>
      <c r="I246" s="134">
        <f ca="1"/>
        <v>9.2359837931538565E-3</v>
      </c>
      <c r="J246" s="120" t="s">
        <v>3</v>
      </c>
    </row>
    <row r="247" spans="1:10" x14ac:dyDescent="0.25">
      <c r="A247" s="126">
        <v>225</v>
      </c>
      <c r="B247" s="119"/>
      <c r="C247" s="136">
        <f>_xll.mirGetDate(C246,"1D","FOLLOWING",D$12,"NORMAL")</f>
        <v>42745</v>
      </c>
      <c r="D247" s="20">
        <f>_xll.mirGetDate(C247,D$17,"Following",D$12,"Normal")</f>
        <v>42746</v>
      </c>
      <c r="E247" s="134">
        <f ca="1"/>
        <v>5.7891803281595808E-3</v>
      </c>
      <c r="F247" s="7" t="s">
        <v>3</v>
      </c>
      <c r="G247" s="136">
        <f t="shared" si="3"/>
        <v>42745</v>
      </c>
      <c r="H247" s="20">
        <f>_xll.mirGetDate(G247,H$17,"Following",H$12,"Normal")</f>
        <v>42835</v>
      </c>
      <c r="I247" s="134">
        <f ca="1"/>
        <v>9.2424606129371846E-3</v>
      </c>
      <c r="J247" s="120" t="s">
        <v>3</v>
      </c>
    </row>
    <row r="248" spans="1:10" x14ac:dyDescent="0.25">
      <c r="A248" s="126">
        <v>226</v>
      </c>
      <c r="B248" s="119"/>
      <c r="C248" s="136">
        <f>_xll.mirGetDate(C247,"1D","FOLLOWING",D$12,"NORMAL")</f>
        <v>42746</v>
      </c>
      <c r="D248" s="20">
        <f>_xll.mirGetDate(C248,D$17,"Following",D$12,"Normal")</f>
        <v>42747</v>
      </c>
      <c r="E248" s="134">
        <f ca="1"/>
        <v>5.7998019754812655E-3</v>
      </c>
      <c r="F248" s="7" t="s">
        <v>3</v>
      </c>
      <c r="G248" s="136">
        <f t="shared" si="3"/>
        <v>42746</v>
      </c>
      <c r="H248" s="20">
        <f>_xll.mirGetDate(G248,H$17,"Following",H$12,"Normal")</f>
        <v>42836</v>
      </c>
      <c r="I248" s="134">
        <f ca="1"/>
        <v>9.248949432396944E-3</v>
      </c>
      <c r="J248" s="120" t="s">
        <v>3</v>
      </c>
    </row>
    <row r="249" spans="1:10" x14ac:dyDescent="0.25">
      <c r="A249" s="126">
        <v>227</v>
      </c>
      <c r="B249" s="119"/>
      <c r="C249" s="136">
        <f>_xll.mirGetDate(C248,"1D","FOLLOWING",D$12,"NORMAL")</f>
        <v>42747</v>
      </c>
      <c r="D249" s="20">
        <f>_xll.mirGetDate(C249,D$17,"Following",D$12,"Normal")</f>
        <v>42748</v>
      </c>
      <c r="E249" s="134">
        <f ca="1"/>
        <v>5.8104768168121476E-3</v>
      </c>
      <c r="F249" s="7" t="s">
        <v>3</v>
      </c>
      <c r="G249" s="136">
        <f t="shared" si="3"/>
        <v>42747</v>
      </c>
      <c r="H249" s="20">
        <f>_xll.mirGetDate(G249,H$17,"Following",H$12,"Normal")</f>
        <v>42837</v>
      </c>
      <c r="I249" s="134">
        <f ca="1"/>
        <v>9.2554505801536527E-3</v>
      </c>
      <c r="J249" s="120" t="s">
        <v>3</v>
      </c>
    </row>
    <row r="250" spans="1:10" x14ac:dyDescent="0.25">
      <c r="A250" s="126">
        <v>228</v>
      </c>
      <c r="B250" s="119"/>
      <c r="C250" s="136">
        <f>_xll.mirGetDate(C249,"1D","FOLLOWING",D$12,"NORMAL")</f>
        <v>42748</v>
      </c>
      <c r="D250" s="20">
        <f>_xll.mirGetDate(C250,D$17,"Following",D$12,"Normal")</f>
        <v>42752</v>
      </c>
      <c r="E250" s="134">
        <f ca="1"/>
        <v>5.837575354345999E-3</v>
      </c>
      <c r="F250" s="7" t="s">
        <v>3</v>
      </c>
      <c r="G250" s="136">
        <f t="shared" si="3"/>
        <v>42748</v>
      </c>
      <c r="H250" s="20">
        <f>_xll.mirGetDate(G250,H$17,"Following",H$12,"Normal")</f>
        <v>42838</v>
      </c>
      <c r="I250" s="134">
        <f ca="1"/>
        <v>9.2619643848278321E-3</v>
      </c>
      <c r="J250" s="120" t="s">
        <v>3</v>
      </c>
    </row>
    <row r="251" spans="1:10" x14ac:dyDescent="0.25">
      <c r="A251" s="126">
        <v>229</v>
      </c>
      <c r="B251" s="119"/>
      <c r="C251" s="136">
        <f>_xll.mirGetDate(C250,"1D","FOLLOWING",D$12,"NORMAL")</f>
        <v>42752</v>
      </c>
      <c r="D251" s="20">
        <f>_xll.mirGetDate(C251,D$17,"Following",D$12,"Normal")</f>
        <v>42753</v>
      </c>
      <c r="E251" s="134">
        <f ca="1"/>
        <v>5.8646628586256563E-3</v>
      </c>
      <c r="F251" s="7" t="s">
        <v>3</v>
      </c>
      <c r="G251" s="136">
        <f t="shared" si="3"/>
        <v>42752</v>
      </c>
      <c r="H251" s="20">
        <f>_xll.mirGetDate(G251,H$17,"Following",H$12,"Normal")</f>
        <v>42842</v>
      </c>
      <c r="I251" s="134">
        <f ca="1"/>
        <v>9.2881527451095722E-3</v>
      </c>
      <c r="J251" s="120" t="s">
        <v>3</v>
      </c>
    </row>
    <row r="252" spans="1:10" x14ac:dyDescent="0.25">
      <c r="A252" s="126">
        <v>230</v>
      </c>
      <c r="B252" s="119"/>
      <c r="C252" s="136">
        <f>_xll.mirGetDate(C251,"1D","FOLLOWING",D$12,"NORMAL")</f>
        <v>42753</v>
      </c>
      <c r="D252" s="20">
        <f>_xll.mirGetDate(C252,D$17,"Following",D$12,"Normal")</f>
        <v>42754</v>
      </c>
      <c r="E252" s="134">
        <f ca="1"/>
        <v>5.875665219408098E-3</v>
      </c>
      <c r="F252" s="7" t="s">
        <v>3</v>
      </c>
      <c r="G252" s="136">
        <f t="shared" si="3"/>
        <v>42753</v>
      </c>
      <c r="H252" s="20">
        <f>_xll.mirGetDate(G252,H$17,"Following",H$12,"Normal")</f>
        <v>42843</v>
      </c>
      <c r="I252" s="134">
        <f ca="1"/>
        <v>9.29473476367885E-3</v>
      </c>
      <c r="J252" s="120" t="s">
        <v>3</v>
      </c>
    </row>
    <row r="253" spans="1:10" x14ac:dyDescent="0.25">
      <c r="A253" s="126">
        <v>231</v>
      </c>
      <c r="B253" s="119"/>
      <c r="C253" s="136">
        <f>_xll.mirGetDate(C252,"1D","FOLLOWING",D$12,"NORMAL")</f>
        <v>42754</v>
      </c>
      <c r="D253" s="20">
        <f>_xll.mirGetDate(C253,D$17,"Following",D$12,"Normal")</f>
        <v>42755</v>
      </c>
      <c r="E253" s="134">
        <f ca="1"/>
        <v>5.8867235594917341E-3</v>
      </c>
      <c r="F253" s="7" t="s">
        <v>3</v>
      </c>
      <c r="G253" s="136">
        <f t="shared" si="3"/>
        <v>42754</v>
      </c>
      <c r="H253" s="20">
        <f>_xll.mirGetDate(G253,H$17,"Following",H$12,"Normal")</f>
        <v>42844</v>
      </c>
      <c r="I253" s="134">
        <f ca="1"/>
        <v>9.3013314108886993E-3</v>
      </c>
      <c r="J253" s="120" t="s">
        <v>3</v>
      </c>
    </row>
    <row r="254" spans="1:10" x14ac:dyDescent="0.25">
      <c r="A254" s="126">
        <v>232</v>
      </c>
      <c r="B254" s="119"/>
      <c r="C254" s="136">
        <f>_xll.mirGetDate(C253,"1D","FOLLOWING",D$12,"NORMAL")</f>
        <v>42755</v>
      </c>
      <c r="D254" s="20">
        <f>_xll.mirGetDate(C254,D$17,"Following",D$12,"Normal")</f>
        <v>42758</v>
      </c>
      <c r="E254" s="134">
        <f ca="1"/>
        <v>5.9091258174337677E-3</v>
      </c>
      <c r="F254" s="7" t="s">
        <v>3</v>
      </c>
      <c r="G254" s="136">
        <f t="shared" si="3"/>
        <v>42755</v>
      </c>
      <c r="H254" s="20">
        <f>_xll.mirGetDate(G254,H$17,"Following",H$12,"Normal")</f>
        <v>42845</v>
      </c>
      <c r="I254" s="134">
        <f ca="1"/>
        <v>9.3079430153596397E-3</v>
      </c>
      <c r="J254" s="120" t="s">
        <v>3</v>
      </c>
    </row>
    <row r="255" spans="1:10" x14ac:dyDescent="0.25">
      <c r="A255" s="126">
        <v>233</v>
      </c>
      <c r="B255" s="119"/>
      <c r="C255" s="136">
        <f>_xll.mirGetDate(C254,"1D","FOLLOWING",D$12,"NORMAL")</f>
        <v>42758</v>
      </c>
      <c r="D255" s="20">
        <f>_xll.mirGetDate(C255,D$17,"Following",D$12,"Normal")</f>
        <v>42759</v>
      </c>
      <c r="E255" s="134">
        <f ca="1"/>
        <v>5.9315246698332866E-3</v>
      </c>
      <c r="F255" s="7" t="s">
        <v>3</v>
      </c>
      <c r="G255" s="136">
        <f t="shared" si="3"/>
        <v>42758</v>
      </c>
      <c r="H255" s="20">
        <f>_xll.mirGetDate(G255,H$17,"Following",H$12,"Normal")</f>
        <v>42849</v>
      </c>
      <c r="I255" s="134">
        <f ca="1"/>
        <v>9.3278708585441648E-3</v>
      </c>
      <c r="J255" s="120" t="s">
        <v>3</v>
      </c>
    </row>
    <row r="256" spans="1:10" x14ac:dyDescent="0.25">
      <c r="A256" s="126">
        <v>234</v>
      </c>
      <c r="B256" s="119"/>
      <c r="C256" s="136">
        <f>_xll.mirGetDate(C255,"1D","FOLLOWING",D$12,"NORMAL")</f>
        <v>42759</v>
      </c>
      <c r="D256" s="20">
        <f>_xll.mirGetDate(C256,D$17,"Following",D$12,"Normal")</f>
        <v>42760</v>
      </c>
      <c r="E256" s="134">
        <f ca="1"/>
        <v>5.9428688745289046E-3</v>
      </c>
      <c r="F256" s="7" t="s">
        <v>3</v>
      </c>
      <c r="G256" s="136">
        <f t="shared" si="3"/>
        <v>42759</v>
      </c>
      <c r="H256" s="20">
        <f>_xll.mirGetDate(G256,H$17,"Following",H$12,"Normal")</f>
        <v>42849</v>
      </c>
      <c r="I256" s="134">
        <f ca="1"/>
        <v>9.3345455782646355E-3</v>
      </c>
      <c r="J256" s="120" t="s">
        <v>3</v>
      </c>
    </row>
    <row r="257" spans="1:10" x14ac:dyDescent="0.25">
      <c r="A257" s="126">
        <v>235</v>
      </c>
      <c r="B257" s="119"/>
      <c r="C257" s="136">
        <f>_xll.mirGetDate(C256,"1D","FOLLOWING",D$12,"NORMAL")</f>
        <v>42760</v>
      </c>
      <c r="D257" s="20">
        <f>_xll.mirGetDate(C257,D$17,"Following",D$12,"Normal")</f>
        <v>42761</v>
      </c>
      <c r="E257" s="134">
        <f ca="1"/>
        <v>5.9542714458160825E-3</v>
      </c>
      <c r="F257" s="7" t="s">
        <v>3</v>
      </c>
      <c r="G257" s="136">
        <f t="shared" si="3"/>
        <v>42760</v>
      </c>
      <c r="H257" s="20">
        <f>_xll.mirGetDate(G257,H$17,"Following",H$12,"Normal")</f>
        <v>42850</v>
      </c>
      <c r="I257" s="134">
        <f ca="1"/>
        <v>9.3412368983487818E-3</v>
      </c>
      <c r="J257" s="120" t="s">
        <v>3</v>
      </c>
    </row>
    <row r="258" spans="1:10" x14ac:dyDescent="0.25">
      <c r="A258" s="126">
        <v>236</v>
      </c>
      <c r="B258" s="119"/>
      <c r="C258" s="136">
        <f>_xll.mirGetDate(C257,"1D","FOLLOWING",D$12,"NORMAL")</f>
        <v>42761</v>
      </c>
      <c r="D258" s="20">
        <f>_xll.mirGetDate(C258,D$17,"Following",D$12,"Normal")</f>
        <v>42762</v>
      </c>
      <c r="E258" s="134">
        <f ca="1"/>
        <v>5.965732781696452E-3</v>
      </c>
      <c r="F258" s="7" t="s">
        <v>3</v>
      </c>
      <c r="G258" s="136">
        <f t="shared" si="3"/>
        <v>42761</v>
      </c>
      <c r="H258" s="20">
        <f>_xll.mirGetDate(G258,H$17,"Following",H$12,"Normal")</f>
        <v>42851</v>
      </c>
      <c r="I258" s="134">
        <f ca="1"/>
        <v>9.34794514741712E-3</v>
      </c>
      <c r="J258" s="120" t="s">
        <v>3</v>
      </c>
    </row>
    <row r="259" spans="1:10" x14ac:dyDescent="0.25">
      <c r="A259" s="126">
        <v>237</v>
      </c>
      <c r="B259" s="119"/>
      <c r="C259" s="136">
        <f>_xll.mirGetDate(C258,"1D","FOLLOWING",D$12,"NORMAL")</f>
        <v>42762</v>
      </c>
      <c r="D259" s="20">
        <f>_xll.mirGetDate(C259,D$17,"Following",D$12,"Normal")</f>
        <v>42765</v>
      </c>
      <c r="E259" s="134">
        <f ca="1"/>
        <v>5.9889529538814075E-3</v>
      </c>
      <c r="F259" s="7" t="s">
        <v>3</v>
      </c>
      <c r="G259" s="136">
        <f t="shared" si="3"/>
        <v>42762</v>
      </c>
      <c r="H259" s="20">
        <f>_xll.mirGetDate(G259,H$17,"Following",H$12,"Normal")</f>
        <v>42852</v>
      </c>
      <c r="I259" s="134">
        <f ca="1"/>
        <v>9.3546706540901681E-3</v>
      </c>
      <c r="J259" s="120" t="s">
        <v>3</v>
      </c>
    </row>
    <row r="260" spans="1:10" x14ac:dyDescent="0.25">
      <c r="A260" s="126">
        <v>238</v>
      </c>
      <c r="B260" s="119"/>
      <c r="C260" s="136">
        <f>_xll.mirGetDate(C259,"1D","FOLLOWING",D$12,"NORMAL")</f>
        <v>42765</v>
      </c>
      <c r="D260" s="20">
        <f>_xll.mirGetDate(C260,D$17,"Following",D$12,"Normal")</f>
        <v>42766</v>
      </c>
      <c r="E260" s="134">
        <f ca="1"/>
        <v>6.0121737284646532E-3</v>
      </c>
      <c r="F260" s="7" t="s">
        <v>3</v>
      </c>
      <c r="G260" s="136">
        <f t="shared" si="3"/>
        <v>42765</v>
      </c>
      <c r="H260" s="20">
        <f>_xll.mirGetDate(G260,H$17,"Following",H$12,"Normal")</f>
        <v>42856</v>
      </c>
      <c r="I260" s="134">
        <f ca="1"/>
        <v>9.3749540059427528E-3</v>
      </c>
      <c r="J260" s="120" t="s">
        <v>3</v>
      </c>
    </row>
    <row r="261" spans="1:10" x14ac:dyDescent="0.25">
      <c r="A261" s="126">
        <v>239</v>
      </c>
      <c r="B261" s="119"/>
      <c r="C261" s="136">
        <f>_xll.mirGetDate(C260,"1D","FOLLOWING",D$12,"NORMAL")</f>
        <v>42766</v>
      </c>
      <c r="D261" s="20">
        <f>_xll.mirGetDate(C261,D$17,"Following",D$12,"Normal")</f>
        <v>42767</v>
      </c>
      <c r="E261" s="134">
        <f ca="1"/>
        <v>6.0239348554969258E-3</v>
      </c>
      <c r="F261" s="7" t="s">
        <v>3</v>
      </c>
      <c r="G261" s="136">
        <f t="shared" si="3"/>
        <v>42766</v>
      </c>
      <c r="H261" s="20">
        <f>_xll.mirGetDate(G261,H$17,"Following",H$12,"Normal")</f>
        <v>42856</v>
      </c>
      <c r="I261" s="134">
        <f ca="1"/>
        <v>9.3817518292398164E-3</v>
      </c>
      <c r="J261" s="120" t="s">
        <v>3</v>
      </c>
    </row>
    <row r="262" spans="1:10" x14ac:dyDescent="0.25">
      <c r="A262" s="126">
        <v>240</v>
      </c>
      <c r="B262" s="119"/>
      <c r="C262" s="136">
        <f>_xll.mirGetDate(C261,"1D","FOLLOWING",D$12,"NORMAL")</f>
        <v>42767</v>
      </c>
      <c r="D262" s="20">
        <f>_xll.mirGetDate(C262,D$17,"Following",D$12,"Normal")</f>
        <v>42768</v>
      </c>
      <c r="E262" s="134">
        <f ca="1"/>
        <v>6.0357571344127553E-3</v>
      </c>
      <c r="F262" s="7" t="s">
        <v>3</v>
      </c>
      <c r="G262" s="136">
        <f t="shared" si="3"/>
        <v>42767</v>
      </c>
      <c r="H262" s="20">
        <f>_xll.mirGetDate(G262,H$17,"Following",H$12,"Normal")</f>
        <v>42856</v>
      </c>
      <c r="I262" s="134">
        <f ca="1"/>
        <v>9.3885685532441778E-3</v>
      </c>
      <c r="J262" s="120" t="s">
        <v>3</v>
      </c>
    </row>
    <row r="263" spans="1:10" x14ac:dyDescent="0.25">
      <c r="A263" s="126">
        <v>241</v>
      </c>
      <c r="B263" s="119"/>
      <c r="C263" s="136">
        <f>_xll.mirGetDate(C262,"1D","FOLLOWING",D$12,"NORMAL")</f>
        <v>42768</v>
      </c>
      <c r="D263" s="20">
        <f>_xll.mirGetDate(C263,D$17,"Following",D$12,"Normal")</f>
        <v>42769</v>
      </c>
      <c r="E263" s="134">
        <f ca="1"/>
        <v>6.0476409632137735E-3</v>
      </c>
      <c r="F263" s="7" t="s">
        <v>3</v>
      </c>
      <c r="G263" s="136">
        <f t="shared" si="3"/>
        <v>42768</v>
      </c>
      <c r="H263" s="20">
        <f>_xll.mirGetDate(G263,H$17,"Following",H$12,"Normal")</f>
        <v>42857</v>
      </c>
      <c r="I263" s="134">
        <f ca="1"/>
        <v>9.3954045065763533E-3</v>
      </c>
      <c r="J263" s="120" t="s">
        <v>3</v>
      </c>
    </row>
    <row r="264" spans="1:10" x14ac:dyDescent="0.25">
      <c r="A264" s="126">
        <v>242</v>
      </c>
      <c r="B264" s="119"/>
      <c r="C264" s="136">
        <f>_xll.mirGetDate(C263,"1D","FOLLOWING",D$12,"NORMAL")</f>
        <v>42769</v>
      </c>
      <c r="D264" s="20">
        <f>_xll.mirGetDate(C264,D$17,"Following",D$12,"Normal")</f>
        <v>42772</v>
      </c>
      <c r="E264" s="134">
        <f ca="1"/>
        <v>6.0717181783687341E-3</v>
      </c>
      <c r="F264" s="7" t="s">
        <v>3</v>
      </c>
      <c r="G264" s="136">
        <f t="shared" si="3"/>
        <v>42769</v>
      </c>
      <c r="H264" s="20">
        <f>_xll.mirGetDate(G264,H$17,"Following",H$12,"Normal")</f>
        <v>42858</v>
      </c>
      <c r="I264" s="134">
        <f ca="1"/>
        <v>9.4022600178568609E-3</v>
      </c>
      <c r="J264" s="120" t="s">
        <v>3</v>
      </c>
    </row>
    <row r="265" spans="1:10" x14ac:dyDescent="0.25">
      <c r="A265" s="126">
        <v>243</v>
      </c>
      <c r="B265" s="119"/>
      <c r="C265" s="136">
        <f>_xll.mirGetDate(C264,"1D","FOLLOWING",D$12,"NORMAL")</f>
        <v>42772</v>
      </c>
      <c r="D265" s="20">
        <f>_xll.mirGetDate(C265,D$17,"Following",D$12,"Normal")</f>
        <v>42773</v>
      </c>
      <c r="E265" s="134">
        <f ca="1"/>
        <v>6.095799734824347E-3</v>
      </c>
      <c r="F265" s="7" t="s">
        <v>3</v>
      </c>
      <c r="G265" s="136">
        <f t="shared" si="3"/>
        <v>42772</v>
      </c>
      <c r="H265" s="20">
        <f>_xll.mirGetDate(G265,H$17,"Following",H$12,"Normal")</f>
        <v>42863</v>
      </c>
      <c r="I265" s="134">
        <f ca="1"/>
        <v>9.4229471855935484E-3</v>
      </c>
      <c r="J265" s="120" t="s">
        <v>3</v>
      </c>
    </row>
    <row r="266" spans="1:10" x14ac:dyDescent="0.25">
      <c r="A266" s="126">
        <v>244</v>
      </c>
      <c r="B266" s="119"/>
      <c r="C266" s="136">
        <f>_xll.mirGetDate(C265,"1D","FOLLOWING",D$12,"NORMAL")</f>
        <v>42773</v>
      </c>
      <c r="D266" s="20">
        <f>_xll.mirGetDate(C266,D$17,"Following",D$12,"Normal")</f>
        <v>42774</v>
      </c>
      <c r="E266" s="134">
        <f ca="1"/>
        <v>6.1079972813169459E-3</v>
      </c>
      <c r="F266" s="7" t="s">
        <v>3</v>
      </c>
      <c r="G266" s="136">
        <f t="shared" si="3"/>
        <v>42773</v>
      </c>
      <c r="H266" s="20">
        <f>_xll.mirGetDate(G266,H$17,"Following",H$12,"Normal")</f>
        <v>42863</v>
      </c>
      <c r="I266" s="134">
        <f ca="1"/>
        <v>9.429884214872555E-3</v>
      </c>
      <c r="J266" s="120" t="s">
        <v>3</v>
      </c>
    </row>
    <row r="267" spans="1:10" x14ac:dyDescent="0.25">
      <c r="A267" s="126">
        <v>245</v>
      </c>
      <c r="B267" s="119"/>
      <c r="C267" s="136">
        <f>_xll.mirGetDate(C266,"1D","FOLLOWING",D$12,"NORMAL")</f>
        <v>42774</v>
      </c>
      <c r="D267" s="20">
        <f>_xll.mirGetDate(C267,D$17,"Following",D$12,"Normal")</f>
        <v>42775</v>
      </c>
      <c r="E267" s="134">
        <f ca="1"/>
        <v>6.1202587650655222E-3</v>
      </c>
      <c r="F267" s="7" t="s">
        <v>3</v>
      </c>
      <c r="G267" s="136">
        <f t="shared" si="3"/>
        <v>42774</v>
      </c>
      <c r="H267" s="20">
        <f>_xll.mirGetDate(G267,H$17,"Following",H$12,"Normal")</f>
        <v>42863</v>
      </c>
      <c r="I267" s="134">
        <f ca="1"/>
        <v>9.4368424452024816E-3</v>
      </c>
      <c r="J267" s="120" t="s">
        <v>3</v>
      </c>
    </row>
    <row r="268" spans="1:10" x14ac:dyDescent="0.25">
      <c r="A268" s="126">
        <v>246</v>
      </c>
      <c r="B268" s="119"/>
      <c r="C268" s="136">
        <f>_xll.mirGetDate(C267,"1D","FOLLOWING",D$12,"NORMAL")</f>
        <v>42775</v>
      </c>
      <c r="D268" s="20">
        <f>_xll.mirGetDate(C268,D$17,"Following",D$12,"Normal")</f>
        <v>42776</v>
      </c>
      <c r="E268" s="134">
        <f ca="1"/>
        <v>6.1325845839910404E-3</v>
      </c>
      <c r="F268" s="7" t="s">
        <v>3</v>
      </c>
      <c r="G268" s="136">
        <f t="shared" si="3"/>
        <v>42775</v>
      </c>
      <c r="H268" s="20">
        <f>_xll.mirGetDate(G268,H$17,"Following",H$12,"Normal")</f>
        <v>42864</v>
      </c>
      <c r="I268" s="134">
        <f ca="1"/>
        <v>9.4438222052038445E-3</v>
      </c>
      <c r="J268" s="120" t="s">
        <v>3</v>
      </c>
    </row>
    <row r="269" spans="1:10" x14ac:dyDescent="0.25">
      <c r="A269" s="126">
        <v>247</v>
      </c>
      <c r="B269" s="119"/>
      <c r="C269" s="136">
        <f>_xll.mirGetDate(C268,"1D","FOLLOWING",D$12,"NORMAL")</f>
        <v>42776</v>
      </c>
      <c r="D269" s="20">
        <f>_xll.mirGetDate(C269,D$17,"Following",D$12,"Normal")</f>
        <v>42779</v>
      </c>
      <c r="E269" s="134">
        <f ca="1"/>
        <v>6.157557979502592E-3</v>
      </c>
      <c r="F269" s="7" t="s">
        <v>3</v>
      </c>
      <c r="G269" s="136">
        <f t="shared" si="3"/>
        <v>42776</v>
      </c>
      <c r="H269" s="20">
        <f>_xll.mirGetDate(G269,H$17,"Following",H$12,"Normal")</f>
        <v>42865</v>
      </c>
      <c r="I269" s="134">
        <f ca="1"/>
        <v>9.4508238234971599E-3</v>
      </c>
      <c r="J269" s="120" t="s">
        <v>3</v>
      </c>
    </row>
    <row r="270" spans="1:10" x14ac:dyDescent="0.25">
      <c r="A270" s="126">
        <v>248</v>
      </c>
      <c r="B270" s="119"/>
      <c r="C270" s="136">
        <f>_xll.mirGetDate(C269,"1D","FOLLOWING",D$12,"NORMAL")</f>
        <v>42779</v>
      </c>
      <c r="D270" s="20">
        <f>_xll.mirGetDate(C270,D$17,"Following",D$12,"Normal")</f>
        <v>42780</v>
      </c>
      <c r="E270" s="134">
        <f ca="1"/>
        <v>6.1825391690195847E-3</v>
      </c>
      <c r="F270" s="7" t="s">
        <v>3</v>
      </c>
      <c r="G270" s="136">
        <f t="shared" si="3"/>
        <v>42779</v>
      </c>
      <c r="H270" s="20">
        <f>_xll.mirGetDate(G270,H$17,"Following",H$12,"Normal")</f>
        <v>42870</v>
      </c>
      <c r="I270" s="134">
        <f ca="1"/>
        <v>9.4719631143339953E-3</v>
      </c>
      <c r="J270" s="120" t="s">
        <v>3</v>
      </c>
    </row>
    <row r="271" spans="1:10" x14ac:dyDescent="0.25">
      <c r="A271" s="126">
        <v>249</v>
      </c>
      <c r="B271" s="119"/>
      <c r="C271" s="136">
        <f>_xll.mirGetDate(C270,"1D","FOLLOWING",D$12,"NORMAL")</f>
        <v>42780</v>
      </c>
      <c r="D271" s="20">
        <f>_xll.mirGetDate(C271,D$17,"Following",D$12,"Normal")</f>
        <v>42781</v>
      </c>
      <c r="E271" s="134">
        <f ca="1"/>
        <v>6.1951926320969125E-3</v>
      </c>
      <c r="F271" s="7" t="s">
        <v>3</v>
      </c>
      <c r="G271" s="136">
        <f t="shared" si="3"/>
        <v>42780</v>
      </c>
      <c r="H271" s="20">
        <f>_xll.mirGetDate(G271,H$17,"Following",H$12,"Normal")</f>
        <v>42870</v>
      </c>
      <c r="I271" s="134">
        <f ca="1"/>
        <v>9.4790554520002967E-3</v>
      </c>
      <c r="J271" s="120" t="s">
        <v>3</v>
      </c>
    </row>
    <row r="272" spans="1:10" x14ac:dyDescent="0.25">
      <c r="A272" s="126">
        <v>250</v>
      </c>
      <c r="B272" s="119"/>
      <c r="C272" s="136">
        <f>_xll.mirGetDate(C271,"1D","FOLLOWING",D$12,"NORMAL")</f>
        <v>42781</v>
      </c>
      <c r="D272" s="20">
        <f>_xll.mirGetDate(C272,D$17,"Following",D$12,"Normal")</f>
        <v>42782</v>
      </c>
      <c r="E272" s="134">
        <f ca="1"/>
        <v>6.2079128178016635E-3</v>
      </c>
      <c r="F272" s="7" t="s">
        <v>3</v>
      </c>
      <c r="G272" s="136">
        <f t="shared" si="3"/>
        <v>42781</v>
      </c>
      <c r="H272" s="20">
        <f>_xll.mirGetDate(G272,H$17,"Following",H$12,"Normal")</f>
        <v>42870</v>
      </c>
      <c r="I272" s="134">
        <f ca="1"/>
        <v>9.4861712910611351E-3</v>
      </c>
      <c r="J272" s="120" t="s">
        <v>3</v>
      </c>
    </row>
    <row r="273" spans="1:10" x14ac:dyDescent="0.25">
      <c r="A273" s="126">
        <v>251</v>
      </c>
      <c r="B273" s="119"/>
      <c r="C273" s="136">
        <f>_xll.mirGetDate(C272,"1D","FOLLOWING",D$12,"NORMAL")</f>
        <v>42782</v>
      </c>
      <c r="D273" s="20">
        <f>_xll.mirGetDate(C273,D$17,"Following",D$12,"Normal")</f>
        <v>42783</v>
      </c>
      <c r="E273" s="134">
        <f ca="1"/>
        <v>6.2207001240555332E-3</v>
      </c>
      <c r="F273" s="7" t="s">
        <v>3</v>
      </c>
      <c r="G273" s="136">
        <f t="shared" si="3"/>
        <v>42782</v>
      </c>
      <c r="H273" s="20">
        <f>_xll.mirGetDate(G273,H$17,"Following",H$12,"Normal")</f>
        <v>42871</v>
      </c>
      <c r="I273" s="134">
        <f ca="1"/>
        <v>9.4933109601370337E-3</v>
      </c>
      <c r="J273" s="120" t="s">
        <v>3</v>
      </c>
    </row>
    <row r="274" spans="1:10" x14ac:dyDescent="0.25">
      <c r="A274" s="126">
        <v>252</v>
      </c>
      <c r="B274" s="119"/>
      <c r="C274" s="136">
        <f>_xll.mirGetDate(C273,"1D","FOLLOWING",D$12,"NORMAL")</f>
        <v>42783</v>
      </c>
      <c r="D274" s="20">
        <f>_xll.mirGetDate(C274,D$17,"Following",D$12,"Normal")</f>
        <v>42787</v>
      </c>
      <c r="E274" s="134">
        <f ca="1"/>
        <v>6.2531703919699536E-3</v>
      </c>
      <c r="F274" s="7" t="s">
        <v>3</v>
      </c>
      <c r="G274" s="136">
        <f t="shared" si="3"/>
        <v>42783</v>
      </c>
      <c r="H274" s="20">
        <f>_xll.mirGetDate(G274,H$17,"Following",H$12,"Normal")</f>
        <v>42872</v>
      </c>
      <c r="I274" s="134">
        <f ca="1"/>
        <v>9.5004747878485053E-3</v>
      </c>
      <c r="J274" s="120" t="s">
        <v>3</v>
      </c>
    </row>
    <row r="275" spans="1:10" x14ac:dyDescent="0.25">
      <c r="A275" s="126">
        <v>253</v>
      </c>
      <c r="B275" s="119"/>
      <c r="C275" s="136">
        <f>_xll.mirGetDate(C274,"1D","FOLLOWING",D$12,"NORMAL")</f>
        <v>42787</v>
      </c>
      <c r="D275" s="20">
        <f>_xll.mirGetDate(C275,D$17,"Following",D$12,"Normal")</f>
        <v>42788</v>
      </c>
      <c r="E275" s="134">
        <f ca="1"/>
        <v>6.2856573881831194E-3</v>
      </c>
      <c r="F275" s="7" t="s">
        <v>3</v>
      </c>
      <c r="G275" s="136">
        <f t="shared" si="3"/>
        <v>42787</v>
      </c>
      <c r="H275" s="20">
        <f>_xll.mirGetDate(G275,H$17,"Following",H$12,"Normal")</f>
        <v>42877</v>
      </c>
      <c r="I275" s="134">
        <f ca="1"/>
        <v>9.5293782574604798E-3</v>
      </c>
      <c r="J275" s="120" t="s">
        <v>3</v>
      </c>
    </row>
    <row r="276" spans="1:10" x14ac:dyDescent="0.25">
      <c r="A276" s="126">
        <v>254</v>
      </c>
      <c r="B276" s="119"/>
      <c r="C276" s="136">
        <f>_xll.mirGetDate(C275,"1D","FOLLOWING",D$12,"NORMAL")</f>
        <v>42788</v>
      </c>
      <c r="D276" s="20">
        <f>_xll.mirGetDate(C276,D$17,"Following",D$12,"Normal")</f>
        <v>42789</v>
      </c>
      <c r="E276" s="134">
        <f ca="1"/>
        <v>6.2988557730481402E-3</v>
      </c>
      <c r="F276" s="7" t="s">
        <v>3</v>
      </c>
      <c r="G276" s="136">
        <f t="shared" si="3"/>
        <v>42788</v>
      </c>
      <c r="H276" s="20">
        <f>_xll.mirGetDate(G276,H$17,"Following",H$12,"Normal")</f>
        <v>42877</v>
      </c>
      <c r="I276" s="134">
        <f ca="1"/>
        <v>9.5366678076575818E-3</v>
      </c>
      <c r="J276" s="120" t="s">
        <v>3</v>
      </c>
    </row>
    <row r="277" spans="1:10" x14ac:dyDescent="0.25">
      <c r="A277" s="126">
        <v>255</v>
      </c>
      <c r="B277" s="119"/>
      <c r="C277" s="136">
        <f>_xll.mirGetDate(C276,"1D","FOLLOWING",D$12,"NORMAL")</f>
        <v>42789</v>
      </c>
      <c r="D277" s="20">
        <f>_xll.mirGetDate(C277,D$17,"Following",D$12,"Normal")</f>
        <v>42790</v>
      </c>
      <c r="E277" s="134">
        <f ca="1"/>
        <v>6.3120988535203763E-3</v>
      </c>
      <c r="F277" s="7" t="s">
        <v>3</v>
      </c>
      <c r="G277" s="136">
        <f t="shared" si="3"/>
        <v>42789</v>
      </c>
      <c r="H277" s="20">
        <f>_xll.mirGetDate(G277,H$17,"Following",H$12,"Normal")</f>
        <v>42878</v>
      </c>
      <c r="I277" s="134">
        <f ca="1"/>
        <v>9.5439834882133628E-3</v>
      </c>
      <c r="J277" s="120" t="s">
        <v>3</v>
      </c>
    </row>
    <row r="278" spans="1:10" x14ac:dyDescent="0.25">
      <c r="A278" s="126">
        <v>256</v>
      </c>
      <c r="B278" s="119"/>
      <c r="C278" s="136">
        <f>_xll.mirGetDate(C277,"1D","FOLLOWING",D$12,"NORMAL")</f>
        <v>42790</v>
      </c>
      <c r="D278" s="20">
        <f>_xll.mirGetDate(C278,D$17,"Following",D$12,"Normal")</f>
        <v>42793</v>
      </c>
      <c r="E278" s="134">
        <f ca="1"/>
        <v>6.338724496970225E-3</v>
      </c>
      <c r="F278" s="7" t="s">
        <v>3</v>
      </c>
      <c r="G278" s="136">
        <f t="shared" si="3"/>
        <v>42790</v>
      </c>
      <c r="H278" s="20">
        <f>_xll.mirGetDate(G278,H$17,"Following",H$12,"Normal")</f>
        <v>42879</v>
      </c>
      <c r="I278" s="134">
        <f ca="1"/>
        <v>9.5513371663755366E-3</v>
      </c>
      <c r="J278" s="120" t="s">
        <v>3</v>
      </c>
    </row>
    <row r="279" spans="1:10" x14ac:dyDescent="0.25">
      <c r="A279" s="126">
        <v>257</v>
      </c>
      <c r="B279" s="119"/>
      <c r="C279" s="136">
        <f>_xll.mirGetDate(C278,"1D","FOLLOWING",D$12,"NORMAL")</f>
        <v>42793</v>
      </c>
      <c r="D279" s="20">
        <f>_xll.mirGetDate(C279,D$17,"Following",D$12,"Normal")</f>
        <v>42794</v>
      </c>
      <c r="E279" s="134">
        <f ca="1"/>
        <v>6.3651654015562057E-3</v>
      </c>
      <c r="F279" s="7" t="s">
        <v>3</v>
      </c>
      <c r="G279" s="136">
        <f t="shared" si="3"/>
        <v>42793</v>
      </c>
      <c r="H279" s="20">
        <f>_xll.mirGetDate(G279,H$17,"Following",H$12,"Normal")</f>
        <v>42885</v>
      </c>
      <c r="I279" s="134">
        <f ca="1"/>
        <v>9.573662943758058E-3</v>
      </c>
      <c r="J279" s="120" t="s">
        <v>3</v>
      </c>
    </row>
    <row r="280" spans="1:10" x14ac:dyDescent="0.25">
      <c r="A280" s="126">
        <v>258</v>
      </c>
      <c r="B280" s="119"/>
      <c r="C280" s="136">
        <f>_xll.mirGetDate(C279,"1D","FOLLOWING",D$12,"NORMAL")</f>
        <v>42794</v>
      </c>
      <c r="D280" s="20">
        <f>_xll.mirGetDate(C280,D$17,"Following",D$12,"Normal")</f>
        <v>42795</v>
      </c>
      <c r="E280" s="134">
        <f ca="1"/>
        <v>6.3784603074523941E-3</v>
      </c>
      <c r="F280" s="7" t="s">
        <v>3</v>
      </c>
      <c r="G280" s="136">
        <f t="shared" ref="G280:G343" si="4">$C280</f>
        <v>42794</v>
      </c>
      <c r="H280" s="20">
        <f>_xll.mirGetDate(G280,H$17,"Following",H$12,"Normal")</f>
        <v>42885</v>
      </c>
      <c r="I280" s="134">
        <f ca="1"/>
        <v>9.5811793122898246E-3</v>
      </c>
      <c r="J280" s="120" t="s">
        <v>3</v>
      </c>
    </row>
    <row r="281" spans="1:10" x14ac:dyDescent="0.25">
      <c r="A281" s="126">
        <v>259</v>
      </c>
      <c r="B281" s="119"/>
      <c r="C281" s="136">
        <f>_xll.mirGetDate(C280,"1D","FOLLOWING",D$12,"NORMAL")</f>
        <v>42795</v>
      </c>
      <c r="D281" s="20">
        <f>_xll.mirGetDate(C281,D$17,"Following",D$12,"Normal")</f>
        <v>42796</v>
      </c>
      <c r="E281" s="134">
        <f ca="1"/>
        <v>6.3917660521184642E-3</v>
      </c>
      <c r="F281" s="7" t="s">
        <v>3</v>
      </c>
      <c r="G281" s="136">
        <f t="shared" si="4"/>
        <v>42795</v>
      </c>
      <c r="H281" s="20">
        <f>_xll.mirGetDate(G281,H$17,"Following",H$12,"Normal")</f>
        <v>42887</v>
      </c>
      <c r="I281" s="134">
        <f ca="1"/>
        <v>9.5887259997431817E-3</v>
      </c>
      <c r="J281" s="120" t="s">
        <v>3</v>
      </c>
    </row>
    <row r="282" spans="1:10" x14ac:dyDescent="0.25">
      <c r="A282" s="126">
        <v>260</v>
      </c>
      <c r="B282" s="119"/>
      <c r="C282" s="136">
        <f>_xll.mirGetDate(C281,"1D","FOLLOWING",D$12,"NORMAL")</f>
        <v>42796</v>
      </c>
      <c r="D282" s="20">
        <f>_xll.mirGetDate(C282,D$17,"Following",D$12,"Normal")</f>
        <v>42797</v>
      </c>
      <c r="E282" s="134">
        <f ca="1"/>
        <v>6.4050824010220223E-3</v>
      </c>
      <c r="F282" s="7" t="s">
        <v>3</v>
      </c>
      <c r="G282" s="136">
        <f t="shared" si="4"/>
        <v>42796</v>
      </c>
      <c r="H282" s="20">
        <f>_xll.mirGetDate(G282,H$17,"Following",H$12,"Normal")</f>
        <v>42888</v>
      </c>
      <c r="I282" s="134">
        <f ca="1"/>
        <v>9.5962988646498062E-3</v>
      </c>
      <c r="J282" s="120" t="s">
        <v>3</v>
      </c>
    </row>
    <row r="283" spans="1:10" x14ac:dyDescent="0.25">
      <c r="A283" s="126">
        <v>261</v>
      </c>
      <c r="B283" s="119"/>
      <c r="C283" s="136">
        <f>_xll.mirGetDate(C282,"1D","FOLLOWING",D$12,"NORMAL")</f>
        <v>42797</v>
      </c>
      <c r="D283" s="20">
        <f>_xll.mirGetDate(C283,D$17,"Following",D$12,"Normal")</f>
        <v>42800</v>
      </c>
      <c r="E283" s="134">
        <f ca="1"/>
        <v>6.4318641846661476E-3</v>
      </c>
      <c r="F283" s="7" t="s">
        <v>3</v>
      </c>
      <c r="G283" s="136">
        <f t="shared" si="4"/>
        <v>42797</v>
      </c>
      <c r="H283" s="20">
        <f>_xll.mirGetDate(G283,H$17,"Following",H$12,"Normal")</f>
        <v>42891</v>
      </c>
      <c r="I283" s="134">
        <f ca="1"/>
        <v>9.6038937655413791E-3</v>
      </c>
      <c r="J283" s="120" t="s">
        <v>3</v>
      </c>
    </row>
    <row r="284" spans="1:10" x14ac:dyDescent="0.25">
      <c r="A284" s="126">
        <v>262</v>
      </c>
      <c r="B284" s="119"/>
      <c r="C284" s="136">
        <f>_xll.mirGetDate(C283,"1D","FOLLOWING",D$12,"NORMAL")</f>
        <v>42800</v>
      </c>
      <c r="D284" s="20">
        <f>_xll.mirGetDate(C284,D$17,"Following",D$12,"Normal")</f>
        <v>42801</v>
      </c>
      <c r="E284" s="134">
        <f ca="1"/>
        <v>6.4584491518804524E-3</v>
      </c>
      <c r="F284" s="7" t="s">
        <v>3</v>
      </c>
      <c r="G284" s="136">
        <f t="shared" si="4"/>
        <v>42800</v>
      </c>
      <c r="H284" s="20">
        <f>_xll.mirGetDate(G284,H$17,"Following",H$12,"Normal")</f>
        <v>42892</v>
      </c>
      <c r="I284" s="134">
        <f ca="1"/>
        <v>9.6267692694425502E-3</v>
      </c>
      <c r="J284" s="120" t="s">
        <v>3</v>
      </c>
    </row>
    <row r="285" spans="1:10" x14ac:dyDescent="0.25">
      <c r="A285" s="126">
        <v>263</v>
      </c>
      <c r="B285" s="119"/>
      <c r="C285" s="136">
        <f>_xll.mirGetDate(C284,"1D","FOLLOWING",D$12,"NORMAL")</f>
        <v>42801</v>
      </c>
      <c r="D285" s="20">
        <f>_xll.mirGetDate(C285,D$17,"Following",D$12,"Normal")</f>
        <v>42802</v>
      </c>
      <c r="E285" s="134">
        <f ca="1"/>
        <v>6.4718150063036951E-3</v>
      </c>
      <c r="F285" s="7" t="s">
        <v>3</v>
      </c>
      <c r="G285" s="136">
        <f t="shared" si="4"/>
        <v>42801</v>
      </c>
      <c r="H285" s="20">
        <f>_xll.mirGetDate(G285,H$17,"Following",H$12,"Normal")</f>
        <v>42893</v>
      </c>
      <c r="I285" s="134">
        <f ca="1"/>
        <v>9.6344108995906844E-3</v>
      </c>
      <c r="J285" s="120" t="s">
        <v>3</v>
      </c>
    </row>
    <row r="286" spans="1:10" x14ac:dyDescent="0.25">
      <c r="A286" s="126">
        <v>264</v>
      </c>
      <c r="B286" s="119"/>
      <c r="C286" s="136">
        <f>_xll.mirGetDate(C285,"1D","FOLLOWING",D$12,"NORMAL")</f>
        <v>42802</v>
      </c>
      <c r="D286" s="20">
        <f>_xll.mirGetDate(C286,D$17,"Following",D$12,"Normal")</f>
        <v>42803</v>
      </c>
      <c r="E286" s="134">
        <f ca="1"/>
        <v>6.4851900584894885E-3</v>
      </c>
      <c r="F286" s="7" t="s">
        <v>3</v>
      </c>
      <c r="G286" s="136">
        <f t="shared" si="4"/>
        <v>42802</v>
      </c>
      <c r="H286" s="20">
        <f>_xll.mirGetDate(G286,H$17,"Following",H$12,"Normal")</f>
        <v>42894</v>
      </c>
      <c r="I286" s="134">
        <f ca="1"/>
        <v>9.6420533097252379E-3</v>
      </c>
      <c r="J286" s="120" t="s">
        <v>3</v>
      </c>
    </row>
    <row r="287" spans="1:10" x14ac:dyDescent="0.25">
      <c r="A287" s="126">
        <v>265</v>
      </c>
      <c r="B287" s="119"/>
      <c r="C287" s="136">
        <f>_xll.mirGetDate(C286,"1D","FOLLOWING",D$12,"NORMAL")</f>
        <v>42803</v>
      </c>
      <c r="D287" s="20">
        <f>_xll.mirGetDate(C287,D$17,"Following",D$12,"Normal")</f>
        <v>42804</v>
      </c>
      <c r="E287" s="134">
        <f ca="1"/>
        <v>6.4985740741452481E-3</v>
      </c>
      <c r="F287" s="7" t="s">
        <v>3</v>
      </c>
      <c r="G287" s="136">
        <f t="shared" si="4"/>
        <v>42803</v>
      </c>
      <c r="H287" s="20">
        <f>_xll.mirGetDate(G287,H$17,"Following",H$12,"Normal")</f>
        <v>42895</v>
      </c>
      <c r="I287" s="134">
        <f ca="1"/>
        <v>9.6496857128748181E-3</v>
      </c>
      <c r="J287" s="120" t="s">
        <v>3</v>
      </c>
    </row>
    <row r="288" spans="1:10" x14ac:dyDescent="0.25">
      <c r="A288" s="126">
        <v>266</v>
      </c>
      <c r="B288" s="119"/>
      <c r="C288" s="136">
        <f>_xll.mirGetDate(C287,"1D","FOLLOWING",D$12,"NORMAL")</f>
        <v>42804</v>
      </c>
      <c r="D288" s="20">
        <f>_xll.mirGetDate(C288,D$17,"Following",D$12,"Normal")</f>
        <v>42807</v>
      </c>
      <c r="E288" s="134">
        <f ca="1"/>
        <v>6.5254890909738584E-3</v>
      </c>
      <c r="F288" s="7" t="s">
        <v>3</v>
      </c>
      <c r="G288" s="136">
        <f t="shared" si="4"/>
        <v>42804</v>
      </c>
      <c r="H288" s="20">
        <f>_xll.mirGetDate(G288,H$17,"Following",H$12,"Normal")</f>
        <v>42898</v>
      </c>
      <c r="I288" s="134">
        <f ca="1"/>
        <v>9.6572935181936416E-3</v>
      </c>
      <c r="J288" s="120" t="s">
        <v>3</v>
      </c>
    </row>
    <row r="289" spans="1:10" x14ac:dyDescent="0.25">
      <c r="A289" s="126">
        <v>267</v>
      </c>
      <c r="B289" s="119"/>
      <c r="C289" s="136">
        <f>_xll.mirGetDate(C288,"1D","FOLLOWING",D$12,"NORMAL")</f>
        <v>42807</v>
      </c>
      <c r="D289" s="20">
        <f>_xll.mirGetDate(C289,D$17,"Following",D$12,"Normal")</f>
        <v>42808</v>
      </c>
      <c r="E289" s="134">
        <f ca="1"/>
        <v>6.5521950824987364E-3</v>
      </c>
      <c r="F289" s="7" t="s">
        <v>3</v>
      </c>
      <c r="G289" s="136">
        <f t="shared" si="4"/>
        <v>42807</v>
      </c>
      <c r="H289" s="20">
        <f>_xll.mirGetDate(G289,H$17,"Following",H$12,"Normal")</f>
        <v>42899</v>
      </c>
      <c r="I289" s="134">
        <f ca="1"/>
        <v>9.679822860481236E-3</v>
      </c>
      <c r="J289" s="120" t="s">
        <v>3</v>
      </c>
    </row>
    <row r="290" spans="1:10" x14ac:dyDescent="0.25">
      <c r="A290" s="126">
        <v>268</v>
      </c>
      <c r="B290" s="119"/>
      <c r="C290" s="136">
        <f>_xll.mirGetDate(C289,"1D","FOLLOWING",D$12,"NORMAL")</f>
        <v>42808</v>
      </c>
      <c r="D290" s="20">
        <f>_xll.mirGetDate(C290,D$17,"Following",D$12,"Normal")</f>
        <v>42809</v>
      </c>
      <c r="E290" s="134">
        <f ca="1"/>
        <v>6.5656203990372098E-3</v>
      </c>
      <c r="F290" s="7" t="s">
        <v>3</v>
      </c>
      <c r="G290" s="136">
        <f t="shared" si="4"/>
        <v>42808</v>
      </c>
      <c r="H290" s="20">
        <f>_xll.mirGetDate(G290,H$17,"Following",H$12,"Normal")</f>
        <v>42900</v>
      </c>
      <c r="I290" s="134">
        <f ca="1"/>
        <v>9.6871857877927053E-3</v>
      </c>
      <c r="J290" s="120" t="s">
        <v>3</v>
      </c>
    </row>
    <row r="291" spans="1:10" x14ac:dyDescent="0.25">
      <c r="A291" s="126">
        <v>269</v>
      </c>
      <c r="B291" s="119"/>
      <c r="C291" s="136">
        <f>_xll.mirGetDate(C290,"1D","FOLLOWING",D$12,"NORMAL")</f>
        <v>42809</v>
      </c>
      <c r="D291" s="20">
        <f>_xll.mirGetDate(C291,D$17,"Following",D$12,"Normal")</f>
        <v>42810</v>
      </c>
      <c r="E291" s="134">
        <f ca="1"/>
        <v>6.579053272490777E-3</v>
      </c>
      <c r="F291" s="7" t="s">
        <v>3</v>
      </c>
      <c r="G291" s="136">
        <f t="shared" si="4"/>
        <v>42809</v>
      </c>
      <c r="H291" s="20">
        <f>_xll.mirGetDate(G291,H$17,"Following",H$12,"Normal")</f>
        <v>42901</v>
      </c>
      <c r="I291" s="134">
        <f ca="1"/>
        <v>9.6944508739312558E-3</v>
      </c>
      <c r="J291" s="120" t="s">
        <v>3</v>
      </c>
    </row>
    <row r="292" spans="1:10" x14ac:dyDescent="0.25">
      <c r="A292" s="126">
        <v>270</v>
      </c>
      <c r="B292" s="119"/>
      <c r="C292" s="136">
        <f>_xll.mirGetDate(C291,"1D","FOLLOWING",D$12,"NORMAL")</f>
        <v>42810</v>
      </c>
      <c r="D292" s="20">
        <f>_xll.mirGetDate(C292,D$17,"Following",D$12,"Normal")</f>
        <v>42811</v>
      </c>
      <c r="E292" s="134">
        <f ca="1"/>
        <v>6.5924934684069804E-3</v>
      </c>
      <c r="F292" s="7" t="s">
        <v>3</v>
      </c>
      <c r="G292" s="136">
        <f t="shared" si="4"/>
        <v>42810</v>
      </c>
      <c r="H292" s="20">
        <f>_xll.mirGetDate(G292,H$17,"Following",H$12,"Normal")</f>
        <v>42902</v>
      </c>
      <c r="I292" s="134">
        <f ca="1"/>
        <v>9.7016010113357126E-3</v>
      </c>
      <c r="J292" s="120" t="s">
        <v>3</v>
      </c>
    </row>
    <row r="293" spans="1:10" x14ac:dyDescent="0.25">
      <c r="A293" s="126">
        <v>271</v>
      </c>
      <c r="B293" s="119"/>
      <c r="C293" s="136">
        <f>_xll.mirGetDate(C292,"1D","FOLLOWING",D$12,"NORMAL")</f>
        <v>42811</v>
      </c>
      <c r="D293" s="20">
        <f>_xll.mirGetDate(C293,D$17,"Following",D$12,"Normal")</f>
        <v>42814</v>
      </c>
      <c r="E293" s="134">
        <f ca="1"/>
        <v>6.6195188095184571E-3</v>
      </c>
      <c r="F293" s="7" t="s">
        <v>3</v>
      </c>
      <c r="G293" s="136">
        <f t="shared" si="4"/>
        <v>42811</v>
      </c>
      <c r="H293" s="20">
        <f>_xll.mirGetDate(G293,H$17,"Following",H$12,"Normal")</f>
        <v>42905</v>
      </c>
      <c r="I293" s="134">
        <f ca="1"/>
        <v>9.7086324253593814E-3</v>
      </c>
      <c r="J293" s="120" t="s">
        <v>3</v>
      </c>
    </row>
    <row r="294" spans="1:10" x14ac:dyDescent="0.25">
      <c r="A294" s="126">
        <v>272</v>
      </c>
      <c r="B294" s="119"/>
      <c r="C294" s="136">
        <f>_xll.mirGetDate(C293,"1D","FOLLOWING",D$12,"NORMAL")</f>
        <v>42814</v>
      </c>
      <c r="D294" s="20">
        <f>_xll.mirGetDate(C294,D$17,"Following",D$12,"Normal")</f>
        <v>42815</v>
      </c>
      <c r="E294" s="134">
        <f ca="1"/>
        <v>6.6463227890878563E-3</v>
      </c>
      <c r="F294" s="7" t="s">
        <v>3</v>
      </c>
      <c r="G294" s="136">
        <f t="shared" si="4"/>
        <v>42814</v>
      </c>
      <c r="H294" s="20">
        <f>_xll.mirGetDate(G294,H$17,"Following",H$12,"Normal")</f>
        <v>42906</v>
      </c>
      <c r="I294" s="134">
        <f ca="1"/>
        <v>9.7290678341784582E-3</v>
      </c>
      <c r="J294" s="120" t="s">
        <v>3</v>
      </c>
    </row>
    <row r="295" spans="1:10" x14ac:dyDescent="0.25">
      <c r="A295" s="126">
        <v>273</v>
      </c>
      <c r="B295" s="119"/>
      <c r="C295" s="136">
        <f>_xll.mirGetDate(C294,"1D","FOLLOWING",D$12,"NORMAL")</f>
        <v>42815</v>
      </c>
      <c r="D295" s="20">
        <f>_xll.mirGetDate(C295,D$17,"Following",D$12,"Normal")</f>
        <v>42816</v>
      </c>
      <c r="E295" s="134">
        <f ca="1"/>
        <v>6.6597960814096758E-3</v>
      </c>
      <c r="F295" s="7" t="s">
        <v>3</v>
      </c>
      <c r="G295" s="136">
        <f t="shared" si="4"/>
        <v>42815</v>
      </c>
      <c r="H295" s="20">
        <f>_xll.mirGetDate(G295,H$17,"Following",H$12,"Normal")</f>
        <v>42907</v>
      </c>
      <c r="I295" s="134">
        <f ca="1"/>
        <v>9.7356778617117834E-3</v>
      </c>
      <c r="J295" s="120" t="s">
        <v>3</v>
      </c>
    </row>
    <row r="296" spans="1:10" x14ac:dyDescent="0.25">
      <c r="A296" s="126">
        <v>274</v>
      </c>
      <c r="B296" s="119"/>
      <c r="C296" s="136">
        <f>_xll.mirGetDate(C295,"1D","FOLLOWING",D$12,"NORMAL")</f>
        <v>42816</v>
      </c>
      <c r="D296" s="20">
        <f>_xll.mirGetDate(C296,D$17,"Following",D$12,"Normal")</f>
        <v>42817</v>
      </c>
      <c r="E296" s="134">
        <f ca="1"/>
        <v>6.6732752897991311E-3</v>
      </c>
      <c r="F296" s="7" t="s">
        <v>3</v>
      </c>
      <c r="G296" s="136">
        <f t="shared" si="4"/>
        <v>42816</v>
      </c>
      <c r="H296" s="20">
        <f>_xll.mirGetDate(G296,H$17,"Following",H$12,"Normal")</f>
        <v>42908</v>
      </c>
      <c r="I296" s="134">
        <f ca="1"/>
        <v>9.7421959193807299E-3</v>
      </c>
      <c r="J296" s="120" t="s">
        <v>3</v>
      </c>
    </row>
    <row r="297" spans="1:10" x14ac:dyDescent="0.25">
      <c r="A297" s="126">
        <v>275</v>
      </c>
      <c r="B297" s="119"/>
      <c r="C297" s="136">
        <f>_xll.mirGetDate(C296,"1D","FOLLOWING",D$12,"NORMAL")</f>
        <v>42817</v>
      </c>
      <c r="D297" s="20">
        <f>_xll.mirGetDate(C297,D$17,"Following",D$12,"Normal")</f>
        <v>42818</v>
      </c>
      <c r="E297" s="134">
        <f ca="1"/>
        <v>6.6867601797238286E-3</v>
      </c>
      <c r="F297" s="7" t="s">
        <v>3</v>
      </c>
      <c r="G297" s="136">
        <f t="shared" si="4"/>
        <v>42817</v>
      </c>
      <c r="H297" s="20">
        <f>_xll.mirGetDate(G297,H$17,"Following",H$12,"Normal")</f>
        <v>42909</v>
      </c>
      <c r="I297" s="134">
        <f ca="1"/>
        <v>9.7486273578885809E-3</v>
      </c>
      <c r="J297" s="120" t="s">
        <v>3</v>
      </c>
    </row>
    <row r="298" spans="1:10" x14ac:dyDescent="0.25">
      <c r="A298" s="126">
        <v>276</v>
      </c>
      <c r="B298" s="119"/>
      <c r="C298" s="136">
        <f>_xll.mirGetDate(C297,"1D","FOLLOWING",D$12,"NORMAL")</f>
        <v>42818</v>
      </c>
      <c r="D298" s="20">
        <f>_xll.mirGetDate(C298,D$17,"Following",D$12,"Normal")</f>
        <v>42821</v>
      </c>
      <c r="E298" s="134">
        <f ca="1"/>
        <v>6.7138729335259016E-3</v>
      </c>
      <c r="F298" s="7" t="s">
        <v>3</v>
      </c>
      <c r="G298" s="136">
        <f t="shared" si="4"/>
        <v>42818</v>
      </c>
      <c r="H298" s="20">
        <f>_xll.mirGetDate(G298,H$17,"Following",H$12,"Normal")</f>
        <v>42912</v>
      </c>
      <c r="I298" s="134">
        <f ca="1"/>
        <v>9.7549775279386162E-3</v>
      </c>
      <c r="J298" s="120" t="s">
        <v>3</v>
      </c>
    </row>
    <row r="299" spans="1:10" x14ac:dyDescent="0.25">
      <c r="A299" s="126">
        <v>277</v>
      </c>
      <c r="B299" s="119"/>
      <c r="C299" s="136">
        <f>_xll.mirGetDate(C298,"1D","FOLLOWING",D$12,"NORMAL")</f>
        <v>42821</v>
      </c>
      <c r="D299" s="20">
        <f>_xll.mirGetDate(C299,D$17,"Following",D$12,"Normal")</f>
        <v>42822</v>
      </c>
      <c r="E299" s="134">
        <f ca="1"/>
        <v>6.7407518672446785E-3</v>
      </c>
      <c r="F299" s="7" t="s">
        <v>3</v>
      </c>
      <c r="G299" s="136">
        <f t="shared" si="4"/>
        <v>42821</v>
      </c>
      <c r="H299" s="20">
        <f>_xll.mirGetDate(G299,H$17,"Following",H$12,"Normal")</f>
        <v>42913</v>
      </c>
      <c r="I299" s="134">
        <f ca="1"/>
        <v>9.7735939343746667E-3</v>
      </c>
      <c r="J299" s="120" t="s">
        <v>3</v>
      </c>
    </row>
    <row r="300" spans="1:10" x14ac:dyDescent="0.25">
      <c r="A300" s="126">
        <v>278</v>
      </c>
      <c r="B300" s="119"/>
      <c r="C300" s="136">
        <f>_xll.mirGetDate(C299,"1D","FOLLOWING",D$12,"NORMAL")</f>
        <v>42822</v>
      </c>
      <c r="D300" s="20">
        <f>_xll.mirGetDate(C300,D$17,"Following",D$12,"Normal")</f>
        <v>42823</v>
      </c>
      <c r="E300" s="134">
        <f ca="1"/>
        <v>6.7542616490179584E-3</v>
      </c>
      <c r="F300" s="7" t="s">
        <v>3</v>
      </c>
      <c r="G300" s="136">
        <f t="shared" si="4"/>
        <v>42822</v>
      </c>
      <c r="H300" s="20">
        <f>_xll.mirGetDate(G300,H$17,"Following",H$12,"Normal")</f>
        <v>42914</v>
      </c>
      <c r="I300" s="134">
        <f ca="1"/>
        <v>9.7796725376262696E-3</v>
      </c>
      <c r="J300" s="120" t="s">
        <v>3</v>
      </c>
    </row>
    <row r="301" spans="1:10" x14ac:dyDescent="0.25">
      <c r="A301" s="126">
        <v>279</v>
      </c>
      <c r="B301" s="119"/>
      <c r="C301" s="136">
        <f>_xll.mirGetDate(C300,"1D","FOLLOWING",D$12,"NORMAL")</f>
        <v>42823</v>
      </c>
      <c r="D301" s="20">
        <f>_xll.mirGetDate(C301,D$17,"Following",D$12,"Normal")</f>
        <v>42824</v>
      </c>
      <c r="E301" s="134">
        <f ca="1"/>
        <v>6.7677757059314801E-3</v>
      </c>
      <c r="F301" s="7" t="s">
        <v>3</v>
      </c>
      <c r="G301" s="136">
        <f t="shared" si="4"/>
        <v>42823</v>
      </c>
      <c r="H301" s="20">
        <f>_xll.mirGetDate(G301,H$17,"Following",H$12,"Normal")</f>
        <v>42915</v>
      </c>
      <c r="I301" s="134">
        <f ca="1"/>
        <v>9.7856966259364745E-3</v>
      </c>
      <c r="J301" s="120" t="s">
        <v>3</v>
      </c>
    </row>
    <row r="302" spans="1:10" x14ac:dyDescent="0.25">
      <c r="A302" s="126">
        <v>280</v>
      </c>
      <c r="B302" s="119"/>
      <c r="C302" s="136">
        <f>_xll.mirGetDate(C301,"1D","FOLLOWING",D$12,"NORMAL")</f>
        <v>42824</v>
      </c>
      <c r="D302" s="20">
        <f>_xll.mirGetDate(C302,D$17,"Following",D$12,"Normal")</f>
        <v>42825</v>
      </c>
      <c r="E302" s="134">
        <f ca="1"/>
        <v>6.7812938035327862E-3</v>
      </c>
      <c r="F302" s="7" t="s">
        <v>3</v>
      </c>
      <c r="G302" s="136">
        <f t="shared" si="4"/>
        <v>42824</v>
      </c>
      <c r="H302" s="20">
        <f>_xll.mirGetDate(G302,H$17,"Following",H$12,"Normal")</f>
        <v>42916</v>
      </c>
      <c r="I302" s="134">
        <f ca="1"/>
        <v>9.7916715500085579E-3</v>
      </c>
      <c r="J302" s="120" t="s">
        <v>3</v>
      </c>
    </row>
    <row r="303" spans="1:10" x14ac:dyDescent="0.25">
      <c r="A303" s="126">
        <v>281</v>
      </c>
      <c r="B303" s="119"/>
      <c r="C303" s="136">
        <f>_xll.mirGetDate(C302,"1D","FOLLOWING",D$12,"NORMAL")</f>
        <v>42825</v>
      </c>
      <c r="D303" s="20">
        <f>_xll.mirGetDate(C303,D$17,"Following",D$12,"Normal")</f>
        <v>42828</v>
      </c>
      <c r="E303" s="134">
        <f ca="1"/>
        <v>6.8084710560612181E-3</v>
      </c>
      <c r="F303" s="7" t="s">
        <v>3</v>
      </c>
      <c r="G303" s="136">
        <f t="shared" si="4"/>
        <v>42825</v>
      </c>
      <c r="H303" s="20">
        <f>_xll.mirGetDate(G303,H$17,"Following",H$12,"Normal")</f>
        <v>42916</v>
      </c>
      <c r="I303" s="134">
        <f ca="1"/>
        <v>9.7976026605458028E-3</v>
      </c>
      <c r="J303" s="120" t="s">
        <v>3</v>
      </c>
    </row>
    <row r="304" spans="1:10" x14ac:dyDescent="0.25">
      <c r="A304" s="126">
        <v>282</v>
      </c>
      <c r="B304" s="119"/>
      <c r="C304" s="136">
        <f>_xll.mirGetDate(C303,"1D","FOLLOWING",D$12,"NORMAL")</f>
        <v>42828</v>
      </c>
      <c r="D304" s="20">
        <f>_xll.mirGetDate(C304,D$17,"Following",D$12,"Normal")</f>
        <v>42829</v>
      </c>
      <c r="E304" s="134">
        <f ca="1"/>
        <v>6.8354019125660657E-3</v>
      </c>
      <c r="F304" s="7" t="s">
        <v>3</v>
      </c>
      <c r="G304" s="136">
        <f t="shared" si="4"/>
        <v>42828</v>
      </c>
      <c r="H304" s="20">
        <f>_xll.mirGetDate(G304,H$17,"Following",H$12,"Normal")</f>
        <v>42919</v>
      </c>
      <c r="I304" s="134">
        <f ca="1"/>
        <v>9.8151866179813467E-3</v>
      </c>
      <c r="J304" s="120" t="s">
        <v>3</v>
      </c>
    </row>
    <row r="305" spans="1:10" x14ac:dyDescent="0.25">
      <c r="A305" s="126">
        <v>283</v>
      </c>
      <c r="B305" s="119"/>
      <c r="C305" s="136">
        <f>_xll.mirGetDate(C304,"1D","FOLLOWING",D$12,"NORMAL")</f>
        <v>42829</v>
      </c>
      <c r="D305" s="20">
        <f>_xll.mirGetDate(C305,D$17,"Following",D$12,"Normal")</f>
        <v>42830</v>
      </c>
      <c r="E305" s="134">
        <f ca="1"/>
        <v>6.8489366974589204E-3</v>
      </c>
      <c r="F305" s="7" t="s">
        <v>3</v>
      </c>
      <c r="G305" s="136">
        <f t="shared" si="4"/>
        <v>42829</v>
      </c>
      <c r="H305" s="20">
        <f>_xll.mirGetDate(G305,H$17,"Following",H$12,"Normal")</f>
        <v>42921</v>
      </c>
      <c r="I305" s="134">
        <f ca="1"/>
        <v>9.8209959814120704E-3</v>
      </c>
      <c r="J305" s="120" t="s">
        <v>3</v>
      </c>
    </row>
    <row r="306" spans="1:10" x14ac:dyDescent="0.25">
      <c r="A306" s="126">
        <v>284</v>
      </c>
      <c r="B306" s="119"/>
      <c r="C306" s="136">
        <f>_xll.mirGetDate(C305,"1D","FOLLOWING",D$12,"NORMAL")</f>
        <v>42830</v>
      </c>
      <c r="D306" s="20">
        <f>_xll.mirGetDate(C306,D$17,"Following",D$12,"Normal")</f>
        <v>42831</v>
      </c>
      <c r="E306" s="134">
        <f ca="1"/>
        <v>6.8624741164846868E-3</v>
      </c>
      <c r="F306" s="7" t="s">
        <v>3</v>
      </c>
      <c r="G306" s="136">
        <f t="shared" si="4"/>
        <v>42830</v>
      </c>
      <c r="H306" s="20">
        <f>_xll.mirGetDate(G306,H$17,"Following",H$12,"Normal")</f>
        <v>42921</v>
      </c>
      <c r="I306" s="134">
        <f ca="1"/>
        <v>9.8267882848243719E-3</v>
      </c>
      <c r="J306" s="120" t="s">
        <v>3</v>
      </c>
    </row>
    <row r="307" spans="1:10" x14ac:dyDescent="0.25">
      <c r="A307" s="126">
        <v>285</v>
      </c>
      <c r="B307" s="119"/>
      <c r="C307" s="136">
        <f>_xll.mirGetDate(C306,"1D","FOLLOWING",D$12,"NORMAL")</f>
        <v>42831</v>
      </c>
      <c r="D307" s="20">
        <f>_xll.mirGetDate(C307,D$17,"Following",D$12,"Normal")</f>
        <v>42832</v>
      </c>
      <c r="E307" s="134">
        <f ca="1"/>
        <v>6.8760139354307158E-3</v>
      </c>
      <c r="F307" s="7" t="s">
        <v>3</v>
      </c>
      <c r="G307" s="136">
        <f t="shared" si="4"/>
        <v>42831</v>
      </c>
      <c r="H307" s="20">
        <f>_xll.mirGetDate(G307,H$17,"Following",H$12,"Normal")</f>
        <v>42922</v>
      </c>
      <c r="I307" s="134">
        <f ca="1"/>
        <v>9.8325688789215274E-3</v>
      </c>
      <c r="J307" s="120" t="s">
        <v>3</v>
      </c>
    </row>
    <row r="308" spans="1:10" x14ac:dyDescent="0.25">
      <c r="A308" s="126">
        <v>286</v>
      </c>
      <c r="B308" s="119"/>
      <c r="C308" s="136">
        <f>_xll.mirGetDate(C307,"1D","FOLLOWING",D$12,"NORMAL")</f>
        <v>42832</v>
      </c>
      <c r="D308" s="20">
        <f>_xll.mirGetDate(C308,D$17,"Following",D$12,"Normal")</f>
        <v>42835</v>
      </c>
      <c r="E308" s="134">
        <f ca="1"/>
        <v>6.9032327698970407E-3</v>
      </c>
      <c r="F308" s="7" t="s">
        <v>3</v>
      </c>
      <c r="G308" s="136">
        <f t="shared" si="4"/>
        <v>42832</v>
      </c>
      <c r="H308" s="20">
        <f>_xll.mirGetDate(G308,H$17,"Following",H$12,"Normal")</f>
        <v>42923</v>
      </c>
      <c r="I308" s="134">
        <f ca="1"/>
        <v>9.8383431144068254E-3</v>
      </c>
      <c r="J308" s="120" t="s">
        <v>3</v>
      </c>
    </row>
    <row r="309" spans="1:10" x14ac:dyDescent="0.25">
      <c r="A309" s="126">
        <v>287</v>
      </c>
      <c r="B309" s="119"/>
      <c r="C309" s="136">
        <f>_xll.mirGetDate(C308,"1D","FOLLOWING",D$12,"NORMAL")</f>
        <v>42835</v>
      </c>
      <c r="D309" s="20">
        <f>_xll.mirGetDate(C309,D$17,"Following",D$12,"Normal")</f>
        <v>42836</v>
      </c>
      <c r="E309" s="134">
        <f ca="1"/>
        <v>6.9301925204085218E-3</v>
      </c>
      <c r="F309" s="7" t="s">
        <v>3</v>
      </c>
      <c r="G309" s="136">
        <f t="shared" si="4"/>
        <v>42835</v>
      </c>
      <c r="H309" s="20">
        <f>_xll.mirGetDate(G309,H$17,"Following",H$12,"Normal")</f>
        <v>42926</v>
      </c>
      <c r="I309" s="134">
        <f ca="1"/>
        <v>9.8556645561288132E-3</v>
      </c>
      <c r="J309" s="120" t="s">
        <v>3</v>
      </c>
    </row>
    <row r="310" spans="1:10" x14ac:dyDescent="0.25">
      <c r="A310" s="126">
        <v>288</v>
      </c>
      <c r="B310" s="119"/>
      <c r="C310" s="136">
        <f>_xll.mirGetDate(C309,"1D","FOLLOWING",D$12,"NORMAL")</f>
        <v>42836</v>
      </c>
      <c r="D310" s="20">
        <f>_xll.mirGetDate(C310,D$17,"Following",D$12,"Normal")</f>
        <v>42837</v>
      </c>
      <c r="E310" s="134">
        <f ca="1"/>
        <v>6.9437408220896189E-3</v>
      </c>
      <c r="F310" s="7" t="s">
        <v>3</v>
      </c>
      <c r="G310" s="136">
        <f t="shared" si="4"/>
        <v>42836</v>
      </c>
      <c r="H310" s="20">
        <f>_xll.mirGetDate(G310,H$17,"Following",H$12,"Normal")</f>
        <v>42927</v>
      </c>
      <c r="I310" s="134">
        <f ca="1"/>
        <v>9.8614420756382732E-3</v>
      </c>
      <c r="J310" s="120" t="s">
        <v>3</v>
      </c>
    </row>
    <row r="311" spans="1:10" x14ac:dyDescent="0.25">
      <c r="A311" s="126">
        <v>289</v>
      </c>
      <c r="B311" s="119"/>
      <c r="C311" s="136">
        <f>_xll.mirGetDate(C310,"1D","FOLLOWING",D$12,"NORMAL")</f>
        <v>42837</v>
      </c>
      <c r="D311" s="20">
        <f>_xll.mirGetDate(C311,D$17,"Following",D$12,"Normal")</f>
        <v>42838</v>
      </c>
      <c r="E311" s="134">
        <f ca="1"/>
        <v>6.9572901169756805E-3</v>
      </c>
      <c r="F311" s="7" t="s">
        <v>3</v>
      </c>
      <c r="G311" s="136">
        <f t="shared" si="4"/>
        <v>42837</v>
      </c>
      <c r="H311" s="20">
        <f>_xll.mirGetDate(G311,H$17,"Following",H$12,"Normal")</f>
        <v>42928</v>
      </c>
      <c r="I311" s="134">
        <f ca="1"/>
        <v>9.8672228890810728E-3</v>
      </c>
      <c r="J311" s="120" t="s">
        <v>3</v>
      </c>
    </row>
    <row r="312" spans="1:10" x14ac:dyDescent="0.25">
      <c r="A312" s="126">
        <v>290</v>
      </c>
      <c r="B312" s="119"/>
      <c r="C312" s="136">
        <f>_xll.mirGetDate(C311,"1D","FOLLOWING",D$12,"NORMAL")</f>
        <v>42838</v>
      </c>
      <c r="D312" s="20">
        <f>_xll.mirGetDate(C312,D$17,"Following",D$12,"Normal")</f>
        <v>42839</v>
      </c>
      <c r="E312" s="134">
        <f ca="1"/>
        <v>6.9708401707746755E-3</v>
      </c>
      <c r="F312" s="7" t="s">
        <v>3</v>
      </c>
      <c r="G312" s="136">
        <f t="shared" si="4"/>
        <v>42838</v>
      </c>
      <c r="H312" s="20">
        <f>_xll.mirGetDate(G312,H$17,"Following",H$12,"Normal")</f>
        <v>42929</v>
      </c>
      <c r="I312" s="134">
        <f ca="1"/>
        <v>9.8730078606367906E-3</v>
      </c>
      <c r="J312" s="120" t="s">
        <v>3</v>
      </c>
    </row>
    <row r="313" spans="1:10" x14ac:dyDescent="0.25">
      <c r="A313" s="126">
        <v>291</v>
      </c>
      <c r="B313" s="119"/>
      <c r="C313" s="136">
        <f>_xll.mirGetDate(C312,"1D","FOLLOWING",D$12,"NORMAL")</f>
        <v>42839</v>
      </c>
      <c r="D313" s="20">
        <f>_xll.mirGetDate(C313,D$17,"Following",D$12,"Normal")</f>
        <v>42842</v>
      </c>
      <c r="E313" s="134">
        <f ca="1"/>
        <v>6.9980776675926644E-3</v>
      </c>
      <c r="F313" s="7" t="s">
        <v>3</v>
      </c>
      <c r="G313" s="136">
        <f t="shared" si="4"/>
        <v>42839</v>
      </c>
      <c r="H313" s="20">
        <f>_xll.mirGetDate(G313,H$17,"Following",H$12,"Normal")</f>
        <v>42930</v>
      </c>
      <c r="I313" s="134">
        <f ca="1"/>
        <v>9.8787978544850018E-3</v>
      </c>
      <c r="J313" s="120" t="s">
        <v>3</v>
      </c>
    </row>
    <row r="314" spans="1:10" x14ac:dyDescent="0.25">
      <c r="A314" s="126">
        <v>292</v>
      </c>
      <c r="B314" s="119"/>
      <c r="C314" s="136">
        <f>_xll.mirGetDate(C313,"1D","FOLLOWING",D$12,"NORMAL")</f>
        <v>42842</v>
      </c>
      <c r="D314" s="20">
        <f>_xll.mirGetDate(C314,D$17,"Following",D$12,"Normal")</f>
        <v>42843</v>
      </c>
      <c r="E314" s="134">
        <f ca="1"/>
        <v>7.0250432863705721E-3</v>
      </c>
      <c r="F314" s="7" t="s">
        <v>3</v>
      </c>
      <c r="G314" s="136">
        <f t="shared" si="4"/>
        <v>42842</v>
      </c>
      <c r="H314" s="20">
        <f>_xll.mirGetDate(G314,H$17,"Following",H$12,"Normal")</f>
        <v>42933</v>
      </c>
      <c r="I314" s="134">
        <f ca="1"/>
        <v>9.8962066115803448E-3</v>
      </c>
      <c r="J314" s="120" t="s">
        <v>3</v>
      </c>
    </row>
    <row r="315" spans="1:10" x14ac:dyDescent="0.25">
      <c r="A315" s="126">
        <v>293</v>
      </c>
      <c r="B315" s="119"/>
      <c r="C315" s="136">
        <f>_xll.mirGetDate(C314,"1D","FOLLOWING",D$12,"NORMAL")</f>
        <v>42843</v>
      </c>
      <c r="D315" s="20">
        <f>_xll.mirGetDate(C315,D$17,"Following",D$12,"Normal")</f>
        <v>42844</v>
      </c>
      <c r="E315" s="134">
        <f ca="1"/>
        <v>7.0385936182671112E-3</v>
      </c>
      <c r="F315" s="7" t="s">
        <v>3</v>
      </c>
      <c r="G315" s="136">
        <f t="shared" si="4"/>
        <v>42843</v>
      </c>
      <c r="H315" s="20">
        <f>_xll.mirGetDate(G315,H$17,"Following",H$12,"Normal")</f>
        <v>42934</v>
      </c>
      <c r="I315" s="134">
        <f ca="1"/>
        <v>9.9020253363942771E-3</v>
      </c>
      <c r="J315" s="120" t="s">
        <v>3</v>
      </c>
    </row>
    <row r="316" spans="1:10" x14ac:dyDescent="0.25">
      <c r="A316" s="126">
        <v>294</v>
      </c>
      <c r="B316" s="119"/>
      <c r="C316" s="136">
        <f>_xll.mirGetDate(C315,"1D","FOLLOWING",D$12,"NORMAL")</f>
        <v>42844</v>
      </c>
      <c r="D316" s="20">
        <f>_xll.mirGetDate(C316,D$17,"Following",D$12,"Normal")</f>
        <v>42845</v>
      </c>
      <c r="E316" s="134">
        <f ca="1"/>
        <v>7.0521433026815824E-3</v>
      </c>
      <c r="F316" s="7" t="s">
        <v>3</v>
      </c>
      <c r="G316" s="136">
        <f t="shared" si="4"/>
        <v>42844</v>
      </c>
      <c r="H316" s="20">
        <f>_xll.mirGetDate(G316,H$17,"Following",H$12,"Normal")</f>
        <v>42935</v>
      </c>
      <c r="I316" s="134">
        <f ca="1"/>
        <v>9.9078534043985783E-3</v>
      </c>
      <c r="J316" s="120" t="s">
        <v>3</v>
      </c>
    </row>
    <row r="317" spans="1:10" x14ac:dyDescent="0.25">
      <c r="A317" s="126">
        <v>295</v>
      </c>
      <c r="B317" s="119"/>
      <c r="C317" s="136">
        <f>_xll.mirGetDate(C316,"1D","FOLLOWING",D$12,"NORMAL")</f>
        <v>42845</v>
      </c>
      <c r="D317" s="20">
        <f>_xll.mirGetDate(C317,D$17,"Following",D$12,"Normal")</f>
        <v>42846</v>
      </c>
      <c r="E317" s="134">
        <f ca="1"/>
        <v>7.0656921048417838E-3</v>
      </c>
      <c r="F317" s="7" t="s">
        <v>3</v>
      </c>
      <c r="G317" s="136">
        <f t="shared" si="4"/>
        <v>42845</v>
      </c>
      <c r="H317" s="20">
        <f>_xll.mirGetDate(G317,H$17,"Following",H$12,"Normal")</f>
        <v>42936</v>
      </c>
      <c r="I317" s="134">
        <f ca="1"/>
        <v>9.9136916797728236E-3</v>
      </c>
      <c r="J317" s="120" t="s">
        <v>3</v>
      </c>
    </row>
    <row r="318" spans="1:10" x14ac:dyDescent="0.25">
      <c r="A318" s="126">
        <v>296</v>
      </c>
      <c r="B318" s="119"/>
      <c r="C318" s="136">
        <f>_xll.mirGetDate(C317,"1D","FOLLOWING",D$12,"NORMAL")</f>
        <v>42846</v>
      </c>
      <c r="D318" s="20">
        <f>_xll.mirGetDate(C318,D$17,"Following",D$12,"Normal")</f>
        <v>42849</v>
      </c>
      <c r="E318" s="134">
        <f ca="1"/>
        <v>7.0929253414409284E-3</v>
      </c>
      <c r="F318" s="7" t="s">
        <v>3</v>
      </c>
      <c r="G318" s="136">
        <f t="shared" si="4"/>
        <v>42846</v>
      </c>
      <c r="H318" s="20">
        <f>_xll.mirGetDate(G318,H$17,"Following",H$12,"Normal")</f>
        <v>42937</v>
      </c>
      <c r="I318" s="134">
        <f ca="1"/>
        <v>9.9195410266965864E-3</v>
      </c>
      <c r="J318" s="120" t="s">
        <v>3</v>
      </c>
    </row>
    <row r="319" spans="1:10" x14ac:dyDescent="0.25">
      <c r="A319" s="126">
        <v>297</v>
      </c>
      <c r="B319" s="119"/>
      <c r="C319" s="136">
        <f>_xll.mirGetDate(C318,"1D","FOLLOWING",D$12,"NORMAL")</f>
        <v>42849</v>
      </c>
      <c r="D319" s="20">
        <f>_xll.mirGetDate(C319,D$17,"Following",D$12,"Normal")</f>
        <v>42850</v>
      </c>
      <c r="E319" s="134">
        <f ca="1"/>
        <v>7.119873805487867E-3</v>
      </c>
      <c r="F319" s="7" t="s">
        <v>3</v>
      </c>
      <c r="G319" s="136">
        <f t="shared" si="4"/>
        <v>42849</v>
      </c>
      <c r="H319" s="20">
        <f>_xll.mirGetDate(G319,H$17,"Following",H$12,"Normal")</f>
        <v>42940</v>
      </c>
      <c r="I319" s="134">
        <f ca="1"/>
        <v>9.9371641385607359E-3</v>
      </c>
      <c r="J319" s="120" t="s">
        <v>3</v>
      </c>
    </row>
    <row r="320" spans="1:10" x14ac:dyDescent="0.25">
      <c r="A320" s="126">
        <v>298</v>
      </c>
      <c r="B320" s="119"/>
      <c r="C320" s="136">
        <f>_xll.mirGetDate(C319,"1D","FOLLOWING",D$12,"NORMAL")</f>
        <v>42850</v>
      </c>
      <c r="D320" s="20">
        <f>_xll.mirGetDate(C320,D$17,"Following",D$12,"Normal")</f>
        <v>42851</v>
      </c>
      <c r="E320" s="134">
        <f ca="1"/>
        <v>7.1334146813484519E-3</v>
      </c>
      <c r="F320" s="7" t="s">
        <v>3</v>
      </c>
      <c r="G320" s="136">
        <f t="shared" si="4"/>
        <v>42850</v>
      </c>
      <c r="H320" s="20">
        <f>_xll.mirGetDate(G320,H$17,"Following",H$12,"Normal")</f>
        <v>42941</v>
      </c>
      <c r="I320" s="134">
        <f ca="1"/>
        <v>9.9430664134783214E-3</v>
      </c>
      <c r="J320" s="120" t="s">
        <v>3</v>
      </c>
    </row>
    <row r="321" spans="1:10" x14ac:dyDescent="0.25">
      <c r="A321" s="126">
        <v>299</v>
      </c>
      <c r="B321" s="119"/>
      <c r="C321" s="136">
        <f>_xll.mirGetDate(C320,"1D","FOLLOWING",D$12,"NORMAL")</f>
        <v>42851</v>
      </c>
      <c r="D321" s="20">
        <f>_xll.mirGetDate(C321,D$17,"Following",D$12,"Normal")</f>
        <v>42852</v>
      </c>
      <c r="E321" s="134">
        <f ca="1"/>
        <v>7.1469532687196387E-3</v>
      </c>
      <c r="F321" s="7" t="s">
        <v>3</v>
      </c>
      <c r="G321" s="136">
        <f t="shared" si="4"/>
        <v>42851</v>
      </c>
      <c r="H321" s="20">
        <f>_xll.mirGetDate(G321,H$17,"Following",H$12,"Normal")</f>
        <v>42942</v>
      </c>
      <c r="I321" s="134">
        <f ca="1"/>
        <v>9.9489840808433035E-3</v>
      </c>
      <c r="J321" s="120" t="s">
        <v>3</v>
      </c>
    </row>
    <row r="322" spans="1:10" x14ac:dyDescent="0.25">
      <c r="A322" s="126">
        <v>300</v>
      </c>
      <c r="B322" s="119"/>
      <c r="C322" s="136">
        <f>_xll.mirGetDate(C321,"1D","FOLLOWING",D$12,"NORMAL")</f>
        <v>42852</v>
      </c>
      <c r="D322" s="20">
        <f>_xll.mirGetDate(C322,D$17,"Following",D$12,"Normal")</f>
        <v>42853</v>
      </c>
      <c r="E322" s="134">
        <f ca="1"/>
        <v>7.1604893332289062E-3</v>
      </c>
      <c r="F322" s="7" t="s">
        <v>3</v>
      </c>
      <c r="G322" s="136">
        <f t="shared" si="4"/>
        <v>42852</v>
      </c>
      <c r="H322" s="20">
        <f>_xll.mirGetDate(G322,H$17,"Following",H$12,"Normal")</f>
        <v>42943</v>
      </c>
      <c r="I322" s="134">
        <f ca="1"/>
        <v>9.9549180048352504E-3</v>
      </c>
      <c r="J322" s="120" t="s">
        <v>3</v>
      </c>
    </row>
    <row r="323" spans="1:10" x14ac:dyDescent="0.25">
      <c r="A323" s="126">
        <v>301</v>
      </c>
      <c r="B323" s="119"/>
      <c r="C323" s="136">
        <f>_xll.mirGetDate(C322,"1D","FOLLOWING",D$12,"NORMAL")</f>
        <v>42853</v>
      </c>
      <c r="D323" s="20">
        <f>_xll.mirGetDate(C323,D$17,"Following",D$12,"Normal")</f>
        <v>42856</v>
      </c>
      <c r="E323" s="134">
        <f ca="1"/>
        <v>7.1876953834415754E-3</v>
      </c>
      <c r="F323" s="7" t="s">
        <v>3</v>
      </c>
      <c r="G323" s="136">
        <f t="shared" si="4"/>
        <v>42853</v>
      </c>
      <c r="H323" s="20">
        <f>_xll.mirGetDate(G323,H$17,"Following",H$12,"Normal")</f>
        <v>42944</v>
      </c>
      <c r="I323" s="134">
        <f ca="1"/>
        <v>9.9608690496337422E-3</v>
      </c>
      <c r="J323" s="120" t="s">
        <v>3</v>
      </c>
    </row>
    <row r="324" spans="1:10" x14ac:dyDescent="0.25">
      <c r="A324" s="126">
        <v>302</v>
      </c>
      <c r="B324" s="119"/>
      <c r="C324" s="136">
        <f>_xll.mirGetDate(C323,"1D","FOLLOWING",D$12,"NORMAL")</f>
        <v>42856</v>
      </c>
      <c r="D324" s="20">
        <f>_xll.mirGetDate(C324,D$17,"Following",D$12,"Normal")</f>
        <v>42857</v>
      </c>
      <c r="E324" s="134">
        <f ca="1"/>
        <v>7.2146036731180179E-3</v>
      </c>
      <c r="F324" s="7" t="s">
        <v>3</v>
      </c>
      <c r="G324" s="136">
        <f t="shared" si="4"/>
        <v>42856</v>
      </c>
      <c r="H324" s="20">
        <f>_xll.mirGetDate(G324,H$17,"Following",H$12,"Normal")</f>
        <v>42948</v>
      </c>
      <c r="I324" s="134">
        <f ca="1"/>
        <v>9.9788335506642324E-3</v>
      </c>
      <c r="J324" s="120" t="s">
        <v>3</v>
      </c>
    </row>
    <row r="325" spans="1:10" x14ac:dyDescent="0.25">
      <c r="A325" s="126">
        <v>303</v>
      </c>
      <c r="B325" s="119"/>
      <c r="C325" s="136">
        <f>_xll.mirGetDate(C324,"1D","FOLLOWING",D$12,"NORMAL")</f>
        <v>42857</v>
      </c>
      <c r="D325" s="20">
        <f>_xll.mirGetDate(C325,D$17,"Following",D$12,"Normal")</f>
        <v>42858</v>
      </c>
      <c r="E325" s="134">
        <f ca="1"/>
        <v>7.2281236066101843E-3</v>
      </c>
      <c r="F325" s="7" t="s">
        <v>3</v>
      </c>
      <c r="G325" s="136">
        <f t="shared" si="4"/>
        <v>42857</v>
      </c>
      <c r="H325" s="20">
        <f>_xll.mirGetDate(G325,H$17,"Following",H$12,"Normal")</f>
        <v>42949</v>
      </c>
      <c r="I325" s="134">
        <f ca="1"/>
        <v>9.9848617204846505E-3</v>
      </c>
      <c r="J325" s="120" t="s">
        <v>3</v>
      </c>
    </row>
    <row r="326" spans="1:10" x14ac:dyDescent="0.25">
      <c r="A326" s="126">
        <v>304</v>
      </c>
      <c r="B326" s="119"/>
      <c r="C326" s="136">
        <f>_xll.mirGetDate(C325,"1D","FOLLOWING",D$12,"NORMAL")</f>
        <v>42858</v>
      </c>
      <c r="D326" s="20">
        <f>_xll.mirGetDate(C326,D$17,"Following",D$12,"Normal")</f>
        <v>42859</v>
      </c>
      <c r="E326" s="134">
        <f ca="1"/>
        <v>7.2416396105268437E-3</v>
      </c>
      <c r="F326" s="7" t="s">
        <v>3</v>
      </c>
      <c r="G326" s="136">
        <f t="shared" si="4"/>
        <v>42858</v>
      </c>
      <c r="H326" s="20">
        <f>_xll.mirGetDate(G326,H$17,"Following",H$12,"Normal")</f>
        <v>42950</v>
      </c>
      <c r="I326" s="134">
        <f ca="1"/>
        <v>9.9909113320094875E-3</v>
      </c>
      <c r="J326" s="120" t="s">
        <v>3</v>
      </c>
    </row>
    <row r="327" spans="1:10" x14ac:dyDescent="0.25">
      <c r="A327" s="126">
        <v>305</v>
      </c>
      <c r="B327" s="119"/>
      <c r="C327" s="136">
        <f>_xll.mirGetDate(C326,"1D","FOLLOWING",D$12,"NORMAL")</f>
        <v>42859</v>
      </c>
      <c r="D327" s="20">
        <f>_xll.mirGetDate(C327,D$17,"Following",D$12,"Normal")</f>
        <v>42860</v>
      </c>
      <c r="E327" s="134">
        <f ca="1"/>
        <v>7.2551514507335473E-3</v>
      </c>
      <c r="F327" s="7" t="s">
        <v>3</v>
      </c>
      <c r="G327" s="136">
        <f t="shared" si="4"/>
        <v>42859</v>
      </c>
      <c r="H327" s="20">
        <f>_xll.mirGetDate(G327,H$17,"Following",H$12,"Normal")</f>
        <v>42951</v>
      </c>
      <c r="I327" s="134">
        <f ca="1"/>
        <v>9.9969832494183168E-3</v>
      </c>
      <c r="J327" s="120" t="s">
        <v>3</v>
      </c>
    </row>
    <row r="328" spans="1:10" x14ac:dyDescent="0.25">
      <c r="A328" s="126">
        <v>306</v>
      </c>
      <c r="B328" s="119"/>
      <c r="C328" s="136">
        <f>_xll.mirGetDate(C327,"1D","FOLLOWING",D$12,"NORMAL")</f>
        <v>42860</v>
      </c>
      <c r="D328" s="20">
        <f>_xll.mirGetDate(C328,D$17,"Following",D$12,"Normal")</f>
        <v>42863</v>
      </c>
      <c r="E328" s="134">
        <f ca="1"/>
        <v>7.28230738535454E-3</v>
      </c>
      <c r="F328" s="7" t="s">
        <v>3</v>
      </c>
      <c r="G328" s="136">
        <f t="shared" si="4"/>
        <v>42860</v>
      </c>
      <c r="H328" s="20">
        <f>_xll.mirGetDate(G328,H$17,"Following",H$12,"Normal")</f>
        <v>42954</v>
      </c>
      <c r="I328" s="134">
        <f ca="1"/>
        <v>1.0003078336890717E-2</v>
      </c>
      <c r="J328" s="120" t="s">
        <v>3</v>
      </c>
    </row>
    <row r="329" spans="1:10" x14ac:dyDescent="0.25">
      <c r="A329" s="126">
        <v>307</v>
      </c>
      <c r="B329" s="119"/>
      <c r="C329" s="136">
        <f>_xll.mirGetDate(C328,"1D","FOLLOWING",D$12,"NORMAL")</f>
        <v>42863</v>
      </c>
      <c r="D329" s="20">
        <f>_xll.mirGetDate(C329,D$17,"Following",D$12,"Normal")</f>
        <v>42864</v>
      </c>
      <c r="E329" s="134">
        <f ca="1"/>
        <v>7.3091524843782712E-3</v>
      </c>
      <c r="F329" s="7" t="s">
        <v>3</v>
      </c>
      <c r="G329" s="136">
        <f t="shared" si="4"/>
        <v>42863</v>
      </c>
      <c r="H329" s="20">
        <f>_xll.mirGetDate(G329,H$17,"Following",H$12,"Normal")</f>
        <v>42955</v>
      </c>
      <c r="I329" s="134">
        <f ca="1"/>
        <v>1.002151126148508E-2</v>
      </c>
      <c r="J329" s="120" t="s">
        <v>3</v>
      </c>
    </row>
    <row r="330" spans="1:10" x14ac:dyDescent="0.25">
      <c r="A330" s="126">
        <v>308</v>
      </c>
      <c r="B330" s="119"/>
      <c r="C330" s="136">
        <f>_xll.mirGetDate(C329,"1D","FOLLOWING",D$12,"NORMAL")</f>
        <v>42864</v>
      </c>
      <c r="D330" s="20">
        <f>_xll.mirGetDate(C330,D$17,"Following",D$12,"Normal")</f>
        <v>42865</v>
      </c>
      <c r="E330" s="134">
        <f ca="1"/>
        <v>7.3226399888515464E-3</v>
      </c>
      <c r="F330" s="7" t="s">
        <v>3</v>
      </c>
      <c r="G330" s="136">
        <f t="shared" si="4"/>
        <v>42864</v>
      </c>
      <c r="H330" s="20">
        <f>_xll.mirGetDate(G330,H$17,"Following",H$12,"Normal")</f>
        <v>42956</v>
      </c>
      <c r="I330" s="134">
        <f ca="1"/>
        <v>1.0027707671007507E-2</v>
      </c>
      <c r="J330" s="120" t="s">
        <v>3</v>
      </c>
    </row>
    <row r="331" spans="1:10" x14ac:dyDescent="0.25">
      <c r="A331" s="126">
        <v>309</v>
      </c>
      <c r="B331" s="119"/>
      <c r="C331" s="136">
        <f>_xll.mirGetDate(C330,"1D","FOLLOWING",D$12,"NORMAL")</f>
        <v>42865</v>
      </c>
      <c r="D331" s="20">
        <f>_xll.mirGetDate(C331,D$17,"Following",D$12,"Normal")</f>
        <v>42866</v>
      </c>
      <c r="E331" s="134">
        <f ca="1"/>
        <v>7.3361219231405077E-3</v>
      </c>
      <c r="F331" s="7" t="s">
        <v>3</v>
      </c>
      <c r="G331" s="136">
        <f t="shared" si="4"/>
        <v>42865</v>
      </c>
      <c r="H331" s="20">
        <f>_xll.mirGetDate(G331,H$17,"Following",H$12,"Normal")</f>
        <v>42957</v>
      </c>
      <c r="I331" s="134">
        <f ca="1"/>
        <v>1.0033931571491376E-2</v>
      </c>
      <c r="J331" s="120" t="s">
        <v>3</v>
      </c>
    </row>
    <row r="332" spans="1:10" x14ac:dyDescent="0.25">
      <c r="A332" s="126">
        <v>310</v>
      </c>
      <c r="B332" s="119"/>
      <c r="C332" s="136">
        <f>_xll.mirGetDate(C331,"1D","FOLLOWING",D$12,"NORMAL")</f>
        <v>42866</v>
      </c>
      <c r="D332" s="20">
        <f>_xll.mirGetDate(C332,D$17,"Following",D$12,"Normal")</f>
        <v>42867</v>
      </c>
      <c r="E332" s="134">
        <f ca="1"/>
        <v>7.3495980525528897E-3</v>
      </c>
      <c r="F332" s="7" t="s">
        <v>3</v>
      </c>
      <c r="G332" s="136">
        <f t="shared" si="4"/>
        <v>42866</v>
      </c>
      <c r="H332" s="20">
        <f>_xll.mirGetDate(G332,H$17,"Following",H$12,"Normal")</f>
        <v>42958</v>
      </c>
      <c r="I332" s="134">
        <f ca="1"/>
        <v>1.0040183827116266E-2</v>
      </c>
      <c r="J332" s="120" t="s">
        <v>3</v>
      </c>
    </row>
    <row r="333" spans="1:10" x14ac:dyDescent="0.25">
      <c r="A333" s="126">
        <v>311</v>
      </c>
      <c r="B333" s="119"/>
      <c r="C333" s="136">
        <f>_xll.mirGetDate(C332,"1D","FOLLOWING",D$12,"NORMAL")</f>
        <v>42867</v>
      </c>
      <c r="D333" s="20">
        <f>_xll.mirGetDate(C333,D$17,"Following",D$12,"Normal")</f>
        <v>42870</v>
      </c>
      <c r="E333" s="134">
        <f ca="1"/>
        <v>7.3766809387265913E-3</v>
      </c>
      <c r="F333" s="7" t="s">
        <v>3</v>
      </c>
      <c r="G333" s="136">
        <f t="shared" si="4"/>
        <v>42867</v>
      </c>
      <c r="H333" s="20">
        <f>_xll.mirGetDate(G333,H$17,"Following",H$12,"Normal")</f>
        <v>42961</v>
      </c>
      <c r="I333" s="134">
        <f ca="1"/>
        <v>1.0046465302061752E-2</v>
      </c>
      <c r="J333" s="120" t="s">
        <v>3</v>
      </c>
    </row>
    <row r="334" spans="1:10" x14ac:dyDescent="0.25">
      <c r="A334" s="126">
        <v>312</v>
      </c>
      <c r="B334" s="119"/>
      <c r="C334" s="136">
        <f>_xll.mirGetDate(C333,"1D","FOLLOWING",D$12,"NORMAL")</f>
        <v>42870</v>
      </c>
      <c r="D334" s="20">
        <f>_xll.mirGetDate(C334,D$17,"Following",D$12,"Normal")</f>
        <v>42871</v>
      </c>
      <c r="E334" s="134">
        <f ca="1"/>
        <v>7.4034398342260038E-3</v>
      </c>
      <c r="F334" s="7" t="s">
        <v>3</v>
      </c>
      <c r="G334" s="136">
        <f t="shared" si="4"/>
        <v>42870</v>
      </c>
      <c r="H334" s="20">
        <f>_xll.mirGetDate(G334,H$17,"Following",H$12,"Normal")</f>
        <v>42962</v>
      </c>
      <c r="I334" s="134">
        <f ca="1"/>
        <v>1.0065493684617521E-2</v>
      </c>
      <c r="J334" s="120" t="s">
        <v>3</v>
      </c>
    </row>
    <row r="335" spans="1:10" x14ac:dyDescent="0.25">
      <c r="A335" s="126">
        <v>313</v>
      </c>
      <c r="B335" s="119"/>
      <c r="C335" s="136">
        <f>_xll.mirGetDate(C334,"1D","FOLLOWING",D$12,"NORMAL")</f>
        <v>42871</v>
      </c>
      <c r="D335" s="20">
        <f>_xll.mirGetDate(C335,D$17,"Following",D$12,"Normal")</f>
        <v>42872</v>
      </c>
      <c r="E335" s="134">
        <f ca="1"/>
        <v>7.4168834235077957E-3</v>
      </c>
      <c r="F335" s="7" t="s">
        <v>3</v>
      </c>
      <c r="G335" s="136">
        <f t="shared" si="4"/>
        <v>42871</v>
      </c>
      <c r="H335" s="20">
        <f>_xll.mirGetDate(G335,H$17,"Following",H$12,"Normal")</f>
        <v>42963</v>
      </c>
      <c r="I335" s="134">
        <f ca="1"/>
        <v>1.0071900678641133E-2</v>
      </c>
      <c r="J335" s="120" t="s">
        <v>3</v>
      </c>
    </row>
    <row r="336" spans="1:10" x14ac:dyDescent="0.25">
      <c r="A336" s="126">
        <v>314</v>
      </c>
      <c r="B336" s="119"/>
      <c r="C336" s="136">
        <f>_xll.mirGetDate(C335,"1D","FOLLOWING",D$12,"NORMAL")</f>
        <v>42872</v>
      </c>
      <c r="D336" s="20">
        <f>_xll.mirGetDate(C336,D$17,"Following",D$12,"Normal")</f>
        <v>42873</v>
      </c>
      <c r="E336" s="134">
        <f ca="1"/>
        <v>7.4303198015180077E-3</v>
      </c>
      <c r="F336" s="7" t="s">
        <v>3</v>
      </c>
      <c r="G336" s="136">
        <f t="shared" si="4"/>
        <v>42872</v>
      </c>
      <c r="H336" s="20">
        <f>_xll.mirGetDate(G336,H$17,"Following",H$12,"Normal")</f>
        <v>42964</v>
      </c>
      <c r="I336" s="134">
        <f ca="1"/>
        <v>1.0078341212883214E-2</v>
      </c>
      <c r="J336" s="120" t="s">
        <v>3</v>
      </c>
    </row>
    <row r="337" spans="1:10" x14ac:dyDescent="0.25">
      <c r="A337" s="126">
        <v>315</v>
      </c>
      <c r="B337" s="119"/>
      <c r="C337" s="136">
        <f>_xll.mirGetDate(C336,"1D","FOLLOWING",D$12,"NORMAL")</f>
        <v>42873</v>
      </c>
      <c r="D337" s="20">
        <f>_xll.mirGetDate(C337,D$17,"Following",D$12,"Normal")</f>
        <v>42874</v>
      </c>
      <c r="E337" s="134">
        <f ca="1"/>
        <v>7.4437487338041824E-3</v>
      </c>
      <c r="F337" s="7" t="s">
        <v>3</v>
      </c>
      <c r="G337" s="136">
        <f t="shared" si="4"/>
        <v>42873</v>
      </c>
      <c r="H337" s="20">
        <f>_xll.mirGetDate(G337,H$17,"Following",H$12,"Normal")</f>
        <v>42965</v>
      </c>
      <c r="I337" s="134">
        <f ca="1"/>
        <v>1.0084816151523342E-2</v>
      </c>
      <c r="J337" s="120" t="s">
        <v>3</v>
      </c>
    </row>
    <row r="338" spans="1:10" x14ac:dyDescent="0.25">
      <c r="A338" s="126">
        <v>316</v>
      </c>
      <c r="B338" s="119"/>
      <c r="C338" s="136">
        <f>_xll.mirGetDate(C337,"1D","FOLLOWING",D$12,"NORMAL")</f>
        <v>42874</v>
      </c>
      <c r="D338" s="20">
        <f>_xll.mirGetDate(C338,D$17,"Following",D$12,"Normal")</f>
        <v>42877</v>
      </c>
      <c r="E338" s="134">
        <f ca="1"/>
        <v>7.4707356348380485E-3</v>
      </c>
      <c r="F338" s="7" t="s">
        <v>3</v>
      </c>
      <c r="G338" s="136">
        <f t="shared" si="4"/>
        <v>42874</v>
      </c>
      <c r="H338" s="20">
        <f>_xll.mirGetDate(G338,H$17,"Following",H$12,"Normal")</f>
        <v>42968</v>
      </c>
      <c r="I338" s="134">
        <f ca="1"/>
        <v>1.0091326358741087E-2</v>
      </c>
      <c r="J338" s="120" t="s">
        <v>3</v>
      </c>
    </row>
    <row r="339" spans="1:10" x14ac:dyDescent="0.25">
      <c r="A339" s="126">
        <v>317</v>
      </c>
      <c r="B339" s="119"/>
      <c r="C339" s="136">
        <f>_xll.mirGetDate(C338,"1D","FOLLOWING",D$12,"NORMAL")</f>
        <v>42877</v>
      </c>
      <c r="D339" s="20">
        <f>_xll.mirGetDate(C339,D$17,"Following",D$12,"Normal")</f>
        <v>42878</v>
      </c>
      <c r="E339" s="134">
        <f ca="1"/>
        <v>7.4973853176985286E-3</v>
      </c>
      <c r="F339" s="7" t="s">
        <v>3</v>
      </c>
      <c r="G339" s="136">
        <f t="shared" si="4"/>
        <v>42877</v>
      </c>
      <c r="H339" s="20">
        <f>_xll.mirGetDate(G339,H$17,"Following",H$12,"Normal")</f>
        <v>42969</v>
      </c>
      <c r="I339" s="134">
        <f ca="1"/>
        <v>1.0111077233655796E-2</v>
      </c>
      <c r="J339" s="120" t="s">
        <v>3</v>
      </c>
    </row>
    <row r="340" spans="1:10" x14ac:dyDescent="0.25">
      <c r="A340" s="126">
        <v>318</v>
      </c>
      <c r="B340" s="119"/>
      <c r="C340" s="136">
        <f>_xll.mirGetDate(C339,"1D","FOLLOWING",D$12,"NORMAL")</f>
        <v>42878</v>
      </c>
      <c r="D340" s="20">
        <f>_xll.mirGetDate(C340,D$17,"Following",D$12,"Normal")</f>
        <v>42879</v>
      </c>
      <c r="E340" s="134">
        <f ca="1"/>
        <v>7.5177691880501654E-3</v>
      </c>
      <c r="F340" s="7" t="s">
        <v>3</v>
      </c>
      <c r="G340" s="136">
        <f t="shared" si="4"/>
        <v>42878</v>
      </c>
      <c r="H340" s="20">
        <f>_xll.mirGetDate(G340,H$17,"Following",H$12,"Normal")</f>
        <v>42970</v>
      </c>
      <c r="I340" s="134">
        <f ca="1"/>
        <v>1.0117737156979771E-2</v>
      </c>
      <c r="J340" s="120" t="s">
        <v>3</v>
      </c>
    </row>
    <row r="341" spans="1:10" x14ac:dyDescent="0.25">
      <c r="A341" s="126">
        <v>319</v>
      </c>
      <c r="B341" s="119"/>
      <c r="C341" s="136">
        <f>_xll.mirGetDate(C340,"1D","FOLLOWING",D$12,"NORMAL")</f>
        <v>42879</v>
      </c>
      <c r="D341" s="20">
        <f>_xll.mirGetDate(C341,D$17,"Following",D$12,"Normal")</f>
        <v>42880</v>
      </c>
      <c r="E341" s="134">
        <f ca="1"/>
        <v>7.5446666447920576E-3</v>
      </c>
      <c r="F341" s="7" t="s">
        <v>3</v>
      </c>
      <c r="G341" s="136">
        <f t="shared" si="4"/>
        <v>42879</v>
      </c>
      <c r="H341" s="20">
        <f>_xll.mirGetDate(G341,H$17,"Following",H$12,"Normal")</f>
        <v>42971</v>
      </c>
      <c r="I341" s="134">
        <f ca="1"/>
        <v>1.0124421205611933E-2</v>
      </c>
      <c r="J341" s="120" t="s">
        <v>3</v>
      </c>
    </row>
    <row r="342" spans="1:10" x14ac:dyDescent="0.25">
      <c r="A342" s="126">
        <v>320</v>
      </c>
      <c r="B342" s="119"/>
      <c r="C342" s="136">
        <f>_xll.mirGetDate(C341,"1D","FOLLOWING",D$12,"NORMAL")</f>
        <v>42880</v>
      </c>
      <c r="D342" s="20">
        <f>_xll.mirGetDate(C342,D$17,"Following",D$12,"Normal")</f>
        <v>42881</v>
      </c>
      <c r="E342" s="134">
        <f ca="1"/>
        <v>7.5708398733359316E-3</v>
      </c>
      <c r="F342" s="7" t="s">
        <v>3</v>
      </c>
      <c r="G342" s="136">
        <f t="shared" si="4"/>
        <v>42880</v>
      </c>
      <c r="H342" s="20">
        <f>_xll.mirGetDate(G342,H$17,"Following",H$12,"Normal")</f>
        <v>42972</v>
      </c>
      <c r="I342" s="134">
        <f ca="1"/>
        <v>1.0131114692560342E-2</v>
      </c>
      <c r="J342" s="120" t="s">
        <v>3</v>
      </c>
    </row>
    <row r="343" spans="1:10" x14ac:dyDescent="0.25">
      <c r="A343" s="126">
        <v>321</v>
      </c>
      <c r="B343" s="119"/>
      <c r="C343" s="136">
        <f>_xll.mirGetDate(C342,"1D","FOLLOWING",D$12,"NORMAL")</f>
        <v>42881</v>
      </c>
      <c r="D343" s="20">
        <f>_xll.mirGetDate(C343,D$17,"Following",D$12,"Normal")</f>
        <v>42885</v>
      </c>
      <c r="E343" s="134">
        <f ca="1"/>
        <v>7.6328309436335664E-3</v>
      </c>
      <c r="F343" s="7" t="s">
        <v>3</v>
      </c>
      <c r="G343" s="136">
        <f t="shared" si="4"/>
        <v>42881</v>
      </c>
      <c r="H343" s="20">
        <f>_xll.mirGetDate(G343,H$17,"Following",H$12,"Normal")</f>
        <v>42975</v>
      </c>
      <c r="I343" s="134">
        <f ca="1"/>
        <v>1.0137818351498275E-2</v>
      </c>
      <c r="J343" s="120" t="s">
        <v>3</v>
      </c>
    </row>
    <row r="344" spans="1:10" x14ac:dyDescent="0.25">
      <c r="A344" s="126">
        <v>322</v>
      </c>
      <c r="B344" s="119"/>
      <c r="C344" s="136">
        <f>_xll.mirGetDate(C343,"1D","FOLLOWING",D$12,"NORMAL")</f>
        <v>42885</v>
      </c>
      <c r="D344" s="20">
        <f>_xll.mirGetDate(C344,D$17,"Following",D$12,"Normal")</f>
        <v>42886</v>
      </c>
      <c r="E344" s="134">
        <f ca="1"/>
        <v>7.690588204507548E-3</v>
      </c>
      <c r="F344" s="7" t="s">
        <v>3</v>
      </c>
      <c r="G344" s="136">
        <f t="shared" ref="G344:G407" si="5">$C344</f>
        <v>42885</v>
      </c>
      <c r="H344" s="20">
        <f>_xll.mirGetDate(G344,H$17,"Following",H$12,"Normal")</f>
        <v>42977</v>
      </c>
      <c r="I344" s="134">
        <f ca="1"/>
        <v>1.0164749380610721E-2</v>
      </c>
      <c r="J344" s="120" t="s">
        <v>3</v>
      </c>
    </row>
    <row r="345" spans="1:10" x14ac:dyDescent="0.25">
      <c r="A345" s="126">
        <v>323</v>
      </c>
      <c r="B345" s="119"/>
      <c r="C345" s="136">
        <f>_xll.mirGetDate(C344,"1D","FOLLOWING",D$12,"NORMAL")</f>
        <v>42886</v>
      </c>
      <c r="D345" s="20">
        <f>_xll.mirGetDate(C345,D$17,"Following",D$12,"Normal")</f>
        <v>42887</v>
      </c>
      <c r="E345" s="134">
        <f ca="1"/>
        <v>7.7122634314008842E-3</v>
      </c>
      <c r="F345" s="7" t="s">
        <v>3</v>
      </c>
      <c r="G345" s="136">
        <f t="shared" si="5"/>
        <v>42886</v>
      </c>
      <c r="H345" s="20">
        <f>_xll.mirGetDate(G345,H$17,"Following",H$12,"Normal")</f>
        <v>42978</v>
      </c>
      <c r="I345" s="134">
        <f ca="1"/>
        <v>1.0171514904595381E-2</v>
      </c>
      <c r="J345" s="120" t="s">
        <v>3</v>
      </c>
    </row>
    <row r="346" spans="1:10" x14ac:dyDescent="0.25">
      <c r="A346" s="126">
        <v>324</v>
      </c>
      <c r="B346" s="119"/>
      <c r="C346" s="136">
        <f>_xll.mirGetDate(C345,"1D","FOLLOWING",D$12,"NORMAL")</f>
        <v>42887</v>
      </c>
      <c r="D346" s="20">
        <f>_xll.mirGetDate(C346,D$17,"Following",D$12,"Normal")</f>
        <v>42888</v>
      </c>
      <c r="E346" s="134">
        <f ca="1"/>
        <v>7.7331635529543086E-3</v>
      </c>
      <c r="F346" s="7" t="s">
        <v>3</v>
      </c>
      <c r="G346" s="136">
        <f t="shared" si="5"/>
        <v>42887</v>
      </c>
      <c r="H346" s="20">
        <f>_xll.mirGetDate(G346,H$17,"Following",H$12,"Normal")</f>
        <v>42979</v>
      </c>
      <c r="I346" s="134">
        <f ca="1"/>
        <v>1.0178295002609205E-2</v>
      </c>
      <c r="J346" s="120" t="s">
        <v>3</v>
      </c>
    </row>
    <row r="347" spans="1:10" x14ac:dyDescent="0.25">
      <c r="A347" s="126">
        <v>325</v>
      </c>
      <c r="B347" s="119"/>
      <c r="C347" s="136">
        <f>_xll.mirGetDate(C346,"1D","FOLLOWING",D$12,"NORMAL")</f>
        <v>42888</v>
      </c>
      <c r="D347" s="20">
        <f>_xll.mirGetDate(C347,D$17,"Following",D$12,"Normal")</f>
        <v>42891</v>
      </c>
      <c r="E347" s="134">
        <f ca="1"/>
        <v>7.7725115747817874E-3</v>
      </c>
      <c r="F347" s="7" t="s">
        <v>3</v>
      </c>
      <c r="G347" s="136">
        <f t="shared" si="5"/>
        <v>42888</v>
      </c>
      <c r="H347" s="20">
        <f>_xll.mirGetDate(G347,H$17,"Following",H$12,"Normal")</f>
        <v>42983</v>
      </c>
      <c r="I347" s="134">
        <f ca="1"/>
        <v>1.0185090408325471E-2</v>
      </c>
      <c r="J347" s="120" t="s">
        <v>3</v>
      </c>
    </row>
    <row r="348" spans="1:10" x14ac:dyDescent="0.25">
      <c r="A348" s="126">
        <v>326</v>
      </c>
      <c r="B348" s="119"/>
      <c r="C348" s="136">
        <f>_xll.mirGetDate(C347,"1D","FOLLOWING",D$12,"NORMAL")</f>
        <v>42891</v>
      </c>
      <c r="D348" s="20">
        <f>_xll.mirGetDate(C348,D$17,"Following",D$12,"Normal")</f>
        <v>42892</v>
      </c>
      <c r="E348" s="134">
        <f ca="1"/>
        <v>7.7971607281135669E-3</v>
      </c>
      <c r="F348" s="7" t="s">
        <v>3</v>
      </c>
      <c r="G348" s="136">
        <f t="shared" si="5"/>
        <v>42891</v>
      </c>
      <c r="H348" s="20">
        <f>_xll.mirGetDate(G348,H$17,"Following",H$12,"Normal")</f>
        <v>42983</v>
      </c>
      <c r="I348" s="134">
        <f ca="1"/>
        <v>1.0205575808421651E-2</v>
      </c>
      <c r="J348" s="120" t="s">
        <v>3</v>
      </c>
    </row>
    <row r="349" spans="1:10" x14ac:dyDescent="0.25">
      <c r="A349" s="126">
        <v>327</v>
      </c>
      <c r="B349" s="119"/>
      <c r="C349" s="136">
        <f>_xll.mirGetDate(C348,"1D","FOLLOWING",D$12,"NORMAL")</f>
        <v>42892</v>
      </c>
      <c r="D349" s="20">
        <f>_xll.mirGetDate(C349,D$17,"Following",D$12,"Normal")</f>
        <v>42893</v>
      </c>
      <c r="E349" s="134">
        <f ca="1"/>
        <v>7.8100343479637069E-3</v>
      </c>
      <c r="F349" s="7" t="s">
        <v>3</v>
      </c>
      <c r="G349" s="136">
        <f t="shared" si="5"/>
        <v>42892</v>
      </c>
      <c r="H349" s="20">
        <f>_xll.mirGetDate(G349,H$17,"Following",H$12,"Normal")</f>
        <v>42984</v>
      </c>
      <c r="I349" s="134">
        <f ca="1"/>
        <v>1.0212439781680415E-2</v>
      </c>
      <c r="J349" s="120" t="s">
        <v>3</v>
      </c>
    </row>
    <row r="350" spans="1:10" x14ac:dyDescent="0.25">
      <c r="A350" s="126">
        <v>328</v>
      </c>
      <c r="B350" s="119"/>
      <c r="C350" s="136">
        <f>_xll.mirGetDate(C349,"1D","FOLLOWING",D$12,"NORMAL")</f>
        <v>42893</v>
      </c>
      <c r="D350" s="20">
        <f>_xll.mirGetDate(C350,D$17,"Following",D$12,"Normal")</f>
        <v>42894</v>
      </c>
      <c r="E350" s="134">
        <f ca="1"/>
        <v>7.822884175165995E-3</v>
      </c>
      <c r="F350" s="7" t="s">
        <v>3</v>
      </c>
      <c r="G350" s="136">
        <f t="shared" si="5"/>
        <v>42893</v>
      </c>
      <c r="H350" s="20">
        <f>_xll.mirGetDate(G350,H$17,"Following",H$12,"Normal")</f>
        <v>42985</v>
      </c>
      <c r="I350" s="134">
        <f ca="1"/>
        <v>1.0219322731007993E-2</v>
      </c>
      <c r="J350" s="120" t="s">
        <v>3</v>
      </c>
    </row>
    <row r="351" spans="1:10" x14ac:dyDescent="0.25">
      <c r="A351" s="126">
        <v>329</v>
      </c>
      <c r="B351" s="119"/>
      <c r="C351" s="136">
        <f>_xll.mirGetDate(C350,"1D","FOLLOWING",D$12,"NORMAL")</f>
        <v>42894</v>
      </c>
      <c r="D351" s="20">
        <f>_xll.mirGetDate(C351,D$17,"Following",D$12,"Normal")</f>
        <v>42895</v>
      </c>
      <c r="E351" s="134">
        <f ca="1"/>
        <v>7.8357102091608788E-3</v>
      </c>
      <c r="F351" s="7" t="s">
        <v>3</v>
      </c>
      <c r="G351" s="136">
        <f t="shared" si="5"/>
        <v>42894</v>
      </c>
      <c r="H351" s="20">
        <f>_xll.mirGetDate(G351,H$17,"Following",H$12,"Normal")</f>
        <v>42986</v>
      </c>
      <c r="I351" s="134">
        <f ca="1"/>
        <v>1.0226225390077653E-2</v>
      </c>
      <c r="J351" s="120" t="s">
        <v>3</v>
      </c>
    </row>
    <row r="352" spans="1:10" x14ac:dyDescent="0.25">
      <c r="A352" s="126">
        <v>330</v>
      </c>
      <c r="B352" s="119"/>
      <c r="C352" s="136">
        <f>_xll.mirGetDate(C351,"1D","FOLLOWING",D$12,"NORMAL")</f>
        <v>42895</v>
      </c>
      <c r="D352" s="20">
        <f>_xll.mirGetDate(C352,D$17,"Following",D$12,"Normal")</f>
        <v>42898</v>
      </c>
      <c r="E352" s="134">
        <f ca="1"/>
        <v>7.861454629276593E-3</v>
      </c>
      <c r="F352" s="7" t="s">
        <v>3</v>
      </c>
      <c r="G352" s="136">
        <f t="shared" si="5"/>
        <v>42895</v>
      </c>
      <c r="H352" s="20">
        <f>_xll.mirGetDate(G352,H$17,"Following",H$12,"Normal")</f>
        <v>42989</v>
      </c>
      <c r="I352" s="134">
        <f ca="1"/>
        <v>1.0233148492562672E-2</v>
      </c>
      <c r="J352" s="120" t="s">
        <v>3</v>
      </c>
    </row>
    <row r="353" spans="1:10" x14ac:dyDescent="0.25">
      <c r="A353" s="126">
        <v>331</v>
      </c>
      <c r="B353" s="119"/>
      <c r="C353" s="136">
        <f>_xll.mirGetDate(C352,"1D","FOLLOWING",D$12,"NORMAL")</f>
        <v>42898</v>
      </c>
      <c r="D353" s="20">
        <f>_xll.mirGetDate(C353,D$17,"Following",D$12,"Normal")</f>
        <v>42899</v>
      </c>
      <c r="E353" s="134">
        <f ca="1"/>
        <v>7.8867763965196069E-3</v>
      </c>
      <c r="F353" s="7" t="s">
        <v>3</v>
      </c>
      <c r="G353" s="136">
        <f t="shared" si="5"/>
        <v>42898</v>
      </c>
      <c r="H353" s="20">
        <f>_xll.mirGetDate(G353,H$17,"Following",H$12,"Normal")</f>
        <v>42990</v>
      </c>
      <c r="I353" s="134">
        <f ca="1"/>
        <v>1.0254047797242609E-2</v>
      </c>
      <c r="J353" s="120" t="s">
        <v>3</v>
      </c>
    </row>
    <row r="354" spans="1:10" x14ac:dyDescent="0.25">
      <c r="A354" s="126">
        <v>332</v>
      </c>
      <c r="B354" s="119"/>
      <c r="C354" s="136">
        <f>_xll.mirGetDate(C353,"1D","FOLLOWING",D$12,"NORMAL")</f>
        <v>42899</v>
      </c>
      <c r="D354" s="20">
        <f>_xll.mirGetDate(C354,D$17,"Following",D$12,"Normal")</f>
        <v>42900</v>
      </c>
      <c r="E354" s="134">
        <f ca="1"/>
        <v>7.8994834525669966E-3</v>
      </c>
      <c r="F354" s="7" t="s">
        <v>3</v>
      </c>
      <c r="G354" s="136">
        <f t="shared" si="5"/>
        <v>42899</v>
      </c>
      <c r="H354" s="20">
        <f>_xll.mirGetDate(G354,H$17,"Following",H$12,"Normal")</f>
        <v>42991</v>
      </c>
      <c r="I354" s="134">
        <f ca="1"/>
        <v>1.0261060010121798E-2</v>
      </c>
      <c r="J354" s="120" t="s">
        <v>3</v>
      </c>
    </row>
    <row r="355" spans="1:10" x14ac:dyDescent="0.25">
      <c r="A355" s="126">
        <v>333</v>
      </c>
      <c r="B355" s="119"/>
      <c r="C355" s="136">
        <f>_xll.mirGetDate(C354,"1D","FOLLOWING",D$12,"NORMAL")</f>
        <v>42900</v>
      </c>
      <c r="D355" s="20">
        <f>_xll.mirGetDate(C355,D$17,"Following",D$12,"Normal")</f>
        <v>42901</v>
      </c>
      <c r="E355" s="134">
        <f ca="1"/>
        <v>7.9121667106907545E-3</v>
      </c>
      <c r="F355" s="7" t="s">
        <v>3</v>
      </c>
      <c r="G355" s="136">
        <f t="shared" si="5"/>
        <v>42900</v>
      </c>
      <c r="H355" s="20">
        <f>_xll.mirGetDate(G355,H$17,"Following",H$12,"Normal")</f>
        <v>42992</v>
      </c>
      <c r="I355" s="134">
        <f ca="1"/>
        <v>1.0268096334782713E-2</v>
      </c>
      <c r="J355" s="120" t="s">
        <v>3</v>
      </c>
    </row>
    <row r="356" spans="1:10" x14ac:dyDescent="0.25">
      <c r="A356" s="126">
        <v>334</v>
      </c>
      <c r="B356" s="119"/>
      <c r="C356" s="136">
        <f>_xll.mirGetDate(C355,"1D","FOLLOWING",D$12,"NORMAL")</f>
        <v>42901</v>
      </c>
      <c r="D356" s="20">
        <f>_xll.mirGetDate(C356,D$17,"Following",D$12,"Normal")</f>
        <v>42902</v>
      </c>
      <c r="E356" s="134">
        <f ca="1"/>
        <v>7.9248261700915201E-3</v>
      </c>
      <c r="F356" s="7" t="s">
        <v>3</v>
      </c>
      <c r="G356" s="136">
        <f t="shared" si="5"/>
        <v>42901</v>
      </c>
      <c r="H356" s="20">
        <f>_xll.mirGetDate(G356,H$17,"Following",H$12,"Normal")</f>
        <v>42993</v>
      </c>
      <c r="I356" s="134">
        <f ca="1"/>
        <v>1.0275157504898628E-2</v>
      </c>
      <c r="J356" s="120" t="s">
        <v>3</v>
      </c>
    </row>
    <row r="357" spans="1:10" x14ac:dyDescent="0.25">
      <c r="A357" s="126">
        <v>335</v>
      </c>
      <c r="B357" s="119"/>
      <c r="C357" s="136">
        <f>_xll.mirGetDate(C356,"1D","FOLLOWING",D$12,"NORMAL")</f>
        <v>42902</v>
      </c>
      <c r="D357" s="20">
        <f>_xll.mirGetDate(C357,D$17,"Following",D$12,"Normal")</f>
        <v>42905</v>
      </c>
      <c r="E357" s="134">
        <f ca="1"/>
        <v>7.9502413226338157E-3</v>
      </c>
      <c r="F357" s="7" t="s">
        <v>3</v>
      </c>
      <c r="G357" s="136">
        <f t="shared" si="5"/>
        <v>42902</v>
      </c>
      <c r="H357" s="20">
        <f>_xll.mirGetDate(G357,H$17,"Following",H$12,"Normal")</f>
        <v>42996</v>
      </c>
      <c r="I357" s="134">
        <f ca="1"/>
        <v>1.0282244254142821E-2</v>
      </c>
      <c r="J357" s="120" t="s">
        <v>3</v>
      </c>
    </row>
    <row r="358" spans="1:10" x14ac:dyDescent="0.25">
      <c r="A358" s="126">
        <v>336</v>
      </c>
      <c r="B358" s="119"/>
      <c r="C358" s="136">
        <f>_xll.mirGetDate(C357,"1D","FOLLOWING",D$12,"NORMAL")</f>
        <v>42905</v>
      </c>
      <c r="D358" s="20">
        <f>_xll.mirGetDate(C358,D$17,"Following",D$12,"Normal")</f>
        <v>42906</v>
      </c>
      <c r="E358" s="134">
        <f ca="1"/>
        <v>7.9752260050370005E-3</v>
      </c>
      <c r="F358" s="7" t="s">
        <v>3</v>
      </c>
      <c r="G358" s="136">
        <f t="shared" si="5"/>
        <v>42905</v>
      </c>
      <c r="H358" s="20">
        <f>_xll.mirGetDate(G358,H$17,"Following",H$12,"Normal")</f>
        <v>42997</v>
      </c>
      <c r="I358" s="134">
        <f ca="1"/>
        <v>1.0303665313377782E-2</v>
      </c>
      <c r="J358" s="120" t="s">
        <v>3</v>
      </c>
    </row>
    <row r="359" spans="1:10" x14ac:dyDescent="0.25">
      <c r="A359" s="126">
        <v>337</v>
      </c>
      <c r="B359" s="119"/>
      <c r="C359" s="136">
        <f>_xll.mirGetDate(C358,"1D","FOLLOWING",D$12,"NORMAL")</f>
        <v>42906</v>
      </c>
      <c r="D359" s="20">
        <f>_xll.mirGetDate(C359,D$17,"Following",D$12,"Normal")</f>
        <v>42907</v>
      </c>
      <c r="E359" s="134">
        <f ca="1"/>
        <v>7.9877664589123321E-3</v>
      </c>
      <c r="F359" s="7" t="s">
        <v>3</v>
      </c>
      <c r="G359" s="136">
        <f t="shared" si="5"/>
        <v>42906</v>
      </c>
      <c r="H359" s="20">
        <f>_xll.mirGetDate(G359,H$17,"Following",H$12,"Normal")</f>
        <v>42998</v>
      </c>
      <c r="I359" s="134">
        <f ca="1"/>
        <v>1.0310861715867812E-2</v>
      </c>
      <c r="J359" s="120" t="s">
        <v>3</v>
      </c>
    </row>
    <row r="360" spans="1:10" x14ac:dyDescent="0.25">
      <c r="A360" s="126">
        <v>338</v>
      </c>
      <c r="B360" s="119"/>
      <c r="C360" s="136">
        <f>_xll.mirGetDate(C359,"1D","FOLLOWING",D$12,"NORMAL")</f>
        <v>42907</v>
      </c>
      <c r="D360" s="20">
        <f>_xll.mirGetDate(C360,D$17,"Following",D$12,"Normal")</f>
        <v>42908</v>
      </c>
      <c r="E360" s="134">
        <f ca="1"/>
        <v>8.0002831093484439E-3</v>
      </c>
      <c r="F360" s="7" t="s">
        <v>3</v>
      </c>
      <c r="G360" s="136">
        <f t="shared" si="5"/>
        <v>42907</v>
      </c>
      <c r="H360" s="20">
        <f>_xll.mirGetDate(G360,H$17,"Following",H$12,"Normal")</f>
        <v>42999</v>
      </c>
      <c r="I360" s="134">
        <f ca="1"/>
        <v>1.0318087365852486E-2</v>
      </c>
      <c r="J360" s="120" t="s">
        <v>3</v>
      </c>
    </row>
    <row r="361" spans="1:10" x14ac:dyDescent="0.25">
      <c r="A361" s="126">
        <v>339</v>
      </c>
      <c r="B361" s="119"/>
      <c r="C361" s="136">
        <f>_xll.mirGetDate(C360,"1D","FOLLOWING",D$12,"NORMAL")</f>
        <v>42908</v>
      </c>
      <c r="D361" s="20">
        <f>_xll.mirGetDate(C361,D$17,"Following",D$12,"Normal")</f>
        <v>42909</v>
      </c>
      <c r="E361" s="134">
        <f ca="1"/>
        <v>8.0127759551462951E-3</v>
      </c>
      <c r="F361" s="7" t="s">
        <v>3</v>
      </c>
      <c r="G361" s="136">
        <f t="shared" si="5"/>
        <v>42908</v>
      </c>
      <c r="H361" s="20">
        <f>_xll.mirGetDate(G361,H$17,"Following",H$12,"Normal")</f>
        <v>43000</v>
      </c>
      <c r="I361" s="134">
        <f ca="1"/>
        <v>1.0325424592344526E-2</v>
      </c>
      <c r="J361" s="120" t="s">
        <v>3</v>
      </c>
    </row>
    <row r="362" spans="1:10" x14ac:dyDescent="0.25">
      <c r="A362" s="126">
        <v>340</v>
      </c>
      <c r="B362" s="119"/>
      <c r="C362" s="136">
        <f>_xll.mirGetDate(C361,"1D","FOLLOWING",D$12,"NORMAL")</f>
        <v>42909</v>
      </c>
      <c r="D362" s="20">
        <f>_xll.mirGetDate(C362,D$17,"Following",D$12,"Normal")</f>
        <v>42912</v>
      </c>
      <c r="E362" s="134">
        <f ca="1"/>
        <v>8.0378617521859319E-3</v>
      </c>
      <c r="F362" s="7" t="s">
        <v>3</v>
      </c>
      <c r="G362" s="136">
        <f t="shared" si="5"/>
        <v>42909</v>
      </c>
      <c r="H362" s="20">
        <f>_xll.mirGetDate(G362,H$17,"Following",H$12,"Normal")</f>
        <v>43003</v>
      </c>
      <c r="I362" s="134">
        <f ca="1"/>
        <v>1.0332938550860402E-2</v>
      </c>
      <c r="J362" s="120" t="s">
        <v>3</v>
      </c>
    </row>
    <row r="363" spans="1:10" x14ac:dyDescent="0.25">
      <c r="A363" s="126">
        <v>341</v>
      </c>
      <c r="B363" s="119"/>
      <c r="C363" s="136">
        <f>_xll.mirGetDate(C362,"1D","FOLLOWING",D$12,"NORMAL")</f>
        <v>42912</v>
      </c>
      <c r="D363" s="20">
        <f>_xll.mirGetDate(C363,D$17,"Following",D$12,"Normal")</f>
        <v>42913</v>
      </c>
      <c r="E363" s="134">
        <f ca="1"/>
        <v>8.0625092770070534E-3</v>
      </c>
      <c r="F363" s="7" t="s">
        <v>3</v>
      </c>
      <c r="G363" s="136">
        <f t="shared" si="5"/>
        <v>42912</v>
      </c>
      <c r="H363" s="20">
        <f>_xll.mirGetDate(G363,H$17,"Following",H$12,"Normal")</f>
        <v>43004</v>
      </c>
      <c r="I363" s="134">
        <f ca="1"/>
        <v>1.0356290552840059E-2</v>
      </c>
      <c r="J363" s="120" t="s">
        <v>3</v>
      </c>
    </row>
    <row r="364" spans="1:10" x14ac:dyDescent="0.25">
      <c r="A364" s="126">
        <v>342</v>
      </c>
      <c r="B364" s="119"/>
      <c r="C364" s="136">
        <f>_xll.mirGetDate(C363,"1D","FOLLOWING",D$12,"NORMAL")</f>
        <v>42913</v>
      </c>
      <c r="D364" s="20">
        <f>_xll.mirGetDate(C364,D$17,"Following",D$12,"Normal")</f>
        <v>42914</v>
      </c>
      <c r="E364" s="134">
        <f ca="1"/>
        <v>8.0748830877830653E-3</v>
      </c>
      <c r="F364" s="7" t="s">
        <v>3</v>
      </c>
      <c r="G364" s="136">
        <f t="shared" si="5"/>
        <v>42913</v>
      </c>
      <c r="H364" s="20">
        <f>_xll.mirGetDate(G364,H$17,"Following",H$12,"Normal")</f>
        <v>43005</v>
      </c>
      <c r="I364" s="134">
        <f ca="1"/>
        <v>1.0364261173740289E-2</v>
      </c>
      <c r="J364" s="120" t="s">
        <v>3</v>
      </c>
    </row>
    <row r="365" spans="1:10" x14ac:dyDescent="0.25">
      <c r="A365" s="126">
        <v>343</v>
      </c>
      <c r="B365" s="119"/>
      <c r="C365" s="136">
        <f>_xll.mirGetDate(C364,"1D","FOLLOWING",D$12,"NORMAL")</f>
        <v>42914</v>
      </c>
      <c r="D365" s="20">
        <f>_xll.mirGetDate(C365,D$17,"Following",D$12,"Normal")</f>
        <v>42915</v>
      </c>
      <c r="E365" s="134">
        <f ca="1"/>
        <v>8.0872330886450367E-3</v>
      </c>
      <c r="F365" s="7" t="s">
        <v>3</v>
      </c>
      <c r="G365" s="136">
        <f t="shared" si="5"/>
        <v>42914</v>
      </c>
      <c r="H365" s="20">
        <f>_xll.mirGetDate(G365,H$17,"Following",H$12,"Normal")</f>
        <v>43006</v>
      </c>
      <c r="I365" s="134">
        <f ca="1"/>
        <v>1.0372283393808855E-2</v>
      </c>
      <c r="J365" s="120" t="s">
        <v>3</v>
      </c>
    </row>
    <row r="366" spans="1:10" x14ac:dyDescent="0.25">
      <c r="A366" s="126">
        <v>344</v>
      </c>
      <c r="B366" s="119"/>
      <c r="C366" s="136">
        <f>_xll.mirGetDate(C365,"1D","FOLLOWING",D$12,"NORMAL")</f>
        <v>42915</v>
      </c>
      <c r="D366" s="20">
        <f>_xll.mirGetDate(C366,D$17,"Following",D$12,"Normal")</f>
        <v>42916</v>
      </c>
      <c r="E366" s="134">
        <f ca="1"/>
        <v>8.0995592791133515E-3</v>
      </c>
      <c r="F366" s="7" t="s">
        <v>3</v>
      </c>
      <c r="G366" s="136">
        <f t="shared" si="5"/>
        <v>42915</v>
      </c>
      <c r="H366" s="20">
        <f>_xll.mirGetDate(G366,H$17,"Following",H$12,"Normal")</f>
        <v>43007</v>
      </c>
      <c r="I366" s="134">
        <f ca="1"/>
        <v>1.0380332186474661E-2</v>
      </c>
      <c r="J366" s="120" t="s">
        <v>3</v>
      </c>
    </row>
    <row r="367" spans="1:10" x14ac:dyDescent="0.25">
      <c r="A367" s="126">
        <v>345</v>
      </c>
      <c r="B367" s="119"/>
      <c r="C367" s="136">
        <f>_xll.mirGetDate(C366,"1D","FOLLOWING",D$12,"NORMAL")</f>
        <v>42916</v>
      </c>
      <c r="D367" s="20">
        <f>_xll.mirGetDate(C367,D$17,"Following",D$12,"Normal")</f>
        <v>42919</v>
      </c>
      <c r="E367" s="134">
        <f ca="1"/>
        <v>8.1243156252864008E-3</v>
      </c>
      <c r="F367" s="7" t="s">
        <v>3</v>
      </c>
      <c r="G367" s="136">
        <f t="shared" si="5"/>
        <v>42916</v>
      </c>
      <c r="H367" s="20">
        <f>_xll.mirGetDate(G367,H$17,"Following",H$12,"Normal")</f>
        <v>43010</v>
      </c>
      <c r="I367" s="134">
        <f ca="1"/>
        <v>1.0388385951952772E-2</v>
      </c>
      <c r="J367" s="120" t="s">
        <v>3</v>
      </c>
    </row>
    <row r="368" spans="1:10" x14ac:dyDescent="0.25">
      <c r="A368" s="126">
        <v>346</v>
      </c>
      <c r="B368" s="119"/>
      <c r="C368" s="136">
        <f>_xll.mirGetDate(C367,"1D","FOLLOWING",D$12,"NORMAL")</f>
        <v>42919</v>
      </c>
      <c r="D368" s="20">
        <f>_xll.mirGetDate(C368,D$17,"Following",D$12,"Normal")</f>
        <v>42921</v>
      </c>
      <c r="E368" s="134">
        <f ca="1"/>
        <v>8.1548218381622146E-3</v>
      </c>
      <c r="F368" s="7" t="s">
        <v>3</v>
      </c>
      <c r="G368" s="136">
        <f t="shared" si="5"/>
        <v>42919</v>
      </c>
      <c r="H368" s="20">
        <f>_xll.mirGetDate(G368,H$17,"Following",H$12,"Normal")</f>
        <v>43011</v>
      </c>
      <c r="I368" s="134">
        <f ca="1"/>
        <v>1.0412545987502343E-2</v>
      </c>
      <c r="J368" s="120" t="s">
        <v>3</v>
      </c>
    </row>
    <row r="369" spans="1:10" x14ac:dyDescent="0.25">
      <c r="A369" s="126">
        <v>347</v>
      </c>
      <c r="B369" s="119"/>
      <c r="C369" s="136">
        <f>_xll.mirGetDate(C368,"1D","FOLLOWING",D$12,"NORMAL")</f>
        <v>42921</v>
      </c>
      <c r="D369" s="20">
        <f>_xll.mirGetDate(C369,D$17,"Following",D$12,"Normal")</f>
        <v>42922</v>
      </c>
      <c r="E369" s="134">
        <f ca="1"/>
        <v>8.1730163465821033E-3</v>
      </c>
      <c r="F369" s="7" t="s">
        <v>3</v>
      </c>
      <c r="G369" s="136">
        <f t="shared" si="5"/>
        <v>42921</v>
      </c>
      <c r="H369" s="20">
        <f>_xll.mirGetDate(G369,H$17,"Following",H$12,"Normal")</f>
        <v>43013</v>
      </c>
      <c r="I369" s="134">
        <f ca="1"/>
        <v>1.042865031221988E-2</v>
      </c>
      <c r="J369" s="120" t="s">
        <v>3</v>
      </c>
    </row>
    <row r="370" spans="1:10" x14ac:dyDescent="0.25">
      <c r="A370" s="126">
        <v>348</v>
      </c>
      <c r="B370" s="119"/>
      <c r="C370" s="136">
        <f>_xll.mirGetDate(C369,"1D","FOLLOWING",D$12,"NORMAL")</f>
        <v>42922</v>
      </c>
      <c r="D370" s="20">
        <f>_xll.mirGetDate(C370,D$17,"Following",D$12,"Normal")</f>
        <v>42923</v>
      </c>
      <c r="E370" s="134">
        <f ca="1"/>
        <v>8.1851758365570088E-3</v>
      </c>
      <c r="F370" s="7" t="s">
        <v>3</v>
      </c>
      <c r="G370" s="136">
        <f t="shared" si="5"/>
        <v>42922</v>
      </c>
      <c r="H370" s="20">
        <f>_xll.mirGetDate(G370,H$17,"Following",H$12,"Normal")</f>
        <v>43014</v>
      </c>
      <c r="I370" s="134">
        <f ca="1"/>
        <v>1.0436701371144157E-2</v>
      </c>
      <c r="J370" s="120" t="s">
        <v>3</v>
      </c>
    </row>
    <row r="371" spans="1:10" x14ac:dyDescent="0.25">
      <c r="A371" s="126">
        <v>349</v>
      </c>
      <c r="B371" s="119"/>
      <c r="C371" s="136">
        <f>_xll.mirGetDate(C370,"1D","FOLLOWING",D$12,"NORMAL")</f>
        <v>42923</v>
      </c>
      <c r="D371" s="20">
        <f>_xll.mirGetDate(C371,D$17,"Following",D$12,"Normal")</f>
        <v>42926</v>
      </c>
      <c r="E371" s="134">
        <f ca="1"/>
        <v>8.2096026292786447E-3</v>
      </c>
      <c r="F371" s="7" t="s">
        <v>3</v>
      </c>
      <c r="G371" s="136">
        <f t="shared" si="5"/>
        <v>42923</v>
      </c>
      <c r="H371" s="20">
        <f>_xll.mirGetDate(G371,H$17,"Following",H$12,"Normal")</f>
        <v>43018</v>
      </c>
      <c r="I371" s="134">
        <f ca="1"/>
        <v>1.0444751519449956E-2</v>
      </c>
      <c r="J371" s="120" t="s">
        <v>3</v>
      </c>
    </row>
    <row r="372" spans="1:10" x14ac:dyDescent="0.25">
      <c r="A372" s="126">
        <v>350</v>
      </c>
      <c r="B372" s="119"/>
      <c r="C372" s="136">
        <f>_xll.mirGetDate(C371,"1D","FOLLOWING",D$12,"NORMAL")</f>
        <v>42926</v>
      </c>
      <c r="D372" s="20">
        <f>_xll.mirGetDate(C372,D$17,"Following",D$12,"Normal")</f>
        <v>42927</v>
      </c>
      <c r="E372" s="134">
        <f ca="1"/>
        <v>8.2335756051499526E-3</v>
      </c>
      <c r="F372" s="7" t="s">
        <v>3</v>
      </c>
      <c r="G372" s="136">
        <f t="shared" si="5"/>
        <v>42926</v>
      </c>
      <c r="H372" s="20">
        <f>_xll.mirGetDate(G372,H$17,"Following",H$12,"Normal")</f>
        <v>43018</v>
      </c>
      <c r="I372" s="134">
        <f ca="1"/>
        <v>1.0468895188190368E-2</v>
      </c>
      <c r="J372" s="120" t="s">
        <v>3</v>
      </c>
    </row>
    <row r="373" spans="1:10" x14ac:dyDescent="0.25">
      <c r="A373" s="126">
        <v>351</v>
      </c>
      <c r="B373" s="119"/>
      <c r="C373" s="136">
        <f>_xll.mirGetDate(C372,"1D","FOLLOWING",D$12,"NORMAL")</f>
        <v>42927</v>
      </c>
      <c r="D373" s="20">
        <f>_xll.mirGetDate(C373,D$17,"Following",D$12,"Normal")</f>
        <v>42928</v>
      </c>
      <c r="E373" s="134">
        <f ca="1"/>
        <v>8.2456159943955793E-3</v>
      </c>
      <c r="F373" s="7" t="s">
        <v>3</v>
      </c>
      <c r="G373" s="136">
        <f t="shared" si="5"/>
        <v>42927</v>
      </c>
      <c r="H373" s="20">
        <f>_xll.mirGetDate(G373,H$17,"Following",H$12,"Normal")</f>
        <v>43019</v>
      </c>
      <c r="I373" s="134">
        <f ca="1"/>
        <v>1.0476940381556134E-2</v>
      </c>
      <c r="J373" s="120" t="s">
        <v>3</v>
      </c>
    </row>
    <row r="374" spans="1:10" x14ac:dyDescent="0.25">
      <c r="A374" s="126">
        <v>352</v>
      </c>
      <c r="B374" s="119"/>
      <c r="C374" s="136">
        <f>_xll.mirGetDate(C373,"1D","FOLLOWING",D$12,"NORMAL")</f>
        <v>42928</v>
      </c>
      <c r="D374" s="20">
        <f>_xll.mirGetDate(C374,D$17,"Following",D$12,"Normal")</f>
        <v>42929</v>
      </c>
      <c r="E374" s="134">
        <f ca="1"/>
        <v>8.2576325606176521E-3</v>
      </c>
      <c r="F374" s="7" t="s">
        <v>3</v>
      </c>
      <c r="G374" s="136">
        <f t="shared" si="5"/>
        <v>42928</v>
      </c>
      <c r="H374" s="20">
        <f>_xll.mirGetDate(G374,H$17,"Following",H$12,"Normal")</f>
        <v>43020</v>
      </c>
      <c r="I374" s="134">
        <f ca="1"/>
        <v>1.0484984008070361E-2</v>
      </c>
      <c r="J374" s="120" t="s">
        <v>3</v>
      </c>
    </row>
    <row r="375" spans="1:10" x14ac:dyDescent="0.25">
      <c r="A375" s="126">
        <v>353</v>
      </c>
      <c r="B375" s="119"/>
      <c r="C375" s="136">
        <f>_xll.mirGetDate(C374,"1D","FOLLOWING",D$12,"NORMAL")</f>
        <v>42929</v>
      </c>
      <c r="D375" s="20">
        <f>_xll.mirGetDate(C375,D$17,"Following",D$12,"Normal")</f>
        <v>42930</v>
      </c>
      <c r="E375" s="134">
        <f ca="1"/>
        <v>8.2696253026171302E-3</v>
      </c>
      <c r="F375" s="7" t="s">
        <v>3</v>
      </c>
      <c r="G375" s="136">
        <f t="shared" si="5"/>
        <v>42929</v>
      </c>
      <c r="H375" s="20">
        <f>_xll.mirGetDate(G375,H$17,"Following",H$12,"Normal")</f>
        <v>43021</v>
      </c>
      <c r="I375" s="134">
        <f ca="1"/>
        <v>1.0493025936486437E-2</v>
      </c>
      <c r="J375" s="120" t="s">
        <v>3</v>
      </c>
    </row>
    <row r="376" spans="1:10" x14ac:dyDescent="0.25">
      <c r="A376" s="126">
        <v>354</v>
      </c>
      <c r="B376" s="119"/>
      <c r="C376" s="136">
        <f>_xll.mirGetDate(C375,"1D","FOLLOWING",D$12,"NORMAL")</f>
        <v>42930</v>
      </c>
      <c r="D376" s="20">
        <f>_xll.mirGetDate(C376,D$17,"Following",D$12,"Normal")</f>
        <v>42933</v>
      </c>
      <c r="E376" s="134">
        <f ca="1"/>
        <v>8.2937224318158382E-3</v>
      </c>
      <c r="F376" s="7" t="s">
        <v>3</v>
      </c>
      <c r="G376" s="136">
        <f t="shared" si="5"/>
        <v>42930</v>
      </c>
      <c r="H376" s="20">
        <f>_xll.mirGetDate(G376,H$17,"Following",H$12,"Normal")</f>
        <v>43024</v>
      </c>
      <c r="I376" s="134">
        <f ca="1"/>
        <v>1.0501066035557744E-2</v>
      </c>
      <c r="J376" s="120" t="s">
        <v>3</v>
      </c>
    </row>
    <row r="377" spans="1:10" x14ac:dyDescent="0.25">
      <c r="A377" s="126">
        <v>355</v>
      </c>
      <c r="B377" s="119"/>
      <c r="C377" s="136">
        <f>_xll.mirGetDate(C376,"1D","FOLLOWING",D$12,"NORMAL")</f>
        <v>42933</v>
      </c>
      <c r="D377" s="20">
        <f>_xll.mirGetDate(C377,D$17,"Following",D$12,"Normal")</f>
        <v>42934</v>
      </c>
      <c r="E377" s="134">
        <f ca="1"/>
        <v>8.3173580082452087E-3</v>
      </c>
      <c r="F377" s="7" t="s">
        <v>3</v>
      </c>
      <c r="G377" s="136">
        <f t="shared" si="5"/>
        <v>42933</v>
      </c>
      <c r="H377" s="20">
        <f>_xll.mirGetDate(G377,H$17,"Following",H$12,"Normal")</f>
        <v>43025</v>
      </c>
      <c r="I377" s="134">
        <f ca="1"/>
        <v>1.0525174044236958E-2</v>
      </c>
      <c r="J377" s="120" t="s">
        <v>3</v>
      </c>
    </row>
    <row r="378" spans="1:10" x14ac:dyDescent="0.25">
      <c r="A378" s="126">
        <v>356</v>
      </c>
      <c r="B378" s="119"/>
      <c r="C378" s="136">
        <f>_xll.mirGetDate(C377,"1D","FOLLOWING",D$12,"NORMAL")</f>
        <v>42934</v>
      </c>
      <c r="D378" s="20">
        <f>_xll.mirGetDate(C378,D$17,"Following",D$12,"Normal")</f>
        <v>42935</v>
      </c>
      <c r="E378" s="134">
        <f ca="1"/>
        <v>8.3292316137839901E-3</v>
      </c>
      <c r="F378" s="7" t="s">
        <v>3</v>
      </c>
      <c r="G378" s="136">
        <f t="shared" si="5"/>
        <v>42934</v>
      </c>
      <c r="H378" s="20">
        <f>_xll.mirGetDate(G378,H$17,"Following",H$12,"Normal")</f>
        <v>43026</v>
      </c>
      <c r="I378" s="134">
        <f ca="1"/>
        <v>1.0533205513463081E-2</v>
      </c>
      <c r="J378" s="120" t="s">
        <v>3</v>
      </c>
    </row>
    <row r="379" spans="1:10" x14ac:dyDescent="0.25">
      <c r="A379" s="126">
        <v>357</v>
      </c>
      <c r="B379" s="119"/>
      <c r="C379" s="136">
        <f>_xll.mirGetDate(C378,"1D","FOLLOWING",D$12,"NORMAL")</f>
        <v>42935</v>
      </c>
      <c r="D379" s="20">
        <f>_xll.mirGetDate(C379,D$17,"Following",D$12,"Normal")</f>
        <v>42936</v>
      </c>
      <c r="E379" s="134">
        <f ca="1"/>
        <v>8.3410813888651642E-3</v>
      </c>
      <c r="F379" s="7" t="s">
        <v>3</v>
      </c>
      <c r="G379" s="136">
        <f t="shared" si="5"/>
        <v>42935</v>
      </c>
      <c r="H379" s="20">
        <f>_xll.mirGetDate(G379,H$17,"Following",H$12,"Normal")</f>
        <v>43027</v>
      </c>
      <c r="I379" s="134">
        <f ca="1"/>
        <v>1.054123449711138E-2</v>
      </c>
      <c r="J379" s="120" t="s">
        <v>3</v>
      </c>
    </row>
    <row r="380" spans="1:10" x14ac:dyDescent="0.25">
      <c r="A380" s="126">
        <v>358</v>
      </c>
      <c r="B380" s="119"/>
      <c r="C380" s="136">
        <f>_xll.mirGetDate(C379,"1D","FOLLOWING",D$12,"NORMAL")</f>
        <v>42936</v>
      </c>
      <c r="D380" s="20">
        <f>_xll.mirGetDate(C380,D$17,"Following",D$12,"Normal")</f>
        <v>42937</v>
      </c>
      <c r="E380" s="134">
        <f ca="1"/>
        <v>8.3529073325294984E-3</v>
      </c>
      <c r="F380" s="7" t="s">
        <v>3</v>
      </c>
      <c r="G380" s="136">
        <f t="shared" si="5"/>
        <v>42936</v>
      </c>
      <c r="H380" s="20">
        <f>_xll.mirGetDate(G380,H$17,"Following",H$12,"Normal")</f>
        <v>43028</v>
      </c>
      <c r="I380" s="134">
        <f ca="1"/>
        <v>1.0549260863935235E-2</v>
      </c>
      <c r="J380" s="120" t="s">
        <v>3</v>
      </c>
    </row>
    <row r="381" spans="1:10" x14ac:dyDescent="0.25">
      <c r="A381" s="126">
        <v>359</v>
      </c>
      <c r="B381" s="119"/>
      <c r="C381" s="136">
        <f>_xll.mirGetDate(C380,"1D","FOLLOWING",D$12,"NORMAL")</f>
        <v>42937</v>
      </c>
      <c r="D381" s="20">
        <f>_xll.mirGetDate(C381,D$17,"Following",D$12,"Normal")</f>
        <v>42940</v>
      </c>
      <c r="E381" s="134">
        <f ca="1"/>
        <v>8.3766746810187993E-3</v>
      </c>
      <c r="F381" s="7" t="s">
        <v>3</v>
      </c>
      <c r="G381" s="136">
        <f t="shared" si="5"/>
        <v>42937</v>
      </c>
      <c r="H381" s="20">
        <f>_xll.mirGetDate(G381,H$17,"Following",H$12,"Normal")</f>
        <v>43031</v>
      </c>
      <c r="I381" s="134">
        <f ca="1"/>
        <v>1.0557284482688039E-2</v>
      </c>
      <c r="J381" s="120" t="s">
        <v>3</v>
      </c>
    </row>
    <row r="382" spans="1:10" x14ac:dyDescent="0.25">
      <c r="A382" s="126">
        <v>360</v>
      </c>
      <c r="B382" s="119"/>
      <c r="C382" s="136">
        <f>_xll.mirGetDate(C381,"1D","FOLLOWING",D$12,"NORMAL")</f>
        <v>42940</v>
      </c>
      <c r="D382" s="20">
        <f>_xll.mirGetDate(C382,D$17,"Following",D$12,"Normal")</f>
        <v>42941</v>
      </c>
      <c r="E382" s="134">
        <f ca="1"/>
        <v>8.3999727695971711E-3</v>
      </c>
      <c r="F382" s="7" t="s">
        <v>3</v>
      </c>
      <c r="G382" s="136">
        <f t="shared" si="5"/>
        <v>42940</v>
      </c>
      <c r="H382" s="20">
        <f>_xll.mirGetDate(G382,H$17,"Following",H$12,"Normal")</f>
        <v>43032</v>
      </c>
      <c r="I382" s="134">
        <f ca="1"/>
        <v>1.0581337538054014E-2</v>
      </c>
      <c r="J382" s="120" t="s">
        <v>3</v>
      </c>
    </row>
    <row r="383" spans="1:10" x14ac:dyDescent="0.25">
      <c r="A383" s="126">
        <v>361</v>
      </c>
      <c r="B383" s="119"/>
      <c r="C383" s="136">
        <f>_xll.mirGetDate(C382,"1D","FOLLOWING",D$12,"NORMAL")</f>
        <v>42941</v>
      </c>
      <c r="D383" s="20">
        <f>_xll.mirGetDate(C383,D$17,"Following",D$12,"Normal")</f>
        <v>42942</v>
      </c>
      <c r="E383" s="134">
        <f ca="1"/>
        <v>8.4116795389910532E-3</v>
      </c>
      <c r="F383" s="7" t="s">
        <v>3</v>
      </c>
      <c r="G383" s="136">
        <f t="shared" si="5"/>
        <v>42941</v>
      </c>
      <c r="H383" s="20">
        <f>_xll.mirGetDate(G383,H$17,"Following",H$12,"Normal")</f>
        <v>43033</v>
      </c>
      <c r="I383" s="134">
        <f ca="1"/>
        <v>1.0589348852056483E-2</v>
      </c>
      <c r="J383" s="120" t="s">
        <v>3</v>
      </c>
    </row>
    <row r="384" spans="1:10" x14ac:dyDescent="0.25">
      <c r="A384" s="126">
        <v>362</v>
      </c>
      <c r="B384" s="119"/>
      <c r="C384" s="136">
        <f>_xll.mirGetDate(C383,"1D","FOLLOWING",D$12,"NORMAL")</f>
        <v>42942</v>
      </c>
      <c r="D384" s="20">
        <f>_xll.mirGetDate(C384,D$17,"Following",D$12,"Normal")</f>
        <v>42943</v>
      </c>
      <c r="E384" s="134">
        <f ca="1"/>
        <v>8.4233624702534666E-3</v>
      </c>
      <c r="F384" s="7" t="s">
        <v>3</v>
      </c>
      <c r="G384" s="136">
        <f t="shared" si="5"/>
        <v>42942</v>
      </c>
      <c r="H384" s="20">
        <f>_xll.mirGetDate(G384,H$17,"Following",H$12,"Normal")</f>
        <v>43034</v>
      </c>
      <c r="I384" s="134">
        <f ca="1"/>
        <v>1.0597356761754839E-2</v>
      </c>
      <c r="J384" s="120" t="s">
        <v>3</v>
      </c>
    </row>
    <row r="385" spans="1:10" x14ac:dyDescent="0.25">
      <c r="A385" s="126">
        <v>363</v>
      </c>
      <c r="B385" s="119"/>
      <c r="C385" s="136">
        <f>_xll.mirGetDate(C384,"1D","FOLLOWING",D$12,"NORMAL")</f>
        <v>42943</v>
      </c>
      <c r="D385" s="20">
        <f>_xll.mirGetDate(C385,D$17,"Following",D$12,"Normal")</f>
        <v>42944</v>
      </c>
      <c r="E385" s="134">
        <f ca="1"/>
        <v>8.4350215621853703E-3</v>
      </c>
      <c r="F385" s="7" t="s">
        <v>3</v>
      </c>
      <c r="G385" s="136">
        <f t="shared" si="5"/>
        <v>42943</v>
      </c>
      <c r="H385" s="20">
        <f>_xll.mirGetDate(G385,H$17,"Following",H$12,"Normal")</f>
        <v>43035</v>
      </c>
      <c r="I385" s="134">
        <f ca="1"/>
        <v>1.0605361135902464E-2</v>
      </c>
      <c r="J385" s="120" t="s">
        <v>3</v>
      </c>
    </row>
    <row r="386" spans="1:10" x14ac:dyDescent="0.25">
      <c r="A386" s="126">
        <v>364</v>
      </c>
      <c r="B386" s="119"/>
      <c r="C386" s="136">
        <f>_xll.mirGetDate(C385,"1D","FOLLOWING",D$12,"NORMAL")</f>
        <v>42944</v>
      </c>
      <c r="D386" s="20">
        <f>_xll.mirGetDate(C386,D$17,"Following",D$12,"Normal")</f>
        <v>42947</v>
      </c>
      <c r="E386" s="134">
        <f ca="1"/>
        <v>8.4584590057446302E-3</v>
      </c>
      <c r="F386" s="7" t="s">
        <v>3</v>
      </c>
      <c r="G386" s="136">
        <f t="shared" si="5"/>
        <v>42944</v>
      </c>
      <c r="H386" s="20">
        <f>_xll.mirGetDate(G386,H$17,"Following",H$12,"Normal")</f>
        <v>43038</v>
      </c>
      <c r="I386" s="134">
        <f ca="1"/>
        <v>1.0613361843252751E-2</v>
      </c>
      <c r="J386" s="120" t="s">
        <v>3</v>
      </c>
    </row>
    <row r="387" spans="1:10" x14ac:dyDescent="0.25">
      <c r="A387" s="126">
        <v>365</v>
      </c>
      <c r="B387" s="119"/>
      <c r="C387" s="136">
        <f>_xll.mirGetDate(C386,"1D","FOLLOWING",D$12,"NORMAL")</f>
        <v>42947</v>
      </c>
      <c r="D387" s="20">
        <f>_xll.mirGetDate(C387,D$17,"Following",D$12,"Normal")</f>
        <v>42948</v>
      </c>
      <c r="E387" s="134">
        <f ca="1"/>
        <v>8.48141951414518E-3</v>
      </c>
      <c r="F387" s="7" t="s">
        <v>3</v>
      </c>
      <c r="G387" s="136">
        <f t="shared" si="5"/>
        <v>42947</v>
      </c>
      <c r="H387" s="20">
        <f>_xll.mirGetDate(G387,H$17,"Following",H$12,"Normal")</f>
        <v>43039</v>
      </c>
      <c r="I387" s="134">
        <f ca="1"/>
        <v>1.0637340652053445E-2</v>
      </c>
      <c r="J387" s="120" t="s">
        <v>3</v>
      </c>
    </row>
    <row r="388" spans="1:10" x14ac:dyDescent="0.25">
      <c r="A388" s="126">
        <v>366</v>
      </c>
      <c r="B388" s="119"/>
      <c r="C388" s="136">
        <f>_xll.mirGetDate(C387,"1D","FOLLOWING",D$12,"NORMAL")</f>
        <v>42948</v>
      </c>
      <c r="D388" s="20">
        <f>_xll.mirGetDate(C388,D$17,"Following",D$12,"Normal")</f>
        <v>42949</v>
      </c>
      <c r="E388" s="134">
        <f ca="1"/>
        <v>8.4929593923188957E-3</v>
      </c>
      <c r="F388" s="7" t="s">
        <v>3</v>
      </c>
      <c r="G388" s="136">
        <f t="shared" si="5"/>
        <v>42948</v>
      </c>
      <c r="H388" s="20">
        <f>_xll.mirGetDate(G388,H$17,"Following",H$12,"Normal")</f>
        <v>43040</v>
      </c>
      <c r="I388" s="134">
        <f ca="1"/>
        <v>1.0645325379748246E-2</v>
      </c>
      <c r="J388" s="120" t="s">
        <v>3</v>
      </c>
    </row>
    <row r="389" spans="1:10" x14ac:dyDescent="0.25">
      <c r="A389" s="126">
        <v>367</v>
      </c>
      <c r="B389" s="119"/>
      <c r="C389" s="136">
        <f>_xll.mirGetDate(C388,"1D","FOLLOWING",D$12,"NORMAL")</f>
        <v>42949</v>
      </c>
      <c r="D389" s="20">
        <f>_xll.mirGetDate(C389,D$17,"Following",D$12,"Normal")</f>
        <v>42950</v>
      </c>
      <c r="E389" s="134">
        <f ca="1"/>
        <v>8.5044754242869242E-3</v>
      </c>
      <c r="F389" s="7" t="s">
        <v>3</v>
      </c>
      <c r="G389" s="136">
        <f t="shared" si="5"/>
        <v>42949</v>
      </c>
      <c r="H389" s="20">
        <f>_xll.mirGetDate(G389,H$17,"Following",H$12,"Normal")</f>
        <v>43041</v>
      </c>
      <c r="I389" s="134">
        <f ca="1"/>
        <v>1.0653305784412644E-2</v>
      </c>
      <c r="J389" s="120" t="s">
        <v>3</v>
      </c>
    </row>
    <row r="390" spans="1:10" x14ac:dyDescent="0.25">
      <c r="A390" s="126">
        <v>368</v>
      </c>
      <c r="B390" s="119"/>
      <c r="C390" s="136">
        <f>_xll.mirGetDate(C389,"1D","FOLLOWING",D$12,"NORMAL")</f>
        <v>42950</v>
      </c>
      <c r="D390" s="20">
        <f>_xll.mirGetDate(C390,D$17,"Following",D$12,"Normal")</f>
        <v>42951</v>
      </c>
      <c r="E390" s="134">
        <f ca="1"/>
        <v>8.5159676086910292E-3</v>
      </c>
      <c r="F390" s="7" t="s">
        <v>3</v>
      </c>
      <c r="G390" s="136">
        <f t="shared" si="5"/>
        <v>42950</v>
      </c>
      <c r="H390" s="20">
        <f>_xll.mirGetDate(G390,H$17,"Following",H$12,"Normal")</f>
        <v>43042</v>
      </c>
      <c r="I390" s="134">
        <f ca="1"/>
        <v>1.0661281734800025E-2</v>
      </c>
      <c r="J390" s="120" t="s">
        <v>3</v>
      </c>
    </row>
    <row r="391" spans="1:10" x14ac:dyDescent="0.25">
      <c r="A391" s="126">
        <v>369</v>
      </c>
      <c r="B391" s="119"/>
      <c r="C391" s="136">
        <f>_xll.mirGetDate(C390,"1D","FOLLOWING",D$12,"NORMAL")</f>
        <v>42951</v>
      </c>
      <c r="D391" s="20">
        <f>_xll.mirGetDate(C391,D$17,"Following",D$12,"Normal")</f>
        <v>42954</v>
      </c>
      <c r="E391" s="134">
        <f ca="1"/>
        <v>8.5390750159320145E-3</v>
      </c>
      <c r="F391" s="7" t="s">
        <v>3</v>
      </c>
      <c r="G391" s="136">
        <f t="shared" si="5"/>
        <v>42951</v>
      </c>
      <c r="H391" s="20">
        <f>_xll.mirGetDate(G391,H$17,"Following",H$12,"Normal")</f>
        <v>43045</v>
      </c>
      <c r="I391" s="134">
        <f ca="1"/>
        <v>1.0669253099663781E-2</v>
      </c>
      <c r="J391" s="120" t="s">
        <v>3</v>
      </c>
    </row>
    <row r="392" spans="1:10" x14ac:dyDescent="0.25">
      <c r="A392" s="126">
        <v>370</v>
      </c>
      <c r="B392" s="119"/>
      <c r="C392" s="136">
        <f>_xll.mirGetDate(C391,"1D","FOLLOWING",D$12,"NORMAL")</f>
        <v>42954</v>
      </c>
      <c r="D392" s="20">
        <f>_xll.mirGetDate(C392,D$17,"Following",D$12,"Normal")</f>
        <v>42955</v>
      </c>
      <c r="E392" s="134">
        <f ca="1"/>
        <v>8.5616978480463103E-3</v>
      </c>
      <c r="F392" s="7" t="s">
        <v>3</v>
      </c>
      <c r="G392" s="136">
        <f t="shared" si="5"/>
        <v>42954</v>
      </c>
      <c r="H392" s="20">
        <f>_xll.mirGetDate(G392,H$17,"Following",H$12,"Normal")</f>
        <v>43046</v>
      </c>
      <c r="I392" s="134">
        <f ca="1"/>
        <v>1.0693138368647152E-2</v>
      </c>
      <c r="J392" s="120" t="s">
        <v>3</v>
      </c>
    </row>
    <row r="393" spans="1:10" x14ac:dyDescent="0.25">
      <c r="A393" s="126">
        <v>371</v>
      </c>
      <c r="B393" s="119"/>
      <c r="C393" s="136">
        <f>_xll.mirGetDate(C392,"1D","FOLLOWING",D$12,"NORMAL")</f>
        <v>42955</v>
      </c>
      <c r="D393" s="20">
        <f>_xll.mirGetDate(C393,D$17,"Following",D$12,"Normal")</f>
        <v>42956</v>
      </c>
      <c r="E393" s="134">
        <f ca="1"/>
        <v>8.5730707772047367E-3</v>
      </c>
      <c r="F393" s="7" t="s">
        <v>3</v>
      </c>
      <c r="G393" s="136">
        <f t="shared" si="5"/>
        <v>42955</v>
      </c>
      <c r="H393" s="20">
        <f>_xll.mirGetDate(G393,H$17,"Following",H$12,"Normal")</f>
        <v>43047</v>
      </c>
      <c r="I393" s="134">
        <f ca="1"/>
        <v>1.0701090078950273E-2</v>
      </c>
      <c r="J393" s="120" t="s">
        <v>3</v>
      </c>
    </row>
    <row r="394" spans="1:10" x14ac:dyDescent="0.25">
      <c r="A394" s="126">
        <v>372</v>
      </c>
      <c r="B394" s="119"/>
      <c r="C394" s="136">
        <f>_xll.mirGetDate(C393,"1D","FOLLOWING",D$12,"NORMAL")</f>
        <v>42956</v>
      </c>
      <c r="D394" s="20">
        <f>_xll.mirGetDate(C394,D$17,"Following",D$12,"Normal")</f>
        <v>42957</v>
      </c>
      <c r="E394" s="134">
        <f ca="1"/>
        <v>8.5844198516049942E-3</v>
      </c>
      <c r="F394" s="7" t="s">
        <v>3</v>
      </c>
      <c r="G394" s="136">
        <f t="shared" si="5"/>
        <v>42956</v>
      </c>
      <c r="H394" s="20">
        <f>_xll.mirGetDate(G394,H$17,"Following",H$12,"Normal")</f>
        <v>43048</v>
      </c>
      <c r="I394" s="134">
        <f ca="1"/>
        <v>1.0709036547496701E-2</v>
      </c>
      <c r="J394" s="120" t="s">
        <v>3</v>
      </c>
    </row>
    <row r="395" spans="1:10" x14ac:dyDescent="0.25">
      <c r="A395" s="126">
        <v>373</v>
      </c>
      <c r="B395" s="119"/>
      <c r="C395" s="136">
        <f>_xll.mirGetDate(C394,"1D","FOLLOWING",D$12,"NORMAL")</f>
        <v>42957</v>
      </c>
      <c r="D395" s="20">
        <f>_xll.mirGetDate(C395,D$17,"Following",D$12,"Normal")</f>
        <v>42958</v>
      </c>
      <c r="E395" s="134">
        <f ca="1"/>
        <v>8.5957450700480421E-3</v>
      </c>
      <c r="F395" s="7" t="s">
        <v>3</v>
      </c>
      <c r="G395" s="136">
        <f t="shared" si="5"/>
        <v>42957</v>
      </c>
      <c r="H395" s="20">
        <f>_xll.mirGetDate(G395,H$17,"Following",H$12,"Normal")</f>
        <v>43049</v>
      </c>
      <c r="I395" s="134">
        <f ca="1"/>
        <v>1.0716977643039827E-2</v>
      </c>
      <c r="J395" s="120" t="s">
        <v>3</v>
      </c>
    </row>
    <row r="396" spans="1:10" x14ac:dyDescent="0.25">
      <c r="A396" s="126">
        <v>374</v>
      </c>
      <c r="B396" s="119"/>
      <c r="C396" s="136">
        <f>_xll.mirGetDate(C395,"1D","FOLLOWING",D$12,"NORMAL")</f>
        <v>42958</v>
      </c>
      <c r="D396" s="20">
        <f>_xll.mirGetDate(C396,D$17,"Following",D$12,"Normal")</f>
        <v>42961</v>
      </c>
      <c r="E396" s="134">
        <f ca="1"/>
        <v>8.618522302681373E-3</v>
      </c>
      <c r="F396" s="7" t="s">
        <v>3</v>
      </c>
      <c r="G396" s="136">
        <f t="shared" si="5"/>
        <v>42958</v>
      </c>
      <c r="H396" s="20">
        <f>_xll.mirGetDate(G396,H$17,"Following",H$12,"Normal")</f>
        <v>43052</v>
      </c>
      <c r="I396" s="134">
        <f ca="1"/>
        <v>1.0724913234333036E-2</v>
      </c>
      <c r="J396" s="120" t="s">
        <v>3</v>
      </c>
    </row>
    <row r="397" spans="1:10" x14ac:dyDescent="0.25">
      <c r="A397" s="126">
        <v>375</v>
      </c>
      <c r="B397" s="119"/>
      <c r="C397" s="136">
        <f>_xll.mirGetDate(C396,"1D","FOLLOWING",D$12,"NORMAL")</f>
        <v>42961</v>
      </c>
      <c r="D397" s="20">
        <f>_xll.mirGetDate(C397,D$17,"Following",D$12,"Normal")</f>
        <v>42962</v>
      </c>
      <c r="E397" s="134">
        <f ca="1"/>
        <v>8.6408073588284708E-3</v>
      </c>
      <c r="F397" s="7" t="s">
        <v>3</v>
      </c>
      <c r="G397" s="136">
        <f t="shared" si="5"/>
        <v>42961</v>
      </c>
      <c r="H397" s="20">
        <f>_xll.mirGetDate(G397,H$17,"Following",H$12,"Normal")</f>
        <v>43053</v>
      </c>
      <c r="I397" s="134">
        <f ca="1"/>
        <v>1.0748685670247048E-2</v>
      </c>
      <c r="J397" s="120" t="s">
        <v>3</v>
      </c>
    </row>
    <row r="398" spans="1:10" x14ac:dyDescent="0.25">
      <c r="A398" s="126">
        <v>376</v>
      </c>
      <c r="B398" s="119"/>
      <c r="C398" s="136">
        <f>_xll.mirGetDate(C397,"1D","FOLLOWING",D$12,"NORMAL")</f>
        <v>42962</v>
      </c>
      <c r="D398" s="20">
        <f>_xll.mirGetDate(C398,D$17,"Following",D$12,"Normal")</f>
        <v>42963</v>
      </c>
      <c r="E398" s="134">
        <f ca="1"/>
        <v>8.6520132784606886E-3</v>
      </c>
      <c r="F398" s="7" t="s">
        <v>3</v>
      </c>
      <c r="G398" s="136">
        <f t="shared" si="5"/>
        <v>42962</v>
      </c>
      <c r="H398" s="20">
        <f>_xll.mirGetDate(G398,H$17,"Following",H$12,"Normal")</f>
        <v>43054</v>
      </c>
      <c r="I398" s="134">
        <f ca="1"/>
        <v>1.0756597932074473E-2</v>
      </c>
      <c r="J398" s="120" t="s">
        <v>3</v>
      </c>
    </row>
    <row r="399" spans="1:10" x14ac:dyDescent="0.25">
      <c r="A399" s="126">
        <v>377</v>
      </c>
      <c r="B399" s="119"/>
      <c r="C399" s="136">
        <f>_xll.mirGetDate(C398,"1D","FOLLOWING",D$12,"NORMAL")</f>
        <v>42963</v>
      </c>
      <c r="D399" s="20">
        <f>_xll.mirGetDate(C399,D$17,"Following",D$12,"Normal")</f>
        <v>42964</v>
      </c>
      <c r="E399" s="134">
        <f ca="1"/>
        <v>8.6631953345417713E-3</v>
      </c>
      <c r="F399" s="7" t="s">
        <v>3</v>
      </c>
      <c r="G399" s="136">
        <f t="shared" si="5"/>
        <v>42963</v>
      </c>
      <c r="H399" s="20">
        <f>_xll.mirGetDate(G399,H$17,"Following",H$12,"Normal")</f>
        <v>43055</v>
      </c>
      <c r="I399" s="134">
        <f ca="1"/>
        <v>1.0764504033418918E-2</v>
      </c>
      <c r="J399" s="120" t="s">
        <v>3</v>
      </c>
    </row>
    <row r="400" spans="1:10" x14ac:dyDescent="0.25">
      <c r="A400" s="126">
        <v>378</v>
      </c>
      <c r="B400" s="119"/>
      <c r="C400" s="136">
        <f>_xll.mirGetDate(C399,"1D","FOLLOWING",D$12,"NORMAL")</f>
        <v>42964</v>
      </c>
      <c r="D400" s="20">
        <f>_xll.mirGetDate(C400,D$17,"Following",D$12,"Normal")</f>
        <v>42965</v>
      </c>
      <c r="E400" s="134">
        <f ca="1"/>
        <v>8.6743535256328698E-3</v>
      </c>
      <c r="F400" s="7" t="s">
        <v>3</v>
      </c>
      <c r="G400" s="136">
        <f t="shared" si="5"/>
        <v>42964</v>
      </c>
      <c r="H400" s="20">
        <f>_xll.mirGetDate(G400,H$17,"Following",H$12,"Normal")</f>
        <v>43056</v>
      </c>
      <c r="I400" s="134">
        <f ca="1"/>
        <v>1.0772403843033773E-2</v>
      </c>
      <c r="J400" s="120" t="s">
        <v>3</v>
      </c>
    </row>
    <row r="401" spans="1:10" x14ac:dyDescent="0.25">
      <c r="A401" s="126">
        <v>379</v>
      </c>
      <c r="B401" s="119"/>
      <c r="C401" s="136">
        <f>_xll.mirGetDate(C400,"1D","FOLLOWING",D$12,"NORMAL")</f>
        <v>42965</v>
      </c>
      <c r="D401" s="20">
        <f>_xll.mirGetDate(C401,D$17,"Following",D$12,"Normal")</f>
        <v>42968</v>
      </c>
      <c r="E401" s="134">
        <f ca="1"/>
        <v>8.6968004386811827E-3</v>
      </c>
      <c r="F401" s="7" t="s">
        <v>3</v>
      </c>
      <c r="G401" s="136">
        <f t="shared" si="5"/>
        <v>42965</v>
      </c>
      <c r="H401" s="20">
        <f>_xll.mirGetDate(G401,H$17,"Following",H$12,"Normal")</f>
        <v>43059</v>
      </c>
      <c r="I401" s="134">
        <f ca="1"/>
        <v>1.0780297229672425E-2</v>
      </c>
      <c r="J401" s="120" t="s">
        <v>3</v>
      </c>
    </row>
    <row r="402" spans="1:10" x14ac:dyDescent="0.25">
      <c r="A402" s="126">
        <v>380</v>
      </c>
      <c r="B402" s="119"/>
      <c r="C402" s="136">
        <f>_xll.mirGetDate(C401,"1D","FOLLOWING",D$12,"NORMAL")</f>
        <v>42968</v>
      </c>
      <c r="D402" s="20">
        <f>_xll.mirGetDate(C402,D$17,"Following",D$12,"Normal")</f>
        <v>42969</v>
      </c>
      <c r="E402" s="134">
        <f ca="1"/>
        <v>8.71874761539718E-3</v>
      </c>
      <c r="F402" s="7" t="s">
        <v>3</v>
      </c>
      <c r="G402" s="136">
        <f t="shared" si="5"/>
        <v>42968</v>
      </c>
      <c r="H402" s="20">
        <f>_xll.mirGetDate(G402,H$17,"Following",H$12,"Normal")</f>
        <v>43060</v>
      </c>
      <c r="I402" s="134">
        <f ca="1"/>
        <v>1.0803937539265037E-2</v>
      </c>
      <c r="J402" s="120" t="s">
        <v>3</v>
      </c>
    </row>
    <row r="403" spans="1:10" x14ac:dyDescent="0.25">
      <c r="A403" s="126">
        <v>381</v>
      </c>
      <c r="B403" s="119"/>
      <c r="C403" s="136">
        <f>_xll.mirGetDate(C402,"1D","FOLLOWING",D$12,"NORMAL")</f>
        <v>42969</v>
      </c>
      <c r="D403" s="20">
        <f>_xll.mirGetDate(C403,D$17,"Following",D$12,"Normal")</f>
        <v>42970</v>
      </c>
      <c r="E403" s="134">
        <f ca="1"/>
        <v>8.7297864625135758E-3</v>
      </c>
      <c r="F403" s="7" t="s">
        <v>3</v>
      </c>
      <c r="G403" s="136">
        <f t="shared" si="5"/>
        <v>42969</v>
      </c>
      <c r="H403" s="20">
        <f>_xll.mirGetDate(G403,H$17,"Following",H$12,"Normal")</f>
        <v>43061</v>
      </c>
      <c r="I403" s="134">
        <f ca="1"/>
        <v>1.0811803921532751E-2</v>
      </c>
      <c r="J403" s="120" t="s">
        <v>3</v>
      </c>
    </row>
    <row r="404" spans="1:10" x14ac:dyDescent="0.25">
      <c r="A404" s="126">
        <v>382</v>
      </c>
      <c r="B404" s="119"/>
      <c r="C404" s="136">
        <f>_xll.mirGetDate(C403,"1D","FOLLOWING",D$12,"NORMAL")</f>
        <v>42970</v>
      </c>
      <c r="D404" s="20">
        <f>_xll.mirGetDate(C404,D$17,"Following",D$12,"Normal")</f>
        <v>42971</v>
      </c>
      <c r="E404" s="134">
        <f ca="1"/>
        <v>8.7442224164651066E-3</v>
      </c>
      <c r="F404" s="7" t="s">
        <v>3</v>
      </c>
      <c r="G404" s="136">
        <f t="shared" si="5"/>
        <v>42970</v>
      </c>
      <c r="H404" s="20">
        <f>_xll.mirGetDate(G404,H$17,"Following",H$12,"Normal")</f>
        <v>43063</v>
      </c>
      <c r="I404" s="134">
        <f ca="1"/>
        <v>1.08196632245912E-2</v>
      </c>
      <c r="J404" s="120" t="s">
        <v>3</v>
      </c>
    </row>
    <row r="405" spans="1:10" x14ac:dyDescent="0.25">
      <c r="A405" s="126">
        <v>383</v>
      </c>
      <c r="B405" s="119"/>
      <c r="C405" s="136">
        <f>_xll.mirGetDate(C404,"1D","FOLLOWING",D$12,"NORMAL")</f>
        <v>42971</v>
      </c>
      <c r="D405" s="20">
        <f>_xll.mirGetDate(C405,D$17,"Following",D$12,"Normal")</f>
        <v>42972</v>
      </c>
      <c r="E405" s="134">
        <f ca="1"/>
        <v>8.7619377936310229E-3</v>
      </c>
      <c r="F405" s="7" t="s">
        <v>3</v>
      </c>
      <c r="G405" s="136">
        <f t="shared" si="5"/>
        <v>42971</v>
      </c>
      <c r="H405" s="20">
        <f>_xll.mirGetDate(G405,H$17,"Following",H$12,"Normal")</f>
        <v>43063</v>
      </c>
      <c r="I405" s="134">
        <f ca="1"/>
        <v>1.0827514664254157E-2</v>
      </c>
      <c r="J405" s="120" t="s">
        <v>3</v>
      </c>
    </row>
    <row r="406" spans="1:10" x14ac:dyDescent="0.25">
      <c r="A406" s="126">
        <v>384</v>
      </c>
      <c r="B406" s="119"/>
      <c r="C406" s="136">
        <f>_xll.mirGetDate(C405,"1D","FOLLOWING",D$12,"NORMAL")</f>
        <v>42972</v>
      </c>
      <c r="D406" s="20">
        <f>_xll.mirGetDate(C406,D$17,"Following",D$12,"Normal")</f>
        <v>42975</v>
      </c>
      <c r="E406" s="134">
        <f ca="1"/>
        <v>8.7969154342815471E-3</v>
      </c>
      <c r="F406" s="7" t="s">
        <v>3</v>
      </c>
      <c r="G406" s="136">
        <f t="shared" si="5"/>
        <v>42972</v>
      </c>
      <c r="H406" s="20">
        <f>_xll.mirGetDate(G406,H$17,"Following",H$12,"Normal")</f>
        <v>43066</v>
      </c>
      <c r="I406" s="134">
        <f ca="1"/>
        <v>1.0835357875836919E-2</v>
      </c>
      <c r="J406" s="120" t="s">
        <v>3</v>
      </c>
    </row>
    <row r="407" spans="1:10" x14ac:dyDescent="0.25">
      <c r="A407" s="126">
        <v>385</v>
      </c>
      <c r="B407" s="119"/>
      <c r="C407" s="136">
        <f>_xll.mirGetDate(C406,"1D","FOLLOWING",D$12,"NORMAL")</f>
        <v>42975</v>
      </c>
      <c r="D407" s="20">
        <f>_xll.mirGetDate(C407,D$17,"Following",D$12,"Normal")</f>
        <v>42976</v>
      </c>
      <c r="E407" s="134">
        <f ca="1"/>
        <v>8.8307950216304533E-3</v>
      </c>
      <c r="F407" s="7" t="s">
        <v>3</v>
      </c>
      <c r="G407" s="136">
        <f t="shared" si="5"/>
        <v>42975</v>
      </c>
      <c r="H407" s="20">
        <f>_xll.mirGetDate(G407,H$17,"Following",H$12,"Normal")</f>
        <v>43067</v>
      </c>
      <c r="I407" s="134">
        <f ca="1"/>
        <v>1.0858843122160712E-2</v>
      </c>
      <c r="J407" s="120" t="s">
        <v>3</v>
      </c>
    </row>
    <row r="408" spans="1:10" x14ac:dyDescent="0.25">
      <c r="A408" s="126">
        <v>386</v>
      </c>
      <c r="B408" s="119"/>
      <c r="C408" s="136">
        <f>_xll.mirGetDate(C407,"1D","FOLLOWING",D$12,"NORMAL")</f>
        <v>42976</v>
      </c>
      <c r="D408" s="20">
        <f>_xll.mirGetDate(C408,D$17,"Following",D$12,"Normal")</f>
        <v>42977</v>
      </c>
      <c r="E408" s="134">
        <f ca="1"/>
        <v>8.8475081724137851E-3</v>
      </c>
      <c r="F408" s="7" t="s">
        <v>3</v>
      </c>
      <c r="G408" s="136">
        <f t="shared" ref="G408:G471" si="6">$C408</f>
        <v>42976</v>
      </c>
      <c r="H408" s="20">
        <f>_xll.mirGetDate(G408,H$17,"Following",H$12,"Normal")</f>
        <v>43068</v>
      </c>
      <c r="I408" s="134">
        <f ca="1"/>
        <v>1.0866658401479375E-2</v>
      </c>
      <c r="J408" s="120" t="s">
        <v>3</v>
      </c>
    </row>
    <row r="409" spans="1:10" x14ac:dyDescent="0.25">
      <c r="A409" s="126">
        <v>387</v>
      </c>
      <c r="B409" s="119"/>
      <c r="C409" s="136">
        <f>_xll.mirGetDate(C408,"1D","FOLLOWING",D$12,"NORMAL")</f>
        <v>42977</v>
      </c>
      <c r="D409" s="20">
        <f>_xll.mirGetDate(C409,D$17,"Following",D$12,"Normal")</f>
        <v>42978</v>
      </c>
      <c r="E409" s="134">
        <f ca="1"/>
        <v>8.8640208258983534E-3</v>
      </c>
      <c r="F409" s="7" t="s">
        <v>3</v>
      </c>
      <c r="G409" s="136">
        <f t="shared" si="6"/>
        <v>42977</v>
      </c>
      <c r="H409" s="20">
        <f>_xll.mirGetDate(G409,H$17,"Following",H$12,"Normal")</f>
        <v>43069</v>
      </c>
      <c r="I409" s="134">
        <f ca="1"/>
        <v>1.0874467942746187E-2</v>
      </c>
      <c r="J409" s="120" t="s">
        <v>3</v>
      </c>
    </row>
    <row r="410" spans="1:10" x14ac:dyDescent="0.25">
      <c r="A410" s="126">
        <v>388</v>
      </c>
      <c r="B410" s="119"/>
      <c r="C410" s="136">
        <f>_xll.mirGetDate(C409,"1D","FOLLOWING",D$12,"NORMAL")</f>
        <v>42978</v>
      </c>
      <c r="D410" s="20">
        <f>_xll.mirGetDate(C410,D$17,"Following",D$12,"Normal")</f>
        <v>42979</v>
      </c>
      <c r="E410" s="134">
        <f ca="1"/>
        <v>8.8803329646580977E-3</v>
      </c>
      <c r="F410" s="7" t="s">
        <v>3</v>
      </c>
      <c r="G410" s="136">
        <f t="shared" si="6"/>
        <v>42978</v>
      </c>
      <c r="H410" s="20">
        <f>_xll.mirGetDate(G410,H$17,"Following",H$12,"Normal")</f>
        <v>43069</v>
      </c>
      <c r="I410" s="134">
        <f ca="1"/>
        <v>1.0882272243966817E-2</v>
      </c>
      <c r="J410" s="120" t="s">
        <v>3</v>
      </c>
    </row>
    <row r="411" spans="1:10" x14ac:dyDescent="0.25">
      <c r="A411" s="126">
        <v>389</v>
      </c>
      <c r="B411" s="119"/>
      <c r="C411" s="136">
        <f>_xll.mirGetDate(C410,"1D","FOLLOWING",D$12,"NORMAL")</f>
        <v>42979</v>
      </c>
      <c r="D411" s="20">
        <f>_xll.mirGetDate(C411,D$17,"Following",D$12,"Normal")</f>
        <v>42983</v>
      </c>
      <c r="E411" s="134">
        <f ca="1"/>
        <v>8.920442122732939E-3</v>
      </c>
      <c r="F411" s="7" t="s">
        <v>3</v>
      </c>
      <c r="G411" s="136">
        <f t="shared" si="6"/>
        <v>42979</v>
      </c>
      <c r="H411" s="20">
        <f>_xll.mirGetDate(G411,H$17,"Following",H$12,"Normal")</f>
        <v>43070</v>
      </c>
      <c r="I411" s="134">
        <f ca="1"/>
        <v>1.0890071803146932E-2</v>
      </c>
      <c r="J411" s="120" t="s">
        <v>3</v>
      </c>
    </row>
    <row r="412" spans="1:10" x14ac:dyDescent="0.25">
      <c r="A412" s="126">
        <v>390</v>
      </c>
      <c r="B412" s="119"/>
      <c r="C412" s="136">
        <f>_xll.mirGetDate(C411,"1D","FOLLOWING",D$12,"NORMAL")</f>
        <v>42983</v>
      </c>
      <c r="D412" s="20">
        <f>_xll.mirGetDate(C412,D$17,"Following",D$12,"Normal")</f>
        <v>42984</v>
      </c>
      <c r="E412" s="134">
        <f ca="1"/>
        <v>8.9588853160816086E-3</v>
      </c>
      <c r="F412" s="7" t="s">
        <v>3</v>
      </c>
      <c r="G412" s="136">
        <f t="shared" si="6"/>
        <v>42983</v>
      </c>
      <c r="H412" s="20">
        <f>_xll.mirGetDate(G412,H$17,"Following",H$12,"Normal")</f>
        <v>43074</v>
      </c>
      <c r="I412" s="134">
        <f ca="1"/>
        <v>1.0921232579575623E-2</v>
      </c>
      <c r="J412" s="120" t="s">
        <v>3</v>
      </c>
    </row>
    <row r="413" spans="1:10" x14ac:dyDescent="0.25">
      <c r="A413" s="126">
        <v>391</v>
      </c>
      <c r="B413" s="119"/>
      <c r="C413" s="136">
        <f>_xll.mirGetDate(C412,"1D","FOLLOWING",D$12,"NORMAL")</f>
        <v>42984</v>
      </c>
      <c r="D413" s="20">
        <f>_xll.mirGetDate(C413,D$17,"Following",D$12,"Normal")</f>
        <v>42985</v>
      </c>
      <c r="E413" s="134">
        <f ca="1"/>
        <v>8.9739939925515301E-3</v>
      </c>
      <c r="F413" s="7" t="s">
        <v>3</v>
      </c>
      <c r="G413" s="136">
        <f t="shared" si="6"/>
        <v>42984</v>
      </c>
      <c r="H413" s="20">
        <f>_xll.mirGetDate(G413,H$17,"Following",H$12,"Normal")</f>
        <v>43075</v>
      </c>
      <c r="I413" s="134">
        <f ca="1"/>
        <v>1.0929015898638202E-2</v>
      </c>
      <c r="J413" s="120" t="s">
        <v>3</v>
      </c>
    </row>
    <row r="414" spans="1:10" x14ac:dyDescent="0.25">
      <c r="A414" s="126">
        <v>392</v>
      </c>
      <c r="B414" s="119"/>
      <c r="C414" s="136">
        <f>_xll.mirGetDate(C413,"1D","FOLLOWING",D$12,"NORMAL")</f>
        <v>42985</v>
      </c>
      <c r="D414" s="20">
        <f>_xll.mirGetDate(C414,D$17,"Following",D$12,"Normal")</f>
        <v>42986</v>
      </c>
      <c r="E414" s="134">
        <f ca="1"/>
        <v>8.988902028956889E-3</v>
      </c>
      <c r="F414" s="7" t="s">
        <v>3</v>
      </c>
      <c r="G414" s="136">
        <f t="shared" si="6"/>
        <v>42985</v>
      </c>
      <c r="H414" s="20">
        <f>_xll.mirGetDate(G414,H$17,"Following",H$12,"Normal")</f>
        <v>43076</v>
      </c>
      <c r="I414" s="134">
        <f ca="1"/>
        <v>1.0936797463694276E-2</v>
      </c>
      <c r="J414" s="120" t="s">
        <v>3</v>
      </c>
    </row>
    <row r="415" spans="1:10" x14ac:dyDescent="0.25">
      <c r="A415" s="126">
        <v>393</v>
      </c>
      <c r="B415" s="119"/>
      <c r="C415" s="136">
        <f>_xll.mirGetDate(C414,"1D","FOLLOWING",D$12,"NORMAL")</f>
        <v>42986</v>
      </c>
      <c r="D415" s="20">
        <f>_xll.mirGetDate(C415,D$17,"Following",D$12,"Normal")</f>
        <v>42989</v>
      </c>
      <c r="E415" s="134">
        <f ca="1"/>
        <v>9.0182751148404662E-3</v>
      </c>
      <c r="F415" s="7" t="s">
        <v>3</v>
      </c>
      <c r="G415" s="136">
        <f t="shared" si="6"/>
        <v>42986</v>
      </c>
      <c r="H415" s="20">
        <f>_xll.mirGetDate(G415,H$17,"Following",H$12,"Normal")</f>
        <v>43077</v>
      </c>
      <c r="I415" s="134">
        <f ca="1"/>
        <v>1.0944577772749519E-2</v>
      </c>
      <c r="J415" s="120" t="s">
        <v>3</v>
      </c>
    </row>
    <row r="416" spans="1:10" x14ac:dyDescent="0.25">
      <c r="A416" s="126">
        <v>394</v>
      </c>
      <c r="B416" s="119"/>
      <c r="C416" s="136">
        <f>_xll.mirGetDate(C415,"1D","FOLLOWING",D$12,"NORMAL")</f>
        <v>42989</v>
      </c>
      <c r="D416" s="20">
        <f>_xll.mirGetDate(C416,D$17,"Following",D$12,"Normal")</f>
        <v>42990</v>
      </c>
      <c r="E416" s="134">
        <f ca="1"/>
        <v>9.0465274068663223E-3</v>
      </c>
      <c r="F416" s="7" t="s">
        <v>3</v>
      </c>
      <c r="G416" s="136">
        <f t="shared" si="6"/>
        <v>42989</v>
      </c>
      <c r="H416" s="20">
        <f>_xll.mirGetDate(G416,H$17,"Following",H$12,"Normal")</f>
        <v>43080</v>
      </c>
      <c r="I416" s="134">
        <f ca="1"/>
        <v>1.0967916935198888E-2</v>
      </c>
      <c r="J416" s="120" t="s">
        <v>3</v>
      </c>
    </row>
    <row r="417" spans="1:10" x14ac:dyDescent="0.25">
      <c r="A417" s="126">
        <v>395</v>
      </c>
      <c r="B417" s="119"/>
      <c r="C417" s="136">
        <f>_xll.mirGetDate(C416,"1D","FOLLOWING",D$12,"NORMAL")</f>
        <v>42990</v>
      </c>
      <c r="D417" s="20">
        <f>_xll.mirGetDate(C417,D$17,"Following",D$12,"Normal")</f>
        <v>42991</v>
      </c>
      <c r="E417" s="134">
        <f ca="1"/>
        <v>9.0604319671694685E-3</v>
      </c>
      <c r="F417" s="7" t="s">
        <v>3</v>
      </c>
      <c r="G417" s="136">
        <f t="shared" si="6"/>
        <v>42990</v>
      </c>
      <c r="H417" s="20">
        <f>_xll.mirGetDate(G417,H$17,"Following",H$12,"Normal")</f>
        <v>43081</v>
      </c>
      <c r="I417" s="134">
        <f ca="1"/>
        <v>1.0975700138194426E-2</v>
      </c>
      <c r="J417" s="120" t="s">
        <v>3</v>
      </c>
    </row>
    <row r="418" spans="1:10" x14ac:dyDescent="0.25">
      <c r="A418" s="126">
        <v>396</v>
      </c>
      <c r="B418" s="119"/>
      <c r="C418" s="136">
        <f>_xll.mirGetDate(C417,"1D","FOLLOWING",D$12,"NORMAL")</f>
        <v>42991</v>
      </c>
      <c r="D418" s="20">
        <f>_xll.mirGetDate(C418,D$17,"Following",D$12,"Normal")</f>
        <v>42992</v>
      </c>
      <c r="E418" s="134">
        <f ca="1"/>
        <v>9.074135776616676E-3</v>
      </c>
      <c r="F418" s="7" t="s">
        <v>3</v>
      </c>
      <c r="G418" s="136">
        <f t="shared" si="6"/>
        <v>42991</v>
      </c>
      <c r="H418" s="20">
        <f>_xll.mirGetDate(G418,H$17,"Following",H$12,"Normal")</f>
        <v>43082</v>
      </c>
      <c r="I418" s="134">
        <f ca="1"/>
        <v>1.0983488219200683E-2</v>
      </c>
      <c r="J418" s="120" t="s">
        <v>3</v>
      </c>
    </row>
    <row r="419" spans="1:10" x14ac:dyDescent="0.25">
      <c r="A419" s="126">
        <v>397</v>
      </c>
      <c r="B419" s="119"/>
      <c r="C419" s="136">
        <f>_xll.mirGetDate(C418,"1D","FOLLOWING",D$12,"NORMAL")</f>
        <v>42992</v>
      </c>
      <c r="D419" s="20">
        <f>_xll.mirGetDate(C419,D$17,"Following",D$12,"Normal")</f>
        <v>42993</v>
      </c>
      <c r="E419" s="134">
        <f ca="1"/>
        <v>9.0876388164222444E-3</v>
      </c>
      <c r="F419" s="7" t="s">
        <v>3</v>
      </c>
      <c r="G419" s="136">
        <f t="shared" si="6"/>
        <v>42992</v>
      </c>
      <c r="H419" s="20">
        <f>_xll.mirGetDate(G419,H$17,"Following",H$12,"Normal")</f>
        <v>43083</v>
      </c>
      <c r="I419" s="134">
        <f ca="1"/>
        <v>1.0991283146793695E-2</v>
      </c>
      <c r="J419" s="120" t="s">
        <v>3</v>
      </c>
    </row>
    <row r="420" spans="1:10" x14ac:dyDescent="0.25">
      <c r="A420" s="126">
        <v>398</v>
      </c>
      <c r="B420" s="119"/>
      <c r="C420" s="136">
        <f>_xll.mirGetDate(C419,"1D","FOLLOWING",D$12,"NORMAL")</f>
        <v>42993</v>
      </c>
      <c r="D420" s="20">
        <f>_xll.mirGetDate(C420,D$17,"Following",D$12,"Normal")</f>
        <v>42996</v>
      </c>
      <c r="E420" s="134">
        <f ca="1"/>
        <v>9.1142063065774766E-3</v>
      </c>
      <c r="F420" s="7" t="s">
        <v>3</v>
      </c>
      <c r="G420" s="136">
        <f t="shared" si="6"/>
        <v>42993</v>
      </c>
      <c r="H420" s="20">
        <f>_xll.mirGetDate(G420,H$17,"Following",H$12,"Normal")</f>
        <v>43084</v>
      </c>
      <c r="I420" s="134">
        <f ca="1"/>
        <v>1.0999086889549498E-2</v>
      </c>
      <c r="J420" s="120" t="s">
        <v>3</v>
      </c>
    </row>
    <row r="421" spans="1:10" x14ac:dyDescent="0.25">
      <c r="A421" s="126">
        <v>399</v>
      </c>
      <c r="B421" s="119"/>
      <c r="C421" s="136">
        <f>_xll.mirGetDate(C420,"1D","FOLLOWING",D$12,"NORMAL")</f>
        <v>42996</v>
      </c>
      <c r="D421" s="20">
        <f>_xll.mirGetDate(C421,D$17,"Following",D$12,"Normal")</f>
        <v>42997</v>
      </c>
      <c r="E421" s="134">
        <f ca="1"/>
        <v>9.1396429025003886E-3</v>
      </c>
      <c r="F421" s="7" t="s">
        <v>3</v>
      </c>
      <c r="G421" s="136">
        <f t="shared" si="6"/>
        <v>42996</v>
      </c>
      <c r="H421" s="20">
        <f>_xll.mirGetDate(G421,H$17,"Following",H$12,"Normal")</f>
        <v>43087</v>
      </c>
      <c r="I421" s="134">
        <f ca="1"/>
        <v>1.1022570694554036E-2</v>
      </c>
      <c r="J421" s="120" t="s">
        <v>3</v>
      </c>
    </row>
    <row r="422" spans="1:10" x14ac:dyDescent="0.25">
      <c r="A422" s="126">
        <v>400</v>
      </c>
      <c r="B422" s="119"/>
      <c r="C422" s="136">
        <f>_xll.mirGetDate(C421,"1D","FOLLOWING",D$12,"NORMAL")</f>
        <v>42997</v>
      </c>
      <c r="D422" s="20">
        <f>_xll.mirGetDate(C422,D$17,"Following",D$12,"Normal")</f>
        <v>42998</v>
      </c>
      <c r="E422" s="134">
        <f ca="1"/>
        <v>9.1521418107287974E-3</v>
      </c>
      <c r="F422" s="7" t="s">
        <v>3</v>
      </c>
      <c r="G422" s="136">
        <f t="shared" si="6"/>
        <v>42997</v>
      </c>
      <c r="H422" s="20">
        <f>_xll.mirGetDate(G422,H$17,"Following",H$12,"Normal")</f>
        <v>43088</v>
      </c>
      <c r="I422" s="134">
        <f ca="1"/>
        <v>1.1030429383721382E-2</v>
      </c>
      <c r="J422" s="120" t="s">
        <v>3</v>
      </c>
    </row>
    <row r="423" spans="1:10" x14ac:dyDescent="0.25">
      <c r="A423" s="126">
        <v>401</v>
      </c>
      <c r="B423" s="119"/>
      <c r="C423" s="136">
        <f>_xll.mirGetDate(C422,"1D","FOLLOWING",D$12,"NORMAL")</f>
        <v>42998</v>
      </c>
      <c r="D423" s="20">
        <f>_xll.mirGetDate(C423,D$17,"Following",D$12,"Normal")</f>
        <v>42999</v>
      </c>
      <c r="E423" s="134">
        <f ca="1"/>
        <v>9.1644398352475395E-3</v>
      </c>
      <c r="F423" s="7" t="s">
        <v>3</v>
      </c>
      <c r="G423" s="136">
        <f t="shared" si="6"/>
        <v>42998</v>
      </c>
      <c r="H423" s="20">
        <f>_xll.mirGetDate(G423,H$17,"Following",H$12,"Normal")</f>
        <v>43089</v>
      </c>
      <c r="I423" s="134">
        <f ca="1"/>
        <v>1.1038306730931707E-2</v>
      </c>
      <c r="J423" s="120" t="s">
        <v>3</v>
      </c>
    </row>
    <row r="424" spans="1:10" x14ac:dyDescent="0.25">
      <c r="A424" s="126">
        <v>402</v>
      </c>
      <c r="B424" s="119"/>
      <c r="C424" s="136">
        <f>_xll.mirGetDate(C423,"1D","FOLLOWING",D$12,"NORMAL")</f>
        <v>42999</v>
      </c>
      <c r="D424" s="20">
        <f>_xll.mirGetDate(C424,D$17,"Following",D$12,"Normal")</f>
        <v>43000</v>
      </c>
      <c r="E424" s="134">
        <f ca="1"/>
        <v>9.176536957031833E-3</v>
      </c>
      <c r="F424" s="7" t="s">
        <v>3</v>
      </c>
      <c r="G424" s="136">
        <f t="shared" si="6"/>
        <v>42999</v>
      </c>
      <c r="H424" s="20">
        <f>_xll.mirGetDate(G424,H$17,"Following",H$12,"Normal")</f>
        <v>43090</v>
      </c>
      <c r="I424" s="134">
        <f ca="1"/>
        <v>1.1046200645670219E-2</v>
      </c>
      <c r="J424" s="120" t="s">
        <v>3</v>
      </c>
    </row>
    <row r="425" spans="1:10" x14ac:dyDescent="0.25">
      <c r="A425" s="126">
        <v>403</v>
      </c>
      <c r="B425" s="119"/>
      <c r="C425" s="136">
        <f>_xll.mirGetDate(C424,"1D","FOLLOWING",D$12,"NORMAL")</f>
        <v>43000</v>
      </c>
      <c r="D425" s="20">
        <f>_xll.mirGetDate(C425,D$17,"Following",D$12,"Normal")</f>
        <v>43003</v>
      </c>
      <c r="E425" s="134">
        <f ca="1"/>
        <v>9.2002965437565695E-3</v>
      </c>
      <c r="F425" s="7" t="s">
        <v>3</v>
      </c>
      <c r="G425" s="136">
        <f t="shared" si="6"/>
        <v>43000</v>
      </c>
      <c r="H425" s="20">
        <f>_xll.mirGetDate(G425,H$17,"Following",H$12,"Normal")</f>
        <v>43091</v>
      </c>
      <c r="I425" s="134">
        <f ca="1"/>
        <v>1.1054107540085513E-2</v>
      </c>
      <c r="J425" s="120" t="s">
        <v>3</v>
      </c>
    </row>
    <row r="426" spans="1:10" x14ac:dyDescent="0.25">
      <c r="A426" s="126">
        <v>404</v>
      </c>
      <c r="B426" s="119"/>
      <c r="C426" s="136">
        <f>_xll.mirGetDate(C425,"1D","FOLLOWING",D$12,"NORMAL")</f>
        <v>43003</v>
      </c>
      <c r="D426" s="20">
        <f>_xll.mirGetDate(C426,D$17,"Following",D$12,"Normal")</f>
        <v>43004</v>
      </c>
      <c r="E426" s="134">
        <f ca="1"/>
        <v>9.2229160281754093E-3</v>
      </c>
      <c r="F426" s="7" t="s">
        <v>3</v>
      </c>
      <c r="G426" s="136">
        <f t="shared" si="6"/>
        <v>43003</v>
      </c>
      <c r="H426" s="20">
        <f>_xll.mirGetDate(G426,H$17,"Following",H$12,"Normal")</f>
        <v>43095</v>
      </c>
      <c r="I426" s="134">
        <f ca="1"/>
        <v>1.1077903327103174E-2</v>
      </c>
      <c r="J426" s="120" t="s">
        <v>3</v>
      </c>
    </row>
    <row r="427" spans="1:10" x14ac:dyDescent="0.25">
      <c r="A427" s="126">
        <v>405</v>
      </c>
      <c r="B427" s="119"/>
      <c r="C427" s="136">
        <f>_xll.mirGetDate(C426,"1D","FOLLOWING",D$12,"NORMAL")</f>
        <v>43004</v>
      </c>
      <c r="D427" s="20">
        <f>_xll.mirGetDate(C427,D$17,"Following",D$12,"Normal")</f>
        <v>43005</v>
      </c>
      <c r="E427" s="134">
        <f ca="1"/>
        <v>9.2340083446007856E-3</v>
      </c>
      <c r="F427" s="7" t="s">
        <v>3</v>
      </c>
      <c r="G427" s="136">
        <f t="shared" si="6"/>
        <v>43004</v>
      </c>
      <c r="H427" s="20">
        <f>_xll.mirGetDate(G427,H$17,"Following",H$12,"Normal")</f>
        <v>43095</v>
      </c>
      <c r="I427" s="134">
        <f ca="1"/>
        <v>1.1085859365936687E-2</v>
      </c>
      <c r="J427" s="120" t="s">
        <v>3</v>
      </c>
    </row>
    <row r="428" spans="1:10" x14ac:dyDescent="0.25">
      <c r="A428" s="126">
        <v>406</v>
      </c>
      <c r="B428" s="119"/>
      <c r="C428" s="136">
        <f>_xll.mirGetDate(C427,"1D","FOLLOWING",D$12,"NORMAL")</f>
        <v>43005</v>
      </c>
      <c r="D428" s="20">
        <f>_xll.mirGetDate(C428,D$17,"Following",D$12,"Normal")</f>
        <v>43006</v>
      </c>
      <c r="E428" s="134">
        <f ca="1"/>
        <v>9.2448996412653247E-3</v>
      </c>
      <c r="F428" s="7" t="s">
        <v>3</v>
      </c>
      <c r="G428" s="136">
        <f t="shared" si="6"/>
        <v>43005</v>
      </c>
      <c r="H428" s="20">
        <f>_xll.mirGetDate(G428,H$17,"Following",H$12,"Normal")</f>
        <v>43096</v>
      </c>
      <c r="I428" s="134">
        <f ca="1"/>
        <v>1.109382699730253E-2</v>
      </c>
      <c r="J428" s="120" t="s">
        <v>3</v>
      </c>
    </row>
    <row r="429" spans="1:10" x14ac:dyDescent="0.25">
      <c r="A429" s="126">
        <v>407</v>
      </c>
      <c r="B429" s="119"/>
      <c r="C429" s="136">
        <f>_xll.mirGetDate(C428,"1D","FOLLOWING",D$12,"NORMAL")</f>
        <v>43006</v>
      </c>
      <c r="D429" s="20">
        <f>_xll.mirGetDate(C429,D$17,"Following",D$12,"Normal")</f>
        <v>43007</v>
      </c>
      <c r="E429" s="134">
        <f ca="1"/>
        <v>9.2555898985047565E-3</v>
      </c>
      <c r="F429" s="7" t="s">
        <v>3</v>
      </c>
      <c r="G429" s="136">
        <f t="shared" si="6"/>
        <v>43006</v>
      </c>
      <c r="H429" s="20">
        <f>_xll.mirGetDate(G429,H$17,"Following",H$12,"Normal")</f>
        <v>43097</v>
      </c>
      <c r="I429" s="134">
        <f ca="1"/>
        <v>1.1101805943771813E-2</v>
      </c>
      <c r="J429" s="120" t="s">
        <v>3</v>
      </c>
    </row>
    <row r="430" spans="1:10" x14ac:dyDescent="0.25">
      <c r="A430" s="126">
        <v>408</v>
      </c>
      <c r="B430" s="119"/>
      <c r="C430" s="136">
        <f>_xll.mirGetDate(C429,"1D","FOLLOWING",D$12,"NORMAL")</f>
        <v>43007</v>
      </c>
      <c r="D430" s="20">
        <f>_xll.mirGetDate(C430,D$17,"Following",D$12,"Normal")</f>
        <v>43010</v>
      </c>
      <c r="E430" s="134">
        <f ca="1"/>
        <v>9.2765392114558028E-3</v>
      </c>
      <c r="F430" s="7" t="s">
        <v>3</v>
      </c>
      <c r="G430" s="136">
        <f t="shared" si="6"/>
        <v>43007</v>
      </c>
      <c r="H430" s="20">
        <f>_xll.mirGetDate(G430,H$17,"Following",H$12,"Normal")</f>
        <v>43098</v>
      </c>
      <c r="I430" s="134">
        <f ca="1"/>
        <v>1.1109795927915644E-2</v>
      </c>
      <c r="J430" s="120" t="s">
        <v>3</v>
      </c>
    </row>
    <row r="431" spans="1:10" x14ac:dyDescent="0.25">
      <c r="A431" s="126">
        <v>409</v>
      </c>
      <c r="B431" s="119"/>
      <c r="C431" s="136">
        <f>_xll.mirGetDate(C430,"1D","FOLLOWING",D$12,"NORMAL")</f>
        <v>43010</v>
      </c>
      <c r="D431" s="20">
        <f>_xll.mirGetDate(C431,D$17,"Following",D$12,"Normal")</f>
        <v>43011</v>
      </c>
      <c r="E431" s="134">
        <f ca="1"/>
        <v>9.2963401364887562E-3</v>
      </c>
      <c r="F431" s="7" t="s">
        <v>3</v>
      </c>
      <c r="G431" s="136">
        <f t="shared" si="6"/>
        <v>43010</v>
      </c>
      <c r="H431" s="20">
        <f>_xll.mirGetDate(G431,H$17,"Following",H$12,"Normal")</f>
        <v>43102</v>
      </c>
      <c r="I431" s="134">
        <f ca="1"/>
        <v>1.1133829332105539E-2</v>
      </c>
      <c r="J431" s="120" t="s">
        <v>3</v>
      </c>
    </row>
    <row r="432" spans="1:10" x14ac:dyDescent="0.25">
      <c r="A432" s="126">
        <v>410</v>
      </c>
      <c r="B432" s="119"/>
      <c r="C432" s="136">
        <f>_xll.mirGetDate(C431,"1D","FOLLOWING",D$12,"NORMAL")</f>
        <v>43011</v>
      </c>
      <c r="D432" s="20">
        <f>_xll.mirGetDate(C432,D$17,"Following",D$12,"Normal")</f>
        <v>43012</v>
      </c>
      <c r="E432" s="134">
        <f ca="1"/>
        <v>9.3060248986010282E-3</v>
      </c>
      <c r="F432" s="7" t="s">
        <v>3</v>
      </c>
      <c r="G432" s="136">
        <f t="shared" si="6"/>
        <v>43011</v>
      </c>
      <c r="H432" s="20">
        <f>_xll.mirGetDate(G432,H$17,"Following",H$12,"Normal")</f>
        <v>43103</v>
      </c>
      <c r="I432" s="134">
        <f ca="1"/>
        <v>1.1141860692658668E-2</v>
      </c>
      <c r="J432" s="120" t="s">
        <v>3</v>
      </c>
    </row>
    <row r="433" spans="1:10" x14ac:dyDescent="0.25">
      <c r="A433" s="126">
        <v>411</v>
      </c>
      <c r="B433" s="119"/>
      <c r="C433" s="136">
        <f>_xll.mirGetDate(C432,"1D","FOLLOWING",D$12,"NORMAL")</f>
        <v>43012</v>
      </c>
      <c r="D433" s="20">
        <f>_xll.mirGetDate(C433,D$17,"Following",D$12,"Normal")</f>
        <v>43013</v>
      </c>
      <c r="E433" s="134">
        <f ca="1"/>
        <v>9.3155085017837865E-3</v>
      </c>
      <c r="F433" s="7" t="s">
        <v>3</v>
      </c>
      <c r="G433" s="136">
        <f t="shared" si="6"/>
        <v>43012</v>
      </c>
      <c r="H433" s="20">
        <f>_xll.mirGetDate(G433,H$17,"Following",H$12,"Normal")</f>
        <v>43104</v>
      </c>
      <c r="I433" s="134">
        <f ca="1"/>
        <v>1.1149901703741897E-2</v>
      </c>
      <c r="J433" s="120" t="s">
        <v>3</v>
      </c>
    </row>
    <row r="434" spans="1:10" x14ac:dyDescent="0.25">
      <c r="A434" s="126">
        <v>412</v>
      </c>
      <c r="B434" s="119"/>
      <c r="C434" s="136">
        <f>_xll.mirGetDate(C433,"1D","FOLLOWING",D$12,"NORMAL")</f>
        <v>43013</v>
      </c>
      <c r="D434" s="20">
        <f>_xll.mirGetDate(C434,D$17,"Following",D$12,"Normal")</f>
        <v>43014</v>
      </c>
      <c r="E434" s="134">
        <f ca="1"/>
        <v>9.3247909258931446E-3</v>
      </c>
      <c r="F434" s="7" t="s">
        <v>3</v>
      </c>
      <c r="G434" s="136">
        <f t="shared" si="6"/>
        <v>43013</v>
      </c>
      <c r="H434" s="20">
        <f>_xll.mirGetDate(G434,H$17,"Following",H$12,"Normal")</f>
        <v>43105</v>
      </c>
      <c r="I434" s="134">
        <f ca="1"/>
        <v>1.1157952087926335E-2</v>
      </c>
      <c r="J434" s="120" t="s">
        <v>3</v>
      </c>
    </row>
    <row r="435" spans="1:10" x14ac:dyDescent="0.25">
      <c r="A435" s="126">
        <v>413</v>
      </c>
      <c r="B435" s="119"/>
      <c r="C435" s="136">
        <f>_xll.mirGetDate(C434,"1D","FOLLOWING",D$12,"NORMAL")</f>
        <v>43014</v>
      </c>
      <c r="D435" s="20">
        <f>_xll.mirGetDate(C435,D$17,"Following",D$12,"Normal")</f>
        <v>43018</v>
      </c>
      <c r="E435" s="134">
        <f ca="1"/>
        <v>9.3473549461851723E-3</v>
      </c>
      <c r="F435" s="7" t="s">
        <v>3</v>
      </c>
      <c r="G435" s="136">
        <f t="shared" si="6"/>
        <v>43014</v>
      </c>
      <c r="H435" s="20">
        <f>_xll.mirGetDate(G435,H$17,"Following",H$12,"Normal")</f>
        <v>43108</v>
      </c>
      <c r="I435" s="134">
        <f ca="1"/>
        <v>1.1166011567783091E-2</v>
      </c>
      <c r="J435" s="120" t="s">
        <v>3</v>
      </c>
    </row>
    <row r="436" spans="1:10" x14ac:dyDescent="0.25">
      <c r="A436" s="126">
        <v>414</v>
      </c>
      <c r="B436" s="119"/>
      <c r="C436" s="136">
        <f>_xll.mirGetDate(C435,"1D","FOLLOWING",D$12,"NORMAL")</f>
        <v>43018</v>
      </c>
      <c r="D436" s="20">
        <f>_xll.mirGetDate(C436,D$17,"Following",D$12,"Normal")</f>
        <v>43019</v>
      </c>
      <c r="E436" s="134">
        <f ca="1"/>
        <v>9.368184652425204E-3</v>
      </c>
      <c r="F436" s="7" t="s">
        <v>3</v>
      </c>
      <c r="G436" s="136">
        <f t="shared" si="6"/>
        <v>43018</v>
      </c>
      <c r="H436" s="20">
        <f>_xll.mirGetDate(G436,H$17,"Following",H$12,"Normal")</f>
        <v>43110</v>
      </c>
      <c r="I436" s="134">
        <f ca="1"/>
        <v>1.1198334895355509E-2</v>
      </c>
      <c r="J436" s="120" t="s">
        <v>3</v>
      </c>
    </row>
    <row r="437" spans="1:10" x14ac:dyDescent="0.25">
      <c r="A437" s="126">
        <v>415</v>
      </c>
      <c r="B437" s="119"/>
      <c r="C437" s="136">
        <f>_xll.mirGetDate(C436,"1D","FOLLOWING",D$12,"NORMAL")</f>
        <v>43019</v>
      </c>
      <c r="D437" s="20">
        <f>_xll.mirGetDate(C437,D$17,"Following",D$12,"Normal")</f>
        <v>43020</v>
      </c>
      <c r="E437" s="134">
        <f ca="1"/>
        <v>9.3762595767543973E-3</v>
      </c>
      <c r="F437" s="7" t="s">
        <v>3</v>
      </c>
      <c r="G437" s="136">
        <f t="shared" si="6"/>
        <v>43019</v>
      </c>
      <c r="H437" s="20">
        <f>_xll.mirGetDate(G437,H$17,"Following",H$12,"Normal")</f>
        <v>43111</v>
      </c>
      <c r="I437" s="134">
        <f ca="1"/>
        <v>1.1206435692140509E-2</v>
      </c>
      <c r="J437" s="120" t="s">
        <v>3</v>
      </c>
    </row>
    <row r="438" spans="1:10" x14ac:dyDescent="0.25">
      <c r="A438" s="126">
        <v>416</v>
      </c>
      <c r="B438" s="119"/>
      <c r="C438" s="136">
        <f>_xll.mirGetDate(C437,"1D","FOLLOWING",D$12,"NORMAL")</f>
        <v>43020</v>
      </c>
      <c r="D438" s="20">
        <f>_xll.mirGetDate(C438,D$17,"Following",D$12,"Normal")</f>
        <v>43021</v>
      </c>
      <c r="E438" s="134">
        <f ca="1"/>
        <v>9.3841331796440716E-3</v>
      </c>
      <c r="F438" s="7" t="s">
        <v>3</v>
      </c>
      <c r="G438" s="136">
        <f t="shared" si="6"/>
        <v>43020</v>
      </c>
      <c r="H438" s="20">
        <f>_xll.mirGetDate(G438,H$17,"Following",H$12,"Normal")</f>
        <v>43112</v>
      </c>
      <c r="I438" s="134">
        <f ca="1"/>
        <v>1.1214543920024489E-2</v>
      </c>
      <c r="J438" s="120" t="s">
        <v>3</v>
      </c>
    </row>
    <row r="439" spans="1:10" x14ac:dyDescent="0.25">
      <c r="A439" s="126">
        <v>417</v>
      </c>
      <c r="B439" s="119"/>
      <c r="C439" s="136">
        <f>_xll.mirGetDate(C438,"1D","FOLLOWING",D$12,"NORMAL")</f>
        <v>43021</v>
      </c>
      <c r="D439" s="20">
        <f>_xll.mirGetDate(C439,D$17,"Following",D$12,"Normal")</f>
        <v>43024</v>
      </c>
      <c r="E439" s="134">
        <f ca="1"/>
        <v>9.3994546170162226E-3</v>
      </c>
      <c r="F439" s="7" t="s">
        <v>3</v>
      </c>
      <c r="G439" s="136">
        <f t="shared" si="6"/>
        <v>43021</v>
      </c>
      <c r="H439" s="20">
        <f>_xll.mirGetDate(G439,H$17,"Following",H$12,"Normal")</f>
        <v>43116</v>
      </c>
      <c r="I439" s="134">
        <f ca="1"/>
        <v>1.1222659301578557E-2</v>
      </c>
      <c r="J439" s="120" t="s">
        <v>3</v>
      </c>
    </row>
    <row r="440" spans="1:10" x14ac:dyDescent="0.25">
      <c r="A440" s="126">
        <v>418</v>
      </c>
      <c r="B440" s="119"/>
      <c r="C440" s="136">
        <f>_xll.mirGetDate(C439,"1D","FOLLOWING",D$12,"NORMAL")</f>
        <v>43024</v>
      </c>
      <c r="D440" s="20">
        <f>_xll.mirGetDate(C440,D$17,"Following",D$12,"Normal")</f>
        <v>43025</v>
      </c>
      <c r="E440" s="134">
        <f ca="1"/>
        <v>9.4136139672152171E-3</v>
      </c>
      <c r="F440" s="7" t="s">
        <v>3</v>
      </c>
      <c r="G440" s="136">
        <f t="shared" si="6"/>
        <v>43024</v>
      </c>
      <c r="H440" s="20">
        <f>_xll.mirGetDate(G440,H$17,"Following",H$12,"Normal")</f>
        <v>43116</v>
      </c>
      <c r="I440" s="134">
        <f ca="1"/>
        <v>1.1247045593972393E-2</v>
      </c>
      <c r="J440" s="120" t="s">
        <v>3</v>
      </c>
    </row>
    <row r="441" spans="1:10" x14ac:dyDescent="0.25">
      <c r="A441" s="126">
        <v>419</v>
      </c>
      <c r="B441" s="119"/>
      <c r="C441" s="136">
        <f>_xll.mirGetDate(C440,"1D","FOLLOWING",D$12,"NORMAL")</f>
        <v>43025</v>
      </c>
      <c r="D441" s="20">
        <f>_xll.mirGetDate(C441,D$17,"Following",D$12,"Normal")</f>
        <v>43026</v>
      </c>
      <c r="E441" s="134">
        <f ca="1"/>
        <v>9.4204806549936012E-3</v>
      </c>
      <c r="F441" s="7" t="s">
        <v>3</v>
      </c>
      <c r="G441" s="136">
        <f t="shared" si="6"/>
        <v>43025</v>
      </c>
      <c r="H441" s="20">
        <f>_xll.mirGetDate(G441,H$17,"Following",H$12,"Normal")</f>
        <v>43117</v>
      </c>
      <c r="I441" s="134">
        <f ca="1"/>
        <v>1.1255186815917915E-2</v>
      </c>
      <c r="J441" s="120" t="s">
        <v>3</v>
      </c>
    </row>
    <row r="442" spans="1:10" x14ac:dyDescent="0.25">
      <c r="A442" s="126">
        <v>420</v>
      </c>
      <c r="B442" s="119"/>
      <c r="C442" s="136">
        <f>_xll.mirGetDate(C441,"1D","FOLLOWING",D$12,"NORMAL")</f>
        <v>43026</v>
      </c>
      <c r="D442" s="20">
        <f>_xll.mirGetDate(C442,D$17,"Following",D$12,"Normal")</f>
        <v>43027</v>
      </c>
      <c r="E442" s="134">
        <f ca="1"/>
        <v>9.4271458976713848E-3</v>
      </c>
      <c r="F442" s="7" t="s">
        <v>3</v>
      </c>
      <c r="G442" s="136">
        <f t="shared" si="6"/>
        <v>43026</v>
      </c>
      <c r="H442" s="20">
        <f>_xll.mirGetDate(G442,H$17,"Following",H$12,"Normal")</f>
        <v>43118</v>
      </c>
      <c r="I442" s="134">
        <f ca="1"/>
        <v>1.1263333804389075E-2</v>
      </c>
      <c r="J442" s="120" t="s">
        <v>3</v>
      </c>
    </row>
    <row r="443" spans="1:10" x14ac:dyDescent="0.25">
      <c r="A443" s="126">
        <v>421</v>
      </c>
      <c r="B443" s="119"/>
      <c r="C443" s="136">
        <f>_xll.mirGetDate(C442,"1D","FOLLOWING",D$12,"NORMAL")</f>
        <v>43027</v>
      </c>
      <c r="D443" s="20">
        <f>_xll.mirGetDate(C443,D$17,"Following",D$12,"Normal")</f>
        <v>43028</v>
      </c>
      <c r="E443" s="134">
        <f ca="1"/>
        <v>9.4336096746250649E-3</v>
      </c>
      <c r="F443" s="7" t="s">
        <v>3</v>
      </c>
      <c r="G443" s="136">
        <f t="shared" si="6"/>
        <v>43027</v>
      </c>
      <c r="H443" s="20">
        <f>_xll.mirGetDate(G443,H$17,"Following",H$12,"Normal")</f>
        <v>43119</v>
      </c>
      <c r="I443" s="134">
        <f ca="1"/>
        <v>1.1271486281956981E-2</v>
      </c>
      <c r="J443" s="120" t="s">
        <v>3</v>
      </c>
    </row>
    <row r="444" spans="1:10" x14ac:dyDescent="0.25">
      <c r="A444" s="126">
        <v>422</v>
      </c>
      <c r="B444" s="119"/>
      <c r="C444" s="136">
        <f>_xll.mirGetDate(C443,"1D","FOLLOWING",D$12,"NORMAL")</f>
        <v>43028</v>
      </c>
      <c r="D444" s="20">
        <f>_xll.mirGetDate(C444,D$17,"Following",D$12,"Normal")</f>
        <v>43031</v>
      </c>
      <c r="E444" s="134">
        <f ca="1"/>
        <v>9.4461134192780679E-3</v>
      </c>
      <c r="F444" s="7" t="s">
        <v>3</v>
      </c>
      <c r="G444" s="136">
        <f t="shared" si="6"/>
        <v>43028</v>
      </c>
      <c r="H444" s="20">
        <f>_xll.mirGetDate(G444,H$17,"Following",H$12,"Normal")</f>
        <v>43122</v>
      </c>
      <c r="I444" s="134">
        <f ca="1"/>
        <v>1.1279643971192748E-2</v>
      </c>
      <c r="J444" s="120" t="s">
        <v>3</v>
      </c>
    </row>
    <row r="445" spans="1:10" x14ac:dyDescent="0.25">
      <c r="A445" s="126">
        <v>423</v>
      </c>
      <c r="B445" s="119"/>
      <c r="C445" s="136">
        <f>_xll.mirGetDate(C444,"1D","FOLLOWING",D$12,"NORMAL")</f>
        <v>43031</v>
      </c>
      <c r="D445" s="20">
        <f>_xll.mirGetDate(C445,D$17,"Following",D$12,"Normal")</f>
        <v>43032</v>
      </c>
      <c r="E445" s="134">
        <f ca="1"/>
        <v>9.4574497076127858E-3</v>
      </c>
      <c r="F445" s="7" t="s">
        <v>3</v>
      </c>
      <c r="G445" s="136">
        <f t="shared" si="6"/>
        <v>43031</v>
      </c>
      <c r="H445" s="20">
        <f>_xll.mirGetDate(G445,H$17,"Following",H$12,"Normal")</f>
        <v>43123</v>
      </c>
      <c r="I445" s="134">
        <f ca="1"/>
        <v>1.1304145534618294E-2</v>
      </c>
      <c r="J445" s="120" t="s">
        <v>3</v>
      </c>
    </row>
    <row r="446" spans="1:10" x14ac:dyDescent="0.25">
      <c r="A446" s="126">
        <v>424</v>
      </c>
      <c r="B446" s="119"/>
      <c r="C446" s="136">
        <f>_xll.mirGetDate(C445,"1D","FOLLOWING",D$12,"NORMAL")</f>
        <v>43032</v>
      </c>
      <c r="D446" s="20">
        <f>_xll.mirGetDate(C446,D$17,"Following",D$12,"Normal")</f>
        <v>43033</v>
      </c>
      <c r="E446" s="134">
        <f ca="1"/>
        <v>9.4629058428364107E-3</v>
      </c>
      <c r="F446" s="7" t="s">
        <v>3</v>
      </c>
      <c r="G446" s="136">
        <f t="shared" si="6"/>
        <v>43032</v>
      </c>
      <c r="H446" s="20">
        <f>_xll.mirGetDate(G446,H$17,"Following",H$12,"Normal")</f>
        <v>43124</v>
      </c>
      <c r="I446" s="134">
        <f ca="1"/>
        <v>1.1312321296236589E-2</v>
      </c>
      <c r="J446" s="120" t="s">
        <v>3</v>
      </c>
    </row>
    <row r="447" spans="1:10" x14ac:dyDescent="0.25">
      <c r="A447" s="126">
        <v>425</v>
      </c>
      <c r="B447" s="119"/>
      <c r="C447" s="136">
        <f>_xll.mirGetDate(C446,"1D","FOLLOWING",D$12,"NORMAL")</f>
        <v>43033</v>
      </c>
      <c r="D447" s="20">
        <f>_xll.mirGetDate(C447,D$17,"Following",D$12,"Normal")</f>
        <v>43034</v>
      </c>
      <c r="E447" s="134">
        <f ca="1"/>
        <v>9.4681603868363214E-3</v>
      </c>
      <c r="F447" s="7" t="s">
        <v>3</v>
      </c>
      <c r="G447" s="136">
        <f t="shared" si="6"/>
        <v>43033</v>
      </c>
      <c r="H447" s="20">
        <f>_xll.mirGetDate(G447,H$17,"Following",H$12,"Normal")</f>
        <v>43125</v>
      </c>
      <c r="I447" s="134">
        <f ca="1"/>
        <v>1.1320500882378294E-2</v>
      </c>
      <c r="J447" s="120" t="s">
        <v>3</v>
      </c>
    </row>
    <row r="448" spans="1:10" x14ac:dyDescent="0.25">
      <c r="A448" s="126">
        <v>426</v>
      </c>
      <c r="B448" s="119"/>
      <c r="C448" s="136">
        <f>_xll.mirGetDate(C447,"1D","FOLLOWING",D$12,"NORMAL")</f>
        <v>43034</v>
      </c>
      <c r="D448" s="20">
        <f>_xll.mirGetDate(C448,D$17,"Following",D$12,"Normal")</f>
        <v>43035</v>
      </c>
      <c r="E448" s="134">
        <f ca="1"/>
        <v>9.4732133188291431E-3</v>
      </c>
      <c r="F448" s="7" t="s">
        <v>3</v>
      </c>
      <c r="G448" s="136">
        <f t="shared" si="6"/>
        <v>43034</v>
      </c>
      <c r="H448" s="20">
        <f>_xll.mirGetDate(G448,H$17,"Following",H$12,"Normal")</f>
        <v>43126</v>
      </c>
      <c r="I448" s="134">
        <f ca="1"/>
        <v>1.1328684015614517E-2</v>
      </c>
      <c r="J448" s="120" t="s">
        <v>3</v>
      </c>
    </row>
    <row r="449" spans="1:10" x14ac:dyDescent="0.25">
      <c r="A449" s="126">
        <v>427</v>
      </c>
      <c r="B449" s="119"/>
      <c r="C449" s="136">
        <f>_xll.mirGetDate(C448,"1D","FOLLOWING",D$12,"NORMAL")</f>
        <v>43035</v>
      </c>
      <c r="D449" s="20">
        <f>_xll.mirGetDate(C449,D$17,"Following",D$12,"Normal")</f>
        <v>43038</v>
      </c>
      <c r="E449" s="134">
        <f ca="1"/>
        <v>9.4828968185110031E-3</v>
      </c>
      <c r="F449" s="7" t="s">
        <v>3</v>
      </c>
      <c r="G449" s="136">
        <f t="shared" si="6"/>
        <v>43035</v>
      </c>
      <c r="H449" s="20">
        <f>_xll.mirGetDate(G449,H$17,"Following",H$12,"Normal")</f>
        <v>43129</v>
      </c>
      <c r="I449" s="134">
        <f ca="1"/>
        <v>1.1336870418516368E-2</v>
      </c>
      <c r="J449" s="120" t="s">
        <v>3</v>
      </c>
    </row>
    <row r="450" spans="1:10" x14ac:dyDescent="0.25">
      <c r="A450" s="126">
        <v>428</v>
      </c>
      <c r="B450" s="119"/>
      <c r="C450" s="136">
        <f>_xll.mirGetDate(C449,"1D","FOLLOWING",D$12,"NORMAL")</f>
        <v>43038</v>
      </c>
      <c r="D450" s="20">
        <f>_xll.mirGetDate(C450,D$17,"Following",D$12,"Normal")</f>
        <v>43039</v>
      </c>
      <c r="E450" s="134">
        <f ca="1"/>
        <v>9.4914085039477288E-3</v>
      </c>
      <c r="F450" s="7" t="s">
        <v>3</v>
      </c>
      <c r="G450" s="136">
        <f t="shared" si="6"/>
        <v>43038</v>
      </c>
      <c r="H450" s="20">
        <f>_xll.mirGetDate(G450,H$17,"Following",H$12,"Normal")</f>
        <v>43130</v>
      </c>
      <c r="I450" s="134">
        <f ca="1"/>
        <v>1.1361446470926781E-2</v>
      </c>
      <c r="J450" s="120" t="s">
        <v>3</v>
      </c>
    </row>
    <row r="451" spans="1:10" x14ac:dyDescent="0.25">
      <c r="A451" s="126">
        <v>429</v>
      </c>
      <c r="B451" s="119"/>
      <c r="C451" s="136">
        <f>_xll.mirGetDate(C450,"1D","FOLLOWING",D$12,"NORMAL")</f>
        <v>43039</v>
      </c>
      <c r="D451" s="20">
        <f>_xll.mirGetDate(C451,D$17,"Following",D$12,"Normal")</f>
        <v>43040</v>
      </c>
      <c r="E451" s="134">
        <f ca="1"/>
        <v>9.4954530591984439E-3</v>
      </c>
      <c r="F451" s="7" t="s">
        <v>3</v>
      </c>
      <c r="G451" s="136">
        <f t="shared" si="6"/>
        <v>43039</v>
      </c>
      <c r="H451" s="20">
        <f>_xll.mirGetDate(G451,H$17,"Following",H$12,"Normal")</f>
        <v>43131</v>
      </c>
      <c r="I451" s="134">
        <f ca="1"/>
        <v>1.136964317820224E-2</v>
      </c>
      <c r="J451" s="120" t="s">
        <v>3</v>
      </c>
    </row>
    <row r="452" spans="1:10" x14ac:dyDescent="0.25">
      <c r="A452" s="126">
        <v>430</v>
      </c>
      <c r="B452" s="119"/>
      <c r="C452" s="136">
        <f>_xll.mirGetDate(C451,"1D","FOLLOWING",D$12,"NORMAL")</f>
        <v>43040</v>
      </c>
      <c r="D452" s="20">
        <f>_xll.mirGetDate(C452,D$17,"Following",D$12,"Normal")</f>
        <v>43041</v>
      </c>
      <c r="E452" s="134">
        <f ca="1"/>
        <v>9.4992958755835463E-3</v>
      </c>
      <c r="F452" s="7" t="s">
        <v>3</v>
      </c>
      <c r="G452" s="136">
        <f t="shared" si="6"/>
        <v>43040</v>
      </c>
      <c r="H452" s="20">
        <f>_xll.mirGetDate(G452,H$17,"Following",H$12,"Normal")</f>
        <v>43132</v>
      </c>
      <c r="I452" s="134">
        <f ca="1"/>
        <v>1.1377841767998878E-2</v>
      </c>
      <c r="J452" s="120" t="s">
        <v>3</v>
      </c>
    </row>
    <row r="453" spans="1:10" x14ac:dyDescent="0.25">
      <c r="A453" s="126">
        <v>431</v>
      </c>
      <c r="B453" s="119"/>
      <c r="C453" s="136">
        <f>_xll.mirGetDate(C452,"1D","FOLLOWING",D$12,"NORMAL")</f>
        <v>43041</v>
      </c>
      <c r="D453" s="20">
        <f>_xll.mirGetDate(C453,D$17,"Following",D$12,"Normal")</f>
        <v>43042</v>
      </c>
      <c r="E453" s="134">
        <f ca="1"/>
        <v>9.5029369320798526E-3</v>
      </c>
      <c r="F453" s="7" t="s">
        <v>3</v>
      </c>
      <c r="G453" s="136">
        <f t="shared" si="6"/>
        <v>43041</v>
      </c>
      <c r="H453" s="20">
        <f>_xll.mirGetDate(G453,H$17,"Following",H$12,"Normal")</f>
        <v>43133</v>
      </c>
      <c r="I453" s="134">
        <f ca="1"/>
        <v>1.13860419628878E-2</v>
      </c>
      <c r="J453" s="120" t="s">
        <v>3</v>
      </c>
    </row>
    <row r="454" spans="1:10" x14ac:dyDescent="0.25">
      <c r="A454" s="126">
        <v>432</v>
      </c>
      <c r="B454" s="119"/>
      <c r="C454" s="136">
        <f>_xll.mirGetDate(C453,"1D","FOLLOWING",D$12,"NORMAL")</f>
        <v>43042</v>
      </c>
      <c r="D454" s="20">
        <f>_xll.mirGetDate(C454,D$17,"Following",D$12,"Normal")</f>
        <v>43045</v>
      </c>
      <c r="E454" s="134">
        <f ca="1"/>
        <v>9.5097976066682906E-3</v>
      </c>
      <c r="F454" s="7" t="s">
        <v>3</v>
      </c>
      <c r="G454" s="136">
        <f t="shared" si="6"/>
        <v>43042</v>
      </c>
      <c r="H454" s="20">
        <f>_xll.mirGetDate(G454,H$17,"Following",H$12,"Normal")</f>
        <v>43136</v>
      </c>
      <c r="I454" s="134">
        <f ca="1"/>
        <v>1.139424348544012E-2</v>
      </c>
      <c r="J454" s="120" t="s">
        <v>3</v>
      </c>
    </row>
    <row r="455" spans="1:10" x14ac:dyDescent="0.25">
      <c r="A455" s="126">
        <v>433</v>
      </c>
      <c r="B455" s="119"/>
      <c r="C455" s="136">
        <f>_xll.mirGetDate(C454,"1D","FOLLOWING",D$12,"NORMAL")</f>
        <v>43045</v>
      </c>
      <c r="D455" s="20">
        <f>_xll.mirGetDate(C455,D$17,"Following",D$12,"Normal")</f>
        <v>43046</v>
      </c>
      <c r="E455" s="134">
        <f ca="1"/>
        <v>9.5154831343969067E-3</v>
      </c>
      <c r="F455" s="7" t="s">
        <v>3</v>
      </c>
      <c r="G455" s="136">
        <f t="shared" si="6"/>
        <v>43045</v>
      </c>
      <c r="H455" s="20">
        <f>_xll.mirGetDate(G455,H$17,"Following",H$12,"Normal")</f>
        <v>43137</v>
      </c>
      <c r="I455" s="134">
        <f ca="1"/>
        <v>1.1418853244788561E-2</v>
      </c>
      <c r="J455" s="120" t="s">
        <v>3</v>
      </c>
    </row>
    <row r="456" spans="1:10" x14ac:dyDescent="0.25">
      <c r="A456" s="126">
        <v>434</v>
      </c>
      <c r="B456" s="119"/>
      <c r="C456" s="136">
        <f>_xll.mirGetDate(C455,"1D","FOLLOWING",D$12,"NORMAL")</f>
        <v>43046</v>
      </c>
      <c r="D456" s="20">
        <f>_xll.mirGetDate(C456,D$17,"Following",D$12,"Normal")</f>
        <v>43047</v>
      </c>
      <c r="E456" s="134">
        <f ca="1"/>
        <v>9.5181150726642346E-3</v>
      </c>
      <c r="F456" s="7" t="s">
        <v>3</v>
      </c>
      <c r="G456" s="136">
        <f t="shared" si="6"/>
        <v>43046</v>
      </c>
      <c r="H456" s="20">
        <f>_xll.mirGetDate(G456,H$17,"Following",H$12,"Normal")</f>
        <v>43138</v>
      </c>
      <c r="I456" s="134">
        <f ca="1"/>
        <v>1.142705729705583E-2</v>
      </c>
      <c r="J456" s="120" t="s">
        <v>3</v>
      </c>
    </row>
    <row r="457" spans="1:10" x14ac:dyDescent="0.25">
      <c r="A457" s="126">
        <v>435</v>
      </c>
      <c r="B457" s="119"/>
      <c r="C457" s="136">
        <f>_xll.mirGetDate(C456,"1D","FOLLOWING",D$12,"NORMAL")</f>
        <v>43047</v>
      </c>
      <c r="D457" s="20">
        <f>_xll.mirGetDate(C457,D$17,"Following",D$12,"Normal")</f>
        <v>43048</v>
      </c>
      <c r="E457" s="134">
        <f ca="1"/>
        <v>9.5205451234648183E-3</v>
      </c>
      <c r="F457" s="7" t="s">
        <v>3</v>
      </c>
      <c r="G457" s="136">
        <f t="shared" si="6"/>
        <v>43047</v>
      </c>
      <c r="H457" s="20">
        <f>_xll.mirGetDate(G457,H$17,"Following",H$12,"Normal")</f>
        <v>43139</v>
      </c>
      <c r="I457" s="134">
        <f ca="1"/>
        <v>1.143526009474354E-2</v>
      </c>
      <c r="J457" s="120" t="s">
        <v>3</v>
      </c>
    </row>
    <row r="458" spans="1:10" x14ac:dyDescent="0.25">
      <c r="A458" s="126">
        <v>436</v>
      </c>
      <c r="B458" s="119"/>
      <c r="C458" s="136">
        <f>_xll.mirGetDate(C457,"1D","FOLLOWING",D$12,"NORMAL")</f>
        <v>43048</v>
      </c>
      <c r="D458" s="20">
        <f>_xll.mirGetDate(C458,D$17,"Following",D$12,"Normal")</f>
        <v>43049</v>
      </c>
      <c r="E458" s="134">
        <f ca="1"/>
        <v>9.5227732654557321E-3</v>
      </c>
      <c r="F458" s="7" t="s">
        <v>3</v>
      </c>
      <c r="G458" s="136">
        <f t="shared" si="6"/>
        <v>43048</v>
      </c>
      <c r="H458" s="20">
        <f>_xll.mirGetDate(G458,H$17,"Following",H$12,"Normal")</f>
        <v>43140</v>
      </c>
      <c r="I458" s="134">
        <f ca="1"/>
        <v>1.1443457639237433E-2</v>
      </c>
      <c r="J458" s="120" t="s">
        <v>3</v>
      </c>
    </row>
    <row r="459" spans="1:10" x14ac:dyDescent="0.25">
      <c r="A459" s="126">
        <v>437</v>
      </c>
      <c r="B459" s="119"/>
      <c r="C459" s="136">
        <f>_xll.mirGetDate(C458,"1D","FOLLOWING",D$12,"NORMAL")</f>
        <v>43049</v>
      </c>
      <c r="D459" s="20">
        <f>_xll.mirGetDate(C459,D$17,"Following",D$12,"Normal")</f>
        <v>43052</v>
      </c>
      <c r="E459" s="134">
        <f ca="1"/>
        <v>9.52680851369795E-3</v>
      </c>
      <c r="F459" s="7" t="s">
        <v>3</v>
      </c>
      <c r="G459" s="136">
        <f t="shared" si="6"/>
        <v>43049</v>
      </c>
      <c r="H459" s="20">
        <f>_xll.mirGetDate(G459,H$17,"Following",H$12,"Normal")</f>
        <v>43143</v>
      </c>
      <c r="I459" s="134">
        <f ca="1"/>
        <v>1.1451645604788858E-2</v>
      </c>
      <c r="J459" s="120" t="s">
        <v>3</v>
      </c>
    </row>
    <row r="460" spans="1:10" x14ac:dyDescent="0.25">
      <c r="A460" s="126">
        <v>438</v>
      </c>
      <c r="B460" s="119"/>
      <c r="C460" s="136">
        <f>_xll.mirGetDate(C459,"1D","FOLLOWING",D$12,"NORMAL")</f>
        <v>43052</v>
      </c>
      <c r="D460" s="20">
        <f>_xll.mirGetDate(C460,D$17,"Following",D$12,"Normal")</f>
        <v>43053</v>
      </c>
      <c r="E460" s="134">
        <f ca="1"/>
        <v>9.5296663186239874E-3</v>
      </c>
      <c r="F460" s="7" t="s">
        <v>3</v>
      </c>
      <c r="G460" s="136">
        <f t="shared" si="6"/>
        <v>43052</v>
      </c>
      <c r="H460" s="20">
        <f>_xll.mirGetDate(G460,H$17,"Following",H$12,"Normal")</f>
        <v>43144</v>
      </c>
      <c r="I460" s="134">
        <f ca="1"/>
        <v>1.147610877030191E-2</v>
      </c>
      <c r="J460" s="120" t="s">
        <v>3</v>
      </c>
    </row>
    <row r="461" spans="1:10" x14ac:dyDescent="0.25">
      <c r="A461" s="126">
        <v>439</v>
      </c>
      <c r="B461" s="119"/>
      <c r="C461" s="136">
        <f>_xll.mirGetDate(C460,"1D","FOLLOWING",D$12,"NORMAL")</f>
        <v>43053</v>
      </c>
      <c r="D461" s="20">
        <f>_xll.mirGetDate(C461,D$17,"Following",D$12,"Normal")</f>
        <v>43054</v>
      </c>
      <c r="E461" s="134">
        <f ca="1"/>
        <v>9.5308845964226299E-3</v>
      </c>
      <c r="F461" s="7" t="s">
        <v>3</v>
      </c>
      <c r="G461" s="136">
        <f t="shared" si="6"/>
        <v>43053</v>
      </c>
      <c r="H461" s="20">
        <f>_xll.mirGetDate(G461,H$17,"Following",H$12,"Normal")</f>
        <v>43145</v>
      </c>
      <c r="I461" s="134">
        <f ca="1"/>
        <v>1.1484215162597041E-2</v>
      </c>
      <c r="J461" s="120" t="s">
        <v>3</v>
      </c>
    </row>
    <row r="462" spans="1:10" x14ac:dyDescent="0.25">
      <c r="A462" s="126">
        <v>440</v>
      </c>
      <c r="B462" s="119"/>
      <c r="C462" s="136">
        <f>_xll.mirGetDate(C461,"1D","FOLLOWING",D$12,"NORMAL")</f>
        <v>43054</v>
      </c>
      <c r="D462" s="20">
        <f>_xll.mirGetDate(C462,D$17,"Following",D$12,"Normal")</f>
        <v>43055</v>
      </c>
      <c r="E462" s="134">
        <f ca="1"/>
        <v>9.531900837114228E-3</v>
      </c>
      <c r="F462" s="7" t="s">
        <v>3</v>
      </c>
      <c r="G462" s="136">
        <f t="shared" si="6"/>
        <v>43054</v>
      </c>
      <c r="H462" s="20">
        <f>_xll.mirGetDate(G462,H$17,"Following",H$12,"Normal")</f>
        <v>43146</v>
      </c>
      <c r="I462" s="134">
        <f ca="1"/>
        <v>1.149229034720649E-2</v>
      </c>
      <c r="J462" s="120" t="s">
        <v>3</v>
      </c>
    </row>
    <row r="463" spans="1:10" x14ac:dyDescent="0.25">
      <c r="A463" s="126">
        <v>441</v>
      </c>
      <c r="B463" s="119"/>
      <c r="C463" s="136">
        <f>_xll.mirGetDate(C462,"1D","FOLLOWING",D$12,"NORMAL")</f>
        <v>43055</v>
      </c>
      <c r="D463" s="20">
        <f>_xll.mirGetDate(C463,D$17,"Following",D$12,"Normal")</f>
        <v>43056</v>
      </c>
      <c r="E463" s="134">
        <f ca="1"/>
        <v>9.5327150195157265E-3</v>
      </c>
      <c r="F463" s="7" t="s">
        <v>3</v>
      </c>
      <c r="G463" s="136">
        <f t="shared" si="6"/>
        <v>43055</v>
      </c>
      <c r="H463" s="20">
        <f>_xll.mirGetDate(G463,H$17,"Following",H$12,"Normal")</f>
        <v>43147</v>
      </c>
      <c r="I463" s="134">
        <f ca="1"/>
        <v>1.1500329998381612E-2</v>
      </c>
      <c r="J463" s="120" t="s">
        <v>3</v>
      </c>
    </row>
    <row r="464" spans="1:10" x14ac:dyDescent="0.25">
      <c r="A464" s="126">
        <v>442</v>
      </c>
      <c r="B464" s="119"/>
      <c r="C464" s="136">
        <f>_xll.mirGetDate(C463,"1D","FOLLOWING",D$12,"NORMAL")</f>
        <v>43056</v>
      </c>
      <c r="D464" s="20">
        <f>_xll.mirGetDate(C464,D$17,"Following",D$12,"Normal")</f>
        <v>43059</v>
      </c>
      <c r="E464" s="134">
        <f ca="1"/>
        <v>9.5339426532703789E-3</v>
      </c>
      <c r="F464" s="7" t="s">
        <v>3</v>
      </c>
      <c r="G464" s="136">
        <f t="shared" si="6"/>
        <v>43056</v>
      </c>
      <c r="H464" s="20">
        <f>_xll.mirGetDate(G464,H$17,"Following",H$12,"Normal")</f>
        <v>43151</v>
      </c>
      <c r="I464" s="134">
        <f ca="1"/>
        <v>1.1508329790373764E-2</v>
      </c>
      <c r="J464" s="120" t="s">
        <v>3</v>
      </c>
    </row>
    <row r="465" spans="1:10" x14ac:dyDescent="0.25">
      <c r="A465" s="126">
        <v>443</v>
      </c>
      <c r="B465" s="119"/>
      <c r="C465" s="136">
        <f>_xll.mirGetDate(C464,"1D","FOLLOWING",D$12,"NORMAL")</f>
        <v>43059</v>
      </c>
      <c r="D465" s="20">
        <f>_xll.mirGetDate(C465,D$17,"Following",D$12,"Normal")</f>
        <v>43060</v>
      </c>
      <c r="E465" s="134">
        <f ca="1"/>
        <v>9.5342584174052183E-3</v>
      </c>
      <c r="F465" s="7" t="s">
        <v>3</v>
      </c>
      <c r="G465" s="136">
        <f t="shared" si="6"/>
        <v>43059</v>
      </c>
      <c r="H465" s="20">
        <f>_xll.mirGetDate(G465,H$17,"Following",H$12,"Normal")</f>
        <v>43151</v>
      </c>
      <c r="I465" s="134">
        <f ca="1"/>
        <v>1.1532046753765963E-2</v>
      </c>
      <c r="J465" s="120" t="s">
        <v>3</v>
      </c>
    </row>
    <row r="466" spans="1:10" x14ac:dyDescent="0.25">
      <c r="A466" s="126">
        <v>444</v>
      </c>
      <c r="B466" s="119"/>
      <c r="C466" s="136">
        <f>_xll.mirGetDate(C465,"1D","FOLLOWING",D$12,"NORMAL")</f>
        <v>43060</v>
      </c>
      <c r="D466" s="20">
        <f>_xll.mirGetDate(C466,D$17,"Following",D$12,"Normal")</f>
        <v>43061</v>
      </c>
      <c r="E466" s="134">
        <f ca="1"/>
        <v>9.534510929815436E-3</v>
      </c>
      <c r="F466" s="7" t="s">
        <v>3</v>
      </c>
      <c r="G466" s="136">
        <f t="shared" si="6"/>
        <v>43060</v>
      </c>
      <c r="H466" s="20">
        <f>_xll.mirGetDate(G466,H$17,"Following",H$12,"Normal")</f>
        <v>43152</v>
      </c>
      <c r="I466" s="134">
        <f ca="1"/>
        <v>1.1539843851539801E-2</v>
      </c>
      <c r="J466" s="120" t="s">
        <v>3</v>
      </c>
    </row>
    <row r="467" spans="1:10" x14ac:dyDescent="0.25">
      <c r="A467" s="126">
        <v>445</v>
      </c>
      <c r="B467" s="119"/>
      <c r="C467" s="136">
        <f>_xll.mirGetDate(C466,"1D","FOLLOWING",D$12,"NORMAL")</f>
        <v>43061</v>
      </c>
      <c r="D467" s="20">
        <f>_xll.mirGetDate(C467,D$17,"Following",D$12,"Normal")</f>
        <v>43063</v>
      </c>
      <c r="E467" s="134">
        <f ca="1"/>
        <v>9.5350159949259342E-3</v>
      </c>
      <c r="F467" s="7" t="s">
        <v>3</v>
      </c>
      <c r="G467" s="136">
        <f t="shared" si="6"/>
        <v>43061</v>
      </c>
      <c r="H467" s="20">
        <f>_xll.mirGetDate(G467,H$17,"Following",H$12,"Normal")</f>
        <v>43153</v>
      </c>
      <c r="I467" s="134">
        <f ca="1"/>
        <v>1.154757946138745E-2</v>
      </c>
      <c r="J467" s="120" t="s">
        <v>3</v>
      </c>
    </row>
    <row r="468" spans="1:10" x14ac:dyDescent="0.25">
      <c r="A468" s="126">
        <v>446</v>
      </c>
      <c r="B468" s="119"/>
      <c r="C468" s="136">
        <f>_xll.mirGetDate(C467,"1D","FOLLOWING",D$12,"NORMAL")</f>
        <v>43063</v>
      </c>
      <c r="D468" s="20">
        <f>_xll.mirGetDate(C468,D$17,"Following",D$12,"Normal")</f>
        <v>43066</v>
      </c>
      <c r="E468" s="134">
        <f ca="1"/>
        <v>9.5638817735200013E-3</v>
      </c>
      <c r="F468" s="7" t="s">
        <v>3</v>
      </c>
      <c r="G468" s="136">
        <f t="shared" si="6"/>
        <v>43063</v>
      </c>
      <c r="H468" s="20">
        <f>_xll.mirGetDate(G468,H$17,"Following",H$12,"Normal")</f>
        <v>43157</v>
      </c>
      <c r="I468" s="134">
        <f ca="1"/>
        <v>1.1562848914309608E-2</v>
      </c>
      <c r="J468" s="120" t="s">
        <v>3</v>
      </c>
    </row>
    <row r="469" spans="1:10" x14ac:dyDescent="0.25">
      <c r="A469" s="126">
        <v>447</v>
      </c>
      <c r="B469" s="119"/>
      <c r="C469" s="136">
        <f>_xll.mirGetDate(C468,"1D","FOLLOWING",D$12,"NORMAL")</f>
        <v>43066</v>
      </c>
      <c r="D469" s="20">
        <f>_xll.mirGetDate(C469,D$17,"Following",D$12,"Normal")</f>
        <v>43067</v>
      </c>
      <c r="E469" s="134">
        <f ca="1"/>
        <v>9.5997206412868144E-3</v>
      </c>
      <c r="F469" s="7" t="s">
        <v>3</v>
      </c>
      <c r="G469" s="136">
        <f t="shared" si="6"/>
        <v>43066</v>
      </c>
      <c r="H469" s="20">
        <f>_xll.mirGetDate(G469,H$17,"Following",H$12,"Normal")</f>
        <v>43158</v>
      </c>
      <c r="I469" s="134">
        <f ca="1"/>
        <v>1.1585521869695557E-2</v>
      </c>
      <c r="J469" s="120" t="s">
        <v>3</v>
      </c>
    </row>
    <row r="470" spans="1:10" x14ac:dyDescent="0.25">
      <c r="A470" s="126">
        <v>448</v>
      </c>
      <c r="B470" s="119"/>
      <c r="C470" s="136">
        <f>_xll.mirGetDate(C469,"1D","FOLLOWING",D$12,"NORMAL")</f>
        <v>43067</v>
      </c>
      <c r="D470" s="20">
        <f>_xll.mirGetDate(C470,D$17,"Following",D$12,"Normal")</f>
        <v>43068</v>
      </c>
      <c r="E470" s="134">
        <f ca="1"/>
        <v>9.6165871740972256E-3</v>
      </c>
      <c r="F470" s="7" t="s">
        <v>3</v>
      </c>
      <c r="G470" s="136">
        <f t="shared" si="6"/>
        <v>43067</v>
      </c>
      <c r="H470" s="20">
        <f>_xll.mirGetDate(G470,H$17,"Following",H$12,"Normal")</f>
        <v>43159</v>
      </c>
      <c r="I470" s="134">
        <f ca="1"/>
        <v>1.1593068047624052E-2</v>
      </c>
      <c r="J470" s="120" t="s">
        <v>3</v>
      </c>
    </row>
    <row r="471" spans="1:10" x14ac:dyDescent="0.25">
      <c r="A471" s="126">
        <v>449</v>
      </c>
      <c r="B471" s="119"/>
      <c r="C471" s="136">
        <f>_xll.mirGetDate(C470,"1D","FOLLOWING",D$12,"NORMAL")</f>
        <v>43068</v>
      </c>
      <c r="D471" s="20">
        <f>_xll.mirGetDate(C471,D$17,"Following",D$12,"Normal")</f>
        <v>43069</v>
      </c>
      <c r="E471" s="134">
        <f ca="1"/>
        <v>9.6327456367451339E-3</v>
      </c>
      <c r="F471" s="7" t="s">
        <v>3</v>
      </c>
      <c r="G471" s="136">
        <f t="shared" si="6"/>
        <v>43068</v>
      </c>
      <c r="H471" s="20">
        <f>_xll.mirGetDate(G471,H$17,"Following",H$12,"Normal")</f>
        <v>43159</v>
      </c>
      <c r="I471" s="134">
        <f ca="1"/>
        <v>1.1600605895224096E-2</v>
      </c>
      <c r="J471" s="120" t="s">
        <v>3</v>
      </c>
    </row>
    <row r="472" spans="1:10" x14ac:dyDescent="0.25">
      <c r="A472" s="126">
        <v>450</v>
      </c>
      <c r="B472" s="119"/>
      <c r="C472" s="136">
        <f>_xll.mirGetDate(C471,"1D","FOLLOWING",D$12,"NORMAL")</f>
        <v>43069</v>
      </c>
      <c r="D472" s="20">
        <f>_xll.mirGetDate(C472,D$17,"Following",D$12,"Normal")</f>
        <v>43070</v>
      </c>
      <c r="E472" s="134">
        <f ca="1"/>
        <v>9.6481959552896859E-3</v>
      </c>
      <c r="F472" s="7" t="s">
        <v>3</v>
      </c>
      <c r="G472" s="136">
        <f t="shared" ref="G472:G535" si="7">$C472</f>
        <v>43069</v>
      </c>
      <c r="H472" s="20">
        <f>_xll.mirGetDate(G472,H$17,"Following",H$12,"Normal")</f>
        <v>43159</v>
      </c>
      <c r="I472" s="134">
        <f ca="1"/>
        <v>1.1608133856458674E-2</v>
      </c>
      <c r="J472" s="120" t="s">
        <v>3</v>
      </c>
    </row>
    <row r="473" spans="1:10" x14ac:dyDescent="0.25">
      <c r="A473" s="126">
        <v>451</v>
      </c>
      <c r="B473" s="119"/>
      <c r="C473" s="136">
        <f>_xll.mirGetDate(C472,"1D","FOLLOWING",D$12,"NORMAL")</f>
        <v>43070</v>
      </c>
      <c r="D473" s="20">
        <f>_xll.mirGetDate(C473,D$17,"Following",D$12,"Normal")</f>
        <v>43073</v>
      </c>
      <c r="E473" s="134">
        <f ca="1"/>
        <v>9.676995853116245E-3</v>
      </c>
      <c r="F473" s="7" t="s">
        <v>3</v>
      </c>
      <c r="G473" s="136">
        <f t="shared" si="7"/>
        <v>43070</v>
      </c>
      <c r="H473" s="20">
        <f>_xll.mirGetDate(G473,H$17,"Following",H$12,"Normal")</f>
        <v>43160</v>
      </c>
      <c r="I473" s="134">
        <f ca="1"/>
        <v>1.1615650375290758E-2</v>
      </c>
      <c r="J473" s="120" t="s">
        <v>3</v>
      </c>
    </row>
    <row r="474" spans="1:10" x14ac:dyDescent="0.25">
      <c r="A474" s="126">
        <v>452</v>
      </c>
      <c r="B474" s="119"/>
      <c r="C474" s="136">
        <f>_xll.mirGetDate(C473,"1D","FOLLOWING",D$12,"NORMAL")</f>
        <v>43073</v>
      </c>
      <c r="D474" s="20">
        <f>_xll.mirGetDate(C474,D$17,"Following",D$12,"Normal")</f>
        <v>43074</v>
      </c>
      <c r="E474" s="134">
        <f ca="1"/>
        <v>9.7029143053806513E-3</v>
      </c>
      <c r="F474" s="7" t="s">
        <v>3</v>
      </c>
      <c r="G474" s="136">
        <f t="shared" si="7"/>
        <v>43073</v>
      </c>
      <c r="H474" s="20">
        <f>_xll.mirGetDate(G474,H$17,"Following",H$12,"Normal")</f>
        <v>43164</v>
      </c>
      <c r="I474" s="134">
        <f ca="1"/>
        <v>1.1638115717001843E-2</v>
      </c>
      <c r="J474" s="120" t="s">
        <v>3</v>
      </c>
    </row>
    <row r="475" spans="1:10" x14ac:dyDescent="0.25">
      <c r="A475" s="126">
        <v>453</v>
      </c>
      <c r="B475" s="119"/>
      <c r="C475" s="136">
        <f>_xll.mirGetDate(C474,"1D","FOLLOWING",D$12,"NORMAL")</f>
        <v>43074</v>
      </c>
      <c r="D475" s="20">
        <f>_xll.mirGetDate(C475,D$17,"Following",D$12,"Normal")</f>
        <v>43075</v>
      </c>
      <c r="E475" s="134">
        <f ca="1"/>
        <v>9.7148227881405438E-3</v>
      </c>
      <c r="F475" s="7" t="s">
        <v>3</v>
      </c>
      <c r="G475" s="136">
        <f t="shared" si="7"/>
        <v>43074</v>
      </c>
      <c r="H475" s="20">
        <f>_xll.mirGetDate(G475,H$17,"Following",H$12,"Normal")</f>
        <v>43164</v>
      </c>
      <c r="I475" s="134">
        <f ca="1"/>
        <v>1.164557090585374E-2</v>
      </c>
      <c r="J475" s="120" t="s">
        <v>3</v>
      </c>
    </row>
    <row r="476" spans="1:10" x14ac:dyDescent="0.25">
      <c r="A476" s="126">
        <v>454</v>
      </c>
      <c r="B476" s="119"/>
      <c r="C476" s="136">
        <f>_xll.mirGetDate(C475,"1D","FOLLOWING",D$12,"NORMAL")</f>
        <v>43075</v>
      </c>
      <c r="D476" s="20">
        <f>_xll.mirGetDate(C476,D$17,"Following",D$12,"Normal")</f>
        <v>43076</v>
      </c>
      <c r="E476" s="134">
        <f ca="1"/>
        <v>9.7260226785956042E-3</v>
      </c>
      <c r="F476" s="7" t="s">
        <v>3</v>
      </c>
      <c r="G476" s="136">
        <f t="shared" si="7"/>
        <v>43075</v>
      </c>
      <c r="H476" s="20">
        <f>_xll.mirGetDate(G476,H$17,"Following",H$12,"Normal")</f>
        <v>43165</v>
      </c>
      <c r="I476" s="134">
        <f ca="1"/>
        <v>1.1653006872118036E-2</v>
      </c>
      <c r="J476" s="120" t="s">
        <v>3</v>
      </c>
    </row>
    <row r="477" spans="1:10" x14ac:dyDescent="0.25">
      <c r="A477" s="126">
        <v>455</v>
      </c>
      <c r="B477" s="119"/>
      <c r="C477" s="136">
        <f>_xll.mirGetDate(C476,"1D","FOLLOWING",D$12,"NORMAL")</f>
        <v>43076</v>
      </c>
      <c r="D477" s="20">
        <f>_xll.mirGetDate(C477,D$17,"Following",D$12,"Normal")</f>
        <v>43077</v>
      </c>
      <c r="E477" s="134">
        <f ca="1"/>
        <v>9.7365139011263216E-3</v>
      </c>
      <c r="F477" s="7" t="s">
        <v>3</v>
      </c>
      <c r="G477" s="136">
        <f t="shared" si="7"/>
        <v>43076</v>
      </c>
      <c r="H477" s="20">
        <f>_xll.mirGetDate(G477,H$17,"Following",H$12,"Normal")</f>
        <v>43166</v>
      </c>
      <c r="I477" s="134">
        <f ca="1"/>
        <v>1.1660422059757709E-2</v>
      </c>
      <c r="J477" s="120" t="s">
        <v>3</v>
      </c>
    </row>
    <row r="478" spans="1:10" x14ac:dyDescent="0.25">
      <c r="A478" s="126">
        <v>456</v>
      </c>
      <c r="B478" s="119"/>
      <c r="C478" s="136">
        <f>_xll.mirGetDate(C477,"1D","FOLLOWING",D$12,"NORMAL")</f>
        <v>43077</v>
      </c>
      <c r="D478" s="20">
        <f>_xll.mirGetDate(C478,D$17,"Following",D$12,"Normal")</f>
        <v>43080</v>
      </c>
      <c r="E478" s="134">
        <f ca="1"/>
        <v>9.7553980834508627E-3</v>
      </c>
      <c r="F478" s="7" t="s">
        <v>3</v>
      </c>
      <c r="G478" s="136">
        <f t="shared" si="7"/>
        <v>43077</v>
      </c>
      <c r="H478" s="20">
        <f>_xll.mirGetDate(G478,H$17,"Following",H$12,"Normal")</f>
        <v>43167</v>
      </c>
      <c r="I478" s="134">
        <f ca="1"/>
        <v>1.1667814912735736E-2</v>
      </c>
      <c r="J478" s="120" t="s">
        <v>3</v>
      </c>
    </row>
    <row r="479" spans="1:10" x14ac:dyDescent="0.25">
      <c r="A479" s="126">
        <v>457</v>
      </c>
      <c r="B479" s="119"/>
      <c r="C479" s="136">
        <f>_xll.mirGetDate(C478,"1D","FOLLOWING",D$12,"NORMAL")</f>
        <v>43080</v>
      </c>
      <c r="D479" s="20">
        <f>_xll.mirGetDate(C479,D$17,"Following",D$12,"Normal")</f>
        <v>43081</v>
      </c>
      <c r="E479" s="134">
        <f ca="1"/>
        <v>9.7713905932206649E-3</v>
      </c>
      <c r="F479" s="7" t="s">
        <v>3</v>
      </c>
      <c r="G479" s="136">
        <f t="shared" si="7"/>
        <v>43080</v>
      </c>
      <c r="H479" s="20">
        <f>_xll.mirGetDate(G479,H$17,"Following",H$12,"Normal")</f>
        <v>43171</v>
      </c>
      <c r="I479" s="134">
        <f ca="1"/>
        <v>1.1689843903329725E-2</v>
      </c>
      <c r="J479" s="120" t="s">
        <v>3</v>
      </c>
    </row>
    <row r="480" spans="1:10" x14ac:dyDescent="0.25">
      <c r="A480" s="126">
        <v>458</v>
      </c>
      <c r="B480" s="119"/>
      <c r="C480" s="136">
        <f>_xll.mirGetDate(C479,"1D","FOLLOWING",D$12,"NORMAL")</f>
        <v>43081</v>
      </c>
      <c r="D480" s="20">
        <f>_xll.mirGetDate(C480,D$17,"Following",D$12,"Normal")</f>
        <v>43082</v>
      </c>
      <c r="E480" s="134">
        <f ca="1"/>
        <v>9.7783373352023154E-3</v>
      </c>
      <c r="F480" s="7" t="s">
        <v>3</v>
      </c>
      <c r="G480" s="136">
        <f t="shared" si="7"/>
        <v>43081</v>
      </c>
      <c r="H480" s="20">
        <f>_xll.mirGetDate(G480,H$17,"Following",H$12,"Normal")</f>
        <v>43171</v>
      </c>
      <c r="I480" s="134">
        <f ca="1"/>
        <v>1.169713185729095E-2</v>
      </c>
      <c r="J480" s="120" t="s">
        <v>3</v>
      </c>
    </row>
    <row r="481" spans="1:10" x14ac:dyDescent="0.25">
      <c r="A481" s="126">
        <v>459</v>
      </c>
      <c r="B481" s="119"/>
      <c r="C481" s="136">
        <f>_xll.mirGetDate(C480,"1D","FOLLOWING",D$12,"NORMAL")</f>
        <v>43082</v>
      </c>
      <c r="D481" s="20">
        <f>_xll.mirGetDate(C481,D$17,"Following",D$12,"Normal")</f>
        <v>43083</v>
      </c>
      <c r="E481" s="134">
        <f ca="1"/>
        <v>9.7845749517847819E-3</v>
      </c>
      <c r="F481" s="7" t="s">
        <v>3</v>
      </c>
      <c r="G481" s="136">
        <f t="shared" si="7"/>
        <v>43082</v>
      </c>
      <c r="H481" s="20">
        <f>_xll.mirGetDate(G481,H$17,"Following",H$12,"Normal")</f>
        <v>43172</v>
      </c>
      <c r="I481" s="134">
        <f ca="1"/>
        <v>1.1704389696405419E-2</v>
      </c>
      <c r="J481" s="120" t="s">
        <v>3</v>
      </c>
    </row>
    <row r="482" spans="1:10" x14ac:dyDescent="0.25">
      <c r="A482" s="126">
        <v>460</v>
      </c>
      <c r="B482" s="119"/>
      <c r="C482" s="136">
        <f>_xll.mirGetDate(C481,"1D","FOLLOWING",D$12,"NORMAL")</f>
        <v>43083</v>
      </c>
      <c r="D482" s="20">
        <f>_xll.mirGetDate(C482,D$17,"Following",D$12,"Normal")</f>
        <v>43084</v>
      </c>
      <c r="E482" s="134">
        <f ca="1"/>
        <v>9.790103365912052E-3</v>
      </c>
      <c r="F482" s="7" t="s">
        <v>3</v>
      </c>
      <c r="G482" s="136">
        <f t="shared" si="7"/>
        <v>43083</v>
      </c>
      <c r="H482" s="20">
        <f>_xll.mirGetDate(G482,H$17,"Following",H$12,"Normal")</f>
        <v>43173</v>
      </c>
      <c r="I482" s="134">
        <f ca="1"/>
        <v>1.1711615864636111E-2</v>
      </c>
      <c r="J482" s="120" t="s">
        <v>3</v>
      </c>
    </row>
    <row r="483" spans="1:10" x14ac:dyDescent="0.25">
      <c r="A483" s="126">
        <v>461</v>
      </c>
      <c r="B483" s="119"/>
      <c r="C483" s="136">
        <f>_xll.mirGetDate(C482,"1D","FOLLOWING",D$12,"NORMAL")</f>
        <v>43084</v>
      </c>
      <c r="D483" s="20">
        <f>_xll.mirGetDate(C483,D$17,"Following",D$12,"Normal")</f>
        <v>43087</v>
      </c>
      <c r="E483" s="134">
        <f ca="1"/>
        <v>9.7990625162936232E-3</v>
      </c>
      <c r="F483" s="7" t="s">
        <v>3</v>
      </c>
      <c r="G483" s="136">
        <f t="shared" si="7"/>
        <v>43084</v>
      </c>
      <c r="H483" s="20">
        <f>_xll.mirGetDate(G483,H$17,"Following",H$12,"Normal")</f>
        <v>43174</v>
      </c>
      <c r="I483" s="134">
        <f ca="1"/>
        <v>1.1718808805946005E-2</v>
      </c>
      <c r="J483" s="120" t="s">
        <v>3</v>
      </c>
    </row>
    <row r="484" spans="1:10" x14ac:dyDescent="0.25">
      <c r="A484" s="126">
        <v>462</v>
      </c>
      <c r="B484" s="119"/>
      <c r="C484" s="136">
        <f>_xll.mirGetDate(C483,"1D","FOLLOWING",D$12,"NORMAL")</f>
        <v>43087</v>
      </c>
      <c r="D484" s="20">
        <f>_xll.mirGetDate(C484,D$17,"Following",D$12,"Normal")</f>
        <v>43088</v>
      </c>
      <c r="E484" s="134">
        <f ca="1"/>
        <v>9.805123459241151E-3</v>
      </c>
      <c r="F484" s="7" t="s">
        <v>3</v>
      </c>
      <c r="G484" s="136">
        <f t="shared" si="7"/>
        <v>43087</v>
      </c>
      <c r="H484" s="20">
        <f>_xll.mirGetDate(G484,H$17,"Following",H$12,"Normal")</f>
        <v>43178</v>
      </c>
      <c r="I484" s="134">
        <f ca="1"/>
        <v>1.1740172707980667E-2</v>
      </c>
      <c r="J484" s="120" t="s">
        <v>3</v>
      </c>
    </row>
    <row r="485" spans="1:10" x14ac:dyDescent="0.25">
      <c r="A485" s="126">
        <v>463</v>
      </c>
      <c r="B485" s="119"/>
      <c r="C485" s="136">
        <f>_xll.mirGetDate(C484,"1D","FOLLOWING",D$12,"NORMAL")</f>
        <v>43088</v>
      </c>
      <c r="D485" s="20">
        <f>_xll.mirGetDate(C485,D$17,"Following",D$12,"Normal")</f>
        <v>43089</v>
      </c>
      <c r="E485" s="134">
        <f ca="1"/>
        <v>9.8071047060077979E-3</v>
      </c>
      <c r="F485" s="7" t="s">
        <v>3</v>
      </c>
      <c r="G485" s="136">
        <f t="shared" si="7"/>
        <v>43088</v>
      </c>
      <c r="H485" s="20">
        <f>_xll.mirGetDate(G485,H$17,"Following",H$12,"Normal")</f>
        <v>43178</v>
      </c>
      <c r="I485" s="134">
        <f ca="1"/>
        <v>1.1747217181237142E-2</v>
      </c>
      <c r="J485" s="120" t="s">
        <v>3</v>
      </c>
    </row>
    <row r="486" spans="1:10" x14ac:dyDescent="0.25">
      <c r="A486" s="126">
        <v>464</v>
      </c>
      <c r="B486" s="119"/>
      <c r="C486" s="136">
        <f>_xll.mirGetDate(C485,"1D","FOLLOWING",D$12,"NORMAL")</f>
        <v>43089</v>
      </c>
      <c r="D486" s="20">
        <f>_xll.mirGetDate(C486,D$17,"Following",D$12,"Normal")</f>
        <v>43090</v>
      </c>
      <c r="E486" s="134">
        <f ca="1"/>
        <v>9.8083762875678451E-3</v>
      </c>
      <c r="F486" s="7" t="s">
        <v>3</v>
      </c>
      <c r="G486" s="136">
        <f t="shared" si="7"/>
        <v>43089</v>
      </c>
      <c r="H486" s="20">
        <f>_xll.mirGetDate(G486,H$17,"Following",H$12,"Normal")</f>
        <v>43179</v>
      </c>
      <c r="I486" s="134">
        <f ca="1"/>
        <v>1.1754220647387709E-2</v>
      </c>
      <c r="J486" s="120" t="s">
        <v>3</v>
      </c>
    </row>
    <row r="487" spans="1:10" x14ac:dyDescent="0.25">
      <c r="A487" s="126">
        <v>465</v>
      </c>
      <c r="B487" s="119"/>
      <c r="C487" s="136">
        <f>_xll.mirGetDate(C486,"1D","FOLLOWING",D$12,"NORMAL")</f>
        <v>43090</v>
      </c>
      <c r="D487" s="20">
        <f>_xll.mirGetDate(C487,D$17,"Following",D$12,"Normal")</f>
        <v>43091</v>
      </c>
      <c r="E487" s="134">
        <f ca="1"/>
        <v>9.8089618092789613E-3</v>
      </c>
      <c r="F487" s="7" t="s">
        <v>3</v>
      </c>
      <c r="G487" s="136">
        <f t="shared" si="7"/>
        <v>43090</v>
      </c>
      <c r="H487" s="20">
        <f>_xll.mirGetDate(G487,H$17,"Following",H$12,"Normal")</f>
        <v>43180</v>
      </c>
      <c r="I487" s="134">
        <f ca="1"/>
        <v>1.1761134718431664E-2</v>
      </c>
      <c r="J487" s="120" t="s">
        <v>3</v>
      </c>
    </row>
    <row r="488" spans="1:10" x14ac:dyDescent="0.25">
      <c r="A488" s="126">
        <v>466</v>
      </c>
      <c r="B488" s="119"/>
      <c r="C488" s="136">
        <f>_xll.mirGetDate(C487,"1D","FOLLOWING",D$12,"NORMAL")</f>
        <v>43091</v>
      </c>
      <c r="D488" s="20">
        <f>_xll.mirGetDate(C488,D$17,"Following",D$12,"Normal")</f>
        <v>43095</v>
      </c>
      <c r="E488" s="134">
        <f ca="1"/>
        <v>9.8100394480971423E-3</v>
      </c>
      <c r="F488" s="7" t="s">
        <v>3</v>
      </c>
      <c r="G488" s="136">
        <f t="shared" si="7"/>
        <v>43091</v>
      </c>
      <c r="H488" s="20">
        <f>_xll.mirGetDate(G488,H$17,"Following",H$12,"Normal")</f>
        <v>43181</v>
      </c>
      <c r="I488" s="134">
        <f ca="1"/>
        <v>1.1767917473646158E-2</v>
      </c>
      <c r="J488" s="120" t="s">
        <v>3</v>
      </c>
    </row>
    <row r="489" spans="1:10" x14ac:dyDescent="0.25">
      <c r="A489" s="126">
        <v>467</v>
      </c>
      <c r="B489" s="119"/>
      <c r="C489" s="136">
        <f>_xll.mirGetDate(C488,"1D","FOLLOWING",D$12,"NORMAL")</f>
        <v>43095</v>
      </c>
      <c r="D489" s="20">
        <f>_xll.mirGetDate(C489,D$17,"Following",D$12,"Normal")</f>
        <v>43096</v>
      </c>
      <c r="E489" s="134">
        <f ca="1"/>
        <v>9.8103067800537139E-3</v>
      </c>
      <c r="F489" s="7" t="s">
        <v>3</v>
      </c>
      <c r="G489" s="136">
        <f t="shared" si="7"/>
        <v>43095</v>
      </c>
      <c r="H489" s="20">
        <f>_xll.mirGetDate(G489,H$17,"Following",H$12,"Normal")</f>
        <v>43185</v>
      </c>
      <c r="I489" s="134">
        <f ca="1"/>
        <v>1.1793898233804685E-2</v>
      </c>
      <c r="J489" s="120" t="s">
        <v>3</v>
      </c>
    </row>
    <row r="490" spans="1:10" x14ac:dyDescent="0.25">
      <c r="A490" s="126">
        <v>468</v>
      </c>
      <c r="B490" s="119"/>
      <c r="C490" s="136">
        <f>_xll.mirGetDate(C489,"1D","FOLLOWING",D$12,"NORMAL")</f>
        <v>43096</v>
      </c>
      <c r="D490" s="20">
        <f>_xll.mirGetDate(C490,D$17,"Following",D$12,"Normal")</f>
        <v>43097</v>
      </c>
      <c r="E490" s="134">
        <f ca="1"/>
        <v>9.8105741265186799E-3</v>
      </c>
      <c r="F490" s="7" t="s">
        <v>3</v>
      </c>
      <c r="G490" s="136">
        <f t="shared" si="7"/>
        <v>43096</v>
      </c>
      <c r="H490" s="20">
        <f>_xll.mirGetDate(G490,H$17,"Following",H$12,"Normal")</f>
        <v>43186</v>
      </c>
      <c r="I490" s="134">
        <f ca="1"/>
        <v>1.1800146583068235E-2</v>
      </c>
      <c r="J490" s="120" t="s">
        <v>3</v>
      </c>
    </row>
    <row r="491" spans="1:10" x14ac:dyDescent="0.25">
      <c r="A491" s="126">
        <v>469</v>
      </c>
      <c r="B491" s="119"/>
      <c r="C491" s="136">
        <f>_xll.mirGetDate(C490,"1D","FOLLOWING",D$12,"NORMAL")</f>
        <v>43097</v>
      </c>
      <c r="D491" s="20">
        <f>_xll.mirGetDate(C491,D$17,"Following",D$12,"Normal")</f>
        <v>43098</v>
      </c>
      <c r="E491" s="134">
        <f ca="1"/>
        <v>9.8108414876119446E-3</v>
      </c>
      <c r="F491" s="7" t="s">
        <v>3</v>
      </c>
      <c r="G491" s="136">
        <f t="shared" si="7"/>
        <v>43097</v>
      </c>
      <c r="H491" s="20">
        <f>_xll.mirGetDate(G491,H$17,"Following",H$12,"Normal")</f>
        <v>43187</v>
      </c>
      <c r="I491" s="134">
        <f ca="1"/>
        <v>1.1806312485780873E-2</v>
      </c>
      <c r="J491" s="120" t="s">
        <v>3</v>
      </c>
    </row>
    <row r="492" spans="1:10" x14ac:dyDescent="0.25">
      <c r="A492" s="126">
        <v>470</v>
      </c>
      <c r="B492" s="119"/>
      <c r="C492" s="136">
        <f>_xll.mirGetDate(C491,"1D","FOLLOWING",D$12,"NORMAL")</f>
        <v>43098</v>
      </c>
      <c r="D492" s="20">
        <f>_xll.mirGetDate(C492,D$17,"Following",D$12,"Normal")</f>
        <v>43102</v>
      </c>
      <c r="E492" s="134">
        <f ca="1"/>
        <v>9.8119110776684684E-3</v>
      </c>
      <c r="F492" s="7" t="s">
        <v>3</v>
      </c>
      <c r="G492" s="136">
        <f t="shared" si="7"/>
        <v>43098</v>
      </c>
      <c r="H492" s="20">
        <f>_xll.mirGetDate(G492,H$17,"Following",H$12,"Normal")</f>
        <v>43188</v>
      </c>
      <c r="I492" s="134">
        <f ca="1"/>
        <v>1.1812404086822352E-2</v>
      </c>
      <c r="J492" s="120" t="s">
        <v>3</v>
      </c>
    </row>
    <row r="493" spans="1:10" x14ac:dyDescent="0.25">
      <c r="A493" s="126">
        <v>471</v>
      </c>
      <c r="B493" s="119"/>
      <c r="C493" s="136">
        <f>_xll.mirGetDate(C492,"1D","FOLLOWING",D$12,"NORMAL")</f>
        <v>43102</v>
      </c>
      <c r="D493" s="20">
        <f>_xll.mirGetDate(C493,D$17,"Following",D$12,"Normal")</f>
        <v>43103</v>
      </c>
      <c r="E493" s="134">
        <f ca="1"/>
        <v>9.8121785116234497E-3</v>
      </c>
      <c r="F493" s="7" t="s">
        <v>3</v>
      </c>
      <c r="G493" s="136">
        <f t="shared" si="7"/>
        <v>43102</v>
      </c>
      <c r="H493" s="20">
        <f>_xll.mirGetDate(G493,H$17,"Following",H$12,"Normal")</f>
        <v>43192</v>
      </c>
      <c r="I493" s="134">
        <f ca="1"/>
        <v>1.1836190371871809E-2</v>
      </c>
      <c r="J493" s="120" t="s">
        <v>3</v>
      </c>
    </row>
    <row r="494" spans="1:10" x14ac:dyDescent="0.25">
      <c r="A494" s="126">
        <v>472</v>
      </c>
      <c r="B494" s="119"/>
      <c r="C494" s="136">
        <f>_xll.mirGetDate(C493,"1D","FOLLOWING",D$12,"NORMAL")</f>
        <v>43103</v>
      </c>
      <c r="D494" s="20">
        <f>_xll.mirGetDate(C494,D$17,"Following",D$12,"Normal")</f>
        <v>43104</v>
      </c>
      <c r="E494" s="134">
        <f ca="1"/>
        <v>9.8124459600868255E-3</v>
      </c>
      <c r="F494" s="7" t="s">
        <v>3</v>
      </c>
      <c r="G494" s="136">
        <f t="shared" si="7"/>
        <v>43103</v>
      </c>
      <c r="H494" s="20">
        <f>_xll.mirGetDate(G494,H$17,"Following",H$12,"Normal")</f>
        <v>43193</v>
      </c>
      <c r="I494" s="134">
        <f ca="1"/>
        <v>1.1842032637753847E-2</v>
      </c>
      <c r="J494" s="120" t="s">
        <v>3</v>
      </c>
    </row>
    <row r="495" spans="1:10" x14ac:dyDescent="0.25">
      <c r="A495" s="126">
        <v>473</v>
      </c>
      <c r="B495" s="119"/>
      <c r="C495" s="136">
        <f>_xll.mirGetDate(C494,"1D","FOLLOWING",D$12,"NORMAL")</f>
        <v>43104</v>
      </c>
      <c r="D495" s="20">
        <f>_xll.mirGetDate(C495,D$17,"Following",D$12,"Normal")</f>
        <v>43105</v>
      </c>
      <c r="E495" s="134">
        <f ca="1"/>
        <v>9.8127134232584359E-3</v>
      </c>
      <c r="F495" s="7" t="s">
        <v>3</v>
      </c>
      <c r="G495" s="136">
        <f t="shared" si="7"/>
        <v>43104</v>
      </c>
      <c r="H495" s="20">
        <f>_xll.mirGetDate(G495,H$17,"Following",H$12,"Normal")</f>
        <v>43194</v>
      </c>
      <c r="I495" s="134">
        <f ca="1"/>
        <v>1.1847849471243269E-2</v>
      </c>
      <c r="J495" s="120" t="s">
        <v>3</v>
      </c>
    </row>
    <row r="496" spans="1:10" x14ac:dyDescent="0.25">
      <c r="A496" s="126">
        <v>474</v>
      </c>
      <c r="B496" s="119"/>
      <c r="C496" s="136">
        <f>_xll.mirGetDate(C495,"1D","FOLLOWING",D$12,"NORMAL")</f>
        <v>43105</v>
      </c>
      <c r="D496" s="20">
        <f>_xll.mirGetDate(C496,D$17,"Following",D$12,"Normal")</f>
        <v>43108</v>
      </c>
      <c r="E496" s="134">
        <f ca="1"/>
        <v>9.813515900116471E-3</v>
      </c>
      <c r="F496" s="7" t="s">
        <v>3</v>
      </c>
      <c r="G496" s="136">
        <f t="shared" si="7"/>
        <v>43105</v>
      </c>
      <c r="H496" s="20">
        <f>_xll.mirGetDate(G496,H$17,"Following",H$12,"Normal")</f>
        <v>43195</v>
      </c>
      <c r="I496" s="134">
        <f ca="1"/>
        <v>1.1853649017219832E-2</v>
      </c>
      <c r="J496" s="120" t="s">
        <v>3</v>
      </c>
    </row>
    <row r="497" spans="1:10" x14ac:dyDescent="0.25">
      <c r="A497" s="126">
        <v>475</v>
      </c>
      <c r="B497" s="119"/>
      <c r="C497" s="136">
        <f>_xll.mirGetDate(C496,"1D","FOLLOWING",D$12,"NORMAL")</f>
        <v>43108</v>
      </c>
      <c r="D497" s="20">
        <f>_xll.mirGetDate(C497,D$17,"Following",D$12,"Normal")</f>
        <v>43109</v>
      </c>
      <c r="E497" s="134">
        <f ca="1"/>
        <v>9.8137834215084388E-3</v>
      </c>
      <c r="F497" s="7" t="s">
        <v>3</v>
      </c>
      <c r="G497" s="136">
        <f t="shared" si="7"/>
        <v>43108</v>
      </c>
      <c r="H497" s="20">
        <f>_xll.mirGetDate(G497,H$17,"Following",H$12,"Normal")</f>
        <v>43199</v>
      </c>
      <c r="I497" s="134">
        <f ca="1"/>
        <v>1.1871016959646619E-2</v>
      </c>
      <c r="J497" s="120" t="s">
        <v>3</v>
      </c>
    </row>
    <row r="498" spans="1:10" x14ac:dyDescent="0.25">
      <c r="A498" s="126">
        <v>476</v>
      </c>
      <c r="B498" s="119"/>
      <c r="C498" s="136">
        <f>_xll.mirGetDate(C497,"1D","FOLLOWING",D$12,"NORMAL")</f>
        <v>43109</v>
      </c>
      <c r="D498" s="20">
        <f>_xll.mirGetDate(C498,D$17,"Following",D$12,"Normal")</f>
        <v>43110</v>
      </c>
      <c r="E498" s="134">
        <f ca="1"/>
        <v>9.8140509575817339E-3</v>
      </c>
      <c r="F498" s="7" t="s">
        <v>3</v>
      </c>
      <c r="G498" s="136">
        <f t="shared" si="7"/>
        <v>43109</v>
      </c>
      <c r="H498" s="20">
        <f>_xll.mirGetDate(G498,H$17,"Following",H$12,"Normal")</f>
        <v>43199</v>
      </c>
      <c r="I498" s="134">
        <f ca="1"/>
        <v>1.1876806914121804E-2</v>
      </c>
      <c r="J498" s="120" t="s">
        <v>3</v>
      </c>
    </row>
    <row r="499" spans="1:10" x14ac:dyDescent="0.25">
      <c r="A499" s="126">
        <v>477</v>
      </c>
      <c r="B499" s="119"/>
      <c r="C499" s="136">
        <f>_xll.mirGetDate(C498,"1D","FOLLOWING",D$12,"NORMAL")</f>
        <v>43110</v>
      </c>
      <c r="D499" s="20">
        <f>_xll.mirGetDate(C499,D$17,"Following",D$12,"Normal")</f>
        <v>43111</v>
      </c>
      <c r="E499" s="134">
        <f ca="1"/>
        <v>9.8143185082033915E-3</v>
      </c>
      <c r="F499" s="7" t="s">
        <v>3</v>
      </c>
      <c r="G499" s="136">
        <f t="shared" si="7"/>
        <v>43110</v>
      </c>
      <c r="H499" s="20">
        <f>_xll.mirGetDate(G499,H$17,"Following",H$12,"Normal")</f>
        <v>43200</v>
      </c>
      <c r="I499" s="134">
        <f ca="1"/>
        <v>1.1882598342104388E-2</v>
      </c>
      <c r="J499" s="120" t="s">
        <v>3</v>
      </c>
    </row>
    <row r="500" spans="1:10" x14ac:dyDescent="0.25">
      <c r="A500" s="126">
        <v>478</v>
      </c>
      <c r="B500" s="119"/>
      <c r="C500" s="136">
        <f>_xll.mirGetDate(C499,"1D","FOLLOWING",D$12,"NORMAL")</f>
        <v>43111</v>
      </c>
      <c r="D500" s="20">
        <f>_xll.mirGetDate(C500,D$17,"Following",D$12,"Normal")</f>
        <v>43112</v>
      </c>
      <c r="E500" s="134">
        <f ca="1"/>
        <v>9.8145860734533477E-3</v>
      </c>
      <c r="F500" s="7" t="s">
        <v>3</v>
      </c>
      <c r="G500" s="136">
        <f t="shared" si="7"/>
        <v>43111</v>
      </c>
      <c r="H500" s="20">
        <f>_xll.mirGetDate(G500,H$17,"Following",H$12,"Normal")</f>
        <v>43201</v>
      </c>
      <c r="I500" s="134">
        <f ca="1"/>
        <v>1.188839175567352E-2</v>
      </c>
      <c r="J500" s="120" t="s">
        <v>3</v>
      </c>
    </row>
    <row r="501" spans="1:10" x14ac:dyDescent="0.25">
      <c r="A501" s="126">
        <v>479</v>
      </c>
      <c r="B501" s="119"/>
      <c r="C501" s="136">
        <f>_xll.mirGetDate(C500,"1D","FOLLOWING",D$12,"NORMAL")</f>
        <v>43112</v>
      </c>
      <c r="D501" s="20">
        <f>_xll.mirGetDate(C501,D$17,"Following",D$12,"Normal")</f>
        <v>43116</v>
      </c>
      <c r="E501" s="134">
        <f ca="1"/>
        <v>9.8156564801166538E-3</v>
      </c>
      <c r="F501" s="7" t="s">
        <v>3</v>
      </c>
      <c r="G501" s="136">
        <f t="shared" si="7"/>
        <v>43112</v>
      </c>
      <c r="H501" s="20">
        <f>_xll.mirGetDate(G501,H$17,"Following",H$12,"Normal")</f>
        <v>43202</v>
      </c>
      <c r="I501" s="134">
        <f ca="1"/>
        <v>1.1894187666908343E-2</v>
      </c>
      <c r="J501" s="120" t="s">
        <v>3</v>
      </c>
    </row>
    <row r="502" spans="1:10" x14ac:dyDescent="0.25">
      <c r="A502" s="126">
        <v>480</v>
      </c>
      <c r="B502" s="119"/>
      <c r="C502" s="136">
        <f>_xll.mirGetDate(C501,"1D","FOLLOWING",D$12,"NORMAL")</f>
        <v>43116</v>
      </c>
      <c r="D502" s="20">
        <f>_xll.mirGetDate(C502,D$17,"Following",D$12,"Normal")</f>
        <v>43117</v>
      </c>
      <c r="E502" s="134">
        <f ca="1"/>
        <v>9.8159241183282467E-3</v>
      </c>
      <c r="F502" s="7" t="s">
        <v>3</v>
      </c>
      <c r="G502" s="136">
        <f t="shared" si="7"/>
        <v>43116</v>
      </c>
      <c r="H502" s="20">
        <f>_xll.mirGetDate(G502,H$17,"Following",H$12,"Normal")</f>
        <v>43206</v>
      </c>
      <c r="I502" s="134">
        <f ca="1"/>
        <v>1.1917406530087557E-2</v>
      </c>
      <c r="J502" s="120" t="s">
        <v>3</v>
      </c>
    </row>
    <row r="503" spans="1:10" x14ac:dyDescent="0.25">
      <c r="A503" s="126">
        <v>481</v>
      </c>
      <c r="B503" s="119"/>
      <c r="C503" s="136">
        <f>_xll.mirGetDate(C502,"1D","FOLLOWING",D$12,"NORMAL")</f>
        <v>43117</v>
      </c>
      <c r="D503" s="20">
        <f>_xll.mirGetDate(C503,D$17,"Following",D$12,"Normal")</f>
        <v>43118</v>
      </c>
      <c r="E503" s="134">
        <f ca="1"/>
        <v>9.8161917710282501E-3</v>
      </c>
      <c r="F503" s="7" t="s">
        <v>3</v>
      </c>
      <c r="G503" s="136">
        <f t="shared" si="7"/>
        <v>43117</v>
      </c>
      <c r="H503" s="20">
        <f>_xll.mirGetDate(G503,H$17,"Following",H$12,"Normal")</f>
        <v>43207</v>
      </c>
      <c r="I503" s="134">
        <f ca="1"/>
        <v>1.192322261083808E-2</v>
      </c>
      <c r="J503" s="120" t="s">
        <v>3</v>
      </c>
    </row>
    <row r="504" spans="1:10" x14ac:dyDescent="0.25">
      <c r="A504" s="126">
        <v>482</v>
      </c>
      <c r="B504" s="119"/>
      <c r="C504" s="136">
        <f>_xll.mirGetDate(C503,"1D","FOLLOWING",D$12,"NORMAL")</f>
        <v>43118</v>
      </c>
      <c r="D504" s="20">
        <f>_xll.mirGetDate(C504,D$17,"Following",D$12,"Normal")</f>
        <v>43119</v>
      </c>
      <c r="E504" s="134">
        <f ca="1"/>
        <v>9.816459438356552E-3</v>
      </c>
      <c r="F504" s="7" t="s">
        <v>3</v>
      </c>
      <c r="G504" s="136">
        <f t="shared" si="7"/>
        <v>43118</v>
      </c>
      <c r="H504" s="20">
        <f>_xll.mirGetDate(G504,H$17,"Following",H$12,"Normal")</f>
        <v>43208</v>
      </c>
      <c r="I504" s="134">
        <f ca="1"/>
        <v>1.1929044261729187E-2</v>
      </c>
      <c r="J504" s="120" t="s">
        <v>3</v>
      </c>
    </row>
    <row r="505" spans="1:10" x14ac:dyDescent="0.25">
      <c r="A505" s="126">
        <v>483</v>
      </c>
      <c r="B505" s="119"/>
      <c r="C505" s="136">
        <f>_xll.mirGetDate(C504,"1D","FOLLOWING",D$12,"NORMAL")</f>
        <v>43119</v>
      </c>
      <c r="D505" s="20">
        <f>_xll.mirGetDate(C505,D$17,"Following",D$12,"Normal")</f>
        <v>43122</v>
      </c>
      <c r="E505" s="134">
        <f ca="1"/>
        <v>9.8172625280579587E-3</v>
      </c>
      <c r="F505" s="7" t="s">
        <v>3</v>
      </c>
      <c r="G505" s="136">
        <f t="shared" si="7"/>
        <v>43119</v>
      </c>
      <c r="H505" s="20">
        <f>_xll.mirGetDate(G505,H$17,"Following",H$12,"Normal")</f>
        <v>43209</v>
      </c>
      <c r="I505" s="134">
        <f ca="1"/>
        <v>1.1934871994840024E-2</v>
      </c>
      <c r="J505" s="120" t="s">
        <v>3</v>
      </c>
    </row>
    <row r="506" spans="1:10" x14ac:dyDescent="0.25">
      <c r="A506" s="126">
        <v>484</v>
      </c>
      <c r="B506" s="119"/>
      <c r="C506" s="136">
        <f>_xll.mirGetDate(C505,"1D","FOLLOWING",D$12,"NORMAL")</f>
        <v>43122</v>
      </c>
      <c r="D506" s="20">
        <f>_xll.mirGetDate(C506,D$17,"Following",D$12,"Normal")</f>
        <v>43123</v>
      </c>
      <c r="E506" s="134">
        <f ca="1"/>
        <v>9.8175302538728096E-3</v>
      </c>
      <c r="F506" s="7" t="s">
        <v>3</v>
      </c>
      <c r="G506" s="136">
        <f t="shared" si="7"/>
        <v>43122</v>
      </c>
      <c r="H506" s="20">
        <f>_xll.mirGetDate(G506,H$17,"Following",H$12,"Normal")</f>
        <v>43213</v>
      </c>
      <c r="I506" s="134">
        <f ca="1"/>
        <v>1.1952396808282414E-2</v>
      </c>
      <c r="J506" s="120" t="s">
        <v>3</v>
      </c>
    </row>
    <row r="507" spans="1:10" x14ac:dyDescent="0.25">
      <c r="A507" s="126">
        <v>485</v>
      </c>
      <c r="B507" s="119"/>
      <c r="C507" s="136">
        <f>_xll.mirGetDate(C506,"1D","FOLLOWING",D$12,"NORMAL")</f>
        <v>43123</v>
      </c>
      <c r="D507" s="20">
        <f>_xll.mirGetDate(C507,D$17,"Following",D$12,"Normal")</f>
        <v>43124</v>
      </c>
      <c r="E507" s="134">
        <f ca="1"/>
        <v>9.8177979941827323E-3</v>
      </c>
      <c r="F507" s="7" t="s">
        <v>3</v>
      </c>
      <c r="G507" s="136">
        <f t="shared" si="7"/>
        <v>43123</v>
      </c>
      <c r="H507" s="20">
        <f>_xll.mirGetDate(G507,H$17,"Following",H$12,"Normal")</f>
        <v>43213</v>
      </c>
      <c r="I507" s="134">
        <f ca="1"/>
        <v>1.1958253991063664E-2</v>
      </c>
      <c r="J507" s="120" t="s">
        <v>3</v>
      </c>
    </row>
    <row r="508" spans="1:10" x14ac:dyDescent="0.25">
      <c r="A508" s="126">
        <v>486</v>
      </c>
      <c r="B508" s="119"/>
      <c r="C508" s="136">
        <f>_xll.mirGetDate(C507,"1D","FOLLOWING",D$12,"NORMAL")</f>
        <v>43124</v>
      </c>
      <c r="D508" s="20">
        <f>_xll.mirGetDate(C508,D$17,"Following",D$12,"Normal")</f>
        <v>43125</v>
      </c>
      <c r="E508" s="134">
        <f ca="1"/>
        <v>9.8180657491209536E-3</v>
      </c>
      <c r="F508" s="7" t="s">
        <v>3</v>
      </c>
      <c r="G508" s="136">
        <f t="shared" si="7"/>
        <v>43124</v>
      </c>
      <c r="H508" s="20">
        <f>_xll.mirGetDate(G508,H$17,"Following",H$12,"Normal")</f>
        <v>43214</v>
      </c>
      <c r="I508" s="134">
        <f ca="1"/>
        <v>1.1964119816460386E-2</v>
      </c>
      <c r="J508" s="120" t="s">
        <v>3</v>
      </c>
    </row>
    <row r="509" spans="1:10" x14ac:dyDescent="0.25">
      <c r="A509" s="126">
        <v>487</v>
      </c>
      <c r="B509" s="119"/>
      <c r="C509" s="136">
        <f>_xll.mirGetDate(C508,"1D","FOLLOWING",D$12,"NORMAL")</f>
        <v>43125</v>
      </c>
      <c r="D509" s="20">
        <f>_xll.mirGetDate(C509,D$17,"Following",D$12,"Normal")</f>
        <v>43126</v>
      </c>
      <c r="E509" s="134">
        <f ca="1"/>
        <v>9.8183335186874734E-3</v>
      </c>
      <c r="F509" s="7" t="s">
        <v>3</v>
      </c>
      <c r="G509" s="136">
        <f t="shared" si="7"/>
        <v>43125</v>
      </c>
      <c r="H509" s="20">
        <f>_xll.mirGetDate(G509,H$17,"Following",H$12,"Normal")</f>
        <v>43215</v>
      </c>
      <c r="I509" s="134">
        <f ca="1"/>
        <v>1.1969994796551727E-2</v>
      </c>
      <c r="J509" s="120" t="s">
        <v>3</v>
      </c>
    </row>
    <row r="510" spans="1:10" x14ac:dyDescent="0.25">
      <c r="A510" s="126">
        <v>488</v>
      </c>
      <c r="B510" s="119"/>
      <c r="C510" s="136">
        <f>_xll.mirGetDate(C509,"1D","FOLLOWING",D$12,"NORMAL")</f>
        <v>43126</v>
      </c>
      <c r="D510" s="20">
        <f>_xll.mirGetDate(C510,D$17,"Following",D$12,"Normal")</f>
        <v>43129</v>
      </c>
      <c r="E510" s="134">
        <f ca="1"/>
        <v>9.8191369150499811E-3</v>
      </c>
      <c r="F510" s="7" t="s">
        <v>3</v>
      </c>
      <c r="G510" s="136">
        <f t="shared" si="7"/>
        <v>43126</v>
      </c>
      <c r="H510" s="20">
        <f>_xll.mirGetDate(G510,H$17,"Following",H$12,"Normal")</f>
        <v>43216</v>
      </c>
      <c r="I510" s="134">
        <f ca="1"/>
        <v>1.197587944341684E-2</v>
      </c>
      <c r="J510" s="120" t="s">
        <v>3</v>
      </c>
    </row>
    <row r="511" spans="1:10" x14ac:dyDescent="0.25">
      <c r="A511" s="126">
        <v>489</v>
      </c>
      <c r="B511" s="119"/>
      <c r="C511" s="136">
        <f>_xll.mirGetDate(C510,"1D","FOLLOWING",D$12,"NORMAL")</f>
        <v>43129</v>
      </c>
      <c r="D511" s="20">
        <f>_xll.mirGetDate(C511,D$17,"Following",D$12,"Normal")</f>
        <v>43130</v>
      </c>
      <c r="E511" s="134">
        <f ca="1"/>
        <v>9.8194047429967304E-3</v>
      </c>
      <c r="F511" s="7" t="s">
        <v>3</v>
      </c>
      <c r="G511" s="136">
        <f t="shared" si="7"/>
        <v>43129</v>
      </c>
      <c r="H511" s="20">
        <f>_xll.mirGetDate(G511,H$17,"Following",H$12,"Normal")</f>
        <v>43220</v>
      </c>
      <c r="I511" s="134">
        <f ca="1"/>
        <v>1.1993596505446276E-2</v>
      </c>
      <c r="J511" s="120" t="s">
        <v>3</v>
      </c>
    </row>
    <row r="512" spans="1:10" x14ac:dyDescent="0.25">
      <c r="A512" s="126">
        <v>490</v>
      </c>
      <c r="B512" s="119"/>
      <c r="C512" s="136">
        <f>_xll.mirGetDate(C511,"1D","FOLLOWING",D$12,"NORMAL")</f>
        <v>43130</v>
      </c>
      <c r="D512" s="20">
        <f>_xll.mirGetDate(C512,D$17,"Following",D$12,"Normal")</f>
        <v>43131</v>
      </c>
      <c r="E512" s="134">
        <f ca="1"/>
        <v>9.8196725856248071E-3</v>
      </c>
      <c r="F512" s="7" t="s">
        <v>3</v>
      </c>
      <c r="G512" s="136">
        <f t="shared" si="7"/>
        <v>43130</v>
      </c>
      <c r="H512" s="20">
        <f>_xll.mirGetDate(G512,H$17,"Following",H$12,"Normal")</f>
        <v>43220</v>
      </c>
      <c r="I512" s="134">
        <f ca="1"/>
        <v>1.1999524940197948E-2</v>
      </c>
      <c r="J512" s="120" t="s">
        <v>3</v>
      </c>
    </row>
    <row r="513" spans="1:10" x14ac:dyDescent="0.25">
      <c r="A513" s="126">
        <v>491</v>
      </c>
      <c r="B513" s="119"/>
      <c r="C513" s="136">
        <f>_xll.mirGetDate(C512,"1D","FOLLOWING",D$12,"NORMAL")</f>
        <v>43131</v>
      </c>
      <c r="D513" s="20">
        <f>_xll.mirGetDate(C513,D$17,"Following",D$12,"Normal")</f>
        <v>43132</v>
      </c>
      <c r="E513" s="134">
        <f ca="1"/>
        <v>9.8199404428811823E-3</v>
      </c>
      <c r="F513" s="7" t="s">
        <v>3</v>
      </c>
      <c r="G513" s="136">
        <f t="shared" si="7"/>
        <v>43131</v>
      </c>
      <c r="H513" s="20">
        <f>_xll.mirGetDate(G513,H$17,"Following",H$12,"Normal")</f>
        <v>43220</v>
      </c>
      <c r="I513" s="134">
        <f ca="1"/>
        <v>1.2005465602119129E-2</v>
      </c>
      <c r="J513" s="120" t="s">
        <v>3</v>
      </c>
    </row>
    <row r="514" spans="1:10" x14ac:dyDescent="0.25">
      <c r="A514" s="126">
        <v>492</v>
      </c>
      <c r="B514" s="119"/>
      <c r="C514" s="136">
        <f>_xll.mirGetDate(C513,"1D","FOLLOWING",D$12,"NORMAL")</f>
        <v>43132</v>
      </c>
      <c r="D514" s="20">
        <f>_xll.mirGetDate(C514,D$17,"Following",D$12,"Normal")</f>
        <v>43133</v>
      </c>
      <c r="E514" s="134">
        <f ca="1"/>
        <v>9.8202083147658562E-3</v>
      </c>
      <c r="F514" s="7" t="s">
        <v>3</v>
      </c>
      <c r="G514" s="136">
        <f t="shared" si="7"/>
        <v>43132</v>
      </c>
      <c r="H514" s="20">
        <f>_xll.mirGetDate(G514,H$17,"Following",H$12,"Normal")</f>
        <v>43221</v>
      </c>
      <c r="I514" s="134">
        <f ca="1"/>
        <v>1.201141900328897E-2</v>
      </c>
      <c r="J514" s="120" t="s">
        <v>3</v>
      </c>
    </row>
    <row r="515" spans="1:10" x14ac:dyDescent="0.25">
      <c r="A515" s="126">
        <v>493</v>
      </c>
      <c r="B515" s="119"/>
      <c r="C515" s="136">
        <f>_xll.mirGetDate(C514,"1D","FOLLOWING",D$12,"NORMAL")</f>
        <v>43133</v>
      </c>
      <c r="D515" s="20">
        <f>_xll.mirGetDate(C515,D$17,"Following",D$12,"Normal")</f>
        <v>43136</v>
      </c>
      <c r="E515" s="134">
        <f ca="1"/>
        <v>9.8210120178965701E-3</v>
      </c>
      <c r="F515" s="7" t="s">
        <v>3</v>
      </c>
      <c r="G515" s="136">
        <f t="shared" si="7"/>
        <v>43133</v>
      </c>
      <c r="H515" s="20">
        <f>_xll.mirGetDate(G515,H$17,"Following",H$12,"Normal")</f>
        <v>43222</v>
      </c>
      <c r="I515" s="134">
        <f ca="1"/>
        <v>1.2017385655786618E-2</v>
      </c>
      <c r="J515" s="120" t="s">
        <v>3</v>
      </c>
    </row>
    <row r="516" spans="1:10" x14ac:dyDescent="0.25">
      <c r="A516" s="126">
        <v>494</v>
      </c>
      <c r="B516" s="119"/>
      <c r="C516" s="136">
        <f>_xll.mirGetDate(C515,"1D","FOLLOWING",D$12,"NORMAL")</f>
        <v>43136</v>
      </c>
      <c r="D516" s="20">
        <f>_xll.mirGetDate(C516,D$17,"Following",D$12,"Normal")</f>
        <v>43137</v>
      </c>
      <c r="E516" s="134">
        <f ca="1"/>
        <v>9.8212799482677929E-3</v>
      </c>
      <c r="F516" s="7" t="s">
        <v>3</v>
      </c>
      <c r="G516" s="136">
        <f t="shared" si="7"/>
        <v>43136</v>
      </c>
      <c r="H516" s="20">
        <f>_xll.mirGetDate(G516,H$17,"Following",H$12,"Normal")</f>
        <v>43227</v>
      </c>
      <c r="I516" s="134">
        <f ca="1"/>
        <v>1.2035370242037883E-2</v>
      </c>
      <c r="J516" s="120" t="s">
        <v>3</v>
      </c>
    </row>
    <row r="517" spans="1:10" x14ac:dyDescent="0.25">
      <c r="A517" s="126">
        <v>495</v>
      </c>
      <c r="B517" s="119"/>
      <c r="C517" s="136">
        <f>_xll.mirGetDate(C516,"1D","FOLLOWING",D$12,"NORMAL")</f>
        <v>43137</v>
      </c>
      <c r="D517" s="20">
        <f>_xll.mirGetDate(C517,D$17,"Following",D$12,"Normal")</f>
        <v>43138</v>
      </c>
      <c r="E517" s="134">
        <f ca="1"/>
        <v>9.8215478931340874E-3</v>
      </c>
      <c r="F517" s="7" t="s">
        <v>3</v>
      </c>
      <c r="G517" s="136">
        <f t="shared" si="7"/>
        <v>43137</v>
      </c>
      <c r="H517" s="20">
        <f>_xll.mirGetDate(G517,H$17,"Following",H$12,"Normal")</f>
        <v>43227</v>
      </c>
      <c r="I517" s="134">
        <f ca="1"/>
        <v>1.2041395020638238E-2</v>
      </c>
      <c r="J517" s="120" t="s">
        <v>3</v>
      </c>
    </row>
    <row r="518" spans="1:10" x14ac:dyDescent="0.25">
      <c r="A518" s="126">
        <v>496</v>
      </c>
      <c r="B518" s="119"/>
      <c r="C518" s="136">
        <f>_xll.mirGetDate(C517,"1D","FOLLOWING",D$12,"NORMAL")</f>
        <v>43138</v>
      </c>
      <c r="D518" s="20">
        <f>_xll.mirGetDate(C518,D$17,"Following",D$12,"Normal")</f>
        <v>43139</v>
      </c>
      <c r="E518" s="134">
        <f ca="1"/>
        <v>9.8218158527086166E-3</v>
      </c>
      <c r="F518" s="7" t="s">
        <v>3</v>
      </c>
      <c r="G518" s="136">
        <f t="shared" si="7"/>
        <v>43138</v>
      </c>
      <c r="H518" s="20">
        <f>_xll.mirGetDate(G518,H$17,"Following",H$12,"Normal")</f>
        <v>43227</v>
      </c>
      <c r="I518" s="134">
        <f ca="1"/>
        <v>1.2047435610962142E-2</v>
      </c>
      <c r="J518" s="120" t="s">
        <v>3</v>
      </c>
    </row>
    <row r="519" spans="1:10" x14ac:dyDescent="0.25">
      <c r="A519" s="126">
        <v>497</v>
      </c>
      <c r="B519" s="119"/>
      <c r="C519" s="136">
        <f>_xll.mirGetDate(C518,"1D","FOLLOWING",D$12,"NORMAL")</f>
        <v>43139</v>
      </c>
      <c r="D519" s="20">
        <f>_xll.mirGetDate(C519,D$17,"Following",D$12,"Normal")</f>
        <v>43140</v>
      </c>
      <c r="E519" s="134">
        <f ca="1"/>
        <v>9.8220838268315083E-3</v>
      </c>
      <c r="F519" s="7" t="s">
        <v>3</v>
      </c>
      <c r="G519" s="136">
        <f t="shared" si="7"/>
        <v>43139</v>
      </c>
      <c r="H519" s="20">
        <f>_xll.mirGetDate(G519,H$17,"Following",H$12,"Normal")</f>
        <v>43228</v>
      </c>
      <c r="I519" s="134">
        <f ca="1"/>
        <v>1.2053492525088742E-2</v>
      </c>
      <c r="J519" s="120" t="s">
        <v>3</v>
      </c>
    </row>
    <row r="520" spans="1:10" x14ac:dyDescent="0.25">
      <c r="A520" s="126">
        <v>498</v>
      </c>
      <c r="B520" s="119"/>
      <c r="C520" s="136">
        <f>_xll.mirGetDate(C519,"1D","FOLLOWING",D$12,"NORMAL")</f>
        <v>43140</v>
      </c>
      <c r="D520" s="20">
        <f>_xll.mirGetDate(C520,D$17,"Following",D$12,"Normal")</f>
        <v>43143</v>
      </c>
      <c r="E520" s="134">
        <f ca="1"/>
        <v>9.8228878370499109E-3</v>
      </c>
      <c r="F520" s="7" t="s">
        <v>3</v>
      </c>
      <c r="G520" s="136">
        <f t="shared" si="7"/>
        <v>43140</v>
      </c>
      <c r="H520" s="20">
        <f>_xll.mirGetDate(G520,H$17,"Following",H$12,"Normal")</f>
        <v>43229</v>
      </c>
      <c r="I520" s="134">
        <f ca="1"/>
        <v>1.2059566275097184E-2</v>
      </c>
      <c r="J520" s="120" t="s">
        <v>3</v>
      </c>
    </row>
    <row r="521" spans="1:10" x14ac:dyDescent="0.25">
      <c r="A521" s="126">
        <v>499</v>
      </c>
      <c r="B521" s="119"/>
      <c r="C521" s="136">
        <f>_xll.mirGetDate(C520,"1D","FOLLOWING",D$12,"NORMAL")</f>
        <v>43143</v>
      </c>
      <c r="D521" s="20">
        <f>_xll.mirGetDate(C521,D$17,"Following",D$12,"Normal")</f>
        <v>43144</v>
      </c>
      <c r="E521" s="134">
        <f ca="1"/>
        <v>9.823155869765933E-3</v>
      </c>
      <c r="F521" s="7" t="s">
        <v>3</v>
      </c>
      <c r="G521" s="136">
        <f t="shared" si="7"/>
        <v>43143</v>
      </c>
      <c r="H521" s="20">
        <f>_xll.mirGetDate(G521,H$17,"Following",H$12,"Normal")</f>
        <v>43234</v>
      </c>
      <c r="I521" s="134">
        <f ca="1"/>
        <v>1.207789366120506E-2</v>
      </c>
      <c r="J521" s="120" t="s">
        <v>3</v>
      </c>
    </row>
    <row r="522" spans="1:10" x14ac:dyDescent="0.25">
      <c r="A522" s="126">
        <v>500</v>
      </c>
      <c r="B522" s="119"/>
      <c r="C522" s="136">
        <f>_xll.mirGetDate(C521,"1D","FOLLOWING",D$12,"NORMAL")</f>
        <v>43144</v>
      </c>
      <c r="D522" s="20">
        <f>_xll.mirGetDate(C522,D$17,"Following",D$12,"Normal")</f>
        <v>43145</v>
      </c>
      <c r="E522" s="134">
        <f ca="1"/>
        <v>9.8234239170303175E-3</v>
      </c>
      <c r="F522" s="7" t="s">
        <v>3</v>
      </c>
      <c r="G522" s="136">
        <f t="shared" si="7"/>
        <v>43144</v>
      </c>
      <c r="H522" s="20">
        <f>_xll.mirGetDate(G522,H$17,"Following",H$12,"Normal")</f>
        <v>43234</v>
      </c>
      <c r="I522" s="134">
        <f ca="1"/>
        <v>1.2084039875532363E-2</v>
      </c>
      <c r="J522" s="120" t="s">
        <v>3</v>
      </c>
    </row>
    <row r="523" spans="1:10" x14ac:dyDescent="0.25">
      <c r="A523" s="126">
        <v>501</v>
      </c>
      <c r="B523" s="119"/>
      <c r="C523" s="136">
        <f>_xll.mirGetDate(C522,"1D","FOLLOWING",D$12,"NORMAL")</f>
        <v>43145</v>
      </c>
      <c r="D523" s="20">
        <f>_xll.mirGetDate(C523,D$17,"Following",D$12,"Normal")</f>
        <v>43146</v>
      </c>
      <c r="E523" s="134">
        <f ca="1"/>
        <v>9.8236919788430646E-3</v>
      </c>
      <c r="F523" s="7" t="s">
        <v>3</v>
      </c>
      <c r="G523" s="136">
        <f t="shared" si="7"/>
        <v>43145</v>
      </c>
      <c r="H523" s="20">
        <f>_xll.mirGetDate(G523,H$17,"Following",H$12,"Normal")</f>
        <v>43234</v>
      </c>
      <c r="I523" s="134">
        <f ca="1"/>
        <v>1.209020548613725E-2</v>
      </c>
      <c r="J523" s="120" t="s">
        <v>3</v>
      </c>
    </row>
    <row r="524" spans="1:10" x14ac:dyDescent="0.25">
      <c r="A524" s="126">
        <v>502</v>
      </c>
      <c r="B524" s="119"/>
      <c r="C524" s="136">
        <f>_xll.mirGetDate(C523,"1D","FOLLOWING",D$12,"NORMAL")</f>
        <v>43146</v>
      </c>
      <c r="D524" s="20">
        <f>_xll.mirGetDate(C524,D$17,"Following",D$12,"Normal")</f>
        <v>43147</v>
      </c>
      <c r="E524" s="134">
        <f ca="1"/>
        <v>9.8239600555239184E-3</v>
      </c>
      <c r="F524" s="7" t="s">
        <v>3</v>
      </c>
      <c r="G524" s="136">
        <f t="shared" si="7"/>
        <v>43146</v>
      </c>
      <c r="H524" s="20">
        <f>_xll.mirGetDate(G524,H$17,"Following",H$12,"Normal")</f>
        <v>43235</v>
      </c>
      <c r="I524" s="134">
        <f ca="1"/>
        <v>1.2096391005098869E-2</v>
      </c>
      <c r="J524" s="120" t="s">
        <v>3</v>
      </c>
    </row>
    <row r="525" spans="1:10" x14ac:dyDescent="0.25">
      <c r="A525" s="126">
        <v>503</v>
      </c>
      <c r="B525" s="119"/>
      <c r="C525" s="136">
        <f>_xll.mirGetDate(C524,"1D","FOLLOWING",D$12,"NORMAL")</f>
        <v>43147</v>
      </c>
      <c r="D525" s="20">
        <f>_xll.mirGetDate(C525,D$17,"Following",D$12,"Normal")</f>
        <v>43151</v>
      </c>
      <c r="E525" s="134">
        <f ca="1"/>
        <v>9.8250325080107351E-3</v>
      </c>
      <c r="F525" s="7" t="s">
        <v>3</v>
      </c>
      <c r="G525" s="136">
        <f t="shared" si="7"/>
        <v>43147</v>
      </c>
      <c r="H525" s="20">
        <f>_xll.mirGetDate(G525,H$17,"Following",H$12,"Normal")</f>
        <v>43236</v>
      </c>
      <c r="I525" s="134">
        <f ca="1"/>
        <v>1.210259694449637E-2</v>
      </c>
      <c r="J525" s="120" t="s">
        <v>3</v>
      </c>
    </row>
    <row r="526" spans="1:10" x14ac:dyDescent="0.25">
      <c r="A526" s="126">
        <v>504</v>
      </c>
      <c r="B526" s="119"/>
      <c r="C526" s="136">
        <f>_xll.mirGetDate(C525,"1D","FOLLOWING",D$12,"NORMAL")</f>
        <v>43151</v>
      </c>
      <c r="D526" s="20">
        <f>_xll.mirGetDate(C526,D$17,"Following",D$12,"Normal")</f>
        <v>43152</v>
      </c>
      <c r="E526" s="134">
        <f ca="1"/>
        <v>9.8253006577131777E-3</v>
      </c>
      <c r="F526" s="7" t="s">
        <v>3</v>
      </c>
      <c r="G526" s="136">
        <f t="shared" si="7"/>
        <v>43151</v>
      </c>
      <c r="H526" s="20">
        <f>_xll.mirGetDate(G526,H$17,"Following",H$12,"Normal")</f>
        <v>43241</v>
      </c>
      <c r="I526" s="134">
        <f ca="1"/>
        <v>1.2127635148028152E-2</v>
      </c>
      <c r="J526" s="120" t="s">
        <v>3</v>
      </c>
    </row>
    <row r="527" spans="1:10" x14ac:dyDescent="0.25">
      <c r="A527" s="126">
        <v>505</v>
      </c>
      <c r="B527" s="119"/>
      <c r="C527" s="136">
        <f>_xll.mirGetDate(C526,"1D","FOLLOWING",D$12,"NORMAL")</f>
        <v>43152</v>
      </c>
      <c r="D527" s="20">
        <f>_xll.mirGetDate(C527,D$17,"Following",D$12,"Normal")</f>
        <v>43153</v>
      </c>
      <c r="E527" s="134">
        <f ca="1"/>
        <v>9.8255688220838869E-3</v>
      </c>
      <c r="F527" s="7" t="s">
        <v>3</v>
      </c>
      <c r="G527" s="136">
        <f t="shared" si="7"/>
        <v>43152</v>
      </c>
      <c r="H527" s="20">
        <f>_xll.mirGetDate(G527,H$17,"Following",H$12,"Normal")</f>
        <v>43241</v>
      </c>
      <c r="I527" s="134">
        <f ca="1"/>
        <v>1.2133950870792281E-2</v>
      </c>
      <c r="J527" s="120" t="s">
        <v>3</v>
      </c>
    </row>
    <row r="528" spans="1:10" x14ac:dyDescent="0.25">
      <c r="A528" s="126">
        <v>506</v>
      </c>
      <c r="B528" s="119"/>
      <c r="C528" s="136">
        <f>_xll.mirGetDate(C527,"1D","FOLLOWING",D$12,"NORMAL")</f>
        <v>43153</v>
      </c>
      <c r="D528" s="20">
        <f>_xll.mirGetDate(C528,D$17,"Following",D$12,"Normal")</f>
        <v>43154</v>
      </c>
      <c r="E528" s="134">
        <f ca="1"/>
        <v>9.8258370010828947E-3</v>
      </c>
      <c r="F528" s="7" t="s">
        <v>3</v>
      </c>
      <c r="G528" s="136">
        <f t="shared" si="7"/>
        <v>43153</v>
      </c>
      <c r="H528" s="20">
        <f>_xll.mirGetDate(G528,H$17,"Following",H$12,"Normal")</f>
        <v>43242</v>
      </c>
      <c r="I528" s="134">
        <f ca="1"/>
        <v>1.2140290086467182E-2</v>
      </c>
      <c r="J528" s="120" t="s">
        <v>3</v>
      </c>
    </row>
    <row r="529" spans="1:10" x14ac:dyDescent="0.25">
      <c r="A529" s="126">
        <v>507</v>
      </c>
      <c r="B529" s="119"/>
      <c r="C529" s="136">
        <f>_xll.mirGetDate(C528,"1D","FOLLOWING",D$12,"NORMAL")</f>
        <v>43154</v>
      </c>
      <c r="D529" s="20">
        <f>_xll.mirGetDate(C529,D$17,"Following",D$12,"Normal")</f>
        <v>43157</v>
      </c>
      <c r="E529" s="134">
        <f ca="1"/>
        <v>9.8266416259030001E-3</v>
      </c>
      <c r="F529" s="7" t="s">
        <v>3</v>
      </c>
      <c r="G529" s="136">
        <f t="shared" si="7"/>
        <v>43154</v>
      </c>
      <c r="H529" s="20">
        <f>_xll.mirGetDate(G529,H$17,"Following",H$12,"Normal")</f>
        <v>43243</v>
      </c>
      <c r="I529" s="134">
        <f ca="1"/>
        <v>1.2146653307132001E-2</v>
      </c>
      <c r="J529" s="120" t="s">
        <v>3</v>
      </c>
    </row>
    <row r="530" spans="1:10" x14ac:dyDescent="0.25">
      <c r="A530" s="126">
        <v>508</v>
      </c>
      <c r="B530" s="119"/>
      <c r="C530" s="136">
        <f>_xll.mirGetDate(C529,"1D","FOLLOWING",D$12,"NORMAL")</f>
        <v>43157</v>
      </c>
      <c r="D530" s="20">
        <f>_xll.mirGetDate(C530,D$17,"Following",D$12,"Normal")</f>
        <v>43158</v>
      </c>
      <c r="E530" s="134">
        <f ca="1"/>
        <v>9.8269098634418475E-3</v>
      </c>
      <c r="F530" s="7" t="s">
        <v>3</v>
      </c>
      <c r="G530" s="136">
        <f t="shared" si="7"/>
        <v>43157</v>
      </c>
      <c r="H530" s="20">
        <f>_xll.mirGetDate(G530,H$17,"Following",H$12,"Normal")</f>
        <v>43249</v>
      </c>
      <c r="I530" s="134">
        <f ca="1"/>
        <v>1.2165797631112196E-2</v>
      </c>
      <c r="J530" s="120" t="s">
        <v>3</v>
      </c>
    </row>
    <row r="531" spans="1:10" x14ac:dyDescent="0.25">
      <c r="A531" s="126">
        <v>509</v>
      </c>
      <c r="B531" s="119"/>
      <c r="C531" s="136">
        <f>_xll.mirGetDate(C530,"1D","FOLLOWING",D$12,"NORMAL")</f>
        <v>43158</v>
      </c>
      <c r="D531" s="20">
        <f>_xll.mirGetDate(C531,D$17,"Following",D$12,"Normal")</f>
        <v>43159</v>
      </c>
      <c r="E531" s="134">
        <f ca="1"/>
        <v>9.8271781156622842E-3</v>
      </c>
      <c r="F531" s="7" t="s">
        <v>3</v>
      </c>
      <c r="G531" s="136">
        <f t="shared" si="7"/>
        <v>43158</v>
      </c>
      <c r="H531" s="20">
        <f>_xll.mirGetDate(G531,H$17,"Following",H$12,"Normal")</f>
        <v>43249</v>
      </c>
      <c r="I531" s="134">
        <f ca="1"/>
        <v>1.2172189350476913E-2</v>
      </c>
      <c r="J531" s="120" t="s">
        <v>3</v>
      </c>
    </row>
    <row r="532" spans="1:10" x14ac:dyDescent="0.25">
      <c r="A532" s="126">
        <v>510</v>
      </c>
      <c r="B532" s="119"/>
      <c r="C532" s="136">
        <f>_xll.mirGetDate(C531,"1D","FOLLOWING",D$12,"NORMAL")</f>
        <v>43159</v>
      </c>
      <c r="D532" s="20">
        <f>_xll.mirGetDate(C532,D$17,"Following",D$12,"Normal")</f>
        <v>43160</v>
      </c>
      <c r="E532" s="134">
        <f ca="1"/>
        <v>9.8274463825110195E-3</v>
      </c>
      <c r="F532" s="7" t="s">
        <v>3</v>
      </c>
      <c r="G532" s="136">
        <f t="shared" si="7"/>
        <v>43159</v>
      </c>
      <c r="H532" s="20">
        <f>_xll.mirGetDate(G532,H$17,"Following",H$12,"Normal")</f>
        <v>43249</v>
      </c>
      <c r="I532" s="134">
        <f ca="1"/>
        <v>1.2178587593072776E-2</v>
      </c>
      <c r="J532" s="120" t="s">
        <v>3</v>
      </c>
    </row>
    <row r="533" spans="1:10" x14ac:dyDescent="0.25">
      <c r="A533" s="126">
        <v>511</v>
      </c>
      <c r="B533" s="119"/>
      <c r="C533" s="136">
        <f>_xll.mirGetDate(C532,"1D","FOLLOWING",D$12,"NORMAL")</f>
        <v>43160</v>
      </c>
      <c r="D533" s="20">
        <f>_xll.mirGetDate(C533,D$17,"Following",D$12,"Normal")</f>
        <v>43161</v>
      </c>
      <c r="E533" s="134">
        <f ca="1"/>
        <v>9.8277146639880533E-3</v>
      </c>
      <c r="F533" s="7" t="s">
        <v>3</v>
      </c>
      <c r="G533" s="136">
        <f t="shared" si="7"/>
        <v>43160</v>
      </c>
      <c r="H533" s="20">
        <f>_xll.mirGetDate(G533,H$17,"Following",H$12,"Normal")</f>
        <v>43252</v>
      </c>
      <c r="I533" s="134">
        <f ca="1"/>
        <v>1.218499318942708E-2</v>
      </c>
      <c r="J533" s="120" t="s">
        <v>3</v>
      </c>
    </row>
    <row r="534" spans="1:10" x14ac:dyDescent="0.25">
      <c r="A534" s="126">
        <v>512</v>
      </c>
      <c r="B534" s="119"/>
      <c r="C534" s="136">
        <f>_xll.mirGetDate(C533,"1D","FOLLOWING",D$12,"NORMAL")</f>
        <v>43161</v>
      </c>
      <c r="D534" s="20">
        <f>_xll.mirGetDate(C534,D$17,"Following",D$12,"Normal")</f>
        <v>43164</v>
      </c>
      <c r="E534" s="134">
        <f ca="1"/>
        <v>9.8285195964015852E-3</v>
      </c>
      <c r="F534" s="7" t="s">
        <v>3</v>
      </c>
      <c r="G534" s="136">
        <f t="shared" si="7"/>
        <v>43161</v>
      </c>
      <c r="H534" s="20">
        <f>_xll.mirGetDate(G534,H$17,"Following",H$12,"Normal")</f>
        <v>43255</v>
      </c>
      <c r="I534" s="134">
        <f ca="1"/>
        <v>1.2191406970067114E-2</v>
      </c>
      <c r="J534" s="120" t="s">
        <v>3</v>
      </c>
    </row>
    <row r="535" spans="1:10" x14ac:dyDescent="0.25">
      <c r="A535" s="126">
        <v>513</v>
      </c>
      <c r="B535" s="119"/>
      <c r="C535" s="136">
        <f>_xll.mirGetDate(C534,"1D","FOLLOWING",D$12,"NORMAL")</f>
        <v>43164</v>
      </c>
      <c r="D535" s="20">
        <f>_xll.mirGetDate(C535,D$17,"Following",D$12,"Normal")</f>
        <v>43165</v>
      </c>
      <c r="E535" s="134">
        <f ca="1"/>
        <v>9.8287879364989186E-3</v>
      </c>
      <c r="F535" s="7" t="s">
        <v>3</v>
      </c>
      <c r="G535" s="136">
        <f t="shared" si="7"/>
        <v>43164</v>
      </c>
      <c r="H535" s="20">
        <f>_xll.mirGetDate(G535,H$17,"Following",H$12,"Normal")</f>
        <v>43256</v>
      </c>
      <c r="I535" s="134">
        <f ca="1"/>
        <v>1.221070572297453E-2</v>
      </c>
      <c r="J535" s="120" t="s">
        <v>3</v>
      </c>
    </row>
    <row r="536" spans="1:10" x14ac:dyDescent="0.25">
      <c r="A536" s="126">
        <v>514</v>
      </c>
      <c r="B536" s="119"/>
      <c r="C536" s="136">
        <f>_xll.mirGetDate(C535,"1D","FOLLOWING",D$12,"NORMAL")</f>
        <v>43165</v>
      </c>
      <c r="D536" s="20">
        <f>_xll.mirGetDate(C536,D$17,"Following",D$12,"Normal")</f>
        <v>43166</v>
      </c>
      <c r="E536" s="134">
        <f ca="1"/>
        <v>9.8290562911973814E-3</v>
      </c>
      <c r="F536" s="7" t="s">
        <v>3</v>
      </c>
      <c r="G536" s="136">
        <f t="shared" ref="G536:G599" si="8">$C536</f>
        <v>43165</v>
      </c>
      <c r="H536" s="20">
        <f>_xll.mirGetDate(G536,H$17,"Following",H$12,"Normal")</f>
        <v>43257</v>
      </c>
      <c r="I536" s="134">
        <f ca="1"/>
        <v>1.2217160546030417E-2</v>
      </c>
      <c r="J536" s="120" t="s">
        <v>3</v>
      </c>
    </row>
    <row r="537" spans="1:10" x14ac:dyDescent="0.25">
      <c r="A537" s="126">
        <v>515</v>
      </c>
      <c r="B537" s="119"/>
      <c r="C537" s="136">
        <f>_xll.mirGetDate(C536,"1D","FOLLOWING",D$12,"NORMAL")</f>
        <v>43166</v>
      </c>
      <c r="D537" s="20">
        <f>_xll.mirGetDate(C537,D$17,"Following",D$12,"Normal")</f>
        <v>43167</v>
      </c>
      <c r="E537" s="134">
        <f ca="1"/>
        <v>9.8293246606840148E-3</v>
      </c>
      <c r="F537" s="7" t="s">
        <v>3</v>
      </c>
      <c r="G537" s="136">
        <f t="shared" si="8"/>
        <v>43166</v>
      </c>
      <c r="H537" s="20">
        <f>_xll.mirGetDate(G537,H$17,"Following",H$12,"Normal")</f>
        <v>43258</v>
      </c>
      <c r="I537" s="134">
        <f ca="1"/>
        <v>1.2223627706008497E-2</v>
      </c>
      <c r="J537" s="120" t="s">
        <v>3</v>
      </c>
    </row>
    <row r="538" spans="1:10" x14ac:dyDescent="0.25">
      <c r="A538" s="126">
        <v>516</v>
      </c>
      <c r="B538" s="119"/>
      <c r="C538" s="136">
        <f>_xll.mirGetDate(C537,"1D","FOLLOWING",D$12,"NORMAL")</f>
        <v>43167</v>
      </c>
      <c r="D538" s="20">
        <f>_xll.mirGetDate(C538,D$17,"Following",D$12,"Normal")</f>
        <v>43168</v>
      </c>
      <c r="E538" s="134">
        <f ca="1"/>
        <v>9.8295930447190108E-3</v>
      </c>
      <c r="F538" s="7" t="s">
        <v>3</v>
      </c>
      <c r="G538" s="136">
        <f t="shared" si="8"/>
        <v>43167</v>
      </c>
      <c r="H538" s="20">
        <f>_xll.mirGetDate(G538,H$17,"Following",H$12,"Normal")</f>
        <v>43259</v>
      </c>
      <c r="I538" s="134">
        <f ca="1"/>
        <v>1.2230108033436066E-2</v>
      </c>
      <c r="J538" s="120" t="s">
        <v>3</v>
      </c>
    </row>
    <row r="539" spans="1:10" x14ac:dyDescent="0.25">
      <c r="A539" s="126">
        <v>517</v>
      </c>
      <c r="B539" s="119"/>
      <c r="C539" s="136">
        <f>_xll.mirGetDate(C538,"1D","FOLLOWING",D$12,"NORMAL")</f>
        <v>43168</v>
      </c>
      <c r="D539" s="20">
        <f>_xll.mirGetDate(C539,D$17,"Following",D$12,"Normal")</f>
        <v>43171</v>
      </c>
      <c r="E539" s="134">
        <f ca="1"/>
        <v>9.8303982848069529E-3</v>
      </c>
      <c r="F539" s="7" t="s">
        <v>3</v>
      </c>
      <c r="G539" s="136">
        <f t="shared" si="8"/>
        <v>43168</v>
      </c>
      <c r="H539" s="20">
        <f>_xll.mirGetDate(G539,H$17,"Following",H$12,"Normal")</f>
        <v>43262</v>
      </c>
      <c r="I539" s="134">
        <f ca="1"/>
        <v>1.2236602358840413E-2</v>
      </c>
      <c r="J539" s="120" t="s">
        <v>3</v>
      </c>
    </row>
    <row r="540" spans="1:10" x14ac:dyDescent="0.25">
      <c r="A540" s="126">
        <v>518</v>
      </c>
      <c r="B540" s="119"/>
      <c r="C540" s="136">
        <f>_xll.mirGetDate(C539,"1D","FOLLOWING",D$12,"NORMAL")</f>
        <v>43171</v>
      </c>
      <c r="D540" s="20">
        <f>_xll.mirGetDate(C540,D$17,"Following",D$12,"Normal")</f>
        <v>43172</v>
      </c>
      <c r="E540" s="134">
        <f ca="1"/>
        <v>9.8306667275416607E-3</v>
      </c>
      <c r="F540" s="7" t="s">
        <v>3</v>
      </c>
      <c r="G540" s="136">
        <f t="shared" si="8"/>
        <v>43171</v>
      </c>
      <c r="H540" s="20">
        <f>_xll.mirGetDate(G540,H$17,"Following",H$12,"Normal")</f>
        <v>43263</v>
      </c>
      <c r="I540" s="134">
        <f ca="1"/>
        <v>1.2256177628187056E-2</v>
      </c>
      <c r="J540" s="120" t="s">
        <v>3</v>
      </c>
    </row>
    <row r="541" spans="1:10" x14ac:dyDescent="0.25">
      <c r="A541" s="126">
        <v>519</v>
      </c>
      <c r="B541" s="119"/>
      <c r="C541" s="136">
        <f>_xll.mirGetDate(C540,"1D","FOLLOWING",D$12,"NORMAL")</f>
        <v>43172</v>
      </c>
      <c r="D541" s="20">
        <f>_xll.mirGetDate(C541,D$17,"Following",D$12,"Normal")</f>
        <v>43173</v>
      </c>
      <c r="E541" s="134">
        <f ca="1"/>
        <v>9.8309351848780216E-3</v>
      </c>
      <c r="F541" s="7" t="s">
        <v>3</v>
      </c>
      <c r="G541" s="136">
        <f t="shared" si="8"/>
        <v>43172</v>
      </c>
      <c r="H541" s="20">
        <f>_xll.mirGetDate(G541,H$17,"Following",H$12,"Normal")</f>
        <v>43264</v>
      </c>
      <c r="I541" s="134">
        <f ca="1"/>
        <v>1.2262736250771447E-2</v>
      </c>
      <c r="J541" s="120" t="s">
        <v>3</v>
      </c>
    </row>
    <row r="542" spans="1:10" x14ac:dyDescent="0.25">
      <c r="A542" s="126">
        <v>520</v>
      </c>
      <c r="B542" s="119"/>
      <c r="C542" s="136">
        <f>_xll.mirGetDate(C541,"1D","FOLLOWING",D$12,"NORMAL")</f>
        <v>43173</v>
      </c>
      <c r="D542" s="20">
        <f>_xll.mirGetDate(C542,D$17,"Following",D$12,"Normal")</f>
        <v>43174</v>
      </c>
      <c r="E542" s="134">
        <f ca="1"/>
        <v>9.8312036568426811E-3</v>
      </c>
      <c r="F542" s="7" t="s">
        <v>3</v>
      </c>
      <c r="G542" s="136">
        <f t="shared" si="8"/>
        <v>43173</v>
      </c>
      <c r="H542" s="20">
        <f>_xll.mirGetDate(G542,H$17,"Following",H$12,"Normal")</f>
        <v>43265</v>
      </c>
      <c r="I542" s="134">
        <f ca="1"/>
        <v>1.2269313023969079E-2</v>
      </c>
      <c r="J542" s="120" t="s">
        <v>3</v>
      </c>
    </row>
    <row r="543" spans="1:10" x14ac:dyDescent="0.25">
      <c r="A543" s="126">
        <v>521</v>
      </c>
      <c r="B543" s="119"/>
      <c r="C543" s="136">
        <f>_xll.mirGetDate(C542,"1D","FOLLOWING",D$12,"NORMAL")</f>
        <v>43174</v>
      </c>
      <c r="D543" s="20">
        <f>_xll.mirGetDate(C543,D$17,"Following",D$12,"Normal")</f>
        <v>43175</v>
      </c>
      <c r="E543" s="134">
        <f ca="1"/>
        <v>9.8314721435955113E-3</v>
      </c>
      <c r="F543" s="7" t="s">
        <v>3</v>
      </c>
      <c r="G543" s="136">
        <f t="shared" si="8"/>
        <v>43174</v>
      </c>
      <c r="H543" s="20">
        <f>_xll.mirGetDate(G543,H$17,"Following",H$12,"Normal")</f>
        <v>43266</v>
      </c>
      <c r="I543" s="134">
        <f ca="1"/>
        <v>1.2275908778307247E-2</v>
      </c>
      <c r="J543" s="120" t="s">
        <v>3</v>
      </c>
    </row>
    <row r="544" spans="1:10" x14ac:dyDescent="0.25">
      <c r="A544" s="126">
        <v>522</v>
      </c>
      <c r="B544" s="119"/>
      <c r="C544" s="136">
        <f>_xll.mirGetDate(C543,"1D","FOLLOWING",D$12,"NORMAL")</f>
        <v>43175</v>
      </c>
      <c r="D544" s="20">
        <f>_xll.mirGetDate(C544,D$17,"Following",D$12,"Normal")</f>
        <v>43178</v>
      </c>
      <c r="E544" s="134">
        <f ca="1"/>
        <v>9.832277691597148E-3</v>
      </c>
      <c r="F544" s="7" t="s">
        <v>3</v>
      </c>
      <c r="G544" s="136">
        <f t="shared" si="8"/>
        <v>43175</v>
      </c>
      <c r="H544" s="20">
        <f>_xll.mirGetDate(G544,H$17,"Following",H$12,"Normal")</f>
        <v>43269</v>
      </c>
      <c r="I544" s="134">
        <f ca="1"/>
        <v>1.2282524344313241E-2</v>
      </c>
      <c r="J544" s="120" t="s">
        <v>3</v>
      </c>
    </row>
    <row r="545" spans="1:10" x14ac:dyDescent="0.25">
      <c r="A545" s="126">
        <v>523</v>
      </c>
      <c r="B545" s="119"/>
      <c r="C545" s="136">
        <f>_xll.mirGetDate(C544,"1D","FOLLOWING",D$12,"NORMAL")</f>
        <v>43178</v>
      </c>
      <c r="D545" s="20">
        <f>_xll.mirGetDate(C545,D$17,"Following",D$12,"Normal")</f>
        <v>43179</v>
      </c>
      <c r="E545" s="134">
        <f ca="1"/>
        <v>9.8325462369697539E-3</v>
      </c>
      <c r="F545" s="7" t="s">
        <v>3</v>
      </c>
      <c r="G545" s="136">
        <f t="shared" si="8"/>
        <v>43178</v>
      </c>
      <c r="H545" s="20">
        <f>_xll.mirGetDate(G545,H$17,"Following",H$12,"Normal")</f>
        <v>43270</v>
      </c>
      <c r="I545" s="134">
        <f ca="1"/>
        <v>1.2302498217611113E-2</v>
      </c>
      <c r="J545" s="120" t="s">
        <v>3</v>
      </c>
    </row>
    <row r="546" spans="1:10" x14ac:dyDescent="0.25">
      <c r="A546" s="126">
        <v>524</v>
      </c>
      <c r="B546" s="119"/>
      <c r="C546" s="136">
        <f>_xll.mirGetDate(C545,"1D","FOLLOWING",D$12,"NORMAL")</f>
        <v>43179</v>
      </c>
      <c r="D546" s="20">
        <f>_xll.mirGetDate(C546,D$17,"Following",D$12,"Normal")</f>
        <v>43180</v>
      </c>
      <c r="E546" s="134">
        <f ca="1"/>
        <v>9.8328148062965318E-3</v>
      </c>
      <c r="F546" s="7" t="s">
        <v>3</v>
      </c>
      <c r="G546" s="136">
        <f t="shared" si="8"/>
        <v>43179</v>
      </c>
      <c r="H546" s="20">
        <f>_xll.mirGetDate(G546,H$17,"Following",H$12,"Normal")</f>
        <v>43271</v>
      </c>
      <c r="I546" s="134">
        <f ca="1"/>
        <v>1.2309201335561341E-2</v>
      </c>
      <c r="J546" s="120" t="s">
        <v>3</v>
      </c>
    </row>
    <row r="547" spans="1:10" x14ac:dyDescent="0.25">
      <c r="A547" s="126">
        <v>525</v>
      </c>
      <c r="B547" s="119"/>
      <c r="C547" s="136">
        <f>_xll.mirGetDate(C546,"1D","FOLLOWING",D$12,"NORMAL")</f>
        <v>43180</v>
      </c>
      <c r="D547" s="20">
        <f>_xll.mirGetDate(C547,D$17,"Following",D$12,"Normal")</f>
        <v>43181</v>
      </c>
      <c r="E547" s="134">
        <f ca="1"/>
        <v>9.8330957432502322E-3</v>
      </c>
      <c r="F547" s="7" t="s">
        <v>3</v>
      </c>
      <c r="G547" s="136">
        <f t="shared" si="8"/>
        <v>43180</v>
      </c>
      <c r="H547" s="20">
        <f>_xll.mirGetDate(G547,H$17,"Following",H$12,"Normal")</f>
        <v>43272</v>
      </c>
      <c r="I547" s="134">
        <f ca="1"/>
        <v>1.231592841781586E-2</v>
      </c>
      <c r="J547" s="120" t="s">
        <v>3</v>
      </c>
    </row>
    <row r="548" spans="1:10" x14ac:dyDescent="0.25">
      <c r="A548" s="126">
        <v>526</v>
      </c>
      <c r="B548" s="119"/>
      <c r="C548" s="136">
        <f>_xll.mirGetDate(C547,"1D","FOLLOWING",D$12,"NORMAL")</f>
        <v>43181</v>
      </c>
      <c r="D548" s="20">
        <f>_xll.mirGetDate(C548,D$17,"Following",D$12,"Normal")</f>
        <v>43182</v>
      </c>
      <c r="E548" s="134">
        <f ca="1"/>
        <v>9.8334257350441226E-3</v>
      </c>
      <c r="F548" s="7" t="s">
        <v>3</v>
      </c>
      <c r="G548" s="136">
        <f t="shared" si="8"/>
        <v>43181</v>
      </c>
      <c r="H548" s="20">
        <f>_xll.mirGetDate(G548,H$17,"Following",H$12,"Normal")</f>
        <v>43273</v>
      </c>
      <c r="I548" s="134">
        <f ca="1"/>
        <v>1.2322716344487545E-2</v>
      </c>
      <c r="J548" s="120" t="s">
        <v>3</v>
      </c>
    </row>
    <row r="549" spans="1:10" x14ac:dyDescent="0.25">
      <c r="A549" s="126">
        <v>527</v>
      </c>
      <c r="B549" s="119"/>
      <c r="C549" s="136">
        <f>_xll.mirGetDate(C548,"1D","FOLLOWING",D$12,"NORMAL")</f>
        <v>43182</v>
      </c>
      <c r="D549" s="20">
        <f>_xll.mirGetDate(C549,D$17,"Following",D$12,"Normal")</f>
        <v>43185</v>
      </c>
      <c r="E549" s="134">
        <f ca="1"/>
        <v>9.8345405262634591E-3</v>
      </c>
      <c r="F549" s="7" t="s">
        <v>3</v>
      </c>
      <c r="G549" s="136">
        <f t="shared" si="8"/>
        <v>43182</v>
      </c>
      <c r="H549" s="20">
        <f>_xll.mirGetDate(G549,H$17,"Following",H$12,"Normal")</f>
        <v>43276</v>
      </c>
      <c r="I549" s="134">
        <f ca="1"/>
        <v>1.2329596527352372E-2</v>
      </c>
      <c r="J549" s="120" t="s">
        <v>3</v>
      </c>
    </row>
    <row r="550" spans="1:10" x14ac:dyDescent="0.25">
      <c r="A550" s="126">
        <v>528</v>
      </c>
      <c r="B550" s="119"/>
      <c r="C550" s="136">
        <f>_xll.mirGetDate(C549,"1D","FOLLOWING",D$12,"NORMAL")</f>
        <v>43185</v>
      </c>
      <c r="D550" s="20">
        <f>_xll.mirGetDate(C550,D$17,"Following",D$12,"Normal")</f>
        <v>43186</v>
      </c>
      <c r="E550" s="134">
        <f ca="1"/>
        <v>9.8353042073018662E-3</v>
      </c>
      <c r="F550" s="7" t="s">
        <v>3</v>
      </c>
      <c r="G550" s="136">
        <f t="shared" si="8"/>
        <v>43185</v>
      </c>
      <c r="H550" s="20">
        <f>_xll.mirGetDate(G550,H$17,"Following",H$12,"Normal")</f>
        <v>43277</v>
      </c>
      <c r="I550" s="134">
        <f ca="1"/>
        <v>1.2350716893325141E-2</v>
      </c>
      <c r="J550" s="120" t="s">
        <v>3</v>
      </c>
    </row>
    <row r="551" spans="1:10" x14ac:dyDescent="0.25">
      <c r="A551" s="126">
        <v>529</v>
      </c>
      <c r="B551" s="119"/>
      <c r="C551" s="136">
        <f>_xll.mirGetDate(C550,"1D","FOLLOWING",D$12,"NORMAL")</f>
        <v>43186</v>
      </c>
      <c r="D551" s="20">
        <f>_xll.mirGetDate(C551,D$17,"Following",D$12,"Normal")</f>
        <v>43187</v>
      </c>
      <c r="E551" s="134">
        <f ca="1"/>
        <v>9.8359134820924857E-3</v>
      </c>
      <c r="F551" s="7" t="s">
        <v>3</v>
      </c>
      <c r="G551" s="136">
        <f t="shared" si="8"/>
        <v>43186</v>
      </c>
      <c r="H551" s="20">
        <f>_xll.mirGetDate(G551,H$17,"Following",H$12,"Normal")</f>
        <v>43278</v>
      </c>
      <c r="I551" s="134">
        <f ca="1"/>
        <v>1.2357892381181967E-2</v>
      </c>
      <c r="J551" s="120" t="s">
        <v>3</v>
      </c>
    </row>
    <row r="552" spans="1:10" x14ac:dyDescent="0.25">
      <c r="A552" s="126">
        <v>530</v>
      </c>
      <c r="B552" s="119"/>
      <c r="C552" s="136">
        <f>_xll.mirGetDate(C551,"1D","FOLLOWING",D$12,"NORMAL")</f>
        <v>43187</v>
      </c>
      <c r="D552" s="20">
        <f>_xll.mirGetDate(C552,D$17,"Following",D$12,"Normal")</f>
        <v>43188</v>
      </c>
      <c r="E552" s="134">
        <f ca="1"/>
        <v>9.8365786317878082E-3</v>
      </c>
      <c r="F552" s="7" t="s">
        <v>3</v>
      </c>
      <c r="G552" s="136">
        <f t="shared" si="8"/>
        <v>43187</v>
      </c>
      <c r="H552" s="20">
        <f>_xll.mirGetDate(G552,H$17,"Following",H$12,"Normal")</f>
        <v>43279</v>
      </c>
      <c r="I552" s="134">
        <f ca="1"/>
        <v>1.2365123265341648E-2</v>
      </c>
      <c r="J552" s="120" t="s">
        <v>3</v>
      </c>
    </row>
    <row r="553" spans="1:10" x14ac:dyDescent="0.25">
      <c r="A553" s="126">
        <v>531</v>
      </c>
      <c r="B553" s="119"/>
      <c r="C553" s="136">
        <f>_xll.mirGetDate(C552,"1D","FOLLOWING",D$12,"NORMAL")</f>
        <v>43188</v>
      </c>
      <c r="D553" s="20">
        <f>_xll.mirGetDate(C553,D$17,"Following",D$12,"Normal")</f>
        <v>43189</v>
      </c>
      <c r="E553" s="134">
        <f ca="1"/>
        <v>9.8372996625429102E-3</v>
      </c>
      <c r="F553" s="7" t="s">
        <v>3</v>
      </c>
      <c r="G553" s="136">
        <f t="shared" si="8"/>
        <v>43188</v>
      </c>
      <c r="H553" s="20">
        <f>_xll.mirGetDate(G553,H$17,"Following",H$12,"Normal")</f>
        <v>43280</v>
      </c>
      <c r="I553" s="134">
        <f ca="1"/>
        <v>1.2372402173826132E-2</v>
      </c>
      <c r="J553" s="120" t="s">
        <v>3</v>
      </c>
    </row>
    <row r="554" spans="1:10" x14ac:dyDescent="0.25">
      <c r="A554" s="126">
        <v>532</v>
      </c>
      <c r="B554" s="119"/>
      <c r="C554" s="136">
        <f>_xll.mirGetDate(C553,"1D","FOLLOWING",D$12,"NORMAL")</f>
        <v>43189</v>
      </c>
      <c r="D554" s="20">
        <f>_xll.mirGetDate(C554,D$17,"Following",D$12,"Normal")</f>
        <v>43192</v>
      </c>
      <c r="E554" s="134">
        <f ca="1"/>
        <v>9.8391969283806793E-3</v>
      </c>
      <c r="F554" s="7" t="s">
        <v>3</v>
      </c>
      <c r="G554" s="136">
        <f t="shared" si="8"/>
        <v>43189</v>
      </c>
      <c r="H554" s="20">
        <f>_xll.mirGetDate(G554,H$17,"Following",H$12,"Normal")</f>
        <v>43283</v>
      </c>
      <c r="I554" s="134">
        <f ca="1"/>
        <v>1.2379721734657359E-2</v>
      </c>
      <c r="J554" s="120" t="s">
        <v>3</v>
      </c>
    </row>
    <row r="555" spans="1:10" x14ac:dyDescent="0.25">
      <c r="A555" s="126">
        <v>533</v>
      </c>
      <c r="B555" s="119"/>
      <c r="C555" s="136">
        <f>_xll.mirGetDate(C554,"1D","FOLLOWING",D$12,"NORMAL")</f>
        <v>43192</v>
      </c>
      <c r="D555" s="20">
        <f>_xll.mirGetDate(C555,D$17,"Following",D$12,"Normal")</f>
        <v>43193</v>
      </c>
      <c r="E555" s="134">
        <f ca="1"/>
        <v>9.8407427177438569E-3</v>
      </c>
      <c r="F555" s="7" t="s">
        <v>3</v>
      </c>
      <c r="G555" s="136">
        <f t="shared" si="8"/>
        <v>43192</v>
      </c>
      <c r="H555" s="20">
        <f>_xll.mirGetDate(G555,H$17,"Following",H$12,"Normal")</f>
        <v>43283</v>
      </c>
      <c r="I555" s="134">
        <f ca="1"/>
        <v>1.2401850611450917E-2</v>
      </c>
      <c r="J555" s="120" t="s">
        <v>3</v>
      </c>
    </row>
    <row r="556" spans="1:10" x14ac:dyDescent="0.25">
      <c r="A556" s="126">
        <v>534</v>
      </c>
      <c r="B556" s="119"/>
      <c r="C556" s="136">
        <f>_xll.mirGetDate(C555,"1D","FOLLOWING",D$12,"NORMAL")</f>
        <v>43193</v>
      </c>
      <c r="D556" s="20">
        <f>_xll.mirGetDate(C556,D$17,"Following",D$12,"Normal")</f>
        <v>43194</v>
      </c>
      <c r="E556" s="134">
        <f ca="1"/>
        <v>9.8417432452447065E-3</v>
      </c>
      <c r="F556" s="7" t="s">
        <v>3</v>
      </c>
      <c r="G556" s="136">
        <f t="shared" si="8"/>
        <v>43193</v>
      </c>
      <c r="H556" s="20">
        <f>_xll.mirGetDate(G556,H$17,"Following",H$12,"Normal")</f>
        <v>43284</v>
      </c>
      <c r="I556" s="134">
        <f ca="1"/>
        <v>1.2409259061888544E-2</v>
      </c>
      <c r="J556" s="120" t="s">
        <v>3</v>
      </c>
    </row>
    <row r="557" spans="1:10" x14ac:dyDescent="0.25">
      <c r="A557" s="126">
        <v>535</v>
      </c>
      <c r="B557" s="119"/>
      <c r="C557" s="136">
        <f>_xll.mirGetDate(C556,"1D","FOLLOWING",D$12,"NORMAL")</f>
        <v>43194</v>
      </c>
      <c r="D557" s="20">
        <f>_xll.mirGetDate(C557,D$17,"Following",D$12,"Normal")</f>
        <v>43195</v>
      </c>
      <c r="E557" s="134">
        <f ca="1"/>
        <v>9.842799690336114E-3</v>
      </c>
      <c r="F557" s="7" t="s">
        <v>3</v>
      </c>
      <c r="G557" s="136">
        <f t="shared" si="8"/>
        <v>43194</v>
      </c>
      <c r="H557" s="20">
        <f>_xll.mirGetDate(G557,H$17,"Following",H$12,"Normal")</f>
        <v>43286</v>
      </c>
      <c r="I557" s="134">
        <f ca="1"/>
        <v>1.2416671441225973E-2</v>
      </c>
      <c r="J557" s="120" t="s">
        <v>3</v>
      </c>
    </row>
    <row r="558" spans="1:10" x14ac:dyDescent="0.25">
      <c r="A558" s="126">
        <v>536</v>
      </c>
      <c r="B558" s="119"/>
      <c r="C558" s="136">
        <f>_xll.mirGetDate(C557,"1D","FOLLOWING",D$12,"NORMAL")</f>
        <v>43195</v>
      </c>
      <c r="D558" s="20">
        <f>_xll.mirGetDate(C558,D$17,"Following",D$12,"Normal")</f>
        <v>43196</v>
      </c>
      <c r="E558" s="134">
        <f ca="1"/>
        <v>9.8439120594129639E-3</v>
      </c>
      <c r="F558" s="7" t="s">
        <v>3</v>
      </c>
      <c r="G558" s="136">
        <f t="shared" si="8"/>
        <v>43195</v>
      </c>
      <c r="H558" s="20">
        <f>_xll.mirGetDate(G558,H$17,"Following",H$12,"Normal")</f>
        <v>43286</v>
      </c>
      <c r="I558" s="134">
        <f ca="1"/>
        <v>1.2424083875647961E-2</v>
      </c>
      <c r="J558" s="120" t="s">
        <v>3</v>
      </c>
    </row>
    <row r="559" spans="1:10" x14ac:dyDescent="0.25">
      <c r="A559" s="126">
        <v>537</v>
      </c>
      <c r="B559" s="119"/>
      <c r="C559" s="136">
        <f>_xll.mirGetDate(C558,"1D","FOLLOWING",D$12,"NORMAL")</f>
        <v>43196</v>
      </c>
      <c r="D559" s="20">
        <f>_xll.mirGetDate(C559,D$17,"Following",D$12,"Normal")</f>
        <v>43199</v>
      </c>
      <c r="E559" s="134">
        <f ca="1"/>
        <v>9.8465925489233178E-3</v>
      </c>
      <c r="F559" s="7" t="s">
        <v>3</v>
      </c>
      <c r="G559" s="136">
        <f t="shared" si="8"/>
        <v>43196</v>
      </c>
      <c r="H559" s="20">
        <f>_xll.mirGetDate(G559,H$17,"Following",H$12,"Normal")</f>
        <v>43287</v>
      </c>
      <c r="I559" s="134">
        <f ca="1"/>
        <v>1.2431495982136356E-2</v>
      </c>
      <c r="J559" s="120" t="s">
        <v>3</v>
      </c>
    </row>
    <row r="560" spans="1:10" x14ac:dyDescent="0.25">
      <c r="A560" s="126">
        <v>538</v>
      </c>
      <c r="B560" s="119"/>
      <c r="C560" s="136">
        <f>_xll.mirGetDate(C559,"1D","FOLLOWING",D$12,"NORMAL")</f>
        <v>43199</v>
      </c>
      <c r="D560" s="20">
        <f>_xll.mirGetDate(C560,D$17,"Following",D$12,"Normal")</f>
        <v>43200</v>
      </c>
      <c r="E560" s="134">
        <f ca="1"/>
        <v>9.848920895958492E-3</v>
      </c>
      <c r="F560" s="7" t="s">
        <v>3</v>
      </c>
      <c r="G560" s="136">
        <f t="shared" si="8"/>
        <v>43199</v>
      </c>
      <c r="H560" s="20">
        <f>_xll.mirGetDate(G560,H$17,"Following",H$12,"Normal")</f>
        <v>43290</v>
      </c>
      <c r="I560" s="134">
        <f ca="1"/>
        <v>1.245372812652217E-2</v>
      </c>
      <c r="J560" s="120" t="s">
        <v>3</v>
      </c>
    </row>
    <row r="561" spans="1:10" x14ac:dyDescent="0.25">
      <c r="A561" s="126">
        <v>539</v>
      </c>
      <c r="B561" s="119"/>
      <c r="C561" s="136">
        <f>_xll.mirGetDate(C560,"1D","FOLLOWING",D$12,"NORMAL")</f>
        <v>43200</v>
      </c>
      <c r="D561" s="20">
        <f>_xll.mirGetDate(C561,D$17,"Following",D$12,"Normal")</f>
        <v>43201</v>
      </c>
      <c r="E561" s="134">
        <f ca="1"/>
        <v>9.8503129760097244E-3</v>
      </c>
      <c r="F561" s="7" t="s">
        <v>3</v>
      </c>
      <c r="G561" s="136">
        <f t="shared" si="8"/>
        <v>43200</v>
      </c>
      <c r="H561" s="20">
        <f>_xll.mirGetDate(G561,H$17,"Following",H$12,"Normal")</f>
        <v>43291</v>
      </c>
      <c r="I561" s="134">
        <f ca="1"/>
        <v>1.2461136713798384E-2</v>
      </c>
      <c r="J561" s="120" t="s">
        <v>3</v>
      </c>
    </row>
    <row r="562" spans="1:10" x14ac:dyDescent="0.25">
      <c r="A562" s="126">
        <v>540</v>
      </c>
      <c r="B562" s="119"/>
      <c r="C562" s="136">
        <f>_xll.mirGetDate(C561,"1D","FOLLOWING",D$12,"NORMAL")</f>
        <v>43201</v>
      </c>
      <c r="D562" s="20">
        <f>_xll.mirGetDate(C562,D$17,"Following",D$12,"Normal")</f>
        <v>43202</v>
      </c>
      <c r="E562" s="134">
        <f ca="1"/>
        <v>9.8517610165771777E-3</v>
      </c>
      <c r="F562" s="7" t="s">
        <v>3</v>
      </c>
      <c r="G562" s="136">
        <f t="shared" si="8"/>
        <v>43201</v>
      </c>
      <c r="H562" s="20">
        <f>_xll.mirGetDate(G562,H$17,"Following",H$12,"Normal")</f>
        <v>43292</v>
      </c>
      <c r="I562" s="134">
        <f ca="1"/>
        <v>1.2468543869402099E-2</v>
      </c>
      <c r="J562" s="120" t="s">
        <v>3</v>
      </c>
    </row>
    <row r="563" spans="1:10" x14ac:dyDescent="0.25">
      <c r="A563" s="126">
        <v>541</v>
      </c>
      <c r="B563" s="119"/>
      <c r="C563" s="136">
        <f>_xll.mirGetDate(C562,"1D","FOLLOWING",D$12,"NORMAL")</f>
        <v>43202</v>
      </c>
      <c r="D563" s="20">
        <f>_xll.mirGetDate(C563,D$17,"Following",D$12,"Normal")</f>
        <v>43203</v>
      </c>
      <c r="E563" s="134">
        <f ca="1"/>
        <v>9.8532650238159283E-3</v>
      </c>
      <c r="F563" s="7" t="s">
        <v>3</v>
      </c>
      <c r="G563" s="136">
        <f t="shared" si="8"/>
        <v>43202</v>
      </c>
      <c r="H563" s="20">
        <f>_xll.mirGetDate(G563,H$17,"Following",H$12,"Normal")</f>
        <v>43293</v>
      </c>
      <c r="I563" s="134">
        <f ca="1"/>
        <v>1.2475949372585537E-2</v>
      </c>
      <c r="J563" s="120" t="s">
        <v>3</v>
      </c>
    </row>
    <row r="564" spans="1:10" x14ac:dyDescent="0.25">
      <c r="A564" s="126">
        <v>542</v>
      </c>
      <c r="B564" s="119"/>
      <c r="C564" s="136">
        <f>_xll.mirGetDate(C563,"1D","FOLLOWING",D$12,"NORMAL")</f>
        <v>43203</v>
      </c>
      <c r="D564" s="20">
        <f>_xll.mirGetDate(C564,D$17,"Following",D$12,"Normal")</f>
        <v>43206</v>
      </c>
      <c r="E564" s="134">
        <f ca="1"/>
        <v>9.8567294879181935E-3</v>
      </c>
      <c r="F564" s="7" t="s">
        <v>3</v>
      </c>
      <c r="G564" s="136">
        <f t="shared" si="8"/>
        <v>43203</v>
      </c>
      <c r="H564" s="20">
        <f>_xll.mirGetDate(G564,H$17,"Following",H$12,"Normal")</f>
        <v>43294</v>
      </c>
      <c r="I564" s="134">
        <f ca="1"/>
        <v>1.2483353002600913E-2</v>
      </c>
      <c r="J564" s="120" t="s">
        <v>3</v>
      </c>
    </row>
    <row r="565" spans="1:10" x14ac:dyDescent="0.25">
      <c r="A565" s="126">
        <v>543</v>
      </c>
      <c r="B565" s="119"/>
      <c r="C565" s="136">
        <f>_xll.mirGetDate(C564,"1D","FOLLOWING",D$12,"NORMAL")</f>
        <v>43206</v>
      </c>
      <c r="D565" s="20">
        <f>_xll.mirGetDate(C565,D$17,"Following",D$12,"Normal")</f>
        <v>43207</v>
      </c>
      <c r="E565" s="134">
        <f ca="1"/>
        <v>9.8598408431434109E-3</v>
      </c>
      <c r="F565" s="7" t="s">
        <v>3</v>
      </c>
      <c r="G565" s="136">
        <f t="shared" si="8"/>
        <v>43206</v>
      </c>
      <c r="H565" s="20">
        <f>_xll.mirGetDate(G565,H$17,"Following",H$12,"Normal")</f>
        <v>43297</v>
      </c>
      <c r="I565" s="134">
        <f ca="1"/>
        <v>1.2505550446160869E-2</v>
      </c>
      <c r="J565" s="120" t="s">
        <v>3</v>
      </c>
    </row>
    <row r="566" spans="1:10" x14ac:dyDescent="0.25">
      <c r="A566" s="126">
        <v>544</v>
      </c>
      <c r="B566" s="119"/>
      <c r="C566" s="136">
        <f>_xll.mirGetDate(C565,"1D","FOLLOWING",D$12,"NORMAL")</f>
        <v>43207</v>
      </c>
      <c r="D566" s="20">
        <f>_xll.mirGetDate(C566,D$17,"Following",D$12,"Normal")</f>
        <v>43208</v>
      </c>
      <c r="E566" s="134">
        <f ca="1"/>
        <v>9.8616247762262424E-3</v>
      </c>
      <c r="F566" s="7" t="s">
        <v>3</v>
      </c>
      <c r="G566" s="136">
        <f t="shared" si="8"/>
        <v>43207</v>
      </c>
      <c r="H566" s="20">
        <f>_xll.mirGetDate(G566,H$17,"Following",H$12,"Normal")</f>
        <v>43298</v>
      </c>
      <c r="I566" s="134">
        <f ca="1"/>
        <v>1.2512944376026194E-2</v>
      </c>
      <c r="J566" s="120" t="s">
        <v>3</v>
      </c>
    </row>
    <row r="567" spans="1:10" x14ac:dyDescent="0.25">
      <c r="A567" s="126">
        <v>545</v>
      </c>
      <c r="B567" s="119"/>
      <c r="C567" s="136">
        <f>_xll.mirGetDate(C566,"1D","FOLLOWING",D$12,"NORMAL")</f>
        <v>43208</v>
      </c>
      <c r="D567" s="20">
        <f>_xll.mirGetDate(C567,D$17,"Following",D$12,"Normal")</f>
        <v>43209</v>
      </c>
      <c r="E567" s="134">
        <f ca="1"/>
        <v>9.8634647129891909E-3</v>
      </c>
      <c r="F567" s="7" t="s">
        <v>3</v>
      </c>
      <c r="G567" s="136">
        <f t="shared" si="8"/>
        <v>43208</v>
      </c>
      <c r="H567" s="20">
        <f>_xll.mirGetDate(G567,H$17,"Following",H$12,"Normal")</f>
        <v>43299</v>
      </c>
      <c r="I567" s="134">
        <f ca="1"/>
        <v>1.2520335328984552E-2</v>
      </c>
      <c r="J567" s="120" t="s">
        <v>3</v>
      </c>
    </row>
    <row r="568" spans="1:10" x14ac:dyDescent="0.25">
      <c r="A568" s="126">
        <v>546</v>
      </c>
      <c r="B568" s="119"/>
      <c r="C568" s="136">
        <f>_xll.mirGetDate(C567,"1D","FOLLOWING",D$12,"NORMAL")</f>
        <v>43209</v>
      </c>
      <c r="D568" s="20">
        <f>_xll.mirGetDate(C568,D$17,"Following",D$12,"Normal")</f>
        <v>43210</v>
      </c>
      <c r="E568" s="134">
        <f ca="1"/>
        <v>9.8653606594290358E-3</v>
      </c>
      <c r="F568" s="7" t="s">
        <v>3</v>
      </c>
      <c r="G568" s="136">
        <f t="shared" si="8"/>
        <v>43209</v>
      </c>
      <c r="H568" s="20">
        <f>_xll.mirGetDate(G568,H$17,"Following",H$12,"Normal")</f>
        <v>43300</v>
      </c>
      <c r="I568" s="134">
        <f ca="1"/>
        <v>1.2527723084288164E-2</v>
      </c>
      <c r="J568" s="120" t="s">
        <v>3</v>
      </c>
    </row>
    <row r="569" spans="1:10" x14ac:dyDescent="0.25">
      <c r="A569" s="126">
        <v>547</v>
      </c>
      <c r="B569" s="119"/>
      <c r="C569" s="136">
        <f>_xll.mirGetDate(C568,"1D","FOLLOWING",D$12,"NORMAL")</f>
        <v>43210</v>
      </c>
      <c r="D569" s="20">
        <f>_xll.mirGetDate(C569,D$17,"Following",D$12,"Normal")</f>
        <v>43213</v>
      </c>
      <c r="E569" s="134">
        <f ca="1"/>
        <v>9.8696098511741673E-3</v>
      </c>
      <c r="F569" s="7" t="s">
        <v>3</v>
      </c>
      <c r="G569" s="136">
        <f t="shared" si="8"/>
        <v>43210</v>
      </c>
      <c r="H569" s="20">
        <f>_xll.mirGetDate(G569,H$17,"Following",H$12,"Normal")</f>
        <v>43301</v>
      </c>
      <c r="I569" s="134">
        <f ca="1"/>
        <v>1.253510742118925E-2</v>
      </c>
      <c r="J569" s="120" t="s">
        <v>3</v>
      </c>
    </row>
    <row r="570" spans="1:10" x14ac:dyDescent="0.25">
      <c r="A570" s="126">
        <v>548</v>
      </c>
      <c r="B570" s="119"/>
      <c r="C570" s="136">
        <f>_xll.mirGetDate(C569,"1D","FOLLOWING",D$12,"NORMAL")</f>
        <v>43213</v>
      </c>
      <c r="D570" s="20">
        <f>_xll.mirGetDate(C570,D$17,"Following",D$12,"Normal")</f>
        <v>43214</v>
      </c>
      <c r="E570" s="134">
        <f ca="1"/>
        <v>9.8735046663378859E-3</v>
      </c>
      <c r="F570" s="7" t="s">
        <v>3</v>
      </c>
      <c r="G570" s="136">
        <f t="shared" si="8"/>
        <v>43213</v>
      </c>
      <c r="H570" s="20">
        <f>_xll.mirGetDate(G570,H$17,"Following",H$12,"Normal")</f>
        <v>43304</v>
      </c>
      <c r="I570" s="134">
        <f ca="1"/>
        <v>1.2557237713999529E-2</v>
      </c>
      <c r="J570" s="120" t="s">
        <v>3</v>
      </c>
    </row>
    <row r="571" spans="1:10" x14ac:dyDescent="0.25">
      <c r="A571" s="126">
        <v>549</v>
      </c>
      <c r="B571" s="119"/>
      <c r="C571" s="136">
        <f>_xll.mirGetDate(C570,"1D","FOLLOWING",D$12,"NORMAL")</f>
        <v>43214</v>
      </c>
      <c r="D571" s="20">
        <f>_xll.mirGetDate(C571,D$17,"Following",D$12,"Normal")</f>
        <v>43215</v>
      </c>
      <c r="E571" s="134">
        <f ca="1"/>
        <v>9.8756807542077843E-3</v>
      </c>
      <c r="F571" s="7" t="s">
        <v>3</v>
      </c>
      <c r="G571" s="136">
        <f t="shared" si="8"/>
        <v>43214</v>
      </c>
      <c r="H571" s="20">
        <f>_xll.mirGetDate(G571,H$17,"Following",H$12,"Normal")</f>
        <v>43305</v>
      </c>
      <c r="I571" s="134">
        <f ca="1"/>
        <v>1.2564606169812691E-2</v>
      </c>
      <c r="J571" s="120" t="s">
        <v>3</v>
      </c>
    </row>
    <row r="572" spans="1:10" x14ac:dyDescent="0.25">
      <c r="A572" s="126">
        <v>550</v>
      </c>
      <c r="B572" s="119"/>
      <c r="C572" s="136">
        <f>_xll.mirGetDate(C571,"1D","FOLLOWING",D$12,"NORMAL")</f>
        <v>43215</v>
      </c>
      <c r="D572" s="20">
        <f>_xll.mirGetDate(C572,D$17,"Following",D$12,"Normal")</f>
        <v>43216</v>
      </c>
      <c r="E572" s="134">
        <f ca="1"/>
        <v>9.8779128887649739E-3</v>
      </c>
      <c r="F572" s="7" t="s">
        <v>3</v>
      </c>
      <c r="G572" s="136">
        <f t="shared" si="8"/>
        <v>43215</v>
      </c>
      <c r="H572" s="20">
        <f>_xll.mirGetDate(G572,H$17,"Following",H$12,"Normal")</f>
        <v>43306</v>
      </c>
      <c r="I572" s="134">
        <f ca="1"/>
        <v>1.2571970103484421E-2</v>
      </c>
      <c r="J572" s="120" t="s">
        <v>3</v>
      </c>
    </row>
    <row r="573" spans="1:10" x14ac:dyDescent="0.25">
      <c r="A573" s="126">
        <v>551</v>
      </c>
      <c r="B573" s="119"/>
      <c r="C573" s="136">
        <f>_xll.mirGetDate(C572,"1D","FOLLOWING",D$12,"NORMAL")</f>
        <v>43216</v>
      </c>
      <c r="D573" s="20">
        <f>_xll.mirGetDate(C573,D$17,"Following",D$12,"Normal")</f>
        <v>43217</v>
      </c>
      <c r="E573" s="134">
        <f ca="1"/>
        <v>9.8802010764043394E-3</v>
      </c>
      <c r="F573" s="7" t="s">
        <v>3</v>
      </c>
      <c r="G573" s="136">
        <f t="shared" si="8"/>
        <v>43216</v>
      </c>
      <c r="H573" s="20">
        <f>_xll.mirGetDate(G573,H$17,"Following",H$12,"Normal")</f>
        <v>43307</v>
      </c>
      <c r="I573" s="134">
        <f ca="1"/>
        <v>1.2579329294266939E-2</v>
      </c>
      <c r="J573" s="120" t="s">
        <v>3</v>
      </c>
    </row>
    <row r="574" spans="1:10" x14ac:dyDescent="0.25">
      <c r="A574" s="126">
        <v>552</v>
      </c>
      <c r="B574" s="119"/>
      <c r="C574" s="136">
        <f>_xll.mirGetDate(C573,"1D","FOLLOWING",D$12,"NORMAL")</f>
        <v>43217</v>
      </c>
      <c r="D574" s="20">
        <f>_xll.mirGetDate(C574,D$17,"Following",D$12,"Normal")</f>
        <v>43220</v>
      </c>
      <c r="E574" s="134">
        <f ca="1"/>
        <v>9.8852357519607983E-3</v>
      </c>
      <c r="F574" s="7" t="s">
        <v>3</v>
      </c>
      <c r="G574" s="136">
        <f t="shared" si="8"/>
        <v>43217</v>
      </c>
      <c r="H574" s="20">
        <f>_xll.mirGetDate(G574,H$17,"Following",H$12,"Normal")</f>
        <v>43308</v>
      </c>
      <c r="I574" s="134">
        <f ca="1"/>
        <v>1.258668352141246E-2</v>
      </c>
      <c r="J574" s="120" t="s">
        <v>3</v>
      </c>
    </row>
    <row r="575" spans="1:10" x14ac:dyDescent="0.25">
      <c r="A575" s="126">
        <v>553</v>
      </c>
      <c r="B575" s="119"/>
      <c r="C575" s="136">
        <f>_xll.mirGetDate(C574,"1D","FOLLOWING",D$12,"NORMAL")</f>
        <v>43220</v>
      </c>
      <c r="D575" s="20">
        <f>_xll.mirGetDate(C575,D$17,"Following",D$12,"Normal")</f>
        <v>43221</v>
      </c>
      <c r="E575" s="134">
        <f ca="1"/>
        <v>9.889914480405472E-3</v>
      </c>
      <c r="F575" s="7" t="s">
        <v>3</v>
      </c>
      <c r="G575" s="136">
        <f t="shared" si="8"/>
        <v>43220</v>
      </c>
      <c r="H575" s="20">
        <f>_xll.mirGetDate(G575,H$17,"Following",H$12,"Normal")</f>
        <v>43311</v>
      </c>
      <c r="I575" s="134">
        <f ca="1"/>
        <v>1.2608714213549239E-2</v>
      </c>
      <c r="J575" s="120" t="s">
        <v>3</v>
      </c>
    </row>
    <row r="576" spans="1:10" x14ac:dyDescent="0.25">
      <c r="A576" s="126">
        <v>554</v>
      </c>
      <c r="B576" s="119"/>
      <c r="C576" s="136">
        <f>_xll.mirGetDate(C575,"1D","FOLLOWING",D$12,"NORMAL")</f>
        <v>43221</v>
      </c>
      <c r="D576" s="20">
        <f>_xll.mirGetDate(C576,D$17,"Following",D$12,"Normal")</f>
        <v>43222</v>
      </c>
      <c r="E576" s="134">
        <f ca="1"/>
        <v>9.8924830258617993E-3</v>
      </c>
      <c r="F576" s="7" t="s">
        <v>3</v>
      </c>
      <c r="G576" s="136">
        <f t="shared" si="8"/>
        <v>43221</v>
      </c>
      <c r="H576" s="20">
        <f>_xll.mirGetDate(G576,H$17,"Following",H$12,"Normal")</f>
        <v>43313</v>
      </c>
      <c r="I576" s="134">
        <f ca="1"/>
        <v>1.2616046378668968E-2</v>
      </c>
      <c r="J576" s="120" t="s">
        <v>3</v>
      </c>
    </row>
    <row r="577" spans="1:10" x14ac:dyDescent="0.25">
      <c r="A577" s="126">
        <v>555</v>
      </c>
      <c r="B577" s="119"/>
      <c r="C577" s="136">
        <f>_xll.mirGetDate(C576,"1D","FOLLOWING",D$12,"NORMAL")</f>
        <v>43222</v>
      </c>
      <c r="D577" s="20">
        <f>_xll.mirGetDate(C577,D$17,"Following",D$12,"Normal")</f>
        <v>43223</v>
      </c>
      <c r="E577" s="134">
        <f ca="1"/>
        <v>9.8951076614106973E-3</v>
      </c>
      <c r="F577" s="7" t="s">
        <v>3</v>
      </c>
      <c r="G577" s="136">
        <f t="shared" si="8"/>
        <v>43222</v>
      </c>
      <c r="H577" s="20">
        <f>_xll.mirGetDate(G577,H$17,"Following",H$12,"Normal")</f>
        <v>43314</v>
      </c>
      <c r="I577" s="134">
        <f ca="1"/>
        <v>1.2623372476412799E-2</v>
      </c>
      <c r="J577" s="120" t="s">
        <v>3</v>
      </c>
    </row>
    <row r="578" spans="1:10" x14ac:dyDescent="0.25">
      <c r="A578" s="126">
        <v>556</v>
      </c>
      <c r="B578" s="119"/>
      <c r="C578" s="136">
        <f>_xll.mirGetDate(C577,"1D","FOLLOWING",D$12,"NORMAL")</f>
        <v>43223</v>
      </c>
      <c r="D578" s="20">
        <f>_xll.mirGetDate(C578,D$17,"Following",D$12,"Normal")</f>
        <v>43224</v>
      </c>
      <c r="E578" s="134">
        <f ca="1"/>
        <v>9.8977883932871782E-3</v>
      </c>
      <c r="F578" s="7" t="s">
        <v>3</v>
      </c>
      <c r="G578" s="136">
        <f t="shared" si="8"/>
        <v>43223</v>
      </c>
      <c r="H578" s="20">
        <f>_xll.mirGetDate(G578,H$17,"Following",H$12,"Normal")</f>
        <v>43315</v>
      </c>
      <c r="I578" s="134">
        <f ca="1"/>
        <v>1.2630692286032945E-2</v>
      </c>
      <c r="J578" s="120" t="s">
        <v>3</v>
      </c>
    </row>
    <row r="579" spans="1:10" x14ac:dyDescent="0.25">
      <c r="A579" s="126">
        <v>557</v>
      </c>
      <c r="B579" s="119"/>
      <c r="C579" s="136">
        <f>_xll.mirGetDate(C578,"1D","FOLLOWING",D$12,"NORMAL")</f>
        <v>43224</v>
      </c>
      <c r="D579" s="20">
        <f>_xll.mirGetDate(C579,D$17,"Following",D$12,"Normal")</f>
        <v>43227</v>
      </c>
      <c r="E579" s="134">
        <f ca="1"/>
        <v>9.9036093122606764E-3</v>
      </c>
      <c r="F579" s="7" t="s">
        <v>3</v>
      </c>
      <c r="G579" s="136">
        <f t="shared" si="8"/>
        <v>43224</v>
      </c>
      <c r="H579" s="20">
        <f>_xll.mirGetDate(G579,H$17,"Following",H$12,"Normal")</f>
        <v>43318</v>
      </c>
      <c r="I579" s="134">
        <f ca="1"/>
        <v>1.2638005586781628E-2</v>
      </c>
      <c r="J579" s="120" t="s">
        <v>3</v>
      </c>
    </row>
    <row r="580" spans="1:10" x14ac:dyDescent="0.25">
      <c r="A580" s="126">
        <v>558</v>
      </c>
      <c r="B580" s="119"/>
      <c r="C580" s="136">
        <f>_xll.mirGetDate(C579,"1D","FOLLOWING",D$12,"NORMAL")</f>
        <v>43227</v>
      </c>
      <c r="D580" s="20">
        <f>_xll.mirGetDate(C580,D$17,"Following",D$12,"Normal")</f>
        <v>43228</v>
      </c>
      <c r="E580" s="134">
        <f ca="1"/>
        <v>9.9090724093287355E-3</v>
      </c>
      <c r="F580" s="7" t="s">
        <v>3</v>
      </c>
      <c r="G580" s="136">
        <f t="shared" si="8"/>
        <v>43227</v>
      </c>
      <c r="H580" s="20">
        <f>_xll.mirGetDate(G580,H$17,"Following",H$12,"Normal")</f>
        <v>43319</v>
      </c>
      <c r="I580" s="134">
        <f ca="1"/>
        <v>1.2659904228321093E-2</v>
      </c>
      <c r="J580" s="120" t="s">
        <v>3</v>
      </c>
    </row>
    <row r="581" spans="1:10" x14ac:dyDescent="0.25">
      <c r="A581" s="126">
        <v>559</v>
      </c>
      <c r="B581" s="119"/>
      <c r="C581" s="136">
        <f>_xll.mirGetDate(C580,"1D","FOLLOWING",D$12,"NORMAL")</f>
        <v>43228</v>
      </c>
      <c r="D581" s="20">
        <f>_xll.mirGetDate(C581,D$17,"Following",D$12,"Normal")</f>
        <v>43229</v>
      </c>
      <c r="E581" s="134">
        <f ca="1"/>
        <v>9.9120337165281916E-3</v>
      </c>
      <c r="F581" s="7" t="s">
        <v>3</v>
      </c>
      <c r="G581" s="136">
        <f t="shared" si="8"/>
        <v>43228</v>
      </c>
      <c r="H581" s="20">
        <f>_xll.mirGetDate(G581,H$17,"Following",H$12,"Normal")</f>
        <v>43320</v>
      </c>
      <c r="I581" s="134">
        <f ca="1"/>
        <v>1.2667189286106115E-2</v>
      </c>
      <c r="J581" s="120" t="s">
        <v>3</v>
      </c>
    </row>
    <row r="582" spans="1:10" x14ac:dyDescent="0.25">
      <c r="A582" s="126">
        <v>560</v>
      </c>
      <c r="B582" s="119"/>
      <c r="C582" s="136">
        <f>_xll.mirGetDate(C581,"1D","FOLLOWING",D$12,"NORMAL")</f>
        <v>43229</v>
      </c>
      <c r="D582" s="20">
        <f>_xll.mirGetDate(C582,D$17,"Following",D$12,"Normal")</f>
        <v>43230</v>
      </c>
      <c r="E582" s="134">
        <f ca="1"/>
        <v>9.9150511574653058E-3</v>
      </c>
      <c r="F582" s="7" t="s">
        <v>3</v>
      </c>
      <c r="G582" s="136">
        <f t="shared" si="8"/>
        <v>43229</v>
      </c>
      <c r="H582" s="20">
        <f>_xll.mirGetDate(G582,H$17,"Following",H$12,"Normal")</f>
        <v>43321</v>
      </c>
      <c r="I582" s="134">
        <f ca="1"/>
        <v>1.2674466731280769E-2</v>
      </c>
      <c r="J582" s="120" t="s">
        <v>3</v>
      </c>
    </row>
    <row r="583" spans="1:10" x14ac:dyDescent="0.25">
      <c r="A583" s="126">
        <v>561</v>
      </c>
      <c r="B583" s="119"/>
      <c r="C583" s="136">
        <f>_xll.mirGetDate(C582,"1D","FOLLOWING",D$12,"NORMAL")</f>
        <v>43230</v>
      </c>
      <c r="D583" s="20">
        <f>_xll.mirGetDate(C583,D$17,"Following",D$12,"Normal")</f>
        <v>43231</v>
      </c>
      <c r="E583" s="134">
        <f ca="1"/>
        <v>9.9181247384550267E-3</v>
      </c>
      <c r="F583" s="7" t="s">
        <v>3</v>
      </c>
      <c r="G583" s="136">
        <f t="shared" si="8"/>
        <v>43230</v>
      </c>
      <c r="H583" s="20">
        <f>_xll.mirGetDate(G583,H$17,"Following",H$12,"Normal")</f>
        <v>43322</v>
      </c>
      <c r="I583" s="134">
        <f ca="1"/>
        <v>1.2681736343097274E-2</v>
      </c>
      <c r="J583" s="120" t="s">
        <v>3</v>
      </c>
    </row>
    <row r="584" spans="1:10" x14ac:dyDescent="0.25">
      <c r="A584" s="126">
        <v>562</v>
      </c>
      <c r="B584" s="119"/>
      <c r="C584" s="136">
        <f>_xll.mirGetDate(C583,"1D","FOLLOWING",D$12,"NORMAL")</f>
        <v>43231</v>
      </c>
      <c r="D584" s="20">
        <f>_xll.mirGetDate(C584,D$17,"Following",D$12,"Normal")</f>
        <v>43234</v>
      </c>
      <c r="E584" s="134">
        <f ca="1"/>
        <v>9.9247326643681424E-3</v>
      </c>
      <c r="F584" s="7" t="s">
        <v>3</v>
      </c>
      <c r="G584" s="136">
        <f t="shared" si="8"/>
        <v>43231</v>
      </c>
      <c r="H584" s="20">
        <f>_xll.mirGetDate(G584,H$17,"Following",H$12,"Normal")</f>
        <v>43325</v>
      </c>
      <c r="I584" s="134">
        <f ca="1"/>
        <v>1.2688997900807851E-2</v>
      </c>
      <c r="J584" s="120" t="s">
        <v>3</v>
      </c>
    </row>
    <row r="585" spans="1:10" x14ac:dyDescent="0.25">
      <c r="A585" s="126">
        <v>563</v>
      </c>
      <c r="B585" s="119"/>
      <c r="C585" s="136">
        <f>_xll.mirGetDate(C584,"1D","FOLLOWING",D$12,"NORMAL")</f>
        <v>43234</v>
      </c>
      <c r="D585" s="20">
        <f>_xll.mirGetDate(C585,D$17,"Following",D$12,"Normal")</f>
        <v>43235</v>
      </c>
      <c r="E585" s="134">
        <f ca="1"/>
        <v>9.930980587480355E-3</v>
      </c>
      <c r="F585" s="7" t="s">
        <v>3</v>
      </c>
      <c r="G585" s="136">
        <f t="shared" si="8"/>
        <v>43234</v>
      </c>
      <c r="H585" s="20">
        <f>_xll.mirGetDate(G585,H$17,"Following",H$12,"Normal")</f>
        <v>43326</v>
      </c>
      <c r="I585" s="134">
        <f ca="1"/>
        <v>1.2710732041826179E-2</v>
      </c>
      <c r="J585" s="120" t="s">
        <v>3</v>
      </c>
    </row>
    <row r="586" spans="1:10" x14ac:dyDescent="0.25">
      <c r="A586" s="126">
        <v>564</v>
      </c>
      <c r="B586" s="119"/>
      <c r="C586" s="136">
        <f>_xll.mirGetDate(C585,"1D","FOLLOWING",D$12,"NORMAL")</f>
        <v>43235</v>
      </c>
      <c r="D586" s="20">
        <f>_xll.mirGetDate(C586,D$17,"Following",D$12,"Normal")</f>
        <v>43236</v>
      </c>
      <c r="E586" s="134">
        <f ca="1"/>
        <v>9.9343349623382329E-3</v>
      </c>
      <c r="F586" s="7" t="s">
        <v>3</v>
      </c>
      <c r="G586" s="136">
        <f t="shared" si="8"/>
        <v>43235</v>
      </c>
      <c r="H586" s="20">
        <f>_xll.mirGetDate(G586,H$17,"Following",H$12,"Normal")</f>
        <v>43327</v>
      </c>
      <c r="I586" s="134">
        <f ca="1"/>
        <v>1.2717959175635221E-2</v>
      </c>
      <c r="J586" s="120" t="s">
        <v>3</v>
      </c>
    </row>
    <row r="587" spans="1:10" x14ac:dyDescent="0.25">
      <c r="A587" s="126">
        <v>565</v>
      </c>
      <c r="B587" s="119"/>
      <c r="C587" s="136">
        <f>_xll.mirGetDate(C586,"1D","FOLLOWING",D$12,"NORMAL")</f>
        <v>43236</v>
      </c>
      <c r="D587" s="20">
        <f>_xll.mirGetDate(C587,D$17,"Following",D$12,"Normal")</f>
        <v>43237</v>
      </c>
      <c r="E587" s="134">
        <f ca="1"/>
        <v>9.9377455148186647E-3</v>
      </c>
      <c r="F587" s="7" t="s">
        <v>3</v>
      </c>
      <c r="G587" s="136">
        <f t="shared" si="8"/>
        <v>43236</v>
      </c>
      <c r="H587" s="20">
        <f>_xll.mirGetDate(G587,H$17,"Following",H$12,"Normal")</f>
        <v>43328</v>
      </c>
      <c r="I587" s="134">
        <f ca="1"/>
        <v>1.2725177151599428E-2</v>
      </c>
      <c r="J587" s="120" t="s">
        <v>3</v>
      </c>
    </row>
    <row r="588" spans="1:10" x14ac:dyDescent="0.25">
      <c r="A588" s="126">
        <v>566</v>
      </c>
      <c r="B588" s="119"/>
      <c r="C588" s="136">
        <f>_xll.mirGetDate(C587,"1D","FOLLOWING",D$12,"NORMAL")</f>
        <v>43237</v>
      </c>
      <c r="D588" s="20">
        <f>_xll.mirGetDate(C588,D$17,"Following",D$12,"Normal")</f>
        <v>43238</v>
      </c>
      <c r="E588" s="134">
        <f ca="1"/>
        <v>9.9412122512365989E-3</v>
      </c>
      <c r="F588" s="7" t="s">
        <v>3</v>
      </c>
      <c r="G588" s="136">
        <f t="shared" si="8"/>
        <v>43237</v>
      </c>
      <c r="H588" s="20">
        <f>_xll.mirGetDate(G588,H$17,"Following",H$12,"Normal")</f>
        <v>43329</v>
      </c>
      <c r="I588" s="134">
        <f ca="1"/>
        <v>1.2732385748971018E-2</v>
      </c>
      <c r="J588" s="120" t="s">
        <v>3</v>
      </c>
    </row>
    <row r="589" spans="1:10" x14ac:dyDescent="0.25">
      <c r="A589" s="126">
        <v>567</v>
      </c>
      <c r="B589" s="119"/>
      <c r="C589" s="136">
        <f>_xll.mirGetDate(C588,"1D","FOLLOWING",D$12,"NORMAL")</f>
        <v>43238</v>
      </c>
      <c r="D589" s="20">
        <f>_xll.mirGetDate(C589,D$17,"Following",D$12,"Normal")</f>
        <v>43241</v>
      </c>
      <c r="E589" s="134">
        <f ca="1"/>
        <v>9.9486079523814289E-3</v>
      </c>
      <c r="F589" s="7" t="s">
        <v>3</v>
      </c>
      <c r="G589" s="136">
        <f t="shared" si="8"/>
        <v>43238</v>
      </c>
      <c r="H589" s="20">
        <f>_xll.mirGetDate(G589,H$17,"Following",H$12,"Normal")</f>
        <v>43332</v>
      </c>
      <c r="I589" s="134">
        <f ca="1"/>
        <v>1.273958474700221E-2</v>
      </c>
      <c r="J589" s="120" t="s">
        <v>3</v>
      </c>
    </row>
    <row r="590" spans="1:10" x14ac:dyDescent="0.25">
      <c r="A590" s="126">
        <v>568</v>
      </c>
      <c r="B590" s="119"/>
      <c r="C590" s="136">
        <f>_xll.mirGetDate(C589,"1D","FOLLOWING",D$12,"NORMAL")</f>
        <v>43241</v>
      </c>
      <c r="D590" s="20">
        <f>_xll.mirGetDate(C590,D$17,"Following",D$12,"Normal")</f>
        <v>43242</v>
      </c>
      <c r="E590" s="134">
        <f ca="1"/>
        <v>9.9556411614632259E-3</v>
      </c>
      <c r="F590" s="7" t="s">
        <v>3</v>
      </c>
      <c r="G590" s="136">
        <f t="shared" si="8"/>
        <v>43241</v>
      </c>
      <c r="H590" s="20">
        <f>_xll.mirGetDate(G590,H$17,"Following",H$12,"Normal")</f>
        <v>43333</v>
      </c>
      <c r="I590" s="134">
        <f ca="1"/>
        <v>1.2761121937575589E-2</v>
      </c>
      <c r="J590" s="120" t="s">
        <v>3</v>
      </c>
    </row>
    <row r="591" spans="1:10" x14ac:dyDescent="0.25">
      <c r="A591" s="126">
        <v>569</v>
      </c>
      <c r="B591" s="119"/>
      <c r="C591" s="136">
        <f>_xll.mirGetDate(C590,"1D","FOLLOWING",D$12,"NORMAL")</f>
        <v>43242</v>
      </c>
      <c r="D591" s="20">
        <f>_xll.mirGetDate(C591,D$17,"Following",D$12,"Normal")</f>
        <v>43243</v>
      </c>
      <c r="E591" s="134">
        <f ca="1"/>
        <v>9.9593889118132842E-3</v>
      </c>
      <c r="F591" s="7" t="s">
        <v>3</v>
      </c>
      <c r="G591" s="136">
        <f t="shared" si="8"/>
        <v>43242</v>
      </c>
      <c r="H591" s="20">
        <f>_xll.mirGetDate(G591,H$17,"Following",H$12,"Normal")</f>
        <v>43334</v>
      </c>
      <c r="I591" s="134">
        <f ca="1"/>
        <v>1.276828033076738E-2</v>
      </c>
      <c r="J591" s="120" t="s">
        <v>3</v>
      </c>
    </row>
    <row r="592" spans="1:10" x14ac:dyDescent="0.25">
      <c r="A592" s="126">
        <v>570</v>
      </c>
      <c r="B592" s="119"/>
      <c r="C592" s="136">
        <f>_xll.mirGetDate(C591,"1D","FOLLOWING",D$12,"NORMAL")</f>
        <v>43243</v>
      </c>
      <c r="D592" s="20">
        <f>_xll.mirGetDate(C592,D$17,"Following",D$12,"Normal")</f>
        <v>43244</v>
      </c>
      <c r="E592" s="134">
        <f ca="1"/>
        <v>9.9622052395443098E-3</v>
      </c>
      <c r="F592" s="7" t="s">
        <v>3</v>
      </c>
      <c r="G592" s="136">
        <f t="shared" si="8"/>
        <v>43243</v>
      </c>
      <c r="H592" s="20">
        <f>_xll.mirGetDate(G592,H$17,"Following",H$12,"Normal")</f>
        <v>43335</v>
      </c>
      <c r="I592" s="134">
        <f ca="1"/>
        <v>1.2775428020879864E-2</v>
      </c>
      <c r="J592" s="120" t="s">
        <v>3</v>
      </c>
    </row>
    <row r="593" spans="1:10" x14ac:dyDescent="0.25">
      <c r="A593" s="126">
        <v>571</v>
      </c>
      <c r="B593" s="119"/>
      <c r="C593" s="136">
        <f>_xll.mirGetDate(C592,"1D","FOLLOWING",D$12,"NORMAL")</f>
        <v>43244</v>
      </c>
      <c r="D593" s="20">
        <f>_xll.mirGetDate(C593,D$17,"Following",D$12,"Normal")</f>
        <v>43245</v>
      </c>
      <c r="E593" s="134">
        <f ca="1"/>
        <v>9.9640602042061835E-3</v>
      </c>
      <c r="F593" s="7" t="s">
        <v>3</v>
      </c>
      <c r="G593" s="136">
        <f t="shared" si="8"/>
        <v>43244</v>
      </c>
      <c r="H593" s="20">
        <f>_xll.mirGetDate(G593,H$17,"Following",H$12,"Normal")</f>
        <v>43336</v>
      </c>
      <c r="I593" s="134">
        <f ca="1"/>
        <v>1.2782570285870107E-2</v>
      </c>
      <c r="J593" s="120" t="s">
        <v>3</v>
      </c>
    </row>
    <row r="594" spans="1:10" x14ac:dyDescent="0.25">
      <c r="A594" s="126">
        <v>572</v>
      </c>
      <c r="B594" s="119"/>
      <c r="C594" s="136">
        <f>_xll.mirGetDate(C593,"1D","FOLLOWING",D$12,"NORMAL")</f>
        <v>43245</v>
      </c>
      <c r="D594" s="20">
        <f>_xll.mirGetDate(C594,D$17,"Following",D$12,"Normal")</f>
        <v>43249</v>
      </c>
      <c r="E594" s="134">
        <f ca="1"/>
        <v>9.9691682479141966E-3</v>
      </c>
      <c r="F594" s="7" t="s">
        <v>3</v>
      </c>
      <c r="G594" s="136">
        <f t="shared" si="8"/>
        <v>43245</v>
      </c>
      <c r="H594" s="20">
        <f>_xll.mirGetDate(G594,H$17,"Following",H$12,"Normal")</f>
        <v>43339</v>
      </c>
      <c r="I594" s="134">
        <f ca="1"/>
        <v>1.278971255005377E-2</v>
      </c>
      <c r="J594" s="120" t="s">
        <v>3</v>
      </c>
    </row>
    <row r="595" spans="1:10" x14ac:dyDescent="0.25">
      <c r="A595" s="126">
        <v>573</v>
      </c>
      <c r="B595" s="119"/>
      <c r="C595" s="136">
        <f>_xll.mirGetDate(C594,"1D","FOLLOWING",D$12,"NORMAL")</f>
        <v>43249</v>
      </c>
      <c r="D595" s="20">
        <f>_xll.mirGetDate(C595,D$17,"Following",D$12,"Normal")</f>
        <v>43250</v>
      </c>
      <c r="E595" s="134">
        <f ca="1"/>
        <v>9.9735047107430211E-3</v>
      </c>
      <c r="F595" s="7" t="s">
        <v>3</v>
      </c>
      <c r="G595" s="136">
        <f t="shared" si="8"/>
        <v>43249</v>
      </c>
      <c r="H595" s="20">
        <f>_xll.mirGetDate(G595,H$17,"Following",H$12,"Normal")</f>
        <v>43341</v>
      </c>
      <c r="I595" s="134">
        <f ca="1"/>
        <v>1.2818273862234759E-2</v>
      </c>
      <c r="J595" s="120" t="s">
        <v>3</v>
      </c>
    </row>
    <row r="596" spans="1:10" x14ac:dyDescent="0.25">
      <c r="A596" s="126">
        <v>574</v>
      </c>
      <c r="B596" s="119"/>
      <c r="C596" s="136">
        <f>_xll.mirGetDate(C595,"1D","FOLLOWING",D$12,"NORMAL")</f>
        <v>43250</v>
      </c>
      <c r="D596" s="20">
        <f>_xll.mirGetDate(C596,D$17,"Following",D$12,"Normal")</f>
        <v>43251</v>
      </c>
      <c r="E596" s="134">
        <f ca="1"/>
        <v>9.975427557584772E-3</v>
      </c>
      <c r="F596" s="7" t="s">
        <v>3</v>
      </c>
      <c r="G596" s="136">
        <f t="shared" si="8"/>
        <v>43250</v>
      </c>
      <c r="H596" s="20">
        <f>_xll.mirGetDate(G596,H$17,"Following",H$12,"Normal")</f>
        <v>43342</v>
      </c>
      <c r="I596" s="134">
        <f ca="1"/>
        <v>1.2825409164995324E-2</v>
      </c>
      <c r="J596" s="120" t="s">
        <v>3</v>
      </c>
    </row>
    <row r="597" spans="1:10" x14ac:dyDescent="0.25">
      <c r="A597" s="126">
        <v>575</v>
      </c>
      <c r="B597" s="119"/>
      <c r="C597" s="136">
        <f>_xll.mirGetDate(C596,"1D","FOLLOWING",D$12,"NORMAL")</f>
        <v>43251</v>
      </c>
      <c r="D597" s="20">
        <f>_xll.mirGetDate(C597,D$17,"Following",D$12,"Normal")</f>
        <v>43252</v>
      </c>
      <c r="E597" s="134">
        <f ca="1"/>
        <v>9.9773617224914127E-3</v>
      </c>
      <c r="F597" s="7" t="s">
        <v>3</v>
      </c>
      <c r="G597" s="136">
        <f t="shared" si="8"/>
        <v>43251</v>
      </c>
      <c r="H597" s="20">
        <f>_xll.mirGetDate(G597,H$17,"Following",H$12,"Normal")</f>
        <v>43343</v>
      </c>
      <c r="I597" s="134">
        <f ca="1"/>
        <v>1.283254120031947E-2</v>
      </c>
      <c r="J597" s="120" t="s">
        <v>3</v>
      </c>
    </row>
    <row r="598" spans="1:10" x14ac:dyDescent="0.25">
      <c r="A598" s="126">
        <v>576</v>
      </c>
      <c r="B598" s="119"/>
      <c r="C598" s="136">
        <f>_xll.mirGetDate(C597,"1D","FOLLOWING",D$12,"NORMAL")</f>
        <v>43252</v>
      </c>
      <c r="D598" s="20">
        <f>_xll.mirGetDate(C598,D$17,"Following",D$12,"Normal")</f>
        <v>43255</v>
      </c>
      <c r="E598" s="134">
        <f ca="1"/>
        <v>9.9815445264628613E-3</v>
      </c>
      <c r="F598" s="7" t="s">
        <v>3</v>
      </c>
      <c r="G598" s="136">
        <f t="shared" si="8"/>
        <v>43252</v>
      </c>
      <c r="H598" s="20">
        <f>_xll.mirGetDate(G598,H$17,"Following",H$12,"Normal")</f>
        <v>43347</v>
      </c>
      <c r="I598" s="134">
        <f ca="1"/>
        <v>1.2839669339545924E-2</v>
      </c>
      <c r="J598" s="120" t="s">
        <v>3</v>
      </c>
    </row>
    <row r="599" spans="1:10" x14ac:dyDescent="0.25">
      <c r="A599" s="126">
        <v>577</v>
      </c>
      <c r="B599" s="119"/>
      <c r="C599" s="136">
        <f>_xll.mirGetDate(C598,"1D","FOLLOWING",D$12,"NORMAL")</f>
        <v>43255</v>
      </c>
      <c r="D599" s="20">
        <f>_xll.mirGetDate(C599,D$17,"Following",D$12,"Normal")</f>
        <v>43256</v>
      </c>
      <c r="E599" s="134">
        <f ca="1"/>
        <v>9.98521158908975E-3</v>
      </c>
      <c r="F599" s="7" t="s">
        <v>3</v>
      </c>
      <c r="G599" s="136">
        <f t="shared" si="8"/>
        <v>43255</v>
      </c>
      <c r="H599" s="20">
        <f>_xll.mirGetDate(G599,H$17,"Following",H$12,"Normal")</f>
        <v>43347</v>
      </c>
      <c r="I599" s="134">
        <f ca="1"/>
        <v>1.2861024094026402E-2</v>
      </c>
      <c r="J599" s="120" t="s">
        <v>3</v>
      </c>
    </row>
    <row r="600" spans="1:10" x14ac:dyDescent="0.25">
      <c r="A600" s="126">
        <v>578</v>
      </c>
      <c r="B600" s="119"/>
      <c r="C600" s="136">
        <f>_xll.mirGetDate(C599,"1D","FOLLOWING",D$12,"NORMAL")</f>
        <v>43256</v>
      </c>
      <c r="D600" s="20">
        <f>_xll.mirGetDate(C600,D$17,"Following",D$12,"Normal")</f>
        <v>43257</v>
      </c>
      <c r="E600" s="134">
        <f ca="1"/>
        <v>9.9872023639147392E-3</v>
      </c>
      <c r="F600" s="7" t="s">
        <v>3</v>
      </c>
      <c r="G600" s="136">
        <f t="shared" ref="G600:G663" si="9">$C600</f>
        <v>43256</v>
      </c>
      <c r="H600" s="20">
        <f>_xll.mirGetDate(G600,H$17,"Following",H$12,"Normal")</f>
        <v>43348</v>
      </c>
      <c r="I600" s="134">
        <f ca="1"/>
        <v>1.2868130362249352E-2</v>
      </c>
      <c r="J600" s="120" t="s">
        <v>3</v>
      </c>
    </row>
    <row r="601" spans="1:10" x14ac:dyDescent="0.25">
      <c r="A601" s="126">
        <v>579</v>
      </c>
      <c r="B601" s="119"/>
      <c r="C601" s="136">
        <f>_xll.mirGetDate(C600,"1D","FOLLOWING",D$12,"NORMAL")</f>
        <v>43257</v>
      </c>
      <c r="D601" s="20">
        <f>_xll.mirGetDate(C601,D$17,"Following",D$12,"Normal")</f>
        <v>43258</v>
      </c>
      <c r="E601" s="134">
        <f ca="1"/>
        <v>9.9892044644001379E-3</v>
      </c>
      <c r="F601" s="7" t="s">
        <v>3</v>
      </c>
      <c r="G601" s="136">
        <f t="shared" si="9"/>
        <v>43257</v>
      </c>
      <c r="H601" s="20">
        <f>_xll.mirGetDate(G601,H$17,"Following",H$12,"Normal")</f>
        <v>43349</v>
      </c>
      <c r="I601" s="134">
        <f ca="1"/>
        <v>1.2875229591068245E-2</v>
      </c>
      <c r="J601" s="120" t="s">
        <v>3</v>
      </c>
    </row>
    <row r="602" spans="1:10" x14ac:dyDescent="0.25">
      <c r="A602" s="126">
        <v>580</v>
      </c>
      <c r="B602" s="119"/>
      <c r="C602" s="136">
        <f>_xll.mirGetDate(C601,"1D","FOLLOWING",D$12,"NORMAL")</f>
        <v>43258</v>
      </c>
      <c r="D602" s="20">
        <f>_xll.mirGetDate(C602,D$17,"Following",D$12,"Normal")</f>
        <v>43259</v>
      </c>
      <c r="E602" s="134">
        <f ca="1"/>
        <v>9.9912178921446673E-3</v>
      </c>
      <c r="F602" s="7" t="s">
        <v>3</v>
      </c>
      <c r="G602" s="136">
        <f t="shared" si="9"/>
        <v>43258</v>
      </c>
      <c r="H602" s="20">
        <f>_xll.mirGetDate(G602,H$17,"Following",H$12,"Normal")</f>
        <v>43350</v>
      </c>
      <c r="I602" s="134">
        <f ca="1"/>
        <v>1.2882321151821807E-2</v>
      </c>
      <c r="J602" s="120" t="s">
        <v>3</v>
      </c>
    </row>
    <row r="603" spans="1:10" x14ac:dyDescent="0.25">
      <c r="A603" s="126">
        <v>581</v>
      </c>
      <c r="B603" s="119"/>
      <c r="C603" s="136">
        <f>_xll.mirGetDate(C602,"1D","FOLLOWING",D$12,"NORMAL")</f>
        <v>43259</v>
      </c>
      <c r="D603" s="20">
        <f>_xll.mirGetDate(C603,D$17,"Following",D$12,"Normal")</f>
        <v>43262</v>
      </c>
      <c r="E603" s="134">
        <f ca="1"/>
        <v>9.9955600292212302E-3</v>
      </c>
      <c r="F603" s="7" t="s">
        <v>3</v>
      </c>
      <c r="G603" s="136">
        <f t="shared" si="9"/>
        <v>43259</v>
      </c>
      <c r="H603" s="20">
        <f>_xll.mirGetDate(G603,H$17,"Following",H$12,"Normal")</f>
        <v>43353</v>
      </c>
      <c r="I603" s="134">
        <f ca="1"/>
        <v>1.288940441584876E-2</v>
      </c>
      <c r="J603" s="120" t="s">
        <v>3</v>
      </c>
    </row>
    <row r="604" spans="1:10" x14ac:dyDescent="0.25">
      <c r="A604" s="126">
        <v>582</v>
      </c>
      <c r="B604" s="119"/>
      <c r="C604" s="136">
        <f>_xll.mirGetDate(C603,"1D","FOLLOWING",D$12,"NORMAL")</f>
        <v>43262</v>
      </c>
      <c r="D604" s="20">
        <f>_xll.mirGetDate(C604,D$17,"Following",D$12,"Normal")</f>
        <v>43263</v>
      </c>
      <c r="E604" s="134">
        <f ca="1"/>
        <v>9.9993848993751647E-3</v>
      </c>
      <c r="F604" s="7" t="s">
        <v>3</v>
      </c>
      <c r="G604" s="136">
        <f t="shared" si="9"/>
        <v>43262</v>
      </c>
      <c r="H604" s="20">
        <f>_xll.mirGetDate(G604,H$17,"Following",H$12,"Normal")</f>
        <v>43354</v>
      </c>
      <c r="I604" s="134">
        <f ca="1"/>
        <v>1.2910598140957262E-2</v>
      </c>
      <c r="J604" s="120" t="s">
        <v>3</v>
      </c>
    </row>
    <row r="605" spans="1:10" x14ac:dyDescent="0.25">
      <c r="A605" s="126">
        <v>583</v>
      </c>
      <c r="B605" s="119"/>
      <c r="C605" s="136">
        <f>_xll.mirGetDate(C604,"1D","FOLLOWING",D$12,"NORMAL")</f>
        <v>43263</v>
      </c>
      <c r="D605" s="20">
        <f>_xll.mirGetDate(C605,D$17,"Following",D$12,"Normal")</f>
        <v>43264</v>
      </c>
      <c r="E605" s="134">
        <f ca="1"/>
        <v>1.0001454981800641E-2</v>
      </c>
      <c r="F605" s="7" t="s">
        <v>3</v>
      </c>
      <c r="G605" s="136">
        <f t="shared" si="9"/>
        <v>43263</v>
      </c>
      <c r="H605" s="20">
        <f>_xll.mirGetDate(G605,H$17,"Following",H$12,"Normal")</f>
        <v>43355</v>
      </c>
      <c r="I605" s="134">
        <f ca="1"/>
        <v>1.2917641931465062E-2</v>
      </c>
      <c r="J605" s="120" t="s">
        <v>3</v>
      </c>
    </row>
    <row r="606" spans="1:10" x14ac:dyDescent="0.25">
      <c r="A606" s="126">
        <v>584</v>
      </c>
      <c r="B606" s="119"/>
      <c r="C606" s="136">
        <f>_xll.mirGetDate(C605,"1D","FOLLOWING",D$12,"NORMAL")</f>
        <v>43264</v>
      </c>
      <c r="D606" s="20">
        <f>_xll.mirGetDate(C606,D$17,"Following",D$12,"Normal")</f>
        <v>43265</v>
      </c>
      <c r="E606" s="134">
        <f ca="1"/>
        <v>1.0003536399079173E-2</v>
      </c>
      <c r="F606" s="7" t="s">
        <v>3</v>
      </c>
      <c r="G606" s="136">
        <f t="shared" si="9"/>
        <v>43264</v>
      </c>
      <c r="H606" s="20">
        <f>_xll.mirGetDate(G606,H$17,"Following",H$12,"Normal")</f>
        <v>43356</v>
      </c>
      <c r="I606" s="134">
        <f ca="1"/>
        <v>1.292467428193989E-2</v>
      </c>
      <c r="J606" s="120" t="s">
        <v>3</v>
      </c>
    </row>
    <row r="607" spans="1:10" x14ac:dyDescent="0.25">
      <c r="A607" s="126">
        <v>585</v>
      </c>
      <c r="B607" s="119"/>
      <c r="C607" s="136">
        <f>_xll.mirGetDate(C606,"1D","FOLLOWING",D$12,"NORMAL")</f>
        <v>43265</v>
      </c>
      <c r="D607" s="20">
        <f>_xll.mirGetDate(C607,D$17,"Following",D$12,"Normal")</f>
        <v>43266</v>
      </c>
      <c r="E607" s="134">
        <f ca="1"/>
        <v>1.000562915224993E-2</v>
      </c>
      <c r="F607" s="7" t="s">
        <v>3</v>
      </c>
      <c r="G607" s="136">
        <f t="shared" si="9"/>
        <v>43265</v>
      </c>
      <c r="H607" s="20">
        <f>_xll.mirGetDate(G607,H$17,"Following",H$12,"Normal")</f>
        <v>43357</v>
      </c>
      <c r="I607" s="134">
        <f ca="1"/>
        <v>1.2931694563720477E-2</v>
      </c>
      <c r="J607" s="120" t="s">
        <v>3</v>
      </c>
    </row>
    <row r="608" spans="1:10" x14ac:dyDescent="0.25">
      <c r="A608" s="126">
        <v>586</v>
      </c>
      <c r="B608" s="119"/>
      <c r="C608" s="136">
        <f>_xll.mirGetDate(C607,"1D","FOLLOWING",D$12,"NORMAL")</f>
        <v>43266</v>
      </c>
      <c r="D608" s="20">
        <f>_xll.mirGetDate(C608,D$17,"Following",D$12,"Normal")</f>
        <v>43269</v>
      </c>
      <c r="E608" s="134">
        <f ca="1"/>
        <v>1.0010130780226981E-2</v>
      </c>
      <c r="F608" s="7" t="s">
        <v>3</v>
      </c>
      <c r="G608" s="136">
        <f t="shared" si="9"/>
        <v>43266</v>
      </c>
      <c r="H608" s="20">
        <f>_xll.mirGetDate(G608,H$17,"Following",H$12,"Normal")</f>
        <v>43360</v>
      </c>
      <c r="I608" s="134">
        <f ca="1"/>
        <v>1.2938702148145541E-2</v>
      </c>
      <c r="J608" s="120" t="s">
        <v>3</v>
      </c>
    </row>
    <row r="609" spans="1:10" x14ac:dyDescent="0.25">
      <c r="A609" s="126">
        <v>587</v>
      </c>
      <c r="B609" s="119"/>
      <c r="C609" s="136">
        <f>_xll.mirGetDate(C608,"1D","FOLLOWING",D$12,"NORMAL")</f>
        <v>43269</v>
      </c>
      <c r="D609" s="20">
        <f>_xll.mirGetDate(C609,D$17,"Following",D$12,"Normal")</f>
        <v>43270</v>
      </c>
      <c r="E609" s="134">
        <f ca="1"/>
        <v>1.0014113551992701E-2</v>
      </c>
      <c r="F609" s="7" t="s">
        <v>3</v>
      </c>
      <c r="G609" s="136">
        <f t="shared" si="9"/>
        <v>43269</v>
      </c>
      <c r="H609" s="20">
        <f>_xll.mirGetDate(G609,H$17,"Following",H$12,"Normal")</f>
        <v>43361</v>
      </c>
      <c r="I609" s="134">
        <f ca="1"/>
        <v>1.2959642430674892E-2</v>
      </c>
      <c r="J609" s="120" t="s">
        <v>3</v>
      </c>
    </row>
    <row r="610" spans="1:10" x14ac:dyDescent="0.25">
      <c r="A610" s="126">
        <v>588</v>
      </c>
      <c r="B610" s="119"/>
      <c r="C610" s="136">
        <f>_xll.mirGetDate(C609,"1D","FOLLOWING",D$12,"NORMAL")</f>
        <v>43270</v>
      </c>
      <c r="D610" s="20">
        <f>_xll.mirGetDate(C610,D$17,"Following",D$12,"Normal")</f>
        <v>43271</v>
      </c>
      <c r="E610" s="134">
        <f ca="1"/>
        <v>1.0016263005008278E-2</v>
      </c>
      <c r="F610" s="7" t="s">
        <v>3</v>
      </c>
      <c r="G610" s="136">
        <f t="shared" si="9"/>
        <v>43270</v>
      </c>
      <c r="H610" s="20">
        <f>_xll.mirGetDate(G610,H$17,"Following",H$12,"Normal")</f>
        <v>43362</v>
      </c>
      <c r="I610" s="134">
        <f ca="1"/>
        <v>1.2966592939065151E-2</v>
      </c>
      <c r="J610" s="120" t="s">
        <v>3</v>
      </c>
    </row>
    <row r="611" spans="1:10" x14ac:dyDescent="0.25">
      <c r="A611" s="126">
        <v>589</v>
      </c>
      <c r="B611" s="119"/>
      <c r="C611" s="136">
        <f>_xll.mirGetDate(C610,"1D","FOLLOWING",D$12,"NORMAL")</f>
        <v>43271</v>
      </c>
      <c r="D611" s="20">
        <f>_xll.mirGetDate(C611,D$17,"Following",D$12,"Normal")</f>
        <v>43272</v>
      </c>
      <c r="E611" s="134">
        <f ca="1"/>
        <v>1.0018423801909685E-2</v>
      </c>
      <c r="F611" s="7" t="s">
        <v>3</v>
      </c>
      <c r="G611" s="136">
        <f t="shared" si="9"/>
        <v>43271</v>
      </c>
      <c r="H611" s="20">
        <f>_xll.mirGetDate(G611,H$17,"Following",H$12,"Normal")</f>
        <v>43363</v>
      </c>
      <c r="I611" s="134">
        <f ca="1"/>
        <v>1.2973527606793524E-2</v>
      </c>
      <c r="J611" s="120" t="s">
        <v>3</v>
      </c>
    </row>
    <row r="612" spans="1:10" x14ac:dyDescent="0.25">
      <c r="A612" s="126">
        <v>590</v>
      </c>
      <c r="B612" s="119"/>
      <c r="C612" s="136">
        <f>_xll.mirGetDate(C611,"1D","FOLLOWING",D$12,"NORMAL")</f>
        <v>43272</v>
      </c>
      <c r="D612" s="20">
        <f>_xll.mirGetDate(C612,D$17,"Following",D$12,"Normal")</f>
        <v>43273</v>
      </c>
      <c r="E612" s="134">
        <f ca="1"/>
        <v>1.0020595943816027E-2</v>
      </c>
      <c r="F612" s="7" t="s">
        <v>3</v>
      </c>
      <c r="G612" s="136">
        <f t="shared" si="9"/>
        <v>43272</v>
      </c>
      <c r="H612" s="20">
        <f>_xll.mirGetDate(G612,H$17,"Following",H$12,"Normal")</f>
        <v>43364</v>
      </c>
      <c r="I612" s="134">
        <f ca="1"/>
        <v>1.2980427481845074E-2</v>
      </c>
      <c r="J612" s="120" t="s">
        <v>3</v>
      </c>
    </row>
    <row r="613" spans="1:10" x14ac:dyDescent="0.25">
      <c r="A613" s="126">
        <v>591</v>
      </c>
      <c r="B613" s="119"/>
      <c r="C613" s="136">
        <f>_xll.mirGetDate(C612,"1D","FOLLOWING",D$12,"NORMAL")</f>
        <v>43273</v>
      </c>
      <c r="D613" s="20">
        <f>_xll.mirGetDate(C613,D$17,"Following",D$12,"Normal")</f>
        <v>43276</v>
      </c>
      <c r="E613" s="134">
        <f ca="1"/>
        <v>1.0025257221020248E-2</v>
      </c>
      <c r="F613" s="7" t="s">
        <v>3</v>
      </c>
      <c r="G613" s="136">
        <f t="shared" si="9"/>
        <v>43273</v>
      </c>
      <c r="H613" s="20">
        <f>_xll.mirGetDate(G613,H$17,"Following",H$12,"Normal")</f>
        <v>43367</v>
      </c>
      <c r="I613" s="134">
        <f ca="1"/>
        <v>1.2987276381621855E-2</v>
      </c>
      <c r="J613" s="120" t="s">
        <v>3</v>
      </c>
    </row>
    <row r="614" spans="1:10" x14ac:dyDescent="0.25">
      <c r="A614" s="126">
        <v>592</v>
      </c>
      <c r="B614" s="119"/>
      <c r="C614" s="136">
        <f>_xll.mirGetDate(C613,"1D","FOLLOWING",D$12,"NORMAL")</f>
        <v>43276</v>
      </c>
      <c r="D614" s="20">
        <f>_xll.mirGetDate(C614,D$17,"Following",D$12,"Normal")</f>
        <v>43277</v>
      </c>
      <c r="E614" s="134">
        <f ca="1"/>
        <v>1.0029397988589076E-2</v>
      </c>
      <c r="F614" s="7" t="s">
        <v>3</v>
      </c>
      <c r="G614" s="136">
        <f t="shared" si="9"/>
        <v>43276</v>
      </c>
      <c r="H614" s="20">
        <f>_xll.mirGetDate(G614,H$17,"Following",H$12,"Normal")</f>
        <v>43368</v>
      </c>
      <c r="I614" s="134">
        <f ca="1"/>
        <v>1.3007552483945752E-2</v>
      </c>
      <c r="J614" s="120" t="s">
        <v>3</v>
      </c>
    </row>
    <row r="615" spans="1:10" x14ac:dyDescent="0.25">
      <c r="A615" s="126">
        <v>593</v>
      </c>
      <c r="B615" s="119"/>
      <c r="C615" s="136">
        <f>_xll.mirGetDate(C614,"1D","FOLLOWING",D$12,"NORMAL")</f>
        <v>43277</v>
      </c>
      <c r="D615" s="20">
        <f>_xll.mirGetDate(C615,D$17,"Following",D$12,"Normal")</f>
        <v>43278</v>
      </c>
      <c r="E615" s="134">
        <f ca="1"/>
        <v>1.003162687550411E-2</v>
      </c>
      <c r="F615" s="7" t="s">
        <v>3</v>
      </c>
      <c r="G615" s="136">
        <f t="shared" si="9"/>
        <v>43277</v>
      </c>
      <c r="H615" s="20">
        <f>_xll.mirGetDate(G615,H$17,"Following",H$12,"Normal")</f>
        <v>43369</v>
      </c>
      <c r="I615" s="134">
        <f ca="1"/>
        <v>1.3014232737265624E-2</v>
      </c>
      <c r="J615" s="120" t="s">
        <v>3</v>
      </c>
    </row>
    <row r="616" spans="1:10" x14ac:dyDescent="0.25">
      <c r="A616" s="126">
        <v>594</v>
      </c>
      <c r="B616" s="119"/>
      <c r="C616" s="136">
        <f>_xll.mirGetDate(C615,"1D","FOLLOWING",D$12,"NORMAL")</f>
        <v>43278</v>
      </c>
      <c r="D616" s="20">
        <f>_xll.mirGetDate(C616,D$17,"Following",D$12,"Normal")</f>
        <v>43279</v>
      </c>
      <c r="E616" s="134">
        <f ca="1"/>
        <v>1.003386711533775E-2</v>
      </c>
      <c r="F616" s="7" t="s">
        <v>3</v>
      </c>
      <c r="G616" s="136">
        <f t="shared" si="9"/>
        <v>43278</v>
      </c>
      <c r="H616" s="20">
        <f>_xll.mirGetDate(G616,H$17,"Following",H$12,"Normal")</f>
        <v>43370</v>
      </c>
      <c r="I616" s="134">
        <f ca="1"/>
        <v>1.3020879642631815E-2</v>
      </c>
      <c r="J616" s="120" t="s">
        <v>3</v>
      </c>
    </row>
    <row r="617" spans="1:10" x14ac:dyDescent="0.25">
      <c r="A617" s="126">
        <v>595</v>
      </c>
      <c r="B617" s="119"/>
      <c r="C617" s="136">
        <f>_xll.mirGetDate(C616,"1D","FOLLOWING",D$12,"NORMAL")</f>
        <v>43279</v>
      </c>
      <c r="D617" s="20">
        <f>_xll.mirGetDate(C617,D$17,"Following",D$12,"Normal")</f>
        <v>43280</v>
      </c>
      <c r="E617" s="134">
        <f ca="1"/>
        <v>1.0036118709289036E-2</v>
      </c>
      <c r="F617" s="7" t="s">
        <v>3</v>
      </c>
      <c r="G617" s="136">
        <f t="shared" si="9"/>
        <v>43279</v>
      </c>
      <c r="H617" s="20">
        <f>_xll.mirGetDate(G617,H$17,"Following",H$12,"Normal")</f>
        <v>43371</v>
      </c>
      <c r="I617" s="134">
        <f ca="1"/>
        <v>1.3027496725508536E-2</v>
      </c>
      <c r="J617" s="120" t="s">
        <v>3</v>
      </c>
    </row>
    <row r="618" spans="1:10" x14ac:dyDescent="0.25">
      <c r="A618" s="126">
        <v>596</v>
      </c>
      <c r="B618" s="119"/>
      <c r="C618" s="136">
        <f>_xll.mirGetDate(C617,"1D","FOLLOWING",D$12,"NORMAL")</f>
        <v>43280</v>
      </c>
      <c r="D618" s="20">
        <f>_xll.mirGetDate(C618,D$17,"Following",D$12,"Normal")</f>
        <v>43283</v>
      </c>
      <c r="E618" s="134">
        <f ca="1"/>
        <v>1.0040939794846474E-2</v>
      </c>
      <c r="F618" s="7" t="s">
        <v>3</v>
      </c>
      <c r="G618" s="136">
        <f t="shared" si="9"/>
        <v>43280</v>
      </c>
      <c r="H618" s="20">
        <f>_xll.mirGetDate(G618,H$17,"Following",H$12,"Normal")</f>
        <v>43374</v>
      </c>
      <c r="I618" s="134">
        <f ca="1"/>
        <v>1.303408751136001E-2</v>
      </c>
      <c r="J618" s="120" t="s">
        <v>3</v>
      </c>
    </row>
    <row r="619" spans="1:10" x14ac:dyDescent="0.25">
      <c r="A619" s="126">
        <v>597</v>
      </c>
      <c r="B619" s="119"/>
      <c r="C619" s="136">
        <f>_xll.mirGetDate(C618,"1D","FOLLOWING",D$12,"NORMAL")</f>
        <v>43283</v>
      </c>
      <c r="D619" s="20">
        <f>_xll.mirGetDate(C619,D$17,"Following",D$12,"Normal")</f>
        <v>43284</v>
      </c>
      <c r="E619" s="134">
        <f ca="1"/>
        <v>1.0045238653049219E-2</v>
      </c>
      <c r="F619" s="7" t="s">
        <v>3</v>
      </c>
      <c r="G619" s="136">
        <f t="shared" si="9"/>
        <v>43283</v>
      </c>
      <c r="H619" s="20">
        <f>_xll.mirGetDate(G619,H$17,"Following",H$12,"Normal")</f>
        <v>43375</v>
      </c>
      <c r="I619" s="134">
        <f ca="1"/>
        <v>1.3053737341405105E-2</v>
      </c>
      <c r="J619" s="120" t="s">
        <v>3</v>
      </c>
    </row>
    <row r="620" spans="1:10" x14ac:dyDescent="0.25">
      <c r="A620" s="126">
        <v>598</v>
      </c>
      <c r="B620" s="119"/>
      <c r="C620" s="136">
        <f>_xll.mirGetDate(C619,"1D","FOLLOWING",D$12,"NORMAL")</f>
        <v>43284</v>
      </c>
      <c r="D620" s="20">
        <f>_xll.mirGetDate(C620,D$17,"Following",D$12,"Normal")</f>
        <v>43286</v>
      </c>
      <c r="E620" s="134">
        <f ca="1"/>
        <v>1.0048847155625965E-2</v>
      </c>
      <c r="F620" s="7" t="s">
        <v>3</v>
      </c>
      <c r="G620" s="136">
        <f t="shared" si="9"/>
        <v>43284</v>
      </c>
      <c r="H620" s="20">
        <f>_xll.mirGetDate(G620,H$17,"Following",H$12,"Normal")</f>
        <v>43376</v>
      </c>
      <c r="I620" s="134">
        <f ca="1"/>
        <v>1.3060258193797749E-2</v>
      </c>
      <c r="J620" s="120" t="s">
        <v>3</v>
      </c>
    </row>
    <row r="621" spans="1:10" x14ac:dyDescent="0.25">
      <c r="A621" s="126">
        <v>599</v>
      </c>
      <c r="B621" s="119"/>
      <c r="C621" s="136">
        <f>_xll.mirGetDate(C620,"1D","FOLLOWING",D$12,"NORMAL")</f>
        <v>43286</v>
      </c>
      <c r="D621" s="20">
        <f>_xll.mirGetDate(C621,D$17,"Following",D$12,"Normal")</f>
        <v>43287</v>
      </c>
      <c r="E621" s="134">
        <f ca="1"/>
        <v>1.0052197893193374E-2</v>
      </c>
      <c r="F621" s="7" t="s">
        <v>3</v>
      </c>
      <c r="G621" s="136">
        <f t="shared" si="9"/>
        <v>43286</v>
      </c>
      <c r="H621" s="20">
        <f>_xll.mirGetDate(G621,H$17,"Following",H$12,"Normal")</f>
        <v>43378</v>
      </c>
      <c r="I621" s="134">
        <f ca="1"/>
        <v>1.3073277414934765E-2</v>
      </c>
      <c r="J621" s="120" t="s">
        <v>3</v>
      </c>
    </row>
    <row r="622" spans="1:10" x14ac:dyDescent="0.25">
      <c r="A622" s="126">
        <v>600</v>
      </c>
      <c r="B622" s="119"/>
      <c r="C622" s="136">
        <f>_xll.mirGetDate(C621,"1D","FOLLOWING",D$12,"NORMAL")</f>
        <v>43287</v>
      </c>
      <c r="D622" s="20">
        <f>_xll.mirGetDate(C622,D$17,"Following",D$12,"Normal")</f>
        <v>43290</v>
      </c>
      <c r="E622" s="134">
        <f ca="1"/>
        <v>1.005717894700279E-2</v>
      </c>
      <c r="F622" s="7" t="s">
        <v>3</v>
      </c>
      <c r="G622" s="136">
        <f t="shared" si="9"/>
        <v>43287</v>
      </c>
      <c r="H622" s="20">
        <f>_xll.mirGetDate(G622,H$17,"Following",H$12,"Normal")</f>
        <v>43382</v>
      </c>
      <c r="I622" s="134">
        <f ca="1"/>
        <v>1.3079782745908927E-2</v>
      </c>
      <c r="J622" s="120" t="s">
        <v>3</v>
      </c>
    </row>
    <row r="623" spans="1:10" x14ac:dyDescent="0.25">
      <c r="A623" s="126">
        <v>601</v>
      </c>
      <c r="B623" s="119"/>
      <c r="C623" s="136">
        <f>_xll.mirGetDate(C622,"1D","FOLLOWING",D$12,"NORMAL")</f>
        <v>43290</v>
      </c>
      <c r="D623" s="20">
        <f>_xll.mirGetDate(C623,D$17,"Following",D$12,"Normal")</f>
        <v>43291</v>
      </c>
      <c r="E623" s="134">
        <f ca="1"/>
        <v>1.0061635990616971E-2</v>
      </c>
      <c r="F623" s="7" t="s">
        <v>3</v>
      </c>
      <c r="G623" s="136">
        <f t="shared" si="9"/>
        <v>43290</v>
      </c>
      <c r="H623" s="20">
        <f>_xll.mirGetDate(G623,H$17,"Following",H$12,"Normal")</f>
        <v>43382</v>
      </c>
      <c r="I623" s="134">
        <f ca="1"/>
        <v>1.3099299744569274E-2</v>
      </c>
      <c r="J623" s="120" t="s">
        <v>3</v>
      </c>
    </row>
    <row r="624" spans="1:10" x14ac:dyDescent="0.25">
      <c r="A624" s="126">
        <v>602</v>
      </c>
      <c r="B624" s="119"/>
      <c r="C624" s="136">
        <f>_xll.mirGetDate(C623,"1D","FOLLOWING",D$12,"NORMAL")</f>
        <v>43291</v>
      </c>
      <c r="D624" s="20">
        <f>_xll.mirGetDate(C624,D$17,"Following",D$12,"Normal")</f>
        <v>43292</v>
      </c>
      <c r="E624" s="134">
        <f ca="1"/>
        <v>1.0064023936138292E-2</v>
      </c>
      <c r="F624" s="7" t="s">
        <v>3</v>
      </c>
      <c r="G624" s="136">
        <f t="shared" si="9"/>
        <v>43291</v>
      </c>
      <c r="H624" s="20">
        <f>_xll.mirGetDate(G624,H$17,"Following",H$12,"Normal")</f>
        <v>43383</v>
      </c>
      <c r="I624" s="134">
        <f ca="1"/>
        <v>1.3105806337962718E-2</v>
      </c>
      <c r="J624" s="120" t="s">
        <v>3</v>
      </c>
    </row>
    <row r="625" spans="1:10" x14ac:dyDescent="0.25">
      <c r="A625" s="126">
        <v>603</v>
      </c>
      <c r="B625" s="119"/>
      <c r="C625" s="136">
        <f>_xll.mirGetDate(C624,"1D","FOLLOWING",D$12,"NORMAL")</f>
        <v>43292</v>
      </c>
      <c r="D625" s="20">
        <f>_xll.mirGetDate(C625,D$17,"Following",D$12,"Normal")</f>
        <v>43293</v>
      </c>
      <c r="E625" s="134">
        <f ca="1"/>
        <v>1.0066423252883575E-2</v>
      </c>
      <c r="F625" s="7" t="s">
        <v>3</v>
      </c>
      <c r="G625" s="136">
        <f t="shared" si="9"/>
        <v>43292</v>
      </c>
      <c r="H625" s="20">
        <f>_xll.mirGetDate(G625,H$17,"Following",H$12,"Normal")</f>
        <v>43384</v>
      </c>
      <c r="I625" s="134">
        <f ca="1"/>
        <v>1.3112313663766638E-2</v>
      </c>
      <c r="J625" s="120" t="s">
        <v>3</v>
      </c>
    </row>
    <row r="626" spans="1:10" x14ac:dyDescent="0.25">
      <c r="A626" s="126">
        <v>604</v>
      </c>
      <c r="B626" s="119"/>
      <c r="C626" s="136">
        <f>_xll.mirGetDate(C625,"1D","FOLLOWING",D$12,"NORMAL")</f>
        <v>43293</v>
      </c>
      <c r="D626" s="20">
        <f>_xll.mirGetDate(C626,D$17,"Following",D$12,"Normal")</f>
        <v>43294</v>
      </c>
      <c r="E626" s="134">
        <f ca="1"/>
        <v>1.0068833942051861E-2</v>
      </c>
      <c r="F626" s="7" t="s">
        <v>3</v>
      </c>
      <c r="G626" s="136">
        <f t="shared" si="9"/>
        <v>43293</v>
      </c>
      <c r="H626" s="20">
        <f>_xll.mirGetDate(G626,H$17,"Following",H$12,"Normal")</f>
        <v>43385</v>
      </c>
      <c r="I626" s="134">
        <f ca="1"/>
        <v>1.3118821883275322E-2</v>
      </c>
      <c r="J626" s="120" t="s">
        <v>3</v>
      </c>
    </row>
    <row r="627" spans="1:10" x14ac:dyDescent="0.25">
      <c r="A627" s="126">
        <v>605</v>
      </c>
      <c r="B627" s="119"/>
      <c r="C627" s="136">
        <f>_xll.mirGetDate(C626,"1D","FOLLOWING",D$12,"NORMAL")</f>
        <v>43294</v>
      </c>
      <c r="D627" s="20">
        <f>_xll.mirGetDate(C627,D$17,"Following",D$12,"Normal")</f>
        <v>43297</v>
      </c>
      <c r="E627" s="134">
        <f ca="1"/>
        <v>1.0073975124517741E-2</v>
      </c>
      <c r="F627" s="7" t="s">
        <v>3</v>
      </c>
      <c r="G627" s="136">
        <f t="shared" si="9"/>
        <v>43294</v>
      </c>
      <c r="H627" s="20">
        <f>_xll.mirGetDate(G627,H$17,"Following",H$12,"Normal")</f>
        <v>43388</v>
      </c>
      <c r="I627" s="134">
        <f ca="1"/>
        <v>1.3125331157783061E-2</v>
      </c>
      <c r="J627" s="120" t="s">
        <v>3</v>
      </c>
    </row>
    <row r="628" spans="1:10" x14ac:dyDescent="0.25">
      <c r="A628" s="126">
        <v>606</v>
      </c>
      <c r="B628" s="119"/>
      <c r="C628" s="136">
        <f>_xll.mirGetDate(C627,"1D","FOLLOWING",D$12,"NORMAL")</f>
        <v>43297</v>
      </c>
      <c r="D628" s="20">
        <f>_xll.mirGetDate(C628,D$17,"Following",D$12,"Normal")</f>
        <v>43298</v>
      </c>
      <c r="E628" s="134">
        <f ca="1"/>
        <v>1.007859044909413E-2</v>
      </c>
      <c r="F628" s="7" t="s">
        <v>3</v>
      </c>
      <c r="G628" s="136">
        <f t="shared" si="9"/>
        <v>43297</v>
      </c>
      <c r="H628" s="20">
        <f>_xll.mirGetDate(G628,H$17,"Following",H$12,"Normal")</f>
        <v>43389</v>
      </c>
      <c r="I628" s="134">
        <f ca="1"/>
        <v>1.3144866924243473E-2</v>
      </c>
      <c r="J628" s="120" t="s">
        <v>3</v>
      </c>
    </row>
    <row r="629" spans="1:10" x14ac:dyDescent="0.25">
      <c r="A629" s="126">
        <v>607</v>
      </c>
      <c r="B629" s="119"/>
      <c r="C629" s="136">
        <f>_xll.mirGetDate(C628,"1D","FOLLOWING",D$12,"NORMAL")</f>
        <v>43298</v>
      </c>
      <c r="D629" s="20">
        <f>_xll.mirGetDate(C629,D$17,"Following",D$12,"Normal")</f>
        <v>43299</v>
      </c>
      <c r="E629" s="134">
        <f ca="1"/>
        <v>1.0081058020041703E-2</v>
      </c>
      <c r="F629" s="7" t="s">
        <v>3</v>
      </c>
      <c r="G629" s="136">
        <f t="shared" si="9"/>
        <v>43298</v>
      </c>
      <c r="H629" s="20">
        <f>_xll.mirGetDate(G629,H$17,"Following",H$12,"Normal")</f>
        <v>43390</v>
      </c>
      <c r="I629" s="134">
        <f ca="1"/>
        <v>1.3151382031690306E-2</v>
      </c>
      <c r="J629" s="120" t="s">
        <v>3</v>
      </c>
    </row>
    <row r="630" spans="1:10" x14ac:dyDescent="0.25">
      <c r="A630" s="126">
        <v>608</v>
      </c>
      <c r="B630" s="119"/>
      <c r="C630" s="136">
        <f>_xll.mirGetDate(C629,"1D","FOLLOWING",D$12,"NORMAL")</f>
        <v>43299</v>
      </c>
      <c r="D630" s="20">
        <f>_xll.mirGetDate(C630,D$17,"Following",D$12,"Normal")</f>
        <v>43300</v>
      </c>
      <c r="E630" s="134">
        <f ca="1"/>
        <v>1.0083536971246013E-2</v>
      </c>
      <c r="F630" s="7" t="s">
        <v>3</v>
      </c>
      <c r="G630" s="136">
        <f t="shared" si="9"/>
        <v>43299</v>
      </c>
      <c r="H630" s="20">
        <f>_xll.mirGetDate(G630,H$17,"Following",H$12,"Normal")</f>
        <v>43391</v>
      </c>
      <c r="I630" s="134">
        <f ca="1"/>
        <v>1.3157899000607634E-2</v>
      </c>
      <c r="J630" s="120" t="s">
        <v>3</v>
      </c>
    </row>
    <row r="631" spans="1:10" x14ac:dyDescent="0.25">
      <c r="A631" s="126">
        <v>609</v>
      </c>
      <c r="B631" s="119"/>
      <c r="C631" s="136">
        <f>_xll.mirGetDate(C630,"1D","FOLLOWING",D$12,"NORMAL")</f>
        <v>43300</v>
      </c>
      <c r="D631" s="20">
        <f>_xll.mirGetDate(C631,D$17,"Following",D$12,"Normal")</f>
        <v>43301</v>
      </c>
      <c r="E631" s="134">
        <f ca="1"/>
        <v>1.0086027304065973E-2</v>
      </c>
      <c r="F631" s="7" t="s">
        <v>3</v>
      </c>
      <c r="G631" s="136">
        <f t="shared" si="9"/>
        <v>43300</v>
      </c>
      <c r="H631" s="20">
        <f>_xll.mirGetDate(G631,H$17,"Following",H$12,"Normal")</f>
        <v>43392</v>
      </c>
      <c r="I631" s="134">
        <f ca="1"/>
        <v>1.3164417992289743E-2</v>
      </c>
      <c r="J631" s="120" t="s">
        <v>3</v>
      </c>
    </row>
    <row r="632" spans="1:10" x14ac:dyDescent="0.25">
      <c r="A632" s="126">
        <v>610</v>
      </c>
      <c r="B632" s="119"/>
      <c r="C632" s="136">
        <f>_xll.mirGetDate(C631,"1D","FOLLOWING",D$12,"NORMAL")</f>
        <v>43301</v>
      </c>
      <c r="D632" s="20">
        <f>_xll.mirGetDate(C632,D$17,"Following",D$12,"Normal")</f>
        <v>43304</v>
      </c>
      <c r="E632" s="134">
        <f ca="1"/>
        <v>1.0091328776606937E-2</v>
      </c>
      <c r="F632" s="7" t="s">
        <v>3</v>
      </c>
      <c r="G632" s="136">
        <f t="shared" si="9"/>
        <v>43301</v>
      </c>
      <c r="H632" s="20">
        <f>_xll.mirGetDate(G632,H$17,"Following",H$12,"Normal")</f>
        <v>43395</v>
      </c>
      <c r="I632" s="134">
        <f ca="1"/>
        <v>1.3170939168030924E-2</v>
      </c>
      <c r="J632" s="120" t="s">
        <v>3</v>
      </c>
    </row>
    <row r="633" spans="1:10" x14ac:dyDescent="0.25">
      <c r="A633" s="126">
        <v>611</v>
      </c>
      <c r="B633" s="119"/>
      <c r="C633" s="136">
        <f>_xll.mirGetDate(C632,"1D","FOLLOWING",D$12,"NORMAL")</f>
        <v>43304</v>
      </c>
      <c r="D633" s="20">
        <f>_xll.mirGetDate(C633,D$17,"Following",D$12,"Normal")</f>
        <v>43305</v>
      </c>
      <c r="E633" s="134">
        <f ca="1"/>
        <v>1.0096102477881211E-2</v>
      </c>
      <c r="F633" s="7" t="s">
        <v>3</v>
      </c>
      <c r="G633" s="136">
        <f t="shared" si="9"/>
        <v>43304</v>
      </c>
      <c r="H633" s="20">
        <f>_xll.mirGetDate(G633,H$17,"Following",H$12,"Normal")</f>
        <v>43396</v>
      </c>
      <c r="I633" s="134">
        <f ca="1"/>
        <v>1.3190517412551769E-2</v>
      </c>
      <c r="J633" s="120" t="s">
        <v>3</v>
      </c>
    </row>
    <row r="634" spans="1:10" x14ac:dyDescent="0.25">
      <c r="A634" s="126">
        <v>612</v>
      </c>
      <c r="B634" s="119"/>
      <c r="C634" s="136">
        <f>_xll.mirGetDate(C633,"1D","FOLLOWING",D$12,"NORMAL")</f>
        <v>43305</v>
      </c>
      <c r="D634" s="20">
        <f>_xll.mirGetDate(C634,D$17,"Following",D$12,"Normal")</f>
        <v>43306</v>
      </c>
      <c r="E634" s="134">
        <f ca="1"/>
        <v>1.0098649738603563E-2</v>
      </c>
      <c r="F634" s="7" t="s">
        <v>3</v>
      </c>
      <c r="G634" s="136">
        <f t="shared" si="9"/>
        <v>43305</v>
      </c>
      <c r="H634" s="20">
        <f>_xll.mirGetDate(G634,H$17,"Following",H$12,"Normal")</f>
        <v>43397</v>
      </c>
      <c r="I634" s="134">
        <f ca="1"/>
        <v>1.3197048937472112E-2</v>
      </c>
      <c r="J634" s="120" t="s">
        <v>3</v>
      </c>
    </row>
    <row r="635" spans="1:10" x14ac:dyDescent="0.25">
      <c r="A635" s="126">
        <v>613</v>
      </c>
      <c r="B635" s="119"/>
      <c r="C635" s="136">
        <f>_xll.mirGetDate(C634,"1D","FOLLOWING",D$12,"NORMAL")</f>
        <v>43306</v>
      </c>
      <c r="D635" s="20">
        <f>_xll.mirGetDate(C635,D$17,"Following",D$12,"Normal")</f>
        <v>43307</v>
      </c>
      <c r="E635" s="134">
        <f ca="1"/>
        <v>1.0101208388775299E-2</v>
      </c>
      <c r="F635" s="7" t="s">
        <v>3</v>
      </c>
      <c r="G635" s="136">
        <f t="shared" si="9"/>
        <v>43306</v>
      </c>
      <c r="H635" s="20">
        <f>_xll.mirGetDate(G635,H$17,"Following",H$12,"Normal")</f>
        <v>43398</v>
      </c>
      <c r="I635" s="134">
        <f ca="1"/>
        <v>1.320358345292297E-2</v>
      </c>
      <c r="J635" s="120" t="s">
        <v>3</v>
      </c>
    </row>
    <row r="636" spans="1:10" x14ac:dyDescent="0.25">
      <c r="A636" s="126">
        <v>614</v>
      </c>
      <c r="B636" s="119"/>
      <c r="C636" s="136">
        <f>_xll.mirGetDate(C635,"1D","FOLLOWING",D$12,"NORMAL")</f>
        <v>43307</v>
      </c>
      <c r="D636" s="20">
        <f>_xll.mirGetDate(C636,D$17,"Following",D$12,"Normal")</f>
        <v>43308</v>
      </c>
      <c r="E636" s="134">
        <f ca="1"/>
        <v>1.0103778429835267E-2</v>
      </c>
      <c r="F636" s="7" t="s">
        <v>3</v>
      </c>
      <c r="G636" s="136">
        <f t="shared" si="9"/>
        <v>43307</v>
      </c>
      <c r="H636" s="20">
        <f>_xll.mirGetDate(G636,H$17,"Following",H$12,"Normal")</f>
        <v>43399</v>
      </c>
      <c r="I636" s="134">
        <f ca="1"/>
        <v>1.3210121120198625E-2</v>
      </c>
      <c r="J636" s="120" t="s">
        <v>3</v>
      </c>
    </row>
    <row r="637" spans="1:10" x14ac:dyDescent="0.25">
      <c r="A637" s="126">
        <v>615</v>
      </c>
      <c r="B637" s="119"/>
      <c r="C637" s="136">
        <f>_xll.mirGetDate(C636,"1D","FOLLOWING",D$12,"NORMAL")</f>
        <v>43308</v>
      </c>
      <c r="D637" s="20">
        <f>_xll.mirGetDate(C637,D$17,"Following",D$12,"Normal")</f>
        <v>43311</v>
      </c>
      <c r="E637" s="134">
        <f ca="1"/>
        <v>1.0109240354481167E-2</v>
      </c>
      <c r="F637" s="7" t="s">
        <v>3</v>
      </c>
      <c r="G637" s="136">
        <f t="shared" si="9"/>
        <v>43308</v>
      </c>
      <c r="H637" s="20">
        <f>_xll.mirGetDate(G637,H$17,"Following",H$12,"Normal")</f>
        <v>43402</v>
      </c>
      <c r="I637" s="134">
        <f ca="1"/>
        <v>1.3216662100593369E-2</v>
      </c>
      <c r="J637" s="120" t="s">
        <v>3</v>
      </c>
    </row>
    <row r="638" spans="1:10" x14ac:dyDescent="0.25">
      <c r="A638" s="126">
        <v>616</v>
      </c>
      <c r="B638" s="119"/>
      <c r="C638" s="136">
        <f>_xll.mirGetDate(C637,"1D","FOLLOWING",D$12,"NORMAL")</f>
        <v>43311</v>
      </c>
      <c r="D638" s="20">
        <f>_xll.mirGetDate(C638,D$17,"Following",D$12,"Normal")</f>
        <v>43312</v>
      </c>
      <c r="E638" s="134">
        <f ca="1"/>
        <v>1.0114172528776813E-2</v>
      </c>
      <c r="F638" s="7" t="s">
        <v>3</v>
      </c>
      <c r="G638" s="136">
        <f t="shared" si="9"/>
        <v>43311</v>
      </c>
      <c r="H638" s="20">
        <f>_xll.mirGetDate(G638,H$17,"Following",H$12,"Normal")</f>
        <v>43403</v>
      </c>
      <c r="I638" s="134">
        <f ca="1"/>
        <v>1.3236306533435013E-2</v>
      </c>
      <c r="J638" s="120" t="s">
        <v>3</v>
      </c>
    </row>
    <row r="639" spans="1:10" x14ac:dyDescent="0.25">
      <c r="A639" s="126">
        <v>617</v>
      </c>
      <c r="B639" s="119"/>
      <c r="C639" s="136">
        <f>_xll.mirGetDate(C638,"1D","FOLLOWING",D$12,"NORMAL")</f>
        <v>43312</v>
      </c>
      <c r="D639" s="20">
        <f>_xll.mirGetDate(C639,D$17,"Following",D$12,"Normal")</f>
        <v>43313</v>
      </c>
      <c r="E639" s="134">
        <f ca="1"/>
        <v>1.0116799543862279E-2</v>
      </c>
      <c r="F639" s="7" t="s">
        <v>3</v>
      </c>
      <c r="G639" s="136">
        <f t="shared" si="9"/>
        <v>43312</v>
      </c>
      <c r="H639" s="20">
        <f>_xll.mirGetDate(G639,H$17,"Following",H$12,"Normal")</f>
        <v>43404</v>
      </c>
      <c r="I639" s="134">
        <f ca="1"/>
        <v>1.3242862379248989E-2</v>
      </c>
      <c r="J639" s="120" t="s">
        <v>3</v>
      </c>
    </row>
    <row r="640" spans="1:10" x14ac:dyDescent="0.25">
      <c r="A640" s="126">
        <v>618</v>
      </c>
      <c r="B640" s="119"/>
      <c r="C640" s="136">
        <f>_xll.mirGetDate(C639,"1D","FOLLOWING",D$12,"NORMAL")</f>
        <v>43313</v>
      </c>
      <c r="D640" s="20">
        <f>_xll.mirGetDate(C640,D$17,"Following",D$12,"Normal")</f>
        <v>43314</v>
      </c>
      <c r="E640" s="134">
        <f ca="1"/>
        <v>1.0119437957749647E-2</v>
      </c>
      <c r="F640" s="7" t="s">
        <v>3</v>
      </c>
      <c r="G640" s="136">
        <f t="shared" si="9"/>
        <v>43313</v>
      </c>
      <c r="H640" s="20">
        <f>_xll.mirGetDate(G640,H$17,"Following",H$12,"Normal")</f>
        <v>43405</v>
      </c>
      <c r="I640" s="134">
        <f ca="1"/>
        <v>1.3249422344653497E-2</v>
      </c>
      <c r="J640" s="120" t="s">
        <v>3</v>
      </c>
    </row>
    <row r="641" spans="1:10" x14ac:dyDescent="0.25">
      <c r="A641" s="126">
        <v>619</v>
      </c>
      <c r="B641" s="119"/>
      <c r="C641" s="136">
        <f>_xll.mirGetDate(C640,"1D","FOLLOWING",D$12,"NORMAL")</f>
        <v>43314</v>
      </c>
      <c r="D641" s="20">
        <f>_xll.mirGetDate(C641,D$17,"Following",D$12,"Normal")</f>
        <v>43315</v>
      </c>
      <c r="E641" s="134">
        <f ca="1"/>
        <v>1.0122087771717895E-2</v>
      </c>
      <c r="F641" s="7" t="s">
        <v>3</v>
      </c>
      <c r="G641" s="136">
        <f t="shared" si="9"/>
        <v>43314</v>
      </c>
      <c r="H641" s="20">
        <f>_xll.mirGetDate(G641,H$17,"Following",H$12,"Normal")</f>
        <v>43406</v>
      </c>
      <c r="I641" s="134">
        <f ca="1"/>
        <v>1.3255986590942823E-2</v>
      </c>
      <c r="J641" s="120" t="s">
        <v>3</v>
      </c>
    </row>
    <row r="642" spans="1:10" x14ac:dyDescent="0.25">
      <c r="A642" s="126">
        <v>620</v>
      </c>
      <c r="B642" s="119"/>
      <c r="C642" s="136">
        <f>_xll.mirGetDate(C641,"1D","FOLLOWING",D$12,"NORMAL")</f>
        <v>43315</v>
      </c>
      <c r="D642" s="20">
        <f>_xll.mirGetDate(C642,D$17,"Following",D$12,"Normal")</f>
        <v>43318</v>
      </c>
      <c r="E642" s="134">
        <f ca="1"/>
        <v>1.0127710311484997E-2</v>
      </c>
      <c r="F642" s="7" t="s">
        <v>3</v>
      </c>
      <c r="G642" s="136">
        <f t="shared" si="9"/>
        <v>43315</v>
      </c>
      <c r="H642" s="20">
        <f>_xll.mirGetDate(G642,H$17,"Following",H$12,"Normal")</f>
        <v>43409</v>
      </c>
      <c r="I642" s="134">
        <f ca="1"/>
        <v>1.3262555279411252E-2</v>
      </c>
      <c r="J642" s="120" t="s">
        <v>3</v>
      </c>
    </row>
    <row r="643" spans="1:10" x14ac:dyDescent="0.25">
      <c r="A643" s="126">
        <v>621</v>
      </c>
      <c r="B643" s="119"/>
      <c r="C643" s="136">
        <f>_xll.mirGetDate(C642,"1D","FOLLOWING",D$12,"NORMAL")</f>
        <v>43318</v>
      </c>
      <c r="D643" s="20">
        <f>_xll.mirGetDate(C643,D$17,"Following",D$12,"Normal")</f>
        <v>43319</v>
      </c>
      <c r="E643" s="134">
        <f ca="1"/>
        <v>1.0132801055418065E-2</v>
      </c>
      <c r="F643" s="7" t="s">
        <v>3</v>
      </c>
      <c r="G643" s="136">
        <f t="shared" si="9"/>
        <v>43318</v>
      </c>
      <c r="H643" s="20">
        <f>_xll.mirGetDate(G643,H$17,"Following",H$12,"Normal")</f>
        <v>43410</v>
      </c>
      <c r="I643" s="134">
        <f ca="1"/>
        <v>1.328228961083406E-2</v>
      </c>
      <c r="J643" s="120" t="s">
        <v>3</v>
      </c>
    </row>
    <row r="644" spans="1:10" x14ac:dyDescent="0.25">
      <c r="A644" s="126">
        <v>622</v>
      </c>
      <c r="B644" s="119"/>
      <c r="C644" s="136">
        <f>_xll.mirGetDate(C643,"1D","FOLLOWING",D$12,"NORMAL")</f>
        <v>43319</v>
      </c>
      <c r="D644" s="20">
        <f>_xll.mirGetDate(C644,D$17,"Following",D$12,"Normal")</f>
        <v>43320</v>
      </c>
      <c r="E644" s="134">
        <f ca="1"/>
        <v>1.0135507889934595E-2</v>
      </c>
      <c r="F644" s="7" t="s">
        <v>3</v>
      </c>
      <c r="G644" s="136">
        <f t="shared" si="9"/>
        <v>43319</v>
      </c>
      <c r="H644" s="20">
        <f>_xll.mirGetDate(G644,H$17,"Following",H$12,"Normal")</f>
        <v>43411</v>
      </c>
      <c r="I644" s="134">
        <f ca="1"/>
        <v>1.3288877680961793E-2</v>
      </c>
      <c r="J644" s="120" t="s">
        <v>3</v>
      </c>
    </row>
    <row r="645" spans="1:10" x14ac:dyDescent="0.25">
      <c r="A645" s="126">
        <v>623</v>
      </c>
      <c r="B645" s="119"/>
      <c r="C645" s="136">
        <f>_xll.mirGetDate(C644,"1D","FOLLOWING",D$12,"NORMAL")</f>
        <v>43320</v>
      </c>
      <c r="D645" s="20">
        <f>_xll.mirGetDate(C645,D$17,"Following",D$12,"Normal")</f>
        <v>43321</v>
      </c>
      <c r="E645" s="134">
        <f ca="1"/>
        <v>1.013822613252561E-2</v>
      </c>
      <c r="F645" s="7" t="s">
        <v>3</v>
      </c>
      <c r="G645" s="136">
        <f t="shared" si="9"/>
        <v>43320</v>
      </c>
      <c r="H645" s="20">
        <f>_xll.mirGetDate(G645,H$17,"Following",H$12,"Normal")</f>
        <v>43412</v>
      </c>
      <c r="I645" s="134">
        <f ca="1"/>
        <v>1.3295470999740074E-2</v>
      </c>
      <c r="J645" s="120" t="s">
        <v>3</v>
      </c>
    </row>
    <row r="646" spans="1:10" x14ac:dyDescent="0.25">
      <c r="A646" s="126">
        <v>624</v>
      </c>
      <c r="B646" s="119"/>
      <c r="C646" s="136">
        <f>_xll.mirGetDate(C645,"1D","FOLLOWING",D$12,"NORMAL")</f>
        <v>43321</v>
      </c>
      <c r="D646" s="20">
        <f>_xll.mirGetDate(C646,D$17,"Following",D$12,"Normal")</f>
        <v>43322</v>
      </c>
      <c r="E646" s="134">
        <f ca="1"/>
        <v>1.014095578462996E-2</v>
      </c>
      <c r="F646" s="7" t="s">
        <v>3</v>
      </c>
      <c r="G646" s="136">
        <f t="shared" si="9"/>
        <v>43321</v>
      </c>
      <c r="H646" s="20">
        <f>_xll.mirGetDate(G646,H$17,"Following",H$12,"Normal")</f>
        <v>43413</v>
      </c>
      <c r="I646" s="134">
        <f ca="1"/>
        <v>1.3302069728463189E-2</v>
      </c>
      <c r="J646" s="120" t="s">
        <v>3</v>
      </c>
    </row>
    <row r="647" spans="1:10" x14ac:dyDescent="0.25">
      <c r="A647" s="126">
        <v>625</v>
      </c>
      <c r="B647" s="119"/>
      <c r="C647" s="136">
        <f>_xll.mirGetDate(C646,"1D","FOLLOWING",D$12,"NORMAL")</f>
        <v>43322</v>
      </c>
      <c r="D647" s="20">
        <f>_xll.mirGetDate(C647,D$17,"Following",D$12,"Normal")</f>
        <v>43325</v>
      </c>
      <c r="E647" s="134">
        <f ca="1"/>
        <v>1.0146739103120731E-2</v>
      </c>
      <c r="F647" s="7" t="s">
        <v>3</v>
      </c>
      <c r="G647" s="136">
        <f t="shared" si="9"/>
        <v>43322</v>
      </c>
      <c r="H647" s="20">
        <f>_xll.mirGetDate(G647,H$17,"Following",H$12,"Normal")</f>
        <v>43417</v>
      </c>
      <c r="I647" s="134">
        <f ca="1"/>
        <v>1.3308674028425428E-2</v>
      </c>
      <c r="J647" s="120" t="s">
        <v>3</v>
      </c>
    </row>
    <row r="648" spans="1:10" x14ac:dyDescent="0.25">
      <c r="A648" s="126">
        <v>626</v>
      </c>
      <c r="B648" s="119"/>
      <c r="C648" s="136">
        <f>_xll.mirGetDate(C647,"1D","FOLLOWING",D$12,"NORMAL")</f>
        <v>43325</v>
      </c>
      <c r="D648" s="20">
        <f>_xll.mirGetDate(C648,D$17,"Following",D$12,"Normal")</f>
        <v>43326</v>
      </c>
      <c r="E648" s="134">
        <f ca="1"/>
        <v>1.0151988513840174E-2</v>
      </c>
      <c r="F648" s="7" t="s">
        <v>3</v>
      </c>
      <c r="G648" s="136">
        <f t="shared" si="9"/>
        <v>43325</v>
      </c>
      <c r="H648" s="20">
        <f>_xll.mirGetDate(G648,H$17,"Following",H$12,"Normal")</f>
        <v>43417</v>
      </c>
      <c r="I648" s="134">
        <f ca="1"/>
        <v>1.3328521968689762E-2</v>
      </c>
      <c r="J648" s="120" t="s">
        <v>3</v>
      </c>
    </row>
    <row r="649" spans="1:10" x14ac:dyDescent="0.25">
      <c r="A649" s="126">
        <v>627</v>
      </c>
      <c r="B649" s="119"/>
      <c r="C649" s="136">
        <f>_xll.mirGetDate(C648,"1D","FOLLOWING",D$12,"NORMAL")</f>
        <v>43326</v>
      </c>
      <c r="D649" s="20">
        <f>_xll.mirGetDate(C649,D$17,"Following",D$12,"Normal")</f>
        <v>43327</v>
      </c>
      <c r="E649" s="134">
        <f ca="1"/>
        <v>1.0154775233175465E-2</v>
      </c>
      <c r="F649" s="7" t="s">
        <v>3</v>
      </c>
      <c r="G649" s="136">
        <f t="shared" si="9"/>
        <v>43326</v>
      </c>
      <c r="H649" s="20">
        <f>_xll.mirGetDate(G649,H$17,"Following",H$12,"Normal")</f>
        <v>43418</v>
      </c>
      <c r="I649" s="134">
        <f ca="1"/>
        <v>1.3335150166551372E-2</v>
      </c>
      <c r="J649" s="120" t="s">
        <v>3</v>
      </c>
    </row>
    <row r="650" spans="1:10" x14ac:dyDescent="0.25">
      <c r="A650" s="126">
        <v>628</v>
      </c>
      <c r="B650" s="119"/>
      <c r="C650" s="136">
        <f>_xll.mirGetDate(C649,"1D","FOLLOWING",D$12,"NORMAL")</f>
        <v>43327</v>
      </c>
      <c r="D650" s="20">
        <f>_xll.mirGetDate(C650,D$17,"Following",D$12,"Normal")</f>
        <v>43328</v>
      </c>
      <c r="E650" s="134">
        <f ca="1"/>
        <v>1.0157573369777887E-2</v>
      </c>
      <c r="F650" s="7" t="s">
        <v>3</v>
      </c>
      <c r="G650" s="136">
        <f t="shared" si="9"/>
        <v>43327</v>
      </c>
      <c r="H650" s="20">
        <f>_xll.mirGetDate(G650,H$17,"Following",H$12,"Normal")</f>
        <v>43419</v>
      </c>
      <c r="I650" s="134">
        <f ca="1"/>
        <v>1.3341784742123549E-2</v>
      </c>
      <c r="J650" s="120" t="s">
        <v>3</v>
      </c>
    </row>
    <row r="651" spans="1:10" x14ac:dyDescent="0.25">
      <c r="A651" s="126">
        <v>629</v>
      </c>
      <c r="B651" s="119"/>
      <c r="C651" s="136">
        <f>_xll.mirGetDate(C650,"1D","FOLLOWING",D$12,"NORMAL")</f>
        <v>43328</v>
      </c>
      <c r="D651" s="20">
        <f>_xll.mirGetDate(C651,D$17,"Following",D$12,"Normal")</f>
        <v>43329</v>
      </c>
      <c r="E651" s="134">
        <f ca="1"/>
        <v>1.0160382925326098E-2</v>
      </c>
      <c r="F651" s="7" t="s">
        <v>3</v>
      </c>
      <c r="G651" s="136">
        <f t="shared" si="9"/>
        <v>43328</v>
      </c>
      <c r="H651" s="20">
        <f>_xll.mirGetDate(G651,H$17,"Following",H$12,"Normal")</f>
        <v>43420</v>
      </c>
      <c r="I651" s="134">
        <f ca="1"/>
        <v>1.3348425856700577E-2</v>
      </c>
      <c r="J651" s="120" t="s">
        <v>3</v>
      </c>
    </row>
    <row r="652" spans="1:10" x14ac:dyDescent="0.25">
      <c r="A652" s="126">
        <v>630</v>
      </c>
      <c r="B652" s="119"/>
      <c r="C652" s="136">
        <f>_xll.mirGetDate(C651,"1D","FOLLOWING",D$12,"NORMAL")</f>
        <v>43329</v>
      </c>
      <c r="D652" s="20">
        <f>_xll.mirGetDate(C652,D$17,"Following",D$12,"Normal")</f>
        <v>43332</v>
      </c>
      <c r="E652" s="134">
        <f ca="1"/>
        <v>1.0166327187288752E-2</v>
      </c>
      <c r="F652" s="7" t="s">
        <v>3</v>
      </c>
      <c r="G652" s="136">
        <f t="shared" si="9"/>
        <v>43329</v>
      </c>
      <c r="H652" s="20">
        <f>_xll.mirGetDate(G652,H$17,"Following",H$12,"Normal")</f>
        <v>43423</v>
      </c>
      <c r="I652" s="134">
        <f ca="1"/>
        <v>1.3355073671576746E-2</v>
      </c>
      <c r="J652" s="120" t="s">
        <v>3</v>
      </c>
    </row>
    <row r="653" spans="1:10" x14ac:dyDescent="0.25">
      <c r="A653" s="126">
        <v>631</v>
      </c>
      <c r="B653" s="119"/>
      <c r="C653" s="136">
        <f>_xll.mirGetDate(C652,"1D","FOLLOWING",D$12,"NORMAL")</f>
        <v>43332</v>
      </c>
      <c r="D653" s="20">
        <f>_xll.mirGetDate(C653,D$17,"Following",D$12,"Normal")</f>
        <v>43333</v>
      </c>
      <c r="E653" s="134">
        <f ca="1"/>
        <v>1.0171735362316562E-2</v>
      </c>
      <c r="F653" s="7" t="s">
        <v>3</v>
      </c>
      <c r="G653" s="136">
        <f t="shared" si="9"/>
        <v>43332</v>
      </c>
      <c r="H653" s="20">
        <f>_xll.mirGetDate(G653,H$17,"Following",H$12,"Normal")</f>
        <v>43424</v>
      </c>
      <c r="I653" s="134">
        <f ca="1"/>
        <v>1.3375058930942972E-2</v>
      </c>
      <c r="J653" s="120" t="s">
        <v>3</v>
      </c>
    </row>
    <row r="654" spans="1:10" x14ac:dyDescent="0.25">
      <c r="A654" s="126">
        <v>632</v>
      </c>
      <c r="B654" s="119"/>
      <c r="C654" s="136">
        <f>_xll.mirGetDate(C653,"1D","FOLLOWING",D$12,"NORMAL")</f>
        <v>43333</v>
      </c>
      <c r="D654" s="20">
        <f>_xll.mirGetDate(C654,D$17,"Following",D$12,"Normal")</f>
        <v>43334</v>
      </c>
      <c r="E654" s="134">
        <f ca="1"/>
        <v>1.0174602032018179E-2</v>
      </c>
      <c r="F654" s="7" t="s">
        <v>3</v>
      </c>
      <c r="G654" s="136">
        <f t="shared" si="9"/>
        <v>43333</v>
      </c>
      <c r="H654" s="20">
        <f>_xll.mirGetDate(G654,H$17,"Following",H$12,"Normal")</f>
        <v>43425</v>
      </c>
      <c r="I654" s="134">
        <f ca="1"/>
        <v>1.3381735159958585E-2</v>
      </c>
      <c r="J654" s="120" t="s">
        <v>3</v>
      </c>
    </row>
    <row r="655" spans="1:10" x14ac:dyDescent="0.25">
      <c r="A655" s="126">
        <v>633</v>
      </c>
      <c r="B655" s="119"/>
      <c r="C655" s="136">
        <f>_xll.mirGetDate(C654,"1D","FOLLOWING",D$12,"NORMAL")</f>
        <v>43334</v>
      </c>
      <c r="D655" s="20">
        <f>_xll.mirGetDate(C655,D$17,"Following",D$12,"Normal")</f>
        <v>43335</v>
      </c>
      <c r="E655" s="134">
        <f ca="1"/>
        <v>1.017748012849932E-2</v>
      </c>
      <c r="F655" s="7" t="s">
        <v>3</v>
      </c>
      <c r="G655" s="136">
        <f t="shared" si="9"/>
        <v>43334</v>
      </c>
      <c r="H655" s="20">
        <f>_xll.mirGetDate(G655,H$17,"Following",H$12,"Normal")</f>
        <v>43427</v>
      </c>
      <c r="I655" s="134">
        <f ca="1"/>
        <v>1.3388418895744778E-2</v>
      </c>
      <c r="J655" s="120" t="s">
        <v>3</v>
      </c>
    </row>
    <row r="656" spans="1:10" x14ac:dyDescent="0.25">
      <c r="A656" s="126">
        <v>634</v>
      </c>
      <c r="B656" s="119"/>
      <c r="C656" s="136">
        <f>_xll.mirGetDate(C655,"1D","FOLLOWING",D$12,"NORMAL")</f>
        <v>43335</v>
      </c>
      <c r="D656" s="20">
        <f>_xll.mirGetDate(C656,D$17,"Following",D$12,"Normal")</f>
        <v>43336</v>
      </c>
      <c r="E656" s="134">
        <f ca="1"/>
        <v>1.0179640765128931E-2</v>
      </c>
      <c r="F656" s="7" t="s">
        <v>3</v>
      </c>
      <c r="G656" s="136">
        <f t="shared" si="9"/>
        <v>43335</v>
      </c>
      <c r="H656" s="20">
        <f>_xll.mirGetDate(G656,H$17,"Following",H$12,"Normal")</f>
        <v>43427</v>
      </c>
      <c r="I656" s="134">
        <f ca="1"/>
        <v>1.3395110299595841E-2</v>
      </c>
      <c r="J656" s="120" t="s">
        <v>3</v>
      </c>
    </row>
    <row r="657" spans="1:10" x14ac:dyDescent="0.25">
      <c r="A657" s="126">
        <v>635</v>
      </c>
      <c r="B657" s="119"/>
      <c r="C657" s="136">
        <f>_xll.mirGetDate(C656,"1D","FOLLOWING",D$12,"NORMAL")</f>
        <v>43336</v>
      </c>
      <c r="D657" s="20">
        <f>_xll.mirGetDate(C657,D$17,"Following",D$12,"Normal")</f>
        <v>43339</v>
      </c>
      <c r="E657" s="134">
        <f ca="1"/>
        <v>1.0182897865238552E-2</v>
      </c>
      <c r="F657" s="7" t="s">
        <v>3</v>
      </c>
      <c r="G657" s="136">
        <f t="shared" si="9"/>
        <v>43336</v>
      </c>
      <c r="H657" s="20">
        <f>_xll.mirGetDate(G657,H$17,"Following",H$12,"Normal")</f>
        <v>43430</v>
      </c>
      <c r="I657" s="134">
        <f ca="1"/>
        <v>1.3401805591244102E-2</v>
      </c>
      <c r="J657" s="120" t="s">
        <v>3</v>
      </c>
    </row>
    <row r="658" spans="1:10" x14ac:dyDescent="0.25">
      <c r="A658" s="126">
        <v>636</v>
      </c>
      <c r="B658" s="119"/>
      <c r="C658" s="136">
        <f>_xll.mirGetDate(C657,"1D","FOLLOWING",D$12,"NORMAL")</f>
        <v>43339</v>
      </c>
      <c r="D658" s="20">
        <f>_xll.mirGetDate(C658,D$17,"Following",D$12,"Normal")</f>
        <v>43340</v>
      </c>
      <c r="E658" s="134">
        <f ca="1"/>
        <v>1.0185701403520079E-2</v>
      </c>
      <c r="F658" s="7" t="s">
        <v>3</v>
      </c>
      <c r="G658" s="136">
        <f t="shared" si="9"/>
        <v>43339</v>
      </c>
      <c r="H658" s="20">
        <f>_xll.mirGetDate(G658,H$17,"Following",H$12,"Normal")</f>
        <v>43431</v>
      </c>
      <c r="I658" s="134">
        <f ca="1"/>
        <v>1.3421891466188881E-2</v>
      </c>
      <c r="J658" s="120" t="s">
        <v>3</v>
      </c>
    </row>
    <row r="659" spans="1:10" x14ac:dyDescent="0.25">
      <c r="A659" s="126">
        <v>637</v>
      </c>
      <c r="B659" s="119"/>
      <c r="C659" s="136">
        <f>_xll.mirGetDate(C658,"1D","FOLLOWING",D$12,"NORMAL")</f>
        <v>43340</v>
      </c>
      <c r="D659" s="20">
        <f>_xll.mirGetDate(C659,D$17,"Following",D$12,"Normal")</f>
        <v>43341</v>
      </c>
      <c r="E659" s="134">
        <f ca="1"/>
        <v>1.0187308429472389E-2</v>
      </c>
      <c r="F659" s="7" t="s">
        <v>3</v>
      </c>
      <c r="G659" s="136">
        <f t="shared" si="9"/>
        <v>43340</v>
      </c>
      <c r="H659" s="20">
        <f>_xll.mirGetDate(G659,H$17,"Following",H$12,"Normal")</f>
        <v>43432</v>
      </c>
      <c r="I659" s="134">
        <f ca="1"/>
        <v>1.3428586757837141E-2</v>
      </c>
      <c r="J659" s="120" t="s">
        <v>3</v>
      </c>
    </row>
    <row r="660" spans="1:10" x14ac:dyDescent="0.25">
      <c r="A660" s="126">
        <v>638</v>
      </c>
      <c r="B660" s="119"/>
      <c r="C660" s="136">
        <f>_xll.mirGetDate(C659,"1D","FOLLOWING",D$12,"NORMAL")</f>
        <v>43341</v>
      </c>
      <c r="D660" s="20">
        <f>_xll.mirGetDate(C660,D$17,"Following",D$12,"Normal")</f>
        <v>43342</v>
      </c>
      <c r="E660" s="134">
        <f ca="1"/>
        <v>1.0188952210102371E-2</v>
      </c>
      <c r="F660" s="7" t="s">
        <v>3</v>
      </c>
      <c r="G660" s="136">
        <f t="shared" si="9"/>
        <v>43341</v>
      </c>
      <c r="H660" s="20">
        <f>_xll.mirGetDate(G660,H$17,"Following",H$12,"Normal")</f>
        <v>43433</v>
      </c>
      <c r="I660" s="134">
        <f ca="1"/>
        <v>1.34352820494854E-2</v>
      </c>
      <c r="J660" s="120" t="s">
        <v>3</v>
      </c>
    </row>
    <row r="661" spans="1:10" x14ac:dyDescent="0.25">
      <c r="A661" s="126">
        <v>639</v>
      </c>
      <c r="B661" s="119"/>
      <c r="C661" s="136">
        <f>_xll.mirGetDate(C660,"1D","FOLLOWING",D$12,"NORMAL")</f>
        <v>43342</v>
      </c>
      <c r="D661" s="20">
        <f>_xll.mirGetDate(C661,D$17,"Following",D$12,"Normal")</f>
        <v>43343</v>
      </c>
      <c r="E661" s="134">
        <f ca="1"/>
        <v>1.0190632749891329E-2</v>
      </c>
      <c r="F661" s="7" t="s">
        <v>3</v>
      </c>
      <c r="G661" s="136">
        <f t="shared" si="9"/>
        <v>43342</v>
      </c>
      <c r="H661" s="20">
        <f>_xll.mirGetDate(G661,H$17,"Following",H$12,"Normal")</f>
        <v>43434</v>
      </c>
      <c r="I661" s="134">
        <f ca="1"/>
        <v>1.344197734113366E-2</v>
      </c>
      <c r="J661" s="120" t="s">
        <v>3</v>
      </c>
    </row>
    <row r="662" spans="1:10" x14ac:dyDescent="0.25">
      <c r="A662" s="126">
        <v>640</v>
      </c>
      <c r="B662" s="119"/>
      <c r="C662" s="136">
        <f>_xll.mirGetDate(C661,"1D","FOLLOWING",D$12,"NORMAL")</f>
        <v>43343</v>
      </c>
      <c r="D662" s="20">
        <f>_xll.mirGetDate(C662,D$17,"Following",D$12,"Normal")</f>
        <v>43347</v>
      </c>
      <c r="E662" s="134">
        <f ca="1"/>
        <v>1.019545101575762E-2</v>
      </c>
      <c r="F662" s="7" t="s">
        <v>3</v>
      </c>
      <c r="G662" s="136">
        <f t="shared" si="9"/>
        <v>43343</v>
      </c>
      <c r="H662" s="20">
        <f>_xll.mirGetDate(G662,H$17,"Following",H$12,"Normal")</f>
        <v>43434</v>
      </c>
      <c r="I662" s="134">
        <f ca="1"/>
        <v>1.3448672632781921E-2</v>
      </c>
      <c r="J662" s="120" t="s">
        <v>3</v>
      </c>
    </row>
    <row r="663" spans="1:10" x14ac:dyDescent="0.25">
      <c r="A663" s="126">
        <v>641</v>
      </c>
      <c r="B663" s="119"/>
      <c r="C663" s="136">
        <f>_xll.mirGetDate(C662,"1D","FOLLOWING",D$12,"NORMAL")</f>
        <v>43347</v>
      </c>
      <c r="D663" s="20">
        <f>_xll.mirGetDate(C663,D$17,"Following",D$12,"Normal")</f>
        <v>43348</v>
      </c>
      <c r="E663" s="134">
        <f ca="1"/>
        <v>1.0199586980288481E-2</v>
      </c>
      <c r="F663" s="7" t="s">
        <v>3</v>
      </c>
      <c r="G663" s="136">
        <f t="shared" si="9"/>
        <v>43347</v>
      </c>
      <c r="H663" s="20">
        <f>_xll.mirGetDate(G663,H$17,"Following",H$12,"Normal")</f>
        <v>43438</v>
      </c>
      <c r="I663" s="134">
        <f ca="1"/>
        <v>1.347545379937496E-2</v>
      </c>
      <c r="J663" s="120" t="s">
        <v>3</v>
      </c>
    </row>
    <row r="664" spans="1:10" x14ac:dyDescent="0.25">
      <c r="A664" s="126">
        <v>642</v>
      </c>
      <c r="B664" s="119"/>
      <c r="C664" s="136">
        <f>_xll.mirGetDate(C663,"1D","FOLLOWING",D$12,"NORMAL")</f>
        <v>43348</v>
      </c>
      <c r="D664" s="20">
        <f>_xll.mirGetDate(C664,D$17,"Following",D$12,"Normal")</f>
        <v>43349</v>
      </c>
      <c r="E664" s="134">
        <f ca="1"/>
        <v>1.0201488162060493E-2</v>
      </c>
      <c r="F664" s="7" t="s">
        <v>3</v>
      </c>
      <c r="G664" s="136">
        <f t="shared" ref="G664:G727" si="10">$C664</f>
        <v>43348</v>
      </c>
      <c r="H664" s="20">
        <f>_xll.mirGetDate(G664,H$17,"Following",H$12,"Normal")</f>
        <v>43439</v>
      </c>
      <c r="I664" s="134">
        <f ca="1"/>
        <v>1.3482149091023221E-2</v>
      </c>
      <c r="J664" s="120" t="s">
        <v>3</v>
      </c>
    </row>
    <row r="665" spans="1:10" x14ac:dyDescent="0.25">
      <c r="A665" s="126">
        <v>643</v>
      </c>
      <c r="B665" s="119"/>
      <c r="C665" s="136">
        <f>_xll.mirGetDate(C664,"1D","FOLLOWING",D$12,"NORMAL")</f>
        <v>43349</v>
      </c>
      <c r="D665" s="20">
        <f>_xll.mirGetDate(C665,D$17,"Following",D$12,"Normal")</f>
        <v>43350</v>
      </c>
      <c r="E665" s="134">
        <f ca="1"/>
        <v>1.0203426132164886E-2</v>
      </c>
      <c r="F665" s="7" t="s">
        <v>3</v>
      </c>
      <c r="G665" s="136">
        <f t="shared" si="10"/>
        <v>43349</v>
      </c>
      <c r="H665" s="20">
        <f>_xll.mirGetDate(G665,H$17,"Following",H$12,"Normal")</f>
        <v>43440</v>
      </c>
      <c r="I665" s="134">
        <f ca="1"/>
        <v>1.3488844382671479E-2</v>
      </c>
      <c r="J665" s="120" t="s">
        <v>3</v>
      </c>
    </row>
    <row r="666" spans="1:10" x14ac:dyDescent="0.25">
      <c r="A666" s="126">
        <v>644</v>
      </c>
      <c r="B666" s="119"/>
      <c r="C666" s="136">
        <f>_xll.mirGetDate(C665,"1D","FOLLOWING",D$12,"NORMAL")</f>
        <v>43350</v>
      </c>
      <c r="D666" s="20">
        <f>_xll.mirGetDate(C666,D$17,"Following",D$12,"Normal")</f>
        <v>43353</v>
      </c>
      <c r="E666" s="134">
        <f ca="1"/>
        <v>1.0207714144536731E-2</v>
      </c>
      <c r="F666" s="7" t="s">
        <v>3</v>
      </c>
      <c r="G666" s="136">
        <f t="shared" si="10"/>
        <v>43350</v>
      </c>
      <c r="H666" s="20">
        <f>_xll.mirGetDate(G666,H$17,"Following",H$12,"Normal")</f>
        <v>43441</v>
      </c>
      <c r="I666" s="134">
        <f ca="1"/>
        <v>1.349553967431974E-2</v>
      </c>
      <c r="J666" s="120" t="s">
        <v>3</v>
      </c>
    </row>
    <row r="667" spans="1:10" x14ac:dyDescent="0.25">
      <c r="A667" s="126">
        <v>645</v>
      </c>
      <c r="B667" s="119"/>
      <c r="C667" s="136">
        <f>_xll.mirGetDate(C666,"1D","FOLLOWING",D$12,"NORMAL")</f>
        <v>43353</v>
      </c>
      <c r="D667" s="20">
        <f>_xll.mirGetDate(C667,D$17,"Following",D$12,"Normal")</f>
        <v>43354</v>
      </c>
      <c r="E667" s="134">
        <f ca="1"/>
        <v>1.0211545979359507E-2</v>
      </c>
      <c r="F667" s="7" t="s">
        <v>3</v>
      </c>
      <c r="G667" s="136">
        <f t="shared" si="10"/>
        <v>43353</v>
      </c>
      <c r="H667" s="20">
        <f>_xll.mirGetDate(G667,H$17,"Following",H$12,"Normal")</f>
        <v>43444</v>
      </c>
      <c r="I667" s="134">
        <f ca="1"/>
        <v>1.3515625549264519E-2</v>
      </c>
      <c r="J667" s="120" t="s">
        <v>3</v>
      </c>
    </row>
    <row r="668" spans="1:10" x14ac:dyDescent="0.25">
      <c r="A668" s="126">
        <v>646</v>
      </c>
      <c r="B668" s="119"/>
      <c r="C668" s="136">
        <f>_xll.mirGetDate(C667,"1D","FOLLOWING",D$12,"NORMAL")</f>
        <v>43354</v>
      </c>
      <c r="D668" s="20">
        <f>_xll.mirGetDate(C668,D$17,"Following",D$12,"Normal")</f>
        <v>43355</v>
      </c>
      <c r="E668" s="134">
        <f ca="1"/>
        <v>1.021366795403548E-2</v>
      </c>
      <c r="F668" s="7" t="s">
        <v>3</v>
      </c>
      <c r="G668" s="136">
        <f t="shared" si="10"/>
        <v>43354</v>
      </c>
      <c r="H668" s="20">
        <f>_xll.mirGetDate(G668,H$17,"Following",H$12,"Normal")</f>
        <v>43445</v>
      </c>
      <c r="I668" s="134">
        <f ca="1"/>
        <v>1.3522321062765092E-2</v>
      </c>
      <c r="J668" s="120" t="s">
        <v>3</v>
      </c>
    </row>
    <row r="669" spans="1:10" x14ac:dyDescent="0.25">
      <c r="A669" s="126">
        <v>647</v>
      </c>
      <c r="B669" s="119"/>
      <c r="C669" s="136">
        <f>_xll.mirGetDate(C668,"1D","FOLLOWING",D$12,"NORMAL")</f>
        <v>43355</v>
      </c>
      <c r="D669" s="20">
        <f>_xll.mirGetDate(C669,D$17,"Following",D$12,"Normal")</f>
        <v>43356</v>
      </c>
      <c r="E669" s="134">
        <f ca="1"/>
        <v>1.0215826742063819E-2</v>
      </c>
      <c r="F669" s="7" t="s">
        <v>3</v>
      </c>
      <c r="G669" s="136">
        <f t="shared" si="10"/>
        <v>43355</v>
      </c>
      <c r="H669" s="20">
        <f>_xll.mirGetDate(G669,H$17,"Following",H$12,"Normal")</f>
        <v>43446</v>
      </c>
      <c r="I669" s="134">
        <f ca="1"/>
        <v>1.3529022664690171E-2</v>
      </c>
      <c r="J669" s="120" t="s">
        <v>3</v>
      </c>
    </row>
    <row r="670" spans="1:10" x14ac:dyDescent="0.25">
      <c r="A670" s="126">
        <v>648</v>
      </c>
      <c r="B670" s="119"/>
      <c r="C670" s="136">
        <f>_xll.mirGetDate(C669,"1D","FOLLOWING",D$12,"NORMAL")</f>
        <v>43356</v>
      </c>
      <c r="D670" s="20">
        <f>_xll.mirGetDate(C670,D$17,"Following",D$12,"Normal")</f>
        <v>43357</v>
      </c>
      <c r="E670" s="134">
        <f ca="1"/>
        <v>1.021802234800088E-2</v>
      </c>
      <c r="F670" s="7" t="s">
        <v>3</v>
      </c>
      <c r="G670" s="136">
        <f t="shared" si="10"/>
        <v>43356</v>
      </c>
      <c r="H670" s="20">
        <f>_xll.mirGetDate(G670,H$17,"Following",H$12,"Normal")</f>
        <v>43447</v>
      </c>
      <c r="I670" s="134">
        <f ca="1"/>
        <v>1.3535742185018393E-2</v>
      </c>
      <c r="J670" s="120" t="s">
        <v>3</v>
      </c>
    </row>
    <row r="671" spans="1:10" x14ac:dyDescent="0.25">
      <c r="A671" s="126">
        <v>649</v>
      </c>
      <c r="B671" s="119"/>
      <c r="C671" s="136">
        <f>_xll.mirGetDate(C670,"1D","FOLLOWING",D$12,"NORMAL")</f>
        <v>43357</v>
      </c>
      <c r="D671" s="20">
        <f>_xll.mirGetDate(C671,D$17,"Following",D$12,"Normal")</f>
        <v>43360</v>
      </c>
      <c r="E671" s="134">
        <f ca="1"/>
        <v>1.022282658762034E-2</v>
      </c>
      <c r="F671" s="7" t="s">
        <v>3</v>
      </c>
      <c r="G671" s="136">
        <f t="shared" si="10"/>
        <v>43357</v>
      </c>
      <c r="H671" s="20">
        <f>_xll.mirGetDate(G671,H$17,"Following",H$12,"Normal")</f>
        <v>43448</v>
      </c>
      <c r="I671" s="134">
        <f ca="1"/>
        <v>1.3542491739378293E-2</v>
      </c>
      <c r="J671" s="120" t="s">
        <v>3</v>
      </c>
    </row>
    <row r="672" spans="1:10" x14ac:dyDescent="0.25">
      <c r="A672" s="126">
        <v>650</v>
      </c>
      <c r="B672" s="119"/>
      <c r="C672" s="136">
        <f>_xll.mirGetDate(C671,"1D","FOLLOWING",D$12,"NORMAL")</f>
        <v>43360</v>
      </c>
      <c r="D672" s="20">
        <f>_xll.mirGetDate(C672,D$17,"Following",D$12,"Normal")</f>
        <v>43361</v>
      </c>
      <c r="E672" s="134">
        <f ca="1"/>
        <v>1.0227173032770801E-2</v>
      </c>
      <c r="F672" s="7" t="s">
        <v>3</v>
      </c>
      <c r="G672" s="136">
        <f t="shared" si="10"/>
        <v>43360</v>
      </c>
      <c r="H672" s="20">
        <f>_xll.mirGetDate(G672,H$17,"Following",H$12,"Normal")</f>
        <v>43451</v>
      </c>
      <c r="I672" s="134">
        <f ca="1"/>
        <v>1.3563041762933411E-2</v>
      </c>
      <c r="J672" s="120" t="s">
        <v>3</v>
      </c>
    </row>
    <row r="673" spans="1:10" x14ac:dyDescent="0.25">
      <c r="A673" s="126">
        <v>651</v>
      </c>
      <c r="B673" s="119"/>
      <c r="C673" s="136">
        <f>_xll.mirGetDate(C672,"1D","FOLLOWING",D$12,"NORMAL")</f>
        <v>43361</v>
      </c>
      <c r="D673" s="20">
        <f>_xll.mirGetDate(C673,D$17,"Following",D$12,"Normal")</f>
        <v>43362</v>
      </c>
      <c r="E673" s="134">
        <f ca="1"/>
        <v>1.0229552790361788E-2</v>
      </c>
      <c r="F673" s="7" t="s">
        <v>3</v>
      </c>
      <c r="G673" s="136">
        <f t="shared" si="10"/>
        <v>43361</v>
      </c>
      <c r="H673" s="20">
        <f>_xll.mirGetDate(G673,H$17,"Following",H$12,"Normal")</f>
        <v>43452</v>
      </c>
      <c r="I673" s="134">
        <f ca="1"/>
        <v>1.3570032609705369E-2</v>
      </c>
      <c r="J673" s="120" t="s">
        <v>3</v>
      </c>
    </row>
    <row r="674" spans="1:10" x14ac:dyDescent="0.25">
      <c r="A674" s="126">
        <v>652</v>
      </c>
      <c r="B674" s="119"/>
      <c r="C674" s="136">
        <f>_xll.mirGetDate(C673,"1D","FOLLOWING",D$12,"NORMAL")</f>
        <v>43362</v>
      </c>
      <c r="D674" s="20">
        <f>_xll.mirGetDate(C674,D$17,"Following",D$12,"Normal")</f>
        <v>43363</v>
      </c>
      <c r="E674" s="134">
        <f ca="1"/>
        <v>1.023196939112129E-2</v>
      </c>
      <c r="F674" s="7" t="s">
        <v>3</v>
      </c>
      <c r="G674" s="136">
        <f t="shared" si="10"/>
        <v>43362</v>
      </c>
      <c r="H674" s="20">
        <f>_xll.mirGetDate(G674,H$17,"Following",H$12,"Normal")</f>
        <v>43453</v>
      </c>
      <c r="I674" s="134">
        <f ca="1"/>
        <v>1.3577114068651674E-2</v>
      </c>
      <c r="J674" s="120" t="s">
        <v>3</v>
      </c>
    </row>
    <row r="675" spans="1:10" x14ac:dyDescent="0.25">
      <c r="A675" s="126">
        <v>653</v>
      </c>
      <c r="B675" s="119"/>
      <c r="C675" s="136">
        <f>_xll.mirGetDate(C674,"1D","FOLLOWING",D$12,"NORMAL")</f>
        <v>43363</v>
      </c>
      <c r="D675" s="20">
        <f>_xll.mirGetDate(C675,D$17,"Following",D$12,"Normal")</f>
        <v>43364</v>
      </c>
      <c r="E675" s="134">
        <f ca="1"/>
        <v>1.0234422838966176E-2</v>
      </c>
      <c r="F675" s="7" t="s">
        <v>3</v>
      </c>
      <c r="G675" s="136">
        <f t="shared" si="10"/>
        <v>43363</v>
      </c>
      <c r="H675" s="20">
        <f>_xll.mirGetDate(G675,H$17,"Following",H$12,"Normal")</f>
        <v>43454</v>
      </c>
      <c r="I675" s="134">
        <f ca="1"/>
        <v>1.3584287554338614E-2</v>
      </c>
      <c r="J675" s="120" t="s">
        <v>3</v>
      </c>
    </row>
    <row r="676" spans="1:10" x14ac:dyDescent="0.25">
      <c r="A676" s="126">
        <v>654</v>
      </c>
      <c r="B676" s="119"/>
      <c r="C676" s="136">
        <f>_xll.mirGetDate(C675,"1D","FOLLOWING",D$12,"NORMAL")</f>
        <v>43364</v>
      </c>
      <c r="D676" s="20">
        <f>_xll.mirGetDate(C676,D$17,"Following",D$12,"Normal")</f>
        <v>43367</v>
      </c>
      <c r="E676" s="134">
        <f ca="1"/>
        <v>1.0239743822886319E-2</v>
      </c>
      <c r="F676" s="7" t="s">
        <v>3</v>
      </c>
      <c r="G676" s="136">
        <f t="shared" si="10"/>
        <v>43364</v>
      </c>
      <c r="H676" s="20">
        <f>_xll.mirGetDate(G676,H$17,"Following",H$12,"Normal")</f>
        <v>43455</v>
      </c>
      <c r="I676" s="134">
        <f ca="1"/>
        <v>1.3591544647636084E-2</v>
      </c>
      <c r="J676" s="120" t="s">
        <v>3</v>
      </c>
    </row>
    <row r="677" spans="1:10" x14ac:dyDescent="0.25">
      <c r="A677" s="126">
        <v>655</v>
      </c>
      <c r="B677" s="119"/>
      <c r="C677" s="136">
        <f>_xll.mirGetDate(C676,"1D","FOLLOWING",D$12,"NORMAL")</f>
        <v>43367</v>
      </c>
      <c r="D677" s="20">
        <f>_xll.mirGetDate(C677,D$17,"Following",D$12,"Normal")</f>
        <v>43368</v>
      </c>
      <c r="E677" s="134">
        <f ca="1"/>
        <v>1.0244605187850234E-2</v>
      </c>
      <c r="F677" s="7" t="s">
        <v>3</v>
      </c>
      <c r="G677" s="136">
        <f t="shared" si="10"/>
        <v>43367</v>
      </c>
      <c r="H677" s="20">
        <f>_xll.mirGetDate(G677,H$17,"Following",H$12,"Normal")</f>
        <v>43458</v>
      </c>
      <c r="I677" s="134">
        <f ca="1"/>
        <v>1.3613791224031209E-2</v>
      </c>
      <c r="J677" s="120" t="s">
        <v>3</v>
      </c>
    </row>
    <row r="678" spans="1:10" x14ac:dyDescent="0.25">
      <c r="A678" s="126">
        <v>656</v>
      </c>
      <c r="B678" s="119"/>
      <c r="C678" s="136">
        <f>_xll.mirGetDate(C677,"1D","FOLLOWING",D$12,"NORMAL")</f>
        <v>43368</v>
      </c>
      <c r="D678" s="20">
        <f>_xll.mirGetDate(C678,D$17,"Following",D$12,"Normal")</f>
        <v>43369</v>
      </c>
      <c r="E678" s="134">
        <f ca="1"/>
        <v>1.0247242935470561E-2</v>
      </c>
      <c r="F678" s="7" t="s">
        <v>3</v>
      </c>
      <c r="G678" s="136">
        <f t="shared" si="10"/>
        <v>43368</v>
      </c>
      <c r="H678" s="20">
        <f>_xll.mirGetDate(G678,H$17,"Following",H$12,"Normal")</f>
        <v>43460</v>
      </c>
      <c r="I678" s="134">
        <f ca="1"/>
        <v>1.3621356398610328E-2</v>
      </c>
      <c r="J678" s="120" t="s">
        <v>3</v>
      </c>
    </row>
    <row r="679" spans="1:10" x14ac:dyDescent="0.25">
      <c r="A679" s="126">
        <v>657</v>
      </c>
      <c r="B679" s="119"/>
      <c r="C679" s="136">
        <f>_xll.mirGetDate(C678,"1D","FOLLOWING",D$12,"NORMAL")</f>
        <v>43369</v>
      </c>
      <c r="D679" s="20">
        <f>_xll.mirGetDate(C679,D$17,"Following",D$12,"Normal")</f>
        <v>43370</v>
      </c>
      <c r="E679" s="134">
        <f ca="1"/>
        <v>1.0249917555835745E-2</v>
      </c>
      <c r="F679" s="7" t="s">
        <v>3</v>
      </c>
      <c r="G679" s="136">
        <f t="shared" si="10"/>
        <v>43369</v>
      </c>
      <c r="H679" s="20">
        <f>_xll.mirGetDate(G679,H$17,"Following",H$12,"Normal")</f>
        <v>43460</v>
      </c>
      <c r="I679" s="134">
        <f ca="1"/>
        <v>1.3628992006219745E-2</v>
      </c>
      <c r="J679" s="120" t="s">
        <v>3</v>
      </c>
    </row>
    <row r="680" spans="1:10" x14ac:dyDescent="0.25">
      <c r="A680" s="126">
        <v>658</v>
      </c>
      <c r="B680" s="119"/>
      <c r="C680" s="136">
        <f>_xll.mirGetDate(C679,"1D","FOLLOWING",D$12,"NORMAL")</f>
        <v>43370</v>
      </c>
      <c r="D680" s="20">
        <f>_xll.mirGetDate(C680,D$17,"Following",D$12,"Normal")</f>
        <v>43371</v>
      </c>
      <c r="E680" s="134">
        <f ca="1"/>
        <v>1.0252629053102461E-2</v>
      </c>
      <c r="F680" s="7" t="s">
        <v>3</v>
      </c>
      <c r="G680" s="136">
        <f t="shared" si="10"/>
        <v>43370</v>
      </c>
      <c r="H680" s="20">
        <f>_xll.mirGetDate(G680,H$17,"Following",H$12,"Normal")</f>
        <v>43461</v>
      </c>
      <c r="I680" s="134">
        <f ca="1"/>
        <v>1.3636695411943411E-2</v>
      </c>
      <c r="J680" s="120" t="s">
        <v>3</v>
      </c>
    </row>
    <row r="681" spans="1:10" x14ac:dyDescent="0.25">
      <c r="A681" s="126">
        <v>659</v>
      </c>
      <c r="B681" s="119"/>
      <c r="C681" s="136">
        <f>_xll.mirGetDate(C680,"1D","FOLLOWING",D$12,"NORMAL")</f>
        <v>43371</v>
      </c>
      <c r="D681" s="20">
        <f>_xll.mirGetDate(C681,D$17,"Following",D$12,"Normal")</f>
        <v>43374</v>
      </c>
      <c r="E681" s="134">
        <f ca="1"/>
        <v>1.0258467300614563E-2</v>
      </c>
      <c r="F681" s="7" t="s">
        <v>3</v>
      </c>
      <c r="G681" s="136">
        <f t="shared" si="10"/>
        <v>43371</v>
      </c>
      <c r="H681" s="20">
        <f>_xll.mirGetDate(G681,H$17,"Following",H$12,"Normal")</f>
        <v>43462</v>
      </c>
      <c r="I681" s="134">
        <f ca="1"/>
        <v>1.3644463980865275E-2</v>
      </c>
      <c r="J681" s="120" t="s">
        <v>3</v>
      </c>
    </row>
    <row r="682" spans="1:10" x14ac:dyDescent="0.25">
      <c r="A682" s="126">
        <v>660</v>
      </c>
      <c r="B682" s="119"/>
      <c r="C682" s="136">
        <f>_xll.mirGetDate(C681,"1D","FOLLOWING",D$12,"NORMAL")</f>
        <v>43374</v>
      </c>
      <c r="D682" s="20">
        <f>_xll.mirGetDate(C682,D$17,"Following",D$12,"Normal")</f>
        <v>43375</v>
      </c>
      <c r="E682" s="134">
        <f ca="1"/>
        <v>1.0263843896236616E-2</v>
      </c>
      <c r="F682" s="7" t="s">
        <v>3</v>
      </c>
      <c r="G682" s="136">
        <f t="shared" si="10"/>
        <v>43374</v>
      </c>
      <c r="H682" s="20">
        <f>_xll.mirGetDate(G682,H$17,"Following",H$12,"Normal")</f>
        <v>43467</v>
      </c>
      <c r="I682" s="134">
        <f ca="1"/>
        <v>1.3668134317659604E-2</v>
      </c>
      <c r="J682" s="120" t="s">
        <v>3</v>
      </c>
    </row>
    <row r="683" spans="1:10" x14ac:dyDescent="0.25">
      <c r="A683" s="126">
        <v>661</v>
      </c>
      <c r="B683" s="119"/>
      <c r="C683" s="136">
        <f>_xll.mirGetDate(C682,"1D","FOLLOWING",D$12,"NORMAL")</f>
        <v>43375</v>
      </c>
      <c r="D683" s="20">
        <f>_xll.mirGetDate(C683,D$17,"Following",D$12,"Normal")</f>
        <v>43376</v>
      </c>
      <c r="E683" s="134">
        <f ca="1"/>
        <v>1.0266739841879905E-2</v>
      </c>
      <c r="F683" s="7" t="s">
        <v>3</v>
      </c>
      <c r="G683" s="136">
        <f t="shared" si="10"/>
        <v>43375</v>
      </c>
      <c r="H683" s="20">
        <f>_xll.mirGetDate(G683,H$17,"Following",H$12,"Normal")</f>
        <v>43467</v>
      </c>
      <c r="I683" s="134">
        <f ca="1"/>
        <v>1.3676137190213801E-2</v>
      </c>
      <c r="J683" s="120" t="s">
        <v>3</v>
      </c>
    </row>
    <row r="684" spans="1:10" x14ac:dyDescent="0.25">
      <c r="A684" s="126">
        <v>662</v>
      </c>
      <c r="B684" s="119"/>
      <c r="C684" s="136">
        <f>_xll.mirGetDate(C683,"1D","FOLLOWING",D$12,"NORMAL")</f>
        <v>43376</v>
      </c>
      <c r="D684" s="20">
        <f>_xll.mirGetDate(C684,D$17,"Following",D$12,"Normal")</f>
        <v>43377</v>
      </c>
      <c r="E684" s="134">
        <f ca="1"/>
        <v>1.0269672689924328E-2</v>
      </c>
      <c r="F684" s="7" t="s">
        <v>3</v>
      </c>
      <c r="G684" s="136">
        <f t="shared" si="10"/>
        <v>43376</v>
      </c>
      <c r="H684" s="20">
        <f>_xll.mirGetDate(G684,H$17,"Following",H$12,"Normal")</f>
        <v>43468</v>
      </c>
      <c r="I684" s="134">
        <f ca="1"/>
        <v>1.3684192051385963E-2</v>
      </c>
      <c r="J684" s="120" t="s">
        <v>3</v>
      </c>
    </row>
    <row r="685" spans="1:10" x14ac:dyDescent="0.25">
      <c r="A685" s="126">
        <v>663</v>
      </c>
      <c r="B685" s="119"/>
      <c r="C685" s="136">
        <f>_xll.mirGetDate(C684,"1D","FOLLOWING",D$12,"NORMAL")</f>
        <v>43377</v>
      </c>
      <c r="D685" s="20">
        <f>_xll.mirGetDate(C685,D$17,"Following",D$12,"Normal")</f>
        <v>43378</v>
      </c>
      <c r="E685" s="134">
        <f ca="1"/>
        <v>1.027264244476637E-2</v>
      </c>
      <c r="F685" s="7" t="s">
        <v>3</v>
      </c>
      <c r="G685" s="136">
        <f t="shared" si="10"/>
        <v>43377</v>
      </c>
      <c r="H685" s="20">
        <f>_xll.mirGetDate(G685,H$17,"Following",H$12,"Normal")</f>
        <v>43469</v>
      </c>
      <c r="I685" s="134">
        <f ca="1"/>
        <v>1.369229626626004E-2</v>
      </c>
      <c r="J685" s="120" t="s">
        <v>3</v>
      </c>
    </row>
    <row r="686" spans="1:10" x14ac:dyDescent="0.25">
      <c r="A686" s="126">
        <v>664</v>
      </c>
      <c r="B686" s="119"/>
      <c r="C686" s="136">
        <f>_xll.mirGetDate(C685,"1D","FOLLOWING",D$12,"NORMAL")</f>
        <v>43378</v>
      </c>
      <c r="D686" s="20">
        <f>_xll.mirGetDate(C686,D$17,"Following",D$12,"Normal")</f>
        <v>43382</v>
      </c>
      <c r="E686" s="134">
        <f ca="1"/>
        <v>1.0280691759421182E-2</v>
      </c>
      <c r="F686" s="7" t="s">
        <v>3</v>
      </c>
      <c r="G686" s="136">
        <f t="shared" si="10"/>
        <v>43378</v>
      </c>
      <c r="H686" s="20">
        <f>_xll.mirGetDate(G686,H$17,"Following",H$12,"Normal")</f>
        <v>43472</v>
      </c>
      <c r="I686" s="134">
        <f ca="1"/>
        <v>1.3700447199919988E-2</v>
      </c>
      <c r="J686" s="120" t="s">
        <v>3</v>
      </c>
    </row>
    <row r="687" spans="1:10" x14ac:dyDescent="0.25">
      <c r="A687" s="126">
        <v>665</v>
      </c>
      <c r="B687" s="119"/>
      <c r="C687" s="136">
        <f>_xll.mirGetDate(C686,"1D","FOLLOWING",D$12,"NORMAL")</f>
        <v>43382</v>
      </c>
      <c r="D687" s="20">
        <f>_xll.mirGetDate(C687,D$17,"Following",D$12,"Normal")</f>
        <v>43383</v>
      </c>
      <c r="E687" s="134">
        <f ca="1"/>
        <v>1.0288044969462043E-2</v>
      </c>
      <c r="F687" s="7" t="s">
        <v>3</v>
      </c>
      <c r="G687" s="136">
        <f t="shared" si="10"/>
        <v>43382</v>
      </c>
      <c r="H687" s="20">
        <f>_xll.mirGetDate(G687,H$17,"Following",H$12,"Normal")</f>
        <v>43474</v>
      </c>
      <c r="I687" s="134">
        <f ca="1"/>
        <v>1.3733465424097546E-2</v>
      </c>
      <c r="J687" s="120" t="s">
        <v>3</v>
      </c>
    </row>
    <row r="688" spans="1:10" x14ac:dyDescent="0.25">
      <c r="A688" s="126">
        <v>666</v>
      </c>
      <c r="B688" s="119"/>
      <c r="C688" s="136">
        <f>_xll.mirGetDate(C687,"1D","FOLLOWING",D$12,"NORMAL")</f>
        <v>43383</v>
      </c>
      <c r="D688" s="20">
        <f>_xll.mirGetDate(C688,D$17,"Following",D$12,"Normal")</f>
        <v>43384</v>
      </c>
      <c r="E688" s="134">
        <f ca="1"/>
        <v>1.0291236254458306E-2</v>
      </c>
      <c r="F688" s="7" t="s">
        <v>3</v>
      </c>
      <c r="G688" s="136">
        <f t="shared" si="10"/>
        <v>43383</v>
      </c>
      <c r="H688" s="20">
        <f>_xll.mirGetDate(G688,H$17,"Following",H$12,"Normal")</f>
        <v>43475</v>
      </c>
      <c r="I688" s="134">
        <f ca="1"/>
        <v>1.374181042794614E-2</v>
      </c>
      <c r="J688" s="120" t="s">
        <v>3</v>
      </c>
    </row>
    <row r="689" spans="1:10" x14ac:dyDescent="0.25">
      <c r="A689" s="126">
        <v>667</v>
      </c>
      <c r="B689" s="119"/>
      <c r="C689" s="136">
        <f>_xll.mirGetDate(C688,"1D","FOLLOWING",D$12,"NORMAL")</f>
        <v>43384</v>
      </c>
      <c r="D689" s="20">
        <f>_xll.mirGetDate(C689,D$17,"Following",D$12,"Normal")</f>
        <v>43385</v>
      </c>
      <c r="E689" s="134">
        <f ca="1"/>
        <v>1.0294464476148272E-2</v>
      </c>
      <c r="F689" s="7" t="s">
        <v>3</v>
      </c>
      <c r="G689" s="136">
        <f t="shared" si="10"/>
        <v>43384</v>
      </c>
      <c r="H689" s="20">
        <f>_xll.mirGetDate(G689,H$17,"Following",H$12,"Normal")</f>
        <v>43476</v>
      </c>
      <c r="I689" s="134">
        <f ca="1"/>
        <v>1.3750186341084322E-2</v>
      </c>
      <c r="J689" s="120" t="s">
        <v>3</v>
      </c>
    </row>
    <row r="690" spans="1:10" x14ac:dyDescent="0.25">
      <c r="A690" s="126">
        <v>668</v>
      </c>
      <c r="B690" s="119"/>
      <c r="C690" s="136">
        <f>_xll.mirGetDate(C689,"1D","FOLLOWING",D$12,"NORMAL")</f>
        <v>43385</v>
      </c>
      <c r="D690" s="20">
        <f>_xll.mirGetDate(C690,D$17,"Following",D$12,"Normal")</f>
        <v>43388</v>
      </c>
      <c r="E690" s="134">
        <f ca="1"/>
        <v>1.030133882049482E-2</v>
      </c>
      <c r="F690" s="7" t="s">
        <v>3</v>
      </c>
      <c r="G690" s="136">
        <f t="shared" si="10"/>
        <v>43385</v>
      </c>
      <c r="H690" s="20">
        <f>_xll.mirGetDate(G690,H$17,"Following",H$12,"Normal")</f>
        <v>43479</v>
      </c>
      <c r="I690" s="134">
        <f ca="1"/>
        <v>1.3758590528596043E-2</v>
      </c>
      <c r="J690" s="120" t="s">
        <v>3</v>
      </c>
    </row>
    <row r="691" spans="1:10" x14ac:dyDescent="0.25">
      <c r="A691" s="126">
        <v>669</v>
      </c>
      <c r="B691" s="119"/>
      <c r="C691" s="136">
        <f>_xll.mirGetDate(C690,"1D","FOLLOWING",D$12,"NORMAL")</f>
        <v>43388</v>
      </c>
      <c r="D691" s="20">
        <f>_xll.mirGetDate(C691,D$17,"Following",D$12,"Normal")</f>
        <v>43389</v>
      </c>
      <c r="E691" s="134">
        <f ca="1"/>
        <v>1.0307746816176114E-2</v>
      </c>
      <c r="F691" s="7" t="s">
        <v>3</v>
      </c>
      <c r="G691" s="136">
        <f t="shared" si="10"/>
        <v>43388</v>
      </c>
      <c r="H691" s="20">
        <f>_xll.mirGetDate(G691,H$17,"Following",H$12,"Normal")</f>
        <v>43480</v>
      </c>
      <c r="I691" s="134">
        <f ca="1"/>
        <v>1.3783946388211975E-2</v>
      </c>
      <c r="J691" s="120" t="s">
        <v>3</v>
      </c>
    </row>
    <row r="692" spans="1:10" x14ac:dyDescent="0.25">
      <c r="A692" s="126">
        <v>670</v>
      </c>
      <c r="B692" s="119"/>
      <c r="C692" s="136">
        <f>_xll.mirGetDate(C691,"1D","FOLLOWING",D$12,"NORMAL")</f>
        <v>43389</v>
      </c>
      <c r="D692" s="20">
        <f>_xll.mirGetDate(C692,D$17,"Following",D$12,"Normal")</f>
        <v>43390</v>
      </c>
      <c r="E692" s="134">
        <f ca="1"/>
        <v>1.0311159785922933E-2</v>
      </c>
      <c r="F692" s="7" t="s">
        <v>3</v>
      </c>
      <c r="G692" s="136">
        <f t="shared" si="10"/>
        <v>43389</v>
      </c>
      <c r="H692" s="20">
        <f>_xll.mirGetDate(G692,H$17,"Following",H$12,"Normal")</f>
        <v>43481</v>
      </c>
      <c r="I692" s="134">
        <f ca="1"/>
        <v>1.3792437324057386E-2</v>
      </c>
      <c r="J692" s="120" t="s">
        <v>3</v>
      </c>
    </row>
    <row r="693" spans="1:10" x14ac:dyDescent="0.25">
      <c r="A693" s="126">
        <v>671</v>
      </c>
      <c r="B693" s="119"/>
      <c r="C693" s="136">
        <f>_xll.mirGetDate(C692,"1D","FOLLOWING",D$12,"NORMAL")</f>
        <v>43390</v>
      </c>
      <c r="D693" s="20">
        <f>_xll.mirGetDate(C693,D$17,"Following",D$12,"Normal")</f>
        <v>43391</v>
      </c>
      <c r="E693" s="134">
        <f ca="1"/>
        <v>1.0314609718262738E-2</v>
      </c>
      <c r="F693" s="7" t="s">
        <v>3</v>
      </c>
      <c r="G693" s="136">
        <f t="shared" si="10"/>
        <v>43390</v>
      </c>
      <c r="H693" s="20">
        <f>_xll.mirGetDate(G693,H$17,"Following",H$12,"Normal")</f>
        <v>43482</v>
      </c>
      <c r="I693" s="134">
        <f ca="1"/>
        <v>1.3800943359696101E-2</v>
      </c>
      <c r="J693" s="120" t="s">
        <v>3</v>
      </c>
    </row>
    <row r="694" spans="1:10" x14ac:dyDescent="0.25">
      <c r="A694" s="126">
        <v>672</v>
      </c>
      <c r="B694" s="119"/>
      <c r="C694" s="136">
        <f>_xll.mirGetDate(C693,"1D","FOLLOWING",D$12,"NORMAL")</f>
        <v>43391</v>
      </c>
      <c r="D694" s="20">
        <f>_xll.mirGetDate(C694,D$17,"Following",D$12,"Normal")</f>
        <v>43392</v>
      </c>
      <c r="E694" s="134">
        <f ca="1"/>
        <v>1.0318096617512077E-2</v>
      </c>
      <c r="F694" s="7" t="s">
        <v>3</v>
      </c>
      <c r="G694" s="136">
        <f t="shared" si="10"/>
        <v>43391</v>
      </c>
      <c r="H694" s="20">
        <f>_xll.mirGetDate(G694,H$17,"Following",H$12,"Normal")</f>
        <v>43483</v>
      </c>
      <c r="I694" s="134">
        <f ca="1"/>
        <v>1.3809461860212072E-2</v>
      </c>
      <c r="J694" s="120" t="s">
        <v>3</v>
      </c>
    </row>
    <row r="695" spans="1:10" x14ac:dyDescent="0.25">
      <c r="A695" s="126">
        <v>673</v>
      </c>
      <c r="B695" s="119"/>
      <c r="C695" s="136">
        <f>_xll.mirGetDate(C694,"1D","FOLLOWING",D$12,"NORMAL")</f>
        <v>43392</v>
      </c>
      <c r="D695" s="20">
        <f>_xll.mirGetDate(C695,D$17,"Following",D$12,"Normal")</f>
        <v>43395</v>
      </c>
      <c r="E695" s="134">
        <f ca="1"/>
        <v>1.0325489801017477E-2</v>
      </c>
      <c r="F695" s="7" t="s">
        <v>3</v>
      </c>
      <c r="G695" s="136">
        <f t="shared" si="10"/>
        <v>43392</v>
      </c>
      <c r="H695" s="20">
        <f>_xll.mirGetDate(G695,H$17,"Following",H$12,"Normal")</f>
        <v>43487</v>
      </c>
      <c r="I695" s="134">
        <f ca="1"/>
        <v>1.3817990190689255E-2</v>
      </c>
      <c r="J695" s="120" t="s">
        <v>3</v>
      </c>
    </row>
    <row r="696" spans="1:10" x14ac:dyDescent="0.25">
      <c r="A696" s="126">
        <v>674</v>
      </c>
      <c r="B696" s="119"/>
      <c r="C696" s="136">
        <f>_xll.mirGetDate(C695,"1D","FOLLOWING",D$12,"NORMAL")</f>
        <v>43395</v>
      </c>
      <c r="D696" s="20">
        <f>_xll.mirGetDate(C696,D$17,"Following",D$12,"Normal")</f>
        <v>43396</v>
      </c>
      <c r="E696" s="134">
        <f ca="1"/>
        <v>1.0332413969376156E-2</v>
      </c>
      <c r="F696" s="7" t="s">
        <v>3</v>
      </c>
      <c r="G696" s="136">
        <f t="shared" si="10"/>
        <v>43395</v>
      </c>
      <c r="H696" s="20">
        <f>_xll.mirGetDate(G696,H$17,"Following",H$12,"Normal")</f>
        <v>43487</v>
      </c>
      <c r="I696" s="134">
        <f ca="1"/>
        <v>1.3843607812396552E-2</v>
      </c>
      <c r="J696" s="120" t="s">
        <v>3</v>
      </c>
    </row>
    <row r="697" spans="1:10" x14ac:dyDescent="0.25">
      <c r="A697" s="126">
        <v>675</v>
      </c>
      <c r="B697" s="119"/>
      <c r="C697" s="136">
        <f>_xll.mirGetDate(C696,"1D","FOLLOWING",D$12,"NORMAL")</f>
        <v>43396</v>
      </c>
      <c r="D697" s="20">
        <f>_xll.mirGetDate(C697,D$17,"Following",D$12,"Normal")</f>
        <v>43397</v>
      </c>
      <c r="E697" s="134">
        <f ca="1"/>
        <v>1.0336085767841433E-2</v>
      </c>
      <c r="F697" s="7" t="s">
        <v>3</v>
      </c>
      <c r="G697" s="136">
        <f t="shared" si="10"/>
        <v>43396</v>
      </c>
      <c r="H697" s="20">
        <f>_xll.mirGetDate(G697,H$17,"Following",H$12,"Normal")</f>
        <v>43488</v>
      </c>
      <c r="I697" s="134">
        <f ca="1"/>
        <v>1.3852149079240535E-2</v>
      </c>
      <c r="J697" s="120" t="s">
        <v>3</v>
      </c>
    </row>
    <row r="698" spans="1:10" x14ac:dyDescent="0.25">
      <c r="A698" s="126">
        <v>676</v>
      </c>
      <c r="B698" s="119"/>
      <c r="C698" s="136">
        <f>_xll.mirGetDate(C697,"1D","FOLLOWING",D$12,"NORMAL")</f>
        <v>43397</v>
      </c>
      <c r="D698" s="20">
        <f>_xll.mirGetDate(C698,D$17,"Following",D$12,"Normal")</f>
        <v>43398</v>
      </c>
      <c r="E698" s="134">
        <f ca="1"/>
        <v>1.033979455903559E-2</v>
      </c>
      <c r="F698" s="7" t="s">
        <v>3</v>
      </c>
      <c r="G698" s="136">
        <f t="shared" si="10"/>
        <v>43397</v>
      </c>
      <c r="H698" s="20">
        <f>_xll.mirGetDate(G698,H$17,"Following",H$12,"Normal")</f>
        <v>43489</v>
      </c>
      <c r="I698" s="134">
        <f ca="1"/>
        <v>1.3860686872439494E-2</v>
      </c>
      <c r="J698" s="120" t="s">
        <v>3</v>
      </c>
    </row>
    <row r="699" spans="1:10" x14ac:dyDescent="0.25">
      <c r="A699" s="126">
        <v>677</v>
      </c>
      <c r="B699" s="119"/>
      <c r="C699" s="136">
        <f>_xll.mirGetDate(C698,"1D","FOLLOWING",D$12,"NORMAL")</f>
        <v>43398</v>
      </c>
      <c r="D699" s="20">
        <f>_xll.mirGetDate(C699,D$17,"Following",D$12,"Normal")</f>
        <v>43399</v>
      </c>
      <c r="E699" s="134">
        <f ca="1"/>
        <v>1.0343540347594918E-2</v>
      </c>
      <c r="F699" s="7" t="s">
        <v>3</v>
      </c>
      <c r="G699" s="136">
        <f t="shared" si="10"/>
        <v>43398</v>
      </c>
      <c r="H699" s="20">
        <f>_xll.mirGetDate(G699,H$17,"Following",H$12,"Normal")</f>
        <v>43490</v>
      </c>
      <c r="I699" s="134">
        <f ca="1"/>
        <v>1.3869218455429728E-2</v>
      </c>
      <c r="J699" s="120" t="s">
        <v>3</v>
      </c>
    </row>
    <row r="700" spans="1:10" x14ac:dyDescent="0.25">
      <c r="A700" s="126">
        <v>678</v>
      </c>
      <c r="B700" s="119"/>
      <c r="C700" s="136">
        <f>_xll.mirGetDate(C699,"1D","FOLLOWING",D$12,"NORMAL")</f>
        <v>43399</v>
      </c>
      <c r="D700" s="20">
        <f>_xll.mirGetDate(C700,D$17,"Following",D$12,"Normal")</f>
        <v>43402</v>
      </c>
      <c r="E700" s="134">
        <f ca="1"/>
        <v>1.0351452902126504E-2</v>
      </c>
      <c r="F700" s="7" t="s">
        <v>3</v>
      </c>
      <c r="G700" s="136">
        <f t="shared" si="10"/>
        <v>43399</v>
      </c>
      <c r="H700" s="20">
        <f>_xll.mirGetDate(G700,H$17,"Following",H$12,"Normal")</f>
        <v>43493</v>
      </c>
      <c r="I700" s="134">
        <f ca="1"/>
        <v>1.3877741091647534E-2</v>
      </c>
      <c r="J700" s="120" t="s">
        <v>3</v>
      </c>
    </row>
    <row r="701" spans="1:10" x14ac:dyDescent="0.25">
      <c r="A701" s="126">
        <v>679</v>
      </c>
      <c r="B701" s="119"/>
      <c r="C701" s="136">
        <f>_xll.mirGetDate(C700,"1D","FOLLOWING",D$12,"NORMAL")</f>
        <v>43402</v>
      </c>
      <c r="D701" s="20">
        <f>_xll.mirGetDate(C701,D$17,"Following",D$12,"Normal")</f>
        <v>43403</v>
      </c>
      <c r="E701" s="134">
        <f ca="1"/>
        <v>1.0358893560615848E-2</v>
      </c>
      <c r="F701" s="7" t="s">
        <v>3</v>
      </c>
      <c r="G701" s="136">
        <f t="shared" si="10"/>
        <v>43402</v>
      </c>
      <c r="H701" s="20">
        <f>_xll.mirGetDate(G701,H$17,"Following",H$12,"Normal")</f>
        <v>43494</v>
      </c>
      <c r="I701" s="134">
        <f ca="1"/>
        <v>1.3903227954029391E-2</v>
      </c>
      <c r="J701" s="120" t="s">
        <v>3</v>
      </c>
    </row>
    <row r="702" spans="1:10" x14ac:dyDescent="0.25">
      <c r="A702" s="126">
        <v>680</v>
      </c>
      <c r="B702" s="119"/>
      <c r="C702" s="136">
        <f>_xll.mirGetDate(C701,"1D","FOLLOWING",D$12,"NORMAL")</f>
        <v>43403</v>
      </c>
      <c r="D702" s="20">
        <f>_xll.mirGetDate(C702,D$17,"Following",D$12,"Normal")</f>
        <v>43404</v>
      </c>
      <c r="E702" s="134">
        <f ca="1"/>
        <v>1.0362824400589369E-2</v>
      </c>
      <c r="F702" s="7" t="s">
        <v>3</v>
      </c>
      <c r="G702" s="136">
        <f t="shared" si="10"/>
        <v>43403</v>
      </c>
      <c r="H702" s="20">
        <f>_xll.mirGetDate(G702,H$17,"Following",H$12,"Normal")</f>
        <v>43495</v>
      </c>
      <c r="I702" s="134">
        <f ca="1"/>
        <v>1.3911687437520488E-2</v>
      </c>
      <c r="J702" s="120" t="s">
        <v>3</v>
      </c>
    </row>
    <row r="703" spans="1:10" x14ac:dyDescent="0.25">
      <c r="A703" s="126">
        <v>681</v>
      </c>
      <c r="B703" s="119"/>
      <c r="C703" s="136">
        <f>_xll.mirGetDate(C702,"1D","FOLLOWING",D$12,"NORMAL")</f>
        <v>43404</v>
      </c>
      <c r="D703" s="20">
        <f>_xll.mirGetDate(C703,D$17,"Following",D$12,"Normal")</f>
        <v>43405</v>
      </c>
      <c r="E703" s="134">
        <f ca="1"/>
        <v>1.0366792263827343E-2</v>
      </c>
      <c r="F703" s="7" t="s">
        <v>3</v>
      </c>
      <c r="G703" s="136">
        <f t="shared" si="10"/>
        <v>43404</v>
      </c>
      <c r="H703" s="20">
        <f>_xll.mirGetDate(G703,H$17,"Following",H$12,"Normal")</f>
        <v>43496</v>
      </c>
      <c r="I703" s="134">
        <f ca="1"/>
        <v>1.392012429142065E-2</v>
      </c>
      <c r="J703" s="120" t="s">
        <v>3</v>
      </c>
    </row>
    <row r="704" spans="1:10" x14ac:dyDescent="0.25">
      <c r="A704" s="126">
        <v>682</v>
      </c>
      <c r="B704" s="119"/>
      <c r="C704" s="136">
        <f>_xll.mirGetDate(C703,"1D","FOLLOWING",D$12,"NORMAL")</f>
        <v>43405</v>
      </c>
      <c r="D704" s="20">
        <f>_xll.mirGetDate(C704,D$17,"Following",D$12,"Normal")</f>
        <v>43406</v>
      </c>
      <c r="E704" s="134">
        <f ca="1"/>
        <v>1.0370797154806191E-2</v>
      </c>
      <c r="F704" s="7" t="s">
        <v>3</v>
      </c>
      <c r="G704" s="136">
        <f t="shared" si="10"/>
        <v>43405</v>
      </c>
      <c r="H704" s="20">
        <f>_xll.mirGetDate(G704,H$17,"Following",H$12,"Normal")</f>
        <v>43497</v>
      </c>
      <c r="I704" s="134">
        <f ca="1"/>
        <v>1.3928535779166187E-2</v>
      </c>
      <c r="J704" s="120" t="s">
        <v>3</v>
      </c>
    </row>
    <row r="705" spans="1:10" x14ac:dyDescent="0.25">
      <c r="A705" s="126">
        <v>683</v>
      </c>
      <c r="B705" s="119"/>
      <c r="C705" s="136">
        <f>_xll.mirGetDate(C704,"1D","FOLLOWING",D$12,"NORMAL")</f>
        <v>43406</v>
      </c>
      <c r="D705" s="20">
        <f>_xll.mirGetDate(C705,D$17,"Following",D$12,"Normal")</f>
        <v>43409</v>
      </c>
      <c r="E705" s="134">
        <f ca="1"/>
        <v>1.0379229615775679E-2</v>
      </c>
      <c r="F705" s="7" t="s">
        <v>3</v>
      </c>
      <c r="G705" s="136">
        <f t="shared" si="10"/>
        <v>43406</v>
      </c>
      <c r="H705" s="20">
        <f>_xll.mirGetDate(G705,H$17,"Following",H$12,"Normal")</f>
        <v>43500</v>
      </c>
      <c r="I705" s="134">
        <f ca="1"/>
        <v>1.3936919164193394E-2</v>
      </c>
      <c r="J705" s="120" t="s">
        <v>3</v>
      </c>
    </row>
    <row r="706" spans="1:10" x14ac:dyDescent="0.25">
      <c r="A706" s="126">
        <v>684</v>
      </c>
      <c r="B706" s="119"/>
      <c r="C706" s="136">
        <f>_xll.mirGetDate(C705,"1D","FOLLOWING",D$12,"NORMAL")</f>
        <v>43409</v>
      </c>
      <c r="D706" s="20">
        <f>_xll.mirGetDate(C706,D$17,"Following",D$12,"Normal")</f>
        <v>43410</v>
      </c>
      <c r="E706" s="134">
        <f ca="1"/>
        <v>1.0387187084059982E-2</v>
      </c>
      <c r="F706" s="7" t="s">
        <v>3</v>
      </c>
      <c r="G706" s="136">
        <f t="shared" si="10"/>
        <v>43409</v>
      </c>
      <c r="H706" s="20">
        <f>_xll.mirGetDate(G706,H$17,"Following",H$12,"Normal")</f>
        <v>43501</v>
      </c>
      <c r="I706" s="134">
        <f ca="1"/>
        <v>1.3961873337328023E-2</v>
      </c>
      <c r="J706" s="120" t="s">
        <v>3</v>
      </c>
    </row>
    <row r="707" spans="1:10" x14ac:dyDescent="0.25">
      <c r="A707" s="126">
        <v>685</v>
      </c>
      <c r="B707" s="119"/>
      <c r="C707" s="136">
        <f>_xll.mirGetDate(C706,"1D","FOLLOWING",D$12,"NORMAL")</f>
        <v>43410</v>
      </c>
      <c r="D707" s="20">
        <f>_xll.mirGetDate(C707,D$17,"Following",D$12,"Normal")</f>
        <v>43411</v>
      </c>
      <c r="E707" s="134">
        <f ca="1"/>
        <v>1.0391377179610509E-2</v>
      </c>
      <c r="F707" s="7" t="s">
        <v>3</v>
      </c>
      <c r="G707" s="136">
        <f t="shared" si="10"/>
        <v>43410</v>
      </c>
      <c r="H707" s="20">
        <f>_xll.mirGetDate(G707,H$17,"Following",H$12,"Normal")</f>
        <v>43502</v>
      </c>
      <c r="I707" s="134">
        <f ca="1"/>
        <v>1.3970116945844898E-2</v>
      </c>
      <c r="J707" s="120" t="s">
        <v>3</v>
      </c>
    </row>
    <row r="708" spans="1:10" x14ac:dyDescent="0.25">
      <c r="A708" s="126">
        <v>686</v>
      </c>
      <c r="B708" s="119"/>
      <c r="C708" s="136">
        <f>_xll.mirGetDate(C707,"1D","FOLLOWING",D$12,"NORMAL")</f>
        <v>43411</v>
      </c>
      <c r="D708" s="20">
        <f>_xll.mirGetDate(C708,D$17,"Following",D$12,"Normal")</f>
        <v>43412</v>
      </c>
      <c r="E708" s="134">
        <f ca="1"/>
        <v>1.0395604329360745E-2</v>
      </c>
      <c r="F708" s="7" t="s">
        <v>3</v>
      </c>
      <c r="G708" s="136">
        <f t="shared" si="10"/>
        <v>43411</v>
      </c>
      <c r="H708" s="20">
        <f>_xll.mirGetDate(G708,H$17,"Following",H$12,"Normal")</f>
        <v>43503</v>
      </c>
      <c r="I708" s="134">
        <f ca="1"/>
        <v>1.3978318768824941E-2</v>
      </c>
      <c r="J708" s="120" t="s">
        <v>3</v>
      </c>
    </row>
    <row r="709" spans="1:10" x14ac:dyDescent="0.25">
      <c r="A709" s="126">
        <v>687</v>
      </c>
      <c r="B709" s="119"/>
      <c r="C709" s="136">
        <f>_xll.mirGetDate(C708,"1D","FOLLOWING",D$12,"NORMAL")</f>
        <v>43412</v>
      </c>
      <c r="D709" s="20">
        <f>_xll.mirGetDate(C709,D$17,"Following",D$12,"Normal")</f>
        <v>43413</v>
      </c>
      <c r="E709" s="134">
        <f ca="1"/>
        <v>1.0399868537627236E-2</v>
      </c>
      <c r="F709" s="7" t="s">
        <v>3</v>
      </c>
      <c r="G709" s="136">
        <f t="shared" si="10"/>
        <v>43412</v>
      </c>
      <c r="H709" s="20">
        <f>_xll.mirGetDate(G709,H$17,"Following",H$12,"Normal")</f>
        <v>43504</v>
      </c>
      <c r="I709" s="134">
        <f ca="1"/>
        <v>1.3986476069704448E-2</v>
      </c>
      <c r="J709" s="120" t="s">
        <v>3</v>
      </c>
    </row>
    <row r="710" spans="1:10" x14ac:dyDescent="0.25">
      <c r="A710" s="126">
        <v>688</v>
      </c>
      <c r="B710" s="119"/>
      <c r="C710" s="136">
        <f>_xll.mirGetDate(C709,"1D","FOLLOWING",D$12,"NORMAL")</f>
        <v>43413</v>
      </c>
      <c r="D710" s="20">
        <f>_xll.mirGetDate(C710,D$17,"Following",D$12,"Normal")</f>
        <v>43417</v>
      </c>
      <c r="E710" s="134">
        <f ca="1"/>
        <v>1.0411165993697883E-2</v>
      </c>
      <c r="F710" s="7" t="s">
        <v>3</v>
      </c>
      <c r="G710" s="136">
        <f t="shared" si="10"/>
        <v>43413</v>
      </c>
      <c r="H710" s="20">
        <f>_xll.mirGetDate(G710,H$17,"Following",H$12,"Normal")</f>
        <v>43507</v>
      </c>
      <c r="I710" s="134">
        <f ca="1"/>
        <v>1.3994586111919723E-2</v>
      </c>
      <c r="J710" s="120" t="s">
        <v>3</v>
      </c>
    </row>
    <row r="711" spans="1:10" x14ac:dyDescent="0.25">
      <c r="A711" s="126">
        <v>689</v>
      </c>
      <c r="B711" s="119"/>
      <c r="C711" s="136">
        <f>_xll.mirGetDate(C710,"1D","FOLLOWING",D$12,"NORMAL")</f>
        <v>43417</v>
      </c>
      <c r="D711" s="20">
        <f>_xll.mirGetDate(C711,D$17,"Following",D$12,"Normal")</f>
        <v>43418</v>
      </c>
      <c r="E711" s="134">
        <f ca="1"/>
        <v>1.0421745611060055E-2</v>
      </c>
      <c r="F711" s="7" t="s">
        <v>3</v>
      </c>
      <c r="G711" s="136">
        <f t="shared" si="10"/>
        <v>43417</v>
      </c>
      <c r="H711" s="20">
        <f>_xll.mirGetDate(G711,H$17,"Following",H$12,"Normal")</f>
        <v>43509</v>
      </c>
      <c r="I711" s="134">
        <f ca="1"/>
        <v>1.402649896286446E-2</v>
      </c>
      <c r="J711" s="120" t="s">
        <v>3</v>
      </c>
    </row>
    <row r="712" spans="1:10" x14ac:dyDescent="0.25">
      <c r="A712" s="126">
        <v>690</v>
      </c>
      <c r="B712" s="119"/>
      <c r="C712" s="136">
        <f>_xll.mirGetDate(C711,"1D","FOLLOWING",D$12,"NORMAL")</f>
        <v>43418</v>
      </c>
      <c r="D712" s="20">
        <f>_xll.mirGetDate(C712,D$17,"Following",D$12,"Normal")</f>
        <v>43419</v>
      </c>
      <c r="E712" s="134">
        <f ca="1"/>
        <v>1.0426232263149907E-2</v>
      </c>
      <c r="F712" s="7" t="s">
        <v>3</v>
      </c>
      <c r="G712" s="136">
        <f t="shared" si="10"/>
        <v>43418</v>
      </c>
      <c r="H712" s="20">
        <f>_xll.mirGetDate(G712,H$17,"Following",H$12,"Normal")</f>
        <v>43510</v>
      </c>
      <c r="I712" s="134">
        <f ca="1"/>
        <v>1.403433166330305E-2</v>
      </c>
      <c r="J712" s="120" t="s">
        <v>3</v>
      </c>
    </row>
    <row r="713" spans="1:10" x14ac:dyDescent="0.25">
      <c r="A713" s="126">
        <v>691</v>
      </c>
      <c r="B713" s="119"/>
      <c r="C713" s="136">
        <f>_xll.mirGetDate(C712,"1D","FOLLOWING",D$12,"NORMAL")</f>
        <v>43419</v>
      </c>
      <c r="D713" s="20">
        <f>_xll.mirGetDate(C713,D$17,"Following",D$12,"Normal")</f>
        <v>43420</v>
      </c>
      <c r="E713" s="134">
        <f ca="1"/>
        <v>1.0430756004851141E-2</v>
      </c>
      <c r="F713" s="7" t="s">
        <v>3</v>
      </c>
      <c r="G713" s="136">
        <f t="shared" si="10"/>
        <v>43419</v>
      </c>
      <c r="H713" s="20">
        <f>_xll.mirGetDate(G713,H$17,"Following",H$12,"Normal")</f>
        <v>43511</v>
      </c>
      <c r="I713" s="134">
        <f ca="1"/>
        <v>1.4042100685695199E-2</v>
      </c>
      <c r="J713" s="120" t="s">
        <v>3</v>
      </c>
    </row>
    <row r="714" spans="1:10" x14ac:dyDescent="0.25">
      <c r="A714" s="126">
        <v>692</v>
      </c>
      <c r="B714" s="119"/>
      <c r="C714" s="136">
        <f>_xll.mirGetDate(C713,"1D","FOLLOWING",D$12,"NORMAL")</f>
        <v>43420</v>
      </c>
      <c r="D714" s="20">
        <f>_xll.mirGetDate(C714,D$17,"Following",D$12,"Normal")</f>
        <v>43423</v>
      </c>
      <c r="E714" s="134">
        <f ca="1"/>
        <v>1.0440229900838852E-2</v>
      </c>
      <c r="F714" s="7" t="s">
        <v>3</v>
      </c>
      <c r="G714" s="136">
        <f t="shared" si="10"/>
        <v>43420</v>
      </c>
      <c r="H714" s="20">
        <f>_xll.mirGetDate(G714,H$17,"Following",H$12,"Normal")</f>
        <v>43515</v>
      </c>
      <c r="I714" s="134">
        <f ca="1"/>
        <v>1.4049803293477211E-2</v>
      </c>
      <c r="J714" s="120" t="s">
        <v>3</v>
      </c>
    </row>
    <row r="715" spans="1:10" x14ac:dyDescent="0.25">
      <c r="A715" s="126">
        <v>693</v>
      </c>
      <c r="B715" s="119"/>
      <c r="C715" s="136">
        <f>_xll.mirGetDate(C714,"1D","FOLLOWING",D$12,"NORMAL")</f>
        <v>43423</v>
      </c>
      <c r="D715" s="20">
        <f>_xll.mirGetDate(C715,D$17,"Following",D$12,"Normal")</f>
        <v>43424</v>
      </c>
      <c r="E715" s="134">
        <f ca="1"/>
        <v>1.0449221955699564E-2</v>
      </c>
      <c r="F715" s="7" t="s">
        <v>3</v>
      </c>
      <c r="G715" s="136">
        <f t="shared" si="10"/>
        <v>43423</v>
      </c>
      <c r="H715" s="20">
        <f>_xll.mirGetDate(G715,H$17,"Following",H$12,"Normal")</f>
        <v>43515</v>
      </c>
      <c r="I715" s="134">
        <f ca="1"/>
        <v>1.4072485263525404E-2</v>
      </c>
      <c r="J715" s="120" t="s">
        <v>3</v>
      </c>
    </row>
    <row r="716" spans="1:10" x14ac:dyDescent="0.25">
      <c r="A716" s="126">
        <v>694</v>
      </c>
      <c r="B716" s="119"/>
      <c r="C716" s="136">
        <f>_xll.mirGetDate(C715,"1D","FOLLOWING",D$12,"NORMAL")</f>
        <v>43424</v>
      </c>
      <c r="D716" s="20">
        <f>_xll.mirGetDate(C716,D$17,"Following",D$12,"Normal")</f>
        <v>43425</v>
      </c>
      <c r="E716" s="134">
        <f ca="1"/>
        <v>1.0453931211724702E-2</v>
      </c>
      <c r="F716" s="7" t="s">
        <v>3</v>
      </c>
      <c r="G716" s="136">
        <f t="shared" si="10"/>
        <v>43424</v>
      </c>
      <c r="H716" s="20">
        <f>_xll.mirGetDate(G716,H$17,"Following",H$12,"Normal")</f>
        <v>43516</v>
      </c>
      <c r="I716" s="134">
        <f ca="1"/>
        <v>1.4079894847229855E-2</v>
      </c>
      <c r="J716" s="120" t="s">
        <v>3</v>
      </c>
    </row>
    <row r="717" spans="1:10" x14ac:dyDescent="0.25">
      <c r="A717" s="126">
        <v>695</v>
      </c>
      <c r="B717" s="119"/>
      <c r="C717" s="136">
        <f>_xll.mirGetDate(C716,"1D","FOLLOWING",D$12,"NORMAL")</f>
        <v>43425</v>
      </c>
      <c r="D717" s="20">
        <f>_xll.mirGetDate(C717,D$17,"Following",D$12,"Normal")</f>
        <v>43427</v>
      </c>
      <c r="E717" s="134">
        <f ca="1"/>
        <v>1.0461221322239958E-2</v>
      </c>
      <c r="F717" s="7" t="s">
        <v>3</v>
      </c>
      <c r="G717" s="136">
        <f t="shared" si="10"/>
        <v>43425</v>
      </c>
      <c r="H717" s="20">
        <f>_xll.mirGetDate(G717,H$17,"Following",H$12,"Normal")</f>
        <v>43517</v>
      </c>
      <c r="I717" s="134">
        <f ca="1"/>
        <v>1.4087224333505661E-2</v>
      </c>
      <c r="J717" s="120" t="s">
        <v>3</v>
      </c>
    </row>
    <row r="718" spans="1:10" x14ac:dyDescent="0.25">
      <c r="A718" s="126">
        <v>696</v>
      </c>
      <c r="B718" s="119"/>
      <c r="C718" s="136">
        <f>_xll.mirGetDate(C717,"1D","FOLLOWING",D$12,"NORMAL")</f>
        <v>43427</v>
      </c>
      <c r="D718" s="20">
        <f>_xll.mirGetDate(C718,D$17,"Following",D$12,"Normal")</f>
        <v>43430</v>
      </c>
      <c r="E718" s="134">
        <f ca="1"/>
        <v>1.0468644109478157E-2</v>
      </c>
      <c r="F718" s="7" t="s">
        <v>3</v>
      </c>
      <c r="G718" s="136">
        <f t="shared" si="10"/>
        <v>43427</v>
      </c>
      <c r="H718" s="20">
        <f>_xll.mirGetDate(G718,H$17,"Following",H$12,"Normal")</f>
        <v>43521</v>
      </c>
      <c r="I718" s="134">
        <f ca="1"/>
        <v>1.4101632067516544E-2</v>
      </c>
      <c r="J718" s="120" t="s">
        <v>3</v>
      </c>
    </row>
    <row r="719" spans="1:10" x14ac:dyDescent="0.25">
      <c r="A719" s="126">
        <v>697</v>
      </c>
      <c r="B719" s="119"/>
      <c r="C719" s="136">
        <f>_xll.mirGetDate(C718,"1D","FOLLOWING",D$12,"NORMAL")</f>
        <v>43430</v>
      </c>
      <c r="D719" s="20">
        <f>_xll.mirGetDate(C719,D$17,"Following",D$12,"Normal")</f>
        <v>43431</v>
      </c>
      <c r="E719" s="134">
        <f ca="1"/>
        <v>1.0471819209927383E-2</v>
      </c>
      <c r="F719" s="7" t="s">
        <v>3</v>
      </c>
      <c r="G719" s="136">
        <f t="shared" si="10"/>
        <v>43430</v>
      </c>
      <c r="H719" s="20">
        <f>_xll.mirGetDate(G719,H$17,"Following",H$12,"Normal")</f>
        <v>43522</v>
      </c>
      <c r="I719" s="134">
        <f ca="1"/>
        <v>1.4122869693572324E-2</v>
      </c>
      <c r="J719" s="120" t="s">
        <v>3</v>
      </c>
    </row>
    <row r="720" spans="1:10" x14ac:dyDescent="0.25">
      <c r="A720" s="126">
        <v>698</v>
      </c>
      <c r="B720" s="119"/>
      <c r="C720" s="136">
        <f>_xll.mirGetDate(C719,"1D","FOLLOWING",D$12,"NORMAL")</f>
        <v>43431</v>
      </c>
      <c r="D720" s="20">
        <f>_xll.mirGetDate(C720,D$17,"Following",D$12,"Normal")</f>
        <v>43432</v>
      </c>
      <c r="E720" s="134">
        <f ca="1"/>
        <v>1.047367158913573E-2</v>
      </c>
      <c r="F720" s="7" t="s">
        <v>3</v>
      </c>
      <c r="G720" s="136">
        <f t="shared" si="10"/>
        <v>43431</v>
      </c>
      <c r="H720" s="20">
        <f>_xll.mirGetDate(G720,H$17,"Following",H$12,"Normal")</f>
        <v>43523</v>
      </c>
      <c r="I720" s="134">
        <f ca="1"/>
        <v>1.4129896663847227E-2</v>
      </c>
      <c r="J720" s="120" t="s">
        <v>3</v>
      </c>
    </row>
    <row r="721" spans="1:10" x14ac:dyDescent="0.25">
      <c r="A721" s="126">
        <v>699</v>
      </c>
      <c r="B721" s="119"/>
      <c r="C721" s="136">
        <f>_xll.mirGetDate(C720,"1D","FOLLOWING",D$12,"NORMAL")</f>
        <v>43432</v>
      </c>
      <c r="D721" s="20">
        <f>_xll.mirGetDate(C721,D$17,"Following",D$12,"Normal")</f>
        <v>43433</v>
      </c>
      <c r="E721" s="134">
        <f ca="1"/>
        <v>1.0475591554843825E-2</v>
      </c>
      <c r="F721" s="7" t="s">
        <v>3</v>
      </c>
      <c r="G721" s="136">
        <f t="shared" si="10"/>
        <v>43432</v>
      </c>
      <c r="H721" s="20">
        <f>_xll.mirGetDate(G721,H$17,"Following",H$12,"Normal")</f>
        <v>43524</v>
      </c>
      <c r="I721" s="134">
        <f ca="1"/>
        <v>1.4136896678890676E-2</v>
      </c>
      <c r="J721" s="120" t="s">
        <v>3</v>
      </c>
    </row>
    <row r="722" spans="1:10" x14ac:dyDescent="0.25">
      <c r="A722" s="126">
        <v>700</v>
      </c>
      <c r="B722" s="119"/>
      <c r="C722" s="136">
        <f>_xll.mirGetDate(C721,"1D","FOLLOWING",D$12,"NORMAL")</f>
        <v>43433</v>
      </c>
      <c r="D722" s="20">
        <f>_xll.mirGetDate(C722,D$17,"Following",D$12,"Normal")</f>
        <v>43434</v>
      </c>
      <c r="E722" s="134">
        <f ca="1"/>
        <v>1.0477579115040251E-2</v>
      </c>
      <c r="F722" s="7" t="s">
        <v>3</v>
      </c>
      <c r="G722" s="136">
        <f t="shared" si="10"/>
        <v>43433</v>
      </c>
      <c r="H722" s="20">
        <f>_xll.mirGetDate(G722,H$17,"Following",H$12,"Normal")</f>
        <v>43524</v>
      </c>
      <c r="I722" s="134">
        <f ca="1"/>
        <v>1.4143869237086906E-2</v>
      </c>
      <c r="J722" s="120" t="s">
        <v>3</v>
      </c>
    </row>
    <row r="723" spans="1:10" x14ac:dyDescent="0.25">
      <c r="A723" s="126">
        <v>701</v>
      </c>
      <c r="B723" s="119"/>
      <c r="C723" s="136">
        <f>_xll.mirGetDate(C722,"1D","FOLLOWING",D$12,"NORMAL")</f>
        <v>43434</v>
      </c>
      <c r="D723" s="20">
        <f>_xll.mirGetDate(C723,D$17,"Following",D$12,"Normal")</f>
        <v>43437</v>
      </c>
      <c r="E723" s="134">
        <f ca="1"/>
        <v>1.048208478074745E-2</v>
      </c>
      <c r="F723" s="7" t="s">
        <v>3</v>
      </c>
      <c r="G723" s="136">
        <f t="shared" si="10"/>
        <v>43434</v>
      </c>
      <c r="H723" s="20">
        <f>_xll.mirGetDate(G723,H$17,"Following",H$12,"Normal")</f>
        <v>43524</v>
      </c>
      <c r="I723" s="134">
        <f ca="1"/>
        <v>1.415081383682015E-2</v>
      </c>
      <c r="J723" s="120" t="s">
        <v>3</v>
      </c>
    </row>
    <row r="724" spans="1:10" x14ac:dyDescent="0.25">
      <c r="A724" s="126">
        <v>702</v>
      </c>
      <c r="B724" s="119"/>
      <c r="C724" s="136">
        <f>_xll.mirGetDate(C723,"1D","FOLLOWING",D$12,"NORMAL")</f>
        <v>43437</v>
      </c>
      <c r="D724" s="20">
        <f>_xll.mirGetDate(C724,D$17,"Following",D$12,"Normal")</f>
        <v>43438</v>
      </c>
      <c r="E724" s="134">
        <f ca="1"/>
        <v>1.0486205458200041E-2</v>
      </c>
      <c r="F724" s="7" t="s">
        <v>3</v>
      </c>
      <c r="G724" s="136">
        <f t="shared" si="10"/>
        <v>43437</v>
      </c>
      <c r="H724" s="20">
        <f>_xll.mirGetDate(G724,H$17,"Following",H$12,"Normal")</f>
        <v>43528</v>
      </c>
      <c r="I724" s="134">
        <f ca="1"/>
        <v>1.417147486908432E-2</v>
      </c>
      <c r="J724" s="120" t="s">
        <v>3</v>
      </c>
    </row>
    <row r="725" spans="1:10" x14ac:dyDescent="0.25">
      <c r="A725" s="126">
        <v>703</v>
      </c>
      <c r="B725" s="119"/>
      <c r="C725" s="136">
        <f>_xll.mirGetDate(C724,"1D","FOLLOWING",D$12,"NORMAL")</f>
        <v>43438</v>
      </c>
      <c r="D725" s="20">
        <f>_xll.mirGetDate(C725,D$17,"Following",D$12,"Normal")</f>
        <v>43439</v>
      </c>
      <c r="E725" s="134">
        <f ca="1"/>
        <v>1.0488531109151858E-2</v>
      </c>
      <c r="F725" s="7" t="s">
        <v>3</v>
      </c>
      <c r="G725" s="136">
        <f t="shared" si="10"/>
        <v>43438</v>
      </c>
      <c r="H725" s="20">
        <f>_xll.mirGetDate(G725,H$17,"Following",H$12,"Normal")</f>
        <v>43528</v>
      </c>
      <c r="I725" s="134">
        <f ca="1"/>
        <v>1.417830261880797E-2</v>
      </c>
      <c r="J725" s="120" t="s">
        <v>3</v>
      </c>
    </row>
    <row r="726" spans="1:10" x14ac:dyDescent="0.25">
      <c r="A726" s="126">
        <v>704</v>
      </c>
      <c r="B726" s="119"/>
      <c r="C726" s="136">
        <f>_xll.mirGetDate(C725,"1D","FOLLOWING",D$12,"NORMAL")</f>
        <v>43439</v>
      </c>
      <c r="D726" s="20">
        <f>_xll.mirGetDate(C726,D$17,"Following",D$12,"Normal")</f>
        <v>43440</v>
      </c>
      <c r="E726" s="134">
        <f ca="1"/>
        <v>1.0490924401835891E-2</v>
      </c>
      <c r="F726" s="7" t="s">
        <v>3</v>
      </c>
      <c r="G726" s="136">
        <f t="shared" si="10"/>
        <v>43439</v>
      </c>
      <c r="H726" s="20">
        <f>_xll.mirGetDate(G726,H$17,"Following",H$12,"Normal")</f>
        <v>43529</v>
      </c>
      <c r="I726" s="134">
        <f ca="1"/>
        <v>1.4185099901989807E-2</v>
      </c>
      <c r="J726" s="120" t="s">
        <v>3</v>
      </c>
    </row>
    <row r="727" spans="1:10" x14ac:dyDescent="0.25">
      <c r="A727" s="126">
        <v>705</v>
      </c>
      <c r="B727" s="119"/>
      <c r="C727" s="136">
        <f>_xll.mirGetDate(C726,"1D","FOLLOWING",D$12,"NORMAL")</f>
        <v>43440</v>
      </c>
      <c r="D727" s="20">
        <f>_xll.mirGetDate(C727,D$17,"Following",D$12,"Normal")</f>
        <v>43441</v>
      </c>
      <c r="E727" s="134">
        <f ca="1"/>
        <v>1.0493385344325682E-2</v>
      </c>
      <c r="F727" s="7" t="s">
        <v>3</v>
      </c>
      <c r="G727" s="136">
        <f t="shared" si="10"/>
        <v>43440</v>
      </c>
      <c r="H727" s="20">
        <f>_xll.mirGetDate(G727,H$17,"Following",H$12,"Normal")</f>
        <v>43530</v>
      </c>
      <c r="I727" s="134">
        <f ca="1"/>
        <v>1.4191866217014069E-2</v>
      </c>
      <c r="J727" s="120" t="s">
        <v>3</v>
      </c>
    </row>
    <row r="728" spans="1:10" x14ac:dyDescent="0.25">
      <c r="A728" s="126">
        <v>706</v>
      </c>
      <c r="B728" s="119"/>
      <c r="C728" s="136">
        <f>_xll.mirGetDate(C727,"1D","FOLLOWING",D$12,"NORMAL")</f>
        <v>43441</v>
      </c>
      <c r="D728" s="20">
        <f>_xll.mirGetDate(C728,D$17,"Following",D$12,"Normal")</f>
        <v>43444</v>
      </c>
      <c r="E728" s="134">
        <f ca="1"/>
        <v>1.0498838935797433E-2</v>
      </c>
      <c r="F728" s="7" t="s">
        <v>3</v>
      </c>
      <c r="G728" s="136">
        <f t="shared" ref="G728:G791" si="11">$C728</f>
        <v>43441</v>
      </c>
      <c r="H728" s="20">
        <f>_xll.mirGetDate(G728,H$17,"Following",H$12,"Normal")</f>
        <v>43531</v>
      </c>
      <c r="I728" s="134">
        <f ca="1"/>
        <v>1.4198601062264988E-2</v>
      </c>
      <c r="J728" s="120" t="s">
        <v>3</v>
      </c>
    </row>
    <row r="729" spans="1:10" x14ac:dyDescent="0.25">
      <c r="A729" s="126">
        <v>707</v>
      </c>
      <c r="B729" s="119"/>
      <c r="C729" s="136">
        <f>_xll.mirGetDate(C728,"1D","FOLLOWING",D$12,"NORMAL")</f>
        <v>43444</v>
      </c>
      <c r="D729" s="20">
        <f>_xll.mirGetDate(C729,D$17,"Following",D$12,"Normal")</f>
        <v>43445</v>
      </c>
      <c r="E729" s="134">
        <f ca="1"/>
        <v>1.0503905771095428E-2</v>
      </c>
      <c r="F729" s="7" t="s">
        <v>3</v>
      </c>
      <c r="G729" s="136">
        <f t="shared" si="11"/>
        <v>43444</v>
      </c>
      <c r="H729" s="20">
        <f>_xll.mirGetDate(G729,H$17,"Following",H$12,"Normal")</f>
        <v>43535</v>
      </c>
      <c r="I729" s="134">
        <f ca="1"/>
        <v>1.4218611763220033E-2</v>
      </c>
      <c r="J729" s="120" t="s">
        <v>3</v>
      </c>
    </row>
    <row r="730" spans="1:10" x14ac:dyDescent="0.25">
      <c r="A730" s="126">
        <v>708</v>
      </c>
      <c r="B730" s="119"/>
      <c r="C730" s="136">
        <f>_xll.mirGetDate(C729,"1D","FOLLOWING",D$12,"NORMAL")</f>
        <v>43445</v>
      </c>
      <c r="D730" s="20">
        <f>_xll.mirGetDate(C730,D$17,"Following",D$12,"Normal")</f>
        <v>43446</v>
      </c>
      <c r="E730" s="134">
        <f ca="1"/>
        <v>1.0506705081558858E-2</v>
      </c>
      <c r="F730" s="7" t="s">
        <v>3</v>
      </c>
      <c r="G730" s="136">
        <f t="shared" si="11"/>
        <v>43445</v>
      </c>
      <c r="H730" s="20">
        <f>_xll.mirGetDate(G730,H$17,"Following",H$12,"Normal")</f>
        <v>43535</v>
      </c>
      <c r="I730" s="134">
        <f ca="1"/>
        <v>1.4225215713219927E-2</v>
      </c>
      <c r="J730" s="120" t="s">
        <v>3</v>
      </c>
    </row>
    <row r="731" spans="1:10" x14ac:dyDescent="0.25">
      <c r="A731" s="126">
        <v>709</v>
      </c>
      <c r="B731" s="119"/>
      <c r="C731" s="136">
        <f>_xll.mirGetDate(C730,"1D","FOLLOWING",D$12,"NORMAL")</f>
        <v>43446</v>
      </c>
      <c r="D731" s="20">
        <f>_xll.mirGetDate(C731,D$17,"Following",D$12,"Normal")</f>
        <v>43447</v>
      </c>
      <c r="E731" s="134">
        <f ca="1"/>
        <v>1.0509572089469937E-2</v>
      </c>
      <c r="F731" s="7" t="s">
        <v>3</v>
      </c>
      <c r="G731" s="136">
        <f t="shared" si="11"/>
        <v>43446</v>
      </c>
      <c r="H731" s="20">
        <f>_xll.mirGetDate(G731,H$17,"Following",H$12,"Normal")</f>
        <v>43536</v>
      </c>
      <c r="I731" s="134">
        <f ca="1"/>
        <v>1.423178568536765E-2</v>
      </c>
      <c r="J731" s="120" t="s">
        <v>3</v>
      </c>
    </row>
    <row r="732" spans="1:10" x14ac:dyDescent="0.25">
      <c r="A732" s="126">
        <v>710</v>
      </c>
      <c r="B732" s="119"/>
      <c r="C732" s="136">
        <f>_xll.mirGetDate(C731,"1D","FOLLOWING",D$12,"NORMAL")</f>
        <v>43447</v>
      </c>
      <c r="D732" s="20">
        <f>_xll.mirGetDate(C732,D$17,"Following",D$12,"Normal")</f>
        <v>43448</v>
      </c>
      <c r="E732" s="134">
        <f ca="1"/>
        <v>1.0512506802822268E-2</v>
      </c>
      <c r="F732" s="7" t="s">
        <v>3</v>
      </c>
      <c r="G732" s="136">
        <f t="shared" si="11"/>
        <v>43447</v>
      </c>
      <c r="H732" s="20">
        <f>_xll.mirGetDate(G732,H$17,"Following",H$12,"Normal")</f>
        <v>43537</v>
      </c>
      <c r="I732" s="134">
        <f ca="1"/>
        <v>1.423832117804744E-2</v>
      </c>
      <c r="J732" s="120" t="s">
        <v>3</v>
      </c>
    </row>
    <row r="733" spans="1:10" x14ac:dyDescent="0.25">
      <c r="A733" s="126">
        <v>711</v>
      </c>
      <c r="B733" s="119"/>
      <c r="C733" s="136">
        <f>_xll.mirGetDate(C732,"1D","FOLLOWING",D$12,"NORMAL")</f>
        <v>43448</v>
      </c>
      <c r="D733" s="20">
        <f>_xll.mirGetDate(C733,D$17,"Following",D$12,"Normal")</f>
        <v>43451</v>
      </c>
      <c r="E733" s="134">
        <f ca="1"/>
        <v>1.0518909292960326E-2</v>
      </c>
      <c r="F733" s="7" t="s">
        <v>3</v>
      </c>
      <c r="G733" s="136">
        <f t="shared" si="11"/>
        <v>43448</v>
      </c>
      <c r="H733" s="20">
        <f>_xll.mirGetDate(G733,H$17,"Following",H$12,"Normal")</f>
        <v>43538</v>
      </c>
      <c r="I733" s="134">
        <f ca="1"/>
        <v>1.4244821689643526E-2</v>
      </c>
      <c r="J733" s="120" t="s">
        <v>3</v>
      </c>
    </row>
    <row r="734" spans="1:10" x14ac:dyDescent="0.25">
      <c r="A734" s="126">
        <v>712</v>
      </c>
      <c r="B734" s="119"/>
      <c r="C734" s="136">
        <f>_xll.mirGetDate(C733,"1D","FOLLOWING",D$12,"NORMAL")</f>
        <v>43451</v>
      </c>
      <c r="D734" s="20">
        <f>_xll.mirGetDate(C734,D$17,"Following",D$12,"Normal")</f>
        <v>43452</v>
      </c>
      <c r="E734" s="134">
        <f ca="1"/>
        <v>1.052492286939714E-2</v>
      </c>
      <c r="F734" s="7" t="s">
        <v>3</v>
      </c>
      <c r="G734" s="136">
        <f t="shared" si="11"/>
        <v>43451</v>
      </c>
      <c r="H734" s="20">
        <f>_xll.mirGetDate(G734,H$17,"Following",H$12,"Normal")</f>
        <v>43542</v>
      </c>
      <c r="I734" s="134">
        <f ca="1"/>
        <v>1.4264108321771933E-2</v>
      </c>
      <c r="J734" s="120" t="s">
        <v>3</v>
      </c>
    </row>
    <row r="735" spans="1:10" x14ac:dyDescent="0.25">
      <c r="A735" s="126">
        <v>713</v>
      </c>
      <c r="B735" s="119"/>
      <c r="C735" s="136">
        <f>_xll.mirGetDate(C734,"1D","FOLLOWING",D$12,"NORMAL")</f>
        <v>43452</v>
      </c>
      <c r="D735" s="20">
        <f>_xll.mirGetDate(C735,D$17,"Following",D$12,"Normal")</f>
        <v>43453</v>
      </c>
      <c r="E735" s="134">
        <f ca="1"/>
        <v>1.0528196229300273E-2</v>
      </c>
      <c r="F735" s="7" t="s">
        <v>3</v>
      </c>
      <c r="G735" s="136">
        <f t="shared" si="11"/>
        <v>43452</v>
      </c>
      <c r="H735" s="20">
        <f>_xll.mirGetDate(G735,H$17,"Following",H$12,"Normal")</f>
        <v>43542</v>
      </c>
      <c r="I735" s="134">
        <f ca="1"/>
        <v>1.4270463892875567E-2</v>
      </c>
      <c r="J735" s="120" t="s">
        <v>3</v>
      </c>
    </row>
    <row r="736" spans="1:10" x14ac:dyDescent="0.25">
      <c r="A736" s="126">
        <v>714</v>
      </c>
      <c r="B736" s="119"/>
      <c r="C736" s="136">
        <f>_xll.mirGetDate(C735,"1D","FOLLOWING",D$12,"NORMAL")</f>
        <v>43453</v>
      </c>
      <c r="D736" s="20">
        <f>_xll.mirGetDate(C736,D$17,"Following",D$12,"Normal")</f>
        <v>43454</v>
      </c>
      <c r="E736" s="134">
        <f ca="1"/>
        <v>1.0531537342446422E-2</v>
      </c>
      <c r="F736" s="7" t="s">
        <v>3</v>
      </c>
      <c r="G736" s="136">
        <f t="shared" si="11"/>
        <v>43453</v>
      </c>
      <c r="H736" s="20">
        <f>_xll.mirGetDate(G736,H$17,"Following",H$12,"Normal")</f>
        <v>43543</v>
      </c>
      <c r="I736" s="134">
        <f ca="1"/>
        <v>1.4276781974816671E-2</v>
      </c>
      <c r="J736" s="120" t="s">
        <v>3</v>
      </c>
    </row>
    <row r="737" spans="1:10" x14ac:dyDescent="0.25">
      <c r="A737" s="126">
        <v>715</v>
      </c>
      <c r="B737" s="119"/>
      <c r="C737" s="136">
        <f>_xll.mirGetDate(C736,"1D","FOLLOWING",D$12,"NORMAL")</f>
        <v>43454</v>
      </c>
      <c r="D737" s="20">
        <f>_xll.mirGetDate(C737,D$17,"Following",D$12,"Normal")</f>
        <v>43455</v>
      </c>
      <c r="E737" s="134">
        <f ca="1"/>
        <v>1.0534946216909129E-2</v>
      </c>
      <c r="F737" s="7" t="s">
        <v>3</v>
      </c>
      <c r="G737" s="136">
        <f t="shared" si="11"/>
        <v>43454</v>
      </c>
      <c r="H737" s="20">
        <f>_xll.mirGetDate(G737,H$17,"Following",H$12,"Normal")</f>
        <v>43544</v>
      </c>
      <c r="I737" s="134">
        <f ca="1"/>
        <v>1.4283025962361189E-2</v>
      </c>
      <c r="J737" s="120" t="s">
        <v>3</v>
      </c>
    </row>
    <row r="738" spans="1:10" x14ac:dyDescent="0.25">
      <c r="A738" s="126">
        <v>716</v>
      </c>
      <c r="B738" s="119"/>
      <c r="C738" s="136">
        <f>_xll.mirGetDate(C737,"1D","FOLLOWING",D$12,"NORMAL")</f>
        <v>43455</v>
      </c>
      <c r="D738" s="20">
        <f>_xll.mirGetDate(C738,D$17,"Following",D$12,"Normal")</f>
        <v>43458</v>
      </c>
      <c r="E738" s="134">
        <f ca="1"/>
        <v>1.0542298584210779E-2</v>
      </c>
      <c r="F738" s="7" t="s">
        <v>3</v>
      </c>
      <c r="G738" s="136">
        <f t="shared" si="11"/>
        <v>43455</v>
      </c>
      <c r="H738" s="20">
        <f>_xll.mirGetDate(G738,H$17,"Following",H$12,"Normal")</f>
        <v>43545</v>
      </c>
      <c r="I738" s="134">
        <f ca="1"/>
        <v>1.4289162121774562E-2</v>
      </c>
      <c r="J738" s="120" t="s">
        <v>3</v>
      </c>
    </row>
    <row r="739" spans="1:10" x14ac:dyDescent="0.25">
      <c r="A739" s="126">
        <v>717</v>
      </c>
      <c r="B739" s="119"/>
      <c r="C739" s="136">
        <f>_xll.mirGetDate(C738,"1D","FOLLOWING",D$12,"NORMAL")</f>
        <v>43458</v>
      </c>
      <c r="D739" s="20">
        <f>_xll.mirGetDate(C739,D$17,"Following",D$12,"Normal")</f>
        <v>43460</v>
      </c>
      <c r="E739" s="134">
        <f ca="1"/>
        <v>1.0551288008668929E-2</v>
      </c>
      <c r="F739" s="7" t="s">
        <v>3</v>
      </c>
      <c r="G739" s="136">
        <f t="shared" si="11"/>
        <v>43458</v>
      </c>
      <c r="H739" s="20">
        <f>_xll.mirGetDate(G739,H$17,"Following",H$12,"Normal")</f>
        <v>43549</v>
      </c>
      <c r="I739" s="134">
        <f ca="1"/>
        <v>1.4306961687562689E-2</v>
      </c>
      <c r="J739" s="120" t="s">
        <v>3</v>
      </c>
    </row>
    <row r="740" spans="1:10" x14ac:dyDescent="0.25">
      <c r="A740" s="126">
        <v>718</v>
      </c>
      <c r="B740" s="119"/>
      <c r="C740" s="136">
        <f>_xll.mirGetDate(C739,"1D","FOLLOWING",D$12,"NORMAL")</f>
        <v>43460</v>
      </c>
      <c r="D740" s="20">
        <f>_xll.mirGetDate(C740,D$17,"Following",D$12,"Normal")</f>
        <v>43461</v>
      </c>
      <c r="E740" s="134">
        <f ca="1"/>
        <v>1.0556822900014178E-2</v>
      </c>
      <c r="F740" s="7" t="s">
        <v>3</v>
      </c>
      <c r="G740" s="136">
        <f t="shared" si="11"/>
        <v>43460</v>
      </c>
      <c r="H740" s="20">
        <f>_xll.mirGetDate(G740,H$17,"Following",H$12,"Normal")</f>
        <v>43550</v>
      </c>
      <c r="I740" s="134">
        <f ca="1"/>
        <v>1.4318358694046318E-2</v>
      </c>
      <c r="J740" s="120" t="s">
        <v>3</v>
      </c>
    </row>
    <row r="741" spans="1:10" x14ac:dyDescent="0.25">
      <c r="A741" s="126">
        <v>719</v>
      </c>
      <c r="B741" s="119"/>
      <c r="C741" s="136">
        <f>_xll.mirGetDate(C740,"1D","FOLLOWING",D$12,"NORMAL")</f>
        <v>43461</v>
      </c>
      <c r="D741" s="20">
        <f>_xll.mirGetDate(C741,D$17,"Following",D$12,"Normal")</f>
        <v>43462</v>
      </c>
      <c r="E741" s="134">
        <f ca="1"/>
        <v>1.056070632815324E-2</v>
      </c>
      <c r="F741" s="7" t="s">
        <v>3</v>
      </c>
      <c r="G741" s="136">
        <f t="shared" si="11"/>
        <v>43461</v>
      </c>
      <c r="H741" s="20">
        <f>_xll.mirGetDate(G741,H$17,"Following",H$12,"Normal")</f>
        <v>43551</v>
      </c>
      <c r="I741" s="134">
        <f ca="1"/>
        <v>1.4323927802976061E-2</v>
      </c>
      <c r="J741" s="120" t="s">
        <v>3</v>
      </c>
    </row>
    <row r="742" spans="1:10" x14ac:dyDescent="0.25">
      <c r="A742" s="126">
        <v>720</v>
      </c>
      <c r="B742" s="119"/>
      <c r="C742" s="136">
        <f>_xll.mirGetDate(C741,"1D","FOLLOWING",D$12,"NORMAL")</f>
        <v>43462</v>
      </c>
      <c r="D742" s="20">
        <f>_xll.mirGetDate(C742,D$17,"Following",D$12,"Normal")</f>
        <v>43465</v>
      </c>
      <c r="E742" s="134">
        <f ca="1"/>
        <v>1.0569009557110969E-2</v>
      </c>
      <c r="F742" s="7" t="s">
        <v>3</v>
      </c>
      <c r="G742" s="136">
        <f t="shared" si="11"/>
        <v>43462</v>
      </c>
      <c r="H742" s="20">
        <f>_xll.mirGetDate(G742,H$17,"Following",H$12,"Normal")</f>
        <v>43552</v>
      </c>
      <c r="I742" s="134">
        <f ca="1"/>
        <v>1.4329415723209071E-2</v>
      </c>
      <c r="J742" s="120" t="s">
        <v>3</v>
      </c>
    </row>
    <row r="743" spans="1:10" x14ac:dyDescent="0.25">
      <c r="A743" s="126">
        <v>721</v>
      </c>
      <c r="B743" s="119"/>
      <c r="C743" s="136">
        <f>_xll.mirGetDate(C742,"1D","FOLLOWING",D$12,"NORMAL")</f>
        <v>43465</v>
      </c>
      <c r="D743" s="20">
        <f>_xll.mirGetDate(C743,D$17,"Following",D$12,"Normal")</f>
        <v>43467</v>
      </c>
      <c r="E743" s="134">
        <f ca="1"/>
        <v>1.0579185135157803E-2</v>
      </c>
      <c r="F743" s="7" t="s">
        <v>3</v>
      </c>
      <c r="G743" s="136">
        <f t="shared" si="11"/>
        <v>43465</v>
      </c>
      <c r="H743" s="20">
        <f>_xll.mirGetDate(G743,H$17,"Following",H$12,"Normal")</f>
        <v>43556</v>
      </c>
      <c r="I743" s="134">
        <f ca="1"/>
        <v>1.4345430408062571E-2</v>
      </c>
      <c r="J743" s="120" t="s">
        <v>3</v>
      </c>
    </row>
    <row r="744" spans="1:10" x14ac:dyDescent="0.25">
      <c r="A744" s="126">
        <v>722</v>
      </c>
      <c r="B744" s="119"/>
      <c r="C744" s="136">
        <f>_xll.mirGetDate(C743,"1D","FOLLOWING",D$12,"NORMAL")</f>
        <v>43467</v>
      </c>
      <c r="D744" s="20">
        <f>_xll.mirGetDate(C744,D$17,"Following",D$12,"Normal")</f>
        <v>43468</v>
      </c>
      <c r="E744" s="134">
        <f ca="1"/>
        <v>1.0585431518048732E-2</v>
      </c>
      <c r="F744" s="7" t="s">
        <v>3</v>
      </c>
      <c r="G744" s="136">
        <f t="shared" si="11"/>
        <v>43467</v>
      </c>
      <c r="H744" s="20">
        <f>_xll.mirGetDate(G744,H$17,"Following",H$12,"Normal")</f>
        <v>43557</v>
      </c>
      <c r="I744" s="134">
        <f ca="1"/>
        <v>1.4355770691095176E-2</v>
      </c>
      <c r="J744" s="120" t="s">
        <v>3</v>
      </c>
    </row>
    <row r="745" spans="1:10" x14ac:dyDescent="0.25">
      <c r="A745" s="126">
        <v>723</v>
      </c>
      <c r="B745" s="119"/>
      <c r="C745" s="136">
        <f>_xll.mirGetDate(C744,"1D","FOLLOWING",D$12,"NORMAL")</f>
        <v>43468</v>
      </c>
      <c r="D745" s="20">
        <f>_xll.mirGetDate(C745,D$17,"Following",D$12,"Normal")</f>
        <v>43469</v>
      </c>
      <c r="E745" s="134">
        <f ca="1"/>
        <v>1.0589789895307827E-2</v>
      </c>
      <c r="F745" s="7" t="s">
        <v>3</v>
      </c>
      <c r="G745" s="136">
        <f t="shared" si="11"/>
        <v>43468</v>
      </c>
      <c r="H745" s="20">
        <f>_xll.mirGetDate(G745,H$17,"Following",H$12,"Normal")</f>
        <v>43558</v>
      </c>
      <c r="I745" s="134">
        <f ca="1"/>
        <v>1.4360851397451023E-2</v>
      </c>
      <c r="J745" s="120" t="s">
        <v>3</v>
      </c>
    </row>
    <row r="746" spans="1:10" x14ac:dyDescent="0.25">
      <c r="A746" s="126">
        <v>724</v>
      </c>
      <c r="B746" s="119"/>
      <c r="C746" s="136">
        <f>_xll.mirGetDate(C745,"1D","FOLLOWING",D$12,"NORMAL")</f>
        <v>43469</v>
      </c>
      <c r="D746" s="20">
        <f>_xll.mirGetDate(C746,D$17,"Following",D$12,"Normal")</f>
        <v>43472</v>
      </c>
      <c r="E746" s="134">
        <f ca="1"/>
        <v>1.0599044977048815E-2</v>
      </c>
      <c r="F746" s="7" t="s">
        <v>3</v>
      </c>
      <c r="G746" s="136">
        <f t="shared" si="11"/>
        <v>43469</v>
      </c>
      <c r="H746" s="20">
        <f>_xll.mirGetDate(G746,H$17,"Following",H$12,"Normal")</f>
        <v>43559</v>
      </c>
      <c r="I746" s="134">
        <f ca="1"/>
        <v>1.4365877554544548E-2</v>
      </c>
      <c r="J746" s="120" t="s">
        <v>3</v>
      </c>
    </row>
    <row r="747" spans="1:10" x14ac:dyDescent="0.25">
      <c r="A747" s="126">
        <v>725</v>
      </c>
      <c r="B747" s="119"/>
      <c r="C747" s="136">
        <f>_xll.mirGetDate(C746,"1D","FOLLOWING",D$12,"NORMAL")</f>
        <v>43472</v>
      </c>
      <c r="D747" s="20">
        <f>_xll.mirGetDate(C747,D$17,"Following",D$12,"Normal")</f>
        <v>43473</v>
      </c>
      <c r="E747" s="134">
        <f ca="1"/>
        <v>1.0607902308317246E-2</v>
      </c>
      <c r="F747" s="7" t="s">
        <v>3</v>
      </c>
      <c r="G747" s="136">
        <f t="shared" si="11"/>
        <v>43472</v>
      </c>
      <c r="H747" s="20">
        <f>_xll.mirGetDate(G747,H$17,"Following",H$12,"Normal")</f>
        <v>43563</v>
      </c>
      <c r="I747" s="134">
        <f ca="1"/>
        <v>1.4380666786586067E-2</v>
      </c>
      <c r="J747" s="120" t="s">
        <v>3</v>
      </c>
    </row>
    <row r="748" spans="1:10" x14ac:dyDescent="0.25">
      <c r="A748" s="126">
        <v>726</v>
      </c>
      <c r="B748" s="119"/>
      <c r="C748" s="136">
        <f>_xll.mirGetDate(C747,"1D","FOLLOWING",D$12,"NORMAL")</f>
        <v>43473</v>
      </c>
      <c r="D748" s="20">
        <f>_xll.mirGetDate(C748,D$17,"Following",D$12,"Normal")</f>
        <v>43474</v>
      </c>
      <c r="E748" s="134">
        <f ca="1"/>
        <v>1.061260017833025E-2</v>
      </c>
      <c r="F748" s="7" t="s">
        <v>3</v>
      </c>
      <c r="G748" s="136">
        <f t="shared" si="11"/>
        <v>43473</v>
      </c>
      <c r="H748" s="20">
        <f>_xll.mirGetDate(G748,H$17,"Following",H$12,"Normal")</f>
        <v>43563</v>
      </c>
      <c r="I748" s="134">
        <f ca="1"/>
        <v>1.4385512802965182E-2</v>
      </c>
      <c r="J748" s="120" t="s">
        <v>3</v>
      </c>
    </row>
    <row r="749" spans="1:10" x14ac:dyDescent="0.25">
      <c r="A749" s="126">
        <v>727</v>
      </c>
      <c r="B749" s="119"/>
      <c r="C749" s="136">
        <f>_xll.mirGetDate(C748,"1D","FOLLOWING",D$12,"NORMAL")</f>
        <v>43474</v>
      </c>
      <c r="D749" s="20">
        <f>_xll.mirGetDate(C749,D$17,"Following",D$12,"Normal")</f>
        <v>43475</v>
      </c>
      <c r="E749" s="134">
        <f ca="1"/>
        <v>1.0617365971450392E-2</v>
      </c>
      <c r="F749" s="7" t="s">
        <v>3</v>
      </c>
      <c r="G749" s="136">
        <f t="shared" si="11"/>
        <v>43474</v>
      </c>
      <c r="H749" s="20">
        <f>_xll.mirGetDate(G749,H$17,"Following",H$12,"Normal")</f>
        <v>43564</v>
      </c>
      <c r="I749" s="134">
        <f ca="1"/>
        <v>1.4390323298249411E-2</v>
      </c>
      <c r="J749" s="120" t="s">
        <v>3</v>
      </c>
    </row>
    <row r="750" spans="1:10" x14ac:dyDescent="0.25">
      <c r="A750" s="126">
        <v>728</v>
      </c>
      <c r="B750" s="119"/>
      <c r="C750" s="136">
        <f>_xll.mirGetDate(C749,"1D","FOLLOWING",D$12,"NORMAL")</f>
        <v>43475</v>
      </c>
      <c r="D750" s="20">
        <f>_xll.mirGetDate(C750,D$17,"Following",D$12,"Normal")</f>
        <v>43476</v>
      </c>
      <c r="E750" s="134">
        <f ca="1"/>
        <v>1.062219969567128E-2</v>
      </c>
      <c r="F750" s="7" t="s">
        <v>3</v>
      </c>
      <c r="G750" s="136">
        <f t="shared" si="11"/>
        <v>43475</v>
      </c>
      <c r="H750" s="20">
        <f>_xll.mirGetDate(G750,H$17,"Following",H$12,"Normal")</f>
        <v>43565</v>
      </c>
      <c r="I750" s="134">
        <f ca="1"/>
        <v>1.4395102078072243E-2</v>
      </c>
      <c r="J750" s="120" t="s">
        <v>3</v>
      </c>
    </row>
    <row r="751" spans="1:10" x14ac:dyDescent="0.25">
      <c r="A751" s="126">
        <v>729</v>
      </c>
      <c r="B751" s="119"/>
      <c r="C751" s="136">
        <f>_xll.mirGetDate(C750,"1D","FOLLOWING",D$12,"NORMAL")</f>
        <v>43476</v>
      </c>
      <c r="D751" s="20">
        <f>_xll.mirGetDate(C751,D$17,"Following",D$12,"Normal")</f>
        <v>43479</v>
      </c>
      <c r="E751" s="134">
        <f ca="1"/>
        <v>1.0632407629582201E-2</v>
      </c>
      <c r="F751" s="7" t="s">
        <v>3</v>
      </c>
      <c r="G751" s="136">
        <f t="shared" si="11"/>
        <v>43476</v>
      </c>
      <c r="H751" s="20">
        <f>_xll.mirGetDate(G751,H$17,"Following",H$12,"Normal")</f>
        <v>43566</v>
      </c>
      <c r="I751" s="134">
        <f ca="1"/>
        <v>1.4399852948067166E-2</v>
      </c>
      <c r="J751" s="120" t="s">
        <v>3</v>
      </c>
    </row>
    <row r="752" spans="1:10" x14ac:dyDescent="0.25">
      <c r="A752" s="126">
        <v>730</v>
      </c>
      <c r="B752" s="119"/>
      <c r="C752" s="136">
        <f>_xll.mirGetDate(C751,"1D","FOLLOWING",D$12,"NORMAL")</f>
        <v>43479</v>
      </c>
      <c r="D752" s="20">
        <f>_xll.mirGetDate(C752,D$17,"Following",D$12,"Normal")</f>
        <v>43480</v>
      </c>
      <c r="E752" s="134">
        <f ca="1"/>
        <v>1.0642214068870042E-2</v>
      </c>
      <c r="F752" s="7" t="s">
        <v>3</v>
      </c>
      <c r="G752" s="136">
        <f t="shared" si="11"/>
        <v>43479</v>
      </c>
      <c r="H752" s="20">
        <f>_xll.mirGetDate(G752,H$17,"Following",H$12,"Normal")</f>
        <v>43570</v>
      </c>
      <c r="I752" s="134">
        <f ca="1"/>
        <v>1.4413976155419348E-2</v>
      </c>
      <c r="J752" s="120" t="s">
        <v>3</v>
      </c>
    </row>
    <row r="753" spans="1:10" x14ac:dyDescent="0.25">
      <c r="A753" s="126">
        <v>731</v>
      </c>
      <c r="B753" s="119"/>
      <c r="C753" s="136">
        <f>_xll.mirGetDate(C752,"1D","FOLLOWING",D$12,"NORMAL")</f>
        <v>43480</v>
      </c>
      <c r="D753" s="20">
        <f>_xll.mirGetDate(C753,D$17,"Following",D$12,"Normal")</f>
        <v>43481</v>
      </c>
      <c r="E753" s="134">
        <f ca="1"/>
        <v>1.0647387572255734E-2</v>
      </c>
      <c r="F753" s="7" t="s">
        <v>3</v>
      </c>
      <c r="G753" s="136">
        <f t="shared" si="11"/>
        <v>43480</v>
      </c>
      <c r="H753" s="20">
        <f>_xll.mirGetDate(G753,H$17,"Following",H$12,"Normal")</f>
        <v>43570</v>
      </c>
      <c r="I753" s="134">
        <f ca="1"/>
        <v>1.4418653442437505E-2</v>
      </c>
      <c r="J753" s="120" t="s">
        <v>3</v>
      </c>
    </row>
    <row r="754" spans="1:10" x14ac:dyDescent="0.25">
      <c r="A754" s="126">
        <v>732</v>
      </c>
      <c r="B754" s="119"/>
      <c r="C754" s="136">
        <f>_xll.mirGetDate(C753,"1D","FOLLOWING",D$12,"NORMAL")</f>
        <v>43481</v>
      </c>
      <c r="D754" s="20">
        <f>_xll.mirGetDate(C754,D$17,"Following",D$12,"Normal")</f>
        <v>43482</v>
      </c>
      <c r="E754" s="134">
        <f ca="1"/>
        <v>1.0652629055982781E-2</v>
      </c>
      <c r="F754" s="7" t="s">
        <v>3</v>
      </c>
      <c r="G754" s="136">
        <f t="shared" si="11"/>
        <v>43481</v>
      </c>
      <c r="H754" s="20">
        <f>_xll.mirGetDate(G754,H$17,"Following",H$12,"Normal")</f>
        <v>43571</v>
      </c>
      <c r="I754" s="134">
        <f ca="1"/>
        <v>1.4423321847795189E-2</v>
      </c>
      <c r="J754" s="120" t="s">
        <v>3</v>
      </c>
    </row>
    <row r="755" spans="1:10" x14ac:dyDescent="0.25">
      <c r="A755" s="126">
        <v>733</v>
      </c>
      <c r="B755" s="119"/>
      <c r="C755" s="136">
        <f>_xll.mirGetDate(C754,"1D","FOLLOWING",D$12,"NORMAL")</f>
        <v>43482</v>
      </c>
      <c r="D755" s="20">
        <f>_xll.mirGetDate(C755,D$17,"Following",D$12,"Normal")</f>
        <v>43483</v>
      </c>
      <c r="E755" s="134">
        <f ca="1"/>
        <v>1.0657938528684279E-2</v>
      </c>
      <c r="F755" s="7" t="s">
        <v>3</v>
      </c>
      <c r="G755" s="136">
        <f t="shared" si="11"/>
        <v>43482</v>
      </c>
      <c r="H755" s="20">
        <f>_xll.mirGetDate(G755,H$17,"Following",H$12,"Normal")</f>
        <v>43572</v>
      </c>
      <c r="I755" s="134">
        <f ca="1"/>
        <v>1.4427985177125886E-2</v>
      </c>
      <c r="J755" s="120" t="s">
        <v>3</v>
      </c>
    </row>
    <row r="756" spans="1:10" x14ac:dyDescent="0.25">
      <c r="A756" s="126">
        <v>734</v>
      </c>
      <c r="B756" s="119"/>
      <c r="C756" s="136">
        <f>_xll.mirGetDate(C755,"1D","FOLLOWING",D$12,"NORMAL")</f>
        <v>43483</v>
      </c>
      <c r="D756" s="20">
        <f>_xll.mirGetDate(C756,D$17,"Following",D$12,"Normal")</f>
        <v>43487</v>
      </c>
      <c r="E756" s="134">
        <f ca="1"/>
        <v>1.0672026743958656E-2</v>
      </c>
      <c r="F756" s="7" t="s">
        <v>3</v>
      </c>
      <c r="G756" s="136">
        <f t="shared" si="11"/>
        <v>43483</v>
      </c>
      <c r="H756" s="20">
        <f>_xll.mirGetDate(G756,H$17,"Following",H$12,"Normal")</f>
        <v>43573</v>
      </c>
      <c r="I756" s="134">
        <f ca="1"/>
        <v>1.4432647138268964E-2</v>
      </c>
      <c r="J756" s="120" t="s">
        <v>3</v>
      </c>
    </row>
    <row r="757" spans="1:10" x14ac:dyDescent="0.25">
      <c r="A757" s="126">
        <v>735</v>
      </c>
      <c r="B757" s="119"/>
      <c r="C757" s="136">
        <f>_xll.mirGetDate(C756,"1D","FOLLOWING",D$12,"NORMAL")</f>
        <v>43487</v>
      </c>
      <c r="D757" s="20">
        <f>_xll.mirGetDate(C757,D$17,"Following",D$12,"Normal")</f>
        <v>43488</v>
      </c>
      <c r="E757" s="134">
        <f ca="1"/>
        <v>1.0685506012260187E-2</v>
      </c>
      <c r="F757" s="7" t="s">
        <v>3</v>
      </c>
      <c r="G757" s="136">
        <f t="shared" si="11"/>
        <v>43487</v>
      </c>
      <c r="H757" s="20">
        <f>_xll.mirGetDate(G757,H$17,"Following",H$12,"Normal")</f>
        <v>43577</v>
      </c>
      <c r="I757" s="134">
        <f ca="1"/>
        <v>1.4451325274215806E-2</v>
      </c>
      <c r="J757" s="120" t="s">
        <v>3</v>
      </c>
    </row>
    <row r="758" spans="1:10" x14ac:dyDescent="0.25">
      <c r="A758" s="126">
        <v>736</v>
      </c>
      <c r="B758" s="119"/>
      <c r="C758" s="136">
        <f>_xll.mirGetDate(C757,"1D","FOLLOWING",D$12,"NORMAL")</f>
        <v>43488</v>
      </c>
      <c r="D758" s="20">
        <f>_xll.mirGetDate(C758,D$17,"Following",D$12,"Normal")</f>
        <v>43489</v>
      </c>
      <c r="E758" s="134">
        <f ca="1"/>
        <v>1.0691223591150528E-2</v>
      </c>
      <c r="F758" s="7" t="s">
        <v>3</v>
      </c>
      <c r="G758" s="136">
        <f t="shared" si="11"/>
        <v>43488</v>
      </c>
      <c r="H758" s="20">
        <f>_xll.mirGetDate(G758,H$17,"Following",H$12,"Normal")</f>
        <v>43578</v>
      </c>
      <c r="I758" s="134">
        <f ca="1"/>
        <v>1.4456011498183008E-2</v>
      </c>
      <c r="J758" s="120" t="s">
        <v>3</v>
      </c>
    </row>
    <row r="759" spans="1:10" x14ac:dyDescent="0.25">
      <c r="A759" s="126">
        <v>737</v>
      </c>
      <c r="B759" s="119"/>
      <c r="C759" s="136">
        <f>_xll.mirGetDate(C758,"1D","FOLLOWING",D$12,"NORMAL")</f>
        <v>43489</v>
      </c>
      <c r="D759" s="20">
        <f>_xll.mirGetDate(C759,D$17,"Following",D$12,"Normal")</f>
        <v>43490</v>
      </c>
      <c r="E759" s="134">
        <f ca="1"/>
        <v>1.0697009216889024E-2</v>
      </c>
      <c r="F759" s="7" t="s">
        <v>3</v>
      </c>
      <c r="G759" s="136">
        <f t="shared" si="11"/>
        <v>43489</v>
      </c>
      <c r="H759" s="20">
        <f>_xll.mirGetDate(G759,H$17,"Following",H$12,"Normal")</f>
        <v>43579</v>
      </c>
      <c r="I759" s="134">
        <f ca="1"/>
        <v>1.4460708040075276E-2</v>
      </c>
      <c r="J759" s="120" t="s">
        <v>3</v>
      </c>
    </row>
    <row r="760" spans="1:10" x14ac:dyDescent="0.25">
      <c r="A760" s="126">
        <v>738</v>
      </c>
      <c r="B760" s="119"/>
      <c r="C760" s="136">
        <f>_xll.mirGetDate(C759,"1D","FOLLOWING",D$12,"NORMAL")</f>
        <v>43490</v>
      </c>
      <c r="D760" s="20">
        <f>_xll.mirGetDate(C760,D$17,"Following",D$12,"Normal")</f>
        <v>43493</v>
      </c>
      <c r="E760" s="134">
        <f ca="1"/>
        <v>1.0709125887222764E-2</v>
      </c>
      <c r="F760" s="7" t="s">
        <v>3</v>
      </c>
      <c r="G760" s="136">
        <f t="shared" si="11"/>
        <v>43490</v>
      </c>
      <c r="H760" s="20">
        <f>_xll.mirGetDate(G760,H$17,"Following",H$12,"Normal")</f>
        <v>43580</v>
      </c>
      <c r="I760" s="134">
        <f ca="1"/>
        <v>1.4465416720859044E-2</v>
      </c>
      <c r="J760" s="120" t="s">
        <v>3</v>
      </c>
    </row>
    <row r="761" spans="1:10" x14ac:dyDescent="0.25">
      <c r="A761" s="126">
        <v>739</v>
      </c>
      <c r="B761" s="119"/>
      <c r="C761" s="136">
        <f>_xll.mirGetDate(C760,"1D","FOLLOWING",D$12,"NORMAL")</f>
        <v>43493</v>
      </c>
      <c r="D761" s="20">
        <f>_xll.mirGetDate(C761,D$17,"Following",D$12,"Normal")</f>
        <v>43494</v>
      </c>
      <c r="E761" s="134">
        <f ca="1"/>
        <v>1.0720832354431702E-2</v>
      </c>
      <c r="F761" s="7" t="s">
        <v>3</v>
      </c>
      <c r="G761" s="136">
        <f t="shared" si="11"/>
        <v>43493</v>
      </c>
      <c r="H761" s="20">
        <f>_xll.mirGetDate(G761,H$17,"Following",H$12,"Normal")</f>
        <v>43584</v>
      </c>
      <c r="I761" s="134">
        <f ca="1"/>
        <v>1.4479633806223715E-2</v>
      </c>
      <c r="J761" s="120" t="s">
        <v>3</v>
      </c>
    </row>
    <row r="762" spans="1:10" x14ac:dyDescent="0.25">
      <c r="A762" s="126">
        <v>740</v>
      </c>
      <c r="B762" s="119"/>
      <c r="C762" s="136">
        <f>_xll.mirGetDate(C761,"1D","FOLLOWING",D$12,"NORMAL")</f>
        <v>43494</v>
      </c>
      <c r="D762" s="20">
        <f>_xll.mirGetDate(C762,D$17,"Following",D$12,"Normal")</f>
        <v>43495</v>
      </c>
      <c r="E762" s="134">
        <f ca="1"/>
        <v>1.0726958339351039E-2</v>
      </c>
      <c r="F762" s="7" t="s">
        <v>3</v>
      </c>
      <c r="G762" s="136">
        <f t="shared" si="11"/>
        <v>43494</v>
      </c>
      <c r="H762" s="20">
        <f>_xll.mirGetDate(G762,H$17,"Following",H$12,"Normal")</f>
        <v>43584</v>
      </c>
      <c r="I762" s="134">
        <f ca="1"/>
        <v>1.4484409252237844E-2</v>
      </c>
      <c r="J762" s="120" t="s">
        <v>3</v>
      </c>
    </row>
    <row r="763" spans="1:10" x14ac:dyDescent="0.25">
      <c r="A763" s="126">
        <v>741</v>
      </c>
      <c r="B763" s="119"/>
      <c r="C763" s="136">
        <f>_xll.mirGetDate(C762,"1D","FOLLOWING",D$12,"NORMAL")</f>
        <v>43495</v>
      </c>
      <c r="D763" s="20">
        <f>_xll.mirGetDate(C763,D$17,"Following",D$12,"Normal")</f>
        <v>43496</v>
      </c>
      <c r="E763" s="134">
        <f ca="1"/>
        <v>1.0733152421318375E-2</v>
      </c>
      <c r="F763" s="7" t="s">
        <v>3</v>
      </c>
      <c r="G763" s="136">
        <f t="shared" si="11"/>
        <v>43495</v>
      </c>
      <c r="H763" s="20">
        <f>_xll.mirGetDate(G763,H$17,"Following",H$12,"Normal")</f>
        <v>43585</v>
      </c>
      <c r="I763" s="134">
        <f ca="1"/>
        <v>1.4489205941975654E-2</v>
      </c>
      <c r="J763" s="120" t="s">
        <v>3</v>
      </c>
    </row>
    <row r="764" spans="1:10" x14ac:dyDescent="0.25">
      <c r="A764" s="126">
        <v>742</v>
      </c>
      <c r="B764" s="119"/>
      <c r="C764" s="136">
        <f>_xll.mirGetDate(C763,"1D","FOLLOWING",D$12,"NORMAL")</f>
        <v>43496</v>
      </c>
      <c r="D764" s="20">
        <f>_xll.mirGetDate(C764,D$17,"Following",D$12,"Normal")</f>
        <v>43497</v>
      </c>
      <c r="E764" s="134">
        <f ca="1"/>
        <v>1.0739414608647063E-2</v>
      </c>
      <c r="F764" s="7" t="s">
        <v>3</v>
      </c>
      <c r="G764" s="136">
        <f t="shared" si="11"/>
        <v>43496</v>
      </c>
      <c r="H764" s="20">
        <f>_xll.mirGetDate(G764,H$17,"Following",H$12,"Normal")</f>
        <v>43585</v>
      </c>
      <c r="I764" s="134">
        <f ca="1"/>
        <v>1.4494025696403576E-2</v>
      </c>
      <c r="J764" s="120" t="s">
        <v>3</v>
      </c>
    </row>
    <row r="765" spans="1:10" x14ac:dyDescent="0.25">
      <c r="A765" s="126">
        <v>743</v>
      </c>
      <c r="B765" s="119"/>
      <c r="C765" s="136">
        <f>_xll.mirGetDate(C764,"1D","FOLLOWING",D$12,"NORMAL")</f>
        <v>43497</v>
      </c>
      <c r="D765" s="20">
        <f>_xll.mirGetDate(C765,D$17,"Following",D$12,"Normal")</f>
        <v>43500</v>
      </c>
      <c r="E765" s="134">
        <f ca="1"/>
        <v>1.0752487183003406E-2</v>
      </c>
      <c r="F765" s="7" t="s">
        <v>3</v>
      </c>
      <c r="G765" s="136">
        <f t="shared" si="11"/>
        <v>43497</v>
      </c>
      <c r="H765" s="20">
        <f>_xll.mirGetDate(G765,H$17,"Following",H$12,"Normal")</f>
        <v>43586</v>
      </c>
      <c r="I765" s="134">
        <f ca="1"/>
        <v>1.4498870336488046E-2</v>
      </c>
      <c r="J765" s="120" t="s">
        <v>3</v>
      </c>
    </row>
    <row r="766" spans="1:10" x14ac:dyDescent="0.25">
      <c r="A766" s="126">
        <v>744</v>
      </c>
      <c r="B766" s="119"/>
      <c r="C766" s="136">
        <f>_xll.mirGetDate(C765,"1D","FOLLOWING",D$12,"NORMAL")</f>
        <v>43500</v>
      </c>
      <c r="D766" s="20">
        <f>_xll.mirGetDate(C766,D$17,"Following",D$12,"Normal")</f>
        <v>43501</v>
      </c>
      <c r="E766" s="134">
        <f ca="1"/>
        <v>1.0765144580799951E-2</v>
      </c>
      <c r="F766" s="7" t="s">
        <v>3</v>
      </c>
      <c r="G766" s="136">
        <f t="shared" si="11"/>
        <v>43500</v>
      </c>
      <c r="H766" s="20">
        <f>_xll.mirGetDate(G766,H$17,"Following",H$12,"Normal")</f>
        <v>43591</v>
      </c>
      <c r="I766" s="134">
        <f ca="1"/>
        <v>1.4513571780345104E-2</v>
      </c>
      <c r="J766" s="120" t="s">
        <v>3</v>
      </c>
    </row>
    <row r="767" spans="1:10" x14ac:dyDescent="0.25">
      <c r="A767" s="126">
        <v>745</v>
      </c>
      <c r="B767" s="119"/>
      <c r="C767" s="136">
        <f>_xll.mirGetDate(C766,"1D","FOLLOWING",D$12,"NORMAL")</f>
        <v>43501</v>
      </c>
      <c r="D767" s="20">
        <f>_xll.mirGetDate(C767,D$17,"Following",D$12,"Normal")</f>
        <v>43502</v>
      </c>
      <c r="E767" s="134">
        <f ca="1"/>
        <v>1.0771747421713978E-2</v>
      </c>
      <c r="F767" s="7" t="s">
        <v>3</v>
      </c>
      <c r="G767" s="136">
        <f t="shared" si="11"/>
        <v>43501</v>
      </c>
      <c r="H767" s="20">
        <f>_xll.mirGetDate(G767,H$17,"Following",H$12,"Normal")</f>
        <v>43591</v>
      </c>
      <c r="I767" s="134">
        <f ca="1"/>
        <v>1.4518534172720124E-2</v>
      </c>
      <c r="J767" s="120" t="s">
        <v>3</v>
      </c>
    </row>
    <row r="768" spans="1:10" x14ac:dyDescent="0.25">
      <c r="A768" s="126">
        <v>746</v>
      </c>
      <c r="B768" s="119"/>
      <c r="C768" s="136">
        <f>_xll.mirGetDate(C767,"1D","FOLLOWING",D$12,"NORMAL")</f>
        <v>43502</v>
      </c>
      <c r="D768" s="20">
        <f>_xll.mirGetDate(C768,D$17,"Following",D$12,"Normal")</f>
        <v>43503</v>
      </c>
      <c r="E768" s="134">
        <f ca="1"/>
        <v>1.0778418418748752E-2</v>
      </c>
      <c r="F768" s="7" t="s">
        <v>3</v>
      </c>
      <c r="G768" s="136">
        <f t="shared" si="11"/>
        <v>43502</v>
      </c>
      <c r="H768" s="20">
        <f>_xll.mirGetDate(G768,H$17,"Following",H$12,"Normal")</f>
        <v>43591</v>
      </c>
      <c r="I768" s="134">
        <f ca="1"/>
        <v>1.4523530555583869E-2</v>
      </c>
      <c r="J768" s="120" t="s">
        <v>3</v>
      </c>
    </row>
    <row r="769" spans="1:10" x14ac:dyDescent="0.25">
      <c r="A769" s="126">
        <v>747</v>
      </c>
      <c r="B769" s="119"/>
      <c r="C769" s="136">
        <f>_xll.mirGetDate(C768,"1D","FOLLOWING",D$12,"NORMAL")</f>
        <v>43503</v>
      </c>
      <c r="D769" s="20">
        <f>_xll.mirGetDate(C769,D$17,"Following",D$12,"Normal")</f>
        <v>43504</v>
      </c>
      <c r="E769" s="134">
        <f ca="1"/>
        <v>1.0785157580537368E-2</v>
      </c>
      <c r="F769" s="7" t="s">
        <v>3</v>
      </c>
      <c r="G769" s="136">
        <f t="shared" si="11"/>
        <v>43503</v>
      </c>
      <c r="H769" s="20">
        <f>_xll.mirGetDate(G769,H$17,"Following",H$12,"Normal")</f>
        <v>43592</v>
      </c>
      <c r="I769" s="134">
        <f ca="1"/>
        <v>1.4528562749902775E-2</v>
      </c>
      <c r="J769" s="120" t="s">
        <v>3</v>
      </c>
    </row>
    <row r="770" spans="1:10" x14ac:dyDescent="0.25">
      <c r="A770" s="126">
        <v>748</v>
      </c>
      <c r="B770" s="119"/>
      <c r="C770" s="136">
        <f>_xll.mirGetDate(C769,"1D","FOLLOWING",D$12,"NORMAL")</f>
        <v>43504</v>
      </c>
      <c r="D770" s="20">
        <f>_xll.mirGetDate(C770,D$17,"Following",D$12,"Normal")</f>
        <v>43507</v>
      </c>
      <c r="E770" s="134">
        <f ca="1"/>
        <v>1.0799187096965961E-2</v>
      </c>
      <c r="F770" s="7" t="s">
        <v>3</v>
      </c>
      <c r="G770" s="136">
        <f t="shared" si="11"/>
        <v>43504</v>
      </c>
      <c r="H770" s="20">
        <f>_xll.mirGetDate(G770,H$17,"Following",H$12,"Normal")</f>
        <v>43593</v>
      </c>
      <c r="I770" s="134">
        <f ca="1"/>
        <v>1.4533632576643276E-2</v>
      </c>
      <c r="J770" s="120" t="s">
        <v>3</v>
      </c>
    </row>
    <row r="771" spans="1:10" x14ac:dyDescent="0.25">
      <c r="A771" s="126">
        <v>749</v>
      </c>
      <c r="B771" s="119"/>
      <c r="C771" s="136">
        <f>_xll.mirGetDate(C770,"1D","FOLLOWING",D$12,"NORMAL")</f>
        <v>43507</v>
      </c>
      <c r="D771" s="20">
        <f>_xll.mirGetDate(C771,D$17,"Following",D$12,"Normal")</f>
        <v>43508</v>
      </c>
      <c r="E771" s="134">
        <f ca="1"/>
        <v>1.08127960440552E-2</v>
      </c>
      <c r="F771" s="7" t="s">
        <v>3</v>
      </c>
      <c r="G771" s="136">
        <f t="shared" si="11"/>
        <v>43507</v>
      </c>
      <c r="H771" s="20">
        <f>_xll.mirGetDate(G771,H$17,"Following",H$12,"Normal")</f>
        <v>43598</v>
      </c>
      <c r="I771" s="134">
        <f ca="1"/>
        <v>1.4549086061058713E-2</v>
      </c>
      <c r="J771" s="120" t="s">
        <v>3</v>
      </c>
    </row>
    <row r="772" spans="1:10" x14ac:dyDescent="0.25">
      <c r="A772" s="126">
        <v>750</v>
      </c>
      <c r="B772" s="119"/>
      <c r="C772" s="136">
        <f>_xll.mirGetDate(C771,"1D","FOLLOWING",D$12,"NORMAL")</f>
        <v>43508</v>
      </c>
      <c r="D772" s="20">
        <f>_xll.mirGetDate(C772,D$17,"Following",D$12,"Normal")</f>
        <v>43509</v>
      </c>
      <c r="E772" s="134">
        <f ca="1"/>
        <v>1.0819876156951163E-2</v>
      </c>
      <c r="F772" s="7" t="s">
        <v>3</v>
      </c>
      <c r="G772" s="136">
        <f t="shared" si="11"/>
        <v>43508</v>
      </c>
      <c r="H772" s="20">
        <f>_xll.mirGetDate(G772,H$17,"Following",H$12,"Normal")</f>
        <v>43598</v>
      </c>
      <c r="I772" s="134">
        <f ca="1"/>
        <v>1.4554324627149952E-2</v>
      </c>
      <c r="J772" s="120" t="s">
        <v>3</v>
      </c>
    </row>
    <row r="773" spans="1:10" x14ac:dyDescent="0.25">
      <c r="A773" s="126">
        <v>751</v>
      </c>
      <c r="B773" s="119"/>
      <c r="C773" s="136">
        <f>_xll.mirGetDate(C772,"1D","FOLLOWING",D$12,"NORMAL")</f>
        <v>43509</v>
      </c>
      <c r="D773" s="20">
        <f>_xll.mirGetDate(C773,D$17,"Following",D$12,"Normal")</f>
        <v>43510</v>
      </c>
      <c r="E773" s="134">
        <f ca="1"/>
        <v>1.0827024485680108E-2</v>
      </c>
      <c r="F773" s="7" t="s">
        <v>3</v>
      </c>
      <c r="G773" s="136">
        <f t="shared" si="11"/>
        <v>43509</v>
      </c>
      <c r="H773" s="20">
        <f>_xll.mirGetDate(G773,H$17,"Following",H$12,"Normal")</f>
        <v>43598</v>
      </c>
      <c r="I773" s="134">
        <f ca="1"/>
        <v>1.4559609930494963E-2</v>
      </c>
      <c r="J773" s="120" t="s">
        <v>3</v>
      </c>
    </row>
    <row r="774" spans="1:10" x14ac:dyDescent="0.25">
      <c r="A774" s="126">
        <v>752</v>
      </c>
      <c r="B774" s="119"/>
      <c r="C774" s="136">
        <f>_xll.mirGetDate(C773,"1D","FOLLOWING",D$12,"NORMAL")</f>
        <v>43510</v>
      </c>
      <c r="D774" s="20">
        <f>_xll.mirGetDate(C774,D$17,"Following",D$12,"Normal")</f>
        <v>43511</v>
      </c>
      <c r="E774" s="134">
        <f ca="1"/>
        <v>1.0834241038955066E-2</v>
      </c>
      <c r="F774" s="7" t="s">
        <v>3</v>
      </c>
      <c r="G774" s="136">
        <f t="shared" si="11"/>
        <v>43510</v>
      </c>
      <c r="H774" s="20">
        <f>_xll.mirGetDate(G774,H$17,"Following",H$12,"Normal")</f>
        <v>43599</v>
      </c>
      <c r="I774" s="134">
        <f ca="1"/>
        <v>1.4564943792060183E-2</v>
      </c>
      <c r="J774" s="120" t="s">
        <v>3</v>
      </c>
    </row>
    <row r="775" spans="1:10" x14ac:dyDescent="0.25">
      <c r="A775" s="126">
        <v>753</v>
      </c>
      <c r="B775" s="119"/>
      <c r="C775" s="136">
        <f>_xll.mirGetDate(C774,"1D","FOLLOWING",D$12,"NORMAL")</f>
        <v>43511</v>
      </c>
      <c r="D775" s="20">
        <f>_xll.mirGetDate(C775,D$17,"Following",D$12,"Normal")</f>
        <v>43515</v>
      </c>
      <c r="E775" s="134">
        <f ca="1"/>
        <v>1.0853114377327205E-2</v>
      </c>
      <c r="F775" s="7" t="s">
        <v>3</v>
      </c>
      <c r="G775" s="136">
        <f t="shared" si="11"/>
        <v>43511</v>
      </c>
      <c r="H775" s="20">
        <f>_xll.mirGetDate(G775,H$17,"Following",H$12,"Normal")</f>
        <v>43600</v>
      </c>
      <c r="I775" s="134">
        <f ca="1"/>
        <v>1.4570328032812043E-2</v>
      </c>
      <c r="J775" s="120" t="s">
        <v>3</v>
      </c>
    </row>
    <row r="776" spans="1:10" x14ac:dyDescent="0.25">
      <c r="A776" s="126">
        <v>754</v>
      </c>
      <c r="B776" s="119"/>
      <c r="C776" s="136">
        <f>_xll.mirGetDate(C775,"1D","FOLLOWING",D$12,"NORMAL")</f>
        <v>43515</v>
      </c>
      <c r="D776" s="20">
        <f>_xll.mirGetDate(C776,D$17,"Following",D$12,"Normal")</f>
        <v>43516</v>
      </c>
      <c r="E776" s="134">
        <f ca="1"/>
        <v>1.0871347474479303E-2</v>
      </c>
      <c r="F776" s="7" t="s">
        <v>3</v>
      </c>
      <c r="G776" s="136">
        <f t="shared" si="11"/>
        <v>43515</v>
      </c>
      <c r="H776" s="20">
        <f>_xll.mirGetDate(G776,H$17,"Following",H$12,"Normal")</f>
        <v>43605</v>
      </c>
      <c r="I776" s="134">
        <f ca="1"/>
        <v>1.4592405207014634E-2</v>
      </c>
      <c r="J776" s="120" t="s">
        <v>3</v>
      </c>
    </row>
    <row r="777" spans="1:10" x14ac:dyDescent="0.25">
      <c r="A777" s="126">
        <v>755</v>
      </c>
      <c r="B777" s="119"/>
      <c r="C777" s="136">
        <f>_xll.mirGetDate(C776,"1D","FOLLOWING",D$12,"NORMAL")</f>
        <v>43516</v>
      </c>
      <c r="D777" s="20">
        <f>_xll.mirGetDate(C777,D$17,"Following",D$12,"Normal")</f>
        <v>43517</v>
      </c>
      <c r="E777" s="134">
        <f ca="1"/>
        <v>1.0878973556005572E-2</v>
      </c>
      <c r="F777" s="7" t="s">
        <v>3</v>
      </c>
      <c r="G777" s="136">
        <f t="shared" si="11"/>
        <v>43516</v>
      </c>
      <c r="H777" s="20">
        <f>_xll.mirGetDate(G777,H$17,"Following",H$12,"Normal")</f>
        <v>43605</v>
      </c>
      <c r="I777" s="134">
        <f ca="1"/>
        <v>1.4598068658196243E-2</v>
      </c>
      <c r="J777" s="120" t="s">
        <v>3</v>
      </c>
    </row>
    <row r="778" spans="1:10" x14ac:dyDescent="0.25">
      <c r="A778" s="126">
        <v>756</v>
      </c>
      <c r="B778" s="119"/>
      <c r="C778" s="136">
        <f>_xll.mirGetDate(C777,"1D","FOLLOWING",D$12,"NORMAL")</f>
        <v>43517</v>
      </c>
      <c r="D778" s="20">
        <f>_xll.mirGetDate(C778,D$17,"Following",D$12,"Normal")</f>
        <v>43518</v>
      </c>
      <c r="E778" s="134">
        <f ca="1"/>
        <v>1.0886667922669385E-2</v>
      </c>
      <c r="F778" s="7" t="s">
        <v>3</v>
      </c>
      <c r="G778" s="136">
        <f t="shared" si="11"/>
        <v>43517</v>
      </c>
      <c r="H778" s="20">
        <f>_xll.mirGetDate(G778,H$17,"Following",H$12,"Normal")</f>
        <v>43606</v>
      </c>
      <c r="I778" s="134">
        <f ca="1"/>
        <v>1.4603793414363103E-2</v>
      </c>
      <c r="J778" s="120" t="s">
        <v>3</v>
      </c>
    </row>
    <row r="779" spans="1:10" x14ac:dyDescent="0.25">
      <c r="A779" s="126">
        <v>757</v>
      </c>
      <c r="B779" s="119"/>
      <c r="C779" s="136">
        <f>_xll.mirGetDate(C778,"1D","FOLLOWING",D$12,"NORMAL")</f>
        <v>43518</v>
      </c>
      <c r="D779" s="20">
        <f>_xll.mirGetDate(C779,D$17,"Following",D$12,"Normal")</f>
        <v>43521</v>
      </c>
      <c r="E779" s="134">
        <f ca="1"/>
        <v>1.0902614485885958E-2</v>
      </c>
      <c r="F779" s="7" t="s">
        <v>3</v>
      </c>
      <c r="G779" s="136">
        <f t="shared" si="11"/>
        <v>43518</v>
      </c>
      <c r="H779" s="20">
        <f>_xll.mirGetDate(G779,H$17,"Following",H$12,"Normal")</f>
        <v>43607</v>
      </c>
      <c r="I779" s="134">
        <f ca="1"/>
        <v>1.4609581296481657E-2</v>
      </c>
      <c r="J779" s="120" t="s">
        <v>3</v>
      </c>
    </row>
    <row r="780" spans="1:10" x14ac:dyDescent="0.25">
      <c r="A780" s="126">
        <v>758</v>
      </c>
      <c r="B780" s="119"/>
      <c r="C780" s="136">
        <f>_xll.mirGetDate(C779,"1D","FOLLOWING",D$12,"NORMAL")</f>
        <v>43521</v>
      </c>
      <c r="D780" s="20">
        <f>_xll.mirGetDate(C780,D$17,"Following",D$12,"Normal")</f>
        <v>43522</v>
      </c>
      <c r="E780" s="134">
        <f ca="1"/>
        <v>1.0917063705278521E-2</v>
      </c>
      <c r="F780" s="7" t="s">
        <v>3</v>
      </c>
      <c r="G780" s="136">
        <f t="shared" si="11"/>
        <v>43521</v>
      </c>
      <c r="H780" s="20">
        <f>_xll.mirGetDate(G780,H$17,"Following",H$12,"Normal")</f>
        <v>43613</v>
      </c>
      <c r="I780" s="134">
        <f ca="1"/>
        <v>1.462734190821181E-2</v>
      </c>
      <c r="J780" s="120" t="s">
        <v>3</v>
      </c>
    </row>
    <row r="781" spans="1:10" x14ac:dyDescent="0.25">
      <c r="A781" s="126">
        <v>759</v>
      </c>
      <c r="B781" s="119"/>
      <c r="C781" s="136">
        <f>_xll.mirGetDate(C780,"1D","FOLLOWING",D$12,"NORMAL")</f>
        <v>43522</v>
      </c>
      <c r="D781" s="20">
        <f>_xll.mirGetDate(C781,D$17,"Following",D$12,"Normal")</f>
        <v>43523</v>
      </c>
      <c r="E781" s="134">
        <f ca="1"/>
        <v>1.0922924734622124E-2</v>
      </c>
      <c r="F781" s="7" t="s">
        <v>3</v>
      </c>
      <c r="G781" s="136">
        <f t="shared" si="11"/>
        <v>43522</v>
      </c>
      <c r="H781" s="20">
        <f>_xll.mirGetDate(G781,H$17,"Following",H$12,"Normal")</f>
        <v>43613</v>
      </c>
      <c r="I781" s="134">
        <f ca="1"/>
        <v>1.4633377758184216E-2</v>
      </c>
      <c r="J781" s="120" t="s">
        <v>3</v>
      </c>
    </row>
    <row r="782" spans="1:10" x14ac:dyDescent="0.25">
      <c r="A782" s="126">
        <v>760</v>
      </c>
      <c r="B782" s="119"/>
      <c r="C782" s="136">
        <f>_xll.mirGetDate(C781,"1D","FOLLOWING",D$12,"NORMAL")</f>
        <v>43523</v>
      </c>
      <c r="D782" s="20">
        <f>_xll.mirGetDate(C782,D$17,"Following",D$12,"Normal")</f>
        <v>43524</v>
      </c>
      <c r="E782" s="134">
        <f ca="1"/>
        <v>1.0928785882109476E-2</v>
      </c>
      <c r="F782" s="7" t="s">
        <v>3</v>
      </c>
      <c r="G782" s="136">
        <f t="shared" si="11"/>
        <v>43523</v>
      </c>
      <c r="H782" s="20">
        <f>_xll.mirGetDate(G782,H$17,"Following",H$12,"Normal")</f>
        <v>43613</v>
      </c>
      <c r="I782" s="134">
        <f ca="1"/>
        <v>1.463943913352677E-2</v>
      </c>
      <c r="J782" s="120" t="s">
        <v>3</v>
      </c>
    </row>
    <row r="783" spans="1:10" x14ac:dyDescent="0.25">
      <c r="A783" s="126">
        <v>761</v>
      </c>
      <c r="B783" s="119"/>
      <c r="C783" s="136">
        <f>_xll.mirGetDate(C782,"1D","FOLLOWING",D$12,"NORMAL")</f>
        <v>43524</v>
      </c>
      <c r="D783" s="20">
        <f>_xll.mirGetDate(C783,D$17,"Following",D$12,"Normal")</f>
        <v>43525</v>
      </c>
      <c r="E783" s="134">
        <f ca="1"/>
        <v>1.0934647148221937E-2</v>
      </c>
      <c r="F783" s="7" t="s">
        <v>3</v>
      </c>
      <c r="G783" s="136">
        <f t="shared" si="11"/>
        <v>43524</v>
      </c>
      <c r="H783" s="20">
        <f>_xll.mirGetDate(G783,H$17,"Following",H$12,"Normal")</f>
        <v>43613</v>
      </c>
      <c r="I783" s="134">
        <f ca="1"/>
        <v>1.46455260339371E-2</v>
      </c>
      <c r="J783" s="120" t="s">
        <v>3</v>
      </c>
    </row>
    <row r="784" spans="1:10" x14ac:dyDescent="0.25">
      <c r="A784" s="126">
        <v>762</v>
      </c>
      <c r="B784" s="119"/>
      <c r="C784" s="136">
        <f>_xll.mirGetDate(C783,"1D","FOLLOWING",D$12,"NORMAL")</f>
        <v>43525</v>
      </c>
      <c r="D784" s="20">
        <f>_xll.mirGetDate(C784,D$17,"Following",D$12,"Normal")</f>
        <v>43528</v>
      </c>
      <c r="E784" s="134">
        <f ca="1"/>
        <v>1.0946702921854661E-2</v>
      </c>
      <c r="F784" s="7" t="s">
        <v>3</v>
      </c>
      <c r="G784" s="136">
        <f t="shared" si="11"/>
        <v>43525</v>
      </c>
      <c r="H784" s="20">
        <f>_xll.mirGetDate(G784,H$17,"Following",H$12,"Normal")</f>
        <v>43619</v>
      </c>
      <c r="I784" s="134">
        <f ca="1"/>
        <v>1.4651638459112843E-2</v>
      </c>
      <c r="J784" s="120" t="s">
        <v>3</v>
      </c>
    </row>
    <row r="785" spans="1:10" x14ac:dyDescent="0.25">
      <c r="A785" s="126">
        <v>763</v>
      </c>
      <c r="B785" s="119"/>
      <c r="C785" s="136">
        <f>_xll.mirGetDate(C784,"1D","FOLLOWING",D$12,"NORMAL")</f>
        <v>43528</v>
      </c>
      <c r="D785" s="20">
        <f>_xll.mirGetDate(C785,D$17,"Following",D$12,"Normal")</f>
        <v>43529</v>
      </c>
      <c r="E785" s="134">
        <f ca="1"/>
        <v>1.0958093403239427E-2</v>
      </c>
      <c r="F785" s="7" t="s">
        <v>3</v>
      </c>
      <c r="G785" s="136">
        <f t="shared" si="11"/>
        <v>43528</v>
      </c>
      <c r="H785" s="20">
        <f>_xll.mirGetDate(G785,H$17,"Following",H$12,"Normal")</f>
        <v>43620</v>
      </c>
      <c r="I785" s="134">
        <f ca="1"/>
        <v>1.4670128880208858E-2</v>
      </c>
      <c r="J785" s="120" t="s">
        <v>3</v>
      </c>
    </row>
    <row r="786" spans="1:10" x14ac:dyDescent="0.25">
      <c r="A786" s="126">
        <v>764</v>
      </c>
      <c r="B786" s="119"/>
      <c r="C786" s="136">
        <f>_xll.mirGetDate(C785,"1D","FOLLOWING",D$12,"NORMAL")</f>
        <v>43529</v>
      </c>
      <c r="D786" s="20">
        <f>_xll.mirGetDate(C786,D$17,"Following",D$12,"Normal")</f>
        <v>43530</v>
      </c>
      <c r="E786" s="134">
        <f ca="1"/>
        <v>1.0963955265994623E-2</v>
      </c>
      <c r="F786" s="7" t="s">
        <v>3</v>
      </c>
      <c r="G786" s="136">
        <f t="shared" si="11"/>
        <v>43529</v>
      </c>
      <c r="H786" s="20">
        <f>_xll.mirGetDate(G786,H$17,"Following",H$12,"Normal")</f>
        <v>43621</v>
      </c>
      <c r="I786" s="134">
        <f ca="1"/>
        <v>1.4676343401422572E-2</v>
      </c>
      <c r="J786" s="120" t="s">
        <v>3</v>
      </c>
    </row>
    <row r="787" spans="1:10" x14ac:dyDescent="0.25">
      <c r="A787" s="126">
        <v>765</v>
      </c>
      <c r="B787" s="119"/>
      <c r="C787" s="136">
        <f>_xll.mirGetDate(C786,"1D","FOLLOWING",D$12,"NORMAL")</f>
        <v>43530</v>
      </c>
      <c r="D787" s="20">
        <f>_xll.mirGetDate(C787,D$17,"Following",D$12,"Normal")</f>
        <v>43531</v>
      </c>
      <c r="E787" s="134">
        <f ca="1"/>
        <v>1.0969817248893714E-2</v>
      </c>
      <c r="F787" s="7" t="s">
        <v>3</v>
      </c>
      <c r="G787" s="136">
        <f t="shared" si="11"/>
        <v>43530</v>
      </c>
      <c r="H787" s="20">
        <f>_xll.mirGetDate(G787,H$17,"Following",H$12,"Normal")</f>
        <v>43622</v>
      </c>
      <c r="I787" s="134">
        <f ca="1"/>
        <v>1.4682583445889861E-2</v>
      </c>
      <c r="J787" s="120" t="s">
        <v>3</v>
      </c>
    </row>
    <row r="788" spans="1:10" x14ac:dyDescent="0.25">
      <c r="A788" s="126">
        <v>766</v>
      </c>
      <c r="B788" s="119"/>
      <c r="C788" s="136">
        <f>_xll.mirGetDate(C787,"1D","FOLLOWING",D$12,"NORMAL")</f>
        <v>43531</v>
      </c>
      <c r="D788" s="20">
        <f>_xll.mirGetDate(C788,D$17,"Following",D$12,"Normal")</f>
        <v>43532</v>
      </c>
      <c r="E788" s="134">
        <f ca="1"/>
        <v>1.0975679352176509E-2</v>
      </c>
      <c r="F788" s="7" t="s">
        <v>3</v>
      </c>
      <c r="G788" s="136">
        <f t="shared" si="11"/>
        <v>43531</v>
      </c>
      <c r="H788" s="20">
        <f>_xll.mirGetDate(G788,H$17,"Following",H$12,"Normal")</f>
        <v>43623</v>
      </c>
      <c r="I788" s="134">
        <f ca="1"/>
        <v>1.4688849013308358E-2</v>
      </c>
      <c r="J788" s="120" t="s">
        <v>3</v>
      </c>
    </row>
    <row r="789" spans="1:10" x14ac:dyDescent="0.25">
      <c r="A789" s="126">
        <v>767</v>
      </c>
      <c r="B789" s="119"/>
      <c r="C789" s="136">
        <f>_xll.mirGetDate(C788,"1D","FOLLOWING",D$12,"NORMAL")</f>
        <v>43532</v>
      </c>
      <c r="D789" s="20">
        <f>_xll.mirGetDate(C789,D$17,"Following",D$12,"Normal")</f>
        <v>43535</v>
      </c>
      <c r="E789" s="134">
        <f ca="1"/>
        <v>1.0987739306758155E-2</v>
      </c>
      <c r="F789" s="7" t="s">
        <v>3</v>
      </c>
      <c r="G789" s="136">
        <f t="shared" si="11"/>
        <v>43532</v>
      </c>
      <c r="H789" s="20">
        <f>_xll.mirGetDate(G789,H$17,"Following",H$12,"Normal")</f>
        <v>43626</v>
      </c>
      <c r="I789" s="134">
        <f ca="1"/>
        <v>1.4695140103375694E-2</v>
      </c>
      <c r="J789" s="120" t="s">
        <v>3</v>
      </c>
    </row>
    <row r="790" spans="1:10" x14ac:dyDescent="0.25">
      <c r="A790" s="126">
        <v>768</v>
      </c>
      <c r="B790" s="119"/>
      <c r="C790" s="136">
        <f>_xll.mirGetDate(C789,"1D","FOLLOWING",D$12,"NORMAL")</f>
        <v>43535</v>
      </c>
      <c r="D790" s="20">
        <f>_xll.mirGetDate(C790,D$17,"Following",D$12,"Normal")</f>
        <v>43536</v>
      </c>
      <c r="E790" s="134">
        <f ca="1"/>
        <v>1.099912897498005E-2</v>
      </c>
      <c r="F790" s="7" t="s">
        <v>3</v>
      </c>
      <c r="G790" s="136">
        <f t="shared" si="11"/>
        <v>43535</v>
      </c>
      <c r="H790" s="20">
        <f>_xll.mirGetDate(G790,H$17,"Following",H$12,"Normal")</f>
        <v>43627</v>
      </c>
      <c r="I790" s="134">
        <f ca="1"/>
        <v>1.4714166506447079E-2</v>
      </c>
      <c r="J790" s="120" t="s">
        <v>3</v>
      </c>
    </row>
    <row r="791" spans="1:10" x14ac:dyDescent="0.25">
      <c r="A791" s="126">
        <v>769</v>
      </c>
      <c r="B791" s="119"/>
      <c r="C791" s="136">
        <f>_xll.mirGetDate(C790,"1D","FOLLOWING",D$12,"NORMAL")</f>
        <v>43536</v>
      </c>
      <c r="D791" s="20">
        <f>_xll.mirGetDate(C791,D$17,"Following",D$12,"Normal")</f>
        <v>43537</v>
      </c>
      <c r="E791" s="134">
        <f ca="1"/>
        <v>1.1004991684417971E-2</v>
      </c>
      <c r="F791" s="7" t="s">
        <v>3</v>
      </c>
      <c r="G791" s="136">
        <f t="shared" si="11"/>
        <v>43536</v>
      </c>
      <c r="H791" s="20">
        <f>_xll.mirGetDate(G791,H$17,"Following",H$12,"Normal")</f>
        <v>43628</v>
      </c>
      <c r="I791" s="134">
        <f ca="1"/>
        <v>1.4720559684086108E-2</v>
      </c>
      <c r="J791" s="120" t="s">
        <v>3</v>
      </c>
    </row>
    <row r="792" spans="1:10" x14ac:dyDescent="0.25">
      <c r="A792" s="126">
        <v>770</v>
      </c>
      <c r="B792" s="119"/>
      <c r="C792" s="136">
        <f>_xll.mirGetDate(C791,"1D","FOLLOWING",D$12,"NORMAL")</f>
        <v>43537</v>
      </c>
      <c r="D792" s="20">
        <f>_xll.mirGetDate(C792,D$17,"Following",D$12,"Normal")</f>
        <v>43538</v>
      </c>
      <c r="E792" s="134">
        <f ca="1"/>
        <v>1.1010854515838315E-2</v>
      </c>
      <c r="F792" s="7" t="s">
        <v>3</v>
      </c>
      <c r="G792" s="136">
        <f t="shared" ref="G792:G855" si="12">$C792</f>
        <v>43537</v>
      </c>
      <c r="H792" s="20">
        <f>_xll.mirGetDate(G792,H$17,"Following",H$12,"Normal")</f>
        <v>43629</v>
      </c>
      <c r="I792" s="134">
        <f ca="1"/>
        <v>1.4726978382862141E-2</v>
      </c>
      <c r="J792" s="120" t="s">
        <v>3</v>
      </c>
    </row>
    <row r="793" spans="1:10" x14ac:dyDescent="0.25">
      <c r="A793" s="126">
        <v>771</v>
      </c>
      <c r="B793" s="119"/>
      <c r="C793" s="136">
        <f>_xll.mirGetDate(C792,"1D","FOLLOWING",D$12,"NORMAL")</f>
        <v>43538</v>
      </c>
      <c r="D793" s="20">
        <f>_xll.mirGetDate(C793,D$17,"Following",D$12,"Normal")</f>
        <v>43539</v>
      </c>
      <c r="E793" s="134">
        <f ca="1"/>
        <v>1.1016717469640764E-2</v>
      </c>
      <c r="F793" s="7" t="s">
        <v>3</v>
      </c>
      <c r="G793" s="136">
        <f t="shared" si="12"/>
        <v>43538</v>
      </c>
      <c r="H793" s="20">
        <f>_xll.mirGetDate(G793,H$17,"Following",H$12,"Normal")</f>
        <v>43630</v>
      </c>
      <c r="I793" s="134">
        <f ca="1"/>
        <v>1.4733422602472812E-2</v>
      </c>
      <c r="J793" s="120" t="s">
        <v>3</v>
      </c>
    </row>
    <row r="794" spans="1:10" x14ac:dyDescent="0.25">
      <c r="A794" s="126">
        <v>772</v>
      </c>
      <c r="B794" s="119"/>
      <c r="C794" s="136">
        <f>_xll.mirGetDate(C793,"1D","FOLLOWING",D$12,"NORMAL")</f>
        <v>43539</v>
      </c>
      <c r="D794" s="20">
        <f>_xll.mirGetDate(C794,D$17,"Following",D$12,"Normal")</f>
        <v>43542</v>
      </c>
      <c r="E794" s="134">
        <f ca="1"/>
        <v>1.1028781641089265E-2</v>
      </c>
      <c r="F794" s="7" t="s">
        <v>3</v>
      </c>
      <c r="G794" s="136">
        <f t="shared" si="12"/>
        <v>43539</v>
      </c>
      <c r="H794" s="20">
        <f>_xll.mirGetDate(G794,H$17,"Following",H$12,"Normal")</f>
        <v>43633</v>
      </c>
      <c r="I794" s="134">
        <f ca="1"/>
        <v>1.4739892342615754E-2</v>
      </c>
      <c r="J794" s="120" t="s">
        <v>3</v>
      </c>
    </row>
    <row r="795" spans="1:10" x14ac:dyDescent="0.25">
      <c r="A795" s="126">
        <v>773</v>
      </c>
      <c r="B795" s="119"/>
      <c r="C795" s="136">
        <f>_xll.mirGetDate(C794,"1D","FOLLOWING",D$12,"NORMAL")</f>
        <v>43542</v>
      </c>
      <c r="D795" s="20">
        <f>_xll.mirGetDate(C795,D$17,"Following",D$12,"Normal")</f>
        <v>43543</v>
      </c>
      <c r="E795" s="134">
        <f ca="1"/>
        <v>1.1040170512908216E-2</v>
      </c>
      <c r="F795" s="7" t="s">
        <v>3</v>
      </c>
      <c r="G795" s="136">
        <f t="shared" si="12"/>
        <v>43542</v>
      </c>
      <c r="H795" s="20">
        <f>_xll.mirGetDate(G795,H$17,"Following",H$12,"Normal")</f>
        <v>43634</v>
      </c>
      <c r="I795" s="134">
        <f ca="1"/>
        <v>1.4759454683214535E-2</v>
      </c>
      <c r="J795" s="120" t="s">
        <v>3</v>
      </c>
    </row>
    <row r="796" spans="1:10" x14ac:dyDescent="0.25">
      <c r="A796" s="126">
        <v>774</v>
      </c>
      <c r="B796" s="119"/>
      <c r="C796" s="136">
        <f>_xll.mirGetDate(C795,"1D","FOLLOWING",D$12,"NORMAL")</f>
        <v>43543</v>
      </c>
      <c r="D796" s="20">
        <f>_xll.mirGetDate(C796,D$17,"Following",D$12,"Normal")</f>
        <v>43544</v>
      </c>
      <c r="E796" s="134">
        <f ca="1"/>
        <v>1.1046034082138374E-2</v>
      </c>
      <c r="F796" s="7" t="s">
        <v>3</v>
      </c>
      <c r="G796" s="136">
        <f t="shared" si="12"/>
        <v>43543</v>
      </c>
      <c r="H796" s="20">
        <f>_xll.mirGetDate(G796,H$17,"Following",H$12,"Normal")</f>
        <v>43635</v>
      </c>
      <c r="I796" s="134">
        <f ca="1"/>
        <v>1.4766026502462889E-2</v>
      </c>
      <c r="J796" s="120" t="s">
        <v>3</v>
      </c>
    </row>
    <row r="797" spans="1:10" x14ac:dyDescent="0.25">
      <c r="A797" s="126">
        <v>775</v>
      </c>
      <c r="B797" s="119"/>
      <c r="C797" s="136">
        <f>_xll.mirGetDate(C796,"1D","FOLLOWING",D$12,"NORMAL")</f>
        <v>43544</v>
      </c>
      <c r="D797" s="20">
        <f>_xll.mirGetDate(C797,D$17,"Following",D$12,"Normal")</f>
        <v>43545</v>
      </c>
      <c r="E797" s="134">
        <f ca="1"/>
        <v>1.1051897775269421E-2</v>
      </c>
      <c r="F797" s="7" t="s">
        <v>3</v>
      </c>
      <c r="G797" s="136">
        <f t="shared" si="12"/>
        <v>43544</v>
      </c>
      <c r="H797" s="20">
        <f>_xll.mirGetDate(G797,H$17,"Following",H$12,"Normal")</f>
        <v>43636</v>
      </c>
      <c r="I797" s="134">
        <f ca="1"/>
        <v>1.4772623840731676E-2</v>
      </c>
      <c r="J797" s="120" t="s">
        <v>3</v>
      </c>
    </row>
    <row r="798" spans="1:10" x14ac:dyDescent="0.25">
      <c r="A798" s="126">
        <v>776</v>
      </c>
      <c r="B798" s="119"/>
      <c r="C798" s="136">
        <f>_xll.mirGetDate(C797,"1D","FOLLOWING",D$12,"NORMAL")</f>
        <v>43545</v>
      </c>
      <c r="D798" s="20">
        <f>_xll.mirGetDate(C798,D$17,"Following",D$12,"Normal")</f>
        <v>43546</v>
      </c>
      <c r="E798" s="134">
        <f ca="1"/>
        <v>1.1057761592621103E-2</v>
      </c>
      <c r="F798" s="7" t="s">
        <v>3</v>
      </c>
      <c r="G798" s="136">
        <f t="shared" si="12"/>
        <v>43545</v>
      </c>
      <c r="H798" s="20">
        <f>_xll.mirGetDate(G798,H$17,"Following",H$12,"Normal")</f>
        <v>43637</v>
      </c>
      <c r="I798" s="134">
        <f ca="1"/>
        <v>1.4779254125918566E-2</v>
      </c>
      <c r="J798" s="120" t="s">
        <v>3</v>
      </c>
    </row>
    <row r="799" spans="1:10" x14ac:dyDescent="0.25">
      <c r="A799" s="126">
        <v>777</v>
      </c>
      <c r="B799" s="119"/>
      <c r="C799" s="136">
        <f>_xll.mirGetDate(C798,"1D","FOLLOWING",D$12,"NORMAL")</f>
        <v>43546</v>
      </c>
      <c r="D799" s="20">
        <f>_xll.mirGetDate(C799,D$17,"Following",D$12,"Normal")</f>
        <v>43549</v>
      </c>
      <c r="E799" s="134">
        <f ca="1"/>
        <v>1.1069830017120847E-2</v>
      </c>
      <c r="F799" s="7" t="s">
        <v>3</v>
      </c>
      <c r="G799" s="136">
        <f t="shared" si="12"/>
        <v>43546</v>
      </c>
      <c r="H799" s="20">
        <f>_xll.mirGetDate(G799,H$17,"Following",H$12,"Normal")</f>
        <v>43640</v>
      </c>
      <c r="I799" s="134">
        <f ca="1"/>
        <v>1.4785924314029572E-2</v>
      </c>
      <c r="J799" s="120" t="s">
        <v>3</v>
      </c>
    </row>
    <row r="800" spans="1:10" x14ac:dyDescent="0.25">
      <c r="A800" s="126">
        <v>778</v>
      </c>
      <c r="B800" s="119"/>
      <c r="C800" s="136">
        <f>_xll.mirGetDate(C799,"1D","FOLLOWING",D$12,"NORMAL")</f>
        <v>43549</v>
      </c>
      <c r="D800" s="20">
        <f>_xll.mirGetDate(C800,D$17,"Following",D$12,"Normal")</f>
        <v>43550</v>
      </c>
      <c r="E800" s="134">
        <f ca="1"/>
        <v>1.1081218109110265E-2</v>
      </c>
      <c r="F800" s="7" t="s">
        <v>3</v>
      </c>
      <c r="G800" s="136">
        <f t="shared" si="12"/>
        <v>43549</v>
      </c>
      <c r="H800" s="20">
        <f>_xll.mirGetDate(G800,H$17,"Following",H$12,"Normal")</f>
        <v>43641</v>
      </c>
      <c r="I800" s="134">
        <f ca="1"/>
        <v>1.4806167214508888E-2</v>
      </c>
      <c r="J800" s="120" t="s">
        <v>3</v>
      </c>
    </row>
    <row r="801" spans="1:10" x14ac:dyDescent="0.25">
      <c r="A801" s="126">
        <v>779</v>
      </c>
      <c r="B801" s="119"/>
      <c r="C801" s="136">
        <f>_xll.mirGetDate(C800,"1D","FOLLOWING",D$12,"NORMAL")</f>
        <v>43550</v>
      </c>
      <c r="D801" s="20">
        <f>_xll.mirGetDate(C801,D$17,"Following",D$12,"Normal")</f>
        <v>43551</v>
      </c>
      <c r="E801" s="134">
        <f ca="1"/>
        <v>1.1087082551322109E-2</v>
      </c>
      <c r="F801" s="7" t="s">
        <v>3</v>
      </c>
      <c r="G801" s="136">
        <f t="shared" si="12"/>
        <v>43550</v>
      </c>
      <c r="H801" s="20">
        <f>_xll.mirGetDate(G801,H$17,"Following",H$12,"Normal")</f>
        <v>43642</v>
      </c>
      <c r="I801" s="134">
        <f ca="1"/>
        <v>1.481298993291795E-2</v>
      </c>
      <c r="J801" s="120" t="s">
        <v>3</v>
      </c>
    </row>
    <row r="802" spans="1:10" x14ac:dyDescent="0.25">
      <c r="A802" s="126">
        <v>780</v>
      </c>
      <c r="B802" s="119"/>
      <c r="C802" s="136">
        <f>_xll.mirGetDate(C801,"1D","FOLLOWING",D$12,"NORMAL")</f>
        <v>43551</v>
      </c>
      <c r="D802" s="20">
        <f>_xll.mirGetDate(C802,D$17,"Following",D$12,"Normal")</f>
        <v>43552</v>
      </c>
      <c r="E802" s="134">
        <f ca="1"/>
        <v>1.1092947119353309E-2</v>
      </c>
      <c r="F802" s="7" t="s">
        <v>3</v>
      </c>
      <c r="G802" s="136">
        <f t="shared" si="12"/>
        <v>43551</v>
      </c>
      <c r="H802" s="20">
        <f>_xll.mirGetDate(G802,H$17,"Following",H$12,"Normal")</f>
        <v>43643</v>
      </c>
      <c r="I802" s="134">
        <f ca="1"/>
        <v>1.4819849013551921E-2</v>
      </c>
      <c r="J802" s="120" t="s">
        <v>3</v>
      </c>
    </row>
    <row r="803" spans="1:10" x14ac:dyDescent="0.25">
      <c r="A803" s="126">
        <v>781</v>
      </c>
      <c r="B803" s="119"/>
      <c r="C803" s="136">
        <f>_xll.mirGetDate(C802,"1D","FOLLOWING",D$12,"NORMAL")</f>
        <v>43552</v>
      </c>
      <c r="D803" s="20">
        <f>_xll.mirGetDate(C803,D$17,"Following",D$12,"Normal")</f>
        <v>43553</v>
      </c>
      <c r="E803" s="134">
        <f ca="1"/>
        <v>1.1098811813363736E-2</v>
      </c>
      <c r="F803" s="7" t="s">
        <v>3</v>
      </c>
      <c r="G803" s="136">
        <f t="shared" si="12"/>
        <v>43552</v>
      </c>
      <c r="H803" s="20">
        <f>_xll.mirGetDate(G803,H$17,"Following",H$12,"Normal")</f>
        <v>43644</v>
      </c>
      <c r="I803" s="134">
        <f ca="1"/>
        <v>1.4826743748270959E-2</v>
      </c>
      <c r="J803" s="120" t="s">
        <v>3</v>
      </c>
    </row>
    <row r="804" spans="1:10" x14ac:dyDescent="0.25">
      <c r="A804" s="126">
        <v>782</v>
      </c>
      <c r="B804" s="119"/>
      <c r="C804" s="136">
        <f>_xll.mirGetDate(C803,"1D","FOLLOWING",D$12,"NORMAL")</f>
        <v>43553</v>
      </c>
      <c r="D804" s="20">
        <f>_xll.mirGetDate(C804,D$17,"Following",D$12,"Normal")</f>
        <v>43556</v>
      </c>
      <c r="E804" s="134">
        <f ca="1"/>
        <v>1.1110884527045823E-2</v>
      </c>
      <c r="F804" s="7" t="s">
        <v>3</v>
      </c>
      <c r="G804" s="136">
        <f t="shared" si="12"/>
        <v>43553</v>
      </c>
      <c r="H804" s="20">
        <f>_xll.mirGetDate(G804,H$17,"Following",H$12,"Normal")</f>
        <v>43647</v>
      </c>
      <c r="I804" s="134">
        <f ca="1"/>
        <v>1.4833673428935219E-2</v>
      </c>
      <c r="J804" s="120" t="s">
        <v>3</v>
      </c>
    </row>
    <row r="805" spans="1:10" x14ac:dyDescent="0.25">
      <c r="A805" s="126">
        <v>783</v>
      </c>
      <c r="B805" s="119"/>
      <c r="C805" s="136">
        <f>_xll.mirGetDate(C804,"1D","FOLLOWING",D$12,"NORMAL")</f>
        <v>43556</v>
      </c>
      <c r="D805" s="20">
        <f>_xll.mirGetDate(C805,D$17,"Following",D$12,"Normal")</f>
        <v>43557</v>
      </c>
      <c r="E805" s="134">
        <f ca="1"/>
        <v>1.1122271855832406E-2</v>
      </c>
      <c r="F805" s="7" t="s">
        <v>3</v>
      </c>
      <c r="G805" s="136">
        <f t="shared" si="12"/>
        <v>43556</v>
      </c>
      <c r="H805" s="20">
        <f>_xll.mirGetDate(G805,H$17,"Following",H$12,"Normal")</f>
        <v>43647</v>
      </c>
      <c r="I805" s="134">
        <f ca="1"/>
        <v>1.4854665065200933E-2</v>
      </c>
      <c r="J805" s="120" t="s">
        <v>3</v>
      </c>
    </row>
    <row r="806" spans="1:10" x14ac:dyDescent="0.25">
      <c r="A806" s="126">
        <v>784</v>
      </c>
      <c r="B806" s="119"/>
      <c r="C806" s="136">
        <f>_xll.mirGetDate(C805,"1D","FOLLOWING",D$12,"NORMAL")</f>
        <v>43557</v>
      </c>
      <c r="D806" s="20">
        <f>_xll.mirGetDate(C806,D$17,"Following",D$12,"Normal")</f>
        <v>43558</v>
      </c>
      <c r="E806" s="134">
        <f ca="1"/>
        <v>1.1128137184215387E-2</v>
      </c>
      <c r="F806" s="7" t="s">
        <v>3</v>
      </c>
      <c r="G806" s="136">
        <f t="shared" si="12"/>
        <v>43557</v>
      </c>
      <c r="H806" s="20">
        <f>_xll.mirGetDate(G806,H$17,"Following",H$12,"Normal")</f>
        <v>43648</v>
      </c>
      <c r="I806" s="134">
        <f ca="1"/>
        <v>1.4861727448247673E-2</v>
      </c>
      <c r="J806" s="120" t="s">
        <v>3</v>
      </c>
    </row>
    <row r="807" spans="1:10" x14ac:dyDescent="0.25">
      <c r="A807" s="126">
        <v>785</v>
      </c>
      <c r="B807" s="119"/>
      <c r="C807" s="136">
        <f>_xll.mirGetDate(C806,"1D","FOLLOWING",D$12,"NORMAL")</f>
        <v>43558</v>
      </c>
      <c r="D807" s="20">
        <f>_xll.mirGetDate(C807,D$17,"Following",D$12,"Normal")</f>
        <v>43559</v>
      </c>
      <c r="E807" s="134">
        <f ca="1"/>
        <v>1.1134002640336189E-2</v>
      </c>
      <c r="F807" s="7" t="s">
        <v>3</v>
      </c>
      <c r="G807" s="136">
        <f t="shared" si="12"/>
        <v>43558</v>
      </c>
      <c r="H807" s="20">
        <f>_xll.mirGetDate(G807,H$17,"Following",H$12,"Normal")</f>
        <v>43649</v>
      </c>
      <c r="I807" s="134">
        <f ca="1"/>
        <v>1.4868821236540429E-2</v>
      </c>
      <c r="J807" s="120" t="s">
        <v>3</v>
      </c>
    </row>
    <row r="808" spans="1:10" x14ac:dyDescent="0.25">
      <c r="A808" s="126">
        <v>786</v>
      </c>
      <c r="B808" s="119"/>
      <c r="C808" s="136">
        <f>_xll.mirGetDate(C807,"1D","FOLLOWING",D$12,"NORMAL")</f>
        <v>43559</v>
      </c>
      <c r="D808" s="20">
        <f>_xll.mirGetDate(C808,D$17,"Following",D$12,"Normal")</f>
        <v>43560</v>
      </c>
      <c r="E808" s="134">
        <f ca="1"/>
        <v>1.1139868224354683E-2</v>
      </c>
      <c r="F808" s="7" t="s">
        <v>3</v>
      </c>
      <c r="G808" s="136">
        <f t="shared" si="12"/>
        <v>43559</v>
      </c>
      <c r="H808" s="20">
        <f>_xll.mirGetDate(G808,H$17,"Following",H$12,"Normal")</f>
        <v>43651</v>
      </c>
      <c r="I808" s="134">
        <f ca="1"/>
        <v>1.4875945721939359E-2</v>
      </c>
      <c r="J808" s="120" t="s">
        <v>3</v>
      </c>
    </row>
    <row r="809" spans="1:10" x14ac:dyDescent="0.25">
      <c r="A809" s="126">
        <v>787</v>
      </c>
      <c r="B809" s="119"/>
      <c r="C809" s="136">
        <f>_xll.mirGetDate(C808,"1D","FOLLOWING",D$12,"NORMAL")</f>
        <v>43560</v>
      </c>
      <c r="D809" s="20">
        <f>_xll.mirGetDate(C809,D$17,"Following",D$12,"Normal")</f>
        <v>43563</v>
      </c>
      <c r="E809" s="134">
        <f ca="1"/>
        <v>1.1151945263190339E-2</v>
      </c>
      <c r="F809" s="7" t="s">
        <v>3</v>
      </c>
      <c r="G809" s="136">
        <f t="shared" si="12"/>
        <v>43560</v>
      </c>
      <c r="H809" s="20">
        <f>_xll.mirGetDate(G809,H$17,"Following",H$12,"Normal")</f>
        <v>43651</v>
      </c>
      <c r="I809" s="134">
        <f ca="1"/>
        <v>1.4883100196304616E-2</v>
      </c>
      <c r="J809" s="120" t="s">
        <v>3</v>
      </c>
    </row>
    <row r="810" spans="1:10" x14ac:dyDescent="0.25">
      <c r="A810" s="126">
        <v>788</v>
      </c>
      <c r="B810" s="119"/>
      <c r="C810" s="136">
        <f>_xll.mirGetDate(C809,"1D","FOLLOWING",D$12,"NORMAL")</f>
        <v>43563</v>
      </c>
      <c r="D810" s="20">
        <f>_xll.mirGetDate(C810,D$17,"Following",D$12,"Normal")</f>
        <v>43564</v>
      </c>
      <c r="E810" s="134">
        <f ca="1"/>
        <v>1.1163331845320852E-2</v>
      </c>
      <c r="F810" s="7" t="s">
        <v>3</v>
      </c>
      <c r="G810" s="136">
        <f t="shared" si="12"/>
        <v>43563</v>
      </c>
      <c r="H810" s="20">
        <f>_xll.mirGetDate(G810,H$17,"Following",H$12,"Normal")</f>
        <v>43654</v>
      </c>
      <c r="I810" s="134">
        <f ca="1"/>
        <v>1.490473647179996E-2</v>
      </c>
      <c r="J810" s="120" t="s">
        <v>3</v>
      </c>
    </row>
    <row r="811" spans="1:10" x14ac:dyDescent="0.25">
      <c r="A811" s="126">
        <v>789</v>
      </c>
      <c r="B811" s="119"/>
      <c r="C811" s="136">
        <f>_xll.mirGetDate(C810,"1D","FOLLOWING",D$12,"NORMAL")</f>
        <v>43564</v>
      </c>
      <c r="D811" s="20">
        <f>_xll.mirGetDate(C811,D$17,"Following",D$12,"Normal")</f>
        <v>43565</v>
      </c>
      <c r="E811" s="134">
        <f ca="1"/>
        <v>1.1169198073144355E-2</v>
      </c>
      <c r="F811" s="7" t="s">
        <v>3</v>
      </c>
      <c r="G811" s="136">
        <f t="shared" si="12"/>
        <v>43564</v>
      </c>
      <c r="H811" s="20">
        <f>_xll.mirGetDate(G811,H$17,"Following",H$12,"Normal")</f>
        <v>43655</v>
      </c>
      <c r="I811" s="134">
        <f ca="1"/>
        <v>1.4912003820632123E-2</v>
      </c>
      <c r="J811" s="120" t="s">
        <v>3</v>
      </c>
    </row>
    <row r="812" spans="1:10" x14ac:dyDescent="0.25">
      <c r="A812" s="126">
        <v>790</v>
      </c>
      <c r="B812" s="119"/>
      <c r="C812" s="136">
        <f>_xll.mirGetDate(C811,"1D","FOLLOWING",D$12,"NORMAL")</f>
        <v>43565</v>
      </c>
      <c r="D812" s="20">
        <f>_xll.mirGetDate(C812,D$17,"Following",D$12,"Normal")</f>
        <v>43566</v>
      </c>
      <c r="E812" s="134">
        <f ca="1"/>
        <v>1.1175064430544208E-2</v>
      </c>
      <c r="F812" s="7" t="s">
        <v>3</v>
      </c>
      <c r="G812" s="136">
        <f t="shared" si="12"/>
        <v>43565</v>
      </c>
      <c r="H812" s="20">
        <f>_xll.mirGetDate(G812,H$17,"Following",H$12,"Normal")</f>
        <v>43656</v>
      </c>
      <c r="I812" s="134">
        <f ca="1"/>
        <v>1.4919297617731407E-2</v>
      </c>
      <c r="J812" s="120" t="s">
        <v>3</v>
      </c>
    </row>
    <row r="813" spans="1:10" x14ac:dyDescent="0.25">
      <c r="A813" s="126">
        <v>791</v>
      </c>
      <c r="B813" s="119"/>
      <c r="C813" s="136">
        <f>_xll.mirGetDate(C812,"1D","FOLLOWING",D$12,"NORMAL")</f>
        <v>43566</v>
      </c>
      <c r="D813" s="20">
        <f>_xll.mirGetDate(C813,D$17,"Following",D$12,"Normal")</f>
        <v>43567</v>
      </c>
      <c r="E813" s="134">
        <f ca="1"/>
        <v>1.1180930917678494E-2</v>
      </c>
      <c r="F813" s="7" t="s">
        <v>3</v>
      </c>
      <c r="G813" s="136">
        <f t="shared" si="12"/>
        <v>43566</v>
      </c>
      <c r="H813" s="20">
        <f>_xll.mirGetDate(G813,H$17,"Following",H$12,"Normal")</f>
        <v>43657</v>
      </c>
      <c r="I813" s="134">
        <f ca="1"/>
        <v>1.492661715495797E-2</v>
      </c>
      <c r="J813" s="120" t="s">
        <v>3</v>
      </c>
    </row>
    <row r="814" spans="1:10" x14ac:dyDescent="0.25">
      <c r="A814" s="126">
        <v>792</v>
      </c>
      <c r="B814" s="119"/>
      <c r="C814" s="136">
        <f>_xll.mirGetDate(C813,"1D","FOLLOWING",D$12,"NORMAL")</f>
        <v>43567</v>
      </c>
      <c r="D814" s="20">
        <f>_xll.mirGetDate(C814,D$17,"Following",D$12,"Normal")</f>
        <v>43570</v>
      </c>
      <c r="E814" s="134">
        <f ca="1"/>
        <v>1.1193012317880542E-2</v>
      </c>
      <c r="F814" s="7" t="s">
        <v>3</v>
      </c>
      <c r="G814" s="136">
        <f t="shared" si="12"/>
        <v>43567</v>
      </c>
      <c r="H814" s="20">
        <f>_xll.mirGetDate(G814,H$17,"Following",H$12,"Normal")</f>
        <v>43658</v>
      </c>
      <c r="I814" s="134">
        <f ca="1"/>
        <v>1.4933961724171971E-2</v>
      </c>
      <c r="J814" s="120" t="s">
        <v>3</v>
      </c>
    </row>
    <row r="815" spans="1:10" x14ac:dyDescent="0.25">
      <c r="A815" s="126">
        <v>793</v>
      </c>
      <c r="B815" s="119"/>
      <c r="C815" s="136">
        <f>_xll.mirGetDate(C814,"1D","FOLLOWING",D$12,"NORMAL")</f>
        <v>43570</v>
      </c>
      <c r="D815" s="20">
        <f>_xll.mirGetDate(C815,D$17,"Following",D$12,"Normal")</f>
        <v>43571</v>
      </c>
      <c r="E815" s="134">
        <f ca="1"/>
        <v>1.1204398170141556E-2</v>
      </c>
      <c r="F815" s="7" t="s">
        <v>3</v>
      </c>
      <c r="G815" s="136">
        <f t="shared" si="12"/>
        <v>43570</v>
      </c>
      <c r="H815" s="20">
        <f>_xll.mirGetDate(G815,H$17,"Following",H$12,"Normal")</f>
        <v>43661</v>
      </c>
      <c r="I815" s="134">
        <f ca="1"/>
        <v>1.4956138542340175E-2</v>
      </c>
      <c r="J815" s="120" t="s">
        <v>3</v>
      </c>
    </row>
    <row r="816" spans="1:10" x14ac:dyDescent="0.25">
      <c r="A816" s="126">
        <v>794</v>
      </c>
      <c r="B816" s="119"/>
      <c r="C816" s="136">
        <f>_xll.mirGetDate(C815,"1D","FOLLOWING",D$12,"NORMAL")</f>
        <v>43571</v>
      </c>
      <c r="D816" s="20">
        <f>_xll.mirGetDate(C816,D$17,"Following",D$12,"Normal")</f>
        <v>43572</v>
      </c>
      <c r="E816" s="134">
        <f ca="1"/>
        <v>1.1210265310435159E-2</v>
      </c>
      <c r="F816" s="7" t="s">
        <v>3</v>
      </c>
      <c r="G816" s="136">
        <f t="shared" si="12"/>
        <v>43571</v>
      </c>
      <c r="H816" s="20">
        <f>_xll.mirGetDate(G816,H$17,"Following",H$12,"Normal")</f>
        <v>43662</v>
      </c>
      <c r="I816" s="134">
        <f ca="1"/>
        <v>1.4963576158105504E-2</v>
      </c>
      <c r="J816" s="120" t="s">
        <v>3</v>
      </c>
    </row>
    <row r="817" spans="1:10" x14ac:dyDescent="0.25">
      <c r="A817" s="126">
        <v>795</v>
      </c>
      <c r="B817" s="119"/>
      <c r="C817" s="136">
        <f>_xll.mirGetDate(C816,"1D","FOLLOWING",D$12,"NORMAL")</f>
        <v>43572</v>
      </c>
      <c r="D817" s="20">
        <f>_xll.mirGetDate(C817,D$17,"Following",D$12,"Normal")</f>
        <v>43573</v>
      </c>
      <c r="E817" s="134">
        <f ca="1"/>
        <v>1.1216132582223577E-2</v>
      </c>
      <c r="F817" s="7" t="s">
        <v>3</v>
      </c>
      <c r="G817" s="136">
        <f t="shared" si="12"/>
        <v>43572</v>
      </c>
      <c r="H817" s="20">
        <f>_xll.mirGetDate(G817,H$17,"Following",H$12,"Normal")</f>
        <v>43663</v>
      </c>
      <c r="I817" s="134">
        <f ca="1"/>
        <v>1.497103526515906E-2</v>
      </c>
      <c r="J817" s="120" t="s">
        <v>3</v>
      </c>
    </row>
    <row r="818" spans="1:10" x14ac:dyDescent="0.25">
      <c r="A818" s="126">
        <v>796</v>
      </c>
      <c r="B818" s="119"/>
      <c r="C818" s="136">
        <f>_xll.mirGetDate(C817,"1D","FOLLOWING",D$12,"NORMAL")</f>
        <v>43573</v>
      </c>
      <c r="D818" s="20">
        <f>_xll.mirGetDate(C818,D$17,"Following",D$12,"Normal")</f>
        <v>43574</v>
      </c>
      <c r="E818" s="134">
        <f ca="1"/>
        <v>1.1221999985826554E-2</v>
      </c>
      <c r="F818" s="7" t="s">
        <v>3</v>
      </c>
      <c r="G818" s="136">
        <f t="shared" si="12"/>
        <v>43573</v>
      </c>
      <c r="H818" s="20">
        <f>_xll.mirGetDate(G818,H$17,"Following",H$12,"Normal")</f>
        <v>43664</v>
      </c>
      <c r="I818" s="134">
        <f ca="1"/>
        <v>1.4978515155361E-2</v>
      </c>
      <c r="J818" s="120" t="s">
        <v>3</v>
      </c>
    </row>
    <row r="819" spans="1:10" x14ac:dyDescent="0.25">
      <c r="A819" s="126">
        <v>797</v>
      </c>
      <c r="B819" s="119"/>
      <c r="C819" s="136">
        <f>_xll.mirGetDate(C818,"1D","FOLLOWING",D$12,"NORMAL")</f>
        <v>43574</v>
      </c>
      <c r="D819" s="20">
        <f>_xll.mirGetDate(C819,D$17,"Following",D$12,"Normal")</f>
        <v>43577</v>
      </c>
      <c r="E819" s="134">
        <f ca="1"/>
        <v>1.1234085783495868E-2</v>
      </c>
      <c r="F819" s="7" t="s">
        <v>3</v>
      </c>
      <c r="G819" s="136">
        <f t="shared" si="12"/>
        <v>43574</v>
      </c>
      <c r="H819" s="20">
        <f>_xll.mirGetDate(G819,H$17,"Following",H$12,"Normal")</f>
        <v>43665</v>
      </c>
      <c r="I819" s="134">
        <f ca="1"/>
        <v>1.4986015120571485E-2</v>
      </c>
      <c r="J819" s="120" t="s">
        <v>3</v>
      </c>
    </row>
    <row r="820" spans="1:10" x14ac:dyDescent="0.25">
      <c r="A820" s="126">
        <v>798</v>
      </c>
      <c r="B820" s="119"/>
      <c r="C820" s="136">
        <f>_xll.mirGetDate(C819,"1D","FOLLOWING",D$12,"NORMAL")</f>
        <v>43577</v>
      </c>
      <c r="D820" s="20">
        <f>_xll.mirGetDate(C820,D$17,"Following",D$12,"Normal")</f>
        <v>43578</v>
      </c>
      <c r="E820" s="134">
        <f ca="1"/>
        <v>1.1245470922380858E-2</v>
      </c>
      <c r="F820" s="7" t="s">
        <v>3</v>
      </c>
      <c r="G820" s="136">
        <f t="shared" si="12"/>
        <v>43577</v>
      </c>
      <c r="H820" s="20">
        <f>_xll.mirGetDate(G820,H$17,"Following",H$12,"Normal")</f>
        <v>43668</v>
      </c>
      <c r="I820" s="134">
        <f ca="1"/>
        <v>1.500862838485578E-2</v>
      </c>
      <c r="J820" s="120" t="s">
        <v>3</v>
      </c>
    </row>
    <row r="821" spans="1:10" x14ac:dyDescent="0.25">
      <c r="A821" s="126">
        <v>799</v>
      </c>
      <c r="B821" s="119"/>
      <c r="C821" s="136">
        <f>_xll.mirGetDate(C820,"1D","FOLLOWING",D$12,"NORMAL")</f>
        <v>43578</v>
      </c>
      <c r="D821" s="20">
        <f>_xll.mirGetDate(C821,D$17,"Following",D$12,"Normal")</f>
        <v>43579</v>
      </c>
      <c r="E821" s="134">
        <f ca="1"/>
        <v>1.1251338988493882E-2</v>
      </c>
      <c r="F821" s="7" t="s">
        <v>3</v>
      </c>
      <c r="G821" s="136">
        <f t="shared" si="12"/>
        <v>43578</v>
      </c>
      <c r="H821" s="20">
        <f>_xll.mirGetDate(G821,H$17,"Following",H$12,"Normal")</f>
        <v>43669</v>
      </c>
      <c r="I821" s="134">
        <f ca="1"/>
        <v>1.5016201568702019E-2</v>
      </c>
      <c r="J821" s="120" t="s">
        <v>3</v>
      </c>
    </row>
    <row r="822" spans="1:10" x14ac:dyDescent="0.25">
      <c r="A822" s="126">
        <v>800</v>
      </c>
      <c r="B822" s="119"/>
      <c r="C822" s="136">
        <f>_xll.mirGetDate(C821,"1D","FOLLOWING",D$12,"NORMAL")</f>
        <v>43579</v>
      </c>
      <c r="D822" s="20">
        <f>_xll.mirGetDate(C822,D$17,"Following",D$12,"Normal")</f>
        <v>43580</v>
      </c>
      <c r="E822" s="134">
        <f ca="1"/>
        <v>1.1257207188020186E-2</v>
      </c>
      <c r="F822" s="7" t="s">
        <v>3</v>
      </c>
      <c r="G822" s="136">
        <f t="shared" si="12"/>
        <v>43579</v>
      </c>
      <c r="H822" s="20">
        <f>_xll.mirGetDate(G822,H$17,"Following",H$12,"Normal")</f>
        <v>43670</v>
      </c>
      <c r="I822" s="134">
        <f ca="1"/>
        <v>1.502379128685759E-2</v>
      </c>
      <c r="J822" s="120" t="s">
        <v>3</v>
      </c>
    </row>
    <row r="823" spans="1:10" x14ac:dyDescent="0.25">
      <c r="A823" s="126">
        <v>801</v>
      </c>
      <c r="B823" s="119"/>
      <c r="C823" s="136">
        <f>_xll.mirGetDate(C822,"1D","FOLLOWING",D$12,"NORMAL")</f>
        <v>43580</v>
      </c>
      <c r="D823" s="20">
        <f>_xll.mirGetDate(C823,D$17,"Following",D$12,"Normal")</f>
        <v>43581</v>
      </c>
      <c r="E823" s="134">
        <f ca="1"/>
        <v>1.1263075521039707E-2</v>
      </c>
      <c r="F823" s="7" t="s">
        <v>3</v>
      </c>
      <c r="G823" s="136">
        <f t="shared" si="12"/>
        <v>43580</v>
      </c>
      <c r="H823" s="20">
        <f>_xll.mirGetDate(G823,H$17,"Following",H$12,"Normal")</f>
        <v>43671</v>
      </c>
      <c r="I823" s="134">
        <f ca="1"/>
        <v>1.5031396831182651E-2</v>
      </c>
      <c r="J823" s="120" t="s">
        <v>3</v>
      </c>
    </row>
    <row r="824" spans="1:10" x14ac:dyDescent="0.25">
      <c r="A824" s="126">
        <v>802</v>
      </c>
      <c r="B824" s="119"/>
      <c r="C824" s="136">
        <f>_xll.mirGetDate(C823,"1D","FOLLOWING",D$12,"NORMAL")</f>
        <v>43581</v>
      </c>
      <c r="D824" s="20">
        <f>_xll.mirGetDate(C824,D$17,"Following",D$12,"Normal")</f>
        <v>43584</v>
      </c>
      <c r="E824" s="134">
        <f ca="1"/>
        <v>1.1275165752495693E-2</v>
      </c>
      <c r="F824" s="7" t="s">
        <v>3</v>
      </c>
      <c r="G824" s="136">
        <f t="shared" si="12"/>
        <v>43581</v>
      </c>
      <c r="H824" s="20">
        <f>_xll.mirGetDate(G824,H$17,"Following",H$12,"Normal")</f>
        <v>43672</v>
      </c>
      <c r="I824" s="134">
        <f ca="1"/>
        <v>1.5039017493537365E-2</v>
      </c>
      <c r="J824" s="120" t="s">
        <v>3</v>
      </c>
    </row>
    <row r="825" spans="1:10" x14ac:dyDescent="0.25">
      <c r="A825" s="126">
        <v>803</v>
      </c>
      <c r="B825" s="119"/>
      <c r="C825" s="136">
        <f>_xll.mirGetDate(C824,"1D","FOLLOWING",D$12,"NORMAL")</f>
        <v>43584</v>
      </c>
      <c r="D825" s="20">
        <f>_xll.mirGetDate(C825,D$17,"Following",D$12,"Normal")</f>
        <v>43585</v>
      </c>
      <c r="E825" s="134">
        <f ca="1"/>
        <v>1.1286550194684648E-2</v>
      </c>
      <c r="F825" s="7" t="s">
        <v>3</v>
      </c>
      <c r="G825" s="136">
        <f t="shared" si="12"/>
        <v>43584</v>
      </c>
      <c r="H825" s="20">
        <f>_xll.mirGetDate(G825,H$17,"Following",H$12,"Normal")</f>
        <v>43675</v>
      </c>
      <c r="I825" s="134">
        <f ca="1"/>
        <v>1.506196310738098E-2</v>
      </c>
      <c r="J825" s="120" t="s">
        <v>3</v>
      </c>
    </row>
    <row r="826" spans="1:10" x14ac:dyDescent="0.25">
      <c r="A826" s="126">
        <v>804</v>
      </c>
      <c r="B826" s="119"/>
      <c r="C826" s="136">
        <f>_xll.mirGetDate(C825,"1D","FOLLOWING",D$12,"NORMAL")</f>
        <v>43585</v>
      </c>
      <c r="D826" s="20">
        <f>_xll.mirGetDate(C826,D$17,"Following",D$12,"Normal")</f>
        <v>43586</v>
      </c>
      <c r="E826" s="134">
        <f ca="1"/>
        <v>1.1292419199806543E-2</v>
      </c>
      <c r="F826" s="7" t="s">
        <v>3</v>
      </c>
      <c r="G826" s="136">
        <f t="shared" si="12"/>
        <v>43585</v>
      </c>
      <c r="H826" s="20">
        <f>_xll.mirGetDate(G826,H$17,"Following",H$12,"Normal")</f>
        <v>43676</v>
      </c>
      <c r="I826" s="134">
        <f ca="1"/>
        <v>1.5069637160455871E-2</v>
      </c>
      <c r="J826" s="120" t="s">
        <v>3</v>
      </c>
    </row>
    <row r="827" spans="1:10" x14ac:dyDescent="0.25">
      <c r="A827" s="126">
        <v>805</v>
      </c>
      <c r="B827" s="119"/>
      <c r="C827" s="136">
        <f>_xll.mirGetDate(C826,"1D","FOLLOWING",D$12,"NORMAL")</f>
        <v>43586</v>
      </c>
      <c r="D827" s="20">
        <f>_xll.mirGetDate(C827,D$17,"Following",D$12,"Normal")</f>
        <v>43587</v>
      </c>
      <c r="E827" s="134">
        <f ca="1"/>
        <v>1.1298288340100311E-2</v>
      </c>
      <c r="F827" s="7" t="s">
        <v>3</v>
      </c>
      <c r="G827" s="136">
        <f t="shared" si="12"/>
        <v>43586</v>
      </c>
      <c r="H827" s="20">
        <f>_xll.mirGetDate(G827,H$17,"Following",H$12,"Normal")</f>
        <v>43678</v>
      </c>
      <c r="I827" s="134">
        <f ca="1"/>
        <v>1.5077322790861202E-2</v>
      </c>
      <c r="J827" s="120" t="s">
        <v>3</v>
      </c>
    </row>
    <row r="828" spans="1:10" x14ac:dyDescent="0.25">
      <c r="A828" s="126">
        <v>806</v>
      </c>
      <c r="B828" s="119"/>
      <c r="C828" s="136">
        <f>_xll.mirGetDate(C827,"1D","FOLLOWING",D$12,"NORMAL")</f>
        <v>43587</v>
      </c>
      <c r="D828" s="20">
        <f>_xll.mirGetDate(C828,D$17,"Following",D$12,"Normal")</f>
        <v>43588</v>
      </c>
      <c r="E828" s="134">
        <f ca="1"/>
        <v>1.1304157615965633E-2</v>
      </c>
      <c r="F828" s="7" t="s">
        <v>3</v>
      </c>
      <c r="G828" s="136">
        <f t="shared" si="12"/>
        <v>43587</v>
      </c>
      <c r="H828" s="20">
        <f>_xll.mirGetDate(G828,H$17,"Following",H$12,"Normal")</f>
        <v>43679</v>
      </c>
      <c r="I828" s="134">
        <f ca="1"/>
        <v>1.508501929045713E-2</v>
      </c>
      <c r="J828" s="120" t="s">
        <v>3</v>
      </c>
    </row>
    <row r="829" spans="1:10" x14ac:dyDescent="0.25">
      <c r="A829" s="126">
        <v>807</v>
      </c>
      <c r="B829" s="119"/>
      <c r="C829" s="136">
        <f>_xll.mirGetDate(C828,"1D","FOLLOWING",D$12,"NORMAL")</f>
        <v>43588</v>
      </c>
      <c r="D829" s="20">
        <f>_xll.mirGetDate(C829,D$17,"Following",D$12,"Normal")</f>
        <v>43591</v>
      </c>
      <c r="E829" s="134">
        <f ca="1"/>
        <v>1.1316252317312743E-2</v>
      </c>
      <c r="F829" s="7" t="s">
        <v>3</v>
      </c>
      <c r="G829" s="136">
        <f t="shared" si="12"/>
        <v>43588</v>
      </c>
      <c r="H829" s="20">
        <f>_xll.mirGetDate(G829,H$17,"Following",H$12,"Normal")</f>
        <v>43682</v>
      </c>
      <c r="I829" s="134">
        <f ca="1"/>
        <v>1.5092725951103813E-2</v>
      </c>
      <c r="J829" s="120" t="s">
        <v>3</v>
      </c>
    </row>
    <row r="830" spans="1:10" x14ac:dyDescent="0.25">
      <c r="A830" s="126">
        <v>808</v>
      </c>
      <c r="B830" s="119"/>
      <c r="C830" s="136">
        <f>_xll.mirGetDate(C829,"1D","FOLLOWING",D$12,"NORMAL")</f>
        <v>43591</v>
      </c>
      <c r="D830" s="20">
        <f>_xll.mirGetDate(C830,D$17,"Following",D$12,"Normal")</f>
        <v>43592</v>
      </c>
      <c r="E830" s="134">
        <f ca="1"/>
        <v>1.1327636079459009E-2</v>
      </c>
      <c r="F830" s="7" t="s">
        <v>3</v>
      </c>
      <c r="G830" s="136">
        <f t="shared" si="12"/>
        <v>43591</v>
      </c>
      <c r="H830" s="20">
        <f>_xll.mirGetDate(G830,H$17,"Following",H$12,"Normal")</f>
        <v>43683</v>
      </c>
      <c r="I830" s="134">
        <f ca="1"/>
        <v>1.5115899817949981E-2</v>
      </c>
      <c r="J830" s="120" t="s">
        <v>3</v>
      </c>
    </row>
    <row r="831" spans="1:10" x14ac:dyDescent="0.25">
      <c r="A831" s="126">
        <v>809</v>
      </c>
      <c r="B831" s="119"/>
      <c r="C831" s="136">
        <f>_xll.mirGetDate(C830,"1D","FOLLOWING",D$12,"NORMAL")</f>
        <v>43592</v>
      </c>
      <c r="D831" s="20">
        <f>_xll.mirGetDate(C831,D$17,"Following",D$12,"Normal")</f>
        <v>43593</v>
      </c>
      <c r="E831" s="134">
        <f ca="1"/>
        <v>1.1333506036779224E-2</v>
      </c>
      <c r="F831" s="7" t="s">
        <v>3</v>
      </c>
      <c r="G831" s="136">
        <f t="shared" si="12"/>
        <v>43592</v>
      </c>
      <c r="H831" s="20">
        <f>_xll.mirGetDate(G831,H$17,"Following",H$12,"Normal")</f>
        <v>43684</v>
      </c>
      <c r="I831" s="134">
        <f ca="1"/>
        <v>1.5123640041401269E-2</v>
      </c>
      <c r="J831" s="120" t="s">
        <v>3</v>
      </c>
    </row>
    <row r="832" spans="1:10" x14ac:dyDescent="0.25">
      <c r="A832" s="126">
        <v>810</v>
      </c>
      <c r="B832" s="119"/>
      <c r="C832" s="136">
        <f>_xll.mirGetDate(C831,"1D","FOLLOWING",D$12,"NORMAL")</f>
        <v>43593</v>
      </c>
      <c r="D832" s="20">
        <f>_xll.mirGetDate(C832,D$17,"Following",D$12,"Normal")</f>
        <v>43594</v>
      </c>
      <c r="E832" s="134">
        <f ca="1"/>
        <v>1.1339376131109842E-2</v>
      </c>
      <c r="F832" s="7" t="s">
        <v>3</v>
      </c>
      <c r="G832" s="136">
        <f t="shared" si="12"/>
        <v>43593</v>
      </c>
      <c r="H832" s="20">
        <f>_xll.mirGetDate(G832,H$17,"Following",H$12,"Normal")</f>
        <v>43685</v>
      </c>
      <c r="I832" s="134">
        <f ca="1"/>
        <v>1.5131386885204101E-2</v>
      </c>
      <c r="J832" s="120" t="s">
        <v>3</v>
      </c>
    </row>
    <row r="833" spans="1:10" x14ac:dyDescent="0.25">
      <c r="A833" s="126">
        <v>811</v>
      </c>
      <c r="B833" s="119"/>
      <c r="C833" s="136">
        <f>_xll.mirGetDate(C832,"1D","FOLLOWING",D$12,"NORMAL")</f>
        <v>43594</v>
      </c>
      <c r="D833" s="20">
        <f>_xll.mirGetDate(C833,D$17,"Following",D$12,"Normal")</f>
        <v>43595</v>
      </c>
      <c r="E833" s="134">
        <f ca="1"/>
        <v>1.1345246362930479E-2</v>
      </c>
      <c r="F833" s="7" t="s">
        <v>3</v>
      </c>
      <c r="G833" s="136">
        <f t="shared" si="12"/>
        <v>43594</v>
      </c>
      <c r="H833" s="20">
        <f>_xll.mirGetDate(G833,H$17,"Following",H$12,"Normal")</f>
        <v>43686</v>
      </c>
      <c r="I833" s="134">
        <f ca="1"/>
        <v>1.5139139641218638E-2</v>
      </c>
      <c r="J833" s="120" t="s">
        <v>3</v>
      </c>
    </row>
    <row r="834" spans="1:10" x14ac:dyDescent="0.25">
      <c r="A834" s="126">
        <v>812</v>
      </c>
      <c r="B834" s="119"/>
      <c r="C834" s="136">
        <f>_xll.mirGetDate(C833,"1D","FOLLOWING",D$12,"NORMAL")</f>
        <v>43595</v>
      </c>
      <c r="D834" s="20">
        <f>_xll.mirGetDate(C834,D$17,"Following",D$12,"Normal")</f>
        <v>43598</v>
      </c>
      <c r="E834" s="134">
        <f ca="1"/>
        <v>1.1357345570486328E-2</v>
      </c>
      <c r="F834" s="7" t="s">
        <v>3</v>
      </c>
      <c r="G834" s="136">
        <f t="shared" si="12"/>
        <v>43595</v>
      </c>
      <c r="H834" s="20">
        <f>_xll.mirGetDate(G834,H$17,"Following",H$12,"Normal")</f>
        <v>43689</v>
      </c>
      <c r="I834" s="134">
        <f ca="1"/>
        <v>1.5146897601305036E-2</v>
      </c>
      <c r="J834" s="120" t="s">
        <v>3</v>
      </c>
    </row>
    <row r="835" spans="1:10" x14ac:dyDescent="0.25">
      <c r="A835" s="126">
        <v>813</v>
      </c>
      <c r="B835" s="119"/>
      <c r="C835" s="136">
        <f>_xll.mirGetDate(C834,"1D","FOLLOWING",D$12,"NORMAL")</f>
        <v>43598</v>
      </c>
      <c r="D835" s="20">
        <f>_xll.mirGetDate(C835,D$17,"Following",D$12,"Normal")</f>
        <v>43599</v>
      </c>
      <c r="E835" s="134">
        <f ca="1"/>
        <v>1.136872866918996E-2</v>
      </c>
      <c r="F835" s="7" t="s">
        <v>3</v>
      </c>
      <c r="G835" s="136">
        <f t="shared" si="12"/>
        <v>43598</v>
      </c>
      <c r="H835" s="20">
        <f>_xll.mirGetDate(G835,H$17,"Following",H$12,"Normal")</f>
        <v>43690</v>
      </c>
      <c r="I835" s="134">
        <f ca="1"/>
        <v>1.5170195624596986E-2</v>
      </c>
      <c r="J835" s="120" t="s">
        <v>3</v>
      </c>
    </row>
    <row r="836" spans="1:10" x14ac:dyDescent="0.25">
      <c r="A836" s="126">
        <v>814</v>
      </c>
      <c r="B836" s="119"/>
      <c r="C836" s="136">
        <f>_xll.mirGetDate(C835,"1D","FOLLOWING",D$12,"NORMAL")</f>
        <v>43599</v>
      </c>
      <c r="D836" s="20">
        <f>_xll.mirGetDate(C836,D$17,"Following",D$12,"Normal")</f>
        <v>43600</v>
      </c>
      <c r="E836" s="134">
        <f ca="1"/>
        <v>1.1374599591977881E-2</v>
      </c>
      <c r="F836" s="7" t="s">
        <v>3</v>
      </c>
      <c r="G836" s="136">
        <f t="shared" si="12"/>
        <v>43599</v>
      </c>
      <c r="H836" s="20">
        <f>_xll.mirGetDate(G836,H$17,"Following",H$12,"Normal")</f>
        <v>43691</v>
      </c>
      <c r="I836" s="134">
        <f ca="1"/>
        <v>1.5177967319572411E-2</v>
      </c>
      <c r="J836" s="120" t="s">
        <v>3</v>
      </c>
    </row>
    <row r="837" spans="1:10" x14ac:dyDescent="0.25">
      <c r="A837" s="126">
        <v>815</v>
      </c>
      <c r="B837" s="119"/>
      <c r="C837" s="136">
        <f>_xll.mirGetDate(C836,"1D","FOLLOWING",D$12,"NORMAL")</f>
        <v>43600</v>
      </c>
      <c r="D837" s="20">
        <f>_xll.mirGetDate(C837,D$17,"Following",D$12,"Normal")</f>
        <v>43601</v>
      </c>
      <c r="E837" s="134">
        <f ca="1"/>
        <v>1.1380470653614734E-2</v>
      </c>
      <c r="F837" s="7" t="s">
        <v>3</v>
      </c>
      <c r="G837" s="136">
        <f t="shared" si="12"/>
        <v>43600</v>
      </c>
      <c r="H837" s="20">
        <f>_xll.mirGetDate(G837,H$17,"Following",H$12,"Normal")</f>
        <v>43692</v>
      </c>
      <c r="I837" s="134">
        <f ca="1"/>
        <v>1.5185740677920492E-2</v>
      </c>
      <c r="J837" s="120" t="s">
        <v>3</v>
      </c>
    </row>
    <row r="838" spans="1:10" x14ac:dyDescent="0.25">
      <c r="A838" s="126">
        <v>816</v>
      </c>
      <c r="B838" s="119"/>
      <c r="C838" s="136">
        <f>_xll.mirGetDate(C837,"1D","FOLLOWING",D$12,"NORMAL")</f>
        <v>43601</v>
      </c>
      <c r="D838" s="20">
        <f>_xll.mirGetDate(C838,D$17,"Following",D$12,"Normal")</f>
        <v>43602</v>
      </c>
      <c r="E838" s="134">
        <f ca="1"/>
        <v>1.1386341854580135E-2</v>
      </c>
      <c r="F838" s="7" t="s">
        <v>3</v>
      </c>
      <c r="G838" s="136">
        <f t="shared" si="12"/>
        <v>43601</v>
      </c>
      <c r="H838" s="20">
        <f>_xll.mirGetDate(G838,H$17,"Following",H$12,"Normal")</f>
        <v>43693</v>
      </c>
      <c r="I838" s="134">
        <f ca="1"/>
        <v>1.5193514991501381E-2</v>
      </c>
      <c r="J838" s="120" t="s">
        <v>3</v>
      </c>
    </row>
    <row r="839" spans="1:10" x14ac:dyDescent="0.25">
      <c r="A839" s="126">
        <v>817</v>
      </c>
      <c r="B839" s="119"/>
      <c r="C839" s="136">
        <f>_xll.mirGetDate(C838,"1D","FOLLOWING",D$12,"NORMAL")</f>
        <v>43602</v>
      </c>
      <c r="D839" s="20">
        <f>_xll.mirGetDate(C839,D$17,"Following",D$12,"Normal")</f>
        <v>43605</v>
      </c>
      <c r="E839" s="134">
        <f ca="1"/>
        <v>1.1398445604609049E-2</v>
      </c>
      <c r="F839" s="7" t="s">
        <v>3</v>
      </c>
      <c r="G839" s="136">
        <f t="shared" si="12"/>
        <v>43602</v>
      </c>
      <c r="H839" s="20">
        <f>_xll.mirGetDate(G839,H$17,"Following",H$12,"Normal")</f>
        <v>43696</v>
      </c>
      <c r="I839" s="134">
        <f ca="1"/>
        <v>1.5201289584747351E-2</v>
      </c>
      <c r="J839" s="120" t="s">
        <v>3</v>
      </c>
    </row>
    <row r="840" spans="1:10" x14ac:dyDescent="0.25">
      <c r="A840" s="126">
        <v>818</v>
      </c>
      <c r="B840" s="119"/>
      <c r="C840" s="136">
        <f>_xll.mirGetDate(C839,"1D","FOLLOWING",D$12,"NORMAL")</f>
        <v>43605</v>
      </c>
      <c r="D840" s="20">
        <f>_xll.mirGetDate(C840,D$17,"Following",D$12,"Normal")</f>
        <v>43606</v>
      </c>
      <c r="E840" s="134">
        <f ca="1"/>
        <v>1.1409828056523392E-2</v>
      </c>
      <c r="F840" s="7" t="s">
        <v>3</v>
      </c>
      <c r="G840" s="136">
        <f t="shared" si="12"/>
        <v>43605</v>
      </c>
      <c r="H840" s="20">
        <f>_xll.mirGetDate(G840,H$17,"Following",H$12,"Normal")</f>
        <v>43697</v>
      </c>
      <c r="I840" s="134">
        <f ca="1"/>
        <v>1.5224613379527524E-2</v>
      </c>
      <c r="J840" s="120" t="s">
        <v>3</v>
      </c>
    </row>
    <row r="841" spans="1:10" x14ac:dyDescent="0.25">
      <c r="A841" s="126">
        <v>819</v>
      </c>
      <c r="B841" s="119"/>
      <c r="C841" s="136">
        <f>_xll.mirGetDate(C840,"1D","FOLLOWING",D$12,"NORMAL")</f>
        <v>43606</v>
      </c>
      <c r="D841" s="20">
        <f>_xll.mirGetDate(C841,D$17,"Following",D$12,"Normal")</f>
        <v>43607</v>
      </c>
      <c r="E841" s="134">
        <f ca="1"/>
        <v>1.1415699957888532E-2</v>
      </c>
      <c r="F841" s="7" t="s">
        <v>3</v>
      </c>
      <c r="G841" s="136">
        <f t="shared" si="12"/>
        <v>43606</v>
      </c>
      <c r="H841" s="20">
        <f>_xll.mirGetDate(G841,H$17,"Following",H$12,"Normal")</f>
        <v>43698</v>
      </c>
      <c r="I841" s="134">
        <f ca="1"/>
        <v>1.523238797778758E-2</v>
      </c>
      <c r="J841" s="120" t="s">
        <v>3</v>
      </c>
    </row>
    <row r="842" spans="1:10" x14ac:dyDescent="0.25">
      <c r="A842" s="126">
        <v>820</v>
      </c>
      <c r="B842" s="119"/>
      <c r="C842" s="136">
        <f>_xll.mirGetDate(C841,"1D","FOLLOWING",D$12,"NORMAL")</f>
        <v>43607</v>
      </c>
      <c r="D842" s="20">
        <f>_xll.mirGetDate(C842,D$17,"Following",D$12,"Normal")</f>
        <v>43608</v>
      </c>
      <c r="E842" s="134">
        <f ca="1"/>
        <v>1.1421572000101006E-2</v>
      </c>
      <c r="F842" s="7" t="s">
        <v>3</v>
      </c>
      <c r="G842" s="136">
        <f t="shared" si="12"/>
        <v>43607</v>
      </c>
      <c r="H842" s="20">
        <f>_xll.mirGetDate(G842,H$17,"Following",H$12,"Normal")</f>
        <v>43699</v>
      </c>
      <c r="I842" s="134">
        <f ca="1"/>
        <v>1.5240162576047636E-2</v>
      </c>
      <c r="J842" s="120" t="s">
        <v>3</v>
      </c>
    </row>
    <row r="843" spans="1:10" x14ac:dyDescent="0.25">
      <c r="A843" s="126">
        <v>821</v>
      </c>
      <c r="B843" s="119"/>
      <c r="C843" s="136">
        <f>_xll.mirGetDate(C842,"1D","FOLLOWING",D$12,"NORMAL")</f>
        <v>43608</v>
      </c>
      <c r="D843" s="20">
        <f>_xll.mirGetDate(C843,D$17,"Following",D$12,"Normal")</f>
        <v>43609</v>
      </c>
      <c r="E843" s="134">
        <f ca="1"/>
        <v>1.1427489585482715E-2</v>
      </c>
      <c r="F843" s="7" t="s">
        <v>3</v>
      </c>
      <c r="G843" s="136">
        <f t="shared" si="12"/>
        <v>43608</v>
      </c>
      <c r="H843" s="20">
        <f>_xll.mirGetDate(G843,H$17,"Following",H$12,"Normal")</f>
        <v>43700</v>
      </c>
      <c r="I843" s="134">
        <f ca="1"/>
        <v>1.5247937174307693E-2</v>
      </c>
      <c r="J843" s="120" t="s">
        <v>3</v>
      </c>
    </row>
    <row r="844" spans="1:10" x14ac:dyDescent="0.25">
      <c r="A844" s="126">
        <v>822</v>
      </c>
      <c r="B844" s="119"/>
      <c r="C844" s="136">
        <f>_xll.mirGetDate(C843,"1D","FOLLOWING",D$12,"NORMAL")</f>
        <v>43609</v>
      </c>
      <c r="D844" s="20">
        <f>_xll.mirGetDate(C844,D$17,"Following",D$12,"Normal")</f>
        <v>43613</v>
      </c>
      <c r="E844" s="134">
        <f ca="1"/>
        <v>1.1442934200029536E-2</v>
      </c>
      <c r="F844" s="7" t="s">
        <v>3</v>
      </c>
      <c r="G844" s="136">
        <f t="shared" si="12"/>
        <v>43609</v>
      </c>
      <c r="H844" s="20">
        <f>_xll.mirGetDate(G844,H$17,"Following",H$12,"Normal")</f>
        <v>43703</v>
      </c>
      <c r="I844" s="134">
        <f ca="1"/>
        <v>1.5255725620607247E-2</v>
      </c>
      <c r="J844" s="120" t="s">
        <v>3</v>
      </c>
    </row>
    <row r="845" spans="1:10" x14ac:dyDescent="0.25">
      <c r="A845" s="126">
        <v>823</v>
      </c>
      <c r="B845" s="119"/>
      <c r="C845" s="136">
        <f>_xll.mirGetDate(C844,"1D","FOLLOWING",D$12,"NORMAL")</f>
        <v>43613</v>
      </c>
      <c r="D845" s="20">
        <f>_xll.mirGetDate(C845,D$17,"Following",D$12,"Normal")</f>
        <v>43614</v>
      </c>
      <c r="E845" s="134">
        <f ca="1"/>
        <v>1.1457277502175995E-2</v>
      </c>
      <c r="F845" s="7" t="s">
        <v>3</v>
      </c>
      <c r="G845" s="136">
        <f t="shared" si="12"/>
        <v>43613</v>
      </c>
      <c r="H845" s="20">
        <f>_xll.mirGetDate(G845,H$17,"Following",H$12,"Normal")</f>
        <v>43705</v>
      </c>
      <c r="I845" s="134">
        <f ca="1"/>
        <v>1.5287148482076632E-2</v>
      </c>
      <c r="J845" s="120" t="s">
        <v>3</v>
      </c>
    </row>
    <row r="846" spans="1:10" x14ac:dyDescent="0.25">
      <c r="A846" s="126">
        <v>824</v>
      </c>
      <c r="B846" s="119"/>
      <c r="C846" s="136">
        <f>_xll.mirGetDate(C845,"1D","FOLLOWING",D$12,"NORMAL")</f>
        <v>43614</v>
      </c>
      <c r="D846" s="20">
        <f>_xll.mirGetDate(C846,D$17,"Following",D$12,"Normal")</f>
        <v>43615</v>
      </c>
      <c r="E846" s="134">
        <f ca="1"/>
        <v>1.1463228953108069E-2</v>
      </c>
      <c r="F846" s="7" t="s">
        <v>3</v>
      </c>
      <c r="G846" s="136">
        <f t="shared" si="12"/>
        <v>43614</v>
      </c>
      <c r="H846" s="20">
        <f>_xll.mirGetDate(G846,H$17,"Following",H$12,"Normal")</f>
        <v>43706</v>
      </c>
      <c r="I846" s="134">
        <f ca="1"/>
        <v>1.5295069101156142E-2</v>
      </c>
      <c r="J846" s="120" t="s">
        <v>3</v>
      </c>
    </row>
    <row r="847" spans="1:10" x14ac:dyDescent="0.25">
      <c r="A847" s="126">
        <v>825</v>
      </c>
      <c r="B847" s="119"/>
      <c r="C847" s="136">
        <f>_xll.mirGetDate(C846,"1D","FOLLOWING",D$12,"NORMAL")</f>
        <v>43615</v>
      </c>
      <c r="D847" s="20">
        <f>_xll.mirGetDate(C847,D$17,"Following",D$12,"Normal")</f>
        <v>43616</v>
      </c>
      <c r="E847" s="134">
        <f ca="1"/>
        <v>1.1469178359995209E-2</v>
      </c>
      <c r="F847" s="7" t="s">
        <v>3</v>
      </c>
      <c r="G847" s="136">
        <f t="shared" si="12"/>
        <v>43615</v>
      </c>
      <c r="H847" s="20">
        <f>_xll.mirGetDate(G847,H$17,"Following",H$12,"Normal")</f>
        <v>43707</v>
      </c>
      <c r="I847" s="134">
        <f ca="1"/>
        <v>1.5303014735578267E-2</v>
      </c>
      <c r="J847" s="120" t="s">
        <v>3</v>
      </c>
    </row>
    <row r="848" spans="1:10" x14ac:dyDescent="0.25">
      <c r="A848" s="126">
        <v>826</v>
      </c>
      <c r="B848" s="119"/>
      <c r="C848" s="136">
        <f>_xll.mirGetDate(C847,"1D","FOLLOWING",D$12,"NORMAL")</f>
        <v>43616</v>
      </c>
      <c r="D848" s="20">
        <f>_xll.mirGetDate(C848,D$17,"Following",D$12,"Normal")</f>
        <v>43619</v>
      </c>
      <c r="E848" s="134">
        <f ca="1"/>
        <v>1.1481436516351848E-2</v>
      </c>
      <c r="F848" s="7" t="s">
        <v>3</v>
      </c>
      <c r="G848" s="136">
        <f t="shared" si="12"/>
        <v>43616</v>
      </c>
      <c r="H848" s="20">
        <f>_xll.mirGetDate(G848,H$17,"Following",H$12,"Normal")</f>
        <v>43711</v>
      </c>
      <c r="I848" s="134">
        <f ca="1"/>
        <v>1.5310984912271884E-2</v>
      </c>
      <c r="J848" s="120" t="s">
        <v>3</v>
      </c>
    </row>
    <row r="849" spans="1:10" x14ac:dyDescent="0.25">
      <c r="A849" s="126">
        <v>827</v>
      </c>
      <c r="B849" s="119"/>
      <c r="C849" s="136">
        <f>_xll.mirGetDate(C848,"1D","FOLLOWING",D$12,"NORMAL")</f>
        <v>43619</v>
      </c>
      <c r="D849" s="20">
        <f>_xll.mirGetDate(C849,D$17,"Following",D$12,"Normal")</f>
        <v>43620</v>
      </c>
      <c r="E849" s="134">
        <f ca="1"/>
        <v>1.1492955545895397E-2</v>
      </c>
      <c r="F849" s="7" t="s">
        <v>3</v>
      </c>
      <c r="G849" s="136">
        <f t="shared" si="12"/>
        <v>43619</v>
      </c>
      <c r="H849" s="20">
        <f>_xll.mirGetDate(G849,H$17,"Following",H$12,"Normal")</f>
        <v>43711</v>
      </c>
      <c r="I849" s="134">
        <f ca="1"/>
        <v>1.533503796527042E-2</v>
      </c>
      <c r="J849" s="120" t="s">
        <v>3</v>
      </c>
    </row>
    <row r="850" spans="1:10" x14ac:dyDescent="0.25">
      <c r="A850" s="126">
        <v>828</v>
      </c>
      <c r="B850" s="119"/>
      <c r="C850" s="136">
        <f>_xll.mirGetDate(C849,"1D","FOLLOWING",D$12,"NORMAL")</f>
        <v>43620</v>
      </c>
      <c r="D850" s="20">
        <f>_xll.mirGetDate(C850,D$17,"Following",D$12,"Normal")</f>
        <v>43621</v>
      </c>
      <c r="E850" s="134">
        <f ca="1"/>
        <v>1.1498894731918383E-2</v>
      </c>
      <c r="F850" s="7" t="s">
        <v>3</v>
      </c>
      <c r="G850" s="136">
        <f t="shared" si="12"/>
        <v>43620</v>
      </c>
      <c r="H850" s="20">
        <f>_xll.mirGetDate(G850,H$17,"Following",H$12,"Normal")</f>
        <v>43712</v>
      </c>
      <c r="I850" s="134">
        <f ca="1"/>
        <v>1.5343101580338742E-2</v>
      </c>
      <c r="J850" s="120" t="s">
        <v>3</v>
      </c>
    </row>
    <row r="851" spans="1:10" x14ac:dyDescent="0.25">
      <c r="A851" s="126">
        <v>829</v>
      </c>
      <c r="B851" s="119"/>
      <c r="C851" s="136">
        <f>_xll.mirGetDate(C850,"1D","FOLLOWING",D$12,"NORMAL")</f>
        <v>43621</v>
      </c>
      <c r="D851" s="20">
        <f>_xll.mirGetDate(C851,D$17,"Following",D$12,"Normal")</f>
        <v>43622</v>
      </c>
      <c r="E851" s="134">
        <f ca="1"/>
        <v>1.1504831873896434E-2</v>
      </c>
      <c r="F851" s="7" t="s">
        <v>3</v>
      </c>
      <c r="G851" s="136">
        <f t="shared" si="12"/>
        <v>43621</v>
      </c>
      <c r="H851" s="20">
        <f>_xll.mirGetDate(G851,H$17,"Following",H$12,"Normal")</f>
        <v>43713</v>
      </c>
      <c r="I851" s="134">
        <f ca="1"/>
        <v>1.5351187372322928E-2</v>
      </c>
      <c r="J851" s="120" t="s">
        <v>3</v>
      </c>
    </row>
    <row r="852" spans="1:10" x14ac:dyDescent="0.25">
      <c r="A852" s="126">
        <v>830</v>
      </c>
      <c r="B852" s="119"/>
      <c r="C852" s="136">
        <f>_xll.mirGetDate(C851,"1D","FOLLOWING",D$12,"NORMAL")</f>
        <v>43622</v>
      </c>
      <c r="D852" s="20">
        <f>_xll.mirGetDate(C852,D$17,"Following",D$12,"Normal")</f>
        <v>43623</v>
      </c>
      <c r="E852" s="134">
        <f ca="1"/>
        <v>1.1510766971749617E-2</v>
      </c>
      <c r="F852" s="7" t="s">
        <v>3</v>
      </c>
      <c r="G852" s="136">
        <f t="shared" si="12"/>
        <v>43622</v>
      </c>
      <c r="H852" s="20">
        <f>_xll.mirGetDate(G852,H$17,"Following",H$12,"Normal")</f>
        <v>43714</v>
      </c>
      <c r="I852" s="134">
        <f ca="1"/>
        <v>1.5359294868151852E-2</v>
      </c>
      <c r="J852" s="120" t="s">
        <v>3</v>
      </c>
    </row>
    <row r="853" spans="1:10" x14ac:dyDescent="0.25">
      <c r="A853" s="126">
        <v>831</v>
      </c>
      <c r="B853" s="119"/>
      <c r="C853" s="136">
        <f>_xll.mirGetDate(C852,"1D","FOLLOWING",D$12,"NORMAL")</f>
        <v>43623</v>
      </c>
      <c r="D853" s="20">
        <f>_xll.mirGetDate(C853,D$17,"Following",D$12,"Normal")</f>
        <v>43626</v>
      </c>
      <c r="E853" s="134">
        <f ca="1"/>
        <v>1.1522999165780631E-2</v>
      </c>
      <c r="F853" s="7" t="s">
        <v>3</v>
      </c>
      <c r="G853" s="136">
        <f t="shared" si="12"/>
        <v>43623</v>
      </c>
      <c r="H853" s="20">
        <f>_xll.mirGetDate(G853,H$17,"Following",H$12,"Normal")</f>
        <v>43717</v>
      </c>
      <c r="I853" s="134">
        <f ca="1"/>
        <v>1.5367423594754388E-2</v>
      </c>
      <c r="J853" s="120" t="s">
        <v>3</v>
      </c>
    </row>
    <row r="854" spans="1:10" x14ac:dyDescent="0.25">
      <c r="A854" s="126">
        <v>832</v>
      </c>
      <c r="B854" s="119"/>
      <c r="C854" s="136">
        <f>_xll.mirGetDate(C853,"1D","FOLLOWING",D$12,"NORMAL")</f>
        <v>43626</v>
      </c>
      <c r="D854" s="20">
        <f>_xll.mirGetDate(C854,D$17,"Following",D$12,"Normal")</f>
        <v>43627</v>
      </c>
      <c r="E854" s="134">
        <f ca="1"/>
        <v>1.1534486921434037E-2</v>
      </c>
      <c r="F854" s="7" t="s">
        <v>3</v>
      </c>
      <c r="G854" s="136">
        <f t="shared" si="12"/>
        <v>43626</v>
      </c>
      <c r="H854" s="20">
        <f>_xll.mirGetDate(G854,H$17,"Following",H$12,"Normal")</f>
        <v>43718</v>
      </c>
      <c r="I854" s="134">
        <f ca="1"/>
        <v>1.5391932428492412E-2</v>
      </c>
      <c r="J854" s="120" t="s">
        <v>3</v>
      </c>
    </row>
    <row r="855" spans="1:10" x14ac:dyDescent="0.25">
      <c r="A855" s="126">
        <v>833</v>
      </c>
      <c r="B855" s="119"/>
      <c r="C855" s="136">
        <f>_xll.mirGetDate(C854,"1D","FOLLOWING",D$12,"NORMAL")</f>
        <v>43627</v>
      </c>
      <c r="D855" s="20">
        <f>_xll.mirGetDate(C855,D$17,"Following",D$12,"Normal")</f>
        <v>43628</v>
      </c>
      <c r="E855" s="134">
        <f ca="1"/>
        <v>1.1540411798423064E-2</v>
      </c>
      <c r="F855" s="7" t="s">
        <v>3</v>
      </c>
      <c r="G855" s="136">
        <f t="shared" si="12"/>
        <v>43627</v>
      </c>
      <c r="H855" s="20">
        <f>_xll.mirGetDate(G855,H$17,"Following",H$12,"Normal")</f>
        <v>43719</v>
      </c>
      <c r="I855" s="134">
        <f ca="1"/>
        <v>1.5400141347478141E-2</v>
      </c>
      <c r="J855" s="120" t="s">
        <v>3</v>
      </c>
    </row>
    <row r="856" spans="1:10" x14ac:dyDescent="0.25">
      <c r="A856" s="126">
        <v>834</v>
      </c>
      <c r="B856" s="119"/>
      <c r="C856" s="136">
        <f>_xll.mirGetDate(C855,"1D","FOLLOWING",D$12,"NORMAL")</f>
        <v>43628</v>
      </c>
      <c r="D856" s="20">
        <f>_xll.mirGetDate(C856,D$17,"Following",D$12,"Normal")</f>
        <v>43629</v>
      </c>
      <c r="E856" s="134">
        <f ca="1"/>
        <v>1.1546334631287222E-2</v>
      </c>
      <c r="F856" s="7" t="s">
        <v>3</v>
      </c>
      <c r="G856" s="136">
        <f t="shared" ref="G856:G919" si="13">$C856</f>
        <v>43628</v>
      </c>
      <c r="H856" s="20">
        <f>_xll.mirGetDate(G856,H$17,"Following",H$12,"Normal")</f>
        <v>43720</v>
      </c>
      <c r="I856" s="134">
        <f ca="1"/>
        <v>1.5408369131881856E-2</v>
      </c>
      <c r="J856" s="120" t="s">
        <v>3</v>
      </c>
    </row>
    <row r="857" spans="1:10" x14ac:dyDescent="0.25">
      <c r="A857" s="126">
        <v>835</v>
      </c>
      <c r="B857" s="119"/>
      <c r="C857" s="136">
        <f>_xll.mirGetDate(C856,"1D","FOLLOWING",D$12,"NORMAL")</f>
        <v>43629</v>
      </c>
      <c r="D857" s="20">
        <f>_xll.mirGetDate(C857,D$17,"Following",D$12,"Normal")</f>
        <v>43630</v>
      </c>
      <c r="E857" s="134">
        <f ca="1"/>
        <v>1.1552255419866639E-2</v>
      </c>
      <c r="F857" s="7" t="s">
        <v>3</v>
      </c>
      <c r="G857" s="136">
        <f t="shared" si="13"/>
        <v>43629</v>
      </c>
      <c r="H857" s="20">
        <f>_xll.mirGetDate(G857,H$17,"Following",H$12,"Normal")</f>
        <v>43721</v>
      </c>
      <c r="I857" s="134">
        <f ca="1"/>
        <v>1.5416615308632432E-2</v>
      </c>
      <c r="J857" s="120" t="s">
        <v>3</v>
      </c>
    </row>
    <row r="858" spans="1:10" x14ac:dyDescent="0.25">
      <c r="A858" s="126">
        <v>836</v>
      </c>
      <c r="B858" s="119"/>
      <c r="C858" s="136">
        <f>_xll.mirGetDate(C857,"1D","FOLLOWING",D$12,"NORMAL")</f>
        <v>43630</v>
      </c>
      <c r="D858" s="20">
        <f>_xll.mirGetDate(C858,D$17,"Following",D$12,"Normal")</f>
        <v>43633</v>
      </c>
      <c r="E858" s="134">
        <f ca="1"/>
        <v>1.1564461654263211E-2</v>
      </c>
      <c r="F858" s="7" t="s">
        <v>3</v>
      </c>
      <c r="G858" s="136">
        <f t="shared" si="13"/>
        <v>43630</v>
      </c>
      <c r="H858" s="20">
        <f>_xll.mirGetDate(G858,H$17,"Following",H$12,"Normal")</f>
        <v>43724</v>
      </c>
      <c r="I858" s="134">
        <f ca="1"/>
        <v>1.5424879404658743E-2</v>
      </c>
      <c r="J858" s="120" t="s">
        <v>3</v>
      </c>
    </row>
    <row r="859" spans="1:10" x14ac:dyDescent="0.25">
      <c r="A859" s="126">
        <v>837</v>
      </c>
      <c r="B859" s="119"/>
      <c r="C859" s="136">
        <f>_xll.mirGetDate(C858,"1D","FOLLOWING",D$12,"NORMAL")</f>
        <v>43633</v>
      </c>
      <c r="D859" s="20">
        <f>_xll.mirGetDate(C859,D$17,"Following",D$12,"Normal")</f>
        <v>43634</v>
      </c>
      <c r="E859" s="134">
        <f ca="1"/>
        <v>1.1575918132376059E-2</v>
      </c>
      <c r="F859" s="7" t="s">
        <v>3</v>
      </c>
      <c r="G859" s="136">
        <f t="shared" si="13"/>
        <v>43633</v>
      </c>
      <c r="H859" s="20">
        <f>_xll.mirGetDate(G859,H$17,"Following",H$12,"Normal")</f>
        <v>43725</v>
      </c>
      <c r="I859" s="134">
        <f ca="1"/>
        <v>1.5449774477680827E-2</v>
      </c>
      <c r="J859" s="120" t="s">
        <v>3</v>
      </c>
    </row>
    <row r="860" spans="1:10" x14ac:dyDescent="0.25">
      <c r="A860" s="126">
        <v>838</v>
      </c>
      <c r="B860" s="119"/>
      <c r="C860" s="136">
        <f>_xll.mirGetDate(C859,"1D","FOLLOWING",D$12,"NORMAL")</f>
        <v>43634</v>
      </c>
      <c r="D860" s="20">
        <f>_xll.mirGetDate(C860,D$17,"Following",D$12,"Normal")</f>
        <v>43635</v>
      </c>
      <c r="E860" s="134">
        <f ca="1"/>
        <v>1.1581828700011385E-2</v>
      </c>
      <c r="F860" s="7" t="s">
        <v>3</v>
      </c>
      <c r="G860" s="136">
        <f t="shared" si="13"/>
        <v>43634</v>
      </c>
      <c r="H860" s="20">
        <f>_xll.mirGetDate(G860,H$17,"Following",H$12,"Normal")</f>
        <v>43726</v>
      </c>
      <c r="I860" s="134">
        <f ca="1"/>
        <v>1.5458105520098821E-2</v>
      </c>
      <c r="J860" s="120" t="s">
        <v>3</v>
      </c>
    </row>
    <row r="861" spans="1:10" x14ac:dyDescent="0.25">
      <c r="A861" s="126">
        <v>839</v>
      </c>
      <c r="B861" s="119"/>
      <c r="C861" s="136">
        <f>_xll.mirGetDate(C860,"1D","FOLLOWING",D$12,"NORMAL")</f>
        <v>43635</v>
      </c>
      <c r="D861" s="20">
        <f>_xll.mirGetDate(C861,D$17,"Following",D$12,"Normal")</f>
        <v>43636</v>
      </c>
      <c r="E861" s="134">
        <f ca="1"/>
        <v>1.1587737223361969E-2</v>
      </c>
      <c r="F861" s="7" t="s">
        <v>3</v>
      </c>
      <c r="G861" s="136">
        <f t="shared" si="13"/>
        <v>43635</v>
      </c>
      <c r="H861" s="20">
        <f>_xll.mirGetDate(G861,H$17,"Following",H$12,"Normal")</f>
        <v>43727</v>
      </c>
      <c r="I861" s="134">
        <f ca="1"/>
        <v>1.5466452116436921E-2</v>
      </c>
      <c r="J861" s="120" t="s">
        <v>3</v>
      </c>
    </row>
    <row r="862" spans="1:10" x14ac:dyDescent="0.25">
      <c r="A862" s="126">
        <v>840</v>
      </c>
      <c r="B862" s="119"/>
      <c r="C862" s="136">
        <f>_xll.mirGetDate(C861,"1D","FOLLOWING",D$12,"NORMAL")</f>
        <v>43636</v>
      </c>
      <c r="D862" s="20">
        <f>_xll.mirGetDate(C862,D$17,"Following",D$12,"Normal")</f>
        <v>43637</v>
      </c>
      <c r="E862" s="134">
        <f ca="1"/>
        <v>1.1593643702507747E-2</v>
      </c>
      <c r="F862" s="7" t="s">
        <v>3</v>
      </c>
      <c r="G862" s="136">
        <f t="shared" si="13"/>
        <v>43636</v>
      </c>
      <c r="H862" s="20">
        <f>_xll.mirGetDate(G862,H$17,"Following",H$12,"Normal")</f>
        <v>43728</v>
      </c>
      <c r="I862" s="134">
        <f ca="1"/>
        <v>1.5474813793624006E-2</v>
      </c>
      <c r="J862" s="120" t="s">
        <v>3</v>
      </c>
    </row>
    <row r="863" spans="1:10" x14ac:dyDescent="0.25">
      <c r="A863" s="126">
        <v>841</v>
      </c>
      <c r="B863" s="119"/>
      <c r="C863" s="136">
        <f>_xll.mirGetDate(C862,"1D","FOLLOWING",D$12,"NORMAL")</f>
        <v>43637</v>
      </c>
      <c r="D863" s="20">
        <f>_xll.mirGetDate(C863,D$17,"Following",D$12,"Normal")</f>
        <v>43640</v>
      </c>
      <c r="E863" s="134">
        <f ca="1"/>
        <v>1.1605823979641314E-2</v>
      </c>
      <c r="F863" s="7" t="s">
        <v>3</v>
      </c>
      <c r="G863" s="136">
        <f t="shared" si="13"/>
        <v>43637</v>
      </c>
      <c r="H863" s="20">
        <f>_xll.mirGetDate(G863,H$17,"Following",H$12,"Normal")</f>
        <v>43731</v>
      </c>
      <c r="I863" s="134">
        <f ca="1"/>
        <v>1.5483190078588947E-2</v>
      </c>
      <c r="J863" s="120" t="s">
        <v>3</v>
      </c>
    </row>
    <row r="864" spans="1:10" x14ac:dyDescent="0.25">
      <c r="A864" s="126">
        <v>842</v>
      </c>
      <c r="B864" s="119"/>
      <c r="C864" s="136">
        <f>_xll.mirGetDate(C863,"1D","FOLLOWING",D$12,"NORMAL")</f>
        <v>43640</v>
      </c>
      <c r="D864" s="20">
        <f>_xll.mirGetDate(C864,D$17,"Following",D$12,"Normal")</f>
        <v>43641</v>
      </c>
      <c r="E864" s="134">
        <f ca="1"/>
        <v>1.1617249176403319E-2</v>
      </c>
      <c r="F864" s="7" t="s">
        <v>3</v>
      </c>
      <c r="G864" s="136">
        <f t="shared" si="13"/>
        <v>43640</v>
      </c>
      <c r="H864" s="20">
        <f>_xll.mirGetDate(G864,H$17,"Following",H$12,"Normal")</f>
        <v>43732</v>
      </c>
      <c r="I864" s="134">
        <f ca="1"/>
        <v>1.5508401849439656E-2</v>
      </c>
      <c r="J864" s="120" t="s">
        <v>3</v>
      </c>
    </row>
    <row r="865" spans="1:10" x14ac:dyDescent="0.25">
      <c r="A865" s="126">
        <v>843</v>
      </c>
      <c r="B865" s="119"/>
      <c r="C865" s="136">
        <f>_xll.mirGetDate(C864,"1D","FOLLOWING",D$12,"NORMAL")</f>
        <v>43641</v>
      </c>
      <c r="D865" s="20">
        <f>_xll.mirGetDate(C865,D$17,"Following",D$12,"Normal")</f>
        <v>43642</v>
      </c>
      <c r="E865" s="134">
        <f ca="1"/>
        <v>1.1623145434205326E-2</v>
      </c>
      <c r="F865" s="7" t="s">
        <v>3</v>
      </c>
      <c r="G865" s="136">
        <f t="shared" si="13"/>
        <v>43641</v>
      </c>
      <c r="H865" s="20">
        <f>_xll.mirGetDate(G865,H$17,"Following",H$12,"Normal")</f>
        <v>43733</v>
      </c>
      <c r="I865" s="134">
        <f ca="1"/>
        <v>1.5516831834804769E-2</v>
      </c>
      <c r="J865" s="120" t="s">
        <v>3</v>
      </c>
    </row>
    <row r="866" spans="1:10" x14ac:dyDescent="0.25">
      <c r="A866" s="126">
        <v>844</v>
      </c>
      <c r="B866" s="119"/>
      <c r="C866" s="136">
        <f>_xll.mirGetDate(C865,"1D","FOLLOWING",D$12,"NORMAL")</f>
        <v>43642</v>
      </c>
      <c r="D866" s="20">
        <f>_xll.mirGetDate(C866,D$17,"Following",D$12,"Normal")</f>
        <v>43643</v>
      </c>
      <c r="E866" s="134">
        <f ca="1"/>
        <v>1.1629039647802528E-2</v>
      </c>
      <c r="F866" s="7" t="s">
        <v>3</v>
      </c>
      <c r="G866" s="136">
        <f t="shared" si="13"/>
        <v>43642</v>
      </c>
      <c r="H866" s="20">
        <f>_xll.mirGetDate(G866,H$17,"Following",H$12,"Normal")</f>
        <v>43734</v>
      </c>
      <c r="I866" s="134">
        <f ca="1"/>
        <v>1.5525274062592111E-2</v>
      </c>
      <c r="J866" s="120" t="s">
        <v>3</v>
      </c>
    </row>
    <row r="867" spans="1:10" x14ac:dyDescent="0.25">
      <c r="A867" s="126">
        <v>845</v>
      </c>
      <c r="B867" s="119"/>
      <c r="C867" s="136">
        <f>_xll.mirGetDate(C866,"1D","FOLLOWING",D$12,"NORMAL")</f>
        <v>43643</v>
      </c>
      <c r="D867" s="20">
        <f>_xll.mirGetDate(C867,D$17,"Following",D$12,"Normal")</f>
        <v>43644</v>
      </c>
      <c r="E867" s="134">
        <f ca="1"/>
        <v>1.163493181687518E-2</v>
      </c>
      <c r="F867" s="7" t="s">
        <v>3</v>
      </c>
      <c r="G867" s="136">
        <f t="shared" si="13"/>
        <v>43643</v>
      </c>
      <c r="H867" s="20">
        <f>_xll.mirGetDate(G867,H$17,"Following",H$12,"Normal")</f>
        <v>43735</v>
      </c>
      <c r="I867" s="134">
        <f ca="1"/>
        <v>1.5533728059730559E-2</v>
      </c>
      <c r="J867" s="120" t="s">
        <v>3</v>
      </c>
    </row>
    <row r="868" spans="1:10" x14ac:dyDescent="0.25">
      <c r="A868" s="126">
        <v>846</v>
      </c>
      <c r="B868" s="119"/>
      <c r="C868" s="136">
        <f>_xll.mirGetDate(C867,"1D","FOLLOWING",D$12,"NORMAL")</f>
        <v>43644</v>
      </c>
      <c r="D868" s="20">
        <f>_xll.mirGetDate(C868,D$17,"Following",D$12,"Normal")</f>
        <v>43647</v>
      </c>
      <c r="E868" s="134">
        <f ca="1"/>
        <v>1.1647086138850724E-2</v>
      </c>
      <c r="F868" s="7" t="s">
        <v>3</v>
      </c>
      <c r="G868" s="136">
        <f t="shared" si="13"/>
        <v>43644</v>
      </c>
      <c r="H868" s="20">
        <f>_xll.mirGetDate(G868,H$17,"Following",H$12,"Normal")</f>
        <v>43738</v>
      </c>
      <c r="I868" s="134">
        <f ca="1"/>
        <v>1.5542193353148985E-2</v>
      </c>
      <c r="J868" s="120" t="s">
        <v>3</v>
      </c>
    </row>
    <row r="869" spans="1:10" x14ac:dyDescent="0.25">
      <c r="A869" s="126">
        <v>847</v>
      </c>
      <c r="B869" s="119"/>
      <c r="C869" s="136">
        <f>_xll.mirGetDate(C868,"1D","FOLLOWING",D$12,"NORMAL")</f>
        <v>43647</v>
      </c>
      <c r="D869" s="20">
        <f>_xll.mirGetDate(C869,D$17,"Following",D$12,"Normal")</f>
        <v>43648</v>
      </c>
      <c r="E869" s="134">
        <f ca="1"/>
        <v>1.1658480050238437E-2</v>
      </c>
      <c r="F869" s="7" t="s">
        <v>3</v>
      </c>
      <c r="G869" s="136">
        <f t="shared" si="13"/>
        <v>43647</v>
      </c>
      <c r="H869" s="20">
        <f>_xll.mirGetDate(G869,H$17,"Following",H$12,"Normal")</f>
        <v>43739</v>
      </c>
      <c r="I869" s="134">
        <f ca="1"/>
        <v>1.5567652280372889E-2</v>
      </c>
      <c r="J869" s="120" t="s">
        <v>3</v>
      </c>
    </row>
    <row r="870" spans="1:10" x14ac:dyDescent="0.25">
      <c r="A870" s="126">
        <v>848</v>
      </c>
      <c r="B870" s="119"/>
      <c r="C870" s="136">
        <f>_xll.mirGetDate(C869,"1D","FOLLOWING",D$12,"NORMAL")</f>
        <v>43648</v>
      </c>
      <c r="D870" s="20">
        <f>_xll.mirGetDate(C870,D$17,"Following",D$12,"Normal")</f>
        <v>43649</v>
      </c>
      <c r="E870" s="134">
        <f ca="1"/>
        <v>1.166436199772751E-2</v>
      </c>
      <c r="F870" s="7" t="s">
        <v>3</v>
      </c>
      <c r="G870" s="136">
        <f t="shared" si="13"/>
        <v>43648</v>
      </c>
      <c r="H870" s="20">
        <f>_xll.mirGetDate(G870,H$17,"Following",H$12,"Normal")</f>
        <v>43740</v>
      </c>
      <c r="I870" s="134">
        <f ca="1"/>
        <v>1.5576158028199977E-2</v>
      </c>
      <c r="J870" s="120" t="s">
        <v>3</v>
      </c>
    </row>
    <row r="871" spans="1:10" x14ac:dyDescent="0.25">
      <c r="A871" s="126">
        <v>849</v>
      </c>
      <c r="B871" s="119"/>
      <c r="C871" s="136">
        <f>_xll.mirGetDate(C870,"1D","FOLLOWING",D$12,"NORMAL")</f>
        <v>43649</v>
      </c>
      <c r="D871" s="20">
        <f>_xll.mirGetDate(C871,D$17,"Following",D$12,"Normal")</f>
        <v>43651</v>
      </c>
      <c r="E871" s="134">
        <f ca="1"/>
        <v>1.1673370084484033E-2</v>
      </c>
      <c r="F871" s="7" t="s">
        <v>3</v>
      </c>
      <c r="G871" s="136">
        <f t="shared" si="13"/>
        <v>43649</v>
      </c>
      <c r="H871" s="20">
        <f>_xll.mirGetDate(G871,H$17,"Following",H$12,"Normal")</f>
        <v>43741</v>
      </c>
      <c r="I871" s="134">
        <f ca="1"/>
        <v>1.5584672706951418E-2</v>
      </c>
      <c r="J871" s="120" t="s">
        <v>3</v>
      </c>
    </row>
    <row r="872" spans="1:10" x14ac:dyDescent="0.25">
      <c r="A872" s="126">
        <v>850</v>
      </c>
      <c r="B872" s="119"/>
      <c r="C872" s="136">
        <f>_xll.mirGetDate(C871,"1D","FOLLOWING",D$12,"NORMAL")</f>
        <v>43651</v>
      </c>
      <c r="D872" s="20">
        <f>_xll.mirGetDate(C872,D$17,"Following",D$12,"Normal")</f>
        <v>43654</v>
      </c>
      <c r="E872" s="134">
        <f ca="1"/>
        <v>1.1688248127974574E-2</v>
      </c>
      <c r="F872" s="7" t="s">
        <v>3</v>
      </c>
      <c r="G872" s="136">
        <f t="shared" si="13"/>
        <v>43651</v>
      </c>
      <c r="H872" s="20">
        <f>_xll.mirGetDate(G872,H$17,"Following",H$12,"Normal")</f>
        <v>43745</v>
      </c>
      <c r="I872" s="134">
        <f ca="1"/>
        <v>1.5601726964942855E-2</v>
      </c>
      <c r="J872" s="120" t="s">
        <v>3</v>
      </c>
    </row>
    <row r="873" spans="1:10" x14ac:dyDescent="0.25">
      <c r="A873" s="126">
        <v>851</v>
      </c>
      <c r="B873" s="119"/>
      <c r="C873" s="136">
        <f>_xll.mirGetDate(C872,"1D","FOLLOWING",D$12,"NORMAL")</f>
        <v>43654</v>
      </c>
      <c r="D873" s="20">
        <f>_xll.mirGetDate(C873,D$17,"Following",D$12,"Normal")</f>
        <v>43655</v>
      </c>
      <c r="E873" s="134">
        <f ca="1"/>
        <v>1.1699610749884612E-2</v>
      </c>
      <c r="F873" s="7" t="s">
        <v>3</v>
      </c>
      <c r="G873" s="136">
        <f t="shared" si="13"/>
        <v>43654</v>
      </c>
      <c r="H873" s="20">
        <f>_xll.mirGetDate(G873,H$17,"Following",H$12,"Normal")</f>
        <v>43746</v>
      </c>
      <c r="I873" s="134">
        <f ca="1"/>
        <v>1.5627363507084518E-2</v>
      </c>
      <c r="J873" s="120" t="s">
        <v>3</v>
      </c>
    </row>
    <row r="874" spans="1:10" x14ac:dyDescent="0.25">
      <c r="A874" s="126">
        <v>852</v>
      </c>
      <c r="B874" s="119"/>
      <c r="C874" s="136">
        <f>_xll.mirGetDate(C873,"1D","FOLLOWING",D$12,"NORMAL")</f>
        <v>43655</v>
      </c>
      <c r="D874" s="20">
        <f>_xll.mirGetDate(C874,D$17,"Following",D$12,"Normal")</f>
        <v>43656</v>
      </c>
      <c r="E874" s="134">
        <f ca="1"/>
        <v>1.1705478386261389E-2</v>
      </c>
      <c r="F874" s="7" t="s">
        <v>3</v>
      </c>
      <c r="G874" s="136">
        <f t="shared" si="13"/>
        <v>43655</v>
      </c>
      <c r="H874" s="20">
        <f>_xll.mirGetDate(G874,H$17,"Following",H$12,"Normal")</f>
        <v>43747</v>
      </c>
      <c r="I874" s="134">
        <f ca="1"/>
        <v>1.5635921836888438E-2</v>
      </c>
      <c r="J874" s="120" t="s">
        <v>3</v>
      </c>
    </row>
    <row r="875" spans="1:10" x14ac:dyDescent="0.25">
      <c r="A875" s="126">
        <v>853</v>
      </c>
      <c r="B875" s="119"/>
      <c r="C875" s="136">
        <f>_xll.mirGetDate(C874,"1D","FOLLOWING",D$12,"NORMAL")</f>
        <v>43656</v>
      </c>
      <c r="D875" s="20">
        <f>_xll.mirGetDate(C875,D$17,"Following",D$12,"Normal")</f>
        <v>43657</v>
      </c>
      <c r="E875" s="134">
        <f ca="1"/>
        <v>1.1711343978271617E-2</v>
      </c>
      <c r="F875" s="7" t="s">
        <v>3</v>
      </c>
      <c r="G875" s="136">
        <f t="shared" si="13"/>
        <v>43656</v>
      </c>
      <c r="H875" s="20">
        <f>_xll.mirGetDate(G875,H$17,"Following",H$12,"Normal")</f>
        <v>43748</v>
      </c>
      <c r="I875" s="134">
        <f ca="1"/>
        <v>1.5644485786118833E-2</v>
      </c>
      <c r="J875" s="120" t="s">
        <v>3</v>
      </c>
    </row>
    <row r="876" spans="1:10" x14ac:dyDescent="0.25">
      <c r="A876" s="126">
        <v>854</v>
      </c>
      <c r="B876" s="119"/>
      <c r="C876" s="136">
        <f>_xll.mirGetDate(C875,"1D","FOLLOWING",D$12,"NORMAL")</f>
        <v>43657</v>
      </c>
      <c r="D876" s="20">
        <f>_xll.mirGetDate(C876,D$17,"Following",D$12,"Normal")</f>
        <v>43658</v>
      </c>
      <c r="E876" s="134">
        <f ca="1"/>
        <v>1.1717207525681103E-2</v>
      </c>
      <c r="F876" s="7" t="s">
        <v>3</v>
      </c>
      <c r="G876" s="136">
        <f t="shared" si="13"/>
        <v>43657</v>
      </c>
      <c r="H876" s="20">
        <f>_xll.mirGetDate(G876,H$17,"Following",H$12,"Normal")</f>
        <v>43749</v>
      </c>
      <c r="I876" s="134">
        <f ca="1"/>
        <v>1.5653054881704577E-2</v>
      </c>
      <c r="J876" s="120" t="s">
        <v>3</v>
      </c>
    </row>
    <row r="877" spans="1:10" x14ac:dyDescent="0.25">
      <c r="A877" s="126">
        <v>855</v>
      </c>
      <c r="B877" s="119"/>
      <c r="C877" s="136">
        <f>_xll.mirGetDate(C876,"1D","FOLLOWING",D$12,"NORMAL")</f>
        <v>43658</v>
      </c>
      <c r="D877" s="20">
        <f>_xll.mirGetDate(C877,D$17,"Following",D$12,"Normal")</f>
        <v>43661</v>
      </c>
      <c r="E877" s="134">
        <f ca="1"/>
        <v>1.1729309942323282E-2</v>
      </c>
      <c r="F877" s="7" t="s">
        <v>3</v>
      </c>
      <c r="G877" s="136">
        <f t="shared" si="13"/>
        <v>43658</v>
      </c>
      <c r="H877" s="20">
        <f>_xll.mirGetDate(G877,H$17,"Following",H$12,"Normal")</f>
        <v>43753</v>
      </c>
      <c r="I877" s="134">
        <f ca="1"/>
        <v>1.5661628650574546E-2</v>
      </c>
      <c r="J877" s="120" t="s">
        <v>3</v>
      </c>
    </row>
    <row r="878" spans="1:10" x14ac:dyDescent="0.25">
      <c r="A878" s="126">
        <v>856</v>
      </c>
      <c r="B878" s="119"/>
      <c r="C878" s="136">
        <f>_xll.mirGetDate(C877,"1D","FOLLOWING",D$12,"NORMAL")</f>
        <v>43661</v>
      </c>
      <c r="D878" s="20">
        <f>_xll.mirGetDate(C878,D$17,"Following",D$12,"Normal")</f>
        <v>43662</v>
      </c>
      <c r="E878" s="134">
        <f ca="1"/>
        <v>1.1740641270225935E-2</v>
      </c>
      <c r="F878" s="7" t="s">
        <v>3</v>
      </c>
      <c r="G878" s="136">
        <f t="shared" si="13"/>
        <v>43661</v>
      </c>
      <c r="H878" s="20">
        <f>_xll.mirGetDate(G878,H$17,"Following",H$12,"Normal")</f>
        <v>43753</v>
      </c>
      <c r="I878" s="134">
        <f ca="1"/>
        <v>1.5687373266178535E-2</v>
      </c>
      <c r="J878" s="120" t="s">
        <v>3</v>
      </c>
    </row>
    <row r="879" spans="1:10" x14ac:dyDescent="0.25">
      <c r="A879" s="126">
        <v>857</v>
      </c>
      <c r="B879" s="119"/>
      <c r="C879" s="136">
        <f>_xll.mirGetDate(C878,"1D","FOLLOWING",D$12,"NORMAL")</f>
        <v>43662</v>
      </c>
      <c r="D879" s="20">
        <f>_xll.mirGetDate(C879,D$17,"Following",D$12,"Normal")</f>
        <v>43663</v>
      </c>
      <c r="E879" s="134">
        <f ca="1"/>
        <v>1.1746494594850929E-2</v>
      </c>
      <c r="F879" s="7" t="s">
        <v>3</v>
      </c>
      <c r="G879" s="136">
        <f t="shared" si="13"/>
        <v>43662</v>
      </c>
      <c r="H879" s="20">
        <f>_xll.mirGetDate(G879,H$17,"Following",H$12,"Normal")</f>
        <v>43754</v>
      </c>
      <c r="I879" s="134">
        <f ca="1"/>
        <v>1.5695960997474143E-2</v>
      </c>
      <c r="J879" s="120" t="s">
        <v>3</v>
      </c>
    </row>
    <row r="880" spans="1:10" x14ac:dyDescent="0.25">
      <c r="A880" s="126">
        <v>858</v>
      </c>
      <c r="B880" s="119"/>
      <c r="C880" s="136">
        <f>_xll.mirGetDate(C879,"1D","FOLLOWING",D$12,"NORMAL")</f>
        <v>43663</v>
      </c>
      <c r="D880" s="20">
        <f>_xll.mirGetDate(C880,D$17,"Following",D$12,"Normal")</f>
        <v>43664</v>
      </c>
      <c r="E880" s="134">
        <f ca="1"/>
        <v>1.1752345874951373E-2</v>
      </c>
      <c r="F880" s="7" t="s">
        <v>3</v>
      </c>
      <c r="G880" s="136">
        <f t="shared" si="13"/>
        <v>43663</v>
      </c>
      <c r="H880" s="20">
        <f>_xll.mirGetDate(G880,H$17,"Following",H$12,"Normal")</f>
        <v>43755</v>
      </c>
      <c r="I880" s="134">
        <f ca="1"/>
        <v>1.570455103669835E-2</v>
      </c>
      <c r="J880" s="120" t="s">
        <v>3</v>
      </c>
    </row>
    <row r="881" spans="1:10" x14ac:dyDescent="0.25">
      <c r="A881" s="126">
        <v>859</v>
      </c>
      <c r="B881" s="119"/>
      <c r="C881" s="136">
        <f>_xll.mirGetDate(C880,"1D","FOLLOWING",D$12,"NORMAL")</f>
        <v>43664</v>
      </c>
      <c r="D881" s="20">
        <f>_xll.mirGetDate(C881,D$17,"Following",D$12,"Normal")</f>
        <v>43665</v>
      </c>
      <c r="E881" s="134">
        <f ca="1"/>
        <v>1.1758195110447331E-2</v>
      </c>
      <c r="F881" s="7" t="s">
        <v>3</v>
      </c>
      <c r="G881" s="136">
        <f t="shared" si="13"/>
        <v>43664</v>
      </c>
      <c r="H881" s="20">
        <f>_xll.mirGetDate(G881,H$17,"Following",H$12,"Normal")</f>
        <v>43756</v>
      </c>
      <c r="I881" s="134">
        <f ca="1"/>
        <v>1.5713142910780024E-2</v>
      </c>
      <c r="J881" s="120" t="s">
        <v>3</v>
      </c>
    </row>
    <row r="882" spans="1:10" x14ac:dyDescent="0.25">
      <c r="A882" s="126">
        <v>860</v>
      </c>
      <c r="B882" s="119"/>
      <c r="C882" s="136">
        <f>_xll.mirGetDate(C881,"1D","FOLLOWING",D$12,"NORMAL")</f>
        <v>43665</v>
      </c>
      <c r="D882" s="20">
        <f>_xll.mirGetDate(C882,D$17,"Following",D$12,"Normal")</f>
        <v>43668</v>
      </c>
      <c r="E882" s="134">
        <f ca="1"/>
        <v>1.1770271576194744E-2</v>
      </c>
      <c r="F882" s="7" t="s">
        <v>3</v>
      </c>
      <c r="G882" s="136">
        <f t="shared" si="13"/>
        <v>43665</v>
      </c>
      <c r="H882" s="20">
        <f>_xll.mirGetDate(G882,H$17,"Following",H$12,"Normal")</f>
        <v>43759</v>
      </c>
      <c r="I882" s="134">
        <f ca="1"/>
        <v>1.5721736146648048E-2</v>
      </c>
      <c r="J882" s="120" t="s">
        <v>3</v>
      </c>
    </row>
    <row r="883" spans="1:10" x14ac:dyDescent="0.25">
      <c r="A883" s="126">
        <v>861</v>
      </c>
      <c r="B883" s="119"/>
      <c r="C883" s="136">
        <f>_xll.mirGetDate(C882,"1D","FOLLOWING",D$12,"NORMAL")</f>
        <v>43668</v>
      </c>
      <c r="D883" s="20">
        <f>_xll.mirGetDate(C883,D$17,"Following",D$12,"Normal")</f>
        <v>43669</v>
      </c>
      <c r="E883" s="134">
        <f ca="1"/>
        <v>1.1781571605586946E-2</v>
      </c>
      <c r="F883" s="7" t="s">
        <v>3</v>
      </c>
      <c r="G883" s="136">
        <f t="shared" si="13"/>
        <v>43668</v>
      </c>
      <c r="H883" s="20">
        <f>_xll.mirGetDate(G883,H$17,"Following",H$12,"Normal")</f>
        <v>43760</v>
      </c>
      <c r="I883" s="134">
        <f ca="1"/>
        <v>1.574751888748183E-2</v>
      </c>
      <c r="J883" s="120" t="s">
        <v>3</v>
      </c>
    </row>
    <row r="884" spans="1:10" x14ac:dyDescent="0.25">
      <c r="A884" s="126">
        <v>862</v>
      </c>
      <c r="B884" s="119"/>
      <c r="C884" s="136">
        <f>_xll.mirGetDate(C883,"1D","FOLLOWING",D$12,"NORMAL")</f>
        <v>43669</v>
      </c>
      <c r="D884" s="20">
        <f>_xll.mirGetDate(C884,D$17,"Following",D$12,"Normal")</f>
        <v>43670</v>
      </c>
      <c r="E884" s="134">
        <f ca="1"/>
        <v>1.178741061758086E-2</v>
      </c>
      <c r="F884" s="7" t="s">
        <v>3</v>
      </c>
      <c r="G884" s="136">
        <f t="shared" si="13"/>
        <v>43669</v>
      </c>
      <c r="H884" s="20">
        <f>_xll.mirGetDate(G884,H$17,"Following",H$12,"Normal")</f>
        <v>43761</v>
      </c>
      <c r="I884" s="134">
        <f ca="1"/>
        <v>1.5756110492668861E-2</v>
      </c>
      <c r="J884" s="120" t="s">
        <v>3</v>
      </c>
    </row>
    <row r="885" spans="1:10" x14ac:dyDescent="0.25">
      <c r="A885" s="126">
        <v>863</v>
      </c>
      <c r="B885" s="119"/>
      <c r="C885" s="136">
        <f>_xll.mirGetDate(C884,"1D","FOLLOWING",D$12,"NORMAL")</f>
        <v>43670</v>
      </c>
      <c r="D885" s="20">
        <f>_xll.mirGetDate(C885,D$17,"Following",D$12,"Normal")</f>
        <v>43671</v>
      </c>
      <c r="E885" s="134">
        <f ca="1"/>
        <v>1.1793247584890351E-2</v>
      </c>
      <c r="F885" s="7" t="s">
        <v>3</v>
      </c>
      <c r="G885" s="136">
        <f t="shared" si="13"/>
        <v>43670</v>
      </c>
      <c r="H885" s="20">
        <f>_xll.mirGetDate(G885,H$17,"Following",H$12,"Normal")</f>
        <v>43762</v>
      </c>
      <c r="I885" s="134">
        <f ca="1"/>
        <v>1.576469742267822E-2</v>
      </c>
      <c r="J885" s="120" t="s">
        <v>3</v>
      </c>
    </row>
    <row r="886" spans="1:10" x14ac:dyDescent="0.25">
      <c r="A886" s="126">
        <v>864</v>
      </c>
      <c r="B886" s="119"/>
      <c r="C886" s="136">
        <f>_xll.mirGetDate(C885,"1D","FOLLOWING",D$12,"NORMAL")</f>
        <v>43671</v>
      </c>
      <c r="D886" s="20">
        <f>_xll.mirGetDate(C886,D$17,"Following",D$12,"Normal")</f>
        <v>43672</v>
      </c>
      <c r="E886" s="134">
        <f ca="1"/>
        <v>1.1799082507355549E-2</v>
      </c>
      <c r="F886" s="7" t="s">
        <v>3</v>
      </c>
      <c r="G886" s="136">
        <f t="shared" si="13"/>
        <v>43671</v>
      </c>
      <c r="H886" s="20">
        <f>_xll.mirGetDate(G886,H$17,"Following",H$12,"Normal")</f>
        <v>43763</v>
      </c>
      <c r="I886" s="134">
        <f ca="1"/>
        <v>1.5773277473684417E-2</v>
      </c>
      <c r="J886" s="120" t="s">
        <v>3</v>
      </c>
    </row>
    <row r="887" spans="1:10" x14ac:dyDescent="0.25">
      <c r="A887" s="126">
        <v>865</v>
      </c>
      <c r="B887" s="119"/>
      <c r="C887" s="136">
        <f>_xll.mirGetDate(C886,"1D","FOLLOWING",D$12,"NORMAL")</f>
        <v>43672</v>
      </c>
      <c r="D887" s="20">
        <f>_xll.mirGetDate(C887,D$17,"Following",D$12,"Normal")</f>
        <v>43675</v>
      </c>
      <c r="E887" s="134">
        <f ca="1"/>
        <v>1.1811133023087492E-2</v>
      </c>
      <c r="F887" s="7" t="s">
        <v>3</v>
      </c>
      <c r="G887" s="136">
        <f t="shared" si="13"/>
        <v>43672</v>
      </c>
      <c r="H887" s="20">
        <f>_xll.mirGetDate(G887,H$17,"Following",H$12,"Normal")</f>
        <v>43766</v>
      </c>
      <c r="I887" s="134">
        <f ca="1"/>
        <v>1.5781848441861968E-2</v>
      </c>
      <c r="J887" s="120" t="s">
        <v>3</v>
      </c>
    </row>
    <row r="888" spans="1:10" x14ac:dyDescent="0.25">
      <c r="A888" s="126">
        <v>866</v>
      </c>
      <c r="B888" s="119"/>
      <c r="C888" s="136">
        <f>_xll.mirGetDate(C887,"1D","FOLLOWING",D$12,"NORMAL")</f>
        <v>43675</v>
      </c>
      <c r="D888" s="20">
        <f>_xll.mirGetDate(C888,D$17,"Following",D$12,"Normal")</f>
        <v>43676</v>
      </c>
      <c r="E888" s="134">
        <f ca="1"/>
        <v>1.1822401749253017E-2</v>
      </c>
      <c r="F888" s="7" t="s">
        <v>3</v>
      </c>
      <c r="G888" s="136">
        <f t="shared" si="13"/>
        <v>43675</v>
      </c>
      <c r="H888" s="20">
        <f>_xll.mirGetDate(G888,H$17,"Following",H$12,"Normal")</f>
        <v>43767</v>
      </c>
      <c r="I888" s="134">
        <f ca="1"/>
        <v>1.5807484811167838E-2</v>
      </c>
      <c r="J888" s="120" t="s">
        <v>3</v>
      </c>
    </row>
    <row r="889" spans="1:10" x14ac:dyDescent="0.25">
      <c r="A889" s="126">
        <v>867</v>
      </c>
      <c r="B889" s="119"/>
      <c r="C889" s="136">
        <f>_xll.mirGetDate(C888,"1D","FOLLOWING",D$12,"NORMAL")</f>
        <v>43676</v>
      </c>
      <c r="D889" s="20">
        <f>_xll.mirGetDate(C889,D$17,"Following",D$12,"Normal")</f>
        <v>43677</v>
      </c>
      <c r="E889" s="134">
        <f ca="1"/>
        <v>1.1828226447576681E-2</v>
      </c>
      <c r="F889" s="7" t="s">
        <v>3</v>
      </c>
      <c r="G889" s="136">
        <f t="shared" si="13"/>
        <v>43676</v>
      </c>
      <c r="H889" s="20">
        <f>_xll.mirGetDate(G889,H$17,"Following",H$12,"Normal")</f>
        <v>43768</v>
      </c>
      <c r="I889" s="134">
        <f ca="1"/>
        <v>1.5815997409775902E-2</v>
      </c>
      <c r="J889" s="120" t="s">
        <v>3</v>
      </c>
    </row>
    <row r="890" spans="1:10" x14ac:dyDescent="0.25">
      <c r="A890" s="126">
        <v>868</v>
      </c>
      <c r="B890" s="119"/>
      <c r="C890" s="136">
        <f>_xll.mirGetDate(C889,"1D","FOLLOWING",D$12,"NORMAL")</f>
        <v>43677</v>
      </c>
      <c r="D890" s="20">
        <f>_xll.mirGetDate(C890,D$17,"Following",D$12,"Normal")</f>
        <v>43678</v>
      </c>
      <c r="E890" s="134">
        <f ca="1"/>
        <v>1.1834049100976116E-2</v>
      </c>
      <c r="F890" s="7" t="s">
        <v>3</v>
      </c>
      <c r="G890" s="136">
        <f t="shared" si="13"/>
        <v>43677</v>
      </c>
      <c r="H890" s="20">
        <f>_xll.mirGetDate(G890,H$17,"Following",H$12,"Normal")</f>
        <v>43769</v>
      </c>
      <c r="I890" s="134">
        <f ca="1"/>
        <v>1.5824489906427871E-2</v>
      </c>
      <c r="J890" s="120" t="s">
        <v>3</v>
      </c>
    </row>
    <row r="891" spans="1:10" x14ac:dyDescent="0.25">
      <c r="A891" s="126">
        <v>869</v>
      </c>
      <c r="B891" s="119"/>
      <c r="C891" s="136">
        <f>_xll.mirGetDate(C890,"1D","FOLLOWING",D$12,"NORMAL")</f>
        <v>43678</v>
      </c>
      <c r="D891" s="20">
        <f>_xll.mirGetDate(C891,D$17,"Following",D$12,"Normal")</f>
        <v>43679</v>
      </c>
      <c r="E891" s="134">
        <f ca="1"/>
        <v>1.1839869709531256E-2</v>
      </c>
      <c r="F891" s="7" t="s">
        <v>3</v>
      </c>
      <c r="G891" s="136">
        <f t="shared" si="13"/>
        <v>43678</v>
      </c>
      <c r="H891" s="20">
        <f>_xll.mirGetDate(G891,H$17,"Following",H$12,"Normal")</f>
        <v>43770</v>
      </c>
      <c r="I891" s="134">
        <f ca="1"/>
        <v>1.5832960097298253E-2</v>
      </c>
      <c r="J891" s="120" t="s">
        <v>3</v>
      </c>
    </row>
    <row r="892" spans="1:10" x14ac:dyDescent="0.25">
      <c r="A892" s="126">
        <v>870</v>
      </c>
      <c r="B892" s="119"/>
      <c r="C892" s="136">
        <f>_xll.mirGetDate(C891,"1D","FOLLOWING",D$12,"NORMAL")</f>
        <v>43679</v>
      </c>
      <c r="D892" s="20">
        <f>_xll.mirGetDate(C892,D$17,"Following",D$12,"Normal")</f>
        <v>43682</v>
      </c>
      <c r="E892" s="134">
        <f ca="1"/>
        <v>1.1851894275727345E-2</v>
      </c>
      <c r="F892" s="7" t="s">
        <v>3</v>
      </c>
      <c r="G892" s="136">
        <f t="shared" si="13"/>
        <v>43679</v>
      </c>
      <c r="H892" s="20">
        <f>_xll.mirGetDate(G892,H$17,"Following",H$12,"Normal")</f>
        <v>43773</v>
      </c>
      <c r="I892" s="134">
        <f ca="1"/>
        <v>1.5841405778561565E-2</v>
      </c>
      <c r="J892" s="120" t="s">
        <v>3</v>
      </c>
    </row>
    <row r="893" spans="1:10" x14ac:dyDescent="0.25">
      <c r="A893" s="126">
        <v>871</v>
      </c>
      <c r="B893" s="119"/>
      <c r="C893" s="136">
        <f>_xll.mirGetDate(C892,"1D","FOLLOWING",D$12,"NORMAL")</f>
        <v>43682</v>
      </c>
      <c r="D893" s="20">
        <f>_xll.mirGetDate(C893,D$17,"Following",D$12,"Normal")</f>
        <v>43683</v>
      </c>
      <c r="E893" s="134">
        <f ca="1"/>
        <v>1.1863131693710158E-2</v>
      </c>
      <c r="F893" s="7" t="s">
        <v>3</v>
      </c>
      <c r="G893" s="136">
        <f t="shared" si="13"/>
        <v>43682</v>
      </c>
      <c r="H893" s="20">
        <f>_xll.mirGetDate(G893,H$17,"Following",H$12,"Normal")</f>
        <v>43774</v>
      </c>
      <c r="I893" s="134">
        <f ca="1"/>
        <v>1.5866573726454166E-2</v>
      </c>
      <c r="J893" s="120" t="s">
        <v>3</v>
      </c>
    </row>
    <row r="894" spans="1:10" x14ac:dyDescent="0.25">
      <c r="A894" s="126">
        <v>872</v>
      </c>
      <c r="B894" s="119"/>
      <c r="C894" s="136">
        <f>_xll.mirGetDate(C893,"1D","FOLLOWING",D$12,"NORMAL")</f>
        <v>43683</v>
      </c>
      <c r="D894" s="20">
        <f>_xll.mirGetDate(C894,D$17,"Following",D$12,"Normal")</f>
        <v>43684</v>
      </c>
      <c r="E894" s="134">
        <f ca="1"/>
        <v>1.1868942077244468E-2</v>
      </c>
      <c r="F894" s="7" t="s">
        <v>3</v>
      </c>
      <c r="G894" s="136">
        <f t="shared" si="13"/>
        <v>43683</v>
      </c>
      <c r="H894" s="20">
        <f>_xll.mirGetDate(G894,H$17,"Following",H$12,"Normal")</f>
        <v>43775</v>
      </c>
      <c r="I894" s="134">
        <f ca="1"/>
        <v>1.5874899331034292E-2</v>
      </c>
      <c r="J894" s="120" t="s">
        <v>3</v>
      </c>
    </row>
    <row r="895" spans="1:10" x14ac:dyDescent="0.25">
      <c r="A895" s="126">
        <v>873</v>
      </c>
      <c r="B895" s="119"/>
      <c r="C895" s="136">
        <f>_xll.mirGetDate(C894,"1D","FOLLOWING",D$12,"NORMAL")</f>
        <v>43684</v>
      </c>
      <c r="D895" s="20">
        <f>_xll.mirGetDate(C895,D$17,"Following",D$12,"Normal")</f>
        <v>43685</v>
      </c>
      <c r="E895" s="134">
        <f ca="1"/>
        <v>1.1874750415694676E-2</v>
      </c>
      <c r="F895" s="7" t="s">
        <v>3</v>
      </c>
      <c r="G895" s="136">
        <f t="shared" si="13"/>
        <v>43684</v>
      </c>
      <c r="H895" s="20">
        <f>_xll.mirGetDate(G895,H$17,"Following",H$12,"Normal")</f>
        <v>43776</v>
      </c>
      <c r="I895" s="134">
        <f ca="1"/>
        <v>1.5883189406879897E-2</v>
      </c>
      <c r="J895" s="120" t="s">
        <v>3</v>
      </c>
    </row>
    <row r="896" spans="1:10" x14ac:dyDescent="0.25">
      <c r="A896" s="126">
        <v>874</v>
      </c>
      <c r="B896" s="119"/>
      <c r="C896" s="136">
        <f>_xll.mirGetDate(C895,"1D","FOLLOWING",D$12,"NORMAL")</f>
        <v>43685</v>
      </c>
      <c r="D896" s="20">
        <f>_xll.mirGetDate(C896,D$17,"Following",D$12,"Normal")</f>
        <v>43686</v>
      </c>
      <c r="E896" s="134">
        <f ca="1"/>
        <v>1.1880556708980847E-2</v>
      </c>
      <c r="F896" s="7" t="s">
        <v>3</v>
      </c>
      <c r="G896" s="136">
        <f t="shared" si="13"/>
        <v>43685</v>
      </c>
      <c r="H896" s="20">
        <f>_xll.mirGetDate(G896,H$17,"Following",H$12,"Normal")</f>
        <v>43777</v>
      </c>
      <c r="I896" s="134">
        <f ca="1"/>
        <v>1.5891441750165495E-2</v>
      </c>
      <c r="J896" s="120" t="s">
        <v>3</v>
      </c>
    </row>
    <row r="897" spans="1:10" x14ac:dyDescent="0.25">
      <c r="A897" s="126">
        <v>875</v>
      </c>
      <c r="B897" s="119"/>
      <c r="C897" s="136">
        <f>_xll.mirGetDate(C896,"1D","FOLLOWING",D$12,"NORMAL")</f>
        <v>43686</v>
      </c>
      <c r="D897" s="20">
        <f>_xll.mirGetDate(C897,D$17,"Following",D$12,"Normal")</f>
        <v>43689</v>
      </c>
      <c r="E897" s="134">
        <f ca="1"/>
        <v>1.1892555325880891E-2</v>
      </c>
      <c r="F897" s="7" t="s">
        <v>3</v>
      </c>
      <c r="G897" s="136">
        <f t="shared" si="13"/>
        <v>43686</v>
      </c>
      <c r="H897" s="20">
        <f>_xll.mirGetDate(G897,H$17,"Following",H$12,"Normal")</f>
        <v>43781</v>
      </c>
      <c r="I897" s="134">
        <f ca="1"/>
        <v>1.5899654157065589E-2</v>
      </c>
      <c r="J897" s="120" t="s">
        <v>3</v>
      </c>
    </row>
    <row r="898" spans="1:10" x14ac:dyDescent="0.25">
      <c r="A898" s="126">
        <v>876</v>
      </c>
      <c r="B898" s="119"/>
      <c r="C898" s="136">
        <f>_xll.mirGetDate(C897,"1D","FOLLOWING",D$12,"NORMAL")</f>
        <v>43689</v>
      </c>
      <c r="D898" s="20">
        <f>_xll.mirGetDate(C898,D$17,"Following",D$12,"Normal")</f>
        <v>43690</v>
      </c>
      <c r="E898" s="134">
        <f ca="1"/>
        <v>1.1903761430645018E-2</v>
      </c>
      <c r="F898" s="7" t="s">
        <v>3</v>
      </c>
      <c r="G898" s="136">
        <f t="shared" si="13"/>
        <v>43689</v>
      </c>
      <c r="H898" s="20">
        <f>_xll.mirGetDate(G898,H$17,"Following",H$12,"Normal")</f>
        <v>43781</v>
      </c>
      <c r="I898" s="134">
        <f ca="1"/>
        <v>1.5924029721198007E-2</v>
      </c>
      <c r="J898" s="120" t="s">
        <v>3</v>
      </c>
    </row>
    <row r="899" spans="1:10" x14ac:dyDescent="0.25">
      <c r="A899" s="126">
        <v>877</v>
      </c>
      <c r="B899" s="119"/>
      <c r="C899" s="136">
        <f>_xll.mirGetDate(C898,"1D","FOLLOWING",D$12,"NORMAL")</f>
        <v>43690</v>
      </c>
      <c r="D899" s="20">
        <f>_xll.mirGetDate(C899,D$17,"Following",D$12,"Normal")</f>
        <v>43691</v>
      </c>
      <c r="E899" s="134">
        <f ca="1"/>
        <v>1.1909557498031062E-2</v>
      </c>
      <c r="F899" s="7" t="s">
        <v>3</v>
      </c>
      <c r="G899" s="136">
        <f t="shared" si="13"/>
        <v>43690</v>
      </c>
      <c r="H899" s="20">
        <f>_xll.mirGetDate(G899,H$17,"Following",H$12,"Normal")</f>
        <v>43782</v>
      </c>
      <c r="I899" s="134">
        <f ca="1"/>
        <v>1.5932060344301217E-2</v>
      </c>
      <c r="J899" s="120" t="s">
        <v>3</v>
      </c>
    </row>
    <row r="900" spans="1:10" x14ac:dyDescent="0.25">
      <c r="A900" s="126">
        <v>878</v>
      </c>
      <c r="B900" s="119"/>
      <c r="C900" s="136">
        <f>_xll.mirGetDate(C899,"1D","FOLLOWING",D$12,"NORMAL")</f>
        <v>43691</v>
      </c>
      <c r="D900" s="20">
        <f>_xll.mirGetDate(C900,D$17,"Following",D$12,"Normal")</f>
        <v>43692</v>
      </c>
      <c r="E900" s="134">
        <f ca="1"/>
        <v>1.1915351520173131E-2</v>
      </c>
      <c r="F900" s="7" t="s">
        <v>3</v>
      </c>
      <c r="G900" s="136">
        <f t="shared" si="13"/>
        <v>43691</v>
      </c>
      <c r="H900" s="20">
        <f>_xll.mirGetDate(G900,H$17,"Following",H$12,"Normal")</f>
        <v>43783</v>
      </c>
      <c r="I900" s="134">
        <f ca="1"/>
        <v>1.5940040011891487E-2</v>
      </c>
      <c r="J900" s="120" t="s">
        <v>3</v>
      </c>
    </row>
    <row r="901" spans="1:10" x14ac:dyDescent="0.25">
      <c r="A901" s="126">
        <v>879</v>
      </c>
      <c r="B901" s="119"/>
      <c r="C901" s="136">
        <f>_xll.mirGetDate(C900,"1D","FOLLOWING",D$12,"NORMAL")</f>
        <v>43692</v>
      </c>
      <c r="D901" s="20">
        <f>_xll.mirGetDate(C901,D$17,"Following",D$12,"Normal")</f>
        <v>43693</v>
      </c>
      <c r="E901" s="134">
        <f ca="1"/>
        <v>1.1921143496991291E-2</v>
      </c>
      <c r="F901" s="7" t="s">
        <v>3</v>
      </c>
      <c r="G901" s="136">
        <f t="shared" si="13"/>
        <v>43692</v>
      </c>
      <c r="H901" s="20">
        <f>_xll.mirGetDate(G901,H$17,"Following",H$12,"Normal")</f>
        <v>43784</v>
      </c>
      <c r="I901" s="134">
        <f ca="1"/>
        <v>1.5947966520143325E-2</v>
      </c>
      <c r="J901" s="120" t="s">
        <v>3</v>
      </c>
    </row>
    <row r="902" spans="1:10" x14ac:dyDescent="0.25">
      <c r="A902" s="126">
        <v>880</v>
      </c>
      <c r="B902" s="119"/>
      <c r="C902" s="136">
        <f>_xll.mirGetDate(C901,"1D","FOLLOWING",D$12,"NORMAL")</f>
        <v>43693</v>
      </c>
      <c r="D902" s="20">
        <f>_xll.mirGetDate(C902,D$17,"Following",D$12,"Normal")</f>
        <v>43696</v>
      </c>
      <c r="E902" s="134">
        <f ca="1"/>
        <v>1.1933116164435417E-2</v>
      </c>
      <c r="F902" s="7" t="s">
        <v>3</v>
      </c>
      <c r="G902" s="136">
        <f t="shared" si="13"/>
        <v>43693</v>
      </c>
      <c r="H902" s="20">
        <f>_xll.mirGetDate(G902,H$17,"Following",H$12,"Normal")</f>
        <v>43787</v>
      </c>
      <c r="I902" s="134">
        <f ca="1"/>
        <v>1.5955837665231239E-2</v>
      </c>
      <c r="J902" s="120" t="s">
        <v>3</v>
      </c>
    </row>
    <row r="903" spans="1:10" x14ac:dyDescent="0.25">
      <c r="A903" s="126">
        <v>881</v>
      </c>
      <c r="B903" s="119"/>
      <c r="C903" s="136">
        <f>_xll.mirGetDate(C902,"1D","FOLLOWING",D$12,"NORMAL")</f>
        <v>43696</v>
      </c>
      <c r="D903" s="20">
        <f>_xll.mirGetDate(C903,D$17,"Following",D$12,"Normal")</f>
        <v>43697</v>
      </c>
      <c r="E903" s="134">
        <f ca="1"/>
        <v>1.1944290950785016E-2</v>
      </c>
      <c r="F903" s="7" t="s">
        <v>3</v>
      </c>
      <c r="G903" s="136">
        <f t="shared" si="13"/>
        <v>43696</v>
      </c>
      <c r="H903" s="20">
        <f>_xll.mirGetDate(G903,H$17,"Following",H$12,"Normal")</f>
        <v>43788</v>
      </c>
      <c r="I903" s="134">
        <f ca="1"/>
        <v>1.5979096883256553E-2</v>
      </c>
      <c r="J903" s="120" t="s">
        <v>3</v>
      </c>
    </row>
    <row r="904" spans="1:10" x14ac:dyDescent="0.25">
      <c r="A904" s="126">
        <v>882</v>
      </c>
      <c r="B904" s="119"/>
      <c r="C904" s="136">
        <f>_xll.mirGetDate(C903,"1D","FOLLOWING",D$12,"NORMAL")</f>
        <v>43697</v>
      </c>
      <c r="D904" s="20">
        <f>_xll.mirGetDate(C904,D$17,"Following",D$12,"Normal")</f>
        <v>43698</v>
      </c>
      <c r="E904" s="134">
        <f ca="1"/>
        <v>1.1950072700583944E-2</v>
      </c>
      <c r="F904" s="7" t="s">
        <v>3</v>
      </c>
      <c r="G904" s="136">
        <f t="shared" si="13"/>
        <v>43697</v>
      </c>
      <c r="H904" s="20">
        <f>_xll.mirGetDate(G904,H$17,"Following",H$12,"Normal")</f>
        <v>43789</v>
      </c>
      <c r="I904" s="134">
        <f ca="1"/>
        <v>1.5986724537433883E-2</v>
      </c>
      <c r="J904" s="120" t="s">
        <v>3</v>
      </c>
    </row>
    <row r="905" spans="1:10" x14ac:dyDescent="0.25">
      <c r="A905" s="126">
        <v>883</v>
      </c>
      <c r="B905" s="119"/>
      <c r="C905" s="136">
        <f>_xll.mirGetDate(C904,"1D","FOLLOWING",D$12,"NORMAL")</f>
        <v>43698</v>
      </c>
      <c r="D905" s="20">
        <f>_xll.mirGetDate(C905,D$17,"Following",D$12,"Normal")</f>
        <v>43699</v>
      </c>
      <c r="E905" s="134">
        <f ca="1"/>
        <v>1.1955852405058962E-2</v>
      </c>
      <c r="F905" s="7" t="s">
        <v>3</v>
      </c>
      <c r="G905" s="136">
        <f t="shared" si="13"/>
        <v>43698</v>
      </c>
      <c r="H905" s="20">
        <f>_xll.mirGetDate(G905,H$17,"Following",H$12,"Normal")</f>
        <v>43790</v>
      </c>
      <c r="I905" s="134">
        <f ca="1"/>
        <v>1.5994285809319844E-2</v>
      </c>
      <c r="J905" s="120" t="s">
        <v>3</v>
      </c>
    </row>
    <row r="906" spans="1:10" x14ac:dyDescent="0.25">
      <c r="A906" s="126">
        <v>884</v>
      </c>
      <c r="B906" s="119"/>
      <c r="C906" s="136">
        <f>_xll.mirGetDate(C905,"1D","FOLLOWING",D$12,"NORMAL")</f>
        <v>43699</v>
      </c>
      <c r="D906" s="20">
        <f>_xll.mirGetDate(C906,D$17,"Following",D$12,"Normal")</f>
        <v>43700</v>
      </c>
      <c r="E906" s="134">
        <f ca="1"/>
        <v>1.1961630063970261E-2</v>
      </c>
      <c r="F906" s="7" t="s">
        <v>3</v>
      </c>
      <c r="G906" s="136">
        <f t="shared" si="13"/>
        <v>43699</v>
      </c>
      <c r="H906" s="20">
        <f>_xll.mirGetDate(G906,H$17,"Following",H$12,"Normal")</f>
        <v>43791</v>
      </c>
      <c r="I906" s="134">
        <f ca="1"/>
        <v>1.600177849508895E-2</v>
      </c>
      <c r="J906" s="120" t="s">
        <v>3</v>
      </c>
    </row>
    <row r="907" spans="1:10" x14ac:dyDescent="0.25">
      <c r="A907" s="126">
        <v>885</v>
      </c>
      <c r="B907" s="119"/>
      <c r="C907" s="136">
        <f>_xll.mirGetDate(C906,"1D","FOLLOWING",D$12,"NORMAL")</f>
        <v>43700</v>
      </c>
      <c r="D907" s="20">
        <f>_xll.mirGetDate(C907,D$17,"Following",D$12,"Normal")</f>
        <v>43703</v>
      </c>
      <c r="E907" s="134">
        <f ca="1"/>
        <v>1.1973849253576434E-2</v>
      </c>
      <c r="F907" s="7" t="s">
        <v>3</v>
      </c>
      <c r="G907" s="136">
        <f t="shared" si="13"/>
        <v>43700</v>
      </c>
      <c r="H907" s="20">
        <f>_xll.mirGetDate(G907,H$17,"Following",H$12,"Normal")</f>
        <v>43794</v>
      </c>
      <c r="I907" s="134">
        <f ca="1"/>
        <v>1.6009200390915707E-2</v>
      </c>
      <c r="J907" s="120" t="s">
        <v>3</v>
      </c>
    </row>
    <row r="908" spans="1:10" x14ac:dyDescent="0.25">
      <c r="A908" s="126">
        <v>886</v>
      </c>
      <c r="B908" s="119"/>
      <c r="C908" s="136">
        <f>_xll.mirGetDate(C907,"1D","FOLLOWING",D$12,"NORMAL")</f>
        <v>43703</v>
      </c>
      <c r="D908" s="20">
        <f>_xll.mirGetDate(C908,D$17,"Following",D$12,"Normal")</f>
        <v>43704</v>
      </c>
      <c r="E908" s="134">
        <f ca="1"/>
        <v>1.1985354267931613E-2</v>
      </c>
      <c r="F908" s="7" t="s">
        <v>3</v>
      </c>
      <c r="G908" s="136">
        <f t="shared" si="13"/>
        <v>43703</v>
      </c>
      <c r="H908" s="20">
        <f>_xll.mirGetDate(G908,H$17,"Following",H$12,"Normal")</f>
        <v>43795</v>
      </c>
      <c r="I908" s="134">
        <f ca="1"/>
        <v>1.6031179364522155E-2</v>
      </c>
      <c r="J908" s="120" t="s">
        <v>3</v>
      </c>
    </row>
    <row r="909" spans="1:10" x14ac:dyDescent="0.25">
      <c r="A909" s="126">
        <v>887</v>
      </c>
      <c r="B909" s="119"/>
      <c r="C909" s="136">
        <f>_xll.mirGetDate(C908,"1D","FOLLOWING",D$12,"NORMAL")</f>
        <v>43704</v>
      </c>
      <c r="D909" s="20">
        <f>_xll.mirGetDate(C909,D$17,"Following",D$12,"Normal")</f>
        <v>43705</v>
      </c>
      <c r="E909" s="134">
        <f ca="1"/>
        <v>1.199130142030218E-2</v>
      </c>
      <c r="F909" s="7" t="s">
        <v>3</v>
      </c>
      <c r="G909" s="136">
        <f t="shared" si="13"/>
        <v>43704</v>
      </c>
      <c r="H909" s="20">
        <f>_xll.mirGetDate(G909,H$17,"Following",H$12,"Normal")</f>
        <v>43796</v>
      </c>
      <c r="I909" s="134">
        <f ca="1"/>
        <v>1.6038428346713537E-2</v>
      </c>
      <c r="J909" s="120" t="s">
        <v>3</v>
      </c>
    </row>
    <row r="910" spans="1:10" x14ac:dyDescent="0.25">
      <c r="A910" s="126">
        <v>888</v>
      </c>
      <c r="B910" s="119"/>
      <c r="C910" s="136">
        <f>_xll.mirGetDate(C909,"1D","FOLLOWING",D$12,"NORMAL")</f>
        <v>43705</v>
      </c>
      <c r="D910" s="20">
        <f>_xll.mirGetDate(C910,D$17,"Following",D$12,"Normal")</f>
        <v>43706</v>
      </c>
      <c r="E910" s="134">
        <f ca="1"/>
        <v>1.1997245888499862E-2</v>
      </c>
      <c r="F910" s="7" t="s">
        <v>3</v>
      </c>
      <c r="G910" s="136">
        <f t="shared" si="13"/>
        <v>43705</v>
      </c>
      <c r="H910" s="20">
        <f>_xll.mirGetDate(G910,H$17,"Following",H$12,"Normal")</f>
        <v>43798</v>
      </c>
      <c r="I910" s="134">
        <f ca="1"/>
        <v>1.6045639853527489E-2</v>
      </c>
      <c r="J910" s="120" t="s">
        <v>3</v>
      </c>
    </row>
    <row r="911" spans="1:10" x14ac:dyDescent="0.25">
      <c r="A911" s="126">
        <v>889</v>
      </c>
      <c r="B911" s="119"/>
      <c r="C911" s="136">
        <f>_xll.mirGetDate(C910,"1D","FOLLOWING",D$12,"NORMAL")</f>
        <v>43706</v>
      </c>
      <c r="D911" s="20">
        <f>_xll.mirGetDate(C911,D$17,"Following",D$12,"Normal")</f>
        <v>43707</v>
      </c>
      <c r="E911" s="134">
        <f ca="1"/>
        <v>1.2003187672604597E-2</v>
      </c>
      <c r="F911" s="7" t="s">
        <v>3</v>
      </c>
      <c r="G911" s="136">
        <f t="shared" si="13"/>
        <v>43706</v>
      </c>
      <c r="H911" s="20">
        <f>_xll.mirGetDate(G911,H$17,"Following",H$12,"Normal")</f>
        <v>43798</v>
      </c>
      <c r="I911" s="134">
        <f ca="1"/>
        <v>1.6052814602440773E-2</v>
      </c>
      <c r="J911" s="120" t="s">
        <v>3</v>
      </c>
    </row>
    <row r="912" spans="1:10" x14ac:dyDescent="0.25">
      <c r="A912" s="126">
        <v>890</v>
      </c>
      <c r="B912" s="119"/>
      <c r="C912" s="136">
        <f>_xll.mirGetDate(C911,"1D","FOLLOWING",D$12,"NORMAL")</f>
        <v>43707</v>
      </c>
      <c r="D912" s="20">
        <f>_xll.mirGetDate(C912,D$17,"Following",D$12,"Normal")</f>
        <v>43711</v>
      </c>
      <c r="E912" s="134">
        <f ca="1"/>
        <v>1.2018630528898332E-2</v>
      </c>
      <c r="F912" s="7" t="s">
        <v>3</v>
      </c>
      <c r="G912" s="136">
        <f t="shared" si="13"/>
        <v>43707</v>
      </c>
      <c r="H912" s="20">
        <f>_xll.mirGetDate(G912,H$17,"Following",H$12,"Normal")</f>
        <v>43801</v>
      </c>
      <c r="I912" s="134">
        <f ca="1"/>
        <v>1.6059953310930158E-2</v>
      </c>
      <c r="J912" s="120" t="s">
        <v>3</v>
      </c>
    </row>
    <row r="913" spans="1:10" x14ac:dyDescent="0.25">
      <c r="A913" s="126">
        <v>891</v>
      </c>
      <c r="B913" s="119"/>
      <c r="C913" s="136">
        <f>_xll.mirGetDate(C912,"1D","FOLLOWING",D$12,"NORMAL")</f>
        <v>43711</v>
      </c>
      <c r="D913" s="20">
        <f>_xll.mirGetDate(C913,D$17,"Following",D$12,"Normal")</f>
        <v>43712</v>
      </c>
      <c r="E913" s="134">
        <f ca="1"/>
        <v>1.2032856327577378E-2</v>
      </c>
      <c r="F913" s="7" t="s">
        <v>3</v>
      </c>
      <c r="G913" s="136">
        <f t="shared" si="13"/>
        <v>43711</v>
      </c>
      <c r="H913" s="20">
        <f>_xll.mirGetDate(G913,H$17,"Following",H$12,"Normal")</f>
        <v>43802</v>
      </c>
      <c r="I913" s="134">
        <f ca="1"/>
        <v>1.6088162090184027E-2</v>
      </c>
      <c r="J913" s="120" t="s">
        <v>3</v>
      </c>
    </row>
    <row r="914" spans="1:10" x14ac:dyDescent="0.25">
      <c r="A914" s="126">
        <v>892</v>
      </c>
      <c r="B914" s="119"/>
      <c r="C914" s="136">
        <f>_xll.mirGetDate(C913,"1D","FOLLOWING",D$12,"NORMAL")</f>
        <v>43712</v>
      </c>
      <c r="D914" s="20">
        <f>_xll.mirGetDate(C914,D$17,"Following",D$12,"Normal")</f>
        <v>43713</v>
      </c>
      <c r="E914" s="134">
        <f ca="1"/>
        <v>1.2038782004726344E-2</v>
      </c>
      <c r="F914" s="7" t="s">
        <v>3</v>
      </c>
      <c r="G914" s="136">
        <f t="shared" si="13"/>
        <v>43712</v>
      </c>
      <c r="H914" s="20">
        <f>_xll.mirGetDate(G914,H$17,"Following",H$12,"Normal")</f>
        <v>43803</v>
      </c>
      <c r="I914" s="134">
        <f ca="1"/>
        <v>1.6095131358705411E-2</v>
      </c>
      <c r="J914" s="120" t="s">
        <v>3</v>
      </c>
    </row>
    <row r="915" spans="1:10" x14ac:dyDescent="0.25">
      <c r="A915" s="126">
        <v>893</v>
      </c>
      <c r="B915" s="119"/>
      <c r="C915" s="136">
        <f>_xll.mirGetDate(C914,"1D","FOLLOWING",D$12,"NORMAL")</f>
        <v>43713</v>
      </c>
      <c r="D915" s="20">
        <f>_xll.mirGetDate(C915,D$17,"Following",D$12,"Normal")</f>
        <v>43714</v>
      </c>
      <c r="E915" s="134">
        <f ca="1"/>
        <v>1.2044704996983001E-2</v>
      </c>
      <c r="F915" s="7" t="s">
        <v>3</v>
      </c>
      <c r="G915" s="136">
        <f t="shared" si="13"/>
        <v>43713</v>
      </c>
      <c r="H915" s="20">
        <f>_xll.mirGetDate(G915,H$17,"Following",H$12,"Normal")</f>
        <v>43804</v>
      </c>
      <c r="I915" s="134">
        <f ca="1"/>
        <v>1.6102068891663497E-2</v>
      </c>
      <c r="J915" s="120" t="s">
        <v>3</v>
      </c>
    </row>
    <row r="916" spans="1:10" x14ac:dyDescent="0.25">
      <c r="A916" s="126">
        <v>894</v>
      </c>
      <c r="B916" s="119"/>
      <c r="C916" s="136">
        <f>_xll.mirGetDate(C915,"1D","FOLLOWING",D$12,"NORMAL")</f>
        <v>43714</v>
      </c>
      <c r="D916" s="20">
        <f>_xll.mirGetDate(C916,D$17,"Following",D$12,"Normal")</f>
        <v>43717</v>
      </c>
      <c r="E916" s="134">
        <f ca="1"/>
        <v>1.2056945814302765E-2</v>
      </c>
      <c r="F916" s="7" t="s">
        <v>3</v>
      </c>
      <c r="G916" s="136">
        <f t="shared" si="13"/>
        <v>43714</v>
      </c>
      <c r="H916" s="20">
        <f>_xll.mirGetDate(G916,H$17,"Following",H$12,"Normal")</f>
        <v>43805</v>
      </c>
      <c r="I916" s="134">
        <f ca="1"/>
        <v>1.6108975406535057E-2</v>
      </c>
      <c r="J916" s="120" t="s">
        <v>3</v>
      </c>
    </row>
    <row r="917" spans="1:10" x14ac:dyDescent="0.25">
      <c r="A917" s="126">
        <v>895</v>
      </c>
      <c r="B917" s="119"/>
      <c r="C917" s="136">
        <f>_xll.mirGetDate(C916,"1D","FOLLOWING",D$12,"NORMAL")</f>
        <v>43717</v>
      </c>
      <c r="D917" s="20">
        <f>_xll.mirGetDate(C917,D$17,"Following",D$12,"Normal")</f>
        <v>43718</v>
      </c>
      <c r="E917" s="134">
        <f ca="1"/>
        <v>1.2068370115407888E-2</v>
      </c>
      <c r="F917" s="7" t="s">
        <v>3</v>
      </c>
      <c r="G917" s="136">
        <f t="shared" si="13"/>
        <v>43717</v>
      </c>
      <c r="H917" s="20">
        <f>_xll.mirGetDate(G917,H$17,"Following",H$12,"Normal")</f>
        <v>43808</v>
      </c>
      <c r="I917" s="134">
        <f ca="1"/>
        <v>1.6129516017398218E-2</v>
      </c>
      <c r="J917" s="120" t="s">
        <v>3</v>
      </c>
    </row>
    <row r="918" spans="1:10" x14ac:dyDescent="0.25">
      <c r="A918" s="126">
        <v>896</v>
      </c>
      <c r="B918" s="119"/>
      <c r="C918" s="136">
        <f>_xll.mirGetDate(C917,"1D","FOLLOWING",D$12,"NORMAL")</f>
        <v>43718</v>
      </c>
      <c r="D918" s="20">
        <f>_xll.mirGetDate(C918,D$17,"Following",D$12,"Normal")</f>
        <v>43719</v>
      </c>
      <c r="E918" s="134">
        <f ca="1"/>
        <v>1.2074279681764154E-2</v>
      </c>
      <c r="F918" s="7" t="s">
        <v>3</v>
      </c>
      <c r="G918" s="136">
        <f t="shared" si="13"/>
        <v>43718</v>
      </c>
      <c r="H918" s="20">
        <f>_xll.mirGetDate(G918,H$17,"Following",H$12,"Normal")</f>
        <v>43809</v>
      </c>
      <c r="I918" s="134">
        <f ca="1"/>
        <v>1.6136305634691324E-2</v>
      </c>
      <c r="J918" s="120" t="s">
        <v>3</v>
      </c>
    </row>
    <row r="919" spans="1:10" x14ac:dyDescent="0.25">
      <c r="A919" s="126">
        <v>897</v>
      </c>
      <c r="B919" s="119"/>
      <c r="C919" s="136">
        <f>_xll.mirGetDate(C918,"1D","FOLLOWING",D$12,"NORMAL")</f>
        <v>43719</v>
      </c>
      <c r="D919" s="20">
        <f>_xll.mirGetDate(C919,D$17,"Following",D$12,"Normal")</f>
        <v>43720</v>
      </c>
      <c r="E919" s="134">
        <f ca="1"/>
        <v>1.2080186562588623E-2</v>
      </c>
      <c r="F919" s="7" t="s">
        <v>3</v>
      </c>
      <c r="G919" s="136">
        <f t="shared" si="13"/>
        <v>43719</v>
      </c>
      <c r="H919" s="20">
        <f>_xll.mirGetDate(G919,H$17,"Following",H$12,"Normal")</f>
        <v>43810</v>
      </c>
      <c r="I919" s="134">
        <f ca="1"/>
        <v>1.6143067821281738E-2</v>
      </c>
      <c r="J919" s="120" t="s">
        <v>3</v>
      </c>
    </row>
    <row r="920" spans="1:10" x14ac:dyDescent="0.25">
      <c r="A920" s="126">
        <v>898</v>
      </c>
      <c r="B920" s="119"/>
      <c r="C920" s="136">
        <f>_xll.mirGetDate(C919,"1D","FOLLOWING",D$12,"NORMAL")</f>
        <v>43720</v>
      </c>
      <c r="D920" s="20">
        <f>_xll.mirGetDate(C920,D$17,"Following",D$12,"Normal")</f>
        <v>43721</v>
      </c>
      <c r="E920" s="134">
        <f ca="1"/>
        <v>1.2086090757801359E-2</v>
      </c>
      <c r="F920" s="7" t="s">
        <v>3</v>
      </c>
      <c r="G920" s="136">
        <f t="shared" ref="G920:G983" si="14">$C920</f>
        <v>43720</v>
      </c>
      <c r="H920" s="20">
        <f>_xll.mirGetDate(G920,H$17,"Following",H$12,"Normal")</f>
        <v>43811</v>
      </c>
      <c r="I920" s="134">
        <f ca="1"/>
        <v>1.6149803294646225E-2</v>
      </c>
      <c r="J920" s="120" t="s">
        <v>3</v>
      </c>
    </row>
    <row r="921" spans="1:10" x14ac:dyDescent="0.25">
      <c r="A921" s="126">
        <v>899</v>
      </c>
      <c r="B921" s="119"/>
      <c r="C921" s="136">
        <f>_xll.mirGetDate(C920,"1D","FOLLOWING",D$12,"NORMAL")</f>
        <v>43721</v>
      </c>
      <c r="D921" s="20">
        <f>_xll.mirGetDate(C921,D$17,"Following",D$12,"Normal")</f>
        <v>43724</v>
      </c>
      <c r="E921" s="134">
        <f ca="1"/>
        <v>1.2098296752842729E-2</v>
      </c>
      <c r="F921" s="7" t="s">
        <v>3</v>
      </c>
      <c r="G921" s="136">
        <f t="shared" si="14"/>
        <v>43721</v>
      </c>
      <c r="H921" s="20">
        <f>_xll.mirGetDate(G921,H$17,"Following",H$12,"Normal")</f>
        <v>43812</v>
      </c>
      <c r="I921" s="134">
        <f ca="1"/>
        <v>1.6156512772261548E-2</v>
      </c>
      <c r="J921" s="120" t="s">
        <v>3</v>
      </c>
    </row>
    <row r="922" spans="1:10" x14ac:dyDescent="0.25">
      <c r="A922" s="126">
        <v>900</v>
      </c>
      <c r="B922" s="119"/>
      <c r="C922" s="136">
        <f>_xll.mirGetDate(C921,"1D","FOLLOWING",D$12,"NORMAL")</f>
        <v>43724</v>
      </c>
      <c r="D922" s="20">
        <f>_xll.mirGetDate(C922,D$17,"Following",D$12,"Normal")</f>
        <v>43725</v>
      </c>
      <c r="E922" s="134">
        <f ca="1"/>
        <v>1.2109680680456635E-2</v>
      </c>
      <c r="F922" s="7" t="s">
        <v>3</v>
      </c>
      <c r="G922" s="136">
        <f t="shared" si="14"/>
        <v>43724</v>
      </c>
      <c r="H922" s="20">
        <f>_xll.mirGetDate(G922,H$17,"Following",H$12,"Normal")</f>
        <v>43815</v>
      </c>
      <c r="I922" s="134">
        <f ca="1"/>
        <v>1.617649240538023E-2</v>
      </c>
      <c r="J922" s="120" t="s">
        <v>3</v>
      </c>
    </row>
    <row r="923" spans="1:10" x14ac:dyDescent="0.25">
      <c r="A923" s="126">
        <v>901</v>
      </c>
      <c r="B923" s="119"/>
      <c r="C923" s="136">
        <f>_xll.mirGetDate(C922,"1D","FOLLOWING",D$12,"NORMAL")</f>
        <v>43725</v>
      </c>
      <c r="D923" s="20">
        <f>_xll.mirGetDate(C923,D$17,"Following",D$12,"Normal")</f>
        <v>43726</v>
      </c>
      <c r="E923" s="134">
        <f ca="1"/>
        <v>1.2115571445932049E-2</v>
      </c>
      <c r="F923" s="7" t="s">
        <v>3</v>
      </c>
      <c r="G923" s="136">
        <f t="shared" si="14"/>
        <v>43725</v>
      </c>
      <c r="H923" s="20">
        <f>_xll.mirGetDate(G923,H$17,"Following",H$12,"Normal")</f>
        <v>43816</v>
      </c>
      <c r="I923" s="134">
        <f ca="1"/>
        <v>1.6183105074766585E-2</v>
      </c>
      <c r="J923" s="120" t="s">
        <v>3</v>
      </c>
    </row>
    <row r="924" spans="1:10" x14ac:dyDescent="0.25">
      <c r="A924" s="126">
        <v>902</v>
      </c>
      <c r="B924" s="119"/>
      <c r="C924" s="136">
        <f>_xll.mirGetDate(C923,"1D","FOLLOWING",D$12,"NORMAL")</f>
        <v>43726</v>
      </c>
      <c r="D924" s="20">
        <f>_xll.mirGetDate(C924,D$17,"Following",D$12,"Normal")</f>
        <v>43727</v>
      </c>
      <c r="E924" s="134">
        <f ca="1"/>
        <v>1.2121459525076305E-2</v>
      </c>
      <c r="F924" s="7" t="s">
        <v>3</v>
      </c>
      <c r="G924" s="136">
        <f t="shared" si="14"/>
        <v>43726</v>
      </c>
      <c r="H924" s="20">
        <f>_xll.mirGetDate(G924,H$17,"Following",H$12,"Normal")</f>
        <v>43817</v>
      </c>
      <c r="I924" s="134">
        <f ca="1"/>
        <v>1.6189695335787613E-2</v>
      </c>
      <c r="J924" s="120" t="s">
        <v>3</v>
      </c>
    </row>
    <row r="925" spans="1:10" x14ac:dyDescent="0.25">
      <c r="A925" s="126">
        <v>903</v>
      </c>
      <c r="B925" s="119"/>
      <c r="C925" s="136">
        <f>_xll.mirGetDate(C924,"1D","FOLLOWING",D$12,"NORMAL")</f>
        <v>43727</v>
      </c>
      <c r="D925" s="20">
        <f>_xll.mirGetDate(C925,D$17,"Following",D$12,"Normal")</f>
        <v>43728</v>
      </c>
      <c r="E925" s="134">
        <f ca="1"/>
        <v>1.2127344917969339E-2</v>
      </c>
      <c r="F925" s="7" t="s">
        <v>3</v>
      </c>
      <c r="G925" s="136">
        <f t="shared" si="14"/>
        <v>43727</v>
      </c>
      <c r="H925" s="20">
        <f>_xll.mirGetDate(G925,H$17,"Following",H$12,"Normal")</f>
        <v>43818</v>
      </c>
      <c r="I925" s="134">
        <f ca="1"/>
        <v>1.6196263905920088E-2</v>
      </c>
      <c r="J925" s="120" t="s">
        <v>3</v>
      </c>
    </row>
    <row r="926" spans="1:10" x14ac:dyDescent="0.25">
      <c r="A926" s="126">
        <v>904</v>
      </c>
      <c r="B926" s="119"/>
      <c r="C926" s="136">
        <f>_xll.mirGetDate(C925,"1D","FOLLOWING",D$12,"NORMAL")</f>
        <v>43728</v>
      </c>
      <c r="D926" s="20">
        <f>_xll.mirGetDate(C926,D$17,"Following",D$12,"Normal")</f>
        <v>43731</v>
      </c>
      <c r="E926" s="134">
        <f ca="1"/>
        <v>1.2139516080473855E-2</v>
      </c>
      <c r="F926" s="7" t="s">
        <v>3</v>
      </c>
      <c r="G926" s="136">
        <f t="shared" si="14"/>
        <v>43728</v>
      </c>
      <c r="H926" s="20">
        <f>_xll.mirGetDate(G926,H$17,"Following",H$12,"Normal")</f>
        <v>43819</v>
      </c>
      <c r="I926" s="134">
        <f ca="1"/>
        <v>1.620281150264077E-2</v>
      </c>
      <c r="J926" s="120" t="s">
        <v>3</v>
      </c>
    </row>
    <row r="927" spans="1:10" x14ac:dyDescent="0.25">
      <c r="A927" s="126">
        <v>905</v>
      </c>
      <c r="B927" s="119"/>
      <c r="C927" s="136">
        <f>_xll.mirGetDate(C926,"1D","FOLLOWING",D$12,"NORMAL")</f>
        <v>43731</v>
      </c>
      <c r="D927" s="20">
        <f>_xll.mirGetDate(C927,D$17,"Following",D$12,"Normal")</f>
        <v>43732</v>
      </c>
      <c r="E927" s="134">
        <f ca="1"/>
        <v>1.2150859622952525E-2</v>
      </c>
      <c r="F927" s="7" t="s">
        <v>3</v>
      </c>
      <c r="G927" s="136">
        <f t="shared" si="14"/>
        <v>43731</v>
      </c>
      <c r="H927" s="20">
        <f>_xll.mirGetDate(G927,H$17,"Following",H$12,"Normal")</f>
        <v>43822</v>
      </c>
      <c r="I927" s="134">
        <f ca="1"/>
        <v>1.6222335627099748E-2</v>
      </c>
      <c r="J927" s="120" t="s">
        <v>3</v>
      </c>
    </row>
    <row r="928" spans="1:10" x14ac:dyDescent="0.25">
      <c r="A928" s="126">
        <v>906</v>
      </c>
      <c r="B928" s="119"/>
      <c r="C928" s="136">
        <f>_xll.mirGetDate(C927,"1D","FOLLOWING",D$12,"NORMAL")</f>
        <v>43732</v>
      </c>
      <c r="D928" s="20">
        <f>_xll.mirGetDate(C928,D$17,"Following",D$12,"Normal")</f>
        <v>43733</v>
      </c>
      <c r="E928" s="134">
        <f ca="1"/>
        <v>1.215673158219137E-2</v>
      </c>
      <c r="F928" s="7" t="s">
        <v>3</v>
      </c>
      <c r="G928" s="136">
        <f t="shared" si="14"/>
        <v>43732</v>
      </c>
      <c r="H928" s="20">
        <f>_xll.mirGetDate(G928,H$17,"Following",H$12,"Normal")</f>
        <v>43823</v>
      </c>
      <c r="I928" s="134">
        <f ca="1"/>
        <v>1.6228806504940945E-2</v>
      </c>
      <c r="J928" s="120" t="s">
        <v>3</v>
      </c>
    </row>
    <row r="929" spans="1:10" x14ac:dyDescent="0.25">
      <c r="A929" s="126">
        <v>907</v>
      </c>
      <c r="B929" s="119"/>
      <c r="C929" s="136">
        <f>_xll.mirGetDate(C928,"1D","FOLLOWING",D$12,"NORMAL")</f>
        <v>43733</v>
      </c>
      <c r="D929" s="20">
        <f>_xll.mirGetDate(C929,D$17,"Following",D$12,"Normal")</f>
        <v>43734</v>
      </c>
      <c r="E929" s="134">
        <f ca="1"/>
        <v>1.2162600854219762E-2</v>
      </c>
      <c r="F929" s="7" t="s">
        <v>3</v>
      </c>
      <c r="G929" s="136">
        <f t="shared" si="14"/>
        <v>43733</v>
      </c>
      <c r="H929" s="20">
        <f>_xll.mirGetDate(G929,H$17,"Following",H$12,"Normal")</f>
        <v>43825</v>
      </c>
      <c r="I929" s="134">
        <f ca="1"/>
        <v>1.6235259996754185E-2</v>
      </c>
      <c r="J929" s="120" t="s">
        <v>3</v>
      </c>
    </row>
    <row r="930" spans="1:10" x14ac:dyDescent="0.25">
      <c r="A930" s="126">
        <v>908</v>
      </c>
      <c r="B930" s="119"/>
      <c r="C930" s="136">
        <f>_xll.mirGetDate(C929,"1D","FOLLOWING",D$12,"NORMAL")</f>
        <v>43734</v>
      </c>
      <c r="D930" s="20">
        <f>_xll.mirGetDate(C930,D$17,"Following",D$12,"Normal")</f>
        <v>43735</v>
      </c>
      <c r="E930" s="134">
        <f ca="1"/>
        <v>1.2168467439037699E-2</v>
      </c>
      <c r="F930" s="7" t="s">
        <v>3</v>
      </c>
      <c r="G930" s="136">
        <f t="shared" si="14"/>
        <v>43734</v>
      </c>
      <c r="H930" s="20">
        <f>_xll.mirGetDate(G930,H$17,"Following",H$12,"Normal")</f>
        <v>43825</v>
      </c>
      <c r="I930" s="134">
        <f ca="1"/>
        <v>1.6241696820016239E-2</v>
      </c>
      <c r="J930" s="120" t="s">
        <v>3</v>
      </c>
    </row>
    <row r="931" spans="1:10" x14ac:dyDescent="0.25">
      <c r="A931" s="126">
        <v>909</v>
      </c>
      <c r="B931" s="119"/>
      <c r="C931" s="136">
        <f>_xll.mirGetDate(C930,"1D","FOLLOWING",D$12,"NORMAL")</f>
        <v>43735</v>
      </c>
      <c r="D931" s="20">
        <f>_xll.mirGetDate(C931,D$17,"Following",D$12,"Normal")</f>
        <v>43738</v>
      </c>
      <c r="E931" s="134">
        <f ca="1"/>
        <v>1.218060375850709E-2</v>
      </c>
      <c r="F931" s="7" t="s">
        <v>3</v>
      </c>
      <c r="G931" s="136">
        <f t="shared" si="14"/>
        <v>43735</v>
      </c>
      <c r="H931" s="20">
        <f>_xll.mirGetDate(G931,H$17,"Following",H$12,"Normal")</f>
        <v>43826</v>
      </c>
      <c r="I931" s="134">
        <f ca="1"/>
        <v>1.624811769220387E-2</v>
      </c>
      <c r="J931" s="120" t="s">
        <v>3</v>
      </c>
    </row>
    <row r="932" spans="1:10" x14ac:dyDescent="0.25">
      <c r="A932" s="126">
        <v>910</v>
      </c>
      <c r="B932" s="119"/>
      <c r="C932" s="136">
        <f>_xll.mirGetDate(C931,"1D","FOLLOWING",D$12,"NORMAL")</f>
        <v>43738</v>
      </c>
      <c r="D932" s="20">
        <f>_xll.mirGetDate(C932,D$17,"Following",D$12,"Normal")</f>
        <v>43739</v>
      </c>
      <c r="E932" s="134">
        <f ca="1"/>
        <v>1.2191906904366378E-2</v>
      </c>
      <c r="F932" s="7" t="s">
        <v>3</v>
      </c>
      <c r="G932" s="136">
        <f t="shared" si="14"/>
        <v>43738</v>
      </c>
      <c r="H932" s="20">
        <f>_xll.mirGetDate(G932,H$17,"Following",H$12,"Normal")</f>
        <v>43829</v>
      </c>
      <c r="I932" s="134">
        <f ca="1"/>
        <v>1.6267291777087925E-2</v>
      </c>
      <c r="J932" s="120" t="s">
        <v>3</v>
      </c>
    </row>
    <row r="933" spans="1:10" x14ac:dyDescent="0.25">
      <c r="A933" s="126">
        <v>911</v>
      </c>
      <c r="B933" s="119"/>
      <c r="C933" s="136">
        <f>_xll.mirGetDate(C932,"1D","FOLLOWING",D$12,"NORMAL")</f>
        <v>43739</v>
      </c>
      <c r="D933" s="20">
        <f>_xll.mirGetDate(C933,D$17,"Following",D$12,"Normal")</f>
        <v>43740</v>
      </c>
      <c r="E933" s="134">
        <f ca="1"/>
        <v>1.2197760051373451E-2</v>
      </c>
      <c r="F933" s="7" t="s">
        <v>3</v>
      </c>
      <c r="G933" s="136">
        <f t="shared" si="14"/>
        <v>43739</v>
      </c>
      <c r="H933" s="20">
        <f>_xll.mirGetDate(G933,H$17,"Following",H$12,"Normal")</f>
        <v>43832</v>
      </c>
      <c r="I933" s="134">
        <f ca="1"/>
        <v>1.6273656019745553E-2</v>
      </c>
      <c r="J933" s="120" t="s">
        <v>3</v>
      </c>
    </row>
    <row r="934" spans="1:10" x14ac:dyDescent="0.25">
      <c r="A934" s="126">
        <v>912</v>
      </c>
      <c r="B934" s="119"/>
      <c r="C934" s="136">
        <f>_xll.mirGetDate(C933,"1D","FOLLOWING",D$12,"NORMAL")</f>
        <v>43740</v>
      </c>
      <c r="D934" s="20">
        <f>_xll.mirGetDate(C934,D$17,"Following",D$12,"Normal")</f>
        <v>43741</v>
      </c>
      <c r="E934" s="134">
        <f ca="1"/>
        <v>1.2203610510610518E-2</v>
      </c>
      <c r="F934" s="7" t="s">
        <v>3</v>
      </c>
      <c r="G934" s="136">
        <f t="shared" si="14"/>
        <v>43740</v>
      </c>
      <c r="H934" s="20">
        <f>_xll.mirGetDate(G934,H$17,"Following",H$12,"Normal")</f>
        <v>43832</v>
      </c>
      <c r="I934" s="134">
        <f ca="1"/>
        <v>1.628000789871259E-2</v>
      </c>
      <c r="J934" s="120" t="s">
        <v>3</v>
      </c>
    </row>
    <row r="935" spans="1:10" x14ac:dyDescent="0.25">
      <c r="A935" s="126">
        <v>913</v>
      </c>
      <c r="B935" s="119"/>
      <c r="C935" s="136">
        <f>_xll.mirGetDate(C934,"1D","FOLLOWING",D$12,"NORMAL")</f>
        <v>43741</v>
      </c>
      <c r="D935" s="20">
        <f>_xll.mirGetDate(C935,D$17,"Following",D$12,"Normal")</f>
        <v>43742</v>
      </c>
      <c r="E935" s="134">
        <f ca="1"/>
        <v>1.2209458281917706E-2</v>
      </c>
      <c r="F935" s="7" t="s">
        <v>3</v>
      </c>
      <c r="G935" s="136">
        <f t="shared" si="14"/>
        <v>43741</v>
      </c>
      <c r="H935" s="20">
        <f>_xll.mirGetDate(G935,H$17,"Following",H$12,"Normal")</f>
        <v>43833</v>
      </c>
      <c r="I935" s="134">
        <f ca="1"/>
        <v>1.6286348131465817E-2</v>
      </c>
      <c r="J935" s="120" t="s">
        <v>3</v>
      </c>
    </row>
    <row r="936" spans="1:10" x14ac:dyDescent="0.25">
      <c r="A936" s="126">
        <v>914</v>
      </c>
      <c r="B936" s="119"/>
      <c r="C936" s="136">
        <f>_xll.mirGetDate(C935,"1D","FOLLOWING",D$12,"NORMAL")</f>
        <v>43742</v>
      </c>
      <c r="D936" s="20">
        <f>_xll.mirGetDate(C936,D$17,"Following",D$12,"Normal")</f>
        <v>43745</v>
      </c>
      <c r="E936" s="134">
        <f ca="1"/>
        <v>1.222155974713428E-2</v>
      </c>
      <c r="F936" s="7" t="s">
        <v>3</v>
      </c>
      <c r="G936" s="136">
        <f t="shared" si="14"/>
        <v>43742</v>
      </c>
      <c r="H936" s="20">
        <f>_xll.mirGetDate(G936,H$17,"Following",H$12,"Normal")</f>
        <v>43836</v>
      </c>
      <c r="I936" s="134">
        <f ca="1"/>
        <v>1.6292677435481993E-2</v>
      </c>
      <c r="J936" s="120" t="s">
        <v>3</v>
      </c>
    </row>
    <row r="937" spans="1:10" x14ac:dyDescent="0.25">
      <c r="A937" s="126">
        <v>915</v>
      </c>
      <c r="B937" s="119"/>
      <c r="C937" s="136">
        <f>_xll.mirGetDate(C936,"1D","FOLLOWING",D$12,"NORMAL")</f>
        <v>43745</v>
      </c>
      <c r="D937" s="20">
        <f>_xll.mirGetDate(C937,D$17,"Following",D$12,"Normal")</f>
        <v>43746</v>
      </c>
      <c r="E937" s="134">
        <f ca="1"/>
        <v>1.2232822484170612E-2</v>
      </c>
      <c r="F937" s="7" t="s">
        <v>3</v>
      </c>
      <c r="G937" s="136">
        <f t="shared" si="14"/>
        <v>43745</v>
      </c>
      <c r="H937" s="20">
        <f>_xll.mirGetDate(G937,H$17,"Following",H$12,"Normal")</f>
        <v>43837</v>
      </c>
      <c r="I937" s="134">
        <f ca="1"/>
        <v>1.6311606949875896E-2</v>
      </c>
      <c r="J937" s="120" t="s">
        <v>3</v>
      </c>
    </row>
    <row r="938" spans="1:10" x14ac:dyDescent="0.25">
      <c r="A938" s="126">
        <v>916</v>
      </c>
      <c r="B938" s="119"/>
      <c r="C938" s="136">
        <f>_xll.mirGetDate(C937,"1D","FOLLOWING",D$12,"NORMAL")</f>
        <v>43746</v>
      </c>
      <c r="D938" s="20">
        <f>_xll.mirGetDate(C938,D$17,"Following",D$12,"Normal")</f>
        <v>43747</v>
      </c>
      <c r="E938" s="134">
        <f ca="1"/>
        <v>1.2238656813428369E-2</v>
      </c>
      <c r="F938" s="7" t="s">
        <v>3</v>
      </c>
      <c r="G938" s="136">
        <f t="shared" si="14"/>
        <v>43746</v>
      </c>
      <c r="H938" s="20">
        <f>_xll.mirGetDate(G938,H$17,"Following",H$12,"Normal")</f>
        <v>43838</v>
      </c>
      <c r="I938" s="134">
        <f ca="1"/>
        <v>1.6317899713711545E-2</v>
      </c>
      <c r="J938" s="120" t="s">
        <v>3</v>
      </c>
    </row>
    <row r="939" spans="1:10" x14ac:dyDescent="0.25">
      <c r="A939" s="126">
        <v>917</v>
      </c>
      <c r="B939" s="119"/>
      <c r="C939" s="136">
        <f>_xll.mirGetDate(C938,"1D","FOLLOWING",D$12,"NORMAL")</f>
        <v>43747</v>
      </c>
      <c r="D939" s="20">
        <f>_xll.mirGetDate(C939,D$17,"Following",D$12,"Normal")</f>
        <v>43748</v>
      </c>
      <c r="E939" s="134">
        <f ca="1"/>
        <v>1.2244488454040735E-2</v>
      </c>
      <c r="F939" s="7" t="s">
        <v>3</v>
      </c>
      <c r="G939" s="136">
        <f t="shared" si="14"/>
        <v>43747</v>
      </c>
      <c r="H939" s="20">
        <f>_xll.mirGetDate(G939,H$17,"Following",H$12,"Normal")</f>
        <v>43839</v>
      </c>
      <c r="I939" s="134">
        <f ca="1"/>
        <v>1.6324185136193981E-2</v>
      </c>
      <c r="J939" s="120" t="s">
        <v>3</v>
      </c>
    </row>
    <row r="940" spans="1:10" x14ac:dyDescent="0.25">
      <c r="A940" s="126">
        <v>918</v>
      </c>
      <c r="B940" s="119"/>
      <c r="C940" s="136">
        <f>_xll.mirGetDate(C939,"1D","FOLLOWING",D$12,"NORMAL")</f>
        <v>43748</v>
      </c>
      <c r="D940" s="20">
        <f>_xll.mirGetDate(C940,D$17,"Following",D$12,"Normal")</f>
        <v>43749</v>
      </c>
      <c r="E940" s="134">
        <f ca="1"/>
        <v>1.2250317405682097E-2</v>
      </c>
      <c r="F940" s="7" t="s">
        <v>3</v>
      </c>
      <c r="G940" s="136">
        <f t="shared" si="14"/>
        <v>43748</v>
      </c>
      <c r="H940" s="20">
        <f>_xll.mirGetDate(G940,H$17,"Following",H$12,"Normal")</f>
        <v>43840</v>
      </c>
      <c r="I940" s="134">
        <f ca="1"/>
        <v>1.633046393479997E-2</v>
      </c>
      <c r="J940" s="120" t="s">
        <v>3</v>
      </c>
    </row>
    <row r="941" spans="1:10" x14ac:dyDescent="0.25">
      <c r="A941" s="126">
        <v>919</v>
      </c>
      <c r="B941" s="119"/>
      <c r="C941" s="136">
        <f>_xll.mirGetDate(C940,"1D","FOLLOWING",D$12,"NORMAL")</f>
        <v>43749</v>
      </c>
      <c r="D941" s="20">
        <f>_xll.mirGetDate(C941,D$17,"Following",D$12,"Normal")</f>
        <v>43753</v>
      </c>
      <c r="E941" s="134">
        <f ca="1"/>
        <v>1.2265503133717147E-2</v>
      </c>
      <c r="F941" s="7" t="s">
        <v>3</v>
      </c>
      <c r="G941" s="136">
        <f t="shared" si="14"/>
        <v>43749</v>
      </c>
      <c r="H941" s="20">
        <f>_xll.mirGetDate(G941,H$17,"Following",H$12,"Normal")</f>
        <v>43843</v>
      </c>
      <c r="I941" s="134">
        <f ca="1"/>
        <v>1.6336736827006277E-2</v>
      </c>
      <c r="J941" s="120" t="s">
        <v>3</v>
      </c>
    </row>
    <row r="942" spans="1:10" x14ac:dyDescent="0.25">
      <c r="A942" s="126">
        <v>920</v>
      </c>
      <c r="B942" s="119"/>
      <c r="C942" s="136">
        <f>_xll.mirGetDate(C941,"1D","FOLLOWING",D$12,"NORMAL")</f>
        <v>43753</v>
      </c>
      <c r="D942" s="20">
        <f>_xll.mirGetDate(C942,D$17,"Following",D$12,"Normal")</f>
        <v>43754</v>
      </c>
      <c r="E942" s="134">
        <f ca="1"/>
        <v>1.227942182687518E-2</v>
      </c>
      <c r="F942" s="7" t="s">
        <v>3</v>
      </c>
      <c r="G942" s="136">
        <f t="shared" si="14"/>
        <v>43753</v>
      </c>
      <c r="H942" s="20">
        <f>_xll.mirGetDate(G942,H$17,"Following",H$12,"Normal")</f>
        <v>43845</v>
      </c>
      <c r="I942" s="134">
        <f ca="1"/>
        <v>1.6361783681370069E-2</v>
      </c>
      <c r="J942" s="120" t="s">
        <v>3</v>
      </c>
    </row>
    <row r="943" spans="1:10" x14ac:dyDescent="0.25">
      <c r="A943" s="126">
        <v>921</v>
      </c>
      <c r="B943" s="119"/>
      <c r="C943" s="136">
        <f>_xll.mirGetDate(C942,"1D","FOLLOWING",D$12,"NORMAL")</f>
        <v>43754</v>
      </c>
      <c r="D943" s="20">
        <f>_xll.mirGetDate(C943,D$17,"Following",D$12,"Normal")</f>
        <v>43755</v>
      </c>
      <c r="E943" s="134">
        <f ca="1"/>
        <v>1.2285234642783792E-2</v>
      </c>
      <c r="F943" s="7" t="s">
        <v>3</v>
      </c>
      <c r="G943" s="136">
        <f t="shared" si="14"/>
        <v>43754</v>
      </c>
      <c r="H943" s="20">
        <f>_xll.mirGetDate(G943,H$17,"Following",H$12,"Normal")</f>
        <v>43846</v>
      </c>
      <c r="I943" s="134">
        <f ca="1"/>
        <v>1.6368037803729491E-2</v>
      </c>
      <c r="J943" s="120" t="s">
        <v>3</v>
      </c>
    </row>
    <row r="944" spans="1:10" x14ac:dyDescent="0.25">
      <c r="A944" s="126">
        <v>922</v>
      </c>
      <c r="B944" s="119"/>
      <c r="C944" s="136">
        <f>_xll.mirGetDate(C943,"1D","FOLLOWING",D$12,"NORMAL")</f>
        <v>43755</v>
      </c>
      <c r="D944" s="20">
        <f>_xll.mirGetDate(C944,D$17,"Following",D$12,"Normal")</f>
        <v>43756</v>
      </c>
      <c r="E944" s="134">
        <f ca="1"/>
        <v>1.2291044769003933E-2</v>
      </c>
      <c r="F944" s="7" t="s">
        <v>3</v>
      </c>
      <c r="G944" s="136">
        <f t="shared" si="14"/>
        <v>43755</v>
      </c>
      <c r="H944" s="20">
        <f>_xll.mirGetDate(G944,H$17,"Following",H$12,"Normal")</f>
        <v>43847</v>
      </c>
      <c r="I944" s="134">
        <f ca="1"/>
        <v>1.6374290324549838E-2</v>
      </c>
      <c r="J944" s="120" t="s">
        <v>3</v>
      </c>
    </row>
    <row r="945" spans="1:10" x14ac:dyDescent="0.25">
      <c r="A945" s="126">
        <v>923</v>
      </c>
      <c r="B945" s="119"/>
      <c r="C945" s="136">
        <f>_xll.mirGetDate(C944,"1D","FOLLOWING",D$12,"NORMAL")</f>
        <v>43756</v>
      </c>
      <c r="D945" s="20">
        <f>_xll.mirGetDate(C945,D$17,"Following",D$12,"Normal")</f>
        <v>43759</v>
      </c>
      <c r="E945" s="134">
        <f ca="1"/>
        <v>1.2303076491182495E-2</v>
      </c>
      <c r="F945" s="7" t="s">
        <v>3</v>
      </c>
      <c r="G945" s="136">
        <f t="shared" si="14"/>
        <v>43756</v>
      </c>
      <c r="H945" s="20">
        <f>_xll.mirGetDate(G945,H$17,"Following",H$12,"Normal")</f>
        <v>43851</v>
      </c>
      <c r="I945" s="134">
        <f ca="1"/>
        <v>1.6380541961307876E-2</v>
      </c>
      <c r="J945" s="120" t="s">
        <v>3</v>
      </c>
    </row>
    <row r="946" spans="1:10" x14ac:dyDescent="0.25">
      <c r="A946" s="126">
        <v>924</v>
      </c>
      <c r="B946" s="119"/>
      <c r="C946" s="136">
        <f>_xll.mirGetDate(C945,"1D","FOLLOWING",D$12,"NORMAL")</f>
        <v>43759</v>
      </c>
      <c r="D946" s="20">
        <f>_xll.mirGetDate(C946,D$17,"Following",D$12,"Normal")</f>
        <v>43760</v>
      </c>
      <c r="E946" s="134">
        <f ca="1"/>
        <v>1.2314258373722397E-2</v>
      </c>
      <c r="F946" s="7" t="s">
        <v>3</v>
      </c>
      <c r="G946" s="136">
        <f t="shared" si="14"/>
        <v>43759</v>
      </c>
      <c r="H946" s="20">
        <f>_xll.mirGetDate(G946,H$17,"Following",H$12,"Normal")</f>
        <v>43851</v>
      </c>
      <c r="I946" s="134">
        <f ca="1"/>
        <v>1.639929620644465E-2</v>
      </c>
      <c r="J946" s="120" t="s">
        <v>3</v>
      </c>
    </row>
    <row r="947" spans="1:10" x14ac:dyDescent="0.25">
      <c r="A947" s="126">
        <v>925</v>
      </c>
      <c r="B947" s="119"/>
      <c r="C947" s="136">
        <f>_xll.mirGetDate(C946,"1D","FOLLOWING",D$12,"NORMAL")</f>
        <v>43760</v>
      </c>
      <c r="D947" s="20">
        <f>_xll.mirGetDate(C947,D$17,"Following",D$12,"Normal")</f>
        <v>43761</v>
      </c>
      <c r="E947" s="134">
        <f ca="1"/>
        <v>1.2320055049341904E-2</v>
      </c>
      <c r="F947" s="7" t="s">
        <v>3</v>
      </c>
      <c r="G947" s="136">
        <f t="shared" si="14"/>
        <v>43760</v>
      </c>
      <c r="H947" s="20">
        <f>_xll.mirGetDate(G947,H$17,"Following",H$12,"Normal")</f>
        <v>43852</v>
      </c>
      <c r="I947" s="134">
        <f ca="1"/>
        <v>1.6405547620991331E-2</v>
      </c>
      <c r="J947" s="120" t="s">
        <v>3</v>
      </c>
    </row>
    <row r="948" spans="1:10" x14ac:dyDescent="0.25">
      <c r="A948" s="126">
        <v>926</v>
      </c>
      <c r="B948" s="119"/>
      <c r="C948" s="136">
        <f>_xll.mirGetDate(C947,"1D","FOLLOWING",D$12,"NORMAL")</f>
        <v>43761</v>
      </c>
      <c r="D948" s="20">
        <f>_xll.mirGetDate(C948,D$17,"Following",D$12,"Normal")</f>
        <v>43762</v>
      </c>
      <c r="E948" s="134">
        <f ca="1"/>
        <v>1.2325849034393642E-2</v>
      </c>
      <c r="F948" s="7" t="s">
        <v>3</v>
      </c>
      <c r="G948" s="136">
        <f t="shared" si="14"/>
        <v>43761</v>
      </c>
      <c r="H948" s="20">
        <f>_xll.mirGetDate(G948,H$17,"Following",H$12,"Normal")</f>
        <v>43853</v>
      </c>
      <c r="I948" s="134">
        <f ca="1"/>
        <v>1.6411799035538015E-2</v>
      </c>
      <c r="J948" s="120" t="s">
        <v>3</v>
      </c>
    </row>
    <row r="949" spans="1:10" x14ac:dyDescent="0.25">
      <c r="A949" s="126">
        <v>927</v>
      </c>
      <c r="B949" s="119"/>
      <c r="C949" s="136">
        <f>_xll.mirGetDate(C948,"1D","FOLLOWING",D$12,"NORMAL")</f>
        <v>43762</v>
      </c>
      <c r="D949" s="20">
        <f>_xll.mirGetDate(C949,D$17,"Following",D$12,"Normal")</f>
        <v>43763</v>
      </c>
      <c r="E949" s="134">
        <f ca="1"/>
        <v>1.2331640328797676E-2</v>
      </c>
      <c r="F949" s="7" t="s">
        <v>3</v>
      </c>
      <c r="G949" s="136">
        <f t="shared" si="14"/>
        <v>43762</v>
      </c>
      <c r="H949" s="20">
        <f>_xll.mirGetDate(G949,H$17,"Following",H$12,"Normal")</f>
        <v>43854</v>
      </c>
      <c r="I949" s="134">
        <f ca="1"/>
        <v>1.6418050450084695E-2</v>
      </c>
      <c r="J949" s="120" t="s">
        <v>3</v>
      </c>
    </row>
    <row r="950" spans="1:10" x14ac:dyDescent="0.25">
      <c r="A950" s="126">
        <v>928</v>
      </c>
      <c r="B950" s="119"/>
      <c r="C950" s="136">
        <f>_xll.mirGetDate(C949,"1D","FOLLOWING",D$12,"NORMAL")</f>
        <v>43763</v>
      </c>
      <c r="D950" s="20">
        <f>_xll.mirGetDate(C950,D$17,"Following",D$12,"Normal")</f>
        <v>43766</v>
      </c>
      <c r="E950" s="134">
        <f ca="1"/>
        <v>1.2343637161258457E-2</v>
      </c>
      <c r="F950" s="7" t="s">
        <v>3</v>
      </c>
      <c r="G950" s="136">
        <f t="shared" si="14"/>
        <v>43763</v>
      </c>
      <c r="H950" s="20">
        <f>_xll.mirGetDate(G950,H$17,"Following",H$12,"Normal")</f>
        <v>43857</v>
      </c>
      <c r="I950" s="134">
        <f ca="1"/>
        <v>1.6424301864631376E-2</v>
      </c>
      <c r="J950" s="120" t="s">
        <v>3</v>
      </c>
    </row>
    <row r="951" spans="1:10" x14ac:dyDescent="0.25">
      <c r="A951" s="126">
        <v>929</v>
      </c>
      <c r="B951" s="119"/>
      <c r="C951" s="136">
        <f>_xll.mirGetDate(C950,"1D","FOLLOWING",D$12,"NORMAL")</f>
        <v>43766</v>
      </c>
      <c r="D951" s="20">
        <f>_xll.mirGetDate(C951,D$17,"Following",D$12,"Normal")</f>
        <v>43767</v>
      </c>
      <c r="E951" s="134">
        <f ca="1"/>
        <v>1.2354778597778492E-2</v>
      </c>
      <c r="F951" s="7" t="s">
        <v>3</v>
      </c>
      <c r="G951" s="136">
        <f t="shared" si="14"/>
        <v>43766</v>
      </c>
      <c r="H951" s="20">
        <f>_xll.mirGetDate(G951,H$17,"Following",H$12,"Normal")</f>
        <v>43858</v>
      </c>
      <c r="I951" s="134">
        <f ca="1"/>
        <v>1.6443056108271417E-2</v>
      </c>
      <c r="J951" s="120" t="s">
        <v>3</v>
      </c>
    </row>
    <row r="952" spans="1:10" x14ac:dyDescent="0.25">
      <c r="A952" s="126">
        <v>930</v>
      </c>
      <c r="B952" s="119"/>
      <c r="C952" s="136">
        <f>_xll.mirGetDate(C951,"1D","FOLLOWING",D$12,"NORMAL")</f>
        <v>43767</v>
      </c>
      <c r="D952" s="20">
        <f>_xll.mirGetDate(C952,D$17,"Following",D$12,"Normal")</f>
        <v>43768</v>
      </c>
      <c r="E952" s="134">
        <f ca="1"/>
        <v>1.2360556437025537E-2</v>
      </c>
      <c r="F952" s="7" t="s">
        <v>3</v>
      </c>
      <c r="G952" s="136">
        <f t="shared" si="14"/>
        <v>43767</v>
      </c>
      <c r="H952" s="20">
        <f>_xll.mirGetDate(G952,H$17,"Following",H$12,"Normal")</f>
        <v>43859</v>
      </c>
      <c r="I952" s="134">
        <f ca="1"/>
        <v>1.6449307522818101E-2</v>
      </c>
      <c r="J952" s="120" t="s">
        <v>3</v>
      </c>
    </row>
    <row r="953" spans="1:10" x14ac:dyDescent="0.25">
      <c r="A953" s="126">
        <v>931</v>
      </c>
      <c r="B953" s="119"/>
      <c r="C953" s="136">
        <f>_xll.mirGetDate(C952,"1D","FOLLOWING",D$12,"NORMAL")</f>
        <v>43768</v>
      </c>
      <c r="D953" s="20">
        <f>_xll.mirGetDate(C953,D$17,"Following",D$12,"Normal")</f>
        <v>43769</v>
      </c>
      <c r="E953" s="134">
        <f ca="1"/>
        <v>1.2366331584985389E-2</v>
      </c>
      <c r="F953" s="7" t="s">
        <v>3</v>
      </c>
      <c r="G953" s="136">
        <f t="shared" si="14"/>
        <v>43768</v>
      </c>
      <c r="H953" s="20">
        <f>_xll.mirGetDate(G953,H$17,"Following",H$12,"Normal")</f>
        <v>43860</v>
      </c>
      <c r="I953" s="134">
        <f ca="1"/>
        <v>1.6455558937364782E-2</v>
      </c>
      <c r="J953" s="120" t="s">
        <v>3</v>
      </c>
    </row>
    <row r="954" spans="1:10" x14ac:dyDescent="0.25">
      <c r="A954" s="126">
        <v>932</v>
      </c>
      <c r="B954" s="119"/>
      <c r="C954" s="136">
        <f>_xll.mirGetDate(C953,"1D","FOLLOWING",D$12,"NORMAL")</f>
        <v>43769</v>
      </c>
      <c r="D954" s="20">
        <f>_xll.mirGetDate(C954,D$17,"Following",D$12,"Normal")</f>
        <v>43770</v>
      </c>
      <c r="E954" s="134">
        <f ca="1"/>
        <v>1.237210404141824E-2</v>
      </c>
      <c r="F954" s="7" t="s">
        <v>3</v>
      </c>
      <c r="G954" s="136">
        <f t="shared" si="14"/>
        <v>43769</v>
      </c>
      <c r="H954" s="20">
        <f>_xll.mirGetDate(G954,H$17,"Following",H$12,"Normal")</f>
        <v>43861</v>
      </c>
      <c r="I954" s="134">
        <f ca="1"/>
        <v>1.6461810351911462E-2</v>
      </c>
      <c r="J954" s="120" t="s">
        <v>3</v>
      </c>
    </row>
    <row r="955" spans="1:10" x14ac:dyDescent="0.25">
      <c r="A955" s="126">
        <v>933</v>
      </c>
      <c r="B955" s="119"/>
      <c r="C955" s="136">
        <f>_xll.mirGetDate(C954,"1D","FOLLOWING",D$12,"NORMAL")</f>
        <v>43770</v>
      </c>
      <c r="D955" s="20">
        <f>_xll.mirGetDate(C955,D$17,"Following",D$12,"Normal")</f>
        <v>43773</v>
      </c>
      <c r="E955" s="134">
        <f ca="1"/>
        <v>1.2384065971344825E-2</v>
      </c>
      <c r="F955" s="7" t="s">
        <v>3</v>
      </c>
      <c r="G955" s="136">
        <f t="shared" si="14"/>
        <v>43770</v>
      </c>
      <c r="H955" s="20">
        <f>_xll.mirGetDate(G955,H$17,"Following",H$12,"Normal")</f>
        <v>43864</v>
      </c>
      <c r="I955" s="134">
        <f ca="1"/>
        <v>1.6468061766458146E-2</v>
      </c>
      <c r="J955" s="120" t="s">
        <v>3</v>
      </c>
    </row>
    <row r="956" spans="1:10" x14ac:dyDescent="0.25">
      <c r="A956" s="126">
        <v>934</v>
      </c>
      <c r="B956" s="119"/>
      <c r="C956" s="136">
        <f>_xll.mirGetDate(C955,"1D","FOLLOWING",D$12,"NORMAL")</f>
        <v>43773</v>
      </c>
      <c r="D956" s="20">
        <f>_xll.mirGetDate(C956,D$17,"Following",D$12,"Normal")</f>
        <v>43774</v>
      </c>
      <c r="E956" s="134">
        <f ca="1"/>
        <v>1.2395166948682189E-2</v>
      </c>
      <c r="F956" s="7" t="s">
        <v>3</v>
      </c>
      <c r="G956" s="136">
        <f t="shared" si="14"/>
        <v>43773</v>
      </c>
      <c r="H956" s="20">
        <f>_xll.mirGetDate(G956,H$17,"Following",H$12,"Normal")</f>
        <v>43865</v>
      </c>
      <c r="I956" s="134">
        <f ca="1"/>
        <v>1.6486816010098191E-2</v>
      </c>
      <c r="J956" s="120" t="s">
        <v>3</v>
      </c>
    </row>
    <row r="957" spans="1:10" x14ac:dyDescent="0.25">
      <c r="A957" s="126">
        <v>935</v>
      </c>
      <c r="B957" s="119"/>
      <c r="C957" s="136">
        <f>_xll.mirGetDate(C956,"1D","FOLLOWING",D$12,"NORMAL")</f>
        <v>43774</v>
      </c>
      <c r="D957" s="20">
        <f>_xll.mirGetDate(C957,D$17,"Following",D$12,"Normal")</f>
        <v>43775</v>
      </c>
      <c r="E957" s="134">
        <f ca="1"/>
        <v>1.2400925945401696E-2</v>
      </c>
      <c r="F957" s="7" t="s">
        <v>3</v>
      </c>
      <c r="G957" s="136">
        <f t="shared" si="14"/>
        <v>43774</v>
      </c>
      <c r="H957" s="20">
        <f>_xll.mirGetDate(G957,H$17,"Following",H$12,"Normal")</f>
        <v>43866</v>
      </c>
      <c r="I957" s="134">
        <f ca="1"/>
        <v>1.6493067424644868E-2</v>
      </c>
      <c r="J957" s="120" t="s">
        <v>3</v>
      </c>
    </row>
    <row r="958" spans="1:10" x14ac:dyDescent="0.25">
      <c r="A958" s="126">
        <v>936</v>
      </c>
      <c r="B958" s="119"/>
      <c r="C958" s="136">
        <f>_xll.mirGetDate(C957,"1D","FOLLOWING",D$12,"NORMAL")</f>
        <v>43775</v>
      </c>
      <c r="D958" s="20">
        <f>_xll.mirGetDate(C958,D$17,"Following",D$12,"Normal")</f>
        <v>43776</v>
      </c>
      <c r="E958" s="134">
        <f ca="1"/>
        <v>1.2406682249714905E-2</v>
      </c>
      <c r="F958" s="7" t="s">
        <v>3</v>
      </c>
      <c r="G958" s="136">
        <f t="shared" si="14"/>
        <v>43775</v>
      </c>
      <c r="H958" s="20">
        <f>_xll.mirGetDate(G958,H$17,"Following",H$12,"Normal")</f>
        <v>43867</v>
      </c>
      <c r="I958" s="134">
        <f ca="1"/>
        <v>1.6499318839191549E-2</v>
      </c>
      <c r="J958" s="120" t="s">
        <v>3</v>
      </c>
    </row>
    <row r="959" spans="1:10" x14ac:dyDescent="0.25">
      <c r="A959" s="126">
        <v>937</v>
      </c>
      <c r="B959" s="119"/>
      <c r="C959" s="136">
        <f>_xll.mirGetDate(C958,"1D","FOLLOWING",D$12,"NORMAL")</f>
        <v>43776</v>
      </c>
      <c r="D959" s="20">
        <f>_xll.mirGetDate(C959,D$17,"Following",D$12,"Normal")</f>
        <v>43777</v>
      </c>
      <c r="E959" s="134">
        <f ca="1"/>
        <v>1.2412435861461945E-2</v>
      </c>
      <c r="F959" s="7" t="s">
        <v>3</v>
      </c>
      <c r="G959" s="136">
        <f t="shared" si="14"/>
        <v>43776</v>
      </c>
      <c r="H959" s="20">
        <f>_xll.mirGetDate(G959,H$17,"Following",H$12,"Normal")</f>
        <v>43868</v>
      </c>
      <c r="I959" s="134">
        <f ca="1"/>
        <v>1.6505570253738229E-2</v>
      </c>
      <c r="J959" s="120" t="s">
        <v>3</v>
      </c>
    </row>
    <row r="960" spans="1:10" x14ac:dyDescent="0.25">
      <c r="A960" s="126">
        <v>938</v>
      </c>
      <c r="B960" s="119"/>
      <c r="C960" s="136">
        <f>_xll.mirGetDate(C959,"1D","FOLLOWING",D$12,"NORMAL")</f>
        <v>43777</v>
      </c>
      <c r="D960" s="20">
        <f>_xll.mirGetDate(C960,D$17,"Following",D$12,"Normal")</f>
        <v>43781</v>
      </c>
      <c r="E960" s="134">
        <f ca="1"/>
        <v>1.2427449881808926E-2</v>
      </c>
      <c r="F960" s="7" t="s">
        <v>3</v>
      </c>
      <c r="G960" s="136">
        <f t="shared" si="14"/>
        <v>43777</v>
      </c>
      <c r="H960" s="20">
        <f>_xll.mirGetDate(G960,H$17,"Following",H$12,"Normal")</f>
        <v>43871</v>
      </c>
      <c r="I960" s="134">
        <f ca="1"/>
        <v>1.6511821668284913E-2</v>
      </c>
      <c r="J960" s="120" t="s">
        <v>3</v>
      </c>
    </row>
    <row r="961" spans="1:10" x14ac:dyDescent="0.25">
      <c r="A961" s="126">
        <v>939</v>
      </c>
      <c r="B961" s="119"/>
      <c r="C961" s="136">
        <f>_xll.mirGetDate(C960,"1D","FOLLOWING",D$12,"NORMAL")</f>
        <v>43781</v>
      </c>
      <c r="D961" s="20">
        <f>_xll.mirGetDate(C961,D$17,"Following",D$12,"Normal")</f>
        <v>43782</v>
      </c>
      <c r="E961" s="134">
        <f ca="1"/>
        <v>1.2441163528507148E-2</v>
      </c>
      <c r="F961" s="7" t="s">
        <v>3</v>
      </c>
      <c r="G961" s="136">
        <f t="shared" si="14"/>
        <v>43781</v>
      </c>
      <c r="H961" s="20">
        <f>_xll.mirGetDate(G961,H$17,"Following",H$12,"Normal")</f>
        <v>43873</v>
      </c>
      <c r="I961" s="134">
        <f ca="1"/>
        <v>1.6536827326471638E-2</v>
      </c>
      <c r="J961" s="120" t="s">
        <v>3</v>
      </c>
    </row>
    <row r="962" spans="1:10" x14ac:dyDescent="0.25">
      <c r="A962" s="126">
        <v>940</v>
      </c>
      <c r="B962" s="119"/>
      <c r="C962" s="136">
        <f>_xll.mirGetDate(C961,"1D","FOLLOWING",D$12,"NORMAL")</f>
        <v>43782</v>
      </c>
      <c r="D962" s="20">
        <f>_xll.mirGetDate(C962,D$17,"Following",D$12,"Normal")</f>
        <v>43783</v>
      </c>
      <c r="E962" s="134">
        <f ca="1"/>
        <v>1.2446900982459085E-2</v>
      </c>
      <c r="F962" s="7" t="s">
        <v>3</v>
      </c>
      <c r="G962" s="136">
        <f t="shared" si="14"/>
        <v>43782</v>
      </c>
      <c r="H962" s="20">
        <f>_xll.mirGetDate(G962,H$17,"Following",H$12,"Normal")</f>
        <v>43874</v>
      </c>
      <c r="I962" s="134">
        <f ca="1"/>
        <v>1.6543078741018319E-2</v>
      </c>
      <c r="J962" s="120" t="s">
        <v>3</v>
      </c>
    </row>
    <row r="963" spans="1:10" x14ac:dyDescent="0.25">
      <c r="A963" s="126">
        <v>941</v>
      </c>
      <c r="B963" s="119"/>
      <c r="C963" s="136">
        <f>_xll.mirGetDate(C962,"1D","FOLLOWING",D$12,"NORMAL")</f>
        <v>43783</v>
      </c>
      <c r="D963" s="20">
        <f>_xll.mirGetDate(C963,D$17,"Following",D$12,"Normal")</f>
        <v>43784</v>
      </c>
      <c r="E963" s="134">
        <f ca="1"/>
        <v>1.2452635743045493E-2</v>
      </c>
      <c r="F963" s="7" t="s">
        <v>3</v>
      </c>
      <c r="G963" s="136">
        <f t="shared" si="14"/>
        <v>43783</v>
      </c>
      <c r="H963" s="20">
        <f>_xll.mirGetDate(G963,H$17,"Following",H$12,"Normal")</f>
        <v>43875</v>
      </c>
      <c r="I963" s="134">
        <f ca="1"/>
        <v>1.6549330155564999E-2</v>
      </c>
      <c r="J963" s="120" t="s">
        <v>3</v>
      </c>
    </row>
    <row r="964" spans="1:10" x14ac:dyDescent="0.25">
      <c r="A964" s="126">
        <v>942</v>
      </c>
      <c r="B964" s="119"/>
      <c r="C964" s="136">
        <f>_xll.mirGetDate(C963,"1D","FOLLOWING",D$12,"NORMAL")</f>
        <v>43784</v>
      </c>
      <c r="D964" s="20">
        <f>_xll.mirGetDate(C964,D$17,"Following",D$12,"Normal")</f>
        <v>43787</v>
      </c>
      <c r="E964" s="134">
        <f ca="1"/>
        <v>1.2464527828335337E-2</v>
      </c>
      <c r="F964" s="7" t="s">
        <v>3</v>
      </c>
      <c r="G964" s="136">
        <f t="shared" si="14"/>
        <v>43784</v>
      </c>
      <c r="H964" s="20">
        <f>_xll.mirGetDate(G964,H$17,"Following",H$12,"Normal")</f>
        <v>43879</v>
      </c>
      <c r="I964" s="134">
        <f ca="1"/>
        <v>1.655558157011168E-2</v>
      </c>
      <c r="J964" s="120" t="s">
        <v>3</v>
      </c>
    </row>
    <row r="965" spans="1:10" x14ac:dyDescent="0.25">
      <c r="A965" s="126">
        <v>943</v>
      </c>
      <c r="B965" s="119"/>
      <c r="C965" s="136">
        <f>_xll.mirGetDate(C964,"1D","FOLLOWING",D$12,"NORMAL")</f>
        <v>43787</v>
      </c>
      <c r="D965" s="20">
        <f>_xll.mirGetDate(C965,D$17,"Following",D$12,"Normal")</f>
        <v>43788</v>
      </c>
      <c r="E965" s="134">
        <f ca="1"/>
        <v>1.2475547848058755E-2</v>
      </c>
      <c r="F965" s="7" t="s">
        <v>3</v>
      </c>
      <c r="G965" s="136">
        <f t="shared" si="14"/>
        <v>43787</v>
      </c>
      <c r="H965" s="20">
        <f>_xll.mirGetDate(G965,H$17,"Following",H$12,"Normal")</f>
        <v>43879</v>
      </c>
      <c r="I965" s="134">
        <f ca="1"/>
        <v>1.6574335813751725E-2</v>
      </c>
      <c r="J965" s="120" t="s">
        <v>3</v>
      </c>
    </row>
    <row r="966" spans="1:10" x14ac:dyDescent="0.25">
      <c r="A966" s="126">
        <v>944</v>
      </c>
      <c r="B966" s="119"/>
      <c r="C966" s="136">
        <f>_xll.mirGetDate(C965,"1D","FOLLOWING",D$12,"NORMAL")</f>
        <v>43788</v>
      </c>
      <c r="D966" s="20">
        <f>_xll.mirGetDate(C966,D$17,"Following",D$12,"Normal")</f>
        <v>43789</v>
      </c>
      <c r="E966" s="134">
        <f ca="1"/>
        <v>1.2481269139259555E-2</v>
      </c>
      <c r="F966" s="7" t="s">
        <v>3</v>
      </c>
      <c r="G966" s="136">
        <f t="shared" si="14"/>
        <v>43788</v>
      </c>
      <c r="H966" s="20">
        <f>_xll.mirGetDate(G966,H$17,"Following",H$12,"Normal")</f>
        <v>43880</v>
      </c>
      <c r="I966" s="134">
        <f ca="1"/>
        <v>1.6580587228298405E-2</v>
      </c>
      <c r="J966" s="120" t="s">
        <v>3</v>
      </c>
    </row>
    <row r="967" spans="1:10" x14ac:dyDescent="0.25">
      <c r="A967" s="126">
        <v>945</v>
      </c>
      <c r="B967" s="119"/>
      <c r="C967" s="136">
        <f>_xll.mirGetDate(C966,"1D","FOLLOWING",D$12,"NORMAL")</f>
        <v>43789</v>
      </c>
      <c r="D967" s="20">
        <f>_xll.mirGetDate(C967,D$17,"Following",D$12,"Normal")</f>
        <v>43790</v>
      </c>
      <c r="E967" s="134">
        <f ca="1"/>
        <v>1.2486987736215528E-2</v>
      </c>
      <c r="F967" s="7" t="s">
        <v>3</v>
      </c>
      <c r="G967" s="136">
        <f t="shared" si="14"/>
        <v>43789</v>
      </c>
      <c r="H967" s="20">
        <f>_xll.mirGetDate(G967,H$17,"Following",H$12,"Normal")</f>
        <v>43881</v>
      </c>
      <c r="I967" s="134">
        <f ca="1"/>
        <v>1.6586838642845086E-2</v>
      </c>
      <c r="J967" s="120" t="s">
        <v>3</v>
      </c>
    </row>
    <row r="968" spans="1:10" x14ac:dyDescent="0.25">
      <c r="A968" s="126">
        <v>946</v>
      </c>
      <c r="B968" s="119"/>
      <c r="C968" s="136">
        <f>_xll.mirGetDate(C967,"1D","FOLLOWING",D$12,"NORMAL")</f>
        <v>43790</v>
      </c>
      <c r="D968" s="20">
        <f>_xll.mirGetDate(C968,D$17,"Following",D$12,"Normal")</f>
        <v>43791</v>
      </c>
      <c r="E968" s="134">
        <f ca="1"/>
        <v>1.2492703638766801E-2</v>
      </c>
      <c r="F968" s="7" t="s">
        <v>3</v>
      </c>
      <c r="G968" s="136">
        <f t="shared" si="14"/>
        <v>43790</v>
      </c>
      <c r="H968" s="20">
        <f>_xll.mirGetDate(G968,H$17,"Following",H$12,"Normal")</f>
        <v>43882</v>
      </c>
      <c r="I968" s="134">
        <f ca="1"/>
        <v>1.6593090057391766E-2</v>
      </c>
      <c r="J968" s="120" t="s">
        <v>3</v>
      </c>
    </row>
    <row r="969" spans="1:10" x14ac:dyDescent="0.25">
      <c r="A969" s="126">
        <v>947</v>
      </c>
      <c r="B969" s="119"/>
      <c r="C969" s="136">
        <f>_xll.mirGetDate(C968,"1D","FOLLOWING",D$12,"NORMAL")</f>
        <v>43791</v>
      </c>
      <c r="D969" s="20">
        <f>_xll.mirGetDate(C969,D$17,"Following",D$12,"Normal")</f>
        <v>43794</v>
      </c>
      <c r="E969" s="134">
        <f ca="1"/>
        <v>1.2504560780967554E-2</v>
      </c>
      <c r="F969" s="7" t="s">
        <v>3</v>
      </c>
      <c r="G969" s="136">
        <f t="shared" si="14"/>
        <v>43791</v>
      </c>
      <c r="H969" s="20">
        <f>_xll.mirGetDate(G969,H$17,"Following",H$12,"Normal")</f>
        <v>43885</v>
      </c>
      <c r="I969" s="134">
        <f ca="1"/>
        <v>1.6599341471938447E-2</v>
      </c>
      <c r="J969" s="120" t="s">
        <v>3</v>
      </c>
    </row>
    <row r="970" spans="1:10" x14ac:dyDescent="0.25">
      <c r="A970" s="126">
        <v>948</v>
      </c>
      <c r="B970" s="119"/>
      <c r="C970" s="136">
        <f>_xll.mirGetDate(C969,"1D","FOLLOWING",D$12,"NORMAL")</f>
        <v>43794</v>
      </c>
      <c r="D970" s="20">
        <f>_xll.mirGetDate(C970,D$17,"Following",D$12,"Normal")</f>
        <v>43795</v>
      </c>
      <c r="E970" s="134">
        <f ca="1"/>
        <v>1.2516181130157778E-2</v>
      </c>
      <c r="F970" s="7" t="s">
        <v>3</v>
      </c>
      <c r="G970" s="136">
        <f t="shared" si="14"/>
        <v>43794</v>
      </c>
      <c r="H970" s="20">
        <f>_xll.mirGetDate(G970,H$17,"Following",H$12,"Normal")</f>
        <v>43886</v>
      </c>
      <c r="I970" s="134">
        <f ca="1"/>
        <v>1.6618095715578492E-2</v>
      </c>
      <c r="J970" s="120" t="s">
        <v>3</v>
      </c>
    </row>
    <row r="971" spans="1:10" x14ac:dyDescent="0.25">
      <c r="A971" s="126">
        <v>949</v>
      </c>
      <c r="B971" s="119"/>
      <c r="C971" s="136">
        <f>_xll.mirGetDate(C970,"1D","FOLLOWING",D$12,"NORMAL")</f>
        <v>43795</v>
      </c>
      <c r="D971" s="20">
        <f>_xll.mirGetDate(C971,D$17,"Following",D$12,"Normal")</f>
        <v>43796</v>
      </c>
      <c r="E971" s="134">
        <f ca="1"/>
        <v>1.2523141266784821E-2</v>
      </c>
      <c r="F971" s="7" t="s">
        <v>3</v>
      </c>
      <c r="G971" s="136">
        <f t="shared" si="14"/>
        <v>43795</v>
      </c>
      <c r="H971" s="20">
        <f>_xll.mirGetDate(G971,H$17,"Following",H$12,"Normal")</f>
        <v>43887</v>
      </c>
      <c r="I971" s="134">
        <f ca="1"/>
        <v>1.6624347130125172E-2</v>
      </c>
      <c r="J971" s="120" t="s">
        <v>3</v>
      </c>
    </row>
    <row r="972" spans="1:10" x14ac:dyDescent="0.25">
      <c r="A972" s="126">
        <v>950</v>
      </c>
      <c r="B972" s="119"/>
      <c r="C972" s="136">
        <f>_xll.mirGetDate(C971,"1D","FOLLOWING",D$12,"NORMAL")</f>
        <v>43796</v>
      </c>
      <c r="D972" s="20">
        <f>_xll.mirGetDate(C972,D$17,"Following",D$12,"Normal")</f>
        <v>43798</v>
      </c>
      <c r="E972" s="134">
        <f ca="1"/>
        <v>1.253372240407118E-2</v>
      </c>
      <c r="F972" s="7" t="s">
        <v>3</v>
      </c>
      <c r="G972" s="136">
        <f t="shared" si="14"/>
        <v>43796</v>
      </c>
      <c r="H972" s="20">
        <f>_xll.mirGetDate(G972,H$17,"Following",H$12,"Normal")</f>
        <v>43888</v>
      </c>
      <c r="I972" s="134">
        <f ca="1"/>
        <v>1.6630598544671856E-2</v>
      </c>
      <c r="J972" s="120" t="s">
        <v>3</v>
      </c>
    </row>
    <row r="973" spans="1:10" x14ac:dyDescent="0.25">
      <c r="A973" s="126">
        <v>951</v>
      </c>
      <c r="B973" s="119"/>
      <c r="C973" s="136">
        <f>_xll.mirGetDate(C972,"1D","FOLLOWING",D$12,"NORMAL")</f>
        <v>43798</v>
      </c>
      <c r="D973" s="20">
        <f>_xll.mirGetDate(C973,D$17,"Following",D$12,"Normal")</f>
        <v>43801</v>
      </c>
      <c r="E973" s="134">
        <f ca="1"/>
        <v>1.2551020215347864E-2</v>
      </c>
      <c r="F973" s="7" t="s">
        <v>3</v>
      </c>
      <c r="G973" s="136">
        <f t="shared" si="14"/>
        <v>43798</v>
      </c>
      <c r="H973" s="20">
        <f>_xll.mirGetDate(G973,H$17,"Following",H$12,"Normal")</f>
        <v>43892</v>
      </c>
      <c r="I973" s="134">
        <f ca="1"/>
        <v>1.6643101373765217E-2</v>
      </c>
      <c r="J973" s="120" t="s">
        <v>3</v>
      </c>
    </row>
    <row r="974" spans="1:10" x14ac:dyDescent="0.25">
      <c r="A974" s="126">
        <v>952</v>
      </c>
      <c r="B974" s="119"/>
      <c r="C974" s="136">
        <f>_xll.mirGetDate(C973,"1D","FOLLOWING",D$12,"NORMAL")</f>
        <v>43801</v>
      </c>
      <c r="D974" s="20">
        <f>_xll.mirGetDate(C974,D$17,"Following",D$12,"Normal")</f>
        <v>43802</v>
      </c>
      <c r="E974" s="134">
        <f ca="1"/>
        <v>1.2564090849149823E-2</v>
      </c>
      <c r="F974" s="7" t="s">
        <v>3</v>
      </c>
      <c r="G974" s="136">
        <f t="shared" si="14"/>
        <v>43801</v>
      </c>
      <c r="H974" s="20">
        <f>_xll.mirGetDate(G974,H$17,"Following",H$12,"Normal")</f>
        <v>43892</v>
      </c>
      <c r="I974" s="134">
        <f ca="1"/>
        <v>1.6661855617405259E-2</v>
      </c>
      <c r="J974" s="120" t="s">
        <v>3</v>
      </c>
    </row>
    <row r="975" spans="1:10" x14ac:dyDescent="0.25">
      <c r="A975" s="126">
        <v>953</v>
      </c>
      <c r="B975" s="119"/>
      <c r="C975" s="136">
        <f>_xll.mirGetDate(C974,"1D","FOLLOWING",D$12,"NORMAL")</f>
        <v>43802</v>
      </c>
      <c r="D975" s="20">
        <f>_xll.mirGetDate(C975,D$17,"Following",D$12,"Normal")</f>
        <v>43803</v>
      </c>
      <c r="E975" s="134">
        <f ca="1"/>
        <v>1.2570780526282067E-2</v>
      </c>
      <c r="F975" s="7" t="s">
        <v>3</v>
      </c>
      <c r="G975" s="136">
        <f t="shared" si="14"/>
        <v>43802</v>
      </c>
      <c r="H975" s="20">
        <f>_xll.mirGetDate(G975,H$17,"Following",H$12,"Normal")</f>
        <v>43893</v>
      </c>
      <c r="I975" s="134">
        <f ca="1"/>
        <v>1.6668107031951939E-2</v>
      </c>
      <c r="J975" s="120" t="s">
        <v>3</v>
      </c>
    </row>
    <row r="976" spans="1:10" x14ac:dyDescent="0.25">
      <c r="A976" s="126">
        <v>954</v>
      </c>
      <c r="B976" s="119"/>
      <c r="C976" s="136">
        <f>_xll.mirGetDate(C975,"1D","FOLLOWING",D$12,"NORMAL")</f>
        <v>43803</v>
      </c>
      <c r="D976" s="20">
        <f>_xll.mirGetDate(C976,D$17,"Following",D$12,"Normal")</f>
        <v>43804</v>
      </c>
      <c r="E976" s="134">
        <f ca="1"/>
        <v>1.2577431546017027E-2</v>
      </c>
      <c r="F976" s="7" t="s">
        <v>3</v>
      </c>
      <c r="G976" s="136">
        <f t="shared" si="14"/>
        <v>43803</v>
      </c>
      <c r="H976" s="20">
        <f>_xll.mirGetDate(G976,H$17,"Following",H$12,"Normal")</f>
        <v>43894</v>
      </c>
      <c r="I976" s="134">
        <f ca="1"/>
        <v>1.6674358446498623E-2</v>
      </c>
      <c r="J976" s="120" t="s">
        <v>3</v>
      </c>
    </row>
    <row r="977" spans="1:10" x14ac:dyDescent="0.25">
      <c r="A977" s="126">
        <v>955</v>
      </c>
      <c r="B977" s="119"/>
      <c r="C977" s="136">
        <f>_xll.mirGetDate(C976,"1D","FOLLOWING",D$12,"NORMAL")</f>
        <v>43804</v>
      </c>
      <c r="D977" s="20">
        <f>_xll.mirGetDate(C977,D$17,"Following",D$12,"Normal")</f>
        <v>43805</v>
      </c>
      <c r="E977" s="134">
        <f ca="1"/>
        <v>1.2584043903318732E-2</v>
      </c>
      <c r="F977" s="7" t="s">
        <v>3</v>
      </c>
      <c r="G977" s="136">
        <f t="shared" si="14"/>
        <v>43804</v>
      </c>
      <c r="H977" s="20">
        <f>_xll.mirGetDate(G977,H$17,"Following",H$12,"Normal")</f>
        <v>43895</v>
      </c>
      <c r="I977" s="134">
        <f ca="1"/>
        <v>1.668060985760865E-2</v>
      </c>
      <c r="J977" s="120" t="s">
        <v>3</v>
      </c>
    </row>
    <row r="978" spans="1:10" x14ac:dyDescent="0.25">
      <c r="A978" s="126">
        <v>956</v>
      </c>
      <c r="B978" s="119"/>
      <c r="C978" s="136">
        <f>_xll.mirGetDate(C977,"1D","FOLLOWING",D$12,"NORMAL")</f>
        <v>43805</v>
      </c>
      <c r="D978" s="20">
        <f>_xll.mirGetDate(C978,D$17,"Following",D$12,"Normal")</f>
        <v>43808</v>
      </c>
      <c r="E978" s="134">
        <f ca="1"/>
        <v>1.2597580522637531E-2</v>
      </c>
      <c r="F978" s="7" t="s">
        <v>3</v>
      </c>
      <c r="G978" s="136">
        <f t="shared" si="14"/>
        <v>43805</v>
      </c>
      <c r="H978" s="20">
        <f>_xll.mirGetDate(G978,H$17,"Following",H$12,"Normal")</f>
        <v>43896</v>
      </c>
      <c r="I978" s="134">
        <f ca="1"/>
        <v>1.668686116221324E-2</v>
      </c>
      <c r="J978" s="120" t="s">
        <v>3</v>
      </c>
    </row>
    <row r="979" spans="1:10" x14ac:dyDescent="0.25">
      <c r="A979" s="126">
        <v>957</v>
      </c>
      <c r="B979" s="119"/>
      <c r="C979" s="136">
        <f>_xll.mirGetDate(C978,"1D","FOLLOWING",D$12,"NORMAL")</f>
        <v>43808</v>
      </c>
      <c r="D979" s="20">
        <f>_xll.mirGetDate(C979,D$17,"Following",D$12,"Normal")</f>
        <v>43809</v>
      </c>
      <c r="E979" s="134">
        <f ca="1"/>
        <v>1.2610106606514338E-2</v>
      </c>
      <c r="F979" s="7" t="s">
        <v>3</v>
      </c>
      <c r="G979" s="136">
        <f t="shared" si="14"/>
        <v>43808</v>
      </c>
      <c r="H979" s="20">
        <f>_xll.mirGetDate(G979,H$17,"Following",H$12,"Normal")</f>
        <v>43899</v>
      </c>
      <c r="I979" s="134">
        <f ca="1"/>
        <v>1.6705612255905548E-2</v>
      </c>
      <c r="J979" s="120" t="s">
        <v>3</v>
      </c>
    </row>
    <row r="980" spans="1:10" x14ac:dyDescent="0.25">
      <c r="A980" s="126">
        <v>958</v>
      </c>
      <c r="B980" s="119"/>
      <c r="C980" s="136">
        <f>_xll.mirGetDate(C979,"1D","FOLLOWING",D$12,"NORMAL")</f>
        <v>43809</v>
      </c>
      <c r="D980" s="20">
        <f>_xll.mirGetDate(C980,D$17,"Following",D$12,"Normal")</f>
        <v>43810</v>
      </c>
      <c r="E980" s="134">
        <f ca="1"/>
        <v>1.2616525575230898E-2</v>
      </c>
      <c r="F980" s="7" t="s">
        <v>3</v>
      </c>
      <c r="G980" s="136">
        <f t="shared" si="14"/>
        <v>43809</v>
      </c>
      <c r="H980" s="20">
        <f>_xll.mirGetDate(G980,H$17,"Following",H$12,"Normal")</f>
        <v>43900</v>
      </c>
      <c r="I980" s="134">
        <f ca="1"/>
        <v>1.6711860941306101E-2</v>
      </c>
      <c r="J980" s="120" t="s">
        <v>3</v>
      </c>
    </row>
    <row r="981" spans="1:10" x14ac:dyDescent="0.25">
      <c r="A981" s="126">
        <v>959</v>
      </c>
      <c r="B981" s="119"/>
      <c r="C981" s="136">
        <f>_xll.mirGetDate(C980,"1D","FOLLOWING",D$12,"NORMAL")</f>
        <v>43810</v>
      </c>
      <c r="D981" s="20">
        <f>_xll.mirGetDate(C981,D$17,"Following",D$12,"Normal")</f>
        <v>43811</v>
      </c>
      <c r="E981" s="134">
        <f ca="1"/>
        <v>1.2622905850978628E-2</v>
      </c>
      <c r="F981" s="7" t="s">
        <v>3</v>
      </c>
      <c r="G981" s="136">
        <f t="shared" si="14"/>
        <v>43810</v>
      </c>
      <c r="H981" s="20">
        <f>_xll.mirGetDate(G981,H$17,"Following",H$12,"Normal")</f>
        <v>43901</v>
      </c>
      <c r="I981" s="134">
        <f ca="1"/>
        <v>1.6718108417563337E-2</v>
      </c>
      <c r="J981" s="120" t="s">
        <v>3</v>
      </c>
    </row>
    <row r="982" spans="1:10" x14ac:dyDescent="0.25">
      <c r="A982" s="126">
        <v>960</v>
      </c>
      <c r="B982" s="119"/>
      <c r="C982" s="136">
        <f>_xll.mirGetDate(C981,"1D","FOLLOWING",D$12,"NORMAL")</f>
        <v>43811</v>
      </c>
      <c r="D982" s="20">
        <f>_xll.mirGetDate(C982,D$17,"Following",D$12,"Normal")</f>
        <v>43812</v>
      </c>
      <c r="E982" s="134">
        <f ca="1"/>
        <v>1.2629247428401814E-2</v>
      </c>
      <c r="F982" s="7" t="s">
        <v>3</v>
      </c>
      <c r="G982" s="136">
        <f t="shared" si="14"/>
        <v>43811</v>
      </c>
      <c r="H982" s="20">
        <f>_xll.mirGetDate(G982,H$17,"Following",H$12,"Normal")</f>
        <v>43902</v>
      </c>
      <c r="I982" s="134">
        <f ca="1"/>
        <v>1.6724354462940343E-2</v>
      </c>
      <c r="J982" s="120" t="s">
        <v>3</v>
      </c>
    </row>
    <row r="983" spans="1:10" x14ac:dyDescent="0.25">
      <c r="A983" s="126">
        <v>961</v>
      </c>
      <c r="B983" s="119"/>
      <c r="C983" s="136">
        <f>_xll.mirGetDate(C982,"1D","FOLLOWING",D$12,"NORMAL")</f>
        <v>43812</v>
      </c>
      <c r="D983" s="20">
        <f>_xll.mirGetDate(C983,D$17,"Following",D$12,"Normal")</f>
        <v>43815</v>
      </c>
      <c r="E983" s="134">
        <f ca="1"/>
        <v>1.2642245499847649E-2</v>
      </c>
      <c r="F983" s="7" t="s">
        <v>3</v>
      </c>
      <c r="G983" s="136">
        <f t="shared" si="14"/>
        <v>43812</v>
      </c>
      <c r="H983" s="20">
        <f>_xll.mirGetDate(G983,H$17,"Following",H$12,"Normal")</f>
        <v>43903</v>
      </c>
      <c r="I983" s="134">
        <f ca="1"/>
        <v>1.6730598855700198E-2</v>
      </c>
      <c r="J983" s="120" t="s">
        <v>3</v>
      </c>
    </row>
    <row r="984" spans="1:10" x14ac:dyDescent="0.25">
      <c r="A984" s="126">
        <v>962</v>
      </c>
      <c r="B984" s="119"/>
      <c r="C984" s="136">
        <f>_xll.mirGetDate(C983,"1D","FOLLOWING",D$12,"NORMAL")</f>
        <v>43815</v>
      </c>
      <c r="D984" s="20">
        <f>_xll.mirGetDate(C984,D$17,"Following",D$12,"Normal")</f>
        <v>43816</v>
      </c>
      <c r="E984" s="134">
        <f ca="1"/>
        <v>1.2654226653490187E-2</v>
      </c>
      <c r="F984" s="7" t="s">
        <v>3</v>
      </c>
      <c r="G984" s="136">
        <f t="shared" ref="G984:G1047" si="15">$C984</f>
        <v>43815</v>
      </c>
      <c r="H984" s="20">
        <f>_xll.mirGetDate(G984,H$17,"Following",H$12,"Normal")</f>
        <v>43906</v>
      </c>
      <c r="I984" s="134">
        <f ca="1"/>
        <v>1.6749319900907628E-2</v>
      </c>
      <c r="J984" s="120" t="s">
        <v>3</v>
      </c>
    </row>
    <row r="985" spans="1:10" x14ac:dyDescent="0.25">
      <c r="A985" s="126">
        <v>963</v>
      </c>
      <c r="B985" s="119"/>
      <c r="C985" s="136">
        <f>_xll.mirGetDate(C984,"1D","FOLLOWING",D$12,"NORMAL")</f>
        <v>43816</v>
      </c>
      <c r="D985" s="20">
        <f>_xll.mirGetDate(C985,D$17,"Following",D$12,"Normal")</f>
        <v>43817</v>
      </c>
      <c r="E985" s="134">
        <f ca="1"/>
        <v>1.2660374662711905E-2</v>
      </c>
      <c r="F985" s="7" t="s">
        <v>3</v>
      </c>
      <c r="G985" s="136">
        <f t="shared" si="15"/>
        <v>43816</v>
      </c>
      <c r="H985" s="20">
        <f>_xll.mirGetDate(G985,H$17,"Following",H$12,"Normal")</f>
        <v>43907</v>
      </c>
      <c r="I985" s="134">
        <f ca="1"/>
        <v>1.6755555465829658E-2</v>
      </c>
      <c r="J985" s="120" t="s">
        <v>3</v>
      </c>
    </row>
    <row r="986" spans="1:10" x14ac:dyDescent="0.25">
      <c r="A986" s="126">
        <v>964</v>
      </c>
      <c r="B986" s="119"/>
      <c r="C986" s="136">
        <f>_xll.mirGetDate(C985,"1D","FOLLOWING",D$12,"NORMAL")</f>
        <v>43817</v>
      </c>
      <c r="D986" s="20">
        <f>_xll.mirGetDate(C986,D$17,"Following",D$12,"Normal")</f>
        <v>43818</v>
      </c>
      <c r="E986" s="134">
        <f ca="1"/>
        <v>1.266648394275376E-2</v>
      </c>
      <c r="F986" s="7" t="s">
        <v>3</v>
      </c>
      <c r="G986" s="136">
        <f t="shared" si="15"/>
        <v>43817</v>
      </c>
      <c r="H986" s="20">
        <f>_xll.mirGetDate(G986,H$17,"Following",H$12,"Normal")</f>
        <v>43908</v>
      </c>
      <c r="I986" s="134">
        <f ca="1"/>
        <v>1.6761788269449931E-2</v>
      </c>
      <c r="J986" s="120" t="s">
        <v>3</v>
      </c>
    </row>
    <row r="987" spans="1:10" x14ac:dyDescent="0.25">
      <c r="A987" s="126">
        <v>965</v>
      </c>
      <c r="B987" s="119"/>
      <c r="C987" s="136">
        <f>_xll.mirGetDate(C986,"1D","FOLLOWING",D$12,"NORMAL")</f>
        <v>43818</v>
      </c>
      <c r="D987" s="20">
        <f>_xll.mirGetDate(C987,D$17,"Following",D$12,"Normal")</f>
        <v>43819</v>
      </c>
      <c r="E987" s="134">
        <f ca="1"/>
        <v>1.2672554488499844E-2</v>
      </c>
      <c r="F987" s="7" t="s">
        <v>3</v>
      </c>
      <c r="G987" s="136">
        <f t="shared" si="15"/>
        <v>43818</v>
      </c>
      <c r="H987" s="20">
        <f>_xll.mirGetDate(G987,H$17,"Following",H$12,"Normal")</f>
        <v>43909</v>
      </c>
      <c r="I987" s="134">
        <f ca="1"/>
        <v>1.6768018090031523E-2</v>
      </c>
      <c r="J987" s="120" t="s">
        <v>3</v>
      </c>
    </row>
    <row r="988" spans="1:10" x14ac:dyDescent="0.25">
      <c r="A988" s="126">
        <v>966</v>
      </c>
      <c r="B988" s="119"/>
      <c r="C988" s="136">
        <f>_xll.mirGetDate(C987,"1D","FOLLOWING",D$12,"NORMAL")</f>
        <v>43819</v>
      </c>
      <c r="D988" s="20">
        <f>_xll.mirGetDate(C988,D$17,"Following",D$12,"Normal")</f>
        <v>43822</v>
      </c>
      <c r="E988" s="134">
        <f ca="1"/>
        <v>1.2685013384148337E-2</v>
      </c>
      <c r="F988" s="7" t="s">
        <v>3</v>
      </c>
      <c r="G988" s="136">
        <f t="shared" si="15"/>
        <v>43819</v>
      </c>
      <c r="H988" s="20">
        <f>_xll.mirGetDate(G988,H$17,"Following",H$12,"Normal")</f>
        <v>43910</v>
      </c>
      <c r="I988" s="134">
        <f ca="1"/>
        <v>1.6774244705837518E-2</v>
      </c>
      <c r="J988" s="120" t="s">
        <v>3</v>
      </c>
    </row>
    <row r="989" spans="1:10" x14ac:dyDescent="0.25">
      <c r="A989" s="126">
        <v>967</v>
      </c>
      <c r="B989" s="119"/>
      <c r="C989" s="136">
        <f>_xll.mirGetDate(C988,"1D","FOLLOWING",D$12,"NORMAL")</f>
        <v>43822</v>
      </c>
      <c r="D989" s="20">
        <f>_xll.mirGetDate(C989,D$17,"Following",D$12,"Normal")</f>
        <v>43823</v>
      </c>
      <c r="E989" s="134">
        <f ca="1"/>
        <v>1.2696449223890172E-2</v>
      </c>
      <c r="F989" s="7" t="s">
        <v>3</v>
      </c>
      <c r="G989" s="136">
        <f t="shared" si="15"/>
        <v>43822</v>
      </c>
      <c r="H989" s="20">
        <f>_xll.mirGetDate(G989,H$17,"Following",H$12,"Normal")</f>
        <v>43913</v>
      </c>
      <c r="I989" s="134">
        <f ca="1"/>
        <v>1.6792903107232689E-2</v>
      </c>
      <c r="J989" s="120" t="s">
        <v>3</v>
      </c>
    </row>
    <row r="990" spans="1:10" x14ac:dyDescent="0.25">
      <c r="A990" s="126">
        <v>968</v>
      </c>
      <c r="B990" s="119"/>
      <c r="C990" s="136">
        <f>_xll.mirGetDate(C989,"1D","FOLLOWING",D$12,"NORMAL")</f>
        <v>43823</v>
      </c>
      <c r="D990" s="20">
        <f>_xll.mirGetDate(C990,D$17,"Following",D$12,"Normal")</f>
        <v>43825</v>
      </c>
      <c r="E990" s="134">
        <f ca="1"/>
        <v>1.2705469233989009E-2</v>
      </c>
      <c r="F990" s="7" t="s">
        <v>3</v>
      </c>
      <c r="G990" s="136">
        <f t="shared" si="15"/>
        <v>43823</v>
      </c>
      <c r="H990" s="20">
        <f>_xll.mirGetDate(G990,H$17,"Following",H$12,"Normal")</f>
        <v>43914</v>
      </c>
      <c r="I990" s="134">
        <f ca="1"/>
        <v>1.6799114686567071E-2</v>
      </c>
      <c r="J990" s="120" t="s">
        <v>3</v>
      </c>
    </row>
    <row r="991" spans="1:10" x14ac:dyDescent="0.25">
      <c r="A991" s="126">
        <v>969</v>
      </c>
      <c r="B991" s="119"/>
      <c r="C991" s="136">
        <f>_xll.mirGetDate(C990,"1D","FOLLOWING",D$12,"NORMAL")</f>
        <v>43825</v>
      </c>
      <c r="D991" s="20">
        <f>_xll.mirGetDate(C991,D$17,"Following",D$12,"Normal")</f>
        <v>43826</v>
      </c>
      <c r="E991" s="134">
        <f ca="1"/>
        <v>1.2713963309671828E-2</v>
      </c>
      <c r="F991" s="7" t="s">
        <v>3</v>
      </c>
      <c r="G991" s="136">
        <f t="shared" si="15"/>
        <v>43825</v>
      </c>
      <c r="H991" s="20">
        <f>_xll.mirGetDate(G991,H$17,"Following",H$12,"Normal")</f>
        <v>43916</v>
      </c>
      <c r="I991" s="134">
        <f ca="1"/>
        <v>1.6811524683118303E-2</v>
      </c>
      <c r="J991" s="120" t="s">
        <v>3</v>
      </c>
    </row>
    <row r="992" spans="1:10" x14ac:dyDescent="0.25">
      <c r="A992" s="126">
        <v>970</v>
      </c>
      <c r="B992" s="119"/>
      <c r="C992" s="136">
        <f>_xll.mirGetDate(C991,"1D","FOLLOWING",D$12,"NORMAL")</f>
        <v>43826</v>
      </c>
      <c r="D992" s="20">
        <f>_xll.mirGetDate(C992,D$17,"Following",D$12,"Normal")</f>
        <v>43829</v>
      </c>
      <c r="E992" s="134">
        <f ca="1"/>
        <v>1.2725882395603395E-2</v>
      </c>
      <c r="F992" s="7" t="s">
        <v>3</v>
      </c>
      <c r="G992" s="136">
        <f t="shared" si="15"/>
        <v>43826</v>
      </c>
      <c r="H992" s="20">
        <f>_xll.mirGetDate(G992,H$17,"Following",H$12,"Normal")</f>
        <v>43917</v>
      </c>
      <c r="I992" s="134">
        <f ca="1"/>
        <v>1.6817722656861309E-2</v>
      </c>
      <c r="J992" s="120" t="s">
        <v>3</v>
      </c>
    </row>
    <row r="993" spans="1:10" x14ac:dyDescent="0.25">
      <c r="A993" s="126">
        <v>971</v>
      </c>
      <c r="B993" s="119"/>
      <c r="C993" s="136">
        <f>_xll.mirGetDate(C992,"1D","FOLLOWING",D$12,"NORMAL")</f>
        <v>43829</v>
      </c>
      <c r="D993" s="20">
        <f>_xll.mirGetDate(C993,D$17,"Following",D$12,"Normal")</f>
        <v>43830</v>
      </c>
      <c r="E993" s="134">
        <f ca="1"/>
        <v>1.2736772534420782E-2</v>
      </c>
      <c r="F993" s="7" t="s">
        <v>3</v>
      </c>
      <c r="G993" s="136">
        <f t="shared" si="15"/>
        <v>43829</v>
      </c>
      <c r="H993" s="20">
        <f>_xll.mirGetDate(G993,H$17,"Following",H$12,"Normal")</f>
        <v>43920</v>
      </c>
      <c r="I993" s="134">
        <f ca="1"/>
        <v>1.6836285819116833E-2</v>
      </c>
      <c r="J993" s="120" t="s">
        <v>3</v>
      </c>
    </row>
    <row r="994" spans="1:10" x14ac:dyDescent="0.25">
      <c r="A994" s="126">
        <v>972</v>
      </c>
      <c r="B994" s="119"/>
      <c r="C994" s="136">
        <f>_xll.mirGetDate(C993,"1D","FOLLOWING",D$12,"NORMAL")</f>
        <v>43830</v>
      </c>
      <c r="D994" s="20">
        <f>_xll.mirGetDate(C994,D$17,"Following",D$12,"Normal")</f>
        <v>43832</v>
      </c>
      <c r="E994" s="134">
        <f ca="1"/>
        <v>1.271054690946909E-2</v>
      </c>
      <c r="F994" s="7" t="s">
        <v>3</v>
      </c>
      <c r="G994" s="136">
        <f t="shared" si="15"/>
        <v>43830</v>
      </c>
      <c r="H994" s="20">
        <f>_xll.mirGetDate(G994,H$17,"Following",H$12,"Normal")</f>
        <v>43921</v>
      </c>
      <c r="I994" s="134">
        <f ca="1"/>
        <v>1.6842462547754442E-2</v>
      </c>
      <c r="J994" s="120" t="s">
        <v>3</v>
      </c>
    </row>
    <row r="995" spans="1:10" x14ac:dyDescent="0.25">
      <c r="A995" s="126">
        <v>973</v>
      </c>
      <c r="B995" s="119"/>
      <c r="C995" s="136">
        <f>_xll.mirGetDate(C994,"1D","FOLLOWING",D$12,"NORMAL")</f>
        <v>43832</v>
      </c>
      <c r="D995" s="20">
        <f>_xll.mirGetDate(C995,D$17,"Following",D$12,"Normal")</f>
        <v>43833</v>
      </c>
      <c r="E995" s="134">
        <f ca="1"/>
        <v>1.2718588419566901E-2</v>
      </c>
      <c r="F995" s="7" t="s">
        <v>3</v>
      </c>
      <c r="G995" s="136">
        <f t="shared" si="15"/>
        <v>43832</v>
      </c>
      <c r="H995" s="20">
        <f>_xll.mirGetDate(G995,H$17,"Following",H$12,"Normal")</f>
        <v>43923</v>
      </c>
      <c r="I995" s="134">
        <f ca="1"/>
        <v>1.6854764516079899E-2</v>
      </c>
      <c r="J995" s="120" t="s">
        <v>3</v>
      </c>
    </row>
    <row r="996" spans="1:10" x14ac:dyDescent="0.25">
      <c r="A996" s="126">
        <v>974</v>
      </c>
      <c r="B996" s="119"/>
      <c r="C996" s="136">
        <f>_xll.mirGetDate(C995,"1D","FOLLOWING",D$12,"NORMAL")</f>
        <v>43833</v>
      </c>
      <c r="D996" s="20">
        <f>_xll.mirGetDate(C996,D$17,"Following",D$12,"Normal")</f>
        <v>43836</v>
      </c>
      <c r="E996" s="134">
        <f ca="1"/>
        <v>1.2729905729935754E-2</v>
      </c>
      <c r="F996" s="7" t="s">
        <v>3</v>
      </c>
      <c r="G996" s="136">
        <f t="shared" si="15"/>
        <v>43833</v>
      </c>
      <c r="H996" s="20">
        <f>_xll.mirGetDate(G996,H$17,"Following",H$12,"Normal")</f>
        <v>43924</v>
      </c>
      <c r="I996" s="134">
        <f ca="1"/>
        <v>1.686090620001689E-2</v>
      </c>
      <c r="J996" s="120" t="s">
        <v>3</v>
      </c>
    </row>
    <row r="997" spans="1:10" x14ac:dyDescent="0.25">
      <c r="A997" s="126">
        <v>975</v>
      </c>
      <c r="B997" s="119"/>
      <c r="C997" s="136">
        <f>_xll.mirGetDate(C996,"1D","FOLLOWING",D$12,"NORMAL")</f>
        <v>43836</v>
      </c>
      <c r="D997" s="20">
        <f>_xll.mirGetDate(C997,D$17,"Following",D$12,"Normal")</f>
        <v>43837</v>
      </c>
      <c r="E997" s="134">
        <f ca="1"/>
        <v>1.2740194459082373E-2</v>
      </c>
      <c r="F997" s="7" t="s">
        <v>3</v>
      </c>
      <c r="G997" s="136">
        <f t="shared" si="15"/>
        <v>43836</v>
      </c>
      <c r="H997" s="20">
        <f>_xll.mirGetDate(G997,H$17,"Following",H$12,"Normal")</f>
        <v>43927</v>
      </c>
      <c r="I997" s="134">
        <f ca="1"/>
        <v>1.6879291411832534E-2</v>
      </c>
      <c r="J997" s="120" t="s">
        <v>3</v>
      </c>
    </row>
    <row r="998" spans="1:10" x14ac:dyDescent="0.25">
      <c r="A998" s="126">
        <v>976</v>
      </c>
      <c r="B998" s="119"/>
      <c r="C998" s="136">
        <f>_xll.mirGetDate(C997,"1D","FOLLOWING",D$12,"NORMAL")</f>
        <v>43837</v>
      </c>
      <c r="D998" s="20">
        <f>_xll.mirGetDate(C998,D$17,"Following",D$12,"Normal")</f>
        <v>43838</v>
      </c>
      <c r="E998" s="134">
        <f ca="1"/>
        <v>1.274549969061849E-2</v>
      </c>
      <c r="F998" s="7" t="s">
        <v>3</v>
      </c>
      <c r="G998" s="136">
        <f t="shared" si="15"/>
        <v>43837</v>
      </c>
      <c r="H998" s="20">
        <f>_xll.mirGetDate(G998,H$17,"Following",H$12,"Normal")</f>
        <v>43928</v>
      </c>
      <c r="I998" s="134">
        <f ca="1"/>
        <v>1.6885405802691416E-2</v>
      </c>
      <c r="J998" s="120" t="s">
        <v>3</v>
      </c>
    </row>
    <row r="999" spans="1:10" x14ac:dyDescent="0.25">
      <c r="A999" s="126">
        <v>977</v>
      </c>
      <c r="B999" s="119"/>
      <c r="C999" s="136">
        <f>_xll.mirGetDate(C998,"1D","FOLLOWING",D$12,"NORMAL")</f>
        <v>43838</v>
      </c>
      <c r="D999" s="20">
        <f>_xll.mirGetDate(C999,D$17,"Following",D$12,"Normal")</f>
        <v>43839</v>
      </c>
      <c r="E999" s="134">
        <f ca="1"/>
        <v>1.2750766400166969E-2</v>
      </c>
      <c r="F999" s="7" t="s">
        <v>3</v>
      </c>
      <c r="G999" s="136">
        <f t="shared" si="15"/>
        <v>43838</v>
      </c>
      <c r="H999" s="20">
        <f>_xll.mirGetDate(G999,H$17,"Following",H$12,"Normal")</f>
        <v>43929</v>
      </c>
      <c r="I999" s="134">
        <f ca="1"/>
        <v>1.6891512820469849E-2</v>
      </c>
      <c r="J999" s="120" t="s">
        <v>3</v>
      </c>
    </row>
    <row r="1000" spans="1:10" x14ac:dyDescent="0.25">
      <c r="A1000" s="126">
        <v>978</v>
      </c>
      <c r="B1000" s="119"/>
      <c r="C1000" s="136">
        <f>_xll.mirGetDate(C999,"1D","FOLLOWING",D$12,"NORMAL")</f>
        <v>43839</v>
      </c>
      <c r="D1000" s="20">
        <f>_xll.mirGetDate(C1000,D$17,"Following",D$12,"Normal")</f>
        <v>43840</v>
      </c>
      <c r="E1000" s="134">
        <f ca="1"/>
        <v>1.2755994582613939E-2</v>
      </c>
      <c r="F1000" s="7" t="s">
        <v>3</v>
      </c>
      <c r="G1000" s="136">
        <f t="shared" si="15"/>
        <v>43839</v>
      </c>
      <c r="H1000" s="20">
        <f>_xll.mirGetDate(G1000,H$17,"Following",H$12,"Normal")</f>
        <v>43930</v>
      </c>
      <c r="I1000" s="134">
        <f ca="1"/>
        <v>1.6897612245243478E-2</v>
      </c>
      <c r="J1000" s="120" t="s">
        <v>3</v>
      </c>
    </row>
    <row r="1001" spans="1:10" x14ac:dyDescent="0.25">
      <c r="A1001" s="126">
        <v>979</v>
      </c>
      <c r="B1001" s="119"/>
      <c r="C1001" s="136">
        <f>_xll.mirGetDate(C1000,"1D","FOLLOWING",D$12,"NORMAL")</f>
        <v>43840</v>
      </c>
      <c r="D1001" s="20">
        <f>_xll.mirGetDate(C1001,D$17,"Following",D$12,"Normal")</f>
        <v>43843</v>
      </c>
      <c r="E1001" s="134">
        <f ca="1"/>
        <v>1.2766775222088401E-2</v>
      </c>
      <c r="F1001" s="7" t="s">
        <v>3</v>
      </c>
      <c r="G1001" s="136">
        <f t="shared" si="15"/>
        <v>43840</v>
      </c>
      <c r="H1001" s="20">
        <f>_xll.mirGetDate(G1001,H$17,"Following",H$12,"Normal")</f>
        <v>43931</v>
      </c>
      <c r="I1001" s="134">
        <f ca="1"/>
        <v>1.6903703857087924E-2</v>
      </c>
      <c r="J1001" s="120" t="s">
        <v>3</v>
      </c>
    </row>
    <row r="1002" spans="1:10" x14ac:dyDescent="0.25">
      <c r="A1002" s="126">
        <v>980</v>
      </c>
      <c r="B1002" s="119"/>
      <c r="C1002" s="136">
        <f>_xll.mirGetDate(C1001,"1D","FOLLOWING",D$12,"NORMAL")</f>
        <v>43843</v>
      </c>
      <c r="D1002" s="20">
        <f>_xll.mirGetDate(C1002,D$17,"Following",D$12,"Normal")</f>
        <v>43844</v>
      </c>
      <c r="E1002" s="134">
        <f ca="1"/>
        <v>1.2776521935471453E-2</v>
      </c>
      <c r="F1002" s="7" t="s">
        <v>3</v>
      </c>
      <c r="G1002" s="136">
        <f t="shared" si="15"/>
        <v>43843</v>
      </c>
      <c r="H1002" s="20">
        <f>_xll.mirGetDate(G1002,H$17,"Following",H$12,"Normal")</f>
        <v>43934</v>
      </c>
      <c r="I1002" s="134">
        <f ca="1"/>
        <v>1.6921929615802533E-2</v>
      </c>
      <c r="J1002" s="120" t="s">
        <v>3</v>
      </c>
    </row>
    <row r="1003" spans="1:10" x14ac:dyDescent="0.25">
      <c r="A1003" s="126">
        <v>981</v>
      </c>
      <c r="B1003" s="119"/>
      <c r="C1003" s="136">
        <f>_xll.mirGetDate(C1002,"1D","FOLLOWING",D$12,"NORMAL")</f>
        <v>43844</v>
      </c>
      <c r="D1003" s="20">
        <f>_xll.mirGetDate(C1003,D$17,"Following",D$12,"Normal")</f>
        <v>43845</v>
      </c>
      <c r="E1003" s="134">
        <f ca="1"/>
        <v>1.27815574028745E-2</v>
      </c>
      <c r="F1003" s="7" t="s">
        <v>3</v>
      </c>
      <c r="G1003" s="136">
        <f t="shared" si="15"/>
        <v>43844</v>
      </c>
      <c r="H1003" s="20">
        <f>_xll.mirGetDate(G1003,H$17,"Following",H$12,"Normal")</f>
        <v>43935</v>
      </c>
      <c r="I1003" s="134">
        <f ca="1"/>
        <v>1.6927987776686606E-2</v>
      </c>
      <c r="J1003" s="120" t="s">
        <v>3</v>
      </c>
    </row>
    <row r="1004" spans="1:10" x14ac:dyDescent="0.25">
      <c r="A1004" s="126">
        <v>982</v>
      </c>
      <c r="B1004" s="119"/>
      <c r="C1004" s="136">
        <f>_xll.mirGetDate(C1003,"1D","FOLLOWING",D$12,"NORMAL")</f>
        <v>43845</v>
      </c>
      <c r="D1004" s="20">
        <f>_xll.mirGetDate(C1004,D$17,"Following",D$12,"Normal")</f>
        <v>43846</v>
      </c>
      <c r="E1004" s="134">
        <f ca="1"/>
        <v>1.2786554311601295E-2</v>
      </c>
      <c r="F1004" s="7" t="s">
        <v>3</v>
      </c>
      <c r="G1004" s="136">
        <f t="shared" si="15"/>
        <v>43845</v>
      </c>
      <c r="H1004" s="20">
        <f>_xll.mirGetDate(G1004,H$17,"Following",H$12,"Normal")</f>
        <v>43936</v>
      </c>
      <c r="I1004" s="134">
        <f ca="1"/>
        <v>1.6934037025019662E-2</v>
      </c>
      <c r="J1004" s="120" t="s">
        <v>3</v>
      </c>
    </row>
    <row r="1005" spans="1:10" x14ac:dyDescent="0.25">
      <c r="A1005" s="126">
        <v>983</v>
      </c>
      <c r="B1005" s="119"/>
      <c r="C1005" s="136">
        <f>_xll.mirGetDate(C1004,"1D","FOLLOWING",D$12,"NORMAL")</f>
        <v>43846</v>
      </c>
      <c r="D1005" s="20">
        <f>_xll.mirGetDate(C1005,D$17,"Following",D$12,"Normal")</f>
        <v>43847</v>
      </c>
      <c r="E1005" s="134">
        <f ca="1"/>
        <v>1.2791512655976379E-2</v>
      </c>
      <c r="F1005" s="7" t="s">
        <v>3</v>
      </c>
      <c r="G1005" s="136">
        <f t="shared" si="15"/>
        <v>43846</v>
      </c>
      <c r="H1005" s="20">
        <f>_xll.mirGetDate(G1005,H$17,"Following",H$12,"Normal")</f>
        <v>43937</v>
      </c>
      <c r="I1005" s="134">
        <f ca="1"/>
        <v>1.6940077140877346E-2</v>
      </c>
      <c r="J1005" s="120" t="s">
        <v>3</v>
      </c>
    </row>
    <row r="1006" spans="1:10" x14ac:dyDescent="0.25">
      <c r="A1006" s="126">
        <v>984</v>
      </c>
      <c r="B1006" s="119"/>
      <c r="C1006" s="136">
        <f>_xll.mirGetDate(C1005,"1D","FOLLOWING",D$12,"NORMAL")</f>
        <v>43847</v>
      </c>
      <c r="D1006" s="20">
        <f>_xll.mirGetDate(C1006,D$17,"Following",D$12,"Normal")</f>
        <v>43851</v>
      </c>
      <c r="E1006" s="134">
        <f ca="1"/>
        <v>1.2804398729044975E-2</v>
      </c>
      <c r="F1006" s="7" t="s">
        <v>3</v>
      </c>
      <c r="G1006" s="136">
        <f t="shared" si="15"/>
        <v>43847</v>
      </c>
      <c r="H1006" s="20">
        <f>_xll.mirGetDate(G1006,H$17,"Following",H$12,"Normal")</f>
        <v>43938</v>
      </c>
      <c r="I1006" s="134">
        <f ca="1"/>
        <v>1.6946107904335286E-2</v>
      </c>
      <c r="J1006" s="120" t="s">
        <v>3</v>
      </c>
    </row>
    <row r="1007" spans="1:10" x14ac:dyDescent="0.25">
      <c r="A1007" s="126">
        <v>985</v>
      </c>
      <c r="B1007" s="119"/>
      <c r="C1007" s="136">
        <f>_xll.mirGetDate(C1006,"1D","FOLLOWING",D$12,"NORMAL")</f>
        <v>43851</v>
      </c>
      <c r="D1007" s="20">
        <f>_xll.mirGetDate(C1007,D$17,"Following",D$12,"Normal")</f>
        <v>43852</v>
      </c>
      <c r="E1007" s="134">
        <f ca="1"/>
        <v>1.2815725729602479E-2</v>
      </c>
      <c r="F1007" s="7" t="s">
        <v>3</v>
      </c>
      <c r="G1007" s="136">
        <f t="shared" si="15"/>
        <v>43851</v>
      </c>
      <c r="H1007" s="20">
        <f>_xll.mirGetDate(G1007,H$17,"Following",H$12,"Normal")</f>
        <v>43942</v>
      </c>
      <c r="I1007" s="134">
        <f ca="1"/>
        <v>1.6970133035682265E-2</v>
      </c>
      <c r="J1007" s="120" t="s">
        <v>3</v>
      </c>
    </row>
    <row r="1008" spans="1:10" x14ac:dyDescent="0.25">
      <c r="A1008" s="126">
        <v>986</v>
      </c>
      <c r="B1008" s="119"/>
      <c r="C1008" s="136">
        <f>_xll.mirGetDate(C1007,"1D","FOLLOWING",D$12,"NORMAL")</f>
        <v>43852</v>
      </c>
      <c r="D1008" s="20">
        <f>_xll.mirGetDate(C1008,D$17,"Following",D$12,"Normal")</f>
        <v>43853</v>
      </c>
      <c r="E1008" s="134">
        <f ca="1"/>
        <v>1.282045257715585E-2</v>
      </c>
      <c r="F1008" s="7" t="s">
        <v>3</v>
      </c>
      <c r="G1008" s="136">
        <f t="shared" si="15"/>
        <v>43852</v>
      </c>
      <c r="H1008" s="20">
        <f>_xll.mirGetDate(G1008,H$17,"Following",H$12,"Normal")</f>
        <v>43943</v>
      </c>
      <c r="I1008" s="134">
        <f ca="1"/>
        <v>1.6976113738275986E-2</v>
      </c>
      <c r="J1008" s="120" t="s">
        <v>3</v>
      </c>
    </row>
    <row r="1009" spans="1:10" x14ac:dyDescent="0.25">
      <c r="A1009" s="126">
        <v>987</v>
      </c>
      <c r="B1009" s="119"/>
      <c r="C1009" s="136">
        <f>_xll.mirGetDate(C1008,"1D","FOLLOWING",D$12,"NORMAL")</f>
        <v>43853</v>
      </c>
      <c r="D1009" s="20">
        <f>_xll.mirGetDate(C1009,D$17,"Following",D$12,"Normal")</f>
        <v>43854</v>
      </c>
      <c r="E1009" s="134">
        <f ca="1"/>
        <v>1.2825140823267179E-2</v>
      </c>
      <c r="F1009" s="7" t="s">
        <v>3</v>
      </c>
      <c r="G1009" s="136">
        <f t="shared" si="15"/>
        <v>43853</v>
      </c>
      <c r="H1009" s="20">
        <f>_xll.mirGetDate(G1009,H$17,"Following",H$12,"Normal")</f>
        <v>43944</v>
      </c>
      <c r="I1009" s="134">
        <f ca="1"/>
        <v>1.6982083768923763E-2</v>
      </c>
      <c r="J1009" s="120" t="s">
        <v>3</v>
      </c>
    </row>
    <row r="1010" spans="1:10" x14ac:dyDescent="0.25">
      <c r="A1010" s="126">
        <v>988</v>
      </c>
      <c r="B1010" s="119"/>
      <c r="C1010" s="136">
        <f>_xll.mirGetDate(C1009,"1D","FOLLOWING",D$12,"NORMAL")</f>
        <v>43854</v>
      </c>
      <c r="D1010" s="20">
        <f>_xll.mirGetDate(C1010,D$17,"Following",D$12,"Normal")</f>
        <v>43857</v>
      </c>
      <c r="E1010" s="134">
        <f ca="1"/>
        <v>1.2834846182343585E-2</v>
      </c>
      <c r="F1010" s="7" t="s">
        <v>3</v>
      </c>
      <c r="G1010" s="136">
        <f t="shared" si="15"/>
        <v>43854</v>
      </c>
      <c r="H1010" s="20">
        <f>_xll.mirGetDate(G1010,H$17,"Following",H$12,"Normal")</f>
        <v>43945</v>
      </c>
      <c r="I1010" s="134">
        <f ca="1"/>
        <v>1.6988042907701228E-2</v>
      </c>
      <c r="J1010" s="120" t="s">
        <v>3</v>
      </c>
    </row>
    <row r="1011" spans="1:10" x14ac:dyDescent="0.25">
      <c r="A1011" s="126">
        <v>989</v>
      </c>
      <c r="B1011" s="119"/>
      <c r="C1011" s="136">
        <f>_xll.mirGetDate(C1010,"1D","FOLLOWING",D$12,"NORMAL")</f>
        <v>43857</v>
      </c>
      <c r="D1011" s="20">
        <f>_xll.mirGetDate(C1011,D$17,"Following",D$12,"Normal")</f>
        <v>43858</v>
      </c>
      <c r="E1011" s="134">
        <f ca="1"/>
        <v>1.2843507685618195E-2</v>
      </c>
      <c r="F1011" s="7" t="s">
        <v>3</v>
      </c>
      <c r="G1011" s="136">
        <f t="shared" si="15"/>
        <v>43857</v>
      </c>
      <c r="H1011" s="20">
        <f>_xll.mirGetDate(G1011,H$17,"Following",H$12,"Normal")</f>
        <v>43948</v>
      </c>
      <c r="I1011" s="134">
        <f ca="1"/>
        <v>1.70058527735681E-2</v>
      </c>
      <c r="J1011" s="120" t="s">
        <v>3</v>
      </c>
    </row>
    <row r="1012" spans="1:10" x14ac:dyDescent="0.25">
      <c r="A1012" s="126">
        <v>990</v>
      </c>
      <c r="B1012" s="119"/>
      <c r="C1012" s="136">
        <f>_xll.mirGetDate(C1011,"1D","FOLLOWING",D$12,"NORMAL")</f>
        <v>43858</v>
      </c>
      <c r="D1012" s="20">
        <f>_xll.mirGetDate(C1012,D$17,"Following",D$12,"Normal")</f>
        <v>43859</v>
      </c>
      <c r="E1012" s="134">
        <f ca="1"/>
        <v>1.2848002843943763E-2</v>
      </c>
      <c r="F1012" s="7" t="s">
        <v>3</v>
      </c>
      <c r="G1012" s="136">
        <f t="shared" si="15"/>
        <v>43858</v>
      </c>
      <c r="H1012" s="20">
        <f>_xll.mirGetDate(G1012,H$17,"Following",H$12,"Normal")</f>
        <v>43949</v>
      </c>
      <c r="I1012" s="134">
        <f ca="1"/>
        <v>1.7011766145620659E-2</v>
      </c>
      <c r="J1012" s="120" t="s">
        <v>3</v>
      </c>
    </row>
    <row r="1013" spans="1:10" x14ac:dyDescent="0.25">
      <c r="A1013" s="126">
        <v>991</v>
      </c>
      <c r="B1013" s="119"/>
      <c r="C1013" s="136">
        <f>_xll.mirGetDate(C1012,"1D","FOLLOWING",D$12,"NORMAL")</f>
        <v>43859</v>
      </c>
      <c r="D1013" s="20">
        <f>_xll.mirGetDate(C1013,D$17,"Following",D$12,"Normal")</f>
        <v>43860</v>
      </c>
      <c r="E1013" s="134">
        <f ca="1"/>
        <v>1.2852459368451131E-2</v>
      </c>
      <c r="F1013" s="7" t="s">
        <v>3</v>
      </c>
      <c r="G1013" s="136">
        <f t="shared" si="15"/>
        <v>43859</v>
      </c>
      <c r="H1013" s="20">
        <f>_xll.mirGetDate(G1013,H$17,"Following",H$12,"Normal")</f>
        <v>43950</v>
      </c>
      <c r="I1013" s="134">
        <f ca="1"/>
        <v>1.7017667526181078E-2</v>
      </c>
      <c r="J1013" s="120" t="s">
        <v>3</v>
      </c>
    </row>
    <row r="1014" spans="1:10" x14ac:dyDescent="0.25">
      <c r="A1014" s="126">
        <v>992</v>
      </c>
      <c r="B1014" s="119"/>
      <c r="C1014" s="136">
        <f>_xll.mirGetDate(C1013,"1D","FOLLOWING",D$12,"NORMAL")</f>
        <v>43860</v>
      </c>
      <c r="D1014" s="20">
        <f>_xll.mirGetDate(C1014,D$17,"Following",D$12,"Normal")</f>
        <v>43861</v>
      </c>
      <c r="E1014" s="134">
        <f ca="1"/>
        <v>1.2856877253872736E-2</v>
      </c>
      <c r="F1014" s="7" t="s">
        <v>3</v>
      </c>
      <c r="G1014" s="136">
        <f t="shared" si="15"/>
        <v>43860</v>
      </c>
      <c r="H1014" s="20">
        <f>_xll.mirGetDate(G1014,H$17,"Following",H$12,"Normal")</f>
        <v>43951</v>
      </c>
      <c r="I1014" s="134">
        <f ca="1"/>
        <v>1.7023556695324987E-2</v>
      </c>
      <c r="J1014" s="120" t="s">
        <v>3</v>
      </c>
    </row>
    <row r="1015" spans="1:10" x14ac:dyDescent="0.25">
      <c r="A1015" s="126">
        <v>993</v>
      </c>
      <c r="B1015" s="119"/>
      <c r="C1015" s="136">
        <f>_xll.mirGetDate(C1014,"1D","FOLLOWING",D$12,"NORMAL")</f>
        <v>43861</v>
      </c>
      <c r="D1015" s="20">
        <f>_xll.mirGetDate(C1015,D$17,"Following",D$12,"Normal")</f>
        <v>43864</v>
      </c>
      <c r="E1015" s="134">
        <f ca="1"/>
        <v>1.2866043993210922E-2</v>
      </c>
      <c r="F1015" s="7" t="s">
        <v>3</v>
      </c>
      <c r="G1015" s="136">
        <f t="shared" si="15"/>
        <v>43861</v>
      </c>
      <c r="H1015" s="20">
        <f>_xll.mirGetDate(G1015,H$17,"Following",H$12,"Normal")</f>
        <v>43951</v>
      </c>
      <c r="I1015" s="134">
        <f ca="1"/>
        <v>1.7029433433128016E-2</v>
      </c>
      <c r="J1015" s="120" t="s">
        <v>3</v>
      </c>
    </row>
    <row r="1016" spans="1:10" x14ac:dyDescent="0.25">
      <c r="A1016" s="126">
        <v>994</v>
      </c>
      <c r="B1016" s="119"/>
      <c r="C1016" s="136">
        <f>_xll.mirGetDate(C1015,"1D","FOLLOWING",D$12,"NORMAL")</f>
        <v>43864</v>
      </c>
      <c r="D1016" s="20">
        <f>_xll.mirGetDate(C1016,D$17,"Following",D$12,"Normal")</f>
        <v>43865</v>
      </c>
      <c r="E1016" s="134">
        <f ca="1"/>
        <v>1.2874162297029529E-2</v>
      </c>
      <c r="F1016" s="7" t="s">
        <v>3</v>
      </c>
      <c r="G1016" s="136">
        <f t="shared" si="15"/>
        <v>43864</v>
      </c>
      <c r="H1016" s="20">
        <f>_xll.mirGetDate(G1016,H$17,"Following",H$12,"Normal")</f>
        <v>43955</v>
      </c>
      <c r="I1016" s="134">
        <f ca="1"/>
        <v>1.704698685924819E-2</v>
      </c>
      <c r="J1016" s="120" t="s">
        <v>3</v>
      </c>
    </row>
    <row r="1017" spans="1:10" x14ac:dyDescent="0.25">
      <c r="A1017" s="126">
        <v>995</v>
      </c>
      <c r="B1017" s="119"/>
      <c r="C1017" s="136">
        <f>_xll.mirGetDate(C1016,"1D","FOLLOWING",D$12,"NORMAL")</f>
        <v>43865</v>
      </c>
      <c r="D1017" s="20">
        <f>_xll.mirGetDate(C1017,D$17,"Following",D$12,"Normal")</f>
        <v>43866</v>
      </c>
      <c r="E1017" s="134">
        <f ca="1"/>
        <v>1.2878386906008052E-2</v>
      </c>
      <c r="F1017" s="7" t="s">
        <v>3</v>
      </c>
      <c r="G1017" s="136">
        <f t="shared" si="15"/>
        <v>43865</v>
      </c>
      <c r="H1017" s="20">
        <f>_xll.mirGetDate(G1017,H$17,"Following",H$12,"Normal")</f>
        <v>43955</v>
      </c>
      <c r="I1017" s="134">
        <f ca="1"/>
        <v>1.7052811672444049E-2</v>
      </c>
      <c r="J1017" s="120" t="s">
        <v>3</v>
      </c>
    </row>
    <row r="1018" spans="1:10" x14ac:dyDescent="0.25">
      <c r="A1018" s="126">
        <v>996</v>
      </c>
      <c r="B1018" s="119"/>
      <c r="C1018" s="136">
        <f>_xll.mirGetDate(C1017,"1D","FOLLOWING",D$12,"NORMAL")</f>
        <v>43866</v>
      </c>
      <c r="D1018" s="20">
        <f>_xll.mirGetDate(C1018,D$17,"Following",D$12,"Normal")</f>
        <v>43867</v>
      </c>
      <c r="E1018" s="134">
        <f ca="1"/>
        <v>1.2882572843608716E-2</v>
      </c>
      <c r="F1018" s="7" t="s">
        <v>3</v>
      </c>
      <c r="G1018" s="136">
        <f t="shared" si="15"/>
        <v>43866</v>
      </c>
      <c r="H1018" s="20">
        <f>_xll.mirGetDate(G1018,H$17,"Following",H$12,"Normal")</f>
        <v>43956</v>
      </c>
      <c r="I1018" s="134">
        <f ca="1"/>
        <v>1.7058622954677197E-2</v>
      </c>
      <c r="J1018" s="120" t="s">
        <v>3</v>
      </c>
    </row>
    <row r="1019" spans="1:10" x14ac:dyDescent="0.25">
      <c r="A1019" s="126">
        <v>997</v>
      </c>
      <c r="B1019" s="119"/>
      <c r="C1019" s="136">
        <f>_xll.mirGetDate(C1018,"1D","FOLLOWING",D$12,"NORMAL")</f>
        <v>43867</v>
      </c>
      <c r="D1019" s="20">
        <f>_xll.mirGetDate(C1019,D$17,"Following",D$12,"Normal")</f>
        <v>43868</v>
      </c>
      <c r="E1019" s="134">
        <f ca="1"/>
        <v>1.2886720104219524E-2</v>
      </c>
      <c r="F1019" s="7" t="s">
        <v>3</v>
      </c>
      <c r="G1019" s="136">
        <f t="shared" si="15"/>
        <v>43867</v>
      </c>
      <c r="H1019" s="20">
        <f>_xll.mirGetDate(G1019,H$17,"Following",H$12,"Normal")</f>
        <v>43957</v>
      </c>
      <c r="I1019" s="134">
        <f ca="1"/>
        <v>1.7064420486023274E-2</v>
      </c>
      <c r="J1019" s="120" t="s">
        <v>3</v>
      </c>
    </row>
    <row r="1020" spans="1:10" x14ac:dyDescent="0.25">
      <c r="A1020" s="126">
        <v>998</v>
      </c>
      <c r="B1020" s="119"/>
      <c r="C1020" s="136">
        <f>_xll.mirGetDate(C1019,"1D","FOLLOWING",D$12,"NORMAL")</f>
        <v>43868</v>
      </c>
      <c r="D1020" s="20">
        <f>_xll.mirGetDate(C1020,D$17,"Following",D$12,"Normal")</f>
        <v>43871</v>
      </c>
      <c r="E1020" s="134">
        <f ca="1"/>
        <v>1.2895347564328597E-2</v>
      </c>
      <c r="F1020" s="7" t="s">
        <v>3</v>
      </c>
      <c r="G1020" s="136">
        <f t="shared" si="15"/>
        <v>43868</v>
      </c>
      <c r="H1020" s="20">
        <f>_xll.mirGetDate(G1020,H$17,"Following",H$12,"Normal")</f>
        <v>43958</v>
      </c>
      <c r="I1020" s="134">
        <f ca="1"/>
        <v>1.7070204046557909E-2</v>
      </c>
      <c r="J1020" s="120" t="s">
        <v>3</v>
      </c>
    </row>
    <row r="1021" spans="1:10" x14ac:dyDescent="0.25">
      <c r="A1021" s="126">
        <v>999</v>
      </c>
      <c r="B1021" s="119"/>
      <c r="C1021" s="136">
        <f>_xll.mirGetDate(C1020,"1D","FOLLOWING",D$12,"NORMAL")</f>
        <v>43871</v>
      </c>
      <c r="D1021" s="20">
        <f>_xll.mirGetDate(C1021,D$17,"Following",D$12,"Normal")</f>
        <v>43872</v>
      </c>
      <c r="E1021" s="134">
        <f ca="1"/>
        <v>1.2902922268949383E-2</v>
      </c>
      <c r="F1021" s="7" t="s">
        <v>3</v>
      </c>
      <c r="G1021" s="136">
        <f t="shared" si="15"/>
        <v>43871</v>
      </c>
      <c r="H1021" s="20">
        <f>_xll.mirGetDate(G1021,H$17,"Following",H$12,"Normal")</f>
        <v>43962</v>
      </c>
      <c r="I1021" s="134">
        <f ca="1"/>
        <v>1.7087468704049487E-2</v>
      </c>
      <c r="J1021" s="120" t="s">
        <v>3</v>
      </c>
    </row>
    <row r="1022" spans="1:10" x14ac:dyDescent="0.25">
      <c r="A1022" s="126">
        <v>1000</v>
      </c>
      <c r="B1022" s="119"/>
      <c r="C1022" s="136">
        <f>_xll.mirGetDate(C1021,"1D","FOLLOWING",D$12,"NORMAL")</f>
        <v>43872</v>
      </c>
      <c r="D1022" s="20">
        <f>_xll.mirGetDate(C1022,D$17,"Following",D$12,"Normal")</f>
        <v>43873</v>
      </c>
      <c r="E1022" s="134">
        <f ca="1"/>
        <v>1.2906876063445316E-2</v>
      </c>
      <c r="F1022" s="7" t="s">
        <v>3</v>
      </c>
      <c r="G1022" s="136">
        <f t="shared" si="15"/>
        <v>43872</v>
      </c>
      <c r="H1022" s="20">
        <f>_xll.mirGetDate(G1022,H$17,"Following",H$12,"Normal")</f>
        <v>43962</v>
      </c>
      <c r="I1022" s="134">
        <f ca="1"/>
        <v>1.7093194182094686E-2</v>
      </c>
      <c r="J1022" s="120" t="s">
        <v>3</v>
      </c>
    </row>
    <row r="1023" spans="1:10" x14ac:dyDescent="0.25">
      <c r="A1023" s="126">
        <v>1001</v>
      </c>
      <c r="B1023" s="119"/>
      <c r="C1023" s="136">
        <f>_xll.mirGetDate(C1022,"1D","FOLLOWING",D$12,"NORMAL")</f>
        <v>43873</v>
      </c>
      <c r="D1023" s="20">
        <f>_xll.mirGetDate(C1023,D$17,"Following",D$12,"Normal")</f>
        <v>43874</v>
      </c>
      <c r="E1023" s="134">
        <f ca="1"/>
        <v>1.2910791148257531E-2</v>
      </c>
      <c r="F1023" s="7" t="s">
        <v>3</v>
      </c>
      <c r="G1023" s="136">
        <f t="shared" si="15"/>
        <v>43873</v>
      </c>
      <c r="H1023" s="20">
        <f>_xll.mirGetDate(G1023,H$17,"Following",H$12,"Normal")</f>
        <v>43963</v>
      </c>
      <c r="I1023" s="134">
        <f ca="1"/>
        <v>1.7098904589706608E-2</v>
      </c>
      <c r="J1023" s="120" t="s">
        <v>3</v>
      </c>
    </row>
    <row r="1024" spans="1:10" x14ac:dyDescent="0.25">
      <c r="A1024" s="126">
        <v>1002</v>
      </c>
      <c r="B1024" s="119"/>
      <c r="C1024" s="136">
        <f>_xll.mirGetDate(C1023,"1D","FOLLOWING",D$12,"NORMAL")</f>
        <v>43874</v>
      </c>
      <c r="D1024" s="20">
        <f>_xll.mirGetDate(C1024,D$17,"Following",D$12,"Normal")</f>
        <v>43875</v>
      </c>
      <c r="E1024" s="134">
        <f ca="1"/>
        <v>1.2914667518286628E-2</v>
      </c>
      <c r="F1024" s="7" t="s">
        <v>3</v>
      </c>
      <c r="G1024" s="136">
        <f t="shared" si="15"/>
        <v>43874</v>
      </c>
      <c r="H1024" s="20">
        <f>_xll.mirGetDate(G1024,H$17,"Following",H$12,"Normal")</f>
        <v>43964</v>
      </c>
      <c r="I1024" s="134">
        <f ca="1"/>
        <v>1.7104599706960887E-2</v>
      </c>
      <c r="J1024" s="120" t="s">
        <v>3</v>
      </c>
    </row>
    <row r="1025" spans="1:10" x14ac:dyDescent="0.25">
      <c r="A1025" s="126">
        <v>1003</v>
      </c>
      <c r="B1025" s="119"/>
      <c r="C1025" s="136">
        <f>_xll.mirGetDate(C1024,"1D","FOLLOWING",D$12,"NORMAL")</f>
        <v>43875</v>
      </c>
      <c r="D1025" s="20">
        <f>_xll.mirGetDate(C1025,D$17,"Following",D$12,"Normal")</f>
        <v>43879</v>
      </c>
      <c r="E1025" s="134">
        <f ca="1"/>
        <v>1.2924860811913731E-2</v>
      </c>
      <c r="F1025" s="7" t="s">
        <v>3</v>
      </c>
      <c r="G1025" s="136">
        <f t="shared" si="15"/>
        <v>43875</v>
      </c>
      <c r="H1025" s="20">
        <f>_xll.mirGetDate(G1025,H$17,"Following",H$12,"Normal")</f>
        <v>43965</v>
      </c>
      <c r="I1025" s="134">
        <f ca="1"/>
        <v>1.7110279313933156E-2</v>
      </c>
      <c r="J1025" s="120" t="s">
        <v>3</v>
      </c>
    </row>
    <row r="1026" spans="1:10" x14ac:dyDescent="0.25">
      <c r="A1026" s="126">
        <v>1004</v>
      </c>
      <c r="B1026" s="119"/>
      <c r="C1026" s="136">
        <f>_xll.mirGetDate(C1025,"1D","FOLLOWING",D$12,"NORMAL")</f>
        <v>43879</v>
      </c>
      <c r="D1026" s="20">
        <f>_xll.mirGetDate(C1026,D$17,"Following",D$12,"Normal")</f>
        <v>43880</v>
      </c>
      <c r="E1026" s="134">
        <f ca="1"/>
        <v>1.2933468451332896E-2</v>
      </c>
      <c r="F1026" s="7" t="s">
        <v>3</v>
      </c>
      <c r="G1026" s="136">
        <f t="shared" si="15"/>
        <v>43879</v>
      </c>
      <c r="H1026" s="20">
        <f>_xll.mirGetDate(G1026,H$17,"Following",H$12,"Normal")</f>
        <v>43969</v>
      </c>
      <c r="I1026" s="134">
        <f ca="1"/>
        <v>1.7132838240514828E-2</v>
      </c>
      <c r="J1026" s="120" t="s">
        <v>3</v>
      </c>
    </row>
    <row r="1027" spans="1:10" x14ac:dyDescent="0.25">
      <c r="A1027" s="126">
        <v>1005</v>
      </c>
      <c r="B1027" s="119"/>
      <c r="C1027" s="136">
        <f>_xll.mirGetDate(C1026,"1D","FOLLOWING",D$12,"NORMAL")</f>
        <v>43880</v>
      </c>
      <c r="D1027" s="20">
        <f>_xll.mirGetDate(C1027,D$17,"Following",D$12,"Normal")</f>
        <v>43881</v>
      </c>
      <c r="E1027" s="134">
        <f ca="1"/>
        <v>1.2937112416226864E-2</v>
      </c>
      <c r="F1027" s="7" t="s">
        <v>3</v>
      </c>
      <c r="G1027" s="136">
        <f t="shared" si="15"/>
        <v>43880</v>
      </c>
      <c r="H1027" s="20">
        <f>_xll.mirGetDate(G1027,H$17,"Following",H$12,"Normal")</f>
        <v>43970</v>
      </c>
      <c r="I1027" s="134">
        <f ca="1"/>
        <v>1.713843699721156E-2</v>
      </c>
      <c r="J1027" s="120" t="s">
        <v>3</v>
      </c>
    </row>
    <row r="1028" spans="1:10" x14ac:dyDescent="0.25">
      <c r="A1028" s="126">
        <v>1006</v>
      </c>
      <c r="B1028" s="119"/>
      <c r="C1028" s="136">
        <f>_xll.mirGetDate(C1027,"1D","FOLLOWING",D$12,"NORMAL")</f>
        <v>43881</v>
      </c>
      <c r="D1028" s="20">
        <f>_xll.mirGetDate(C1028,D$17,"Following",D$12,"Normal")</f>
        <v>43882</v>
      </c>
      <c r="E1028" s="134">
        <f ca="1"/>
        <v>1.2940717627951879E-2</v>
      </c>
      <c r="F1028" s="7" t="s">
        <v>3</v>
      </c>
      <c r="G1028" s="136">
        <f t="shared" si="15"/>
        <v>43881</v>
      </c>
      <c r="H1028" s="20">
        <f>_xll.mirGetDate(G1028,H$17,"Following",H$12,"Normal")</f>
        <v>43971</v>
      </c>
      <c r="I1028" s="134">
        <f ca="1"/>
        <v>1.7144018924080084E-2</v>
      </c>
      <c r="J1028" s="120" t="s">
        <v>3</v>
      </c>
    </row>
    <row r="1029" spans="1:10" x14ac:dyDescent="0.25">
      <c r="A1029" s="126">
        <v>1007</v>
      </c>
      <c r="B1029" s="119"/>
      <c r="C1029" s="136">
        <f>_xll.mirGetDate(C1028,"1D","FOLLOWING",D$12,"NORMAL")</f>
        <v>43882</v>
      </c>
      <c r="D1029" s="20">
        <f>_xll.mirGetDate(C1029,D$17,"Following",D$12,"Normal")</f>
        <v>43885</v>
      </c>
      <c r="E1029" s="134">
        <f ca="1"/>
        <v>1.2948264533481815E-2</v>
      </c>
      <c r="F1029" s="7" t="s">
        <v>3</v>
      </c>
      <c r="G1029" s="136">
        <f t="shared" si="15"/>
        <v>43882</v>
      </c>
      <c r="H1029" s="20">
        <f>_xll.mirGetDate(G1029,H$17,"Following",H$12,"Normal")</f>
        <v>43972</v>
      </c>
      <c r="I1029" s="134">
        <f ca="1"/>
        <v>1.7149583801196029E-2</v>
      </c>
      <c r="J1029" s="120" t="s">
        <v>3</v>
      </c>
    </row>
    <row r="1030" spans="1:10" x14ac:dyDescent="0.25">
      <c r="A1030" s="126">
        <v>1008</v>
      </c>
      <c r="B1030" s="119"/>
      <c r="C1030" s="136">
        <f>_xll.mirGetDate(C1029,"1D","FOLLOWING",D$12,"NORMAL")</f>
        <v>43885</v>
      </c>
      <c r="D1030" s="20">
        <f>_xll.mirGetDate(C1030,D$17,"Following",D$12,"Normal")</f>
        <v>43886</v>
      </c>
      <c r="E1030" s="134">
        <f ca="1"/>
        <v>1.2955436216619739E-2</v>
      </c>
      <c r="F1030" s="7" t="s">
        <v>3</v>
      </c>
      <c r="G1030" s="136">
        <f t="shared" si="15"/>
        <v>43885</v>
      </c>
      <c r="H1030" s="20">
        <f>_xll.mirGetDate(G1030,H$17,"Following",H$12,"Normal")</f>
        <v>43977</v>
      </c>
      <c r="I1030" s="134">
        <f ca="1"/>
        <v>1.716617393478476E-2</v>
      </c>
      <c r="J1030" s="120" t="s">
        <v>3</v>
      </c>
    </row>
    <row r="1031" spans="1:10" x14ac:dyDescent="0.25">
      <c r="A1031" s="126">
        <v>1009</v>
      </c>
      <c r="B1031" s="119"/>
      <c r="C1031" s="136">
        <f>_xll.mirGetDate(C1030,"1D","FOLLOWING",D$12,"NORMAL")</f>
        <v>43886</v>
      </c>
      <c r="D1031" s="20">
        <f>_xll.mirGetDate(C1031,D$17,"Following",D$12,"Normal")</f>
        <v>43887</v>
      </c>
      <c r="E1031" s="134">
        <f ca="1"/>
        <v>1.296024081774084E-2</v>
      </c>
      <c r="F1031" s="7" t="s">
        <v>3</v>
      </c>
      <c r="G1031" s="136">
        <f t="shared" si="15"/>
        <v>43886</v>
      </c>
      <c r="H1031" s="20">
        <f>_xll.mirGetDate(G1031,H$17,"Following",H$12,"Normal")</f>
        <v>43977</v>
      </c>
      <c r="I1031" s="134">
        <f ca="1"/>
        <v>1.7171674003349929E-2</v>
      </c>
      <c r="J1031" s="120" t="s">
        <v>3</v>
      </c>
    </row>
    <row r="1032" spans="1:10" x14ac:dyDescent="0.25">
      <c r="A1032" s="126">
        <v>1010</v>
      </c>
      <c r="B1032" s="119"/>
      <c r="C1032" s="136">
        <f>_xll.mirGetDate(C1031,"1D","FOLLOWING",D$12,"NORMAL")</f>
        <v>43887</v>
      </c>
      <c r="D1032" s="20">
        <f>_xll.mirGetDate(C1032,D$17,"Following",D$12,"Normal")</f>
        <v>43888</v>
      </c>
      <c r="E1032" s="134">
        <f ca="1"/>
        <v>1.296504033795795E-2</v>
      </c>
      <c r="F1032" s="7" t="s">
        <v>3</v>
      </c>
      <c r="G1032" s="136">
        <f t="shared" si="15"/>
        <v>43887</v>
      </c>
      <c r="H1032" s="20">
        <f>_xll.mirGetDate(G1032,H$17,"Following",H$12,"Normal")</f>
        <v>43977</v>
      </c>
      <c r="I1032" s="134">
        <f ca="1"/>
        <v>1.7177167151078074E-2</v>
      </c>
      <c r="J1032" s="120" t="s">
        <v>3</v>
      </c>
    </row>
    <row r="1033" spans="1:10" x14ac:dyDescent="0.25">
      <c r="A1033" s="126">
        <v>1011</v>
      </c>
      <c r="B1033" s="119"/>
      <c r="C1033" s="136">
        <f>_xll.mirGetDate(C1032,"1D","FOLLOWING",D$12,"NORMAL")</f>
        <v>43888</v>
      </c>
      <c r="D1033" s="20">
        <f>_xll.mirGetDate(C1033,D$17,"Following",D$12,"Normal")</f>
        <v>43889</v>
      </c>
      <c r="E1033" s="134">
        <f ca="1"/>
        <v>1.2969834776808031E-2</v>
      </c>
      <c r="F1033" s="7" t="s">
        <v>3</v>
      </c>
      <c r="G1033" s="136">
        <f t="shared" si="15"/>
        <v>43888</v>
      </c>
      <c r="H1033" s="20">
        <f>_xll.mirGetDate(G1033,H$17,"Following",H$12,"Normal")</f>
        <v>43978</v>
      </c>
      <c r="I1033" s="134">
        <f ca="1"/>
        <v>1.7182653231741327E-2</v>
      </c>
      <c r="J1033" s="120" t="s">
        <v>3</v>
      </c>
    </row>
    <row r="1034" spans="1:10" x14ac:dyDescent="0.25">
      <c r="A1034" s="126">
        <v>1012</v>
      </c>
      <c r="B1034" s="119"/>
      <c r="C1034" s="136">
        <f>_xll.mirGetDate(C1033,"1D","FOLLOWING",D$12,"NORMAL")</f>
        <v>43889</v>
      </c>
      <c r="D1034" s="20">
        <f>_xll.mirGetDate(C1034,D$17,"Following",D$12,"Normal")</f>
        <v>43892</v>
      </c>
      <c r="E1034" s="134">
        <f ca="1"/>
        <v>1.2979874677635971E-2</v>
      </c>
      <c r="F1034" s="7" t="s">
        <v>3</v>
      </c>
      <c r="G1034" s="136">
        <f t="shared" si="15"/>
        <v>43889</v>
      </c>
      <c r="H1034" s="20">
        <f>_xll.mirGetDate(G1034,H$17,"Following",H$12,"Normal")</f>
        <v>43979</v>
      </c>
      <c r="I1034" s="134">
        <f ca="1"/>
        <v>1.7188132099111825E-2</v>
      </c>
      <c r="J1034" s="120" t="s">
        <v>3</v>
      </c>
    </row>
    <row r="1035" spans="1:10" x14ac:dyDescent="0.25">
      <c r="A1035" s="126">
        <v>1013</v>
      </c>
      <c r="B1035" s="119"/>
      <c r="C1035" s="136">
        <f>_xll.mirGetDate(C1034,"1D","FOLLOWING",D$12,"NORMAL")</f>
        <v>43892</v>
      </c>
      <c r="D1035" s="20">
        <f>_xll.mirGetDate(C1035,D$17,"Following",D$12,"Normal")</f>
        <v>43893</v>
      </c>
      <c r="E1035" s="134">
        <f ca="1"/>
        <v>1.2988961706927774E-2</v>
      </c>
      <c r="F1035" s="7" t="s">
        <v>3</v>
      </c>
      <c r="G1035" s="136">
        <f t="shared" si="15"/>
        <v>43892</v>
      </c>
      <c r="H1035" s="20">
        <f>_xll.mirGetDate(G1035,H$17,"Following",H$12,"Normal")</f>
        <v>43984</v>
      </c>
      <c r="I1035" s="134">
        <f ca="1"/>
        <v>1.7204523959188193E-2</v>
      </c>
      <c r="J1035" s="120" t="s">
        <v>3</v>
      </c>
    </row>
    <row r="1036" spans="1:10" x14ac:dyDescent="0.25">
      <c r="A1036" s="126">
        <v>1014</v>
      </c>
      <c r="B1036" s="119"/>
      <c r="C1036" s="136">
        <f>_xll.mirGetDate(C1035,"1D","FOLLOWING",D$12,"NORMAL")</f>
        <v>43893</v>
      </c>
      <c r="D1036" s="20">
        <f>_xll.mirGetDate(C1036,D$17,"Following",D$12,"Normal")</f>
        <v>43894</v>
      </c>
      <c r="E1036" s="134">
        <f ca="1"/>
        <v>1.2993730730020048E-2</v>
      </c>
      <c r="F1036" s="7" t="s">
        <v>3</v>
      </c>
      <c r="G1036" s="136">
        <f t="shared" si="15"/>
        <v>43893</v>
      </c>
      <c r="H1036" s="20">
        <f>_xll.mirGetDate(G1036,H$17,"Following",H$12,"Normal")</f>
        <v>43985</v>
      </c>
      <c r="I1036" s="134">
        <f ca="1"/>
        <v>1.7209972511109072E-2</v>
      </c>
      <c r="J1036" s="120" t="s">
        <v>3</v>
      </c>
    </row>
    <row r="1037" spans="1:10" x14ac:dyDescent="0.25">
      <c r="A1037" s="126">
        <v>1015</v>
      </c>
      <c r="B1037" s="119"/>
      <c r="C1037" s="136">
        <f>_xll.mirGetDate(C1036,"1D","FOLLOWING",D$12,"NORMAL")</f>
        <v>43894</v>
      </c>
      <c r="D1037" s="20">
        <f>_xll.mirGetDate(C1037,D$17,"Following",D$12,"Normal")</f>
        <v>43895</v>
      </c>
      <c r="E1037" s="134">
        <f ca="1"/>
        <v>1.2998494668387999E-2</v>
      </c>
      <c r="F1037" s="7" t="s">
        <v>3</v>
      </c>
      <c r="G1037" s="136">
        <f t="shared" si="15"/>
        <v>43894</v>
      </c>
      <c r="H1037" s="20">
        <f>_xll.mirGetDate(G1037,H$17,"Following",H$12,"Normal")</f>
        <v>43986</v>
      </c>
      <c r="I1037" s="134">
        <f ca="1"/>
        <v>1.7215413118597884E-2</v>
      </c>
      <c r="J1037" s="120" t="s">
        <v>3</v>
      </c>
    </row>
    <row r="1038" spans="1:10" x14ac:dyDescent="0.25">
      <c r="A1038" s="126">
        <v>1016</v>
      </c>
      <c r="B1038" s="119"/>
      <c r="C1038" s="136">
        <f>_xll.mirGetDate(C1037,"1D","FOLLOWING",D$12,"NORMAL")</f>
        <v>43895</v>
      </c>
      <c r="D1038" s="20">
        <f>_xll.mirGetDate(C1038,D$17,"Following",D$12,"Normal")</f>
        <v>43896</v>
      </c>
      <c r="E1038" s="134">
        <f ca="1"/>
        <v>1.3003253521295575E-2</v>
      </c>
      <c r="F1038" s="7" t="s">
        <v>3</v>
      </c>
      <c r="G1038" s="136">
        <f t="shared" si="15"/>
        <v>43895</v>
      </c>
      <c r="H1038" s="20">
        <f>_xll.mirGetDate(G1038,H$17,"Following",H$12,"Normal")</f>
        <v>43987</v>
      </c>
      <c r="I1038" s="134">
        <f ca="1"/>
        <v>1.7220845635426779E-2</v>
      </c>
      <c r="J1038" s="120" t="s">
        <v>3</v>
      </c>
    </row>
    <row r="1039" spans="1:10" x14ac:dyDescent="0.25">
      <c r="A1039" s="126">
        <v>1017</v>
      </c>
      <c r="B1039" s="119"/>
      <c r="C1039" s="136">
        <f>_xll.mirGetDate(C1038,"1D","FOLLOWING",D$12,"NORMAL")</f>
        <v>43896</v>
      </c>
      <c r="D1039" s="20">
        <f>_xll.mirGetDate(C1039,D$17,"Following",D$12,"Normal")</f>
        <v>43899</v>
      </c>
      <c r="E1039" s="134">
        <f ca="1"/>
        <v>1.3013224644398875E-2</v>
      </c>
      <c r="F1039" s="7" t="s">
        <v>3</v>
      </c>
      <c r="G1039" s="136">
        <f t="shared" si="15"/>
        <v>43896</v>
      </c>
      <c r="H1039" s="20">
        <f>_xll.mirGetDate(G1039,H$17,"Following",H$12,"Normal")</f>
        <v>43990</v>
      </c>
      <c r="I1039" s="134">
        <f ca="1"/>
        <v>1.7226269915367885E-2</v>
      </c>
      <c r="J1039" s="120" t="s">
        <v>3</v>
      </c>
    </row>
    <row r="1040" spans="1:10" x14ac:dyDescent="0.25">
      <c r="A1040" s="126">
        <v>1018</v>
      </c>
      <c r="B1040" s="119"/>
      <c r="C1040" s="136">
        <f>_xll.mirGetDate(C1039,"1D","FOLLOWING",D$12,"NORMAL")</f>
        <v>43899</v>
      </c>
      <c r="D1040" s="20">
        <f>_xll.mirGetDate(C1040,D$17,"Following",D$12,"Normal")</f>
        <v>43900</v>
      </c>
      <c r="E1040" s="134">
        <f ca="1"/>
        <v>1.302223806683119E-2</v>
      </c>
      <c r="F1040" s="7" t="s">
        <v>3</v>
      </c>
      <c r="G1040" s="136">
        <f t="shared" si="15"/>
        <v>43899</v>
      </c>
      <c r="H1040" s="20">
        <f>_xll.mirGetDate(G1040,H$17,"Following",H$12,"Normal")</f>
        <v>43991</v>
      </c>
      <c r="I1040" s="134">
        <f ca="1"/>
        <v>1.7242491871585885E-2</v>
      </c>
      <c r="J1040" s="120" t="s">
        <v>3</v>
      </c>
    </row>
    <row r="1041" spans="1:10" x14ac:dyDescent="0.25">
      <c r="A1041" s="126">
        <v>1019</v>
      </c>
      <c r="B1041" s="119"/>
      <c r="C1041" s="136">
        <f>_xll.mirGetDate(C1040,"1D","FOLLOWING",D$12,"NORMAL")</f>
        <v>43900</v>
      </c>
      <c r="D1041" s="20">
        <f>_xll.mirGetDate(C1041,D$17,"Following",D$12,"Normal")</f>
        <v>43901</v>
      </c>
      <c r="E1041" s="134">
        <f ca="1"/>
        <v>1.3026971483693825E-2</v>
      </c>
      <c r="F1041" s="7" t="s">
        <v>3</v>
      </c>
      <c r="G1041" s="136">
        <f t="shared" si="15"/>
        <v>43900</v>
      </c>
      <c r="H1041" s="20">
        <f>_xll.mirGetDate(G1041,H$17,"Following",H$12,"Normal")</f>
        <v>43992</v>
      </c>
      <c r="I1041" s="134">
        <f ca="1"/>
        <v>1.7247881741697241E-2</v>
      </c>
      <c r="J1041" s="120" t="s">
        <v>3</v>
      </c>
    </row>
    <row r="1042" spans="1:10" x14ac:dyDescent="0.25">
      <c r="A1042" s="126">
        <v>1020</v>
      </c>
      <c r="B1042" s="119"/>
      <c r="C1042" s="136">
        <f>_xll.mirGetDate(C1041,"1D","FOLLOWING",D$12,"NORMAL")</f>
        <v>43901</v>
      </c>
      <c r="D1042" s="20">
        <f>_xll.mirGetDate(C1042,D$17,"Following",D$12,"Normal")</f>
        <v>43902</v>
      </c>
      <c r="E1042" s="134">
        <f ca="1"/>
        <v>1.3031699811658821E-2</v>
      </c>
      <c r="F1042" s="7" t="s">
        <v>3</v>
      </c>
      <c r="G1042" s="136">
        <f t="shared" si="15"/>
        <v>43901</v>
      </c>
      <c r="H1042" s="20">
        <f>_xll.mirGetDate(G1042,H$17,"Following",H$12,"Normal")</f>
        <v>43993</v>
      </c>
      <c r="I1042" s="134">
        <f ca="1"/>
        <v>1.7253262643781502E-2</v>
      </c>
      <c r="J1042" s="120" t="s">
        <v>3</v>
      </c>
    </row>
    <row r="1043" spans="1:10" x14ac:dyDescent="0.25">
      <c r="A1043" s="126">
        <v>1021</v>
      </c>
      <c r="B1043" s="119"/>
      <c r="C1043" s="136">
        <f>_xll.mirGetDate(C1042,"1D","FOLLOWING",D$12,"NORMAL")</f>
        <v>43902</v>
      </c>
      <c r="D1043" s="20">
        <f>_xll.mirGetDate(C1043,D$17,"Following",D$12,"Normal")</f>
        <v>43903</v>
      </c>
      <c r="E1043" s="134">
        <f ca="1"/>
        <v>1.3036423049943478E-2</v>
      </c>
      <c r="F1043" s="7" t="s">
        <v>3</v>
      </c>
      <c r="G1043" s="136">
        <f t="shared" si="15"/>
        <v>43902</v>
      </c>
      <c r="H1043" s="20">
        <f>_xll.mirGetDate(G1043,H$17,"Following",H$12,"Normal")</f>
        <v>43994</v>
      </c>
      <c r="I1043" s="134">
        <f ca="1"/>
        <v>1.7258634431610808E-2</v>
      </c>
      <c r="J1043" s="120" t="s">
        <v>3</v>
      </c>
    </row>
    <row r="1044" spans="1:10" x14ac:dyDescent="0.25">
      <c r="A1044" s="126">
        <v>1022</v>
      </c>
      <c r="B1044" s="119"/>
      <c r="C1044" s="136">
        <f>_xll.mirGetDate(C1043,"1D","FOLLOWING",D$12,"NORMAL")</f>
        <v>43903</v>
      </c>
      <c r="D1044" s="20">
        <f>_xll.mirGetDate(C1044,D$17,"Following",D$12,"Normal")</f>
        <v>43906</v>
      </c>
      <c r="E1044" s="134">
        <f ca="1"/>
        <v>1.3046325326246295E-2</v>
      </c>
      <c r="F1044" s="7" t="s">
        <v>3</v>
      </c>
      <c r="G1044" s="136">
        <f t="shared" si="15"/>
        <v>43903</v>
      </c>
      <c r="H1044" s="20">
        <f>_xll.mirGetDate(G1044,H$17,"Following",H$12,"Normal")</f>
        <v>43997</v>
      </c>
      <c r="I1044" s="134">
        <f ca="1"/>
        <v>1.7263996958957296E-2</v>
      </c>
      <c r="J1044" s="120" t="s">
        <v>3</v>
      </c>
    </row>
    <row r="1045" spans="1:10" x14ac:dyDescent="0.25">
      <c r="A1045" s="126">
        <v>1023</v>
      </c>
      <c r="B1045" s="119"/>
      <c r="C1045" s="136">
        <f>_xll.mirGetDate(C1044,"1D","FOLLOWING",D$12,"NORMAL")</f>
        <v>43906</v>
      </c>
      <c r="D1045" s="20">
        <f>_xll.mirGetDate(C1045,D$17,"Following",D$12,"Normal")</f>
        <v>43907</v>
      </c>
      <c r="E1045" s="134">
        <f ca="1"/>
        <v>1.305526509634243E-2</v>
      </c>
      <c r="F1045" s="7" t="s">
        <v>3</v>
      </c>
      <c r="G1045" s="136">
        <f t="shared" si="15"/>
        <v>43906</v>
      </c>
      <c r="H1045" s="20">
        <f>_xll.mirGetDate(G1045,H$17,"Following",H$12,"Normal")</f>
        <v>43998</v>
      </c>
      <c r="I1045" s="134">
        <f ca="1"/>
        <v>1.7280027515821254E-2</v>
      </c>
      <c r="J1045" s="120" t="s">
        <v>3</v>
      </c>
    </row>
    <row r="1046" spans="1:10" x14ac:dyDescent="0.25">
      <c r="A1046" s="126">
        <v>1024</v>
      </c>
      <c r="B1046" s="119"/>
      <c r="C1046" s="136">
        <f>_xll.mirGetDate(C1045,"1D","FOLLOWING",D$12,"NORMAL")</f>
        <v>43907</v>
      </c>
      <c r="D1046" s="20">
        <f>_xll.mirGetDate(C1046,D$17,"Following",D$12,"Normal")</f>
        <v>43908</v>
      </c>
      <c r="E1046" s="134">
        <f ca="1"/>
        <v>1.3059962878190137E-2</v>
      </c>
      <c r="F1046" s="7" t="s">
        <v>3</v>
      </c>
      <c r="G1046" s="136">
        <f t="shared" si="15"/>
        <v>43907</v>
      </c>
      <c r="H1046" s="20">
        <f>_xll.mirGetDate(G1046,H$17,"Following",H$12,"Normal")</f>
        <v>43999</v>
      </c>
      <c r="I1046" s="134">
        <f ca="1"/>
        <v>1.7285351538957862E-2</v>
      </c>
      <c r="J1046" s="120" t="s">
        <v>3</v>
      </c>
    </row>
    <row r="1047" spans="1:10" x14ac:dyDescent="0.25">
      <c r="A1047" s="126">
        <v>1025</v>
      </c>
      <c r="B1047" s="119"/>
      <c r="C1047" s="136">
        <f>_xll.mirGetDate(C1046,"1D","FOLLOWING",D$12,"NORMAL")</f>
        <v>43908</v>
      </c>
      <c r="D1047" s="20">
        <f>_xll.mirGetDate(C1047,D$17,"Following",D$12,"Normal")</f>
        <v>43909</v>
      </c>
      <c r="E1047" s="134">
        <f ca="1"/>
        <v>1.3064655566983508E-2</v>
      </c>
      <c r="F1047" s="7" t="s">
        <v>3</v>
      </c>
      <c r="G1047" s="136">
        <f t="shared" si="15"/>
        <v>43908</v>
      </c>
      <c r="H1047" s="20">
        <f>_xll.mirGetDate(G1047,H$17,"Following",H$12,"Normal")</f>
        <v>44000</v>
      </c>
      <c r="I1047" s="134">
        <f ca="1"/>
        <v>1.7290665570472343E-2</v>
      </c>
      <c r="J1047" s="120" t="s">
        <v>3</v>
      </c>
    </row>
    <row r="1048" spans="1:10" x14ac:dyDescent="0.25">
      <c r="A1048" s="126">
        <v>1026</v>
      </c>
      <c r="B1048" s="119"/>
      <c r="C1048" s="136">
        <f>_xll.mirGetDate(C1047,"1D","FOLLOWING",D$12,"NORMAL")</f>
        <v>43909</v>
      </c>
      <c r="D1048" s="20">
        <f>_xll.mirGetDate(C1048,D$17,"Following",D$12,"Normal")</f>
        <v>43910</v>
      </c>
      <c r="E1048" s="134">
        <f ca="1"/>
        <v>1.3069343161939887E-2</v>
      </c>
      <c r="F1048" s="7" t="s">
        <v>3</v>
      </c>
      <c r="G1048" s="136">
        <f t="shared" ref="G1048:G1111" si="16">$C1048</f>
        <v>43909</v>
      </c>
      <c r="H1048" s="20">
        <f>_xll.mirGetDate(G1048,H$17,"Following",H$12,"Normal")</f>
        <v>44001</v>
      </c>
      <c r="I1048" s="134">
        <f ca="1"/>
        <v>1.7295969464136841E-2</v>
      </c>
      <c r="J1048" s="120" t="s">
        <v>3</v>
      </c>
    </row>
    <row r="1049" spans="1:10" x14ac:dyDescent="0.25">
      <c r="A1049" s="126">
        <v>1027</v>
      </c>
      <c r="B1049" s="119"/>
      <c r="C1049" s="136">
        <f>_xll.mirGetDate(C1048,"1D","FOLLOWING",D$12,"NORMAL")</f>
        <v>43910</v>
      </c>
      <c r="D1049" s="20">
        <f>_xll.mirGetDate(C1049,D$17,"Following",D$12,"Normal")</f>
        <v>43913</v>
      </c>
      <c r="E1049" s="134">
        <f ca="1"/>
        <v>1.3079176521557006E-2</v>
      </c>
      <c r="F1049" s="7" t="s">
        <v>3</v>
      </c>
      <c r="G1049" s="136">
        <f t="shared" si="16"/>
        <v>43910</v>
      </c>
      <c r="H1049" s="20">
        <f>_xll.mirGetDate(G1049,H$17,"Following",H$12,"Normal")</f>
        <v>44004</v>
      </c>
      <c r="I1049" s="134">
        <f ca="1"/>
        <v>1.7301263073723486E-2</v>
      </c>
      <c r="J1049" s="120" t="s">
        <v>3</v>
      </c>
    </row>
    <row r="1050" spans="1:10" x14ac:dyDescent="0.25">
      <c r="A1050" s="126">
        <v>1028</v>
      </c>
      <c r="B1050" s="119"/>
      <c r="C1050" s="136">
        <f>_xll.mirGetDate(C1049,"1D","FOLLOWING",D$12,"NORMAL")</f>
        <v>43913</v>
      </c>
      <c r="D1050" s="20">
        <f>_xll.mirGetDate(C1050,D$17,"Following",D$12,"Normal")</f>
        <v>43914</v>
      </c>
      <c r="E1050" s="134">
        <f ca="1"/>
        <v>1.308804259362298E-2</v>
      </c>
      <c r="F1050" s="7" t="s">
        <v>3</v>
      </c>
      <c r="G1050" s="136">
        <f t="shared" si="16"/>
        <v>43913</v>
      </c>
      <c r="H1050" s="20">
        <f>_xll.mirGetDate(G1050,H$17,"Following",H$12,"Normal")</f>
        <v>44005</v>
      </c>
      <c r="I1050" s="134">
        <f ca="1"/>
        <v>1.7317080735737723E-2</v>
      </c>
      <c r="J1050" s="120" t="s">
        <v>3</v>
      </c>
    </row>
    <row r="1051" spans="1:10" x14ac:dyDescent="0.25">
      <c r="A1051" s="126">
        <v>1029</v>
      </c>
      <c r="B1051" s="119"/>
      <c r="C1051" s="136">
        <f>_xll.mirGetDate(C1050,"1D","FOLLOWING",D$12,"NORMAL")</f>
        <v>43914</v>
      </c>
      <c r="D1051" s="20">
        <f>_xll.mirGetDate(C1051,D$17,"Following",D$12,"Normal")</f>
        <v>43915</v>
      </c>
      <c r="E1051" s="134">
        <f ca="1"/>
        <v>1.3092704711350663E-2</v>
      </c>
      <c r="F1051" s="7" t="s">
        <v>3</v>
      </c>
      <c r="G1051" s="136">
        <f t="shared" si="16"/>
        <v>43914</v>
      </c>
      <c r="H1051" s="20">
        <f>_xll.mirGetDate(G1051,H$17,"Following",H$12,"Normal")</f>
        <v>44006</v>
      </c>
      <c r="I1051" s="134">
        <f ca="1"/>
        <v>1.7322331746734358E-2</v>
      </c>
      <c r="J1051" s="120" t="s">
        <v>3</v>
      </c>
    </row>
    <row r="1052" spans="1:10" x14ac:dyDescent="0.25">
      <c r="A1052" s="126">
        <v>1030</v>
      </c>
      <c r="B1052" s="119"/>
      <c r="C1052" s="136">
        <f>_xll.mirGetDate(C1051,"1D","FOLLOWING",D$12,"NORMAL")</f>
        <v>43915</v>
      </c>
      <c r="D1052" s="20">
        <f>_xll.mirGetDate(C1052,D$17,"Following",D$12,"Normal")</f>
        <v>43916</v>
      </c>
      <c r="E1052" s="134">
        <f ca="1"/>
        <v>1.3097361731884059E-2</v>
      </c>
      <c r="F1052" s="7" t="s">
        <v>3</v>
      </c>
      <c r="G1052" s="136">
        <f t="shared" si="16"/>
        <v>43915</v>
      </c>
      <c r="H1052" s="20">
        <f>_xll.mirGetDate(G1052,H$17,"Following",H$12,"Normal")</f>
        <v>44007</v>
      </c>
      <c r="I1052" s="134">
        <f ca="1"/>
        <v>1.7327571742513839E-2</v>
      </c>
      <c r="J1052" s="120" t="s">
        <v>3</v>
      </c>
    </row>
    <row r="1053" spans="1:10" x14ac:dyDescent="0.25">
      <c r="A1053" s="126">
        <v>1031</v>
      </c>
      <c r="B1053" s="119"/>
      <c r="C1053" s="136">
        <f>_xll.mirGetDate(C1052,"1D","FOLLOWING",D$12,"NORMAL")</f>
        <v>43916</v>
      </c>
      <c r="D1053" s="20">
        <f>_xll.mirGetDate(C1053,D$17,"Following",D$12,"Normal")</f>
        <v>43917</v>
      </c>
      <c r="E1053" s="134">
        <f ca="1"/>
        <v>1.3102013654566929E-2</v>
      </c>
      <c r="F1053" s="7" t="s">
        <v>3</v>
      </c>
      <c r="G1053" s="136">
        <f t="shared" si="16"/>
        <v>43916</v>
      </c>
      <c r="H1053" s="20">
        <f>_xll.mirGetDate(G1053,H$17,"Following",H$12,"Normal")</f>
        <v>44008</v>
      </c>
      <c r="I1053" s="134">
        <f ca="1"/>
        <v>1.7332800576848301E-2</v>
      </c>
      <c r="J1053" s="120" t="s">
        <v>3</v>
      </c>
    </row>
    <row r="1054" spans="1:10" x14ac:dyDescent="0.25">
      <c r="A1054" s="126">
        <v>1032</v>
      </c>
      <c r="B1054" s="119"/>
      <c r="C1054" s="136">
        <f>_xll.mirGetDate(C1053,"1D","FOLLOWING",D$12,"NORMAL")</f>
        <v>43917</v>
      </c>
      <c r="D1054" s="20">
        <f>_xll.mirGetDate(C1054,D$17,"Following",D$12,"Normal")</f>
        <v>43920</v>
      </c>
      <c r="E1054" s="134">
        <f ca="1"/>
        <v>1.311177802708027E-2</v>
      </c>
      <c r="F1054" s="7" t="s">
        <v>3</v>
      </c>
      <c r="G1054" s="136">
        <f t="shared" si="16"/>
        <v>43917</v>
      </c>
      <c r="H1054" s="20">
        <f>_xll.mirGetDate(G1054,H$17,"Following",H$12,"Normal")</f>
        <v>44011</v>
      </c>
      <c r="I1054" s="134">
        <f ca="1"/>
        <v>1.7338018103509878E-2</v>
      </c>
      <c r="J1054" s="120" t="s">
        <v>3</v>
      </c>
    </row>
    <row r="1055" spans="1:10" x14ac:dyDescent="0.25">
      <c r="A1055" s="126">
        <v>1033</v>
      </c>
      <c r="B1055" s="119"/>
      <c r="C1055" s="136">
        <f>_xll.mirGetDate(C1054,"1D","FOLLOWING",D$12,"NORMAL")</f>
        <v>43920</v>
      </c>
      <c r="D1055" s="20">
        <f>_xll.mirGetDate(C1055,D$17,"Following",D$12,"Normal")</f>
        <v>43921</v>
      </c>
      <c r="E1055" s="134">
        <f ca="1"/>
        <v>1.3120570354823339E-2</v>
      </c>
      <c r="F1055" s="7" t="s">
        <v>3</v>
      </c>
      <c r="G1055" s="136">
        <f t="shared" si="16"/>
        <v>43920</v>
      </c>
      <c r="H1055" s="20">
        <f>_xll.mirGetDate(G1055,H$17,"Following",H$12,"Normal")</f>
        <v>44012</v>
      </c>
      <c r="I1055" s="134">
        <f ca="1"/>
        <v>1.7353601375178718E-2</v>
      </c>
      <c r="J1055" s="120" t="s">
        <v>3</v>
      </c>
    </row>
    <row r="1056" spans="1:10" x14ac:dyDescent="0.25">
      <c r="A1056" s="126">
        <v>1034</v>
      </c>
      <c r="B1056" s="119"/>
      <c r="C1056" s="136">
        <f>_xll.mirGetDate(C1055,"1D","FOLLOWING",D$12,"NORMAL")</f>
        <v>43921</v>
      </c>
      <c r="D1056" s="20">
        <f>_xll.mirGetDate(C1056,D$17,"Following",D$12,"Normal")</f>
        <v>43922</v>
      </c>
      <c r="E1056" s="134">
        <f ca="1"/>
        <v>1.3125196779271077E-2</v>
      </c>
      <c r="F1056" s="7" t="s">
        <v>3</v>
      </c>
      <c r="G1056" s="136">
        <f t="shared" si="16"/>
        <v>43921</v>
      </c>
      <c r="H1056" s="20">
        <f>_xll.mirGetDate(G1056,H$17,"Following",H$12,"Normal")</f>
        <v>44012</v>
      </c>
      <c r="I1056" s="134">
        <f ca="1"/>
        <v>1.7358772208870155E-2</v>
      </c>
      <c r="J1056" s="120" t="s">
        <v>3</v>
      </c>
    </row>
    <row r="1057" spans="1:10" x14ac:dyDescent="0.25">
      <c r="A1057" s="126">
        <v>1035</v>
      </c>
      <c r="B1057" s="119"/>
      <c r="C1057" s="136">
        <f>_xll.mirGetDate(C1056,"1D","FOLLOWING",D$12,"NORMAL")</f>
        <v>43922</v>
      </c>
      <c r="D1057" s="20">
        <f>_xll.mirGetDate(C1057,D$17,"Following",D$12,"Normal")</f>
        <v>43923</v>
      </c>
      <c r="E1057" s="134">
        <f ca="1"/>
        <v>1.3129818102271153E-2</v>
      </c>
      <c r="F1057" s="7" t="s">
        <v>3</v>
      </c>
      <c r="G1057" s="136">
        <f t="shared" si="16"/>
        <v>43922</v>
      </c>
      <c r="H1057" s="20">
        <f>_xll.mirGetDate(G1057,H$17,"Following",H$12,"Normal")</f>
        <v>44013</v>
      </c>
      <c r="I1057" s="134">
        <f ca="1"/>
        <v>1.736393100374941E-2</v>
      </c>
      <c r="J1057" s="120" t="s">
        <v>3</v>
      </c>
    </row>
    <row r="1058" spans="1:10" x14ac:dyDescent="0.25">
      <c r="A1058" s="126">
        <v>1036</v>
      </c>
      <c r="B1058" s="119"/>
      <c r="C1058" s="136">
        <f>_xll.mirGetDate(C1057,"1D","FOLLOWING",D$12,"NORMAL")</f>
        <v>43923</v>
      </c>
      <c r="D1058" s="20">
        <f>_xll.mirGetDate(C1058,D$17,"Following",D$12,"Normal")</f>
        <v>43924</v>
      </c>
      <c r="E1058" s="134">
        <f ca="1"/>
        <v>1.31344343232808E-2</v>
      </c>
      <c r="F1058" s="7" t="s">
        <v>3</v>
      </c>
      <c r="G1058" s="136">
        <f t="shared" si="16"/>
        <v>43923</v>
      </c>
      <c r="H1058" s="20">
        <f>_xll.mirGetDate(G1058,H$17,"Following",H$12,"Normal")</f>
        <v>44014</v>
      </c>
      <c r="I1058" s="134">
        <f ca="1"/>
        <v>1.7369077613588607E-2</v>
      </c>
      <c r="J1058" s="120" t="s">
        <v>3</v>
      </c>
    </row>
    <row r="1059" spans="1:10" x14ac:dyDescent="0.25">
      <c r="A1059" s="126">
        <v>1037</v>
      </c>
      <c r="B1059" s="119"/>
      <c r="C1059" s="136">
        <f>_xll.mirGetDate(C1058,"1D","FOLLOWING",D$12,"NORMAL")</f>
        <v>43924</v>
      </c>
      <c r="D1059" s="20">
        <f>_xll.mirGetDate(C1059,D$17,"Following",D$12,"Normal")</f>
        <v>43927</v>
      </c>
      <c r="E1059" s="134">
        <f ca="1"/>
        <v>1.3144129637669323E-2</v>
      </c>
      <c r="F1059" s="7" t="s">
        <v>3</v>
      </c>
      <c r="G1059" s="136">
        <f t="shared" si="16"/>
        <v>43924</v>
      </c>
      <c r="H1059" s="20">
        <f>_xll.mirGetDate(G1059,H$17,"Following",H$12,"Normal")</f>
        <v>44015</v>
      </c>
      <c r="I1059" s="134">
        <f ca="1"/>
        <v>1.7374211892159895E-2</v>
      </c>
      <c r="J1059" s="120" t="s">
        <v>3</v>
      </c>
    </row>
    <row r="1060" spans="1:10" x14ac:dyDescent="0.25">
      <c r="A1060" s="126">
        <v>1038</v>
      </c>
      <c r="B1060" s="119"/>
      <c r="C1060" s="136">
        <f>_xll.mirGetDate(C1059,"1D","FOLLOWING",D$12,"NORMAL")</f>
        <v>43927</v>
      </c>
      <c r="D1060" s="20">
        <f>_xll.mirGetDate(C1060,D$17,"Following",D$12,"Normal")</f>
        <v>43928</v>
      </c>
      <c r="E1060" s="134">
        <f ca="1"/>
        <v>1.3152848174604532E-2</v>
      </c>
      <c r="F1060" s="7" t="s">
        <v>3</v>
      </c>
      <c r="G1060" s="136">
        <f t="shared" si="16"/>
        <v>43927</v>
      </c>
      <c r="H1060" s="20">
        <f>_xll.mirGetDate(G1060,H$17,"Following",H$12,"Normal")</f>
        <v>44018</v>
      </c>
      <c r="I1060" s="134">
        <f ca="1"/>
        <v>1.7389539277987663E-2</v>
      </c>
      <c r="J1060" s="120" t="s">
        <v>3</v>
      </c>
    </row>
    <row r="1061" spans="1:10" x14ac:dyDescent="0.25">
      <c r="A1061" s="126">
        <v>1039</v>
      </c>
      <c r="B1061" s="119"/>
      <c r="C1061" s="136">
        <f>_xll.mirGetDate(C1060,"1D","FOLLOWING",D$12,"NORMAL")</f>
        <v>43928</v>
      </c>
      <c r="D1061" s="20">
        <f>_xll.mirGetDate(C1061,D$17,"Following",D$12,"Normal")</f>
        <v>43929</v>
      </c>
      <c r="E1061" s="134">
        <f ca="1"/>
        <v>1.3157438876259139E-2</v>
      </c>
      <c r="F1061" s="7" t="s">
        <v>3</v>
      </c>
      <c r="G1061" s="136">
        <f t="shared" si="16"/>
        <v>43928</v>
      </c>
      <c r="H1061" s="20">
        <f>_xll.mirGetDate(G1061,H$17,"Following",H$12,"Normal")</f>
        <v>44019</v>
      </c>
      <c r="I1061" s="134">
        <f ca="1"/>
        <v>1.7394622769208681E-2</v>
      </c>
      <c r="J1061" s="120" t="s">
        <v>3</v>
      </c>
    </row>
    <row r="1062" spans="1:10" x14ac:dyDescent="0.25">
      <c r="A1062" s="126">
        <v>1040</v>
      </c>
      <c r="B1062" s="119"/>
      <c r="C1062" s="136">
        <f>_xll.mirGetDate(C1061,"1D","FOLLOWING",D$12,"NORMAL")</f>
        <v>43929</v>
      </c>
      <c r="D1062" s="20">
        <f>_xll.mirGetDate(C1062,D$17,"Following",D$12,"Normal")</f>
        <v>43930</v>
      </c>
      <c r="E1062" s="134">
        <f ca="1"/>
        <v>1.3162024472326214E-2</v>
      </c>
      <c r="F1062" s="7" t="s">
        <v>3</v>
      </c>
      <c r="G1062" s="136">
        <f t="shared" si="16"/>
        <v>43929</v>
      </c>
      <c r="H1062" s="20">
        <f>_xll.mirGetDate(G1062,H$17,"Following",H$12,"Normal")</f>
        <v>44020</v>
      </c>
      <c r="I1062" s="134">
        <f ca="1"/>
        <v>1.7399693198022481E-2</v>
      </c>
      <c r="J1062" s="120" t="s">
        <v>3</v>
      </c>
    </row>
    <row r="1063" spans="1:10" x14ac:dyDescent="0.25">
      <c r="A1063" s="126">
        <v>1041</v>
      </c>
      <c r="B1063" s="119"/>
      <c r="C1063" s="136">
        <f>_xll.mirGetDate(C1062,"1D","FOLLOWING",D$12,"NORMAL")</f>
        <v>43930</v>
      </c>
      <c r="D1063" s="20">
        <f>_xll.mirGetDate(C1063,D$17,"Following",D$12,"Normal")</f>
        <v>43931</v>
      </c>
      <c r="E1063" s="134">
        <f ca="1"/>
        <v>1.3166604961989566E-2</v>
      </c>
      <c r="F1063" s="7" t="s">
        <v>3</v>
      </c>
      <c r="G1063" s="136">
        <f t="shared" si="16"/>
        <v>43930</v>
      </c>
      <c r="H1063" s="20">
        <f>_xll.mirGetDate(G1063,H$17,"Following",H$12,"Normal")</f>
        <v>44021</v>
      </c>
      <c r="I1063" s="134">
        <f ca="1"/>
        <v>1.7404750418201196E-2</v>
      </c>
      <c r="J1063" s="120" t="s">
        <v>3</v>
      </c>
    </row>
    <row r="1064" spans="1:10" x14ac:dyDescent="0.25">
      <c r="A1064" s="126">
        <v>1042</v>
      </c>
      <c r="B1064" s="119"/>
      <c r="C1064" s="136">
        <f>_xll.mirGetDate(C1063,"1D","FOLLOWING",D$12,"NORMAL")</f>
        <v>43931</v>
      </c>
      <c r="D1064" s="20">
        <f>_xll.mirGetDate(C1064,D$17,"Following",D$12,"Normal")</f>
        <v>43934</v>
      </c>
      <c r="E1064" s="134">
        <f ca="1"/>
        <v>1.3176231146455247E-2</v>
      </c>
      <c r="F1064" s="7" t="s">
        <v>3</v>
      </c>
      <c r="G1064" s="136">
        <f t="shared" si="16"/>
        <v>43931</v>
      </c>
      <c r="H1064" s="20">
        <f>_xll.mirGetDate(G1064,H$17,"Following",H$12,"Normal")</f>
        <v>44022</v>
      </c>
      <c r="I1064" s="134">
        <f ca="1"/>
        <v>1.7409794283516966E-2</v>
      </c>
      <c r="J1064" s="120" t="s">
        <v>3</v>
      </c>
    </row>
    <row r="1065" spans="1:10" x14ac:dyDescent="0.25">
      <c r="A1065" s="126">
        <v>1043</v>
      </c>
      <c r="B1065" s="119"/>
      <c r="C1065" s="136">
        <f>_xll.mirGetDate(C1064,"1D","FOLLOWING",D$12,"NORMAL")</f>
        <v>43934</v>
      </c>
      <c r="D1065" s="20">
        <f>_xll.mirGetDate(C1065,D$17,"Following",D$12,"Normal")</f>
        <v>43935</v>
      </c>
      <c r="E1065" s="134">
        <f ca="1"/>
        <v>1.3184875845755499E-2</v>
      </c>
      <c r="F1065" s="7" t="s">
        <v>3</v>
      </c>
      <c r="G1065" s="136">
        <f t="shared" si="16"/>
        <v>43934</v>
      </c>
      <c r="H1065" s="20">
        <f>_xll.mirGetDate(G1065,H$17,"Following",H$12,"Normal")</f>
        <v>44025</v>
      </c>
      <c r="I1065" s="134">
        <f ca="1"/>
        <v>1.7424844288007987E-2</v>
      </c>
      <c r="J1065" s="120" t="s">
        <v>3</v>
      </c>
    </row>
    <row r="1066" spans="1:10" x14ac:dyDescent="0.25">
      <c r="A1066" s="126">
        <v>1044</v>
      </c>
      <c r="B1066" s="119"/>
      <c r="C1066" s="136">
        <f>_xll.mirGetDate(C1065,"1D","FOLLOWING",D$12,"NORMAL")</f>
        <v>43935</v>
      </c>
      <c r="D1066" s="20">
        <f>_xll.mirGetDate(C1066,D$17,"Following",D$12,"Normal")</f>
        <v>43936</v>
      </c>
      <c r="E1066" s="134">
        <f ca="1"/>
        <v>1.3189430794897586E-2</v>
      </c>
      <c r="F1066" s="7" t="s">
        <v>3</v>
      </c>
      <c r="G1066" s="136">
        <f t="shared" si="16"/>
        <v>43935</v>
      </c>
      <c r="H1066" s="20">
        <f>_xll.mirGetDate(G1066,H$17,"Following",H$12,"Normal")</f>
        <v>44026</v>
      </c>
      <c r="I1066" s="134">
        <f ca="1"/>
        <v>1.7429833271593361E-2</v>
      </c>
      <c r="J1066" s="120" t="s">
        <v>3</v>
      </c>
    </row>
    <row r="1067" spans="1:10" x14ac:dyDescent="0.25">
      <c r="A1067" s="126">
        <v>1045</v>
      </c>
      <c r="B1067" s="119"/>
      <c r="C1067" s="136">
        <f>_xll.mirGetDate(C1066,"1D","FOLLOWING",D$12,"NORMAL")</f>
        <v>43936</v>
      </c>
      <c r="D1067" s="20">
        <f>_xll.mirGetDate(C1067,D$17,"Following",D$12,"Normal")</f>
        <v>43937</v>
      </c>
      <c r="E1067" s="134">
        <f ca="1"/>
        <v>1.3193980634038807E-2</v>
      </c>
      <c r="F1067" s="7" t="s">
        <v>3</v>
      </c>
      <c r="G1067" s="136">
        <f t="shared" si="16"/>
        <v>43936</v>
      </c>
      <c r="H1067" s="20">
        <f>_xll.mirGetDate(G1067,H$17,"Following",H$12,"Normal")</f>
        <v>44027</v>
      </c>
      <c r="I1067" s="134">
        <f ca="1"/>
        <v>1.7434808169176481E-2</v>
      </c>
      <c r="J1067" s="120" t="s">
        <v>3</v>
      </c>
    </row>
    <row r="1068" spans="1:10" x14ac:dyDescent="0.25">
      <c r="A1068" s="126">
        <v>1046</v>
      </c>
      <c r="B1068" s="119"/>
      <c r="C1068" s="136">
        <f>_xll.mirGetDate(C1067,"1D","FOLLOWING",D$12,"NORMAL")</f>
        <v>43937</v>
      </c>
      <c r="D1068" s="20">
        <f>_xll.mirGetDate(C1068,D$17,"Following",D$12,"Normal")</f>
        <v>43938</v>
      </c>
      <c r="E1068" s="134">
        <f ca="1"/>
        <v>1.319852536271642E-2</v>
      </c>
      <c r="F1068" s="7" t="s">
        <v>3</v>
      </c>
      <c r="G1068" s="136">
        <f t="shared" si="16"/>
        <v>43937</v>
      </c>
      <c r="H1068" s="20">
        <f>_xll.mirGetDate(G1068,H$17,"Following",H$12,"Normal")</f>
        <v>44028</v>
      </c>
      <c r="I1068" s="134">
        <f ca="1"/>
        <v>1.7439768834529485E-2</v>
      </c>
      <c r="J1068" s="120" t="s">
        <v>3</v>
      </c>
    </row>
    <row r="1069" spans="1:10" x14ac:dyDescent="0.25">
      <c r="A1069" s="126">
        <v>1047</v>
      </c>
      <c r="B1069" s="119"/>
      <c r="C1069" s="136">
        <f>_xll.mirGetDate(C1068,"1D","FOLLOWING",D$12,"NORMAL")</f>
        <v>43938</v>
      </c>
      <c r="D1069" s="20">
        <f>_xll.mirGetDate(C1069,D$17,"Following",D$12,"Normal")</f>
        <v>43941</v>
      </c>
      <c r="E1069" s="134">
        <f ca="1"/>
        <v>1.3208082344932546E-2</v>
      </c>
      <c r="F1069" s="7" t="s">
        <v>3</v>
      </c>
      <c r="G1069" s="136">
        <f t="shared" si="16"/>
        <v>43938</v>
      </c>
      <c r="H1069" s="20">
        <f>_xll.mirGetDate(G1069,H$17,"Following",H$12,"Normal")</f>
        <v>44029</v>
      </c>
      <c r="I1069" s="134">
        <f ca="1"/>
        <v>1.7444715121424512E-2</v>
      </c>
      <c r="J1069" s="120" t="s">
        <v>3</v>
      </c>
    </row>
    <row r="1070" spans="1:10" x14ac:dyDescent="0.25">
      <c r="A1070" s="126">
        <v>1048</v>
      </c>
      <c r="B1070" s="119"/>
      <c r="C1070" s="136">
        <f>_xll.mirGetDate(C1069,"1D","FOLLOWING",D$12,"NORMAL")</f>
        <v>43941</v>
      </c>
      <c r="D1070" s="20">
        <f>_xll.mirGetDate(C1070,D$17,"Following",D$12,"Normal")</f>
        <v>43942</v>
      </c>
      <c r="E1070" s="134">
        <f ca="1"/>
        <v>1.3216653159340225E-2</v>
      </c>
      <c r="F1070" s="7" t="s">
        <v>3</v>
      </c>
      <c r="G1070" s="136">
        <f t="shared" si="16"/>
        <v>43941</v>
      </c>
      <c r="H1070" s="20">
        <f>_xll.mirGetDate(G1070,H$17,"Following",H$12,"Normal")</f>
        <v>44032</v>
      </c>
      <c r="I1070" s="134">
        <f ca="1"/>
        <v>1.7459466249083115E-2</v>
      </c>
      <c r="J1070" s="120" t="s">
        <v>3</v>
      </c>
    </row>
    <row r="1071" spans="1:10" x14ac:dyDescent="0.25">
      <c r="A1071" s="126">
        <v>1049</v>
      </c>
      <c r="B1071" s="119"/>
      <c r="C1071" s="136">
        <f>_xll.mirGetDate(C1070,"1D","FOLLOWING",D$12,"NORMAL")</f>
        <v>43942</v>
      </c>
      <c r="D1071" s="20">
        <f>_xll.mirGetDate(C1071,D$17,"Following",D$12,"Normal")</f>
        <v>43943</v>
      </c>
      <c r="E1071" s="134">
        <f ca="1"/>
        <v>1.3221172325976903E-2</v>
      </c>
      <c r="F1071" s="7" t="s">
        <v>3</v>
      </c>
      <c r="G1071" s="136">
        <f t="shared" si="16"/>
        <v>43942</v>
      </c>
      <c r="H1071" s="20">
        <f>_xll.mirGetDate(G1071,H$17,"Following",H$12,"Normal")</f>
        <v>44033</v>
      </c>
      <c r="I1071" s="134">
        <f ca="1"/>
        <v>1.7464353559867613E-2</v>
      </c>
      <c r="J1071" s="120" t="s">
        <v>3</v>
      </c>
    </row>
    <row r="1072" spans="1:10" x14ac:dyDescent="0.25">
      <c r="A1072" s="126">
        <v>1050</v>
      </c>
      <c r="B1072" s="119"/>
      <c r="C1072" s="136">
        <f>_xll.mirGetDate(C1071,"1D","FOLLOWING",D$12,"NORMAL")</f>
        <v>43943</v>
      </c>
      <c r="D1072" s="20">
        <f>_xll.mirGetDate(C1072,D$17,"Following",D$12,"Normal")</f>
        <v>43944</v>
      </c>
      <c r="E1072" s="134">
        <f ca="1"/>
        <v>1.3225686378313058E-2</v>
      </c>
      <c r="F1072" s="7" t="s">
        <v>3</v>
      </c>
      <c r="G1072" s="136">
        <f t="shared" si="16"/>
        <v>43943</v>
      </c>
      <c r="H1072" s="20">
        <f>_xll.mirGetDate(G1072,H$17,"Following",H$12,"Normal")</f>
        <v>44034</v>
      </c>
      <c r="I1072" s="134">
        <f ca="1"/>
        <v>1.7469225761054832E-2</v>
      </c>
      <c r="J1072" s="120" t="s">
        <v>3</v>
      </c>
    </row>
    <row r="1073" spans="1:10" x14ac:dyDescent="0.25">
      <c r="A1073" s="126">
        <v>1051</v>
      </c>
      <c r="B1073" s="119"/>
      <c r="C1073" s="136">
        <f>_xll.mirGetDate(C1072,"1D","FOLLOWING",D$12,"NORMAL")</f>
        <v>43944</v>
      </c>
      <c r="D1073" s="20">
        <f>_xll.mirGetDate(C1073,D$17,"Following",D$12,"Normal")</f>
        <v>43945</v>
      </c>
      <c r="E1073" s="134">
        <f ca="1"/>
        <v>1.3230195315772228E-2</v>
      </c>
      <c r="F1073" s="7" t="s">
        <v>3</v>
      </c>
      <c r="G1073" s="136">
        <f t="shared" si="16"/>
        <v>43944</v>
      </c>
      <c r="H1073" s="20">
        <f>_xll.mirGetDate(G1073,H$17,"Following",H$12,"Normal")</f>
        <v>44035</v>
      </c>
      <c r="I1073" s="134">
        <f ca="1"/>
        <v>1.7474082706416899E-2</v>
      </c>
      <c r="J1073" s="120" t="s">
        <v>3</v>
      </c>
    </row>
    <row r="1074" spans="1:10" x14ac:dyDescent="0.25">
      <c r="A1074" s="126">
        <v>1052</v>
      </c>
      <c r="B1074" s="119"/>
      <c r="C1074" s="136">
        <f>_xll.mirGetDate(C1073,"1D","FOLLOWING",D$12,"NORMAL")</f>
        <v>43945</v>
      </c>
      <c r="D1074" s="20">
        <f>_xll.mirGetDate(C1074,D$17,"Following",D$12,"Normal")</f>
        <v>43948</v>
      </c>
      <c r="E1074" s="134">
        <f ca="1"/>
        <v>1.3239683022741786E-2</v>
      </c>
      <c r="F1074" s="7" t="s">
        <v>3</v>
      </c>
      <c r="G1074" s="136">
        <f t="shared" si="16"/>
        <v>43945</v>
      </c>
      <c r="H1074" s="20">
        <f>_xll.mirGetDate(G1074,H$17,"Following",H$12,"Normal")</f>
        <v>44036</v>
      </c>
      <c r="I1074" s="134">
        <f ca="1"/>
        <v>1.7478924249725959E-2</v>
      </c>
      <c r="J1074" s="120" t="s">
        <v>3</v>
      </c>
    </row>
    <row r="1075" spans="1:10" x14ac:dyDescent="0.25">
      <c r="A1075" s="126">
        <v>1053</v>
      </c>
      <c r="B1075" s="119"/>
      <c r="C1075" s="136">
        <f>_xll.mirGetDate(C1074,"1D","FOLLOWING",D$12,"NORMAL")</f>
        <v>43948</v>
      </c>
      <c r="D1075" s="20">
        <f>_xll.mirGetDate(C1075,D$17,"Following",D$12,"Normal")</f>
        <v>43949</v>
      </c>
      <c r="E1075" s="134">
        <f ca="1"/>
        <v>1.3248179904710316E-2</v>
      </c>
      <c r="F1075" s="7" t="s">
        <v>3</v>
      </c>
      <c r="G1075" s="136">
        <f t="shared" si="16"/>
        <v>43948</v>
      </c>
      <c r="H1075" s="20">
        <f>_xll.mirGetDate(G1075,H$17,"Following",H$12,"Normal")</f>
        <v>44039</v>
      </c>
      <c r="I1075" s="134">
        <f ca="1"/>
        <v>1.7493355005056464E-2</v>
      </c>
      <c r="J1075" s="120" t="s">
        <v>3</v>
      </c>
    </row>
    <row r="1076" spans="1:10" x14ac:dyDescent="0.25">
      <c r="A1076" s="126">
        <v>1054</v>
      </c>
      <c r="B1076" s="119"/>
      <c r="C1076" s="136">
        <f>_xll.mirGetDate(C1075,"1D","FOLLOWING",D$12,"NORMAL")</f>
        <v>43949</v>
      </c>
      <c r="D1076" s="20">
        <f>_xll.mirGetDate(C1076,D$17,"Following",D$12,"Normal")</f>
        <v>43950</v>
      </c>
      <c r="E1076" s="134">
        <f ca="1"/>
        <v>1.3252663258558488E-2</v>
      </c>
      <c r="F1076" s="7" t="s">
        <v>3</v>
      </c>
      <c r="G1076" s="136">
        <f t="shared" si="16"/>
        <v>43949</v>
      </c>
      <c r="H1076" s="20">
        <f>_xll.mirGetDate(G1076,H$17,"Following",H$12,"Normal")</f>
        <v>44040</v>
      </c>
      <c r="I1076" s="134">
        <f ca="1"/>
        <v>1.7498133477874867E-2</v>
      </c>
      <c r="J1076" s="120" t="s">
        <v>3</v>
      </c>
    </row>
    <row r="1077" spans="1:10" x14ac:dyDescent="0.25">
      <c r="A1077" s="126">
        <v>1055</v>
      </c>
      <c r="B1077" s="119"/>
      <c r="C1077" s="136">
        <f>_xll.mirGetDate(C1076,"1D","FOLLOWING",D$12,"NORMAL")</f>
        <v>43950</v>
      </c>
      <c r="D1077" s="20">
        <f>_xll.mirGetDate(C1077,D$17,"Following",D$12,"Normal")</f>
        <v>43951</v>
      </c>
      <c r="E1077" s="134">
        <f ca="1"/>
        <v>1.3257141493785375E-2</v>
      </c>
      <c r="F1077" s="7" t="s">
        <v>3</v>
      </c>
      <c r="G1077" s="136">
        <f t="shared" si="16"/>
        <v>43950</v>
      </c>
      <c r="H1077" s="20">
        <f>_xll.mirGetDate(G1077,H$17,"Following",H$12,"Normal")</f>
        <v>44041</v>
      </c>
      <c r="I1077" s="134">
        <f ca="1"/>
        <v>1.7502895817500957E-2</v>
      </c>
      <c r="J1077" s="120" t="s">
        <v>3</v>
      </c>
    </row>
    <row r="1078" spans="1:10" x14ac:dyDescent="0.25">
      <c r="A1078" s="126">
        <v>1056</v>
      </c>
      <c r="B1078" s="119"/>
      <c r="C1078" s="136">
        <f>_xll.mirGetDate(C1077,"1D","FOLLOWING",D$12,"NORMAL")</f>
        <v>43951</v>
      </c>
      <c r="D1078" s="20">
        <f>_xll.mirGetDate(C1078,D$17,"Following",D$12,"Normal")</f>
        <v>43952</v>
      </c>
      <c r="E1078" s="134">
        <f ca="1"/>
        <v>1.3261614609818709E-2</v>
      </c>
      <c r="F1078" s="7" t="s">
        <v>3</v>
      </c>
      <c r="G1078" s="136">
        <f t="shared" si="16"/>
        <v>43951</v>
      </c>
      <c r="H1078" s="20">
        <f>_xll.mirGetDate(G1078,H$17,"Following",H$12,"Normal")</f>
        <v>44042</v>
      </c>
      <c r="I1078" s="134">
        <f ca="1"/>
        <v>1.7507641877706863E-2</v>
      </c>
      <c r="J1078" s="120" t="s">
        <v>3</v>
      </c>
    </row>
    <row r="1079" spans="1:10" x14ac:dyDescent="0.25">
      <c r="A1079" s="126">
        <v>1057</v>
      </c>
      <c r="B1079" s="119"/>
      <c r="C1079" s="136">
        <f>_xll.mirGetDate(C1078,"1D","FOLLOWING",D$12,"NORMAL")</f>
        <v>43952</v>
      </c>
      <c r="D1079" s="20">
        <f>_xll.mirGetDate(C1079,D$17,"Following",D$12,"Normal")</f>
        <v>43955</v>
      </c>
      <c r="E1079" s="134">
        <f ca="1"/>
        <v>1.3271032967861673E-2</v>
      </c>
      <c r="F1079" s="7" t="s">
        <v>3</v>
      </c>
      <c r="G1079" s="136">
        <f t="shared" si="16"/>
        <v>43952</v>
      </c>
      <c r="H1079" s="20">
        <f>_xll.mirGetDate(G1079,H$17,"Following",H$12,"Normal")</f>
        <v>44046</v>
      </c>
      <c r="I1079" s="134">
        <f ca="1"/>
        <v>1.7512371512264733E-2</v>
      </c>
      <c r="J1079" s="120" t="s">
        <v>3</v>
      </c>
    </row>
    <row r="1080" spans="1:10" x14ac:dyDescent="0.25">
      <c r="A1080" s="126">
        <v>1058</v>
      </c>
      <c r="B1080" s="119"/>
      <c r="C1080" s="136">
        <f>_xll.mirGetDate(C1079,"1D","FOLLOWING",D$12,"NORMAL")</f>
        <v>43955</v>
      </c>
      <c r="D1080" s="20">
        <f>_xll.mirGetDate(C1080,D$17,"Following",D$12,"Normal")</f>
        <v>43956</v>
      </c>
      <c r="E1080" s="134">
        <f ca="1"/>
        <v>1.3279455869408407E-2</v>
      </c>
      <c r="F1080" s="7" t="s">
        <v>3</v>
      </c>
      <c r="G1080" s="136">
        <f t="shared" si="16"/>
        <v>43955</v>
      </c>
      <c r="H1080" s="20">
        <f>_xll.mirGetDate(G1080,H$17,"Following",H$12,"Normal")</f>
        <v>44047</v>
      </c>
      <c r="I1080" s="134">
        <f ca="1"/>
        <v>1.7526460399771467E-2</v>
      </c>
      <c r="J1080" s="120" t="s">
        <v>3</v>
      </c>
    </row>
    <row r="1081" spans="1:10" x14ac:dyDescent="0.25">
      <c r="A1081" s="126">
        <v>1059</v>
      </c>
      <c r="B1081" s="119"/>
      <c r="C1081" s="136">
        <f>_xll.mirGetDate(C1080,"1D","FOLLOWING",D$12,"NORMAL")</f>
        <v>43956</v>
      </c>
      <c r="D1081" s="20">
        <f>_xll.mirGetDate(C1081,D$17,"Following",D$12,"Normal")</f>
        <v>43957</v>
      </c>
      <c r="E1081" s="134">
        <f ca="1"/>
        <v>1.3283903380092393E-2</v>
      </c>
      <c r="F1081" s="7" t="s">
        <v>3</v>
      </c>
      <c r="G1081" s="136">
        <f t="shared" si="16"/>
        <v>43956</v>
      </c>
      <c r="H1081" s="20">
        <f>_xll.mirGetDate(G1081,H$17,"Following",H$12,"Normal")</f>
        <v>44048</v>
      </c>
      <c r="I1081" s="134">
        <f ca="1"/>
        <v>1.753112286945855E-2</v>
      </c>
      <c r="J1081" s="120" t="s">
        <v>3</v>
      </c>
    </row>
    <row r="1082" spans="1:10" x14ac:dyDescent="0.25">
      <c r="A1082" s="126">
        <v>1060</v>
      </c>
      <c r="B1082" s="119"/>
      <c r="C1082" s="136">
        <f>_xll.mirGetDate(C1081,"1D","FOLLOWING",D$12,"NORMAL")</f>
        <v>43957</v>
      </c>
      <c r="D1082" s="20">
        <f>_xll.mirGetDate(C1082,D$17,"Following",D$12,"Normal")</f>
        <v>43958</v>
      </c>
      <c r="E1082" s="134">
        <f ca="1"/>
        <v>1.3288345767745879E-2</v>
      </c>
      <c r="F1082" s="7" t="s">
        <v>3</v>
      </c>
      <c r="G1082" s="136">
        <f t="shared" si="16"/>
        <v>43957</v>
      </c>
      <c r="H1082" s="20">
        <f>_xll.mirGetDate(G1082,H$17,"Following",H$12,"Normal")</f>
        <v>44049</v>
      </c>
      <c r="I1082" s="134">
        <f ca="1"/>
        <v>1.7535768182358285E-2</v>
      </c>
      <c r="J1082" s="120" t="s">
        <v>3</v>
      </c>
    </row>
    <row r="1083" spans="1:10" x14ac:dyDescent="0.25">
      <c r="A1083" s="126">
        <v>1061</v>
      </c>
      <c r="B1083" s="119"/>
      <c r="C1083" s="136">
        <f>_xll.mirGetDate(C1082,"1D","FOLLOWING",D$12,"NORMAL")</f>
        <v>43958</v>
      </c>
      <c r="D1083" s="20">
        <f>_xll.mirGetDate(C1083,D$17,"Following",D$12,"Normal")</f>
        <v>43959</v>
      </c>
      <c r="E1083" s="134">
        <f ca="1"/>
        <v>1.3292783031746365E-2</v>
      </c>
      <c r="F1083" s="7" t="s">
        <v>3</v>
      </c>
      <c r="G1083" s="136">
        <f t="shared" si="16"/>
        <v>43958</v>
      </c>
      <c r="H1083" s="20">
        <f>_xll.mirGetDate(G1083,H$17,"Following",H$12,"Normal")</f>
        <v>44050</v>
      </c>
      <c r="I1083" s="134">
        <f ca="1"/>
        <v>1.7540396192242808E-2</v>
      </c>
      <c r="J1083" s="120" t="s">
        <v>3</v>
      </c>
    </row>
    <row r="1084" spans="1:10" x14ac:dyDescent="0.25">
      <c r="A1084" s="126">
        <v>1062</v>
      </c>
      <c r="B1084" s="119"/>
      <c r="C1084" s="136">
        <f>_xll.mirGetDate(C1083,"1D","FOLLOWING",D$12,"NORMAL")</f>
        <v>43959</v>
      </c>
      <c r="D1084" s="20">
        <f>_xll.mirGetDate(C1084,D$17,"Following",D$12,"Normal")</f>
        <v>43962</v>
      </c>
      <c r="E1084" s="134">
        <f ca="1"/>
        <v>1.3302131966489888E-2</v>
      </c>
      <c r="F1084" s="7" t="s">
        <v>3</v>
      </c>
      <c r="G1084" s="136">
        <f t="shared" si="16"/>
        <v>43959</v>
      </c>
      <c r="H1084" s="20">
        <f>_xll.mirGetDate(G1084,H$17,"Following",H$12,"Normal")</f>
        <v>44053</v>
      </c>
      <c r="I1084" s="134">
        <f ca="1"/>
        <v>1.7545006752884257E-2</v>
      </c>
      <c r="J1084" s="120" t="s">
        <v>3</v>
      </c>
    </row>
    <row r="1085" spans="1:10" x14ac:dyDescent="0.25">
      <c r="A1085" s="126">
        <v>1063</v>
      </c>
      <c r="B1085" s="119"/>
      <c r="C1085" s="136">
        <f>_xll.mirGetDate(C1084,"1D","FOLLOWING",D$12,"NORMAL")</f>
        <v>43962</v>
      </c>
      <c r="D1085" s="20">
        <f>_xll.mirGetDate(C1085,D$17,"Following",D$12,"Normal")</f>
        <v>43963</v>
      </c>
      <c r="E1085" s="134">
        <f ca="1"/>
        <v>1.331048083952564E-2</v>
      </c>
      <c r="F1085" s="7" t="s">
        <v>3</v>
      </c>
      <c r="G1085" s="136">
        <f t="shared" si="16"/>
        <v>43962</v>
      </c>
      <c r="H1085" s="20">
        <f>_xll.mirGetDate(G1085,H$17,"Following",H$12,"Normal")</f>
        <v>44054</v>
      </c>
      <c r="I1085" s="134">
        <f ca="1"/>
        <v>1.7558732277071543E-2</v>
      </c>
      <c r="J1085" s="120" t="s">
        <v>3</v>
      </c>
    </row>
    <row r="1086" spans="1:10" x14ac:dyDescent="0.25">
      <c r="A1086" s="126">
        <v>1064</v>
      </c>
      <c r="B1086" s="119"/>
      <c r="C1086" s="136">
        <f>_xll.mirGetDate(C1085,"1D","FOLLOWING",D$12,"NORMAL")</f>
        <v>43963</v>
      </c>
      <c r="D1086" s="20">
        <f>_xll.mirGetDate(C1086,D$17,"Following",D$12,"Normal")</f>
        <v>43964</v>
      </c>
      <c r="E1086" s="134">
        <f ca="1"/>
        <v>1.331489247617737E-2</v>
      </c>
      <c r="F1086" s="7" t="s">
        <v>3</v>
      </c>
      <c r="G1086" s="136">
        <f t="shared" si="16"/>
        <v>43963</v>
      </c>
      <c r="H1086" s="20">
        <f>_xll.mirGetDate(G1086,H$17,"Following",H$12,"Normal")</f>
        <v>44055</v>
      </c>
      <c r="I1086" s="134">
        <f ca="1"/>
        <v>1.7563271578462086E-2</v>
      </c>
      <c r="J1086" s="120" t="s">
        <v>3</v>
      </c>
    </row>
    <row r="1087" spans="1:10" x14ac:dyDescent="0.25">
      <c r="A1087" s="126">
        <v>1065</v>
      </c>
      <c r="B1087" s="119"/>
      <c r="C1087" s="136">
        <f>_xll.mirGetDate(C1086,"1D","FOLLOWING",D$12,"NORMAL")</f>
        <v>43964</v>
      </c>
      <c r="D1087" s="20">
        <f>_xll.mirGetDate(C1087,D$17,"Following",D$12,"Normal")</f>
        <v>43965</v>
      </c>
      <c r="E1087" s="134">
        <f ca="1"/>
        <v>1.3319298985499063E-2</v>
      </c>
      <c r="F1087" s="7" t="s">
        <v>3</v>
      </c>
      <c r="G1087" s="136">
        <f t="shared" si="16"/>
        <v>43964</v>
      </c>
      <c r="H1087" s="20">
        <f>_xll.mirGetDate(G1087,H$17,"Following",H$12,"Normal")</f>
        <v>44056</v>
      </c>
      <c r="I1087" s="134">
        <f ca="1"/>
        <v>1.7567792699470237E-2</v>
      </c>
      <c r="J1087" s="120" t="s">
        <v>3</v>
      </c>
    </row>
    <row r="1088" spans="1:10" x14ac:dyDescent="0.25">
      <c r="A1088" s="126">
        <v>1066</v>
      </c>
      <c r="B1088" s="119"/>
      <c r="C1088" s="136">
        <f>_xll.mirGetDate(C1087,"1D","FOLLOWING",D$12,"NORMAL")</f>
        <v>43965</v>
      </c>
      <c r="D1088" s="20">
        <f>_xll.mirGetDate(C1088,D$17,"Following",D$12,"Normal")</f>
        <v>43966</v>
      </c>
      <c r="E1088" s="134">
        <f ca="1"/>
        <v>1.3323700366754258E-2</v>
      </c>
      <c r="F1088" s="7" t="s">
        <v>3</v>
      </c>
      <c r="G1088" s="136">
        <f t="shared" si="16"/>
        <v>43965</v>
      </c>
      <c r="H1088" s="20">
        <f>_xll.mirGetDate(G1088,H$17,"Following",H$12,"Normal")</f>
        <v>44057</v>
      </c>
      <c r="I1088" s="134">
        <f ca="1"/>
        <v>1.7572295493868153E-2</v>
      </c>
      <c r="J1088" s="120" t="s">
        <v>3</v>
      </c>
    </row>
    <row r="1089" spans="1:10" x14ac:dyDescent="0.25">
      <c r="A1089" s="126">
        <v>1067</v>
      </c>
      <c r="B1089" s="119"/>
      <c r="C1089" s="136">
        <f>_xll.mirGetDate(C1088,"1D","FOLLOWING",D$12,"NORMAL")</f>
        <v>43966</v>
      </c>
      <c r="D1089" s="20">
        <f>_xll.mirGetDate(C1089,D$17,"Following",D$12,"Normal")</f>
        <v>43969</v>
      </c>
      <c r="E1089" s="134">
        <f ca="1"/>
        <v>1.3332979803309589E-2</v>
      </c>
      <c r="F1089" s="7" t="s">
        <v>3</v>
      </c>
      <c r="G1089" s="136">
        <f t="shared" si="16"/>
        <v>43966</v>
      </c>
      <c r="H1089" s="20">
        <f>_xll.mirGetDate(G1089,H$17,"Following",H$12,"Normal")</f>
        <v>44060</v>
      </c>
      <c r="I1089" s="134">
        <f ca="1"/>
        <v>1.7576779815427959E-2</v>
      </c>
      <c r="J1089" s="120" t="s">
        <v>3</v>
      </c>
    </row>
    <row r="1090" spans="1:10" x14ac:dyDescent="0.25">
      <c r="A1090" s="126">
        <v>1068</v>
      </c>
      <c r="B1090" s="119"/>
      <c r="C1090" s="136">
        <f>_xll.mirGetDate(C1089,"1D","FOLLOWING",D$12,"NORMAL")</f>
        <v>43969</v>
      </c>
      <c r="D1090" s="20">
        <f>_xll.mirGetDate(C1090,D$17,"Following",D$12,"Normal")</f>
        <v>43970</v>
      </c>
      <c r="E1090" s="134">
        <f ca="1"/>
        <v>1.3341254599221888E-2</v>
      </c>
      <c r="F1090" s="7" t="s">
        <v>3</v>
      </c>
      <c r="G1090" s="136">
        <f t="shared" si="16"/>
        <v>43969</v>
      </c>
      <c r="H1090" s="20">
        <f>_xll.mirGetDate(G1090,H$17,"Following",H$12,"Normal")</f>
        <v>44061</v>
      </c>
      <c r="I1090" s="134">
        <f ca="1"/>
        <v>1.7590120480800123E-2</v>
      </c>
      <c r="J1090" s="120" t="s">
        <v>3</v>
      </c>
    </row>
    <row r="1091" spans="1:10" x14ac:dyDescent="0.25">
      <c r="A1091" s="126">
        <v>1069</v>
      </c>
      <c r="B1091" s="119"/>
      <c r="C1091" s="136">
        <f>_xll.mirGetDate(C1090,"1D","FOLLOWING",D$12,"NORMAL")</f>
        <v>43970</v>
      </c>
      <c r="D1091" s="20">
        <f>_xll.mirGetDate(C1091,D$17,"Following",D$12,"Normal")</f>
        <v>43971</v>
      </c>
      <c r="E1091" s="134">
        <f ca="1"/>
        <v>1.3345630330923135E-2</v>
      </c>
      <c r="F1091" s="7" t="s">
        <v>3</v>
      </c>
      <c r="G1091" s="136">
        <f t="shared" si="16"/>
        <v>43970</v>
      </c>
      <c r="H1091" s="20">
        <f>_xll.mirGetDate(G1091,H$17,"Following",H$12,"Normal")</f>
        <v>44062</v>
      </c>
      <c r="I1091" s="134">
        <f ca="1"/>
        <v>1.7594529448728895E-2</v>
      </c>
      <c r="J1091" s="120" t="s">
        <v>3</v>
      </c>
    </row>
    <row r="1092" spans="1:10" x14ac:dyDescent="0.25">
      <c r="A1092" s="126">
        <v>1070</v>
      </c>
      <c r="B1092" s="119"/>
      <c r="C1092" s="136">
        <f>_xll.mirGetDate(C1091,"1D","FOLLOWING",D$12,"NORMAL")</f>
        <v>43971</v>
      </c>
      <c r="D1092" s="20">
        <f>_xll.mirGetDate(C1092,D$17,"Following",D$12,"Normal")</f>
        <v>43972</v>
      </c>
      <c r="E1092" s="134">
        <f ca="1"/>
        <v>1.3350000930800876E-2</v>
      </c>
      <c r="F1092" s="7" t="s">
        <v>3</v>
      </c>
      <c r="G1092" s="136">
        <f t="shared" si="16"/>
        <v>43971</v>
      </c>
      <c r="H1092" s="20">
        <f>_xll.mirGetDate(G1092,H$17,"Following",H$12,"Normal")</f>
        <v>44063</v>
      </c>
      <c r="I1092" s="134">
        <f ca="1"/>
        <v>1.7598919212680243E-2</v>
      </c>
      <c r="J1092" s="120" t="s">
        <v>3</v>
      </c>
    </row>
    <row r="1093" spans="1:10" x14ac:dyDescent="0.25">
      <c r="A1093" s="126">
        <v>1071</v>
      </c>
      <c r="B1093" s="119"/>
      <c r="C1093" s="136">
        <f>_xll.mirGetDate(C1092,"1D","FOLLOWING",D$12,"NORMAL")</f>
        <v>43972</v>
      </c>
      <c r="D1093" s="20">
        <f>_xll.mirGetDate(C1093,D$17,"Following",D$12,"Normal")</f>
        <v>43973</v>
      </c>
      <c r="E1093" s="134">
        <f ca="1"/>
        <v>1.3354366398312629E-2</v>
      </c>
      <c r="F1093" s="7" t="s">
        <v>3</v>
      </c>
      <c r="G1093" s="136">
        <f t="shared" si="16"/>
        <v>43972</v>
      </c>
      <c r="H1093" s="20">
        <f>_xll.mirGetDate(G1093,H$17,"Following",H$12,"Normal")</f>
        <v>44064</v>
      </c>
      <c r="I1093" s="134">
        <f ca="1"/>
        <v>1.7603289626426318E-2</v>
      </c>
      <c r="J1093" s="120" t="s">
        <v>3</v>
      </c>
    </row>
    <row r="1094" spans="1:10" x14ac:dyDescent="0.25">
      <c r="A1094" s="126">
        <v>1072</v>
      </c>
      <c r="B1094" s="119"/>
      <c r="C1094" s="136">
        <f>_xll.mirGetDate(C1093,"1D","FOLLOWING",D$12,"NORMAL")</f>
        <v>43973</v>
      </c>
      <c r="D1094" s="20">
        <f>_xll.mirGetDate(C1094,D$17,"Following",D$12,"Normal")</f>
        <v>43977</v>
      </c>
      <c r="E1094" s="134">
        <f ca="1"/>
        <v>1.3365998709284945E-2</v>
      </c>
      <c r="F1094" s="7" t="s">
        <v>3</v>
      </c>
      <c r="G1094" s="136">
        <f t="shared" si="16"/>
        <v>43973</v>
      </c>
      <c r="H1094" s="20">
        <f>_xll.mirGetDate(G1094,H$17,"Following",H$12,"Normal")</f>
        <v>44067</v>
      </c>
      <c r="I1094" s="134">
        <f ca="1"/>
        <v>1.7607640543739259E-2</v>
      </c>
      <c r="J1094" s="120" t="s">
        <v>3</v>
      </c>
    </row>
    <row r="1095" spans="1:10" x14ac:dyDescent="0.25">
      <c r="A1095" s="126">
        <v>1073</v>
      </c>
      <c r="B1095" s="119"/>
      <c r="C1095" s="136">
        <f>_xll.mirGetDate(C1094,"1D","FOLLOWING",D$12,"NORMAL")</f>
        <v>43977</v>
      </c>
      <c r="D1095" s="20">
        <f>_xll.mirGetDate(C1095,D$17,"Following",D$12,"Normal")</f>
        <v>43978</v>
      </c>
      <c r="E1095" s="134">
        <f ca="1"/>
        <v>1.3376128378606153E-2</v>
      </c>
      <c r="F1095" s="7" t="s">
        <v>3</v>
      </c>
      <c r="G1095" s="136">
        <f t="shared" si="16"/>
        <v>43977</v>
      </c>
      <c r="H1095" s="20">
        <f>_xll.mirGetDate(G1095,H$17,"Following",H$12,"Normal")</f>
        <v>44069</v>
      </c>
      <c r="I1095" s="134">
        <f ca="1"/>
        <v>1.7624846324102401E-2</v>
      </c>
      <c r="J1095" s="120" t="s">
        <v>3</v>
      </c>
    </row>
    <row r="1096" spans="1:10" x14ac:dyDescent="0.25">
      <c r="A1096" s="126">
        <v>1074</v>
      </c>
      <c r="B1096" s="119"/>
      <c r="C1096" s="136">
        <f>_xll.mirGetDate(C1095,"1D","FOLLOWING",D$12,"NORMAL")</f>
        <v>43978</v>
      </c>
      <c r="D1096" s="20">
        <f>_xll.mirGetDate(C1096,D$17,"Following",D$12,"Normal")</f>
        <v>43979</v>
      </c>
      <c r="E1096" s="134">
        <f ca="1"/>
        <v>1.3380493456829312E-2</v>
      </c>
      <c r="F1096" s="7" t="s">
        <v>3</v>
      </c>
      <c r="G1096" s="136">
        <f t="shared" si="16"/>
        <v>43978</v>
      </c>
      <c r="H1096" s="20">
        <f>_xll.mirGetDate(G1096,H$17,"Following",H$12,"Normal")</f>
        <v>44070</v>
      </c>
      <c r="I1096" s="134">
        <f ca="1"/>
        <v>1.76290774442995E-2</v>
      </c>
      <c r="J1096" s="120" t="s">
        <v>3</v>
      </c>
    </row>
    <row r="1097" spans="1:10" x14ac:dyDescent="0.25">
      <c r="A1097" s="126">
        <v>1075</v>
      </c>
      <c r="B1097" s="119"/>
      <c r="C1097" s="136">
        <f>_xll.mirGetDate(C1096,"1D","FOLLOWING",D$12,"NORMAL")</f>
        <v>43979</v>
      </c>
      <c r="D1097" s="20">
        <f>_xll.mirGetDate(C1097,D$17,"Following",D$12,"Normal")</f>
        <v>43980</v>
      </c>
      <c r="E1097" s="134">
        <f ca="1"/>
        <v>1.3384864071415276E-2</v>
      </c>
      <c r="F1097" s="7" t="s">
        <v>3</v>
      </c>
      <c r="G1097" s="136">
        <f t="shared" si="16"/>
        <v>43979</v>
      </c>
      <c r="H1097" s="20">
        <f>_xll.mirGetDate(G1097,H$17,"Following",H$12,"Normal")</f>
        <v>44071</v>
      </c>
      <c r="I1097" s="134">
        <f ca="1"/>
        <v>1.7633249352717068E-2</v>
      </c>
      <c r="J1097" s="120" t="s">
        <v>3</v>
      </c>
    </row>
    <row r="1098" spans="1:10" x14ac:dyDescent="0.25">
      <c r="A1098" s="126">
        <v>1076</v>
      </c>
      <c r="B1098" s="119"/>
      <c r="C1098" s="136">
        <f>_xll.mirGetDate(C1097,"1D","FOLLOWING",D$12,"NORMAL")</f>
        <v>43980</v>
      </c>
      <c r="D1098" s="20">
        <f>_xll.mirGetDate(C1098,D$17,"Following",D$12,"Normal")</f>
        <v>43983</v>
      </c>
      <c r="E1098" s="134">
        <f ca="1"/>
        <v>1.3394122069173215E-2</v>
      </c>
      <c r="F1098" s="7" t="s">
        <v>3</v>
      </c>
      <c r="G1098" s="136">
        <f t="shared" si="16"/>
        <v>43980</v>
      </c>
      <c r="H1098" s="20">
        <f>_xll.mirGetDate(G1098,H$17,"Following",H$12,"Normal")</f>
        <v>44074</v>
      </c>
      <c r="I1098" s="134">
        <f ca="1"/>
        <v>1.7637364010755077E-2</v>
      </c>
      <c r="J1098" s="120" t="s">
        <v>3</v>
      </c>
    </row>
    <row r="1099" spans="1:10" x14ac:dyDescent="0.25">
      <c r="A1099" s="126">
        <v>1077</v>
      </c>
      <c r="B1099" s="119"/>
      <c r="C1099" s="136">
        <f>_xll.mirGetDate(C1098,"1D","FOLLOWING",D$12,"NORMAL")</f>
        <v>43983</v>
      </c>
      <c r="D1099" s="20">
        <f>_xll.mirGetDate(C1099,D$17,"Following",D$12,"Normal")</f>
        <v>43984</v>
      </c>
      <c r="E1099" s="134">
        <f ca="1"/>
        <v>1.3402401912035025E-2</v>
      </c>
      <c r="F1099" s="7" t="s">
        <v>3</v>
      </c>
      <c r="G1099" s="136">
        <f t="shared" si="16"/>
        <v>43983</v>
      </c>
      <c r="H1099" s="20">
        <f>_xll.mirGetDate(G1099,H$17,"Following",H$12,"Normal")</f>
        <v>44075</v>
      </c>
      <c r="I1099" s="134">
        <f ca="1"/>
        <v>1.7649384096591468E-2</v>
      </c>
      <c r="J1099" s="120" t="s">
        <v>3</v>
      </c>
    </row>
    <row r="1100" spans="1:10" x14ac:dyDescent="0.25">
      <c r="A1100" s="126">
        <v>1078</v>
      </c>
      <c r="B1100" s="119"/>
      <c r="C1100" s="136">
        <f>_xll.mirGetDate(C1099,"1D","FOLLOWING",D$12,"NORMAL")</f>
        <v>43984</v>
      </c>
      <c r="D1100" s="20">
        <f>_xll.mirGetDate(C1100,D$17,"Following",D$12,"Normal")</f>
        <v>43985</v>
      </c>
      <c r="E1100" s="134">
        <f ca="1"/>
        <v>1.3406800222555108E-2</v>
      </c>
      <c r="F1100" s="7" t="s">
        <v>3</v>
      </c>
      <c r="G1100" s="136">
        <f t="shared" si="16"/>
        <v>43984</v>
      </c>
      <c r="H1100" s="20">
        <f>_xll.mirGetDate(G1100,H$17,"Following",H$12,"Normal")</f>
        <v>44076</v>
      </c>
      <c r="I1100" s="134">
        <f ca="1"/>
        <v>1.7653289367110962E-2</v>
      </c>
      <c r="J1100" s="120" t="s">
        <v>3</v>
      </c>
    </row>
    <row r="1101" spans="1:10" x14ac:dyDescent="0.25">
      <c r="A1101" s="126">
        <v>1079</v>
      </c>
      <c r="B1101" s="119"/>
      <c r="C1101" s="136">
        <f>_xll.mirGetDate(C1100,"1D","FOLLOWING",D$12,"NORMAL")</f>
        <v>43985</v>
      </c>
      <c r="D1101" s="20">
        <f>_xll.mirGetDate(C1101,D$17,"Following",D$12,"Normal")</f>
        <v>43986</v>
      </c>
      <c r="E1101" s="134">
        <f ca="1"/>
        <v>1.3411204075113438E-2</v>
      </c>
      <c r="F1101" s="7" t="s">
        <v>3</v>
      </c>
      <c r="G1101" s="136">
        <f t="shared" si="16"/>
        <v>43985</v>
      </c>
      <c r="H1101" s="20">
        <f>_xll.mirGetDate(G1101,H$17,"Following",H$12,"Normal")</f>
        <v>44077</v>
      </c>
      <c r="I1101" s="134">
        <f ca="1"/>
        <v>1.7657147194250763E-2</v>
      </c>
      <c r="J1101" s="120" t="s">
        <v>3</v>
      </c>
    </row>
    <row r="1102" spans="1:10" x14ac:dyDescent="0.25">
      <c r="A1102" s="126">
        <v>1080</v>
      </c>
      <c r="B1102" s="119"/>
      <c r="C1102" s="136">
        <f>_xll.mirGetDate(C1101,"1D","FOLLOWING",D$12,"NORMAL")</f>
        <v>43986</v>
      </c>
      <c r="D1102" s="20">
        <f>_xll.mirGetDate(C1102,D$17,"Following",D$12,"Normal")</f>
        <v>43987</v>
      </c>
      <c r="E1102" s="134">
        <f ca="1"/>
        <v>1.3415613470606463E-2</v>
      </c>
      <c r="F1102" s="7" t="s">
        <v>3</v>
      </c>
      <c r="G1102" s="136">
        <f t="shared" si="16"/>
        <v>43986</v>
      </c>
      <c r="H1102" s="20">
        <f>_xll.mirGetDate(G1102,H$17,"Following",H$12,"Normal")</f>
        <v>44078</v>
      </c>
      <c r="I1102" s="134">
        <f ca="1"/>
        <v>1.7660959539410839E-2</v>
      </c>
      <c r="J1102" s="120" t="s">
        <v>3</v>
      </c>
    </row>
    <row r="1103" spans="1:10" x14ac:dyDescent="0.25">
      <c r="A1103" s="126">
        <v>1081</v>
      </c>
      <c r="B1103" s="119"/>
      <c r="C1103" s="136">
        <f>_xll.mirGetDate(C1102,"1D","FOLLOWING",D$12,"NORMAL")</f>
        <v>43987</v>
      </c>
      <c r="D1103" s="20">
        <f>_xll.mirGetDate(C1103,D$17,"Following",D$12,"Normal")</f>
        <v>43990</v>
      </c>
      <c r="E1103" s="134">
        <f ca="1"/>
        <v>1.342495134880761E-2</v>
      </c>
      <c r="F1103" s="7" t="s">
        <v>3</v>
      </c>
      <c r="G1103" s="136">
        <f t="shared" si="16"/>
        <v>43987</v>
      </c>
      <c r="H1103" s="20">
        <f>_xll.mirGetDate(G1103,H$17,"Following",H$12,"Normal")</f>
        <v>44082</v>
      </c>
      <c r="I1103" s="134">
        <f ca="1"/>
        <v>1.7664728363991165E-2</v>
      </c>
      <c r="J1103" s="120" t="s">
        <v>3</v>
      </c>
    </row>
    <row r="1104" spans="1:10" x14ac:dyDescent="0.25">
      <c r="A1104" s="126">
        <v>1082</v>
      </c>
      <c r="B1104" s="119"/>
      <c r="C1104" s="136">
        <f>_xll.mirGetDate(C1103,"1D","FOLLOWING",D$12,"NORMAL")</f>
        <v>43990</v>
      </c>
      <c r="D1104" s="20">
        <f>_xll.mirGetDate(C1104,D$17,"Following",D$12,"Normal")</f>
        <v>43991</v>
      </c>
      <c r="E1104" s="134">
        <f ca="1"/>
        <v>1.3433306501486861E-2</v>
      </c>
      <c r="F1104" s="7" t="s">
        <v>3</v>
      </c>
      <c r="G1104" s="136">
        <f t="shared" si="16"/>
        <v>43990</v>
      </c>
      <c r="H1104" s="20">
        <f>_xll.mirGetDate(G1104,H$17,"Following",H$12,"Normal")</f>
        <v>44082</v>
      </c>
      <c r="I1104" s="134">
        <f ca="1"/>
        <v>1.7675793328253368E-2</v>
      </c>
      <c r="J1104" s="120" t="s">
        <v>3</v>
      </c>
    </row>
    <row r="1105" spans="1:10" x14ac:dyDescent="0.25">
      <c r="A1105" s="126">
        <v>1083</v>
      </c>
      <c r="B1105" s="119"/>
      <c r="C1105" s="136">
        <f>_xll.mirGetDate(C1104,"1D","FOLLOWING",D$12,"NORMAL")</f>
        <v>43991</v>
      </c>
      <c r="D1105" s="20">
        <f>_xll.mirGetDate(C1105,D$17,"Following",D$12,"Normal")</f>
        <v>43992</v>
      </c>
      <c r="E1105" s="134">
        <f ca="1"/>
        <v>1.3437743626150253E-2</v>
      </c>
      <c r="F1105" s="7" t="s">
        <v>3</v>
      </c>
      <c r="G1105" s="136">
        <f t="shared" si="16"/>
        <v>43991</v>
      </c>
      <c r="H1105" s="20">
        <f>_xll.mirGetDate(G1105,H$17,"Following",H$12,"Normal")</f>
        <v>44083</v>
      </c>
      <c r="I1105" s="134">
        <f ca="1"/>
        <v>1.7679407684514415E-2</v>
      </c>
      <c r="J1105" s="120" t="s">
        <v>3</v>
      </c>
    </row>
    <row r="1106" spans="1:10" x14ac:dyDescent="0.25">
      <c r="A1106" s="126">
        <v>1084</v>
      </c>
      <c r="B1106" s="119"/>
      <c r="C1106" s="136">
        <f>_xll.mirGetDate(C1105,"1D","FOLLOWING",D$12,"NORMAL")</f>
        <v>43992</v>
      </c>
      <c r="D1106" s="20">
        <f>_xll.mirGetDate(C1106,D$17,"Following",D$12,"Normal")</f>
        <v>43993</v>
      </c>
      <c r="E1106" s="134">
        <f ca="1"/>
        <v>1.344218629958369E-2</v>
      </c>
      <c r="F1106" s="7" t="s">
        <v>3</v>
      </c>
      <c r="G1106" s="136">
        <f t="shared" si="16"/>
        <v>43992</v>
      </c>
      <c r="H1106" s="20">
        <f>_xll.mirGetDate(G1106,H$17,"Following",H$12,"Normal")</f>
        <v>44084</v>
      </c>
      <c r="I1106" s="134">
        <f ca="1"/>
        <v>1.768298832719558E-2</v>
      </c>
      <c r="J1106" s="120" t="s">
        <v>3</v>
      </c>
    </row>
    <row r="1107" spans="1:10" x14ac:dyDescent="0.25">
      <c r="A1107" s="126">
        <v>1085</v>
      </c>
      <c r="B1107" s="119"/>
      <c r="C1107" s="136">
        <f>_xll.mirGetDate(C1106,"1D","FOLLOWING",D$12,"NORMAL")</f>
        <v>43993</v>
      </c>
      <c r="D1107" s="20">
        <f>_xll.mirGetDate(C1107,D$17,"Following",D$12,"Normal")</f>
        <v>43994</v>
      </c>
      <c r="E1107" s="134">
        <f ca="1"/>
        <v>1.3446634522649277E-2</v>
      </c>
      <c r="F1107" s="7" t="s">
        <v>3</v>
      </c>
      <c r="G1107" s="136">
        <f t="shared" si="16"/>
        <v>43993</v>
      </c>
      <c r="H1107" s="20">
        <f>_xll.mirGetDate(G1107,H$17,"Following",H$12,"Normal")</f>
        <v>44085</v>
      </c>
      <c r="I1107" s="134">
        <f ca="1"/>
        <v>1.7686537217696831E-2</v>
      </c>
      <c r="J1107" s="120" t="s">
        <v>3</v>
      </c>
    </row>
    <row r="1108" spans="1:10" x14ac:dyDescent="0.25">
      <c r="A1108" s="126">
        <v>1086</v>
      </c>
      <c r="B1108" s="119"/>
      <c r="C1108" s="136">
        <f>_xll.mirGetDate(C1107,"1D","FOLLOWING",D$12,"NORMAL")</f>
        <v>43994</v>
      </c>
      <c r="D1108" s="20">
        <f>_xll.mirGetDate(C1108,D$17,"Following",D$12,"Normal")</f>
        <v>43997</v>
      </c>
      <c r="E1108" s="134">
        <f ca="1"/>
        <v>1.3456052400461656E-2</v>
      </c>
      <c r="F1108" s="7" t="s">
        <v>3</v>
      </c>
      <c r="G1108" s="136">
        <f t="shared" si="16"/>
        <v>43994</v>
      </c>
      <c r="H1108" s="20">
        <f>_xll.mirGetDate(G1108,H$17,"Following",H$12,"Normal")</f>
        <v>44088</v>
      </c>
      <c r="I1108" s="134">
        <f ca="1"/>
        <v>1.769005631741814E-2</v>
      </c>
      <c r="J1108" s="120" t="s">
        <v>3</v>
      </c>
    </row>
    <row r="1109" spans="1:10" x14ac:dyDescent="0.25">
      <c r="A1109" s="126">
        <v>1087</v>
      </c>
      <c r="B1109" s="119"/>
      <c r="C1109" s="136">
        <f>_xll.mirGetDate(C1108,"1D","FOLLOWING",D$12,"NORMAL")</f>
        <v>43997</v>
      </c>
      <c r="D1109" s="20">
        <f>_xll.mirGetDate(C1109,D$17,"Following",D$12,"Normal")</f>
        <v>43998</v>
      </c>
      <c r="E1109" s="134">
        <f ca="1"/>
        <v>1.3464482930844991E-2</v>
      </c>
      <c r="F1109" s="7" t="s">
        <v>3</v>
      </c>
      <c r="G1109" s="136">
        <f t="shared" si="16"/>
        <v>43997</v>
      </c>
      <c r="H1109" s="20">
        <f>_xll.mirGetDate(G1109,H$17,"Following",H$12,"Normal")</f>
        <v>44089</v>
      </c>
      <c r="I1109" s="134">
        <f ca="1"/>
        <v>1.7700454485902146E-2</v>
      </c>
      <c r="J1109" s="120" t="s">
        <v>3</v>
      </c>
    </row>
    <row r="1110" spans="1:10" x14ac:dyDescent="0.25">
      <c r="A1110" s="126">
        <v>1088</v>
      </c>
      <c r="B1110" s="119"/>
      <c r="C1110" s="136">
        <f>_xll.mirGetDate(C1109,"1D","FOLLOWING",D$12,"NORMAL")</f>
        <v>43998</v>
      </c>
      <c r="D1110" s="20">
        <f>_xll.mirGetDate(C1110,D$17,"Following",D$12,"Normal")</f>
        <v>43999</v>
      </c>
      <c r="E1110" s="134">
        <f ca="1"/>
        <v>1.3468958916582733E-2</v>
      </c>
      <c r="F1110" s="7" t="s">
        <v>3</v>
      </c>
      <c r="G1110" s="136">
        <f t="shared" si="16"/>
        <v>43998</v>
      </c>
      <c r="H1110" s="20">
        <f>_xll.mirGetDate(G1110,H$17,"Following",H$12,"Normal")</f>
        <v>44090</v>
      </c>
      <c r="I1110" s="134">
        <f ca="1"/>
        <v>1.7703874036503416E-2</v>
      </c>
      <c r="J1110" s="120" t="s">
        <v>3</v>
      </c>
    </row>
    <row r="1111" spans="1:10" x14ac:dyDescent="0.25">
      <c r="A1111" s="126">
        <v>1089</v>
      </c>
      <c r="B1111" s="119"/>
      <c r="C1111" s="136">
        <f>_xll.mirGetDate(C1110,"1D","FOLLOWING",D$12,"NORMAL")</f>
        <v>43999</v>
      </c>
      <c r="D1111" s="20">
        <f>_xll.mirGetDate(C1111,D$17,"Following",D$12,"Normal")</f>
        <v>44000</v>
      </c>
      <c r="E1111" s="134">
        <f ca="1"/>
        <v>1.3473440457805167E-2</v>
      </c>
      <c r="F1111" s="7" t="s">
        <v>3</v>
      </c>
      <c r="G1111" s="136">
        <f t="shared" si="16"/>
        <v>43999</v>
      </c>
      <c r="H1111" s="20">
        <f>_xll.mirGetDate(G1111,H$17,"Following",H$12,"Normal")</f>
        <v>44091</v>
      </c>
      <c r="I1111" s="134">
        <f ca="1"/>
        <v>1.7707273603324608E-2</v>
      </c>
      <c r="J1111" s="120" t="s">
        <v>3</v>
      </c>
    </row>
    <row r="1112" spans="1:10" x14ac:dyDescent="0.25">
      <c r="A1112" s="126">
        <v>1090</v>
      </c>
      <c r="B1112" s="119"/>
      <c r="C1112" s="136">
        <f>_xll.mirGetDate(C1111,"1D","FOLLOWING",D$12,"NORMAL")</f>
        <v>44000</v>
      </c>
      <c r="D1112" s="20">
        <f>_xll.mirGetDate(C1112,D$17,"Following",D$12,"Normal")</f>
        <v>44001</v>
      </c>
      <c r="E1112" s="134">
        <f ca="1"/>
        <v>1.347792755537436E-2</v>
      </c>
      <c r="F1112" s="7" t="s">
        <v>3</v>
      </c>
      <c r="G1112" s="136">
        <f t="shared" ref="G1112:G1175" si="17">$C1112</f>
        <v>44000</v>
      </c>
      <c r="H1112" s="20">
        <f>_xll.mirGetDate(G1112,H$17,"Following",H$12,"Normal")</f>
        <v>44092</v>
      </c>
      <c r="I1112" s="134">
        <f ca="1"/>
        <v>1.7710655147765694E-2</v>
      </c>
      <c r="J1112" s="120" t="s">
        <v>3</v>
      </c>
    </row>
    <row r="1113" spans="1:10" x14ac:dyDescent="0.25">
      <c r="A1113" s="126">
        <v>1091</v>
      </c>
      <c r="B1113" s="119"/>
      <c r="C1113" s="136">
        <f>_xll.mirGetDate(C1112,"1D","FOLLOWING",D$12,"NORMAL")</f>
        <v>44001</v>
      </c>
      <c r="D1113" s="20">
        <f>_xll.mirGetDate(C1113,D$17,"Following",D$12,"Normal")</f>
        <v>44004</v>
      </c>
      <c r="E1113" s="134">
        <f ca="1"/>
        <v>1.3487425552459398E-2</v>
      </c>
      <c r="F1113" s="7" t="s">
        <v>3</v>
      </c>
      <c r="G1113" s="136">
        <f t="shared" si="17"/>
        <v>44001</v>
      </c>
      <c r="H1113" s="20">
        <f>_xll.mirGetDate(G1113,H$17,"Following",H$12,"Normal")</f>
        <v>44095</v>
      </c>
      <c r="I1113" s="134">
        <f ca="1"/>
        <v>1.7714020631226651E-2</v>
      </c>
      <c r="J1113" s="120" t="s">
        <v>3</v>
      </c>
    </row>
    <row r="1114" spans="1:10" x14ac:dyDescent="0.25">
      <c r="A1114" s="126">
        <v>1092</v>
      </c>
      <c r="B1114" s="119"/>
      <c r="C1114" s="136">
        <f>_xll.mirGetDate(C1113,"1D","FOLLOWING",D$12,"NORMAL")</f>
        <v>44004</v>
      </c>
      <c r="D1114" s="20">
        <f>_xll.mirGetDate(C1114,D$17,"Following",D$12,"Normal")</f>
        <v>44005</v>
      </c>
      <c r="E1114" s="134">
        <f ca="1"/>
        <v>1.3495931528886396E-2</v>
      </c>
      <c r="F1114" s="7" t="s">
        <v>3</v>
      </c>
      <c r="G1114" s="136">
        <f t="shared" si="17"/>
        <v>44004</v>
      </c>
      <c r="H1114" s="20">
        <f>_xll.mirGetDate(G1114,H$17,"Following",H$12,"Normal")</f>
        <v>44096</v>
      </c>
      <c r="I1114" s="134">
        <f ca="1"/>
        <v>1.7724040329728456E-2</v>
      </c>
      <c r="J1114" s="120" t="s">
        <v>3</v>
      </c>
    </row>
    <row r="1115" spans="1:10" x14ac:dyDescent="0.25">
      <c r="A1115" s="126">
        <v>1093</v>
      </c>
      <c r="B1115" s="119"/>
      <c r="C1115" s="136">
        <f>_xll.mirGetDate(C1114,"1D","FOLLOWING",D$12,"NORMAL")</f>
        <v>44005</v>
      </c>
      <c r="D1115" s="20">
        <f>_xll.mirGetDate(C1115,D$17,"Following",D$12,"Normal")</f>
        <v>44006</v>
      </c>
      <c r="E1115" s="134">
        <f ca="1"/>
        <v>1.3500446422869392E-2</v>
      </c>
      <c r="F1115" s="7" t="s">
        <v>3</v>
      </c>
      <c r="G1115" s="136">
        <f t="shared" si="17"/>
        <v>44005</v>
      </c>
      <c r="H1115" s="20">
        <f>_xll.mirGetDate(G1115,H$17,"Following",H$12,"Normal")</f>
        <v>44097</v>
      </c>
      <c r="I1115" s="134">
        <f ca="1"/>
        <v>1.7727361183268613E-2</v>
      </c>
      <c r="J1115" s="120" t="s">
        <v>3</v>
      </c>
    </row>
    <row r="1116" spans="1:10" x14ac:dyDescent="0.25">
      <c r="A1116" s="126">
        <v>1094</v>
      </c>
      <c r="B1116" s="119"/>
      <c r="C1116" s="136">
        <f>_xll.mirGetDate(C1115,"1D","FOLLOWING",D$12,"NORMAL")</f>
        <v>44006</v>
      </c>
      <c r="D1116" s="20">
        <f>_xll.mirGetDate(C1116,D$17,"Following",D$12,"Normal")</f>
        <v>44007</v>
      </c>
      <c r="E1116" s="134">
        <f ca="1"/>
        <v>1.3504966878954526E-2</v>
      </c>
      <c r="F1116" s="7" t="s">
        <v>3</v>
      </c>
      <c r="G1116" s="136">
        <f t="shared" si="17"/>
        <v>44006</v>
      </c>
      <c r="H1116" s="20">
        <f>_xll.mirGetDate(G1116,H$17,"Following",H$12,"Normal")</f>
        <v>44098</v>
      </c>
      <c r="I1116" s="134">
        <f ca="1"/>
        <v>1.7730675782828501E-2</v>
      </c>
      <c r="J1116" s="120" t="s">
        <v>3</v>
      </c>
    </row>
    <row r="1117" spans="1:10" x14ac:dyDescent="0.25">
      <c r="A1117" s="126">
        <v>1095</v>
      </c>
      <c r="B1117" s="119"/>
      <c r="C1117" s="136">
        <f>_xll.mirGetDate(C1116,"1D","FOLLOWING",D$12,"NORMAL")</f>
        <v>44007</v>
      </c>
      <c r="D1117" s="20">
        <f>_xll.mirGetDate(C1117,D$17,"Following",D$12,"Normal")</f>
        <v>44008</v>
      </c>
      <c r="E1117" s="134">
        <f ca="1"/>
        <v>1.3509492898278174E-2</v>
      </c>
      <c r="F1117" s="7" t="s">
        <v>3</v>
      </c>
      <c r="G1117" s="136">
        <f t="shared" si="17"/>
        <v>44007</v>
      </c>
      <c r="H1117" s="20">
        <f>_xll.mirGetDate(G1117,H$17,"Following",H$12,"Normal")</f>
        <v>44099</v>
      </c>
      <c r="I1117" s="134">
        <f ca="1"/>
        <v>1.7733986089808092E-2</v>
      </c>
      <c r="J1117" s="120" t="s">
        <v>3</v>
      </c>
    </row>
    <row r="1118" spans="1:10" x14ac:dyDescent="0.25">
      <c r="A1118" s="126">
        <v>1096</v>
      </c>
      <c r="B1118" s="119"/>
      <c r="C1118" s="136">
        <f>_xll.mirGetDate(C1117,"1D","FOLLOWING",D$12,"NORMAL")</f>
        <v>44008</v>
      </c>
      <c r="D1118" s="20">
        <f>_xll.mirGetDate(C1118,D$17,"Following",D$12,"Normal")</f>
        <v>44011</v>
      </c>
      <c r="E1118" s="134">
        <f ca="1"/>
        <v>1.3519071135039022E-2</v>
      </c>
      <c r="F1118" s="7" t="s">
        <v>3</v>
      </c>
      <c r="G1118" s="136">
        <f t="shared" si="17"/>
        <v>44008</v>
      </c>
      <c r="H1118" s="20">
        <f>_xll.mirGetDate(G1118,H$17,"Following",H$12,"Normal")</f>
        <v>44102</v>
      </c>
      <c r="I1118" s="134">
        <f ca="1"/>
        <v>1.773729406560736E-2</v>
      </c>
      <c r="J1118" s="120" t="s">
        <v>3</v>
      </c>
    </row>
    <row r="1119" spans="1:10" x14ac:dyDescent="0.25">
      <c r="A1119" s="126">
        <v>1097</v>
      </c>
      <c r="B1119" s="119"/>
      <c r="C1119" s="136">
        <f>_xll.mirGetDate(C1118,"1D","FOLLOWING",D$12,"NORMAL")</f>
        <v>44011</v>
      </c>
      <c r="D1119" s="20">
        <f>_xll.mirGetDate(C1119,D$17,"Following",D$12,"Normal")</f>
        <v>44012</v>
      </c>
      <c r="E1119" s="134">
        <f ca="1"/>
        <v>1.3527652626159615E-2</v>
      </c>
      <c r="F1119" s="7" t="s">
        <v>3</v>
      </c>
      <c r="G1119" s="136">
        <f t="shared" si="17"/>
        <v>44011</v>
      </c>
      <c r="H1119" s="20">
        <f>_xll.mirGetDate(G1119,H$17,"Following",H$12,"Normal")</f>
        <v>44103</v>
      </c>
      <c r="I1119" s="134">
        <f ca="1"/>
        <v>1.774721768567537E-2</v>
      </c>
      <c r="J1119" s="120" t="s">
        <v>3</v>
      </c>
    </row>
    <row r="1120" spans="1:10" x14ac:dyDescent="0.25">
      <c r="A1120" s="126">
        <v>1098</v>
      </c>
      <c r="B1120" s="119"/>
      <c r="C1120" s="136">
        <f>_xll.mirGetDate(C1119,"1D","FOLLOWING",D$12,"NORMAL")</f>
        <v>44012</v>
      </c>
      <c r="D1120" s="20">
        <f>_xll.mirGetDate(C1120,D$17,"Following",D$12,"Normal")</f>
        <v>44013</v>
      </c>
      <c r="E1120" s="134">
        <f ca="1"/>
        <v>1.3532206475692749E-2</v>
      </c>
      <c r="F1120" s="7" t="s">
        <v>3</v>
      </c>
      <c r="G1120" s="136">
        <f t="shared" si="17"/>
        <v>44012</v>
      </c>
      <c r="H1120" s="20">
        <f>_xll.mirGetDate(G1120,H$17,"Following",H$12,"Normal")</f>
        <v>44104</v>
      </c>
      <c r="I1120" s="134">
        <f ca="1"/>
        <v>1.7750527099274108E-2</v>
      </c>
      <c r="J1120" s="120" t="s">
        <v>3</v>
      </c>
    </row>
    <row r="1121" spans="1:10" x14ac:dyDescent="0.25">
      <c r="A1121" s="126">
        <v>1099</v>
      </c>
      <c r="B1121" s="119"/>
      <c r="C1121" s="136">
        <f>_xll.mirGetDate(C1120,"1D","FOLLOWING",D$12,"NORMAL")</f>
        <v>44013</v>
      </c>
      <c r="D1121" s="20">
        <f>_xll.mirGetDate(C1121,D$17,"Following",D$12,"Normal")</f>
        <v>44014</v>
      </c>
      <c r="E1121" s="134">
        <f ca="1"/>
        <v>1.3536765894219807E-2</v>
      </c>
      <c r="F1121" s="7" t="s">
        <v>3</v>
      </c>
      <c r="G1121" s="136">
        <f t="shared" si="17"/>
        <v>44013</v>
      </c>
      <c r="H1121" s="20">
        <f>_xll.mirGetDate(G1121,H$17,"Following",H$12,"Normal")</f>
        <v>44105</v>
      </c>
      <c r="I1121" s="134">
        <f ca="1"/>
        <v>1.7753837881963615E-2</v>
      </c>
      <c r="J1121" s="120" t="s">
        <v>3</v>
      </c>
    </row>
    <row r="1122" spans="1:10" x14ac:dyDescent="0.25">
      <c r="A1122" s="126">
        <v>1100</v>
      </c>
      <c r="B1122" s="119"/>
      <c r="C1122" s="136">
        <f>_xll.mirGetDate(C1121,"1D","FOLLOWING",D$12,"NORMAL")</f>
        <v>44014</v>
      </c>
      <c r="D1122" s="20">
        <f>_xll.mirGetDate(C1122,D$17,"Following",D$12,"Normal")</f>
        <v>44015</v>
      </c>
      <c r="E1122" s="134">
        <f ca="1"/>
        <v>1.354133088260278E-2</v>
      </c>
      <c r="F1122" s="7" t="s">
        <v>3</v>
      </c>
      <c r="G1122" s="136">
        <f t="shared" si="17"/>
        <v>44014</v>
      </c>
      <c r="H1122" s="20">
        <f>_xll.mirGetDate(G1122,H$17,"Following",H$12,"Normal")</f>
        <v>44106</v>
      </c>
      <c r="I1122" s="134">
        <f ca="1"/>
        <v>1.7757150392946591E-2</v>
      </c>
      <c r="J1122" s="120" t="s">
        <v>3</v>
      </c>
    </row>
    <row r="1123" spans="1:10" x14ac:dyDescent="0.25">
      <c r="A1123" s="126">
        <v>1101</v>
      </c>
      <c r="B1123" s="119"/>
      <c r="C1123" s="136">
        <f>_xll.mirGetDate(C1122,"1D","FOLLOWING",D$12,"NORMAL")</f>
        <v>44015</v>
      </c>
      <c r="D1123" s="20">
        <f>_xll.mirGetDate(C1123,D$17,"Following",D$12,"Normal")</f>
        <v>44018</v>
      </c>
      <c r="E1123" s="134">
        <f ca="1"/>
        <v>1.355098948020738E-2</v>
      </c>
      <c r="F1123" s="7" t="s">
        <v>3</v>
      </c>
      <c r="G1123" s="136">
        <f t="shared" si="17"/>
        <v>44015</v>
      </c>
      <c r="H1123" s="20">
        <f>_xll.mirGetDate(G1123,H$17,"Following",H$12,"Normal")</f>
        <v>44109</v>
      </c>
      <c r="I1123" s="134">
        <f ca="1"/>
        <v>1.7760464991425744E-2</v>
      </c>
      <c r="J1123" s="120" t="s">
        <v>3</v>
      </c>
    </row>
    <row r="1124" spans="1:10" x14ac:dyDescent="0.25">
      <c r="A1124" s="126">
        <v>1102</v>
      </c>
      <c r="B1124" s="119"/>
      <c r="C1124" s="136">
        <f>_xll.mirGetDate(C1123,"1D","FOLLOWING",D$12,"NORMAL")</f>
        <v>44018</v>
      </c>
      <c r="D1124" s="20">
        <f>_xll.mirGetDate(C1124,D$17,"Following",D$12,"Normal")</f>
        <v>44019</v>
      </c>
      <c r="E1124" s="134">
        <f ca="1"/>
        <v>1.3559646555181371E-2</v>
      </c>
      <c r="F1124" s="7" t="s">
        <v>3</v>
      </c>
      <c r="G1124" s="136">
        <f t="shared" si="17"/>
        <v>44018</v>
      </c>
      <c r="H1124" s="20">
        <f>_xll.mirGetDate(G1124,H$17,"Following",H$12,"Normal")</f>
        <v>44110</v>
      </c>
      <c r="I1124" s="134">
        <f ca="1"/>
        <v>1.7770424903867283E-2</v>
      </c>
      <c r="J1124" s="120" t="s">
        <v>3</v>
      </c>
    </row>
    <row r="1125" spans="1:10" x14ac:dyDescent="0.25">
      <c r="A1125" s="126">
        <v>1103</v>
      </c>
      <c r="B1125" s="119"/>
      <c r="C1125" s="136">
        <f>_xll.mirGetDate(C1124,"1D","FOLLOWING",D$12,"NORMAL")</f>
        <v>44019</v>
      </c>
      <c r="D1125" s="20">
        <f>_xll.mirGetDate(C1125,D$17,"Following",D$12,"Normal")</f>
        <v>44020</v>
      </c>
      <c r="E1125" s="134">
        <f ca="1"/>
        <v>1.35642394078439E-2</v>
      </c>
      <c r="F1125" s="7" t="s">
        <v>3</v>
      </c>
      <c r="G1125" s="136">
        <f t="shared" si="17"/>
        <v>44019</v>
      </c>
      <c r="H1125" s="20">
        <f>_xll.mirGetDate(G1125,H$17,"Following",H$12,"Normal")</f>
        <v>44111</v>
      </c>
      <c r="I1125" s="134">
        <f ca="1"/>
        <v>1.7773751444358173E-2</v>
      </c>
      <c r="J1125" s="120" t="s">
        <v>3</v>
      </c>
    </row>
    <row r="1126" spans="1:10" x14ac:dyDescent="0.25">
      <c r="A1126" s="126">
        <v>1104</v>
      </c>
      <c r="B1126" s="119"/>
      <c r="C1126" s="136">
        <f>_xll.mirGetDate(C1125,"1D","FOLLOWING",D$12,"NORMAL")</f>
        <v>44020</v>
      </c>
      <c r="D1126" s="20">
        <f>_xll.mirGetDate(C1126,D$17,"Following",D$12,"Normal")</f>
        <v>44021</v>
      </c>
      <c r="E1126" s="134">
        <f ca="1"/>
        <v>1.3568837836437463E-2</v>
      </c>
      <c r="F1126" s="7" t="s">
        <v>3</v>
      </c>
      <c r="G1126" s="136">
        <f t="shared" si="17"/>
        <v>44020</v>
      </c>
      <c r="H1126" s="20">
        <f>_xll.mirGetDate(G1126,H$17,"Following",H$12,"Normal")</f>
        <v>44112</v>
      </c>
      <c r="I1126" s="134">
        <f ca="1"/>
        <v>1.777708186835876E-2</v>
      </c>
      <c r="J1126" s="120" t="s">
        <v>3</v>
      </c>
    </row>
    <row r="1127" spans="1:10" x14ac:dyDescent="0.25">
      <c r="A1127" s="126">
        <v>1105</v>
      </c>
      <c r="B1127" s="119"/>
      <c r="C1127" s="136">
        <f>_xll.mirGetDate(C1126,"1D","FOLLOWING",D$12,"NORMAL")</f>
        <v>44021</v>
      </c>
      <c r="D1127" s="20">
        <f>_xll.mirGetDate(C1127,D$17,"Following",D$12,"Normal")</f>
        <v>44022</v>
      </c>
      <c r="E1127" s="134">
        <f ca="1"/>
        <v>1.3573441841698839E-2</v>
      </c>
      <c r="F1127" s="7" t="s">
        <v>3</v>
      </c>
      <c r="G1127" s="136">
        <f t="shared" si="17"/>
        <v>44021</v>
      </c>
      <c r="H1127" s="20">
        <f>_xll.mirGetDate(G1127,H$17,"Following",H$12,"Normal")</f>
        <v>44113</v>
      </c>
      <c r="I1127" s="134">
        <f ca="1"/>
        <v>1.7780416535071741E-2</v>
      </c>
      <c r="J1127" s="120" t="s">
        <v>3</v>
      </c>
    </row>
    <row r="1128" spans="1:10" x14ac:dyDescent="0.25">
      <c r="A1128" s="126">
        <v>1106</v>
      </c>
      <c r="B1128" s="119"/>
      <c r="C1128" s="136">
        <f>_xll.mirGetDate(C1127,"1D","FOLLOWING",D$12,"NORMAL")</f>
        <v>44022</v>
      </c>
      <c r="D1128" s="20">
        <f>_xll.mirGetDate(C1128,D$17,"Following",D$12,"Normal")</f>
        <v>44025</v>
      </c>
      <c r="E1128" s="134">
        <f ca="1"/>
        <v>1.3583180921904905E-2</v>
      </c>
      <c r="F1128" s="7" t="s">
        <v>3</v>
      </c>
      <c r="G1128" s="136">
        <f t="shared" si="17"/>
        <v>44022</v>
      </c>
      <c r="H1128" s="20">
        <f>_xll.mirGetDate(G1128,H$17,"Following",H$12,"Normal")</f>
        <v>44117</v>
      </c>
      <c r="I1128" s="134">
        <f ca="1"/>
        <v>1.7783755803699827E-2</v>
      </c>
      <c r="J1128" s="120" t="s">
        <v>3</v>
      </c>
    </row>
    <row r="1129" spans="1:10" x14ac:dyDescent="0.25">
      <c r="A1129" s="126">
        <v>1107</v>
      </c>
      <c r="B1129" s="119"/>
      <c r="C1129" s="136">
        <f>_xll.mirGetDate(C1128,"1D","FOLLOWING",D$12,"NORMAL")</f>
        <v>44025</v>
      </c>
      <c r="D1129" s="20">
        <f>_xll.mirGetDate(C1129,D$17,"Following",D$12,"Normal")</f>
        <v>44026</v>
      </c>
      <c r="E1129" s="134">
        <f ca="1"/>
        <v>1.3591913650101706E-2</v>
      </c>
      <c r="F1129" s="7" t="s">
        <v>3</v>
      </c>
      <c r="G1129" s="136">
        <f t="shared" si="17"/>
        <v>44025</v>
      </c>
      <c r="H1129" s="20">
        <f>_xll.mirGetDate(G1129,H$17,"Following",H$12,"Normal")</f>
        <v>44117</v>
      </c>
      <c r="I1129" s="134">
        <f ca="1"/>
        <v>1.7793804813101742E-2</v>
      </c>
      <c r="J1129" s="120" t="s">
        <v>3</v>
      </c>
    </row>
    <row r="1130" spans="1:10" x14ac:dyDescent="0.25">
      <c r="A1130" s="126">
        <v>1108</v>
      </c>
      <c r="B1130" s="119"/>
      <c r="C1130" s="136">
        <f>_xll.mirGetDate(C1129,"1D","FOLLOWING",D$12,"NORMAL")</f>
        <v>44026</v>
      </c>
      <c r="D1130" s="20">
        <f>_xll.mirGetDate(C1130,D$17,"Following",D$12,"Normal")</f>
        <v>44027</v>
      </c>
      <c r="E1130" s="134">
        <f ca="1"/>
        <v>1.3596545553917856E-2</v>
      </c>
      <c r="F1130" s="7" t="s">
        <v>3</v>
      </c>
      <c r="G1130" s="136">
        <f t="shared" si="17"/>
        <v>44026</v>
      </c>
      <c r="H1130" s="20">
        <f>_xll.mirGetDate(G1130,H$17,"Following",H$12,"Normal")</f>
        <v>44118</v>
      </c>
      <c r="I1130" s="134">
        <f ca="1"/>
        <v>1.7797166081417275E-2</v>
      </c>
      <c r="J1130" s="120" t="s">
        <v>3</v>
      </c>
    </row>
    <row r="1131" spans="1:10" x14ac:dyDescent="0.25">
      <c r="A1131" s="126">
        <v>1109</v>
      </c>
      <c r="B1131" s="119"/>
      <c r="C1131" s="136">
        <f>_xll.mirGetDate(C1130,"1D","FOLLOWING",D$12,"NORMAL")</f>
        <v>44027</v>
      </c>
      <c r="D1131" s="20">
        <f>_xll.mirGetDate(C1131,D$17,"Following",D$12,"Normal")</f>
        <v>44028</v>
      </c>
      <c r="E1131" s="134">
        <f ca="1"/>
        <v>1.3601183040476974E-2</v>
      </c>
      <c r="F1131" s="7" t="s">
        <v>3</v>
      </c>
      <c r="G1131" s="136">
        <f t="shared" si="17"/>
        <v>44027</v>
      </c>
      <c r="H1131" s="20">
        <f>_xll.mirGetDate(G1131,H$17,"Following",H$12,"Normal")</f>
        <v>44119</v>
      </c>
      <c r="I1131" s="134">
        <f ca="1"/>
        <v>1.7800533747661433E-2</v>
      </c>
      <c r="J1131" s="120" t="s">
        <v>3</v>
      </c>
    </row>
    <row r="1132" spans="1:10" x14ac:dyDescent="0.25">
      <c r="A1132" s="126">
        <v>1110</v>
      </c>
      <c r="B1132" s="119"/>
      <c r="C1132" s="136">
        <f>_xll.mirGetDate(C1131,"1D","FOLLOWING",D$12,"NORMAL")</f>
        <v>44028</v>
      </c>
      <c r="D1132" s="20">
        <f>_xll.mirGetDate(C1132,D$17,"Following",D$12,"Normal")</f>
        <v>44029</v>
      </c>
      <c r="E1132" s="134">
        <f ca="1"/>
        <v>1.3605826110561031E-2</v>
      </c>
      <c r="F1132" s="7" t="s">
        <v>3</v>
      </c>
      <c r="G1132" s="136">
        <f t="shared" si="17"/>
        <v>44028</v>
      </c>
      <c r="H1132" s="20">
        <f>_xll.mirGetDate(G1132,H$17,"Following",H$12,"Normal")</f>
        <v>44120</v>
      </c>
      <c r="I1132" s="134">
        <f ca="1"/>
        <v>1.7803908171036914E-2</v>
      </c>
      <c r="J1132" s="120" t="s">
        <v>3</v>
      </c>
    </row>
    <row r="1133" spans="1:10" x14ac:dyDescent="0.25">
      <c r="A1133" s="126">
        <v>1111</v>
      </c>
      <c r="B1133" s="119"/>
      <c r="C1133" s="136">
        <f>_xll.mirGetDate(C1132,"1D","FOLLOWING",D$12,"NORMAL")</f>
        <v>44029</v>
      </c>
      <c r="D1133" s="20">
        <f>_xll.mirGetDate(C1133,D$17,"Following",D$12,"Normal")</f>
        <v>44032</v>
      </c>
      <c r="E1133" s="134">
        <f ca="1"/>
        <v>1.3615645795975403E-2</v>
      </c>
      <c r="F1133" s="7" t="s">
        <v>3</v>
      </c>
      <c r="G1133" s="136">
        <f t="shared" si="17"/>
        <v>44029</v>
      </c>
      <c r="H1133" s="20">
        <f>_xll.mirGetDate(G1133,H$17,"Following",H$12,"Normal")</f>
        <v>44123</v>
      </c>
      <c r="I1133" s="134">
        <f ca="1"/>
        <v>1.7807289710746431E-2</v>
      </c>
      <c r="J1133" s="120" t="s">
        <v>3</v>
      </c>
    </row>
    <row r="1134" spans="1:10" x14ac:dyDescent="0.25">
      <c r="A1134" s="126">
        <v>1112</v>
      </c>
      <c r="B1134" s="119"/>
      <c r="C1134" s="136">
        <f>_xll.mirGetDate(C1133,"1D","FOLLOWING",D$12,"NORMAL")</f>
        <v>44032</v>
      </c>
      <c r="D1134" s="20">
        <f>_xll.mirGetDate(C1134,D$17,"Following",D$12,"Normal")</f>
        <v>44033</v>
      </c>
      <c r="E1134" s="134">
        <f ca="1"/>
        <v>1.3624454247194252E-2</v>
      </c>
      <c r="F1134" s="7" t="s">
        <v>3</v>
      </c>
      <c r="G1134" s="136">
        <f t="shared" si="17"/>
        <v>44032</v>
      </c>
      <c r="H1134" s="20">
        <f>_xll.mirGetDate(G1134,H$17,"Following",H$12,"Normal")</f>
        <v>44124</v>
      </c>
      <c r="I1134" s="134">
        <f ca="1"/>
        <v>1.7817480619906192E-2</v>
      </c>
      <c r="J1134" s="120" t="s">
        <v>3</v>
      </c>
    </row>
    <row r="1135" spans="1:10" x14ac:dyDescent="0.25">
      <c r="A1135" s="126">
        <v>1113</v>
      </c>
      <c r="B1135" s="119"/>
      <c r="C1135" s="136">
        <f>_xll.mirGetDate(C1134,"1D","FOLLOWING",D$12,"NORMAL")</f>
        <v>44033</v>
      </c>
      <c r="D1135" s="20">
        <f>_xll.mirGetDate(C1135,D$17,"Following",D$12,"Normal")</f>
        <v>44034</v>
      </c>
      <c r="E1135" s="134">
        <f ca="1"/>
        <v>1.3629125250302916E-2</v>
      </c>
      <c r="F1135" s="7" t="s">
        <v>3</v>
      </c>
      <c r="G1135" s="136">
        <f t="shared" si="17"/>
        <v>44033</v>
      </c>
      <c r="H1135" s="20">
        <f>_xll.mirGetDate(G1135,H$17,"Following",H$12,"Normal")</f>
        <v>44125</v>
      </c>
      <c r="I1135" s="134">
        <f ca="1"/>
        <v>1.7820894216978866E-2</v>
      </c>
      <c r="J1135" s="120" t="s">
        <v>3</v>
      </c>
    </row>
    <row r="1136" spans="1:10" x14ac:dyDescent="0.25">
      <c r="A1136" s="126">
        <v>1114</v>
      </c>
      <c r="B1136" s="119"/>
      <c r="C1136" s="136">
        <f>_xll.mirGetDate(C1135,"1D","FOLLOWING",D$12,"NORMAL")</f>
        <v>44034</v>
      </c>
      <c r="D1136" s="20">
        <f>_xll.mirGetDate(C1136,D$17,"Following",D$12,"Normal")</f>
        <v>44035</v>
      </c>
      <c r="E1136" s="134">
        <f ca="1"/>
        <v>1.3633801843011639E-2</v>
      </c>
      <c r="F1136" s="7" t="s">
        <v>3</v>
      </c>
      <c r="G1136" s="136">
        <f t="shared" si="17"/>
        <v>44034</v>
      </c>
      <c r="H1136" s="20">
        <f>_xll.mirGetDate(G1136,H$17,"Following",H$12,"Normal")</f>
        <v>44126</v>
      </c>
      <c r="I1136" s="134">
        <f ca="1"/>
        <v>1.7824316726399083E-2</v>
      </c>
      <c r="J1136" s="120" t="s">
        <v>3</v>
      </c>
    </row>
    <row r="1137" spans="1:10" x14ac:dyDescent="0.25">
      <c r="A1137" s="126">
        <v>1115</v>
      </c>
      <c r="B1137" s="119"/>
      <c r="C1137" s="136">
        <f>_xll.mirGetDate(C1136,"1D","FOLLOWING",D$12,"NORMAL")</f>
        <v>44035</v>
      </c>
      <c r="D1137" s="20">
        <f>_xll.mirGetDate(C1137,D$17,"Following",D$12,"Normal")</f>
        <v>44036</v>
      </c>
      <c r="E1137" s="134">
        <f ca="1"/>
        <v>1.3638484026217155E-2</v>
      </c>
      <c r="F1137" s="7" t="s">
        <v>3</v>
      </c>
      <c r="G1137" s="136">
        <f t="shared" si="17"/>
        <v>44035</v>
      </c>
      <c r="H1137" s="20">
        <f>_xll.mirGetDate(G1137,H$17,"Following",H$12,"Normal")</f>
        <v>44127</v>
      </c>
      <c r="I1137" s="134">
        <f ca="1"/>
        <v>1.7827748507369564E-2</v>
      </c>
      <c r="J1137" s="120" t="s">
        <v>3</v>
      </c>
    </row>
    <row r="1138" spans="1:10" x14ac:dyDescent="0.25">
      <c r="A1138" s="126">
        <v>1116</v>
      </c>
      <c r="B1138" s="119"/>
      <c r="C1138" s="136">
        <f>_xll.mirGetDate(C1137,"1D","FOLLOWING",D$12,"NORMAL")</f>
        <v>44036</v>
      </c>
      <c r="D1138" s="20">
        <f>_xll.mirGetDate(C1138,D$17,"Following",D$12,"Normal")</f>
        <v>44039</v>
      </c>
      <c r="E1138" s="134">
        <f ca="1"/>
        <v>1.3648384440089633E-2</v>
      </c>
      <c r="F1138" s="7" t="s">
        <v>3</v>
      </c>
      <c r="G1138" s="136">
        <f t="shared" si="17"/>
        <v>44036</v>
      </c>
      <c r="H1138" s="20">
        <f>_xll.mirGetDate(G1138,H$17,"Following",H$12,"Normal")</f>
        <v>44130</v>
      </c>
      <c r="I1138" s="134">
        <f ca="1"/>
        <v>1.7831189919092993E-2</v>
      </c>
      <c r="J1138" s="120" t="s">
        <v>3</v>
      </c>
    </row>
    <row r="1139" spans="1:10" x14ac:dyDescent="0.25">
      <c r="A1139" s="126">
        <v>1117</v>
      </c>
      <c r="B1139" s="119"/>
      <c r="C1139" s="136">
        <f>_xll.mirGetDate(C1138,"1D","FOLLOWING",D$12,"NORMAL")</f>
        <v>44039</v>
      </c>
      <c r="D1139" s="20">
        <f>_xll.mirGetDate(C1139,D$17,"Following",D$12,"Normal")</f>
        <v>44040</v>
      </c>
      <c r="E1139" s="134">
        <f ca="1"/>
        <v>1.36572686844417E-2</v>
      </c>
      <c r="F1139" s="7" t="s">
        <v>3</v>
      </c>
      <c r="G1139" s="136">
        <f t="shared" si="17"/>
        <v>44039</v>
      </c>
      <c r="H1139" s="20">
        <f>_xll.mirGetDate(G1139,H$17,"Following",H$12,"Normal")</f>
        <v>44131</v>
      </c>
      <c r="I1139" s="134">
        <f ca="1"/>
        <v>1.7841575530808083E-2</v>
      </c>
      <c r="J1139" s="120" t="s">
        <v>3</v>
      </c>
    </row>
    <row r="1140" spans="1:10" x14ac:dyDescent="0.25">
      <c r="A1140" s="126">
        <v>1118</v>
      </c>
      <c r="B1140" s="119"/>
      <c r="C1140" s="136">
        <f>_xll.mirGetDate(C1139,"1D","FOLLOWING",D$12,"NORMAL")</f>
        <v>44040</v>
      </c>
      <c r="D1140" s="20">
        <f>_xll.mirGetDate(C1140,D$17,"Following",D$12,"Normal")</f>
        <v>44041</v>
      </c>
      <c r="E1140" s="134">
        <f ca="1"/>
        <v>1.3661978835275436E-2</v>
      </c>
      <c r="F1140" s="7" t="s">
        <v>3</v>
      </c>
      <c r="G1140" s="136">
        <f t="shared" si="17"/>
        <v>44040</v>
      </c>
      <c r="H1140" s="20">
        <f>_xll.mirGetDate(G1140,H$17,"Following",H$12,"Normal")</f>
        <v>44132</v>
      </c>
      <c r="I1140" s="134">
        <f ca="1"/>
        <v>1.7845059057570386E-2</v>
      </c>
      <c r="J1140" s="120" t="s">
        <v>3</v>
      </c>
    </row>
    <row r="1141" spans="1:10" x14ac:dyDescent="0.25">
      <c r="A1141" s="126">
        <v>1119</v>
      </c>
      <c r="B1141" s="119"/>
      <c r="C1141" s="136">
        <f>_xll.mirGetDate(C1140,"1D","FOLLOWING",D$12,"NORMAL")</f>
        <v>44041</v>
      </c>
      <c r="D1141" s="20">
        <f>_xll.mirGetDate(C1141,D$17,"Following",D$12,"Normal")</f>
        <v>44042</v>
      </c>
      <c r="E1141" s="134">
        <f ca="1"/>
        <v>1.3666694582663647E-2</v>
      </c>
      <c r="F1141" s="7" t="s">
        <v>3</v>
      </c>
      <c r="G1141" s="136">
        <f t="shared" si="17"/>
        <v>44041</v>
      </c>
      <c r="H1141" s="20">
        <f>_xll.mirGetDate(G1141,H$17,"Following",H$12,"Normal")</f>
        <v>44133</v>
      </c>
      <c r="I1141" s="134">
        <f ca="1"/>
        <v>1.7848554011099169E-2</v>
      </c>
      <c r="J1141" s="120" t="s">
        <v>3</v>
      </c>
    </row>
    <row r="1142" spans="1:10" x14ac:dyDescent="0.25">
      <c r="A1142" s="126">
        <v>1120</v>
      </c>
      <c r="B1142" s="119"/>
      <c r="C1142" s="136">
        <f>_xll.mirGetDate(C1141,"1D","FOLLOWING",D$12,"NORMAL")</f>
        <v>44042</v>
      </c>
      <c r="D1142" s="20">
        <f>_xll.mirGetDate(C1142,D$17,"Following",D$12,"Normal")</f>
        <v>44043</v>
      </c>
      <c r="E1142" s="134">
        <f ca="1"/>
        <v>1.3671415927583044E-2</v>
      </c>
      <c r="F1142" s="7" t="s">
        <v>3</v>
      </c>
      <c r="G1142" s="136">
        <f t="shared" si="17"/>
        <v>44042</v>
      </c>
      <c r="H1142" s="20">
        <f>_xll.mirGetDate(G1142,H$17,"Following",H$12,"Normal")</f>
        <v>44134</v>
      </c>
      <c r="I1142" s="134">
        <f ca="1"/>
        <v>1.7852060750597129E-2</v>
      </c>
      <c r="J1142" s="120" t="s">
        <v>3</v>
      </c>
    </row>
    <row r="1143" spans="1:10" x14ac:dyDescent="0.25">
      <c r="A1143" s="126">
        <v>1121</v>
      </c>
      <c r="B1143" s="119"/>
      <c r="C1143" s="136">
        <f>_xll.mirGetDate(C1142,"1D","FOLLOWING",D$12,"NORMAL")</f>
        <v>44043</v>
      </c>
      <c r="D1143" s="20">
        <f>_xll.mirGetDate(C1143,D$17,"Following",D$12,"Normal")</f>
        <v>44046</v>
      </c>
      <c r="E1143" s="134">
        <f ca="1"/>
        <v>1.3681397193846964E-2</v>
      </c>
      <c r="F1143" s="7" t="s">
        <v>3</v>
      </c>
      <c r="G1143" s="136">
        <f t="shared" si="17"/>
        <v>44043</v>
      </c>
      <c r="H1143" s="20">
        <f>_xll.mirGetDate(G1143,H$17,"Following",H$12,"Normal")</f>
        <v>44137</v>
      </c>
      <c r="I1143" s="134">
        <f ca="1"/>
        <v>1.7855579635266974E-2</v>
      </c>
      <c r="J1143" s="120" t="s">
        <v>3</v>
      </c>
    </row>
    <row r="1144" spans="1:10" x14ac:dyDescent="0.25">
      <c r="A1144" s="126">
        <v>1122</v>
      </c>
      <c r="B1144" s="119"/>
      <c r="C1144" s="136">
        <f>_xll.mirGetDate(C1143,"1D","FOLLOWING",D$12,"NORMAL")</f>
        <v>44046</v>
      </c>
      <c r="D1144" s="20">
        <f>_xll.mirGetDate(C1144,D$17,"Following",D$12,"Normal")</f>
        <v>44047</v>
      </c>
      <c r="E1144" s="134">
        <f ca="1"/>
        <v>1.3690357301972007E-2</v>
      </c>
      <c r="F1144" s="7" t="s">
        <v>3</v>
      </c>
      <c r="G1144" s="136">
        <f t="shared" si="17"/>
        <v>44046</v>
      </c>
      <c r="H1144" s="20">
        <f>_xll.mirGetDate(G1144,H$17,"Following",H$12,"Normal")</f>
        <v>44138</v>
      </c>
      <c r="I1144" s="134">
        <f ca="1"/>
        <v>1.7866212752334867E-2</v>
      </c>
      <c r="J1144" s="120" t="s">
        <v>3</v>
      </c>
    </row>
    <row r="1145" spans="1:10" x14ac:dyDescent="0.25">
      <c r="A1145" s="126">
        <v>1123</v>
      </c>
      <c r="B1145" s="119"/>
      <c r="C1145" s="136">
        <f>_xll.mirGetDate(C1144,"1D","FOLLOWING",D$12,"NORMAL")</f>
        <v>44047</v>
      </c>
      <c r="D1145" s="20">
        <f>_xll.mirGetDate(C1145,D$17,"Following",D$12,"Normal")</f>
        <v>44048</v>
      </c>
      <c r="E1145" s="134">
        <f ca="1"/>
        <v>1.3695106649283053E-2</v>
      </c>
      <c r="F1145" s="7" t="s">
        <v>3</v>
      </c>
      <c r="G1145" s="136">
        <f t="shared" si="17"/>
        <v>44047</v>
      </c>
      <c r="H1145" s="20">
        <f>_xll.mirGetDate(G1145,H$17,"Following",H$12,"Normal")</f>
        <v>44139</v>
      </c>
      <c r="I1145" s="134">
        <f ca="1"/>
        <v>1.7869783809719295E-2</v>
      </c>
      <c r="J1145" s="120" t="s">
        <v>3</v>
      </c>
    </row>
    <row r="1146" spans="1:10" x14ac:dyDescent="0.25">
      <c r="A1146" s="126">
        <v>1124</v>
      </c>
      <c r="B1146" s="119"/>
      <c r="C1146" s="136">
        <f>_xll.mirGetDate(C1145,"1D","FOLLOWING",D$12,"NORMAL")</f>
        <v>44048</v>
      </c>
      <c r="D1146" s="20">
        <f>_xll.mirGetDate(C1146,D$17,"Following",D$12,"Normal")</f>
        <v>44049</v>
      </c>
      <c r="E1146" s="134">
        <f ca="1"/>
        <v>1.3699861600040572E-2</v>
      </c>
      <c r="F1146" s="7" t="s">
        <v>3</v>
      </c>
      <c r="G1146" s="136">
        <f t="shared" si="17"/>
        <v>44048</v>
      </c>
      <c r="H1146" s="20">
        <f>_xll.mirGetDate(G1146,H$17,"Following",H$12,"Normal")</f>
        <v>44140</v>
      </c>
      <c r="I1146" s="134">
        <f ca="1"/>
        <v>1.7873368808289127E-2</v>
      </c>
      <c r="J1146" s="120" t="s">
        <v>3</v>
      </c>
    </row>
    <row r="1147" spans="1:10" x14ac:dyDescent="0.25">
      <c r="A1147" s="126">
        <v>1125</v>
      </c>
      <c r="B1147" s="119"/>
      <c r="C1147" s="136">
        <f>_xll.mirGetDate(C1146,"1D","FOLLOWING",D$12,"NORMAL")</f>
        <v>44049</v>
      </c>
      <c r="D1147" s="20">
        <f>_xll.mirGetDate(C1147,D$17,"Following",D$12,"Normal")</f>
        <v>44050</v>
      </c>
      <c r="E1147" s="134">
        <f ca="1"/>
        <v>1.3704622155426083E-2</v>
      </c>
      <c r="F1147" s="7" t="s">
        <v>3</v>
      </c>
      <c r="G1147" s="136">
        <f t="shared" si="17"/>
        <v>44049</v>
      </c>
      <c r="H1147" s="20">
        <f>_xll.mirGetDate(G1147,H$17,"Following",H$12,"Normal")</f>
        <v>44141</v>
      </c>
      <c r="I1147" s="134">
        <f ca="1"/>
        <v>1.7876968107247069E-2</v>
      </c>
      <c r="J1147" s="120" t="s">
        <v>3</v>
      </c>
    </row>
    <row r="1148" spans="1:10" x14ac:dyDescent="0.25">
      <c r="A1148" s="126">
        <v>1126</v>
      </c>
      <c r="B1148" s="119"/>
      <c r="C1148" s="136">
        <f>_xll.mirGetDate(C1147,"1D","FOLLOWING",D$12,"NORMAL")</f>
        <v>44050</v>
      </c>
      <c r="D1148" s="20">
        <f>_xll.mirGetDate(C1148,D$17,"Following",D$12,"Normal")</f>
        <v>44053</v>
      </c>
      <c r="E1148" s="134">
        <f ca="1"/>
        <v>1.3714684398814183E-2</v>
      </c>
      <c r="F1148" s="7" t="s">
        <v>3</v>
      </c>
      <c r="G1148" s="136">
        <f t="shared" si="17"/>
        <v>44050</v>
      </c>
      <c r="H1148" s="20">
        <f>_xll.mirGetDate(G1148,H$17,"Following",H$12,"Normal")</f>
        <v>44144</v>
      </c>
      <c r="I1148" s="134">
        <f ca="1"/>
        <v>1.7880582065795823E-2</v>
      </c>
      <c r="J1148" s="120" t="s">
        <v>3</v>
      </c>
    </row>
    <row r="1149" spans="1:10" x14ac:dyDescent="0.25">
      <c r="A1149" s="126">
        <v>1127</v>
      </c>
      <c r="B1149" s="119"/>
      <c r="C1149" s="136">
        <f>_xll.mirGetDate(C1148,"1D","FOLLOWING",D$12,"NORMAL")</f>
        <v>44053</v>
      </c>
      <c r="D1149" s="20">
        <f>_xll.mirGetDate(C1149,D$17,"Following",D$12,"Normal")</f>
        <v>44054</v>
      </c>
      <c r="E1149" s="134">
        <f ca="1"/>
        <v>1.3723720441578621E-2</v>
      </c>
      <c r="F1149" s="7" t="s">
        <v>3</v>
      </c>
      <c r="G1149" s="136">
        <f t="shared" si="17"/>
        <v>44053</v>
      </c>
      <c r="H1149" s="20">
        <f>_xll.mirGetDate(G1149,H$17,"Following",H$12,"Normal")</f>
        <v>44145</v>
      </c>
      <c r="I1149" s="134">
        <f ca="1"/>
        <v>1.7891515491013994E-2</v>
      </c>
      <c r="J1149" s="120" t="s">
        <v>3</v>
      </c>
    </row>
    <row r="1150" spans="1:10" x14ac:dyDescent="0.25">
      <c r="A1150" s="126">
        <v>1128</v>
      </c>
      <c r="B1150" s="119"/>
      <c r="C1150" s="136">
        <f>_xll.mirGetDate(C1149,"1D","FOLLOWING",D$12,"NORMAL")</f>
        <v>44054</v>
      </c>
      <c r="D1150" s="20">
        <f>_xll.mirGetDate(C1150,D$17,"Following",D$12,"Normal")</f>
        <v>44055</v>
      </c>
      <c r="E1150" s="134">
        <f ca="1"/>
        <v>1.3728509034385295E-2</v>
      </c>
      <c r="F1150" s="7" t="s">
        <v>3</v>
      </c>
      <c r="G1150" s="136">
        <f t="shared" si="17"/>
        <v>44054</v>
      </c>
      <c r="H1150" s="20">
        <f>_xll.mirGetDate(G1150,H$17,"Following",H$12,"Normal")</f>
        <v>44147</v>
      </c>
      <c r="I1150" s="134">
        <f ca="1"/>
        <v>1.789519167995304E-2</v>
      </c>
      <c r="J1150" s="120" t="s">
        <v>3</v>
      </c>
    </row>
    <row r="1151" spans="1:10" x14ac:dyDescent="0.25">
      <c r="A1151" s="126">
        <v>1129</v>
      </c>
      <c r="B1151" s="119"/>
      <c r="C1151" s="136">
        <f>_xll.mirGetDate(C1150,"1D","FOLLOWING",D$12,"NORMAL")</f>
        <v>44055</v>
      </c>
      <c r="D1151" s="20">
        <f>_xll.mirGetDate(C1151,D$17,"Following",D$12,"Normal")</f>
        <v>44056</v>
      </c>
      <c r="E1151" s="134">
        <f ca="1"/>
        <v>1.3733303237655276E-2</v>
      </c>
      <c r="F1151" s="7" t="s">
        <v>3</v>
      </c>
      <c r="G1151" s="136">
        <f t="shared" si="17"/>
        <v>44055</v>
      </c>
      <c r="H1151" s="20">
        <f>_xll.mirGetDate(G1151,H$17,"Following",H$12,"Normal")</f>
        <v>44147</v>
      </c>
      <c r="I1151" s="134">
        <f ca="1"/>
        <v>1.7898884324496416E-2</v>
      </c>
      <c r="J1151" s="120" t="s">
        <v>3</v>
      </c>
    </row>
    <row r="1152" spans="1:10" x14ac:dyDescent="0.25">
      <c r="A1152" s="126">
        <v>1130</v>
      </c>
      <c r="B1152" s="119"/>
      <c r="C1152" s="136">
        <f>_xll.mirGetDate(C1151,"1D","FOLLOWING",D$12,"NORMAL")</f>
        <v>44056</v>
      </c>
      <c r="D1152" s="20">
        <f>_xll.mirGetDate(C1152,D$17,"Following",D$12,"Normal")</f>
        <v>44057</v>
      </c>
      <c r="E1152" s="134">
        <f ca="1"/>
        <v>1.3738103052445296E-2</v>
      </c>
      <c r="F1152" s="7" t="s">
        <v>3</v>
      </c>
      <c r="G1152" s="136">
        <f t="shared" si="17"/>
        <v>44056</v>
      </c>
      <c r="H1152" s="20">
        <f>_xll.mirGetDate(G1152,H$17,"Following",H$12,"Normal")</f>
        <v>44148</v>
      </c>
      <c r="I1152" s="134">
        <f ca="1"/>
        <v>1.7902593783846826E-2</v>
      </c>
      <c r="J1152" s="120" t="s">
        <v>3</v>
      </c>
    </row>
    <row r="1153" spans="1:10" x14ac:dyDescent="0.25">
      <c r="A1153" s="126">
        <v>1131</v>
      </c>
      <c r="B1153" s="119"/>
      <c r="C1153" s="136">
        <f>_xll.mirGetDate(C1152,"1D","FOLLOWING",D$12,"NORMAL")</f>
        <v>44057</v>
      </c>
      <c r="D1153" s="20">
        <f>_xll.mirGetDate(C1153,D$17,"Following",D$12,"Normal")</f>
        <v>44060</v>
      </c>
      <c r="E1153" s="134">
        <f ca="1"/>
        <v>1.3748246398525437E-2</v>
      </c>
      <c r="F1153" s="7" t="s">
        <v>3</v>
      </c>
      <c r="G1153" s="136">
        <f t="shared" si="17"/>
        <v>44057</v>
      </c>
      <c r="H1153" s="20">
        <f>_xll.mirGetDate(G1153,H$17,"Following",H$12,"Normal")</f>
        <v>44151</v>
      </c>
      <c r="I1153" s="134">
        <f ca="1"/>
        <v>1.7906320417206981E-2</v>
      </c>
      <c r="J1153" s="120" t="s">
        <v>3</v>
      </c>
    </row>
    <row r="1154" spans="1:10" x14ac:dyDescent="0.25">
      <c r="A1154" s="126">
        <v>1132</v>
      </c>
      <c r="B1154" s="119"/>
      <c r="C1154" s="136">
        <f>_xll.mirGetDate(C1153,"1D","FOLLOWING",D$12,"NORMAL")</f>
        <v>44060</v>
      </c>
      <c r="D1154" s="20">
        <f>_xll.mirGetDate(C1154,D$17,"Following",D$12,"Normal")</f>
        <v>44061</v>
      </c>
      <c r="E1154" s="134">
        <f ca="1"/>
        <v>1.3757358447163998E-2</v>
      </c>
      <c r="F1154" s="7" t="s">
        <v>3</v>
      </c>
      <c r="G1154" s="136">
        <f t="shared" si="17"/>
        <v>44060</v>
      </c>
      <c r="H1154" s="20">
        <f>_xll.mirGetDate(G1154,H$17,"Following",H$12,"Normal")</f>
        <v>44152</v>
      </c>
      <c r="I1154" s="134">
        <f ca="1"/>
        <v>1.7917606953372918E-2</v>
      </c>
      <c r="J1154" s="120" t="s">
        <v>3</v>
      </c>
    </row>
    <row r="1155" spans="1:10" x14ac:dyDescent="0.25">
      <c r="A1155" s="126">
        <v>1133</v>
      </c>
      <c r="B1155" s="119"/>
      <c r="C1155" s="136">
        <f>_xll.mirGetDate(C1154,"1D","FOLLOWING",D$12,"NORMAL")</f>
        <v>44061</v>
      </c>
      <c r="D1155" s="20">
        <f>_xll.mirGetDate(C1155,D$17,"Following",D$12,"Normal")</f>
        <v>44062</v>
      </c>
      <c r="E1155" s="134">
        <f ca="1"/>
        <v>1.3762186334769291E-2</v>
      </c>
      <c r="F1155" s="7" t="s">
        <v>3</v>
      </c>
      <c r="G1155" s="136">
        <f t="shared" si="17"/>
        <v>44061</v>
      </c>
      <c r="H1155" s="20">
        <f>_xll.mirGetDate(G1155,H$17,"Following",H$12,"Normal")</f>
        <v>44153</v>
      </c>
      <c r="I1155" s="134">
        <f ca="1"/>
        <v>1.7921405874799068E-2</v>
      </c>
      <c r="J1155" s="120" t="s">
        <v>3</v>
      </c>
    </row>
    <row r="1156" spans="1:10" x14ac:dyDescent="0.25">
      <c r="A1156" s="126">
        <v>1134</v>
      </c>
      <c r="B1156" s="119"/>
      <c r="C1156" s="136">
        <f>_xll.mirGetDate(C1155,"1D","FOLLOWING",D$12,"NORMAL")</f>
        <v>44062</v>
      </c>
      <c r="D1156" s="20">
        <f>_xll.mirGetDate(C1156,D$17,"Following",D$12,"Normal")</f>
        <v>44063</v>
      </c>
      <c r="E1156" s="134">
        <f ca="1"/>
        <v>1.3767019839889845E-2</v>
      </c>
      <c r="F1156" s="7" t="s">
        <v>3</v>
      </c>
      <c r="G1156" s="136">
        <f t="shared" si="17"/>
        <v>44062</v>
      </c>
      <c r="H1156" s="20">
        <f>_xll.mirGetDate(G1156,H$17,"Following",H$12,"Normal")</f>
        <v>44154</v>
      </c>
      <c r="I1156" s="134">
        <f ca="1"/>
        <v>1.7925223766248482E-2</v>
      </c>
      <c r="J1156" s="120" t="s">
        <v>3</v>
      </c>
    </row>
    <row r="1157" spans="1:10" x14ac:dyDescent="0.25">
      <c r="A1157" s="126">
        <v>1135</v>
      </c>
      <c r="B1157" s="119"/>
      <c r="C1157" s="136">
        <f>_xll.mirGetDate(C1156,"1D","FOLLOWING",D$12,"NORMAL")</f>
        <v>44063</v>
      </c>
      <c r="D1157" s="20">
        <f>_xll.mirGetDate(C1157,D$17,"Following",D$12,"Normal")</f>
        <v>44064</v>
      </c>
      <c r="E1157" s="134">
        <f ca="1"/>
        <v>1.377185896362716E-2</v>
      </c>
      <c r="F1157" s="7" t="s">
        <v>3</v>
      </c>
      <c r="G1157" s="136">
        <f t="shared" si="17"/>
        <v>44063</v>
      </c>
      <c r="H1157" s="20">
        <f>_xll.mirGetDate(G1157,H$17,"Following",H$12,"Normal")</f>
        <v>44155</v>
      </c>
      <c r="I1157" s="134">
        <f ca="1"/>
        <v>1.7929060986923855E-2</v>
      </c>
      <c r="J1157" s="120" t="s">
        <v>3</v>
      </c>
    </row>
    <row r="1158" spans="1:10" x14ac:dyDescent="0.25">
      <c r="A1158" s="126">
        <v>1136</v>
      </c>
      <c r="B1158" s="119"/>
      <c r="C1158" s="136">
        <f>_xll.mirGetDate(C1157,"1D","FOLLOWING",D$12,"NORMAL")</f>
        <v>44064</v>
      </c>
      <c r="D1158" s="20">
        <f>_xll.mirGetDate(C1158,D$17,"Following",D$12,"Normal")</f>
        <v>44067</v>
      </c>
      <c r="E1158" s="134">
        <f ca="1"/>
        <v>1.3782083538390284E-2</v>
      </c>
      <c r="F1158" s="7" t="s">
        <v>3</v>
      </c>
      <c r="G1158" s="136">
        <f t="shared" si="17"/>
        <v>44064</v>
      </c>
      <c r="H1158" s="20">
        <f>_xll.mirGetDate(G1158,H$17,"Following",H$12,"Normal")</f>
        <v>44158</v>
      </c>
      <c r="I1158" s="134">
        <f ca="1"/>
        <v>1.7932917896027901E-2</v>
      </c>
      <c r="J1158" s="120" t="s">
        <v>3</v>
      </c>
    </row>
    <row r="1159" spans="1:10" x14ac:dyDescent="0.25">
      <c r="A1159" s="126">
        <v>1137</v>
      </c>
      <c r="B1159" s="119"/>
      <c r="C1159" s="136">
        <f>_xll.mirGetDate(C1158,"1D","FOLLOWING",D$12,"NORMAL")</f>
        <v>44067</v>
      </c>
      <c r="D1159" s="20">
        <f>_xll.mirGetDate(C1159,D$17,"Following",D$12,"Normal")</f>
        <v>44068</v>
      </c>
      <c r="E1159" s="134">
        <f ca="1"/>
        <v>1.3791082281684528E-2</v>
      </c>
      <c r="F1159" s="7" t="s">
        <v>3</v>
      </c>
      <c r="G1159" s="136">
        <f t="shared" si="17"/>
        <v>44067</v>
      </c>
      <c r="H1159" s="20">
        <f>_xll.mirGetDate(G1159,H$17,"Following",H$12,"Normal")</f>
        <v>44159</v>
      </c>
      <c r="I1159" s="134">
        <f ca="1"/>
        <v>1.7944610345939079E-2</v>
      </c>
      <c r="J1159" s="120" t="s">
        <v>3</v>
      </c>
    </row>
    <row r="1160" spans="1:10" x14ac:dyDescent="0.25">
      <c r="A1160" s="126">
        <v>1138</v>
      </c>
      <c r="B1160" s="119"/>
      <c r="C1160" s="136">
        <f>_xll.mirGetDate(C1159,"1D","FOLLOWING",D$12,"NORMAL")</f>
        <v>44068</v>
      </c>
      <c r="D1160" s="20">
        <f>_xll.mirGetDate(C1160,D$17,"Following",D$12,"Normal")</f>
        <v>44069</v>
      </c>
      <c r="E1160" s="134">
        <f ca="1"/>
        <v>1.3795572318111606E-2</v>
      </c>
      <c r="F1160" s="7" t="s">
        <v>3</v>
      </c>
      <c r="G1160" s="136">
        <f t="shared" si="17"/>
        <v>44068</v>
      </c>
      <c r="H1160" s="20">
        <f>_xll.mirGetDate(G1160,H$17,"Following",H$12,"Normal")</f>
        <v>44160</v>
      </c>
      <c r="I1160" s="134">
        <f ca="1"/>
        <v>1.7948554535450599E-2</v>
      </c>
      <c r="J1160" s="120" t="s">
        <v>3</v>
      </c>
    </row>
    <row r="1161" spans="1:10" x14ac:dyDescent="0.25">
      <c r="A1161" s="126">
        <v>1139</v>
      </c>
      <c r="B1161" s="119"/>
      <c r="C1161" s="136">
        <f>_xll.mirGetDate(C1160,"1D","FOLLOWING",D$12,"NORMAL")</f>
        <v>44069</v>
      </c>
      <c r="D1161" s="20">
        <f>_xll.mirGetDate(C1161,D$17,"Following",D$12,"Normal")</f>
        <v>44070</v>
      </c>
      <c r="E1161" s="134">
        <f ca="1"/>
        <v>1.3800070335185995E-2</v>
      </c>
      <c r="F1161" s="7" t="s">
        <v>3</v>
      </c>
      <c r="G1161" s="136">
        <f t="shared" si="17"/>
        <v>44069</v>
      </c>
      <c r="H1161" s="20">
        <f>_xll.mirGetDate(G1161,H$17,"Following",H$12,"Normal")</f>
        <v>44162</v>
      </c>
      <c r="I1161" s="134">
        <f ca="1"/>
        <v>1.7952529202577169E-2</v>
      </c>
      <c r="J1161" s="120" t="s">
        <v>3</v>
      </c>
    </row>
    <row r="1162" spans="1:10" x14ac:dyDescent="0.25">
      <c r="A1162" s="126">
        <v>1140</v>
      </c>
      <c r="B1162" s="119"/>
      <c r="C1162" s="136">
        <f>_xll.mirGetDate(C1161,"1D","FOLLOWING",D$12,"NORMAL")</f>
        <v>44070</v>
      </c>
      <c r="D1162" s="20">
        <f>_xll.mirGetDate(C1162,D$17,"Following",D$12,"Normal")</f>
        <v>44071</v>
      </c>
      <c r="E1162" s="134">
        <f ca="1"/>
        <v>1.3804576334364197E-2</v>
      </c>
      <c r="F1162" s="7" t="s">
        <v>3</v>
      </c>
      <c r="G1162" s="136">
        <f t="shared" si="17"/>
        <v>44070</v>
      </c>
      <c r="H1162" s="20">
        <f>_xll.mirGetDate(G1162,H$17,"Following",H$12,"Normal")</f>
        <v>44162</v>
      </c>
      <c r="I1162" s="134">
        <f ca="1"/>
        <v>1.7956533392283498E-2</v>
      </c>
      <c r="J1162" s="120" t="s">
        <v>3</v>
      </c>
    </row>
    <row r="1163" spans="1:10" x14ac:dyDescent="0.25">
      <c r="A1163" s="126">
        <v>1141</v>
      </c>
      <c r="B1163" s="119"/>
      <c r="C1163" s="136">
        <f>_xll.mirGetDate(C1162,"1D","FOLLOWING",D$12,"NORMAL")</f>
        <v>44071</v>
      </c>
      <c r="D1163" s="20">
        <f>_xll.mirGetDate(C1163,D$17,"Following",D$12,"Normal")</f>
        <v>44074</v>
      </c>
      <c r="E1163" s="134">
        <f ca="1"/>
        <v>1.3814144997503087E-2</v>
      </c>
      <c r="F1163" s="7" t="s">
        <v>3</v>
      </c>
      <c r="G1163" s="136">
        <f t="shared" si="17"/>
        <v>44071</v>
      </c>
      <c r="H1163" s="20">
        <f>_xll.mirGetDate(G1163,H$17,"Following",H$12,"Normal")</f>
        <v>44165</v>
      </c>
      <c r="I1163" s="134">
        <f ca="1"/>
        <v>1.7960566149534288E-2</v>
      </c>
      <c r="J1163" s="120" t="s">
        <v>3</v>
      </c>
    </row>
    <row r="1164" spans="1:10" x14ac:dyDescent="0.25">
      <c r="A1164" s="126">
        <v>1142</v>
      </c>
      <c r="B1164" s="119"/>
      <c r="C1164" s="136">
        <f>_xll.mirGetDate(C1163,"1D","FOLLOWING",D$12,"NORMAL")</f>
        <v>44074</v>
      </c>
      <c r="D1164" s="20">
        <f>_xll.mirGetDate(C1164,D$17,"Following",D$12,"Normal")</f>
        <v>44075</v>
      </c>
      <c r="E1164" s="134">
        <f ca="1"/>
        <v>1.3822680178947649E-2</v>
      </c>
      <c r="F1164" s="7" t="s">
        <v>3</v>
      </c>
      <c r="G1164" s="136">
        <f t="shared" si="17"/>
        <v>44074</v>
      </c>
      <c r="H1164" s="20">
        <f>_xll.mirGetDate(G1164,H$17,"Following",H$12,"Normal")</f>
        <v>44165</v>
      </c>
      <c r="I1164" s="134">
        <f ca="1"/>
        <v>1.7972826276200522E-2</v>
      </c>
      <c r="J1164" s="120" t="s">
        <v>3</v>
      </c>
    </row>
    <row r="1165" spans="1:10" x14ac:dyDescent="0.25">
      <c r="A1165" s="126">
        <v>1143</v>
      </c>
      <c r="B1165" s="119"/>
      <c r="C1165" s="136">
        <f>_xll.mirGetDate(C1164,"1D","FOLLOWING",D$12,"NORMAL")</f>
        <v>44075</v>
      </c>
      <c r="D1165" s="20">
        <f>_xll.mirGetDate(C1165,D$17,"Following",D$12,"Normal")</f>
        <v>44076</v>
      </c>
      <c r="E1165" s="134">
        <f ca="1"/>
        <v>1.3827226108815763E-2</v>
      </c>
      <c r="F1165" s="7" t="s">
        <v>3</v>
      </c>
      <c r="G1165" s="136">
        <f t="shared" si="17"/>
        <v>44075</v>
      </c>
      <c r="H1165" s="20">
        <f>_xll.mirGetDate(G1165,H$17,"Following",H$12,"Normal")</f>
        <v>44166</v>
      </c>
      <c r="I1165" s="134">
        <f ca="1"/>
        <v>1.7976963753276239E-2</v>
      </c>
      <c r="J1165" s="120" t="s">
        <v>3</v>
      </c>
    </row>
    <row r="1166" spans="1:10" x14ac:dyDescent="0.25">
      <c r="A1166" s="126">
        <v>1144</v>
      </c>
      <c r="B1166" s="119"/>
      <c r="C1166" s="136">
        <f>_xll.mirGetDate(C1165,"1D","FOLLOWING",D$12,"NORMAL")</f>
        <v>44076</v>
      </c>
      <c r="D1166" s="20">
        <f>_xll.mirGetDate(C1166,D$17,"Following",D$12,"Normal")</f>
        <v>44077</v>
      </c>
      <c r="E1166" s="134">
        <f ca="1"/>
        <v>1.3831780028941183E-2</v>
      </c>
      <c r="F1166" s="7" t="s">
        <v>3</v>
      </c>
      <c r="G1166" s="136">
        <f t="shared" si="17"/>
        <v>44076</v>
      </c>
      <c r="H1166" s="20">
        <f>_xll.mirGetDate(G1166,H$17,"Following",H$12,"Normal")</f>
        <v>44167</v>
      </c>
      <c r="I1166" s="134">
        <f ca="1"/>
        <v>1.7981125022719948E-2</v>
      </c>
      <c r="J1166" s="120" t="s">
        <v>3</v>
      </c>
    </row>
    <row r="1167" spans="1:10" x14ac:dyDescent="0.25">
      <c r="A1167" s="126">
        <v>1145</v>
      </c>
      <c r="B1167" s="119"/>
      <c r="C1167" s="136">
        <f>_xll.mirGetDate(C1166,"1D","FOLLOWING",D$12,"NORMAL")</f>
        <v>44077</v>
      </c>
      <c r="D1167" s="20">
        <f>_xll.mirGetDate(C1167,D$17,"Following",D$12,"Normal")</f>
        <v>44078</v>
      </c>
      <c r="E1167" s="134">
        <f ca="1"/>
        <v>1.3836341940745069E-2</v>
      </c>
      <c r="F1167" s="7" t="s">
        <v>3</v>
      </c>
      <c r="G1167" s="136">
        <f t="shared" si="17"/>
        <v>44077</v>
      </c>
      <c r="H1167" s="20">
        <f>_xll.mirGetDate(G1167,H$17,"Following",H$12,"Normal")</f>
        <v>44168</v>
      </c>
      <c r="I1167" s="134">
        <f ca="1"/>
        <v>1.7985309129496363E-2</v>
      </c>
      <c r="J1167" s="120" t="s">
        <v>3</v>
      </c>
    </row>
    <row r="1168" spans="1:10" x14ac:dyDescent="0.25">
      <c r="A1168" s="126">
        <v>1146</v>
      </c>
      <c r="B1168" s="119"/>
      <c r="C1168" s="136">
        <f>_xll.mirGetDate(C1167,"1D","FOLLOWING",D$12,"NORMAL")</f>
        <v>44078</v>
      </c>
      <c r="D1168" s="20">
        <f>_xll.mirGetDate(C1168,D$17,"Following",D$12,"Normal")</f>
        <v>44082</v>
      </c>
      <c r="E1168" s="134">
        <f ca="1"/>
        <v>1.3848585715201582E-2</v>
      </c>
      <c r="F1168" s="7" t="s">
        <v>3</v>
      </c>
      <c r="G1168" s="136">
        <f t="shared" si="17"/>
        <v>44078</v>
      </c>
      <c r="H1168" s="20">
        <f>_xll.mirGetDate(G1168,H$17,"Following",H$12,"Normal")</f>
        <v>44169</v>
      </c>
      <c r="I1168" s="134">
        <f ca="1"/>
        <v>1.7989515118570186E-2</v>
      </c>
      <c r="J1168" s="120" t="s">
        <v>3</v>
      </c>
    </row>
    <row r="1169" spans="1:10" x14ac:dyDescent="0.25">
      <c r="A1169" s="126">
        <v>1147</v>
      </c>
      <c r="B1169" s="119"/>
      <c r="C1169" s="136">
        <f>_xll.mirGetDate(C1168,"1D","FOLLOWING",D$12,"NORMAL")</f>
        <v>44082</v>
      </c>
      <c r="D1169" s="20">
        <f>_xll.mirGetDate(C1169,D$17,"Following",D$12,"Normal")</f>
        <v>44083</v>
      </c>
      <c r="E1169" s="134">
        <f ca="1"/>
        <v>1.3859271420664277E-2</v>
      </c>
      <c r="F1169" s="7" t="s">
        <v>3</v>
      </c>
      <c r="G1169" s="136">
        <f t="shared" si="17"/>
        <v>44082</v>
      </c>
      <c r="H1169" s="20">
        <f>_xll.mirGetDate(G1169,H$17,"Following",H$12,"Normal")</f>
        <v>44173</v>
      </c>
      <c r="I1169" s="134">
        <f ca="1"/>
        <v>1.8006538797133709E-2</v>
      </c>
      <c r="J1169" s="120" t="s">
        <v>3</v>
      </c>
    </row>
    <row r="1170" spans="1:10" x14ac:dyDescent="0.25">
      <c r="A1170" s="126">
        <v>1148</v>
      </c>
      <c r="B1170" s="119"/>
      <c r="C1170" s="136">
        <f>_xll.mirGetDate(C1169,"1D","FOLLOWING",D$12,"NORMAL")</f>
        <v>44083</v>
      </c>
      <c r="D1170" s="20">
        <f>_xll.mirGetDate(C1170,D$17,"Following",D$12,"Normal")</f>
        <v>44084</v>
      </c>
      <c r="E1170" s="134">
        <f ca="1"/>
        <v>1.3863881310569646E-2</v>
      </c>
      <c r="F1170" s="7" t="s">
        <v>3</v>
      </c>
      <c r="G1170" s="136">
        <f t="shared" si="17"/>
        <v>44083</v>
      </c>
      <c r="H1170" s="20">
        <f>_xll.mirGetDate(G1170,H$17,"Following",H$12,"Normal")</f>
        <v>44174</v>
      </c>
      <c r="I1170" s="134">
        <f ca="1"/>
        <v>1.8010839872165174E-2</v>
      </c>
      <c r="J1170" s="120" t="s">
        <v>3</v>
      </c>
    </row>
    <row r="1171" spans="1:10" x14ac:dyDescent="0.25">
      <c r="A1171" s="126">
        <v>1149</v>
      </c>
      <c r="B1171" s="119"/>
      <c r="C1171" s="136">
        <f>_xll.mirGetDate(C1170,"1D","FOLLOWING",D$12,"NORMAL")</f>
        <v>44084</v>
      </c>
      <c r="D1171" s="20">
        <f>_xll.mirGetDate(C1171,D$17,"Following",D$12,"Normal")</f>
        <v>44085</v>
      </c>
      <c r="E1171" s="134">
        <f ca="1"/>
        <v>1.386849920143934E-2</v>
      </c>
      <c r="F1171" s="7" t="s">
        <v>3</v>
      </c>
      <c r="G1171" s="136">
        <f t="shared" si="17"/>
        <v>44084</v>
      </c>
      <c r="H1171" s="20">
        <f>_xll.mirGetDate(G1171,H$17,"Following",H$12,"Normal")</f>
        <v>44175</v>
      </c>
      <c r="I1171" s="134">
        <f ca="1"/>
        <v>1.8015157099282291E-2</v>
      </c>
      <c r="J1171" s="120" t="s">
        <v>3</v>
      </c>
    </row>
    <row r="1172" spans="1:10" x14ac:dyDescent="0.25">
      <c r="A1172" s="126">
        <v>1150</v>
      </c>
      <c r="B1172" s="119"/>
      <c r="C1172" s="136">
        <f>_xll.mirGetDate(C1171,"1D","FOLLOWING",D$12,"NORMAL")</f>
        <v>44085</v>
      </c>
      <c r="D1172" s="20">
        <f>_xll.mirGetDate(C1172,D$17,"Following",D$12,"Normal")</f>
        <v>44088</v>
      </c>
      <c r="E1172" s="134">
        <f ca="1"/>
        <v>1.387829664621777E-2</v>
      </c>
      <c r="F1172" s="7" t="s">
        <v>3</v>
      </c>
      <c r="G1172" s="136">
        <f t="shared" si="17"/>
        <v>44085</v>
      </c>
      <c r="H1172" s="20">
        <f>_xll.mirGetDate(G1172,H$17,"Following",H$12,"Normal")</f>
        <v>44176</v>
      </c>
      <c r="I1172" s="134">
        <f ca="1"/>
        <v>1.8019489523449759E-2</v>
      </c>
      <c r="J1172" s="120" t="s">
        <v>3</v>
      </c>
    </row>
    <row r="1173" spans="1:10" x14ac:dyDescent="0.25">
      <c r="A1173" s="126">
        <v>1151</v>
      </c>
      <c r="B1173" s="119"/>
      <c r="C1173" s="136">
        <f>_xll.mirGetDate(C1172,"1D","FOLLOWING",D$12,"NORMAL")</f>
        <v>44088</v>
      </c>
      <c r="D1173" s="20">
        <f>_xll.mirGetDate(C1173,D$17,"Following",D$12,"Normal")</f>
        <v>44089</v>
      </c>
      <c r="E1173" s="134">
        <f ca="1"/>
        <v>1.3887050804333218E-2</v>
      </c>
      <c r="F1173" s="7" t="s">
        <v>3</v>
      </c>
      <c r="G1173" s="136">
        <f t="shared" si="17"/>
        <v>44088</v>
      </c>
      <c r="H1173" s="20">
        <f>_xll.mirGetDate(G1173,H$17,"Following",H$12,"Normal")</f>
        <v>44179</v>
      </c>
      <c r="I1173" s="134">
        <f ca="1"/>
        <v>1.8032568427901356E-2</v>
      </c>
      <c r="J1173" s="120" t="s">
        <v>3</v>
      </c>
    </row>
    <row r="1174" spans="1:10" x14ac:dyDescent="0.25">
      <c r="A1174" s="126">
        <v>1152</v>
      </c>
      <c r="B1174" s="119"/>
      <c r="C1174" s="136">
        <f>_xll.mirGetDate(C1173,"1D","FOLLOWING",D$12,"NORMAL")</f>
        <v>44089</v>
      </c>
      <c r="D1174" s="20">
        <f>_xll.mirGetDate(C1174,D$17,"Following",D$12,"Normal")</f>
        <v>44090</v>
      </c>
      <c r="E1174" s="134">
        <f ca="1"/>
        <v>1.3891708721669499E-2</v>
      </c>
      <c r="F1174" s="7" t="s">
        <v>3</v>
      </c>
      <c r="G1174" s="136">
        <f t="shared" si="17"/>
        <v>44089</v>
      </c>
      <c r="H1174" s="20">
        <f>_xll.mirGetDate(G1174,H$17,"Following",H$12,"Normal")</f>
        <v>44180</v>
      </c>
      <c r="I1174" s="134">
        <f ca="1"/>
        <v>1.8036952089917308E-2</v>
      </c>
      <c r="J1174" s="120" t="s">
        <v>3</v>
      </c>
    </row>
    <row r="1175" spans="1:10" x14ac:dyDescent="0.25">
      <c r="A1175" s="126">
        <v>1153</v>
      </c>
      <c r="B1175" s="119"/>
      <c r="C1175" s="136">
        <f>_xll.mirGetDate(C1174,"1D","FOLLOWING",D$12,"NORMAL")</f>
        <v>44090</v>
      </c>
      <c r="D1175" s="20">
        <f>_xll.mirGetDate(C1175,D$17,"Following",D$12,"Normal")</f>
        <v>44091</v>
      </c>
      <c r="E1175" s="134">
        <f ca="1"/>
        <v>1.3896374648350078E-2</v>
      </c>
      <c r="F1175" s="7" t="s">
        <v>3</v>
      </c>
      <c r="G1175" s="136">
        <f t="shared" si="17"/>
        <v>44090</v>
      </c>
      <c r="H1175" s="20">
        <f>_xll.mirGetDate(G1175,H$17,"Following",H$12,"Normal")</f>
        <v>44181</v>
      </c>
      <c r="I1175" s="134">
        <f ca="1"/>
        <v>1.8041346173807146E-2</v>
      </c>
      <c r="J1175" s="120" t="s">
        <v>3</v>
      </c>
    </row>
    <row r="1176" spans="1:10" x14ac:dyDescent="0.25">
      <c r="A1176" s="126">
        <v>1154</v>
      </c>
      <c r="B1176" s="119"/>
      <c r="C1176" s="136">
        <f>_xll.mirGetDate(C1175,"1D","FOLLOWING",D$12,"NORMAL")</f>
        <v>44091</v>
      </c>
      <c r="D1176" s="20">
        <f>_xll.mirGetDate(C1176,D$17,"Following",D$12,"Normal")</f>
        <v>44092</v>
      </c>
      <c r="E1176" s="134">
        <f ca="1"/>
        <v>1.3901048585751637E-2</v>
      </c>
      <c r="F1176" s="7" t="s">
        <v>3</v>
      </c>
      <c r="G1176" s="136">
        <f t="shared" ref="G1176:G1239" si="18">$C1176</f>
        <v>44091</v>
      </c>
      <c r="H1176" s="20">
        <f>_xll.mirGetDate(G1176,H$17,"Following",H$12,"Normal")</f>
        <v>44182</v>
      </c>
      <c r="I1176" s="134">
        <f ca="1"/>
        <v>1.8045749724535577E-2</v>
      </c>
      <c r="J1176" s="120" t="s">
        <v>3</v>
      </c>
    </row>
    <row r="1177" spans="1:10" x14ac:dyDescent="0.25">
      <c r="A1177" s="126">
        <v>1155</v>
      </c>
      <c r="B1177" s="119"/>
      <c r="C1177" s="136">
        <f>_xll.mirGetDate(C1176,"1D","FOLLOWING",D$12,"NORMAL")</f>
        <v>44092</v>
      </c>
      <c r="D1177" s="20">
        <f>_xll.mirGetDate(C1177,D$17,"Following",D$12,"Normal")</f>
        <v>44095</v>
      </c>
      <c r="E1177" s="134">
        <f ca="1"/>
        <v>1.3910960676656732E-2</v>
      </c>
      <c r="F1177" s="7" t="s">
        <v>3</v>
      </c>
      <c r="G1177" s="136">
        <f t="shared" si="18"/>
        <v>44092</v>
      </c>
      <c r="H1177" s="20">
        <f>_xll.mirGetDate(G1177,H$17,"Following",H$12,"Normal")</f>
        <v>44183</v>
      </c>
      <c r="I1177" s="134">
        <f ca="1"/>
        <v>1.8050161787067306E-2</v>
      </c>
      <c r="J1177" s="120" t="s">
        <v>3</v>
      </c>
    </row>
    <row r="1178" spans="1:10" x14ac:dyDescent="0.25">
      <c r="A1178" s="126">
        <v>1156</v>
      </c>
      <c r="B1178" s="119"/>
      <c r="C1178" s="136">
        <f>_xll.mirGetDate(C1177,"1D","FOLLOWING",D$12,"NORMAL")</f>
        <v>44095</v>
      </c>
      <c r="D1178" s="20">
        <f>_xll.mirGetDate(C1178,D$17,"Following",D$12,"Normal")</f>
        <v>44096</v>
      </c>
      <c r="E1178" s="134">
        <f ca="1"/>
        <v>1.39198244707584E-2</v>
      </c>
      <c r="F1178" s="7" t="s">
        <v>3</v>
      </c>
      <c r="G1178" s="136">
        <f t="shared" si="18"/>
        <v>44095</v>
      </c>
      <c r="H1178" s="20">
        <f>_xll.mirGetDate(G1178,H$17,"Following",H$12,"Normal")</f>
        <v>44186</v>
      </c>
      <c r="I1178" s="134">
        <f ca="1"/>
        <v>1.8063439495129351E-2</v>
      </c>
      <c r="J1178" s="120" t="s">
        <v>3</v>
      </c>
    </row>
    <row r="1179" spans="1:10" x14ac:dyDescent="0.25">
      <c r="A1179" s="126">
        <v>1157</v>
      </c>
      <c r="B1179" s="119"/>
      <c r="C1179" s="136">
        <f>_xll.mirGetDate(C1178,"1D","FOLLOWING",D$12,"NORMAL")</f>
        <v>44096</v>
      </c>
      <c r="D1179" s="20">
        <f>_xll.mirGetDate(C1179,D$17,"Following",D$12,"Normal")</f>
        <v>44097</v>
      </c>
      <c r="E1179" s="134">
        <f ca="1"/>
        <v>1.3924538482734715E-2</v>
      </c>
      <c r="F1179" s="7" t="s">
        <v>3</v>
      </c>
      <c r="G1179" s="136">
        <f t="shared" si="18"/>
        <v>44096</v>
      </c>
      <c r="H1179" s="20">
        <f>_xll.mirGetDate(G1179,H$17,"Following",H$12,"Normal")</f>
        <v>44187</v>
      </c>
      <c r="I1179" s="134">
        <f ca="1"/>
        <v>1.8067876054521339E-2</v>
      </c>
      <c r="J1179" s="120" t="s">
        <v>3</v>
      </c>
    </row>
    <row r="1180" spans="1:10" x14ac:dyDescent="0.25">
      <c r="A1180" s="126">
        <v>1158</v>
      </c>
      <c r="B1180" s="119"/>
      <c r="C1180" s="136">
        <f>_xll.mirGetDate(C1179,"1D","FOLLOWING",D$12,"NORMAL")</f>
        <v>44097</v>
      </c>
      <c r="D1180" s="20">
        <f>_xll.mirGetDate(C1180,D$17,"Following",D$12,"Normal")</f>
        <v>44098</v>
      </c>
      <c r="E1180" s="134">
        <f ca="1"/>
        <v>1.3929260513665442E-2</v>
      </c>
      <c r="F1180" s="7" t="s">
        <v>3</v>
      </c>
      <c r="G1180" s="136">
        <f t="shared" si="18"/>
        <v>44097</v>
      </c>
      <c r="H1180" s="20">
        <f>_xll.mirGetDate(G1180,H$17,"Following",H$12,"Normal")</f>
        <v>44188</v>
      </c>
      <c r="I1180" s="134">
        <f ca="1"/>
        <v>1.8072316350540161E-2</v>
      </c>
      <c r="J1180" s="120" t="s">
        <v>3</v>
      </c>
    </row>
    <row r="1181" spans="1:10" x14ac:dyDescent="0.25">
      <c r="A1181" s="126">
        <v>1159</v>
      </c>
      <c r="B1181" s="119"/>
      <c r="C1181" s="136">
        <f>_xll.mirGetDate(C1180,"1D","FOLLOWING",D$12,"NORMAL")</f>
        <v>44098</v>
      </c>
      <c r="D1181" s="20">
        <f>_xll.mirGetDate(C1181,D$17,"Following",D$12,"Normal")</f>
        <v>44099</v>
      </c>
      <c r="E1181" s="134">
        <f ca="1"/>
        <v>1.393399056513149E-2</v>
      </c>
      <c r="F1181" s="7" t="s">
        <v>3</v>
      </c>
      <c r="G1181" s="136">
        <f t="shared" si="18"/>
        <v>44098</v>
      </c>
      <c r="H1181" s="20">
        <f>_xll.mirGetDate(G1181,H$17,"Following",H$12,"Normal")</f>
        <v>44189</v>
      </c>
      <c r="I1181" s="134">
        <f ca="1"/>
        <v>1.807675942815052E-2</v>
      </c>
      <c r="J1181" s="120" t="s">
        <v>3</v>
      </c>
    </row>
    <row r="1182" spans="1:10" x14ac:dyDescent="0.25">
      <c r="A1182" s="126">
        <v>1160</v>
      </c>
      <c r="B1182" s="119"/>
      <c r="C1182" s="136">
        <f>_xll.mirGetDate(C1181,"1D","FOLLOWING",D$12,"NORMAL")</f>
        <v>44099</v>
      </c>
      <c r="D1182" s="20">
        <f>_xll.mirGetDate(C1182,D$17,"Following",D$12,"Normal")</f>
        <v>44102</v>
      </c>
      <c r="E1182" s="134">
        <f ca="1"/>
        <v>1.3944017473824471E-2</v>
      </c>
      <c r="F1182" s="7" t="s">
        <v>3</v>
      </c>
      <c r="G1182" s="136">
        <f t="shared" si="18"/>
        <v>44099</v>
      </c>
      <c r="H1182" s="20">
        <f>_xll.mirGetDate(G1182,H$17,"Following",H$12,"Normal")</f>
        <v>44193</v>
      </c>
      <c r="I1182" s="134">
        <f ca="1"/>
        <v>1.8081204332317122E-2</v>
      </c>
      <c r="J1182" s="120" t="s">
        <v>3</v>
      </c>
    </row>
    <row r="1183" spans="1:10" x14ac:dyDescent="0.25">
      <c r="A1183" s="126">
        <v>1161</v>
      </c>
      <c r="B1183" s="119"/>
      <c r="C1183" s="136">
        <f>_xll.mirGetDate(C1182,"1D","FOLLOWING",D$12,"NORMAL")</f>
        <v>44102</v>
      </c>
      <c r="D1183" s="20">
        <f>_xll.mirGetDate(C1183,D$17,"Following",D$12,"Normal")</f>
        <v>44103</v>
      </c>
      <c r="E1183" s="134">
        <f ca="1"/>
        <v>1.3952991002994559E-2</v>
      </c>
      <c r="F1183" s="7" t="s">
        <v>3</v>
      </c>
      <c r="G1183" s="136">
        <f t="shared" si="18"/>
        <v>44102</v>
      </c>
      <c r="H1183" s="20">
        <f>_xll.mirGetDate(G1183,H$17,"Following",H$12,"Normal")</f>
        <v>44193</v>
      </c>
      <c r="I1183" s="134">
        <f ca="1"/>
        <v>1.8094541584752426E-2</v>
      </c>
      <c r="J1183" s="120" t="s">
        <v>3</v>
      </c>
    </row>
    <row r="1184" spans="1:10" x14ac:dyDescent="0.25">
      <c r="A1184" s="126">
        <v>1162</v>
      </c>
      <c r="B1184" s="119"/>
      <c r="C1184" s="136">
        <f>_xll.mirGetDate(C1183,"1D","FOLLOWING",D$12,"NORMAL")</f>
        <v>44103</v>
      </c>
      <c r="D1184" s="20">
        <f>_xll.mirGetDate(C1184,D$17,"Following",D$12,"Normal")</f>
        <v>44104</v>
      </c>
      <c r="E1184" s="134">
        <f ca="1"/>
        <v>1.3957761177494426E-2</v>
      </c>
      <c r="F1184" s="7" t="s">
        <v>3</v>
      </c>
      <c r="G1184" s="136">
        <f t="shared" si="18"/>
        <v>44103</v>
      </c>
      <c r="H1184" s="20">
        <f>_xll.mirGetDate(G1184,H$17,"Following",H$12,"Normal")</f>
        <v>44194</v>
      </c>
      <c r="I1184" s="134">
        <f ca="1"/>
        <v>1.8098986773123719E-2</v>
      </c>
      <c r="J1184" s="120" t="s">
        <v>3</v>
      </c>
    </row>
    <row r="1185" spans="1:10" x14ac:dyDescent="0.25">
      <c r="A1185" s="126">
        <v>1163</v>
      </c>
      <c r="B1185" s="119"/>
      <c r="C1185" s="136">
        <f>_xll.mirGetDate(C1184,"1D","FOLLOWING",D$12,"NORMAL")</f>
        <v>44104</v>
      </c>
      <c r="D1185" s="20">
        <f>_xll.mirGetDate(C1185,D$17,"Following",D$12,"Normal")</f>
        <v>44105</v>
      </c>
      <c r="E1185" s="134">
        <f ca="1"/>
        <v>1.3962539380683075E-2</v>
      </c>
      <c r="F1185" s="7" t="s">
        <v>3</v>
      </c>
      <c r="G1185" s="136">
        <f t="shared" si="18"/>
        <v>44104</v>
      </c>
      <c r="H1185" s="20">
        <f>_xll.mirGetDate(G1185,H$17,"Following",H$12,"Normal")</f>
        <v>44195</v>
      </c>
      <c r="I1185" s="134">
        <f ca="1"/>
        <v>1.8103431316164056E-2</v>
      </c>
      <c r="J1185" s="120" t="s">
        <v>3</v>
      </c>
    </row>
    <row r="1186" spans="1:10" x14ac:dyDescent="0.25">
      <c r="A1186" s="126">
        <v>1164</v>
      </c>
      <c r="B1186" s="119"/>
      <c r="C1186" s="136">
        <f>_xll.mirGetDate(C1185,"1D","FOLLOWING",D$12,"NORMAL")</f>
        <v>44105</v>
      </c>
      <c r="D1186" s="20">
        <f>_xll.mirGetDate(C1186,D$17,"Following",D$12,"Normal")</f>
        <v>44106</v>
      </c>
      <c r="E1186" s="134">
        <f ca="1"/>
        <v>1.3967325614097144E-2</v>
      </c>
      <c r="F1186" s="7" t="s">
        <v>3</v>
      </c>
      <c r="G1186" s="136">
        <f t="shared" si="18"/>
        <v>44105</v>
      </c>
      <c r="H1186" s="20">
        <f>_xll.mirGetDate(G1186,H$17,"Following",H$12,"Normal")</f>
        <v>44200</v>
      </c>
      <c r="I1186" s="134">
        <f ca="1"/>
        <v>1.8107875004855733E-2</v>
      </c>
      <c r="J1186" s="120" t="s">
        <v>3</v>
      </c>
    </row>
    <row r="1187" spans="1:10" x14ac:dyDescent="0.25">
      <c r="A1187" s="126">
        <v>1165</v>
      </c>
      <c r="B1187" s="119"/>
      <c r="C1187" s="136">
        <f>_xll.mirGetDate(C1186,"1D","FOLLOWING",D$12,"NORMAL")</f>
        <v>44106</v>
      </c>
      <c r="D1187" s="20">
        <f>_xll.mirGetDate(C1187,D$17,"Following",D$12,"Normal")</f>
        <v>44109</v>
      </c>
      <c r="E1187" s="134">
        <f ca="1"/>
        <v>1.3977467513201362E-2</v>
      </c>
      <c r="F1187" s="7" t="s">
        <v>3</v>
      </c>
      <c r="G1187" s="136">
        <f t="shared" si="18"/>
        <v>44106</v>
      </c>
      <c r="H1187" s="20">
        <f>_xll.mirGetDate(G1187,H$17,"Following",H$12,"Normal")</f>
        <v>44200</v>
      </c>
      <c r="I1187" s="134">
        <f ca="1"/>
        <v>1.8112317630181046E-2</v>
      </c>
      <c r="J1187" s="120" t="s">
        <v>3</v>
      </c>
    </row>
    <row r="1188" spans="1:10" x14ac:dyDescent="0.25">
      <c r="A1188" s="126">
        <v>1166</v>
      </c>
      <c r="B1188" s="119"/>
      <c r="C1188" s="136">
        <f>_xll.mirGetDate(C1187,"1D","FOLLOWING",D$12,"NORMAL")</f>
        <v>44109</v>
      </c>
      <c r="D1188" s="20">
        <f>_xll.mirGetDate(C1188,D$17,"Following",D$12,"Normal")</f>
        <v>44110</v>
      </c>
      <c r="E1188" s="134">
        <f ca="1"/>
        <v>1.3986550877238612E-2</v>
      </c>
      <c r="F1188" s="7" t="s">
        <v>3</v>
      </c>
      <c r="G1188" s="136">
        <f t="shared" si="18"/>
        <v>44109</v>
      </c>
      <c r="H1188" s="20">
        <f>_xll.mirGetDate(G1188,H$17,"Following",H$12,"Normal")</f>
        <v>44201</v>
      </c>
      <c r="I1188" s="134">
        <f ca="1"/>
        <v>1.8125637035781725E-2</v>
      </c>
      <c r="J1188" s="120" t="s">
        <v>3</v>
      </c>
    </row>
    <row r="1189" spans="1:10" x14ac:dyDescent="0.25">
      <c r="A1189" s="126">
        <v>1167</v>
      </c>
      <c r="B1189" s="119"/>
      <c r="C1189" s="136">
        <f>_xll.mirGetDate(C1188,"1D","FOLLOWING",D$12,"NORMAL")</f>
        <v>44110</v>
      </c>
      <c r="D1189" s="20">
        <f>_xll.mirGetDate(C1189,D$17,"Following",D$12,"Normal")</f>
        <v>44111</v>
      </c>
      <c r="E1189" s="134">
        <f ca="1"/>
        <v>1.3991377282269768E-2</v>
      </c>
      <c r="F1189" s="7" t="s">
        <v>3</v>
      </c>
      <c r="G1189" s="136">
        <f t="shared" si="18"/>
        <v>44110</v>
      </c>
      <c r="H1189" s="20">
        <f>_xll.mirGetDate(G1189,H$17,"Following",H$12,"Normal")</f>
        <v>44202</v>
      </c>
      <c r="I1189" s="134">
        <f ca="1"/>
        <v>1.8130073317464517E-2</v>
      </c>
      <c r="J1189" s="120" t="s">
        <v>3</v>
      </c>
    </row>
    <row r="1190" spans="1:10" x14ac:dyDescent="0.25">
      <c r="A1190" s="126">
        <v>1168</v>
      </c>
      <c r="B1190" s="119"/>
      <c r="C1190" s="136">
        <f>_xll.mirGetDate(C1189,"1D","FOLLOWING",D$12,"NORMAL")</f>
        <v>44111</v>
      </c>
      <c r="D1190" s="20">
        <f>_xll.mirGetDate(C1190,D$17,"Following",D$12,"Normal")</f>
        <v>44112</v>
      </c>
      <c r="E1190" s="134">
        <f ca="1"/>
        <v>1.3996211726079523E-2</v>
      </c>
      <c r="F1190" s="7" t="s">
        <v>3</v>
      </c>
      <c r="G1190" s="136">
        <f t="shared" si="18"/>
        <v>44111</v>
      </c>
      <c r="H1190" s="20">
        <f>_xll.mirGetDate(G1190,H$17,"Following",H$12,"Normal")</f>
        <v>44203</v>
      </c>
      <c r="I1190" s="134">
        <f ca="1"/>
        <v>1.8134507490692408E-2</v>
      </c>
      <c r="J1190" s="120" t="s">
        <v>3</v>
      </c>
    </row>
    <row r="1191" spans="1:10" x14ac:dyDescent="0.25">
      <c r="A1191" s="126">
        <v>1169</v>
      </c>
      <c r="B1191" s="119"/>
      <c r="C1191" s="136">
        <f>_xll.mirGetDate(C1190,"1D","FOLLOWING",D$12,"NORMAL")</f>
        <v>44112</v>
      </c>
      <c r="D1191" s="20">
        <f>_xll.mirGetDate(C1191,D$17,"Following",D$12,"Normal")</f>
        <v>44113</v>
      </c>
      <c r="E1191" s="134">
        <f ca="1"/>
        <v>1.4001054209689143E-2</v>
      </c>
      <c r="F1191" s="7" t="s">
        <v>3</v>
      </c>
      <c r="G1191" s="136">
        <f t="shared" si="18"/>
        <v>44112</v>
      </c>
      <c r="H1191" s="20">
        <f>_xll.mirGetDate(G1191,H$17,"Following",H$12,"Normal")</f>
        <v>44204</v>
      </c>
      <c r="I1191" s="134">
        <f ca="1"/>
        <v>1.8138939346447693E-2</v>
      </c>
      <c r="J1191" s="120" t="s">
        <v>3</v>
      </c>
    </row>
    <row r="1192" spans="1:10" x14ac:dyDescent="0.25">
      <c r="A1192" s="126">
        <v>1170</v>
      </c>
      <c r="B1192" s="119"/>
      <c r="C1192" s="136">
        <f>_xll.mirGetDate(C1191,"1D","FOLLOWING",D$12,"NORMAL")</f>
        <v>44113</v>
      </c>
      <c r="D1192" s="20">
        <f>_xll.mirGetDate(C1192,D$17,"Following",D$12,"Normal")</f>
        <v>44117</v>
      </c>
      <c r="E1192" s="134">
        <f ca="1"/>
        <v>1.4014018859624994E-2</v>
      </c>
      <c r="F1192" s="7" t="s">
        <v>3</v>
      </c>
      <c r="G1192" s="136">
        <f t="shared" si="18"/>
        <v>44113</v>
      </c>
      <c r="H1192" s="20">
        <f>_xll.mirGetDate(G1192,H$17,"Following",H$12,"Normal")</f>
        <v>44207</v>
      </c>
      <c r="I1192" s="134">
        <f ca="1"/>
        <v>1.8143368675712673E-2</v>
      </c>
      <c r="J1192" s="120" t="s">
        <v>3</v>
      </c>
    </row>
    <row r="1193" spans="1:10" x14ac:dyDescent="0.25">
      <c r="A1193" s="126">
        <v>1171</v>
      </c>
      <c r="B1193" s="119"/>
      <c r="C1193" s="136">
        <f>_xll.mirGetDate(C1192,"1D","FOLLOWING",D$12,"NORMAL")</f>
        <v>44117</v>
      </c>
      <c r="D1193" s="20">
        <f>_xll.mirGetDate(C1193,D$17,"Following",D$12,"Normal")</f>
        <v>44118</v>
      </c>
      <c r="E1193" s="134">
        <f ca="1"/>
        <v>1.4025387276535089E-2</v>
      </c>
      <c r="F1193" s="7" t="s">
        <v>3</v>
      </c>
      <c r="G1193" s="136">
        <f t="shared" si="18"/>
        <v>44117</v>
      </c>
      <c r="H1193" s="20">
        <f>_xll.mirGetDate(G1193,H$17,"Following",H$12,"Normal")</f>
        <v>44209</v>
      </c>
      <c r="I1193" s="134">
        <f ca="1"/>
        <v>1.8161056547515368E-2</v>
      </c>
      <c r="J1193" s="120" t="s">
        <v>3</v>
      </c>
    </row>
    <row r="1194" spans="1:10" x14ac:dyDescent="0.25">
      <c r="A1194" s="126">
        <v>1172</v>
      </c>
      <c r="B1194" s="119"/>
      <c r="C1194" s="136">
        <f>_xll.mirGetDate(C1193,"1D","FOLLOWING",D$12,"NORMAL")</f>
        <v>44118</v>
      </c>
      <c r="D1194" s="20">
        <f>_xll.mirGetDate(C1194,D$17,"Following",D$12,"Normal")</f>
        <v>44119</v>
      </c>
      <c r="E1194" s="134">
        <f ca="1"/>
        <v>1.4030278029453253E-2</v>
      </c>
      <c r="F1194" s="7" t="s">
        <v>3</v>
      </c>
      <c r="G1194" s="136">
        <f t="shared" si="18"/>
        <v>44118</v>
      </c>
      <c r="H1194" s="20">
        <f>_xll.mirGetDate(G1194,H$17,"Following",H$12,"Normal")</f>
        <v>44210</v>
      </c>
      <c r="I1194" s="134">
        <f ca="1"/>
        <v>1.8165470109063206E-2</v>
      </c>
      <c r="J1194" s="120" t="s">
        <v>3</v>
      </c>
    </row>
    <row r="1195" spans="1:10" x14ac:dyDescent="0.25">
      <c r="A1195" s="126">
        <v>1173</v>
      </c>
      <c r="B1195" s="119"/>
      <c r="C1195" s="136">
        <f>_xll.mirGetDate(C1194,"1D","FOLLOWING",D$12,"NORMAL")</f>
        <v>44119</v>
      </c>
      <c r="D1195" s="20">
        <f>_xll.mirGetDate(C1195,D$17,"Following",D$12,"Normal")</f>
        <v>44120</v>
      </c>
      <c r="E1195" s="134">
        <f ca="1"/>
        <v>1.4035176832261149E-2</v>
      </c>
      <c r="F1195" s="7" t="s">
        <v>3</v>
      </c>
      <c r="G1195" s="136">
        <f t="shared" si="18"/>
        <v>44119</v>
      </c>
      <c r="H1195" s="20">
        <f>_xll.mirGetDate(G1195,H$17,"Following",H$12,"Normal")</f>
        <v>44211</v>
      </c>
      <c r="I1195" s="134">
        <f ca="1"/>
        <v>1.8169879890014503E-2</v>
      </c>
      <c r="J1195" s="120" t="s">
        <v>3</v>
      </c>
    </row>
    <row r="1196" spans="1:10" x14ac:dyDescent="0.25">
      <c r="A1196" s="126">
        <v>1174</v>
      </c>
      <c r="B1196" s="119"/>
      <c r="C1196" s="136">
        <f>_xll.mirGetDate(C1195,"1D","FOLLOWING",D$12,"NORMAL")</f>
        <v>44120</v>
      </c>
      <c r="D1196" s="20">
        <f>_xll.mirGetDate(C1196,D$17,"Following",D$12,"Normal")</f>
        <v>44123</v>
      </c>
      <c r="E1196" s="134">
        <f ca="1"/>
        <v>1.4045549234688448E-2</v>
      </c>
      <c r="F1196" s="7" t="s">
        <v>3</v>
      </c>
      <c r="G1196" s="136">
        <f t="shared" si="18"/>
        <v>44120</v>
      </c>
      <c r="H1196" s="20">
        <f>_xll.mirGetDate(G1196,H$17,"Following",H$12,"Normal")</f>
        <v>44215</v>
      </c>
      <c r="I1196" s="134">
        <f ca="1"/>
        <v>1.817428568135154E-2</v>
      </c>
      <c r="J1196" s="120" t="s">
        <v>3</v>
      </c>
    </row>
    <row r="1197" spans="1:10" x14ac:dyDescent="0.25">
      <c r="A1197" s="126">
        <v>1175</v>
      </c>
      <c r="B1197" s="119"/>
      <c r="C1197" s="136">
        <f>_xll.mirGetDate(C1196,"1D","FOLLOWING",D$12,"NORMAL")</f>
        <v>44123</v>
      </c>
      <c r="D1197" s="20">
        <f>_xll.mirGetDate(C1197,D$17,"Following",D$12,"Normal")</f>
        <v>44124</v>
      </c>
      <c r="E1197" s="134">
        <f ca="1"/>
        <v>1.4054852569460673E-2</v>
      </c>
      <c r="F1197" s="7" t="s">
        <v>3</v>
      </c>
      <c r="G1197" s="136">
        <f t="shared" si="18"/>
        <v>44123</v>
      </c>
      <c r="H1197" s="20">
        <f>_xll.mirGetDate(G1197,H$17,"Following",H$12,"Normal")</f>
        <v>44215</v>
      </c>
      <c r="I1197" s="134">
        <f ca="1"/>
        <v>1.8187477027500069E-2</v>
      </c>
      <c r="J1197" s="120" t="s">
        <v>3</v>
      </c>
    </row>
    <row r="1198" spans="1:10" x14ac:dyDescent="0.25">
      <c r="A1198" s="126">
        <v>1176</v>
      </c>
      <c r="B1198" s="119"/>
      <c r="C1198" s="136">
        <f>_xll.mirGetDate(C1197,"1D","FOLLOWING",D$12,"NORMAL")</f>
        <v>44124</v>
      </c>
      <c r="D1198" s="20">
        <f>_xll.mirGetDate(C1198,D$17,"Following",D$12,"Normal")</f>
        <v>44125</v>
      </c>
      <c r="E1198" s="134">
        <f ca="1"/>
        <v>1.4059791642366837E-2</v>
      </c>
      <c r="F1198" s="7" t="s">
        <v>3</v>
      </c>
      <c r="G1198" s="136">
        <f t="shared" si="18"/>
        <v>44124</v>
      </c>
      <c r="H1198" s="20">
        <f>_xll.mirGetDate(G1198,H$17,"Following",H$12,"Normal")</f>
        <v>44216</v>
      </c>
      <c r="I1198" s="134">
        <f ca="1"/>
        <v>1.8191864770203032E-2</v>
      </c>
      <c r="J1198" s="120" t="s">
        <v>3</v>
      </c>
    </row>
    <row r="1199" spans="1:10" x14ac:dyDescent="0.25">
      <c r="A1199" s="126">
        <v>1177</v>
      </c>
      <c r="B1199" s="119"/>
      <c r="C1199" s="136">
        <f>_xll.mirGetDate(C1198,"1D","FOLLOWING",D$12,"NORMAL")</f>
        <v>44125</v>
      </c>
      <c r="D1199" s="20">
        <f>_xll.mirGetDate(C1199,D$17,"Following",D$12,"Normal")</f>
        <v>44126</v>
      </c>
      <c r="E1199" s="134">
        <f ca="1"/>
        <v>1.4064738773635977E-2</v>
      </c>
      <c r="F1199" s="7" t="s">
        <v>3</v>
      </c>
      <c r="G1199" s="136">
        <f t="shared" si="18"/>
        <v>44125</v>
      </c>
      <c r="H1199" s="20">
        <f>_xll.mirGetDate(G1199,H$17,"Following",H$12,"Normal")</f>
        <v>44217</v>
      </c>
      <c r="I1199" s="134">
        <f ca="1"/>
        <v>1.8196247478203208E-2</v>
      </c>
      <c r="J1199" s="120" t="s">
        <v>3</v>
      </c>
    </row>
    <row r="1200" spans="1:10" x14ac:dyDescent="0.25">
      <c r="A1200" s="126">
        <v>1178</v>
      </c>
      <c r="B1200" s="119"/>
      <c r="C1200" s="136">
        <f>_xll.mirGetDate(C1199,"1D","FOLLOWING",D$12,"NORMAL")</f>
        <v>44126</v>
      </c>
      <c r="D1200" s="20">
        <f>_xll.mirGetDate(C1200,D$17,"Following",D$12,"Normal")</f>
        <v>44127</v>
      </c>
      <c r="E1200" s="134">
        <f ca="1"/>
        <v>1.4069693964529083E-2</v>
      </c>
      <c r="F1200" s="7" t="s">
        <v>3</v>
      </c>
      <c r="G1200" s="136">
        <f t="shared" si="18"/>
        <v>44126</v>
      </c>
      <c r="H1200" s="20">
        <f>_xll.mirGetDate(G1200,H$17,"Following",H$12,"Normal")</f>
        <v>44218</v>
      </c>
      <c r="I1200" s="134">
        <f ca="1"/>
        <v>1.8200624942482899E-2</v>
      </c>
      <c r="J1200" s="120" t="s">
        <v>3</v>
      </c>
    </row>
    <row r="1201" spans="1:10" x14ac:dyDescent="0.25">
      <c r="A1201" s="126">
        <v>1179</v>
      </c>
      <c r="B1201" s="119"/>
      <c r="C1201" s="136">
        <f>_xll.mirGetDate(C1200,"1D","FOLLOWING",D$12,"NORMAL")</f>
        <v>44127</v>
      </c>
      <c r="D1201" s="20">
        <f>_xll.mirGetDate(C1201,D$17,"Following",D$12,"Normal")</f>
        <v>44130</v>
      </c>
      <c r="E1201" s="134">
        <f ca="1"/>
        <v>1.4080181882025054E-2</v>
      </c>
      <c r="F1201" s="7" t="s">
        <v>3</v>
      </c>
      <c r="G1201" s="136">
        <f t="shared" si="18"/>
        <v>44127</v>
      </c>
      <c r="H1201" s="20">
        <f>_xll.mirGetDate(G1201,H$17,"Following",H$12,"Normal")</f>
        <v>44221</v>
      </c>
      <c r="I1201" s="134">
        <f ca="1"/>
        <v>1.8204996954024388E-2</v>
      </c>
      <c r="J1201" s="120" t="s">
        <v>3</v>
      </c>
    </row>
    <row r="1202" spans="1:10" x14ac:dyDescent="0.25">
      <c r="A1202" s="126">
        <v>1180</v>
      </c>
      <c r="B1202" s="119"/>
      <c r="C1202" s="136">
        <f>_xll.mirGetDate(C1201,"1D","FOLLOWING",D$12,"NORMAL")</f>
        <v>44130</v>
      </c>
      <c r="D1202" s="20">
        <f>_xll.mirGetDate(C1202,D$17,"Following",D$12,"Normal")</f>
        <v>44131</v>
      </c>
      <c r="E1202" s="134">
        <f ca="1"/>
        <v>1.4089595353870081E-2</v>
      </c>
      <c r="F1202" s="7" t="s">
        <v>3</v>
      </c>
      <c r="G1202" s="136">
        <f t="shared" si="18"/>
        <v>44130</v>
      </c>
      <c r="H1202" s="20">
        <f>_xll.mirGetDate(G1202,H$17,"Following",H$12,"Normal")</f>
        <v>44222</v>
      </c>
      <c r="I1202" s="134">
        <f ca="1"/>
        <v>1.8218078182042605E-2</v>
      </c>
      <c r="J1202" s="120" t="s">
        <v>3</v>
      </c>
    </row>
    <row r="1203" spans="1:10" x14ac:dyDescent="0.25">
      <c r="A1203" s="126">
        <v>1181</v>
      </c>
      <c r="B1203" s="119"/>
      <c r="C1203" s="136">
        <f>_xll.mirGetDate(C1202,"1D","FOLLOWING",D$12,"NORMAL")</f>
        <v>44131</v>
      </c>
      <c r="D1203" s="20">
        <f>_xll.mirGetDate(C1203,D$17,"Following",D$12,"Normal")</f>
        <v>44132</v>
      </c>
      <c r="E1203" s="134">
        <f ca="1"/>
        <v>1.4094590864670593E-2</v>
      </c>
      <c r="F1203" s="7" t="s">
        <v>3</v>
      </c>
      <c r="G1203" s="136">
        <f t="shared" si="18"/>
        <v>44131</v>
      </c>
      <c r="H1203" s="20">
        <f>_xll.mirGetDate(G1203,H$17,"Following",H$12,"Normal")</f>
        <v>44223</v>
      </c>
      <c r="I1203" s="134">
        <f ca="1"/>
        <v>1.8222426292454245E-2</v>
      </c>
      <c r="J1203" s="120" t="s">
        <v>3</v>
      </c>
    </row>
    <row r="1204" spans="1:10" x14ac:dyDescent="0.25">
      <c r="A1204" s="126">
        <v>1182</v>
      </c>
      <c r="B1204" s="119"/>
      <c r="C1204" s="136">
        <f>_xll.mirGetDate(C1203,"1D","FOLLOWING",D$12,"NORMAL")</f>
        <v>44132</v>
      </c>
      <c r="D1204" s="20">
        <f>_xll.mirGetDate(C1204,D$17,"Following",D$12,"Normal")</f>
        <v>44133</v>
      </c>
      <c r="E1204" s="134">
        <f ca="1"/>
        <v>1.4099594443826108E-2</v>
      </c>
      <c r="F1204" s="7" t="s">
        <v>3</v>
      </c>
      <c r="G1204" s="136">
        <f t="shared" si="18"/>
        <v>44132</v>
      </c>
      <c r="H1204" s="20">
        <f>_xll.mirGetDate(G1204,H$17,"Following",H$12,"Normal")</f>
        <v>44224</v>
      </c>
      <c r="I1204" s="134">
        <f ca="1"/>
        <v>1.8226767905039153E-2</v>
      </c>
      <c r="J1204" s="120" t="s">
        <v>3</v>
      </c>
    </row>
    <row r="1205" spans="1:10" x14ac:dyDescent="0.25">
      <c r="A1205" s="126">
        <v>1183</v>
      </c>
      <c r="B1205" s="119"/>
      <c r="C1205" s="136">
        <f>_xll.mirGetDate(C1204,"1D","FOLLOWING",D$12,"NORMAL")</f>
        <v>44133</v>
      </c>
      <c r="D1205" s="20">
        <f>_xll.mirGetDate(C1205,D$17,"Following",D$12,"Normal")</f>
        <v>44134</v>
      </c>
      <c r="E1205" s="134">
        <f ca="1"/>
        <v>1.410460609251764E-2</v>
      </c>
      <c r="F1205" s="7" t="s">
        <v>3</v>
      </c>
      <c r="G1205" s="136">
        <f t="shared" si="18"/>
        <v>44133</v>
      </c>
      <c r="H1205" s="20">
        <f>_xll.mirGetDate(G1205,H$17,"Following",H$12,"Normal")</f>
        <v>44225</v>
      </c>
      <c r="I1205" s="134">
        <f ca="1"/>
        <v>1.8231102810779623E-2</v>
      </c>
      <c r="J1205" s="120" t="s">
        <v>3</v>
      </c>
    </row>
    <row r="1206" spans="1:10" x14ac:dyDescent="0.25">
      <c r="A1206" s="126">
        <v>1184</v>
      </c>
      <c r="B1206" s="119"/>
      <c r="C1206" s="136">
        <f>_xll.mirGetDate(C1205,"1D","FOLLOWING",D$12,"NORMAL")</f>
        <v>44134</v>
      </c>
      <c r="D1206" s="20">
        <f>_xll.mirGetDate(C1206,D$17,"Following",D$12,"Normal")</f>
        <v>44137</v>
      </c>
      <c r="E1206" s="134">
        <f ca="1"/>
        <v>1.4115209702057733E-2</v>
      </c>
      <c r="F1206" s="7" t="s">
        <v>3</v>
      </c>
      <c r="G1206" s="136">
        <f t="shared" si="18"/>
        <v>44134</v>
      </c>
      <c r="H1206" s="20">
        <f>_xll.mirGetDate(G1206,H$17,"Following",H$12,"Normal")</f>
        <v>44228</v>
      </c>
      <c r="I1206" s="134">
        <f ca="1"/>
        <v>1.8235430800657957E-2</v>
      </c>
      <c r="J1206" s="120" t="s">
        <v>3</v>
      </c>
    </row>
    <row r="1207" spans="1:10" x14ac:dyDescent="0.25">
      <c r="A1207" s="126">
        <v>1185</v>
      </c>
      <c r="B1207" s="119"/>
      <c r="C1207" s="136">
        <f>_xll.mirGetDate(C1206,"1D","FOLLOWING",D$12,"NORMAL")</f>
        <v>44137</v>
      </c>
      <c r="D1207" s="20">
        <f>_xll.mirGetDate(C1207,D$17,"Following",D$12,"Normal")</f>
        <v>44138</v>
      </c>
      <c r="E1207" s="134">
        <f ca="1"/>
        <v>1.412473341296795E-2</v>
      </c>
      <c r="F1207" s="7" t="s">
        <v>3</v>
      </c>
      <c r="G1207" s="136">
        <f t="shared" si="18"/>
        <v>44137</v>
      </c>
      <c r="H1207" s="20">
        <f>_xll.mirGetDate(G1207,H$17,"Following",H$12,"Normal")</f>
        <v>44229</v>
      </c>
      <c r="I1207" s="134">
        <f ca="1"/>
        <v>1.8248371184943046E-2</v>
      </c>
      <c r="J1207" s="120" t="s">
        <v>3</v>
      </c>
    </row>
    <row r="1208" spans="1:10" x14ac:dyDescent="0.25">
      <c r="A1208" s="126">
        <v>1186</v>
      </c>
      <c r="B1208" s="119"/>
      <c r="C1208" s="136">
        <f>_xll.mirGetDate(C1207,"1D","FOLLOWING",D$12,"NORMAL")</f>
        <v>44138</v>
      </c>
      <c r="D1208" s="20">
        <f>_xll.mirGetDate(C1208,D$17,"Following",D$12,"Normal")</f>
        <v>44139</v>
      </c>
      <c r="E1208" s="134">
        <f ca="1"/>
        <v>1.4129785431615893E-2</v>
      </c>
      <c r="F1208" s="7" t="s">
        <v>3</v>
      </c>
      <c r="G1208" s="136">
        <f t="shared" si="18"/>
        <v>44138</v>
      </c>
      <c r="H1208" s="20">
        <f>_xll.mirGetDate(G1208,H$17,"Following",H$12,"Normal")</f>
        <v>44230</v>
      </c>
      <c r="I1208" s="134">
        <f ca="1"/>
        <v>1.8252669421195748E-2</v>
      </c>
      <c r="J1208" s="120" t="s">
        <v>3</v>
      </c>
    </row>
    <row r="1209" spans="1:10" x14ac:dyDescent="0.25">
      <c r="A1209" s="126">
        <v>1187</v>
      </c>
      <c r="B1209" s="119"/>
      <c r="C1209" s="136">
        <f>_xll.mirGetDate(C1208,"1D","FOLLOWING",D$12,"NORMAL")</f>
        <v>44139</v>
      </c>
      <c r="D1209" s="20">
        <f>_xll.mirGetDate(C1209,D$17,"Following",D$12,"Normal")</f>
        <v>44140</v>
      </c>
      <c r="E1209" s="134">
        <f ca="1"/>
        <v>1.4134845528512862E-2</v>
      </c>
      <c r="F1209" s="7" t="s">
        <v>3</v>
      </c>
      <c r="G1209" s="136">
        <f t="shared" si="18"/>
        <v>44139</v>
      </c>
      <c r="H1209" s="20">
        <f>_xll.mirGetDate(G1209,H$17,"Following",H$12,"Normal")</f>
        <v>44231</v>
      </c>
      <c r="I1209" s="134">
        <f ca="1"/>
        <v>1.8256959696497779E-2</v>
      </c>
      <c r="J1209" s="120" t="s">
        <v>3</v>
      </c>
    </row>
    <row r="1210" spans="1:10" x14ac:dyDescent="0.25">
      <c r="A1210" s="126">
        <v>1188</v>
      </c>
      <c r="B1210" s="119"/>
      <c r="C1210" s="136">
        <f>_xll.mirGetDate(C1209,"1D","FOLLOWING",D$12,"NORMAL")</f>
        <v>44140</v>
      </c>
      <c r="D1210" s="20">
        <f>_xll.mirGetDate(C1210,D$17,"Following",D$12,"Normal")</f>
        <v>44141</v>
      </c>
      <c r="E1210" s="134">
        <f ca="1"/>
        <v>1.4139913705115782E-2</v>
      </c>
      <c r="F1210" s="7" t="s">
        <v>3</v>
      </c>
      <c r="G1210" s="136">
        <f t="shared" si="18"/>
        <v>44140</v>
      </c>
      <c r="H1210" s="20">
        <f>_xll.mirGetDate(G1210,H$17,"Following",H$12,"Normal")</f>
        <v>44232</v>
      </c>
      <c r="I1210" s="134">
        <f ca="1"/>
        <v>1.8261241801831432E-2</v>
      </c>
      <c r="J1210" s="120" t="s">
        <v>3</v>
      </c>
    </row>
    <row r="1211" spans="1:10" x14ac:dyDescent="0.25">
      <c r="A1211" s="126">
        <v>1189</v>
      </c>
      <c r="B1211" s="119"/>
      <c r="C1211" s="136">
        <f>_xll.mirGetDate(C1210,"1D","FOLLOWING",D$12,"NORMAL")</f>
        <v>44141</v>
      </c>
      <c r="D1211" s="20">
        <f>_xll.mirGetDate(C1211,D$17,"Following",D$12,"Normal")</f>
        <v>44144</v>
      </c>
      <c r="E1211" s="134">
        <f ca="1"/>
        <v>1.4150633184763357E-2</v>
      </c>
      <c r="F1211" s="7" t="s">
        <v>3</v>
      </c>
      <c r="G1211" s="136">
        <f t="shared" si="18"/>
        <v>44141</v>
      </c>
      <c r="H1211" s="20">
        <f>_xll.mirGetDate(G1211,H$17,"Following",H$12,"Normal")</f>
        <v>44235</v>
      </c>
      <c r="I1211" s="134">
        <f ca="1"/>
        <v>1.8265515528179E-2</v>
      </c>
      <c r="J1211" s="120" t="s">
        <v>3</v>
      </c>
    </row>
    <row r="1212" spans="1:10" x14ac:dyDescent="0.25">
      <c r="A1212" s="126">
        <v>1190</v>
      </c>
      <c r="B1212" s="119"/>
      <c r="C1212" s="136">
        <f>_xll.mirGetDate(C1211,"1D","FOLLOWING",D$12,"NORMAL")</f>
        <v>44144</v>
      </c>
      <c r="D1212" s="20">
        <f>_xll.mirGetDate(C1212,D$17,"Following",D$12,"Normal")</f>
        <v>44145</v>
      </c>
      <c r="E1212" s="134">
        <f ca="1"/>
        <v>1.4160267237335416E-2</v>
      </c>
      <c r="F1212" s="7" t="s">
        <v>3</v>
      </c>
      <c r="G1212" s="136">
        <f t="shared" si="18"/>
        <v>44144</v>
      </c>
      <c r="H1212" s="20">
        <f>_xll.mirGetDate(G1212,H$17,"Following",H$12,"Normal")</f>
        <v>44236</v>
      </c>
      <c r="I1212" s="134">
        <f ca="1"/>
        <v>1.8278284343128129E-2</v>
      </c>
      <c r="J1212" s="120" t="s">
        <v>3</v>
      </c>
    </row>
    <row r="1213" spans="1:10" x14ac:dyDescent="0.25">
      <c r="A1213" s="126">
        <v>1191</v>
      </c>
      <c r="B1213" s="119"/>
      <c r="C1213" s="136">
        <f>_xll.mirGetDate(C1212,"1D","FOLLOWING",D$12,"NORMAL")</f>
        <v>44145</v>
      </c>
      <c r="D1213" s="20">
        <f>_xll.mirGetDate(C1213,D$17,"Following",D$12,"Normal")</f>
        <v>44147</v>
      </c>
      <c r="E1213" s="134">
        <f ca="1"/>
        <v>1.4168212968725996E-2</v>
      </c>
      <c r="F1213" s="7" t="s">
        <v>3</v>
      </c>
      <c r="G1213" s="136">
        <f t="shared" si="18"/>
        <v>44145</v>
      </c>
      <c r="H1213" s="20">
        <f>_xll.mirGetDate(G1213,H$17,"Following",H$12,"Normal")</f>
        <v>44237</v>
      </c>
      <c r="I1213" s="134">
        <f ca="1"/>
        <v>1.8282522463354295E-2</v>
      </c>
      <c r="J1213" s="120" t="s">
        <v>3</v>
      </c>
    </row>
    <row r="1214" spans="1:10" x14ac:dyDescent="0.25">
      <c r="A1214" s="126">
        <v>1192</v>
      </c>
      <c r="B1214" s="119"/>
      <c r="C1214" s="136">
        <f>_xll.mirGetDate(C1213,"1D","FOLLOWING",D$12,"NORMAL")</f>
        <v>44147</v>
      </c>
      <c r="D1214" s="20">
        <f>_xll.mirGetDate(C1214,D$17,"Following",D$12,"Normal")</f>
        <v>44148</v>
      </c>
      <c r="E1214" s="134">
        <f ca="1"/>
        <v>1.4175617293916703E-2</v>
      </c>
      <c r="F1214" s="7" t="s">
        <v>3</v>
      </c>
      <c r="G1214" s="136">
        <f t="shared" si="18"/>
        <v>44147</v>
      </c>
      <c r="H1214" s="20">
        <f>_xll.mirGetDate(G1214,H$17,"Following",H$12,"Normal")</f>
        <v>44239</v>
      </c>
      <c r="I1214" s="134">
        <f ca="1"/>
        <v>1.8290970222565064E-2</v>
      </c>
      <c r="J1214" s="120" t="s">
        <v>3</v>
      </c>
    </row>
    <row r="1215" spans="1:10" x14ac:dyDescent="0.25">
      <c r="A1215" s="126">
        <v>1193</v>
      </c>
      <c r="B1215" s="119"/>
      <c r="C1215" s="136">
        <f>_xll.mirGetDate(C1214,"1D","FOLLOWING",D$12,"NORMAL")</f>
        <v>44148</v>
      </c>
      <c r="D1215" s="20">
        <f>_xll.mirGetDate(C1215,D$17,"Following",D$12,"Normal")</f>
        <v>44151</v>
      </c>
      <c r="E1215" s="134">
        <f ca="1"/>
        <v>1.4186452823086977E-2</v>
      </c>
      <c r="F1215" s="7" t="s">
        <v>3</v>
      </c>
      <c r="G1215" s="136">
        <f t="shared" si="18"/>
        <v>44148</v>
      </c>
      <c r="H1215" s="20">
        <f>_xll.mirGetDate(G1215,H$17,"Following",H$12,"Normal")</f>
        <v>44243</v>
      </c>
      <c r="I1215" s="134">
        <f ca="1"/>
        <v>1.8295179443514262E-2</v>
      </c>
      <c r="J1215" s="120" t="s">
        <v>3</v>
      </c>
    </row>
    <row r="1216" spans="1:10" x14ac:dyDescent="0.25">
      <c r="A1216" s="126">
        <v>1194</v>
      </c>
      <c r="B1216" s="119"/>
      <c r="C1216" s="136">
        <f>_xll.mirGetDate(C1215,"1D","FOLLOWING",D$12,"NORMAL")</f>
        <v>44151</v>
      </c>
      <c r="D1216" s="20">
        <f>_xll.mirGetDate(C1216,D$17,"Following",D$12,"Normal")</f>
        <v>44152</v>
      </c>
      <c r="E1216" s="134">
        <f ca="1"/>
        <v>1.4196197320319738E-2</v>
      </c>
      <c r="F1216" s="7" t="s">
        <v>3</v>
      </c>
      <c r="G1216" s="136">
        <f t="shared" si="18"/>
        <v>44151</v>
      </c>
      <c r="H1216" s="20">
        <f>_xll.mirGetDate(G1216,H$17,"Following",H$12,"Normal")</f>
        <v>44243</v>
      </c>
      <c r="I1216" s="134">
        <f ca="1"/>
        <v>1.8307745963524608E-2</v>
      </c>
      <c r="J1216" s="120" t="s">
        <v>3</v>
      </c>
    </row>
    <row r="1217" spans="1:10" x14ac:dyDescent="0.25">
      <c r="A1217" s="126">
        <v>1195</v>
      </c>
      <c r="B1217" s="119"/>
      <c r="C1217" s="136">
        <f>_xll.mirGetDate(C1216,"1D","FOLLOWING",D$12,"NORMAL")</f>
        <v>44152</v>
      </c>
      <c r="D1217" s="20">
        <f>_xll.mirGetDate(C1217,D$17,"Following",D$12,"Normal")</f>
        <v>44153</v>
      </c>
      <c r="E1217" s="134">
        <f ca="1"/>
        <v>1.4201362565915521E-2</v>
      </c>
      <c r="F1217" s="7" t="s">
        <v>3</v>
      </c>
      <c r="G1217" s="136">
        <f t="shared" si="18"/>
        <v>44152</v>
      </c>
      <c r="H1217" s="20">
        <f>_xll.mirGetDate(G1217,H$17,"Following",H$12,"Normal")</f>
        <v>44244</v>
      </c>
      <c r="I1217" s="134">
        <f ca="1"/>
        <v>1.831191372585662E-2</v>
      </c>
      <c r="J1217" s="120" t="s">
        <v>3</v>
      </c>
    </row>
    <row r="1218" spans="1:10" x14ac:dyDescent="0.25">
      <c r="A1218" s="126">
        <v>1196</v>
      </c>
      <c r="B1218" s="119"/>
      <c r="C1218" s="136">
        <f>_xll.mirGetDate(C1217,"1D","FOLLOWING",D$12,"NORMAL")</f>
        <v>44153</v>
      </c>
      <c r="D1218" s="20">
        <f>_xll.mirGetDate(C1218,D$17,"Following",D$12,"Normal")</f>
        <v>44154</v>
      </c>
      <c r="E1218" s="134">
        <f ca="1"/>
        <v>1.4206535909984108E-2</v>
      </c>
      <c r="F1218" s="7" t="s">
        <v>3</v>
      </c>
      <c r="G1218" s="136">
        <f t="shared" si="18"/>
        <v>44153</v>
      </c>
      <c r="H1218" s="20">
        <f>_xll.mirGetDate(G1218,H$17,"Following",H$12,"Normal")</f>
        <v>44245</v>
      </c>
      <c r="I1218" s="134">
        <f ca="1"/>
        <v>1.8316070600990077E-2</v>
      </c>
      <c r="J1218" s="120" t="s">
        <v>3</v>
      </c>
    </row>
    <row r="1219" spans="1:10" x14ac:dyDescent="0.25">
      <c r="A1219" s="126">
        <v>1197</v>
      </c>
      <c r="B1219" s="119"/>
      <c r="C1219" s="136">
        <f>_xll.mirGetDate(C1218,"1D","FOLLOWING",D$12,"NORMAL")</f>
        <v>44154</v>
      </c>
      <c r="D1219" s="20">
        <f>_xll.mirGetDate(C1219,D$17,"Following",D$12,"Normal")</f>
        <v>44155</v>
      </c>
      <c r="E1219" s="134">
        <f ca="1"/>
        <v>1.4211717353982514E-2</v>
      </c>
      <c r="F1219" s="7" t="s">
        <v>3</v>
      </c>
      <c r="G1219" s="136">
        <f t="shared" si="18"/>
        <v>44154</v>
      </c>
      <c r="H1219" s="20">
        <f>_xll.mirGetDate(G1219,H$17,"Following",H$12,"Normal")</f>
        <v>44246</v>
      </c>
      <c r="I1219" s="134">
        <f ca="1"/>
        <v>1.8320216379907262E-2</v>
      </c>
      <c r="J1219" s="120" t="s">
        <v>3</v>
      </c>
    </row>
    <row r="1220" spans="1:10" x14ac:dyDescent="0.25">
      <c r="A1220" s="126">
        <v>1198</v>
      </c>
      <c r="B1220" s="119"/>
      <c r="C1220" s="136">
        <f>_xll.mirGetDate(C1219,"1D","FOLLOWING",D$12,"NORMAL")</f>
        <v>44155</v>
      </c>
      <c r="D1220" s="20">
        <f>_xll.mirGetDate(C1220,D$17,"Following",D$12,"Normal")</f>
        <v>44158</v>
      </c>
      <c r="E1220" s="134">
        <f ca="1"/>
        <v>1.4222669112999145E-2</v>
      </c>
      <c r="F1220" s="7" t="s">
        <v>3</v>
      </c>
      <c r="G1220" s="136">
        <f t="shared" si="18"/>
        <v>44155</v>
      </c>
      <c r="H1220" s="20">
        <f>_xll.mirGetDate(G1220,H$17,"Following",H$12,"Normal")</f>
        <v>44249</v>
      </c>
      <c r="I1220" s="134">
        <f ca="1"/>
        <v>1.8324350853590476E-2</v>
      </c>
      <c r="J1220" s="120" t="s">
        <v>3</v>
      </c>
    </row>
    <row r="1221" spans="1:10" x14ac:dyDescent="0.25">
      <c r="A1221" s="126">
        <v>1199</v>
      </c>
      <c r="B1221" s="119"/>
      <c r="C1221" s="136">
        <f>_xll.mirGetDate(C1220,"1D","FOLLOWING",D$12,"NORMAL")</f>
        <v>44158</v>
      </c>
      <c r="D1221" s="20">
        <f>_xll.mirGetDate(C1221,D$17,"Following",D$12,"Normal")</f>
        <v>44159</v>
      </c>
      <c r="E1221" s="134">
        <f ca="1"/>
        <v>1.4233205863114601E-2</v>
      </c>
      <c r="F1221" s="7" t="s">
        <v>3</v>
      </c>
      <c r="G1221" s="136">
        <f t="shared" si="18"/>
        <v>44158</v>
      </c>
      <c r="H1221" s="20">
        <f>_xll.mirGetDate(G1221,H$17,"Following",H$12,"Normal")</f>
        <v>44250</v>
      </c>
      <c r="I1221" s="134">
        <f ca="1"/>
        <v>1.833668435305922E-2</v>
      </c>
      <c r="J1221" s="120" t="s">
        <v>3</v>
      </c>
    </row>
    <row r="1222" spans="1:10" x14ac:dyDescent="0.25">
      <c r="A1222" s="126">
        <v>1200</v>
      </c>
      <c r="B1222" s="119"/>
      <c r="C1222" s="136">
        <f>_xll.mirGetDate(C1221,"1D","FOLLOWING",D$12,"NORMAL")</f>
        <v>44159</v>
      </c>
      <c r="D1222" s="20">
        <f>_xll.mirGetDate(C1222,D$17,"Following",D$12,"Normal")</f>
        <v>44160</v>
      </c>
      <c r="E1222" s="134">
        <f ca="1"/>
        <v>1.4239751366529324E-2</v>
      </c>
      <c r="F1222" s="7" t="s">
        <v>3</v>
      </c>
      <c r="G1222" s="136">
        <f t="shared" si="18"/>
        <v>44159</v>
      </c>
      <c r="H1222" s="20">
        <f>_xll.mirGetDate(G1222,H$17,"Following",H$12,"Normal")</f>
        <v>44251</v>
      </c>
      <c r="I1222" s="134">
        <f ca="1"/>
        <v>1.8340770275404449E-2</v>
      </c>
      <c r="J1222" s="120" t="s">
        <v>3</v>
      </c>
    </row>
    <row r="1223" spans="1:10" x14ac:dyDescent="0.25">
      <c r="A1223" s="126">
        <v>1201</v>
      </c>
      <c r="B1223" s="119"/>
      <c r="C1223" s="136">
        <f>_xll.mirGetDate(C1222,"1D","FOLLOWING",D$12,"NORMAL")</f>
        <v>44160</v>
      </c>
      <c r="D1223" s="20">
        <f>_xll.mirGetDate(C1223,D$17,"Following",D$12,"Normal")</f>
        <v>44162</v>
      </c>
      <c r="E1223" s="134">
        <f ca="1"/>
        <v>1.4249748217678488E-2</v>
      </c>
      <c r="F1223" s="7" t="s">
        <v>3</v>
      </c>
      <c r="G1223" s="136">
        <f t="shared" si="18"/>
        <v>44160</v>
      </c>
      <c r="H1223" s="20">
        <f>_xll.mirGetDate(G1223,H$17,"Following",H$12,"Normal")</f>
        <v>44252</v>
      </c>
      <c r="I1223" s="134">
        <f ca="1"/>
        <v>1.8344841734453287E-2</v>
      </c>
      <c r="J1223" s="120" t="s">
        <v>3</v>
      </c>
    </row>
    <row r="1224" spans="1:10" x14ac:dyDescent="0.25">
      <c r="A1224" s="126">
        <v>1202</v>
      </c>
      <c r="B1224" s="119"/>
      <c r="C1224" s="136">
        <f>_xll.mirGetDate(C1223,"1D","FOLLOWING",D$12,"NORMAL")</f>
        <v>44162</v>
      </c>
      <c r="D1224" s="20">
        <f>_xll.mirGetDate(C1224,D$17,"Following",D$12,"Normal")</f>
        <v>44165</v>
      </c>
      <c r="E1224" s="134">
        <f ca="1"/>
        <v>1.4265964294573863E-2</v>
      </c>
      <c r="F1224" s="7" t="s">
        <v>3</v>
      </c>
      <c r="G1224" s="136">
        <f t="shared" si="18"/>
        <v>44162</v>
      </c>
      <c r="H1224" s="20">
        <f>_xll.mirGetDate(G1224,H$17,"Following",H$12,"Normal")</f>
        <v>44256</v>
      </c>
      <c r="I1224" s="134">
        <f ca="1"/>
        <v>1.8352942631447964E-2</v>
      </c>
      <c r="J1224" s="120" t="s">
        <v>3</v>
      </c>
    </row>
    <row r="1225" spans="1:10" x14ac:dyDescent="0.25">
      <c r="A1225" s="126">
        <v>1203</v>
      </c>
      <c r="B1225" s="119"/>
      <c r="C1225" s="136">
        <f>_xll.mirGetDate(C1224,"1D","FOLLOWING",D$12,"NORMAL")</f>
        <v>44165</v>
      </c>
      <c r="D1225" s="20">
        <f>_xll.mirGetDate(C1225,D$17,"Following",D$12,"Normal")</f>
        <v>44166</v>
      </c>
      <c r="E1225" s="134">
        <f ca="1"/>
        <v>1.4277938303901548E-2</v>
      </c>
      <c r="F1225" s="7" t="s">
        <v>3</v>
      </c>
      <c r="G1225" s="136">
        <f t="shared" si="18"/>
        <v>44165</v>
      </c>
      <c r="H1225" s="20">
        <f>_xll.mirGetDate(G1225,H$17,"Following",H$12,"Normal")</f>
        <v>44256</v>
      </c>
      <c r="I1225" s="134">
        <f ca="1"/>
        <v>1.836499405713065E-2</v>
      </c>
      <c r="J1225" s="120" t="s">
        <v>3</v>
      </c>
    </row>
    <row r="1226" spans="1:10" x14ac:dyDescent="0.25">
      <c r="A1226" s="126">
        <v>1204</v>
      </c>
      <c r="B1226" s="119"/>
      <c r="C1226" s="136">
        <f>_xll.mirGetDate(C1225,"1D","FOLLOWING",D$12,"NORMAL")</f>
        <v>44166</v>
      </c>
      <c r="D1226" s="20">
        <f>_xll.mirGetDate(C1226,D$17,"Following",D$12,"Normal")</f>
        <v>44167</v>
      </c>
      <c r="E1226" s="134">
        <f ca="1"/>
        <v>1.428412170569671E-2</v>
      </c>
      <c r="F1226" s="7" t="s">
        <v>3</v>
      </c>
      <c r="G1226" s="136">
        <f t="shared" si="18"/>
        <v>44166</v>
      </c>
      <c r="H1226" s="20">
        <f>_xll.mirGetDate(G1226,H$17,"Following",H$12,"Normal")</f>
        <v>44256</v>
      </c>
      <c r="I1226" s="134">
        <f ca="1"/>
        <v>1.8368985922528572E-2</v>
      </c>
      <c r="J1226" s="120" t="s">
        <v>3</v>
      </c>
    </row>
    <row r="1227" spans="1:10" x14ac:dyDescent="0.25">
      <c r="A1227" s="126">
        <v>1205</v>
      </c>
      <c r="B1227" s="119"/>
      <c r="C1227" s="136">
        <f>_xll.mirGetDate(C1226,"1D","FOLLOWING",D$12,"NORMAL")</f>
        <v>44167</v>
      </c>
      <c r="D1227" s="20">
        <f>_xll.mirGetDate(C1227,D$17,"Following",D$12,"Normal")</f>
        <v>44168</v>
      </c>
      <c r="E1227" s="134">
        <f ca="1"/>
        <v>1.4290253346966861E-2</v>
      </c>
      <c r="F1227" s="7" t="s">
        <v>3</v>
      </c>
      <c r="G1227" s="136">
        <f t="shared" si="18"/>
        <v>44167</v>
      </c>
      <c r="H1227" s="20">
        <f>_xll.mirGetDate(G1227,H$17,"Following",H$12,"Normal")</f>
        <v>44257</v>
      </c>
      <c r="I1227" s="134">
        <f ca="1"/>
        <v>1.8372965720005911E-2</v>
      </c>
      <c r="J1227" s="120" t="s">
        <v>3</v>
      </c>
    </row>
    <row r="1228" spans="1:10" x14ac:dyDescent="0.25">
      <c r="A1228" s="126">
        <v>1206</v>
      </c>
      <c r="B1228" s="119"/>
      <c r="C1228" s="136">
        <f>_xll.mirGetDate(C1227,"1D","FOLLOWING",D$12,"NORMAL")</f>
        <v>44168</v>
      </c>
      <c r="D1228" s="20">
        <f>_xll.mirGetDate(C1228,D$17,"Following",D$12,"Normal")</f>
        <v>44169</v>
      </c>
      <c r="E1228" s="134">
        <f ca="1"/>
        <v>1.4296333219656737E-2</v>
      </c>
      <c r="F1228" s="7" t="s">
        <v>3</v>
      </c>
      <c r="G1228" s="136">
        <f t="shared" si="18"/>
        <v>44168</v>
      </c>
      <c r="H1228" s="20">
        <f>_xll.mirGetDate(G1228,H$17,"Following",H$12,"Normal")</f>
        <v>44258</v>
      </c>
      <c r="I1228" s="134">
        <f ca="1"/>
        <v>1.8376933791759215E-2</v>
      </c>
      <c r="J1228" s="120" t="s">
        <v>3</v>
      </c>
    </row>
    <row r="1229" spans="1:10" x14ac:dyDescent="0.25">
      <c r="A1229" s="126">
        <v>1207</v>
      </c>
      <c r="B1229" s="119"/>
      <c r="C1229" s="136">
        <f>_xll.mirGetDate(C1228,"1D","FOLLOWING",D$12,"NORMAL")</f>
        <v>44169</v>
      </c>
      <c r="D1229" s="20">
        <f>_xll.mirGetDate(C1229,D$17,"Following",D$12,"Normal")</f>
        <v>44172</v>
      </c>
      <c r="E1229" s="134">
        <f ca="1"/>
        <v>1.4308889060127682E-2</v>
      </c>
      <c r="F1229" s="7" t="s">
        <v>3</v>
      </c>
      <c r="G1229" s="136">
        <f t="shared" si="18"/>
        <v>44169</v>
      </c>
      <c r="H1229" s="20">
        <f>_xll.mirGetDate(G1229,H$17,"Following",H$12,"Normal")</f>
        <v>44259</v>
      </c>
      <c r="I1229" s="134">
        <f ca="1"/>
        <v>1.8380890479985031E-2</v>
      </c>
      <c r="J1229" s="120" t="s">
        <v>3</v>
      </c>
    </row>
    <row r="1230" spans="1:10" x14ac:dyDescent="0.25">
      <c r="A1230" s="126">
        <v>1208</v>
      </c>
      <c r="B1230" s="119"/>
      <c r="C1230" s="136">
        <f>_xll.mirGetDate(C1229,"1D","FOLLOWING",D$12,"NORMAL")</f>
        <v>44172</v>
      </c>
      <c r="D1230" s="20">
        <f>_xll.mirGetDate(C1230,D$17,"Following",D$12,"Normal")</f>
        <v>44173</v>
      </c>
      <c r="E1230" s="134">
        <f ca="1"/>
        <v>1.4320134866070542E-2</v>
      </c>
      <c r="F1230" s="7" t="s">
        <v>3</v>
      </c>
      <c r="G1230" s="136">
        <f t="shared" si="18"/>
        <v>44172</v>
      </c>
      <c r="H1230" s="20">
        <f>_xll.mirGetDate(G1230,H$17,"Following",H$12,"Normal")</f>
        <v>44263</v>
      </c>
      <c r="I1230" s="134">
        <f ca="1"/>
        <v>1.8392695665462977E-2</v>
      </c>
      <c r="J1230" s="120" t="s">
        <v>3</v>
      </c>
    </row>
    <row r="1231" spans="1:10" x14ac:dyDescent="0.25">
      <c r="A1231" s="126">
        <v>1209</v>
      </c>
      <c r="B1231" s="119"/>
      <c r="C1231" s="136">
        <f>_xll.mirGetDate(C1230,"1D","FOLLOWING",D$12,"NORMAL")</f>
        <v>44173</v>
      </c>
      <c r="D1231" s="20">
        <f>_xll.mirGetDate(C1231,D$17,"Following",D$12,"Normal")</f>
        <v>44174</v>
      </c>
      <c r="E1231" s="134">
        <f ca="1"/>
        <v>1.4325955776539593E-2</v>
      </c>
      <c r="F1231" s="7" t="s">
        <v>3</v>
      </c>
      <c r="G1231" s="136">
        <f t="shared" si="18"/>
        <v>44173</v>
      </c>
      <c r="H1231" s="20">
        <f>_xll.mirGetDate(G1231,H$17,"Following",H$12,"Normal")</f>
        <v>44263</v>
      </c>
      <c r="I1231" s="134">
        <f ca="1"/>
        <v>1.8396610241544278E-2</v>
      </c>
      <c r="J1231" s="120" t="s">
        <v>3</v>
      </c>
    </row>
    <row r="1232" spans="1:10" x14ac:dyDescent="0.25">
      <c r="A1232" s="126">
        <v>1210</v>
      </c>
      <c r="B1232" s="119"/>
      <c r="C1232" s="136">
        <f>_xll.mirGetDate(C1231,"1D","FOLLOWING",D$12,"NORMAL")</f>
        <v>44174</v>
      </c>
      <c r="D1232" s="20">
        <f>_xll.mirGetDate(C1232,D$17,"Following",D$12,"Normal")</f>
        <v>44175</v>
      </c>
      <c r="E1232" s="134">
        <f ca="1"/>
        <v>1.4331724870462173E-2</v>
      </c>
      <c r="F1232" s="7" t="s">
        <v>3</v>
      </c>
      <c r="G1232" s="136">
        <f t="shared" si="18"/>
        <v>44174</v>
      </c>
      <c r="H1232" s="20">
        <f>_xll.mirGetDate(G1232,H$17,"Following",H$12,"Normal")</f>
        <v>44264</v>
      </c>
      <c r="I1232" s="134">
        <f ca="1"/>
        <v>1.8400515145080808E-2</v>
      </c>
      <c r="J1232" s="120" t="s">
        <v>3</v>
      </c>
    </row>
    <row r="1233" spans="1:10" x14ac:dyDescent="0.25">
      <c r="A1233" s="126">
        <v>1211</v>
      </c>
      <c r="B1233" s="119"/>
      <c r="C1233" s="136">
        <f>_xll.mirGetDate(C1232,"1D","FOLLOWING",D$12,"NORMAL")</f>
        <v>44175</v>
      </c>
      <c r="D1233" s="20">
        <f>_xll.mirGetDate(C1233,D$17,"Following",D$12,"Normal")</f>
        <v>44176</v>
      </c>
      <c r="E1233" s="134">
        <f ca="1"/>
        <v>1.4337442139924618E-2</v>
      </c>
      <c r="F1233" s="7" t="s">
        <v>3</v>
      </c>
      <c r="G1233" s="136">
        <f t="shared" si="18"/>
        <v>44175</v>
      </c>
      <c r="H1233" s="20">
        <f>_xll.mirGetDate(G1233,H$17,"Following",H$12,"Normal")</f>
        <v>44265</v>
      </c>
      <c r="I1233" s="134">
        <f ca="1"/>
        <v>1.8404410718269121E-2</v>
      </c>
      <c r="J1233" s="120" t="s">
        <v>3</v>
      </c>
    </row>
    <row r="1234" spans="1:10" x14ac:dyDescent="0.25">
      <c r="A1234" s="126">
        <v>1212</v>
      </c>
      <c r="B1234" s="119"/>
      <c r="C1234" s="136">
        <f>_xll.mirGetDate(C1233,"1D","FOLLOWING",D$12,"NORMAL")</f>
        <v>44176</v>
      </c>
      <c r="D1234" s="20">
        <f>_xll.mirGetDate(C1234,D$17,"Following",D$12,"Normal")</f>
        <v>44179</v>
      </c>
      <c r="E1234" s="134">
        <f ca="1"/>
        <v>1.4349275801438919E-2</v>
      </c>
      <c r="F1234" s="7" t="s">
        <v>3</v>
      </c>
      <c r="G1234" s="136">
        <f t="shared" si="18"/>
        <v>44176</v>
      </c>
      <c r="H1234" s="20">
        <f>_xll.mirGetDate(G1234,H$17,"Following",H$12,"Normal")</f>
        <v>44266</v>
      </c>
      <c r="I1234" s="134">
        <f ca="1"/>
        <v>1.8408297303305756E-2</v>
      </c>
      <c r="J1234" s="120" t="s">
        <v>3</v>
      </c>
    </row>
    <row r="1235" spans="1:10" x14ac:dyDescent="0.25">
      <c r="A1235" s="126">
        <v>1213</v>
      </c>
      <c r="B1235" s="119"/>
      <c r="C1235" s="136">
        <f>_xll.mirGetDate(C1234,"1D","FOLLOWING",D$12,"NORMAL")</f>
        <v>44179</v>
      </c>
      <c r="D1235" s="20">
        <f>_xll.mirGetDate(C1235,D$17,"Following",D$12,"Normal")</f>
        <v>44180</v>
      </c>
      <c r="E1235" s="134">
        <f ca="1"/>
        <v>1.4359792811717969E-2</v>
      </c>
      <c r="F1235" s="7" t="s">
        <v>3</v>
      </c>
      <c r="G1235" s="136">
        <f t="shared" si="18"/>
        <v>44179</v>
      </c>
      <c r="H1235" s="20">
        <f>_xll.mirGetDate(G1235,H$17,"Following",H$12,"Normal")</f>
        <v>44270</v>
      </c>
      <c r="I1235" s="134">
        <f ca="1"/>
        <v>1.8419906551471032E-2</v>
      </c>
      <c r="J1235" s="120" t="s">
        <v>3</v>
      </c>
    </row>
    <row r="1236" spans="1:10" x14ac:dyDescent="0.25">
      <c r="A1236" s="126">
        <v>1214</v>
      </c>
      <c r="B1236" s="119"/>
      <c r="C1236" s="136">
        <f>_xll.mirGetDate(C1235,"1D","FOLLOWING",D$12,"NORMAL")</f>
        <v>44180</v>
      </c>
      <c r="D1236" s="20">
        <f>_xll.mirGetDate(C1236,D$17,"Following",D$12,"Normal")</f>
        <v>44181</v>
      </c>
      <c r="E1236" s="134">
        <f ca="1"/>
        <v>1.4365250837824448E-2</v>
      </c>
      <c r="F1236" s="7" t="s">
        <v>3</v>
      </c>
      <c r="G1236" s="136">
        <f t="shared" si="18"/>
        <v>44180</v>
      </c>
      <c r="H1236" s="20">
        <f>_xll.mirGetDate(G1236,H$17,"Following",H$12,"Normal")</f>
        <v>44270</v>
      </c>
      <c r="I1236" s="134">
        <f ca="1"/>
        <v>1.8423760605866403E-2</v>
      </c>
      <c r="J1236" s="120" t="s">
        <v>3</v>
      </c>
    </row>
    <row r="1237" spans="1:10" x14ac:dyDescent="0.25">
      <c r="A1237" s="126">
        <v>1215</v>
      </c>
      <c r="B1237" s="119"/>
      <c r="C1237" s="136">
        <f>_xll.mirGetDate(C1236,"1D","FOLLOWING",D$12,"NORMAL")</f>
        <v>44181</v>
      </c>
      <c r="D1237" s="20">
        <f>_xll.mirGetDate(C1237,D$17,"Following",D$12,"Normal")</f>
        <v>44182</v>
      </c>
      <c r="E1237" s="134">
        <f ca="1"/>
        <v>1.4370656991114079E-2</v>
      </c>
      <c r="F1237" s="7" t="s">
        <v>3</v>
      </c>
      <c r="G1237" s="136">
        <f t="shared" si="18"/>
        <v>44181</v>
      </c>
      <c r="H1237" s="20">
        <f>_xll.mirGetDate(G1237,H$17,"Following",H$12,"Normal")</f>
        <v>44271</v>
      </c>
      <c r="I1237" s="134">
        <f ca="1"/>
        <v>1.8427607383092817E-2</v>
      </c>
      <c r="J1237" s="120" t="s">
        <v>3</v>
      </c>
    </row>
    <row r="1238" spans="1:10" x14ac:dyDescent="0.25">
      <c r="A1238" s="126">
        <v>1216</v>
      </c>
      <c r="B1238" s="119"/>
      <c r="C1238" s="136">
        <f>_xll.mirGetDate(C1237,"1D","FOLLOWING",D$12,"NORMAL")</f>
        <v>44182</v>
      </c>
      <c r="D1238" s="20">
        <f>_xll.mirGetDate(C1238,D$17,"Following",D$12,"Normal")</f>
        <v>44183</v>
      </c>
      <c r="E1238" s="134">
        <f ca="1"/>
        <v>1.4376011263415008E-2</v>
      </c>
      <c r="F1238" s="7" t="s">
        <v>3</v>
      </c>
      <c r="G1238" s="136">
        <f t="shared" si="18"/>
        <v>44182</v>
      </c>
      <c r="H1238" s="20">
        <f>_xll.mirGetDate(G1238,H$17,"Following",H$12,"Normal")</f>
        <v>44272</v>
      </c>
      <c r="I1238" s="134">
        <f ca="1"/>
        <v>1.8431447225346821E-2</v>
      </c>
      <c r="J1238" s="120" t="s">
        <v>3</v>
      </c>
    </row>
    <row r="1239" spans="1:10" x14ac:dyDescent="0.25">
      <c r="A1239" s="126">
        <v>1217</v>
      </c>
      <c r="B1239" s="119"/>
      <c r="C1239" s="136">
        <f>_xll.mirGetDate(C1238,"1D","FOLLOWING",D$12,"NORMAL")</f>
        <v>44183</v>
      </c>
      <c r="D1239" s="20">
        <f>_xll.mirGetDate(C1239,D$17,"Following",D$12,"Normal")</f>
        <v>44186</v>
      </c>
      <c r="E1239" s="134">
        <f ca="1"/>
        <v>1.4387121762818573E-2</v>
      </c>
      <c r="F1239" s="7" t="s">
        <v>3</v>
      </c>
      <c r="G1239" s="136">
        <f t="shared" si="18"/>
        <v>44183</v>
      </c>
      <c r="H1239" s="20">
        <f>_xll.mirGetDate(G1239,H$17,"Following",H$12,"Normal")</f>
        <v>44273</v>
      </c>
      <c r="I1239" s="134">
        <f ca="1"/>
        <v>1.8435280474824966E-2</v>
      </c>
      <c r="J1239" s="120" t="s">
        <v>3</v>
      </c>
    </row>
    <row r="1240" spans="1:10" x14ac:dyDescent="0.25">
      <c r="A1240" s="126">
        <v>1218</v>
      </c>
      <c r="B1240" s="119"/>
      <c r="C1240" s="136">
        <f>_xll.mirGetDate(C1239,"1D","FOLLOWING",D$12,"NORMAL")</f>
        <v>44186</v>
      </c>
      <c r="D1240" s="20">
        <f>_xll.mirGetDate(C1240,D$17,"Following",D$12,"Normal")</f>
        <v>44187</v>
      </c>
      <c r="E1240" s="134">
        <f ca="1"/>
        <v>1.4396909380811588E-2</v>
      </c>
      <c r="F1240" s="7" t="s">
        <v>3</v>
      </c>
      <c r="G1240" s="136">
        <f t="shared" ref="G1240:G1303" si="19">$C1240</f>
        <v>44186</v>
      </c>
      <c r="H1240" s="20">
        <f>_xll.mirGetDate(G1240,H$17,"Following",H$12,"Normal")</f>
        <v>44277</v>
      </c>
      <c r="I1240" s="134">
        <f ca="1"/>
        <v>1.8446744088569649E-2</v>
      </c>
      <c r="J1240" s="120" t="s">
        <v>3</v>
      </c>
    </row>
    <row r="1241" spans="1:10" x14ac:dyDescent="0.25">
      <c r="A1241" s="126">
        <v>1219</v>
      </c>
      <c r="B1241" s="119"/>
      <c r="C1241" s="136">
        <f>_xll.mirGetDate(C1240,"1D","FOLLOWING",D$12,"NORMAL")</f>
        <v>44187</v>
      </c>
      <c r="D1241" s="20">
        <f>_xll.mirGetDate(C1241,D$17,"Following",D$12,"Normal")</f>
        <v>44188</v>
      </c>
      <c r="E1241" s="134">
        <f ca="1"/>
        <v>1.440200412664141E-2</v>
      </c>
      <c r="F1241" s="7" t="s">
        <v>3</v>
      </c>
      <c r="G1241" s="136">
        <f t="shared" si="19"/>
        <v>44187</v>
      </c>
      <c r="H1241" s="20">
        <f>_xll.mirGetDate(G1241,H$17,"Following",H$12,"Normal")</f>
        <v>44277</v>
      </c>
      <c r="I1241" s="134">
        <f ca="1"/>
        <v>1.845055438890978E-2</v>
      </c>
      <c r="J1241" s="120" t="s">
        <v>3</v>
      </c>
    </row>
    <row r="1242" spans="1:10" x14ac:dyDescent="0.25">
      <c r="A1242" s="126">
        <v>1220</v>
      </c>
      <c r="B1242" s="119"/>
      <c r="C1242" s="136">
        <f>_xll.mirGetDate(C1241,"1D","FOLLOWING",D$12,"NORMAL")</f>
        <v>44188</v>
      </c>
      <c r="D1242" s="20">
        <f>_xll.mirGetDate(C1242,D$17,"Following",D$12,"Normal")</f>
        <v>44189</v>
      </c>
      <c r="E1242" s="134">
        <f ca="1"/>
        <v>1.4407046942641579E-2</v>
      </c>
      <c r="F1242" s="7" t="s">
        <v>3</v>
      </c>
      <c r="G1242" s="136">
        <f t="shared" si="19"/>
        <v>44188</v>
      </c>
      <c r="H1242" s="20">
        <f>_xll.mirGetDate(G1242,H$17,"Following",H$12,"Normal")</f>
        <v>44278</v>
      </c>
      <c r="I1242" s="134">
        <f ca="1"/>
        <v>1.8454359807456765E-2</v>
      </c>
      <c r="J1242" s="120" t="s">
        <v>3</v>
      </c>
    </row>
    <row r="1243" spans="1:10" x14ac:dyDescent="0.25">
      <c r="A1243" s="126">
        <v>1221</v>
      </c>
      <c r="B1243" s="119"/>
      <c r="C1243" s="136">
        <f>_xll.mirGetDate(C1242,"1D","FOLLOWING",D$12,"NORMAL")</f>
        <v>44189</v>
      </c>
      <c r="D1243" s="20">
        <f>_xll.mirGetDate(C1243,D$17,"Following",D$12,"Normal")</f>
        <v>44193</v>
      </c>
      <c r="E1243" s="134">
        <f ca="1"/>
        <v>1.4420260615080113E-2</v>
      </c>
      <c r="F1243" s="7" t="s">
        <v>3</v>
      </c>
      <c r="G1243" s="136">
        <f t="shared" si="19"/>
        <v>44189</v>
      </c>
      <c r="H1243" s="20">
        <f>_xll.mirGetDate(G1243,H$17,"Following",H$12,"Normal")</f>
        <v>44279</v>
      </c>
      <c r="I1243" s="134">
        <f ca="1"/>
        <v>1.8458160686407162E-2</v>
      </c>
      <c r="J1243" s="120" t="s">
        <v>3</v>
      </c>
    </row>
    <row r="1244" spans="1:10" x14ac:dyDescent="0.25">
      <c r="A1244" s="126">
        <v>1222</v>
      </c>
      <c r="B1244" s="119"/>
      <c r="C1244" s="136">
        <f>_xll.mirGetDate(C1243,"1D","FOLLOWING",D$12,"NORMAL")</f>
        <v>44193</v>
      </c>
      <c r="D1244" s="20">
        <f>_xll.mirGetDate(C1244,D$17,"Following",D$12,"Normal")</f>
        <v>44194</v>
      </c>
      <c r="E1244" s="134">
        <f ca="1"/>
        <v>1.4431481792229889E-2</v>
      </c>
      <c r="F1244" s="7" t="s">
        <v>3</v>
      </c>
      <c r="G1244" s="136">
        <f t="shared" si="19"/>
        <v>44193</v>
      </c>
      <c r="H1244" s="20">
        <f>_xll.mirGetDate(G1244,H$17,"Following",H$12,"Normal")</f>
        <v>44284</v>
      </c>
      <c r="I1244" s="134">
        <f ca="1"/>
        <v>1.847332565017366E-2</v>
      </c>
      <c r="J1244" s="120" t="s">
        <v>3</v>
      </c>
    </row>
    <row r="1245" spans="1:10" x14ac:dyDescent="0.25">
      <c r="A1245" s="126">
        <v>1223</v>
      </c>
      <c r="B1245" s="119"/>
      <c r="C1245" s="136">
        <f>_xll.mirGetDate(C1244,"1D","FOLLOWING",D$12,"NORMAL")</f>
        <v>44194</v>
      </c>
      <c r="D1245" s="20">
        <f>_xll.mirGetDate(C1245,D$17,"Following",D$12,"Normal")</f>
        <v>44195</v>
      </c>
      <c r="E1245" s="134">
        <f ca="1"/>
        <v>1.4436212858803773E-2</v>
      </c>
      <c r="F1245" s="7" t="s">
        <v>3</v>
      </c>
      <c r="G1245" s="136">
        <f t="shared" si="19"/>
        <v>44194</v>
      </c>
      <c r="H1245" s="20">
        <f>_xll.mirGetDate(G1245,H$17,"Following",H$12,"Normal")</f>
        <v>44284</v>
      </c>
      <c r="I1245" s="134">
        <f ca="1"/>
        <v>1.8477108964089238E-2</v>
      </c>
      <c r="J1245" s="120" t="s">
        <v>3</v>
      </c>
    </row>
    <row r="1246" spans="1:10" x14ac:dyDescent="0.25">
      <c r="A1246" s="126">
        <v>1224</v>
      </c>
      <c r="B1246" s="119"/>
      <c r="C1246" s="136">
        <f>_xll.mirGetDate(C1245,"1D","FOLLOWING",D$12,"NORMAL")</f>
        <v>44195</v>
      </c>
      <c r="D1246" s="20">
        <f>_xll.mirGetDate(C1246,D$17,"Following",D$12,"Normal")</f>
        <v>44196</v>
      </c>
      <c r="E1246" s="134">
        <f ca="1"/>
        <v>1.4440891938412165E-2</v>
      </c>
      <c r="F1246" s="7" t="s">
        <v>3</v>
      </c>
      <c r="G1246" s="136">
        <f t="shared" si="19"/>
        <v>44195</v>
      </c>
      <c r="H1246" s="20">
        <f>_xll.mirGetDate(G1246,H$17,"Following",H$12,"Normal")</f>
        <v>44285</v>
      </c>
      <c r="I1246" s="134">
        <f ca="1"/>
        <v>1.848088979158749E-2</v>
      </c>
      <c r="J1246" s="120" t="s">
        <v>3</v>
      </c>
    </row>
    <row r="1247" spans="1:10" x14ac:dyDescent="0.25">
      <c r="A1247" s="126">
        <v>1225</v>
      </c>
      <c r="B1247" s="119"/>
      <c r="C1247" s="136">
        <f>_xll.mirGetDate(C1246,"1D","FOLLOWING",D$12,"NORMAL")</f>
        <v>44196</v>
      </c>
      <c r="D1247" s="20">
        <f>_xll.mirGetDate(C1247,D$17,"Following",D$12,"Normal")</f>
        <v>44200</v>
      </c>
      <c r="E1247" s="134">
        <f ca="1"/>
        <v>1.4492825604677292E-2</v>
      </c>
      <c r="F1247" s="7" t="s">
        <v>3</v>
      </c>
      <c r="G1247" s="136">
        <f t="shared" si="19"/>
        <v>44196</v>
      </c>
      <c r="H1247" s="20">
        <f>_xll.mirGetDate(G1247,H$17,"Following",H$12,"Normal")</f>
        <v>44286</v>
      </c>
      <c r="I1247" s="134">
        <f ca="1"/>
        <v>1.8484668474864963E-2</v>
      </c>
      <c r="J1247" s="120" t="s">
        <v>3</v>
      </c>
    </row>
    <row r="1248" spans="1:10" x14ac:dyDescent="0.25">
      <c r="A1248" s="126">
        <v>1226</v>
      </c>
      <c r="B1248" s="119"/>
      <c r="C1248" s="136">
        <f>_xll.mirGetDate(C1247,"1D","FOLLOWING",D$12,"NORMAL")</f>
        <v>44200</v>
      </c>
      <c r="D1248" s="20">
        <f>_xll.mirGetDate(C1248,D$17,"Following",D$12,"Normal")</f>
        <v>44201</v>
      </c>
      <c r="E1248" s="134">
        <f ca="1"/>
        <v>1.4503188383769803E-2</v>
      </c>
      <c r="F1248" s="7" t="s">
        <v>3</v>
      </c>
      <c r="G1248" s="136">
        <f t="shared" si="19"/>
        <v>44200</v>
      </c>
      <c r="H1248" s="20">
        <f>_xll.mirGetDate(G1248,H$17,"Following",H$12,"Normal")</f>
        <v>44291</v>
      </c>
      <c r="I1248" s="134">
        <f ca="1"/>
        <v>1.8499809960408477E-2</v>
      </c>
      <c r="J1248" s="120" t="s">
        <v>3</v>
      </c>
    </row>
    <row r="1249" spans="1:10" x14ac:dyDescent="0.25">
      <c r="A1249" s="126">
        <v>1227</v>
      </c>
      <c r="B1249" s="119"/>
      <c r="C1249" s="136">
        <f>_xll.mirGetDate(C1248,"1D","FOLLOWING",D$12,"NORMAL")</f>
        <v>44201</v>
      </c>
      <c r="D1249" s="20">
        <f>_xll.mirGetDate(C1249,D$17,"Following",D$12,"Normal")</f>
        <v>44202</v>
      </c>
      <c r="E1249" s="134">
        <f ca="1"/>
        <v>1.450757861451339E-2</v>
      </c>
      <c r="F1249" s="7" t="s">
        <v>3</v>
      </c>
      <c r="G1249" s="136">
        <f t="shared" si="19"/>
        <v>44201</v>
      </c>
      <c r="H1249" s="20">
        <f>_xll.mirGetDate(G1249,H$17,"Following",H$12,"Normal")</f>
        <v>44291</v>
      </c>
      <c r="I1249" s="134">
        <f ca="1"/>
        <v>1.8503593389640919E-2</v>
      </c>
      <c r="J1249" s="120" t="s">
        <v>3</v>
      </c>
    </row>
    <row r="1250" spans="1:10" x14ac:dyDescent="0.25">
      <c r="A1250" s="126">
        <v>1228</v>
      </c>
      <c r="B1250" s="119"/>
      <c r="C1250" s="136">
        <f>_xll.mirGetDate(C1249,"1D","FOLLOWING",D$12,"NORMAL")</f>
        <v>44202</v>
      </c>
      <c r="D1250" s="20">
        <f>_xll.mirGetDate(C1250,D$17,"Following",D$12,"Normal")</f>
        <v>44203</v>
      </c>
      <c r="E1250" s="134">
        <f ca="1"/>
        <v>1.4511916371782126E-2</v>
      </c>
      <c r="F1250" s="7" t="s">
        <v>3</v>
      </c>
      <c r="G1250" s="136">
        <f t="shared" si="19"/>
        <v>44202</v>
      </c>
      <c r="H1250" s="20">
        <f>_xll.mirGetDate(G1250,H$17,"Following",H$12,"Normal")</f>
        <v>44292</v>
      </c>
      <c r="I1250" s="134">
        <f ca="1"/>
        <v>1.8507376725350716E-2</v>
      </c>
      <c r="J1250" s="120" t="s">
        <v>3</v>
      </c>
    </row>
    <row r="1251" spans="1:10" x14ac:dyDescent="0.25">
      <c r="A1251" s="126">
        <v>1229</v>
      </c>
      <c r="B1251" s="119"/>
      <c r="C1251" s="136">
        <f>_xll.mirGetDate(C1250,"1D","FOLLOWING",D$12,"NORMAL")</f>
        <v>44203</v>
      </c>
      <c r="D1251" s="20">
        <f>_xll.mirGetDate(C1251,D$17,"Following",D$12,"Normal")</f>
        <v>44204</v>
      </c>
      <c r="E1251" s="134">
        <f ca="1"/>
        <v>1.4516201647041413E-2</v>
      </c>
      <c r="F1251" s="7" t="s">
        <v>3</v>
      </c>
      <c r="G1251" s="136">
        <f t="shared" si="19"/>
        <v>44203</v>
      </c>
      <c r="H1251" s="20">
        <f>_xll.mirGetDate(G1251,H$17,"Following",H$12,"Normal")</f>
        <v>44293</v>
      </c>
      <c r="I1251" s="134">
        <f ca="1"/>
        <v>1.8511160247264756E-2</v>
      </c>
      <c r="J1251" s="120" t="s">
        <v>3</v>
      </c>
    </row>
    <row r="1252" spans="1:10" x14ac:dyDescent="0.25">
      <c r="A1252" s="126">
        <v>1230</v>
      </c>
      <c r="B1252" s="119"/>
      <c r="C1252" s="136">
        <f>_xll.mirGetDate(C1251,"1D","FOLLOWING",D$12,"NORMAL")</f>
        <v>44204</v>
      </c>
      <c r="D1252" s="20">
        <f>_xll.mirGetDate(C1252,D$17,"Following",D$12,"Normal")</f>
        <v>44207</v>
      </c>
      <c r="E1252" s="134">
        <f ca="1"/>
        <v>1.452518323499169E-2</v>
      </c>
      <c r="F1252" s="7" t="s">
        <v>3</v>
      </c>
      <c r="G1252" s="136">
        <f t="shared" si="19"/>
        <v>44204</v>
      </c>
      <c r="H1252" s="20">
        <f>_xll.mirGetDate(G1252,H$17,"Following",H$12,"Normal")</f>
        <v>44294</v>
      </c>
      <c r="I1252" s="134">
        <f ca="1"/>
        <v>1.8514944204801726E-2</v>
      </c>
      <c r="J1252" s="120" t="s">
        <v>3</v>
      </c>
    </row>
    <row r="1253" spans="1:10" x14ac:dyDescent="0.25">
      <c r="A1253" s="126">
        <v>1231</v>
      </c>
      <c r="B1253" s="119"/>
      <c r="C1253" s="136">
        <f>_xll.mirGetDate(C1252,"1D","FOLLOWING",D$12,"NORMAL")</f>
        <v>44207</v>
      </c>
      <c r="D1253" s="20">
        <f>_xll.mirGetDate(C1253,D$17,"Following",D$12,"Normal")</f>
        <v>44208</v>
      </c>
      <c r="E1253" s="134">
        <f ca="1"/>
        <v>1.4532817762005367E-2</v>
      </c>
      <c r="F1253" s="7" t="s">
        <v>3</v>
      </c>
      <c r="G1253" s="136">
        <f t="shared" si="19"/>
        <v>44207</v>
      </c>
      <c r="H1253" s="20">
        <f>_xll.mirGetDate(G1253,H$17,"Following",H$12,"Normal")</f>
        <v>44298</v>
      </c>
      <c r="I1253" s="134">
        <f ca="1"/>
        <v>1.8526301182790868E-2</v>
      </c>
      <c r="J1253" s="120" t="s">
        <v>3</v>
      </c>
    </row>
    <row r="1254" spans="1:10" x14ac:dyDescent="0.25">
      <c r="A1254" s="126">
        <v>1232</v>
      </c>
      <c r="B1254" s="119"/>
      <c r="C1254" s="136">
        <f>_xll.mirGetDate(C1253,"1D","FOLLOWING",D$12,"NORMAL")</f>
        <v>44208</v>
      </c>
      <c r="D1254" s="20">
        <f>_xll.mirGetDate(C1254,D$17,"Following",D$12,"Normal")</f>
        <v>44209</v>
      </c>
      <c r="E1254" s="134">
        <f ca="1"/>
        <v>1.453684050246146E-2</v>
      </c>
      <c r="F1254" s="7" t="s">
        <v>3</v>
      </c>
      <c r="G1254" s="136">
        <f t="shared" si="19"/>
        <v>44208</v>
      </c>
      <c r="H1254" s="20">
        <f>_xll.mirGetDate(G1254,H$17,"Following",H$12,"Normal")</f>
        <v>44298</v>
      </c>
      <c r="I1254" s="134">
        <f ca="1"/>
        <v>1.8530089374460188E-2</v>
      </c>
      <c r="J1254" s="120" t="s">
        <v>3</v>
      </c>
    </row>
    <row r="1255" spans="1:10" x14ac:dyDescent="0.25">
      <c r="A1255" s="126">
        <v>1233</v>
      </c>
      <c r="B1255" s="119"/>
      <c r="C1255" s="136">
        <f>_xll.mirGetDate(C1254,"1D","FOLLOWING",D$12,"NORMAL")</f>
        <v>44209</v>
      </c>
      <c r="D1255" s="20">
        <f>_xll.mirGetDate(C1255,D$17,"Following",D$12,"Normal")</f>
        <v>44210</v>
      </c>
      <c r="E1255" s="134">
        <f ca="1"/>
        <v>1.4540810710548403E-2</v>
      </c>
      <c r="F1255" s="7" t="s">
        <v>3</v>
      </c>
      <c r="G1255" s="136">
        <f t="shared" si="19"/>
        <v>44209</v>
      </c>
      <c r="H1255" s="20">
        <f>_xll.mirGetDate(G1255,H$17,"Following",H$12,"Normal")</f>
        <v>44299</v>
      </c>
      <c r="I1255" s="134">
        <f ca="1"/>
        <v>1.853387924757275E-2</v>
      </c>
      <c r="J1255" s="120" t="s">
        <v>3</v>
      </c>
    </row>
    <row r="1256" spans="1:10" x14ac:dyDescent="0.25">
      <c r="A1256" s="126">
        <v>1234</v>
      </c>
      <c r="B1256" s="119"/>
      <c r="C1256" s="136">
        <f>_xll.mirGetDate(C1255,"1D","FOLLOWING",D$12,"NORMAL")</f>
        <v>44210</v>
      </c>
      <c r="D1256" s="20">
        <f>_xll.mirGetDate(C1256,D$17,"Following",D$12,"Normal")</f>
        <v>44211</v>
      </c>
      <c r="E1256" s="134">
        <f ca="1"/>
        <v>1.4544728378333928E-2</v>
      </c>
      <c r="F1256" s="7" t="s">
        <v>3</v>
      </c>
      <c r="G1256" s="136">
        <f t="shared" si="19"/>
        <v>44210</v>
      </c>
      <c r="H1256" s="20">
        <f>_xll.mirGetDate(G1256,H$17,"Following",H$12,"Normal")</f>
        <v>44300</v>
      </c>
      <c r="I1256" s="134">
        <f ca="1"/>
        <v>1.8537671051292608E-2</v>
      </c>
      <c r="J1256" s="120" t="s">
        <v>3</v>
      </c>
    </row>
    <row r="1257" spans="1:10" x14ac:dyDescent="0.25">
      <c r="A1257" s="126">
        <v>1235</v>
      </c>
      <c r="B1257" s="119"/>
      <c r="C1257" s="136">
        <f>_xll.mirGetDate(C1256,"1D","FOLLOWING",D$12,"NORMAL")</f>
        <v>44211</v>
      </c>
      <c r="D1257" s="20">
        <f>_xll.mirGetDate(C1257,D$17,"Following",D$12,"Normal")</f>
        <v>44215</v>
      </c>
      <c r="E1257" s="134">
        <f ca="1"/>
        <v>1.455514240531702E-2</v>
      </c>
      <c r="F1257" s="7" t="s">
        <v>3</v>
      </c>
      <c r="G1257" s="136">
        <f t="shared" si="19"/>
        <v>44211</v>
      </c>
      <c r="H1257" s="20">
        <f>_xll.mirGetDate(G1257,H$17,"Following",H$12,"Normal")</f>
        <v>44301</v>
      </c>
      <c r="I1257" s="134">
        <f ca="1"/>
        <v>1.8541465034783832E-2</v>
      </c>
      <c r="J1257" s="120" t="s">
        <v>3</v>
      </c>
    </row>
    <row r="1258" spans="1:10" x14ac:dyDescent="0.25">
      <c r="A1258" s="126">
        <v>1236</v>
      </c>
      <c r="B1258" s="119"/>
      <c r="C1258" s="136">
        <f>_xll.mirGetDate(C1257,"1D","FOLLOWING",D$12,"NORMAL")</f>
        <v>44215</v>
      </c>
      <c r="D1258" s="20">
        <f>_xll.mirGetDate(C1258,D$17,"Following",D$12,"Normal")</f>
        <v>44216</v>
      </c>
      <c r="E1258" s="134">
        <f ca="1"/>
        <v>1.4563528314346534E-2</v>
      </c>
      <c r="F1258" s="7" t="s">
        <v>3</v>
      </c>
      <c r="G1258" s="136">
        <f t="shared" si="19"/>
        <v>44215</v>
      </c>
      <c r="H1258" s="20">
        <f>_xll.mirGetDate(G1258,H$17,"Following",H$12,"Normal")</f>
        <v>44305</v>
      </c>
      <c r="I1258" s="134">
        <f ca="1"/>
        <v>1.8556667749743554E-2</v>
      </c>
      <c r="J1258" s="120" t="s">
        <v>3</v>
      </c>
    </row>
    <row r="1259" spans="1:10" x14ac:dyDescent="0.25">
      <c r="A1259" s="126">
        <v>1237</v>
      </c>
      <c r="B1259" s="119"/>
      <c r="C1259" s="136">
        <f>_xll.mirGetDate(C1258,"1D","FOLLOWING",D$12,"NORMAL")</f>
        <v>44216</v>
      </c>
      <c r="D1259" s="20">
        <f>_xll.mirGetDate(C1259,D$17,"Following",D$12,"Normal")</f>
        <v>44217</v>
      </c>
      <c r="E1259" s="134">
        <f ca="1"/>
        <v>1.4567130562201878E-2</v>
      </c>
      <c r="F1259" s="7" t="s">
        <v>3</v>
      </c>
      <c r="G1259" s="136">
        <f t="shared" si="19"/>
        <v>44216</v>
      </c>
      <c r="H1259" s="20">
        <f>_xll.mirGetDate(G1259,H$17,"Following",H$12,"Normal")</f>
        <v>44306</v>
      </c>
      <c r="I1259" s="134">
        <f ca="1"/>
        <v>1.8560476369552503E-2</v>
      </c>
      <c r="J1259" s="120" t="s">
        <v>3</v>
      </c>
    </row>
    <row r="1260" spans="1:10" x14ac:dyDescent="0.25">
      <c r="A1260" s="126">
        <v>1238</v>
      </c>
      <c r="B1260" s="119"/>
      <c r="C1260" s="136">
        <f>_xll.mirGetDate(C1259,"1D","FOLLOWING",D$12,"NORMAL")</f>
        <v>44217</v>
      </c>
      <c r="D1260" s="20">
        <f>_xll.mirGetDate(C1260,D$17,"Following",D$12,"Normal")</f>
        <v>44218</v>
      </c>
      <c r="E1260" s="134">
        <f ca="1"/>
        <v>1.4570680210541804E-2</v>
      </c>
      <c r="F1260" s="7" t="s">
        <v>3</v>
      </c>
      <c r="G1260" s="136">
        <f t="shared" si="19"/>
        <v>44217</v>
      </c>
      <c r="H1260" s="20">
        <f>_xll.mirGetDate(G1260,H$17,"Following",H$12,"Normal")</f>
        <v>44307</v>
      </c>
      <c r="I1260" s="134">
        <f ca="1"/>
        <v>1.8564288664117176E-2</v>
      </c>
      <c r="J1260" s="120" t="s">
        <v>3</v>
      </c>
    </row>
    <row r="1261" spans="1:10" x14ac:dyDescent="0.25">
      <c r="A1261" s="126">
        <v>1239</v>
      </c>
      <c r="B1261" s="119"/>
      <c r="C1261" s="136">
        <f>_xll.mirGetDate(C1260,"1D","FOLLOWING",D$12,"NORMAL")</f>
        <v>44218</v>
      </c>
      <c r="D1261" s="20">
        <f>_xll.mirGetDate(C1261,D$17,"Following",D$12,"Normal")</f>
        <v>44221</v>
      </c>
      <c r="E1261" s="134">
        <f ca="1"/>
        <v>1.4578194437406097E-2</v>
      </c>
      <c r="F1261" s="7" t="s">
        <v>3</v>
      </c>
      <c r="G1261" s="136">
        <f t="shared" si="19"/>
        <v>44218</v>
      </c>
      <c r="H1261" s="20">
        <f>_xll.mirGetDate(G1261,H$17,"Following",H$12,"Normal")</f>
        <v>44308</v>
      </c>
      <c r="I1261" s="134">
        <f ca="1"/>
        <v>1.8568104882601636E-2</v>
      </c>
      <c r="J1261" s="120" t="s">
        <v>3</v>
      </c>
    </row>
    <row r="1262" spans="1:10" x14ac:dyDescent="0.25">
      <c r="A1262" s="126">
        <v>1240</v>
      </c>
      <c r="B1262" s="119"/>
      <c r="C1262" s="136">
        <f>_xll.mirGetDate(C1261,"1D","FOLLOWING",D$12,"NORMAL")</f>
        <v>44221</v>
      </c>
      <c r="D1262" s="20">
        <f>_xll.mirGetDate(C1262,D$17,"Following",D$12,"Normal")</f>
        <v>44222</v>
      </c>
      <c r="E1262" s="134">
        <f ca="1"/>
        <v>1.458435264028551E-2</v>
      </c>
      <c r="F1262" s="7" t="s">
        <v>3</v>
      </c>
      <c r="G1262" s="136">
        <f t="shared" si="19"/>
        <v>44221</v>
      </c>
      <c r="H1262" s="20">
        <f>_xll.mirGetDate(G1262,H$17,"Following",H$12,"Normal")</f>
        <v>44312</v>
      </c>
      <c r="I1262" s="134">
        <f ca="1"/>
        <v>1.8579579573214364E-2</v>
      </c>
      <c r="J1262" s="120" t="s">
        <v>3</v>
      </c>
    </row>
    <row r="1263" spans="1:10" x14ac:dyDescent="0.25">
      <c r="A1263" s="126">
        <v>1241</v>
      </c>
      <c r="B1263" s="119"/>
      <c r="C1263" s="136">
        <f>_xll.mirGetDate(C1262,"1D","FOLLOWING",D$12,"NORMAL")</f>
        <v>44222</v>
      </c>
      <c r="D1263" s="20">
        <f>_xll.mirGetDate(C1263,D$17,"Following",D$12,"Normal")</f>
        <v>44223</v>
      </c>
      <c r="E1263" s="134">
        <f ca="1"/>
        <v>1.4587639164542917E-2</v>
      </c>
      <c r="F1263" s="7" t="s">
        <v>3</v>
      </c>
      <c r="G1263" s="136">
        <f t="shared" si="19"/>
        <v>44222</v>
      </c>
      <c r="H1263" s="20">
        <f>_xll.mirGetDate(G1263,H$17,"Following",H$12,"Normal")</f>
        <v>44312</v>
      </c>
      <c r="I1263" s="134">
        <f ca="1"/>
        <v>1.8583413979018592E-2</v>
      </c>
      <c r="J1263" s="120" t="s">
        <v>3</v>
      </c>
    </row>
    <row r="1264" spans="1:10" x14ac:dyDescent="0.25">
      <c r="A1264" s="126">
        <v>1242</v>
      </c>
      <c r="B1264" s="119"/>
      <c r="C1264" s="136">
        <f>_xll.mirGetDate(C1263,"1D","FOLLOWING",D$12,"NORMAL")</f>
        <v>44223</v>
      </c>
      <c r="D1264" s="20">
        <f>_xll.mirGetDate(C1264,D$17,"Following",D$12,"Normal")</f>
        <v>44224</v>
      </c>
      <c r="E1264" s="134">
        <f ca="1"/>
        <v>1.4590873038346991E-2</v>
      </c>
      <c r="F1264" s="7" t="s">
        <v>3</v>
      </c>
      <c r="G1264" s="136">
        <f t="shared" si="19"/>
        <v>44223</v>
      </c>
      <c r="H1264" s="20">
        <f>_xll.mirGetDate(G1264,H$17,"Following",H$12,"Normal")</f>
        <v>44313</v>
      </c>
      <c r="I1264" s="134">
        <f ca="1"/>
        <v>1.8587253554562911E-2</v>
      </c>
      <c r="J1264" s="120" t="s">
        <v>3</v>
      </c>
    </row>
    <row r="1265" spans="1:10" x14ac:dyDescent="0.25">
      <c r="A1265" s="126">
        <v>1243</v>
      </c>
      <c r="B1265" s="119"/>
      <c r="C1265" s="136">
        <f>_xll.mirGetDate(C1264,"1D","FOLLOWING",D$12,"NORMAL")</f>
        <v>44224</v>
      </c>
      <c r="D1265" s="20">
        <f>_xll.mirGetDate(C1265,D$17,"Following",D$12,"Normal")</f>
        <v>44225</v>
      </c>
      <c r="E1265" s="134">
        <f ca="1"/>
        <v>1.459405425364285E-2</v>
      </c>
      <c r="F1265" s="7" t="s">
        <v>3</v>
      </c>
      <c r="G1265" s="136">
        <f t="shared" si="19"/>
        <v>44224</v>
      </c>
      <c r="H1265" s="20">
        <f>_xll.mirGetDate(G1265,H$17,"Following",H$12,"Normal")</f>
        <v>44314</v>
      </c>
      <c r="I1265" s="134">
        <f ca="1"/>
        <v>1.8591098549011385E-2</v>
      </c>
      <c r="J1265" s="120" t="s">
        <v>3</v>
      </c>
    </row>
    <row r="1266" spans="1:10" x14ac:dyDescent="0.25">
      <c r="A1266" s="126">
        <v>1244</v>
      </c>
      <c r="B1266" s="119"/>
      <c r="C1266" s="136">
        <f>_xll.mirGetDate(C1265,"1D","FOLLOWING",D$12,"NORMAL")</f>
        <v>44225</v>
      </c>
      <c r="D1266" s="20">
        <f>_xll.mirGetDate(C1266,D$17,"Following",D$12,"Normal")</f>
        <v>44228</v>
      </c>
      <c r="E1266" s="134">
        <f ca="1"/>
        <v>1.4600833251296292E-2</v>
      </c>
      <c r="F1266" s="7" t="s">
        <v>3</v>
      </c>
      <c r="G1266" s="136">
        <f t="shared" si="19"/>
        <v>44225</v>
      </c>
      <c r="H1266" s="20">
        <f>_xll.mirGetDate(G1266,H$17,"Following",H$12,"Normal")</f>
        <v>44315</v>
      </c>
      <c r="I1266" s="134">
        <f ca="1"/>
        <v>1.8594949211528079E-2</v>
      </c>
      <c r="J1266" s="120" t="s">
        <v>3</v>
      </c>
    </row>
    <row r="1267" spans="1:10" x14ac:dyDescent="0.25">
      <c r="A1267" s="126">
        <v>1245</v>
      </c>
      <c r="B1267" s="119"/>
      <c r="C1267" s="136">
        <f>_xll.mirGetDate(C1266,"1D","FOLLOWING",D$12,"NORMAL")</f>
        <v>44228</v>
      </c>
      <c r="D1267" s="20">
        <f>_xll.mirGetDate(C1267,D$17,"Following",D$12,"Normal")</f>
        <v>44229</v>
      </c>
      <c r="E1267" s="134">
        <f ca="1"/>
        <v>1.4606252357689697E-2</v>
      </c>
      <c r="F1267" s="7" t="s">
        <v>3</v>
      </c>
      <c r="G1267" s="136">
        <f t="shared" si="19"/>
        <v>44228</v>
      </c>
      <c r="H1267" s="20">
        <f>_xll.mirGetDate(G1267,H$17,"Following",H$12,"Normal")</f>
        <v>44319</v>
      </c>
      <c r="I1267" s="134">
        <f ca="1"/>
        <v>1.860653769912806E-2</v>
      </c>
      <c r="J1267" s="120" t="s">
        <v>3</v>
      </c>
    </row>
    <row r="1268" spans="1:10" x14ac:dyDescent="0.25">
      <c r="A1268" s="126">
        <v>1246</v>
      </c>
      <c r="B1268" s="119"/>
      <c r="C1268" s="136">
        <f>_xll.mirGetDate(C1267,"1D","FOLLOWING",D$12,"NORMAL")</f>
        <v>44229</v>
      </c>
      <c r="D1268" s="20">
        <f>_xll.mirGetDate(C1268,D$17,"Following",D$12,"Normal")</f>
        <v>44230</v>
      </c>
      <c r="E1268" s="134">
        <f ca="1"/>
        <v>1.4609170151851307E-2</v>
      </c>
      <c r="F1268" s="7" t="s">
        <v>3</v>
      </c>
      <c r="G1268" s="136">
        <f t="shared" si="19"/>
        <v>44229</v>
      </c>
      <c r="H1268" s="20">
        <f>_xll.mirGetDate(G1268,H$17,"Following",H$12,"Normal")</f>
        <v>44319</v>
      </c>
      <c r="I1268" s="134">
        <f ca="1"/>
        <v>1.8610413525558225E-2</v>
      </c>
      <c r="J1268" s="120" t="s">
        <v>3</v>
      </c>
    </row>
    <row r="1269" spans="1:10" x14ac:dyDescent="0.25">
      <c r="A1269" s="126">
        <v>1247</v>
      </c>
      <c r="B1269" s="119"/>
      <c r="C1269" s="136">
        <f>_xll.mirGetDate(C1268,"1D","FOLLOWING",D$12,"NORMAL")</f>
        <v>44230</v>
      </c>
      <c r="D1269" s="20">
        <f>_xll.mirGetDate(C1269,D$17,"Following",D$12,"Normal")</f>
        <v>44231</v>
      </c>
      <c r="E1269" s="134">
        <f ca="1"/>
        <v>1.4612035236425571E-2</v>
      </c>
      <c r="F1269" s="7" t="s">
        <v>3</v>
      </c>
      <c r="G1269" s="136">
        <f t="shared" si="19"/>
        <v>44230</v>
      </c>
      <c r="H1269" s="20">
        <f>_xll.mirGetDate(G1269,H$17,"Following",H$12,"Normal")</f>
        <v>44319</v>
      </c>
      <c r="I1269" s="134">
        <f ca="1"/>
        <v>1.861429626587691E-2</v>
      </c>
      <c r="J1269" s="120" t="s">
        <v>3</v>
      </c>
    </row>
    <row r="1270" spans="1:10" x14ac:dyDescent="0.25">
      <c r="A1270" s="126">
        <v>1248</v>
      </c>
      <c r="B1270" s="119"/>
      <c r="C1270" s="136">
        <f>_xll.mirGetDate(C1269,"1D","FOLLOWING",D$12,"NORMAL")</f>
        <v>44231</v>
      </c>
      <c r="D1270" s="20">
        <f>_xll.mirGetDate(C1270,D$17,"Following",D$12,"Normal")</f>
        <v>44232</v>
      </c>
      <c r="E1270" s="134">
        <f ca="1"/>
        <v>1.4614847602760708E-2</v>
      </c>
      <c r="F1270" s="7" t="s">
        <v>3</v>
      </c>
      <c r="G1270" s="136">
        <f t="shared" si="19"/>
        <v>44231</v>
      </c>
      <c r="H1270" s="20">
        <f>_xll.mirGetDate(G1270,H$17,"Following",H$12,"Normal")</f>
        <v>44320</v>
      </c>
      <c r="I1270" s="134">
        <f ca="1"/>
        <v>1.861818616924818E-2</v>
      </c>
      <c r="J1270" s="120" t="s">
        <v>3</v>
      </c>
    </row>
    <row r="1271" spans="1:10" x14ac:dyDescent="0.25">
      <c r="A1271" s="126">
        <v>1249</v>
      </c>
      <c r="B1271" s="119"/>
      <c r="C1271" s="136">
        <f>_xll.mirGetDate(C1270,"1D","FOLLOWING",D$12,"NORMAL")</f>
        <v>44232</v>
      </c>
      <c r="D1271" s="20">
        <f>_xll.mirGetDate(C1271,D$17,"Following",D$12,"Normal")</f>
        <v>44235</v>
      </c>
      <c r="E1271" s="134">
        <f ca="1"/>
        <v>1.4620890331880907E-2</v>
      </c>
      <c r="F1271" s="7" t="s">
        <v>3</v>
      </c>
      <c r="G1271" s="136">
        <f t="shared" si="19"/>
        <v>44232</v>
      </c>
      <c r="H1271" s="20">
        <f>_xll.mirGetDate(G1271,H$17,"Following",H$12,"Normal")</f>
        <v>44321</v>
      </c>
      <c r="I1271" s="134">
        <f ca="1"/>
        <v>1.8622083484836089E-2</v>
      </c>
      <c r="J1271" s="120" t="s">
        <v>3</v>
      </c>
    </row>
    <row r="1272" spans="1:10" x14ac:dyDescent="0.25">
      <c r="A1272" s="126">
        <v>1250</v>
      </c>
      <c r="B1272" s="119"/>
      <c r="C1272" s="136">
        <f>_xll.mirGetDate(C1271,"1D","FOLLOWING",D$12,"NORMAL")</f>
        <v>44235</v>
      </c>
      <c r="D1272" s="20">
        <f>_xll.mirGetDate(C1272,D$17,"Following",D$12,"Normal")</f>
        <v>44236</v>
      </c>
      <c r="E1272" s="134">
        <f ca="1"/>
        <v>1.4625569715158649E-2</v>
      </c>
      <c r="F1272" s="7" t="s">
        <v>3</v>
      </c>
      <c r="G1272" s="136">
        <f t="shared" si="19"/>
        <v>44235</v>
      </c>
      <c r="H1272" s="20">
        <f>_xll.mirGetDate(G1272,H$17,"Following",H$12,"Normal")</f>
        <v>44326</v>
      </c>
      <c r="I1272" s="134">
        <f ca="1"/>
        <v>1.8633822396540298E-2</v>
      </c>
      <c r="J1272" s="120" t="s">
        <v>3</v>
      </c>
    </row>
    <row r="1273" spans="1:10" x14ac:dyDescent="0.25">
      <c r="A1273" s="126">
        <v>1251</v>
      </c>
      <c r="B1273" s="119"/>
      <c r="C1273" s="136">
        <f>_xll.mirGetDate(C1272,"1D","FOLLOWING",D$12,"NORMAL")</f>
        <v>44236</v>
      </c>
      <c r="D1273" s="20">
        <f>_xll.mirGetDate(C1273,D$17,"Following",D$12,"Normal")</f>
        <v>44237</v>
      </c>
      <c r="E1273" s="134">
        <f ca="1"/>
        <v>1.4628118362456536E-2</v>
      </c>
      <c r="F1273" s="7" t="s">
        <v>3</v>
      </c>
      <c r="G1273" s="136">
        <f t="shared" si="19"/>
        <v>44236</v>
      </c>
      <c r="H1273" s="20">
        <f>_xll.mirGetDate(G1273,H$17,"Following",H$12,"Normal")</f>
        <v>44326</v>
      </c>
      <c r="I1273" s="134">
        <f ca="1"/>
        <v>1.8637751852635394E-2</v>
      </c>
      <c r="J1273" s="120" t="s">
        <v>3</v>
      </c>
    </row>
    <row r="1274" spans="1:10" x14ac:dyDescent="0.25">
      <c r="A1274" s="126">
        <v>1252</v>
      </c>
      <c r="B1274" s="119"/>
      <c r="C1274" s="136">
        <f>_xll.mirGetDate(C1273,"1D","FOLLOWING",D$12,"NORMAL")</f>
        <v>44237</v>
      </c>
      <c r="D1274" s="20">
        <f>_xll.mirGetDate(C1274,D$17,"Following",D$12,"Normal")</f>
        <v>44238</v>
      </c>
      <c r="E1274" s="134">
        <f ca="1"/>
        <v>1.4630614240196339E-2</v>
      </c>
      <c r="F1274" s="7" t="s">
        <v>3</v>
      </c>
      <c r="G1274" s="136">
        <f t="shared" si="19"/>
        <v>44237</v>
      </c>
      <c r="H1274" s="20">
        <f>_xll.mirGetDate(G1274,H$17,"Following",H$12,"Normal")</f>
        <v>44326</v>
      </c>
      <c r="I1274" s="134">
        <f ca="1"/>
        <v>1.864168996676744E-2</v>
      </c>
      <c r="J1274" s="120" t="s">
        <v>3</v>
      </c>
    </row>
    <row r="1275" spans="1:10" x14ac:dyDescent="0.25">
      <c r="A1275" s="126">
        <v>1253</v>
      </c>
      <c r="B1275" s="119"/>
      <c r="C1275" s="136">
        <f>_xll.mirGetDate(C1274,"1D","FOLLOWING",D$12,"NORMAL")</f>
        <v>44238</v>
      </c>
      <c r="D1275" s="20">
        <f>_xll.mirGetDate(C1275,D$17,"Following",D$12,"Normal")</f>
        <v>44239</v>
      </c>
      <c r="E1275" s="134">
        <f ca="1"/>
        <v>1.463305734000348E-2</v>
      </c>
      <c r="F1275" s="7" t="s">
        <v>3</v>
      </c>
      <c r="G1275" s="136">
        <f t="shared" si="19"/>
        <v>44238</v>
      </c>
      <c r="H1275" s="20">
        <f>_xll.mirGetDate(G1275,H$17,"Following",H$12,"Normal")</f>
        <v>44327</v>
      </c>
      <c r="I1275" s="134">
        <f ca="1"/>
        <v>1.8645636988100487E-2</v>
      </c>
      <c r="J1275" s="120" t="s">
        <v>3</v>
      </c>
    </row>
    <row r="1276" spans="1:10" x14ac:dyDescent="0.25">
      <c r="A1276" s="126">
        <v>1254</v>
      </c>
      <c r="B1276" s="119"/>
      <c r="C1276" s="136">
        <f>_xll.mirGetDate(C1275,"1D","FOLLOWING",D$12,"NORMAL")</f>
        <v>44239</v>
      </c>
      <c r="D1276" s="20">
        <f>_xll.mirGetDate(C1276,D$17,"Following",D$12,"Normal")</f>
        <v>44243</v>
      </c>
      <c r="E1276" s="134">
        <f ca="1"/>
        <v>1.4639794054747187E-2</v>
      </c>
      <c r="F1276" s="7" t="s">
        <v>3</v>
      </c>
      <c r="G1276" s="136">
        <f t="shared" si="19"/>
        <v>44239</v>
      </c>
      <c r="H1276" s="20">
        <f>_xll.mirGetDate(G1276,H$17,"Following",H$12,"Normal")</f>
        <v>44328</v>
      </c>
      <c r="I1276" s="134">
        <f ca="1"/>
        <v>1.8649593165798613E-2</v>
      </c>
      <c r="J1276" s="120" t="s">
        <v>3</v>
      </c>
    </row>
    <row r="1277" spans="1:10" x14ac:dyDescent="0.25">
      <c r="A1277" s="126">
        <v>1255</v>
      </c>
      <c r="B1277" s="119"/>
      <c r="C1277" s="136">
        <f>_xll.mirGetDate(C1276,"1D","FOLLOWING",D$12,"NORMAL")</f>
        <v>44243</v>
      </c>
      <c r="D1277" s="20">
        <f>_xll.mirGetDate(C1277,D$17,"Following",D$12,"Normal")</f>
        <v>44244</v>
      </c>
      <c r="E1277" s="134">
        <f ca="1"/>
        <v>1.4644480869561091E-2</v>
      </c>
      <c r="F1277" s="7" t="s">
        <v>3</v>
      </c>
      <c r="G1277" s="136">
        <f t="shared" si="19"/>
        <v>44243</v>
      </c>
      <c r="H1277" s="20">
        <f>_xll.mirGetDate(G1277,H$17,"Following",H$12,"Normal")</f>
        <v>44333</v>
      </c>
      <c r="I1277" s="134">
        <f ca="1"/>
        <v>1.866551442352303E-2</v>
      </c>
      <c r="J1277" s="120" t="s">
        <v>3</v>
      </c>
    </row>
    <row r="1278" spans="1:10" x14ac:dyDescent="0.25">
      <c r="A1278" s="126">
        <v>1256</v>
      </c>
      <c r="B1278" s="119"/>
      <c r="C1278" s="136">
        <f>_xll.mirGetDate(C1277,"1D","FOLLOWING",D$12,"NORMAL")</f>
        <v>44244</v>
      </c>
      <c r="D1278" s="20">
        <f>_xll.mirGetDate(C1278,D$17,"Following",D$12,"Normal")</f>
        <v>44245</v>
      </c>
      <c r="E1278" s="134">
        <f ca="1"/>
        <v>1.4646607121540263E-2</v>
      </c>
      <c r="F1278" s="7" t="s">
        <v>3</v>
      </c>
      <c r="G1278" s="136">
        <f t="shared" si="19"/>
        <v>44244</v>
      </c>
      <c r="H1278" s="20">
        <f>_xll.mirGetDate(G1278,H$17,"Following",H$12,"Normal")</f>
        <v>44333</v>
      </c>
      <c r="I1278" s="134">
        <f ca="1"/>
        <v>1.8669520120507422E-2</v>
      </c>
      <c r="J1278" s="120" t="s">
        <v>3</v>
      </c>
    </row>
    <row r="1279" spans="1:10" x14ac:dyDescent="0.25">
      <c r="A1279" s="126">
        <v>1257</v>
      </c>
      <c r="B1279" s="119"/>
      <c r="C1279" s="136">
        <f>_xll.mirGetDate(C1278,"1D","FOLLOWING",D$12,"NORMAL")</f>
        <v>44245</v>
      </c>
      <c r="D1279" s="20">
        <f>_xll.mirGetDate(C1279,D$17,"Following",D$12,"Normal")</f>
        <v>44246</v>
      </c>
      <c r="E1279" s="134">
        <f ca="1"/>
        <v>1.4648680535616007E-2</v>
      </c>
      <c r="F1279" s="7" t="s">
        <v>3</v>
      </c>
      <c r="G1279" s="136">
        <f t="shared" si="19"/>
        <v>44245</v>
      </c>
      <c r="H1279" s="20">
        <f>_xll.mirGetDate(G1279,H$17,"Following",H$12,"Normal")</f>
        <v>44334</v>
      </c>
      <c r="I1279" s="134">
        <f ca="1"/>
        <v>1.8673536468841248E-2</v>
      </c>
      <c r="J1279" s="120" t="s">
        <v>3</v>
      </c>
    </row>
    <row r="1280" spans="1:10" x14ac:dyDescent="0.25">
      <c r="A1280" s="126">
        <v>1258</v>
      </c>
      <c r="B1280" s="119"/>
      <c r="C1280" s="136">
        <f>_xll.mirGetDate(C1279,"1D","FOLLOWING",D$12,"NORMAL")</f>
        <v>44246</v>
      </c>
      <c r="D1280" s="20">
        <f>_xll.mirGetDate(C1280,D$17,"Following",D$12,"Normal")</f>
        <v>44249</v>
      </c>
      <c r="E1280" s="134">
        <f ca="1"/>
        <v>1.4653247591765728E-2</v>
      </c>
      <c r="F1280" s="7" t="s">
        <v>3</v>
      </c>
      <c r="G1280" s="136">
        <f t="shared" si="19"/>
        <v>44246</v>
      </c>
      <c r="H1280" s="20">
        <f>_xll.mirGetDate(G1280,H$17,"Following",H$12,"Normal")</f>
        <v>44335</v>
      </c>
      <c r="I1280" s="134">
        <f ca="1"/>
        <v>1.8677563717688576E-2</v>
      </c>
      <c r="J1280" s="120" t="s">
        <v>3</v>
      </c>
    </row>
    <row r="1281" spans="1:10" x14ac:dyDescent="0.25">
      <c r="A1281" s="126">
        <v>1259</v>
      </c>
      <c r="B1281" s="119"/>
      <c r="C1281" s="136">
        <f>_xll.mirGetDate(C1280,"1D","FOLLOWING",D$12,"NORMAL")</f>
        <v>44249</v>
      </c>
      <c r="D1281" s="20">
        <f>_xll.mirGetDate(C1281,D$17,"Following",D$12,"Normal")</f>
        <v>44250</v>
      </c>
      <c r="E1281" s="134">
        <f ca="1"/>
        <v>1.4656445640495104E-2</v>
      </c>
      <c r="F1281" s="7" t="s">
        <v>3</v>
      </c>
      <c r="G1281" s="136">
        <f t="shared" si="19"/>
        <v>44249</v>
      </c>
      <c r="H1281" s="20">
        <f>_xll.mirGetDate(G1281,H$17,"Following",H$12,"Normal")</f>
        <v>44340</v>
      </c>
      <c r="I1281" s="134">
        <f ca="1"/>
        <v>1.8689713358952146E-2</v>
      </c>
      <c r="J1281" s="120" t="s">
        <v>3</v>
      </c>
    </row>
    <row r="1282" spans="1:10" x14ac:dyDescent="0.25">
      <c r="A1282" s="126">
        <v>1260</v>
      </c>
      <c r="B1282" s="119"/>
      <c r="C1282" s="136">
        <f>_xll.mirGetDate(C1281,"1D","FOLLOWING",D$12,"NORMAL")</f>
        <v>44250</v>
      </c>
      <c r="D1282" s="20">
        <f>_xll.mirGetDate(C1282,D$17,"Following",D$12,"Normal")</f>
        <v>44251</v>
      </c>
      <c r="E1282" s="134">
        <f ca="1"/>
        <v>1.4659181734331292E-2</v>
      </c>
      <c r="F1282" s="7" t="s">
        <v>3</v>
      </c>
      <c r="G1282" s="136">
        <f t="shared" si="19"/>
        <v>44250</v>
      </c>
      <c r="H1282" s="20">
        <f>_xll.mirGetDate(G1282,H$17,"Following",H$12,"Normal")</f>
        <v>44340</v>
      </c>
      <c r="I1282" s="134">
        <f ca="1"/>
        <v>1.8693786701494072E-2</v>
      </c>
      <c r="J1282" s="120" t="s">
        <v>3</v>
      </c>
    </row>
    <row r="1283" spans="1:10" x14ac:dyDescent="0.25">
      <c r="A1283" s="126">
        <v>1261</v>
      </c>
      <c r="B1283" s="119"/>
      <c r="C1283" s="136">
        <f>_xll.mirGetDate(C1282,"1D","FOLLOWING",D$12,"NORMAL")</f>
        <v>44251</v>
      </c>
      <c r="D1283" s="20">
        <f>_xll.mirGetDate(C1283,D$17,"Following",D$12,"Normal")</f>
        <v>44252</v>
      </c>
      <c r="E1283" s="134">
        <f ca="1"/>
        <v>1.4662822754531941E-2</v>
      </c>
      <c r="F1283" s="7" t="s">
        <v>3</v>
      </c>
      <c r="G1283" s="136">
        <f t="shared" si="19"/>
        <v>44251</v>
      </c>
      <c r="H1283" s="20">
        <f>_xll.mirGetDate(G1283,H$17,"Following",H$12,"Normal")</f>
        <v>44340</v>
      </c>
      <c r="I1283" s="134">
        <f ca="1"/>
        <v>1.8697866255933903E-2</v>
      </c>
      <c r="J1283" s="120" t="s">
        <v>3</v>
      </c>
    </row>
    <row r="1284" spans="1:10" x14ac:dyDescent="0.25">
      <c r="A1284" s="126">
        <v>1262</v>
      </c>
      <c r="B1284" s="119"/>
      <c r="C1284" s="136">
        <f>_xll.mirGetDate(C1283,"1D","FOLLOWING",D$12,"NORMAL")</f>
        <v>44252</v>
      </c>
      <c r="D1284" s="20">
        <f>_xll.mirGetDate(C1284,D$17,"Following",D$12,"Normal")</f>
        <v>44253</v>
      </c>
      <c r="E1284" s="134">
        <f ca="1"/>
        <v>1.4666457108554364E-2</v>
      </c>
      <c r="F1284" s="7" t="s">
        <v>3</v>
      </c>
      <c r="G1284" s="136">
        <f t="shared" si="19"/>
        <v>44252</v>
      </c>
      <c r="H1284" s="20">
        <f>_xll.mirGetDate(G1284,H$17,"Following",H$12,"Normal")</f>
        <v>44341</v>
      </c>
      <c r="I1284" s="134">
        <f ca="1"/>
        <v>1.8701946257395709E-2</v>
      </c>
      <c r="J1284" s="120" t="s">
        <v>3</v>
      </c>
    </row>
    <row r="1285" spans="1:10" x14ac:dyDescent="0.25">
      <c r="A1285" s="126">
        <v>1263</v>
      </c>
      <c r="B1285" s="119"/>
      <c r="C1285" s="136">
        <f>_xll.mirGetDate(C1284,"1D","FOLLOWING",D$12,"NORMAL")</f>
        <v>44253</v>
      </c>
      <c r="D1285" s="20">
        <f>_xll.mirGetDate(C1285,D$17,"Following",D$12,"Normal")</f>
        <v>44256</v>
      </c>
      <c r="E1285" s="134">
        <f ca="1"/>
        <v>1.4674301702938644E-2</v>
      </c>
      <c r="F1285" s="7" t="s">
        <v>3</v>
      </c>
      <c r="G1285" s="136">
        <f t="shared" si="19"/>
        <v>44253</v>
      </c>
      <c r="H1285" s="20">
        <f>_xll.mirGetDate(G1285,H$17,"Following",H$12,"Normal")</f>
        <v>44342</v>
      </c>
      <c r="I1285" s="134">
        <f ca="1"/>
        <v>1.87060268356374E-2</v>
      </c>
      <c r="J1285" s="120" t="s">
        <v>3</v>
      </c>
    </row>
    <row r="1286" spans="1:10" x14ac:dyDescent="0.25">
      <c r="A1286" s="126">
        <v>1264</v>
      </c>
      <c r="B1286" s="119"/>
      <c r="C1286" s="136">
        <f>_xll.mirGetDate(C1285,"1D","FOLLOWING",D$12,"NORMAL")</f>
        <v>44256</v>
      </c>
      <c r="D1286" s="20">
        <f>_xll.mirGetDate(C1286,D$17,"Following",D$12,"Normal")</f>
        <v>44257</v>
      </c>
      <c r="E1286" s="134">
        <f ca="1"/>
        <v>1.4680927841246484E-2</v>
      </c>
      <c r="F1286" s="7" t="s">
        <v>3</v>
      </c>
      <c r="G1286" s="136">
        <f t="shared" si="19"/>
        <v>44256</v>
      </c>
      <c r="H1286" s="20">
        <f>_xll.mirGetDate(G1286,H$17,"Following",H$12,"Normal")</f>
        <v>44348</v>
      </c>
      <c r="I1286" s="134">
        <f ca="1"/>
        <v>1.8718273328620826E-2</v>
      </c>
      <c r="J1286" s="120" t="s">
        <v>3</v>
      </c>
    </row>
    <row r="1287" spans="1:10" x14ac:dyDescent="0.25">
      <c r="A1287" s="126">
        <v>1265</v>
      </c>
      <c r="B1287" s="119"/>
      <c r="C1287" s="136">
        <f>_xll.mirGetDate(C1286,"1D","FOLLOWING",D$12,"NORMAL")</f>
        <v>44257</v>
      </c>
      <c r="D1287" s="20">
        <f>_xll.mirGetDate(C1287,D$17,"Following",D$12,"Normal")</f>
        <v>44258</v>
      </c>
      <c r="E1287" s="134">
        <f ca="1"/>
        <v>1.4684528848574111E-2</v>
      </c>
      <c r="F1287" s="7" t="s">
        <v>3</v>
      </c>
      <c r="G1287" s="136">
        <f t="shared" si="19"/>
        <v>44257</v>
      </c>
      <c r="H1287" s="20">
        <f>_xll.mirGetDate(G1287,H$17,"Following",H$12,"Normal")</f>
        <v>44349</v>
      </c>
      <c r="I1287" s="134">
        <f ca="1"/>
        <v>1.8722357511561118E-2</v>
      </c>
      <c r="J1287" s="120" t="s">
        <v>3</v>
      </c>
    </row>
    <row r="1288" spans="1:10" x14ac:dyDescent="0.25">
      <c r="A1288" s="126">
        <v>1266</v>
      </c>
      <c r="B1288" s="119"/>
      <c r="C1288" s="136">
        <f>_xll.mirGetDate(C1287,"1D","FOLLOWING",D$12,"NORMAL")</f>
        <v>44258</v>
      </c>
      <c r="D1288" s="20">
        <f>_xll.mirGetDate(C1288,D$17,"Following",D$12,"Normal")</f>
        <v>44259</v>
      </c>
      <c r="E1288" s="134">
        <f ca="1"/>
        <v>1.4688123183568449E-2</v>
      </c>
      <c r="F1288" s="7" t="s">
        <v>3</v>
      </c>
      <c r="G1288" s="136">
        <f t="shared" si="19"/>
        <v>44258</v>
      </c>
      <c r="H1288" s="20">
        <f>_xll.mirGetDate(G1288,H$17,"Following",H$12,"Normal")</f>
        <v>44350</v>
      </c>
      <c r="I1288" s="134">
        <f ca="1"/>
        <v>1.8726442920070831E-2</v>
      </c>
      <c r="J1288" s="120" t="s">
        <v>3</v>
      </c>
    </row>
    <row r="1289" spans="1:10" x14ac:dyDescent="0.25">
      <c r="A1289" s="126">
        <v>1267</v>
      </c>
      <c r="B1289" s="119"/>
      <c r="C1289" s="136">
        <f>_xll.mirGetDate(C1288,"1D","FOLLOWING",D$12,"NORMAL")</f>
        <v>44259</v>
      </c>
      <c r="D1289" s="20">
        <f>_xll.mirGetDate(C1289,D$17,"Following",D$12,"Normal")</f>
        <v>44260</v>
      </c>
      <c r="E1289" s="134">
        <f ca="1"/>
        <v>1.4691710845091611E-2</v>
      </c>
      <c r="F1289" s="7" t="s">
        <v>3</v>
      </c>
      <c r="G1289" s="136">
        <f t="shared" si="19"/>
        <v>44259</v>
      </c>
      <c r="H1289" s="20">
        <f>_xll.mirGetDate(G1289,H$17,"Following",H$12,"Normal")</f>
        <v>44351</v>
      </c>
      <c r="I1289" s="134">
        <f ca="1"/>
        <v>1.8730529683907874E-2</v>
      </c>
      <c r="J1289" s="120" t="s">
        <v>3</v>
      </c>
    </row>
    <row r="1290" spans="1:10" x14ac:dyDescent="0.25">
      <c r="A1290" s="126">
        <v>1268</v>
      </c>
      <c r="B1290" s="119"/>
      <c r="C1290" s="136">
        <f>_xll.mirGetDate(C1289,"1D","FOLLOWING",D$12,"NORMAL")</f>
        <v>44260</v>
      </c>
      <c r="D1290" s="20">
        <f>_xll.mirGetDate(C1290,D$17,"Following",D$12,"Normal")</f>
        <v>44263</v>
      </c>
      <c r="E1290" s="134">
        <f ca="1"/>
        <v>1.4699464083972328E-2</v>
      </c>
      <c r="F1290" s="7" t="s">
        <v>3</v>
      </c>
      <c r="G1290" s="136">
        <f t="shared" si="19"/>
        <v>44260</v>
      </c>
      <c r="H1290" s="20">
        <f>_xll.mirGetDate(G1290,H$17,"Following",H$12,"Normal")</f>
        <v>44354</v>
      </c>
      <c r="I1290" s="134">
        <f ca="1"/>
        <v>1.8734617932830159E-2</v>
      </c>
      <c r="J1290" s="120" t="s">
        <v>3</v>
      </c>
    </row>
    <row r="1291" spans="1:10" x14ac:dyDescent="0.25">
      <c r="A1291" s="126">
        <v>1269</v>
      </c>
      <c r="B1291" s="119"/>
      <c r="C1291" s="136">
        <f>_xll.mirGetDate(C1290,"1D","FOLLOWING",D$12,"NORMAL")</f>
        <v>44263</v>
      </c>
      <c r="D1291" s="20">
        <f>_xll.mirGetDate(C1291,D$17,"Following",D$12,"Normal")</f>
        <v>44264</v>
      </c>
      <c r="E1291" s="134">
        <f ca="1"/>
        <v>1.470599473724069E-2</v>
      </c>
      <c r="F1291" s="7" t="s">
        <v>3</v>
      </c>
      <c r="G1291" s="136">
        <f t="shared" si="19"/>
        <v>44263</v>
      </c>
      <c r="H1291" s="20">
        <f>_xll.mirGetDate(G1291,H$17,"Following",H$12,"Normal")</f>
        <v>44355</v>
      </c>
      <c r="I1291" s="134">
        <f ca="1"/>
        <v>1.8746892887687522E-2</v>
      </c>
      <c r="J1291" s="120" t="s">
        <v>3</v>
      </c>
    </row>
    <row r="1292" spans="1:10" x14ac:dyDescent="0.25">
      <c r="A1292" s="126">
        <v>1270</v>
      </c>
      <c r="B1292" s="119"/>
      <c r="C1292" s="136">
        <f>_xll.mirGetDate(C1291,"1D","FOLLOWING",D$12,"NORMAL")</f>
        <v>44264</v>
      </c>
      <c r="D1292" s="20">
        <f>_xll.mirGetDate(C1292,D$17,"Following",D$12,"Normal")</f>
        <v>44265</v>
      </c>
      <c r="E1292" s="134">
        <f ca="1"/>
        <v>1.4709549016671462E-2</v>
      </c>
      <c r="F1292" s="7" t="s">
        <v>3</v>
      </c>
      <c r="G1292" s="136">
        <f t="shared" si="19"/>
        <v>44264</v>
      </c>
      <c r="H1292" s="20">
        <f>_xll.mirGetDate(G1292,H$17,"Following",H$12,"Normal")</f>
        <v>44356</v>
      </c>
      <c r="I1292" s="134">
        <f ca="1"/>
        <v>1.8750988374529841E-2</v>
      </c>
      <c r="J1292" s="120" t="s">
        <v>3</v>
      </c>
    </row>
    <row r="1293" spans="1:10" x14ac:dyDescent="0.25">
      <c r="A1293" s="126">
        <v>1271</v>
      </c>
      <c r="B1293" s="119"/>
      <c r="C1293" s="136">
        <f>_xll.mirGetDate(C1292,"1D","FOLLOWING",D$12,"NORMAL")</f>
        <v>44265</v>
      </c>
      <c r="D1293" s="20">
        <f>_xll.mirGetDate(C1293,D$17,"Following",D$12,"Normal")</f>
        <v>44266</v>
      </c>
      <c r="E1293" s="134">
        <f ca="1"/>
        <v>1.4713096616570016E-2</v>
      </c>
      <c r="F1293" s="7" t="s">
        <v>3</v>
      </c>
      <c r="G1293" s="136">
        <f t="shared" si="19"/>
        <v>44265</v>
      </c>
      <c r="H1293" s="20">
        <f>_xll.mirGetDate(G1293,H$17,"Following",H$12,"Normal")</f>
        <v>44357</v>
      </c>
      <c r="I1293" s="134">
        <f ca="1"/>
        <v>1.8755085995246938E-2</v>
      </c>
      <c r="J1293" s="120" t="s">
        <v>3</v>
      </c>
    </row>
    <row r="1294" spans="1:10" x14ac:dyDescent="0.25">
      <c r="A1294" s="126">
        <v>1272</v>
      </c>
      <c r="B1294" s="119"/>
      <c r="C1294" s="136">
        <f>_xll.mirGetDate(C1293,"1D","FOLLOWING",D$12,"NORMAL")</f>
        <v>44266</v>
      </c>
      <c r="D1294" s="20">
        <f>_xll.mirGetDate(C1294,D$17,"Following",D$12,"Normal")</f>
        <v>44267</v>
      </c>
      <c r="E1294" s="134">
        <f ca="1"/>
        <v>1.4716637535963004E-2</v>
      </c>
      <c r="F1294" s="7" t="s">
        <v>3</v>
      </c>
      <c r="G1294" s="136">
        <f t="shared" si="19"/>
        <v>44266</v>
      </c>
      <c r="H1294" s="20">
        <f>_xll.mirGetDate(G1294,H$17,"Following",H$12,"Normal")</f>
        <v>44358</v>
      </c>
      <c r="I1294" s="134">
        <f ca="1"/>
        <v>1.8759185879596726E-2</v>
      </c>
      <c r="J1294" s="120" t="s">
        <v>3</v>
      </c>
    </row>
    <row r="1295" spans="1:10" x14ac:dyDescent="0.25">
      <c r="A1295" s="126">
        <v>1273</v>
      </c>
      <c r="B1295" s="119"/>
      <c r="C1295" s="136">
        <f>_xll.mirGetDate(C1294,"1D","FOLLOWING",D$12,"NORMAL")</f>
        <v>44267</v>
      </c>
      <c r="D1295" s="20">
        <f>_xll.mirGetDate(C1295,D$17,"Following",D$12,"Normal")</f>
        <v>44270</v>
      </c>
      <c r="E1295" s="134">
        <f ca="1"/>
        <v>1.4724299296205726E-2</v>
      </c>
      <c r="F1295" s="7" t="s">
        <v>3</v>
      </c>
      <c r="G1295" s="136">
        <f t="shared" si="19"/>
        <v>44267</v>
      </c>
      <c r="H1295" s="20">
        <f>_xll.mirGetDate(G1295,H$17,"Following",H$12,"Normal")</f>
        <v>44361</v>
      </c>
      <c r="I1295" s="134">
        <f ca="1"/>
        <v>1.8763288157337112E-2</v>
      </c>
      <c r="J1295" s="120" t="s">
        <v>3</v>
      </c>
    </row>
    <row r="1296" spans="1:10" x14ac:dyDescent="0.25">
      <c r="A1296" s="126">
        <v>1274</v>
      </c>
      <c r="B1296" s="119"/>
      <c r="C1296" s="136">
        <f>_xll.mirGetDate(C1295,"1D","FOLLOWING",D$12,"NORMAL")</f>
        <v>44270</v>
      </c>
      <c r="D1296" s="20">
        <f>_xll.mirGetDate(C1296,D$17,"Following",D$12,"Normal")</f>
        <v>44271</v>
      </c>
      <c r="E1296" s="134">
        <f ca="1"/>
        <v>1.4730734387808838E-2</v>
      </c>
      <c r="F1296" s="7" t="s">
        <v>3</v>
      </c>
      <c r="G1296" s="136">
        <f t="shared" si="19"/>
        <v>44270</v>
      </c>
      <c r="H1296" s="20">
        <f>_xll.mirGetDate(G1296,H$17,"Following",H$12,"Normal")</f>
        <v>44362</v>
      </c>
      <c r="I1296" s="134">
        <f ca="1"/>
        <v>1.8775610648480923E-2</v>
      </c>
      <c r="J1296" s="120" t="s">
        <v>3</v>
      </c>
    </row>
    <row r="1297" spans="1:10" x14ac:dyDescent="0.25">
      <c r="A1297" s="126">
        <v>1275</v>
      </c>
      <c r="B1297" s="119"/>
      <c r="C1297" s="136">
        <f>_xll.mirGetDate(C1296,"1D","FOLLOWING",D$12,"NORMAL")</f>
        <v>44271</v>
      </c>
      <c r="D1297" s="20">
        <f>_xll.mirGetDate(C1297,D$17,"Following",D$12,"Normal")</f>
        <v>44272</v>
      </c>
      <c r="E1297" s="134">
        <f ca="1"/>
        <v>1.47342418893028E-2</v>
      </c>
      <c r="F1297" s="7" t="s">
        <v>3</v>
      </c>
      <c r="G1297" s="136">
        <f t="shared" si="19"/>
        <v>44271</v>
      </c>
      <c r="H1297" s="20">
        <f>_xll.mirGetDate(G1297,H$17,"Following",H$12,"Normal")</f>
        <v>44363</v>
      </c>
      <c r="I1297" s="134">
        <f ca="1"/>
        <v>1.8779723797362775E-2</v>
      </c>
      <c r="J1297" s="120" t="s">
        <v>3</v>
      </c>
    </row>
    <row r="1298" spans="1:10" x14ac:dyDescent="0.25">
      <c r="A1298" s="126">
        <v>1276</v>
      </c>
      <c r="B1298" s="119"/>
      <c r="C1298" s="136">
        <f>_xll.mirGetDate(C1297,"1D","FOLLOWING",D$12,"NORMAL")</f>
        <v>44272</v>
      </c>
      <c r="D1298" s="20">
        <f>_xll.mirGetDate(C1298,D$17,"Following",D$12,"Normal")</f>
        <v>44273</v>
      </c>
      <c r="E1298" s="134">
        <f ca="1"/>
        <v>1.4737742703976237E-2</v>
      </c>
      <c r="F1298" s="7" t="s">
        <v>3</v>
      </c>
      <c r="G1298" s="136">
        <f t="shared" si="19"/>
        <v>44272</v>
      </c>
      <c r="H1298" s="20">
        <f>_xll.mirGetDate(G1298,H$17,"Following",H$12,"Normal")</f>
        <v>44364</v>
      </c>
      <c r="I1298" s="134">
        <f ca="1"/>
        <v>1.8783839988424766E-2</v>
      </c>
      <c r="J1298" s="120" t="s">
        <v>3</v>
      </c>
    </row>
    <row r="1299" spans="1:10" x14ac:dyDescent="0.25">
      <c r="A1299" s="126">
        <v>1277</v>
      </c>
      <c r="B1299" s="119"/>
      <c r="C1299" s="136">
        <f>_xll.mirGetDate(C1298,"1D","FOLLOWING",D$12,"NORMAL")</f>
        <v>44273</v>
      </c>
      <c r="D1299" s="20">
        <f>_xll.mirGetDate(C1299,D$17,"Following",D$12,"Normal")</f>
        <v>44274</v>
      </c>
      <c r="E1299" s="134">
        <f ca="1"/>
        <v>1.4741236831048632E-2</v>
      </c>
      <c r="F1299" s="7" t="s">
        <v>3</v>
      </c>
      <c r="G1299" s="136">
        <f t="shared" si="19"/>
        <v>44273</v>
      </c>
      <c r="H1299" s="20">
        <f>_xll.mirGetDate(G1299,H$17,"Following",H$12,"Normal")</f>
        <v>44365</v>
      </c>
      <c r="I1299" s="134">
        <f ca="1"/>
        <v>1.8787959351424802E-2</v>
      </c>
      <c r="J1299" s="120" t="s">
        <v>3</v>
      </c>
    </row>
    <row r="1300" spans="1:10" x14ac:dyDescent="0.25">
      <c r="A1300" s="126">
        <v>1278</v>
      </c>
      <c r="B1300" s="119"/>
      <c r="C1300" s="136">
        <f>_xll.mirGetDate(C1299,"1D","FOLLOWING",D$12,"NORMAL")</f>
        <v>44274</v>
      </c>
      <c r="D1300" s="20">
        <f>_xll.mirGetDate(C1300,D$17,"Following",D$12,"Normal")</f>
        <v>44277</v>
      </c>
      <c r="E1300" s="134">
        <f ca="1"/>
        <v>1.4748806989039286E-2</v>
      </c>
      <c r="F1300" s="7" t="s">
        <v>3</v>
      </c>
      <c r="G1300" s="136">
        <f t="shared" si="19"/>
        <v>44274</v>
      </c>
      <c r="H1300" s="20">
        <f>_xll.mirGetDate(G1300,H$17,"Following",H$12,"Normal")</f>
        <v>44368</v>
      </c>
      <c r="I1300" s="134">
        <f ca="1"/>
        <v>1.8792082016120794E-2</v>
      </c>
      <c r="J1300" s="120" t="s">
        <v>3</v>
      </c>
    </row>
    <row r="1301" spans="1:10" x14ac:dyDescent="0.25">
      <c r="A1301" s="126">
        <v>1279</v>
      </c>
      <c r="B1301" s="119"/>
      <c r="C1301" s="136">
        <f>_xll.mirGetDate(C1300,"1D","FOLLOWING",D$12,"NORMAL")</f>
        <v>44277</v>
      </c>
      <c r="D1301" s="20">
        <f>_xll.mirGetDate(C1301,D$17,"Following",D$12,"Normal")</f>
        <v>44278</v>
      </c>
      <c r="E1301" s="134">
        <f ca="1"/>
        <v>1.4755146441791846E-2</v>
      </c>
      <c r="F1301" s="7" t="s">
        <v>3</v>
      </c>
      <c r="G1301" s="136">
        <f t="shared" si="19"/>
        <v>44277</v>
      </c>
      <c r="H1301" s="20">
        <f>_xll.mirGetDate(G1301,H$17,"Following",H$12,"Normal")</f>
        <v>44369</v>
      </c>
      <c r="I1301" s="134">
        <f ca="1"/>
        <v>1.8804471117963573E-2</v>
      </c>
      <c r="J1301" s="120" t="s">
        <v>3</v>
      </c>
    </row>
    <row r="1302" spans="1:10" x14ac:dyDescent="0.25">
      <c r="A1302" s="126">
        <v>1280</v>
      </c>
      <c r="B1302" s="119"/>
      <c r="C1302" s="136">
        <f>_xll.mirGetDate(C1301,"1D","FOLLOWING",D$12,"NORMAL")</f>
        <v>44278</v>
      </c>
      <c r="D1302" s="20">
        <f>_xll.mirGetDate(C1302,D$17,"Following",D$12,"Normal")</f>
        <v>44279</v>
      </c>
      <c r="E1302" s="134">
        <f ca="1"/>
        <v>1.475860711505508E-2</v>
      </c>
      <c r="F1302" s="7" t="s">
        <v>3</v>
      </c>
      <c r="G1302" s="136">
        <f t="shared" si="19"/>
        <v>44278</v>
      </c>
      <c r="H1302" s="20">
        <f>_xll.mirGetDate(G1302,H$17,"Following",H$12,"Normal")</f>
        <v>44370</v>
      </c>
      <c r="I1302" s="134">
        <f ca="1"/>
        <v>1.8808608287022462E-2</v>
      </c>
      <c r="J1302" s="120" t="s">
        <v>3</v>
      </c>
    </row>
    <row r="1303" spans="1:10" x14ac:dyDescent="0.25">
      <c r="A1303" s="126">
        <v>1281</v>
      </c>
      <c r="B1303" s="119"/>
      <c r="C1303" s="136">
        <f>_xll.mirGetDate(C1302,"1D","FOLLOWING",D$12,"NORMAL")</f>
        <v>44279</v>
      </c>
      <c r="D1303" s="20">
        <f>_xll.mirGetDate(C1303,D$17,"Following",D$12,"Normal")</f>
        <v>44280</v>
      </c>
      <c r="E1303" s="134">
        <f ca="1"/>
        <v>1.4762061094402338E-2</v>
      </c>
      <c r="F1303" s="7" t="s">
        <v>3</v>
      </c>
      <c r="G1303" s="136">
        <f t="shared" si="19"/>
        <v>44279</v>
      </c>
      <c r="H1303" s="20">
        <f>_xll.mirGetDate(G1303,H$17,"Following",H$12,"Normal")</f>
        <v>44371</v>
      </c>
      <c r="I1303" s="134">
        <f ca="1"/>
        <v>1.8812749406566846E-2</v>
      </c>
      <c r="J1303" s="120" t="s">
        <v>3</v>
      </c>
    </row>
    <row r="1304" spans="1:10" x14ac:dyDescent="0.25">
      <c r="A1304" s="126">
        <v>1282</v>
      </c>
      <c r="B1304" s="119"/>
      <c r="C1304" s="136">
        <f>_xll.mirGetDate(C1303,"1D","FOLLOWING",D$12,"NORMAL")</f>
        <v>44280</v>
      </c>
      <c r="D1304" s="20">
        <f>_xll.mirGetDate(C1304,D$17,"Following",D$12,"Normal")</f>
        <v>44281</v>
      </c>
      <c r="E1304" s="134">
        <f ca="1"/>
        <v>1.4765508378695636E-2</v>
      </c>
      <c r="F1304" s="7" t="s">
        <v>3</v>
      </c>
      <c r="G1304" s="136">
        <f t="shared" ref="G1304:G1367" si="20">$C1304</f>
        <v>44280</v>
      </c>
      <c r="H1304" s="20">
        <f>_xll.mirGetDate(G1304,H$17,"Following",H$12,"Normal")</f>
        <v>44372</v>
      </c>
      <c r="I1304" s="134">
        <f ca="1"/>
        <v>1.8816894606354641E-2</v>
      </c>
      <c r="J1304" s="120" t="s">
        <v>3</v>
      </c>
    </row>
    <row r="1305" spans="1:10" x14ac:dyDescent="0.25">
      <c r="A1305" s="126">
        <v>1283</v>
      </c>
      <c r="B1305" s="119"/>
      <c r="C1305" s="136">
        <f>_xll.mirGetDate(C1304,"1D","FOLLOWING",D$12,"NORMAL")</f>
        <v>44281</v>
      </c>
      <c r="D1305" s="20">
        <f>_xll.mirGetDate(C1305,D$17,"Following",D$12,"Normal")</f>
        <v>44284</v>
      </c>
      <c r="E1305" s="134">
        <f ca="1"/>
        <v>1.477298680993306E-2</v>
      </c>
      <c r="F1305" s="7" t="s">
        <v>3</v>
      </c>
      <c r="G1305" s="136">
        <f t="shared" si="20"/>
        <v>44281</v>
      </c>
      <c r="H1305" s="20">
        <f>_xll.mirGetDate(G1305,H$17,"Following",H$12,"Normal")</f>
        <v>44375</v>
      </c>
      <c r="I1305" s="134">
        <f ca="1"/>
        <v>1.8821044016143741E-2</v>
      </c>
      <c r="J1305" s="120" t="s">
        <v>3</v>
      </c>
    </row>
    <row r="1306" spans="1:10" x14ac:dyDescent="0.25">
      <c r="A1306" s="126">
        <v>1284</v>
      </c>
      <c r="B1306" s="119"/>
      <c r="C1306" s="136">
        <f>_xll.mirGetDate(C1305,"1D","FOLLOWING",D$12,"NORMAL")</f>
        <v>44284</v>
      </c>
      <c r="D1306" s="20">
        <f>_xll.mirGetDate(C1306,D$17,"Following",D$12,"Normal")</f>
        <v>44285</v>
      </c>
      <c r="E1306" s="134">
        <f ca="1"/>
        <v>1.4779230546577614E-2</v>
      </c>
      <c r="F1306" s="7" t="s">
        <v>3</v>
      </c>
      <c r="G1306" s="136">
        <f t="shared" si="20"/>
        <v>44284</v>
      </c>
      <c r="H1306" s="20">
        <f>_xll.mirGetDate(G1306,H$17,"Following",H$12,"Normal")</f>
        <v>44376</v>
      </c>
      <c r="I1306" s="134">
        <f ca="1"/>
        <v>1.8833518803098002E-2</v>
      </c>
      <c r="J1306" s="120" t="s">
        <v>3</v>
      </c>
    </row>
    <row r="1307" spans="1:10" x14ac:dyDescent="0.25">
      <c r="A1307" s="126">
        <v>1285</v>
      </c>
      <c r="B1307" s="119"/>
      <c r="C1307" s="136">
        <f>_xll.mirGetDate(C1306,"1D","FOLLOWING",D$12,"NORMAL")</f>
        <v>44285</v>
      </c>
      <c r="D1307" s="20">
        <f>_xll.mirGetDate(C1307,D$17,"Following",D$12,"Normal")</f>
        <v>44286</v>
      </c>
      <c r="E1307" s="134">
        <f ca="1"/>
        <v>1.4782644340949532E-2</v>
      </c>
      <c r="F1307" s="7" t="s">
        <v>3</v>
      </c>
      <c r="G1307" s="136">
        <f t="shared" si="20"/>
        <v>44285</v>
      </c>
      <c r="H1307" s="20">
        <f>_xll.mirGetDate(G1307,H$17,"Following",H$12,"Normal")</f>
        <v>44377</v>
      </c>
      <c r="I1307" s="134">
        <f ca="1"/>
        <v>1.8837686350471436E-2</v>
      </c>
      <c r="J1307" s="120" t="s">
        <v>3</v>
      </c>
    </row>
    <row r="1308" spans="1:10" x14ac:dyDescent="0.25">
      <c r="A1308" s="126">
        <v>1286</v>
      </c>
      <c r="B1308" s="119"/>
      <c r="C1308" s="136">
        <f>_xll.mirGetDate(C1307,"1D","FOLLOWING",D$12,"NORMAL")</f>
        <v>44286</v>
      </c>
      <c r="D1308" s="20">
        <f>_xll.mirGetDate(C1308,D$17,"Following",D$12,"Normal")</f>
        <v>44287</v>
      </c>
      <c r="E1308" s="134">
        <f ca="1"/>
        <v>1.4786051434192336E-2</v>
      </c>
      <c r="F1308" s="7" t="s">
        <v>3</v>
      </c>
      <c r="G1308" s="136">
        <f t="shared" si="20"/>
        <v>44286</v>
      </c>
      <c r="H1308" s="20">
        <f>_xll.mirGetDate(G1308,H$17,"Following",H$12,"Normal")</f>
        <v>44377</v>
      </c>
      <c r="I1308" s="134">
        <f ca="1"/>
        <v>1.8841858756635722E-2</v>
      </c>
      <c r="J1308" s="120" t="s">
        <v>3</v>
      </c>
    </row>
    <row r="1309" spans="1:10" x14ac:dyDescent="0.25">
      <c r="A1309" s="126">
        <v>1287</v>
      </c>
      <c r="B1309" s="119"/>
      <c r="C1309" s="136">
        <f>_xll.mirGetDate(C1308,"1D","FOLLOWING",D$12,"NORMAL")</f>
        <v>44287</v>
      </c>
      <c r="D1309" s="20">
        <f>_xll.mirGetDate(C1309,D$17,"Following",D$12,"Normal")</f>
        <v>44288</v>
      </c>
      <c r="E1309" s="134">
        <f ca="1"/>
        <v>1.4789451825285767E-2</v>
      </c>
      <c r="F1309" s="7" t="s">
        <v>3</v>
      </c>
      <c r="G1309" s="136">
        <f t="shared" si="20"/>
        <v>44287</v>
      </c>
      <c r="H1309" s="20">
        <f>_xll.mirGetDate(G1309,H$17,"Following",H$12,"Normal")</f>
        <v>44378</v>
      </c>
      <c r="I1309" s="134">
        <f ca="1"/>
        <v>1.8846036151348774E-2</v>
      </c>
      <c r="J1309" s="120" t="s">
        <v>3</v>
      </c>
    </row>
    <row r="1310" spans="1:10" x14ac:dyDescent="0.25">
      <c r="A1310" s="126">
        <v>1288</v>
      </c>
      <c r="B1310" s="119"/>
      <c r="C1310" s="136">
        <f>_xll.mirGetDate(C1309,"1D","FOLLOWING",D$12,"NORMAL")</f>
        <v>44288</v>
      </c>
      <c r="D1310" s="20">
        <f>_xll.mirGetDate(C1310,D$17,"Following",D$12,"Normal")</f>
        <v>44291</v>
      </c>
      <c r="E1310" s="134">
        <f ca="1"/>
        <v>1.4796838404604148E-2</v>
      </c>
      <c r="F1310" s="7" t="s">
        <v>3</v>
      </c>
      <c r="G1310" s="136">
        <f t="shared" si="20"/>
        <v>44288</v>
      </c>
      <c r="H1310" s="20">
        <f>_xll.mirGetDate(G1310,H$17,"Following",H$12,"Normal")</f>
        <v>44379</v>
      </c>
      <c r="I1310" s="134">
        <f ca="1"/>
        <v>1.8850218664368493E-2</v>
      </c>
      <c r="J1310" s="120" t="s">
        <v>3</v>
      </c>
    </row>
    <row r="1311" spans="1:10" x14ac:dyDescent="0.25">
      <c r="A1311" s="126">
        <v>1289</v>
      </c>
      <c r="B1311" s="119"/>
      <c r="C1311" s="136">
        <f>_xll.mirGetDate(C1310,"1D","FOLLOWING",D$12,"NORMAL")</f>
        <v>44291</v>
      </c>
      <c r="D1311" s="20">
        <f>_xll.mirGetDate(C1311,D$17,"Following",D$12,"Normal")</f>
        <v>44292</v>
      </c>
      <c r="E1311" s="134">
        <f ca="1"/>
        <v>1.4802986347348867E-2</v>
      </c>
      <c r="F1311" s="7" t="s">
        <v>3</v>
      </c>
      <c r="G1311" s="136">
        <f t="shared" si="20"/>
        <v>44291</v>
      </c>
      <c r="H1311" s="20">
        <f>_xll.mirGetDate(G1311,H$17,"Following",H$12,"Normal")</f>
        <v>44383</v>
      </c>
      <c r="I1311" s="134">
        <f ca="1"/>
        <v>1.8862798210846753E-2</v>
      </c>
      <c r="J1311" s="120" t="s">
        <v>3</v>
      </c>
    </row>
    <row r="1312" spans="1:10" x14ac:dyDescent="0.25">
      <c r="A1312" s="126">
        <v>1290</v>
      </c>
      <c r="B1312" s="119"/>
      <c r="C1312" s="136">
        <f>_xll.mirGetDate(C1311,"1D","FOLLOWING",D$12,"NORMAL")</f>
        <v>44292</v>
      </c>
      <c r="D1312" s="20">
        <f>_xll.mirGetDate(C1312,D$17,"Following",D$12,"Normal")</f>
        <v>44293</v>
      </c>
      <c r="E1312" s="134">
        <f ca="1"/>
        <v>1.4806353212051166E-2</v>
      </c>
      <c r="F1312" s="7" t="s">
        <v>3</v>
      </c>
      <c r="G1312" s="136">
        <f t="shared" si="20"/>
        <v>44292</v>
      </c>
      <c r="H1312" s="20">
        <f>_xll.mirGetDate(G1312,H$17,"Following",H$12,"Normal")</f>
        <v>44383</v>
      </c>
      <c r="I1312" s="134">
        <f ca="1"/>
        <v>1.8867002494672235E-2</v>
      </c>
      <c r="J1312" s="120" t="s">
        <v>3</v>
      </c>
    </row>
    <row r="1313" spans="1:10" x14ac:dyDescent="0.25">
      <c r="A1313" s="126">
        <v>1291</v>
      </c>
      <c r="B1313" s="119"/>
      <c r="C1313" s="136">
        <f>_xll.mirGetDate(C1312,"1D","FOLLOWING",D$12,"NORMAL")</f>
        <v>44293</v>
      </c>
      <c r="D1313" s="20">
        <f>_xll.mirGetDate(C1313,D$17,"Following",D$12,"Normal")</f>
        <v>44294</v>
      </c>
      <c r="E1313" s="134">
        <f ca="1"/>
        <v>1.4809713368449029E-2</v>
      </c>
      <c r="F1313" s="7" t="s">
        <v>3</v>
      </c>
      <c r="G1313" s="136">
        <f t="shared" si="20"/>
        <v>44293</v>
      </c>
      <c r="H1313" s="20">
        <f>_xll.mirGetDate(G1313,H$17,"Following",H$12,"Normal")</f>
        <v>44384</v>
      </c>
      <c r="I1313" s="134">
        <f ca="1"/>
        <v>1.8871212545593929E-2</v>
      </c>
      <c r="J1313" s="120" t="s">
        <v>3</v>
      </c>
    </row>
    <row r="1314" spans="1:10" x14ac:dyDescent="0.25">
      <c r="A1314" s="126">
        <v>1292</v>
      </c>
      <c r="B1314" s="119"/>
      <c r="C1314" s="136">
        <f>_xll.mirGetDate(C1313,"1D","FOLLOWING",D$12,"NORMAL")</f>
        <v>44294</v>
      </c>
      <c r="D1314" s="20">
        <f>_xll.mirGetDate(C1314,D$17,"Following",D$12,"Normal")</f>
        <v>44295</v>
      </c>
      <c r="E1314" s="134">
        <f ca="1"/>
        <v>1.481306681524454E-2</v>
      </c>
      <c r="F1314" s="7" t="s">
        <v>3</v>
      </c>
      <c r="G1314" s="136">
        <f t="shared" si="20"/>
        <v>44294</v>
      </c>
      <c r="H1314" s="20">
        <f>_xll.mirGetDate(G1314,H$17,"Following",H$12,"Normal")</f>
        <v>44385</v>
      </c>
      <c r="I1314" s="134">
        <f ca="1"/>
        <v>1.8875428493369741E-2</v>
      </c>
      <c r="J1314" s="120" t="s">
        <v>3</v>
      </c>
    </row>
    <row r="1315" spans="1:10" x14ac:dyDescent="0.25">
      <c r="A1315" s="126">
        <v>1293</v>
      </c>
      <c r="B1315" s="119"/>
      <c r="C1315" s="136">
        <f>_xll.mirGetDate(C1314,"1D","FOLLOWING",D$12,"NORMAL")</f>
        <v>44295</v>
      </c>
      <c r="D1315" s="20">
        <f>_xll.mirGetDate(C1315,D$17,"Following",D$12,"Normal")</f>
        <v>44298</v>
      </c>
      <c r="E1315" s="134">
        <f ca="1"/>
        <v>1.4820361416997007E-2</v>
      </c>
      <c r="F1315" s="7" t="s">
        <v>3</v>
      </c>
      <c r="G1315" s="136">
        <f t="shared" si="20"/>
        <v>44295</v>
      </c>
      <c r="H1315" s="20">
        <f>_xll.mirGetDate(G1315,H$17,"Following",H$12,"Normal")</f>
        <v>44386</v>
      </c>
      <c r="I1315" s="134">
        <f ca="1"/>
        <v>1.887965046775758E-2</v>
      </c>
      <c r="J1315" s="120" t="s">
        <v>3</v>
      </c>
    </row>
    <row r="1316" spans="1:10" x14ac:dyDescent="0.25">
      <c r="A1316" s="126">
        <v>1294</v>
      </c>
      <c r="B1316" s="119"/>
      <c r="C1316" s="136">
        <f>_xll.mirGetDate(C1315,"1D","FOLLOWING",D$12,"NORMAL")</f>
        <v>44298</v>
      </c>
      <c r="D1316" s="20">
        <f>_xll.mirGetDate(C1316,D$17,"Following",D$12,"Normal")</f>
        <v>44299</v>
      </c>
      <c r="E1316" s="134">
        <f ca="1"/>
        <v>1.4826413487651804E-2</v>
      </c>
      <c r="F1316" s="7" t="s">
        <v>3</v>
      </c>
      <c r="G1316" s="136">
        <f t="shared" si="20"/>
        <v>44298</v>
      </c>
      <c r="H1316" s="20">
        <f>_xll.mirGetDate(G1316,H$17,"Following",H$12,"Normal")</f>
        <v>44389</v>
      </c>
      <c r="I1316" s="134">
        <f ca="1"/>
        <v>1.8892353848172356E-2</v>
      </c>
      <c r="J1316" s="120" t="s">
        <v>3</v>
      </c>
    </row>
    <row r="1317" spans="1:10" x14ac:dyDescent="0.25">
      <c r="A1317" s="126">
        <v>1295</v>
      </c>
      <c r="B1317" s="119"/>
      <c r="C1317" s="136">
        <f>_xll.mirGetDate(C1316,"1D","FOLLOWING",D$12,"NORMAL")</f>
        <v>44299</v>
      </c>
      <c r="D1317" s="20">
        <f>_xll.mirGetDate(C1317,D$17,"Following",D$12,"Normal")</f>
        <v>44300</v>
      </c>
      <c r="E1317" s="134">
        <f ca="1"/>
        <v>1.4829733371704215E-2</v>
      </c>
      <c r="F1317" s="7" t="s">
        <v>3</v>
      </c>
      <c r="G1317" s="136">
        <f t="shared" si="20"/>
        <v>44299</v>
      </c>
      <c r="H1317" s="20">
        <f>_xll.mirGetDate(G1317,H$17,"Following",H$12,"Normal")</f>
        <v>44390</v>
      </c>
      <c r="I1317" s="134">
        <f ca="1"/>
        <v>1.889660122658739E-2</v>
      </c>
      <c r="J1317" s="120" t="s">
        <v>3</v>
      </c>
    </row>
    <row r="1318" spans="1:10" x14ac:dyDescent="0.25">
      <c r="A1318" s="126">
        <v>1296</v>
      </c>
      <c r="B1318" s="119"/>
      <c r="C1318" s="136">
        <f>_xll.mirGetDate(C1317,"1D","FOLLOWING",D$12,"NORMAL")</f>
        <v>44300</v>
      </c>
      <c r="D1318" s="20">
        <f>_xll.mirGetDate(C1318,D$17,"Following",D$12,"Normal")</f>
        <v>44301</v>
      </c>
      <c r="E1318" s="134">
        <f ca="1"/>
        <v>1.4833046539999185E-2</v>
      </c>
      <c r="F1318" s="7" t="s">
        <v>3</v>
      </c>
      <c r="G1318" s="136">
        <f t="shared" si="20"/>
        <v>44300</v>
      </c>
      <c r="H1318" s="20">
        <f>_xll.mirGetDate(G1318,H$17,"Following",H$12,"Normal")</f>
        <v>44391</v>
      </c>
      <c r="I1318" s="134">
        <f ca="1"/>
        <v>1.8900855280404E-2</v>
      </c>
      <c r="J1318" s="120" t="s">
        <v>3</v>
      </c>
    </row>
    <row r="1319" spans="1:10" x14ac:dyDescent="0.25">
      <c r="A1319" s="126">
        <v>1297</v>
      </c>
      <c r="B1319" s="119"/>
      <c r="C1319" s="136">
        <f>_xll.mirGetDate(C1318,"1D","FOLLOWING",D$12,"NORMAL")</f>
        <v>44301</v>
      </c>
      <c r="D1319" s="20">
        <f>_xll.mirGetDate(C1319,D$17,"Following",D$12,"Normal")</f>
        <v>44302</v>
      </c>
      <c r="E1319" s="134">
        <f ca="1"/>
        <v>1.4836352991516515E-2</v>
      </c>
      <c r="F1319" s="7" t="s">
        <v>3</v>
      </c>
      <c r="G1319" s="136">
        <f t="shared" si="20"/>
        <v>44301</v>
      </c>
      <c r="H1319" s="20">
        <f>_xll.mirGetDate(G1319,H$17,"Following",H$12,"Normal")</f>
        <v>44392</v>
      </c>
      <c r="I1319" s="134">
        <f ca="1"/>
        <v>1.890511613938008E-2</v>
      </c>
      <c r="J1319" s="120" t="s">
        <v>3</v>
      </c>
    </row>
    <row r="1320" spans="1:10" x14ac:dyDescent="0.25">
      <c r="A1320" s="126">
        <v>1298</v>
      </c>
      <c r="B1320" s="119"/>
      <c r="C1320" s="136">
        <f>_xll.mirGetDate(C1319,"1D","FOLLOWING",D$12,"NORMAL")</f>
        <v>44302</v>
      </c>
      <c r="D1320" s="20">
        <f>_xll.mirGetDate(C1320,D$17,"Following",D$12,"Normal")</f>
        <v>44305</v>
      </c>
      <c r="E1320" s="134">
        <f ca="1"/>
        <v>1.4843555489125009E-2</v>
      </c>
      <c r="F1320" s="7" t="s">
        <v>3</v>
      </c>
      <c r="G1320" s="136">
        <f t="shared" si="20"/>
        <v>44302</v>
      </c>
      <c r="H1320" s="20">
        <f>_xll.mirGetDate(G1320,H$17,"Following",H$12,"Normal")</f>
        <v>44393</v>
      </c>
      <c r="I1320" s="134">
        <f ca="1"/>
        <v>1.8909383933273554E-2</v>
      </c>
      <c r="J1320" s="120" t="s">
        <v>3</v>
      </c>
    </row>
    <row r="1321" spans="1:10" x14ac:dyDescent="0.25">
      <c r="A1321" s="126">
        <v>1299</v>
      </c>
      <c r="B1321" s="119"/>
      <c r="C1321" s="136">
        <f>_xll.mirGetDate(C1320,"1D","FOLLOWING",D$12,"NORMAL")</f>
        <v>44305</v>
      </c>
      <c r="D1321" s="20">
        <f>_xll.mirGetDate(C1321,D$17,"Following",D$12,"Normal")</f>
        <v>44306</v>
      </c>
      <c r="E1321" s="134">
        <f ca="1"/>
        <v>1.4849511609231964E-2</v>
      </c>
      <c r="F1321" s="7" t="s">
        <v>3</v>
      </c>
      <c r="G1321" s="136">
        <f t="shared" si="20"/>
        <v>44305</v>
      </c>
      <c r="H1321" s="20">
        <f>_xll.mirGetDate(G1321,H$17,"Following",H$12,"Normal")</f>
        <v>44396</v>
      </c>
      <c r="I1321" s="134">
        <f ca="1"/>
        <v>1.8922230222037355E-2</v>
      </c>
      <c r="J1321" s="120" t="s">
        <v>3</v>
      </c>
    </row>
    <row r="1322" spans="1:10" x14ac:dyDescent="0.25">
      <c r="A1322" s="126">
        <v>1300</v>
      </c>
      <c r="B1322" s="119"/>
      <c r="C1322" s="136">
        <f>_xll.mirGetDate(C1321,"1D","FOLLOWING",D$12,"NORMAL")</f>
        <v>44306</v>
      </c>
      <c r="D1322" s="20">
        <f>_xll.mirGetDate(C1322,D$17,"Following",D$12,"Normal")</f>
        <v>44307</v>
      </c>
      <c r="E1322" s="134">
        <f ca="1"/>
        <v>1.4852784461216639E-2</v>
      </c>
      <c r="F1322" s="7" t="s">
        <v>3</v>
      </c>
      <c r="G1322" s="136">
        <f t="shared" si="20"/>
        <v>44306</v>
      </c>
      <c r="H1322" s="20">
        <f>_xll.mirGetDate(G1322,H$17,"Following",H$12,"Normal")</f>
        <v>44397</v>
      </c>
      <c r="I1322" s="134">
        <f ca="1"/>
        <v>1.8926527053179449E-2</v>
      </c>
      <c r="J1322" s="120" t="s">
        <v>3</v>
      </c>
    </row>
    <row r="1323" spans="1:10" x14ac:dyDescent="0.25">
      <c r="A1323" s="126">
        <v>1301</v>
      </c>
      <c r="B1323" s="119"/>
      <c r="C1323" s="136">
        <f>_xll.mirGetDate(C1322,"1D","FOLLOWING",D$12,"NORMAL")</f>
        <v>44307</v>
      </c>
      <c r="D1323" s="20">
        <f>_xll.mirGetDate(C1323,D$17,"Following",D$12,"Normal")</f>
        <v>44308</v>
      </c>
      <c r="E1323" s="134">
        <f ca="1"/>
        <v>1.4856050590188671E-2</v>
      </c>
      <c r="F1323" s="7" t="s">
        <v>3</v>
      </c>
      <c r="G1323" s="136">
        <f t="shared" si="20"/>
        <v>44307</v>
      </c>
      <c r="H1323" s="20">
        <f>_xll.mirGetDate(G1323,H$17,"Following",H$12,"Normal")</f>
        <v>44398</v>
      </c>
      <c r="I1323" s="134">
        <f ca="1"/>
        <v>1.8930831468028472E-2</v>
      </c>
      <c r="J1323" s="120" t="s">
        <v>3</v>
      </c>
    </row>
    <row r="1324" spans="1:10" x14ac:dyDescent="0.25">
      <c r="A1324" s="126">
        <v>1302</v>
      </c>
      <c r="B1324" s="119"/>
      <c r="C1324" s="136">
        <f>_xll.mirGetDate(C1323,"1D","FOLLOWING",D$12,"NORMAL")</f>
        <v>44308</v>
      </c>
      <c r="D1324" s="20">
        <f>_xll.mirGetDate(C1324,D$17,"Following",D$12,"Normal")</f>
        <v>44309</v>
      </c>
      <c r="E1324" s="134">
        <f ca="1"/>
        <v>1.4859309995009959E-2</v>
      </c>
      <c r="F1324" s="7" t="s">
        <v>3</v>
      </c>
      <c r="G1324" s="136">
        <f t="shared" si="20"/>
        <v>44308</v>
      </c>
      <c r="H1324" s="20">
        <f>_xll.mirGetDate(G1324,H$17,"Following",H$12,"Normal")</f>
        <v>44399</v>
      </c>
      <c r="I1324" s="134">
        <f ca="1"/>
        <v>1.8935143596342331E-2</v>
      </c>
      <c r="J1324" s="120" t="s">
        <v>3</v>
      </c>
    </row>
    <row r="1325" spans="1:10" x14ac:dyDescent="0.25">
      <c r="A1325" s="126">
        <v>1303</v>
      </c>
      <c r="B1325" s="119"/>
      <c r="C1325" s="136">
        <f>_xll.mirGetDate(C1324,"1D","FOLLOWING",D$12,"NORMAL")</f>
        <v>44309</v>
      </c>
      <c r="D1325" s="20">
        <f>_xll.mirGetDate(C1325,D$17,"Following",D$12,"Normal")</f>
        <v>44312</v>
      </c>
      <c r="E1325" s="134">
        <f ca="1"/>
        <v>1.4866420261333928E-2</v>
      </c>
      <c r="F1325" s="7" t="s">
        <v>3</v>
      </c>
      <c r="G1325" s="136">
        <f t="shared" si="20"/>
        <v>44309</v>
      </c>
      <c r="H1325" s="20">
        <f>_xll.mirGetDate(G1325,H$17,"Following",H$12,"Normal")</f>
        <v>44400</v>
      </c>
      <c r="I1325" s="134">
        <f ca="1"/>
        <v>1.8939463567878935E-2</v>
      </c>
      <c r="J1325" s="120" t="s">
        <v>3</v>
      </c>
    </row>
    <row r="1326" spans="1:10" x14ac:dyDescent="0.25">
      <c r="A1326" s="126">
        <v>1304</v>
      </c>
      <c r="B1326" s="119"/>
      <c r="C1326" s="136">
        <f>_xll.mirGetDate(C1325,"1D","FOLLOWING",D$12,"NORMAL")</f>
        <v>44312</v>
      </c>
      <c r="D1326" s="20">
        <f>_xll.mirGetDate(C1326,D$17,"Following",D$12,"Normal")</f>
        <v>44313</v>
      </c>
      <c r="E1326" s="134">
        <f ca="1"/>
        <v>1.4872280352123056E-2</v>
      </c>
      <c r="F1326" s="7" t="s">
        <v>3</v>
      </c>
      <c r="G1326" s="136">
        <f t="shared" si="20"/>
        <v>44312</v>
      </c>
      <c r="H1326" s="20">
        <f>_xll.mirGetDate(G1326,H$17,"Following",H$12,"Normal")</f>
        <v>44403</v>
      </c>
      <c r="I1326" s="134">
        <f ca="1"/>
        <v>1.8952471839404281E-2</v>
      </c>
      <c r="J1326" s="120" t="s">
        <v>3</v>
      </c>
    </row>
    <row r="1327" spans="1:10" x14ac:dyDescent="0.25">
      <c r="A1327" s="126">
        <v>1305</v>
      </c>
      <c r="B1327" s="119"/>
      <c r="C1327" s="136">
        <f>_xll.mirGetDate(C1326,"1D","FOLLOWING",D$12,"NORMAL")</f>
        <v>44313</v>
      </c>
      <c r="D1327" s="20">
        <f>_xll.mirGetDate(C1327,D$17,"Following",D$12,"Normal")</f>
        <v>44314</v>
      </c>
      <c r="E1327" s="134">
        <f ca="1"/>
        <v>1.4875506120490718E-2</v>
      </c>
      <c r="F1327" s="7" t="s">
        <v>3</v>
      </c>
      <c r="G1327" s="136">
        <f t="shared" si="20"/>
        <v>44313</v>
      </c>
      <c r="H1327" s="20">
        <f>_xll.mirGetDate(G1327,H$17,"Following",H$12,"Normal")</f>
        <v>44404</v>
      </c>
      <c r="I1327" s="134">
        <f ca="1"/>
        <v>1.8956824481410943E-2</v>
      </c>
      <c r="J1327" s="120" t="s">
        <v>3</v>
      </c>
    </row>
    <row r="1328" spans="1:10" x14ac:dyDescent="0.25">
      <c r="A1328" s="126">
        <v>1306</v>
      </c>
      <c r="B1328" s="119"/>
      <c r="C1328" s="136">
        <f>_xll.mirGetDate(C1327,"1D","FOLLOWING",D$12,"NORMAL")</f>
        <v>44314</v>
      </c>
      <c r="D1328" s="20">
        <f>_xll.mirGetDate(C1328,D$17,"Following",D$12,"Normal")</f>
        <v>44315</v>
      </c>
      <c r="E1328" s="134">
        <f ca="1"/>
        <v>1.4878725158411699E-2</v>
      </c>
      <c r="F1328" s="7" t="s">
        <v>3</v>
      </c>
      <c r="G1328" s="136">
        <f t="shared" si="20"/>
        <v>44314</v>
      </c>
      <c r="H1328" s="20">
        <f>_xll.mirGetDate(G1328,H$17,"Following",H$12,"Normal")</f>
        <v>44405</v>
      </c>
      <c r="I1328" s="134">
        <f ca="1"/>
        <v>1.8961185615429886E-2</v>
      </c>
      <c r="J1328" s="120" t="s">
        <v>3</v>
      </c>
    </row>
    <row r="1329" spans="1:10" x14ac:dyDescent="0.25">
      <c r="A1329" s="126">
        <v>1307</v>
      </c>
      <c r="B1329" s="119"/>
      <c r="C1329" s="136">
        <f>_xll.mirGetDate(C1328,"1D","FOLLOWING",D$12,"NORMAL")</f>
        <v>44315</v>
      </c>
      <c r="D1329" s="20">
        <f>_xll.mirGetDate(C1329,D$17,"Following",D$12,"Normal")</f>
        <v>44316</v>
      </c>
      <c r="E1329" s="134">
        <f ca="1"/>
        <v>1.488193746490774E-2</v>
      </c>
      <c r="F1329" s="7" t="s">
        <v>3</v>
      </c>
      <c r="G1329" s="136">
        <f t="shared" si="20"/>
        <v>44315</v>
      </c>
      <c r="H1329" s="20">
        <f>_xll.mirGetDate(G1329,H$17,"Following",H$12,"Normal")</f>
        <v>44406</v>
      </c>
      <c r="I1329" s="134">
        <f ca="1"/>
        <v>1.8965555371219023E-2</v>
      </c>
      <c r="J1329" s="120" t="s">
        <v>3</v>
      </c>
    </row>
    <row r="1330" spans="1:10" x14ac:dyDescent="0.25">
      <c r="A1330" s="126">
        <v>1308</v>
      </c>
      <c r="B1330" s="119"/>
      <c r="C1330" s="136">
        <f>_xll.mirGetDate(C1329,"1D","FOLLOWING",D$12,"NORMAL")</f>
        <v>44316</v>
      </c>
      <c r="D1330" s="20">
        <f>_xll.mirGetDate(C1330,D$17,"Following",D$12,"Normal")</f>
        <v>44319</v>
      </c>
      <c r="E1330" s="134">
        <f ca="1"/>
        <v>1.4888955372206206E-2</v>
      </c>
      <c r="F1330" s="7" t="s">
        <v>3</v>
      </c>
      <c r="G1330" s="136">
        <f t="shared" si="20"/>
        <v>44316</v>
      </c>
      <c r="H1330" s="20">
        <f>_xll.mirGetDate(G1330,H$17,"Following",H$12,"Normal")</f>
        <v>44407</v>
      </c>
      <c r="I1330" s="134">
        <f ca="1"/>
        <v>1.8969933878536266E-2</v>
      </c>
      <c r="J1330" s="120" t="s">
        <v>3</v>
      </c>
    </row>
    <row r="1331" spans="1:10" x14ac:dyDescent="0.25">
      <c r="A1331" s="126">
        <v>1309</v>
      </c>
      <c r="B1331" s="119"/>
      <c r="C1331" s="136">
        <f>_xll.mirGetDate(C1330,"1D","FOLLOWING",D$12,"NORMAL")</f>
        <v>44319</v>
      </c>
      <c r="D1331" s="20">
        <f>_xll.mirGetDate(C1331,D$17,"Following",D$12,"Normal")</f>
        <v>44320</v>
      </c>
      <c r="E1331" s="134">
        <f ca="1"/>
        <v>1.4894719354454525E-2</v>
      </c>
      <c r="F1331" s="7" t="s">
        <v>3</v>
      </c>
      <c r="G1331" s="136">
        <f t="shared" si="20"/>
        <v>44319</v>
      </c>
      <c r="H1331" s="20">
        <f>_xll.mirGetDate(G1331,H$17,"Following",H$12,"Normal")</f>
        <v>44411</v>
      </c>
      <c r="I1331" s="134">
        <f ca="1"/>
        <v>1.8983123207235674E-2</v>
      </c>
      <c r="J1331" s="120" t="s">
        <v>3</v>
      </c>
    </row>
    <row r="1332" spans="1:10" x14ac:dyDescent="0.25">
      <c r="A1332" s="126">
        <v>1310</v>
      </c>
      <c r="B1332" s="119"/>
      <c r="C1332" s="136">
        <f>_xll.mirGetDate(C1331,"1D","FOLLOWING",D$12,"NORMAL")</f>
        <v>44320</v>
      </c>
      <c r="D1332" s="20">
        <f>_xll.mirGetDate(C1332,D$17,"Following",D$12,"Normal")</f>
        <v>44321</v>
      </c>
      <c r="E1332" s="134">
        <f ca="1"/>
        <v>1.4897897987336199E-2</v>
      </c>
      <c r="F1332" s="7" t="s">
        <v>3</v>
      </c>
      <c r="G1332" s="136">
        <f t="shared" si="20"/>
        <v>44320</v>
      </c>
      <c r="H1332" s="20">
        <f>_xll.mirGetDate(G1332,H$17,"Following",H$12,"Normal")</f>
        <v>44412</v>
      </c>
      <c r="I1332" s="134">
        <f ca="1"/>
        <v>1.8987538018244404E-2</v>
      </c>
      <c r="J1332" s="120" t="s">
        <v>3</v>
      </c>
    </row>
    <row r="1333" spans="1:10" x14ac:dyDescent="0.25">
      <c r="A1333" s="126">
        <v>1311</v>
      </c>
      <c r="B1333" s="119"/>
      <c r="C1333" s="136">
        <f>_xll.mirGetDate(C1332,"1D","FOLLOWING",D$12,"NORMAL")</f>
        <v>44321</v>
      </c>
      <c r="D1333" s="20">
        <f>_xll.mirGetDate(C1333,D$17,"Following",D$12,"Normal")</f>
        <v>44322</v>
      </c>
      <c r="E1333" s="134">
        <f ca="1"/>
        <v>1.490106988247797E-2</v>
      </c>
      <c r="F1333" s="7" t="s">
        <v>3</v>
      </c>
      <c r="G1333" s="136">
        <f t="shared" si="20"/>
        <v>44321</v>
      </c>
      <c r="H1333" s="20">
        <f>_xll.mirGetDate(G1333,H$17,"Following",H$12,"Normal")</f>
        <v>44413</v>
      </c>
      <c r="I1333" s="134">
        <f ca="1"/>
        <v>1.8991962229570777E-2</v>
      </c>
      <c r="J1333" s="120" t="s">
        <v>3</v>
      </c>
    </row>
    <row r="1334" spans="1:10" x14ac:dyDescent="0.25">
      <c r="A1334" s="126">
        <v>1312</v>
      </c>
      <c r="B1334" s="119"/>
      <c r="C1334" s="136">
        <f>_xll.mirGetDate(C1333,"1D","FOLLOWING",D$12,"NORMAL")</f>
        <v>44322</v>
      </c>
      <c r="D1334" s="20">
        <f>_xll.mirGetDate(C1334,D$17,"Following",D$12,"Normal")</f>
        <v>44323</v>
      </c>
      <c r="E1334" s="134">
        <f ca="1"/>
        <v>1.4904235038619922E-2</v>
      </c>
      <c r="F1334" s="7" t="s">
        <v>3</v>
      </c>
      <c r="G1334" s="136">
        <f t="shared" si="20"/>
        <v>44322</v>
      </c>
      <c r="H1334" s="20">
        <f>_xll.mirGetDate(G1334,H$17,"Following",H$12,"Normal")</f>
        <v>44414</v>
      </c>
      <c r="I1334" s="134">
        <f ca="1"/>
        <v>1.8996395970972697E-2</v>
      </c>
      <c r="J1334" s="120" t="s">
        <v>3</v>
      </c>
    </row>
    <row r="1335" spans="1:10" x14ac:dyDescent="0.25">
      <c r="A1335" s="126">
        <v>1313</v>
      </c>
      <c r="B1335" s="119"/>
      <c r="C1335" s="136">
        <f>_xll.mirGetDate(C1334,"1D","FOLLOWING",D$12,"NORMAL")</f>
        <v>44323</v>
      </c>
      <c r="D1335" s="20">
        <f>_xll.mirGetDate(C1335,D$17,"Following",D$12,"Normal")</f>
        <v>44326</v>
      </c>
      <c r="E1335" s="134">
        <f ca="1"/>
        <v>1.491116045853428E-2</v>
      </c>
      <c r="F1335" s="7" t="s">
        <v>3</v>
      </c>
      <c r="G1335" s="136">
        <f t="shared" si="20"/>
        <v>44323</v>
      </c>
      <c r="H1335" s="20">
        <f>_xll.mirGetDate(G1335,H$17,"Following",H$12,"Normal")</f>
        <v>44417</v>
      </c>
      <c r="I1335" s="134">
        <f ca="1"/>
        <v>1.9000839372208082E-2</v>
      </c>
      <c r="J1335" s="120" t="s">
        <v>3</v>
      </c>
    </row>
    <row r="1336" spans="1:10" x14ac:dyDescent="0.25">
      <c r="A1336" s="126">
        <v>1314</v>
      </c>
      <c r="B1336" s="119"/>
      <c r="C1336" s="136">
        <f>_xll.mirGetDate(C1335,"1D","FOLLOWING",D$12,"NORMAL")</f>
        <v>44326</v>
      </c>
      <c r="D1336" s="20">
        <f>_xll.mirGetDate(C1336,D$17,"Following",D$12,"Normal")</f>
        <v>44327</v>
      </c>
      <c r="E1336" s="134">
        <f ca="1"/>
        <v>1.4916828252611531E-2</v>
      </c>
      <c r="F1336" s="7" t="s">
        <v>3</v>
      </c>
      <c r="G1336" s="136">
        <f t="shared" si="20"/>
        <v>44326</v>
      </c>
      <c r="H1336" s="20">
        <f>_xll.mirGetDate(G1336,H$17,"Following",H$12,"Normal")</f>
        <v>44418</v>
      </c>
      <c r="I1336" s="134">
        <f ca="1"/>
        <v>1.9014228832494071E-2</v>
      </c>
      <c r="J1336" s="120" t="s">
        <v>3</v>
      </c>
    </row>
    <row r="1337" spans="1:10" x14ac:dyDescent="0.25">
      <c r="A1337" s="126">
        <v>1315</v>
      </c>
      <c r="B1337" s="119"/>
      <c r="C1337" s="136">
        <f>_xll.mirGetDate(C1336,"1D","FOLLOWING",D$12,"NORMAL")</f>
        <v>44327</v>
      </c>
      <c r="D1337" s="20">
        <f>_xll.mirGetDate(C1337,D$17,"Following",D$12,"Normal")</f>
        <v>44328</v>
      </c>
      <c r="E1337" s="134">
        <f ca="1"/>
        <v>1.49199596981896E-2</v>
      </c>
      <c r="F1337" s="7" t="s">
        <v>3</v>
      </c>
      <c r="G1337" s="136">
        <f t="shared" si="20"/>
        <v>44327</v>
      </c>
      <c r="H1337" s="20">
        <f>_xll.mirGetDate(G1337,H$17,"Following",H$12,"Normal")</f>
        <v>44419</v>
      </c>
      <c r="I1337" s="134">
        <f ca="1"/>
        <v>1.9018712170642375E-2</v>
      </c>
      <c r="J1337" s="120" t="s">
        <v>3</v>
      </c>
    </row>
    <row r="1338" spans="1:10" x14ac:dyDescent="0.25">
      <c r="A1338" s="126">
        <v>1316</v>
      </c>
      <c r="B1338" s="119"/>
      <c r="C1338" s="136">
        <f>_xll.mirGetDate(C1337,"1D","FOLLOWING",D$12,"NORMAL")</f>
        <v>44328</v>
      </c>
      <c r="D1338" s="20">
        <f>_xll.mirGetDate(C1338,D$17,"Following",D$12,"Normal")</f>
        <v>44329</v>
      </c>
      <c r="E1338" s="134">
        <f ca="1"/>
        <v>1.4923084398372973E-2</v>
      </c>
      <c r="F1338" s="7" t="s">
        <v>3</v>
      </c>
      <c r="G1338" s="136">
        <f t="shared" si="20"/>
        <v>44328</v>
      </c>
      <c r="H1338" s="20">
        <f>_xll.mirGetDate(G1338,H$17,"Following",H$12,"Normal")</f>
        <v>44420</v>
      </c>
      <c r="I1338" s="134">
        <f ca="1"/>
        <v>1.902320581741368E-2</v>
      </c>
      <c r="J1338" s="120" t="s">
        <v>3</v>
      </c>
    </row>
    <row r="1339" spans="1:10" x14ac:dyDescent="0.25">
      <c r="A1339" s="126">
        <v>1317</v>
      </c>
      <c r="B1339" s="119"/>
      <c r="C1339" s="136">
        <f>_xll.mirGetDate(C1338,"1D","FOLLOWING",D$12,"NORMAL")</f>
        <v>44329</v>
      </c>
      <c r="D1339" s="20">
        <f>_xll.mirGetDate(C1339,D$17,"Following",D$12,"Normal")</f>
        <v>44330</v>
      </c>
      <c r="E1339" s="134">
        <f ca="1"/>
        <v>1.49262023521034E-2</v>
      </c>
      <c r="F1339" s="7" t="s">
        <v>3</v>
      </c>
      <c r="G1339" s="136">
        <f t="shared" si="20"/>
        <v>44329</v>
      </c>
      <c r="H1339" s="20">
        <f>_xll.mirGetDate(G1339,H$17,"Following",H$12,"Normal")</f>
        <v>44421</v>
      </c>
      <c r="I1339" s="134">
        <f ca="1"/>
        <v>1.9027709902565894E-2</v>
      </c>
      <c r="J1339" s="120" t="s">
        <v>3</v>
      </c>
    </row>
    <row r="1340" spans="1:10" x14ac:dyDescent="0.25">
      <c r="A1340" s="126">
        <v>1318</v>
      </c>
      <c r="B1340" s="119"/>
      <c r="C1340" s="136">
        <f>_xll.mirGetDate(C1339,"1D","FOLLOWING",D$12,"NORMAL")</f>
        <v>44330</v>
      </c>
      <c r="D1340" s="20">
        <f>_xll.mirGetDate(C1340,D$17,"Following",D$12,"Normal")</f>
        <v>44333</v>
      </c>
      <c r="E1340" s="134">
        <f ca="1"/>
        <v>1.4933035155443046E-2</v>
      </c>
      <c r="F1340" s="7" t="s">
        <v>3</v>
      </c>
      <c r="G1340" s="136">
        <f t="shared" si="20"/>
        <v>44330</v>
      </c>
      <c r="H1340" s="20">
        <f>_xll.mirGetDate(G1340,H$17,"Following",H$12,"Normal")</f>
        <v>44424</v>
      </c>
      <c r="I1340" s="134">
        <f ca="1"/>
        <v>1.9032224555856927E-2</v>
      </c>
      <c r="J1340" s="120" t="s">
        <v>3</v>
      </c>
    </row>
    <row r="1341" spans="1:10" x14ac:dyDescent="0.25">
      <c r="A1341" s="126">
        <v>1319</v>
      </c>
      <c r="B1341" s="119"/>
      <c r="C1341" s="136">
        <f>_xll.mirGetDate(C1340,"1D","FOLLOWING",D$12,"NORMAL")</f>
        <v>44333</v>
      </c>
      <c r="D1341" s="20">
        <f>_xll.mirGetDate(C1341,D$17,"Following",D$12,"Normal")</f>
        <v>44334</v>
      </c>
      <c r="E1341" s="134">
        <f ca="1"/>
        <v>1.4938606681666907E-2</v>
      </c>
      <c r="F1341" s="7" t="s">
        <v>3</v>
      </c>
      <c r="G1341" s="136">
        <f t="shared" si="20"/>
        <v>44333</v>
      </c>
      <c r="H1341" s="20">
        <f>_xll.mirGetDate(G1341,H$17,"Following",H$12,"Normal")</f>
        <v>44425</v>
      </c>
      <c r="I1341" s="134">
        <f ca="1"/>
        <v>1.9045833222142008E-2</v>
      </c>
      <c r="J1341" s="120" t="s">
        <v>3</v>
      </c>
    </row>
    <row r="1342" spans="1:10" x14ac:dyDescent="0.25">
      <c r="A1342" s="126">
        <v>1320</v>
      </c>
      <c r="B1342" s="119"/>
      <c r="C1342" s="136">
        <f>_xll.mirGetDate(C1341,"1D","FOLLOWING",D$12,"NORMAL")</f>
        <v>44334</v>
      </c>
      <c r="D1342" s="20">
        <f>_xll.mirGetDate(C1342,D$17,"Following",D$12,"Normal")</f>
        <v>44335</v>
      </c>
      <c r="E1342" s="134">
        <f ca="1"/>
        <v>1.4941690887362524E-2</v>
      </c>
      <c r="F1342" s="7" t="s">
        <v>3</v>
      </c>
      <c r="G1342" s="136">
        <f t="shared" si="20"/>
        <v>44334</v>
      </c>
      <c r="H1342" s="20">
        <f>_xll.mirGetDate(G1342,H$17,"Following",H$12,"Normal")</f>
        <v>44426</v>
      </c>
      <c r="I1342" s="134">
        <f ca="1"/>
        <v>1.9050391445567392E-2</v>
      </c>
      <c r="J1342" s="120" t="s">
        <v>3</v>
      </c>
    </row>
    <row r="1343" spans="1:10" x14ac:dyDescent="0.25">
      <c r="A1343" s="126">
        <v>1321</v>
      </c>
      <c r="B1343" s="119"/>
      <c r="C1343" s="136">
        <f>_xll.mirGetDate(C1342,"1D","FOLLOWING",D$12,"NORMAL")</f>
        <v>44335</v>
      </c>
      <c r="D1343" s="20">
        <f>_xll.mirGetDate(C1343,D$17,"Following",D$12,"Normal")</f>
        <v>44336</v>
      </c>
      <c r="E1343" s="134">
        <f ca="1"/>
        <v>1.4944768340210296E-2</v>
      </c>
      <c r="F1343" s="7" t="s">
        <v>3</v>
      </c>
      <c r="G1343" s="136">
        <f t="shared" si="20"/>
        <v>44335</v>
      </c>
      <c r="H1343" s="20">
        <f>_xll.mirGetDate(G1343,H$17,"Following",H$12,"Normal")</f>
        <v>44427</v>
      </c>
      <c r="I1343" s="134">
        <f ca="1"/>
        <v>1.9054960885921131E-2</v>
      </c>
      <c r="J1343" s="120" t="s">
        <v>3</v>
      </c>
    </row>
    <row r="1344" spans="1:10" x14ac:dyDescent="0.25">
      <c r="A1344" s="126">
        <v>1322</v>
      </c>
      <c r="B1344" s="119"/>
      <c r="C1344" s="136">
        <f>_xll.mirGetDate(C1343,"1D","FOLLOWING",D$12,"NORMAL")</f>
        <v>44336</v>
      </c>
      <c r="D1344" s="20">
        <f>_xll.mirGetDate(C1344,D$17,"Following",D$12,"Normal")</f>
        <v>44337</v>
      </c>
      <c r="E1344" s="134">
        <f ca="1"/>
        <v>1.4947839039110233E-2</v>
      </c>
      <c r="F1344" s="7" t="s">
        <v>3</v>
      </c>
      <c r="G1344" s="136">
        <f t="shared" si="20"/>
        <v>44336</v>
      </c>
      <c r="H1344" s="20">
        <f>_xll.mirGetDate(G1344,H$17,"Following",H$12,"Normal")</f>
        <v>44428</v>
      </c>
      <c r="I1344" s="134">
        <f ca="1"/>
        <v>1.9059541672961144E-2</v>
      </c>
      <c r="J1344" s="120" t="s">
        <v>3</v>
      </c>
    </row>
    <row r="1345" spans="1:10" x14ac:dyDescent="0.25">
      <c r="A1345" s="126">
        <v>1323</v>
      </c>
      <c r="B1345" s="119"/>
      <c r="C1345" s="136">
        <f>_xll.mirGetDate(C1344,"1D","FOLLOWING",D$12,"NORMAL")</f>
        <v>44337</v>
      </c>
      <c r="D1345" s="20">
        <f>_xll.mirGetDate(C1345,D$17,"Following",D$12,"Normal")</f>
        <v>44340</v>
      </c>
      <c r="E1345" s="134">
        <f ca="1"/>
        <v>1.4954579096339382E-2</v>
      </c>
      <c r="F1345" s="7" t="s">
        <v>3</v>
      </c>
      <c r="G1345" s="136">
        <f t="shared" si="20"/>
        <v>44337</v>
      </c>
      <c r="H1345" s="20">
        <f>_xll.mirGetDate(G1345,H$17,"Following",H$12,"Normal")</f>
        <v>44431</v>
      </c>
      <c r="I1345" s="134">
        <f ca="1"/>
        <v>1.9064133936445328E-2</v>
      </c>
      <c r="J1345" s="120" t="s">
        <v>3</v>
      </c>
    </row>
    <row r="1346" spans="1:10" x14ac:dyDescent="0.25">
      <c r="A1346" s="126">
        <v>1324</v>
      </c>
      <c r="B1346" s="119"/>
      <c r="C1346" s="136">
        <f>_xll.mirGetDate(C1345,"1D","FOLLOWING",D$12,"NORMAL")</f>
        <v>44340</v>
      </c>
      <c r="D1346" s="20">
        <f>_xll.mirGetDate(C1346,D$17,"Following",D$12,"Normal")</f>
        <v>44341</v>
      </c>
      <c r="E1346" s="134">
        <f ca="1"/>
        <v>1.4959979771289824E-2</v>
      </c>
      <c r="F1346" s="7" t="s">
        <v>3</v>
      </c>
      <c r="G1346" s="136">
        <f t="shared" si="20"/>
        <v>44340</v>
      </c>
      <c r="H1346" s="20">
        <f>_xll.mirGetDate(G1346,H$17,"Following",H$12,"Normal")</f>
        <v>44432</v>
      </c>
      <c r="I1346" s="134">
        <f ca="1"/>
        <v>1.9077980883142019E-2</v>
      </c>
      <c r="J1346" s="120" t="s">
        <v>3</v>
      </c>
    </row>
    <row r="1347" spans="1:10" x14ac:dyDescent="0.25">
      <c r="A1347" s="126">
        <v>1325</v>
      </c>
      <c r="B1347" s="119"/>
      <c r="C1347" s="136">
        <f>_xll.mirGetDate(C1346,"1D","FOLLOWING",D$12,"NORMAL")</f>
        <v>44341</v>
      </c>
      <c r="D1347" s="20">
        <f>_xll.mirGetDate(C1347,D$17,"Following",D$12,"Normal")</f>
        <v>44342</v>
      </c>
      <c r="E1347" s="134">
        <f ca="1"/>
        <v>1.4962880513811221E-2</v>
      </c>
      <c r="F1347" s="7" t="s">
        <v>3</v>
      </c>
      <c r="G1347" s="136">
        <f t="shared" si="20"/>
        <v>44341</v>
      </c>
      <c r="H1347" s="20">
        <f>_xll.mirGetDate(G1347,H$17,"Following",H$12,"Normal")</f>
        <v>44433</v>
      </c>
      <c r="I1347" s="134">
        <f ca="1"/>
        <v>1.908262593200772E-2</v>
      </c>
      <c r="J1347" s="120" t="s">
        <v>3</v>
      </c>
    </row>
    <row r="1348" spans="1:10" x14ac:dyDescent="0.25">
      <c r="A1348" s="126">
        <v>1326</v>
      </c>
      <c r="B1348" s="119"/>
      <c r="C1348" s="136">
        <f>_xll.mirGetDate(C1347,"1D","FOLLOWING",D$12,"NORMAL")</f>
        <v>44342</v>
      </c>
      <c r="D1348" s="20">
        <f>_xll.mirGetDate(C1348,D$17,"Following",D$12,"Normal")</f>
        <v>44343</v>
      </c>
      <c r="E1348" s="134">
        <f ca="1"/>
        <v>1.49657937518668E-2</v>
      </c>
      <c r="F1348" s="7" t="s">
        <v>3</v>
      </c>
      <c r="G1348" s="136">
        <f t="shared" si="20"/>
        <v>44342</v>
      </c>
      <c r="H1348" s="20">
        <f>_xll.mirGetDate(G1348,H$17,"Following",H$12,"Normal")</f>
        <v>44434</v>
      </c>
      <c r="I1348" s="134">
        <f ca="1"/>
        <v>1.9087293861270584E-2</v>
      </c>
      <c r="J1348" s="120" t="s">
        <v>3</v>
      </c>
    </row>
    <row r="1349" spans="1:10" x14ac:dyDescent="0.25">
      <c r="A1349" s="126">
        <v>1327</v>
      </c>
      <c r="B1349" s="119"/>
      <c r="C1349" s="136">
        <f>_xll.mirGetDate(C1348,"1D","FOLLOWING",D$12,"NORMAL")</f>
        <v>44343</v>
      </c>
      <c r="D1349" s="20">
        <f>_xll.mirGetDate(C1349,D$17,"Following",D$12,"Normal")</f>
        <v>44344</v>
      </c>
      <c r="E1349" s="134">
        <f ca="1"/>
        <v>1.4968719487435824E-2</v>
      </c>
      <c r="F1349" s="7" t="s">
        <v>3</v>
      </c>
      <c r="G1349" s="136">
        <f t="shared" si="20"/>
        <v>44343</v>
      </c>
      <c r="H1349" s="20">
        <f>_xll.mirGetDate(G1349,H$17,"Following",H$12,"Normal")</f>
        <v>44435</v>
      </c>
      <c r="I1349" s="134">
        <f ca="1"/>
        <v>1.9091984187356477E-2</v>
      </c>
      <c r="J1349" s="120" t="s">
        <v>3</v>
      </c>
    </row>
    <row r="1350" spans="1:10" x14ac:dyDescent="0.25">
      <c r="A1350" s="126">
        <v>1328</v>
      </c>
      <c r="B1350" s="119"/>
      <c r="C1350" s="136">
        <f>_xll.mirGetDate(C1349,"1D","FOLLOWING",D$12,"NORMAL")</f>
        <v>44344</v>
      </c>
      <c r="D1350" s="20">
        <f>_xll.mirGetDate(C1350,D$17,"Following",D$12,"Normal")</f>
        <v>44348</v>
      </c>
      <c r="E1350" s="134">
        <f ca="1"/>
        <v>1.497703087305796E-2</v>
      </c>
      <c r="F1350" s="7" t="s">
        <v>3</v>
      </c>
      <c r="G1350" s="136">
        <f t="shared" si="20"/>
        <v>44344</v>
      </c>
      <c r="H1350" s="20">
        <f>_xll.mirGetDate(G1350,H$17,"Following",H$12,"Normal")</f>
        <v>44438</v>
      </c>
      <c r="I1350" s="134">
        <f ca="1"/>
        <v>1.9096696426691265E-2</v>
      </c>
      <c r="J1350" s="120" t="s">
        <v>3</v>
      </c>
    </row>
    <row r="1351" spans="1:10" x14ac:dyDescent="0.25">
      <c r="A1351" s="126">
        <v>1329</v>
      </c>
      <c r="B1351" s="119"/>
      <c r="C1351" s="136">
        <f>_xll.mirGetDate(C1350,"1D","FOLLOWING",D$12,"NORMAL")</f>
        <v>44348</v>
      </c>
      <c r="D1351" s="20">
        <f>_xll.mirGetDate(C1351,D$17,"Following",D$12,"Normal")</f>
        <v>44349</v>
      </c>
      <c r="E1351" s="134">
        <f ca="1"/>
        <v>1.498353570289513E-2</v>
      </c>
      <c r="F1351" s="7" t="s">
        <v>3</v>
      </c>
      <c r="G1351" s="136">
        <f t="shared" si="20"/>
        <v>44348</v>
      </c>
      <c r="H1351" s="20">
        <f>_xll.mirGetDate(G1351,H$17,"Following",H$12,"Normal")</f>
        <v>44440</v>
      </c>
      <c r="I1351" s="134">
        <f ca="1"/>
        <v>1.9115754845036755E-2</v>
      </c>
      <c r="J1351" s="120" t="s">
        <v>3</v>
      </c>
    </row>
    <row r="1352" spans="1:10" x14ac:dyDescent="0.25">
      <c r="A1352" s="126">
        <v>1330</v>
      </c>
      <c r="B1352" s="119"/>
      <c r="C1352" s="136">
        <f>_xll.mirGetDate(C1351,"1D","FOLLOWING",D$12,"NORMAL")</f>
        <v>44349</v>
      </c>
      <c r="D1352" s="20">
        <f>_xll.mirGetDate(C1352,D$17,"Following",D$12,"Normal")</f>
        <v>44350</v>
      </c>
      <c r="E1352" s="134">
        <f ca="1"/>
        <v>1.4986536468446377E-2</v>
      </c>
      <c r="F1352" s="7" t="s">
        <v>3</v>
      </c>
      <c r="G1352" s="136">
        <f t="shared" si="20"/>
        <v>44349</v>
      </c>
      <c r="H1352" s="20">
        <f>_xll.mirGetDate(G1352,H$17,"Following",H$12,"Normal")</f>
        <v>44441</v>
      </c>
      <c r="I1352" s="134">
        <f ca="1"/>
        <v>1.9120569397004052E-2</v>
      </c>
      <c r="J1352" s="120" t="s">
        <v>3</v>
      </c>
    </row>
    <row r="1353" spans="1:10" x14ac:dyDescent="0.25">
      <c r="A1353" s="126">
        <v>1331</v>
      </c>
      <c r="B1353" s="119"/>
      <c r="C1353" s="136">
        <f>_xll.mirGetDate(C1352,"1D","FOLLOWING",D$12,"NORMAL")</f>
        <v>44350</v>
      </c>
      <c r="D1353" s="20">
        <f>_xll.mirGetDate(C1353,D$17,"Following",D$12,"Normal")</f>
        <v>44351</v>
      </c>
      <c r="E1353" s="134">
        <f ca="1"/>
        <v>1.498954974639833E-2</v>
      </c>
      <c r="F1353" s="7" t="s">
        <v>3</v>
      </c>
      <c r="G1353" s="136">
        <f t="shared" si="20"/>
        <v>44350</v>
      </c>
      <c r="H1353" s="20">
        <f>_xll.mirGetDate(G1353,H$17,"Following",H$12,"Normal")</f>
        <v>44442</v>
      </c>
      <c r="I1353" s="134">
        <f ca="1"/>
        <v>1.9125402960775459E-2</v>
      </c>
      <c r="J1353" s="120" t="s">
        <v>3</v>
      </c>
    </row>
    <row r="1354" spans="1:10" x14ac:dyDescent="0.25">
      <c r="A1354" s="126">
        <v>1332</v>
      </c>
      <c r="B1354" s="119"/>
      <c r="C1354" s="136">
        <f>_xll.mirGetDate(C1353,"1D","FOLLOWING",D$12,"NORMAL")</f>
        <v>44351</v>
      </c>
      <c r="D1354" s="20">
        <f>_xll.mirGetDate(C1354,D$17,"Following",D$12,"Normal")</f>
        <v>44354</v>
      </c>
      <c r="E1354" s="134">
        <f ca="1"/>
        <v>1.4996242664508195E-2</v>
      </c>
      <c r="F1354" s="7" t="s">
        <v>3</v>
      </c>
      <c r="G1354" s="136">
        <f t="shared" si="20"/>
        <v>44351</v>
      </c>
      <c r="H1354" s="20">
        <f>_xll.mirGetDate(G1354,H$17,"Following",H$12,"Normal")</f>
        <v>44446</v>
      </c>
      <c r="I1354" s="134">
        <f ca="1"/>
        <v>1.9130255052776837E-2</v>
      </c>
      <c r="J1354" s="120" t="s">
        <v>3</v>
      </c>
    </row>
    <row r="1355" spans="1:10" x14ac:dyDescent="0.25">
      <c r="A1355" s="126">
        <v>1333</v>
      </c>
      <c r="B1355" s="119"/>
      <c r="C1355" s="136">
        <f>_xll.mirGetDate(C1354,"1D","FOLLOWING",D$12,"NORMAL")</f>
        <v>44354</v>
      </c>
      <c r="D1355" s="20">
        <f>_xll.mirGetDate(C1355,D$17,"Following",D$12,"Normal")</f>
        <v>44355</v>
      </c>
      <c r="E1355" s="134">
        <f ca="1"/>
        <v>1.5001728025019076E-2</v>
      </c>
      <c r="F1355" s="7" t="s">
        <v>3</v>
      </c>
      <c r="G1355" s="136">
        <f t="shared" si="20"/>
        <v>44354</v>
      </c>
      <c r="H1355" s="20">
        <f>_xll.mirGetDate(G1355,H$17,"Following",H$12,"Normal")</f>
        <v>44446</v>
      </c>
      <c r="I1355" s="134">
        <f ca="1"/>
        <v>1.9144917662419519E-2</v>
      </c>
      <c r="J1355" s="120" t="s">
        <v>3</v>
      </c>
    </row>
    <row r="1356" spans="1:10" x14ac:dyDescent="0.25">
      <c r="A1356" s="126">
        <v>1334</v>
      </c>
      <c r="B1356" s="119"/>
      <c r="C1356" s="136">
        <f>_xll.mirGetDate(C1355,"1D","FOLLOWING",D$12,"NORMAL")</f>
        <v>44355</v>
      </c>
      <c r="D1356" s="20">
        <f>_xll.mirGetDate(C1356,D$17,"Following",D$12,"Normal")</f>
        <v>44356</v>
      </c>
      <c r="E1356" s="134">
        <f ca="1"/>
        <v>1.5004803897060947E-2</v>
      </c>
      <c r="F1356" s="7" t="s">
        <v>3</v>
      </c>
      <c r="G1356" s="136">
        <f t="shared" si="20"/>
        <v>44355</v>
      </c>
      <c r="H1356" s="20">
        <f>_xll.mirGetDate(G1356,H$17,"Following",H$12,"Normal")</f>
        <v>44447</v>
      </c>
      <c r="I1356" s="134">
        <f ca="1"/>
        <v>1.9149839031599485E-2</v>
      </c>
      <c r="J1356" s="120" t="s">
        <v>3</v>
      </c>
    </row>
    <row r="1357" spans="1:10" x14ac:dyDescent="0.25">
      <c r="A1357" s="126">
        <v>1335</v>
      </c>
      <c r="B1357" s="119"/>
      <c r="C1357" s="136">
        <f>_xll.mirGetDate(C1356,"1D","FOLLOWING",D$12,"NORMAL")</f>
        <v>44356</v>
      </c>
      <c r="D1357" s="20">
        <f>_xll.mirGetDate(C1357,D$17,"Following",D$12,"Normal")</f>
        <v>44357</v>
      </c>
      <c r="E1357" s="134">
        <f ca="1"/>
        <v>1.5007892294274114E-2</v>
      </c>
      <c r="F1357" s="7" t="s">
        <v>3</v>
      </c>
      <c r="G1357" s="136">
        <f t="shared" si="20"/>
        <v>44356</v>
      </c>
      <c r="H1357" s="20">
        <f>_xll.mirGetDate(G1357,H$17,"Following",H$12,"Normal")</f>
        <v>44448</v>
      </c>
      <c r="I1357" s="134">
        <f ca="1"/>
        <v>1.9154776511138772E-2</v>
      </c>
      <c r="J1357" s="120" t="s">
        <v>3</v>
      </c>
    </row>
    <row r="1358" spans="1:10" x14ac:dyDescent="0.25">
      <c r="A1358" s="126">
        <v>1336</v>
      </c>
      <c r="B1358" s="119"/>
      <c r="C1358" s="136">
        <f>_xll.mirGetDate(C1357,"1D","FOLLOWING",D$12,"NORMAL")</f>
        <v>44357</v>
      </c>
      <c r="D1358" s="20">
        <f>_xll.mirGetDate(C1358,D$17,"Following",D$12,"Normal")</f>
        <v>44358</v>
      </c>
      <c r="E1358" s="134">
        <f ca="1"/>
        <v>1.5010993218995915E-2</v>
      </c>
      <c r="F1358" s="7" t="s">
        <v>3</v>
      </c>
      <c r="G1358" s="136">
        <f t="shared" si="20"/>
        <v>44357</v>
      </c>
      <c r="H1358" s="20">
        <f>_xll.mirGetDate(G1358,H$17,"Following",H$12,"Normal")</f>
        <v>44449</v>
      </c>
      <c r="I1358" s="134">
        <f ca="1"/>
        <v>1.9159729617463241E-2</v>
      </c>
      <c r="J1358" s="120" t="s">
        <v>3</v>
      </c>
    </row>
    <row r="1359" spans="1:10" x14ac:dyDescent="0.25">
      <c r="A1359" s="126">
        <v>1337</v>
      </c>
      <c r="B1359" s="119"/>
      <c r="C1359" s="136">
        <f>_xll.mirGetDate(C1358,"1D","FOLLOWING",D$12,"NORMAL")</f>
        <v>44358</v>
      </c>
      <c r="D1359" s="20">
        <f>_xll.mirGetDate(C1359,D$17,"Following",D$12,"Normal")</f>
        <v>44361</v>
      </c>
      <c r="E1359" s="134">
        <f ca="1"/>
        <v>1.5017863282737272E-2</v>
      </c>
      <c r="F1359" s="7" t="s">
        <v>3</v>
      </c>
      <c r="G1359" s="136">
        <f t="shared" si="20"/>
        <v>44358</v>
      </c>
      <c r="H1359" s="20">
        <f>_xll.mirGetDate(G1359,H$17,"Following",H$12,"Normal")</f>
        <v>44452</v>
      </c>
      <c r="I1359" s="134">
        <f ca="1"/>
        <v>1.9164697866998769E-2</v>
      </c>
      <c r="J1359" s="120" t="s">
        <v>3</v>
      </c>
    </row>
    <row r="1360" spans="1:10" x14ac:dyDescent="0.25">
      <c r="A1360" s="126">
        <v>1338</v>
      </c>
      <c r="B1360" s="119"/>
      <c r="C1360" s="136">
        <f>_xll.mirGetDate(C1359,"1D","FOLLOWING",D$12,"NORMAL")</f>
        <v>44361</v>
      </c>
      <c r="D1360" s="20">
        <f>_xll.mirGetDate(C1360,D$17,"Following",D$12,"Normal")</f>
        <v>44362</v>
      </c>
      <c r="E1360" s="134">
        <f ca="1"/>
        <v>1.5023522233861509E-2</v>
      </c>
      <c r="F1360" s="7" t="s">
        <v>3</v>
      </c>
      <c r="G1360" s="136">
        <f t="shared" si="20"/>
        <v>44361</v>
      </c>
      <c r="H1360" s="20">
        <f>_xll.mirGetDate(G1360,H$17,"Following",H$12,"Normal")</f>
        <v>44453</v>
      </c>
      <c r="I1360" s="134">
        <f ca="1"/>
        <v>1.917968863913036E-2</v>
      </c>
      <c r="J1360" s="120" t="s">
        <v>3</v>
      </c>
    </row>
    <row r="1361" spans="1:10" x14ac:dyDescent="0.25">
      <c r="A1361" s="126">
        <v>1339</v>
      </c>
      <c r="B1361" s="119"/>
      <c r="C1361" s="136">
        <f>_xll.mirGetDate(C1360,"1D","FOLLOWING",D$12,"NORMAL")</f>
        <v>44362</v>
      </c>
      <c r="D1361" s="20">
        <f>_xll.mirGetDate(C1361,D$17,"Following",D$12,"Normal")</f>
        <v>44363</v>
      </c>
      <c r="E1361" s="134">
        <f ca="1"/>
        <v>1.5026685827563706E-2</v>
      </c>
      <c r="F1361" s="7" t="s">
        <v>3</v>
      </c>
      <c r="G1361" s="136">
        <f t="shared" si="20"/>
        <v>44362</v>
      </c>
      <c r="H1361" s="20">
        <f>_xll.mirGetDate(G1361,H$17,"Following",H$12,"Normal")</f>
        <v>44454</v>
      </c>
      <c r="I1361" s="134">
        <f ca="1"/>
        <v>1.9184712625768791E-2</v>
      </c>
      <c r="J1361" s="120" t="s">
        <v>3</v>
      </c>
    </row>
    <row r="1362" spans="1:10" x14ac:dyDescent="0.25">
      <c r="A1362" s="126">
        <v>1340</v>
      </c>
      <c r="B1362" s="119"/>
      <c r="C1362" s="136">
        <f>_xll.mirGetDate(C1361,"1D","FOLLOWING",D$12,"NORMAL")</f>
        <v>44363</v>
      </c>
      <c r="D1362" s="20">
        <f>_xll.mirGetDate(C1362,D$17,"Following",D$12,"Normal")</f>
        <v>44364</v>
      </c>
      <c r="E1362" s="134">
        <f ca="1"/>
        <v>1.5029861961244576E-2</v>
      </c>
      <c r="F1362" s="7" t="s">
        <v>3</v>
      </c>
      <c r="G1362" s="136">
        <f t="shared" si="20"/>
        <v>44363</v>
      </c>
      <c r="H1362" s="20">
        <f>_xll.mirGetDate(G1362,H$17,"Following",H$12,"Normal")</f>
        <v>44455</v>
      </c>
      <c r="I1362" s="134">
        <f ca="1"/>
        <v>1.9189749337747617E-2</v>
      </c>
      <c r="J1362" s="120" t="s">
        <v>3</v>
      </c>
    </row>
    <row r="1363" spans="1:10" x14ac:dyDescent="0.25">
      <c r="A1363" s="126">
        <v>1341</v>
      </c>
      <c r="B1363" s="119"/>
      <c r="C1363" s="136">
        <f>_xll.mirGetDate(C1362,"1D","FOLLOWING",D$12,"NORMAL")</f>
        <v>44364</v>
      </c>
      <c r="D1363" s="20">
        <f>_xll.mirGetDate(C1363,D$17,"Following",D$12,"Normal")</f>
        <v>44365</v>
      </c>
      <c r="E1363" s="134">
        <f ca="1"/>
        <v>1.5033050637442849E-2</v>
      </c>
      <c r="F1363" s="7" t="s">
        <v>3</v>
      </c>
      <c r="G1363" s="136">
        <f t="shared" si="20"/>
        <v>44364</v>
      </c>
      <c r="H1363" s="20">
        <f>_xll.mirGetDate(G1363,H$17,"Following",H$12,"Normal")</f>
        <v>44456</v>
      </c>
      <c r="I1363" s="134">
        <f ca="1"/>
        <v>1.9194798291492704E-2</v>
      </c>
      <c r="J1363" s="120" t="s">
        <v>3</v>
      </c>
    </row>
    <row r="1364" spans="1:10" x14ac:dyDescent="0.25">
      <c r="A1364" s="126">
        <v>1342</v>
      </c>
      <c r="B1364" s="119"/>
      <c r="C1364" s="136">
        <f>_xll.mirGetDate(C1363,"1D","FOLLOWING",D$12,"NORMAL")</f>
        <v>44365</v>
      </c>
      <c r="D1364" s="20">
        <f>_xll.mirGetDate(C1364,D$17,"Following",D$12,"Normal")</f>
        <v>44368</v>
      </c>
      <c r="E1364" s="134">
        <f ca="1"/>
        <v>1.5040098110531164E-2</v>
      </c>
      <c r="F1364" s="7" t="s">
        <v>3</v>
      </c>
      <c r="G1364" s="136">
        <f t="shared" si="20"/>
        <v>44365</v>
      </c>
      <c r="H1364" s="20">
        <f>_xll.mirGetDate(G1364,H$17,"Following",H$12,"Normal")</f>
        <v>44459</v>
      </c>
      <c r="I1364" s="134">
        <f ca="1"/>
        <v>1.9199859003429937E-2</v>
      </c>
      <c r="J1364" s="120" t="s">
        <v>3</v>
      </c>
    </row>
    <row r="1365" spans="1:10" x14ac:dyDescent="0.25">
      <c r="A1365" s="126">
        <v>1343</v>
      </c>
      <c r="B1365" s="119"/>
      <c r="C1365" s="136">
        <f>_xll.mirGetDate(C1364,"1D","FOLLOWING",D$12,"NORMAL")</f>
        <v>44368</v>
      </c>
      <c r="D1365" s="20">
        <f>_xll.mirGetDate(C1365,D$17,"Following",D$12,"Normal")</f>
        <v>44369</v>
      </c>
      <c r="E1365" s="134">
        <f ca="1"/>
        <v>1.5045930808452603E-2</v>
      </c>
      <c r="F1365" s="7" t="s">
        <v>3</v>
      </c>
      <c r="G1365" s="136">
        <f t="shared" si="20"/>
        <v>44368</v>
      </c>
      <c r="H1365" s="20">
        <f>_xll.mirGetDate(G1365,H$17,"Following",H$12,"Normal")</f>
        <v>44460</v>
      </c>
      <c r="I1365" s="134">
        <f ca="1"/>
        <v>1.9215106852653097E-2</v>
      </c>
      <c r="J1365" s="120" t="s">
        <v>3</v>
      </c>
    </row>
    <row r="1366" spans="1:10" x14ac:dyDescent="0.25">
      <c r="A1366" s="126">
        <v>1344</v>
      </c>
      <c r="B1366" s="119"/>
      <c r="C1366" s="136">
        <f>_xll.mirGetDate(C1365,"1D","FOLLOWING",D$12,"NORMAL")</f>
        <v>44369</v>
      </c>
      <c r="D1366" s="20">
        <f>_xll.mirGetDate(C1366,D$17,"Following",D$12,"Normal")</f>
        <v>44370</v>
      </c>
      <c r="E1366" s="134">
        <f ca="1"/>
        <v>1.5049182228790387E-2</v>
      </c>
      <c r="F1366" s="7" t="s">
        <v>3</v>
      </c>
      <c r="G1366" s="136">
        <f t="shared" si="20"/>
        <v>44369</v>
      </c>
      <c r="H1366" s="20">
        <f>_xll.mirGetDate(G1366,H$17,"Following",H$12,"Normal")</f>
        <v>44461</v>
      </c>
      <c r="I1366" s="134">
        <f ca="1"/>
        <v>1.9220209761617542E-2</v>
      </c>
      <c r="J1366" s="120" t="s">
        <v>3</v>
      </c>
    </row>
    <row r="1367" spans="1:10" x14ac:dyDescent="0.25">
      <c r="A1367" s="126">
        <v>1345</v>
      </c>
      <c r="B1367" s="119"/>
      <c r="C1367" s="136">
        <f>_xll.mirGetDate(C1366,"1D","FOLLOWING",D$12,"NORMAL")</f>
        <v>44370</v>
      </c>
      <c r="D1367" s="20">
        <f>_xll.mirGetDate(C1367,D$17,"Following",D$12,"Normal")</f>
        <v>44371</v>
      </c>
      <c r="E1367" s="134">
        <f ca="1"/>
        <v>1.505244620411559E-2</v>
      </c>
      <c r="F1367" s="7" t="s">
        <v>3</v>
      </c>
      <c r="G1367" s="136">
        <f t="shared" si="20"/>
        <v>44370</v>
      </c>
      <c r="H1367" s="20">
        <f>_xll.mirGetDate(G1367,H$17,"Following",H$12,"Normal")</f>
        <v>44462</v>
      </c>
      <c r="I1367" s="134">
        <f ca="1"/>
        <v>1.9225322010903465E-2</v>
      </c>
      <c r="J1367" s="120" t="s">
        <v>3</v>
      </c>
    </row>
    <row r="1368" spans="1:10" x14ac:dyDescent="0.25">
      <c r="A1368" s="126">
        <v>1346</v>
      </c>
      <c r="B1368" s="119"/>
      <c r="C1368" s="136">
        <f>_xll.mirGetDate(C1367,"1D","FOLLOWING",D$12,"NORMAL")</f>
        <v>44371</v>
      </c>
      <c r="D1368" s="20">
        <f>_xll.mirGetDate(C1368,D$17,"Following",D$12,"Normal")</f>
        <v>44372</v>
      </c>
      <c r="E1368" s="134">
        <f ca="1"/>
        <v>1.5055722737005412E-2</v>
      </c>
      <c r="F1368" s="7" t="s">
        <v>3</v>
      </c>
      <c r="G1368" s="136">
        <f t="shared" ref="G1368:G1431" si="21">$C1368</f>
        <v>44371</v>
      </c>
      <c r="H1368" s="20">
        <f>_xll.mirGetDate(G1368,H$17,"Following",H$12,"Normal")</f>
        <v>44463</v>
      </c>
      <c r="I1368" s="134">
        <f ca="1"/>
        <v>1.9230443116936728E-2</v>
      </c>
      <c r="J1368" s="120" t="s">
        <v>3</v>
      </c>
    </row>
    <row r="1369" spans="1:10" x14ac:dyDescent="0.25">
      <c r="A1369" s="126">
        <v>1347</v>
      </c>
      <c r="B1369" s="119"/>
      <c r="C1369" s="136">
        <f>_xll.mirGetDate(C1368,"1D","FOLLOWING",D$12,"NORMAL")</f>
        <v>44372</v>
      </c>
      <c r="D1369" s="20">
        <f>_xll.mirGetDate(C1369,D$17,"Following",D$12,"Normal")</f>
        <v>44375</v>
      </c>
      <c r="E1369" s="134">
        <f ca="1"/>
        <v>1.5062947884362604E-2</v>
      </c>
      <c r="F1369" s="7" t="s">
        <v>3</v>
      </c>
      <c r="G1369" s="136">
        <f t="shared" si="21"/>
        <v>44372</v>
      </c>
      <c r="H1369" s="20">
        <f>_xll.mirGetDate(G1369,H$17,"Following",H$12,"Normal")</f>
        <v>44466</v>
      </c>
      <c r="I1369" s="134">
        <f ca="1"/>
        <v>1.9235572596143207E-2</v>
      </c>
      <c r="J1369" s="120" t="s">
        <v>3</v>
      </c>
    </row>
    <row r="1370" spans="1:10" x14ac:dyDescent="0.25">
      <c r="A1370" s="126">
        <v>1348</v>
      </c>
      <c r="B1370" s="119"/>
      <c r="C1370" s="136">
        <f>_xll.mirGetDate(C1369,"1D","FOLLOWING",D$12,"NORMAL")</f>
        <v>44375</v>
      </c>
      <c r="D1370" s="20">
        <f>_xll.mirGetDate(C1370,D$17,"Following",D$12,"Normal")</f>
        <v>44376</v>
      </c>
      <c r="E1370" s="134">
        <f ca="1"/>
        <v>1.506895448598191E-2</v>
      </c>
      <c r="F1370" s="7" t="s">
        <v>3</v>
      </c>
      <c r="G1370" s="136">
        <f t="shared" si="21"/>
        <v>44375</v>
      </c>
      <c r="H1370" s="20">
        <f>_xll.mirGetDate(G1370,H$17,"Following",H$12,"Normal")</f>
        <v>44467</v>
      </c>
      <c r="I1370" s="134">
        <f ca="1"/>
        <v>1.9251006437060601E-2</v>
      </c>
      <c r="J1370" s="120" t="s">
        <v>3</v>
      </c>
    </row>
    <row r="1371" spans="1:10" x14ac:dyDescent="0.25">
      <c r="A1371" s="126">
        <v>1349</v>
      </c>
      <c r="B1371" s="119"/>
      <c r="C1371" s="136">
        <f>_xll.mirGetDate(C1370,"1D","FOLLOWING",D$12,"NORMAL")</f>
        <v>44376</v>
      </c>
      <c r="D1371" s="20">
        <f>_xll.mirGetDate(C1371,D$17,"Following",D$12,"Normal")</f>
        <v>44377</v>
      </c>
      <c r="E1371" s="134">
        <f ca="1"/>
        <v>1.5072293838291759E-2</v>
      </c>
      <c r="F1371" s="7" t="s">
        <v>3</v>
      </c>
      <c r="G1371" s="136">
        <f t="shared" si="21"/>
        <v>44376</v>
      </c>
      <c r="H1371" s="20">
        <f>_xll.mirGetDate(G1371,H$17,"Following",H$12,"Normal")</f>
        <v>44468</v>
      </c>
      <c r="I1371" s="134">
        <f ca="1"/>
        <v>1.9256164573218614E-2</v>
      </c>
      <c r="J1371" s="120" t="s">
        <v>3</v>
      </c>
    </row>
    <row r="1372" spans="1:10" x14ac:dyDescent="0.25">
      <c r="A1372" s="126">
        <v>1350</v>
      </c>
      <c r="B1372" s="119"/>
      <c r="C1372" s="136">
        <f>_xll.mirGetDate(C1371,"1D","FOLLOWING",D$12,"NORMAL")</f>
        <v>44377</v>
      </c>
      <c r="D1372" s="20">
        <f>_xll.mirGetDate(C1372,D$17,"Following",D$12,"Normal")</f>
        <v>44378</v>
      </c>
      <c r="E1372" s="134">
        <f ca="1"/>
        <v>1.5075645761115884E-2</v>
      </c>
      <c r="F1372" s="7" t="s">
        <v>3</v>
      </c>
      <c r="G1372" s="136">
        <f t="shared" si="21"/>
        <v>44377</v>
      </c>
      <c r="H1372" s="20">
        <f>_xll.mirGetDate(G1372,H$17,"Following",H$12,"Normal")</f>
        <v>44469</v>
      </c>
      <c r="I1372" s="134">
        <f ca="1"/>
        <v>1.9261328664679184E-2</v>
      </c>
      <c r="J1372" s="120" t="s">
        <v>3</v>
      </c>
    </row>
    <row r="1373" spans="1:10" x14ac:dyDescent="0.25">
      <c r="A1373" s="126">
        <v>1351</v>
      </c>
      <c r="B1373" s="119"/>
      <c r="C1373" s="136">
        <f>_xll.mirGetDate(C1372,"1D","FOLLOWING",D$12,"NORMAL")</f>
        <v>44378</v>
      </c>
      <c r="D1373" s="20">
        <f>_xll.mirGetDate(C1373,D$17,"Following",D$12,"Normal")</f>
        <v>44379</v>
      </c>
      <c r="E1373" s="134">
        <f ca="1"/>
        <v>1.5079010256433408E-2</v>
      </c>
      <c r="F1373" s="7" t="s">
        <v>3</v>
      </c>
      <c r="G1373" s="136">
        <f t="shared" si="21"/>
        <v>44378</v>
      </c>
      <c r="H1373" s="20">
        <f>_xll.mirGetDate(G1373,H$17,"Following",H$12,"Normal")</f>
        <v>44470</v>
      </c>
      <c r="I1373" s="134">
        <f ca="1"/>
        <v>1.9266498227868179E-2</v>
      </c>
      <c r="J1373" s="120" t="s">
        <v>3</v>
      </c>
    </row>
    <row r="1374" spans="1:10" x14ac:dyDescent="0.25">
      <c r="A1374" s="126">
        <v>1352</v>
      </c>
      <c r="B1374" s="119"/>
      <c r="C1374" s="136">
        <f>_xll.mirGetDate(C1373,"1D","FOLLOWING",D$12,"NORMAL")</f>
        <v>44379</v>
      </c>
      <c r="D1374" s="20">
        <f>_xll.mirGetDate(C1374,D$17,"Following",D$12,"Normal")</f>
        <v>44383</v>
      </c>
      <c r="E1374" s="134">
        <f ca="1"/>
        <v>1.5088432870284994E-2</v>
      </c>
      <c r="F1374" s="7" t="s">
        <v>3</v>
      </c>
      <c r="G1374" s="136">
        <f t="shared" si="21"/>
        <v>44379</v>
      </c>
      <c r="H1374" s="20">
        <f>_xll.mirGetDate(G1374,H$17,"Following",H$12,"Normal")</f>
        <v>44473</v>
      </c>
      <c r="I1374" s="134">
        <f ca="1"/>
        <v>1.9271672779211463E-2</v>
      </c>
      <c r="J1374" s="120" t="s">
        <v>3</v>
      </c>
    </row>
    <row r="1375" spans="1:10" x14ac:dyDescent="0.25">
      <c r="A1375" s="126">
        <v>1353</v>
      </c>
      <c r="B1375" s="119"/>
      <c r="C1375" s="136">
        <f>_xll.mirGetDate(C1374,"1D","FOLLOWING",D$12,"NORMAL")</f>
        <v>44383</v>
      </c>
      <c r="D1375" s="20">
        <f>_xll.mirGetDate(C1375,D$17,"Following",D$12,"Normal")</f>
        <v>44384</v>
      </c>
      <c r="E1375" s="134">
        <f ca="1"/>
        <v>1.5096021397094341E-2</v>
      </c>
      <c r="F1375" s="7" t="s">
        <v>3</v>
      </c>
      <c r="G1375" s="136">
        <f t="shared" si="21"/>
        <v>44383</v>
      </c>
      <c r="H1375" s="20">
        <f>_xll.mirGetDate(G1375,H$17,"Following",H$12,"Normal")</f>
        <v>44475</v>
      </c>
      <c r="I1375" s="134">
        <f ca="1"/>
        <v>1.9292411194644889E-2</v>
      </c>
      <c r="J1375" s="120" t="s">
        <v>3</v>
      </c>
    </row>
    <row r="1376" spans="1:10" x14ac:dyDescent="0.25">
      <c r="A1376" s="126">
        <v>1354</v>
      </c>
      <c r="B1376" s="119"/>
      <c r="C1376" s="136">
        <f>_xll.mirGetDate(C1375,"1D","FOLLOWING",D$12,"NORMAL")</f>
        <v>44384</v>
      </c>
      <c r="D1376" s="20">
        <f>_xll.mirGetDate(C1376,D$17,"Following",D$12,"Normal")</f>
        <v>44385</v>
      </c>
      <c r="E1376" s="134">
        <f ca="1"/>
        <v>1.5099461373233451E-2</v>
      </c>
      <c r="F1376" s="7" t="s">
        <v>3</v>
      </c>
      <c r="G1376" s="136">
        <f t="shared" si="21"/>
        <v>44384</v>
      </c>
      <c r="H1376" s="20">
        <f>_xll.mirGetDate(G1376,H$17,"Following",H$12,"Normal")</f>
        <v>44476</v>
      </c>
      <c r="I1376" s="134">
        <f ca="1"/>
        <v>1.9297603433147657E-2</v>
      </c>
      <c r="J1376" s="120" t="s">
        <v>3</v>
      </c>
    </row>
    <row r="1377" spans="1:10" x14ac:dyDescent="0.25">
      <c r="A1377" s="126">
        <v>1355</v>
      </c>
      <c r="B1377" s="119"/>
      <c r="C1377" s="136">
        <f>_xll.mirGetDate(C1376,"1D","FOLLOWING",D$12,"NORMAL")</f>
        <v>44385</v>
      </c>
      <c r="D1377" s="20">
        <f>_xll.mirGetDate(C1377,D$17,"Following",D$12,"Normal")</f>
        <v>44386</v>
      </c>
      <c r="E1377" s="134">
        <f ca="1"/>
        <v>1.510291393723298E-2</v>
      </c>
      <c r="F1377" s="7" t="s">
        <v>3</v>
      </c>
      <c r="G1377" s="136">
        <f t="shared" si="21"/>
        <v>44385</v>
      </c>
      <c r="H1377" s="20">
        <f>_xll.mirGetDate(G1377,H$17,"Following",H$12,"Normal")</f>
        <v>44477</v>
      </c>
      <c r="I1377" s="134">
        <f ca="1"/>
        <v>1.930279775835993E-2</v>
      </c>
      <c r="J1377" s="120" t="s">
        <v>3</v>
      </c>
    </row>
    <row r="1378" spans="1:10" x14ac:dyDescent="0.25">
      <c r="A1378" s="126">
        <v>1356</v>
      </c>
      <c r="B1378" s="119"/>
      <c r="C1378" s="136">
        <f>_xll.mirGetDate(C1377,"1D","FOLLOWING",D$12,"NORMAL")</f>
        <v>44386</v>
      </c>
      <c r="D1378" s="20">
        <f>_xll.mirGetDate(C1378,D$17,"Following",D$12,"Normal")</f>
        <v>44389</v>
      </c>
      <c r="E1378" s="134">
        <f ca="1"/>
        <v>1.5110495232527969E-2</v>
      </c>
      <c r="F1378" s="7" t="s">
        <v>3</v>
      </c>
      <c r="G1378" s="136">
        <f t="shared" si="21"/>
        <v>44386</v>
      </c>
      <c r="H1378" s="20">
        <f>_xll.mirGetDate(G1378,H$17,"Following",H$12,"Normal")</f>
        <v>44481</v>
      </c>
      <c r="I1378" s="134">
        <f ca="1"/>
        <v>1.9307993686707575E-2</v>
      </c>
      <c r="J1378" s="120" t="s">
        <v>3</v>
      </c>
    </row>
    <row r="1379" spans="1:10" x14ac:dyDescent="0.25">
      <c r="A1379" s="126">
        <v>1357</v>
      </c>
      <c r="B1379" s="119"/>
      <c r="C1379" s="136">
        <f>_xll.mirGetDate(C1378,"1D","FOLLOWING",D$12,"NORMAL")</f>
        <v>44389</v>
      </c>
      <c r="D1379" s="20">
        <f>_xll.mirGetDate(C1379,D$17,"Following",D$12,"Normal")</f>
        <v>44390</v>
      </c>
      <c r="E1379" s="134">
        <f ca="1"/>
        <v>1.5116850113845698E-2</v>
      </c>
      <c r="F1379" s="7" t="s">
        <v>3</v>
      </c>
      <c r="G1379" s="136">
        <f t="shared" si="21"/>
        <v>44389</v>
      </c>
      <c r="H1379" s="20">
        <f>_xll.mirGetDate(G1379,H$17,"Following",H$12,"Normal")</f>
        <v>44481</v>
      </c>
      <c r="I1379" s="134">
        <f ca="1"/>
        <v>1.932358624468505E-2</v>
      </c>
      <c r="J1379" s="120" t="s">
        <v>3</v>
      </c>
    </row>
    <row r="1380" spans="1:10" x14ac:dyDescent="0.25">
      <c r="A1380" s="126">
        <v>1358</v>
      </c>
      <c r="B1380" s="119"/>
      <c r="C1380" s="136">
        <f>_xll.mirGetDate(C1379,"1D","FOLLOWING",D$12,"NORMAL")</f>
        <v>44390</v>
      </c>
      <c r="D1380" s="20">
        <f>_xll.mirGetDate(C1380,D$17,"Following",D$12,"Normal")</f>
        <v>44391</v>
      </c>
      <c r="E1380" s="134">
        <f ca="1"/>
        <v>1.5120365649223666E-2</v>
      </c>
      <c r="F1380" s="7" t="s">
        <v>3</v>
      </c>
      <c r="G1380" s="136">
        <f t="shared" si="21"/>
        <v>44390</v>
      </c>
      <c r="H1380" s="20">
        <f>_xll.mirGetDate(G1380,H$17,"Following",H$12,"Normal")</f>
        <v>44482</v>
      </c>
      <c r="I1380" s="134">
        <f ca="1"/>
        <v>1.9328783609025953E-2</v>
      </c>
      <c r="J1380" s="120" t="s">
        <v>3</v>
      </c>
    </row>
    <row r="1381" spans="1:10" x14ac:dyDescent="0.25">
      <c r="A1381" s="126">
        <v>1359</v>
      </c>
      <c r="B1381" s="119"/>
      <c r="C1381" s="136">
        <f>_xll.mirGetDate(C1380,"1D","FOLLOWING",D$12,"NORMAL")</f>
        <v>44391</v>
      </c>
      <c r="D1381" s="20">
        <f>_xll.mirGetDate(C1381,D$17,"Following",D$12,"Normal")</f>
        <v>44392</v>
      </c>
      <c r="E1381" s="134">
        <f ca="1"/>
        <v>1.5123893785411709E-2</v>
      </c>
      <c r="F1381" s="7" t="s">
        <v>3</v>
      </c>
      <c r="G1381" s="136">
        <f t="shared" si="21"/>
        <v>44391</v>
      </c>
      <c r="H1381" s="20">
        <f>_xll.mirGetDate(G1381,H$17,"Following",H$12,"Normal")</f>
        <v>44483</v>
      </c>
      <c r="I1381" s="134">
        <f ca="1"/>
        <v>1.9333979839582047E-2</v>
      </c>
      <c r="J1381" s="120" t="s">
        <v>3</v>
      </c>
    </row>
    <row r="1382" spans="1:10" x14ac:dyDescent="0.25">
      <c r="A1382" s="126">
        <v>1360</v>
      </c>
      <c r="B1382" s="119"/>
      <c r="C1382" s="136">
        <f>_xll.mirGetDate(C1381,"1D","FOLLOWING",D$12,"NORMAL")</f>
        <v>44392</v>
      </c>
      <c r="D1382" s="20">
        <f>_xll.mirGetDate(C1382,D$17,"Following",D$12,"Normal")</f>
        <v>44393</v>
      </c>
      <c r="E1382" s="134">
        <f ca="1"/>
        <v>1.5127434524628692E-2</v>
      </c>
      <c r="F1382" s="7" t="s">
        <v>3</v>
      </c>
      <c r="G1382" s="136">
        <f t="shared" si="21"/>
        <v>44392</v>
      </c>
      <c r="H1382" s="20">
        <f>_xll.mirGetDate(G1382,H$17,"Following",H$12,"Normal")</f>
        <v>44484</v>
      </c>
      <c r="I1382" s="134">
        <f ca="1"/>
        <v>1.9339174263412064E-2</v>
      </c>
      <c r="J1382" s="120" t="s">
        <v>3</v>
      </c>
    </row>
    <row r="1383" spans="1:10" x14ac:dyDescent="0.25">
      <c r="A1383" s="126">
        <v>1361</v>
      </c>
      <c r="B1383" s="119"/>
      <c r="C1383" s="136">
        <f>_xll.mirGetDate(C1382,"1D","FOLLOWING",D$12,"NORMAL")</f>
        <v>44393</v>
      </c>
      <c r="D1383" s="20">
        <f>_xll.mirGetDate(C1383,D$17,"Following",D$12,"Normal")</f>
        <v>44396</v>
      </c>
      <c r="E1383" s="134">
        <f ca="1"/>
        <v>1.5135194296283822E-2</v>
      </c>
      <c r="F1383" s="7" t="s">
        <v>3</v>
      </c>
      <c r="G1383" s="136">
        <f t="shared" si="21"/>
        <v>44393</v>
      </c>
      <c r="H1383" s="20">
        <f>_xll.mirGetDate(G1383,H$17,"Following",H$12,"Normal")</f>
        <v>44487</v>
      </c>
      <c r="I1383" s="134">
        <f ca="1"/>
        <v>1.9344366207574723E-2</v>
      </c>
      <c r="J1383" s="120" t="s">
        <v>3</v>
      </c>
    </row>
    <row r="1384" spans="1:10" x14ac:dyDescent="0.25">
      <c r="A1384" s="126">
        <v>1362</v>
      </c>
      <c r="B1384" s="119"/>
      <c r="C1384" s="136">
        <f>_xll.mirGetDate(C1383,"1D","FOLLOWING",D$12,"NORMAL")</f>
        <v>44396</v>
      </c>
      <c r="D1384" s="20">
        <f>_xll.mirGetDate(C1384,D$17,"Following",D$12,"Normal")</f>
        <v>44397</v>
      </c>
      <c r="E1384" s="134">
        <f ca="1"/>
        <v>1.51417235551475E-2</v>
      </c>
      <c r="F1384" s="7" t="s">
        <v>3</v>
      </c>
      <c r="G1384" s="136">
        <f t="shared" si="21"/>
        <v>44396</v>
      </c>
      <c r="H1384" s="20">
        <f>_xll.mirGetDate(G1384,H$17,"Following",H$12,"Normal")</f>
        <v>44488</v>
      </c>
      <c r="I1384" s="134">
        <f ca="1"/>
        <v>1.93599204326458E-2</v>
      </c>
      <c r="J1384" s="120" t="s">
        <v>3</v>
      </c>
    </row>
    <row r="1385" spans="1:10" x14ac:dyDescent="0.25">
      <c r="A1385" s="126">
        <v>1363</v>
      </c>
      <c r="B1385" s="119"/>
      <c r="C1385" s="136">
        <f>_xll.mirGetDate(C1384,"1D","FOLLOWING",D$12,"NORMAL")</f>
        <v>44397</v>
      </c>
      <c r="D1385" s="20">
        <f>_xll.mirGetDate(C1385,D$17,"Following",D$12,"Normal")</f>
        <v>44398</v>
      </c>
      <c r="E1385" s="134">
        <f ca="1"/>
        <v>1.5145327342341008E-2</v>
      </c>
      <c r="F1385" s="7" t="s">
        <v>3</v>
      </c>
      <c r="G1385" s="136">
        <f t="shared" si="21"/>
        <v>44397</v>
      </c>
      <c r="H1385" s="20">
        <f>_xll.mirGetDate(G1385,H$17,"Following",H$12,"Normal")</f>
        <v>44489</v>
      </c>
      <c r="I1385" s="134">
        <f ca="1"/>
        <v>1.936509572872628E-2</v>
      </c>
      <c r="J1385" s="120" t="s">
        <v>3</v>
      </c>
    </row>
    <row r="1386" spans="1:10" x14ac:dyDescent="0.25">
      <c r="A1386" s="126">
        <v>1364</v>
      </c>
      <c r="B1386" s="119"/>
      <c r="C1386" s="136">
        <f>_xll.mirGetDate(C1385,"1D","FOLLOWING",D$12,"NORMAL")</f>
        <v>44398</v>
      </c>
      <c r="D1386" s="20">
        <f>_xll.mirGetDate(C1386,D$17,"Following",D$12,"Normal")</f>
        <v>44399</v>
      </c>
      <c r="E1386" s="134">
        <f ca="1"/>
        <v>1.5148943745513085E-2</v>
      </c>
      <c r="F1386" s="7" t="s">
        <v>3</v>
      </c>
      <c r="G1386" s="136">
        <f t="shared" si="21"/>
        <v>44398</v>
      </c>
      <c r="H1386" s="20">
        <f>_xll.mirGetDate(G1386,H$17,"Following",H$12,"Normal")</f>
        <v>44490</v>
      </c>
      <c r="I1386" s="134">
        <f ca="1"/>
        <v>1.9370265180433024E-2</v>
      </c>
      <c r="J1386" s="120" t="s">
        <v>3</v>
      </c>
    </row>
    <row r="1387" spans="1:10" x14ac:dyDescent="0.25">
      <c r="A1387" s="126">
        <v>1365</v>
      </c>
      <c r="B1387" s="119"/>
      <c r="C1387" s="136">
        <f>_xll.mirGetDate(C1386,"1D","FOLLOWING",D$12,"NORMAL")</f>
        <v>44399</v>
      </c>
      <c r="D1387" s="20">
        <f>_xll.mirGetDate(C1387,D$17,"Following",D$12,"Normal")</f>
        <v>44400</v>
      </c>
      <c r="E1387" s="134">
        <f ca="1"/>
        <v>1.5152572767076341E-2</v>
      </c>
      <c r="F1387" s="7" t="s">
        <v>3</v>
      </c>
      <c r="G1387" s="136">
        <f t="shared" si="21"/>
        <v>44399</v>
      </c>
      <c r="H1387" s="20">
        <f>_xll.mirGetDate(G1387,H$17,"Following",H$12,"Normal")</f>
        <v>44491</v>
      </c>
      <c r="I1387" s="134">
        <f ca="1"/>
        <v>1.9375428114824761E-2</v>
      </c>
      <c r="J1387" s="120" t="s">
        <v>3</v>
      </c>
    </row>
    <row r="1388" spans="1:10" x14ac:dyDescent="0.25">
      <c r="A1388" s="126">
        <v>1366</v>
      </c>
      <c r="B1388" s="119"/>
      <c r="C1388" s="136">
        <f>_xll.mirGetDate(C1387,"1D","FOLLOWING",D$12,"NORMAL")</f>
        <v>44400</v>
      </c>
      <c r="D1388" s="20">
        <f>_xll.mirGetDate(C1388,D$17,"Following",D$12,"Normal")</f>
        <v>44403</v>
      </c>
      <c r="E1388" s="134">
        <f ca="1"/>
        <v>1.5160511285135821E-2</v>
      </c>
      <c r="F1388" s="7" t="s">
        <v>3</v>
      </c>
      <c r="G1388" s="136">
        <f t="shared" si="21"/>
        <v>44400</v>
      </c>
      <c r="H1388" s="20">
        <f>_xll.mirGetDate(G1388,H$17,"Following",H$12,"Normal")</f>
        <v>44494</v>
      </c>
      <c r="I1388" s="134">
        <f ca="1"/>
        <v>1.9380583858960208E-2</v>
      </c>
      <c r="J1388" s="120" t="s">
        <v>3</v>
      </c>
    </row>
    <row r="1389" spans="1:10" x14ac:dyDescent="0.25">
      <c r="A1389" s="126">
        <v>1367</v>
      </c>
      <c r="B1389" s="119"/>
      <c r="C1389" s="136">
        <f>_xll.mirGetDate(C1388,"1D","FOLLOWING",D$12,"NORMAL")</f>
        <v>44403</v>
      </c>
      <c r="D1389" s="20">
        <f>_xll.mirGetDate(C1389,D$17,"Following",D$12,"Normal")</f>
        <v>44404</v>
      </c>
      <c r="E1389" s="134">
        <f ca="1"/>
        <v>1.516721508099768E-2</v>
      </c>
      <c r="F1389" s="7" t="s">
        <v>3</v>
      </c>
      <c r="G1389" s="136">
        <f t="shared" si="21"/>
        <v>44403</v>
      </c>
      <c r="H1389" s="20">
        <f>_xll.mirGetDate(G1389,H$17,"Following",H$12,"Normal")</f>
        <v>44495</v>
      </c>
      <c r="I1389" s="134">
        <f ca="1"/>
        <v>1.9396001220416108E-2</v>
      </c>
      <c r="J1389" s="120" t="s">
        <v>3</v>
      </c>
    </row>
    <row r="1390" spans="1:10" x14ac:dyDescent="0.25">
      <c r="A1390" s="126">
        <v>1368</v>
      </c>
      <c r="B1390" s="119"/>
      <c r="C1390" s="136">
        <f>_xll.mirGetDate(C1389,"1D","FOLLOWING",D$12,"NORMAL")</f>
        <v>44404</v>
      </c>
      <c r="D1390" s="20">
        <f>_xll.mirGetDate(C1390,D$17,"Following",D$12,"Normal")</f>
        <v>44405</v>
      </c>
      <c r="E1390" s="134">
        <f ca="1"/>
        <v>1.517090722727125E-2</v>
      </c>
      <c r="F1390" s="7" t="s">
        <v>3</v>
      </c>
      <c r="G1390" s="136">
        <f t="shared" si="21"/>
        <v>44404</v>
      </c>
      <c r="H1390" s="20">
        <f>_xll.mirGetDate(G1390,H$17,"Following",H$12,"Normal")</f>
        <v>44496</v>
      </c>
      <c r="I1390" s="134">
        <f ca="1"/>
        <v>1.9401121474113669E-2</v>
      </c>
      <c r="J1390" s="120" t="s">
        <v>3</v>
      </c>
    </row>
    <row r="1391" spans="1:10" x14ac:dyDescent="0.25">
      <c r="A1391" s="126">
        <v>1369</v>
      </c>
      <c r="B1391" s="119"/>
      <c r="C1391" s="136">
        <f>_xll.mirGetDate(C1390,"1D","FOLLOWING",D$12,"NORMAL")</f>
        <v>44405</v>
      </c>
      <c r="D1391" s="20">
        <f>_xll.mirGetDate(C1391,D$17,"Following",D$12,"Normal")</f>
        <v>44406</v>
      </c>
      <c r="E1391" s="134">
        <f ca="1"/>
        <v>1.5174612005270776E-2</v>
      </c>
      <c r="F1391" s="7" t="s">
        <v>3</v>
      </c>
      <c r="G1391" s="136">
        <f t="shared" si="21"/>
        <v>44405</v>
      </c>
      <c r="H1391" s="20">
        <f>_xll.mirGetDate(G1391,H$17,"Following",H$12,"Normal")</f>
        <v>44497</v>
      </c>
      <c r="I1391" s="134">
        <f ca="1"/>
        <v>1.9406231172848565E-2</v>
      </c>
      <c r="J1391" s="120" t="s">
        <v>3</v>
      </c>
    </row>
    <row r="1392" spans="1:10" x14ac:dyDescent="0.25">
      <c r="A1392" s="126">
        <v>1370</v>
      </c>
      <c r="B1392" s="119"/>
      <c r="C1392" s="136">
        <f>_xll.mirGetDate(C1391,"1D","FOLLOWING",D$12,"NORMAL")</f>
        <v>44406</v>
      </c>
      <c r="D1392" s="20">
        <f>_xll.mirGetDate(C1392,D$17,"Following",D$12,"Normal")</f>
        <v>44407</v>
      </c>
      <c r="E1392" s="134">
        <f ca="1"/>
        <v>1.5178329416854191E-2</v>
      </c>
      <c r="F1392" s="7" t="s">
        <v>3</v>
      </c>
      <c r="G1392" s="136">
        <f t="shared" si="21"/>
        <v>44406</v>
      </c>
      <c r="H1392" s="20">
        <f>_xll.mirGetDate(G1392,H$17,"Following",H$12,"Normal")</f>
        <v>44498</v>
      </c>
      <c r="I1392" s="134">
        <f ca="1"/>
        <v>1.9411329643679531E-2</v>
      </c>
      <c r="J1392" s="120" t="s">
        <v>3</v>
      </c>
    </row>
    <row r="1393" spans="1:10" x14ac:dyDescent="0.25">
      <c r="A1393" s="126">
        <v>1371</v>
      </c>
      <c r="B1393" s="119"/>
      <c r="C1393" s="136">
        <f>_xll.mirGetDate(C1392,"1D","FOLLOWING",D$12,"NORMAL")</f>
        <v>44407</v>
      </c>
      <c r="D1393" s="20">
        <f>_xll.mirGetDate(C1393,D$17,"Following",D$12,"Normal")</f>
        <v>44410</v>
      </c>
      <c r="E1393" s="134">
        <f ca="1"/>
        <v>1.5186446952507949E-2</v>
      </c>
      <c r="F1393" s="7" t="s">
        <v>3</v>
      </c>
      <c r="G1393" s="136">
        <f t="shared" si="21"/>
        <v>44407</v>
      </c>
      <c r="H1393" s="20">
        <f>_xll.mirGetDate(G1393,H$17,"Following",H$12,"Normal")</f>
        <v>44501</v>
      </c>
      <c r="I1393" s="134">
        <f ca="1"/>
        <v>1.9416416213665286E-2</v>
      </c>
      <c r="J1393" s="120" t="s">
        <v>3</v>
      </c>
    </row>
    <row r="1394" spans="1:10" x14ac:dyDescent="0.25">
      <c r="A1394" s="126">
        <v>1372</v>
      </c>
      <c r="B1394" s="119"/>
      <c r="C1394" s="136">
        <f>_xll.mirGetDate(C1393,"1D","FOLLOWING",D$12,"NORMAL")</f>
        <v>44410</v>
      </c>
      <c r="D1394" s="20">
        <f>_xll.mirGetDate(C1394,D$17,"Following",D$12,"Normal")</f>
        <v>44411</v>
      </c>
      <c r="E1394" s="134">
        <f ca="1"/>
        <v>1.5193325445273227E-2</v>
      </c>
      <c r="F1394" s="7" t="s">
        <v>3</v>
      </c>
      <c r="G1394" s="136">
        <f t="shared" si="21"/>
        <v>44410</v>
      </c>
      <c r="H1394" s="20">
        <f>_xll.mirGetDate(G1394,H$17,"Following",H$12,"Normal")</f>
        <v>44502</v>
      </c>
      <c r="I1394" s="134">
        <f ca="1"/>
        <v>1.943159778913852E-2</v>
      </c>
      <c r="J1394" s="120" t="s">
        <v>3</v>
      </c>
    </row>
    <row r="1395" spans="1:10" x14ac:dyDescent="0.25">
      <c r="A1395" s="126">
        <v>1373</v>
      </c>
      <c r="B1395" s="119"/>
      <c r="C1395" s="136">
        <f>_xll.mirGetDate(C1394,"1D","FOLLOWING",D$12,"NORMAL")</f>
        <v>44411</v>
      </c>
      <c r="D1395" s="20">
        <f>_xll.mirGetDate(C1395,D$17,"Following",D$12,"Normal")</f>
        <v>44412</v>
      </c>
      <c r="E1395" s="134">
        <f ca="1"/>
        <v>1.51971060589305E-2</v>
      </c>
      <c r="F1395" s="7" t="s">
        <v>3</v>
      </c>
      <c r="G1395" s="136">
        <f t="shared" si="21"/>
        <v>44411</v>
      </c>
      <c r="H1395" s="20">
        <f>_xll.mirGetDate(G1395,H$17,"Following",H$12,"Normal")</f>
        <v>44503</v>
      </c>
      <c r="I1395" s="134">
        <f ca="1"/>
        <v>1.9436630026330674E-2</v>
      </c>
      <c r="J1395" s="120" t="s">
        <v>3</v>
      </c>
    </row>
    <row r="1396" spans="1:10" x14ac:dyDescent="0.25">
      <c r="A1396" s="126">
        <v>1374</v>
      </c>
      <c r="B1396" s="119"/>
      <c r="C1396" s="136">
        <f>_xll.mirGetDate(C1395,"1D","FOLLOWING",D$12,"NORMAL")</f>
        <v>44412</v>
      </c>
      <c r="D1396" s="20">
        <f>_xll.mirGetDate(C1396,D$17,"Following",D$12,"Normal")</f>
        <v>44413</v>
      </c>
      <c r="E1396" s="134">
        <f ca="1"/>
        <v>1.5200899319520997E-2</v>
      </c>
      <c r="F1396" s="7" t="s">
        <v>3</v>
      </c>
      <c r="G1396" s="136">
        <f t="shared" si="21"/>
        <v>44412</v>
      </c>
      <c r="H1396" s="20">
        <f>_xll.mirGetDate(G1396,H$17,"Following",H$12,"Normal")</f>
        <v>44504</v>
      </c>
      <c r="I1396" s="134">
        <f ca="1"/>
        <v>1.9441646997971237E-2</v>
      </c>
      <c r="J1396" s="120" t="s">
        <v>3</v>
      </c>
    </row>
    <row r="1397" spans="1:10" x14ac:dyDescent="0.25">
      <c r="A1397" s="126">
        <v>1375</v>
      </c>
      <c r="B1397" s="119"/>
      <c r="C1397" s="136">
        <f>_xll.mirGetDate(C1396,"1D","FOLLOWING",D$12,"NORMAL")</f>
        <v>44413</v>
      </c>
      <c r="D1397" s="20">
        <f>_xll.mirGetDate(C1397,D$17,"Following",D$12,"Normal")</f>
        <v>44414</v>
      </c>
      <c r="E1397" s="134">
        <f ca="1"/>
        <v>1.5204705229503301E-2</v>
      </c>
      <c r="F1397" s="7" t="s">
        <v>3</v>
      </c>
      <c r="G1397" s="136">
        <f t="shared" si="21"/>
        <v>44413</v>
      </c>
      <c r="H1397" s="20">
        <f>_xll.mirGetDate(G1397,H$17,"Following",H$12,"Normal")</f>
        <v>44505</v>
      </c>
      <c r="I1397" s="134">
        <f ca="1"/>
        <v>1.9446648031118941E-2</v>
      </c>
      <c r="J1397" s="120" t="s">
        <v>3</v>
      </c>
    </row>
    <row r="1398" spans="1:10" x14ac:dyDescent="0.25">
      <c r="A1398" s="126">
        <v>1376</v>
      </c>
      <c r="B1398" s="119"/>
      <c r="C1398" s="136">
        <f>_xll.mirGetDate(C1397,"1D","FOLLOWING",D$12,"NORMAL")</f>
        <v>44414</v>
      </c>
      <c r="D1398" s="20">
        <f>_xll.mirGetDate(C1398,D$17,"Following",D$12,"Normal")</f>
        <v>44417</v>
      </c>
      <c r="E1398" s="134">
        <f ca="1"/>
        <v>1.521300205542617E-2</v>
      </c>
      <c r="F1398" s="7" t="s">
        <v>3</v>
      </c>
      <c r="G1398" s="136">
        <f t="shared" si="21"/>
        <v>44414</v>
      </c>
      <c r="H1398" s="20">
        <f>_xll.mirGetDate(G1398,H$17,"Following",H$12,"Normal")</f>
        <v>44508</v>
      </c>
      <c r="I1398" s="134">
        <f ca="1"/>
        <v>1.9451632452832504E-2</v>
      </c>
      <c r="J1398" s="120" t="s">
        <v>3</v>
      </c>
    </row>
    <row r="1399" spans="1:10" x14ac:dyDescent="0.25">
      <c r="A1399" s="126">
        <v>1377</v>
      </c>
      <c r="B1399" s="119"/>
      <c r="C1399" s="136">
        <f>_xll.mirGetDate(C1398,"1D","FOLLOWING",D$12,"NORMAL")</f>
        <v>44417</v>
      </c>
      <c r="D1399" s="20">
        <f>_xll.mirGetDate(C1399,D$17,"Following",D$12,"Normal")</f>
        <v>44418</v>
      </c>
      <c r="E1399" s="134">
        <f ca="1"/>
        <v>1.5220055405833328E-2</v>
      </c>
      <c r="F1399" s="7" t="s">
        <v>3</v>
      </c>
      <c r="G1399" s="136">
        <f t="shared" si="21"/>
        <v>44417</v>
      </c>
      <c r="H1399" s="20">
        <f>_xll.mirGetDate(G1399,H$17,"Following",H$12,"Normal")</f>
        <v>44509</v>
      </c>
      <c r="I1399" s="134">
        <f ca="1"/>
        <v>1.9466479319955602E-2</v>
      </c>
      <c r="J1399" s="120" t="s">
        <v>3</v>
      </c>
    </row>
    <row r="1400" spans="1:10" x14ac:dyDescent="0.25">
      <c r="A1400" s="126">
        <v>1378</v>
      </c>
      <c r="B1400" s="119"/>
      <c r="C1400" s="136">
        <f>_xll.mirGetDate(C1399,"1D","FOLLOWING",D$12,"NORMAL")</f>
        <v>44418</v>
      </c>
      <c r="D1400" s="20">
        <f>_xll.mirGetDate(C1400,D$17,"Following",D$12,"Normal")</f>
        <v>44419</v>
      </c>
      <c r="E1400" s="134">
        <f ca="1"/>
        <v>1.5223924595366967E-2</v>
      </c>
      <c r="F1400" s="7" t="s">
        <v>3</v>
      </c>
      <c r="G1400" s="136">
        <f t="shared" si="21"/>
        <v>44418</v>
      </c>
      <c r="H1400" s="20">
        <f>_xll.mirGetDate(G1400,H$17,"Following",H$12,"Normal")</f>
        <v>44510</v>
      </c>
      <c r="I1400" s="134">
        <f ca="1"/>
        <v>1.947139056651985E-2</v>
      </c>
      <c r="J1400" s="120" t="s">
        <v>3</v>
      </c>
    </row>
    <row r="1401" spans="1:10" x14ac:dyDescent="0.25">
      <c r="A1401" s="126">
        <v>1379</v>
      </c>
      <c r="B1401" s="119"/>
      <c r="C1401" s="136">
        <f>_xll.mirGetDate(C1400,"1D","FOLLOWING",D$12,"NORMAL")</f>
        <v>44419</v>
      </c>
      <c r="D1401" s="20">
        <f>_xll.mirGetDate(C1401,D$17,"Following",D$12,"Normal")</f>
        <v>44420</v>
      </c>
      <c r="E1401" s="134">
        <f ca="1"/>
        <v>1.5227806447401911E-2</v>
      </c>
      <c r="F1401" s="7" t="s">
        <v>3</v>
      </c>
      <c r="G1401" s="136">
        <f t="shared" si="21"/>
        <v>44419</v>
      </c>
      <c r="H1401" s="20">
        <f>_xll.mirGetDate(G1401,H$17,"Following",H$12,"Normal")</f>
        <v>44512</v>
      </c>
      <c r="I1401" s="134">
        <f ca="1"/>
        <v>1.9476281836943589E-2</v>
      </c>
      <c r="J1401" s="120" t="s">
        <v>3</v>
      </c>
    </row>
    <row r="1402" spans="1:10" x14ac:dyDescent="0.25">
      <c r="A1402" s="126">
        <v>1380</v>
      </c>
      <c r="B1402" s="119"/>
      <c r="C1402" s="136">
        <f>_xll.mirGetDate(C1401,"1D","FOLLOWING",D$12,"NORMAL")</f>
        <v>44420</v>
      </c>
      <c r="D1402" s="20">
        <f>_xll.mirGetDate(C1402,D$17,"Following",D$12,"Normal")</f>
        <v>44421</v>
      </c>
      <c r="E1402" s="134">
        <f ca="1"/>
        <v>1.5231700964275776E-2</v>
      </c>
      <c r="F1402" s="7" t="s">
        <v>3</v>
      </c>
      <c r="G1402" s="136">
        <f t="shared" si="21"/>
        <v>44420</v>
      </c>
      <c r="H1402" s="20">
        <f>_xll.mirGetDate(G1402,H$17,"Following",H$12,"Normal")</f>
        <v>44512</v>
      </c>
      <c r="I1402" s="134">
        <f ca="1"/>
        <v>1.9481152458285536E-2</v>
      </c>
      <c r="J1402" s="120" t="s">
        <v>3</v>
      </c>
    </row>
    <row r="1403" spans="1:10" x14ac:dyDescent="0.25">
      <c r="A1403" s="126">
        <v>1381</v>
      </c>
      <c r="B1403" s="119"/>
      <c r="C1403" s="136">
        <f>_xll.mirGetDate(C1402,"1D","FOLLOWING",D$12,"NORMAL")</f>
        <v>44421</v>
      </c>
      <c r="D1403" s="20">
        <f>_xll.mirGetDate(C1403,D$17,"Following",D$12,"Normal")</f>
        <v>44424</v>
      </c>
      <c r="E1403" s="134">
        <f ca="1"/>
        <v>1.5240177354555537E-2</v>
      </c>
      <c r="F1403" s="7" t="s">
        <v>3</v>
      </c>
      <c r="G1403" s="136">
        <f t="shared" si="21"/>
        <v>44421</v>
      </c>
      <c r="H1403" s="20">
        <f>_xll.mirGetDate(G1403,H$17,"Following",H$12,"Normal")</f>
        <v>44515</v>
      </c>
      <c r="I1403" s="134">
        <f ca="1"/>
        <v>1.9486001757604416E-2</v>
      </c>
      <c r="J1403" s="120" t="s">
        <v>3</v>
      </c>
    </row>
    <row r="1404" spans="1:10" x14ac:dyDescent="0.25">
      <c r="A1404" s="126">
        <v>1382</v>
      </c>
      <c r="B1404" s="119"/>
      <c r="C1404" s="136">
        <f>_xll.mirGetDate(C1403,"1D","FOLLOWING",D$12,"NORMAL")</f>
        <v>44424</v>
      </c>
      <c r="D1404" s="20">
        <f>_xll.mirGetDate(C1404,D$17,"Following",D$12,"Normal")</f>
        <v>44425</v>
      </c>
      <c r="E1404" s="134">
        <f ca="1"/>
        <v>1.5247405724248257E-2</v>
      </c>
      <c r="F1404" s="7" t="s">
        <v>3</v>
      </c>
      <c r="G1404" s="136">
        <f t="shared" si="21"/>
        <v>44424</v>
      </c>
      <c r="H1404" s="20">
        <f>_xll.mirGetDate(G1404,H$17,"Following",H$12,"Normal")</f>
        <v>44516</v>
      </c>
      <c r="I1404" s="134">
        <f ca="1"/>
        <v>1.950041499400991E-2</v>
      </c>
      <c r="J1404" s="120" t="s">
        <v>3</v>
      </c>
    </row>
    <row r="1405" spans="1:10" x14ac:dyDescent="0.25">
      <c r="A1405" s="126">
        <v>1383</v>
      </c>
      <c r="B1405" s="119"/>
      <c r="C1405" s="136">
        <f>_xll.mirGetDate(C1404,"1D","FOLLOWING",D$12,"NORMAL")</f>
        <v>44425</v>
      </c>
      <c r="D1405" s="20">
        <f>_xll.mirGetDate(C1405,D$17,"Following",D$12,"Normal")</f>
        <v>44426</v>
      </c>
      <c r="E1405" s="134">
        <f ca="1"/>
        <v>1.5251363598671578E-2</v>
      </c>
      <c r="F1405" s="7" t="s">
        <v>3</v>
      </c>
      <c r="G1405" s="136">
        <f t="shared" si="21"/>
        <v>44425</v>
      </c>
      <c r="H1405" s="20">
        <f>_xll.mirGetDate(G1405,H$17,"Following",H$12,"Normal")</f>
        <v>44517</v>
      </c>
      <c r="I1405" s="134">
        <f ca="1"/>
        <v>1.9505172275823768E-2</v>
      </c>
      <c r="J1405" s="120" t="s">
        <v>3</v>
      </c>
    </row>
    <row r="1406" spans="1:10" x14ac:dyDescent="0.25">
      <c r="A1406" s="126">
        <v>1384</v>
      </c>
      <c r="B1406" s="119"/>
      <c r="C1406" s="136">
        <f>_xll.mirGetDate(C1405,"1D","FOLLOWING",D$12,"NORMAL")</f>
        <v>44426</v>
      </c>
      <c r="D1406" s="20">
        <f>_xll.mirGetDate(C1406,D$17,"Following",D$12,"Normal")</f>
        <v>44427</v>
      </c>
      <c r="E1406" s="134">
        <f ca="1"/>
        <v>1.5255334151203221E-2</v>
      </c>
      <c r="F1406" s="7" t="s">
        <v>3</v>
      </c>
      <c r="G1406" s="136">
        <f t="shared" si="21"/>
        <v>44426</v>
      </c>
      <c r="H1406" s="20">
        <f>_xll.mirGetDate(G1406,H$17,"Following",H$12,"Normal")</f>
        <v>44518</v>
      </c>
      <c r="I1406" s="134">
        <f ca="1"/>
        <v>1.9509904870908187E-2</v>
      </c>
      <c r="J1406" s="120" t="s">
        <v>3</v>
      </c>
    </row>
    <row r="1407" spans="1:10" x14ac:dyDescent="0.25">
      <c r="A1407" s="126">
        <v>1385</v>
      </c>
      <c r="B1407" s="119"/>
      <c r="C1407" s="136">
        <f>_xll.mirGetDate(C1406,"1D","FOLLOWING",D$12,"NORMAL")</f>
        <v>44427</v>
      </c>
      <c r="D1407" s="20">
        <f>_xll.mirGetDate(C1407,D$17,"Following",D$12,"Normal")</f>
        <v>44428</v>
      </c>
      <c r="E1407" s="134">
        <f ca="1"/>
        <v>1.5259317384221762E-2</v>
      </c>
      <c r="F1407" s="7" t="s">
        <v>3</v>
      </c>
      <c r="G1407" s="136">
        <f t="shared" si="21"/>
        <v>44427</v>
      </c>
      <c r="H1407" s="20">
        <f>_xll.mirGetDate(G1407,H$17,"Following",H$12,"Normal")</f>
        <v>44519</v>
      </c>
      <c r="I1407" s="134">
        <f ca="1"/>
        <v>1.9514612106321886E-2</v>
      </c>
      <c r="J1407" s="120" t="s">
        <v>3</v>
      </c>
    </row>
    <row r="1408" spans="1:10" x14ac:dyDescent="0.25">
      <c r="A1408" s="126">
        <v>1386</v>
      </c>
      <c r="B1408" s="119"/>
      <c r="C1408" s="136">
        <f>_xll.mirGetDate(C1407,"1D","FOLLOWING",D$12,"NORMAL")</f>
        <v>44428</v>
      </c>
      <c r="D1408" s="20">
        <f>_xll.mirGetDate(C1408,D$17,"Following",D$12,"Normal")</f>
        <v>44431</v>
      </c>
      <c r="E1408" s="134">
        <f ca="1"/>
        <v>1.5267973614464282E-2</v>
      </c>
      <c r="F1408" s="7" t="s">
        <v>3</v>
      </c>
      <c r="G1408" s="136">
        <f t="shared" si="21"/>
        <v>44428</v>
      </c>
      <c r="H1408" s="20">
        <f>_xll.mirGetDate(G1408,H$17,"Following",H$12,"Normal")</f>
        <v>44522</v>
      </c>
      <c r="I1408" s="134">
        <f ca="1"/>
        <v>1.9519293309123591E-2</v>
      </c>
      <c r="J1408" s="120" t="s">
        <v>3</v>
      </c>
    </row>
    <row r="1409" spans="1:10" x14ac:dyDescent="0.25">
      <c r="A1409" s="126">
        <v>1387</v>
      </c>
      <c r="B1409" s="119"/>
      <c r="C1409" s="136">
        <f>_xll.mirGetDate(C1408,"1D","FOLLOWING",D$12,"NORMAL")</f>
        <v>44431</v>
      </c>
      <c r="D1409" s="20">
        <f>_xll.mirGetDate(C1409,D$17,"Following",D$12,"Normal")</f>
        <v>44432</v>
      </c>
      <c r="E1409" s="134">
        <f ca="1"/>
        <v>1.5274951433796702E-2</v>
      </c>
      <c r="F1409" s="7" t="s">
        <v>3</v>
      </c>
      <c r="G1409" s="136">
        <f t="shared" si="21"/>
        <v>44431</v>
      </c>
      <c r="H1409" s="20">
        <f>_xll.mirGetDate(G1409,H$17,"Following",H$12,"Normal")</f>
        <v>44523</v>
      </c>
      <c r="I1409" s="134">
        <f ca="1"/>
        <v>1.9533173992443996E-2</v>
      </c>
      <c r="J1409" s="120" t="s">
        <v>3</v>
      </c>
    </row>
    <row r="1410" spans="1:10" x14ac:dyDescent="0.25">
      <c r="A1410" s="126">
        <v>1388</v>
      </c>
      <c r="B1410" s="119"/>
      <c r="C1410" s="136">
        <f>_xll.mirGetDate(C1409,"1D","FOLLOWING",D$12,"NORMAL")</f>
        <v>44432</v>
      </c>
      <c r="D1410" s="20">
        <f>_xll.mirGetDate(C1410,D$17,"Following",D$12,"Normal")</f>
        <v>44433</v>
      </c>
      <c r="E1410" s="134">
        <f ca="1"/>
        <v>1.5278148917439447E-2</v>
      </c>
      <c r="F1410" s="7" t="s">
        <v>3</v>
      </c>
      <c r="G1410" s="136">
        <f t="shared" si="21"/>
        <v>44432</v>
      </c>
      <c r="H1410" s="20">
        <f>_xll.mirGetDate(G1410,H$17,"Following",H$12,"Normal")</f>
        <v>44524</v>
      </c>
      <c r="I1410" s="134">
        <f ca="1"/>
        <v>1.9537752502554163E-2</v>
      </c>
      <c r="J1410" s="120" t="s">
        <v>3</v>
      </c>
    </row>
    <row r="1411" spans="1:10" x14ac:dyDescent="0.25">
      <c r="A1411" s="126">
        <v>1389</v>
      </c>
      <c r="B1411" s="119"/>
      <c r="C1411" s="136">
        <f>_xll.mirGetDate(C1410,"1D","FOLLOWING",D$12,"NORMAL")</f>
        <v>44433</v>
      </c>
      <c r="D1411" s="20">
        <f>_xll.mirGetDate(C1411,D$17,"Following",D$12,"Normal")</f>
        <v>44434</v>
      </c>
      <c r="E1411" s="134">
        <f ca="1"/>
        <v>1.5281362513144102E-2</v>
      </c>
      <c r="F1411" s="7" t="s">
        <v>3</v>
      </c>
      <c r="G1411" s="136">
        <f t="shared" si="21"/>
        <v>44433</v>
      </c>
      <c r="H1411" s="20">
        <f>_xll.mirGetDate(G1411,H$17,"Following",H$12,"Normal")</f>
        <v>44526</v>
      </c>
      <c r="I1411" s="134">
        <f ca="1"/>
        <v>1.9542318473978196E-2</v>
      </c>
      <c r="J1411" s="120" t="s">
        <v>3</v>
      </c>
    </row>
    <row r="1412" spans="1:10" x14ac:dyDescent="0.25">
      <c r="A1412" s="126">
        <v>1390</v>
      </c>
      <c r="B1412" s="119"/>
      <c r="C1412" s="136">
        <f>_xll.mirGetDate(C1411,"1D","FOLLOWING",D$12,"NORMAL")</f>
        <v>44434</v>
      </c>
      <c r="D1412" s="20">
        <f>_xll.mirGetDate(C1412,D$17,"Following",D$12,"Normal")</f>
        <v>44435</v>
      </c>
      <c r="E1412" s="134">
        <f ca="1"/>
        <v>1.528459222364803E-2</v>
      </c>
      <c r="F1412" s="7" t="s">
        <v>3</v>
      </c>
      <c r="G1412" s="136">
        <f t="shared" si="21"/>
        <v>44434</v>
      </c>
      <c r="H1412" s="20">
        <f>_xll.mirGetDate(G1412,H$17,"Following",H$12,"Normal")</f>
        <v>44526</v>
      </c>
      <c r="I1412" s="134">
        <f ca="1"/>
        <v>1.9546872020215607E-2</v>
      </c>
      <c r="J1412" s="120" t="s">
        <v>3</v>
      </c>
    </row>
    <row r="1413" spans="1:10" x14ac:dyDescent="0.25">
      <c r="A1413" s="126">
        <v>1391</v>
      </c>
      <c r="B1413" s="119"/>
      <c r="C1413" s="136">
        <f>_xll.mirGetDate(C1412,"1D","FOLLOWING",D$12,"NORMAL")</f>
        <v>44435</v>
      </c>
      <c r="D1413" s="20">
        <f>_xll.mirGetDate(C1413,D$17,"Following",D$12,"Normal")</f>
        <v>44438</v>
      </c>
      <c r="E1413" s="134">
        <f ca="1"/>
        <v>1.5291754877661341E-2</v>
      </c>
      <c r="F1413" s="7" t="s">
        <v>3</v>
      </c>
      <c r="G1413" s="136">
        <f t="shared" si="21"/>
        <v>44435</v>
      </c>
      <c r="H1413" s="20">
        <f>_xll.mirGetDate(G1413,H$17,"Following",H$12,"Normal")</f>
        <v>44529</v>
      </c>
      <c r="I1413" s="134">
        <f ca="1"/>
        <v>1.9551413254765906E-2</v>
      </c>
      <c r="J1413" s="120" t="s">
        <v>3</v>
      </c>
    </row>
    <row r="1414" spans="1:10" x14ac:dyDescent="0.25">
      <c r="A1414" s="126">
        <v>1392</v>
      </c>
      <c r="B1414" s="119"/>
      <c r="C1414" s="136">
        <f>_xll.mirGetDate(C1413,"1D","FOLLOWING",D$12,"NORMAL")</f>
        <v>44438</v>
      </c>
      <c r="D1414" s="20">
        <f>_xll.mirGetDate(C1414,D$17,"Following",D$12,"Normal")</f>
        <v>44439</v>
      </c>
      <c r="E1414" s="134">
        <f ca="1"/>
        <v>1.5297672268934916E-2</v>
      </c>
      <c r="F1414" s="7" t="s">
        <v>3</v>
      </c>
      <c r="G1414" s="136">
        <f t="shared" si="21"/>
        <v>44438</v>
      </c>
      <c r="H1414" s="20">
        <f>_xll.mirGetDate(G1414,H$17,"Following",H$12,"Normal")</f>
        <v>44530</v>
      </c>
      <c r="I1414" s="134">
        <f ca="1"/>
        <v>1.9564964223289284E-2</v>
      </c>
      <c r="J1414" s="120" t="s">
        <v>3</v>
      </c>
    </row>
    <row r="1415" spans="1:10" x14ac:dyDescent="0.25">
      <c r="A1415" s="126">
        <v>1393</v>
      </c>
      <c r="B1415" s="119"/>
      <c r="C1415" s="136">
        <f>_xll.mirGetDate(C1414,"1D","FOLLOWING",D$12,"NORMAL")</f>
        <v>44439</v>
      </c>
      <c r="D1415" s="20">
        <f>_xll.mirGetDate(C1415,D$17,"Following",D$12,"Normal")</f>
        <v>44440</v>
      </c>
      <c r="E1415" s="134">
        <f ca="1"/>
        <v>1.5300982595103202E-2</v>
      </c>
      <c r="F1415" s="7" t="s">
        <v>3</v>
      </c>
      <c r="G1415" s="136">
        <f t="shared" si="21"/>
        <v>44439</v>
      </c>
      <c r="H1415" s="20">
        <f>_xll.mirGetDate(G1415,H$17,"Following",H$12,"Normal")</f>
        <v>44530</v>
      </c>
      <c r="I1415" s="134">
        <f ca="1"/>
        <v>1.9569457346086273E-2</v>
      </c>
      <c r="J1415" s="120" t="s">
        <v>3</v>
      </c>
    </row>
    <row r="1416" spans="1:10" x14ac:dyDescent="0.25">
      <c r="A1416" s="126">
        <v>1394</v>
      </c>
      <c r="B1416" s="119"/>
      <c r="C1416" s="136">
        <f>_xll.mirGetDate(C1415,"1D","FOLLOWING",D$12,"NORMAL")</f>
        <v>44440</v>
      </c>
      <c r="D1416" s="20">
        <f>_xll.mirGetDate(C1416,D$17,"Following",D$12,"Normal")</f>
        <v>44441</v>
      </c>
      <c r="E1416" s="134">
        <f ca="1"/>
        <v>1.5304309052857349E-2</v>
      </c>
      <c r="F1416" s="7" t="s">
        <v>3</v>
      </c>
      <c r="G1416" s="136">
        <f t="shared" si="21"/>
        <v>44440</v>
      </c>
      <c r="H1416" s="20">
        <f>_xll.mirGetDate(G1416,H$17,"Following",H$12,"Normal")</f>
        <v>44531</v>
      </c>
      <c r="I1416" s="134">
        <f ca="1"/>
        <v>1.9573938724693717E-2</v>
      </c>
      <c r="J1416" s="120" t="s">
        <v>3</v>
      </c>
    </row>
    <row r="1417" spans="1:10" x14ac:dyDescent="0.25">
      <c r="A1417" s="126">
        <v>1395</v>
      </c>
      <c r="B1417" s="119"/>
      <c r="C1417" s="136">
        <f>_xll.mirGetDate(C1416,"1D","FOLLOWING",D$12,"NORMAL")</f>
        <v>44441</v>
      </c>
      <c r="D1417" s="20">
        <f>_xll.mirGetDate(C1417,D$17,"Following",D$12,"Normal")</f>
        <v>44442</v>
      </c>
      <c r="E1417" s="134">
        <f ca="1"/>
        <v>1.5307651644895609E-2</v>
      </c>
      <c r="F1417" s="7" t="s">
        <v>3</v>
      </c>
      <c r="G1417" s="136">
        <f t="shared" si="21"/>
        <v>44441</v>
      </c>
      <c r="H1417" s="20">
        <f>_xll.mirGetDate(G1417,H$17,"Following",H$12,"Normal")</f>
        <v>44532</v>
      </c>
      <c r="I1417" s="134">
        <f ca="1"/>
        <v>1.9578408472611126E-2</v>
      </c>
      <c r="J1417" s="120" t="s">
        <v>3</v>
      </c>
    </row>
    <row r="1418" spans="1:10" x14ac:dyDescent="0.25">
      <c r="A1418" s="126">
        <v>1396</v>
      </c>
      <c r="B1418" s="119"/>
      <c r="C1418" s="136">
        <f>_xll.mirGetDate(C1417,"1D","FOLLOWING",D$12,"NORMAL")</f>
        <v>44442</v>
      </c>
      <c r="D1418" s="20">
        <f>_xll.mirGetDate(C1418,D$17,"Following",D$12,"Normal")</f>
        <v>44446</v>
      </c>
      <c r="E1418" s="134">
        <f ca="1"/>
        <v>1.5317066276472389E-2</v>
      </c>
      <c r="F1418" s="7" t="s">
        <v>3</v>
      </c>
      <c r="G1418" s="136">
        <f t="shared" si="21"/>
        <v>44442</v>
      </c>
      <c r="H1418" s="20">
        <f>_xll.mirGetDate(G1418,H$17,"Following",H$12,"Normal")</f>
        <v>44533</v>
      </c>
      <c r="I1418" s="134">
        <f ca="1"/>
        <v>1.9582866703338014E-2</v>
      </c>
      <c r="J1418" s="120" t="s">
        <v>3</v>
      </c>
    </row>
    <row r="1419" spans="1:10" x14ac:dyDescent="0.25">
      <c r="A1419" s="126">
        <v>1397</v>
      </c>
      <c r="B1419" s="119"/>
      <c r="C1419" s="136">
        <f>_xll.mirGetDate(C1418,"1D","FOLLOWING",D$12,"NORMAL")</f>
        <v>44446</v>
      </c>
      <c r="D1419" s="20">
        <f>_xll.mirGetDate(C1419,D$17,"Following",D$12,"Normal")</f>
        <v>44447</v>
      </c>
      <c r="E1419" s="134">
        <f ca="1"/>
        <v>1.5324606718560665E-2</v>
      </c>
      <c r="F1419" s="7" t="s">
        <v>3</v>
      </c>
      <c r="G1419" s="136">
        <f t="shared" si="21"/>
        <v>44446</v>
      </c>
      <c r="H1419" s="20">
        <f>_xll.mirGetDate(G1419,H$17,"Following",H$12,"Normal")</f>
        <v>44537</v>
      </c>
      <c r="I1419" s="134">
        <f ca="1"/>
        <v>1.9600586724330592E-2</v>
      </c>
      <c r="J1419" s="120" t="s">
        <v>3</v>
      </c>
    </row>
    <row r="1420" spans="1:10" x14ac:dyDescent="0.25">
      <c r="A1420" s="126">
        <v>1398</v>
      </c>
      <c r="B1420" s="119"/>
      <c r="C1420" s="136">
        <f>_xll.mirGetDate(C1419,"1D","FOLLOWING",D$12,"NORMAL")</f>
        <v>44447</v>
      </c>
      <c r="D1420" s="20">
        <f>_xll.mirGetDate(C1420,D$17,"Following",D$12,"Normal")</f>
        <v>44448</v>
      </c>
      <c r="E1420" s="134">
        <f ca="1"/>
        <v>1.532804617568468E-2</v>
      </c>
      <c r="F1420" s="7" t="s">
        <v>3</v>
      </c>
      <c r="G1420" s="136">
        <f t="shared" si="21"/>
        <v>44447</v>
      </c>
      <c r="H1420" s="20">
        <f>_xll.mirGetDate(G1420,H$17,"Following",H$12,"Normal")</f>
        <v>44538</v>
      </c>
      <c r="I1420" s="134">
        <f ca="1"/>
        <v>1.9604989071597557E-2</v>
      </c>
      <c r="J1420" s="120" t="s">
        <v>3</v>
      </c>
    </row>
    <row r="1421" spans="1:10" x14ac:dyDescent="0.25">
      <c r="A1421" s="126">
        <v>1399</v>
      </c>
      <c r="B1421" s="119"/>
      <c r="C1421" s="136">
        <f>_xll.mirGetDate(C1420,"1D","FOLLOWING",D$12,"NORMAL")</f>
        <v>44448</v>
      </c>
      <c r="D1421" s="20">
        <f>_xll.mirGetDate(C1421,D$17,"Following",D$12,"Normal")</f>
        <v>44449</v>
      </c>
      <c r="E1421" s="134">
        <f ca="1"/>
        <v>1.5331501786757063E-2</v>
      </c>
      <c r="F1421" s="7" t="s">
        <v>3</v>
      </c>
      <c r="G1421" s="136">
        <f t="shared" si="21"/>
        <v>44448</v>
      </c>
      <c r="H1421" s="20">
        <f>_xll.mirGetDate(G1421,H$17,"Following",H$12,"Normal")</f>
        <v>44539</v>
      </c>
      <c r="I1421" s="134">
        <f ca="1"/>
        <v>1.9609380582671074E-2</v>
      </c>
      <c r="J1421" s="120" t="s">
        <v>3</v>
      </c>
    </row>
    <row r="1422" spans="1:10" x14ac:dyDescent="0.25">
      <c r="A1422" s="126">
        <v>1400</v>
      </c>
      <c r="B1422" s="119"/>
      <c r="C1422" s="136">
        <f>_xll.mirGetDate(C1421,"1D","FOLLOWING",D$12,"NORMAL")</f>
        <v>44449</v>
      </c>
      <c r="D1422" s="20">
        <f>_xll.mirGetDate(C1422,D$17,"Following",D$12,"Normal")</f>
        <v>44452</v>
      </c>
      <c r="E1422" s="134">
        <f ca="1"/>
        <v>1.5339120402631841E-2</v>
      </c>
      <c r="F1422" s="7" t="s">
        <v>3</v>
      </c>
      <c r="G1422" s="136">
        <f t="shared" si="21"/>
        <v>44449</v>
      </c>
      <c r="H1422" s="20">
        <f>_xll.mirGetDate(G1422,H$17,"Following",H$12,"Normal")</f>
        <v>44540</v>
      </c>
      <c r="I1422" s="134">
        <f ca="1"/>
        <v>1.9613761371050659E-2</v>
      </c>
      <c r="J1422" s="120" t="s">
        <v>3</v>
      </c>
    </row>
    <row r="1423" spans="1:10" x14ac:dyDescent="0.25">
      <c r="A1423" s="126">
        <v>1401</v>
      </c>
      <c r="B1423" s="119"/>
      <c r="C1423" s="136">
        <f>_xll.mirGetDate(C1422,"1D","FOLLOWING",D$12,"NORMAL")</f>
        <v>44452</v>
      </c>
      <c r="D1423" s="20">
        <f>_xll.mirGetDate(C1423,D$17,"Following",D$12,"Normal")</f>
        <v>44453</v>
      </c>
      <c r="E1423" s="134">
        <f ca="1"/>
        <v>1.5345485827322579E-2</v>
      </c>
      <c r="F1423" s="7" t="s">
        <v>3</v>
      </c>
      <c r="G1423" s="136">
        <f t="shared" si="21"/>
        <v>44452</v>
      </c>
      <c r="H1423" s="20">
        <f>_xll.mirGetDate(G1423,H$17,"Following",H$12,"Normal")</f>
        <v>44543</v>
      </c>
      <c r="I1423" s="134">
        <f ca="1"/>
        <v>1.962684053502093E-2</v>
      </c>
      <c r="J1423" s="120" t="s">
        <v>3</v>
      </c>
    </row>
    <row r="1424" spans="1:10" x14ac:dyDescent="0.25">
      <c r="A1424" s="126">
        <v>1402</v>
      </c>
      <c r="B1424" s="119"/>
      <c r="C1424" s="136">
        <f>_xll.mirGetDate(C1423,"1D","FOLLOWING",D$12,"NORMAL")</f>
        <v>44453</v>
      </c>
      <c r="D1424" s="20">
        <f>_xll.mirGetDate(C1424,D$17,"Following",D$12,"Normal")</f>
        <v>44454</v>
      </c>
      <c r="E1424" s="134">
        <f ca="1"/>
        <v>1.5349022250561738E-2</v>
      </c>
      <c r="F1424" s="7" t="s">
        <v>3</v>
      </c>
      <c r="G1424" s="136">
        <f t="shared" si="21"/>
        <v>44453</v>
      </c>
      <c r="H1424" s="20">
        <f>_xll.mirGetDate(G1424,H$17,"Following",H$12,"Normal")</f>
        <v>44544</v>
      </c>
      <c r="I1424" s="134">
        <f ca="1"/>
        <v>1.9631179567619901E-2</v>
      </c>
      <c r="J1424" s="120" t="s">
        <v>3</v>
      </c>
    </row>
    <row r="1425" spans="1:10" x14ac:dyDescent="0.25">
      <c r="A1425" s="126">
        <v>1403</v>
      </c>
      <c r="B1425" s="119"/>
      <c r="C1425" s="136">
        <f>_xll.mirGetDate(C1424,"1D","FOLLOWING",D$12,"NORMAL")</f>
        <v>44454</v>
      </c>
      <c r="D1425" s="20">
        <f>_xll.mirGetDate(C1425,D$17,"Following",D$12,"Normal")</f>
        <v>44455</v>
      </c>
      <c r="E1425" s="134">
        <f ca="1"/>
        <v>1.535257484485557E-2</v>
      </c>
      <c r="F1425" s="7" t="s">
        <v>3</v>
      </c>
      <c r="G1425" s="136">
        <f t="shared" si="21"/>
        <v>44454</v>
      </c>
      <c r="H1425" s="20">
        <f>_xll.mirGetDate(G1425,H$17,"Following",H$12,"Normal")</f>
        <v>44545</v>
      </c>
      <c r="I1425" s="134">
        <f ca="1"/>
        <v>1.9635508445022501E-2</v>
      </c>
      <c r="J1425" s="120" t="s">
        <v>3</v>
      </c>
    </row>
    <row r="1426" spans="1:10" x14ac:dyDescent="0.25">
      <c r="A1426" s="126">
        <v>1404</v>
      </c>
      <c r="B1426" s="119"/>
      <c r="C1426" s="136">
        <f>_xll.mirGetDate(C1425,"1D","FOLLOWING",D$12,"NORMAL")</f>
        <v>44455</v>
      </c>
      <c r="D1426" s="20">
        <f>_xll.mirGetDate(C1426,D$17,"Following",D$12,"Normal")</f>
        <v>44456</v>
      </c>
      <c r="E1426" s="134">
        <f ca="1"/>
        <v>1.535614361278166E-2</v>
      </c>
      <c r="F1426" s="7" t="s">
        <v>3</v>
      </c>
      <c r="G1426" s="136">
        <f t="shared" si="21"/>
        <v>44455</v>
      </c>
      <c r="H1426" s="20">
        <f>_xll.mirGetDate(G1426,H$17,"Following",H$12,"Normal")</f>
        <v>44546</v>
      </c>
      <c r="I1426" s="134">
        <f ca="1"/>
        <v>1.9639827280728238E-2</v>
      </c>
      <c r="J1426" s="120" t="s">
        <v>3</v>
      </c>
    </row>
    <row r="1427" spans="1:10" x14ac:dyDescent="0.25">
      <c r="A1427" s="126">
        <v>1405</v>
      </c>
      <c r="B1427" s="119"/>
      <c r="C1427" s="136">
        <f>_xll.mirGetDate(C1426,"1D","FOLLOWING",D$12,"NORMAL")</f>
        <v>44456</v>
      </c>
      <c r="D1427" s="20">
        <f>_xll.mirGetDate(C1427,D$17,"Following",D$12,"Normal")</f>
        <v>44459</v>
      </c>
      <c r="E1427" s="134">
        <f ca="1"/>
        <v>1.5363990729308287E-2</v>
      </c>
      <c r="F1427" s="7" t="s">
        <v>3</v>
      </c>
      <c r="G1427" s="136">
        <f t="shared" si="21"/>
        <v>44456</v>
      </c>
      <c r="H1427" s="20">
        <f>_xll.mirGetDate(G1427,H$17,"Following",H$12,"Normal")</f>
        <v>44547</v>
      </c>
      <c r="I1427" s="134">
        <f ca="1"/>
        <v>1.9644136188236634E-2</v>
      </c>
      <c r="J1427" s="120" t="s">
        <v>3</v>
      </c>
    </row>
    <row r="1428" spans="1:10" x14ac:dyDescent="0.25">
      <c r="A1428" s="126">
        <v>1406</v>
      </c>
      <c r="B1428" s="119"/>
      <c r="C1428" s="136">
        <f>_xll.mirGetDate(C1427,"1D","FOLLOWING",D$12,"NORMAL")</f>
        <v>44459</v>
      </c>
      <c r="D1428" s="20">
        <f>_xll.mirGetDate(C1428,D$17,"Following",D$12,"Normal")</f>
        <v>44460</v>
      </c>
      <c r="E1428" s="134">
        <f ca="1"/>
        <v>1.5370580478724374E-2</v>
      </c>
      <c r="F1428" s="7" t="s">
        <v>3</v>
      </c>
      <c r="G1428" s="136">
        <f t="shared" si="21"/>
        <v>44459</v>
      </c>
      <c r="H1428" s="20">
        <f>_xll.mirGetDate(G1428,H$17,"Following",H$12,"Normal")</f>
        <v>44550</v>
      </c>
      <c r="I1428" s="134">
        <f ca="1"/>
        <v>1.9657004476572853E-2</v>
      </c>
      <c r="J1428" s="120" t="s">
        <v>3</v>
      </c>
    </row>
    <row r="1429" spans="1:10" x14ac:dyDescent="0.25">
      <c r="A1429" s="126">
        <v>1407</v>
      </c>
      <c r="B1429" s="119"/>
      <c r="C1429" s="136">
        <f>_xll.mirGetDate(C1428,"1D","FOLLOWING",D$12,"NORMAL")</f>
        <v>44460</v>
      </c>
      <c r="D1429" s="20">
        <f>_xll.mirGetDate(C1429,D$17,"Following",D$12,"Normal")</f>
        <v>44461</v>
      </c>
      <c r="E1429" s="134">
        <f ca="1"/>
        <v>1.5374230157838382E-2</v>
      </c>
      <c r="F1429" s="7" t="s">
        <v>3</v>
      </c>
      <c r="G1429" s="136">
        <f t="shared" si="21"/>
        <v>44460</v>
      </c>
      <c r="H1429" s="20">
        <f>_xll.mirGetDate(G1429,H$17,"Following",H$12,"Normal")</f>
        <v>44551</v>
      </c>
      <c r="I1429" s="134">
        <f ca="1"/>
        <v>1.9661274806286981E-2</v>
      </c>
      <c r="J1429" s="120" t="s">
        <v>3</v>
      </c>
    </row>
    <row r="1430" spans="1:10" x14ac:dyDescent="0.25">
      <c r="A1430" s="126">
        <v>1408</v>
      </c>
      <c r="B1430" s="119"/>
      <c r="C1430" s="136">
        <f>_xll.mirGetDate(C1429,"1D","FOLLOWING",D$12,"NORMAL")</f>
        <v>44461</v>
      </c>
      <c r="D1430" s="20">
        <f>_xll.mirGetDate(C1430,D$17,"Following",D$12,"Normal")</f>
        <v>44462</v>
      </c>
      <c r="E1430" s="134">
        <f ca="1"/>
        <v>1.537789602785085E-2</v>
      </c>
      <c r="F1430" s="7" t="s">
        <v>3</v>
      </c>
      <c r="G1430" s="136">
        <f t="shared" si="21"/>
        <v>44461</v>
      </c>
      <c r="H1430" s="20">
        <f>_xll.mirGetDate(G1430,H$17,"Following",H$12,"Normal")</f>
        <v>44552</v>
      </c>
      <c r="I1430" s="134">
        <f ca="1"/>
        <v>1.9665535775301328E-2</v>
      </c>
      <c r="J1430" s="120" t="s">
        <v>3</v>
      </c>
    </row>
    <row r="1431" spans="1:10" x14ac:dyDescent="0.25">
      <c r="A1431" s="126">
        <v>1409</v>
      </c>
      <c r="B1431" s="119"/>
      <c r="C1431" s="136">
        <f>_xll.mirGetDate(C1430,"1D","FOLLOWING",D$12,"NORMAL")</f>
        <v>44462</v>
      </c>
      <c r="D1431" s="20">
        <f>_xll.mirGetDate(C1431,D$17,"Following",D$12,"Normal")</f>
        <v>44463</v>
      </c>
      <c r="E1431" s="134">
        <f ca="1"/>
        <v>1.5381578091220132E-2</v>
      </c>
      <c r="F1431" s="7" t="s">
        <v>3</v>
      </c>
      <c r="G1431" s="136">
        <f t="shared" si="21"/>
        <v>44462</v>
      </c>
      <c r="H1431" s="20">
        <f>_xll.mirGetDate(G1431,H$17,"Following",H$12,"Normal")</f>
        <v>44553</v>
      </c>
      <c r="I1431" s="134">
        <f ca="1"/>
        <v>1.9669787497115399E-2</v>
      </c>
      <c r="J1431" s="120" t="s">
        <v>3</v>
      </c>
    </row>
    <row r="1432" spans="1:10" x14ac:dyDescent="0.25">
      <c r="A1432" s="126">
        <v>1410</v>
      </c>
      <c r="B1432" s="119"/>
      <c r="C1432" s="136">
        <f>_xll.mirGetDate(C1431,"1D","FOLLOWING",D$12,"NORMAL")</f>
        <v>44463</v>
      </c>
      <c r="D1432" s="20">
        <f>_xll.mirGetDate(C1432,D$17,"Following",D$12,"Normal")</f>
        <v>44466</v>
      </c>
      <c r="E1432" s="134">
        <f ca="1"/>
        <v>1.5389654057146082E-2</v>
      </c>
      <c r="F1432" s="7" t="s">
        <v>3</v>
      </c>
      <c r="G1432" s="136">
        <f t="shared" ref="G1432:G1495" si="22">$C1432</f>
        <v>44463</v>
      </c>
      <c r="H1432" s="20">
        <f>_xll.mirGetDate(G1432,H$17,"Following",H$12,"Normal")</f>
        <v>44554</v>
      </c>
      <c r="I1432" s="134">
        <f ca="1"/>
        <v>1.9674030085228712E-2</v>
      </c>
      <c r="J1432" s="120" t="s">
        <v>3</v>
      </c>
    </row>
    <row r="1433" spans="1:10" x14ac:dyDescent="0.25">
      <c r="A1433" s="126">
        <v>1411</v>
      </c>
      <c r="B1433" s="119"/>
      <c r="C1433" s="136">
        <f>_xll.mirGetDate(C1432,"1D","FOLLOWING",D$12,"NORMAL")</f>
        <v>44466</v>
      </c>
      <c r="D1433" s="20">
        <f>_xll.mirGetDate(C1433,D$17,"Following",D$12,"Normal")</f>
        <v>44467</v>
      </c>
      <c r="E1433" s="134">
        <f ca="1"/>
        <v>1.5396468337855832E-2</v>
      </c>
      <c r="F1433" s="7" t="s">
        <v>3</v>
      </c>
      <c r="G1433" s="136">
        <f t="shared" si="22"/>
        <v>44466</v>
      </c>
      <c r="H1433" s="20">
        <f>_xll.mirGetDate(G1433,H$17,"Following",H$12,"Normal")</f>
        <v>44557</v>
      </c>
      <c r="I1433" s="134">
        <f ca="1"/>
        <v>1.9686704182359214E-2</v>
      </c>
      <c r="J1433" s="120" t="s">
        <v>3</v>
      </c>
    </row>
    <row r="1434" spans="1:10" x14ac:dyDescent="0.25">
      <c r="A1434" s="126">
        <v>1412</v>
      </c>
      <c r="B1434" s="119"/>
      <c r="C1434" s="136">
        <f>_xll.mirGetDate(C1433,"1D","FOLLOWING",D$12,"NORMAL")</f>
        <v>44467</v>
      </c>
      <c r="D1434" s="20">
        <f>_xll.mirGetDate(C1434,D$17,"Following",D$12,"Normal")</f>
        <v>44468</v>
      </c>
      <c r="E1434" s="134">
        <f ca="1"/>
        <v>1.5400231411953088E-2</v>
      </c>
      <c r="F1434" s="7" t="s">
        <v>3</v>
      </c>
      <c r="G1434" s="136">
        <f t="shared" si="22"/>
        <v>44467</v>
      </c>
      <c r="H1434" s="20">
        <f>_xll.mirGetDate(G1434,H$17,"Following",H$12,"Normal")</f>
        <v>44558</v>
      </c>
      <c r="I1434" s="134">
        <f ca="1"/>
        <v>1.9690911370664615E-2</v>
      </c>
      <c r="J1434" s="120" t="s">
        <v>3</v>
      </c>
    </row>
    <row r="1435" spans="1:10" x14ac:dyDescent="0.25">
      <c r="A1435" s="126">
        <v>1413</v>
      </c>
      <c r="B1435" s="119"/>
      <c r="C1435" s="136">
        <f>_xll.mirGetDate(C1434,"1D","FOLLOWING",D$12,"NORMAL")</f>
        <v>44468</v>
      </c>
      <c r="D1435" s="20">
        <f>_xll.mirGetDate(C1435,D$17,"Following",D$12,"Normal")</f>
        <v>44469</v>
      </c>
      <c r="E1435" s="134">
        <f ca="1"/>
        <v>1.5404010696753269E-2</v>
      </c>
      <c r="F1435" s="7" t="s">
        <v>3</v>
      </c>
      <c r="G1435" s="136">
        <f t="shared" si="22"/>
        <v>44468</v>
      </c>
      <c r="H1435" s="20">
        <f>_xll.mirGetDate(G1435,H$17,"Following",H$12,"Normal")</f>
        <v>44559</v>
      </c>
      <c r="I1435" s="134">
        <f ca="1"/>
        <v>1.9695109992766819E-2</v>
      </c>
      <c r="J1435" s="120" t="s">
        <v>3</v>
      </c>
    </row>
    <row r="1436" spans="1:10" x14ac:dyDescent="0.25">
      <c r="A1436" s="126">
        <v>1414</v>
      </c>
      <c r="B1436" s="119"/>
      <c r="C1436" s="136">
        <f>_xll.mirGetDate(C1435,"1D","FOLLOWING",D$12,"NORMAL")</f>
        <v>44469</v>
      </c>
      <c r="D1436" s="20">
        <f>_xll.mirGetDate(C1436,D$17,"Following",D$12,"Normal")</f>
        <v>44470</v>
      </c>
      <c r="E1436" s="134">
        <f ca="1"/>
        <v>1.5407806194993899E-2</v>
      </c>
      <c r="F1436" s="7" t="s">
        <v>3</v>
      </c>
      <c r="G1436" s="136">
        <f t="shared" si="22"/>
        <v>44469</v>
      </c>
      <c r="H1436" s="20">
        <f>_xll.mirGetDate(G1436,H$17,"Following",H$12,"Normal")</f>
        <v>44560</v>
      </c>
      <c r="I1436" s="134">
        <f ca="1"/>
        <v>1.9699300162165333E-2</v>
      </c>
      <c r="J1436" s="120" t="s">
        <v>3</v>
      </c>
    </row>
    <row r="1437" spans="1:10" x14ac:dyDescent="0.25">
      <c r="A1437" s="126">
        <v>1415</v>
      </c>
      <c r="B1437" s="119"/>
      <c r="C1437" s="136">
        <f>_xll.mirGetDate(C1436,"1D","FOLLOWING",D$12,"NORMAL")</f>
        <v>44470</v>
      </c>
      <c r="D1437" s="20">
        <f>_xll.mirGetDate(C1437,D$17,"Following",D$12,"Normal")</f>
        <v>44473</v>
      </c>
      <c r="E1437" s="134">
        <f ca="1"/>
        <v>1.5416111360585859E-2</v>
      </c>
      <c r="F1437" s="7" t="s">
        <v>3</v>
      </c>
      <c r="G1437" s="136">
        <f t="shared" si="22"/>
        <v>44470</v>
      </c>
      <c r="H1437" s="20">
        <f>_xll.mirGetDate(G1437,H$17,"Following",H$12,"Normal")</f>
        <v>44564</v>
      </c>
      <c r="I1437" s="134">
        <f ca="1"/>
        <v>1.9703481992359679E-2</v>
      </c>
      <c r="J1437" s="120" t="s">
        <v>3</v>
      </c>
    </row>
    <row r="1438" spans="1:10" x14ac:dyDescent="0.25">
      <c r="A1438" s="126">
        <v>1416</v>
      </c>
      <c r="B1438" s="119"/>
      <c r="C1438" s="136">
        <f>_xll.mirGetDate(C1437,"1D","FOLLOWING",D$12,"NORMAL")</f>
        <v>44473</v>
      </c>
      <c r="D1438" s="20">
        <f>_xll.mirGetDate(C1438,D$17,"Following",D$12,"Normal")</f>
        <v>44474</v>
      </c>
      <c r="E1438" s="134">
        <f ca="1"/>
        <v>1.5423150380276274E-2</v>
      </c>
      <c r="F1438" s="7" t="s">
        <v>3</v>
      </c>
      <c r="G1438" s="136">
        <f t="shared" si="22"/>
        <v>44473</v>
      </c>
      <c r="H1438" s="20">
        <f>_xll.mirGetDate(G1438,H$17,"Following",H$12,"Normal")</f>
        <v>44565</v>
      </c>
      <c r="I1438" s="134">
        <f ca="1"/>
        <v>1.9715978582712804E-2</v>
      </c>
      <c r="J1438" s="120" t="s">
        <v>3</v>
      </c>
    </row>
    <row r="1439" spans="1:10" x14ac:dyDescent="0.25">
      <c r="A1439" s="126">
        <v>1417</v>
      </c>
      <c r="B1439" s="119"/>
      <c r="C1439" s="136">
        <f>_xll.mirGetDate(C1438,"1D","FOLLOWING",D$12,"NORMAL")</f>
        <v>44474</v>
      </c>
      <c r="D1439" s="20">
        <f>_xll.mirGetDate(C1439,D$17,"Following",D$12,"Normal")</f>
        <v>44475</v>
      </c>
      <c r="E1439" s="134">
        <f ca="1"/>
        <v>1.542702698898538E-2</v>
      </c>
      <c r="F1439" s="7" t="s">
        <v>3</v>
      </c>
      <c r="G1439" s="136">
        <f t="shared" si="22"/>
        <v>44474</v>
      </c>
      <c r="H1439" s="20">
        <f>_xll.mirGetDate(G1439,H$17,"Following",H$12,"Normal")</f>
        <v>44566</v>
      </c>
      <c r="I1439" s="134">
        <f ca="1"/>
        <v>1.9720128191085585E-2</v>
      </c>
      <c r="J1439" s="120" t="s">
        <v>3</v>
      </c>
    </row>
    <row r="1440" spans="1:10" x14ac:dyDescent="0.25">
      <c r="A1440" s="126">
        <v>1418</v>
      </c>
      <c r="B1440" s="119"/>
      <c r="C1440" s="136">
        <f>_xll.mirGetDate(C1439,"1D","FOLLOWING",D$12,"NORMAL")</f>
        <v>44475</v>
      </c>
      <c r="D1440" s="20">
        <f>_xll.mirGetDate(C1440,D$17,"Following",D$12,"Normal")</f>
        <v>44476</v>
      </c>
      <c r="E1440" s="134">
        <f ca="1"/>
        <v>1.5430919828321201E-2</v>
      </c>
      <c r="F1440" s="7" t="s">
        <v>3</v>
      </c>
      <c r="G1440" s="136">
        <f t="shared" si="22"/>
        <v>44475</v>
      </c>
      <c r="H1440" s="20">
        <f>_xll.mirGetDate(G1440,H$17,"Following",H$12,"Normal")</f>
        <v>44567</v>
      </c>
      <c r="I1440" s="134">
        <f ca="1"/>
        <v>1.9724270027751754E-2</v>
      </c>
      <c r="J1440" s="120" t="s">
        <v>3</v>
      </c>
    </row>
    <row r="1441" spans="1:10" x14ac:dyDescent="0.25">
      <c r="A1441" s="126">
        <v>1419</v>
      </c>
      <c r="B1441" s="119"/>
      <c r="C1441" s="136">
        <f>_xll.mirGetDate(C1440,"1D","FOLLOWING",D$12,"NORMAL")</f>
        <v>44476</v>
      </c>
      <c r="D1441" s="20">
        <f>_xll.mirGetDate(C1441,D$17,"Following",D$12,"Normal")</f>
        <v>44477</v>
      </c>
      <c r="E1441" s="134">
        <f ca="1"/>
        <v>1.5434828901301574E-2</v>
      </c>
      <c r="F1441" s="7" t="s">
        <v>3</v>
      </c>
      <c r="G1441" s="136">
        <f t="shared" si="22"/>
        <v>44476</v>
      </c>
      <c r="H1441" s="20">
        <f>_xll.mirGetDate(G1441,H$17,"Following",H$12,"Normal")</f>
        <v>44568</v>
      </c>
      <c r="I1441" s="134">
        <f ca="1"/>
        <v>1.9728404206210831E-2</v>
      </c>
      <c r="J1441" s="120" t="s">
        <v>3</v>
      </c>
    </row>
    <row r="1442" spans="1:10" x14ac:dyDescent="0.25">
      <c r="A1442" s="126">
        <v>1420</v>
      </c>
      <c r="B1442" s="119"/>
      <c r="C1442" s="136">
        <f>_xll.mirGetDate(C1441,"1D","FOLLOWING",D$12,"NORMAL")</f>
        <v>44477</v>
      </c>
      <c r="D1442" s="20">
        <f>_xll.mirGetDate(C1442,D$17,"Following",D$12,"Normal")</f>
        <v>44481</v>
      </c>
      <c r="E1442" s="134">
        <f ca="1"/>
        <v>1.5445676714172019E-2</v>
      </c>
      <c r="F1442" s="7" t="s">
        <v>3</v>
      </c>
      <c r="G1442" s="136">
        <f t="shared" si="22"/>
        <v>44477</v>
      </c>
      <c r="H1442" s="20">
        <f>_xll.mirGetDate(G1442,H$17,"Following",H$12,"Normal")</f>
        <v>44571</v>
      </c>
      <c r="I1442" s="134">
        <f ca="1"/>
        <v>1.973253083996232E-2</v>
      </c>
      <c r="J1442" s="120" t="s">
        <v>3</v>
      </c>
    </row>
    <row r="1443" spans="1:10" x14ac:dyDescent="0.25">
      <c r="A1443" s="126">
        <v>1421</v>
      </c>
      <c r="B1443" s="119"/>
      <c r="C1443" s="136">
        <f>_xll.mirGetDate(C1442,"1D","FOLLOWING",D$12,"NORMAL")</f>
        <v>44481</v>
      </c>
      <c r="D1443" s="20">
        <f>_xll.mirGetDate(C1443,D$17,"Following",D$12,"Normal")</f>
        <v>44482</v>
      </c>
      <c r="E1443" s="134">
        <f ca="1"/>
        <v>1.5454617869690462E-2</v>
      </c>
      <c r="F1443" s="7" t="s">
        <v>3</v>
      </c>
      <c r="G1443" s="136">
        <f t="shared" si="22"/>
        <v>44481</v>
      </c>
      <c r="H1443" s="20">
        <f>_xll.mirGetDate(G1443,H$17,"Following",H$12,"Normal")</f>
        <v>44573</v>
      </c>
      <c r="I1443" s="134">
        <f ca="1"/>
        <v>1.9748964197882673E-2</v>
      </c>
      <c r="J1443" s="120" t="s">
        <v>3</v>
      </c>
    </row>
    <row r="1444" spans="1:10" x14ac:dyDescent="0.25">
      <c r="A1444" s="126">
        <v>1422</v>
      </c>
      <c r="B1444" s="119"/>
      <c r="C1444" s="136">
        <f>_xll.mirGetDate(C1443,"1D","FOLLOWING",D$12,"NORMAL")</f>
        <v>44482</v>
      </c>
      <c r="D1444" s="20">
        <f>_xll.mirGetDate(C1444,D$17,"Following",D$12,"Normal")</f>
        <v>44483</v>
      </c>
      <c r="E1444" s="134">
        <f ca="1"/>
        <v>1.5458624404229652E-2</v>
      </c>
      <c r="F1444" s="7" t="s">
        <v>3</v>
      </c>
      <c r="G1444" s="136">
        <f t="shared" si="22"/>
        <v>44482</v>
      </c>
      <c r="H1444" s="20">
        <f>_xll.mirGetDate(G1444,H$17,"Following",H$12,"Normal")</f>
        <v>44574</v>
      </c>
      <c r="I1444" s="134">
        <f ca="1"/>
        <v>1.9753054810588925E-2</v>
      </c>
      <c r="J1444" s="120" t="s">
        <v>3</v>
      </c>
    </row>
    <row r="1445" spans="1:10" x14ac:dyDescent="0.25">
      <c r="A1445" s="126">
        <v>1423</v>
      </c>
      <c r="B1445" s="119"/>
      <c r="C1445" s="136">
        <f>_xll.mirGetDate(C1444,"1D","FOLLOWING",D$12,"NORMAL")</f>
        <v>44483</v>
      </c>
      <c r="D1445" s="20">
        <f>_xll.mirGetDate(C1445,D$17,"Following",D$12,"Normal")</f>
        <v>44484</v>
      </c>
      <c r="E1445" s="134">
        <f ca="1"/>
        <v>1.5462647192577035E-2</v>
      </c>
      <c r="F1445" s="7" t="s">
        <v>3</v>
      </c>
      <c r="G1445" s="136">
        <f t="shared" si="22"/>
        <v>44483</v>
      </c>
      <c r="H1445" s="20">
        <f>_xll.mirGetDate(G1445,H$17,"Following",H$12,"Normal")</f>
        <v>44575</v>
      </c>
      <c r="I1445" s="134">
        <f ca="1"/>
        <v>1.9757138559584667E-2</v>
      </c>
      <c r="J1445" s="120" t="s">
        <v>3</v>
      </c>
    </row>
    <row r="1446" spans="1:10" x14ac:dyDescent="0.25">
      <c r="A1446" s="126">
        <v>1424</v>
      </c>
      <c r="B1446" s="119"/>
      <c r="C1446" s="136">
        <f>_xll.mirGetDate(C1445,"1D","FOLLOWING",D$12,"NORMAL")</f>
        <v>44484</v>
      </c>
      <c r="D1446" s="20">
        <f>_xll.mirGetDate(C1446,D$17,"Following",D$12,"Normal")</f>
        <v>44487</v>
      </c>
      <c r="E1446" s="134">
        <f ca="1"/>
        <v>1.5471411816347154E-2</v>
      </c>
      <c r="F1446" s="7" t="s">
        <v>3</v>
      </c>
      <c r="G1446" s="136">
        <f t="shared" si="22"/>
        <v>44484</v>
      </c>
      <c r="H1446" s="20">
        <f>_xll.mirGetDate(G1446,H$17,"Following",H$12,"Normal")</f>
        <v>44579</v>
      </c>
      <c r="I1446" s="134">
        <f ca="1"/>
        <v>1.9761215558369408E-2</v>
      </c>
      <c r="J1446" s="120" t="s">
        <v>3</v>
      </c>
    </row>
    <row r="1447" spans="1:10" x14ac:dyDescent="0.25">
      <c r="A1447" s="126">
        <v>1425</v>
      </c>
      <c r="B1447" s="119"/>
      <c r="C1447" s="136">
        <f>_xll.mirGetDate(C1446,"1D","FOLLOWING",D$12,"NORMAL")</f>
        <v>44487</v>
      </c>
      <c r="D1447" s="20">
        <f>_xll.mirGetDate(C1447,D$17,"Following",D$12,"Normal")</f>
        <v>44488</v>
      </c>
      <c r="E1447" s="134">
        <f ca="1"/>
        <v>1.547890094004498E-2</v>
      </c>
      <c r="F1447" s="7" t="s">
        <v>3</v>
      </c>
      <c r="G1447" s="136">
        <f t="shared" si="22"/>
        <v>44487</v>
      </c>
      <c r="H1447" s="20">
        <f>_xll.mirGetDate(G1447,H$17,"Following",H$12,"Normal")</f>
        <v>44579</v>
      </c>
      <c r="I1447" s="134">
        <f ca="1"/>
        <v>1.9773407188452781E-2</v>
      </c>
      <c r="J1447" s="120" t="s">
        <v>3</v>
      </c>
    </row>
    <row r="1448" spans="1:10" x14ac:dyDescent="0.25">
      <c r="A1448" s="126">
        <v>1426</v>
      </c>
      <c r="B1448" s="119"/>
      <c r="C1448" s="136">
        <f>_xll.mirGetDate(C1447,"1D","FOLLOWING",D$12,"NORMAL")</f>
        <v>44488</v>
      </c>
      <c r="D1448" s="20">
        <f>_xll.mirGetDate(C1448,D$17,"Following",D$12,"Normal")</f>
        <v>44489</v>
      </c>
      <c r="E1448" s="134">
        <f ca="1"/>
        <v>1.5483005039979925E-2</v>
      </c>
      <c r="F1448" s="7" t="s">
        <v>3</v>
      </c>
      <c r="G1448" s="136">
        <f t="shared" si="22"/>
        <v>44488</v>
      </c>
      <c r="H1448" s="20">
        <f>_xll.mirGetDate(G1448,H$17,"Following",H$12,"Normal")</f>
        <v>44580</v>
      </c>
      <c r="I1448" s="134">
        <f ca="1"/>
        <v>1.977745832138866E-2</v>
      </c>
      <c r="J1448" s="120" t="s">
        <v>3</v>
      </c>
    </row>
    <row r="1449" spans="1:10" x14ac:dyDescent="0.25">
      <c r="A1449" s="126">
        <v>1427</v>
      </c>
      <c r="B1449" s="119"/>
      <c r="C1449" s="136">
        <f>_xll.mirGetDate(C1448,"1D","FOLLOWING",D$12,"NORMAL")</f>
        <v>44489</v>
      </c>
      <c r="D1449" s="20">
        <f>_xll.mirGetDate(C1449,D$17,"Following",D$12,"Normal")</f>
        <v>44490</v>
      </c>
      <c r="E1449" s="134">
        <f ca="1"/>
        <v>1.5487125410904377E-2</v>
      </c>
      <c r="F1449" s="7" t="s">
        <v>3</v>
      </c>
      <c r="G1449" s="136">
        <f t="shared" si="22"/>
        <v>44489</v>
      </c>
      <c r="H1449" s="20">
        <f>_xll.mirGetDate(G1449,H$17,"Following",H$12,"Normal")</f>
        <v>44581</v>
      </c>
      <c r="I1449" s="134">
        <f ca="1"/>
        <v>1.9781503271611104E-2</v>
      </c>
      <c r="J1449" s="120" t="s">
        <v>3</v>
      </c>
    </row>
    <row r="1450" spans="1:10" x14ac:dyDescent="0.25">
      <c r="A1450" s="126">
        <v>1428</v>
      </c>
      <c r="B1450" s="119"/>
      <c r="C1450" s="136">
        <f>_xll.mirGetDate(C1449,"1D","FOLLOWING",D$12,"NORMAL")</f>
        <v>44490</v>
      </c>
      <c r="D1450" s="20">
        <f>_xll.mirGetDate(C1450,D$17,"Following",D$12,"Normal")</f>
        <v>44491</v>
      </c>
      <c r="E1450" s="134">
        <f ca="1"/>
        <v>1.5491262055855914E-2</v>
      </c>
      <c r="F1450" s="7" t="s">
        <v>3</v>
      </c>
      <c r="G1450" s="136">
        <f t="shared" si="22"/>
        <v>44490</v>
      </c>
      <c r="H1450" s="20">
        <f>_xll.mirGetDate(G1450,H$17,"Following",H$12,"Normal")</f>
        <v>44582</v>
      </c>
      <c r="I1450" s="134">
        <f ca="1"/>
        <v>1.9785542152619625E-2</v>
      </c>
      <c r="J1450" s="120" t="s">
        <v>3</v>
      </c>
    </row>
    <row r="1451" spans="1:10" x14ac:dyDescent="0.25">
      <c r="A1451" s="126">
        <v>1429</v>
      </c>
      <c r="B1451" s="119"/>
      <c r="C1451" s="136">
        <f>_xll.mirGetDate(C1450,"1D","FOLLOWING",D$12,"NORMAL")</f>
        <v>44491</v>
      </c>
      <c r="D1451" s="20">
        <f>_xll.mirGetDate(C1451,D$17,"Following",D$12,"Normal")</f>
        <v>44494</v>
      </c>
      <c r="E1451" s="134">
        <f ca="1"/>
        <v>1.5500256941835329E-2</v>
      </c>
      <c r="F1451" s="7" t="s">
        <v>3</v>
      </c>
      <c r="G1451" s="136">
        <f t="shared" si="22"/>
        <v>44491</v>
      </c>
      <c r="H1451" s="20">
        <f>_xll.mirGetDate(G1451,H$17,"Following",H$12,"Normal")</f>
        <v>44585</v>
      </c>
      <c r="I1451" s="134">
        <f ca="1"/>
        <v>1.9789575077913735E-2</v>
      </c>
      <c r="J1451" s="120" t="s">
        <v>3</v>
      </c>
    </row>
    <row r="1452" spans="1:10" x14ac:dyDescent="0.25">
      <c r="A1452" s="126">
        <v>1430</v>
      </c>
      <c r="B1452" s="119"/>
      <c r="C1452" s="136">
        <f>_xll.mirGetDate(C1451,"1D","FOLLOWING",D$12,"NORMAL")</f>
        <v>44494</v>
      </c>
      <c r="D1452" s="20">
        <f>_xll.mirGetDate(C1452,D$17,"Following",D$12,"Normal")</f>
        <v>44495</v>
      </c>
      <c r="E1452" s="134">
        <f ca="1"/>
        <v>1.5507971432618154E-2</v>
      </c>
      <c r="F1452" s="7" t="s">
        <v>3</v>
      </c>
      <c r="G1452" s="136">
        <f t="shared" si="22"/>
        <v>44494</v>
      </c>
      <c r="H1452" s="20">
        <f>_xll.mirGetDate(G1452,H$17,"Following",H$12,"Normal")</f>
        <v>44586</v>
      </c>
      <c r="I1452" s="134">
        <f ca="1"/>
        <v>1.9801639254504736E-2</v>
      </c>
      <c r="J1452" s="120" t="s">
        <v>3</v>
      </c>
    </row>
    <row r="1453" spans="1:10" x14ac:dyDescent="0.25">
      <c r="A1453" s="126">
        <v>1431</v>
      </c>
      <c r="B1453" s="119"/>
      <c r="C1453" s="136">
        <f>_xll.mirGetDate(C1452,"1D","FOLLOWING",D$12,"NORMAL")</f>
        <v>44495</v>
      </c>
      <c r="D1453" s="20">
        <f>_xll.mirGetDate(C1453,D$17,"Following",D$12,"Normal")</f>
        <v>44496</v>
      </c>
      <c r="E1453" s="134">
        <f ca="1"/>
        <v>1.5512189490596091E-2</v>
      </c>
      <c r="F1453" s="7" t="s">
        <v>3</v>
      </c>
      <c r="G1453" s="136">
        <f t="shared" si="22"/>
        <v>44495</v>
      </c>
      <c r="H1453" s="20">
        <f>_xll.mirGetDate(G1453,H$17,"Following",H$12,"Normal")</f>
        <v>44587</v>
      </c>
      <c r="I1453" s="134">
        <f ca="1"/>
        <v>1.980564949193633E-2</v>
      </c>
      <c r="J1453" s="120" t="s">
        <v>3</v>
      </c>
    </row>
    <row r="1454" spans="1:10" x14ac:dyDescent="0.25">
      <c r="A1454" s="126">
        <v>1432</v>
      </c>
      <c r="B1454" s="119"/>
      <c r="C1454" s="136">
        <f>_xll.mirGetDate(C1453,"1D","FOLLOWING",D$12,"NORMAL")</f>
        <v>44496</v>
      </c>
      <c r="D1454" s="20">
        <f>_xll.mirGetDate(C1454,D$17,"Following",D$12,"Normal")</f>
        <v>44497</v>
      </c>
      <c r="E1454" s="134">
        <f ca="1"/>
        <v>1.5516423839952203E-2</v>
      </c>
      <c r="F1454" s="7" t="s">
        <v>3</v>
      </c>
      <c r="G1454" s="136">
        <f t="shared" si="22"/>
        <v>44496</v>
      </c>
      <c r="H1454" s="20">
        <f>_xll.mirGetDate(G1454,H$17,"Following",H$12,"Normal")</f>
        <v>44588</v>
      </c>
      <c r="I1454" s="134">
        <f ca="1"/>
        <v>1.9809654341151079E-2</v>
      </c>
      <c r="J1454" s="120" t="s">
        <v>3</v>
      </c>
    </row>
    <row r="1455" spans="1:10" x14ac:dyDescent="0.25">
      <c r="A1455" s="126">
        <v>1433</v>
      </c>
      <c r="B1455" s="119"/>
      <c r="C1455" s="136">
        <f>_xll.mirGetDate(C1454,"1D","FOLLOWING",D$12,"NORMAL")</f>
        <v>44497</v>
      </c>
      <c r="D1455" s="20">
        <f>_xll.mirGetDate(C1455,D$17,"Following",D$12,"Normal")</f>
        <v>44498</v>
      </c>
      <c r="E1455" s="134">
        <f ca="1"/>
        <v>1.5520674483544343E-2</v>
      </c>
      <c r="F1455" s="7" t="s">
        <v>3</v>
      </c>
      <c r="G1455" s="136">
        <f t="shared" si="22"/>
        <v>44497</v>
      </c>
      <c r="H1455" s="20">
        <f>_xll.mirGetDate(G1455,H$17,"Following",H$12,"Normal")</f>
        <v>44589</v>
      </c>
      <c r="I1455" s="134">
        <f ca="1"/>
        <v>1.9813653915648488E-2</v>
      </c>
      <c r="J1455" s="120" t="s">
        <v>3</v>
      </c>
    </row>
    <row r="1456" spans="1:10" x14ac:dyDescent="0.25">
      <c r="A1456" s="126">
        <v>1434</v>
      </c>
      <c r="B1456" s="119"/>
      <c r="C1456" s="136">
        <f>_xll.mirGetDate(C1455,"1D","FOLLOWING",D$12,"NORMAL")</f>
        <v>44498</v>
      </c>
      <c r="D1456" s="20">
        <f>_xll.mirGetDate(C1456,D$17,"Following",D$12,"Normal")</f>
        <v>44501</v>
      </c>
      <c r="E1456" s="134">
        <f ca="1"/>
        <v>1.5529899989693336E-2</v>
      </c>
      <c r="F1456" s="7" t="s">
        <v>3</v>
      </c>
      <c r="G1456" s="136">
        <f t="shared" si="22"/>
        <v>44498</v>
      </c>
      <c r="H1456" s="20">
        <f>_xll.mirGetDate(G1456,H$17,"Following",H$12,"Normal")</f>
        <v>44592</v>
      </c>
      <c r="I1456" s="134">
        <f ca="1"/>
        <v>1.9817648328928079E-2</v>
      </c>
      <c r="J1456" s="120" t="s">
        <v>3</v>
      </c>
    </row>
    <row r="1457" spans="1:10" x14ac:dyDescent="0.25">
      <c r="A1457" s="126">
        <v>1435</v>
      </c>
      <c r="B1457" s="119"/>
      <c r="C1457" s="136">
        <f>_xll.mirGetDate(C1456,"1D","FOLLOWING",D$12,"NORMAL")</f>
        <v>44501</v>
      </c>
      <c r="D1457" s="20">
        <f>_xll.mirGetDate(C1457,D$17,"Following",D$12,"Normal")</f>
        <v>44502</v>
      </c>
      <c r="E1457" s="134">
        <f ca="1"/>
        <v>1.5537840058985411E-2</v>
      </c>
      <c r="F1457" s="7" t="s">
        <v>3</v>
      </c>
      <c r="G1457" s="136">
        <f t="shared" si="22"/>
        <v>44501</v>
      </c>
      <c r="H1457" s="20">
        <f>_xll.mirGetDate(G1457,H$17,"Following",H$12,"Normal")</f>
        <v>44593</v>
      </c>
      <c r="I1457" s="134">
        <f ca="1"/>
        <v>1.9829601736455042E-2</v>
      </c>
      <c r="J1457" s="120" t="s">
        <v>3</v>
      </c>
    </row>
    <row r="1458" spans="1:10" x14ac:dyDescent="0.25">
      <c r="A1458" s="126">
        <v>1436</v>
      </c>
      <c r="B1458" s="119"/>
      <c r="C1458" s="136">
        <f>_xll.mirGetDate(C1457,"1D","FOLLOWING",D$12,"NORMAL")</f>
        <v>44502</v>
      </c>
      <c r="D1458" s="20">
        <f>_xll.mirGetDate(C1458,D$17,"Following",D$12,"Normal")</f>
        <v>44503</v>
      </c>
      <c r="E1458" s="134">
        <f ca="1"/>
        <v>1.5542172217542269E-2</v>
      </c>
      <c r="F1458" s="7" t="s">
        <v>3</v>
      </c>
      <c r="G1458" s="136">
        <f t="shared" si="22"/>
        <v>44502</v>
      </c>
      <c r="H1458" s="20">
        <f>_xll.mirGetDate(G1458,H$17,"Following",H$12,"Normal")</f>
        <v>44594</v>
      </c>
      <c r="I1458" s="134">
        <f ca="1"/>
        <v>1.9833576639858463E-2</v>
      </c>
      <c r="J1458" s="120" t="s">
        <v>3</v>
      </c>
    </row>
    <row r="1459" spans="1:10" x14ac:dyDescent="0.25">
      <c r="A1459" s="126">
        <v>1437</v>
      </c>
      <c r="B1459" s="119"/>
      <c r="C1459" s="136">
        <f>_xll.mirGetDate(C1458,"1D","FOLLOWING",D$12,"NORMAL")</f>
        <v>44503</v>
      </c>
      <c r="D1459" s="20">
        <f>_xll.mirGetDate(C1459,D$17,"Following",D$12,"Normal")</f>
        <v>44504</v>
      </c>
      <c r="E1459" s="134">
        <f ca="1"/>
        <v>1.5546520688080946E-2</v>
      </c>
      <c r="F1459" s="7" t="s">
        <v>3</v>
      </c>
      <c r="G1459" s="136">
        <f t="shared" si="22"/>
        <v>44503</v>
      </c>
      <c r="H1459" s="20">
        <f>_xll.mirGetDate(G1459,H$17,"Following",H$12,"Normal")</f>
        <v>44595</v>
      </c>
      <c r="I1459" s="134">
        <f ca="1"/>
        <v>1.9837546949541627E-2</v>
      </c>
      <c r="J1459" s="120" t="s">
        <v>3</v>
      </c>
    </row>
    <row r="1460" spans="1:10" x14ac:dyDescent="0.25">
      <c r="A1460" s="126">
        <v>1438</v>
      </c>
      <c r="B1460" s="119"/>
      <c r="C1460" s="136">
        <f>_xll.mirGetDate(C1459,"1D","FOLLOWING",D$12,"NORMAL")</f>
        <v>44504</v>
      </c>
      <c r="D1460" s="20">
        <f>_xll.mirGetDate(C1460,D$17,"Following",D$12,"Normal")</f>
        <v>44505</v>
      </c>
      <c r="E1460" s="134">
        <f ca="1"/>
        <v>1.5550885473179276E-2</v>
      </c>
      <c r="F1460" s="7" t="s">
        <v>3</v>
      </c>
      <c r="G1460" s="136">
        <f t="shared" si="22"/>
        <v>44504</v>
      </c>
      <c r="H1460" s="20">
        <f>_xll.mirGetDate(G1460,H$17,"Following",H$12,"Normal")</f>
        <v>44596</v>
      </c>
      <c r="I1460" s="134">
        <f ca="1"/>
        <v>1.984151277900404E-2</v>
      </c>
      <c r="J1460" s="120" t="s">
        <v>3</v>
      </c>
    </row>
    <row r="1461" spans="1:10" x14ac:dyDescent="0.25">
      <c r="A1461" s="126">
        <v>1439</v>
      </c>
      <c r="B1461" s="119"/>
      <c r="C1461" s="136">
        <f>_xll.mirGetDate(C1460,"1D","FOLLOWING",D$12,"NORMAL")</f>
        <v>44505</v>
      </c>
      <c r="D1461" s="20">
        <f>_xll.mirGetDate(C1461,D$17,"Following",D$12,"Normal")</f>
        <v>44508</v>
      </c>
      <c r="E1461" s="134">
        <f ca="1"/>
        <v>1.5560341959410032E-2</v>
      </c>
      <c r="F1461" s="7" t="s">
        <v>3</v>
      </c>
      <c r="G1461" s="136">
        <f t="shared" si="22"/>
        <v>44505</v>
      </c>
      <c r="H1461" s="20">
        <f>_xll.mirGetDate(G1461,H$17,"Following",H$12,"Normal")</f>
        <v>44599</v>
      </c>
      <c r="I1461" s="134">
        <f ca="1"/>
        <v>1.9845474241745223E-2</v>
      </c>
      <c r="J1461" s="120" t="s">
        <v>3</v>
      </c>
    </row>
    <row r="1462" spans="1:10" x14ac:dyDescent="0.25">
      <c r="A1462" s="126">
        <v>1440</v>
      </c>
      <c r="B1462" s="119"/>
      <c r="C1462" s="136">
        <f>_xll.mirGetDate(C1461,"1D","FOLLOWING",D$12,"NORMAL")</f>
        <v>44508</v>
      </c>
      <c r="D1462" s="20">
        <f>_xll.mirGetDate(C1462,D$17,"Following",D$12,"Normal")</f>
        <v>44509</v>
      </c>
      <c r="E1462" s="134">
        <f ca="1"/>
        <v>1.5568507819641355E-2</v>
      </c>
      <c r="F1462" s="7" t="s">
        <v>3</v>
      </c>
      <c r="G1462" s="136">
        <f t="shared" si="22"/>
        <v>44508</v>
      </c>
      <c r="H1462" s="20">
        <f>_xll.mirGetDate(G1462,H$17,"Following",H$12,"Normal")</f>
        <v>44600</v>
      </c>
      <c r="I1462" s="134">
        <f ca="1"/>
        <v>1.9857333564636478E-2</v>
      </c>
      <c r="J1462" s="120" t="s">
        <v>3</v>
      </c>
    </row>
    <row r="1463" spans="1:10" x14ac:dyDescent="0.25">
      <c r="A1463" s="126">
        <v>1441</v>
      </c>
      <c r="B1463" s="119"/>
      <c r="C1463" s="136">
        <f>_xll.mirGetDate(C1462,"1D","FOLLOWING",D$12,"NORMAL")</f>
        <v>44509</v>
      </c>
      <c r="D1463" s="20">
        <f>_xll.mirGetDate(C1463,D$17,"Following",D$12,"Normal")</f>
        <v>44510</v>
      </c>
      <c r="E1463" s="134">
        <f ca="1"/>
        <v>1.5572954222242483E-2</v>
      </c>
      <c r="F1463" s="7" t="s">
        <v>3</v>
      </c>
      <c r="G1463" s="136">
        <f t="shared" si="22"/>
        <v>44509</v>
      </c>
      <c r="H1463" s="20">
        <f>_xll.mirGetDate(G1463,H$17,"Following",H$12,"Normal")</f>
        <v>44601</v>
      </c>
      <c r="I1463" s="134">
        <f ca="1"/>
        <v>1.9861278695487844E-2</v>
      </c>
      <c r="J1463" s="120" t="s">
        <v>3</v>
      </c>
    </row>
    <row r="1464" spans="1:10" x14ac:dyDescent="0.25">
      <c r="A1464" s="126">
        <v>1442</v>
      </c>
      <c r="B1464" s="119"/>
      <c r="C1464" s="136">
        <f>_xll.mirGetDate(C1463,"1D","FOLLOWING",D$12,"NORMAL")</f>
        <v>44510</v>
      </c>
      <c r="D1464" s="20">
        <f>_xll.mirGetDate(C1464,D$17,"Following",D$12,"Normal")</f>
        <v>44512</v>
      </c>
      <c r="E1464" s="134">
        <f ca="1"/>
        <v>1.5579993611476495E-2</v>
      </c>
      <c r="F1464" s="7" t="s">
        <v>3</v>
      </c>
      <c r="G1464" s="136">
        <f t="shared" si="22"/>
        <v>44510</v>
      </c>
      <c r="H1464" s="20">
        <f>_xll.mirGetDate(G1464,H$17,"Following",H$12,"Normal")</f>
        <v>44602</v>
      </c>
      <c r="I1464" s="134">
        <f ca="1"/>
        <v>1.9865220027115535E-2</v>
      </c>
      <c r="J1464" s="120" t="s">
        <v>3</v>
      </c>
    </row>
    <row r="1465" spans="1:10" x14ac:dyDescent="0.25">
      <c r="A1465" s="126">
        <v>1443</v>
      </c>
      <c r="B1465" s="119"/>
      <c r="C1465" s="136">
        <f>_xll.mirGetDate(C1464,"1D","FOLLOWING",D$12,"NORMAL")</f>
        <v>44512</v>
      </c>
      <c r="D1465" s="20">
        <f>_xll.mirGetDate(C1465,D$17,"Following",D$12,"Normal")</f>
        <v>44515</v>
      </c>
      <c r="E1465" s="134">
        <f ca="1"/>
        <v>1.5591583855868228E-2</v>
      </c>
      <c r="F1465" s="7" t="s">
        <v>3</v>
      </c>
      <c r="G1465" s="136">
        <f t="shared" si="22"/>
        <v>44512</v>
      </c>
      <c r="H1465" s="20">
        <f>_xll.mirGetDate(G1465,H$17,"Following",H$12,"Normal")</f>
        <v>44606</v>
      </c>
      <c r="I1465" s="134">
        <f ca="1"/>
        <v>1.9873091746697949E-2</v>
      </c>
      <c r="J1465" s="120" t="s">
        <v>3</v>
      </c>
    </row>
    <row r="1466" spans="1:10" x14ac:dyDescent="0.25">
      <c r="A1466" s="126">
        <v>1444</v>
      </c>
      <c r="B1466" s="119"/>
      <c r="C1466" s="136">
        <f>_xll.mirGetDate(C1465,"1D","FOLLOWING",D$12,"NORMAL")</f>
        <v>44515</v>
      </c>
      <c r="D1466" s="20">
        <f>_xll.mirGetDate(C1466,D$17,"Following",D$12,"Normal")</f>
        <v>44516</v>
      </c>
      <c r="E1466" s="134">
        <f ca="1"/>
        <v>1.5599975720481444E-2</v>
      </c>
      <c r="F1466" s="7" t="s">
        <v>3</v>
      </c>
      <c r="G1466" s="136">
        <f t="shared" si="22"/>
        <v>44515</v>
      </c>
      <c r="H1466" s="20">
        <f>_xll.mirGetDate(G1466,H$17,"Following",H$12,"Normal")</f>
        <v>44607</v>
      </c>
      <c r="I1466" s="134">
        <f ca="1"/>
        <v>1.9884873669381832E-2</v>
      </c>
      <c r="J1466" s="120" t="s">
        <v>3</v>
      </c>
    </row>
    <row r="1467" spans="1:10" x14ac:dyDescent="0.25">
      <c r="A1467" s="126">
        <v>1445</v>
      </c>
      <c r="B1467" s="119"/>
      <c r="C1467" s="136">
        <f>_xll.mirGetDate(C1466,"1D","FOLLOWING",D$12,"NORMAL")</f>
        <v>44516</v>
      </c>
      <c r="D1467" s="20">
        <f>_xll.mirGetDate(C1467,D$17,"Following",D$12,"Normal")</f>
        <v>44517</v>
      </c>
      <c r="E1467" s="134">
        <f ca="1"/>
        <v>1.5604536511351404E-2</v>
      </c>
      <c r="F1467" s="7" t="s">
        <v>3</v>
      </c>
      <c r="G1467" s="136">
        <f t="shared" si="22"/>
        <v>44516</v>
      </c>
      <c r="H1467" s="20">
        <f>_xll.mirGetDate(G1467,H$17,"Following",H$12,"Normal")</f>
        <v>44608</v>
      </c>
      <c r="I1467" s="134">
        <f ca="1"/>
        <v>1.9888794589157249E-2</v>
      </c>
      <c r="J1467" s="120" t="s">
        <v>3</v>
      </c>
    </row>
    <row r="1468" spans="1:10" x14ac:dyDescent="0.25">
      <c r="A1468" s="126">
        <v>1446</v>
      </c>
      <c r="B1468" s="119"/>
      <c r="C1468" s="136">
        <f>_xll.mirGetDate(C1467,"1D","FOLLOWING",D$12,"NORMAL")</f>
        <v>44517</v>
      </c>
      <c r="D1468" s="20">
        <f>_xll.mirGetDate(C1468,D$17,"Following",D$12,"Normal")</f>
        <v>44518</v>
      </c>
      <c r="E1468" s="134">
        <f ca="1"/>
        <v>1.5609113655290276E-2</v>
      </c>
      <c r="F1468" s="7" t="s">
        <v>3</v>
      </c>
      <c r="G1468" s="136">
        <f t="shared" si="22"/>
        <v>44517</v>
      </c>
      <c r="H1468" s="20">
        <f>_xll.mirGetDate(G1468,H$17,"Following",H$12,"Normal")</f>
        <v>44609</v>
      </c>
      <c r="I1468" s="134">
        <f ca="1"/>
        <v>1.989271250420558E-2</v>
      </c>
      <c r="J1468" s="120" t="s">
        <v>3</v>
      </c>
    </row>
    <row r="1469" spans="1:10" x14ac:dyDescent="0.25">
      <c r="A1469" s="126">
        <v>1447</v>
      </c>
      <c r="B1469" s="119"/>
      <c r="C1469" s="136">
        <f>_xll.mirGetDate(C1468,"1D","FOLLOWING",D$12,"NORMAL")</f>
        <v>44518</v>
      </c>
      <c r="D1469" s="20">
        <f>_xll.mirGetDate(C1469,D$17,"Following",D$12,"Normal")</f>
        <v>44519</v>
      </c>
      <c r="E1469" s="134">
        <f ca="1"/>
        <v>1.5613707155035848E-2</v>
      </c>
      <c r="F1469" s="7" t="s">
        <v>3</v>
      </c>
      <c r="G1469" s="136">
        <f t="shared" si="22"/>
        <v>44518</v>
      </c>
      <c r="H1469" s="20">
        <f>_xll.mirGetDate(G1469,H$17,"Following",H$12,"Normal")</f>
        <v>44610</v>
      </c>
      <c r="I1469" s="134">
        <f ca="1"/>
        <v>1.9896627528026338E-2</v>
      </c>
      <c r="J1469" s="120" t="s">
        <v>3</v>
      </c>
    </row>
    <row r="1470" spans="1:10" x14ac:dyDescent="0.25">
      <c r="A1470" s="126">
        <v>1448</v>
      </c>
      <c r="B1470" s="119"/>
      <c r="C1470" s="136">
        <f>_xll.mirGetDate(C1469,"1D","FOLLOWING",D$12,"NORMAL")</f>
        <v>44519</v>
      </c>
      <c r="D1470" s="20">
        <f>_xll.mirGetDate(C1470,D$17,"Following",D$12,"Normal")</f>
        <v>44522</v>
      </c>
      <c r="E1470" s="134">
        <f ca="1"/>
        <v>1.5623626689532988E-2</v>
      </c>
      <c r="F1470" s="7" t="s">
        <v>3</v>
      </c>
      <c r="G1470" s="136">
        <f t="shared" si="22"/>
        <v>44519</v>
      </c>
      <c r="H1470" s="20">
        <f>_xll.mirGetDate(G1470,H$17,"Following",H$12,"Normal")</f>
        <v>44614</v>
      </c>
      <c r="I1470" s="134">
        <f ca="1"/>
        <v>1.9900539774119038E-2</v>
      </c>
      <c r="J1470" s="120" t="s">
        <v>3</v>
      </c>
    </row>
    <row r="1471" spans="1:10" x14ac:dyDescent="0.25">
      <c r="A1471" s="126">
        <v>1449</v>
      </c>
      <c r="B1471" s="119"/>
      <c r="C1471" s="136">
        <f>_xll.mirGetDate(C1470,"1D","FOLLOWING",D$12,"NORMAL")</f>
        <v>44522</v>
      </c>
      <c r="D1471" s="20">
        <f>_xll.mirGetDate(C1471,D$17,"Following",D$12,"Normal")</f>
        <v>44523</v>
      </c>
      <c r="E1471" s="134">
        <f ca="1"/>
        <v>1.5632244773116422E-2</v>
      </c>
      <c r="F1471" s="7" t="s">
        <v>3</v>
      </c>
      <c r="G1471" s="136">
        <f t="shared" si="22"/>
        <v>44522</v>
      </c>
      <c r="H1471" s="20">
        <f>_xll.mirGetDate(G1471,H$17,"Following",H$12,"Normal")</f>
        <v>44614</v>
      </c>
      <c r="I1471" s="134">
        <f ca="1"/>
        <v>1.9912260981023888E-2</v>
      </c>
      <c r="J1471" s="120" t="s">
        <v>3</v>
      </c>
    </row>
    <row r="1472" spans="1:10" x14ac:dyDescent="0.25">
      <c r="A1472" s="126">
        <v>1450</v>
      </c>
      <c r="B1472" s="119"/>
      <c r="C1472" s="136">
        <f>_xll.mirGetDate(C1471,"1D","FOLLOWING",D$12,"NORMAL")</f>
        <v>44523</v>
      </c>
      <c r="D1472" s="20">
        <f>_xll.mirGetDate(C1472,D$17,"Following",D$12,"Normal")</f>
        <v>44524</v>
      </c>
      <c r="E1472" s="134">
        <f ca="1"/>
        <v>1.5636085723788939E-2</v>
      </c>
      <c r="F1472" s="7" t="s">
        <v>3</v>
      </c>
      <c r="G1472" s="136">
        <f t="shared" si="22"/>
        <v>44523</v>
      </c>
      <c r="H1472" s="20">
        <f>_xll.mirGetDate(G1472,H$17,"Following",H$12,"Normal")</f>
        <v>44615</v>
      </c>
      <c r="I1472" s="134">
        <f ca="1"/>
        <v>1.9916163251199468E-2</v>
      </c>
      <c r="J1472" s="120" t="s">
        <v>3</v>
      </c>
    </row>
    <row r="1473" spans="1:10" x14ac:dyDescent="0.25">
      <c r="A1473" s="126">
        <v>1451</v>
      </c>
      <c r="B1473" s="119"/>
      <c r="C1473" s="136">
        <f>_xll.mirGetDate(C1472,"1D","FOLLOWING",D$12,"NORMAL")</f>
        <v>44524</v>
      </c>
      <c r="D1473" s="20">
        <f>_xll.mirGetDate(C1473,D$17,"Following",D$12,"Normal")</f>
        <v>44526</v>
      </c>
      <c r="E1473" s="134">
        <f ca="1"/>
        <v>1.5641002399617909E-2</v>
      </c>
      <c r="F1473" s="7" t="s">
        <v>3</v>
      </c>
      <c r="G1473" s="136">
        <f t="shared" si="22"/>
        <v>44524</v>
      </c>
      <c r="H1473" s="20">
        <f>_xll.mirGetDate(G1473,H$17,"Following",H$12,"Normal")</f>
        <v>44616</v>
      </c>
      <c r="I1473" s="134">
        <f ca="1"/>
        <v>1.9920060128301817E-2</v>
      </c>
      <c r="J1473" s="120" t="s">
        <v>3</v>
      </c>
    </row>
    <row r="1474" spans="1:10" x14ac:dyDescent="0.25">
      <c r="A1474" s="126">
        <v>1452</v>
      </c>
      <c r="B1474" s="119"/>
      <c r="C1474" s="136">
        <f>_xll.mirGetDate(C1473,"1D","FOLLOWING",D$12,"NORMAL")</f>
        <v>44526</v>
      </c>
      <c r="D1474" s="20">
        <f>_xll.mirGetDate(C1474,D$17,"Following",D$12,"Normal")</f>
        <v>44529</v>
      </c>
      <c r="E1474" s="134">
        <f ca="1"/>
        <v>1.5649167289676136E-2</v>
      </c>
      <c r="F1474" s="7" t="s">
        <v>3</v>
      </c>
      <c r="G1474" s="136">
        <f t="shared" si="22"/>
        <v>44526</v>
      </c>
      <c r="H1474" s="20">
        <f>_xll.mirGetDate(G1474,H$17,"Following",H$12,"Normal")</f>
        <v>44620</v>
      </c>
      <c r="I1474" s="134">
        <f ca="1"/>
        <v>1.9927828549849556E-2</v>
      </c>
      <c r="J1474" s="120" t="s">
        <v>3</v>
      </c>
    </row>
    <row r="1475" spans="1:10" x14ac:dyDescent="0.25">
      <c r="A1475" s="126">
        <v>1453</v>
      </c>
      <c r="B1475" s="119"/>
      <c r="C1475" s="136">
        <f>_xll.mirGetDate(C1474,"1D","FOLLOWING",D$12,"NORMAL")</f>
        <v>44529</v>
      </c>
      <c r="D1475" s="20">
        <f>_xll.mirGetDate(C1475,D$17,"Following",D$12,"Normal")</f>
        <v>44530</v>
      </c>
      <c r="E1475" s="134">
        <f ca="1"/>
        <v>1.5654903667791983E-2</v>
      </c>
      <c r="F1475" s="7" t="s">
        <v>3</v>
      </c>
      <c r="G1475" s="136">
        <f t="shared" si="22"/>
        <v>44529</v>
      </c>
      <c r="H1475" s="20">
        <f>_xll.mirGetDate(G1475,H$17,"Following",H$12,"Normal")</f>
        <v>44620</v>
      </c>
      <c r="I1475" s="134">
        <f ca="1"/>
        <v>1.9939419258485705E-2</v>
      </c>
      <c r="J1475" s="120" t="s">
        <v>3</v>
      </c>
    </row>
    <row r="1476" spans="1:10" x14ac:dyDescent="0.25">
      <c r="A1476" s="126">
        <v>1454</v>
      </c>
      <c r="B1476" s="119"/>
      <c r="C1476" s="136">
        <f>_xll.mirGetDate(C1475,"1D","FOLLOWING",D$12,"NORMAL")</f>
        <v>44530</v>
      </c>
      <c r="D1476" s="20">
        <f>_xll.mirGetDate(C1476,D$17,"Following",D$12,"Normal")</f>
        <v>44531</v>
      </c>
      <c r="E1476" s="134">
        <f ca="1"/>
        <v>1.5658177422983928E-2</v>
      </c>
      <c r="F1476" s="7" t="s">
        <v>3</v>
      </c>
      <c r="G1476" s="136">
        <f t="shared" si="22"/>
        <v>44530</v>
      </c>
      <c r="H1476" s="20">
        <f>_xll.mirGetDate(G1476,H$17,"Following",H$12,"Normal")</f>
        <v>44620</v>
      </c>
      <c r="I1476" s="134">
        <f ca="1"/>
        <v>1.9943266690503492E-2</v>
      </c>
      <c r="J1476" s="120" t="s">
        <v>3</v>
      </c>
    </row>
    <row r="1477" spans="1:10" x14ac:dyDescent="0.25">
      <c r="A1477" s="126">
        <v>1455</v>
      </c>
      <c r="B1477" s="119"/>
      <c r="C1477" s="136">
        <f>_xll.mirGetDate(C1476,"1D","FOLLOWING",D$12,"NORMAL")</f>
        <v>44531</v>
      </c>
      <c r="D1477" s="20">
        <f>_xll.mirGetDate(C1477,D$17,"Following",D$12,"Normal")</f>
        <v>44532</v>
      </c>
      <c r="E1477" s="134">
        <f ca="1"/>
        <v>1.5661490462501641E-2</v>
      </c>
      <c r="F1477" s="7" t="s">
        <v>3</v>
      </c>
      <c r="G1477" s="136">
        <f t="shared" si="22"/>
        <v>44531</v>
      </c>
      <c r="H1477" s="20">
        <f>_xll.mirGetDate(G1477,H$17,"Following",H$12,"Normal")</f>
        <v>44621</v>
      </c>
      <c r="I1477" s="134">
        <f ca="1"/>
        <v>1.9947106210197144E-2</v>
      </c>
      <c r="J1477" s="120" t="s">
        <v>3</v>
      </c>
    </row>
    <row r="1478" spans="1:10" x14ac:dyDescent="0.25">
      <c r="A1478" s="126">
        <v>1456</v>
      </c>
      <c r="B1478" s="119"/>
      <c r="C1478" s="136">
        <f>_xll.mirGetDate(C1477,"1D","FOLLOWING",D$12,"NORMAL")</f>
        <v>44532</v>
      </c>
      <c r="D1478" s="20">
        <f>_xll.mirGetDate(C1478,D$17,"Following",D$12,"Normal")</f>
        <v>44533</v>
      </c>
      <c r="E1478" s="134">
        <f ca="1"/>
        <v>1.5664842793319596E-2</v>
      </c>
      <c r="F1478" s="7" t="s">
        <v>3</v>
      </c>
      <c r="G1478" s="136">
        <f t="shared" si="22"/>
        <v>44532</v>
      </c>
      <c r="H1478" s="20">
        <f>_xll.mirGetDate(G1478,H$17,"Following",H$12,"Normal")</f>
        <v>44622</v>
      </c>
      <c r="I1478" s="134">
        <f ca="1"/>
        <v>1.9950937911430461E-2</v>
      </c>
      <c r="J1478" s="120" t="s">
        <v>3</v>
      </c>
    </row>
    <row r="1479" spans="1:10" x14ac:dyDescent="0.25">
      <c r="A1479" s="126">
        <v>1457</v>
      </c>
      <c r="B1479" s="119"/>
      <c r="C1479" s="136">
        <f>_xll.mirGetDate(C1478,"1D","FOLLOWING",D$12,"NORMAL")</f>
        <v>44533</v>
      </c>
      <c r="D1479" s="20">
        <f>_xll.mirGetDate(C1479,D$17,"Following",D$12,"Normal")</f>
        <v>44536</v>
      </c>
      <c r="E1479" s="134">
        <f ca="1"/>
        <v>1.5672360696656115E-2</v>
      </c>
      <c r="F1479" s="7" t="s">
        <v>3</v>
      </c>
      <c r="G1479" s="136">
        <f t="shared" si="22"/>
        <v>44533</v>
      </c>
      <c r="H1479" s="20">
        <f>_xll.mirGetDate(G1479,H$17,"Following",H$12,"Normal")</f>
        <v>44623</v>
      </c>
      <c r="I1479" s="134">
        <f ca="1"/>
        <v>1.9954761888067232E-2</v>
      </c>
      <c r="J1479" s="120" t="s">
        <v>3</v>
      </c>
    </row>
    <row r="1480" spans="1:10" x14ac:dyDescent="0.25">
      <c r="A1480" s="126">
        <v>1458</v>
      </c>
      <c r="B1480" s="119"/>
      <c r="C1480" s="136">
        <f>_xll.mirGetDate(C1479,"1D","FOLLOWING",D$12,"NORMAL")</f>
        <v>44536</v>
      </c>
      <c r="D1480" s="20">
        <f>_xll.mirGetDate(C1480,D$17,"Following",D$12,"Normal")</f>
        <v>44537</v>
      </c>
      <c r="E1480" s="134">
        <f ca="1"/>
        <v>1.5678645167438214E-2</v>
      </c>
      <c r="F1480" s="7" t="s">
        <v>3</v>
      </c>
      <c r="G1480" s="136">
        <f t="shared" si="22"/>
        <v>44536</v>
      </c>
      <c r="H1480" s="20">
        <f>_xll.mirGetDate(G1480,H$17,"Following",H$12,"Normal")</f>
        <v>44627</v>
      </c>
      <c r="I1480" s="134">
        <f ca="1"/>
        <v>1.9966188409036287E-2</v>
      </c>
      <c r="J1480" s="120" t="s">
        <v>3</v>
      </c>
    </row>
    <row r="1481" spans="1:10" x14ac:dyDescent="0.25">
      <c r="A1481" s="126">
        <v>1459</v>
      </c>
      <c r="B1481" s="119"/>
      <c r="C1481" s="136">
        <f>_xll.mirGetDate(C1480,"1D","FOLLOWING",D$12,"NORMAL")</f>
        <v>44537</v>
      </c>
      <c r="D1481" s="20">
        <f>_xll.mirGetDate(C1481,D$17,"Following",D$12,"Normal")</f>
        <v>44538</v>
      </c>
      <c r="E1481" s="134">
        <f ca="1"/>
        <v>1.5682194058144538E-2</v>
      </c>
      <c r="F1481" s="7" t="s">
        <v>3</v>
      </c>
      <c r="G1481" s="136">
        <f t="shared" si="22"/>
        <v>44537</v>
      </c>
      <c r="H1481" s="20">
        <f>_xll.mirGetDate(G1481,H$17,"Following",H$12,"Normal")</f>
        <v>44627</v>
      </c>
      <c r="I1481" s="134">
        <f ca="1"/>
        <v>1.9969982425924872E-2</v>
      </c>
      <c r="J1481" s="120" t="s">
        <v>3</v>
      </c>
    </row>
    <row r="1482" spans="1:10" x14ac:dyDescent="0.25">
      <c r="A1482" s="126">
        <v>1460</v>
      </c>
      <c r="B1482" s="119"/>
      <c r="C1482" s="136">
        <f>_xll.mirGetDate(C1481,"1D","FOLLOWING",D$12,"NORMAL")</f>
        <v>44538</v>
      </c>
      <c r="D1482" s="20">
        <f>_xll.mirGetDate(C1482,D$17,"Following",D$12,"Normal")</f>
        <v>44539</v>
      </c>
      <c r="E1482" s="134">
        <f ca="1"/>
        <v>1.5685782281617867E-2</v>
      </c>
      <c r="F1482" s="7" t="s">
        <v>3</v>
      </c>
      <c r="G1482" s="136">
        <f t="shared" si="22"/>
        <v>44538</v>
      </c>
      <c r="H1482" s="20">
        <f>_xll.mirGetDate(G1482,H$17,"Following",H$12,"Normal")</f>
        <v>44628</v>
      </c>
      <c r="I1482" s="134">
        <f ca="1"/>
        <v>1.9973769187535913E-2</v>
      </c>
      <c r="J1482" s="120" t="s">
        <v>3</v>
      </c>
    </row>
    <row r="1483" spans="1:10" x14ac:dyDescent="0.25">
      <c r="A1483" s="126">
        <v>1461</v>
      </c>
      <c r="B1483" s="119"/>
      <c r="C1483" s="136">
        <f>_xll.mirGetDate(C1482,"1D","FOLLOWING",D$12,"NORMAL")</f>
        <v>44539</v>
      </c>
      <c r="D1483" s="20">
        <f>_xll.mirGetDate(C1483,D$17,"Following",D$12,"Normal")</f>
        <v>44540</v>
      </c>
      <c r="E1483" s="134">
        <f ca="1"/>
        <v>1.5689409844832702E-2</v>
      </c>
      <c r="F1483" s="7" t="s">
        <v>3</v>
      </c>
      <c r="G1483" s="136">
        <f t="shared" si="22"/>
        <v>44539</v>
      </c>
      <c r="H1483" s="20">
        <f>_xll.mirGetDate(G1483,H$17,"Following",H$12,"Normal")</f>
        <v>44629</v>
      </c>
      <c r="I1483" s="134">
        <f ca="1"/>
        <v>1.9977548787733196E-2</v>
      </c>
      <c r="J1483" s="120" t="s">
        <v>3</v>
      </c>
    </row>
    <row r="1484" spans="1:10" x14ac:dyDescent="0.25">
      <c r="A1484" s="126">
        <v>1462</v>
      </c>
      <c r="B1484" s="119"/>
      <c r="C1484" s="136">
        <f>_xll.mirGetDate(C1483,"1D","FOLLOWING",D$12,"NORMAL")</f>
        <v>44540</v>
      </c>
      <c r="D1484" s="20">
        <f>_xll.mirGetDate(C1484,D$17,"Following",D$12,"Normal")</f>
        <v>44543</v>
      </c>
      <c r="E1484" s="134">
        <f ca="1"/>
        <v>1.5697480562896545E-2</v>
      </c>
      <c r="F1484" s="7" t="s">
        <v>3</v>
      </c>
      <c r="G1484" s="136">
        <f t="shared" si="22"/>
        <v>44540</v>
      </c>
      <c r="H1484" s="20">
        <f>_xll.mirGetDate(G1484,H$17,"Following",H$12,"Normal")</f>
        <v>44630</v>
      </c>
      <c r="I1484" s="134">
        <f ca="1"/>
        <v>1.9981321320380527E-2</v>
      </c>
      <c r="J1484" s="120" t="s">
        <v>3</v>
      </c>
    </row>
    <row r="1485" spans="1:10" x14ac:dyDescent="0.25">
      <c r="A1485" s="126">
        <v>1463</v>
      </c>
      <c r="B1485" s="119"/>
      <c r="C1485" s="136">
        <f>_xll.mirGetDate(C1484,"1D","FOLLOWING",D$12,"NORMAL")</f>
        <v>44543</v>
      </c>
      <c r="D1485" s="20">
        <f>_xll.mirGetDate(C1485,D$17,"Following",D$12,"Normal")</f>
        <v>44544</v>
      </c>
      <c r="E1485" s="134">
        <f ca="1"/>
        <v>1.5704313632636593E-2</v>
      </c>
      <c r="F1485" s="7" t="s">
        <v>3</v>
      </c>
      <c r="G1485" s="136">
        <f t="shared" si="22"/>
        <v>44543</v>
      </c>
      <c r="H1485" s="20">
        <f>_xll.mirGetDate(G1485,H$17,"Following",H$12,"Normal")</f>
        <v>44634</v>
      </c>
      <c r="I1485" s="134">
        <f ca="1"/>
        <v>1.9992597451660748E-2</v>
      </c>
      <c r="J1485" s="120" t="s">
        <v>3</v>
      </c>
    </row>
    <row r="1486" spans="1:10" x14ac:dyDescent="0.25">
      <c r="A1486" s="126">
        <v>1464</v>
      </c>
      <c r="B1486" s="119"/>
      <c r="C1486" s="136">
        <f>_xll.mirGetDate(C1485,"1D","FOLLOWING",D$12,"NORMAL")</f>
        <v>44544</v>
      </c>
      <c r="D1486" s="20">
        <f>_xll.mirGetDate(C1486,D$17,"Following",D$12,"Normal")</f>
        <v>44545</v>
      </c>
      <c r="E1486" s="134">
        <f ca="1"/>
        <v>1.5708137998015945E-2</v>
      </c>
      <c r="F1486" s="7" t="s">
        <v>3</v>
      </c>
      <c r="G1486" s="136">
        <f t="shared" si="22"/>
        <v>44544</v>
      </c>
      <c r="H1486" s="20">
        <f>_xll.mirGetDate(G1486,H$17,"Following",H$12,"Normal")</f>
        <v>44634</v>
      </c>
      <c r="I1486" s="134">
        <f ca="1"/>
        <v>1.9996342652746225E-2</v>
      </c>
      <c r="J1486" s="120" t="s">
        <v>3</v>
      </c>
    </row>
    <row r="1487" spans="1:10" x14ac:dyDescent="0.25">
      <c r="A1487" s="126">
        <v>1465</v>
      </c>
      <c r="B1487" s="119"/>
      <c r="C1487" s="136">
        <f>_xll.mirGetDate(C1486,"1D","FOLLOWING",D$12,"NORMAL")</f>
        <v>44545</v>
      </c>
      <c r="D1487" s="20">
        <f>_xll.mirGetDate(C1487,D$17,"Following",D$12,"Normal")</f>
        <v>44546</v>
      </c>
      <c r="E1487" s="134">
        <f ca="1"/>
        <v>1.5712001744783502E-2</v>
      </c>
      <c r="F1487" s="7" t="s">
        <v>3</v>
      </c>
      <c r="G1487" s="136">
        <f t="shared" si="22"/>
        <v>44545</v>
      </c>
      <c r="H1487" s="20">
        <f>_xll.mirGetDate(G1487,H$17,"Following",H$12,"Normal")</f>
        <v>44635</v>
      </c>
      <c r="I1487" s="134">
        <f ca="1"/>
        <v>2.0000081255600738E-2</v>
      </c>
      <c r="J1487" s="120" t="s">
        <v>3</v>
      </c>
    </row>
    <row r="1488" spans="1:10" x14ac:dyDescent="0.25">
      <c r="A1488" s="126">
        <v>1466</v>
      </c>
      <c r="B1488" s="119"/>
      <c r="C1488" s="136">
        <f>_xll.mirGetDate(C1487,"1D","FOLLOWING",D$12,"NORMAL")</f>
        <v>44546</v>
      </c>
      <c r="D1488" s="20">
        <f>_xll.mirGetDate(C1488,D$17,"Following",D$12,"Normal")</f>
        <v>44547</v>
      </c>
      <c r="E1488" s="134">
        <f ca="1"/>
        <v>1.5715904879873607E-2</v>
      </c>
      <c r="F1488" s="7" t="s">
        <v>3</v>
      </c>
      <c r="G1488" s="136">
        <f t="shared" si="22"/>
        <v>44546</v>
      </c>
      <c r="H1488" s="20">
        <f>_xll.mirGetDate(G1488,H$17,"Following",H$12,"Normal")</f>
        <v>44636</v>
      </c>
      <c r="I1488" s="134">
        <f ca="1"/>
        <v>2.0003813354088077E-2</v>
      </c>
      <c r="J1488" s="120" t="s">
        <v>3</v>
      </c>
    </row>
    <row r="1489" spans="1:10" x14ac:dyDescent="0.25">
      <c r="A1489" s="126">
        <v>1467</v>
      </c>
      <c r="B1489" s="119"/>
      <c r="C1489" s="136">
        <f>_xll.mirGetDate(C1488,"1D","FOLLOWING",D$12,"NORMAL")</f>
        <v>44547</v>
      </c>
      <c r="D1489" s="20">
        <f>_xll.mirGetDate(C1489,D$17,"Following",D$12,"Normal")</f>
        <v>44550</v>
      </c>
      <c r="E1489" s="134">
        <f ca="1"/>
        <v>1.5724529264363525E-2</v>
      </c>
      <c r="F1489" s="7" t="s">
        <v>3</v>
      </c>
      <c r="G1489" s="136">
        <f t="shared" si="22"/>
        <v>44547</v>
      </c>
      <c r="H1489" s="20">
        <f>_xll.mirGetDate(G1489,H$17,"Following",H$12,"Normal")</f>
        <v>44637</v>
      </c>
      <c r="I1489" s="134">
        <f ca="1"/>
        <v>2.0007539042072049E-2</v>
      </c>
      <c r="J1489" s="120" t="s">
        <v>3</v>
      </c>
    </row>
    <row r="1490" spans="1:10" x14ac:dyDescent="0.25">
      <c r="A1490" s="126">
        <v>1468</v>
      </c>
      <c r="B1490" s="119"/>
      <c r="C1490" s="136">
        <f>_xll.mirGetDate(C1489,"1D","FOLLOWING",D$12,"NORMAL")</f>
        <v>44550</v>
      </c>
      <c r="D1490" s="20">
        <f>_xll.mirGetDate(C1490,D$17,"Following",D$12,"Normal")</f>
        <v>44551</v>
      </c>
      <c r="E1490" s="134">
        <f ca="1"/>
        <v>1.5731911441629647E-2</v>
      </c>
      <c r="F1490" s="7" t="s">
        <v>3</v>
      </c>
      <c r="G1490" s="136">
        <f t="shared" si="22"/>
        <v>44550</v>
      </c>
      <c r="H1490" s="20">
        <f>_xll.mirGetDate(G1490,H$17,"Following",H$12,"Normal")</f>
        <v>44641</v>
      </c>
      <c r="I1490" s="134">
        <f ca="1"/>
        <v>2.0018678581641698E-2</v>
      </c>
      <c r="J1490" s="120" t="s">
        <v>3</v>
      </c>
    </row>
    <row r="1491" spans="1:10" x14ac:dyDescent="0.25">
      <c r="A1491" s="126">
        <v>1469</v>
      </c>
      <c r="B1491" s="119"/>
      <c r="C1491" s="136">
        <f>_xll.mirGetDate(C1490,"1D","FOLLOWING",D$12,"NORMAL")</f>
        <v>44551</v>
      </c>
      <c r="D1491" s="20">
        <f>_xll.mirGetDate(C1491,D$17,"Following",D$12,"Normal")</f>
        <v>44552</v>
      </c>
      <c r="E1491" s="134">
        <f ca="1"/>
        <v>1.5736011622389596E-2</v>
      </c>
      <c r="F1491" s="7" t="s">
        <v>3</v>
      </c>
      <c r="G1491" s="136">
        <f t="shared" si="22"/>
        <v>44551</v>
      </c>
      <c r="H1491" s="20">
        <f>_xll.mirGetDate(G1491,H$17,"Following",H$12,"Normal")</f>
        <v>44641</v>
      </c>
      <c r="I1491" s="134">
        <f ca="1"/>
        <v>2.0022379566250151E-2</v>
      </c>
      <c r="J1491" s="120" t="s">
        <v>3</v>
      </c>
    </row>
    <row r="1492" spans="1:10" x14ac:dyDescent="0.25">
      <c r="A1492" s="126">
        <v>1470</v>
      </c>
      <c r="B1492" s="119"/>
      <c r="C1492" s="136">
        <f>_xll.mirGetDate(C1491,"1D","FOLLOWING",D$12,"NORMAL")</f>
        <v>44552</v>
      </c>
      <c r="D1492" s="20">
        <f>_xll.mirGetDate(C1492,D$17,"Following",D$12,"Normal")</f>
        <v>44553</v>
      </c>
      <c r="E1492" s="134">
        <f ca="1"/>
        <v>1.5740151233358573E-2</v>
      </c>
      <c r="F1492" s="7" t="s">
        <v>3</v>
      </c>
      <c r="G1492" s="136">
        <f t="shared" si="22"/>
        <v>44552</v>
      </c>
      <c r="H1492" s="20">
        <f>_xll.mirGetDate(G1492,H$17,"Following",H$12,"Normal")</f>
        <v>44642</v>
      </c>
      <c r="I1492" s="134">
        <f ca="1"/>
        <v>2.0026074609674226E-2</v>
      </c>
      <c r="J1492" s="120" t="s">
        <v>3</v>
      </c>
    </row>
    <row r="1493" spans="1:10" x14ac:dyDescent="0.25">
      <c r="A1493" s="126">
        <v>1471</v>
      </c>
      <c r="B1493" s="119"/>
      <c r="C1493" s="136">
        <f>_xll.mirGetDate(C1492,"1D","FOLLOWING",D$12,"NORMAL")</f>
        <v>44553</v>
      </c>
      <c r="D1493" s="20">
        <f>_xll.mirGetDate(C1493,D$17,"Following",D$12,"Normal")</f>
        <v>44554</v>
      </c>
      <c r="E1493" s="134">
        <f ca="1"/>
        <v>1.5744330281351269E-2</v>
      </c>
      <c r="F1493" s="7" t="s">
        <v>3</v>
      </c>
      <c r="G1493" s="136">
        <f t="shared" si="22"/>
        <v>44553</v>
      </c>
      <c r="H1493" s="20">
        <f>_xll.mirGetDate(G1493,H$17,"Following",H$12,"Normal")</f>
        <v>44643</v>
      </c>
      <c r="I1493" s="134">
        <f ca="1"/>
        <v>2.0029763805777711E-2</v>
      </c>
      <c r="J1493" s="120" t="s">
        <v>3</v>
      </c>
    </row>
    <row r="1494" spans="1:10" x14ac:dyDescent="0.25">
      <c r="A1494" s="126">
        <v>1472</v>
      </c>
      <c r="B1494" s="119"/>
      <c r="C1494" s="136">
        <f>_xll.mirGetDate(C1493,"1D","FOLLOWING",D$12,"NORMAL")</f>
        <v>44554</v>
      </c>
      <c r="D1494" s="20">
        <f>_xll.mirGetDate(C1494,D$17,"Following",D$12,"Normal")</f>
        <v>44557</v>
      </c>
      <c r="E1494" s="134">
        <f ca="1"/>
        <v>1.5753509188635488E-2</v>
      </c>
      <c r="F1494" s="7" t="s">
        <v>3</v>
      </c>
      <c r="G1494" s="136">
        <f t="shared" si="22"/>
        <v>44554</v>
      </c>
      <c r="H1494" s="20">
        <f>_xll.mirGetDate(G1494,H$17,"Following",H$12,"Normal")</f>
        <v>44644</v>
      </c>
      <c r="I1494" s="134">
        <f ca="1"/>
        <v>2.0033447248424409E-2</v>
      </c>
      <c r="J1494" s="120" t="s">
        <v>3</v>
      </c>
    </row>
    <row r="1495" spans="1:10" x14ac:dyDescent="0.25">
      <c r="A1495" s="126">
        <v>1473</v>
      </c>
      <c r="B1495" s="119"/>
      <c r="C1495" s="136">
        <f>_xll.mirGetDate(C1494,"1D","FOLLOWING",D$12,"NORMAL")</f>
        <v>44557</v>
      </c>
      <c r="D1495" s="20">
        <f>_xll.mirGetDate(C1495,D$17,"Following",D$12,"Normal")</f>
        <v>44558</v>
      </c>
      <c r="E1495" s="134">
        <f ca="1"/>
        <v>1.5761440984445672E-2</v>
      </c>
      <c r="F1495" s="7" t="s">
        <v>3</v>
      </c>
      <c r="G1495" s="136">
        <f t="shared" si="22"/>
        <v>44557</v>
      </c>
      <c r="H1495" s="20">
        <f>_xll.mirGetDate(G1495,H$17,"Following",H$12,"Normal")</f>
        <v>44648</v>
      </c>
      <c r="I1495" s="134">
        <f ca="1"/>
        <v>2.0044463994261748E-2</v>
      </c>
      <c r="J1495" s="120" t="s">
        <v>3</v>
      </c>
    </row>
    <row r="1496" spans="1:10" x14ac:dyDescent="0.25">
      <c r="A1496" s="126">
        <v>1474</v>
      </c>
      <c r="B1496" s="119"/>
      <c r="C1496" s="136">
        <f>_xll.mirGetDate(C1495,"1D","FOLLOWING",D$12,"NORMAL")</f>
        <v>44558</v>
      </c>
      <c r="D1496" s="20">
        <f>_xll.mirGetDate(C1496,D$17,"Following",D$12,"Normal")</f>
        <v>44559</v>
      </c>
      <c r="E1496" s="134">
        <f ca="1"/>
        <v>1.5765817323012167E-2</v>
      </c>
      <c r="F1496" s="7" t="s">
        <v>3</v>
      </c>
      <c r="G1496" s="136">
        <f t="shared" ref="G1496:G1522" si="23">$C1496</f>
        <v>44558</v>
      </c>
      <c r="H1496" s="20">
        <f>_xll.mirGetDate(G1496,H$17,"Following",H$12,"Normal")</f>
        <v>44648</v>
      </c>
      <c r="I1496" s="134">
        <f ca="1"/>
        <v>2.0048125361719266E-2</v>
      </c>
      <c r="J1496" s="120" t="s">
        <v>3</v>
      </c>
    </row>
    <row r="1497" spans="1:10" x14ac:dyDescent="0.25">
      <c r="A1497" s="126">
        <v>1475</v>
      </c>
      <c r="B1497" s="119"/>
      <c r="C1497" s="136">
        <f>_xll.mirGetDate(C1496,"1D","FOLLOWING",D$12,"NORMAL")</f>
        <v>44559</v>
      </c>
      <c r="D1497" s="20">
        <f>_xll.mirGetDate(C1497,D$17,"Following",D$12,"Normal")</f>
        <v>44560</v>
      </c>
      <c r="E1497" s="134">
        <f ca="1"/>
        <v>1.5770233140728698E-2</v>
      </c>
      <c r="F1497" s="7" t="s">
        <v>3</v>
      </c>
      <c r="G1497" s="136">
        <f t="shared" si="23"/>
        <v>44559</v>
      </c>
      <c r="H1497" s="20">
        <f>_xll.mirGetDate(G1497,H$17,"Following",H$12,"Normal")</f>
        <v>44649</v>
      </c>
      <c r="I1497" s="134">
        <f ca="1"/>
        <v>2.0051781445038986E-2</v>
      </c>
      <c r="J1497" s="120" t="s">
        <v>3</v>
      </c>
    </row>
    <row r="1498" spans="1:10" x14ac:dyDescent="0.25">
      <c r="A1498" s="126">
        <v>1476</v>
      </c>
      <c r="B1498" s="119"/>
      <c r="C1498" s="136">
        <f>_xll.mirGetDate(C1497,"1D","FOLLOWING",D$12,"NORMAL")</f>
        <v>44560</v>
      </c>
      <c r="D1498" s="20">
        <f>_xll.mirGetDate(C1498,D$17,"Following",D$12,"Normal")</f>
        <v>44561</v>
      </c>
      <c r="E1498" s="134">
        <f ca="1"/>
        <v>1.5774688444769345E-2</v>
      </c>
      <c r="F1498" s="7" t="s">
        <v>3</v>
      </c>
      <c r="G1498" s="136">
        <f t="shared" si="23"/>
        <v>44560</v>
      </c>
      <c r="H1498" s="20">
        <f>_xll.mirGetDate(G1498,H$17,"Following",H$12,"Normal")</f>
        <v>44650</v>
      </c>
      <c r="I1498" s="134">
        <f ca="1"/>
        <v>2.0055432338084704E-2</v>
      </c>
      <c r="J1498" s="120" t="s">
        <v>3</v>
      </c>
    </row>
    <row r="1499" spans="1:10" x14ac:dyDescent="0.25">
      <c r="A1499" s="126">
        <v>1477</v>
      </c>
      <c r="B1499" s="119"/>
      <c r="C1499" s="136">
        <f>_xll.mirGetDate(C1498,"1D","FOLLOWING",D$12,"NORMAL")</f>
        <v>44561</v>
      </c>
      <c r="D1499" s="20">
        <f>_xll.mirGetDate(C1499,D$17,"Following",D$12,"Normal")</f>
        <v>44564</v>
      </c>
      <c r="E1499" s="134">
        <f ca="1"/>
        <v>1.578442273577264E-2</v>
      </c>
      <c r="F1499" s="7" t="s">
        <v>3</v>
      </c>
      <c r="G1499" s="136">
        <f t="shared" si="23"/>
        <v>44561</v>
      </c>
      <c r="H1499" s="20">
        <f>_xll.mirGetDate(G1499,H$17,"Following",H$12,"Normal")</f>
        <v>44651</v>
      </c>
      <c r="I1499" s="134">
        <f ca="1"/>
        <v>2.0059078134720219E-2</v>
      </c>
      <c r="J1499" s="120" t="s">
        <v>3</v>
      </c>
    </row>
    <row r="1500" spans="1:10" x14ac:dyDescent="0.25">
      <c r="A1500" s="126">
        <v>1478</v>
      </c>
      <c r="B1500" s="119"/>
      <c r="C1500" s="136">
        <f>_xll.mirGetDate(C1499,"1D","FOLLOWING",D$12,"NORMAL")</f>
        <v>44564</v>
      </c>
      <c r="D1500" s="20">
        <f>_xll.mirGetDate(C1500,D$17,"Following",D$12,"Normal")</f>
        <v>44565</v>
      </c>
      <c r="E1500" s="134">
        <f ca="1"/>
        <v>1.5792904663542745E-2</v>
      </c>
      <c r="F1500" s="7" t="s">
        <v>3</v>
      </c>
      <c r="G1500" s="136">
        <f t="shared" si="23"/>
        <v>44564</v>
      </c>
      <c r="H1500" s="20">
        <f>_xll.mirGetDate(G1500,H$17,"Following",H$12,"Normal")</f>
        <v>44655</v>
      </c>
      <c r="I1500" s="134">
        <f ca="1"/>
        <v>2.0069985884803503E-2</v>
      </c>
      <c r="J1500" s="120" t="s">
        <v>3</v>
      </c>
    </row>
    <row r="1501" spans="1:10" x14ac:dyDescent="0.25">
      <c r="A1501" s="126">
        <v>1479</v>
      </c>
      <c r="B1501" s="119"/>
      <c r="C1501" s="136">
        <f>_xll.mirGetDate(C1500,"1D","FOLLOWING",D$12,"NORMAL")</f>
        <v>44565</v>
      </c>
      <c r="D1501" s="20">
        <f>_xll.mirGetDate(C1501,D$17,"Following",D$12,"Normal")</f>
        <v>44566</v>
      </c>
      <c r="E1501" s="134">
        <f ca="1"/>
        <v>1.5797557504140608E-2</v>
      </c>
      <c r="F1501" s="7" t="s">
        <v>3</v>
      </c>
      <c r="G1501" s="136">
        <f t="shared" si="23"/>
        <v>44565</v>
      </c>
      <c r="H1501" s="20">
        <f>_xll.mirGetDate(G1501,H$17,"Following",H$12,"Normal")</f>
        <v>44655</v>
      </c>
      <c r="I1501" s="134">
        <f ca="1"/>
        <v>2.0073612234436176E-2</v>
      </c>
      <c r="J1501" s="120" t="s">
        <v>3</v>
      </c>
    </row>
    <row r="1502" spans="1:10" x14ac:dyDescent="0.25">
      <c r="A1502" s="126">
        <v>1480</v>
      </c>
      <c r="B1502" s="119"/>
      <c r="C1502" s="136">
        <f>_xll.mirGetDate(C1501,"1D","FOLLOWING",D$12,"NORMAL")</f>
        <v>44566</v>
      </c>
      <c r="D1502" s="20">
        <f>_xll.mirGetDate(C1502,D$17,"Following",D$12,"Normal")</f>
        <v>44567</v>
      </c>
      <c r="E1502" s="134">
        <f ca="1"/>
        <v>1.5802249873348745E-2</v>
      </c>
      <c r="F1502" s="7" t="s">
        <v>3</v>
      </c>
      <c r="G1502" s="136">
        <f t="shared" si="23"/>
        <v>44566</v>
      </c>
      <c r="H1502" s="20">
        <f>_xll.mirGetDate(G1502,H$17,"Following",H$12,"Normal")</f>
        <v>44656</v>
      </c>
      <c r="I1502" s="134">
        <f ca="1"/>
        <v>2.0077233956977632E-2</v>
      </c>
      <c r="J1502" s="120" t="s">
        <v>3</v>
      </c>
    </row>
    <row r="1503" spans="1:10" x14ac:dyDescent="0.25">
      <c r="A1503" s="126">
        <v>1481</v>
      </c>
      <c r="B1503" s="119"/>
      <c r="C1503" s="136">
        <f>_xll.mirGetDate(C1502,"1D","FOLLOWING",D$12,"NORMAL")</f>
        <v>44567</v>
      </c>
      <c r="D1503" s="20">
        <f>_xll.mirGetDate(C1503,D$17,"Following",D$12,"Normal")</f>
        <v>44568</v>
      </c>
      <c r="E1503" s="134">
        <f ca="1"/>
        <v>1.5806981778141802E-2</v>
      </c>
      <c r="F1503" s="7" t="s">
        <v>3</v>
      </c>
      <c r="G1503" s="136">
        <f t="shared" si="23"/>
        <v>44567</v>
      </c>
      <c r="H1503" s="20">
        <f>_xll.mirGetDate(G1503,H$17,"Following",H$12,"Normal")</f>
        <v>44657</v>
      </c>
      <c r="I1503" s="134">
        <f ca="1"/>
        <v>2.008085114629167E-2</v>
      </c>
      <c r="J1503" s="120" t="s">
        <v>3</v>
      </c>
    </row>
    <row r="1504" spans="1:10" x14ac:dyDescent="0.25">
      <c r="A1504" s="126">
        <v>1482</v>
      </c>
      <c r="B1504" s="119"/>
      <c r="C1504" s="136">
        <f>_xll.mirGetDate(C1503,"1D","FOLLOWING",D$12,"NORMAL")</f>
        <v>44568</v>
      </c>
      <c r="D1504" s="20">
        <f>_xll.mirGetDate(C1504,D$17,"Following",D$12,"Normal")</f>
        <v>44571</v>
      </c>
      <c r="E1504" s="134">
        <f ca="1"/>
        <v>1.5817272318851317E-2</v>
      </c>
      <c r="F1504" s="7" t="s">
        <v>3</v>
      </c>
      <c r="G1504" s="136">
        <f t="shared" si="23"/>
        <v>44568</v>
      </c>
      <c r="H1504" s="20">
        <f>_xll.mirGetDate(G1504,H$17,"Following",H$12,"Normal")</f>
        <v>44658</v>
      </c>
      <c r="I1504" s="134">
        <f ca="1"/>
        <v>2.0084463896242084E-2</v>
      </c>
      <c r="J1504" s="120" t="s">
        <v>3</v>
      </c>
    </row>
    <row r="1505" spans="1:10" x14ac:dyDescent="0.25">
      <c r="A1505" s="126">
        <v>1483</v>
      </c>
      <c r="B1505" s="119"/>
      <c r="C1505" s="136">
        <f>_xll.mirGetDate(C1504,"1D","FOLLOWING",D$12,"NORMAL")</f>
        <v>44571</v>
      </c>
      <c r="D1505" s="20">
        <f>_xll.mirGetDate(C1505,D$17,"Following",D$12,"Normal")</f>
        <v>44572</v>
      </c>
      <c r="E1505" s="134">
        <f ca="1"/>
        <v>1.5826304894768582E-2</v>
      </c>
      <c r="F1505" s="7" t="s">
        <v>3</v>
      </c>
      <c r="G1505" s="136">
        <f t="shared" si="23"/>
        <v>44571</v>
      </c>
      <c r="H1505" s="20">
        <f>_xll.mirGetDate(G1505,H$17,"Following",H$12,"Normal")</f>
        <v>44662</v>
      </c>
      <c r="I1505" s="134">
        <f ca="1"/>
        <v>2.0095276448549585E-2</v>
      </c>
      <c r="J1505" s="120" t="s">
        <v>3</v>
      </c>
    </row>
    <row r="1506" spans="1:10" x14ac:dyDescent="0.25">
      <c r="A1506" s="126">
        <v>1484</v>
      </c>
      <c r="B1506" s="119"/>
      <c r="C1506" s="136">
        <f>_xll.mirGetDate(C1505,"1D","FOLLOWING",D$12,"NORMAL")</f>
        <v>44572</v>
      </c>
      <c r="D1506" s="20">
        <f>_xll.mirGetDate(C1506,D$17,"Following",D$12,"Normal")</f>
        <v>44573</v>
      </c>
      <c r="E1506" s="134">
        <f ca="1"/>
        <v>1.5831234583740552E-2</v>
      </c>
      <c r="F1506" s="7" t="s">
        <v>3</v>
      </c>
      <c r="G1506" s="136">
        <f t="shared" si="23"/>
        <v>44572</v>
      </c>
      <c r="H1506" s="20">
        <f>_xll.mirGetDate(G1506,H$17,"Following",H$12,"Normal")</f>
        <v>44662</v>
      </c>
      <c r="I1506" s="134">
        <f ca="1"/>
        <v>2.009887237968349E-2</v>
      </c>
      <c r="J1506" s="120" t="s">
        <v>3</v>
      </c>
    </row>
    <row r="1507" spans="1:10" x14ac:dyDescent="0.25">
      <c r="A1507" s="126">
        <v>1485</v>
      </c>
      <c r="B1507" s="119"/>
      <c r="C1507" s="136">
        <f>_xll.mirGetDate(C1506,"1D","FOLLOWING",D$12,"NORMAL")</f>
        <v>44573</v>
      </c>
      <c r="D1507" s="20">
        <f>_xll.mirGetDate(C1507,D$17,"Following",D$12,"Normal")</f>
        <v>44574</v>
      </c>
      <c r="E1507" s="134">
        <f ca="1"/>
        <v>1.5836203850903376E-2</v>
      </c>
      <c r="F1507" s="7" t="s">
        <v>3</v>
      </c>
      <c r="G1507" s="136">
        <f t="shared" si="23"/>
        <v>44573</v>
      </c>
      <c r="H1507" s="20">
        <f>_xll.mirGetDate(G1507,H$17,"Following",H$12,"Normal")</f>
        <v>44663</v>
      </c>
      <c r="I1507" s="134">
        <f ca="1"/>
        <v>2.0102464340772772E-2</v>
      </c>
      <c r="J1507" s="120" t="s">
        <v>3</v>
      </c>
    </row>
    <row r="1508" spans="1:10" x14ac:dyDescent="0.25">
      <c r="A1508" s="126">
        <v>1486</v>
      </c>
      <c r="B1508" s="119"/>
      <c r="C1508" s="136">
        <f>_xll.mirGetDate(C1507,"1D","FOLLOWING",D$12,"NORMAL")</f>
        <v>44574</v>
      </c>
      <c r="D1508" s="20">
        <f>_xll.mirGetDate(C1508,D$17,"Following",D$12,"Normal")</f>
        <v>44575</v>
      </c>
      <c r="E1508" s="134">
        <f ca="1"/>
        <v>1.5841212703271178E-2</v>
      </c>
      <c r="F1508" s="7" t="s">
        <v>3</v>
      </c>
      <c r="G1508" s="136">
        <f t="shared" si="23"/>
        <v>44574</v>
      </c>
      <c r="H1508" s="20">
        <f>_xll.mirGetDate(G1508,H$17,"Following",H$12,"Normal")</f>
        <v>44664</v>
      </c>
      <c r="I1508" s="134">
        <f ca="1"/>
        <v>2.0106052425681212E-2</v>
      </c>
      <c r="J1508" s="120" t="s">
        <v>3</v>
      </c>
    </row>
    <row r="1509" spans="1:10" x14ac:dyDescent="0.25">
      <c r="A1509" s="126">
        <v>1487</v>
      </c>
      <c r="B1509" s="119"/>
      <c r="C1509" s="136">
        <f>_xll.mirGetDate(C1508,"1D","FOLLOWING",D$12,"NORMAL")</f>
        <v>44575</v>
      </c>
      <c r="D1509" s="20">
        <f>_xll.mirGetDate(C1509,D$17,"Following",D$12,"Normal")</f>
        <v>44579</v>
      </c>
      <c r="E1509" s="134">
        <f ca="1"/>
        <v>1.5854980133569507E-2</v>
      </c>
      <c r="F1509" s="7" t="s">
        <v>3</v>
      </c>
      <c r="G1509" s="136">
        <f t="shared" si="23"/>
        <v>44575</v>
      </c>
      <c r="H1509" s="20">
        <f>_xll.mirGetDate(G1509,H$17,"Following",H$12,"Normal")</f>
        <v>44665</v>
      </c>
      <c r="I1509" s="134">
        <f ca="1"/>
        <v>2.0109636728272619E-2</v>
      </c>
      <c r="J1509" s="120" t="s">
        <v>3</v>
      </c>
    </row>
    <row r="1510" spans="1:10" x14ac:dyDescent="0.25">
      <c r="A1510" s="126">
        <v>1488</v>
      </c>
      <c r="B1510" s="119"/>
      <c r="C1510" s="136">
        <f>_xll.mirGetDate(C1509,"1D","FOLLOWING",D$12,"NORMAL")</f>
        <v>44579</v>
      </c>
      <c r="D1510" s="20">
        <f>_xll.mirGetDate(C1510,D$17,"Following",D$12,"Normal")</f>
        <v>44580</v>
      </c>
      <c r="E1510" s="134">
        <f ca="1"/>
        <v>1.586685099356196E-2</v>
      </c>
      <c r="F1510" s="7" t="s">
        <v>3</v>
      </c>
      <c r="G1510" s="136">
        <f t="shared" si="23"/>
        <v>44579</v>
      </c>
      <c r="H1510" s="20">
        <f>_xll.mirGetDate(G1510,H$17,"Following",H$12,"Normal")</f>
        <v>44669</v>
      </c>
      <c r="I1510" s="134">
        <f ca="1"/>
        <v>2.0123937992743826E-2</v>
      </c>
      <c r="J1510" s="120" t="s">
        <v>3</v>
      </c>
    </row>
    <row r="1511" spans="1:10" x14ac:dyDescent="0.25">
      <c r="A1511" s="126">
        <v>1489</v>
      </c>
      <c r="B1511" s="119"/>
      <c r="C1511" s="136">
        <f>_xll.mirGetDate(C1510,"1D","FOLLOWING",D$12,"NORMAL")</f>
        <v>44580</v>
      </c>
      <c r="D1511" s="20">
        <f>_xll.mirGetDate(C1511,D$17,"Following",D$12,"Normal")</f>
        <v>44581</v>
      </c>
      <c r="E1511" s="134">
        <f ca="1"/>
        <v>1.5872097507350455E-2</v>
      </c>
      <c r="F1511" s="7" t="s">
        <v>3</v>
      </c>
      <c r="G1511" s="136">
        <f t="shared" si="23"/>
        <v>44580</v>
      </c>
      <c r="H1511" s="20">
        <f>_xll.mirGetDate(G1511,H$17,"Following",H$12,"Normal")</f>
        <v>44670</v>
      </c>
      <c r="I1511" s="134">
        <f ca="1"/>
        <v>2.0127504791707013E-2</v>
      </c>
      <c r="J1511" s="120" t="s">
        <v>3</v>
      </c>
    </row>
    <row r="1512" spans="1:10" x14ac:dyDescent="0.25">
      <c r="A1512" s="126">
        <v>1490</v>
      </c>
      <c r="B1512" s="119"/>
      <c r="C1512" s="136">
        <f>_xll.mirGetDate(C1511,"1D","FOLLOWING",D$12,"NORMAL")</f>
        <v>44581</v>
      </c>
      <c r="D1512" s="20">
        <f>_xll.mirGetDate(C1512,D$17,"Following",D$12,"Normal")</f>
        <v>44582</v>
      </c>
      <c r="E1512" s="134">
        <f ca="1"/>
        <v>1.587738365630394E-2</v>
      </c>
      <c r="F1512" s="7" t="s">
        <v>3</v>
      </c>
      <c r="G1512" s="136">
        <f t="shared" si="23"/>
        <v>44581</v>
      </c>
      <c r="H1512" s="20">
        <f>_xll.mirGetDate(G1512,H$17,"Following",H$12,"Normal")</f>
        <v>44671</v>
      </c>
      <c r="I1512" s="134">
        <f ca="1"/>
        <v>2.0131068371535946E-2</v>
      </c>
      <c r="J1512" s="120" t="s">
        <v>3</v>
      </c>
    </row>
    <row r="1513" spans="1:10" x14ac:dyDescent="0.25">
      <c r="A1513" s="126">
        <v>1491</v>
      </c>
      <c r="B1513" s="119"/>
      <c r="C1513" s="136">
        <f>_xll.mirGetDate(C1512,"1D","FOLLOWING",D$12,"NORMAL")</f>
        <v>44582</v>
      </c>
      <c r="D1513" s="20">
        <f>_xll.mirGetDate(C1513,D$17,"Following",D$12,"Normal")</f>
        <v>44585</v>
      </c>
      <c r="E1513" s="134">
        <f ca="1"/>
        <v>1.5888789315977384E-2</v>
      </c>
      <c r="F1513" s="7" t="s">
        <v>3</v>
      </c>
      <c r="G1513" s="136">
        <f t="shared" si="23"/>
        <v>44582</v>
      </c>
      <c r="H1513" s="20">
        <f>_xll.mirGetDate(G1513,H$17,"Following",H$12,"Normal")</f>
        <v>44672</v>
      </c>
      <c r="I1513" s="134">
        <f ca="1"/>
        <v>2.0134628826094431E-2</v>
      </c>
      <c r="J1513" s="120" t="s">
        <v>3</v>
      </c>
    </row>
    <row r="1514" spans="1:10" x14ac:dyDescent="0.25">
      <c r="A1514" s="126">
        <v>1492</v>
      </c>
      <c r="B1514" s="119"/>
      <c r="C1514" s="136">
        <f>_xll.mirGetDate(C1513,"1D","FOLLOWING",D$12,"NORMAL")</f>
        <v>44585</v>
      </c>
      <c r="D1514" s="20">
        <f>_xll.mirGetDate(C1514,D$17,"Following",D$12,"Normal")</f>
        <v>44586</v>
      </c>
      <c r="E1514" s="134">
        <f ca="1"/>
        <v>1.5898924747934376E-2</v>
      </c>
      <c r="F1514" s="7" t="s">
        <v>3</v>
      </c>
      <c r="G1514" s="136">
        <f t="shared" si="23"/>
        <v>44585</v>
      </c>
      <c r="H1514" s="20">
        <f>_xll.mirGetDate(G1514,H$17,"Following",H$12,"Normal")</f>
        <v>44676</v>
      </c>
      <c r="I1514" s="134">
        <f ca="1"/>
        <v>2.0145292376785136E-2</v>
      </c>
      <c r="J1514" s="120" t="s">
        <v>3</v>
      </c>
    </row>
    <row r="1515" spans="1:10" x14ac:dyDescent="0.25">
      <c r="A1515" s="126">
        <v>1493</v>
      </c>
      <c r="B1515" s="119"/>
      <c r="C1515" s="136">
        <f>_xll.mirGetDate(C1514,"1D","FOLLOWING",D$12,"NORMAL")</f>
        <v>44586</v>
      </c>
      <c r="D1515" s="20">
        <f>_xll.mirGetDate(C1515,D$17,"Following",D$12,"Normal")</f>
        <v>44587</v>
      </c>
      <c r="E1515" s="134">
        <f ca="1"/>
        <v>1.5904409180767343E-2</v>
      </c>
      <c r="F1515" s="7" t="s">
        <v>3</v>
      </c>
      <c r="G1515" s="136">
        <f t="shared" si="23"/>
        <v>44586</v>
      </c>
      <c r="H1515" s="20">
        <f>_xll.mirGetDate(G1515,H$17,"Following",H$12,"Normal")</f>
        <v>44676</v>
      </c>
      <c r="I1515" s="134">
        <f ca="1"/>
        <v>2.0148841268899782E-2</v>
      </c>
      <c r="J1515" s="120" t="s">
        <v>3</v>
      </c>
    </row>
    <row r="1516" spans="1:10" x14ac:dyDescent="0.25">
      <c r="A1516" s="126">
        <v>1494</v>
      </c>
      <c r="B1516" s="119"/>
      <c r="C1516" s="136">
        <f>_xll.mirGetDate(C1515,"1D","FOLLOWING",D$12,"NORMAL")</f>
        <v>44587</v>
      </c>
      <c r="D1516" s="20">
        <f>_xll.mirGetDate(C1516,D$17,"Following",D$12,"Normal")</f>
        <v>44588</v>
      </c>
      <c r="E1516" s="134">
        <f ca="1"/>
        <v>1.5909933291850819E-2</v>
      </c>
      <c r="F1516" s="7" t="s">
        <v>3</v>
      </c>
      <c r="G1516" s="136">
        <f t="shared" si="23"/>
        <v>44587</v>
      </c>
      <c r="H1516" s="20">
        <f>_xll.mirGetDate(G1516,H$17,"Following",H$12,"Normal")</f>
        <v>44677</v>
      </c>
      <c r="I1516" s="134">
        <f ca="1"/>
        <v>2.0152387505062964E-2</v>
      </c>
      <c r="J1516" s="120" t="s">
        <v>3</v>
      </c>
    </row>
    <row r="1517" spans="1:10" x14ac:dyDescent="0.25">
      <c r="A1517" s="126">
        <v>1495</v>
      </c>
      <c r="B1517" s="119"/>
      <c r="C1517" s="136">
        <f>_xll.mirGetDate(C1516,"1D","FOLLOWING",D$12,"NORMAL")</f>
        <v>44588</v>
      </c>
      <c r="D1517" s="20">
        <f>_xll.mirGetDate(C1517,D$17,"Following",D$12,"Normal")</f>
        <v>44589</v>
      </c>
      <c r="E1517" s="134">
        <f ca="1"/>
        <v>1.5915497088479329E-2</v>
      </c>
      <c r="F1517" s="7" t="s">
        <v>3</v>
      </c>
      <c r="G1517" s="136">
        <f t="shared" si="23"/>
        <v>44588</v>
      </c>
      <c r="H1517" s="20">
        <f>_xll.mirGetDate(G1517,H$17,"Following",H$12,"Normal")</f>
        <v>44678</v>
      </c>
      <c r="I1517" s="134">
        <f ca="1"/>
        <v>2.0155931179138484E-2</v>
      </c>
      <c r="J1517" s="120" t="s">
        <v>3</v>
      </c>
    </row>
    <row r="1518" spans="1:10" x14ac:dyDescent="0.25">
      <c r="A1518" s="126">
        <v>1496</v>
      </c>
      <c r="B1518" s="119"/>
      <c r="C1518" s="136">
        <f>_xll.mirGetDate(C1517,"1D","FOLLOWING",D$12,"NORMAL")</f>
        <v>44589</v>
      </c>
      <c r="D1518" s="20">
        <f>_xll.mirGetDate(C1518,D$17,"Following",D$12,"Normal")</f>
        <v>44592</v>
      </c>
      <c r="E1518" s="134">
        <f ca="1"/>
        <v>1.5927461628874359E-2</v>
      </c>
      <c r="F1518" s="7" t="s">
        <v>3</v>
      </c>
      <c r="G1518" s="136">
        <f t="shared" si="23"/>
        <v>44589</v>
      </c>
      <c r="H1518" s="20">
        <f>_xll.mirGetDate(G1518,H$17,"Following",H$12,"Normal")</f>
        <v>44679</v>
      </c>
      <c r="I1518" s="134">
        <f ca="1"/>
        <v>2.0159472384990128E-2</v>
      </c>
      <c r="J1518" s="120" t="s">
        <v>3</v>
      </c>
    </row>
    <row r="1519" spans="1:10" x14ac:dyDescent="0.25">
      <c r="A1519" s="126">
        <v>1497</v>
      </c>
      <c r="B1519" s="119"/>
      <c r="C1519" s="136">
        <f>_xll.mirGetDate(C1518,"1D","FOLLOWING",D$12,"NORMAL")</f>
        <v>44592</v>
      </c>
      <c r="D1519" s="20">
        <f>_xll.mirGetDate(C1519,D$17,"Following",D$12,"Normal")</f>
        <v>44593</v>
      </c>
      <c r="E1519" s="134">
        <f ca="1"/>
        <v>1.5938149274845988E-2</v>
      </c>
      <c r="F1519" s="7" t="s">
        <v>3</v>
      </c>
      <c r="G1519" s="136">
        <f t="shared" si="23"/>
        <v>44592</v>
      </c>
      <c r="H1519" s="20">
        <f>_xll.mirGetDate(G1519,H$17,"Following",H$12,"Normal")</f>
        <v>44683</v>
      </c>
      <c r="I1519" s="134">
        <f ca="1"/>
        <v>2.0170082131839833E-2</v>
      </c>
      <c r="J1519" s="120" t="s">
        <v>3</v>
      </c>
    </row>
    <row r="1520" spans="1:10" x14ac:dyDescent="0.25">
      <c r="A1520" s="126">
        <v>1498</v>
      </c>
      <c r="B1520" s="119"/>
      <c r="C1520" s="136">
        <f>_xll.mirGetDate(C1519,"1D","FOLLOWING",D$12,"NORMAL")</f>
        <v>44593</v>
      </c>
      <c r="D1520" s="20">
        <f>_xll.mirGetDate(C1520,D$17,"Following",D$12,"Normal")</f>
        <v>44594</v>
      </c>
      <c r="E1520" s="134">
        <f ca="1"/>
        <v>1.5943911607611834E-2</v>
      </c>
      <c r="F1520" s="7" t="s">
        <v>3</v>
      </c>
      <c r="G1520" s="136">
        <f t="shared" si="23"/>
        <v>44593</v>
      </c>
      <c r="H1520" s="20">
        <f>_xll.mirGetDate(G1520,H$17,"Following",H$12,"Normal")</f>
        <v>44683</v>
      </c>
      <c r="I1520" s="134">
        <f ca="1"/>
        <v>2.0173614403433977E-2</v>
      </c>
      <c r="J1520" s="120" t="s">
        <v>3</v>
      </c>
    </row>
    <row r="1521" spans="1:10" x14ac:dyDescent="0.25">
      <c r="A1521" s="126">
        <v>1499</v>
      </c>
      <c r="B1521" s="119"/>
      <c r="C1521" s="136">
        <f>_xll.mirGetDate(C1520,"1D","FOLLOWING",D$12,"NORMAL")</f>
        <v>44594</v>
      </c>
      <c r="D1521" s="20">
        <f>_xll.mirGetDate(C1521,D$17,"Following",D$12,"Normal")</f>
        <v>44595</v>
      </c>
      <c r="E1521" s="134">
        <f ca="1"/>
        <v>1.5949713669168138E-2</v>
      </c>
      <c r="F1521" s="7" t="s">
        <v>3</v>
      </c>
      <c r="G1521" s="136">
        <f t="shared" si="23"/>
        <v>44594</v>
      </c>
      <c r="H1521" s="20">
        <f>_xll.mirGetDate(G1521,H$17,"Following",H$12,"Normal")</f>
        <v>44683</v>
      </c>
      <c r="I1521" s="134">
        <f ca="1"/>
        <v>2.0177144676123242E-2</v>
      </c>
      <c r="J1521" s="120" t="s">
        <v>3</v>
      </c>
    </row>
    <row r="1522" spans="1:10" x14ac:dyDescent="0.25">
      <c r="A1522" s="126">
        <v>1500</v>
      </c>
      <c r="B1522" s="119"/>
      <c r="C1522" s="137">
        <f>_xll.mirGetDate(C1521,"1D","FOLLOWING",D$12,"NORMAL")</f>
        <v>44595</v>
      </c>
      <c r="D1522" s="138">
        <f>_xll.mirGetDate(C1522,D$17,"Following",D$12,"Normal")</f>
        <v>44596</v>
      </c>
      <c r="E1522" s="135">
        <f ca="1"/>
        <v>1.5955555466928565E-2</v>
      </c>
      <c r="F1522" s="7" t="s">
        <v>3</v>
      </c>
      <c r="G1522" s="139">
        <f t="shared" si="23"/>
        <v>44595</v>
      </c>
      <c r="H1522" s="138">
        <f>_xll.mirGetDate(G1522,H$17,"Following",H$12,"Normal")</f>
        <v>44684</v>
      </c>
      <c r="I1522" s="135">
        <f ca="1"/>
        <v>2.0180673043771427E-2</v>
      </c>
      <c r="J1522" s="120" t="s">
        <v>3</v>
      </c>
    </row>
    <row r="1523" spans="1:10" x14ac:dyDescent="0.25">
      <c r="B1523" s="140"/>
      <c r="C1523" s="141"/>
      <c r="D1523" s="141"/>
      <c r="E1523" s="141"/>
      <c r="F1523" s="141"/>
      <c r="G1523" s="141"/>
      <c r="H1523" s="141"/>
      <c r="I1523" s="141"/>
      <c r="J1523" s="142"/>
    </row>
    <row r="1524" spans="1:10" x14ac:dyDescent="0.25">
      <c r="A1524" s="126" t="s">
        <v>3</v>
      </c>
      <c r="B1524" s="126" t="s">
        <v>3</v>
      </c>
      <c r="C1524" s="126" t="s">
        <v>3</v>
      </c>
      <c r="D1524" s="126" t="s">
        <v>3</v>
      </c>
      <c r="E1524" s="126" t="s">
        <v>3</v>
      </c>
      <c r="F1524" s="126" t="s">
        <v>3</v>
      </c>
      <c r="G1524" s="126" t="s">
        <v>3</v>
      </c>
      <c r="H1524" s="126" t="s">
        <v>3</v>
      </c>
      <c r="I1524" s="126" t="s">
        <v>3</v>
      </c>
      <c r="J1524" s="126" t="s">
        <v>3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V27"/>
  <sheetViews>
    <sheetView showGridLines="0" tabSelected="1" zoomScaleNormal="100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3.5703125" customWidth="1"/>
    <col min="9" max="9" width="14.140625" customWidth="1"/>
    <col min="10" max="10" width="10.5703125" customWidth="1"/>
    <col min="11" max="11" width="10" customWidth="1"/>
    <col min="14" max="14" width="11.42578125" customWidth="1"/>
    <col min="15" max="15" width="10.5703125" hidden="1" customWidth="1"/>
    <col min="16" max="16" width="14.140625" hidden="1" customWidth="1"/>
    <col min="17" max="17" width="9.140625" hidden="1" customWidth="1"/>
    <col min="18" max="18" width="17.42578125" hidden="1" customWidth="1"/>
    <col min="19" max="23" width="9.140625" hidden="1" customWidth="1"/>
    <col min="24" max="25" width="10.7109375" hidden="1" customWidth="1"/>
    <col min="26" max="26" width="9.140625" hidden="1" customWidth="1"/>
    <col min="27" max="27" width="17.42578125" hidden="1" customWidth="1"/>
    <col min="28" max="28" width="8.5703125" hidden="1" customWidth="1"/>
    <col min="29" max="29" width="20.140625" hidden="1" customWidth="1"/>
    <col min="30" max="34" width="9.140625" hidden="1" customWidth="1"/>
    <col min="35" max="35" width="14.42578125" hidden="1" customWidth="1"/>
    <col min="36" max="38" width="9.140625" hidden="1" customWidth="1"/>
    <col min="39" max="39" width="14.140625" hidden="1" customWidth="1"/>
    <col min="40" max="40" width="10.7109375" hidden="1" customWidth="1"/>
    <col min="41" max="41" width="11.85546875" hidden="1" customWidth="1"/>
    <col min="42" max="42" width="16.140625" hidden="1" customWidth="1"/>
    <col min="43" max="43" width="19.42578125" hidden="1" customWidth="1"/>
    <col min="44" max="44" width="12.85546875" hidden="1" customWidth="1"/>
    <col min="45" max="45" width="9.140625" hidden="1" customWidth="1"/>
    <col min="46" max="48" width="15.7109375" customWidth="1"/>
  </cols>
  <sheetData>
    <row r="1" spans="1:48" x14ac:dyDescent="0.25">
      <c r="A1" s="144"/>
    </row>
    <row r="2" spans="1:48" ht="23.25" x14ac:dyDescent="0.35">
      <c r="B2" s="145" t="s">
        <v>220</v>
      </c>
      <c r="AI2" s="214"/>
      <c r="AT2" s="146" t="s">
        <v>178</v>
      </c>
      <c r="AU2" s="226">
        <f ca="1">SUM($AU$6:$AU$25)</f>
        <v>2151645.6670010691</v>
      </c>
      <c r="AV2" s="227"/>
    </row>
    <row r="3" spans="1:48" x14ac:dyDescent="0.25">
      <c r="AT3" s="143"/>
      <c r="AU3" s="228"/>
      <c r="AV3" s="227"/>
    </row>
    <row r="4" spans="1:48" x14ac:dyDescent="0.25">
      <c r="AT4" s="218"/>
      <c r="AV4" s="147"/>
    </row>
    <row r="5" spans="1:48" ht="33" customHeight="1" x14ac:dyDescent="0.25">
      <c r="B5" s="148" t="s">
        <v>179</v>
      </c>
      <c r="C5" s="149" t="s">
        <v>180</v>
      </c>
      <c r="D5" s="149" t="s">
        <v>173</v>
      </c>
      <c r="E5" s="149" t="s">
        <v>15</v>
      </c>
      <c r="F5" s="149" t="s">
        <v>181</v>
      </c>
      <c r="G5" s="149" t="s">
        <v>182</v>
      </c>
      <c r="H5" s="149" t="s">
        <v>225</v>
      </c>
      <c r="I5" s="149" t="s">
        <v>226</v>
      </c>
      <c r="J5" s="149" t="s">
        <v>183</v>
      </c>
      <c r="K5" s="149" t="s">
        <v>184</v>
      </c>
      <c r="L5" s="149" t="s">
        <v>185</v>
      </c>
      <c r="M5" s="149" t="s">
        <v>186</v>
      </c>
      <c r="N5" s="149" t="s">
        <v>187</v>
      </c>
      <c r="O5" s="149" t="s">
        <v>183</v>
      </c>
      <c r="P5" s="149" t="s">
        <v>188</v>
      </c>
      <c r="Q5" s="149" t="s">
        <v>189</v>
      </c>
      <c r="R5" s="149" t="s">
        <v>190</v>
      </c>
      <c r="S5" s="149" t="s">
        <v>191</v>
      </c>
      <c r="T5" s="149" t="s">
        <v>192</v>
      </c>
      <c r="U5" s="149" t="s">
        <v>193</v>
      </c>
      <c r="V5" s="149" t="s">
        <v>194</v>
      </c>
      <c r="W5" s="149" t="s">
        <v>195</v>
      </c>
      <c r="X5" s="149" t="s">
        <v>196</v>
      </c>
      <c r="Y5" s="149" t="s">
        <v>184</v>
      </c>
      <c r="Z5" s="149" t="s">
        <v>197</v>
      </c>
      <c r="AA5" s="149" t="s">
        <v>198</v>
      </c>
      <c r="AB5" s="149" t="s">
        <v>199</v>
      </c>
      <c r="AC5" s="149" t="s">
        <v>200</v>
      </c>
      <c r="AD5" s="149" t="s">
        <v>201</v>
      </c>
      <c r="AE5" s="149" t="s">
        <v>202</v>
      </c>
      <c r="AF5" s="149" t="s">
        <v>203</v>
      </c>
      <c r="AG5" s="149" t="s">
        <v>204</v>
      </c>
      <c r="AH5" s="149" t="s">
        <v>205</v>
      </c>
      <c r="AI5" s="149" t="s">
        <v>206</v>
      </c>
      <c r="AJ5" s="149" t="s">
        <v>186</v>
      </c>
      <c r="AK5" s="149" t="s">
        <v>207</v>
      </c>
      <c r="AL5" s="149" t="s">
        <v>208</v>
      </c>
      <c r="AM5" s="149" t="s">
        <v>209</v>
      </c>
      <c r="AN5" s="149" t="s">
        <v>187</v>
      </c>
      <c r="AO5" s="149" t="s">
        <v>218</v>
      </c>
      <c r="AP5" s="149" t="s">
        <v>176</v>
      </c>
      <c r="AQ5" s="149" t="s">
        <v>109</v>
      </c>
      <c r="AR5" s="149" t="s">
        <v>210</v>
      </c>
      <c r="AS5" s="149" t="s">
        <v>177</v>
      </c>
      <c r="AT5" s="150" t="s">
        <v>211</v>
      </c>
      <c r="AU5" s="150" t="s">
        <v>212</v>
      </c>
      <c r="AV5" s="151" t="s">
        <v>213</v>
      </c>
    </row>
    <row r="6" spans="1:48" x14ac:dyDescent="0.25">
      <c r="A6" s="152">
        <v>1</v>
      </c>
      <c r="B6" s="153">
        <f>IF(OR(D6="",D6=0),"",_xll.mirGetDate(COB,C6,$R6,$S6))</f>
        <v>42423</v>
      </c>
      <c r="C6" s="154" t="s">
        <v>214</v>
      </c>
      <c r="D6" s="155">
        <v>1000000</v>
      </c>
      <c r="E6" s="155" t="s">
        <v>133</v>
      </c>
      <c r="F6" s="156" t="s">
        <v>174</v>
      </c>
      <c r="G6" s="157" t="s">
        <v>126</v>
      </c>
      <c r="H6" s="221" t="s">
        <v>219</v>
      </c>
      <c r="I6" s="221" t="s">
        <v>219</v>
      </c>
      <c r="J6" s="158">
        <v>0.01</v>
      </c>
      <c r="K6" s="158" t="s">
        <v>224</v>
      </c>
      <c r="L6" s="159">
        <v>0</v>
      </c>
      <c r="M6" s="158"/>
      <c r="N6" s="160" t="s">
        <v>215</v>
      </c>
      <c r="O6" s="161">
        <f>J6</f>
        <v>0.01</v>
      </c>
      <c r="P6" s="162" t="s">
        <v>107</v>
      </c>
      <c r="Q6" s="163" t="s">
        <v>18</v>
      </c>
      <c r="R6" s="162" t="s">
        <v>20</v>
      </c>
      <c r="S6" s="162" t="s">
        <v>222</v>
      </c>
      <c r="T6" s="164"/>
      <c r="U6" s="164"/>
      <c r="V6" s="165" t="str">
        <f>$H6</f>
        <v>IMM</v>
      </c>
      <c r="W6" s="166" t="s">
        <v>223</v>
      </c>
      <c r="X6" s="163" t="s">
        <v>175</v>
      </c>
      <c r="Y6" s="167" t="str">
        <f>$E6&amp;$K6</f>
        <v>USD3ML</v>
      </c>
      <c r="Z6" s="168">
        <f>L6</f>
        <v>0</v>
      </c>
      <c r="AA6" s="165" t="s">
        <v>26</v>
      </c>
      <c r="AB6" s="163" t="s">
        <v>5</v>
      </c>
      <c r="AC6" s="162" t="s">
        <v>20</v>
      </c>
      <c r="AD6" s="162" t="s">
        <v>222</v>
      </c>
      <c r="AE6" s="164"/>
      <c r="AF6" s="164"/>
      <c r="AG6" s="165" t="str">
        <f>$I6</f>
        <v>IMM</v>
      </c>
      <c r="AH6" s="166" t="s">
        <v>214</v>
      </c>
      <c r="AI6" s="164">
        <f>_xll.mirGetDate(COB,"-"&amp;AH6,$AC6,$AD6)</f>
        <v>42417</v>
      </c>
      <c r="AJ6" s="169" t="s">
        <v>33</v>
      </c>
      <c r="AK6" s="170"/>
      <c r="AL6" s="166" t="s">
        <v>223</v>
      </c>
      <c r="AM6" s="163" t="s">
        <v>175</v>
      </c>
      <c r="AN6" s="164" t="str">
        <f>N6</f>
        <v>NOCSA</v>
      </c>
      <c r="AO6" s="164" t="str">
        <f t="shared" ref="AO6:AO25" si="0">E6&amp;"YC"</f>
        <v>USDYC</v>
      </c>
      <c r="AP6" s="167" t="str">
        <f>LEFT(AO6,3)&amp;"DF_"&amp;AN6</f>
        <v>USDDF_NOCSA</v>
      </c>
      <c r="AQ6" s="171" t="s">
        <v>162</v>
      </c>
      <c r="AR6" s="172" t="b">
        <v>1</v>
      </c>
      <c r="AS6" s="173" t="b">
        <v>1</v>
      </c>
      <c r="AT6" s="174">
        <f ca="1">IF(AND(NOW(),isUSD3MLLoaded),IF(OR(D6="",D6=0),"",_xll.mirGetParRate4($B6,$G6,$AO6,$P6,$Q6,$R6,$S6,$T6,$U6,$V6,$W6,$X6,$AA6,$AB6,$AC6,$AD6,$AE6,$AF6,$AG6,$AH6,$AJ6,$AK6,$AL6,$AM6,$AQ6,$Y6,$AP6,$AR6,$AS6,$L6)),"Please Load Yield Curves")</f>
        <v>7.3529695233318891E-3</v>
      </c>
      <c r="AU6" s="175">
        <f ca="1">IF(AND(NOW(),isUSD3MLLoaded),IF(OR(D6="",D6=0),"",_xll.mirSwapPV($D6,$F6,$B6,$G6,$AO6,$O6,$P6,$Q6,$R6,$S6,$T6,$U6,$V6,$W6,$X6,$Z6,$AA6,$AB6,$AC6,$AD6,$AE6,$AF6,$AG6,$AH6,$AJ6,$AK6,$AL6,$AM6,$AQ6,$Y6,$AP6,$AR6,$AS6)),"Please Load Yield Curves")</f>
        <v>-2638.1353688573577</v>
      </c>
      <c r="AV6" s="215">
        <f ca="1">IF(AND(NOW(),isUSD3MLLoaded),IF(OR(D6="",D6=0),"",_xll.mirSwapPV01($D6,$F6,$B6,$G6,$AO6,$P6,$Q6,$R6,$S6,$T6,$U6,$V6,$W6,$X6,$Z6,$AA6,$AB6,$AC6,$AD6,$AE6,$AF6,$AG6,$AH6,$AJ6,$AK6,$AL6,$AM6,$AQ6,$Y6,$AP6,$AR6,$AS6)),"Please Load Yield Curves")</f>
        <v>-99.663958995215282</v>
      </c>
    </row>
    <row r="7" spans="1:48" x14ac:dyDescent="0.25">
      <c r="A7" s="152">
        <v>2</v>
      </c>
      <c r="B7" s="176">
        <f>IF(OR(D7="",D7=0),"",_xll.mirGetDate(COB,C7,$R7,$S7))</f>
        <v>42423</v>
      </c>
      <c r="C7" s="177" t="s">
        <v>214</v>
      </c>
      <c r="D7" s="178">
        <v>1000000</v>
      </c>
      <c r="E7" s="178" t="s">
        <v>133</v>
      </c>
      <c r="F7" s="179" t="s">
        <v>174</v>
      </c>
      <c r="G7" s="180" t="s">
        <v>43</v>
      </c>
      <c r="H7" s="222" t="s">
        <v>219</v>
      </c>
      <c r="I7" s="222" t="s">
        <v>219</v>
      </c>
      <c r="J7" s="181">
        <v>0.01</v>
      </c>
      <c r="K7" s="181" t="s">
        <v>224</v>
      </c>
      <c r="L7" s="182">
        <v>0</v>
      </c>
      <c r="M7" s="181"/>
      <c r="N7" s="183" t="s">
        <v>215</v>
      </c>
      <c r="O7" s="184">
        <f t="shared" ref="O7:O25" si="1">J7</f>
        <v>0.01</v>
      </c>
      <c r="P7" s="130" t="s">
        <v>107</v>
      </c>
      <c r="Q7" s="130" t="s">
        <v>18</v>
      </c>
      <c r="R7" s="130" t="s">
        <v>20</v>
      </c>
      <c r="S7" s="130" t="s">
        <v>222</v>
      </c>
      <c r="T7" s="185"/>
      <c r="U7" s="185"/>
      <c r="V7" s="186" t="str">
        <f t="shared" ref="V7:V25" si="2">$H7</f>
        <v>IMM</v>
      </c>
      <c r="W7" s="219" t="s">
        <v>223</v>
      </c>
      <c r="X7" s="224" t="s">
        <v>175</v>
      </c>
      <c r="Y7" s="186" t="str">
        <f t="shared" ref="Y7:Y25" si="3">$E7&amp;$K7</f>
        <v>USD3ML</v>
      </c>
      <c r="Z7" s="187">
        <f t="shared" ref="Z7:Z25" si="4">L7</f>
        <v>0</v>
      </c>
      <c r="AA7" s="186" t="s">
        <v>26</v>
      </c>
      <c r="AB7" s="185" t="s">
        <v>5</v>
      </c>
      <c r="AC7" s="185" t="s">
        <v>20</v>
      </c>
      <c r="AD7" s="130" t="s">
        <v>222</v>
      </c>
      <c r="AE7" s="185"/>
      <c r="AF7" s="185"/>
      <c r="AG7" s="186" t="str">
        <f t="shared" ref="AG7:AG25" si="5">$I7</f>
        <v>IMM</v>
      </c>
      <c r="AH7" s="219" t="s">
        <v>214</v>
      </c>
      <c r="AI7" s="188">
        <f>_xll.mirGetDate(COB,"-"&amp;AH7,$AC7,$AD7)</f>
        <v>42417</v>
      </c>
      <c r="AJ7" s="189" t="s">
        <v>33</v>
      </c>
      <c r="AK7" s="190"/>
      <c r="AL7" s="219" t="s">
        <v>223</v>
      </c>
      <c r="AM7" s="224" t="s">
        <v>175</v>
      </c>
      <c r="AN7" s="186" t="str">
        <f t="shared" ref="AN7:AN25" si="6">N7</f>
        <v>NOCSA</v>
      </c>
      <c r="AO7" s="186" t="str">
        <f t="shared" si="0"/>
        <v>USDYC</v>
      </c>
      <c r="AP7" s="186" t="str">
        <f>LEFT(AO7,3)&amp;"DF_"&amp;AN7</f>
        <v>USDDF_NOCSA</v>
      </c>
      <c r="AQ7" s="185" t="s">
        <v>162</v>
      </c>
      <c r="AR7" s="185" t="b">
        <v>1</v>
      </c>
      <c r="AS7" s="191" t="b">
        <v>1</v>
      </c>
      <c r="AT7" s="192">
        <f ca="1">IF(AND(NOW(),isUSD3MLLoaded),IF(OR(D7="",D7=0),"",_xll.mirGetParRate4($B7,$G7,$AO7,$P7,$Q7,$R7,$S7,$T7,$U7,$V7,$W7,$X7,$AA7,$AB7,$AC7,$AD7,$AE7,$AF7,$AG7,$AH7,$AJ7,$AK7,$AL7,$AM7,$AQ7,$Y7,$AP7,$AR7,$AS7,$L7)),"Please Load Yield Curves")</f>
        <v>8.9983491300246951E-3</v>
      </c>
      <c r="AU7" s="193">
        <f ca="1">IF(AND(NOW(),isUSD3MLLoaded),IF(OR(D7="",D7=0),"",_xll.mirSwapPV($D7,$F7,$B7,$G7,$AO7,$O7,$P7,$Q7,$R7,$S7,$T7,$U7,$V7,$W7,$X7,$Z7,$AA7,$AB7,$AC7,$AD7,$AE7,$AF7,$AG7,$AH7,$AJ7,$AK7,$AL7,$AM7,$AQ7,$Y7,$AP7,$AR7,$AS7)),"Please Load Yield Curves")</f>
        <v>-1988.9798575158345</v>
      </c>
      <c r="AV7" s="216">
        <f ca="1">IF(AND(NOW(),isUSD3MLLoaded),IF(OR(D7="",D7=0),"",_xll.mirSwapPV01($D7,$F7,$B7,$G7,$AO7,$P7,$Q7,$R7,$S7,$T7,$U7,$V7,$W7,$X7,$Z7,$AA7,$AB7,$AC7,$AD7,$AE7,$AF7,$AG7,$AH7,$AJ7,$AK7,$AL7,$AM7,$AQ7,$Y7,$AP7,$AR7,$AS7)),"Please Load Yield Curves")</f>
        <v>-198.57017221628041</v>
      </c>
    </row>
    <row r="8" spans="1:48" x14ac:dyDescent="0.25">
      <c r="A8" s="152">
        <v>3</v>
      </c>
      <c r="B8" s="176">
        <f>IF(OR(D8="",D8=0),"",_xll.mirGetDate(COB,C8,$R8,$S8))</f>
        <v>42423</v>
      </c>
      <c r="C8" s="177" t="s">
        <v>214</v>
      </c>
      <c r="D8" s="178">
        <v>1000000</v>
      </c>
      <c r="E8" s="178" t="s">
        <v>133</v>
      </c>
      <c r="F8" s="179" t="s">
        <v>174</v>
      </c>
      <c r="G8" s="180" t="s">
        <v>39</v>
      </c>
      <c r="H8" s="222" t="s">
        <v>219</v>
      </c>
      <c r="I8" s="222" t="s">
        <v>219</v>
      </c>
      <c r="J8" s="181">
        <v>0.01</v>
      </c>
      <c r="K8" s="181" t="s">
        <v>224</v>
      </c>
      <c r="L8" s="182">
        <v>0</v>
      </c>
      <c r="M8" s="181"/>
      <c r="N8" s="183" t="s">
        <v>215</v>
      </c>
      <c r="O8" s="184">
        <f t="shared" si="1"/>
        <v>0.01</v>
      </c>
      <c r="P8" s="130" t="s">
        <v>107</v>
      </c>
      <c r="Q8" s="130" t="s">
        <v>18</v>
      </c>
      <c r="R8" s="130" t="s">
        <v>20</v>
      </c>
      <c r="S8" s="130" t="s">
        <v>222</v>
      </c>
      <c r="T8" s="185"/>
      <c r="U8" s="185"/>
      <c r="V8" s="186" t="str">
        <f t="shared" si="2"/>
        <v>IMM</v>
      </c>
      <c r="W8" s="219" t="s">
        <v>223</v>
      </c>
      <c r="X8" s="224" t="s">
        <v>175</v>
      </c>
      <c r="Y8" s="186" t="str">
        <f t="shared" si="3"/>
        <v>USD3ML</v>
      </c>
      <c r="Z8" s="187">
        <f t="shared" si="4"/>
        <v>0</v>
      </c>
      <c r="AA8" s="186" t="s">
        <v>26</v>
      </c>
      <c r="AB8" s="185" t="s">
        <v>5</v>
      </c>
      <c r="AC8" s="185" t="s">
        <v>20</v>
      </c>
      <c r="AD8" s="130" t="s">
        <v>222</v>
      </c>
      <c r="AE8" s="185"/>
      <c r="AF8" s="185"/>
      <c r="AG8" s="186" t="str">
        <f t="shared" si="5"/>
        <v>IMM</v>
      </c>
      <c r="AH8" s="219" t="s">
        <v>214</v>
      </c>
      <c r="AI8" s="188">
        <f>_xll.mirGetDate(COB,"-"&amp;AH8,$AC8,$AD8)</f>
        <v>42417</v>
      </c>
      <c r="AJ8" s="189" t="s">
        <v>33</v>
      </c>
      <c r="AK8" s="190"/>
      <c r="AL8" s="219" t="s">
        <v>223</v>
      </c>
      <c r="AM8" s="224" t="s">
        <v>175</v>
      </c>
      <c r="AN8" s="186" t="str">
        <f t="shared" si="6"/>
        <v>NOCSA</v>
      </c>
      <c r="AO8" s="186" t="str">
        <f t="shared" si="0"/>
        <v>USDYC</v>
      </c>
      <c r="AP8" s="186" t="str">
        <f t="shared" ref="AP8:AP25" si="7">LEFT(AO8,3)&amp;"DF_"&amp;AN8</f>
        <v>USDDF_NOCSA</v>
      </c>
      <c r="AQ8" s="185" t="s">
        <v>162</v>
      </c>
      <c r="AR8" s="185" t="b">
        <v>1</v>
      </c>
      <c r="AS8" s="191" t="b">
        <v>1</v>
      </c>
      <c r="AT8" s="192">
        <f ca="1">IF(AND(NOW(),isUSD3MLLoaded),IF(OR(D8="",D8=0),"",_xll.mirGetParRate4($B8,$G8,$AO8,$P8,$Q8,$R8,$S8,$T8,$U8,$V8,$W8,$X8,$AA8,$AB8,$AC8,$AD8,$AE8,$AF8,$AG8,$AH8,$AJ8,$AK8,$AL8,$AM8,$AQ8,$Y8,$AP8,$AR8,$AS8,$L8)),"Please Load Yield Curves")</f>
        <v>1.0422697703898734E-2</v>
      </c>
      <c r="AU8" s="193">
        <f ca="1">IF(AND(NOW(),isUSD3MLLoaded),IF(OR(D8="",D8=0),"",_xll.mirSwapPV($D8,$F8,$B8,$G8,$AO8,$O8,$P8,$Q8,$R8,$S8,$T8,$U8,$V8,$W8,$X8,$Z8,$AA8,$AB8,$AC8,$AD8,$AE8,$AF8,$AG8,$AH8,$AJ8,$AK8,$AL8,$AM8,$AQ8,$Y8,$AP8,$AR8,$AS8)),"Please Load Yield Curves")</f>
        <v>1255.5031816398991</v>
      </c>
      <c r="AV8" s="216">
        <f ca="1">IF(AND(NOW(),isUSD3MLLoaded),IF(OR(D8="",D8=0),"",_xll.mirSwapPV01($D8,$F8,$B8,$G8,$AO8,$P8,$Q8,$R8,$S8,$T8,$U8,$V8,$W8,$X8,$Z8,$AA8,$AB8,$AC8,$AD8,$AE8,$AF8,$AG8,$AH8,$AJ8,$AK8,$AL8,$AM8,$AQ8,$Y8,$AP8,$AR8,$AS8)),"Please Load Yield Curves")</f>
        <v>-297.02152863850989</v>
      </c>
    </row>
    <row r="9" spans="1:48" x14ac:dyDescent="0.25">
      <c r="A9" s="152">
        <v>4</v>
      </c>
      <c r="B9" s="176">
        <f>IF(OR(D9="",D9=0),"",_xll.mirGetDate(COB,C9,$R9,$S9))</f>
        <v>42423</v>
      </c>
      <c r="C9" s="194" t="s">
        <v>214</v>
      </c>
      <c r="D9" s="178">
        <v>1000000</v>
      </c>
      <c r="E9" s="178" t="s">
        <v>133</v>
      </c>
      <c r="F9" s="179" t="s">
        <v>174</v>
      </c>
      <c r="G9" s="180" t="s">
        <v>44</v>
      </c>
      <c r="H9" s="222" t="s">
        <v>219</v>
      </c>
      <c r="I9" s="222" t="s">
        <v>219</v>
      </c>
      <c r="J9" s="181">
        <v>0.01</v>
      </c>
      <c r="K9" s="181" t="s">
        <v>224</v>
      </c>
      <c r="L9" s="182">
        <v>0</v>
      </c>
      <c r="M9" s="181"/>
      <c r="N9" s="183" t="s">
        <v>215</v>
      </c>
      <c r="O9" s="195">
        <f t="shared" si="1"/>
        <v>0.01</v>
      </c>
      <c r="P9" s="185" t="s">
        <v>107</v>
      </c>
      <c r="Q9" s="185" t="s">
        <v>18</v>
      </c>
      <c r="R9" s="185" t="s">
        <v>20</v>
      </c>
      <c r="S9" s="185" t="s">
        <v>222</v>
      </c>
      <c r="T9" s="185"/>
      <c r="U9" s="185"/>
      <c r="V9" s="186" t="str">
        <f t="shared" si="2"/>
        <v>IMM</v>
      </c>
      <c r="W9" s="219" t="s">
        <v>223</v>
      </c>
      <c r="X9" s="224" t="s">
        <v>175</v>
      </c>
      <c r="Y9" s="186" t="str">
        <f t="shared" si="3"/>
        <v>USD3ML</v>
      </c>
      <c r="Z9" s="187">
        <f t="shared" si="4"/>
        <v>0</v>
      </c>
      <c r="AA9" s="186" t="s">
        <v>26</v>
      </c>
      <c r="AB9" s="185" t="s">
        <v>5</v>
      </c>
      <c r="AC9" s="185" t="s">
        <v>20</v>
      </c>
      <c r="AD9" s="185" t="s">
        <v>222</v>
      </c>
      <c r="AE9" s="185"/>
      <c r="AF9" s="185"/>
      <c r="AG9" s="186" t="str">
        <f t="shared" si="5"/>
        <v>IMM</v>
      </c>
      <c r="AH9" s="219" t="s">
        <v>214</v>
      </c>
      <c r="AI9" s="188">
        <f>_xll.mirGetDate(COB,"-"&amp;AH9,$AC9,$AD9)</f>
        <v>42417</v>
      </c>
      <c r="AJ9" s="189" t="s">
        <v>33</v>
      </c>
      <c r="AK9" s="190"/>
      <c r="AL9" s="219" t="s">
        <v>223</v>
      </c>
      <c r="AM9" s="224" t="s">
        <v>175</v>
      </c>
      <c r="AN9" s="186" t="str">
        <f t="shared" si="6"/>
        <v>NOCSA</v>
      </c>
      <c r="AO9" s="186" t="str">
        <f t="shared" si="0"/>
        <v>USDYC</v>
      </c>
      <c r="AP9" s="186" t="str">
        <f t="shared" si="7"/>
        <v>USDDF_NOCSA</v>
      </c>
      <c r="AQ9" s="185" t="s">
        <v>162</v>
      </c>
      <c r="AR9" s="185" t="b">
        <v>1</v>
      </c>
      <c r="AS9" s="191" t="b">
        <v>1</v>
      </c>
      <c r="AT9" s="192">
        <f ca="1">IF(AND(NOW(),isUSD3MLLoaded),IF(OR(D9="",D9=0),"",_xll.mirGetParRate4($B9,$G9,$AO9,$P9,$Q9,$R9,$S9,$T9,$U9,$V9,$W9,$X9,$AA9,$AB9,$AC9,$AD9,$AE9,$AF9,$AG9,$AH9,$AJ9,$AK9,$AL9,$AM9,$AQ9,$Y9,$AP9,$AR9,$AS9,$L9)),"Please Load Yield Curves")</f>
        <v>1.1755725489488911E-2</v>
      </c>
      <c r="AU9" s="193">
        <f ca="1">IF(AND(NOW(),isUSD3MLLoaded),IF(OR(D9="",D9=0),"",_xll.mirSwapPV($D9,$F9,$B9,$G9,$AO9,$O9,$P9,$Q9,$R9,$S9,$T9,$U9,$V9,$W9,$X9,$Z9,$AA9,$AB9,$AC9,$AD9,$AE9,$AF9,$AG9,$AH9,$AJ9,$AK9,$AL9,$AM9,$AQ9,$Y9,$AP9,$AR9,$AS9)),"Please Load Yield Curves")</f>
        <v>6909.3127030574051</v>
      </c>
      <c r="AV9" s="216">
        <f ca="1">IF(AND(NOW(),isUSD3MLLoaded),IF(OR(D9="",D9=0),"",_xll.mirSwapPV01($D9,$F9,$B9,$G9,$AO9,$P9,$Q9,$R9,$S9,$T9,$U9,$V9,$W9,$X9,$Z9,$AA9,$AB9,$AC9,$AD9,$AE9,$AF9,$AG9,$AH9,$AJ9,$AK9,$AL9,$AM9,$AQ9,$Y9,$AP9,$AR9,$AS9)),"Please Load Yield Curves")</f>
        <v>-393.53035223454538</v>
      </c>
    </row>
    <row r="10" spans="1:48" x14ac:dyDescent="0.25">
      <c r="A10" s="152">
        <v>5</v>
      </c>
      <c r="B10" s="176">
        <f>IF(OR(D10="",D10=0),"",_xll.mirGetDate(COB,C10,$R10,$S10))</f>
        <v>42419</v>
      </c>
      <c r="C10" s="194" t="s">
        <v>223</v>
      </c>
      <c r="D10" s="178">
        <v>1000000</v>
      </c>
      <c r="E10" s="178" t="s">
        <v>133</v>
      </c>
      <c r="F10" s="179" t="s">
        <v>174</v>
      </c>
      <c r="G10" s="180" t="s">
        <v>45</v>
      </c>
      <c r="H10" s="222" t="s">
        <v>219</v>
      </c>
      <c r="I10" s="222" t="s">
        <v>219</v>
      </c>
      <c r="J10" s="181">
        <v>0.01</v>
      </c>
      <c r="K10" s="181" t="s">
        <v>224</v>
      </c>
      <c r="L10" s="182">
        <v>0</v>
      </c>
      <c r="M10" s="181"/>
      <c r="N10" s="183" t="s">
        <v>215</v>
      </c>
      <c r="O10" s="195">
        <f t="shared" si="1"/>
        <v>0.01</v>
      </c>
      <c r="P10" s="185" t="s">
        <v>107</v>
      </c>
      <c r="Q10" s="185" t="s">
        <v>18</v>
      </c>
      <c r="R10" s="185" t="s">
        <v>20</v>
      </c>
      <c r="S10" s="185" t="s">
        <v>222</v>
      </c>
      <c r="T10" s="185"/>
      <c r="U10" s="185"/>
      <c r="V10" s="186" t="str">
        <f t="shared" si="2"/>
        <v>IMM</v>
      </c>
      <c r="W10" s="219" t="s">
        <v>223</v>
      </c>
      <c r="X10" s="224" t="s">
        <v>175</v>
      </c>
      <c r="Y10" s="186" t="str">
        <f t="shared" si="3"/>
        <v>USD3ML</v>
      </c>
      <c r="Z10" s="187">
        <f t="shared" si="4"/>
        <v>0</v>
      </c>
      <c r="AA10" s="186" t="s">
        <v>26</v>
      </c>
      <c r="AB10" s="185" t="s">
        <v>5</v>
      </c>
      <c r="AC10" s="185" t="s">
        <v>20</v>
      </c>
      <c r="AD10" s="185" t="s">
        <v>222</v>
      </c>
      <c r="AE10" s="185"/>
      <c r="AF10" s="185"/>
      <c r="AG10" s="186" t="str">
        <f t="shared" si="5"/>
        <v>IMM</v>
      </c>
      <c r="AH10" s="219" t="s">
        <v>214</v>
      </c>
      <c r="AI10" s="188">
        <f>_xll.mirGetDate(COB,"-"&amp;AH10,$AC10,$AD10)</f>
        <v>42417</v>
      </c>
      <c r="AJ10" s="189" t="s">
        <v>33</v>
      </c>
      <c r="AK10" s="190"/>
      <c r="AL10" s="219" t="s">
        <v>223</v>
      </c>
      <c r="AM10" s="224" t="s">
        <v>175</v>
      </c>
      <c r="AN10" s="186" t="str">
        <f t="shared" si="6"/>
        <v>NOCSA</v>
      </c>
      <c r="AO10" s="186" t="str">
        <f t="shared" si="0"/>
        <v>USDYC</v>
      </c>
      <c r="AP10" s="186" t="str">
        <f t="shared" si="7"/>
        <v>USDDF_NOCSA</v>
      </c>
      <c r="AQ10" s="185" t="s">
        <v>162</v>
      </c>
      <c r="AR10" s="185" t="b">
        <v>1</v>
      </c>
      <c r="AS10" s="191" t="b">
        <v>1</v>
      </c>
      <c r="AT10" s="192">
        <f ca="1">IF(AND(NOW(),isUSD3MLLoaded),IF(OR(D10="",D10=0),"",_xll.mirGetParRate4($B10,$G10,$AO10,$P10,$Q10,$R10,$S10,$T10,$U10,$V10,$W10,$X10,$AA10,$AB10,$AC10,$AD10,$AE10,$AF10,$AG10,$AH10,$AJ10,$AK10,$AL10,$AM10,$AQ10,$Y10,$AP10,$AR10,$AS10,$L10)),"Please Load Yield Curves")</f>
        <v>1.2961603508708848E-2</v>
      </c>
      <c r="AU10" s="193">
        <f ca="1">IF(AND(NOW(),isUSD3MLLoaded),IF(OR(D10="",D10=0),"",_xll.mirSwapPV($D10,$F10,$B10,$G10,$AO10,$O10,$P10,$Q10,$R10,$S10,$T10,$U10,$V10,$W10,$X10,$Z10,$AA10,$AB10,$AC10,$AD10,$AE10,$AF10,$AG10,$AH10,$AJ10,$AK10,$AL10,$AM10,$AQ10,$Y10,$AP10,$AR10,$AS10)),"Please Load Yield Curves")</f>
        <v>14476.297861242007</v>
      </c>
      <c r="AV10" s="216">
        <f ca="1">IF(AND(NOW(),isUSD3MLLoaded),IF(OR(D10="",D10=0),"",_xll.mirSwapPV01($D10,$F10,$B10,$G10,$AO10,$P10,$Q10,$R10,$S10,$T10,$U10,$V10,$W10,$X10,$Z10,$AA10,$AB10,$AC10,$AD10,$AE10,$AF10,$AG10,$AH10,$AJ10,$AK10,$AL10,$AM10,$AQ10,$Y10,$AP10,$AR10,$AS10)),"Please Load Yield Curves")</f>
        <v>-488.79932167399238</v>
      </c>
    </row>
    <row r="11" spans="1:48" x14ac:dyDescent="0.25">
      <c r="A11" s="152">
        <v>6</v>
      </c>
      <c r="B11" s="176">
        <f>IF(OR(D11="",D11=0),"",_xll.mirGetDate(COB,C11,$R11,$S11))</f>
        <v>42423</v>
      </c>
      <c r="C11" s="194" t="s">
        <v>214</v>
      </c>
      <c r="D11" s="178">
        <v>1000000</v>
      </c>
      <c r="E11" s="178" t="s">
        <v>133</v>
      </c>
      <c r="F11" s="179" t="s">
        <v>174</v>
      </c>
      <c r="G11" s="180" t="s">
        <v>46</v>
      </c>
      <c r="H11" s="222" t="s">
        <v>219</v>
      </c>
      <c r="I11" s="222" t="s">
        <v>219</v>
      </c>
      <c r="J11" s="181">
        <v>0.01</v>
      </c>
      <c r="K11" s="181" t="s">
        <v>224</v>
      </c>
      <c r="L11" s="182">
        <v>0</v>
      </c>
      <c r="M11" s="181"/>
      <c r="N11" s="183" t="s">
        <v>215</v>
      </c>
      <c r="O11" s="195">
        <f t="shared" si="1"/>
        <v>0.01</v>
      </c>
      <c r="P11" s="185" t="s">
        <v>107</v>
      </c>
      <c r="Q11" s="185" t="s">
        <v>18</v>
      </c>
      <c r="R11" s="185" t="s">
        <v>20</v>
      </c>
      <c r="S11" s="185" t="s">
        <v>222</v>
      </c>
      <c r="T11" s="185"/>
      <c r="U11" s="185"/>
      <c r="V11" s="186" t="str">
        <f t="shared" si="2"/>
        <v>IMM</v>
      </c>
      <c r="W11" s="219" t="s">
        <v>223</v>
      </c>
      <c r="X11" s="224" t="s">
        <v>175</v>
      </c>
      <c r="Y11" s="186" t="str">
        <f t="shared" si="3"/>
        <v>USD3ML</v>
      </c>
      <c r="Z11" s="187">
        <f t="shared" si="4"/>
        <v>0</v>
      </c>
      <c r="AA11" s="186" t="s">
        <v>26</v>
      </c>
      <c r="AB11" s="185" t="s">
        <v>5</v>
      </c>
      <c r="AC11" s="185" t="s">
        <v>20</v>
      </c>
      <c r="AD11" s="185" t="s">
        <v>222</v>
      </c>
      <c r="AE11" s="185"/>
      <c r="AF11" s="185"/>
      <c r="AG11" s="186" t="str">
        <f t="shared" si="5"/>
        <v>IMM</v>
      </c>
      <c r="AH11" s="219" t="s">
        <v>214</v>
      </c>
      <c r="AI11" s="188">
        <f>_xll.mirGetDate(COB,"-"&amp;AH11,$AC11,$AD11)</f>
        <v>42417</v>
      </c>
      <c r="AJ11" s="189" t="s">
        <v>33</v>
      </c>
      <c r="AK11" s="190"/>
      <c r="AL11" s="219" t="s">
        <v>223</v>
      </c>
      <c r="AM11" s="224" t="s">
        <v>175</v>
      </c>
      <c r="AN11" s="186" t="str">
        <f t="shared" si="6"/>
        <v>NOCSA</v>
      </c>
      <c r="AO11" s="186" t="str">
        <f t="shared" si="0"/>
        <v>USDYC</v>
      </c>
      <c r="AP11" s="186" t="str">
        <f t="shared" si="7"/>
        <v>USDDF_NOCSA</v>
      </c>
      <c r="AQ11" s="185" t="s">
        <v>162</v>
      </c>
      <c r="AR11" s="185" t="b">
        <v>1</v>
      </c>
      <c r="AS11" s="191" t="b">
        <v>1</v>
      </c>
      <c r="AT11" s="192">
        <f ca="1">IF(AND(NOW(),isUSD3MLLoaded),IF(OR(D11="",D11=0),"",_xll.mirGetParRate4($B11,$G11,$AO11,$P11,$Q11,$R11,$S11,$T11,$U11,$V11,$W11,$X11,$AA11,$AB11,$AC11,$AD11,$AE11,$AF11,$AG11,$AH11,$AJ11,$AK11,$AL11,$AM11,$AQ11,$Y11,$AP11,$AR11,$AS11,$L11)),"Please Load Yield Curves")</f>
        <v>1.4055573547112338E-2</v>
      </c>
      <c r="AU11" s="193">
        <f ca="1">IF(AND(NOW(),isUSD3MLLoaded),IF(OR(D11="",D11=0),"",_xll.mirSwapPV($D11,$F11,$B11,$G11,$AO11,$O11,$P11,$Q11,$R11,$S11,$T11,$U11,$V11,$W11,$X11,$Z11,$AA11,$AB11,$AC11,$AD11,$AE11,$AF11,$AG11,$AH11,$AJ11,$AK11,$AL11,$AM11,$AQ11,$Y11,$AP11,$AR11,$AS11)),"Please Load Yield Curves")</f>
        <v>23635.025487892668</v>
      </c>
      <c r="AV11" s="216">
        <f ca="1">IF(AND(NOW(),isUSD3MLLoaded),IF(OR(D11="",D11=0),"",_xll.mirSwapPV01($D11,$F11,$B11,$G11,$AO11,$P11,$Q11,$R11,$S11,$T11,$U11,$V11,$W11,$X11,$Z11,$AA11,$AB11,$AC11,$AD11,$AE11,$AF11,$AG11,$AH11,$AJ11,$AK11,$AL11,$AM11,$AQ11,$Y11,$AP11,$AR11,$AS11)),"Please Load Yield Curves")</f>
        <v>-582.77886501950763</v>
      </c>
    </row>
    <row r="12" spans="1:48" x14ac:dyDescent="0.25">
      <c r="A12" s="152">
        <v>7</v>
      </c>
      <c r="B12" s="176">
        <f>IF(OR(D12="",D12=0),"",_xll.mirGetDate(COB,C12,$R12,$S12))</f>
        <v>42423</v>
      </c>
      <c r="C12" s="194" t="s">
        <v>214</v>
      </c>
      <c r="D12" s="178">
        <v>1000000</v>
      </c>
      <c r="E12" s="178" t="s">
        <v>133</v>
      </c>
      <c r="F12" s="179" t="s">
        <v>174</v>
      </c>
      <c r="G12" s="180" t="s">
        <v>47</v>
      </c>
      <c r="H12" s="222" t="s">
        <v>219</v>
      </c>
      <c r="I12" s="222" t="s">
        <v>219</v>
      </c>
      <c r="J12" s="181">
        <v>0.01</v>
      </c>
      <c r="K12" s="181" t="s">
        <v>224</v>
      </c>
      <c r="L12" s="182">
        <v>0</v>
      </c>
      <c r="M12" s="181"/>
      <c r="N12" s="183" t="s">
        <v>215</v>
      </c>
      <c r="O12" s="195">
        <f t="shared" si="1"/>
        <v>0.01</v>
      </c>
      <c r="P12" s="185" t="s">
        <v>107</v>
      </c>
      <c r="Q12" s="185" t="s">
        <v>18</v>
      </c>
      <c r="R12" s="185" t="s">
        <v>20</v>
      </c>
      <c r="S12" s="185" t="s">
        <v>222</v>
      </c>
      <c r="T12" s="185"/>
      <c r="U12" s="185"/>
      <c r="V12" s="186" t="str">
        <f t="shared" si="2"/>
        <v>IMM</v>
      </c>
      <c r="W12" s="219" t="s">
        <v>223</v>
      </c>
      <c r="X12" s="224" t="s">
        <v>175</v>
      </c>
      <c r="Y12" s="186" t="str">
        <f t="shared" si="3"/>
        <v>USD3ML</v>
      </c>
      <c r="Z12" s="187">
        <f t="shared" si="4"/>
        <v>0</v>
      </c>
      <c r="AA12" s="186" t="s">
        <v>26</v>
      </c>
      <c r="AB12" s="185" t="s">
        <v>5</v>
      </c>
      <c r="AC12" s="185" t="s">
        <v>20</v>
      </c>
      <c r="AD12" s="185" t="s">
        <v>222</v>
      </c>
      <c r="AE12" s="185"/>
      <c r="AF12" s="185"/>
      <c r="AG12" s="186" t="str">
        <f t="shared" si="5"/>
        <v>IMM</v>
      </c>
      <c r="AH12" s="219" t="s">
        <v>214</v>
      </c>
      <c r="AI12" s="188">
        <f>_xll.mirGetDate(COB,"-"&amp;AH12,$AC12,$AD12)</f>
        <v>42417</v>
      </c>
      <c r="AJ12" s="189" t="s">
        <v>33</v>
      </c>
      <c r="AK12" s="190"/>
      <c r="AL12" s="219" t="s">
        <v>223</v>
      </c>
      <c r="AM12" s="224" t="s">
        <v>175</v>
      </c>
      <c r="AN12" s="186" t="str">
        <f t="shared" si="6"/>
        <v>NOCSA</v>
      </c>
      <c r="AO12" s="186" t="str">
        <f t="shared" si="0"/>
        <v>USDYC</v>
      </c>
      <c r="AP12" s="186" t="str">
        <f t="shared" si="7"/>
        <v>USDDF_NOCSA</v>
      </c>
      <c r="AQ12" s="185" t="s">
        <v>162</v>
      </c>
      <c r="AR12" s="185" t="b">
        <v>1</v>
      </c>
      <c r="AS12" s="191" t="b">
        <v>1</v>
      </c>
      <c r="AT12" s="192">
        <f ca="1">IF(AND(NOW(),isUSD3MLLoaded),IF(OR(D12="",D12=0),"",_xll.mirGetParRate4($B12,$G12,$AO12,$P12,$Q12,$R12,$S12,$T12,$U12,$V12,$W12,$X12,$AA12,$AB12,$AC12,$AD12,$AE12,$AF12,$AG12,$AH12,$AJ12,$AK12,$AL12,$AM12,$AQ12,$Y12,$AP12,$AR12,$AS12,$L12)),"Please Load Yield Curves")</f>
        <v>1.5005674846103186E-2</v>
      </c>
      <c r="AU12" s="193">
        <f ca="1">IF(AND(NOW(),isUSD3MLLoaded),IF(OR(D12="",D12=0),"",_xll.mirSwapPV($D12,$F12,$B12,$G12,$AO12,$O12,$P12,$Q12,$R12,$S12,$T12,$U12,$V12,$W12,$X12,$Z12,$AA12,$AB12,$AC12,$AD12,$AE12,$AF12,$AG12,$AH12,$AJ12,$AK12,$AL12,$AM12,$AQ12,$Y12,$AP12,$AR12,$AS12)),"Please Load Yield Curves")</f>
        <v>33800.826905793991</v>
      </c>
      <c r="AV12" s="216">
        <f ca="1">IF(AND(NOW(),isUSD3MLLoaded),IF(OR(D12="",D12=0),"",_xll.mirSwapPV01($D12,$F12,$B12,$G12,$AO12,$P12,$Q12,$R12,$S12,$T12,$U12,$V12,$W12,$X12,$Z12,$AA12,$AB12,$AC12,$AD12,$AE12,$AF12,$AG12,$AH12,$AJ12,$AK12,$AL12,$AM12,$AQ12,$Y12,$AP12,$AR12,$AS12)),"Please Load Yield Curves")</f>
        <v>-675.25014997942264</v>
      </c>
    </row>
    <row r="13" spans="1:48" x14ac:dyDescent="0.25">
      <c r="A13" s="152">
        <v>8</v>
      </c>
      <c r="B13" s="176">
        <f>IF(OR(D13="",D13=0),"",_xll.mirGetDate(COB,C13,$R13,$S13))</f>
        <v>42423</v>
      </c>
      <c r="C13" s="194" t="s">
        <v>214</v>
      </c>
      <c r="D13" s="178">
        <v>1000000</v>
      </c>
      <c r="E13" s="178" t="s">
        <v>133</v>
      </c>
      <c r="F13" s="179" t="s">
        <v>174</v>
      </c>
      <c r="G13" s="180" t="s">
        <v>49</v>
      </c>
      <c r="H13" s="222" t="s">
        <v>219</v>
      </c>
      <c r="I13" s="222" t="s">
        <v>219</v>
      </c>
      <c r="J13" s="181">
        <v>0.01</v>
      </c>
      <c r="K13" s="181" t="s">
        <v>224</v>
      </c>
      <c r="L13" s="182">
        <v>0</v>
      </c>
      <c r="M13" s="181"/>
      <c r="N13" s="183" t="s">
        <v>215</v>
      </c>
      <c r="O13" s="195">
        <f t="shared" si="1"/>
        <v>0.01</v>
      </c>
      <c r="P13" s="185" t="s">
        <v>107</v>
      </c>
      <c r="Q13" s="185" t="s">
        <v>18</v>
      </c>
      <c r="R13" s="185" t="s">
        <v>20</v>
      </c>
      <c r="S13" s="185" t="s">
        <v>222</v>
      </c>
      <c r="T13" s="185"/>
      <c r="U13" s="185"/>
      <c r="V13" s="186" t="str">
        <f t="shared" si="2"/>
        <v>IMM</v>
      </c>
      <c r="W13" s="219" t="s">
        <v>223</v>
      </c>
      <c r="X13" s="224" t="s">
        <v>175</v>
      </c>
      <c r="Y13" s="186" t="str">
        <f t="shared" si="3"/>
        <v>USD3ML</v>
      </c>
      <c r="Z13" s="187">
        <f t="shared" si="4"/>
        <v>0</v>
      </c>
      <c r="AA13" s="186" t="s">
        <v>26</v>
      </c>
      <c r="AB13" s="185" t="s">
        <v>5</v>
      </c>
      <c r="AC13" s="185" t="s">
        <v>20</v>
      </c>
      <c r="AD13" s="185" t="s">
        <v>222</v>
      </c>
      <c r="AE13" s="185"/>
      <c r="AF13" s="185"/>
      <c r="AG13" s="186" t="str">
        <f t="shared" si="5"/>
        <v>IMM</v>
      </c>
      <c r="AH13" s="219" t="s">
        <v>214</v>
      </c>
      <c r="AI13" s="188">
        <f>_xll.mirGetDate(COB,"-"&amp;AH13,$AC13,$AD13)</f>
        <v>42417</v>
      </c>
      <c r="AJ13" s="189" t="s">
        <v>33</v>
      </c>
      <c r="AK13" s="190"/>
      <c r="AL13" s="219" t="s">
        <v>223</v>
      </c>
      <c r="AM13" s="224" t="s">
        <v>175</v>
      </c>
      <c r="AN13" s="186" t="str">
        <f t="shared" si="6"/>
        <v>NOCSA</v>
      </c>
      <c r="AO13" s="186" t="str">
        <f t="shared" si="0"/>
        <v>USDYC</v>
      </c>
      <c r="AP13" s="186" t="str">
        <f t="shared" si="7"/>
        <v>USDDF_NOCSA</v>
      </c>
      <c r="AQ13" s="185" t="s">
        <v>162</v>
      </c>
      <c r="AR13" s="185" t="b">
        <v>1</v>
      </c>
      <c r="AS13" s="191" t="b">
        <v>1</v>
      </c>
      <c r="AT13" s="192">
        <f ca="1">IF(AND(NOW(),isUSD3MLLoaded),IF(OR(D13="",D13=0),"",_xll.mirGetParRate4($B13,$G13,$AO13,$P13,$Q13,$R13,$S13,$T13,$U13,$V13,$W13,$X13,$AA13,$AB13,$AC13,$AD13,$AE13,$AF13,$AG13,$AH13,$AJ13,$AK13,$AL13,$AM13,$AQ13,$Y13,$AP13,$AR13,$AS13,$L13)),"Please Load Yield Curves")</f>
        <v>1.5849789712117274E-2</v>
      </c>
      <c r="AU13" s="193">
        <f ca="1">IF(AND(NOW(),isUSD3MLLoaded),IF(OR(D13="",D13=0),"",_xll.mirSwapPV($D13,$F13,$B13,$G13,$AO13,$O13,$P13,$Q13,$R13,$S13,$T13,$U13,$V13,$W13,$X13,$Z13,$AA13,$AB13,$AC13,$AD13,$AE13,$AF13,$AG13,$AH13,$AJ13,$AK13,$AL13,$AM13,$AQ13,$Y13,$AP13,$AR13,$AS13)),"Please Load Yield Curves")</f>
        <v>44812.204560933584</v>
      </c>
      <c r="AV13" s="216">
        <f ca="1">IF(AND(NOW(),isUSD3MLLoaded),IF(OR(D13="",D13=0),"",_xll.mirSwapPV01($D13,$F13,$B13,$G13,$AO13,$P13,$Q13,$R13,$S13,$T13,$U13,$V13,$W13,$X13,$Z13,$AA13,$AB13,$AC13,$AD13,$AE13,$AF13,$AG13,$AH13,$AJ13,$AK13,$AL13,$AM13,$AQ13,$Y13,$AP13,$AR13,$AS13)),"Please Load Yield Curves")</f>
        <v>-766.04812764652763</v>
      </c>
    </row>
    <row r="14" spans="1:48" x14ac:dyDescent="0.25">
      <c r="A14" s="152">
        <v>9</v>
      </c>
      <c r="B14" s="176">
        <f>IF(OR(D14="",D14=0),"",_xll.mirGetDate(COB,C14,$R14,$S14))</f>
        <v>42423</v>
      </c>
      <c r="C14" s="194" t="s">
        <v>214</v>
      </c>
      <c r="D14" s="178">
        <v>1000000</v>
      </c>
      <c r="E14" s="178" t="s">
        <v>133</v>
      </c>
      <c r="F14" s="179" t="s">
        <v>174</v>
      </c>
      <c r="G14" s="180" t="s">
        <v>50</v>
      </c>
      <c r="H14" s="222" t="s">
        <v>219</v>
      </c>
      <c r="I14" s="222" t="s">
        <v>219</v>
      </c>
      <c r="J14" s="181">
        <v>0.01</v>
      </c>
      <c r="K14" s="181" t="s">
        <v>224</v>
      </c>
      <c r="L14" s="182">
        <v>0</v>
      </c>
      <c r="M14" s="181"/>
      <c r="N14" s="183" t="s">
        <v>215</v>
      </c>
      <c r="O14" s="195">
        <f t="shared" si="1"/>
        <v>0.01</v>
      </c>
      <c r="P14" s="185" t="s">
        <v>107</v>
      </c>
      <c r="Q14" s="185" t="s">
        <v>18</v>
      </c>
      <c r="R14" s="185" t="s">
        <v>20</v>
      </c>
      <c r="S14" s="185" t="s">
        <v>222</v>
      </c>
      <c r="T14" s="185"/>
      <c r="U14" s="185"/>
      <c r="V14" s="186" t="str">
        <f t="shared" si="2"/>
        <v>IMM</v>
      </c>
      <c r="W14" s="219" t="s">
        <v>223</v>
      </c>
      <c r="X14" s="224" t="s">
        <v>175</v>
      </c>
      <c r="Y14" s="186" t="str">
        <f t="shared" si="3"/>
        <v>USD3ML</v>
      </c>
      <c r="Z14" s="187">
        <f t="shared" si="4"/>
        <v>0</v>
      </c>
      <c r="AA14" s="186" t="s">
        <v>26</v>
      </c>
      <c r="AB14" s="185" t="s">
        <v>5</v>
      </c>
      <c r="AC14" s="185" t="s">
        <v>20</v>
      </c>
      <c r="AD14" s="185" t="s">
        <v>222</v>
      </c>
      <c r="AE14" s="185"/>
      <c r="AF14" s="185"/>
      <c r="AG14" s="186" t="str">
        <f t="shared" si="5"/>
        <v>IMM</v>
      </c>
      <c r="AH14" s="219" t="s">
        <v>214</v>
      </c>
      <c r="AI14" s="188">
        <f>_xll.mirGetDate(COB,"-"&amp;AH14,$AC14,$AD14)</f>
        <v>42417</v>
      </c>
      <c r="AJ14" s="189" t="s">
        <v>33</v>
      </c>
      <c r="AK14" s="190"/>
      <c r="AL14" s="219" t="s">
        <v>223</v>
      </c>
      <c r="AM14" s="224" t="s">
        <v>175</v>
      </c>
      <c r="AN14" s="186" t="str">
        <f t="shared" si="6"/>
        <v>NOCSA</v>
      </c>
      <c r="AO14" s="186" t="str">
        <f t="shared" si="0"/>
        <v>USDYC</v>
      </c>
      <c r="AP14" s="186" t="str">
        <f t="shared" si="7"/>
        <v>USDDF_NOCSA</v>
      </c>
      <c r="AQ14" s="185" t="s">
        <v>162</v>
      </c>
      <c r="AR14" s="185" t="b">
        <v>1</v>
      </c>
      <c r="AS14" s="191" t="b">
        <v>1</v>
      </c>
      <c r="AT14" s="192">
        <f ca="1">IF(AND(NOW(),isUSD3MLLoaded),IF(OR(D14="",D14=0),"",_xll.mirGetParRate4($B14,$G14,$AO14,$P14,$Q14,$R14,$S14,$T14,$U14,$V14,$W14,$X14,$AA14,$AB14,$AC14,$AD14,$AE14,$AF14,$AG14,$AH14,$AJ14,$AK14,$AL14,$AM14,$AQ14,$Y14,$AP14,$AR14,$AS14,$L14)),"Please Load Yield Curves")</f>
        <v>1.662949325954893E-2</v>
      </c>
      <c r="AU14" s="193">
        <f ca="1">IF(AND(NOW(),isUSD3MLLoaded),IF(OR(D14="",D14=0),"",_xll.mirSwapPV($D14,$F14,$B14,$G14,$AO14,$O14,$P14,$Q14,$R14,$S14,$T14,$U14,$V14,$W14,$X14,$Z14,$AA14,$AB14,$AC14,$AD14,$AE14,$AF14,$AG14,$AH14,$AJ14,$AK14,$AL14,$AM14,$AQ14,$Y14,$AP14,$AR14,$AS14)),"Please Load Yield Curves")</f>
        <v>56707.494595674245</v>
      </c>
      <c r="AV14" s="216">
        <f ca="1">IF(AND(NOW(),isUSD3MLLoaded),IF(OR(D14="",D14=0),"",_xll.mirSwapPV01($D14,$F14,$B14,$G14,$AO14,$P14,$Q14,$R14,$S14,$T14,$U14,$V14,$W14,$X14,$Z14,$AA14,$AB14,$AC14,$AD14,$AE14,$AF14,$AG14,$AH14,$AJ14,$AK14,$AL14,$AM14,$AQ14,$Y14,$AP14,$AR14,$AS14)),"Please Load Yield Curves")</f>
        <v>-855.38203864970228</v>
      </c>
    </row>
    <row r="15" spans="1:48" x14ac:dyDescent="0.25">
      <c r="A15" s="152">
        <v>10</v>
      </c>
      <c r="B15" s="176">
        <f>IF(OR(D15="",D15=0),"",_xll.mirGetDate(COB,C15,$R15,$S15))</f>
        <v>42423</v>
      </c>
      <c r="C15" s="194" t="s">
        <v>214</v>
      </c>
      <c r="D15" s="178">
        <v>1000000</v>
      </c>
      <c r="E15" s="178" t="s">
        <v>133</v>
      </c>
      <c r="F15" s="179" t="s">
        <v>174</v>
      </c>
      <c r="G15" s="180" t="s">
        <v>51</v>
      </c>
      <c r="H15" s="222" t="s">
        <v>219</v>
      </c>
      <c r="I15" s="222" t="s">
        <v>219</v>
      </c>
      <c r="J15" s="181">
        <v>0.01</v>
      </c>
      <c r="K15" s="181" t="s">
        <v>224</v>
      </c>
      <c r="L15" s="182">
        <v>0</v>
      </c>
      <c r="M15" s="181"/>
      <c r="N15" s="183" t="s">
        <v>215</v>
      </c>
      <c r="O15" s="195">
        <f t="shared" si="1"/>
        <v>0.01</v>
      </c>
      <c r="P15" s="185" t="s">
        <v>107</v>
      </c>
      <c r="Q15" s="185" t="s">
        <v>18</v>
      </c>
      <c r="R15" s="185" t="s">
        <v>20</v>
      </c>
      <c r="S15" s="185" t="s">
        <v>222</v>
      </c>
      <c r="T15" s="185"/>
      <c r="U15" s="185"/>
      <c r="V15" s="186" t="str">
        <f t="shared" si="2"/>
        <v>IMM</v>
      </c>
      <c r="W15" s="219" t="s">
        <v>223</v>
      </c>
      <c r="X15" s="224" t="s">
        <v>175</v>
      </c>
      <c r="Y15" s="186" t="str">
        <f t="shared" si="3"/>
        <v>USD3ML</v>
      </c>
      <c r="Z15" s="187">
        <f t="shared" si="4"/>
        <v>0</v>
      </c>
      <c r="AA15" s="186" t="s">
        <v>26</v>
      </c>
      <c r="AB15" s="185" t="s">
        <v>5</v>
      </c>
      <c r="AC15" s="185" t="s">
        <v>20</v>
      </c>
      <c r="AD15" s="185" t="s">
        <v>222</v>
      </c>
      <c r="AE15" s="185"/>
      <c r="AF15" s="185"/>
      <c r="AG15" s="186" t="str">
        <f t="shared" si="5"/>
        <v>IMM</v>
      </c>
      <c r="AH15" s="219" t="s">
        <v>214</v>
      </c>
      <c r="AI15" s="188">
        <f>_xll.mirGetDate(COB,"-"&amp;AH15,$AC15,$AD15)</f>
        <v>42417</v>
      </c>
      <c r="AJ15" s="189" t="s">
        <v>33</v>
      </c>
      <c r="AK15" s="190"/>
      <c r="AL15" s="219" t="s">
        <v>223</v>
      </c>
      <c r="AM15" s="224" t="s">
        <v>175</v>
      </c>
      <c r="AN15" s="186" t="str">
        <f t="shared" si="6"/>
        <v>NOCSA</v>
      </c>
      <c r="AO15" s="186" t="str">
        <f t="shared" si="0"/>
        <v>USDYC</v>
      </c>
      <c r="AP15" s="186" t="str">
        <f t="shared" si="7"/>
        <v>USDDF_NOCSA</v>
      </c>
      <c r="AQ15" s="185" t="s">
        <v>162</v>
      </c>
      <c r="AR15" s="185" t="b">
        <v>1</v>
      </c>
      <c r="AS15" s="191" t="b">
        <v>1</v>
      </c>
      <c r="AT15" s="192">
        <f ca="1">IF(AND(NOW(),isUSD3MLLoaded),IF(OR(D15="",D15=0),"",_xll.mirGetParRate4($B15,$G15,$AO15,$P15,$Q15,$R15,$S15,$T15,$U15,$V15,$W15,$X15,$AA15,$AB15,$AC15,$AD15,$AE15,$AF15,$AG15,$AH15,$AJ15,$AK15,$AL15,$AM15,$AQ15,$Y15,$AP15,$AR15,$AS15,$L15)),"Please Load Yield Curves")</f>
        <v>1.7332547424356626E-2</v>
      </c>
      <c r="AU15" s="193">
        <f ca="1">IF(AND(NOW(),isUSD3MLLoaded),IF(OR(D15="",D15=0),"",_xll.mirSwapPV($D15,$F15,$B15,$G15,$AO15,$O15,$P15,$Q15,$R15,$S15,$T15,$U15,$V15,$W15,$X15,$Z15,$AA15,$AB15,$AC15,$AD15,$AE15,$AF15,$AG15,$AH15,$AJ15,$AK15,$AL15,$AM15,$AQ15,$Y15,$AP15,$AR15,$AS15)),"Please Load Yield Curves")</f>
        <v>69107.885002386873</v>
      </c>
      <c r="AV15" s="216">
        <f ca="1">IF(AND(NOW(),isUSD3MLLoaded),IF(OR(D15="",D15=0),"",_xll.mirSwapPV01($D15,$F15,$B15,$G15,$AO15,$P15,$Q15,$R15,$S15,$T15,$U15,$V15,$W15,$X15,$Z15,$AA15,$AB15,$AC15,$AD15,$AE15,$AF15,$AG15,$AH15,$AJ15,$AK15,$AL15,$AM15,$AQ15,$Y15,$AP15,$AR15,$AS15)),"Please Load Yield Curves")</f>
        <v>-942.48125518875236</v>
      </c>
    </row>
    <row r="16" spans="1:48" x14ac:dyDescent="0.25">
      <c r="A16" s="152">
        <v>11</v>
      </c>
      <c r="B16" s="176">
        <f>IF(OR(D16="",D16=0),"",_xll.mirGetDate(COB,C16,$R16,$S16))</f>
        <v>42423</v>
      </c>
      <c r="C16" s="194" t="s">
        <v>214</v>
      </c>
      <c r="D16" s="178">
        <v>1000000</v>
      </c>
      <c r="E16" s="178" t="s">
        <v>133</v>
      </c>
      <c r="F16" s="179" t="s">
        <v>174</v>
      </c>
      <c r="G16" s="180" t="s">
        <v>52</v>
      </c>
      <c r="H16" s="222" t="s">
        <v>219</v>
      </c>
      <c r="I16" s="222" t="s">
        <v>219</v>
      </c>
      <c r="J16" s="181">
        <v>0.01</v>
      </c>
      <c r="K16" s="181" t="s">
        <v>224</v>
      </c>
      <c r="L16" s="182">
        <v>0</v>
      </c>
      <c r="M16" s="181"/>
      <c r="N16" s="183" t="s">
        <v>215</v>
      </c>
      <c r="O16" s="195">
        <f t="shared" si="1"/>
        <v>0.01</v>
      </c>
      <c r="P16" s="185" t="s">
        <v>107</v>
      </c>
      <c r="Q16" s="185" t="s">
        <v>18</v>
      </c>
      <c r="R16" s="185" t="s">
        <v>20</v>
      </c>
      <c r="S16" s="185" t="s">
        <v>222</v>
      </c>
      <c r="T16" s="185"/>
      <c r="U16" s="185"/>
      <c r="V16" s="186" t="str">
        <f t="shared" si="2"/>
        <v>IMM</v>
      </c>
      <c r="W16" s="219" t="s">
        <v>223</v>
      </c>
      <c r="X16" s="224" t="s">
        <v>175</v>
      </c>
      <c r="Y16" s="186" t="str">
        <f t="shared" si="3"/>
        <v>USD3ML</v>
      </c>
      <c r="Z16" s="187">
        <f t="shared" si="4"/>
        <v>0</v>
      </c>
      <c r="AA16" s="186" t="s">
        <v>26</v>
      </c>
      <c r="AB16" s="185" t="s">
        <v>5</v>
      </c>
      <c r="AC16" s="185" t="s">
        <v>20</v>
      </c>
      <c r="AD16" s="185" t="s">
        <v>222</v>
      </c>
      <c r="AE16" s="185"/>
      <c r="AF16" s="185"/>
      <c r="AG16" s="186" t="str">
        <f t="shared" si="5"/>
        <v>IMM</v>
      </c>
      <c r="AH16" s="219" t="s">
        <v>214</v>
      </c>
      <c r="AI16" s="188">
        <f>_xll.mirGetDate(COB,"-"&amp;AH16,$AC16,$AD16)</f>
        <v>42417</v>
      </c>
      <c r="AJ16" s="189" t="s">
        <v>33</v>
      </c>
      <c r="AK16" s="190"/>
      <c r="AL16" s="219" t="s">
        <v>223</v>
      </c>
      <c r="AM16" s="224" t="s">
        <v>175</v>
      </c>
      <c r="AN16" s="186" t="str">
        <f t="shared" si="6"/>
        <v>NOCSA</v>
      </c>
      <c r="AO16" s="186" t="str">
        <f t="shared" si="0"/>
        <v>USDYC</v>
      </c>
      <c r="AP16" s="186" t="str">
        <f t="shared" si="7"/>
        <v>USDDF_NOCSA</v>
      </c>
      <c r="AQ16" s="185" t="s">
        <v>162</v>
      </c>
      <c r="AR16" s="185" t="b">
        <v>1</v>
      </c>
      <c r="AS16" s="191" t="b">
        <v>1</v>
      </c>
      <c r="AT16" s="192">
        <f ca="1">IF(AND(NOW(),isUSD3MLLoaded),IF(OR(D16="",D16=0),"",_xll.mirGetParRate4($B16,$G16,$AO16,$P16,$Q16,$R16,$S16,$T16,$U16,$V16,$W16,$X16,$AA16,$AB16,$AC16,$AD16,$AE16,$AF16,$AG16,$AH16,$AJ16,$AK16,$AL16,$AM16,$AQ16,$Y16,$AP16,$AR16,$AS16,$L16)),"Please Load Yield Curves")</f>
        <v>1.7978690159542714E-2</v>
      </c>
      <c r="AU16" s="193">
        <f ca="1">IF(AND(NOW(),isUSD3MLLoaded),IF(OR(D16="",D16=0),"",_xll.mirSwapPV($D16,$F16,$B16,$G16,$AO16,$O16,$P16,$Q16,$R16,$S16,$T16,$U16,$V16,$W16,$X16,$Z16,$AA16,$AB16,$AC16,$AD16,$AE16,$AF16,$AG16,$AH16,$AJ16,$AK16,$AL16,$AM16,$AQ16,$Y16,$AP16,$AR16,$AS16)),"Please Load Yield Curves")</f>
        <v>82023.904550137973</v>
      </c>
      <c r="AV16" s="216">
        <f ca="1">IF(AND(NOW(),isUSD3MLLoaded),IF(OR(D16="",D16=0),"",_xll.mirSwapPV01($D16,$F16,$B16,$G16,$AO16,$P16,$Q16,$R16,$S16,$T16,$U16,$V16,$W16,$X16,$Z16,$AA16,$AB16,$AC16,$AD16,$AE16,$AF16,$AG16,$AH16,$AJ16,$AK16,$AL16,$AM16,$AQ16,$Y16,$AP16,$AR16,$AS16)),"Please Load Yield Curves")</f>
        <v>-1028.0372205209062</v>
      </c>
    </row>
    <row r="17" spans="1:48" x14ac:dyDescent="0.25">
      <c r="A17" s="152">
        <v>12</v>
      </c>
      <c r="B17" s="176">
        <f>IF(OR(D17="",D17=0),"",_xll.mirGetDate(COB,C17,$R17,$S17))</f>
        <v>42423</v>
      </c>
      <c r="C17" s="194" t="s">
        <v>214</v>
      </c>
      <c r="D17" s="178">
        <v>1000000</v>
      </c>
      <c r="E17" s="178" t="s">
        <v>133</v>
      </c>
      <c r="F17" s="179" t="s">
        <v>174</v>
      </c>
      <c r="G17" s="180" t="s">
        <v>53</v>
      </c>
      <c r="H17" s="222" t="s">
        <v>219</v>
      </c>
      <c r="I17" s="222" t="s">
        <v>219</v>
      </c>
      <c r="J17" s="181">
        <v>0.01</v>
      </c>
      <c r="K17" s="181" t="s">
        <v>224</v>
      </c>
      <c r="L17" s="182">
        <v>0</v>
      </c>
      <c r="M17" s="181"/>
      <c r="N17" s="183" t="s">
        <v>215</v>
      </c>
      <c r="O17" s="195">
        <f t="shared" si="1"/>
        <v>0.01</v>
      </c>
      <c r="P17" s="185" t="s">
        <v>107</v>
      </c>
      <c r="Q17" s="185" t="s">
        <v>18</v>
      </c>
      <c r="R17" s="185" t="s">
        <v>20</v>
      </c>
      <c r="S17" s="185" t="s">
        <v>222</v>
      </c>
      <c r="T17" s="185"/>
      <c r="U17" s="185"/>
      <c r="V17" s="186" t="str">
        <f t="shared" si="2"/>
        <v>IMM</v>
      </c>
      <c r="W17" s="219" t="s">
        <v>223</v>
      </c>
      <c r="X17" s="224" t="s">
        <v>175</v>
      </c>
      <c r="Y17" s="186" t="str">
        <f t="shared" si="3"/>
        <v>USD3ML</v>
      </c>
      <c r="Z17" s="187">
        <f t="shared" si="4"/>
        <v>0</v>
      </c>
      <c r="AA17" s="186" t="s">
        <v>26</v>
      </c>
      <c r="AB17" s="185" t="s">
        <v>5</v>
      </c>
      <c r="AC17" s="185" t="s">
        <v>20</v>
      </c>
      <c r="AD17" s="185" t="s">
        <v>222</v>
      </c>
      <c r="AE17" s="185"/>
      <c r="AF17" s="185"/>
      <c r="AG17" s="186" t="str">
        <f t="shared" si="5"/>
        <v>IMM</v>
      </c>
      <c r="AH17" s="219" t="s">
        <v>214</v>
      </c>
      <c r="AI17" s="188">
        <f>_xll.mirGetDate(COB,"-"&amp;AH17,$AC17,$AD17)</f>
        <v>42417</v>
      </c>
      <c r="AJ17" s="189" t="s">
        <v>33</v>
      </c>
      <c r="AK17" s="190"/>
      <c r="AL17" s="219" t="s">
        <v>223</v>
      </c>
      <c r="AM17" s="224" t="s">
        <v>175</v>
      </c>
      <c r="AN17" s="186" t="str">
        <f t="shared" si="6"/>
        <v>NOCSA</v>
      </c>
      <c r="AO17" s="186" t="str">
        <f t="shared" si="0"/>
        <v>USDYC</v>
      </c>
      <c r="AP17" s="186" t="str">
        <f t="shared" si="7"/>
        <v>USDDF_NOCSA</v>
      </c>
      <c r="AQ17" s="185" t="s">
        <v>162</v>
      </c>
      <c r="AR17" s="185" t="b">
        <v>1</v>
      </c>
      <c r="AS17" s="191" t="b">
        <v>1</v>
      </c>
      <c r="AT17" s="192">
        <f ca="1">IF(AND(NOW(),isUSD3MLLoaded),IF(OR(D17="",D17=0),"",_xll.mirGetParRate4($B17,$G17,$AO17,$P17,$Q17,$R17,$S17,$T17,$U17,$V17,$W17,$X17,$AA17,$AB17,$AC17,$AD17,$AE17,$AF17,$AG17,$AH17,$AJ17,$AK17,$AL17,$AM17,$AQ17,$Y17,$AP17,$AR17,$AS17,$L17)),"Please Load Yield Curves")</f>
        <v>1.848447462343367E-2</v>
      </c>
      <c r="AU17" s="193">
        <f ca="1">IF(AND(NOW(),isUSD3MLLoaded),IF(OR(D17="",D17=0),"",_xll.mirSwapPV($D17,$F17,$B17,$G17,$AO17,$O17,$P17,$Q17,$R17,$S17,$T17,$U17,$V17,$W17,$X17,$Z17,$AA17,$AB17,$AC17,$AD17,$AE17,$AF17,$AG17,$AH17,$AJ17,$AK17,$AL17,$AM17,$AQ17,$Y17,$AP17,$AR17,$AS17)),"Please Load Yield Curves")</f>
        <v>94329.085781487753</v>
      </c>
      <c r="AV17" s="216">
        <f ca="1">IF(AND(NOW(),isUSD3MLLoaded),IF(OR(D17="",D17=0),"",_xll.mirSwapPV01($D17,$F17,$B17,$G17,$AO17,$P17,$Q17,$R17,$S17,$T17,$U17,$V17,$W17,$X17,$Z17,$AA17,$AB17,$AC17,$AD17,$AE17,$AF17,$AG17,$AH17,$AJ17,$AK17,$AL17,$AM17,$AQ17,$Y17,$AP17,$AR17,$AS17)),"Please Load Yield Curves")</f>
        <v>-1111.7846415729248</v>
      </c>
    </row>
    <row r="18" spans="1:48" x14ac:dyDescent="0.25">
      <c r="A18" s="152">
        <v>13</v>
      </c>
      <c r="B18" s="176">
        <f>IF(OR(D18="",D18=0),"",_xll.mirGetDate(COB,C18,$R18,$S18))</f>
        <v>42423</v>
      </c>
      <c r="C18" s="194" t="s">
        <v>214</v>
      </c>
      <c r="D18" s="178">
        <v>1000000</v>
      </c>
      <c r="E18" s="178" t="s">
        <v>133</v>
      </c>
      <c r="F18" s="179" t="s">
        <v>174</v>
      </c>
      <c r="G18" s="180" t="s">
        <v>216</v>
      </c>
      <c r="H18" s="222" t="s">
        <v>219</v>
      </c>
      <c r="I18" s="222" t="s">
        <v>219</v>
      </c>
      <c r="J18" s="181">
        <v>0.01</v>
      </c>
      <c r="K18" s="181" t="s">
        <v>224</v>
      </c>
      <c r="L18" s="182">
        <v>0</v>
      </c>
      <c r="M18" s="181"/>
      <c r="N18" s="183" t="s">
        <v>215</v>
      </c>
      <c r="O18" s="195">
        <f t="shared" si="1"/>
        <v>0.01</v>
      </c>
      <c r="P18" s="185" t="s">
        <v>107</v>
      </c>
      <c r="Q18" s="185" t="s">
        <v>18</v>
      </c>
      <c r="R18" s="185" t="s">
        <v>20</v>
      </c>
      <c r="S18" s="185" t="s">
        <v>222</v>
      </c>
      <c r="T18" s="185"/>
      <c r="U18" s="185"/>
      <c r="V18" s="186" t="str">
        <f t="shared" si="2"/>
        <v>IMM</v>
      </c>
      <c r="W18" s="219" t="s">
        <v>223</v>
      </c>
      <c r="X18" s="224" t="s">
        <v>175</v>
      </c>
      <c r="Y18" s="186" t="str">
        <f t="shared" si="3"/>
        <v>USD3ML</v>
      </c>
      <c r="Z18" s="187">
        <f t="shared" si="4"/>
        <v>0</v>
      </c>
      <c r="AA18" s="186" t="s">
        <v>26</v>
      </c>
      <c r="AB18" s="185" t="s">
        <v>5</v>
      </c>
      <c r="AC18" s="185" t="s">
        <v>20</v>
      </c>
      <c r="AD18" s="185" t="s">
        <v>222</v>
      </c>
      <c r="AE18" s="185"/>
      <c r="AF18" s="185"/>
      <c r="AG18" s="186" t="str">
        <f t="shared" si="5"/>
        <v>IMM</v>
      </c>
      <c r="AH18" s="219" t="s">
        <v>214</v>
      </c>
      <c r="AI18" s="188">
        <f>_xll.mirGetDate(COB,"-"&amp;AH18,$AC18,$AD18)</f>
        <v>42417</v>
      </c>
      <c r="AJ18" s="189" t="s">
        <v>33</v>
      </c>
      <c r="AK18" s="190"/>
      <c r="AL18" s="219" t="s">
        <v>223</v>
      </c>
      <c r="AM18" s="224" t="s">
        <v>175</v>
      </c>
      <c r="AN18" s="186" t="str">
        <f t="shared" si="6"/>
        <v>NOCSA</v>
      </c>
      <c r="AO18" s="186" t="str">
        <f t="shared" si="0"/>
        <v>USDYC</v>
      </c>
      <c r="AP18" s="186" t="str">
        <f t="shared" si="7"/>
        <v>USDDF_NOCSA</v>
      </c>
      <c r="AQ18" s="185" t="s">
        <v>162</v>
      </c>
      <c r="AR18" s="185" t="b">
        <v>1</v>
      </c>
      <c r="AS18" s="191" t="b">
        <v>1</v>
      </c>
      <c r="AT18" s="192">
        <f ca="1">IF(AND(NOW(),isUSD3MLLoaded),IF(OR(D18="",D18=0),"",_xll.mirGetParRate4($B18,$G18,$AO18,$P18,$Q18,$R18,$S18,$T18,$U18,$V18,$W18,$X18,$AA18,$AB18,$AC18,$AD18,$AE18,$AF18,$AG18,$AH18,$AJ18,$AK18,$AL18,$AM18,$AQ18,$Y18,$AP18,$AR18,$AS18,$L18)),"Please Load Yield Curves")</f>
        <v>1.8946965490657369E-2</v>
      </c>
      <c r="AU18" s="193">
        <f ca="1">IF(AND(NOW(),isUSD3MLLoaded),IF(OR(D18="",D18=0),"",_xll.mirSwapPV($D18,$F18,$B18,$G18,$AO18,$O18,$P18,$Q18,$R18,$S18,$T18,$U18,$V18,$W18,$X18,$Z18,$AA18,$AB18,$AC18,$AD18,$AE18,$AF18,$AG18,$AH18,$AJ18,$AK18,$AL18,$AM18,$AQ18,$Y18,$AP18,$AR18,$AS18)),"Please Load Yield Curves")</f>
        <v>106802.79533036132</v>
      </c>
      <c r="AV18" s="216">
        <f ca="1">IF(AND(NOW(),isUSD3MLLoaded),IF(OR(D18="",D18=0),"",_xll.mirSwapPV01($D18,$F18,$B18,$G18,$AO18,$P18,$Q18,$R18,$S18,$T18,$U18,$V18,$W18,$X18,$Z18,$AA18,$AB18,$AC18,$AD18,$AE18,$AF18,$AG18,$AH18,$AJ18,$AK18,$AL18,$AM18,$AQ18,$Y18,$AP18,$AR18,$AS18)),"Please Load Yield Curves")</f>
        <v>-1193.7320585609423</v>
      </c>
    </row>
    <row r="19" spans="1:48" x14ac:dyDescent="0.25">
      <c r="A19" s="152">
        <v>14</v>
      </c>
      <c r="B19" s="176">
        <f>IF(OR(D19="",D19=0),"",_xll.mirGetDate(COB,C19,$R19,$S19))</f>
        <v>42423</v>
      </c>
      <c r="C19" s="194" t="s">
        <v>214</v>
      </c>
      <c r="D19" s="178">
        <v>1000000</v>
      </c>
      <c r="E19" s="178" t="s">
        <v>133</v>
      </c>
      <c r="F19" s="179" t="s">
        <v>174</v>
      </c>
      <c r="G19" s="180" t="s">
        <v>217</v>
      </c>
      <c r="H19" s="222" t="s">
        <v>219</v>
      </c>
      <c r="I19" s="222" t="s">
        <v>219</v>
      </c>
      <c r="J19" s="181">
        <v>0.01</v>
      </c>
      <c r="K19" s="181" t="s">
        <v>224</v>
      </c>
      <c r="L19" s="182">
        <v>0</v>
      </c>
      <c r="M19" s="181"/>
      <c r="N19" s="183" t="s">
        <v>215</v>
      </c>
      <c r="O19" s="195">
        <f t="shared" si="1"/>
        <v>0.01</v>
      </c>
      <c r="P19" s="185" t="s">
        <v>107</v>
      </c>
      <c r="Q19" s="185" t="s">
        <v>18</v>
      </c>
      <c r="R19" s="185" t="s">
        <v>20</v>
      </c>
      <c r="S19" s="185" t="s">
        <v>222</v>
      </c>
      <c r="T19" s="185"/>
      <c r="U19" s="185"/>
      <c r="V19" s="186" t="str">
        <f t="shared" si="2"/>
        <v>IMM</v>
      </c>
      <c r="W19" s="219" t="s">
        <v>223</v>
      </c>
      <c r="X19" s="224" t="s">
        <v>175</v>
      </c>
      <c r="Y19" s="186" t="str">
        <f t="shared" si="3"/>
        <v>USD3ML</v>
      </c>
      <c r="Z19" s="187">
        <f t="shared" si="4"/>
        <v>0</v>
      </c>
      <c r="AA19" s="186" t="s">
        <v>26</v>
      </c>
      <c r="AB19" s="185" t="s">
        <v>5</v>
      </c>
      <c r="AC19" s="185" t="s">
        <v>20</v>
      </c>
      <c r="AD19" s="185" t="s">
        <v>222</v>
      </c>
      <c r="AE19" s="185"/>
      <c r="AF19" s="185"/>
      <c r="AG19" s="186" t="str">
        <f t="shared" si="5"/>
        <v>IMM</v>
      </c>
      <c r="AH19" s="219" t="s">
        <v>214</v>
      </c>
      <c r="AI19" s="188">
        <f>_xll.mirGetDate(COB,"-"&amp;AH19,$AC19,$AD19)</f>
        <v>42417</v>
      </c>
      <c r="AJ19" s="189" t="s">
        <v>33</v>
      </c>
      <c r="AK19" s="190"/>
      <c r="AL19" s="219" t="s">
        <v>223</v>
      </c>
      <c r="AM19" s="224" t="s">
        <v>175</v>
      </c>
      <c r="AN19" s="186" t="str">
        <f t="shared" si="6"/>
        <v>NOCSA</v>
      </c>
      <c r="AO19" s="186" t="str">
        <f t="shared" si="0"/>
        <v>USDYC</v>
      </c>
      <c r="AP19" s="186" t="str">
        <f t="shared" si="7"/>
        <v>USDDF_NOCSA</v>
      </c>
      <c r="AQ19" s="185" t="s">
        <v>162</v>
      </c>
      <c r="AR19" s="185" t="b">
        <v>1</v>
      </c>
      <c r="AS19" s="191" t="b">
        <v>1</v>
      </c>
      <c r="AT19" s="192">
        <f ca="1">IF(AND(NOW(),isUSD3MLLoaded),IF(OR(D19="",D19=0),"",_xll.mirGetParRate4($B19,$G19,$AO19,$P19,$Q19,$R19,$S19,$T19,$U19,$V19,$W19,$X19,$AA19,$AB19,$AC19,$AD19,$AE19,$AF19,$AG19,$AH19,$AJ19,$AK19,$AL19,$AM19,$AQ19,$Y19,$AP19,$AR19,$AS19,$L19)),"Please Load Yield Curves")</f>
        <v>1.9358439750152896E-2</v>
      </c>
      <c r="AU19" s="193">
        <f ca="1">IF(AND(NOW(),isUSD3MLLoaded),IF(OR(D19="",D19=0),"",_xll.mirSwapPV($D19,$F19,$B19,$G19,$AO19,$O19,$P19,$Q19,$R19,$S19,$T19,$U19,$V19,$W19,$X19,$Z19,$AA19,$AB19,$AC19,$AD19,$AE19,$AF19,$AG19,$AH19,$AJ19,$AK19,$AL19,$AM19,$AQ19,$Y19,$AP19,$AR19,$AS19)),"Please Load Yield Curves")</f>
        <v>119262.84798759165</v>
      </c>
      <c r="AV19" s="216">
        <f ca="1">IF(AND(NOW(),isUSD3MLLoaded),IF(OR(D19="",D19=0),"",_xll.mirSwapPV01($D19,$F19,$B19,$G19,$AO19,$P19,$Q19,$R19,$S19,$T19,$U19,$V19,$W19,$X19,$Z19,$AA19,$AB19,$AC19,$AD19,$AE19,$AF19,$AG19,$AH19,$AJ19,$AK19,$AL19,$AM19,$AQ19,$Y19,$AP19,$AR19,$AS19)),"Please Load Yield Curves")</f>
        <v>-1274.3881584068881</v>
      </c>
    </row>
    <row r="20" spans="1:48" x14ac:dyDescent="0.25">
      <c r="A20" s="152">
        <v>15</v>
      </c>
      <c r="B20" s="176">
        <f>IF(OR(D20="",D20=0),"",_xll.mirGetDate(COB,C20,$R20,$S20))</f>
        <v>42423</v>
      </c>
      <c r="C20" s="194" t="s">
        <v>214</v>
      </c>
      <c r="D20" s="178">
        <v>1000000</v>
      </c>
      <c r="E20" s="178" t="s">
        <v>133</v>
      </c>
      <c r="F20" s="179" t="s">
        <v>174</v>
      </c>
      <c r="G20" s="180" t="s">
        <v>54</v>
      </c>
      <c r="H20" s="222" t="s">
        <v>219</v>
      </c>
      <c r="I20" s="222" t="s">
        <v>219</v>
      </c>
      <c r="J20" s="181">
        <v>0.01</v>
      </c>
      <c r="K20" s="181" t="s">
        <v>224</v>
      </c>
      <c r="L20" s="182">
        <v>0</v>
      </c>
      <c r="M20" s="181"/>
      <c r="N20" s="183" t="s">
        <v>215</v>
      </c>
      <c r="O20" s="195">
        <f t="shared" si="1"/>
        <v>0.01</v>
      </c>
      <c r="P20" s="185" t="s">
        <v>107</v>
      </c>
      <c r="Q20" s="185" t="s">
        <v>18</v>
      </c>
      <c r="R20" s="185" t="s">
        <v>20</v>
      </c>
      <c r="S20" s="185" t="s">
        <v>222</v>
      </c>
      <c r="T20" s="185"/>
      <c r="U20" s="185"/>
      <c r="V20" s="186" t="str">
        <f t="shared" si="2"/>
        <v>IMM</v>
      </c>
      <c r="W20" s="219" t="s">
        <v>223</v>
      </c>
      <c r="X20" s="224" t="s">
        <v>175</v>
      </c>
      <c r="Y20" s="186" t="str">
        <f t="shared" si="3"/>
        <v>USD3ML</v>
      </c>
      <c r="Z20" s="187">
        <f t="shared" si="4"/>
        <v>0</v>
      </c>
      <c r="AA20" s="186" t="s">
        <v>26</v>
      </c>
      <c r="AB20" s="185" t="s">
        <v>5</v>
      </c>
      <c r="AC20" s="185" t="s">
        <v>20</v>
      </c>
      <c r="AD20" s="185" t="s">
        <v>222</v>
      </c>
      <c r="AE20" s="185"/>
      <c r="AF20" s="185"/>
      <c r="AG20" s="186" t="str">
        <f t="shared" si="5"/>
        <v>IMM</v>
      </c>
      <c r="AH20" s="219" t="s">
        <v>214</v>
      </c>
      <c r="AI20" s="188">
        <f>_xll.mirGetDate(COB,"-"&amp;AH20,$AC20,$AD20)</f>
        <v>42417</v>
      </c>
      <c r="AJ20" s="189" t="s">
        <v>33</v>
      </c>
      <c r="AK20" s="190"/>
      <c r="AL20" s="219" t="s">
        <v>223</v>
      </c>
      <c r="AM20" s="224" t="s">
        <v>175</v>
      </c>
      <c r="AN20" s="186" t="str">
        <f t="shared" si="6"/>
        <v>NOCSA</v>
      </c>
      <c r="AO20" s="186" t="str">
        <f t="shared" si="0"/>
        <v>USDYC</v>
      </c>
      <c r="AP20" s="186" t="str">
        <f t="shared" si="7"/>
        <v>USDDF_NOCSA</v>
      </c>
      <c r="AQ20" s="185" t="s">
        <v>162</v>
      </c>
      <c r="AR20" s="185" t="b">
        <v>1</v>
      </c>
      <c r="AS20" s="191" t="b">
        <v>1</v>
      </c>
      <c r="AT20" s="192">
        <f ca="1">IF(AND(NOW(),isUSD3MLLoaded),IF(OR(D20="",D20=0),"",_xll.mirGetParRate4($B20,$G20,$AO20,$P20,$Q20,$R20,$S20,$T20,$U20,$V20,$W20,$X20,$AA20,$AB20,$AC20,$AD20,$AE20,$AF20,$AG20,$AH20,$AJ20,$AK20,$AL20,$AM20,$AQ20,$Y20,$AP20,$AR20,$AS20,$L20)),"Please Load Yield Curves")</f>
        <v>1.9711171134215048E-2</v>
      </c>
      <c r="AU20" s="193">
        <f ca="1">IF(AND(NOW(),isUSD3MLLoaded),IF(OR(D20="",D20=0),"",_xll.mirSwapPV($D20,$F20,$B20,$G20,$AO20,$O20,$P20,$Q20,$R20,$S20,$T20,$U20,$V20,$W20,$X20,$Z20,$AA20,$AB20,$AC20,$AD20,$AE20,$AF20,$AG20,$AH20,$AJ20,$AK20,$AL20,$AM20,$AQ20,$Y20,$AP20,$AR20,$AS20)),"Please Load Yield Curves")</f>
        <v>131362.44695351159</v>
      </c>
      <c r="AV20" s="216">
        <f ca="1">IF(AND(NOW(),isUSD3MLLoaded),IF(OR(D20="",D20=0),"",_xll.mirSwapPV01($D20,$F20,$B20,$G20,$AO20,$P20,$Q20,$R20,$S20,$T20,$U20,$V20,$W20,$X20,$Z20,$AA20,$AB20,$AC20,$AD20,$AE20,$AF20,$AG20,$AH20,$AJ20,$AK20,$AL20,$AM20,$AQ20,$Y20,$AP20,$AR20,$AS20)),"Please Load Yield Curves")</f>
        <v>-1352.6941821742448</v>
      </c>
    </row>
    <row r="21" spans="1:48" x14ac:dyDescent="0.25">
      <c r="A21" s="152">
        <v>16</v>
      </c>
      <c r="B21" s="176">
        <f>IF(OR(D21="",D21=0),"",_xll.mirGetDate(COB,C21,$R21,$S21))</f>
        <v>42423</v>
      </c>
      <c r="C21" s="194" t="s">
        <v>214</v>
      </c>
      <c r="D21" s="178">
        <v>1000000</v>
      </c>
      <c r="E21" s="178" t="s">
        <v>133</v>
      </c>
      <c r="F21" s="179" t="s">
        <v>174</v>
      </c>
      <c r="G21" s="180" t="s">
        <v>55</v>
      </c>
      <c r="H21" s="222" t="s">
        <v>219</v>
      </c>
      <c r="I21" s="222" t="s">
        <v>219</v>
      </c>
      <c r="J21" s="181">
        <v>0.01</v>
      </c>
      <c r="K21" s="181" t="s">
        <v>224</v>
      </c>
      <c r="L21" s="182">
        <v>0</v>
      </c>
      <c r="M21" s="181"/>
      <c r="N21" s="183" t="s">
        <v>215</v>
      </c>
      <c r="O21" s="195">
        <f t="shared" si="1"/>
        <v>0.01</v>
      </c>
      <c r="P21" s="185" t="s">
        <v>107</v>
      </c>
      <c r="Q21" s="185" t="s">
        <v>18</v>
      </c>
      <c r="R21" s="185" t="s">
        <v>20</v>
      </c>
      <c r="S21" s="185" t="s">
        <v>222</v>
      </c>
      <c r="T21" s="185"/>
      <c r="U21" s="185"/>
      <c r="V21" s="186" t="str">
        <f t="shared" si="2"/>
        <v>IMM</v>
      </c>
      <c r="W21" s="219" t="s">
        <v>223</v>
      </c>
      <c r="X21" s="224" t="s">
        <v>175</v>
      </c>
      <c r="Y21" s="186" t="str">
        <f t="shared" si="3"/>
        <v>USD3ML</v>
      </c>
      <c r="Z21" s="187">
        <f t="shared" si="4"/>
        <v>0</v>
      </c>
      <c r="AA21" s="186" t="s">
        <v>26</v>
      </c>
      <c r="AB21" s="185" t="s">
        <v>5</v>
      </c>
      <c r="AC21" s="185" t="s">
        <v>20</v>
      </c>
      <c r="AD21" s="185" t="s">
        <v>222</v>
      </c>
      <c r="AE21" s="185"/>
      <c r="AF21" s="185"/>
      <c r="AG21" s="186" t="str">
        <f t="shared" si="5"/>
        <v>IMM</v>
      </c>
      <c r="AH21" s="219" t="s">
        <v>214</v>
      </c>
      <c r="AI21" s="188">
        <f>_xll.mirGetDate(COB,"-"&amp;AH21,$AC21,$AD21)</f>
        <v>42417</v>
      </c>
      <c r="AJ21" s="189" t="s">
        <v>33</v>
      </c>
      <c r="AK21" s="190"/>
      <c r="AL21" s="219" t="s">
        <v>223</v>
      </c>
      <c r="AM21" s="224" t="s">
        <v>175</v>
      </c>
      <c r="AN21" s="186" t="str">
        <f t="shared" si="6"/>
        <v>NOCSA</v>
      </c>
      <c r="AO21" s="186" t="str">
        <f t="shared" si="0"/>
        <v>USDYC</v>
      </c>
      <c r="AP21" s="186" t="str">
        <f t="shared" si="7"/>
        <v>USDDF_NOCSA</v>
      </c>
      <c r="AQ21" s="185" t="s">
        <v>162</v>
      </c>
      <c r="AR21" s="185" t="b">
        <v>1</v>
      </c>
      <c r="AS21" s="191" t="b">
        <v>1</v>
      </c>
      <c r="AT21" s="192">
        <f ca="1">IF(AND(NOW(),isUSD3MLLoaded),IF(OR(D21="",D21=0),"",_xll.mirGetParRate4($B21,$G21,$AO21,$P21,$Q21,$R21,$S21,$T21,$U21,$V21,$W21,$X21,$AA21,$AB21,$AC21,$AD21,$AE21,$AF21,$AG21,$AH21,$AJ21,$AK21,$AL21,$AM21,$AQ21,$Y21,$AP21,$AR21,$AS21,$L21)),"Please Load Yield Curves")</f>
        <v>2.0968325232766361E-2</v>
      </c>
      <c r="AU21" s="193">
        <f ca="1">IF(AND(NOW(),isUSD3MLLoaded),IF(OR(D21="",D21=0),"",_xll.mirSwapPV($D21,$F21,$B21,$G21,$AO21,$O21,$P21,$Q21,$R21,$S21,$T21,$U21,$V21,$W21,$X21,$Z21,$AA21,$AB21,$AC21,$AD21,$AE21,$AF21,$AG21,$AH21,$AJ21,$AK21,$AL21,$AM21,$AQ21,$Y21,$AP21,$AR21,$AS21)),"Please Load Yield Curves")</f>
        <v>188778.08763550076</v>
      </c>
      <c r="AV21" s="216">
        <f ca="1">IF(AND(NOW(),isUSD3MLLoaded),IF(OR(D21="",D21=0),"",_xll.mirSwapPV01($D21,$F21,$B21,$G21,$AO21,$P21,$Q21,$R21,$S21,$T21,$U21,$V21,$W21,$X21,$Z21,$AA21,$AB21,$AC21,$AD21,$AE21,$AF21,$AG21,$AH21,$AJ21,$AK21,$AL21,$AM21,$AQ21,$Y21,$AP21,$AR21,$AS21)),"Please Load Yield Curves")</f>
        <v>-1721.120441173209</v>
      </c>
    </row>
    <row r="22" spans="1:48" x14ac:dyDescent="0.25">
      <c r="A22" s="152">
        <v>17</v>
      </c>
      <c r="B22" s="176">
        <f>IF(OR(D22="",D22=0),"",_xll.mirGetDate(COB,C22,$R22,$S22))</f>
        <v>42423</v>
      </c>
      <c r="C22" s="194" t="s">
        <v>214</v>
      </c>
      <c r="D22" s="178">
        <v>1000000</v>
      </c>
      <c r="E22" s="178" t="s">
        <v>133</v>
      </c>
      <c r="F22" s="179" t="s">
        <v>174</v>
      </c>
      <c r="G22" s="180" t="s">
        <v>56</v>
      </c>
      <c r="H22" s="222" t="s">
        <v>219</v>
      </c>
      <c r="I22" s="222" t="s">
        <v>219</v>
      </c>
      <c r="J22" s="181">
        <v>0.01</v>
      </c>
      <c r="K22" s="181" t="s">
        <v>224</v>
      </c>
      <c r="L22" s="182">
        <v>0</v>
      </c>
      <c r="M22" s="181"/>
      <c r="N22" s="183" t="s">
        <v>215</v>
      </c>
      <c r="O22" s="195">
        <f t="shared" si="1"/>
        <v>0.01</v>
      </c>
      <c r="P22" s="185" t="s">
        <v>107</v>
      </c>
      <c r="Q22" s="185" t="s">
        <v>18</v>
      </c>
      <c r="R22" s="185" t="s">
        <v>20</v>
      </c>
      <c r="S22" s="185" t="s">
        <v>222</v>
      </c>
      <c r="T22" s="185"/>
      <c r="U22" s="185"/>
      <c r="V22" s="186" t="str">
        <f t="shared" si="2"/>
        <v>IMM</v>
      </c>
      <c r="W22" s="219" t="s">
        <v>223</v>
      </c>
      <c r="X22" s="224" t="s">
        <v>175</v>
      </c>
      <c r="Y22" s="186" t="str">
        <f t="shared" si="3"/>
        <v>USD3ML</v>
      </c>
      <c r="Z22" s="187">
        <f t="shared" si="4"/>
        <v>0</v>
      </c>
      <c r="AA22" s="186" t="s">
        <v>26</v>
      </c>
      <c r="AB22" s="185" t="s">
        <v>5</v>
      </c>
      <c r="AC22" s="185" t="s">
        <v>20</v>
      </c>
      <c r="AD22" s="185" t="s">
        <v>222</v>
      </c>
      <c r="AE22" s="185"/>
      <c r="AF22" s="185"/>
      <c r="AG22" s="186" t="str">
        <f t="shared" si="5"/>
        <v>IMM</v>
      </c>
      <c r="AH22" s="219" t="s">
        <v>214</v>
      </c>
      <c r="AI22" s="188">
        <f>_xll.mirGetDate(COB,"-"&amp;AH22,$AC22,$AD22)</f>
        <v>42417</v>
      </c>
      <c r="AJ22" s="189" t="s">
        <v>33</v>
      </c>
      <c r="AK22" s="190"/>
      <c r="AL22" s="219" t="s">
        <v>223</v>
      </c>
      <c r="AM22" s="224" t="s">
        <v>175</v>
      </c>
      <c r="AN22" s="186" t="str">
        <f t="shared" si="6"/>
        <v>NOCSA</v>
      </c>
      <c r="AO22" s="186" t="str">
        <f t="shared" si="0"/>
        <v>USDYC</v>
      </c>
      <c r="AP22" s="186" t="str">
        <f t="shared" si="7"/>
        <v>USDDF_NOCSA</v>
      </c>
      <c r="AQ22" s="185" t="s">
        <v>162</v>
      </c>
      <c r="AR22" s="185" t="b">
        <v>1</v>
      </c>
      <c r="AS22" s="191" t="b">
        <v>1</v>
      </c>
      <c r="AT22" s="192">
        <f ca="1">IF(AND(NOW(),isUSD3MLLoaded),IF(OR(D22="",D22=0),"",_xll.mirGetParRate4($B22,$G22,$AO22,$P22,$Q22,$R22,$S22,$T22,$U22,$V22,$W22,$X22,$AA22,$AB22,$AC22,$AD22,$AE22,$AF22,$AG22,$AH22,$AJ22,$AK22,$AL22,$AM22,$AQ22,$Y22,$AP22,$AR22,$AS22,$L22)),"Please Load Yield Curves")</f>
        <v>2.1574500093484879E-2</v>
      </c>
      <c r="AU22" s="193">
        <f ca="1">IF(AND(NOW(),isUSD3MLLoaded),IF(OR(D22="",D22=0),"",_xll.mirSwapPV($D22,$F22,$B22,$G22,$AO22,$O22,$P22,$Q22,$R22,$S22,$T22,$U22,$V22,$W22,$X22,$Z22,$AA22,$AB22,$AC22,$AD22,$AE22,$AF22,$AG22,$AH22,$AJ22,$AK22,$AL22,$AM22,$AQ22,$Y22,$AP22,$AR22,$AS22)),"Please Load Yield Curves")</f>
        <v>237511.1953215542</v>
      </c>
      <c r="AV22" s="216">
        <f ca="1">IF(AND(NOW(),isUSD3MLLoaded),IF(OR(D22="",D22=0),"",_xll.mirSwapPV01($D22,$F22,$B22,$G22,$AO22,$P22,$Q22,$R22,$S22,$T22,$U22,$V22,$W22,$X22,$Z22,$AA22,$AB22,$AC22,$AD22,$AE22,$AF22,$AG22,$AH22,$AJ22,$AK22,$AL22,$AM22,$AQ22,$Y22,$AP22,$AR22,$AS22)),"Please Load Yield Curves")</f>
        <v>-2052.0211966238257</v>
      </c>
    </row>
    <row r="23" spans="1:48" x14ac:dyDescent="0.25">
      <c r="A23" s="152">
        <v>18</v>
      </c>
      <c r="B23" s="176">
        <f>IF(OR(D23="",D23=0),"",_xll.mirGetDate(COB,C23,$R23,$S23))</f>
        <v>42423</v>
      </c>
      <c r="C23" s="194" t="s">
        <v>214</v>
      </c>
      <c r="D23" s="178">
        <v>1000000</v>
      </c>
      <c r="E23" s="178" t="s">
        <v>133</v>
      </c>
      <c r="F23" s="179" t="s">
        <v>174</v>
      </c>
      <c r="G23" s="180" t="s">
        <v>57</v>
      </c>
      <c r="H23" s="222" t="s">
        <v>219</v>
      </c>
      <c r="I23" s="222" t="s">
        <v>219</v>
      </c>
      <c r="J23" s="181">
        <v>0.01</v>
      </c>
      <c r="K23" s="181" t="s">
        <v>224</v>
      </c>
      <c r="L23" s="182">
        <v>0</v>
      </c>
      <c r="M23" s="181"/>
      <c r="N23" s="183" t="s">
        <v>215</v>
      </c>
      <c r="O23" s="195">
        <f t="shared" si="1"/>
        <v>0.01</v>
      </c>
      <c r="P23" s="185" t="s">
        <v>107</v>
      </c>
      <c r="Q23" s="185" t="s">
        <v>18</v>
      </c>
      <c r="R23" s="185" t="s">
        <v>20</v>
      </c>
      <c r="S23" s="185" t="s">
        <v>222</v>
      </c>
      <c r="T23" s="185"/>
      <c r="U23" s="185"/>
      <c r="V23" s="186" t="str">
        <f t="shared" si="2"/>
        <v>IMM</v>
      </c>
      <c r="W23" s="219" t="s">
        <v>223</v>
      </c>
      <c r="X23" s="224" t="s">
        <v>175</v>
      </c>
      <c r="Y23" s="186" t="str">
        <f t="shared" si="3"/>
        <v>USD3ML</v>
      </c>
      <c r="Z23" s="187">
        <f t="shared" si="4"/>
        <v>0</v>
      </c>
      <c r="AA23" s="186" t="s">
        <v>26</v>
      </c>
      <c r="AB23" s="185" t="s">
        <v>5</v>
      </c>
      <c r="AC23" s="185" t="s">
        <v>20</v>
      </c>
      <c r="AD23" s="185" t="s">
        <v>222</v>
      </c>
      <c r="AE23" s="185"/>
      <c r="AF23" s="185"/>
      <c r="AG23" s="186" t="str">
        <f t="shared" si="5"/>
        <v>IMM</v>
      </c>
      <c r="AH23" s="219" t="s">
        <v>214</v>
      </c>
      <c r="AI23" s="188">
        <f>_xll.mirGetDate(COB,"-"&amp;AH23,$AC23,$AD23)</f>
        <v>42417</v>
      </c>
      <c r="AJ23" s="189" t="s">
        <v>33</v>
      </c>
      <c r="AK23" s="190"/>
      <c r="AL23" s="219" t="s">
        <v>223</v>
      </c>
      <c r="AM23" s="224" t="s">
        <v>175</v>
      </c>
      <c r="AN23" s="186" t="str">
        <f t="shared" si="6"/>
        <v>NOCSA</v>
      </c>
      <c r="AO23" s="186" t="str">
        <f t="shared" si="0"/>
        <v>USDYC</v>
      </c>
      <c r="AP23" s="186" t="str">
        <f t="shared" si="7"/>
        <v>USDDF_NOCSA</v>
      </c>
      <c r="AQ23" s="185" t="s">
        <v>162</v>
      </c>
      <c r="AR23" s="185" t="b">
        <v>1</v>
      </c>
      <c r="AS23" s="191" t="b">
        <v>1</v>
      </c>
      <c r="AT23" s="192">
        <f ca="1">IF(AND(NOW(),isUSD3MLLoaded),IF(OR(D23="",D23=0),"",_xll.mirGetParRate4($B23,$G23,$AO23,$P23,$Q23,$R23,$S23,$T23,$U23,$V23,$W23,$X23,$AA23,$AB23,$AC23,$AD23,$AE23,$AF23,$AG23,$AH23,$AJ23,$AK23,$AL23,$AM23,$AQ23,$Y23,$AP23,$AR23,$AS23,$L23)),"Please Load Yield Curves")</f>
        <v>2.1975387337522582E-2</v>
      </c>
      <c r="AU23" s="193">
        <f ca="1">IF(AND(NOW(),isUSD3MLLoaded),IF(OR(D23="",D23=0),"",_xll.mirSwapPV($D23,$F23,$B23,$G23,$AO23,$O23,$P23,$Q23,$R23,$S23,$T23,$U23,$V23,$W23,$X23,$Z23,$AA23,$AB23,$AC23,$AD23,$AE23,$AF23,$AG23,$AH23,$AJ23,$AK23,$AL23,$AM23,$AQ23,$Y23,$AP23,$AR23,$AS23)),"Please Load Yield Curves")</f>
        <v>281473.03655861178</v>
      </c>
      <c r="AV23" s="216">
        <f ca="1">IF(AND(NOW(),isUSD3MLLoaded),IF(OR(D23="",D23=0),"",_xll.mirSwapPV01($D23,$F23,$B23,$G23,$AO23,$P23,$Q23,$R23,$S23,$T23,$U23,$V23,$W23,$X23,$Z23,$AA23,$AB23,$AC23,$AD23,$AE23,$AF23,$AG23,$AH23,$AJ23,$AK23,$AL23,$AM23,$AQ23,$Y23,$AP23,$AR23,$AS23)),"Please Load Yield Curves")</f>
        <v>-2350.4294986490327</v>
      </c>
    </row>
    <row r="24" spans="1:48" x14ac:dyDescent="0.25">
      <c r="A24" s="152">
        <v>19</v>
      </c>
      <c r="B24" s="176">
        <f>IF(OR(D24="",D24=0),"",_xll.mirGetDate(COB,C24,$R24,$S24))</f>
        <v>42423</v>
      </c>
      <c r="C24" s="194" t="s">
        <v>214</v>
      </c>
      <c r="D24" s="178">
        <v>1000000</v>
      </c>
      <c r="E24" s="178" t="s">
        <v>133</v>
      </c>
      <c r="F24" s="179" t="s">
        <v>174</v>
      </c>
      <c r="G24" s="180" t="s">
        <v>221</v>
      </c>
      <c r="H24" s="222" t="s">
        <v>219</v>
      </c>
      <c r="I24" s="222" t="s">
        <v>219</v>
      </c>
      <c r="J24" s="181">
        <v>0.01</v>
      </c>
      <c r="K24" s="181" t="s">
        <v>224</v>
      </c>
      <c r="L24" s="182">
        <v>0</v>
      </c>
      <c r="M24" s="181"/>
      <c r="N24" s="183" t="s">
        <v>215</v>
      </c>
      <c r="O24" s="195">
        <f t="shared" si="1"/>
        <v>0.01</v>
      </c>
      <c r="P24" s="185" t="s">
        <v>107</v>
      </c>
      <c r="Q24" s="185" t="s">
        <v>18</v>
      </c>
      <c r="R24" s="185" t="s">
        <v>20</v>
      </c>
      <c r="S24" s="185" t="s">
        <v>222</v>
      </c>
      <c r="T24" s="185"/>
      <c r="U24" s="185"/>
      <c r="V24" s="186" t="str">
        <f t="shared" si="2"/>
        <v>IMM</v>
      </c>
      <c r="W24" s="219" t="s">
        <v>223</v>
      </c>
      <c r="X24" s="224" t="s">
        <v>175</v>
      </c>
      <c r="Y24" s="186" t="str">
        <f t="shared" si="3"/>
        <v>USD3ML</v>
      </c>
      <c r="Z24" s="187">
        <f t="shared" si="4"/>
        <v>0</v>
      </c>
      <c r="AA24" s="186" t="s">
        <v>26</v>
      </c>
      <c r="AB24" s="185" t="s">
        <v>5</v>
      </c>
      <c r="AC24" s="185" t="s">
        <v>20</v>
      </c>
      <c r="AD24" s="185" t="s">
        <v>222</v>
      </c>
      <c r="AE24" s="185"/>
      <c r="AF24" s="185"/>
      <c r="AG24" s="186" t="str">
        <f t="shared" si="5"/>
        <v>IMM</v>
      </c>
      <c r="AH24" s="219" t="s">
        <v>214</v>
      </c>
      <c r="AI24" s="188">
        <f>_xll.mirGetDate(COB,"-"&amp;AH24,$AC24,$AD24)</f>
        <v>42417</v>
      </c>
      <c r="AJ24" s="189" t="s">
        <v>33</v>
      </c>
      <c r="AK24" s="190"/>
      <c r="AL24" s="219" t="s">
        <v>223</v>
      </c>
      <c r="AM24" s="224" t="s">
        <v>175</v>
      </c>
      <c r="AN24" s="186" t="str">
        <f t="shared" si="6"/>
        <v>NOCSA</v>
      </c>
      <c r="AO24" s="186" t="str">
        <f t="shared" si="0"/>
        <v>USDYC</v>
      </c>
      <c r="AP24" s="186" t="str">
        <f t="shared" si="7"/>
        <v>USDDF_NOCSA</v>
      </c>
      <c r="AQ24" s="185" t="s">
        <v>162</v>
      </c>
      <c r="AR24" s="185" t="b">
        <v>1</v>
      </c>
      <c r="AS24" s="191" t="b">
        <v>1</v>
      </c>
      <c r="AT24" s="192">
        <f ca="1">IF(AND(NOW(),isUSD3MLLoaded),IF(OR(D24="",D24=0),"",_xll.mirGetParRate4($B24,$G24,$AO24,$P24,$Q24,$R24,$S24,$T24,$U24,$V24,$W24,$X24,$AA24,$AB24,$AC24,$AD24,$AE24,$AF24,$AG24,$AH24,$AJ24,$AK24,$AL24,$AM24,$AQ24,$Y24,$AP24,$AR24,$AS24,$L24)),"Please Load Yield Curves")</f>
        <v>2.2114299732224965E-2</v>
      </c>
      <c r="AU24" s="193">
        <f ca="1">IF(AND(NOW(),isUSD3MLLoaded),IF(OR(D24="",D24=0),"",_xll.mirSwapPV($D24,$F24,$B24,$G24,$AO24,$O24,$P24,$Q24,$R24,$S24,$T24,$U24,$V24,$W24,$X24,$Z24,$AA24,$AB24,$AC24,$AD24,$AE24,$AF24,$AG24,$AH24,$AJ24,$AK24,$AL24,$AM24,$AQ24,$Y24,$AP24,$AR24,$AS24)),"Please Load Yield Curves")</f>
        <v>317257.12865208945</v>
      </c>
      <c r="AV24" s="216">
        <f ca="1">IF(AND(NOW(),isUSD3MLLoaded),IF(OR(D24="",D24=0),"",_xll.mirSwapPV01($D24,$F24,$B24,$G24,$AO24,$P24,$Q24,$R24,$S24,$T24,$U24,$V24,$W24,$X24,$Z24,$AA24,$AB24,$AC24,$AD24,$AE24,$AF24,$AG24,$AH24,$AJ24,$AK24,$AL24,$AM24,$AQ24,$Y24,$AP24,$AR24,$AS24)),"Please Load Yield Curves")</f>
        <v>-2618.8647768732444</v>
      </c>
    </row>
    <row r="25" spans="1:48" x14ac:dyDescent="0.25">
      <c r="A25" s="152">
        <v>20</v>
      </c>
      <c r="B25" s="196">
        <f>IF(OR(D25="",D25=0),"",_xll.mirGetDate(COB,C25,$R25,$S25))</f>
        <v>42423</v>
      </c>
      <c r="C25" s="197" t="s">
        <v>214</v>
      </c>
      <c r="D25" s="198">
        <v>1000000</v>
      </c>
      <c r="E25" s="198" t="s">
        <v>133</v>
      </c>
      <c r="F25" s="199" t="s">
        <v>174</v>
      </c>
      <c r="G25" s="200" t="s">
        <v>58</v>
      </c>
      <c r="H25" s="223" t="s">
        <v>219</v>
      </c>
      <c r="I25" s="223" t="s">
        <v>219</v>
      </c>
      <c r="J25" s="201">
        <v>0.01</v>
      </c>
      <c r="K25" s="201" t="s">
        <v>224</v>
      </c>
      <c r="L25" s="202">
        <v>0</v>
      </c>
      <c r="M25" s="201"/>
      <c r="N25" s="203" t="s">
        <v>215</v>
      </c>
      <c r="O25" s="204">
        <f t="shared" si="1"/>
        <v>0.01</v>
      </c>
      <c r="P25" s="205" t="s">
        <v>107</v>
      </c>
      <c r="Q25" s="205" t="s">
        <v>18</v>
      </c>
      <c r="R25" s="205" t="s">
        <v>20</v>
      </c>
      <c r="S25" s="205" t="s">
        <v>222</v>
      </c>
      <c r="T25" s="205"/>
      <c r="U25" s="205"/>
      <c r="V25" s="206" t="str">
        <f t="shared" si="2"/>
        <v>IMM</v>
      </c>
      <c r="W25" s="220" t="s">
        <v>223</v>
      </c>
      <c r="X25" s="225" t="s">
        <v>175</v>
      </c>
      <c r="Y25" s="206" t="str">
        <f t="shared" si="3"/>
        <v>USD3ML</v>
      </c>
      <c r="Z25" s="207">
        <f t="shared" si="4"/>
        <v>0</v>
      </c>
      <c r="AA25" s="206" t="s">
        <v>26</v>
      </c>
      <c r="AB25" s="205" t="s">
        <v>5</v>
      </c>
      <c r="AC25" s="205" t="s">
        <v>20</v>
      </c>
      <c r="AD25" s="205" t="s">
        <v>222</v>
      </c>
      <c r="AE25" s="205"/>
      <c r="AF25" s="205"/>
      <c r="AG25" s="206" t="str">
        <f t="shared" si="5"/>
        <v>IMM</v>
      </c>
      <c r="AH25" s="220" t="s">
        <v>214</v>
      </c>
      <c r="AI25" s="208">
        <f>_xll.mirGetDate(COB,"-"&amp;AH25,$AC25,$AD25)</f>
        <v>42417</v>
      </c>
      <c r="AJ25" s="209" t="s">
        <v>33</v>
      </c>
      <c r="AK25" s="210"/>
      <c r="AL25" s="220" t="s">
        <v>223</v>
      </c>
      <c r="AM25" s="225" t="s">
        <v>175</v>
      </c>
      <c r="AN25" s="206" t="str">
        <f t="shared" si="6"/>
        <v>NOCSA</v>
      </c>
      <c r="AO25" s="206" t="str">
        <f t="shared" si="0"/>
        <v>USDYC</v>
      </c>
      <c r="AP25" s="206" t="str">
        <f t="shared" si="7"/>
        <v>USDDF_NOCSA</v>
      </c>
      <c r="AQ25" s="205" t="s">
        <v>162</v>
      </c>
      <c r="AR25" s="205" t="b">
        <v>1</v>
      </c>
      <c r="AS25" s="211" t="b">
        <v>1</v>
      </c>
      <c r="AT25" s="212">
        <f ca="1">IF(AND(NOW(),isUSD3MLLoaded),IF(OR(D25="",D25=0),"",_xll.mirGetParRate4($B25,$G25,$AO25,$P25,$Q25,$R25,$S25,$T25,$U25,$V25,$W25,$X25,$AA25,$AB25,$AC25,$AD25,$AE25,$AF25,$AG25,$AH25,$AJ25,$AK25,$AL25,$AM25,$AQ25,$Y25,$AP25,$AR25,$AS25,$L25)),"Please Load Yield Curves")</f>
        <v>2.213641890595058E-2</v>
      </c>
      <c r="AU25" s="213">
        <f ca="1">IF(AND(NOW(),isUSD3MLLoaded),IF(OR(D25="",D25=0),"",_xll.mirSwapPV($D25,$F25,$B25,$G25,$AO25,$O25,$P25,$Q25,$R25,$S25,$T25,$U25,$V25,$W25,$X25,$Z25,$AA25,$AB25,$AC25,$AD25,$AE25,$AF25,$AG25,$AH25,$AJ25,$AK25,$AL25,$AM25,$AQ25,$Y25,$AP25,$AR25,$AS25)),"Please Load Yield Curves")</f>
        <v>346767.70315797493</v>
      </c>
      <c r="AV25" s="217">
        <f ca="1">IF(AND(NOW(),isUSD3MLLoaded),IF(OR(D25="",D25=0),"",_xll.mirSwapPV01($D25,$F25,$B25,$G25,$AO25,$P25,$Q25,$R25,$S25,$T25,$U25,$V25,$W25,$X25,$Z25,$AA25,$AB25,$AC25,$AD25,$AE25,$AF25,$AG25,$AH25,$AJ25,$AK25,$AL25,$AM25,$AQ25,$Y25,$AP25,$AR25,$AS25)),"Please Load Yield Curves")</f>
        <v>-2857.248961536357</v>
      </c>
    </row>
    <row r="27" spans="1:48" x14ac:dyDescent="0.25">
      <c r="AT27" s="218"/>
    </row>
  </sheetData>
  <mergeCells count="2">
    <mergeCell ref="AU2:AV2"/>
    <mergeCell ref="AU3:AV3"/>
  </mergeCells>
  <dataValidations count="10">
    <dataValidation type="list" allowBlank="1" showInputMessage="1" showErrorMessage="1" sqref="K6:K25">
      <formula1>"1ML,3ML,6ML,12ML"</formula1>
    </dataValidation>
    <dataValidation type="list" allowBlank="1" showInputMessage="1" showErrorMessage="1" sqref="S6 AD6">
      <formula1>"TGT,NYB:LNB,LNB,TKB:LNB"</formula1>
    </dataValidation>
    <dataValidation type="list" allowBlank="1" showInputMessage="1" showErrorMessage="1" sqref="X6 AM6">
      <formula1>"None,ShortStart,ShortEnd,LongStart,LongEnd"</formula1>
    </dataValidation>
    <dataValidation type="list" allowBlank="1" showInputMessage="1" showErrorMessage="1" sqref="Q6 AB6">
      <formula1>"30/360,ACT/360,ACT/365"</formula1>
    </dataValidation>
    <dataValidation type="list" allowBlank="1" showInputMessage="1" showErrorMessage="1" sqref="P6 AA6">
      <formula1>"Annual,Semi-Annual,Quarterly,Monthly"</formula1>
    </dataValidation>
    <dataValidation type="list" allowBlank="1" showInputMessage="1" showErrorMessage="1" sqref="AC6 R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N6">
      <formula1>"NOCSA,USDCSA,EURCSA,GBPCSA,JPYCSA"</formula1>
    </dataValidation>
    <dataValidation type="list" allowBlank="1" showInputMessage="1" showErrorMessage="1" sqref="N6:N25">
      <formula1>"NOCSA,EURCSA,GBPCSA"</formula1>
    </dataValidation>
    <dataValidation type="list" allowBlank="1" showInputMessage="1" showErrorMessage="1" sqref="H6:I25">
      <formula1>"IMM,EOM,1,2,3,4,5,6,7,8,9,10,11,12,13,14,15,16,17,18,19,20,21,22,23,24,25,26,27,28,29,30,31"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USD OIS</vt:lpstr>
      <vt:lpstr>USD SWAP 3ML</vt:lpstr>
      <vt:lpstr>USD Forwards</vt:lpstr>
      <vt:lpstr>Swap Pricing</vt:lpstr>
      <vt:lpstr>COB</vt:lpstr>
      <vt:lpstr>'USD OIS'!CurveBuildProperties</vt:lpstr>
      <vt:lpstr>'USD SWAP 3ML'!CurveBuildProperties</vt:lpstr>
      <vt:lpstr>'USD OIS'!CurveCollection</vt:lpstr>
      <vt:lpstr>'USD SWAP 3ML'!CurveCollection</vt:lpstr>
      <vt:lpstr>ForwardCurves.CurveID</vt:lpstr>
      <vt:lpstr>ForwardCurves.Interpolation</vt:lpstr>
      <vt:lpstr>ForwardCurves.Periodicity</vt:lpstr>
      <vt:lpstr>Forwards.EUR1ML</vt:lpstr>
      <vt:lpstr>Forwards.OIS</vt:lpstr>
      <vt:lpstr>Forwards.StartDate</vt:lpstr>
      <vt:lpstr>'USD SWAP 3ML'!FRAConventions</vt:lpstr>
      <vt:lpstr>'USD SWAP 3ML'!FRAMarketData3M</vt:lpstr>
      <vt:lpstr>'USD SWAP 3ML'!FRAMarketData6M</vt:lpstr>
      <vt:lpstr>'USD SWAP 3ML'!FuturesConventions</vt:lpstr>
      <vt:lpstr>'USD SWAP 3ML'!FuturesMarketData</vt:lpstr>
      <vt:lpstr>'USD OIS'!IndexName</vt:lpstr>
      <vt:lpstr>'USD SWAP 3ML'!IndexName</vt:lpstr>
      <vt:lpstr>isUSD3MLLoaded</vt:lpstr>
      <vt:lpstr>isUSDOISLoaded</vt:lpstr>
      <vt:lpstr>'USD SWAP 3ML'!LiborConventions</vt:lpstr>
      <vt:lpstr>'USD SWAP 3ML'!LiborMarketData</vt:lpstr>
      <vt:lpstr>'USD OIS'!LiborSwap.Conventions</vt:lpstr>
      <vt:lpstr>'USD OIS'!LiborSwap.MarketData</vt:lpstr>
      <vt:lpstr>'USD SWAP 3ML'!MoneyMarketConventions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'USD SWAP 3ML'!SwapConventions</vt:lpstr>
      <vt:lpstr>'USD SWAP 3ML'!SwapMarketData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2016-05-06T16:51:03Z</dcterms:modified>
</cp:coreProperties>
</file>