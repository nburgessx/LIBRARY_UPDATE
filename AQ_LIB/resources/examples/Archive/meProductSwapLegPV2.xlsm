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Legs" sheetId="22" r:id="rId4"/>
  </sheets>
  <externalReferences>
    <externalReference r:id="rId5"/>
  </externalReference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ixedLeg">'Swap Legs'!$B$8:$C$28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ettings.FrequencyLookupTable">[1]Settings!$B$205:$C$209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Description">'Swap Legs'!$B$8:$C$28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32" i="22" l="1" a="1"/>
  <c r="F32" i="22"/>
  <c r="G32" i="22"/>
  <c r="H32" i="22"/>
  <c r="I32" i="22"/>
  <c r="J32" i="22"/>
  <c r="K32" i="22"/>
  <c r="L32" i="22"/>
  <c r="M32" i="22"/>
  <c r="N32" i="22"/>
  <c r="O32" i="22"/>
  <c r="P32" i="22"/>
  <c r="Q32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F8" i="22" a="1"/>
  <c r="F8" i="22"/>
  <c r="G8" i="22"/>
  <c r="H8" i="22"/>
  <c r="I8" i="22"/>
  <c r="J8" i="22"/>
  <c r="K8" i="22"/>
  <c r="L8" i="22"/>
  <c r="M8" i="22"/>
  <c r="N8" i="22"/>
  <c r="O8" i="22"/>
  <c r="P8" i="22"/>
  <c r="Q8" i="22"/>
  <c r="F9" i="22"/>
  <c r="G9" i="22"/>
  <c r="H9" i="22"/>
  <c r="I9" i="22"/>
  <c r="J9" i="22"/>
  <c r="K9" i="22"/>
  <c r="L9" i="22"/>
  <c r="M9" i="22"/>
  <c r="N9" i="22"/>
  <c r="O9" i="22"/>
  <c r="P9" i="22"/>
  <c r="Q9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G3" i="22"/>
  <c r="G5" i="22"/>
  <c r="G4" i="22"/>
  <c r="C10" i="22" l="1"/>
  <c r="C34" i="22"/>
  <c r="F5" i="22"/>
  <c r="F4" i="22"/>
  <c r="C36" i="22"/>
  <c r="D7" i="2"/>
  <c r="D8" i="2" l="1"/>
  <c r="C12" i="22"/>
  <c r="D8" i="3"/>
  <c r="D9" i="3" l="1"/>
  <c r="E7" i="4"/>
  <c r="E8" i="4" l="1"/>
  <c r="C41" i="22" l="1"/>
  <c r="C68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<sst xmlns="http://schemas.openxmlformats.org/spreadsheetml/2006/main" count="641" uniqueCount="256">
  <si>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</si>
  <si>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</si>
  <si>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</si>
  <si>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</si>
  <si>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</si>
  <si>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</si>
  <si>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</si>
  <si>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</si>
  <si>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</si>
  <si>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</si>
  <si>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</si>
  <si>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</si>
  <si>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</si>
  <si>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</si>
  <si>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</si>
  <si>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</si>
  <si>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</si>
  <si>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</si>
  <si>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</si>
  <si>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</si>
  <si>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</si>
  <si>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</si>
  <si>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</si>
  <si>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</si>
  <si>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</si>
  <si>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</si>
  <si>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</si>
  <si>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</si>
  <si>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</si>
  <si>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</si>
  <si>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</si>
  <si>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</si>
  <si>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</si>
  <si>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</si>
  <si>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</si>
  <si>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</si>
  <si>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</si>
  <si>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</si>
  <si>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</si>
  <si>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</si>
  <si>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</si>
  <si>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</si>
  <si>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</si>
  <si>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</si>
  <si>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</si>
  <si>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</si>
  <si>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</si>
  <si>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</si>
  <si>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</si>
  <si>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</si>
  <si>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</si>
  <si>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</si>
  <si>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</si>
  <si>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</si>
  <si>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</si>
  <si>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</si>
  <si>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</si>
  <si>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</si>
  <si>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</si>
  <si>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</si>
  <si>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</si>
  <si>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</si>
  <si>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</si>
  <si>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</si>
  <si>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</si>
  <si>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</si>
  <si>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</si>
  <si>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</si>
  <si>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</si>
  <si>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</si>
  <si>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</si>
  <si>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</si>
  <si>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</si>
  <si>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</si>
  <si>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</si>
  <si>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</si>
  <si>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</si>
  <si>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</si>
  <si>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</si>
  <si>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</si>
  <si>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</si>
  <si>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</si>
  <si>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</si>
  <si>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</si>
  <si>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</si>
  <si>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</si>
  <si>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</si>
  <si>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</si>
  <si>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</si>
  <si>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</si>
  <si>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</si>
  <si>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</si>
  <si>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</si>
  <si>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</si>
  <si>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</si>
  <si>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</si>
  <si>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</si>
  <si>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</si>
  <si>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</si>
  <si>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</si>
  <si>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</si>
  <si>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</si>
  <si>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</si>
  <si>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</si>
  <si>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</si>
  <si>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</si>
  <si>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</si>
  <si>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</si>
  <si>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</si>
  <si>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</si>
  <si>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</si>
  <si>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</si>
  <si>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</si>
  <si>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</si>
  <si>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</si>
  <si>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</si>
  <si>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</si>
  <si>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</si>
  <si>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</si>
  <si>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</si>
  <si>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</si>
  <si>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</si>
  <si>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</si>
  <si>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</si>
  <si>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</si>
  <si>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</si>
  <si>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</si>
  <si>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</si>
  <si>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</si>
  <si>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</si>
  <si>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</si>
  <si>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</si>
  <si>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</si>
  <si>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</si>
  <si>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</si>
  <si>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</si>
  <si>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</si>
  <si>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</si>
  <si>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</si>
  <si>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</si>
  <si>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</si>
  <si>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</si>
  <si>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</si>
  <si>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</si>
  <si>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</si>
  <si>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</si>
  <si>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</si>
  <si>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</si>
  <si>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</si>
  <si>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</si>
  <si>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</si>
  <si>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</si>
  <si>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</si>
  <si>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</si>
  <si>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</si>
  <si>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</si>
  <si>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</si>
  <si>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</si>
  <si>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</si>
  <si>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</si>
  <si>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</si>
  <si>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</si>
  <si>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</si>
  <si>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</si>
  <si>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</si>
  <si>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</si>
  <si>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</si>
  <si>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</si>
  <si>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</si>
  <si>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</si>
  <si>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</si>
  <si>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</si>
  <si>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</si>
  <si>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</si>
  <si>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</si>
  <si>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</si>
  <si>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</si>
  <si>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</si>
  <si>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</si>
  <si>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</si>
  <si>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</si>
  <si>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</si>
  <si>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</si>
  <si>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</si>
  <si>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</si>
  <si>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</si>
  <si>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</si>
  <si>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</si>
  <si>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</si>
  <si>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</si>
  <si>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</si>
  <si>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</si>
  <si>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</si>
  <si>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</si>
  <si>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PAYER</t>
  </si>
  <si>
    <t>0D</t>
  </si>
  <si>
    <t>ShortStart</t>
  </si>
  <si>
    <t>2D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</si>
  <si>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</si>
  <si>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</si>
  <si>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</si>
  <si>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</si>
  <si>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</si>
  <si>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</si>
  <si>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</si>
  <si>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</si>
  <si>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</si>
  <si>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FixedRate</t>
  </si>
  <si>
    <t>ForecastCurve</t>
  </si>
  <si>
    <t>FloatFirstFixing</t>
  </si>
  <si>
    <t>FixedFrequency</t>
  </si>
  <si>
    <t>FixedDaycount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</si>
  <si>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</si>
  <si>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</si>
  <si>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</si>
  <si>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</si>
  <si>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</si>
  <si>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</si>
  <si>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FloatDaycount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</si>
  <si>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</si>
  <si>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</si>
  <si>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</si>
  <si>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</si>
  <si>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</si>
  <si>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</si>
  <si>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</si>
  <si>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</si>
  <si>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</si>
  <si>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</si>
  <si>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</si>
  <si>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</si>
  <si>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</si>
  <si>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EUROIS</t>
  </si>
  <si>
    <t>FixedAccrualBusinessDayAdjustment</t>
  </si>
  <si>
    <t>FixedAccrualCalendar</t>
  </si>
  <si>
    <t>FixedPaymentBusinessDayAdjustment</t>
  </si>
  <si>
    <t>FixedPaymentCalendar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</si>
  <si>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</si>
  <si>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</si>
  <si>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</si>
  <si>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</si>
  <si>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</si>
  <si>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</si>
  <si>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Fixed Leg</t>
  </si>
  <si>
    <t>Float leg</t>
  </si>
  <si>
    <t>Float Leg</t>
  </si>
  <si>
    <t>Leverage</t>
  </si>
  <si>
    <t>LegType</t>
  </si>
  <si>
    <t>FIXED</t>
  </si>
  <si>
    <t>FLOAT</t>
  </si>
  <si>
    <r>
      <t>meProductSwapLegPV</t>
    </r>
    <r>
      <rPr>
        <sz val="12"/>
        <rFont val="Calibri"/>
        <family val="2"/>
        <scheme val="minor"/>
      </rPr>
      <t>( SwapLVB, ValidateKeys )</t>
    </r>
  </si>
  <si>
    <r>
      <t>meProductSwapLegDisplay</t>
    </r>
    <r>
      <rPr>
        <sz val="12"/>
        <rFont val="Calibri"/>
        <family val="2"/>
        <scheme val="minor"/>
      </rPr>
      <t>( SwapLVB, ValidateKeys )</t>
    </r>
  </si>
  <si>
    <t>ACT/365</t>
  </si>
  <si>
    <t>RECEIVER</t>
  </si>
  <si>
    <t>Swap NPV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</si>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</sst>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0.00000%;[Red]\-0.00000%"/>
    <numFmt numFmtId="169" formatCode="ddd\,\ d\-mmm\-yy"/>
    <numFmt numFmtId="170" formatCode="#,##0.00000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/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uble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9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167" fontId="9" fillId="3" borderId="4" xfId="0" applyNumberFormat="1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center" vertical="center"/>
    </xf>
    <xf numFmtId="165" fontId="6" fillId="3" borderId="4" xfId="0" applyNumberFormat="1" applyFon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left" vertical="center" wrapText="1"/>
    </xf>
    <xf numFmtId="0" fontId="0" fillId="2" borderId="4" xfId="0" applyNumberFormat="1" applyFill="1" applyBorder="1" applyAlignment="1">
      <alignment horizontal="left" vertical="center" wrapText="1"/>
    </xf>
    <xf numFmtId="0" fontId="0" fillId="2" borderId="9" xfId="0" applyNumberFormat="1" applyFill="1" applyBorder="1" applyAlignment="1">
      <alignment horizontal="left" vertical="center" wrapText="1"/>
    </xf>
    <xf numFmtId="0" fontId="0" fillId="2" borderId="20" xfId="0" applyNumberFormat="1" applyFill="1" applyBorder="1" applyAlignment="1">
      <alignment horizontal="left" vertical="center" wrapText="1"/>
    </xf>
    <xf numFmtId="0" fontId="0" fillId="2" borderId="14" xfId="0" applyNumberFormat="1" applyFill="1" applyBorder="1" applyAlignment="1">
      <alignment horizontal="left" vertical="center" wrapText="1"/>
    </xf>
    <xf numFmtId="0" fontId="0" fillId="2" borderId="9" xfId="0" applyNumberFormat="1" applyFont="1" applyFill="1" applyBorder="1" applyAlignment="1">
      <alignment horizontal="left" vertical="center" wrapText="1"/>
    </xf>
    <xf numFmtId="0" fontId="0" fillId="3" borderId="11" xfId="0" quotePrefix="1" applyFill="1" applyBorder="1" applyAlignment="1">
      <alignment horizontal="center" vertical="center"/>
    </xf>
    <xf numFmtId="0" fontId="2" fillId="0" borderId="0" xfId="0" applyFont="1"/>
    <xf numFmtId="0" fontId="23" fillId="0" borderId="0" xfId="0" applyFont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69" fontId="9" fillId="2" borderId="9" xfId="0" applyNumberFormat="1" applyFont="1" applyFill="1" applyBorder="1" applyAlignment="1">
      <alignment horizontal="center" vertical="center"/>
    </xf>
    <xf numFmtId="169" fontId="9" fillId="2" borderId="0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0" fontId="9" fillId="2" borderId="2" xfId="0" applyNumberFormat="1" applyFont="1" applyFill="1" applyBorder="1" applyAlignment="1">
      <alignment horizontal="center" vertical="center"/>
    </xf>
    <xf numFmtId="10" fontId="9" fillId="2" borderId="0" xfId="0" applyNumberFormat="1" applyFont="1" applyFill="1" applyBorder="1" applyAlignment="1">
      <alignment horizontal="center" vertical="center"/>
    </xf>
    <xf numFmtId="170" fontId="9" fillId="2" borderId="2" xfId="0" applyNumberFormat="1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3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169" fontId="9" fillId="2" borderId="9" xfId="0" applyNumberFormat="1" applyFont="1" applyFill="1" applyBorder="1" applyAlignment="1">
      <alignment horizontal="center"/>
    </xf>
    <xf numFmtId="169" fontId="9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70" fontId="9" fillId="2" borderId="0" xfId="0" applyNumberFormat="1" applyFont="1" applyFill="1" applyBorder="1" applyAlignment="1">
      <alignment horizontal="center"/>
    </xf>
    <xf numFmtId="3" fontId="9" fillId="2" borderId="10" xfId="0" applyNumberFormat="1" applyFont="1" applyFill="1" applyBorder="1" applyAlignment="1">
      <alignment horizontal="center"/>
    </xf>
    <xf numFmtId="169" fontId="9" fillId="2" borderId="14" xfId="0" applyNumberFormat="1" applyFont="1" applyFill="1" applyBorder="1" applyAlignment="1">
      <alignment horizontal="center"/>
    </xf>
    <xf numFmtId="169" fontId="9" fillId="2" borderId="12" xfId="0" applyNumberFormat="1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3" fontId="9" fillId="2" borderId="12" xfId="0" applyNumberFormat="1" applyFont="1" applyFill="1" applyBorder="1" applyAlignment="1">
      <alignment horizontal="center"/>
    </xf>
    <xf numFmtId="165" fontId="9" fillId="2" borderId="12" xfId="0" applyNumberFormat="1" applyFont="1" applyFill="1" applyBorder="1" applyAlignment="1">
      <alignment horizontal="center"/>
    </xf>
    <xf numFmtId="4" fontId="9" fillId="2" borderId="12" xfId="0" applyNumberFormat="1" applyFont="1" applyFill="1" applyBorder="1" applyAlignment="1">
      <alignment horizontal="center"/>
    </xf>
    <xf numFmtId="170" fontId="9" fillId="2" borderId="12" xfId="0" applyNumberFormat="1" applyFont="1" applyFill="1" applyBorder="1" applyAlignment="1">
      <alignment horizontal="center"/>
    </xf>
    <xf numFmtId="3" fontId="9" fillId="2" borderId="13" xfId="0" applyNumberFormat="1" applyFont="1" applyFill="1" applyBorder="1" applyAlignment="1">
      <alignment horizontal="center"/>
    </xf>
    <xf numFmtId="10" fontId="9" fillId="2" borderId="0" xfId="0" applyNumberFormat="1" applyFont="1" applyFill="1" applyBorder="1" applyAlignment="1">
      <alignment horizontal="center"/>
    </xf>
    <xf numFmtId="10" fontId="9" fillId="2" borderId="12" xfId="0" applyNumberFormat="1" applyFont="1" applyFill="1" applyBorder="1" applyAlignment="1">
      <alignment horizontal="center"/>
    </xf>
    <xf numFmtId="4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3" fontId="0" fillId="4" borderId="1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68" fontId="6" fillId="4" borderId="4" xfId="0" applyNumberFormat="1" applyFont="1" applyFill="1" applyBorder="1" applyAlignment="1">
      <alignment horizontal="center" vertical="center"/>
    </xf>
    <xf numFmtId="0" fontId="24" fillId="0" borderId="0" xfId="0" applyFont="1"/>
    <xf numFmtId="4" fontId="7" fillId="0" borderId="4" xfId="0" applyNumberFormat="1" applyFont="1" applyFill="1" applyBorder="1" applyAlignment="1">
      <alignment horizontal="center" vertical="center"/>
    </xf>
    <xf numFmtId="4" fontId="11" fillId="4" borderId="4" xfId="0" applyNumberFormat="1" applyFont="1" applyFill="1" applyBorder="1" applyAlignment="1">
      <alignment horizontal="center" vertical="center"/>
    </xf>
    <xf numFmtId="170" fontId="9" fillId="2" borderId="10" xfId="0" applyNumberFormat="1" applyFont="1" applyFill="1" applyBorder="1" applyAlignment="1">
      <alignment horizontal="center" vertical="center"/>
    </xf>
    <xf numFmtId="170" fontId="9" fillId="2" borderId="10" xfId="0" applyNumberFormat="1" applyFont="1" applyFill="1" applyBorder="1" applyAlignment="1">
      <alignment horizontal="center"/>
    </xf>
    <xf numFmtId="170" fontId="9" fillId="2" borderId="13" xfId="0" applyNumberFormat="1" applyFont="1" applyFill="1" applyBorder="1" applyAlignment="1">
      <alignment horizontal="center"/>
    </xf>
    <xf numFmtId="4" fontId="2" fillId="2" borderId="10" xfId="0" applyNumberFormat="1" applyFont="1" applyFill="1" applyBorder="1" applyAlignment="1">
      <alignment horizontal="center" vertical="center"/>
    </xf>
    <xf numFmtId="4" fontId="2" fillId="2" borderId="13" xfId="0" applyNumberFormat="1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 wrapText="1"/>
    </xf>
    <xf numFmtId="3" fontId="11" fillId="0" borderId="12" xfId="0" applyNumberFormat="1" applyFont="1" applyFill="1" applyBorder="1" applyAlignment="1">
      <alignment horizontal="center" vertical="center"/>
    </xf>
    <xf numFmtId="4" fontId="2" fillId="2" borderId="9" xfId="0" applyNumberFormat="1" applyFont="1" applyFill="1" applyBorder="1" applyAlignment="1">
      <alignment horizontal="center" vertical="center"/>
    </xf>
    <xf numFmtId="4" fontId="2" fillId="2" borderId="14" xfId="0" applyNumberFormat="1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2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Pricing%20Tools\SwapsPricer\SwapsPricer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Forward Charts"/>
      <sheetName val="EUR Swaps"/>
      <sheetName val="USD Swaps"/>
      <sheetName val="GBP Swaps"/>
      <sheetName val="JPY Swaps"/>
      <sheetName val="EUR Swap Cashflows"/>
      <sheetName val="USD Swap Cashflows"/>
      <sheetName val="GBP Swap Cashflows"/>
      <sheetName val="JPY Swap Cashflows"/>
      <sheetName val="EUR Asset Swaps"/>
      <sheetName val="USD Asset Swaps"/>
      <sheetName val="GBP Asset Swaps"/>
      <sheetName val="JPY Asset Swaps"/>
      <sheetName val="EUR ASW Cashflows"/>
      <sheetName val="USD ASW Cashflows"/>
      <sheetName val="GBP ASW Cashflows"/>
      <sheetName val="JPY ASW Cashflows"/>
    </sheetNames>
    <sheetDataSet>
      <sheetData sheetId="0">
        <row r="205">
          <cell r="B205">
            <v>0</v>
          </cell>
          <cell r="C205" t="str">
            <v>ZeroCpn</v>
          </cell>
        </row>
        <row r="206">
          <cell r="B206">
            <v>1</v>
          </cell>
          <cell r="C206" t="str">
            <v>Annual</v>
          </cell>
        </row>
        <row r="207">
          <cell r="B207">
            <v>2</v>
          </cell>
          <cell r="C207" t="str">
            <v>Semi-Annual</v>
          </cell>
        </row>
        <row r="208">
          <cell r="B208">
            <v>4</v>
          </cell>
          <cell r="C208" t="str">
            <v>Quarterly</v>
          </cell>
        </row>
        <row r="209">
          <cell r="B209">
            <v>12</v>
          </cell>
          <cell r="C209" t="str">
            <v>Monthly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1" t="s">
        <v>200</v>
      </c>
    </row>
    <row r="3" spans="2:14" x14ac:dyDescent="0.25">
      <c r="B3" s="64"/>
    </row>
    <row r="4" spans="2:14" x14ac:dyDescent="0.25">
      <c r="B4" s="64"/>
    </row>
    <row r="5" spans="2:14" x14ac:dyDescent="0.25">
      <c r="B5" s="122" t="s">
        <v>198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3" t="s">
        <v>198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24" t="s">
        <v>201</v>
      </c>
    </row>
    <row r="6" spans="2:12" x14ac:dyDescent="0.25">
      <c r="B6" s="125" t="s">
        <v>199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6" t="s">
        <v>199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229</v>
      </c>
      <c r="D37" s="10"/>
      <c r="E37" s="10"/>
      <c r="F37" s="49" t="s">
        <v>103</v>
      </c>
      <c r="G37" s="10"/>
      <c r="H37" s="10"/>
      <c r="I37" s="49" t="s">
        <v>228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230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7" t="s">
        <v>202</v>
      </c>
    </row>
    <row r="5" spans="2:10" x14ac:dyDescent="0.25">
      <c r="B5" s="128" t="s">
        <v>203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9" t="s">
        <v>203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(0.01600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30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231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255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203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204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204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204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204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204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204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204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204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204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204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204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204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204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205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206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207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207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207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207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207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207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207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207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207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207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207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207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208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209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210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210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210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210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210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210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210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210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210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210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210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211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3:R57"/>
  <sheetViews>
    <sheetView showGridLines="0" tabSelected="1" workbookViewId="0"/>
  </sheetViews>
  <sheetFormatPr defaultRowHeight="15" x14ac:dyDescent="0.25"/>
  <cols>
    <col min="1" max="1" width="4.7109375" customWidth="1"/>
    <col min="2" max="2" width="39" customWidth="1"/>
    <col min="3" max="3" width="19.28515625" customWidth="1"/>
    <col min="4" max="4" width="9" bestFit="1" customWidth="1"/>
    <col min="5" max="5" width="4.7109375" customWidth="1"/>
    <col min="6" max="8" width="15.7109375" customWidth="1"/>
    <col min="9" max="10" width="20.42578125" bestFit="1" customWidth="1"/>
    <col min="11" max="17" width="15.7109375" customWidth="1"/>
  </cols>
  <sheetData>
    <row r="3" spans="1:18" ht="15.75" x14ac:dyDescent="0.25">
      <c r="B3" s="191" t="s">
        <v>250</v>
      </c>
      <c r="D3" s="149"/>
      <c r="F3" s="199" t="s">
        <v>254</v>
      </c>
      <c r="G3" s="200">
        <f ca="1">G4+G5</f>
        <v>54967.320806575706</v>
      </c>
      <c r="H3" s="199" t="s">
        <v>246</v>
      </c>
    </row>
    <row r="4" spans="1:18" ht="15.75" x14ac:dyDescent="0.25">
      <c r="A4" s="150"/>
      <c r="B4" s="191" t="s">
        <v>251</v>
      </c>
      <c r="D4" s="134"/>
      <c r="F4" s="201" t="str">
        <f>$C$9</f>
        <v>FIXED</v>
      </c>
      <c r="G4" s="170">
        <f ca="1">IF(AND(isEUR3MLLoaded,NOW()),_xll.meProductSwapLegPV(SwapDescription,FALSE),"#LOAD CURVES")</f>
        <v>50420.922880817147</v>
      </c>
      <c r="H4" s="197">
        <v>1</v>
      </c>
    </row>
    <row r="5" spans="1:18" x14ac:dyDescent="0.25">
      <c r="A5" s="150"/>
      <c r="D5" s="134"/>
      <c r="F5" s="202" t="str">
        <f>C33</f>
        <v>FLOAT</v>
      </c>
      <c r="G5" s="177">
        <f ca="1">IF(AND(isEUR3MLLoaded,NOW()),_xll.meProductSwapLegPV($B$32:$C$56,FALSE),"#LOAD CURVES")</f>
        <v>4546.3979257585561</v>
      </c>
      <c r="H5" s="198">
        <v>-1</v>
      </c>
    </row>
    <row r="6" spans="1:18" x14ac:dyDescent="0.25">
      <c r="F6" s="134"/>
    </row>
    <row r="7" spans="1:18" x14ac:dyDescent="0.25">
      <c r="B7" s="149" t="s">
        <v>243</v>
      </c>
      <c r="F7" s="149" t="s">
        <v>243</v>
      </c>
    </row>
    <row r="8" spans="1:18" x14ac:dyDescent="0.25">
      <c r="B8" s="142" t="s">
        <v>193</v>
      </c>
      <c r="C8" s="188">
        <v>1000000</v>
      </c>
      <c r="D8" t="s">
        <v>4</v>
      </c>
      <c r="F8" s="151" t="str">
        <f t="array" aca="1" ref="F8:Q28" ca="1">IF(AND(isEUR3MLLoaded,NOW()),_xll.meProductSwapLegDisplay(SwapDescription,FALSE),"#LOAD CURVES")</f>
        <v>AccrualStart</v>
      </c>
      <c r="G8" s="152" t="str">
        <f ca="1"/>
        <v>AccrualEnd</v>
      </c>
      <c r="H8" s="159" t="str">
        <f ca="1"/>
        <v>AccrualDays</v>
      </c>
      <c r="I8" s="153" t="str">
        <f ca="1"/>
        <v>AccrualYearFractions</v>
      </c>
      <c r="J8" s="152" t="str">
        <f ca="1"/>
        <v>PaymentDate</v>
      </c>
      <c r="K8" s="159" t="str">
        <f ca="1"/>
        <v>Notional</v>
      </c>
      <c r="L8" s="161" t="str">
        <f ca="1"/>
        <v>Leverage</v>
      </c>
      <c r="M8" s="159" t="str">
        <f ca="1"/>
        <v>FixedRate</v>
      </c>
      <c r="N8" s="163" t="str">
        <f ca="1"/>
        <v>Coupon</v>
      </c>
      <c r="O8" s="159" t="str">
        <f ca="1"/>
        <v>DiscountFactor</v>
      </c>
      <c r="P8" s="163" t="str">
        <f ca="1"/>
        <v>CouponPV</v>
      </c>
      <c r="Q8" s="166" t="e">
        <f ca="1"/>
        <v>#N/A</v>
      </c>
      <c r="R8" t="s">
        <v>4</v>
      </c>
    </row>
    <row r="9" spans="1:18" x14ac:dyDescent="0.25">
      <c r="B9" s="143" t="s">
        <v>247</v>
      </c>
      <c r="C9" s="192" t="s">
        <v>248</v>
      </c>
      <c r="D9" t="s">
        <v>4</v>
      </c>
      <c r="F9" s="154">
        <f ca="1"/>
        <v>42423</v>
      </c>
      <c r="G9" s="155">
        <f ca="1"/>
        <v>42789</v>
      </c>
      <c r="H9" s="160">
        <f ca="1"/>
        <v>366</v>
      </c>
      <c r="I9" s="156">
        <f ca="1"/>
        <v>1</v>
      </c>
      <c r="J9" s="155">
        <f ca="1"/>
        <v>42789</v>
      </c>
      <c r="K9" s="160">
        <f ca="1"/>
        <v>1000000</v>
      </c>
      <c r="L9" s="133">
        <f ca="1"/>
        <v>1</v>
      </c>
      <c r="M9" s="162">
        <f ca="1"/>
        <v>0.01</v>
      </c>
      <c r="N9" s="160">
        <f ca="1"/>
        <v>10000</v>
      </c>
      <c r="O9" s="164">
        <f ca="1"/>
        <v>1.003792728970861</v>
      </c>
      <c r="P9" s="160">
        <f ca="1"/>
        <v>10037.92728970861</v>
      </c>
      <c r="Q9" s="165" t="e">
        <f ca="1"/>
        <v>#N/A</v>
      </c>
      <c r="R9" t="s">
        <v>4</v>
      </c>
    </row>
    <row r="10" spans="1:18" x14ac:dyDescent="0.25">
      <c r="B10" s="143" t="s">
        <v>246</v>
      </c>
      <c r="C10" s="193">
        <f>H$4</f>
        <v>1</v>
      </c>
      <c r="D10" t="s">
        <v>4</v>
      </c>
      <c r="F10" s="154">
        <f ca="1"/>
        <v>42789</v>
      </c>
      <c r="G10" s="155">
        <f ca="1"/>
        <v>43154</v>
      </c>
      <c r="H10" s="160">
        <f ca="1"/>
        <v>365</v>
      </c>
      <c r="I10" s="156">
        <f ca="1"/>
        <v>1</v>
      </c>
      <c r="J10" s="155">
        <f ca="1"/>
        <v>43154</v>
      </c>
      <c r="K10" s="160">
        <f ca="1"/>
        <v>1000000</v>
      </c>
      <c r="L10" s="133">
        <f ca="1"/>
        <v>1</v>
      </c>
      <c r="M10" s="162">
        <f ca="1"/>
        <v>0.01</v>
      </c>
      <c r="N10" s="160">
        <f ca="1"/>
        <v>10000</v>
      </c>
      <c r="O10" s="164">
        <f ca="1"/>
        <v>1.0077262645077036</v>
      </c>
      <c r="P10" s="160">
        <f ca="1"/>
        <v>10077.262645077037</v>
      </c>
      <c r="Q10" s="165" t="e">
        <f ca="1"/>
        <v>#N/A</v>
      </c>
      <c r="R10" t="s">
        <v>4</v>
      </c>
    </row>
    <row r="11" spans="1:18" x14ac:dyDescent="0.25">
      <c r="B11" s="143" t="s">
        <v>204</v>
      </c>
      <c r="C11" s="189" t="s">
        <v>253</v>
      </c>
      <c r="D11" t="s">
        <v>4</v>
      </c>
      <c r="F11" s="154">
        <f ca="1"/>
        <v>43154</v>
      </c>
      <c r="G11" s="155">
        <f ca="1"/>
        <v>43521</v>
      </c>
      <c r="H11" s="160">
        <f ca="1"/>
        <v>367</v>
      </c>
      <c r="I11" s="156">
        <f ca="1"/>
        <v>1.0055555555555555</v>
      </c>
      <c r="J11" s="155">
        <f ca="1"/>
        <v>43521</v>
      </c>
      <c r="K11" s="160">
        <f ca="1"/>
        <v>1000000</v>
      </c>
      <c r="L11" s="133">
        <f ca="1"/>
        <v>1</v>
      </c>
      <c r="M11" s="162">
        <f ca="1"/>
        <v>0.01</v>
      </c>
      <c r="N11" s="160">
        <f ca="1"/>
        <v>10055.555555555555</v>
      </c>
      <c r="O11" s="164">
        <f ca="1"/>
        <v>1.0104951635838813</v>
      </c>
      <c r="P11" s="160">
        <f ca="1"/>
        <v>10161.090256037916</v>
      </c>
      <c r="Q11" s="165" t="e">
        <f ca="1"/>
        <v>#N/A</v>
      </c>
      <c r="R11" t="s">
        <v>4</v>
      </c>
    </row>
    <row r="12" spans="1:18" x14ac:dyDescent="0.25">
      <c r="B12" s="144" t="s">
        <v>206</v>
      </c>
      <c r="C12" s="138">
        <f ca="1">_xll.meDateFromTenor(COB,D12,C20,C21)</f>
        <v>42423</v>
      </c>
      <c r="D12" s="149" t="s">
        <v>197</v>
      </c>
      <c r="E12" s="149"/>
      <c r="F12" s="154">
        <f ca="1"/>
        <v>43521</v>
      </c>
      <c r="G12" s="155">
        <f ca="1"/>
        <v>43885</v>
      </c>
      <c r="H12" s="160">
        <f ca="1"/>
        <v>364</v>
      </c>
      <c r="I12" s="156">
        <f ca="1"/>
        <v>0.99722222222222223</v>
      </c>
      <c r="J12" s="155">
        <f ca="1"/>
        <v>43885</v>
      </c>
      <c r="K12" s="160">
        <f ca="1"/>
        <v>1000000</v>
      </c>
      <c r="L12" s="133">
        <f ca="1"/>
        <v>1</v>
      </c>
      <c r="M12" s="162">
        <f ca="1"/>
        <v>0.01</v>
      </c>
      <c r="N12" s="160">
        <f ca="1"/>
        <v>9972.2222222222226</v>
      </c>
      <c r="O12" s="164">
        <f ca="1"/>
        <v>1.0110770831656557</v>
      </c>
      <c r="P12" s="160">
        <f ca="1"/>
        <v>10082.685357124177</v>
      </c>
      <c r="Q12" s="165" t="e">
        <f ca="1"/>
        <v>#N/A</v>
      </c>
      <c r="R12" t="s">
        <v>4</v>
      </c>
    </row>
    <row r="13" spans="1:18" x14ac:dyDescent="0.25">
      <c r="B13" s="144" t="s">
        <v>205</v>
      </c>
      <c r="C13" s="184" t="s">
        <v>52</v>
      </c>
      <c r="D13" t="s">
        <v>4</v>
      </c>
      <c r="F13" s="154">
        <f ca="1"/>
        <v>43885</v>
      </c>
      <c r="G13" s="155">
        <f ca="1"/>
        <v>44250</v>
      </c>
      <c r="H13" s="160">
        <f ca="1"/>
        <v>365</v>
      </c>
      <c r="I13" s="156">
        <f ca="1"/>
        <v>0.99722222222222223</v>
      </c>
      <c r="J13" s="155">
        <f ca="1"/>
        <v>44250</v>
      </c>
      <c r="K13" s="160">
        <f ca="1"/>
        <v>1000000</v>
      </c>
      <c r="L13" s="133">
        <f ca="1"/>
        <v>1</v>
      </c>
      <c r="M13" s="162">
        <f ca="1"/>
        <v>0.01</v>
      </c>
      <c r="N13" s="160">
        <f ca="1"/>
        <v>9972.2222222222226</v>
      </c>
      <c r="O13" s="164">
        <f ca="1"/>
        <v>1.0089985069172667</v>
      </c>
      <c r="P13" s="160">
        <f ca="1"/>
        <v>10061.95733286941</v>
      </c>
      <c r="Q13" s="165" t="e">
        <f ca="1"/>
        <v>#N/A</v>
      </c>
      <c r="R13" t="s">
        <v>4</v>
      </c>
    </row>
    <row r="14" spans="1:18" x14ac:dyDescent="0.25">
      <c r="B14" s="144" t="s">
        <v>88</v>
      </c>
      <c r="C14" s="185" t="s">
        <v>80</v>
      </c>
      <c r="D14" t="s">
        <v>4</v>
      </c>
      <c r="F14" s="154" t="e">
        <f ca="1"/>
        <v>#N/A</v>
      </c>
      <c r="G14" s="155" t="e">
        <f ca="1"/>
        <v>#N/A</v>
      </c>
      <c r="H14" s="160" t="e">
        <f ca="1"/>
        <v>#N/A</v>
      </c>
      <c r="I14" s="156" t="e">
        <f ca="1"/>
        <v>#N/A</v>
      </c>
      <c r="J14" s="155" t="e">
        <f ca="1"/>
        <v>#N/A</v>
      </c>
      <c r="K14" s="160" t="e">
        <f ca="1"/>
        <v>#N/A</v>
      </c>
      <c r="L14" s="133" t="e">
        <f ca="1"/>
        <v>#N/A</v>
      </c>
      <c r="M14" s="162" t="e">
        <f ca="1"/>
        <v>#N/A</v>
      </c>
      <c r="N14" s="160" t="e">
        <f ca="1"/>
        <v>#N/A</v>
      </c>
      <c r="O14" s="164" t="e">
        <f ca="1"/>
        <v>#N/A</v>
      </c>
      <c r="P14" s="160" t="e">
        <f ca="1"/>
        <v>#N/A</v>
      </c>
      <c r="Q14" s="165" t="e">
        <f ca="1"/>
        <v>#N/A</v>
      </c>
      <c r="R14" t="s">
        <v>4</v>
      </c>
    </row>
    <row r="15" spans="1:18" x14ac:dyDescent="0.25">
      <c r="B15" s="144" t="s">
        <v>208</v>
      </c>
      <c r="C15" s="186" t="s">
        <v>188</v>
      </c>
      <c r="D15" t="s">
        <v>4</v>
      </c>
      <c r="F15" s="154" t="e">
        <f ca="1"/>
        <v>#N/A</v>
      </c>
      <c r="G15" s="155" t="e">
        <f ca="1"/>
        <v>#N/A</v>
      </c>
      <c r="H15" s="160" t="e">
        <f ca="1"/>
        <v>#N/A</v>
      </c>
      <c r="I15" s="156" t="e">
        <f ca="1"/>
        <v>#N/A</v>
      </c>
      <c r="J15" s="155" t="e">
        <f ca="1"/>
        <v>#N/A</v>
      </c>
      <c r="K15" s="160" t="e">
        <f ca="1"/>
        <v>#N/A</v>
      </c>
      <c r="L15" s="133" t="e">
        <f ca="1"/>
        <v>#N/A</v>
      </c>
      <c r="M15" s="162" t="e">
        <f ca="1"/>
        <v>#N/A</v>
      </c>
      <c r="N15" s="160" t="e">
        <f ca="1"/>
        <v>#N/A</v>
      </c>
      <c r="O15" s="164" t="e">
        <f ca="1"/>
        <v>#N/A</v>
      </c>
      <c r="P15" s="160" t="e">
        <f ca="1"/>
        <v>#N/A</v>
      </c>
      <c r="Q15" s="165" t="e">
        <f ca="1"/>
        <v>#N/A</v>
      </c>
      <c r="R15" t="s">
        <v>4</v>
      </c>
    </row>
    <row r="16" spans="1:18" ht="15.75" thickBot="1" x14ac:dyDescent="0.3">
      <c r="B16" s="145" t="s">
        <v>226</v>
      </c>
      <c r="C16" s="187" t="s">
        <v>232</v>
      </c>
      <c r="D16" t="s">
        <v>4</v>
      </c>
      <c r="F16" s="154" t="e">
        <f ca="1"/>
        <v>#N/A</v>
      </c>
      <c r="G16" s="155" t="e">
        <f ca="1"/>
        <v>#N/A</v>
      </c>
      <c r="H16" s="160" t="e">
        <f ca="1"/>
        <v>#N/A</v>
      </c>
      <c r="I16" s="156" t="e">
        <f ca="1"/>
        <v>#N/A</v>
      </c>
      <c r="J16" s="155" t="e">
        <f ca="1"/>
        <v>#N/A</v>
      </c>
      <c r="K16" s="160" t="e">
        <f ca="1"/>
        <v>#N/A</v>
      </c>
      <c r="L16" s="133" t="e">
        <f ca="1"/>
        <v>#N/A</v>
      </c>
      <c r="M16" s="162" t="e">
        <f ca="1"/>
        <v>#N/A</v>
      </c>
      <c r="N16" s="160" t="e">
        <f ca="1"/>
        <v>#N/A</v>
      </c>
      <c r="O16" s="164" t="e">
        <f ca="1"/>
        <v>#N/A</v>
      </c>
      <c r="P16" s="160" t="e">
        <f ca="1"/>
        <v>#N/A</v>
      </c>
      <c r="Q16" s="165" t="e">
        <f ca="1"/>
        <v>#N/A</v>
      </c>
      <c r="R16" t="s">
        <v>4</v>
      </c>
    </row>
    <row r="17" spans="2:18" ht="15.75" thickTop="1" x14ac:dyDescent="0.25">
      <c r="B17" s="144" t="s">
        <v>210</v>
      </c>
      <c r="C17" s="136" t="s">
        <v>26</v>
      </c>
      <c r="D17" t="s">
        <v>4</v>
      </c>
      <c r="F17" s="168" t="e">
        <f ca="1"/>
        <v>#N/A</v>
      </c>
      <c r="G17" s="169" t="e">
        <f ca="1"/>
        <v>#N/A</v>
      </c>
      <c r="H17" s="170" t="e">
        <f ca="1"/>
        <v>#N/A</v>
      </c>
      <c r="I17" s="156" t="e">
        <f ca="1"/>
        <v>#N/A</v>
      </c>
      <c r="J17" s="169" t="e">
        <f ca="1"/>
        <v>#N/A</v>
      </c>
      <c r="K17" s="170" t="e">
        <f ca="1"/>
        <v>#N/A</v>
      </c>
      <c r="L17" s="171" t="e">
        <f ca="1"/>
        <v>#N/A</v>
      </c>
      <c r="M17" s="182" t="e">
        <f ca="1"/>
        <v>#N/A</v>
      </c>
      <c r="N17" s="170" t="e">
        <f ca="1"/>
        <v>#N/A</v>
      </c>
      <c r="O17" s="172" t="e">
        <f ca="1"/>
        <v>#N/A</v>
      </c>
      <c r="P17" s="170" t="e">
        <f ca="1"/>
        <v>#N/A</v>
      </c>
      <c r="Q17" s="173" t="e">
        <f ca="1"/>
        <v>#N/A</v>
      </c>
      <c r="R17" t="s">
        <v>4</v>
      </c>
    </row>
    <row r="18" spans="2:18" x14ac:dyDescent="0.25">
      <c r="B18" s="144" t="s">
        <v>207</v>
      </c>
      <c r="C18" s="190">
        <v>0.01</v>
      </c>
      <c r="D18" t="s">
        <v>4</v>
      </c>
      <c r="F18" s="168" t="e">
        <f ca="1"/>
        <v>#N/A</v>
      </c>
      <c r="G18" s="169" t="e">
        <f ca="1"/>
        <v>#N/A</v>
      </c>
      <c r="H18" s="170" t="e">
        <f ca="1"/>
        <v>#N/A</v>
      </c>
      <c r="I18" s="156" t="e">
        <f ca="1"/>
        <v>#N/A</v>
      </c>
      <c r="J18" s="169" t="e">
        <f ca="1"/>
        <v>#N/A</v>
      </c>
      <c r="K18" s="170" t="e">
        <f ca="1"/>
        <v>#N/A</v>
      </c>
      <c r="L18" s="171" t="e">
        <f ca="1"/>
        <v>#N/A</v>
      </c>
      <c r="M18" s="182" t="e">
        <f ca="1"/>
        <v>#N/A</v>
      </c>
      <c r="N18" s="170" t="e">
        <f ca="1"/>
        <v>#N/A</v>
      </c>
      <c r="O18" s="172" t="e">
        <f ca="1"/>
        <v>#N/A</v>
      </c>
      <c r="P18" s="170" t="e">
        <f ca="1"/>
        <v>#N/A</v>
      </c>
      <c r="Q18" s="173" t="e">
        <f ca="1"/>
        <v>#N/A</v>
      </c>
      <c r="R18" t="s">
        <v>4</v>
      </c>
    </row>
    <row r="19" spans="2:18" x14ac:dyDescent="0.25">
      <c r="B19" s="144" t="s">
        <v>211</v>
      </c>
      <c r="C19" s="137" t="s">
        <v>20</v>
      </c>
      <c r="D19" t="s">
        <v>4</v>
      </c>
      <c r="F19" s="168" t="e">
        <f ca="1"/>
        <v>#N/A</v>
      </c>
      <c r="G19" s="169" t="e">
        <f ca="1"/>
        <v>#N/A</v>
      </c>
      <c r="H19" s="170" t="e">
        <f ca="1"/>
        <v>#N/A</v>
      </c>
      <c r="I19" s="156" t="e">
        <f ca="1"/>
        <v>#N/A</v>
      </c>
      <c r="J19" s="169" t="e">
        <f ca="1"/>
        <v>#N/A</v>
      </c>
      <c r="K19" s="170" t="e">
        <f ca="1"/>
        <v>#N/A</v>
      </c>
      <c r="L19" s="171" t="e">
        <f ca="1"/>
        <v>#N/A</v>
      </c>
      <c r="M19" s="182" t="e">
        <f ca="1"/>
        <v>#N/A</v>
      </c>
      <c r="N19" s="170" t="e">
        <f ca="1"/>
        <v>#N/A</v>
      </c>
      <c r="O19" s="172" t="e">
        <f ca="1"/>
        <v>#N/A</v>
      </c>
      <c r="P19" s="170" t="e">
        <f ca="1"/>
        <v>#N/A</v>
      </c>
      <c r="Q19" s="173" t="e">
        <f ca="1"/>
        <v>#N/A</v>
      </c>
      <c r="R19" t="s">
        <v>4</v>
      </c>
    </row>
    <row r="20" spans="2:18" x14ac:dyDescent="0.25">
      <c r="B20" s="144" t="s">
        <v>233</v>
      </c>
      <c r="C20" s="136" t="s">
        <v>22</v>
      </c>
      <c r="D20" t="s">
        <v>4</v>
      </c>
      <c r="F20" s="168" t="e">
        <f ca="1"/>
        <v>#N/A</v>
      </c>
      <c r="G20" s="169" t="e">
        <f ca="1"/>
        <v>#N/A</v>
      </c>
      <c r="H20" s="170" t="e">
        <f ca="1"/>
        <v>#N/A</v>
      </c>
      <c r="I20" s="156" t="e">
        <f ca="1"/>
        <v>#N/A</v>
      </c>
      <c r="J20" s="169" t="e">
        <f ca="1"/>
        <v>#N/A</v>
      </c>
      <c r="K20" s="170" t="e">
        <f ca="1"/>
        <v>#N/A</v>
      </c>
      <c r="L20" s="171" t="e">
        <f ca="1"/>
        <v>#N/A</v>
      </c>
      <c r="M20" s="182" t="e">
        <f ca="1"/>
        <v>#N/A</v>
      </c>
      <c r="N20" s="170" t="e">
        <f ca="1"/>
        <v>#N/A</v>
      </c>
      <c r="O20" s="172" t="e">
        <f ca="1"/>
        <v>#N/A</v>
      </c>
      <c r="P20" s="170" t="e">
        <f ca="1"/>
        <v>#N/A</v>
      </c>
      <c r="Q20" s="173" t="e">
        <f ca="1"/>
        <v>#N/A</v>
      </c>
      <c r="R20" t="s">
        <v>4</v>
      </c>
    </row>
    <row r="21" spans="2:18" x14ac:dyDescent="0.25">
      <c r="B21" s="144" t="s">
        <v>234</v>
      </c>
      <c r="C21" s="136" t="s">
        <v>2</v>
      </c>
      <c r="D21" t="s">
        <v>4</v>
      </c>
      <c r="F21" s="168" t="e">
        <f ca="1"/>
        <v>#N/A</v>
      </c>
      <c r="G21" s="169" t="e">
        <f ca="1"/>
        <v>#N/A</v>
      </c>
      <c r="H21" s="170" t="e">
        <f ca="1"/>
        <v>#N/A</v>
      </c>
      <c r="I21" s="156" t="e">
        <f ca="1"/>
        <v>#N/A</v>
      </c>
      <c r="J21" s="169" t="e">
        <f ca="1"/>
        <v>#N/A</v>
      </c>
      <c r="K21" s="170" t="e">
        <f ca="1"/>
        <v>#N/A</v>
      </c>
      <c r="L21" s="171" t="e">
        <f ca="1"/>
        <v>#N/A</v>
      </c>
      <c r="M21" s="182" t="e">
        <f ca="1"/>
        <v>#N/A</v>
      </c>
      <c r="N21" s="170" t="e">
        <f ca="1"/>
        <v>#N/A</v>
      </c>
      <c r="O21" s="172" t="e">
        <f ca="1"/>
        <v>#N/A</v>
      </c>
      <c r="P21" s="170" t="e">
        <f ca="1"/>
        <v>#N/A</v>
      </c>
      <c r="Q21" s="173" t="e">
        <f ca="1"/>
        <v>#N/A</v>
      </c>
      <c r="R21" t="s">
        <v>4</v>
      </c>
    </row>
    <row r="22" spans="2:18" x14ac:dyDescent="0.25">
      <c r="B22" s="144" t="s">
        <v>235</v>
      </c>
      <c r="C22" s="136" t="s">
        <v>22</v>
      </c>
      <c r="D22" t="s">
        <v>4</v>
      </c>
      <c r="F22" s="168" t="e">
        <f ca="1"/>
        <v>#N/A</v>
      </c>
      <c r="G22" s="169" t="e">
        <f ca="1"/>
        <v>#N/A</v>
      </c>
      <c r="H22" s="170" t="e">
        <f ca="1"/>
        <v>#N/A</v>
      </c>
      <c r="I22" s="156" t="e">
        <f ca="1"/>
        <v>#N/A</v>
      </c>
      <c r="J22" s="169" t="e">
        <f ca="1"/>
        <v>#N/A</v>
      </c>
      <c r="K22" s="170" t="e">
        <f ca="1"/>
        <v>#N/A</v>
      </c>
      <c r="L22" s="171" t="e">
        <f ca="1"/>
        <v>#N/A</v>
      </c>
      <c r="M22" s="182" t="e">
        <f ca="1"/>
        <v>#N/A</v>
      </c>
      <c r="N22" s="170" t="e">
        <f ca="1"/>
        <v>#N/A</v>
      </c>
      <c r="O22" s="172" t="e">
        <f ca="1"/>
        <v>#N/A</v>
      </c>
      <c r="P22" s="170" t="e">
        <f ca="1"/>
        <v>#N/A</v>
      </c>
      <c r="Q22" s="173" t="e">
        <f ca="1"/>
        <v>#N/A</v>
      </c>
      <c r="R22" t="s">
        <v>4</v>
      </c>
    </row>
    <row r="23" spans="2:18" x14ac:dyDescent="0.25">
      <c r="B23" s="144" t="s">
        <v>236</v>
      </c>
      <c r="C23" s="136" t="s">
        <v>2</v>
      </c>
      <c r="D23" t="s">
        <v>4</v>
      </c>
      <c r="F23" s="168" t="e">
        <f ca="1"/>
        <v>#N/A</v>
      </c>
      <c r="G23" s="169" t="e">
        <f ca="1"/>
        <v>#N/A</v>
      </c>
      <c r="H23" s="170" t="e">
        <f ca="1"/>
        <v>#N/A</v>
      </c>
      <c r="I23" s="156" t="e">
        <f ca="1"/>
        <v>#N/A</v>
      </c>
      <c r="J23" s="169" t="e">
        <f ca="1"/>
        <v>#N/A</v>
      </c>
      <c r="K23" s="170" t="e">
        <f ca="1"/>
        <v>#N/A</v>
      </c>
      <c r="L23" s="171" t="e">
        <f ca="1"/>
        <v>#N/A</v>
      </c>
      <c r="M23" s="182" t="e">
        <f ca="1"/>
        <v>#N/A</v>
      </c>
      <c r="N23" s="170" t="e">
        <f ca="1"/>
        <v>#N/A</v>
      </c>
      <c r="O23" s="172" t="e">
        <f ca="1"/>
        <v>#N/A</v>
      </c>
      <c r="P23" s="170" t="e">
        <f ca="1"/>
        <v>#N/A</v>
      </c>
      <c r="Q23" s="173" t="e">
        <f ca="1"/>
        <v>#N/A</v>
      </c>
      <c r="R23" t="s">
        <v>4</v>
      </c>
    </row>
    <row r="24" spans="2:18" x14ac:dyDescent="0.25">
      <c r="B24" s="144" t="s">
        <v>212</v>
      </c>
      <c r="C24" s="138"/>
      <c r="D24" t="s">
        <v>4</v>
      </c>
      <c r="F24" s="168" t="e">
        <f ca="1"/>
        <v>#N/A</v>
      </c>
      <c r="G24" s="169" t="e">
        <f ca="1"/>
        <v>#N/A</v>
      </c>
      <c r="H24" s="170" t="e">
        <f ca="1"/>
        <v>#N/A</v>
      </c>
      <c r="I24" s="156" t="e">
        <f ca="1"/>
        <v>#N/A</v>
      </c>
      <c r="J24" s="169" t="e">
        <f ca="1"/>
        <v>#N/A</v>
      </c>
      <c r="K24" s="170" t="e">
        <f ca="1"/>
        <v>#N/A</v>
      </c>
      <c r="L24" s="171" t="e">
        <f ca="1"/>
        <v>#N/A</v>
      </c>
      <c r="M24" s="182" t="e">
        <f ca="1"/>
        <v>#N/A</v>
      </c>
      <c r="N24" s="170" t="e">
        <f ca="1"/>
        <v>#N/A</v>
      </c>
      <c r="O24" s="172" t="e">
        <f ca="1"/>
        <v>#N/A</v>
      </c>
      <c r="P24" s="170" t="e">
        <f ca="1"/>
        <v>#N/A</v>
      </c>
      <c r="Q24" s="173" t="e">
        <f ca="1"/>
        <v>#N/A</v>
      </c>
      <c r="R24" t="s">
        <v>4</v>
      </c>
    </row>
    <row r="25" spans="2:18" x14ac:dyDescent="0.25">
      <c r="B25" s="144" t="s">
        <v>213</v>
      </c>
      <c r="C25" s="138"/>
      <c r="D25" t="s">
        <v>4</v>
      </c>
      <c r="F25" s="168" t="e">
        <f ca="1"/>
        <v>#N/A</v>
      </c>
      <c r="G25" s="169" t="e">
        <f ca="1"/>
        <v>#N/A</v>
      </c>
      <c r="H25" s="170" t="e">
        <f ca="1"/>
        <v>#N/A</v>
      </c>
      <c r="I25" s="156" t="e">
        <f ca="1"/>
        <v>#N/A</v>
      </c>
      <c r="J25" s="169" t="e">
        <f ca="1"/>
        <v>#N/A</v>
      </c>
      <c r="K25" s="170" t="e">
        <f ca="1"/>
        <v>#N/A</v>
      </c>
      <c r="L25" s="171" t="e">
        <f ca="1"/>
        <v>#N/A</v>
      </c>
      <c r="M25" s="182" t="e">
        <f ca="1"/>
        <v>#N/A</v>
      </c>
      <c r="N25" s="170" t="e">
        <f ca="1"/>
        <v>#N/A</v>
      </c>
      <c r="O25" s="172" t="e">
        <f ca="1"/>
        <v>#N/A</v>
      </c>
      <c r="P25" s="170" t="e">
        <f ca="1"/>
        <v>#N/A</v>
      </c>
      <c r="Q25" s="173" t="e">
        <f ca="1"/>
        <v>#N/A</v>
      </c>
      <c r="R25" t="s">
        <v>4</v>
      </c>
    </row>
    <row r="26" spans="2:18" x14ac:dyDescent="0.25">
      <c r="B26" s="144" t="s">
        <v>214</v>
      </c>
      <c r="C26" s="139"/>
      <c r="D26" t="s">
        <v>4</v>
      </c>
      <c r="F26" s="168" t="e">
        <f ca="1"/>
        <v>#N/A</v>
      </c>
      <c r="G26" s="169" t="e">
        <f ca="1"/>
        <v>#N/A</v>
      </c>
      <c r="H26" s="170" t="e">
        <f ca="1"/>
        <v>#N/A</v>
      </c>
      <c r="I26" s="156" t="e">
        <f ca="1"/>
        <v>#N/A</v>
      </c>
      <c r="J26" s="169" t="e">
        <f ca="1"/>
        <v>#N/A</v>
      </c>
      <c r="K26" s="170" t="e">
        <f ca="1"/>
        <v>#N/A</v>
      </c>
      <c r="L26" s="171" t="e">
        <f ca="1"/>
        <v>#N/A</v>
      </c>
      <c r="M26" s="182" t="e">
        <f ca="1"/>
        <v>#N/A</v>
      </c>
      <c r="N26" s="170" t="e">
        <f ca="1"/>
        <v>#N/A</v>
      </c>
      <c r="O26" s="172" t="e">
        <f ca="1"/>
        <v>#N/A</v>
      </c>
      <c r="P26" s="170" t="e">
        <f ca="1"/>
        <v>#N/A</v>
      </c>
      <c r="Q26" s="173" t="e">
        <f ca="1"/>
        <v>#N/A</v>
      </c>
      <c r="R26" t="s">
        <v>4</v>
      </c>
    </row>
    <row r="27" spans="2:18" x14ac:dyDescent="0.25">
      <c r="B27" s="144" t="s">
        <v>215</v>
      </c>
      <c r="C27" s="140" t="s">
        <v>195</v>
      </c>
      <c r="D27" t="s">
        <v>4</v>
      </c>
      <c r="F27" s="168" t="e">
        <f ca="1"/>
        <v>#N/A</v>
      </c>
      <c r="G27" s="169" t="e">
        <f ca="1"/>
        <v>#N/A</v>
      </c>
      <c r="H27" s="170" t="e">
        <f ca="1"/>
        <v>#N/A</v>
      </c>
      <c r="I27" s="156" t="e">
        <f ca="1"/>
        <v>#N/A</v>
      </c>
      <c r="J27" s="169" t="e">
        <f ca="1"/>
        <v>#N/A</v>
      </c>
      <c r="K27" s="170" t="e">
        <f ca="1"/>
        <v>#N/A</v>
      </c>
      <c r="L27" s="171" t="e">
        <f ca="1"/>
        <v>#N/A</v>
      </c>
      <c r="M27" s="182" t="e">
        <f ca="1"/>
        <v>#N/A</v>
      </c>
      <c r="N27" s="170" t="e">
        <f ca="1"/>
        <v>#N/A</v>
      </c>
      <c r="O27" s="172" t="e">
        <f ca="1"/>
        <v>#N/A</v>
      </c>
      <c r="P27" s="170" t="e">
        <f ca="1"/>
        <v>#N/A</v>
      </c>
      <c r="Q27" s="173" t="e">
        <f ca="1"/>
        <v>#N/A</v>
      </c>
      <c r="R27" t="s">
        <v>4</v>
      </c>
    </row>
    <row r="28" spans="2:18" x14ac:dyDescent="0.25">
      <c r="B28" s="146" t="s">
        <v>216</v>
      </c>
      <c r="C28" s="148" t="s">
        <v>196</v>
      </c>
      <c r="D28" t="s">
        <v>4</v>
      </c>
      <c r="F28" s="174" t="e">
        <f ca="1"/>
        <v>#N/A</v>
      </c>
      <c r="G28" s="175" t="e">
        <f ca="1"/>
        <v>#N/A</v>
      </c>
      <c r="H28" s="177" t="e">
        <f ca="1"/>
        <v>#N/A</v>
      </c>
      <c r="I28" s="157" t="e">
        <f ca="1"/>
        <v>#N/A</v>
      </c>
      <c r="J28" s="175" t="e">
        <f ca="1"/>
        <v>#N/A</v>
      </c>
      <c r="K28" s="177" t="e">
        <f ca="1"/>
        <v>#N/A</v>
      </c>
      <c r="L28" s="179" t="e">
        <f ca="1"/>
        <v>#N/A</v>
      </c>
      <c r="M28" s="183" t="e">
        <f ca="1"/>
        <v>#N/A</v>
      </c>
      <c r="N28" s="177" t="e">
        <f ca="1"/>
        <v>#N/A</v>
      </c>
      <c r="O28" s="180" t="e">
        <f ca="1"/>
        <v>#N/A</v>
      </c>
      <c r="P28" s="177" t="e">
        <f ca="1"/>
        <v>#N/A</v>
      </c>
      <c r="Q28" s="181" t="e">
        <f ca="1"/>
        <v>#N/A</v>
      </c>
      <c r="R28" t="s">
        <v>4</v>
      </c>
    </row>
    <row r="29" spans="2:18" x14ac:dyDescent="0.25">
      <c r="D29" t="s">
        <v>4</v>
      </c>
      <c r="R29" t="s">
        <v>4</v>
      </c>
    </row>
    <row r="30" spans="2:18" x14ac:dyDescent="0.25">
      <c r="D30" t="s">
        <v>4</v>
      </c>
      <c r="R30" t="s">
        <v>4</v>
      </c>
    </row>
    <row r="31" spans="2:18" x14ac:dyDescent="0.25">
      <c r="B31" s="149" t="s">
        <v>245</v>
      </c>
      <c r="D31" t="s">
        <v>4</v>
      </c>
      <c r="F31" s="149" t="s">
        <v>244</v>
      </c>
      <c r="R31" t="s">
        <v>4</v>
      </c>
    </row>
    <row r="32" spans="2:18" x14ac:dyDescent="0.25">
      <c r="B32" s="142" t="s">
        <v>193</v>
      </c>
      <c r="C32" s="188">
        <v>1000000</v>
      </c>
      <c r="D32" t="s">
        <v>4</v>
      </c>
      <c r="F32" s="151" t="str">
        <f t="array" aca="1" ref="F32:Q57" ca="1">IF(AND(isEUR3MLLoaded,NOW()),_xll.meProductSwapLegDisplay($B$32:$C$57,FALSE),"#LOAD CURVES")</f>
        <v>FixingDate</v>
      </c>
      <c r="G32" s="152" t="str">
        <f ca="1"/>
        <v>AccrualStart</v>
      </c>
      <c r="H32" s="152" t="str">
        <f ca="1"/>
        <v>AccrualEnd</v>
      </c>
      <c r="I32" s="152" t="str">
        <f ca="1"/>
        <v>AccrualDays</v>
      </c>
      <c r="J32" s="153" t="str">
        <f ca="1"/>
        <v>AccrualYearFractions</v>
      </c>
      <c r="K32" s="152" t="str">
        <f ca="1"/>
        <v>PaymentDate</v>
      </c>
      <c r="L32" s="159" t="str">
        <f ca="1"/>
        <v>Notional</v>
      </c>
      <c r="M32" s="167" t="str">
        <f ca="1"/>
        <v>Leverage</v>
      </c>
      <c r="N32" s="158" t="str">
        <f ca="1"/>
        <v>FloatSpread</v>
      </c>
      <c r="O32" s="159" t="str">
        <f ca="1"/>
        <v>FloatRate</v>
      </c>
      <c r="P32" s="163" t="str">
        <f ca="1"/>
        <v>Coupon</v>
      </c>
      <c r="Q32" s="166" t="str">
        <f ca="1"/>
        <v>DiscountFactor</v>
      </c>
      <c r="R32" t="s">
        <v>4</v>
      </c>
    </row>
    <row r="33" spans="2:18" x14ac:dyDescent="0.25">
      <c r="B33" s="143" t="s">
        <v>247</v>
      </c>
      <c r="C33" s="192" t="s">
        <v>249</v>
      </c>
      <c r="D33" t="s">
        <v>4</v>
      </c>
      <c r="F33" s="154">
        <f ca="1"/>
        <v>42419</v>
      </c>
      <c r="G33" s="155">
        <f ca="1"/>
        <v>42419</v>
      </c>
      <c r="H33" s="155">
        <f ca="1"/>
        <v>42601</v>
      </c>
      <c r="I33" s="131">
        <f ca="1"/>
        <v>182</v>
      </c>
      <c r="J33" s="156">
        <f ca="1"/>
        <v>0.49863013698630138</v>
      </c>
      <c r="K33" s="155">
        <f ca="1"/>
        <v>42601</v>
      </c>
      <c r="L33" s="160">
        <f ca="1"/>
        <v>1000000</v>
      </c>
      <c r="M33" s="133">
        <f ca="1"/>
        <v>-1</v>
      </c>
      <c r="N33" s="132">
        <f ca="1"/>
        <v>0</v>
      </c>
      <c r="O33" s="133">
        <f ca="1"/>
        <v>-1.3112903225807608E-3</v>
      </c>
      <c r="P33" s="160">
        <f ca="1"/>
        <v>653.84887317725611</v>
      </c>
      <c r="Q33" s="194">
        <f ca="1"/>
        <v>1.0017382472130298</v>
      </c>
      <c r="R33" t="s">
        <v>4</v>
      </c>
    </row>
    <row r="34" spans="2:18" x14ac:dyDescent="0.25">
      <c r="B34" s="143" t="s">
        <v>246</v>
      </c>
      <c r="C34" s="193">
        <f>$H$5</f>
        <v>-1</v>
      </c>
      <c r="D34" t="s">
        <v>4</v>
      </c>
      <c r="F34" s="154">
        <f ca="1"/>
        <v>42601</v>
      </c>
      <c r="G34" s="155">
        <f ca="1"/>
        <v>42601</v>
      </c>
      <c r="H34" s="155">
        <f ca="1"/>
        <v>42786</v>
      </c>
      <c r="I34" s="131">
        <f ca="1"/>
        <v>185</v>
      </c>
      <c r="J34" s="156">
        <f ca="1"/>
        <v>0.50684931506849318</v>
      </c>
      <c r="K34" s="155">
        <f ca="1"/>
        <v>42786</v>
      </c>
      <c r="L34" s="160">
        <f ca="1"/>
        <v>1000000</v>
      </c>
      <c r="M34" s="133">
        <f ca="1"/>
        <v>-1</v>
      </c>
      <c r="N34" s="132">
        <f ca="1"/>
        <v>0</v>
      </c>
      <c r="O34" s="133">
        <f ca="1"/>
        <v>-1.4331210281100424E-3</v>
      </c>
      <c r="P34" s="160">
        <f ca="1"/>
        <v>726.37641150782974</v>
      </c>
      <c r="Q34" s="194">
        <f ca="1"/>
        <v>1.0037580979153051</v>
      </c>
      <c r="R34" t="s">
        <v>4</v>
      </c>
    </row>
    <row r="35" spans="2:18" x14ac:dyDescent="0.25">
      <c r="B35" s="143" t="s">
        <v>204</v>
      </c>
      <c r="C35" s="189" t="s">
        <v>194</v>
      </c>
      <c r="D35" t="s">
        <v>4</v>
      </c>
      <c r="F35" s="154">
        <f ca="1"/>
        <v>42786</v>
      </c>
      <c r="G35" s="155">
        <f ca="1"/>
        <v>42786</v>
      </c>
      <c r="H35" s="155">
        <f ca="1"/>
        <v>42968</v>
      </c>
      <c r="I35" s="131">
        <f ca="1"/>
        <v>182</v>
      </c>
      <c r="J35" s="156">
        <f ca="1"/>
        <v>0.49863013698630138</v>
      </c>
      <c r="K35" s="155">
        <f ca="1"/>
        <v>42968</v>
      </c>
      <c r="L35" s="160">
        <f ca="1"/>
        <v>1000000</v>
      </c>
      <c r="M35" s="133">
        <f ca="1"/>
        <v>-1</v>
      </c>
      <c r="N35" s="132">
        <f ca="1"/>
        <v>0</v>
      </c>
      <c r="O35" s="133">
        <f ca="1"/>
        <v>-1.4119354838709678E-3</v>
      </c>
      <c r="P35" s="160">
        <f ca="1"/>
        <v>704.03358373840035</v>
      </c>
      <c r="Q35" s="194">
        <f ca="1"/>
        <v>1.0057897446367365</v>
      </c>
      <c r="R35" t="s">
        <v>4</v>
      </c>
    </row>
    <row r="36" spans="2:18" x14ac:dyDescent="0.25">
      <c r="B36" s="144" t="s">
        <v>206</v>
      </c>
      <c r="C36" s="138">
        <f>COB</f>
        <v>42419</v>
      </c>
      <c r="D36" s="149" t="s">
        <v>197</v>
      </c>
      <c r="E36" s="149"/>
      <c r="F36" s="154">
        <f ca="1"/>
        <v>42968</v>
      </c>
      <c r="G36" s="155">
        <f ca="1"/>
        <v>42968</v>
      </c>
      <c r="H36" s="155">
        <f ca="1"/>
        <v>43150</v>
      </c>
      <c r="I36" s="131">
        <f ca="1"/>
        <v>182</v>
      </c>
      <c r="J36" s="156">
        <f ca="1"/>
        <v>0.49863013698630138</v>
      </c>
      <c r="K36" s="155">
        <f ca="1"/>
        <v>43150</v>
      </c>
      <c r="L36" s="160">
        <f ca="1"/>
        <v>1000000</v>
      </c>
      <c r="M36" s="133">
        <f ca="1"/>
        <v>-1</v>
      </c>
      <c r="N36" s="132">
        <f ca="1"/>
        <v>0</v>
      </c>
      <c r="O36" s="133">
        <f ca="1"/>
        <v>-1.0927868159197164E-3</v>
      </c>
      <c r="P36" s="160">
        <f ca="1"/>
        <v>544.89643971887233</v>
      </c>
      <c r="Q36" s="194">
        <f ca="1"/>
        <v>1.0076875563539023</v>
      </c>
      <c r="R36" t="s">
        <v>4</v>
      </c>
    </row>
    <row r="37" spans="2:18" x14ac:dyDescent="0.25">
      <c r="B37" s="144" t="s">
        <v>205</v>
      </c>
      <c r="C37" s="184" t="s">
        <v>52</v>
      </c>
      <c r="D37" t="s">
        <v>4</v>
      </c>
      <c r="F37" s="154">
        <f ca="1"/>
        <v>43150</v>
      </c>
      <c r="G37" s="155">
        <f ca="1"/>
        <v>43150</v>
      </c>
      <c r="H37" s="155">
        <f ca="1"/>
        <v>43332</v>
      </c>
      <c r="I37" s="131">
        <f ca="1"/>
        <v>182</v>
      </c>
      <c r="J37" s="156">
        <f ca="1"/>
        <v>0.49863013698630138</v>
      </c>
      <c r="K37" s="155">
        <f ca="1"/>
        <v>43332</v>
      </c>
      <c r="L37" s="160">
        <f ca="1"/>
        <v>1000000</v>
      </c>
      <c r="M37" s="133">
        <f ca="1"/>
        <v>-1</v>
      </c>
      <c r="N37" s="132">
        <f ca="1"/>
        <v>0</v>
      </c>
      <c r="O37" s="133">
        <f ca="1"/>
        <v>-4.4931557879274771E-4</v>
      </c>
      <c r="P37" s="160">
        <f ca="1"/>
        <v>224.04228860350707</v>
      </c>
      <c r="Q37" s="194">
        <f ca="1"/>
        <v>1.0092658769851748</v>
      </c>
      <c r="R37" t="s">
        <v>4</v>
      </c>
    </row>
    <row r="38" spans="2:18" x14ac:dyDescent="0.25">
      <c r="B38" s="144" t="s">
        <v>88</v>
      </c>
      <c r="C38" s="185" t="s">
        <v>80</v>
      </c>
      <c r="D38" t="s">
        <v>4</v>
      </c>
      <c r="F38" s="154">
        <f ca="1"/>
        <v>43332</v>
      </c>
      <c r="G38" s="155">
        <f ca="1"/>
        <v>43332</v>
      </c>
      <c r="H38" s="155">
        <f ca="1"/>
        <v>43515</v>
      </c>
      <c r="I38" s="131">
        <f ca="1"/>
        <v>183</v>
      </c>
      <c r="J38" s="156">
        <f ca="1"/>
        <v>0.50136986301369868</v>
      </c>
      <c r="K38" s="155">
        <f ca="1"/>
        <v>43515</v>
      </c>
      <c r="L38" s="160">
        <f ca="1"/>
        <v>1000000</v>
      </c>
      <c r="M38" s="133">
        <f ca="1"/>
        <v>-1</v>
      </c>
      <c r="N38" s="132">
        <f ca="1"/>
        <v>0</v>
      </c>
      <c r="O38" s="133">
        <f ca="1"/>
        <v>4.8146760262128823E-4</v>
      </c>
      <c r="P38" s="160">
        <f ca="1"/>
        <v>-241.39334597176918</v>
      </c>
      <c r="Q38" s="194">
        <f ca="1"/>
        <v>1.0104638672745163</v>
      </c>
      <c r="R38" t="s">
        <v>4</v>
      </c>
    </row>
    <row r="39" spans="2:18" x14ac:dyDescent="0.25">
      <c r="B39" s="144" t="s">
        <v>208</v>
      </c>
      <c r="C39" s="186" t="s">
        <v>188</v>
      </c>
      <c r="D39" t="s">
        <v>4</v>
      </c>
      <c r="F39" s="154">
        <f ca="1"/>
        <v>43515</v>
      </c>
      <c r="G39" s="155">
        <f ca="1"/>
        <v>43515</v>
      </c>
      <c r="H39" s="155">
        <f ca="1"/>
        <v>43696</v>
      </c>
      <c r="I39" s="131">
        <f ca="1"/>
        <v>181</v>
      </c>
      <c r="J39" s="156">
        <f ca="1"/>
        <v>0.49589041095890413</v>
      </c>
      <c r="K39" s="155">
        <f ca="1"/>
        <v>43696</v>
      </c>
      <c r="L39" s="160">
        <f ca="1"/>
        <v>1000000</v>
      </c>
      <c r="M39" s="133">
        <f ca="1"/>
        <v>-1</v>
      </c>
      <c r="N39" s="132">
        <f ca="1"/>
        <v>0</v>
      </c>
      <c r="O39" s="133">
        <f ca="1"/>
        <v>1.6070232886647709E-3</v>
      </c>
      <c r="P39" s="160">
        <f ca="1"/>
        <v>-796.90743903650286</v>
      </c>
      <c r="Q39" s="194">
        <f ca="1"/>
        <v>1.0110890496925073</v>
      </c>
      <c r="R39" t="s">
        <v>4</v>
      </c>
    </row>
    <row r="40" spans="2:18" ht="15.75" thickBot="1" x14ac:dyDescent="0.3">
      <c r="B40" s="145" t="s">
        <v>226</v>
      </c>
      <c r="C40" s="187" t="s">
        <v>232</v>
      </c>
      <c r="D40" t="s">
        <v>4</v>
      </c>
      <c r="F40" s="154">
        <f ca="1"/>
        <v>43696</v>
      </c>
      <c r="G40" s="155">
        <f ca="1"/>
        <v>43696</v>
      </c>
      <c r="H40" s="155">
        <f ca="1"/>
        <v>43880</v>
      </c>
      <c r="I40" s="131">
        <f ca="1"/>
        <v>184</v>
      </c>
      <c r="J40" s="156">
        <f ca="1"/>
        <v>0.50410958904109593</v>
      </c>
      <c r="K40" s="155">
        <f ca="1"/>
        <v>43880</v>
      </c>
      <c r="L40" s="160">
        <f ca="1"/>
        <v>1000000</v>
      </c>
      <c r="M40" s="133">
        <f ca="1"/>
        <v>-1</v>
      </c>
      <c r="N40" s="132">
        <f ca="1"/>
        <v>0</v>
      </c>
      <c r="O40" s="133">
        <f ca="1"/>
        <v>2.8268832421779418E-3</v>
      </c>
      <c r="P40" s="160">
        <f ca="1"/>
        <v>-1425.0589494814833</v>
      </c>
      <c r="Q40" s="194">
        <f ca="1"/>
        <v>1.01108594002032</v>
      </c>
      <c r="R40" t="s">
        <v>4</v>
      </c>
    </row>
    <row r="41" spans="2:18" ht="15.75" thickTop="1" x14ac:dyDescent="0.25">
      <c r="B41" s="144" t="s">
        <v>217</v>
      </c>
      <c r="C41" s="139" t="str">
        <f>IF(RIGHT($C$15,3)="1ML","Monthly",IF(RIGHT($C$15,3)="3ML","Quarterly",IF(RIGHT($C$15,3)="6ML","Semi-Annual","Annual")))</f>
        <v>Semi-Annual</v>
      </c>
      <c r="D41" t="s">
        <v>4</v>
      </c>
      <c r="F41" s="168">
        <f ca="1"/>
        <v>43880</v>
      </c>
      <c r="G41" s="169">
        <f ca="1"/>
        <v>43880</v>
      </c>
      <c r="H41" s="169">
        <f ca="1"/>
        <v>44062</v>
      </c>
      <c r="I41" s="119">
        <f ca="1"/>
        <v>182</v>
      </c>
      <c r="J41" s="156">
        <f ca="1"/>
        <v>0.49863013698630138</v>
      </c>
      <c r="K41" s="169">
        <f ca="1"/>
        <v>44062</v>
      </c>
      <c r="L41" s="170">
        <f ca="1"/>
        <v>1000000</v>
      </c>
      <c r="M41" s="171">
        <f ca="1"/>
        <v>-1</v>
      </c>
      <c r="N41" s="120">
        <f ca="1"/>
        <v>0</v>
      </c>
      <c r="O41" s="171">
        <f ca="1"/>
        <v>4.2166719202740548E-3</v>
      </c>
      <c r="P41" s="170">
        <f ca="1"/>
        <v>-2102.5596972325425</v>
      </c>
      <c r="Q41" s="195">
        <f ca="1"/>
        <v>1.0104106682830636</v>
      </c>
      <c r="R41" t="s">
        <v>4</v>
      </c>
    </row>
    <row r="42" spans="2:18" x14ac:dyDescent="0.25">
      <c r="B42" s="147" t="s">
        <v>227</v>
      </c>
      <c r="C42" s="184">
        <v>0</v>
      </c>
      <c r="D42" t="s">
        <v>4</v>
      </c>
      <c r="F42" s="168">
        <f ca="1"/>
        <v>44062</v>
      </c>
      <c r="G42" s="169">
        <f ca="1"/>
        <v>44062</v>
      </c>
      <c r="H42" s="169">
        <f ca="1"/>
        <v>44246</v>
      </c>
      <c r="I42" s="119">
        <f ca="1"/>
        <v>184</v>
      </c>
      <c r="J42" s="156">
        <f ca="1"/>
        <v>0.50410958904109593</v>
      </c>
      <c r="K42" s="169">
        <f ca="1"/>
        <v>44246</v>
      </c>
      <c r="L42" s="170">
        <f ca="1"/>
        <v>1000000</v>
      </c>
      <c r="M42" s="171">
        <f ca="1"/>
        <v>-1</v>
      </c>
      <c r="N42" s="120">
        <f ca="1"/>
        <v>0</v>
      </c>
      <c r="O42" s="171">
        <f ca="1"/>
        <v>5.5023130396733219E-3</v>
      </c>
      <c r="P42" s="170">
        <f ca="1"/>
        <v>-2773.7687652051818</v>
      </c>
      <c r="Q42" s="195">
        <f ca="1"/>
        <v>1.0090363305952907</v>
      </c>
      <c r="R42" t="s">
        <v>4</v>
      </c>
    </row>
    <row r="43" spans="2:18" x14ac:dyDescent="0.25">
      <c r="B43" s="144" t="s">
        <v>218</v>
      </c>
      <c r="C43" s="137" t="s">
        <v>252</v>
      </c>
      <c r="D43" t="s">
        <v>4</v>
      </c>
      <c r="F43" s="168" t="e">
        <f ca="1"/>
        <v>#N/A</v>
      </c>
      <c r="G43" s="169" t="e">
        <f ca="1"/>
        <v>#N/A</v>
      </c>
      <c r="H43" s="169" t="e">
        <f ca="1"/>
        <v>#N/A</v>
      </c>
      <c r="I43" s="119" t="e">
        <f ca="1"/>
        <v>#N/A</v>
      </c>
      <c r="J43" s="156" t="e">
        <f ca="1"/>
        <v>#N/A</v>
      </c>
      <c r="K43" s="169" t="e">
        <f ca="1"/>
        <v>#N/A</v>
      </c>
      <c r="L43" s="170" t="e">
        <f ca="1"/>
        <v>#N/A</v>
      </c>
      <c r="M43" s="171" t="e">
        <f ca="1"/>
        <v>#N/A</v>
      </c>
      <c r="N43" s="120" t="e">
        <f ca="1"/>
        <v>#N/A</v>
      </c>
      <c r="O43" s="171" t="e">
        <f ca="1"/>
        <v>#N/A</v>
      </c>
      <c r="P43" s="170" t="e">
        <f ca="1"/>
        <v>#N/A</v>
      </c>
      <c r="Q43" s="195" t="e">
        <f ca="1"/>
        <v>#N/A</v>
      </c>
      <c r="R43" t="s">
        <v>4</v>
      </c>
    </row>
    <row r="44" spans="2:18" x14ac:dyDescent="0.25">
      <c r="B44" s="144" t="s">
        <v>237</v>
      </c>
      <c r="C44" s="136" t="s">
        <v>22</v>
      </c>
      <c r="D44" t="s">
        <v>4</v>
      </c>
      <c r="F44" s="168" t="e">
        <f ca="1"/>
        <v>#N/A</v>
      </c>
      <c r="G44" s="169" t="e">
        <f ca="1"/>
        <v>#N/A</v>
      </c>
      <c r="H44" s="169" t="e">
        <f ca="1"/>
        <v>#N/A</v>
      </c>
      <c r="I44" s="119" t="e">
        <f ca="1"/>
        <v>#N/A</v>
      </c>
      <c r="J44" s="156" t="e">
        <f ca="1"/>
        <v>#N/A</v>
      </c>
      <c r="K44" s="169" t="e">
        <f ca="1"/>
        <v>#N/A</v>
      </c>
      <c r="L44" s="170" t="e">
        <f ca="1"/>
        <v>#N/A</v>
      </c>
      <c r="M44" s="171" t="e">
        <f ca="1"/>
        <v>#N/A</v>
      </c>
      <c r="N44" s="120" t="e">
        <f ca="1"/>
        <v>#N/A</v>
      </c>
      <c r="O44" s="171" t="e">
        <f ca="1"/>
        <v>#N/A</v>
      </c>
      <c r="P44" s="170" t="e">
        <f ca="1"/>
        <v>#N/A</v>
      </c>
      <c r="Q44" s="195" t="e">
        <f ca="1"/>
        <v>#N/A</v>
      </c>
      <c r="R44" t="s">
        <v>4</v>
      </c>
    </row>
    <row r="45" spans="2:18" x14ac:dyDescent="0.25">
      <c r="B45" s="144" t="s">
        <v>238</v>
      </c>
      <c r="C45" s="136" t="s">
        <v>2</v>
      </c>
      <c r="D45" t="s">
        <v>4</v>
      </c>
      <c r="F45" s="168" t="e">
        <f ca="1"/>
        <v>#N/A</v>
      </c>
      <c r="G45" s="169" t="e">
        <f ca="1"/>
        <v>#N/A</v>
      </c>
      <c r="H45" s="169" t="e">
        <f ca="1"/>
        <v>#N/A</v>
      </c>
      <c r="I45" s="119" t="e">
        <f ca="1"/>
        <v>#N/A</v>
      </c>
      <c r="J45" s="156" t="e">
        <f ca="1"/>
        <v>#N/A</v>
      </c>
      <c r="K45" s="169" t="e">
        <f ca="1"/>
        <v>#N/A</v>
      </c>
      <c r="L45" s="170" t="e">
        <f ca="1"/>
        <v>#N/A</v>
      </c>
      <c r="M45" s="171" t="e">
        <f ca="1"/>
        <v>#N/A</v>
      </c>
      <c r="N45" s="120" t="e">
        <f ca="1"/>
        <v>#N/A</v>
      </c>
      <c r="O45" s="171" t="e">
        <f ca="1"/>
        <v>#N/A</v>
      </c>
      <c r="P45" s="170" t="e">
        <f ca="1"/>
        <v>#N/A</v>
      </c>
      <c r="Q45" s="195" t="e">
        <f ca="1"/>
        <v>#N/A</v>
      </c>
      <c r="R45" t="s">
        <v>4</v>
      </c>
    </row>
    <row r="46" spans="2:18" x14ac:dyDescent="0.25">
      <c r="B46" s="144" t="s">
        <v>239</v>
      </c>
      <c r="C46" s="136" t="s">
        <v>22</v>
      </c>
      <c r="D46" t="s">
        <v>4</v>
      </c>
      <c r="F46" s="168" t="e">
        <f ca="1"/>
        <v>#N/A</v>
      </c>
      <c r="G46" s="169" t="e">
        <f ca="1"/>
        <v>#N/A</v>
      </c>
      <c r="H46" s="169" t="e">
        <f ca="1"/>
        <v>#N/A</v>
      </c>
      <c r="I46" s="119" t="e">
        <f ca="1"/>
        <v>#N/A</v>
      </c>
      <c r="J46" s="156" t="e">
        <f ca="1"/>
        <v>#N/A</v>
      </c>
      <c r="K46" s="169" t="e">
        <f ca="1"/>
        <v>#N/A</v>
      </c>
      <c r="L46" s="170" t="e">
        <f ca="1"/>
        <v>#N/A</v>
      </c>
      <c r="M46" s="171" t="e">
        <f ca="1"/>
        <v>#N/A</v>
      </c>
      <c r="N46" s="120" t="e">
        <f ca="1"/>
        <v>#N/A</v>
      </c>
      <c r="O46" s="171" t="e">
        <f ca="1"/>
        <v>#N/A</v>
      </c>
      <c r="P46" s="170" t="e">
        <f ca="1"/>
        <v>#N/A</v>
      </c>
      <c r="Q46" s="195" t="e">
        <f ca="1"/>
        <v>#N/A</v>
      </c>
      <c r="R46" t="s">
        <v>4</v>
      </c>
    </row>
    <row r="47" spans="2:18" x14ac:dyDescent="0.25">
      <c r="B47" s="144" t="s">
        <v>240</v>
      </c>
      <c r="C47" s="136" t="s">
        <v>2</v>
      </c>
      <c r="D47" t="s">
        <v>4</v>
      </c>
      <c r="F47" s="168" t="e">
        <f ca="1"/>
        <v>#N/A</v>
      </c>
      <c r="G47" s="169" t="e">
        <f ca="1"/>
        <v>#N/A</v>
      </c>
      <c r="H47" s="169" t="e">
        <f ca="1"/>
        <v>#N/A</v>
      </c>
      <c r="I47" s="119" t="e">
        <f ca="1"/>
        <v>#N/A</v>
      </c>
      <c r="J47" s="156" t="e">
        <f ca="1"/>
        <v>#N/A</v>
      </c>
      <c r="K47" s="169" t="e">
        <f ca="1"/>
        <v>#N/A</v>
      </c>
      <c r="L47" s="170" t="e">
        <f ca="1"/>
        <v>#N/A</v>
      </c>
      <c r="M47" s="171" t="e">
        <f ca="1"/>
        <v>#N/A</v>
      </c>
      <c r="N47" s="120" t="e">
        <f ca="1"/>
        <v>#N/A</v>
      </c>
      <c r="O47" s="171" t="e">
        <f ca="1"/>
        <v>#N/A</v>
      </c>
      <c r="P47" s="170" t="e">
        <f ca="1"/>
        <v>#N/A</v>
      </c>
      <c r="Q47" s="195" t="e">
        <f ca="1"/>
        <v>#N/A</v>
      </c>
      <c r="R47" t="s">
        <v>4</v>
      </c>
    </row>
    <row r="48" spans="2:18" x14ac:dyDescent="0.25">
      <c r="B48" s="144" t="s">
        <v>241</v>
      </c>
      <c r="C48" s="136" t="s">
        <v>22</v>
      </c>
      <c r="D48" t="s">
        <v>4</v>
      </c>
      <c r="F48" s="168" t="e">
        <f ca="1"/>
        <v>#N/A</v>
      </c>
      <c r="G48" s="169" t="e">
        <f ca="1"/>
        <v>#N/A</v>
      </c>
      <c r="H48" s="169" t="e">
        <f ca="1"/>
        <v>#N/A</v>
      </c>
      <c r="I48" s="119" t="e">
        <f ca="1"/>
        <v>#N/A</v>
      </c>
      <c r="J48" s="156" t="e">
        <f ca="1"/>
        <v>#N/A</v>
      </c>
      <c r="K48" s="169" t="e">
        <f ca="1"/>
        <v>#N/A</v>
      </c>
      <c r="L48" s="170" t="e">
        <f ca="1"/>
        <v>#N/A</v>
      </c>
      <c r="M48" s="171" t="e">
        <f ca="1"/>
        <v>#N/A</v>
      </c>
      <c r="N48" s="120" t="e">
        <f ca="1"/>
        <v>#N/A</v>
      </c>
      <c r="O48" s="171" t="e">
        <f ca="1"/>
        <v>#N/A</v>
      </c>
      <c r="P48" s="170" t="e">
        <f ca="1"/>
        <v>#N/A</v>
      </c>
      <c r="Q48" s="195" t="e">
        <f ca="1"/>
        <v>#N/A</v>
      </c>
      <c r="R48" t="s">
        <v>4</v>
      </c>
    </row>
    <row r="49" spans="2:18" x14ac:dyDescent="0.25">
      <c r="B49" s="144" t="s">
        <v>242</v>
      </c>
      <c r="C49" s="136" t="s">
        <v>2</v>
      </c>
      <c r="D49" t="s">
        <v>4</v>
      </c>
      <c r="F49" s="168" t="e">
        <f ca="1"/>
        <v>#N/A</v>
      </c>
      <c r="G49" s="169" t="e">
        <f ca="1"/>
        <v>#N/A</v>
      </c>
      <c r="H49" s="169" t="e">
        <f ca="1"/>
        <v>#N/A</v>
      </c>
      <c r="I49" s="119" t="e">
        <f ca="1"/>
        <v>#N/A</v>
      </c>
      <c r="J49" s="156" t="e">
        <f ca="1"/>
        <v>#N/A</v>
      </c>
      <c r="K49" s="169" t="e">
        <f ca="1"/>
        <v>#N/A</v>
      </c>
      <c r="L49" s="170" t="e">
        <f ca="1"/>
        <v>#N/A</v>
      </c>
      <c r="M49" s="171" t="e">
        <f ca="1"/>
        <v>#N/A</v>
      </c>
      <c r="N49" s="120" t="e">
        <f ca="1"/>
        <v>#N/A</v>
      </c>
      <c r="O49" s="171" t="e">
        <f ca="1"/>
        <v>#N/A</v>
      </c>
      <c r="P49" s="170" t="e">
        <f ca="1"/>
        <v>#N/A</v>
      </c>
      <c r="Q49" s="195" t="e">
        <f ca="1"/>
        <v>#N/A</v>
      </c>
      <c r="R49" t="s">
        <v>4</v>
      </c>
    </row>
    <row r="50" spans="2:18" x14ac:dyDescent="0.25">
      <c r="B50" s="144" t="s">
        <v>219</v>
      </c>
      <c r="C50" s="138"/>
      <c r="D50" t="s">
        <v>4</v>
      </c>
      <c r="F50" s="168" t="e">
        <f ca="1"/>
        <v>#N/A</v>
      </c>
      <c r="G50" s="169" t="e">
        <f ca="1"/>
        <v>#N/A</v>
      </c>
      <c r="H50" s="169" t="e">
        <f ca="1"/>
        <v>#N/A</v>
      </c>
      <c r="I50" s="119" t="e">
        <f ca="1"/>
        <v>#N/A</v>
      </c>
      <c r="J50" s="156" t="e">
        <f ca="1"/>
        <v>#N/A</v>
      </c>
      <c r="K50" s="169" t="e">
        <f ca="1"/>
        <v>#N/A</v>
      </c>
      <c r="L50" s="170" t="e">
        <f ca="1"/>
        <v>#N/A</v>
      </c>
      <c r="M50" s="171" t="e">
        <f ca="1"/>
        <v>#N/A</v>
      </c>
      <c r="N50" s="120" t="e">
        <f ca="1"/>
        <v>#N/A</v>
      </c>
      <c r="O50" s="171" t="e">
        <f ca="1"/>
        <v>#N/A</v>
      </c>
      <c r="P50" s="170" t="e">
        <f ca="1"/>
        <v>#N/A</v>
      </c>
      <c r="Q50" s="195" t="e">
        <f ca="1"/>
        <v>#N/A</v>
      </c>
      <c r="R50" t="s">
        <v>4</v>
      </c>
    </row>
    <row r="51" spans="2:18" x14ac:dyDescent="0.25">
      <c r="B51" s="144" t="s">
        <v>220</v>
      </c>
      <c r="C51" s="138"/>
      <c r="D51" t="s">
        <v>4</v>
      </c>
      <c r="F51" s="168" t="e">
        <f ca="1"/>
        <v>#N/A</v>
      </c>
      <c r="G51" s="169" t="e">
        <f ca="1"/>
        <v>#N/A</v>
      </c>
      <c r="H51" s="169" t="e">
        <f ca="1"/>
        <v>#N/A</v>
      </c>
      <c r="I51" s="119" t="e">
        <f ca="1"/>
        <v>#N/A</v>
      </c>
      <c r="J51" s="156" t="e">
        <f ca="1"/>
        <v>#N/A</v>
      </c>
      <c r="K51" s="169" t="e">
        <f ca="1"/>
        <v>#N/A</v>
      </c>
      <c r="L51" s="170" t="e">
        <f ca="1"/>
        <v>#N/A</v>
      </c>
      <c r="M51" s="171" t="e">
        <f ca="1"/>
        <v>#N/A</v>
      </c>
      <c r="N51" s="120" t="e">
        <f ca="1"/>
        <v>#N/A</v>
      </c>
      <c r="O51" s="171" t="e">
        <f ca="1"/>
        <v>#N/A</v>
      </c>
      <c r="P51" s="170" t="e">
        <f ca="1"/>
        <v>#N/A</v>
      </c>
      <c r="Q51" s="195" t="e">
        <f ca="1"/>
        <v>#N/A</v>
      </c>
      <c r="R51" t="s">
        <v>4</v>
      </c>
    </row>
    <row r="52" spans="2:18" x14ac:dyDescent="0.25">
      <c r="B52" s="144" t="s">
        <v>221</v>
      </c>
      <c r="C52" s="139"/>
      <c r="D52" t="s">
        <v>4</v>
      </c>
      <c r="F52" s="168" t="e">
        <f ca="1"/>
        <v>#N/A</v>
      </c>
      <c r="G52" s="169" t="e">
        <f ca="1"/>
        <v>#N/A</v>
      </c>
      <c r="H52" s="169" t="e">
        <f ca="1"/>
        <v>#N/A</v>
      </c>
      <c r="I52" s="119" t="e">
        <f ca="1"/>
        <v>#N/A</v>
      </c>
      <c r="J52" s="156" t="e">
        <f ca="1"/>
        <v>#N/A</v>
      </c>
      <c r="K52" s="169" t="e">
        <f ca="1"/>
        <v>#N/A</v>
      </c>
      <c r="L52" s="170" t="e">
        <f ca="1"/>
        <v>#N/A</v>
      </c>
      <c r="M52" s="171" t="e">
        <f ca="1"/>
        <v>#N/A</v>
      </c>
      <c r="N52" s="120" t="e">
        <f ca="1"/>
        <v>#N/A</v>
      </c>
      <c r="O52" s="171" t="e">
        <f ca="1"/>
        <v>#N/A</v>
      </c>
      <c r="P52" s="170" t="e">
        <f ca="1"/>
        <v>#N/A</v>
      </c>
      <c r="Q52" s="195" t="e">
        <f ca="1"/>
        <v>#N/A</v>
      </c>
      <c r="R52" t="s">
        <v>4</v>
      </c>
    </row>
    <row r="53" spans="2:18" x14ac:dyDescent="0.25">
      <c r="B53" s="144" t="s">
        <v>222</v>
      </c>
      <c r="C53" s="140" t="s">
        <v>195</v>
      </c>
      <c r="D53" t="s">
        <v>4</v>
      </c>
      <c r="F53" s="168" t="e">
        <f ca="1"/>
        <v>#N/A</v>
      </c>
      <c r="G53" s="169" t="e">
        <f ca="1"/>
        <v>#N/A</v>
      </c>
      <c r="H53" s="169" t="e">
        <f ca="1"/>
        <v>#N/A</v>
      </c>
      <c r="I53" s="119" t="e">
        <f ca="1"/>
        <v>#N/A</v>
      </c>
      <c r="J53" s="156" t="e">
        <f ca="1"/>
        <v>#N/A</v>
      </c>
      <c r="K53" s="169" t="e">
        <f ca="1"/>
        <v>#N/A</v>
      </c>
      <c r="L53" s="170" t="e">
        <f ca="1"/>
        <v>#N/A</v>
      </c>
      <c r="M53" s="171" t="e">
        <f ca="1"/>
        <v>#N/A</v>
      </c>
      <c r="N53" s="120" t="e">
        <f ca="1"/>
        <v>#N/A</v>
      </c>
      <c r="O53" s="171" t="e">
        <f ca="1"/>
        <v>#N/A</v>
      </c>
      <c r="P53" s="170" t="e">
        <f ca="1"/>
        <v>#N/A</v>
      </c>
      <c r="Q53" s="195" t="e">
        <f ca="1"/>
        <v>#N/A</v>
      </c>
      <c r="R53" t="s">
        <v>4</v>
      </c>
    </row>
    <row r="54" spans="2:18" x14ac:dyDescent="0.25">
      <c r="B54" s="144" t="s">
        <v>209</v>
      </c>
      <c r="C54" s="135" t="s">
        <v>37</v>
      </c>
      <c r="D54" t="s">
        <v>4</v>
      </c>
      <c r="F54" s="168" t="e">
        <f ca="1"/>
        <v>#N/A</v>
      </c>
      <c r="G54" s="169" t="e">
        <f ca="1"/>
        <v>#N/A</v>
      </c>
      <c r="H54" s="169" t="e">
        <f ca="1"/>
        <v>#N/A</v>
      </c>
      <c r="I54" s="119" t="e">
        <f ca="1"/>
        <v>#N/A</v>
      </c>
      <c r="J54" s="156" t="e">
        <f ca="1"/>
        <v>#N/A</v>
      </c>
      <c r="K54" s="169" t="e">
        <f ca="1"/>
        <v>#N/A</v>
      </c>
      <c r="L54" s="170" t="e">
        <f ca="1"/>
        <v>#N/A</v>
      </c>
      <c r="M54" s="171" t="e">
        <f ca="1"/>
        <v>#N/A</v>
      </c>
      <c r="N54" s="120" t="e">
        <f ca="1"/>
        <v>#N/A</v>
      </c>
      <c r="O54" s="171" t="e">
        <f ca="1"/>
        <v>#N/A</v>
      </c>
      <c r="P54" s="170" t="e">
        <f ca="1"/>
        <v>#N/A</v>
      </c>
      <c r="Q54" s="195" t="e">
        <f ca="1"/>
        <v>#N/A</v>
      </c>
      <c r="R54" t="s">
        <v>4</v>
      </c>
    </row>
    <row r="55" spans="2:18" x14ac:dyDescent="0.25">
      <c r="B55" s="144" t="s">
        <v>223</v>
      </c>
      <c r="C55" s="141"/>
      <c r="D55" t="s">
        <v>4</v>
      </c>
      <c r="F55" s="168" t="e">
        <f ca="1"/>
        <v>#N/A</v>
      </c>
      <c r="G55" s="169" t="e">
        <f ca="1"/>
        <v>#N/A</v>
      </c>
      <c r="H55" s="169" t="e">
        <f ca="1"/>
        <v>#N/A</v>
      </c>
      <c r="I55" s="119" t="e">
        <f ca="1"/>
        <v>#N/A</v>
      </c>
      <c r="J55" s="156" t="e">
        <f ca="1"/>
        <v>#N/A</v>
      </c>
      <c r="K55" s="169" t="e">
        <f ca="1"/>
        <v>#N/A</v>
      </c>
      <c r="L55" s="170" t="e">
        <f ca="1"/>
        <v>#N/A</v>
      </c>
      <c r="M55" s="171" t="e">
        <f ca="1"/>
        <v>#N/A</v>
      </c>
      <c r="N55" s="120" t="e">
        <f ca="1"/>
        <v>#N/A</v>
      </c>
      <c r="O55" s="171" t="e">
        <f ca="1"/>
        <v>#N/A</v>
      </c>
      <c r="P55" s="170" t="e">
        <f ca="1"/>
        <v>#N/A</v>
      </c>
      <c r="Q55" s="195" t="e">
        <f ca="1"/>
        <v>#N/A</v>
      </c>
      <c r="R55" t="s">
        <v>4</v>
      </c>
    </row>
    <row r="56" spans="2:18" x14ac:dyDescent="0.25">
      <c r="B56" s="144" t="s">
        <v>224</v>
      </c>
      <c r="C56" s="140" t="s">
        <v>195</v>
      </c>
      <c r="D56" t="s">
        <v>4</v>
      </c>
      <c r="F56" s="168" t="e">
        <f ca="1"/>
        <v>#N/A</v>
      </c>
      <c r="G56" s="169" t="e">
        <f ca="1"/>
        <v>#N/A</v>
      </c>
      <c r="H56" s="169" t="e">
        <f ca="1"/>
        <v>#N/A</v>
      </c>
      <c r="I56" s="119" t="e">
        <f ca="1"/>
        <v>#N/A</v>
      </c>
      <c r="J56" s="156" t="e">
        <f ca="1"/>
        <v>#N/A</v>
      </c>
      <c r="K56" s="169" t="e">
        <f ca="1"/>
        <v>#N/A</v>
      </c>
      <c r="L56" s="170" t="e">
        <f ca="1"/>
        <v>#N/A</v>
      </c>
      <c r="M56" s="171" t="e">
        <f ca="1"/>
        <v>#N/A</v>
      </c>
      <c r="N56" s="120" t="e">
        <f ca="1"/>
        <v>#N/A</v>
      </c>
      <c r="O56" s="171" t="e">
        <f ca="1"/>
        <v>#N/A</v>
      </c>
      <c r="P56" s="170" t="e">
        <f ca="1"/>
        <v>#N/A</v>
      </c>
      <c r="Q56" s="195" t="e">
        <f ca="1"/>
        <v>#N/A</v>
      </c>
      <c r="R56" t="s">
        <v>4</v>
      </c>
    </row>
    <row r="57" spans="2:18" x14ac:dyDescent="0.25">
      <c r="B57" s="146" t="s">
        <v>225</v>
      </c>
      <c r="C57" s="148" t="s">
        <v>196</v>
      </c>
      <c r="D57" t="s">
        <v>4</v>
      </c>
      <c r="F57" s="174" t="e">
        <f ca="1"/>
        <v>#N/A</v>
      </c>
      <c r="G57" s="175" t="e">
        <f ca="1"/>
        <v>#N/A</v>
      </c>
      <c r="H57" s="175" t="e">
        <f ca="1"/>
        <v>#N/A</v>
      </c>
      <c r="I57" s="176" t="e">
        <f ca="1"/>
        <v>#N/A</v>
      </c>
      <c r="J57" s="157" t="e">
        <f ca="1"/>
        <v>#N/A</v>
      </c>
      <c r="K57" s="175" t="e">
        <f ca="1"/>
        <v>#N/A</v>
      </c>
      <c r="L57" s="177" t="e">
        <f ca="1"/>
        <v>#N/A</v>
      </c>
      <c r="M57" s="179" t="e">
        <f ca="1"/>
        <v>#N/A</v>
      </c>
      <c r="N57" s="178" t="e">
        <f ca="1"/>
        <v>#N/A</v>
      </c>
      <c r="O57" s="179" t="e">
        <f ca="1"/>
        <v>#N/A</v>
      </c>
      <c r="P57" s="177" t="e">
        <f ca="1"/>
        <v>#N/A</v>
      </c>
      <c r="Q57" s="196" t="e">
        <f ca="1"/>
        <v>#N/A</v>
      </c>
      <c r="R57" t="s">
        <v>4</v>
      </c>
    </row>
  </sheetData>
  <conditionalFormatting sqref="F8:Q28">
    <cfRule type="expression" dxfId="1" priority="2">
      <formula>ISNA(F8)</formula>
    </cfRule>
  </conditionalFormatting>
  <conditionalFormatting sqref="F32:Q57">
    <cfRule type="expression" dxfId="0" priority="1">
      <formula>ISNA(F32)</formula>
    </cfRule>
  </conditionalFormatting>
  <dataValidations disablePrompts="1" count="7">
    <dataValidation type="list" allowBlank="1" showInputMessage="1" showErrorMessage="1" sqref="C44 C46 C48 C20 C22">
      <formula1>"MOD_FOLLOWING,FOLLOWING,MOD_PRECEDING,PRECEDING,NO_CHANGE"</formula1>
    </dataValidation>
    <dataValidation type="list" allowBlank="1" showInputMessage="1" showErrorMessage="1" sqref="C41 C17">
      <formula1>"Annual,Semi-Annual,Quarterly,Monthly"</formula1>
    </dataValidation>
    <dataValidation type="list" allowBlank="1" showInputMessage="1" showErrorMessage="1" sqref="C43 C19">
      <formula1>"30/360,ACT/360,ACT/365"</formula1>
    </dataValidation>
    <dataValidation type="list" allowBlank="1" showInputMessage="1" showErrorMessage="1" sqref="C57 C28">
      <formula1>"None,ShortStart,ShortEnd,LongStart,LongEnd"</formula1>
    </dataValidation>
    <dataValidation type="list" allowBlank="1" showInputMessage="1" showErrorMessage="1" sqref="C45 C47 C49 C23 C21">
      <formula1>"TGT,NYB:LNB,LNB,TKB:LNB"</formula1>
    </dataValidation>
    <dataValidation type="list" allowBlank="1" showInputMessage="1" showErrorMessage="1" sqref="C11 C35">
      <formula1>"PAYER,RECEIVER"</formula1>
    </dataValidation>
    <dataValidation type="list" allowBlank="1" showInputMessage="1" showErrorMessage="1" sqref="C15 C39">
      <formula1>"EUR6ML,EUR3ML"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EUR OIS</vt:lpstr>
      <vt:lpstr>EUR SWAP 6ML</vt:lpstr>
      <vt:lpstr>EUR BASIS 3ML</vt:lpstr>
      <vt:lpstr>Swap Legs</vt:lpstr>
      <vt:lpstr>COB</vt:lpstr>
      <vt:lpstr>Curve.BuildProperties</vt:lpstr>
      <vt:lpstr>Curve.CollectionName</vt:lpstr>
      <vt:lpstr>Curve.MarketDataTable</vt:lpstr>
      <vt:lpstr>Curve.OISIndexName</vt:lpstr>
      <vt:lpstr>FixedLeg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SwapDescription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2016-10-10T14:20:54Z</dcterms:modified>
</cp:coreProperties>
</file>