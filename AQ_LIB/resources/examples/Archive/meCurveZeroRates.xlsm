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150" windowWidth="16410" windowHeight="6015" tabRatio="703" activeTab="2"/>
  </bookViews>
  <sheets>
    <sheet name="EUR OIS" sheetId="2" r:id="rId1"/>
    <sheet name="EUR SWAP 6ML" sheetId="3" r:id="rId2"/>
    <sheet name="meCurveZeroRate" sheetId="23" r:id="rId3"/>
  </sheets>
  <definedNames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sEUR6MLLoaded">'EUR SWAP 6ML'!$D$9</definedName>
    <definedName name="isEUROISLoaded">'EUR OIS'!$D$8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7" i="2" l="1"/>
  <c r="D8" i="2" l="1"/>
  <c r="D8" i="3"/>
  <c r="D9" i="3" l="1"/>
  <c r="D13" i="23" a="1"/>
  <c r="G13" i="23" a="1"/>
  <c r="G13" i="23" l="1"/>
  <c r="G21" i="23"/>
  <c r="G14" i="23"/>
  <c r="G22" i="23"/>
  <c r="G15" i="23"/>
  <c r="G16" i="23"/>
  <c r="G17" i="23"/>
  <c r="G18" i="23"/>
  <c r="G19" i="23"/>
  <c r="G20" i="23"/>
  <c r="D18" i="23"/>
  <c r="D19" i="23"/>
  <c r="D20" i="23"/>
  <c r="D13" i="23"/>
  <c r="D21" i="23"/>
  <c r="D14" i="23"/>
  <c r="D22" i="23"/>
  <c r="D15" i="23"/>
  <c r="D16" i="23"/>
  <c r="D17" i="23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<sst xmlns="http://schemas.openxmlformats.org/spreadsheetml/2006/main" count="379" uniqueCount="163">
  <si>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</si>
  <si>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</si>
  <si>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</si>
  <si>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</si>
  <si>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</si>
  <si>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</si>
  <si>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</si>
  <si>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</si>
  <si>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</si>
  <si>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</si>
  <si>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</si>
  <si>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</si>
  <si>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</si>
  <si>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</si>
  <si>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</si>
  <si>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</si>
  <si>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</si>
  <si>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</si>
  <si>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</si>
  <si>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</si>
  <si>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</si>
  <si>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</si>
  <si>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</si>
  <si>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</si>
  <si>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</si>
  <si>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</si>
  <si>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</si>
  <si>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</si>
  <si>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</si>
  <si>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</si>
  <si>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</si>
  <si>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</si>
  <si>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</si>
  <si>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</si>
  <si>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</si>
  <si>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</si>
  <si>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</si>
  <si>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</si>
  <si>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</si>
  <si>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</si>
  <si>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</si>
  <si>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</si>
  <si>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</si>
  <si>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</si>
  <si>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</si>
  <si>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</si>
  <si>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</si>
  <si>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</si>
  <si>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</si>
  <si>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</si>
  <si>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</si>
  <si>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</si>
  <si>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</si>
  <si>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</si>
  <si>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</si>
  <si>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</si>
  <si>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</si>
  <si>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</si>
  <si>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</si>
  <si>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</si>
  <si>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</si>
  <si>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</si>
  <si>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</si>
  <si>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</si>
  <si>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</si>
  <si>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</si>
  <si>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</si>
  <si>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</si>
  <si>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</si>
  <si>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</si>
  <si>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</si>
  <si>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</si>
  <si>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</si>
  <si>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</si>
  <si>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</si>
  <si>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</si>
  <si>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</si>
  <si>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</si>
  <si>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</si>
  <si>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</si>
  <si>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</si>
  <si>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</si>
  <si>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</si>
  <si>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</si>
  <si>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</si>
  <si>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</si>
  <si>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</si>
  <si>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</si>
  <si>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</si>
  <si>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</si>
  <si>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</si>
  <si>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</si>
  <si>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</si>
  <si>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</si>
  <si>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</si>
  <si>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</si>
  <si>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</si>
  <si>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</si>
  <si>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</si>
  <si>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</si>
  <si>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</si>
  <si>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</si>
  <si>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</si>
  <si>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</si>
  <si>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</si>
  <si>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</si>
  <si>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</si>
  <si>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</si>
  <si>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</si>
  <si>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</si>
  <si>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</si>
  <si>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</si>
  <si>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</si>
  <si>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</si>
  <si>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</si>
  <si>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</si>
  <si>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</si>
  <si>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</si>
  <si>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</si>
  <si>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</si>
  <si>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</si>
  <si>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</si>
  <si>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</si>
  <si>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</si>
  <si>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</si>
  <si>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</si>
  <si>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</si>
  <si>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</si>
  <si>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</si>
  <si>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</si>
  <si>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</si>
  <si>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</si>
  <si>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</si>
  <si>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</si>
  <si>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</si>
  <si>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</si>
  <si>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</si>
  <si>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</si>
  <si>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</si>
  <si>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</si>
  <si>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OIS:EUROIS:EURDF:EURDF_NOCSA</t>
  </si>
  <si>
    <t>Curve Loaded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</si>
  <si>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</si>
  <si>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meCurveCalibrateOIS</t>
  </si>
  <si>
    <t>meCurveCalibrateSwap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</si>
  <si>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</si>
  <si>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IndexName</t>
  </si>
  <si>
    <t>Act/360</t>
  </si>
  <si>
    <t>BusinessDayAdjustment</t>
  </si>
  <si>
    <t>meCurveZeroRateFromYearFraction</t>
  </si>
  <si>
    <t>Tenor</t>
  </si>
  <si>
    <t>meCurveZeroRateFromTenor</t>
  </si>
  <si>
    <t>1Y</t>
  </si>
  <si>
    <t>1Y6M</t>
  </si>
  <si>
    <t>2Y6M</t>
  </si>
  <si>
    <t>3Y6M</t>
  </si>
  <si>
    <t>4Y6M</t>
  </si>
  <si>
    <t>Zero Rates</t>
  </si>
  <si>
    <t>isEomRoll</t>
  </si>
  <si>
    <t>EomDay</t>
  </si>
  <si>
    <t>Libor Fixing Table</t>
  </si>
  <si>
    <t>Money Market O/N and T/N Conventions</t>
  </si>
  <si>
    <t>YearFraction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</si>
</sst>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0.000%"/>
    <numFmt numFmtId="165" formatCode="0.00000%"/>
    <numFmt numFmtId="166" formatCode="#,##0.0000"/>
  </numFmts>
  <fonts count="25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1"/>
      <name val="Calibri"/>
      <family val="2"/>
      <charset val="128"/>
      <scheme val="minor"/>
    </font>
    <font>
      <sz val="10"/>
      <name val="Geneva"/>
      <family val="2"/>
    </font>
    <font>
      <b/>
      <sz val="10"/>
      <color rgb="FF000000"/>
      <name val="Arial"/>
      <family val="2"/>
    </font>
    <font>
      <sz val="11"/>
      <color theme="0" tint="-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14996795556505021"/>
      </right>
      <top/>
      <bottom/>
      <diagonal/>
    </border>
  </borders>
  <cellStyleXfs count="7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  <xf numFmtId="0" fontId="21" fillId="0" borderId="0">
      <alignment vertical="center"/>
    </xf>
    <xf numFmtId="38" fontId="21" fillId="0" borderId="0" applyFont="0" applyFill="0" applyBorder="0" applyAlignment="0" applyProtection="0">
      <alignment vertical="center"/>
    </xf>
    <xf numFmtId="0" fontId="22" fillId="0" borderId="0"/>
    <xf numFmtId="9" fontId="21" fillId="0" borderId="0" applyFont="0" applyFill="0" applyBorder="0" applyAlignment="0" applyProtection="0">
      <alignment vertical="center"/>
    </xf>
  </cellStyleXfs>
  <cellXfs count="130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0" borderId="0" xfId="0"/>
    <xf numFmtId="0" fontId="5" fillId="2" borderId="0" xfId="0" applyFont="1" applyFill="1" applyBorder="1"/>
    <xf numFmtId="4" fontId="23" fillId="0" borderId="0" xfId="0" applyNumberFormat="1" applyFont="1"/>
    <xf numFmtId="165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0" fontId="24" fillId="0" borderId="0" xfId="0" applyFont="1"/>
    <xf numFmtId="165" fontId="9" fillId="0" borderId="16" xfId="0" applyNumberFormat="1" applyFont="1" applyFill="1" applyBorder="1" applyAlignment="1">
      <alignment horizontal="center" vertical="center"/>
    </xf>
    <xf numFmtId="165" fontId="0" fillId="0" borderId="0" xfId="0" applyNumberFormat="1"/>
    <xf numFmtId="2" fontId="9" fillId="0" borderId="5" xfId="0" applyNumberFormat="1" applyFont="1" applyFill="1" applyBorder="1" applyAlignment="1">
      <alignment horizontal="center" vertical="center"/>
    </xf>
    <xf numFmtId="2" fontId="9" fillId="0" borderId="9" xfId="0" applyNumberFormat="1" applyFont="1" applyFill="1" applyBorder="1" applyAlignment="1">
      <alignment horizontal="center" vertical="center"/>
    </xf>
    <xf numFmtId="2" fontId="9" fillId="0" borderId="14" xfId="0" applyNumberFormat="1" applyFont="1" applyFill="1" applyBorder="1" applyAlignment="1">
      <alignment horizontal="center" vertical="center"/>
    </xf>
    <xf numFmtId="0" fontId="0" fillId="0" borderId="1" xfId="0" applyFill="1" applyBorder="1"/>
    <xf numFmtId="0" fontId="9" fillId="0" borderId="1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11" xfId="0" applyFill="1" applyBorder="1"/>
    <xf numFmtId="0" fontId="4" fillId="2" borderId="0" xfId="0" applyFont="1" applyFill="1" applyBorder="1" applyAlignment="1">
      <alignment horizontal="center" vertical="center"/>
    </xf>
  </cellXfs>
  <cellStyles count="7">
    <cellStyle name="Comma [0]" xfId="2" builtinId="6"/>
    <cellStyle name="Comma [0] 2" xfId="4"/>
    <cellStyle name="Normal" xfId="0" builtinId="0"/>
    <cellStyle name="Normal 2" xfId="3"/>
    <cellStyle name="Percent 2" xfId="6"/>
    <cellStyle name="標準_DegitalOption_test" xfId="5"/>
    <cellStyle name="標準_Input_OutPut20060417" xfId="1"/>
  </cellStyles>
  <dxfs count="0"/>
  <tableStyles count="0" defaultTableStyle="TableStyleMedium2" defaultPivotStyle="PivotStyleLight16"/>
  <colors>
    <mruColors>
      <color rgb="FF0000FF"/>
      <color rgb="FF00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B2:N90"/>
  <sheetViews>
    <sheetView showGridLines="0" workbookViewId="0"/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142</v>
      </c>
    </row>
    <row r="3" spans="2:14">
      <c r="B3" s="65"/>
    </row>
    <row r="4" spans="2:14">
      <c r="B4" s="65"/>
    </row>
    <row r="5" spans="2:14">
      <c r="B5" s="65" t="s">
        <v>143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143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12" t="s">
        <v>141</v>
      </c>
      <c r="D8" s="113" t="b">
        <f ca="1">LEFT(D7,9)="EURYC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86</v>
      </c>
      <c r="D11" s="107" t="s">
        <v>78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85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87</v>
      </c>
      <c r="D13" s="110" t="s">
        <v>140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68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68</v>
      </c>
      <c r="D19" s="47"/>
      <c r="E19" s="7"/>
      <c r="F19" s="50" t="s">
        <v>79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80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17</v>
      </c>
      <c r="E21" s="7"/>
      <c r="F21" s="17" t="s">
        <v>81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82</v>
      </c>
      <c r="E22" s="7"/>
      <c r="F22" s="17" t="s">
        <v>82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83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84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77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70</v>
      </c>
      <c r="G30" s="10"/>
      <c r="H30" s="10"/>
      <c r="I30" s="10"/>
      <c r="J30" s="10"/>
      <c r="K30" s="10"/>
      <c r="L30" s="49" t="s">
        <v>72</v>
      </c>
      <c r="M30" s="10"/>
      <c r="N30" s="55"/>
    </row>
    <row r="31" spans="2:14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73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44</v>
      </c>
      <c r="G32" s="19">
        <v>-2.4299999999999999E-3</v>
      </c>
      <c r="H32" s="20" t="s">
        <v>35</v>
      </c>
      <c r="I32" s="20" t="s">
        <v>35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46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15</v>
      </c>
      <c r="D34" s="35" t="s">
        <v>30</v>
      </c>
      <c r="E34" s="9"/>
      <c r="F34" s="24" t="s">
        <v>47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23</v>
      </c>
      <c r="D35" s="35" t="s">
        <v>22</v>
      </c>
      <c r="E35" s="9"/>
      <c r="F35" s="24" t="s">
        <v>49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158</v>
      </c>
      <c r="D36" s="35" t="b">
        <v>1</v>
      </c>
      <c r="E36" s="9"/>
      <c r="F36" s="24" t="s">
        <v>51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159</v>
      </c>
      <c r="D37" s="36">
        <v>31</v>
      </c>
      <c r="E37" s="9"/>
      <c r="F37" s="24" t="s">
        <v>53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31</v>
      </c>
      <c r="D38" s="35" t="s">
        <v>32</v>
      </c>
      <c r="E38" s="9"/>
      <c r="F38" s="24" t="s">
        <v>55</v>
      </c>
      <c r="G38" s="19">
        <v>-3.6900000000000001E-3</v>
      </c>
      <c r="H38" s="20" t="s">
        <v>35</v>
      </c>
      <c r="I38" s="20" t="s">
        <v>35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33</v>
      </c>
      <c r="D39" s="35" t="s">
        <v>34</v>
      </c>
      <c r="E39" s="9"/>
      <c r="F39" s="24" t="s">
        <v>57</v>
      </c>
      <c r="G39" s="19">
        <v>-3.79E-3</v>
      </c>
      <c r="H39" s="20" t="s">
        <v>35</v>
      </c>
      <c r="I39" s="20" t="s">
        <v>35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36</v>
      </c>
      <c r="D40" s="35" t="s">
        <v>37</v>
      </c>
      <c r="E40" s="9"/>
      <c r="F40" s="24" t="s">
        <v>45</v>
      </c>
      <c r="G40" s="19">
        <v>-3.7699999999999999E-3</v>
      </c>
      <c r="H40" s="20" t="s">
        <v>35</v>
      </c>
      <c r="I40" s="20" t="s">
        <v>35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38</v>
      </c>
      <c r="D41" s="35" t="s">
        <v>39</v>
      </c>
      <c r="E41" s="9"/>
      <c r="F41" s="24" t="s">
        <v>41</v>
      </c>
      <c r="G41" s="19">
        <v>-3.4000000000000002E-3</v>
      </c>
      <c r="H41" s="20" t="s">
        <v>35</v>
      </c>
      <c r="I41" s="20" t="s">
        <v>35</v>
      </c>
      <c r="J41" s="41" t="b">
        <v>1</v>
      </c>
      <c r="K41" s="10"/>
      <c r="L41" s="53"/>
      <c r="M41" s="51"/>
      <c r="N41" s="55"/>
    </row>
    <row r="42" spans="2:14">
      <c r="B42" s="5"/>
      <c r="C42" s="28" t="s">
        <v>40</v>
      </c>
      <c r="D42" s="35" t="s">
        <v>41</v>
      </c>
      <c r="E42" s="9"/>
      <c r="F42" s="24" t="s">
        <v>48</v>
      </c>
      <c r="G42" s="19">
        <v>-2.6900000000000001E-3</v>
      </c>
      <c r="H42" s="20" t="s">
        <v>35</v>
      </c>
      <c r="I42" s="20" t="s">
        <v>35</v>
      </c>
      <c r="J42" s="41" t="b">
        <v>1</v>
      </c>
      <c r="K42" s="10"/>
      <c r="L42" s="53"/>
      <c r="M42" s="51"/>
      <c r="N42" s="55"/>
    </row>
    <row r="43" spans="2:14">
      <c r="B43" s="5"/>
      <c r="C43" s="29" t="s">
        <v>42</v>
      </c>
      <c r="D43" s="35" t="s">
        <v>43</v>
      </c>
      <c r="E43" s="9"/>
      <c r="F43" s="24" t="s">
        <v>50</v>
      </c>
      <c r="G43" s="19">
        <v>-1.7499999999999998E-3</v>
      </c>
      <c r="H43" s="20" t="s">
        <v>35</v>
      </c>
      <c r="I43" s="20" t="s">
        <v>35</v>
      </c>
      <c r="J43" s="41" t="b">
        <v>1</v>
      </c>
      <c r="K43" s="10"/>
      <c r="L43" s="53"/>
      <c r="M43" s="51"/>
      <c r="N43" s="55"/>
    </row>
    <row r="44" spans="2:14">
      <c r="B44" s="5"/>
      <c r="C44" s="28" t="s">
        <v>132</v>
      </c>
      <c r="D44" s="38">
        <v>1E-10</v>
      </c>
      <c r="E44" s="9"/>
      <c r="F44" s="24" t="s">
        <v>52</v>
      </c>
      <c r="G44" s="19">
        <v>-6.4000000000000005E-4</v>
      </c>
      <c r="H44" s="20" t="s">
        <v>35</v>
      </c>
      <c r="I44" s="20" t="s">
        <v>35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133</v>
      </c>
      <c r="D45" s="106">
        <v>1000</v>
      </c>
      <c r="E45" s="9"/>
      <c r="F45" s="24" t="s">
        <v>54</v>
      </c>
      <c r="G45" s="19">
        <v>5.6999999999999998E-4</v>
      </c>
      <c r="H45" s="20" t="s">
        <v>35</v>
      </c>
      <c r="I45" s="20" t="s">
        <v>35</v>
      </c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56</v>
      </c>
      <c r="G46" s="19">
        <v>1.83E-3</v>
      </c>
      <c r="H46" s="20" t="s">
        <v>35</v>
      </c>
      <c r="I46" s="20" t="s">
        <v>35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58</v>
      </c>
      <c r="G47" s="19">
        <v>3.0599999999999998E-3</v>
      </c>
      <c r="H47" s="20" t="s">
        <v>35</v>
      </c>
      <c r="I47" s="20" t="s">
        <v>35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59</v>
      </c>
      <c r="G48" s="19">
        <v>4.1900000000000001E-3</v>
      </c>
      <c r="H48" s="20" t="s">
        <v>35</v>
      </c>
      <c r="I48" s="20" t="s">
        <v>35</v>
      </c>
      <c r="J48" s="41" t="b">
        <v>1</v>
      </c>
      <c r="K48" s="10"/>
      <c r="L48" s="53"/>
      <c r="M48" s="51"/>
      <c r="N48" s="55"/>
    </row>
    <row r="49" spans="2:14">
      <c r="B49" s="5"/>
      <c r="C49" s="32"/>
      <c r="D49" s="39"/>
      <c r="E49" s="9"/>
      <c r="F49" s="24" t="s">
        <v>60</v>
      </c>
      <c r="G49" s="19">
        <v>5.2100000000000002E-3</v>
      </c>
      <c r="H49" s="20" t="s">
        <v>35</v>
      </c>
      <c r="I49" s="20" t="s">
        <v>35</v>
      </c>
      <c r="J49" s="41" t="b">
        <v>1</v>
      </c>
      <c r="K49" s="10"/>
      <c r="L49" s="53"/>
      <c r="M49" s="51"/>
      <c r="N49" s="55"/>
    </row>
    <row r="50" spans="2:14">
      <c r="B50" s="5"/>
      <c r="C50" s="32"/>
      <c r="D50" s="39"/>
      <c r="E50" s="9"/>
      <c r="F50" s="24" t="s">
        <v>61</v>
      </c>
      <c r="G50" s="19">
        <v>6.0899999999999999E-3</v>
      </c>
      <c r="H50" s="20" t="s">
        <v>35</v>
      </c>
      <c r="I50" s="20" t="s">
        <v>35</v>
      </c>
      <c r="J50" s="41" t="b">
        <v>1</v>
      </c>
      <c r="K50" s="10"/>
      <c r="L50" s="53"/>
      <c r="M50" s="51"/>
      <c r="N50" s="55"/>
    </row>
    <row r="51" spans="2:14">
      <c r="B51" s="5"/>
      <c r="C51" s="32"/>
      <c r="D51" s="39"/>
      <c r="E51" s="9"/>
      <c r="F51" s="24" t="s">
        <v>62</v>
      </c>
      <c r="G51" s="19">
        <v>8.1000000000000013E-3</v>
      </c>
      <c r="H51" s="20" t="s">
        <v>35</v>
      </c>
      <c r="I51" s="20" t="s">
        <v>35</v>
      </c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63</v>
      </c>
      <c r="G52" s="19">
        <v>9.75E-3</v>
      </c>
      <c r="H52" s="20" t="s">
        <v>35</v>
      </c>
      <c r="I52" s="20" t="s">
        <v>35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64</v>
      </c>
      <c r="G53" s="19">
        <v>1.0329999999999999E-2</v>
      </c>
      <c r="H53" s="20" t="s">
        <v>35</v>
      </c>
      <c r="I53" s="20" t="s">
        <v>35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65</v>
      </c>
      <c r="G54" s="19">
        <v>1.0529999999999999E-2</v>
      </c>
      <c r="H54" s="20" t="s">
        <v>35</v>
      </c>
      <c r="I54" s="20" t="s">
        <v>35</v>
      </c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66</v>
      </c>
      <c r="G55" s="19">
        <v>1.061E-2</v>
      </c>
      <c r="H55" s="20" t="s">
        <v>35</v>
      </c>
      <c r="I55" s="20" t="s">
        <v>35</v>
      </c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67</v>
      </c>
      <c r="G56" s="19">
        <v>1.01E-2</v>
      </c>
      <c r="H56" s="20" t="s">
        <v>35</v>
      </c>
      <c r="I56" s="20" t="s">
        <v>35</v>
      </c>
      <c r="J56" s="41" t="b">
        <v>1</v>
      </c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76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69</v>
      </c>
      <c r="D63" s="10"/>
      <c r="E63" s="10"/>
      <c r="F63" s="49" t="s">
        <v>71</v>
      </c>
      <c r="G63" s="10"/>
      <c r="H63" s="10"/>
      <c r="I63" s="49" t="s">
        <v>74</v>
      </c>
      <c r="J63" s="10"/>
      <c r="K63" s="10"/>
      <c r="L63" s="49" t="s">
        <v>75</v>
      </c>
      <c r="M63" s="10"/>
      <c r="N63" s="55"/>
    </row>
    <row r="64" spans="2:14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45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45</v>
      </c>
      <c r="M65" s="51">
        <v>-2.5400000000000002E-3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41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41</v>
      </c>
      <c r="M66" s="51">
        <v>-2.14E-3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48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48</v>
      </c>
      <c r="M67" s="51">
        <v>-1.4000000000000002E-3</v>
      </c>
      <c r="N67" s="55"/>
    </row>
    <row r="68" spans="2:14">
      <c r="B68" s="5"/>
      <c r="C68" s="28"/>
      <c r="D68" s="35"/>
      <c r="E68" s="9"/>
      <c r="F68" s="24" t="s">
        <v>50</v>
      </c>
      <c r="G68" s="51">
        <v>1.34E-3</v>
      </c>
      <c r="H68" s="10"/>
      <c r="I68" s="28"/>
      <c r="J68" s="35"/>
      <c r="K68" s="10"/>
      <c r="L68" s="24" t="s">
        <v>50</v>
      </c>
      <c r="M68" s="51">
        <v>-4.2000000000000002E-4</v>
      </c>
      <c r="N68" s="55"/>
    </row>
    <row r="69" spans="2:14">
      <c r="B69" s="5"/>
      <c r="C69" s="29"/>
      <c r="D69" s="35"/>
      <c r="E69" s="9"/>
      <c r="F69" s="24" t="s">
        <v>52</v>
      </c>
      <c r="G69" s="51">
        <v>1.33E-3</v>
      </c>
      <c r="H69" s="10"/>
      <c r="I69" s="29"/>
      <c r="J69" s="35"/>
      <c r="K69" s="10"/>
      <c r="L69" s="24" t="s">
        <v>52</v>
      </c>
      <c r="M69" s="51">
        <v>7.000000000000001E-4</v>
      </c>
      <c r="N69" s="55"/>
    </row>
    <row r="70" spans="2:14">
      <c r="B70" s="5"/>
      <c r="C70" s="30"/>
      <c r="D70" s="36"/>
      <c r="E70" s="9"/>
      <c r="F70" s="24" t="s">
        <v>54</v>
      </c>
      <c r="G70" s="51">
        <v>1.32E-3</v>
      </c>
      <c r="H70" s="10"/>
      <c r="I70" s="30"/>
      <c r="J70" s="36"/>
      <c r="K70" s="10"/>
      <c r="L70" s="24" t="s">
        <v>54</v>
      </c>
      <c r="M70" s="51">
        <v>1.92E-3</v>
      </c>
      <c r="N70" s="55"/>
    </row>
    <row r="71" spans="2:14">
      <c r="B71" s="5"/>
      <c r="C71" s="28"/>
      <c r="D71" s="35"/>
      <c r="E71" s="9"/>
      <c r="F71" s="24" t="s">
        <v>56</v>
      </c>
      <c r="G71" s="51">
        <v>1.31E-3</v>
      </c>
      <c r="H71" s="10"/>
      <c r="I71" s="28"/>
      <c r="J71" s="35"/>
      <c r="K71" s="10"/>
      <c r="L71" s="24" t="s">
        <v>56</v>
      </c>
      <c r="M71" s="51">
        <v>3.1900000000000001E-3</v>
      </c>
      <c r="N71" s="55"/>
    </row>
    <row r="72" spans="2:14">
      <c r="B72" s="5"/>
      <c r="C72" s="28"/>
      <c r="D72" s="35"/>
      <c r="E72" s="9"/>
      <c r="F72" s="24" t="s">
        <v>58</v>
      </c>
      <c r="G72" s="51">
        <v>1.2999999999999999E-3</v>
      </c>
      <c r="H72" s="10"/>
      <c r="I72" s="28"/>
      <c r="J72" s="35"/>
      <c r="K72" s="10"/>
      <c r="L72" s="24" t="s">
        <v>58</v>
      </c>
      <c r="M72" s="51">
        <v>4.4299999999999999E-3</v>
      </c>
      <c r="N72" s="55"/>
    </row>
    <row r="73" spans="2:14">
      <c r="B73" s="5"/>
      <c r="C73" s="28"/>
      <c r="D73" s="35"/>
      <c r="E73" s="9"/>
      <c r="F73" s="24" t="s">
        <v>59</v>
      </c>
      <c r="G73" s="51">
        <v>1.2800000000000001E-3</v>
      </c>
      <c r="H73" s="10"/>
      <c r="I73" s="28"/>
      <c r="J73" s="35"/>
      <c r="K73" s="10"/>
      <c r="L73" s="24" t="s">
        <v>59</v>
      </c>
      <c r="M73" s="51">
        <v>5.5500000000000002E-3</v>
      </c>
      <c r="N73" s="55"/>
    </row>
    <row r="74" spans="2:14">
      <c r="B74" s="5"/>
      <c r="C74" s="28"/>
      <c r="D74" s="35"/>
      <c r="E74" s="9"/>
      <c r="F74" s="24" t="s">
        <v>60</v>
      </c>
      <c r="G74" s="51">
        <v>1.2699999999999999E-3</v>
      </c>
      <c r="H74" s="10"/>
      <c r="I74" s="28"/>
      <c r="J74" s="35"/>
      <c r="K74" s="10"/>
      <c r="L74" s="24" t="s">
        <v>60</v>
      </c>
      <c r="M74" s="51">
        <v>6.5700000000000003E-3</v>
      </c>
      <c r="N74" s="55"/>
    </row>
    <row r="75" spans="2:14">
      <c r="B75" s="5"/>
      <c r="C75" s="28"/>
      <c r="D75" s="35"/>
      <c r="E75" s="9"/>
      <c r="F75" s="24" t="s">
        <v>61</v>
      </c>
      <c r="G75" s="51">
        <v>1.2600000000000001E-3</v>
      </c>
      <c r="H75" s="10"/>
      <c r="I75" s="28"/>
      <c r="J75" s="35"/>
      <c r="K75" s="10"/>
      <c r="L75" s="24" t="s">
        <v>61</v>
      </c>
      <c r="M75" s="51">
        <v>7.4599999999999996E-3</v>
      </c>
      <c r="N75" s="55"/>
    </row>
    <row r="76" spans="2:14">
      <c r="B76" s="5"/>
      <c r="C76" s="29"/>
      <c r="D76" s="35"/>
      <c r="E76" s="9"/>
      <c r="F76" s="24" t="s">
        <v>62</v>
      </c>
      <c r="G76" s="51">
        <v>1.1900000000000001E-3</v>
      </c>
      <c r="H76" s="10"/>
      <c r="I76" s="29"/>
      <c r="J76" s="35"/>
      <c r="K76" s="10"/>
      <c r="L76" s="24" t="s">
        <v>62</v>
      </c>
      <c r="M76" s="51">
        <v>9.4199999999999996E-3</v>
      </c>
      <c r="N76" s="55"/>
    </row>
    <row r="77" spans="2:14">
      <c r="B77" s="5"/>
      <c r="C77" s="31"/>
      <c r="D77" s="37"/>
      <c r="E77" s="9"/>
      <c r="F77" s="24" t="s">
        <v>63</v>
      </c>
      <c r="G77" s="51">
        <v>1.0400000000000001E-3</v>
      </c>
      <c r="H77" s="10"/>
      <c r="I77" s="31"/>
      <c r="J77" s="37"/>
      <c r="K77" s="10"/>
      <c r="L77" s="24" t="s">
        <v>63</v>
      </c>
      <c r="M77" s="51">
        <v>1.095E-2</v>
      </c>
      <c r="N77" s="55"/>
    </row>
    <row r="78" spans="2:14">
      <c r="B78" s="5"/>
      <c r="C78" s="31"/>
      <c r="D78" s="38"/>
      <c r="E78" s="9"/>
      <c r="F78" s="24" t="s">
        <v>64</v>
      </c>
      <c r="G78" s="51">
        <v>9.1999999999999992E-4</v>
      </c>
      <c r="H78" s="10"/>
      <c r="I78" s="31"/>
      <c r="J78" s="38"/>
      <c r="K78" s="10"/>
      <c r="L78" s="24" t="s">
        <v>64</v>
      </c>
      <c r="M78" s="51">
        <v>1.142E-2</v>
      </c>
      <c r="N78" s="55"/>
    </row>
    <row r="79" spans="2:14">
      <c r="B79" s="5"/>
      <c r="C79" s="31"/>
      <c r="D79" s="37"/>
      <c r="E79" s="9"/>
      <c r="F79" s="24" t="s">
        <v>65</v>
      </c>
      <c r="G79" s="51">
        <v>8.1999999999999998E-4</v>
      </c>
      <c r="H79" s="10"/>
      <c r="I79" s="31"/>
      <c r="J79" s="37"/>
      <c r="K79" s="10"/>
      <c r="L79" s="24" t="s">
        <v>65</v>
      </c>
      <c r="M79" s="51">
        <v>1.1519999999999999E-2</v>
      </c>
      <c r="N79" s="55"/>
    </row>
    <row r="80" spans="2:14">
      <c r="B80" s="5"/>
      <c r="C80" s="32"/>
      <c r="D80" s="35"/>
      <c r="E80" s="9"/>
      <c r="F80" s="24" t="s">
        <v>66</v>
      </c>
      <c r="G80" s="51">
        <v>6.6E-4</v>
      </c>
      <c r="H80" s="10"/>
      <c r="I80" s="32"/>
      <c r="J80" s="35"/>
      <c r="K80" s="10"/>
      <c r="L80" s="24" t="s">
        <v>66</v>
      </c>
      <c r="M80" s="51">
        <v>1.1439999999999999E-2</v>
      </c>
      <c r="N80" s="55"/>
    </row>
    <row r="81" spans="2:14">
      <c r="B81" s="5"/>
      <c r="C81" s="32"/>
      <c r="D81" s="39"/>
      <c r="E81" s="9"/>
      <c r="F81" s="24" t="s">
        <v>67</v>
      </c>
      <c r="G81" s="51">
        <v>5.6999999999999998E-4</v>
      </c>
      <c r="H81" s="10"/>
      <c r="I81" s="32"/>
      <c r="J81" s="39"/>
      <c r="K81" s="10"/>
      <c r="L81" s="24" t="s">
        <v>67</v>
      </c>
      <c r="M81" s="51">
        <v>1.0829999999999999E-2</v>
      </c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</sheetPr>
  <dimension ref="B2:L113"/>
  <sheetViews>
    <sheetView showGridLines="0" workbookViewId="0"/>
  </sheetViews>
  <sheetFormatPr defaultRowHeight="15"/>
  <cols>
    <col min="2" max="2" width="2.7109375" customWidth="1"/>
    <col min="3" max="3" width="3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>
      <c r="B2" s="56" t="s">
        <v>145</v>
      </c>
    </row>
    <row r="6" spans="2:12">
      <c r="B6" s="56" t="s">
        <v>144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144</v>
      </c>
      <c r="D8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,"Error Building Swap Curve")</f>
        <v>EURYC STD Curve has been set (0.01500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12" t="s">
        <v>141</v>
      </c>
      <c r="D9" s="113" t="b">
        <f ca="1">LEFT(D8,9)="EURYC 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86</v>
      </c>
      <c r="D13" s="107" t="s">
        <v>78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85</v>
      </c>
      <c r="D14" s="108" t="s">
        <v>88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87</v>
      </c>
      <c r="D15" s="110" t="s">
        <v>89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68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68</v>
      </c>
      <c r="D21" s="47"/>
      <c r="E21" s="7"/>
      <c r="F21" s="50" t="s">
        <v>79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80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17</v>
      </c>
      <c r="E23" s="7"/>
      <c r="F23" s="17" t="s">
        <v>81</v>
      </c>
      <c r="G23" s="18"/>
      <c r="H23" s="7"/>
      <c r="I23" s="7"/>
      <c r="J23" s="7"/>
      <c r="K23" s="7"/>
      <c r="L23" s="8"/>
    </row>
    <row r="24" spans="2:12">
      <c r="B24" s="5"/>
      <c r="C24" s="29" t="s">
        <v>90</v>
      </c>
      <c r="D24" s="109" t="s">
        <v>82</v>
      </c>
      <c r="E24" s="7"/>
      <c r="F24" s="17" t="s">
        <v>82</v>
      </c>
      <c r="G24" s="18"/>
      <c r="H24" s="7"/>
      <c r="I24" s="7"/>
      <c r="J24" s="7"/>
      <c r="K24" s="7"/>
      <c r="L24" s="8"/>
    </row>
    <row r="25" spans="2:12">
      <c r="B25" s="5"/>
      <c r="C25" s="29" t="s">
        <v>24</v>
      </c>
      <c r="D25" s="109" t="s">
        <v>82</v>
      </c>
      <c r="E25" s="7"/>
      <c r="F25" s="17" t="s">
        <v>83</v>
      </c>
      <c r="G25" s="18"/>
      <c r="H25" s="7"/>
      <c r="I25" s="7"/>
      <c r="J25" s="7"/>
      <c r="K25" s="7"/>
      <c r="L25" s="8"/>
    </row>
    <row r="26" spans="2:12">
      <c r="B26" s="5"/>
      <c r="C26" s="29" t="s">
        <v>92</v>
      </c>
      <c r="D26" s="108" t="b">
        <v>1</v>
      </c>
      <c r="E26" s="7"/>
      <c r="F26" s="17" t="s">
        <v>84</v>
      </c>
      <c r="G26" s="18"/>
      <c r="H26" s="7"/>
      <c r="I26" s="7"/>
      <c r="J26" s="7"/>
      <c r="K26" s="7"/>
      <c r="L26" s="8"/>
    </row>
    <row r="27" spans="2:12">
      <c r="B27" s="5"/>
      <c r="C27" s="29" t="s">
        <v>91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27</v>
      </c>
      <c r="D28" s="108" t="s">
        <v>127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93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94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161</v>
      </c>
      <c r="D37" s="10"/>
      <c r="E37" s="10"/>
      <c r="F37" s="49" t="s">
        <v>101</v>
      </c>
      <c r="G37" s="10"/>
      <c r="H37" s="10"/>
      <c r="I37" s="49" t="s">
        <v>160</v>
      </c>
      <c r="J37" s="10"/>
      <c r="K37" s="10"/>
      <c r="L37" s="55"/>
    </row>
    <row r="38" spans="2:12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95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138</v>
      </c>
      <c r="J39" s="75">
        <v>-2.8E-3</v>
      </c>
      <c r="K39" s="78"/>
      <c r="L39" s="55"/>
    </row>
    <row r="40" spans="2:12">
      <c r="B40" s="5"/>
      <c r="C40" s="28" t="s">
        <v>96</v>
      </c>
      <c r="D40" s="35" t="s">
        <v>97</v>
      </c>
      <c r="E40" s="9"/>
      <c r="F40" s="29" t="s">
        <v>27</v>
      </c>
      <c r="G40" s="35" t="s">
        <v>98</v>
      </c>
      <c r="H40" s="10"/>
      <c r="I40" s="72" t="s">
        <v>137</v>
      </c>
      <c r="J40" s="76">
        <v>-2.2000000000000001E-3</v>
      </c>
      <c r="K40" s="78"/>
      <c r="L40" s="55"/>
    </row>
    <row r="41" spans="2:12">
      <c r="B41" s="5"/>
      <c r="C41" s="28"/>
      <c r="D41" s="35"/>
      <c r="E41" s="9"/>
      <c r="F41" s="29" t="s">
        <v>99</v>
      </c>
      <c r="G41" s="69">
        <v>2</v>
      </c>
      <c r="H41" s="10"/>
      <c r="I41" s="72" t="s">
        <v>102</v>
      </c>
      <c r="J41" s="76">
        <v>-1.31E-3</v>
      </c>
      <c r="K41" s="78"/>
      <c r="L41" s="55"/>
    </row>
    <row r="42" spans="2:12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55</v>
      </c>
      <c r="J42" s="76">
        <v>-1E-4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139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103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104</v>
      </c>
      <c r="D50" s="10"/>
      <c r="E50" s="10"/>
      <c r="F50" s="49" t="s">
        <v>134</v>
      </c>
      <c r="G50" s="10"/>
      <c r="H50" s="10"/>
      <c r="I50" s="49" t="s">
        <v>135</v>
      </c>
      <c r="J50" s="10"/>
      <c r="K50" s="10"/>
      <c r="L50" s="55"/>
    </row>
    <row r="51" spans="2:12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 t="s">
        <v>95</v>
      </c>
      <c r="D52" s="35" t="s">
        <v>6</v>
      </c>
      <c r="E52" s="9"/>
      <c r="F52" s="71"/>
      <c r="G52" s="75"/>
      <c r="H52" s="10"/>
      <c r="I52" s="71" t="s">
        <v>108</v>
      </c>
      <c r="J52" s="75">
        <v>-1.2900000000000001E-3</v>
      </c>
      <c r="K52" s="78"/>
      <c r="L52" s="55"/>
    </row>
    <row r="53" spans="2:12">
      <c r="B53" s="5"/>
      <c r="C53" s="28" t="s">
        <v>105</v>
      </c>
      <c r="D53" s="35">
        <v>2</v>
      </c>
      <c r="E53" s="9"/>
      <c r="F53" s="72"/>
      <c r="G53" s="76"/>
      <c r="H53" s="10"/>
      <c r="I53" s="72" t="s">
        <v>109</v>
      </c>
      <c r="J53" s="76">
        <v>-1.2900000000000001E-3</v>
      </c>
      <c r="K53" s="78"/>
      <c r="L53" s="55"/>
    </row>
    <row r="54" spans="2:12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110</v>
      </c>
      <c r="J54" s="76">
        <v>-1.33E-3</v>
      </c>
      <c r="K54" s="78"/>
      <c r="L54" s="55"/>
    </row>
    <row r="55" spans="2:12">
      <c r="B55" s="5"/>
      <c r="C55" s="28" t="s">
        <v>100</v>
      </c>
      <c r="D55" s="35" t="b">
        <v>0</v>
      </c>
      <c r="E55" s="9"/>
      <c r="F55" s="72"/>
      <c r="G55" s="76"/>
      <c r="H55" s="10"/>
      <c r="I55" s="72" t="s">
        <v>111</v>
      </c>
      <c r="J55" s="76">
        <v>-1.3900000000000002E-3</v>
      </c>
      <c r="K55" s="78"/>
      <c r="L55" s="55"/>
    </row>
    <row r="56" spans="2:12">
      <c r="B56" s="5"/>
      <c r="C56" s="28" t="s">
        <v>106</v>
      </c>
      <c r="D56" s="35" t="b">
        <v>1</v>
      </c>
      <c r="E56" s="9"/>
      <c r="F56" s="72"/>
      <c r="G56" s="76"/>
      <c r="H56" s="10"/>
      <c r="I56" s="72" t="s">
        <v>112</v>
      </c>
      <c r="J56" s="76">
        <v>-1.4399999999999999E-3</v>
      </c>
      <c r="K56" s="78"/>
      <c r="L56" s="55"/>
    </row>
    <row r="57" spans="2:12">
      <c r="B57" s="5"/>
      <c r="C57" s="28" t="s">
        <v>107</v>
      </c>
      <c r="D57" s="35">
        <v>2</v>
      </c>
      <c r="E57" s="9"/>
      <c r="F57" s="72"/>
      <c r="G57" s="76"/>
      <c r="H57" s="10"/>
      <c r="I57" s="72" t="s">
        <v>113</v>
      </c>
      <c r="J57" s="76">
        <v>-1.4399999999999999E-3</v>
      </c>
      <c r="K57" s="78"/>
      <c r="L57" s="55"/>
    </row>
    <row r="58" spans="2:12">
      <c r="B58" s="5"/>
      <c r="C58" s="28"/>
      <c r="D58" s="35"/>
      <c r="E58" s="9"/>
      <c r="F58" s="72"/>
      <c r="G58" s="76"/>
      <c r="H58" s="10"/>
      <c r="I58" s="72" t="s">
        <v>114</v>
      </c>
      <c r="J58" s="76">
        <v>-1.4599999999999999E-3</v>
      </c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 t="s">
        <v>115</v>
      </c>
      <c r="J59" s="76">
        <v>-1.47E-3</v>
      </c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 t="s">
        <v>116</v>
      </c>
      <c r="J60" s="76">
        <v>-1.4599999999999999E-3</v>
      </c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 t="s">
        <v>117</v>
      </c>
      <c r="J61" s="76">
        <v>-1.4299999999999998E-3</v>
      </c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 t="s">
        <v>118</v>
      </c>
      <c r="J62" s="76">
        <v>-1.4099999999999998E-3</v>
      </c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119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120</v>
      </c>
      <c r="D71" s="10"/>
      <c r="E71" s="10"/>
      <c r="F71" s="49" t="s">
        <v>122</v>
      </c>
      <c r="G71" s="10"/>
      <c r="H71" s="10"/>
      <c r="I71" s="10"/>
      <c r="J71" s="10"/>
      <c r="K71" s="10"/>
      <c r="L71" s="55"/>
    </row>
    <row r="72" spans="2:12">
      <c r="B72" s="5"/>
      <c r="C72" s="27"/>
      <c r="D72" s="34"/>
      <c r="E72" s="7"/>
      <c r="F72" s="97" t="s">
        <v>136</v>
      </c>
      <c r="G72" s="97" t="s">
        <v>13</v>
      </c>
      <c r="H72" s="97" t="s">
        <v>14</v>
      </c>
      <c r="I72" s="97" t="s">
        <v>12</v>
      </c>
      <c r="J72" s="97" t="s">
        <v>121</v>
      </c>
      <c r="K72" s="10"/>
      <c r="L72" s="55"/>
    </row>
    <row r="73" spans="2:12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123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124</v>
      </c>
      <c r="D92" s="10"/>
      <c r="E92" s="10"/>
      <c r="F92" s="49" t="s">
        <v>125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95</v>
      </c>
      <c r="D94" s="35" t="s">
        <v>20</v>
      </c>
      <c r="E94" s="9"/>
      <c r="F94" s="101" t="s">
        <v>45</v>
      </c>
      <c r="G94" s="98">
        <v>-1.33E-3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126</v>
      </c>
      <c r="D95" s="35" t="s">
        <v>6</v>
      </c>
      <c r="E95" s="9"/>
      <c r="F95" s="24" t="s">
        <v>41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27</v>
      </c>
      <c r="D96" s="35" t="s">
        <v>26</v>
      </c>
      <c r="E96" s="9"/>
      <c r="F96" s="24" t="s">
        <v>48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128</v>
      </c>
      <c r="D97" s="35" t="s">
        <v>127</v>
      </c>
      <c r="E97" s="9"/>
      <c r="F97" s="24" t="s">
        <v>50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129</v>
      </c>
      <c r="D98" s="111" t="s">
        <v>82</v>
      </c>
      <c r="E98" s="9"/>
      <c r="F98" s="24" t="s">
        <v>52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100</v>
      </c>
      <c r="D99" s="35" t="b">
        <v>1</v>
      </c>
      <c r="E99" s="9"/>
      <c r="F99" s="24" t="s">
        <v>54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159</v>
      </c>
      <c r="D100" s="35">
        <v>31</v>
      </c>
      <c r="E100" s="9"/>
      <c r="F100" s="24" t="s">
        <v>56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99</v>
      </c>
      <c r="D101" s="35">
        <v>2</v>
      </c>
      <c r="E101" s="9"/>
      <c r="F101" s="24" t="s">
        <v>58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21</v>
      </c>
      <c r="D102" s="68" t="s">
        <v>22</v>
      </c>
      <c r="E102" s="9"/>
      <c r="F102" s="24" t="s">
        <v>59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130</v>
      </c>
      <c r="D103" s="35" t="b">
        <v>1</v>
      </c>
      <c r="E103" s="9"/>
      <c r="F103" s="24" t="s">
        <v>60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131</v>
      </c>
      <c r="D104" s="35" t="b">
        <v>1</v>
      </c>
      <c r="E104" s="9"/>
      <c r="F104" s="24" t="s">
        <v>61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>
      <c r="B105" s="5"/>
      <c r="C105" s="103" t="s">
        <v>132</v>
      </c>
      <c r="D105" s="38">
        <v>1.0000000000000001E-9</v>
      </c>
      <c r="E105" s="9"/>
      <c r="F105" s="24" t="s">
        <v>62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>
      <c r="B106" s="5"/>
      <c r="C106" s="103" t="s">
        <v>133</v>
      </c>
      <c r="D106" s="106">
        <v>1000</v>
      </c>
      <c r="E106" s="9"/>
      <c r="F106" s="24" t="s">
        <v>63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>
      <c r="B107" s="5"/>
      <c r="C107" s="103"/>
      <c r="D107" s="35"/>
      <c r="E107" s="9"/>
      <c r="F107" s="24" t="s">
        <v>64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>
      <c r="B108" s="5"/>
      <c r="C108" s="103"/>
      <c r="D108" s="35"/>
      <c r="E108" s="9"/>
      <c r="F108" s="24" t="s">
        <v>65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>
      <c r="B109" s="5"/>
      <c r="C109" s="103"/>
      <c r="D109" s="35"/>
      <c r="E109" s="9"/>
      <c r="F109" s="24" t="s">
        <v>66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 t="s">
        <v>67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K37"/>
  <sheetViews>
    <sheetView showGridLines="0" tabSelected="1" workbookViewId="0"/>
  </sheetViews>
  <sheetFormatPr defaultRowHeight="15"/>
  <cols>
    <col min="1" max="1" width="9.140625" style="119"/>
    <col min="2" max="2" width="2.7109375" style="114" customWidth="1"/>
    <col min="3" max="3" width="22.28515625" style="114" customWidth="1"/>
    <col min="4" max="4" width="46.85546875" style="114" customWidth="1"/>
    <col min="5" max="5" width="3" style="114" customWidth="1"/>
    <col min="6" max="6" width="20.7109375" style="114" customWidth="1"/>
    <col min="7" max="7" width="27.85546875" style="114" customWidth="1"/>
    <col min="8" max="8" width="2.7109375" style="114" customWidth="1"/>
    <col min="9" max="10" width="15.7109375" style="114" customWidth="1"/>
    <col min="11" max="11" width="10.140625" style="114" bestFit="1" customWidth="1"/>
    <col min="12" max="16384" width="9.140625" style="114"/>
  </cols>
  <sheetData>
    <row r="1" spans="1:11">
      <c r="A1" s="114"/>
      <c r="B1" s="56"/>
    </row>
    <row r="2" spans="1:11">
      <c r="A2" s="114"/>
      <c r="B2" s="2"/>
      <c r="C2" s="3"/>
      <c r="D2" s="3"/>
      <c r="E2" s="3"/>
      <c r="F2" s="3"/>
      <c r="G2" s="3"/>
      <c r="H2" s="4"/>
    </row>
    <row r="3" spans="1:11">
      <c r="A3" s="114"/>
      <c r="B3" s="5"/>
      <c r="C3" s="115"/>
      <c r="D3" s="7"/>
      <c r="E3" s="7"/>
      <c r="F3" s="7"/>
      <c r="G3" s="7"/>
      <c r="H3" s="8"/>
    </row>
    <row r="4" spans="1:11">
      <c r="A4" s="114"/>
      <c r="B4" s="5"/>
      <c r="C4" s="125" t="s">
        <v>86</v>
      </c>
      <c r="D4" s="126" t="s">
        <v>78</v>
      </c>
      <c r="E4" s="7"/>
      <c r="F4" s="7"/>
      <c r="G4" s="7"/>
      <c r="H4" s="8"/>
    </row>
    <row r="5" spans="1:11">
      <c r="A5" s="114"/>
      <c r="B5" s="5"/>
      <c r="C5" s="127" t="s">
        <v>146</v>
      </c>
      <c r="D5" s="108" t="s">
        <v>9</v>
      </c>
      <c r="E5" s="7"/>
      <c r="F5" s="7"/>
      <c r="G5" s="7"/>
      <c r="H5" s="8"/>
    </row>
    <row r="6" spans="1:11">
      <c r="A6" s="114"/>
      <c r="B6" s="5"/>
      <c r="C6" s="127" t="s">
        <v>27</v>
      </c>
      <c r="D6" s="108" t="s">
        <v>26</v>
      </c>
      <c r="E6" s="7"/>
      <c r="F6" s="7"/>
      <c r="G6" s="7"/>
      <c r="H6" s="8"/>
    </row>
    <row r="7" spans="1:11">
      <c r="A7" s="114"/>
      <c r="B7" s="5"/>
      <c r="C7" s="127" t="s">
        <v>18</v>
      </c>
      <c r="D7" s="108" t="s">
        <v>147</v>
      </c>
      <c r="E7" s="7"/>
      <c r="F7" s="7"/>
      <c r="G7" s="7"/>
      <c r="H7" s="8"/>
    </row>
    <row r="8" spans="1:11">
      <c r="A8" s="114"/>
      <c r="B8" s="5"/>
      <c r="C8" s="127" t="s">
        <v>1</v>
      </c>
      <c r="D8" s="108" t="s">
        <v>2</v>
      </c>
      <c r="E8" s="7"/>
      <c r="F8" s="7"/>
      <c r="G8" s="7"/>
      <c r="H8" s="8"/>
    </row>
    <row r="9" spans="1:11">
      <c r="A9" s="114"/>
      <c r="B9" s="5"/>
      <c r="C9" s="128" t="s">
        <v>148</v>
      </c>
      <c r="D9" s="110" t="s">
        <v>22</v>
      </c>
      <c r="E9" s="7"/>
      <c r="F9" s="7"/>
      <c r="G9" s="7"/>
      <c r="H9" s="8"/>
      <c r="K9" s="116"/>
    </row>
    <row r="10" spans="1:11">
      <c r="A10" s="114"/>
      <c r="B10" s="5"/>
      <c r="C10" s="7"/>
      <c r="D10" s="7"/>
      <c r="E10" s="117"/>
      <c r="F10" s="117"/>
      <c r="G10" s="117"/>
      <c r="H10" s="8"/>
    </row>
    <row r="11" spans="1:11">
      <c r="A11" s="114"/>
      <c r="B11" s="5"/>
      <c r="C11" s="115" t="s">
        <v>157</v>
      </c>
      <c r="D11" s="7"/>
      <c r="E11" s="117"/>
      <c r="F11" s="117"/>
      <c r="G11" s="117"/>
      <c r="H11" s="8"/>
    </row>
    <row r="12" spans="1:11">
      <c r="A12" s="114"/>
      <c r="B12" s="5"/>
      <c r="C12" s="118" t="s">
        <v>162</v>
      </c>
      <c r="D12" s="129" t="s">
        <v>149</v>
      </c>
      <c r="E12" s="117"/>
      <c r="F12" s="118" t="s">
        <v>150</v>
      </c>
      <c r="G12" s="129" t="s">
        <v>151</v>
      </c>
      <c r="H12" s="8"/>
    </row>
    <row r="13" spans="1:11">
      <c r="A13" s="119">
        <v>1</v>
      </c>
      <c r="B13" s="5"/>
      <c r="C13" s="122">
        <v>0.5</v>
      </c>
      <c r="D13" s="75">
        <f t="array" aca="1" ref="D13:D22" ca="1">IF(AND(NOW(),isEUR6MLLoaded),_xll.meCurveZeroRateFromYearFraction($C$13:$C$22,$D$4,$D$5,$D$6,$D$7),"Load EUR6ML Curve")</f>
        <v>-3.4332358542833452E-3</v>
      </c>
      <c r="E13" s="117"/>
      <c r="F13" s="122" t="s">
        <v>102</v>
      </c>
      <c r="G13" s="75">
        <f t="array" aca="1" ref="G13:G22" ca="1">IF(AND(isEUR6MLLoaded,NOW()),_xll.meCurveZeroRateFromTenor($F$13:$F$22,$D$4,$D$5,$D$6,$D$7,$D$8,$D$9),"Load EUR6ML Curve")</f>
        <v>-3.4346690998994234E-3</v>
      </c>
      <c r="H13" s="8" t="s">
        <v>4</v>
      </c>
    </row>
    <row r="14" spans="1:11">
      <c r="A14" s="119">
        <v>2</v>
      </c>
      <c r="B14" s="5"/>
      <c r="C14" s="123">
        <v>1</v>
      </c>
      <c r="D14" s="76">
        <f ca="1"/>
        <v>-3.6660071489015289E-3</v>
      </c>
      <c r="E14" s="117"/>
      <c r="F14" s="123" t="s">
        <v>152</v>
      </c>
      <c r="G14" s="76">
        <f ca="1"/>
        <v>-3.6753530405829737E-3</v>
      </c>
      <c r="H14" s="8" t="s">
        <v>4</v>
      </c>
      <c r="I14" s="121"/>
    </row>
    <row r="15" spans="1:11">
      <c r="A15" s="119">
        <v>3</v>
      </c>
      <c r="B15" s="5"/>
      <c r="C15" s="123">
        <v>1.5</v>
      </c>
      <c r="D15" s="76">
        <f ca="1"/>
        <v>-3.7785703462841491E-3</v>
      </c>
      <c r="E15" s="117"/>
      <c r="F15" s="123" t="s">
        <v>153</v>
      </c>
      <c r="G15" s="76">
        <f ca="1"/>
        <v>-3.7801912275645666E-3</v>
      </c>
      <c r="H15" s="8" t="s">
        <v>4</v>
      </c>
      <c r="I15" s="121"/>
    </row>
    <row r="16" spans="1:11">
      <c r="A16" s="119">
        <v>4</v>
      </c>
      <c r="B16" s="5"/>
      <c r="C16" s="123">
        <v>2</v>
      </c>
      <c r="D16" s="76">
        <f ca="1"/>
        <v>-3.7699500854990742E-3</v>
      </c>
      <c r="E16" s="117"/>
      <c r="F16" s="123" t="s">
        <v>45</v>
      </c>
      <c r="G16" s="76">
        <f ca="1"/>
        <v>-3.7656646308832364E-3</v>
      </c>
      <c r="H16" s="8" t="s">
        <v>4</v>
      </c>
      <c r="I16" s="121"/>
    </row>
    <row r="17" spans="1:9">
      <c r="A17" s="119">
        <v>5</v>
      </c>
      <c r="B17" s="5"/>
      <c r="C17" s="123">
        <v>2.5</v>
      </c>
      <c r="D17" s="76">
        <f ca="1"/>
        <v>-3.6443843774807139E-3</v>
      </c>
      <c r="E17" s="117"/>
      <c r="F17" s="123" t="s">
        <v>154</v>
      </c>
      <c r="G17" s="76">
        <f ca="1"/>
        <v>-3.6311966373603344E-3</v>
      </c>
      <c r="H17" s="8" t="s">
        <v>4</v>
      </c>
      <c r="I17" s="121"/>
    </row>
    <row r="18" spans="1:9">
      <c r="A18" s="119">
        <v>6</v>
      </c>
      <c r="B18" s="5"/>
      <c r="C18" s="123">
        <v>3</v>
      </c>
      <c r="D18" s="76">
        <f ca="1"/>
        <v>-3.4358337246147563E-3</v>
      </c>
      <c r="E18" s="117"/>
      <c r="F18" s="123" t="s">
        <v>41</v>
      </c>
      <c r="G18" s="76">
        <f ca="1"/>
        <v>-3.4142130089448441E-3</v>
      </c>
      <c r="H18" s="8" t="s">
        <v>4</v>
      </c>
      <c r="I18" s="121"/>
    </row>
    <row r="19" spans="1:9">
      <c r="A19" s="119">
        <v>7</v>
      </c>
      <c r="B19" s="5"/>
      <c r="C19" s="123">
        <v>3.5</v>
      </c>
      <c r="D19" s="76">
        <f ca="1"/>
        <v>-3.1381482099651636E-3</v>
      </c>
      <c r="E19" s="117"/>
      <c r="F19" s="123" t="s">
        <v>155</v>
      </c>
      <c r="G19" s="76">
        <f ca="1"/>
        <v>-3.1048380516044416E-3</v>
      </c>
      <c r="H19" s="8" t="s">
        <v>4</v>
      </c>
      <c r="I19" s="121"/>
    </row>
    <row r="20" spans="1:9">
      <c r="A20" s="119">
        <v>8</v>
      </c>
      <c r="B20" s="5"/>
      <c r="C20" s="123">
        <v>4</v>
      </c>
      <c r="D20" s="76">
        <f ca="1"/>
        <v>-2.7606274520695084E-3</v>
      </c>
      <c r="E20" s="117"/>
      <c r="F20" s="123" t="s">
        <v>48</v>
      </c>
      <c r="G20" s="76">
        <f ca="1"/>
        <v>-2.7135866411067688E-3</v>
      </c>
      <c r="H20" s="8" t="s">
        <v>4</v>
      </c>
      <c r="I20" s="121"/>
    </row>
    <row r="21" spans="1:9">
      <c r="A21" s="119">
        <v>9</v>
      </c>
      <c r="B21" s="5"/>
      <c r="C21" s="123">
        <v>4.5</v>
      </c>
      <c r="D21" s="76">
        <f ca="1"/>
        <v>-2.3269800785183925E-3</v>
      </c>
      <c r="E21" s="117"/>
      <c r="F21" s="123" t="s">
        <v>156</v>
      </c>
      <c r="G21" s="76">
        <f ca="1"/>
        <v>-2.2673138702584694E-3</v>
      </c>
      <c r="H21" s="8" t="s">
        <v>4</v>
      </c>
      <c r="I21" s="121"/>
    </row>
    <row r="22" spans="1:9">
      <c r="A22" s="119">
        <v>10</v>
      </c>
      <c r="B22" s="5"/>
      <c r="C22" s="124">
        <v>5</v>
      </c>
      <c r="D22" s="77">
        <f ca="1"/>
        <v>-1.8462844569780978E-3</v>
      </c>
      <c r="E22" s="117"/>
      <c r="F22" s="124" t="s">
        <v>50</v>
      </c>
      <c r="G22" s="77">
        <f ca="1"/>
        <v>-1.7715155029870422E-3</v>
      </c>
      <c r="H22" s="8" t="s">
        <v>4</v>
      </c>
      <c r="I22" s="121"/>
    </row>
    <row r="23" spans="1:9">
      <c r="B23" s="11"/>
      <c r="C23" s="12"/>
      <c r="D23" s="12"/>
      <c r="E23" s="12"/>
      <c r="F23" s="12"/>
      <c r="G23" s="12"/>
      <c r="H23" s="13"/>
    </row>
    <row r="24" spans="1:9">
      <c r="A24" s="119" t="s">
        <v>4</v>
      </c>
      <c r="B24" s="119" t="s">
        <v>4</v>
      </c>
      <c r="C24" s="119" t="s">
        <v>4</v>
      </c>
      <c r="D24" s="119" t="s">
        <v>4</v>
      </c>
      <c r="E24" s="119" t="s">
        <v>4</v>
      </c>
      <c r="F24" s="119"/>
      <c r="G24" s="119" t="s">
        <v>4</v>
      </c>
      <c r="H24" s="119" t="s">
        <v>4</v>
      </c>
    </row>
    <row r="25" spans="1:9">
      <c r="D25" s="121"/>
    </row>
    <row r="26" spans="1:9">
      <c r="D26" s="120"/>
    </row>
    <row r="28" spans="1:9">
      <c r="G28" s="67"/>
    </row>
    <row r="37" spans="1:4">
      <c r="A37" s="114"/>
      <c r="D37" s="67"/>
    </row>
  </sheetData>
  <dataValidations count="2">
    <dataValidation type="list" allowBlank="1" showInputMessage="1" showErrorMessage="1" sqref="D9">
      <formula1>"FOLLOWING,MOD_FOLLOWING,PRECEDING,MOD_PRECEEDING,NO_CHANGE"</formula1>
    </dataValidation>
    <dataValidation type="list" allowBlank="1" showInputMessage="1" showErrorMessage="1" sqref="D5">
      <formula1>"OIS,STD"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EUR OIS</vt:lpstr>
      <vt:lpstr>EUR SWAP 6ML</vt:lpstr>
      <vt:lpstr>meCurveZeroRate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2016-10-10T12:03:30Z</dcterms:modified>
</cp:coreProperties>
</file>